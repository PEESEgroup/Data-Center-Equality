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66925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B (Rate Base)\Sch II-B WP\"/>
    </mc:Choice>
  </mc:AlternateContent>
  <xr:revisionPtr revIDLastSave="0" documentId="13_ncr:1_{27A4142F-F837-47F2-84D9-CCD95FB9C19C}" xr6:coauthVersionLast="47" xr6:coauthVersionMax="47" xr10:uidLastSave="{00000000-0000-0000-0000-000000000000}"/>
  <x:bookViews>
    <x:workbookView xWindow="25974" yWindow="-109" windowWidth="26301" windowHeight="14169" xr2:uid="{5DB003F1-1B0F-4757-A4E2-4CA3A9924F72}"/>
  </x:bookViews>
  <x:sheets>
    <x:sheet name="WP II-B-5_05" sheetId="1" r:id="rId1"/>
  </x:sheets>
  <x:definedNames>
    <x:definedName name="_xlnm.Print_Area" localSheetId="0">'WP II-B-5_05'!$A$2:$N$236</x:definedName>
    <x:definedName name="_xlnm.Print_Titles" localSheetId="0">'WP II-B-5_05'!$A:$B,'WP II-B-5_05'!$1:$1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N236" i="1" l="1"/>
  <x:c r="M236" i="1"/>
  <x:c r="L236" i="1"/>
  <x:c r="K236" i="1"/>
  <x:c r="N131" i="1"/>
  <x:c r="M131" i="1"/>
  <x:c r="L131" i="1"/>
  <x:c r="K131" i="1"/>
  <x:c r="N33" i="1"/>
  <x:c r="M33" i="1"/>
  <x:c r="L33" i="1"/>
  <x:c r="K33" i="1"/>
  <x:c r="E236" i="1"/>
  <x:c r="D236" i="1"/>
  <x:c r="C236" i="1"/>
  <x:c r="D131" i="1"/>
  <x:c r="C131" i="1"/>
  <x:c r="E131" i="1"/>
  <x:c r="E33" i="1" l="1"/>
  <x:c r="D33" i="1"/>
  <x:c r="C33" i="1"/>
  <x:c r="P248" i="1" l="1"/>
  <x:c r="O248" i="1"/>
  <x:c r="I248" i="1"/>
  <x:c r="F248" i="1"/>
  <x:c r="J11" i="1"/>
  <x:c r="J12" i="1"/>
  <x:c r="J13" i="1"/>
  <x:c r="J14" i="1"/>
  <x:c r="J15" i="1"/>
  <x:c r="J16" i="1"/>
  <x:c r="J17" i="1"/>
  <x:c r="J18" i="1"/>
  <x:c r="J19" i="1"/>
  <x:c r="J20" i="1"/>
  <x:c r="J21" i="1"/>
  <x:c r="J22" i="1"/>
  <x:c r="J23" i="1"/>
  <x:c r="J24" i="1"/>
  <x:c r="J25" i="1"/>
  <x:c r="J26" i="1"/>
  <x:c r="J27" i="1"/>
  <x:c r="J28" i="1"/>
  <x:c r="J29" i="1"/>
  <x:c r="J30" i="1"/>
  <x:c r="J31" i="1"/>
  <x:c r="J34" i="1"/>
  <x:c r="J35" i="1"/>
  <x:c r="J36" i="1"/>
  <x:c r="J37" i="1"/>
  <x:c r="J38" i="1"/>
  <x:c r="J39" i="1"/>
  <x:c r="J40" i="1"/>
  <x:c r="J41" i="1"/>
  <x:c r="J42" i="1"/>
  <x:c r="J43" i="1"/>
  <x:c r="J44" i="1"/>
  <x:c r="J45" i="1"/>
  <x:c r="J46" i="1"/>
  <x:c r="J47" i="1"/>
  <x:c r="J48" i="1"/>
  <x:c r="J49" i="1"/>
  <x:c r="J50" i="1"/>
  <x:c r="J51" i="1"/>
  <x:c r="J52" i="1"/>
  <x:c r="J53" i="1"/>
  <x:c r="J54" i="1"/>
  <x:c r="J55" i="1"/>
  <x:c r="J56" i="1"/>
  <x:c r="J57" i="1"/>
  <x:c r="J58" i="1"/>
  <x:c r="J59" i="1"/>
  <x:c r="J60" i="1"/>
  <x:c r="J61" i="1"/>
  <x:c r="J62" i="1"/>
  <x:c r="J63" i="1"/>
  <x:c r="J64" i="1"/>
  <x:c r="J65" i="1"/>
  <x:c r="J66" i="1"/>
  <x:c r="J67" i="1"/>
  <x:c r="J68" i="1"/>
  <x:c r="J69" i="1"/>
  <x:c r="J70" i="1"/>
  <x:c r="J71" i="1"/>
  <x:c r="J72" i="1"/>
  <x:c r="J73" i="1"/>
  <x:c r="J74" i="1"/>
  <x:c r="J75" i="1"/>
  <x:c r="J76" i="1"/>
  <x:c r="J77" i="1"/>
  <x:c r="J78" i="1"/>
  <x:c r="J79" i="1"/>
  <x:c r="J80" i="1"/>
  <x:c r="J81" i="1"/>
  <x:c r="J82" i="1"/>
  <x:c r="J83" i="1"/>
  <x:c r="J84" i="1"/>
  <x:c r="J85" i="1"/>
  <x:c r="J86" i="1"/>
  <x:c r="J87" i="1"/>
  <x:c r="J88" i="1"/>
  <x:c r="J89" i="1"/>
  <x:c r="J90" i="1"/>
  <x:c r="J91" i="1"/>
  <x:c r="J92" i="1"/>
  <x:c r="J93" i="1"/>
  <x:c r="J94" i="1"/>
  <x:c r="J95" i="1"/>
  <x:c r="J96" i="1"/>
  <x:c r="J97" i="1"/>
  <x:c r="J98" i="1"/>
  <x:c r="J99" i="1"/>
  <x:c r="J100" i="1"/>
  <x:c r="J101" i="1"/>
  <x:c r="J102" i="1"/>
  <x:c r="J103" i="1"/>
  <x:c r="J104" i="1"/>
  <x:c r="J105" i="1"/>
  <x:c r="J106" i="1"/>
  <x:c r="J107" i="1"/>
  <x:c r="J108" i="1"/>
  <x:c r="J109" i="1"/>
  <x:c r="J110" i="1"/>
  <x:c r="J111" i="1"/>
  <x:c r="J112" i="1"/>
  <x:c r="J113" i="1"/>
  <x:c r="J114" i="1"/>
  <x:c r="J115" i="1"/>
  <x:c r="J116" i="1"/>
  <x:c r="J117" i="1"/>
  <x:c r="J118" i="1"/>
  <x:c r="J119" i="1"/>
  <x:c r="J120" i="1"/>
  <x:c r="J121" i="1"/>
  <x:c r="J122" i="1"/>
  <x:c r="J123" i="1"/>
  <x:c r="J124" i="1"/>
  <x:c r="J125" i="1"/>
  <x:c r="J126" i="1"/>
  <x:c r="J127" i="1"/>
  <x:c r="J128" i="1"/>
  <x:c r="J129" i="1"/>
  <x:c r="J132" i="1"/>
  <x:c r="J133" i="1"/>
  <x:c r="J134" i="1"/>
  <x:c r="J135" i="1"/>
  <x:c r="J136" i="1"/>
  <x:c r="J137" i="1"/>
  <x:c r="J138" i="1"/>
  <x:c r="J139" i="1"/>
  <x:c r="J140" i="1"/>
  <x:c r="J141" i="1"/>
  <x:c r="J142" i="1"/>
  <x:c r="J143" i="1"/>
  <x:c r="J144" i="1"/>
  <x:c r="J145" i="1"/>
  <x:c r="J146" i="1"/>
  <x:c r="J147" i="1"/>
  <x:c r="J148" i="1"/>
  <x:c r="J149" i="1"/>
  <x:c r="J150" i="1"/>
  <x:c r="J151" i="1"/>
  <x:c r="J152" i="1"/>
  <x:c r="J153" i="1"/>
  <x:c r="J154" i="1"/>
  <x:c r="J155" i="1"/>
  <x:c r="J156" i="1"/>
  <x:c r="J157" i="1"/>
  <x:c r="J158" i="1"/>
  <x:c r="J159" i="1"/>
  <x:c r="J160" i="1"/>
  <x:c r="J161" i="1"/>
  <x:c r="J162" i="1"/>
  <x:c r="J163" i="1"/>
  <x:c r="J164" i="1"/>
  <x:c r="J165" i="1"/>
  <x:c r="J166" i="1"/>
  <x:c r="J167" i="1"/>
  <x:c r="J168" i="1"/>
  <x:c r="J169" i="1"/>
  <x:c r="J170" i="1"/>
  <x:c r="J171" i="1"/>
  <x:c r="J172" i="1"/>
  <x:c r="J173" i="1"/>
  <x:c r="J174" i="1"/>
  <x:c r="J175" i="1"/>
  <x:c r="J176" i="1"/>
  <x:c r="J177" i="1"/>
  <x:c r="J178" i="1"/>
  <x:c r="J179" i="1"/>
  <x:c r="J180" i="1"/>
  <x:c r="J181" i="1"/>
  <x:c r="J182" i="1"/>
  <x:c r="J183" i="1"/>
  <x:c r="J184" i="1"/>
  <x:c r="J185" i="1"/>
  <x:c r="J186" i="1"/>
  <x:c r="J187" i="1"/>
  <x:c r="J188" i="1"/>
  <x:c r="J189" i="1"/>
  <x:c r="J190" i="1"/>
  <x:c r="J191" i="1"/>
  <x:c r="J192" i="1"/>
  <x:c r="J193" i="1"/>
  <x:c r="J194" i="1"/>
  <x:c r="J195" i="1"/>
  <x:c r="J196" i="1"/>
  <x:c r="J197" i="1"/>
  <x:c r="J198" i="1"/>
  <x:c r="J199" i="1"/>
  <x:c r="J200" i="1"/>
  <x:c r="J201" i="1"/>
  <x:c r="J202" i="1"/>
  <x:c r="J203" i="1"/>
  <x:c r="J204" i="1"/>
  <x:c r="J205" i="1"/>
  <x:c r="J206" i="1"/>
  <x:c r="J207" i="1"/>
  <x:c r="J208" i="1"/>
  <x:c r="J209" i="1"/>
  <x:c r="J210" i="1"/>
  <x:c r="J211" i="1"/>
  <x:c r="J212" i="1"/>
  <x:c r="J213" i="1"/>
  <x:c r="J214" i="1"/>
  <x:c r="J215" i="1"/>
  <x:c r="J216" i="1"/>
  <x:c r="J217" i="1"/>
  <x:c r="J218" i="1"/>
  <x:c r="J219" i="1"/>
  <x:c r="J220" i="1"/>
  <x:c r="J221" i="1"/>
  <x:c r="J222" i="1"/>
  <x:c r="J223" i="1"/>
  <x:c r="J224" i="1"/>
  <x:c r="J225" i="1"/>
  <x:c r="J226" i="1"/>
  <x:c r="J227" i="1"/>
  <x:c r="J228" i="1"/>
  <x:c r="J229" i="1"/>
  <x:c r="J230" i="1"/>
  <x:c r="J231" i="1"/>
  <x:c r="J232" i="1"/>
  <x:c r="J233" i="1"/>
  <x:c r="J234" i="1"/>
  <x:c r="I147" i="1" l="1"/>
  <x:c r="I48" i="1"/>
  <x:c r="I47" i="1"/>
  <x:c r="I46" i="1"/>
  <x:c r="I44" i="1"/>
  <x:c r="I35" i="1"/>
  <x:c r="I34" i="1"/>
  <x:c r="I10" i="1"/>
  <x:c r="I9" i="1"/>
  <x:c r="I8" i="1"/>
  <x:c r="I7" i="1"/>
  <x:c r="I6" i="1"/>
  <x:c r="I5" i="1"/>
  <x:c r="I4" i="1"/>
  <x:c r="I3" i="1"/>
  <x:c r="I2" i="1"/>
  <x:c r="I36" i="1" l="1"/>
  <x:c r="I37" i="1"/>
  <x:c r="K37" i="1" s="1"/>
  <x:c r="M37" i="1" s="1"/>
  <x:c r="I38" i="1"/>
  <x:c r="K38" i="1" s="1"/>
  <x:c r="M38" i="1" s="1"/>
  <x:c r="I39" i="1"/>
  <x:c r="K39" i="1" s="1"/>
  <x:c r="M39" i="1" s="1"/>
  <x:c r="I40" i="1"/>
  <x:c r="K40" i="1" s="1"/>
  <x:c r="L40" i="1" s="1"/>
  <x:c r="I41" i="1"/>
  <x:c r="K41" i="1" s="1"/>
  <x:c r="M41" i="1" s="1"/>
  <x:c r="I42" i="1"/>
  <x:c r="K42" i="1" s="1"/>
  <x:c r="M42" i="1" s="1"/>
  <x:c r="I43" i="1"/>
  <x:c r="K43" i="1" s="1"/>
  <x:c r="M43" i="1" s="1"/>
  <x:c r="I133" i="1"/>
  <x:c r="K133" i="1" s="1"/>
  <x:c r="I134" i="1"/>
  <x:c r="K134" i="1" s="1"/>
  <x:c r="I135" i="1"/>
  <x:c r="K135" i="1" s="1"/>
  <x:c r="I136" i="1"/>
  <x:c r="K136" i="1" s="1"/>
  <x:c r="I137" i="1"/>
  <x:c r="K137" i="1" s="1"/>
  <x:c r="I138" i="1"/>
  <x:c r="K138" i="1" s="1"/>
  <x:c r="I139" i="1"/>
  <x:c r="K139" i="1" s="1"/>
  <x:c r="I140" i="1"/>
  <x:c r="K140" i="1" s="1"/>
  <x:c r="I141" i="1"/>
  <x:c r="K141" i="1" s="1"/>
  <x:c r="I142" i="1"/>
  <x:c r="K142" i="1" s="1"/>
  <x:c r="I143" i="1"/>
  <x:c r="K143" i="1" s="1"/>
  <x:c r="I144" i="1"/>
  <x:c r="K144" i="1" s="1"/>
  <x:c r="I145" i="1"/>
  <x:c r="K145" i="1" s="1"/>
  <x:c r="K3" i="1"/>
  <x:c r="L3" i="1" s="1"/>
  <x:c r="K4" i="1"/>
  <x:c r="M4" i="1" s="1"/>
  <x:c r="K5" i="1"/>
  <x:c r="L5" i="1" s="1"/>
  <x:c r="K6" i="1"/>
  <x:c r="L6" i="1" s="1"/>
  <x:c r="L42" i="1"/>
  <x:c r="I235" i="1"/>
  <x:c r="I234" i="1"/>
  <x:c r="I233" i="1"/>
  <x:c r="I232" i="1"/>
  <x:c r="I231" i="1"/>
  <x:c r="I230" i="1"/>
  <x:c r="I229" i="1"/>
  <x:c r="I228" i="1"/>
  <x:c r="I227" i="1"/>
  <x:c r="I226" i="1"/>
  <x:c r="I225" i="1"/>
  <x:c r="I224" i="1"/>
  <x:c r="I223" i="1"/>
  <x:c r="I222" i="1"/>
  <x:c r="I221" i="1"/>
  <x:c r="I220" i="1"/>
  <x:c r="I219" i="1"/>
  <x:c r="I218" i="1"/>
  <x:c r="I217" i="1"/>
  <x:c r="I216" i="1"/>
  <x:c r="I215" i="1"/>
  <x:c r="I214" i="1"/>
  <x:c r="I213" i="1"/>
  <x:c r="I212" i="1"/>
  <x:c r="I211" i="1"/>
  <x:c r="I210" i="1"/>
  <x:c r="I209" i="1"/>
  <x:c r="I208" i="1"/>
  <x:c r="I207" i="1"/>
  <x:c r="I206" i="1"/>
  <x:c r="I205" i="1"/>
  <x:c r="I204" i="1"/>
  <x:c r="I203" i="1"/>
  <x:c r="I202" i="1"/>
  <x:c r="I201" i="1"/>
  <x:c r="I200" i="1"/>
  <x:c r="I199" i="1"/>
  <x:c r="I198" i="1"/>
  <x:c r="I197" i="1"/>
  <x:c r="I196" i="1"/>
  <x:c r="I195" i="1"/>
  <x:c r="I194" i="1"/>
  <x:c r="I193" i="1"/>
  <x:c r="I192" i="1"/>
  <x:c r="I191" i="1"/>
  <x:c r="I190" i="1"/>
  <x:c r="I189" i="1"/>
  <x:c r="I188" i="1"/>
  <x:c r="I187" i="1"/>
  <x:c r="I186" i="1"/>
  <x:c r="I185" i="1"/>
  <x:c r="I184" i="1"/>
  <x:c r="I183" i="1"/>
  <x:c r="I182" i="1"/>
  <x:c r="I181" i="1"/>
  <x:c r="I180" i="1"/>
  <x:c r="I179" i="1"/>
  <x:c r="I178" i="1"/>
  <x:c r="I177" i="1"/>
  <x:c r="I176" i="1"/>
  <x:c r="I175" i="1"/>
  <x:c r="I174" i="1"/>
  <x:c r="I173" i="1"/>
  <x:c r="I172" i="1"/>
  <x:c r="I171" i="1"/>
  <x:c r="I170" i="1"/>
  <x:c r="I169" i="1"/>
  <x:c r="I168" i="1"/>
  <x:c r="I167" i="1"/>
  <x:c r="I166" i="1"/>
  <x:c r="I165" i="1"/>
  <x:c r="I164" i="1"/>
  <x:c r="I163" i="1"/>
  <x:c r="I162" i="1"/>
  <x:c r="I161" i="1"/>
  <x:c r="I160" i="1"/>
  <x:c r="I159" i="1"/>
  <x:c r="I158" i="1"/>
  <x:c r="I157" i="1"/>
  <x:c r="I156" i="1"/>
  <x:c r="I155" i="1"/>
  <x:c r="I154" i="1"/>
  <x:c r="I153" i="1"/>
  <x:c r="I152" i="1"/>
  <x:c r="I151" i="1"/>
  <x:c r="I150" i="1"/>
  <x:c r="I149" i="1"/>
  <x:c r="I148" i="1"/>
  <x:c r="I146" i="1"/>
  <x:c r="I132" i="1"/>
  <x:c r="I130" i="1"/>
  <x:c r="K130" i="1" s="1"/>
  <x:c r="I129" i="1"/>
  <x:c r="I128" i="1"/>
  <x:c r="I127" i="1"/>
  <x:c r="I126" i="1"/>
  <x:c r="K126" i="1" s="1"/>
  <x:c r="I125" i="1"/>
  <x:c r="I124" i="1"/>
  <x:c r="K124" i="1" s="1"/>
  <x:c r="I123" i="1"/>
  <x:c r="I122" i="1"/>
  <x:c r="K122" i="1" s="1"/>
  <x:c r="I121" i="1"/>
  <x:c r="I120" i="1"/>
  <x:c r="K120" i="1" s="1"/>
  <x:c r="I119" i="1"/>
  <x:c r="I118" i="1"/>
  <x:c r="K118" i="1" s="1"/>
  <x:c r="I117" i="1"/>
  <x:c r="I116" i="1"/>
  <x:c r="K116" i="1" s="1"/>
  <x:c r="I115" i="1"/>
  <x:c r="I114" i="1"/>
  <x:c r="K114" i="1" s="1"/>
  <x:c r="I113" i="1"/>
  <x:c r="I112" i="1"/>
  <x:c r="K112" i="1" s="1"/>
  <x:c r="I111" i="1"/>
  <x:c r="I110" i="1"/>
  <x:c r="K110" i="1" s="1"/>
  <x:c r="I109" i="1"/>
  <x:c r="I108" i="1"/>
  <x:c r="K108" i="1" s="1"/>
  <x:c r="I107" i="1"/>
  <x:c r="I106" i="1"/>
  <x:c r="K106" i="1" s="1"/>
  <x:c r="I105" i="1"/>
  <x:c r="K105" i="1" s="1"/>
  <x:c r="I104" i="1"/>
  <x:c r="K104" i="1" s="1"/>
  <x:c r="I103" i="1"/>
  <x:c r="K103" i="1" s="1"/>
  <x:c r="I102" i="1"/>
  <x:c r="K102" i="1" s="1"/>
  <x:c r="I101" i="1"/>
  <x:c r="K101" i="1" s="1"/>
  <x:c r="I100" i="1"/>
  <x:c r="K100" i="1" s="1"/>
  <x:c r="I99" i="1"/>
  <x:c r="K99" i="1" s="1"/>
  <x:c r="I98" i="1"/>
  <x:c r="K98" i="1" s="1"/>
  <x:c r="I97" i="1"/>
  <x:c r="K97" i="1" s="1"/>
  <x:c r="I96" i="1"/>
  <x:c r="I95" i="1"/>
  <x:c r="K95" i="1" s="1"/>
  <x:c r="I94" i="1"/>
  <x:c r="K94" i="1" s="1"/>
  <x:c r="I93" i="1"/>
  <x:c r="K93" i="1" s="1"/>
  <x:c r="I92" i="1"/>
  <x:c r="K92" i="1" s="1"/>
  <x:c r="I91" i="1"/>
  <x:c r="K91" i="1" s="1"/>
  <x:c r="I90" i="1"/>
  <x:c r="K90" i="1" s="1"/>
  <x:c r="I89" i="1"/>
  <x:c r="K89" i="1" s="1"/>
  <x:c r="I88" i="1"/>
  <x:c r="K88" i="1" s="1"/>
  <x:c r="I87" i="1"/>
  <x:c r="K87" i="1" s="1"/>
  <x:c r="I86" i="1"/>
  <x:c r="K86" i="1" s="1"/>
  <x:c r="I85" i="1"/>
  <x:c r="K85" i="1" s="1"/>
  <x:c r="I84" i="1"/>
  <x:c r="K84" i="1" s="1"/>
  <x:c r="I83" i="1"/>
  <x:c r="K83" i="1" s="1"/>
  <x:c r="I82" i="1"/>
  <x:c r="K82" i="1" s="1"/>
  <x:c r="I81" i="1"/>
  <x:c r="K81" i="1" s="1"/>
  <x:c r="I80" i="1"/>
  <x:c r="K80" i="1" s="1"/>
  <x:c r="I79" i="1"/>
  <x:c r="K79" i="1" s="1"/>
  <x:c r="I78" i="1"/>
  <x:c r="K78" i="1" s="1"/>
  <x:c r="I77" i="1"/>
  <x:c r="K77" i="1" s="1"/>
  <x:c r="I76" i="1"/>
  <x:c r="K76" i="1" s="1"/>
  <x:c r="I75" i="1"/>
  <x:c r="K75" i="1" s="1"/>
  <x:c r="I74" i="1"/>
  <x:c r="K74" i="1" s="1"/>
  <x:c r="I73" i="1"/>
  <x:c r="K73" i="1" s="1"/>
  <x:c r="I72" i="1"/>
  <x:c r="K72" i="1" s="1"/>
  <x:c r="I71" i="1"/>
  <x:c r="K71" i="1" s="1"/>
  <x:c r="I70" i="1"/>
  <x:c r="K70" i="1" s="1"/>
  <x:c r="I69" i="1"/>
  <x:c r="K69" i="1" s="1"/>
  <x:c r="I68" i="1"/>
  <x:c r="K68" i="1" s="1"/>
  <x:c r="I67" i="1"/>
  <x:c r="I66" i="1"/>
  <x:c r="K66" i="1" s="1"/>
  <x:c r="I65" i="1"/>
  <x:c r="K65" i="1" s="1"/>
  <x:c r="I64" i="1"/>
  <x:c r="K64" i="1" s="1"/>
  <x:c r="I63" i="1"/>
  <x:c r="K63" i="1" s="1"/>
  <x:c r="I62" i="1"/>
  <x:c r="K62" i="1" s="1"/>
  <x:c r="I61" i="1"/>
  <x:c r="K61" i="1" s="1"/>
  <x:c r="I60" i="1"/>
  <x:c r="K60" i="1" s="1"/>
  <x:c r="I59" i="1"/>
  <x:c r="K59" i="1" s="1"/>
  <x:c r="I58" i="1"/>
  <x:c r="K58" i="1" s="1"/>
  <x:c r="I57" i="1"/>
  <x:c r="K57" i="1" s="1"/>
  <x:c r="I56" i="1"/>
  <x:c r="K56" i="1" s="1"/>
  <x:c r="I55" i="1"/>
  <x:c r="K55" i="1" s="1"/>
  <x:c r="I54" i="1"/>
  <x:c r="K54" i="1" s="1"/>
  <x:c r="I53" i="1"/>
  <x:c r="K53" i="1" s="1"/>
  <x:c r="I52" i="1"/>
  <x:c r="K52" i="1" s="1"/>
  <x:c r="I51" i="1"/>
  <x:c r="K51" i="1" s="1"/>
  <x:c r="I50" i="1"/>
  <x:c r="K50" i="1" s="1"/>
  <x:c r="I49" i="1"/>
  <x:c r="K49" i="1" s="1"/>
  <x:c r="I45" i="1"/>
  <x:c r="K45" i="1" s="1"/>
  <x:c r="I32" i="1"/>
  <x:c r="K32" i="1" s="1"/>
  <x:c r="I31" i="1"/>
  <x:c r="I30" i="1"/>
  <x:c r="K30" i="1" s="1"/>
  <x:c r="I29" i="1"/>
  <x:c r="K29" i="1" s="1"/>
  <x:c r="I28" i="1"/>
  <x:c r="I27" i="1"/>
  <x:c r="K27" i="1" s="1"/>
  <x:c r="I26" i="1"/>
  <x:c r="K26" i="1" s="1"/>
  <x:c r="I25" i="1"/>
  <x:c r="K25" i="1" s="1"/>
  <x:c r="I24" i="1"/>
  <x:c r="K24" i="1" s="1"/>
  <x:c r="I23" i="1"/>
  <x:c r="K23" i="1" s="1"/>
  <x:c r="I22" i="1"/>
  <x:c r="K22" i="1" s="1"/>
  <x:c r="I21" i="1"/>
  <x:c r="I20" i="1"/>
  <x:c r="K20" i="1" s="1"/>
  <x:c r="I19" i="1"/>
  <x:c r="K19" i="1" s="1"/>
  <x:c r="I18" i="1"/>
  <x:c r="K18" i="1" s="1"/>
  <x:c r="I17" i="1"/>
  <x:c r="K17" i="1" s="1"/>
  <x:c r="I16" i="1"/>
  <x:c r="K16" i="1" s="1"/>
  <x:c r="I15" i="1"/>
  <x:c r="K15" i="1" s="1"/>
  <x:c r="I14" i="1"/>
  <x:c r="K14" i="1" s="1"/>
  <x:c r="I13" i="1"/>
  <x:c r="K13" i="1" s="1"/>
  <x:c r="I12" i="1"/>
  <x:c r="K12" i="1" s="1"/>
  <x:c r="I11" i="1"/>
  <x:c r="E248" i="1"/>
  <x:c r="K128" i="1"/>
  <x:c r="K96" i="1"/>
  <x:c r="K67" i="1"/>
  <x:c r="K48" i="1"/>
  <x:c r="K47" i="1"/>
  <x:c r="K46" i="1"/>
  <x:c r="K44" i="1"/>
  <x:c r="K35" i="1"/>
  <x:c r="K34" i="1"/>
  <x:c r="K10" i="1"/>
  <x:c r="K8" i="1"/>
  <x:c r="K7" i="1"/>
  <x:c r="M40" i="1" l="1"/>
  <x:c r="N40" i="1"/>
  <x:c r="L41" i="1"/>
  <x:c r="M6" i="1"/>
  <x:c r="N6" i="1" s="1"/>
  <x:c r="N41" i="1"/>
  <x:c r="L38" i="1"/>
  <x:c r="N38" i="1" s="1"/>
  <x:c r="L37" i="1"/>
  <x:c r="N37" i="1" s="1"/>
  <x:c r="L39" i="1"/>
  <x:c r="N39" i="1" s="1"/>
  <x:c r="M135" i="1"/>
  <x:c r="L135" i="1"/>
  <x:c r="M5" i="1"/>
  <x:c r="N5" i="1" s="1"/>
  <x:c r="L145" i="1"/>
  <x:c r="M145" i="1"/>
  <x:c r="L133" i="1"/>
  <x:c r="M133" i="1"/>
  <x:c r="L4" i="1"/>
  <x:c r="N4" i="1" s="1"/>
  <x:c r="L144" i="1"/>
  <x:c r="M144" i="1"/>
  <x:c r="M143" i="1"/>
  <x:c r="L143" i="1"/>
  <x:c r="M142" i="1"/>
  <x:c r="L142" i="1"/>
  <x:c r="M3" i="1"/>
  <x:c r="N3" i="1" s="1"/>
  <x:c r="L141" i="1"/>
  <x:c r="M141" i="1"/>
  <x:c r="M134" i="1"/>
  <x:c r="L134" i="1"/>
  <x:c r="M136" i="1"/>
  <x:c r="L136" i="1"/>
  <x:c r="L43" i="1"/>
  <x:c r="N43" i="1" s="1"/>
  <x:c r="M140" i="1"/>
  <x:c r="L140" i="1"/>
  <x:c r="N140" i="1" s="1"/>
  <x:c r="L139" i="1"/>
  <x:c r="M139" i="1"/>
  <x:c r="N42" i="1"/>
  <x:c r="L138" i="1"/>
  <x:c r="M138" i="1"/>
  <x:c r="M137" i="1"/>
  <x:c r="L137" i="1"/>
  <x:c r="K36" i="1"/>
  <x:c r="I131" i="1"/>
  <x:c r="K28" i="1"/>
  <x:c r="M28" i="1" s="1"/>
  <x:c r="K11" i="1"/>
  <x:c r="M11" i="1" s="1"/>
  <x:c r="K9" i="1"/>
  <x:c r="M9" i="1" s="1"/>
  <x:c r="K31" i="1"/>
  <x:c r="L31" i="1" s="1"/>
  <x:c r="K21" i="1"/>
  <x:c r="L21" i="1" s="1"/>
  <x:c r="M78" i="1"/>
  <x:c r="I33" i="1"/>
  <x:c r="K107" i="1"/>
  <x:c r="M107" i="1" s="1"/>
  <x:c r="K109" i="1"/>
  <x:c r="M109" i="1" s="1"/>
  <x:c r="K111" i="1"/>
  <x:c r="L111" i="1" s="1"/>
  <x:c r="K113" i="1"/>
  <x:c r="M113" i="1" s="1"/>
  <x:c r="K115" i="1"/>
  <x:c r="M115" i="1" s="1"/>
  <x:c r="K117" i="1"/>
  <x:c r="L117" i="1" s="1"/>
  <x:c r="K119" i="1"/>
  <x:c r="K121" i="1"/>
  <x:c r="L121" i="1" s="1"/>
  <x:c r="K123" i="1"/>
  <x:c r="M123" i="1" s="1"/>
  <x:c r="K125" i="1"/>
  <x:c r="L125" i="1" s="1"/>
  <x:c r="K127" i="1"/>
  <x:c r="L127" i="1" s="1"/>
  <x:c r="K129" i="1"/>
  <x:c r="L129" i="1" s="1"/>
  <x:c r="K2" i="1"/>
  <x:c r="M12" i="1"/>
  <x:c r="M14" i="1"/>
  <x:c r="M16" i="1"/>
  <x:c r="M18" i="1"/>
  <x:c r="M20" i="1"/>
  <x:c r="M22" i="1"/>
  <x:c r="M24" i="1"/>
  <x:c r="M26" i="1"/>
  <x:c r="M30" i="1"/>
  <x:c r="M32" i="1"/>
  <x:c r="M34" i="1"/>
  <x:c r="M44" i="1"/>
  <x:c r="L44" i="1"/>
  <x:c r="M46" i="1"/>
  <x:c r="L46" i="1"/>
  <x:c r="M48" i="1"/>
  <x:c r="L48" i="1"/>
  <x:c r="M50" i="1"/>
  <x:c r="L50" i="1"/>
  <x:c r="M52" i="1"/>
  <x:c r="L52" i="1"/>
  <x:c r="M54" i="1"/>
  <x:c r="L54" i="1"/>
  <x:c r="M56" i="1"/>
  <x:c r="L56" i="1"/>
  <x:c r="M58" i="1"/>
  <x:c r="L58" i="1"/>
  <x:c r="M60" i="1"/>
  <x:c r="L60" i="1"/>
  <x:c r="M62" i="1"/>
  <x:c r="L62" i="1"/>
  <x:c r="M64" i="1"/>
  <x:c r="L64" i="1"/>
  <x:c r="M66" i="1"/>
  <x:c r="L66" i="1"/>
  <x:c r="M68" i="1"/>
  <x:c r="L68" i="1"/>
  <x:c r="M70" i="1"/>
  <x:c r="L70" i="1"/>
  <x:c r="M72" i="1"/>
  <x:c r="L72" i="1"/>
  <x:c r="M74" i="1"/>
  <x:c r="L74" i="1"/>
  <x:c r="M76" i="1"/>
  <x:c r="L76" i="1"/>
  <x:c r="M7" i="1"/>
  <x:c r="M8" i="1"/>
  <x:c r="M10" i="1"/>
  <x:c r="L13" i="1"/>
  <x:c r="L14" i="1"/>
  <x:c r="L15" i="1"/>
  <x:c r="L16" i="1"/>
  <x:c r="L17" i="1"/>
  <x:c r="L18" i="1"/>
  <x:c r="L19" i="1"/>
  <x:c r="L20" i="1"/>
  <x:c r="L22" i="1"/>
  <x:c r="L23" i="1"/>
  <x:c r="L24" i="1"/>
  <x:c r="L25" i="1"/>
  <x:c r="L26" i="1"/>
  <x:c r="L27" i="1"/>
  <x:c r="L29" i="1"/>
  <x:c r="L30" i="1"/>
  <x:c r="L32" i="1"/>
  <x:c r="L34" i="1"/>
  <x:c r="L35" i="1"/>
  <x:c r="M13" i="1"/>
  <x:c r="M15" i="1"/>
  <x:c r="M17" i="1"/>
  <x:c r="M19" i="1"/>
  <x:c r="M23" i="1"/>
  <x:c r="M25" i="1"/>
  <x:c r="M27" i="1"/>
  <x:c r="M29" i="1"/>
  <x:c r="M35" i="1"/>
  <x:c r="M45" i="1"/>
  <x:c r="L45" i="1"/>
  <x:c r="M47" i="1"/>
  <x:c r="L47" i="1"/>
  <x:c r="M49" i="1"/>
  <x:c r="L49" i="1"/>
  <x:c r="M51" i="1"/>
  <x:c r="L51" i="1"/>
  <x:c r="M53" i="1"/>
  <x:c r="L53" i="1"/>
  <x:c r="M55" i="1"/>
  <x:c r="L55" i="1"/>
  <x:c r="M57" i="1"/>
  <x:c r="L57" i="1"/>
  <x:c r="M59" i="1"/>
  <x:c r="L59" i="1"/>
  <x:c r="M61" i="1"/>
  <x:c r="L61" i="1"/>
  <x:c r="M63" i="1"/>
  <x:c r="L63" i="1"/>
  <x:c r="M65" i="1"/>
  <x:c r="L65" i="1"/>
  <x:c r="M67" i="1"/>
  <x:c r="L67" i="1"/>
  <x:c r="M69" i="1"/>
  <x:c r="L69" i="1"/>
  <x:c r="M71" i="1"/>
  <x:c r="L71" i="1"/>
  <x:c r="M73" i="1"/>
  <x:c r="L73" i="1"/>
  <x:c r="M75" i="1"/>
  <x:c r="L75" i="1"/>
  <x:c r="M77" i="1"/>
  <x:c r="L77" i="1"/>
  <x:c r="L7" i="1"/>
  <x:c r="L8" i="1"/>
  <x:c r="L10" i="1"/>
  <x:c r="L11" i="1"/>
  <x:c r="L12" i="1"/>
  <x:c r="M80" i="1"/>
  <x:c r="M82" i="1"/>
  <x:c r="M84" i="1"/>
  <x:c r="M86" i="1"/>
  <x:c r="M88" i="1"/>
  <x:c r="M90" i="1"/>
  <x:c r="M92" i="1"/>
  <x:c r="M94" i="1"/>
  <x:c r="M96" i="1"/>
  <x:c r="M98" i="1"/>
  <x:c r="M100" i="1"/>
  <x:c r="M102" i="1"/>
  <x:c r="M104" i="1"/>
  <x:c r="L104" i="1"/>
  <x:c r="M106" i="1"/>
  <x:c r="L106" i="1"/>
  <x:c r="M108" i="1"/>
  <x:c r="L108" i="1"/>
  <x:c r="M110" i="1"/>
  <x:c r="L110" i="1"/>
  <x:c r="M112" i="1"/>
  <x:c r="L112" i="1"/>
  <x:c r="M114" i="1"/>
  <x:c r="L114" i="1"/>
  <x:c r="M116" i="1"/>
  <x:c r="L116" i="1"/>
  <x:c r="M118" i="1"/>
  <x:c r="L118" i="1"/>
  <x:c r="M120" i="1"/>
  <x:c r="L120" i="1"/>
  <x:c r="M122" i="1"/>
  <x:c r="L122" i="1"/>
  <x:c r="M124" i="1"/>
  <x:c r="L124" i="1"/>
  <x:c r="M126" i="1"/>
  <x:c r="L126" i="1"/>
  <x:c r="M128" i="1"/>
  <x:c r="L128" i="1"/>
  <x:c r="M130" i="1"/>
  <x:c r="L130" i="1"/>
  <x:c r="L78" i="1"/>
  <x:c r="M79" i="1"/>
  <x:c r="M81" i="1"/>
  <x:c r="M83" i="1"/>
  <x:c r="M85" i="1"/>
  <x:c r="M87" i="1"/>
  <x:c r="M89" i="1"/>
  <x:c r="M91" i="1"/>
  <x:c r="M93" i="1"/>
  <x:c r="M95" i="1"/>
  <x:c r="M97" i="1"/>
  <x:c r="M99" i="1"/>
  <x:c r="M101" i="1"/>
  <x:c r="M103" i="1"/>
  <x:c r="L103" i="1"/>
  <x:c r="M105" i="1"/>
  <x:c r="L105" i="1"/>
  <x:c r="M117" i="1"/>
  <x:c r="M119" i="1"/>
  <x:c r="L119" i="1"/>
  <x:c r="M121" i="1"/>
  <x:c r="M125" i="1"/>
  <x:c r="L79" i="1"/>
  <x:c r="L80" i="1"/>
  <x:c r="L81" i="1"/>
  <x:c r="L82" i="1"/>
  <x:c r="L83" i="1"/>
  <x:c r="L84" i="1"/>
  <x:c r="L85" i="1"/>
  <x:c r="L86" i="1"/>
  <x:c r="L87" i="1"/>
  <x:c r="L88" i="1"/>
  <x:c r="L89" i="1"/>
  <x:c r="L90" i="1"/>
  <x:c r="L91" i="1"/>
  <x:c r="L92" i="1"/>
  <x:c r="L93" i="1"/>
  <x:c r="L94" i="1"/>
  <x:c r="L95" i="1"/>
  <x:c r="L96" i="1"/>
  <x:c r="L97" i="1"/>
  <x:c r="L98" i="1"/>
  <x:c r="N98" i="1" s="1"/>
  <x:c r="L99" i="1"/>
  <x:c r="L100" i="1"/>
  <x:c r="L101" i="1"/>
  <x:c r="L102" i="1"/>
  <x:c r="N135" i="1" l="1"/>
  <x:c r="N136" i="1"/>
  <x:c r="N134" i="1"/>
  <x:c r="N96" i="1"/>
  <x:c r="N66" i="1"/>
  <x:c r="N78" i="1"/>
  <x:c r="N80" i="1"/>
  <x:c r="N86" i="1"/>
  <x:c r="N84" i="1"/>
  <x:c r="L107" i="1"/>
  <x:c r="N107" i="1" s="1"/>
  <x:c r="N34" i="1"/>
  <x:c r="N137" i="1"/>
  <x:c r="N139" i="1"/>
  <x:c r="N144" i="1"/>
  <x:c r="L115" i="1"/>
  <x:c r="N115" i="1" s="1"/>
  <x:c r="N145" i="1"/>
  <x:c r="N92" i="1"/>
  <x:c r="N142" i="1"/>
  <x:c r="M129" i="1"/>
  <x:c r="N129" i="1" s="1"/>
  <x:c r="M127" i="1"/>
  <x:c r="N127" i="1" s="1"/>
  <x:c r="M31" i="1"/>
  <x:c r="N31" i="1" s="1"/>
  <x:c r="L113" i="1"/>
  <x:c r="N113" i="1" s="1"/>
  <x:c r="L123" i="1"/>
  <x:c r="N123" i="1" s="1"/>
  <x:c r="M111" i="1"/>
  <x:c r="N111" i="1" s="1"/>
  <x:c r="N138" i="1"/>
  <x:c r="N133" i="1"/>
  <x:c r="N94" i="1"/>
  <x:c r="N82" i="1"/>
  <x:c r="L109" i="1"/>
  <x:c r="N109" i="1" s="1"/>
  <x:c r="N141" i="1"/>
  <x:c r="N102" i="1"/>
  <x:c r="N90" i="1"/>
  <x:c r="N143" i="1"/>
  <x:c r="N100" i="1"/>
  <x:c r="N88" i="1"/>
  <x:c r="M36" i="1"/>
  <x:c r="L36" i="1"/>
  <x:c r="N12" i="1"/>
  <x:c r="N24" i="1"/>
  <x:c r="N32" i="1"/>
  <x:c r="L9" i="1"/>
  <x:c r="N9" i="1" s="1"/>
  <x:c r="M21" i="1"/>
  <x:c r="N21" i="1" s="1"/>
  <x:c r="L28" i="1"/>
  <x:c r="N28" i="1" s="1"/>
  <x:c r="N10" i="1"/>
  <x:c r="N20" i="1"/>
  <x:c r="N16" i="1"/>
  <x:c r="N8" i="1"/>
  <x:c r="N30" i="1"/>
  <x:c r="N26" i="1"/>
  <x:c r="N22" i="1"/>
  <x:c r="N18" i="1"/>
  <x:c r="N14" i="1"/>
  <x:c r="N122" i="1"/>
  <x:c r="N101" i="1"/>
  <x:c r="N99" i="1"/>
  <x:c r="N97" i="1"/>
  <x:c r="N95" i="1"/>
  <x:c r="N93" i="1"/>
  <x:c r="N91" i="1"/>
  <x:c r="N89" i="1"/>
  <x:c r="N87" i="1"/>
  <x:c r="N85" i="1"/>
  <x:c r="N83" i="1"/>
  <x:c r="N81" i="1"/>
  <x:c r="N79" i="1"/>
  <x:c r="N125" i="1"/>
  <x:c r="N121" i="1"/>
  <x:c r="N119" i="1"/>
  <x:c r="N117" i="1"/>
  <x:c r="N105" i="1"/>
  <x:c r="N103" i="1"/>
  <x:c r="N130" i="1"/>
  <x:c r="N128" i="1"/>
  <x:c r="N126" i="1"/>
  <x:c r="N124" i="1"/>
  <x:c r="N120" i="1"/>
  <x:c r="N118" i="1"/>
  <x:c r="N116" i="1"/>
  <x:c r="N114" i="1"/>
  <x:c r="N112" i="1"/>
  <x:c r="N110" i="1"/>
  <x:c r="N108" i="1"/>
  <x:c r="N106" i="1"/>
  <x:c r="N104" i="1"/>
  <x:c r="N11" i="1"/>
  <x:c r="N7" i="1"/>
  <x:c r="N29" i="1"/>
  <x:c r="N25" i="1"/>
  <x:c r="N17" i="1"/>
  <x:c r="N13" i="1"/>
  <x:c r="N77" i="1"/>
  <x:c r="N75" i="1"/>
  <x:c r="N73" i="1"/>
  <x:c r="N71" i="1"/>
  <x:c r="N69" i="1"/>
  <x:c r="N67" i="1"/>
  <x:c r="N65" i="1"/>
  <x:c r="N63" i="1"/>
  <x:c r="N61" i="1"/>
  <x:c r="N59" i="1"/>
  <x:c r="N57" i="1"/>
  <x:c r="N55" i="1"/>
  <x:c r="N53" i="1"/>
  <x:c r="N51" i="1"/>
  <x:c r="N49" i="1"/>
  <x:c r="N47" i="1"/>
  <x:c r="N45" i="1"/>
  <x:c r="N35" i="1"/>
  <x:c r="N27" i="1"/>
  <x:c r="N23" i="1"/>
  <x:c r="N19" i="1"/>
  <x:c r="N15" i="1"/>
  <x:c r="N76" i="1"/>
  <x:c r="N74" i="1"/>
  <x:c r="N72" i="1"/>
  <x:c r="N70" i="1"/>
  <x:c r="N68" i="1"/>
  <x:c r="N64" i="1"/>
  <x:c r="N62" i="1"/>
  <x:c r="N60" i="1"/>
  <x:c r="N58" i="1"/>
  <x:c r="N56" i="1"/>
  <x:c r="N54" i="1"/>
  <x:c r="N52" i="1"/>
  <x:c r="N50" i="1"/>
  <x:c r="N48" i="1"/>
  <x:c r="N46" i="1"/>
  <x:c r="N44" i="1"/>
  <x:c r="M2" i="1"/>
  <x:c r="L2" i="1"/>
  <x:c r="N36" i="1" l="1"/>
  <x:c r="N2" i="1"/>
  <x:c r="C239" i="1" l="1"/>
  <x:c r="C248" i="1"/>
  <x:c r="D248" i="1"/>
  <x:c r="K132" i="1"/>
  <x:c r="K146" i="1"/>
  <x:c r="K147" i="1"/>
  <x:c r="K148" i="1"/>
  <x:c r="K149" i="1"/>
  <x:c r="K150" i="1"/>
  <x:c r="K151" i="1"/>
  <x:c r="K152" i="1"/>
  <x:c r="K153" i="1"/>
  <x:c r="K154" i="1"/>
  <x:c r="K155" i="1"/>
  <x:c r="K156" i="1"/>
  <x:c r="K157" i="1"/>
  <x:c r="K158" i="1"/>
  <x:c r="K159" i="1"/>
  <x:c r="K160" i="1"/>
  <x:c r="K161" i="1"/>
  <x:c r="K162" i="1"/>
  <x:c r="K163" i="1"/>
  <x:c r="K164" i="1"/>
  <x:c r="K165" i="1"/>
  <x:c r="K166" i="1"/>
  <x:c r="K167" i="1"/>
  <x:c r="K168" i="1"/>
  <x:c r="K169" i="1"/>
  <x:c r="K170" i="1"/>
  <x:c r="K171" i="1"/>
  <x:c r="K172" i="1"/>
  <x:c r="K173" i="1"/>
  <x:c r="K174" i="1"/>
  <x:c r="K175" i="1"/>
  <x:c r="K176" i="1"/>
  <x:c r="K177" i="1"/>
  <x:c r="K178" i="1"/>
  <x:c r="K179" i="1"/>
  <x:c r="K180" i="1"/>
  <x:c r="K181" i="1"/>
  <x:c r="K182" i="1"/>
  <x:c r="K183" i="1"/>
  <x:c r="K184" i="1"/>
  <x:c r="K185" i="1"/>
  <x:c r="K186" i="1"/>
  <x:c r="K187" i="1"/>
  <x:c r="K188" i="1"/>
  <x:c r="K189" i="1"/>
  <x:c r="K190" i="1"/>
  <x:c r="K191" i="1"/>
  <x:c r="K192" i="1"/>
  <x:c r="K193" i="1"/>
  <x:c r="K194" i="1"/>
  <x:c r="K195" i="1"/>
  <x:c r="K196" i="1"/>
  <x:c r="K197" i="1"/>
  <x:c r="K198" i="1"/>
  <x:c r="K199" i="1"/>
  <x:c r="K200" i="1"/>
  <x:c r="K201" i="1"/>
  <x:c r="K202" i="1"/>
  <x:c r="K203" i="1"/>
  <x:c r="K204" i="1"/>
  <x:c r="K205" i="1"/>
  <x:c r="K206" i="1"/>
  <x:c r="K207" i="1"/>
  <x:c r="K208" i="1"/>
  <x:c r="K209" i="1"/>
  <x:c r="K210" i="1"/>
  <x:c r="K211" i="1"/>
  <x:c r="K212" i="1"/>
  <x:c r="K213" i="1"/>
  <x:c r="K214" i="1"/>
  <x:c r="K215" i="1"/>
  <x:c r="K216" i="1"/>
  <x:c r="K217" i="1"/>
  <x:c r="K218" i="1"/>
  <x:c r="K219" i="1"/>
  <x:c r="K220" i="1"/>
  <x:c r="K221" i="1"/>
  <x:c r="K222" i="1"/>
  <x:c r="K223" i="1"/>
  <x:c r="K224" i="1"/>
  <x:c r="K225" i="1"/>
  <x:c r="K226" i="1"/>
  <x:c r="K227" i="1"/>
  <x:c r="K228" i="1"/>
  <x:c r="K229" i="1"/>
  <x:c r="K230" i="1"/>
  <x:c r="K231" i="1"/>
  <x:c r="K232" i="1"/>
  <x:c r="K233" i="1"/>
  <x:c r="K234" i="1"/>
  <x:c r="K235" i="1"/>
  <x:c r="K248" i="1" l="1"/>
  <x:c r="M212" i="1"/>
  <x:c r="L212" i="1"/>
  <x:c r="M152" i="1"/>
  <x:c r="L152" i="1"/>
  <x:c r="N152" i="1" s="1"/>
  <x:c r="L223" i="1"/>
  <x:c r="M223" i="1"/>
  <x:c r="N223" i="1" s="1"/>
  <x:c r="L199" i="1"/>
  <x:c r="M199" i="1"/>
  <x:c r="M234" i="1"/>
  <x:c r="L234" i="1"/>
  <x:c r="L198" i="1"/>
  <x:c r="M198" i="1"/>
  <x:c r="L162" i="1"/>
  <x:c r="M162" i="1"/>
  <x:c r="M209" i="1"/>
  <x:c r="L209" i="1"/>
  <x:c r="M149" i="1"/>
  <x:c r="L149" i="1"/>
  <x:c r="L208" i="1"/>
  <x:c r="M208" i="1"/>
  <x:c r="L172" i="1"/>
  <x:c r="M172" i="1"/>
  <x:c r="L148" i="1"/>
  <x:c r="M148" i="1"/>
  <x:c r="M231" i="1"/>
  <x:c r="L231" i="1"/>
  <x:c r="M219" i="1"/>
  <x:c r="L219" i="1"/>
  <x:c r="M207" i="1"/>
  <x:c r="L207" i="1"/>
  <x:c r="M195" i="1"/>
  <x:c r="L195" i="1"/>
  <x:c r="M183" i="1"/>
  <x:c r="L183" i="1"/>
  <x:c r="M171" i="1"/>
  <x:c r="L171" i="1"/>
  <x:c r="M159" i="1"/>
  <x:c r="L159" i="1"/>
  <x:c r="M147" i="1"/>
  <x:c r="L147" i="1"/>
  <x:c r="L188" i="1"/>
  <x:c r="M188" i="1"/>
  <x:c r="N188" i="1" s="1"/>
  <x:c r="L163" i="1"/>
  <x:c r="M163" i="1"/>
  <x:c r="L186" i="1"/>
  <x:c r="M186" i="1"/>
  <x:c r="M173" i="1"/>
  <x:c r="L173" i="1"/>
  <x:c r="L146" i="1"/>
  <x:c r="M146" i="1"/>
  <x:c r="M176" i="1"/>
  <x:c r="L176" i="1"/>
  <x:c r="L175" i="1"/>
  <x:c r="M175" i="1"/>
  <x:c r="L150" i="1"/>
  <x:c r="M150" i="1"/>
  <x:c r="L232" i="1"/>
  <x:c r="M232" i="1"/>
  <x:c r="L157" i="1"/>
  <x:c r="M157" i="1"/>
  <x:c r="M164" i="1"/>
  <x:c r="L164" i="1"/>
  <x:c r="L187" i="1"/>
  <x:c r="M187" i="1"/>
  <x:c r="L210" i="1"/>
  <x:c r="M210" i="1"/>
  <x:c r="M233" i="1"/>
  <x:c r="L233" i="1"/>
  <x:c r="M185" i="1"/>
  <x:c r="L185" i="1"/>
  <x:c r="L184" i="1"/>
  <x:c r="M184" i="1"/>
  <x:c r="M206" i="1"/>
  <x:c r="L206" i="1"/>
  <x:c r="M158" i="1"/>
  <x:c r="L158" i="1"/>
  <x:c r="N158" i="1" s="1"/>
  <x:c r="L181" i="1"/>
  <x:c r="M181" i="1"/>
  <x:c r="M228" i="1"/>
  <x:c r="L228" i="1"/>
  <x:c r="M227" i="1"/>
  <x:c r="L227" i="1"/>
  <x:c r="M224" i="1"/>
  <x:c r="L224" i="1"/>
  <x:c r="M200" i="1"/>
  <x:c r="L200" i="1"/>
  <x:c r="L235" i="1"/>
  <x:c r="M235" i="1"/>
  <x:c r="N235" i="1" s="1"/>
  <x:c r="L211" i="1"/>
  <x:c r="M211" i="1"/>
  <x:c r="L151" i="1"/>
  <x:c r="M151" i="1"/>
  <x:c r="M222" i="1"/>
  <x:c r="L222" i="1"/>
  <x:c r="N222" i="1" s="1"/>
  <x:c r="L174" i="1"/>
  <x:c r="M174" i="1"/>
  <x:c r="M221" i="1"/>
  <x:c r="L221" i="1"/>
  <x:c r="M197" i="1"/>
  <x:c r="L197" i="1"/>
  <x:c r="M161" i="1"/>
  <x:c r="L161" i="1"/>
  <x:c r="L220" i="1"/>
  <x:c r="M220" i="1"/>
  <x:c r="L196" i="1"/>
  <x:c r="M196" i="1"/>
  <x:c r="M160" i="1"/>
  <x:c r="L160" i="1"/>
  <x:c r="M230" i="1"/>
  <x:c r="L230" i="1"/>
  <x:c r="L218" i="1"/>
  <x:c r="M218" i="1"/>
  <x:c r="N218" i="1" s="1"/>
  <x:c r="M194" i="1"/>
  <x:c r="L194" i="1"/>
  <x:c r="M182" i="1"/>
  <x:c r="L182" i="1"/>
  <x:c r="M170" i="1"/>
  <x:c r="L170" i="1"/>
  <x:c r="N170" i="1" s="1"/>
  <x:c r="L229" i="1"/>
  <x:c r="M229" i="1"/>
  <x:c r="L217" i="1"/>
  <x:c r="M217" i="1"/>
  <x:c r="L205" i="1"/>
  <x:c r="M205" i="1"/>
  <x:c r="L193" i="1"/>
  <x:c r="M193" i="1"/>
  <x:c r="L169" i="1"/>
  <x:c r="M169" i="1"/>
  <x:c r="L132" i="1"/>
  <x:c r="M132" i="1"/>
  <x:c r="L216" i="1"/>
  <x:c r="M216" i="1"/>
  <x:c r="L204" i="1"/>
  <x:c r="M204" i="1"/>
  <x:c r="L192" i="1"/>
  <x:c r="M192" i="1"/>
  <x:c r="N192" i="1" s="1"/>
  <x:c r="L180" i="1"/>
  <x:c r="M180" i="1"/>
  <x:c r="N180" i="1" s="1"/>
  <x:c r="L168" i="1"/>
  <x:c r="M168" i="1"/>
  <x:c r="L156" i="1"/>
  <x:c r="M156" i="1"/>
  <x:c r="M215" i="1"/>
  <x:c r="L215" i="1"/>
  <x:c r="M203" i="1"/>
  <x:c r="L203" i="1"/>
  <x:c r="M191" i="1"/>
  <x:c r="L191" i="1"/>
  <x:c r="M179" i="1"/>
  <x:c r="L179" i="1"/>
  <x:c r="M167" i="1"/>
  <x:c r="L167" i="1"/>
  <x:c r="M155" i="1"/>
  <x:c r="L155" i="1"/>
  <x:c r="L226" i="1"/>
  <x:c r="M226" i="1"/>
  <x:c r="L214" i="1"/>
  <x:c r="M214" i="1"/>
  <x:c r="M202" i="1"/>
  <x:c r="L202" i="1"/>
  <x:c r="N202" i="1" s="1"/>
  <x:c r="L190" i="1"/>
  <x:c r="M190" i="1"/>
  <x:c r="M178" i="1"/>
  <x:c r="L178" i="1"/>
  <x:c r="M166" i="1"/>
  <x:c r="L166" i="1"/>
  <x:c r="N166" i="1" s="1"/>
  <x:c r="M154" i="1"/>
  <x:c r="L154" i="1"/>
  <x:c r="M225" i="1"/>
  <x:c r="L225" i="1"/>
  <x:c r="M213" i="1"/>
  <x:c r="L213" i="1"/>
  <x:c r="N213" i="1" s="1"/>
  <x:c r="M201" i="1"/>
  <x:c r="L201" i="1"/>
  <x:c r="M189" i="1"/>
  <x:c r="L189" i="1"/>
  <x:c r="M177" i="1"/>
  <x:c r="L177" i="1"/>
  <x:c r="M165" i="1"/>
  <x:c r="L165" i="1"/>
  <x:c r="M153" i="1"/>
  <x:c r="L153" i="1"/>
  <x:c r="N176" i="1" l="1"/>
  <x:c r="N154" i="1"/>
  <x:c r="N215" i="1"/>
  <x:c r="N160" i="1"/>
  <x:c r="N224" i="1"/>
  <x:c r="N219" i="1"/>
  <x:c r="N178" i="1"/>
  <x:c r="N210" i="1"/>
  <x:c r="N162" i="1"/>
  <x:c r="N220" i="1"/>
  <x:c r="N150" i="1"/>
  <x:c r="N190" i="1"/>
  <x:c r="N194" i="1"/>
  <x:c r="N172" i="1"/>
  <x:c r="N196" i="1"/>
  <x:c r="N232" i="1"/>
  <x:c r="N186" i="1"/>
  <x:c r="N182" i="1"/>
  <x:c r="N228" i="1"/>
  <x:c r="N233" i="1"/>
  <x:c r="N208" i="1"/>
  <x:c r="N221" i="1"/>
  <x:c r="N200" i="1"/>
  <x:c r="N231" i="1"/>
  <x:c r="N227" i="1"/>
  <x:c r="N234" i="1"/>
  <x:c r="N226" i="1"/>
  <x:c r="N174" i="1"/>
  <x:c r="N156" i="1"/>
  <x:c r="N168" i="1"/>
  <x:c r="N229" i="1"/>
  <x:c r="N198" i="1"/>
  <x:c r="N184" i="1"/>
  <x:c r="N216" i="1"/>
  <x:c r="N225" i="1"/>
  <x:c r="N214" i="1"/>
  <x:c r="N204" i="1"/>
  <x:c r="N217" i="1"/>
  <x:c r="N230" i="1"/>
  <x:c r="N206" i="1"/>
  <x:c r="N164" i="1"/>
  <x:c r="N212" i="1"/>
  <x:c r="N185" i="1"/>
  <x:c r="N146" i="1"/>
  <x:c r="N148" i="1"/>
  <x:c r="N132" i="1"/>
  <x:c r="N147" i="1"/>
  <x:c r="N149" i="1"/>
  <x:c r="N151" i="1"/>
  <x:c r="N153" i="1"/>
  <x:c r="N155" i="1"/>
  <x:c r="N157" i="1"/>
  <x:c r="N159" i="1"/>
  <x:c r="N161" i="1"/>
  <x:c r="N163" i="1"/>
  <x:c r="N165" i="1"/>
  <x:c r="N167" i="1"/>
  <x:c r="N169" i="1"/>
  <x:c r="N171" i="1"/>
  <x:c r="N173" i="1"/>
  <x:c r="N175" i="1"/>
  <x:c r="N177" i="1"/>
  <x:c r="N179" i="1"/>
  <x:c r="N181" i="1"/>
  <x:c r="N183" i="1"/>
  <x:c r="N187" i="1"/>
  <x:c r="N189" i="1"/>
  <x:c r="N191" i="1"/>
  <x:c r="N193" i="1"/>
  <x:c r="N195" i="1"/>
  <x:c r="N197" i="1"/>
  <x:c r="N199" i="1"/>
  <x:c r="N201" i="1"/>
  <x:c r="N203" i="1"/>
  <x:c r="N205" i="1"/>
  <x:c r="N207" i="1"/>
  <x:c r="N209" i="1"/>
  <x:c r="N211" i="1"/>
  <x:c r="M248" i="1"/>
  <x:c r="N248" i="1" l="1"/>
  <x:c r="L248" i="1"/>
</x:calcChain>
</file>

<file path=xl/sharedStrings.xml><?xml version="1.0" encoding="utf-8"?>
<sst xmlns="http://schemas.openxmlformats.org/spreadsheetml/2006/main" count="487" uniqueCount="125">
  <si>
    <t>360</t>
  </si>
  <si>
    <t>1966</t>
  </si>
  <si>
    <t>1981</t>
  </si>
  <si>
    <t>1986</t>
  </si>
  <si>
    <t>1987</t>
  </si>
  <si>
    <t>1988</t>
  </si>
  <si>
    <t>1989</t>
  </si>
  <si>
    <t>1991</t>
  </si>
  <si>
    <t>1993</t>
  </si>
  <si>
    <t>2000</t>
  </si>
  <si>
    <t>2001</t>
  </si>
  <si>
    <t>2002</t>
  </si>
  <si>
    <t>2004</t>
  </si>
  <si>
    <t>2005</t>
  </si>
  <si>
    <t>2006</t>
  </si>
  <si>
    <t>2007</t>
  </si>
  <si>
    <t>2008</t>
  </si>
  <si>
    <t>2009</t>
  </si>
  <si>
    <t>2010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</si>
  <si>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</si>
  <si>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</si>
  <si>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</si>
  <si>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</si>
  <si>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</si>
  <si>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</si>
  <si>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</si>
  <si>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</si>
  <si>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</si>
  <si>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</si>
  <si>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361</t>
  </si>
  <si>
    <t>1900</t>
  </si>
  <si>
    <t>1914</t>
  </si>
  <si>
    <t>1917</t>
  </si>
  <si>
    <t>1920</t>
  </si>
  <si>
    <t>1921</t>
  </si>
  <si>
    <t>1924</t>
  </si>
  <si>
    <t>1925</t>
  </si>
  <si>
    <t>1926</t>
  </si>
  <si>
    <t>1927</t>
  </si>
  <si>
    <t>1928</t>
  </si>
  <si>
    <t>1929</t>
  </si>
  <si>
    <t>1930</t>
  </si>
  <si>
    <t>1938</t>
  </si>
  <si>
    <t>1939</t>
  </si>
  <si>
    <t>1940</t>
  </si>
  <si>
    <t>1941</t>
  </si>
  <si>
    <t>1942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</si>
  <si>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</si>
  <si>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</si>
  <si>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</si>
  <si>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</si>
  <si>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</si>
  <si>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</si>
  <si>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</si>
  <si>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</si>
  <si>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</si>
  <si>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</si>
  <si>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</si>
  <si>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</si>
  <si>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</si>
  <si>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</si>
  <si>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</si>
  <si>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</si>
  <si>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</si>
  <si>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</si>
  <si>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</si>
  <si>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</si>
  <si>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</si>
  <si>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</si>
  <si>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</si>
  <si>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</si>
  <si>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</si>
  <si>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</si>
  <si>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</si>
  <si>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</si>
  <si>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</si>
  <si>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</si>
  <si>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</si>
  <si>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</si>
  <si>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</si>
  <si>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</si>
  <si>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</si>
  <si>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1982</t>
  </si>
  <si>
    <t>1983</t>
  </si>
  <si>
    <t>1984</t>
  </si>
  <si>
    <t>1985</t>
  </si>
  <si>
    <t>1990</t>
  </si>
  <si>
    <t>1992</t>
  </si>
  <si>
    <t>1994</t>
  </si>
  <si>
    <t>1995</t>
  </si>
  <si>
    <t>1996</t>
  </si>
  <si>
    <t>1997</t>
  </si>
  <si>
    <t>1998</t>
  </si>
  <si>
    <t>1999</t>
  </si>
  <si>
    <t>2003</t>
  </si>
  <si>
    <t>2011</t>
  </si>
  <si>
    <t>362</t>
  </si>
  <si>
    <t>1919</t>
  </si>
  <si>
    <t>1931</t>
  </si>
  <si>
    <t>1934</t>
  </si>
  <si>
    <t>1936</t>
  </si>
  <si>
    <t>1937</t>
  </si>
  <si>
    <t>1943</t>
  </si>
  <si>
    <t>1944</t>
  </si>
  <si>
    <t>DIST</t>
  </si>
  <si>
    <t>TRAN</t>
  </si>
  <si>
    <t>Grand Total</t>
  </si>
  <si>
    <t>Accr</t>
  </si>
  <si>
    <t>Vintage</t>
  </si>
  <si>
    <t>ASL</t>
  </si>
  <si>
    <t xml:space="preserve">RL </t>
  </si>
  <si>
    <t>Net Salvage</t>
  </si>
  <si>
    <t>360 Total</t>
  </si>
  <si>
    <t>361 Total</t>
  </si>
  <si>
    <t>362 Total</t>
  </si>
  <si>
    <t>Theo Res</t>
  </si>
  <si>
    <t>Prorate</t>
  </si>
  <si>
    <t>Alloc Reserve</t>
  </si>
  <si>
    <t xml:space="preserve"> </t>
  </si>
  <si>
    <t>Total</t>
  </si>
  <si>
    <t>2024</t>
  </si>
  <si>
    <t>2023</t>
  </si>
  <si>
    <t>2022</t>
  </si>
  <si>
    <t>1908</t>
  </si>
  <si>
    <t>1901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</si>
</sst>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43" fontId="2" fillId="0" borderId="0" xfId="1" applyFont="1"/>
    <xf numFmtId="43" fontId="2" fillId="0" borderId="0" xfId="0" applyNumberFormat="1" applyFont="1"/>
    <xf numFmtId="0" fontId="3" fillId="0" borderId="0" xfId="0" applyFont="1"/>
    <xf numFmtId="43" fontId="3" fillId="0" borderId="0" xfId="1" applyFont="1"/>
    <xf numFmtId="43" fontId="2" fillId="0" borderId="0" xfId="0" applyNumberFormat="1" applyFont="1" applyFill="1"/>
    <xf numFmtId="43" fontId="2" fillId="0" borderId="0" xfId="1" applyFont="1" applyFill="1"/>
    <xf numFmtId="0" fontId="2" fillId="0" borderId="0" xfId="0" applyFont="1" applyFill="1"/>
    <xf numFmtId="10" fontId="2" fillId="0" borderId="0" xfId="0" applyNumberFormat="1" applyFont="1"/>
    <xf numFmtId="10" fontId="2" fillId="0" borderId="0" xfId="0" applyNumberFormat="1" applyFont="1" applyFill="1"/>
    <xf numFmtId="43" fontId="3" fillId="0" borderId="0" xfId="1" applyFont="1" applyFill="1"/>
    <xf numFmtId="44" fontId="2" fillId="0" borderId="0" xfId="2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5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xlrd2="http://schemas.microsoft.com/office/spreadsheetml/2017/richdata2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828C137-ECDB-4821-A2F5-86671C10233C}" mc:Ignorable="x14ac xr xr2 xr3">
  <x:dimension ref="A1:P248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ColWidth="9.125" defaultRowHeight="15.65" outlineLevelRow="2" x14ac:dyDescent="0.25"/>
  <x:cols>
    <x:col min="1" max="1" width="14.125" style="1" bestFit="1" customWidth="1"/>
    <x:col min="2" max="2" width="9.625" style="1" bestFit="1" customWidth="1"/>
    <x:col min="3" max="4" width="20.75" style="2" customWidth="1"/>
    <x:col min="5" max="5" width="18.875" style="2" customWidth="1"/>
    <x:col min="6" max="6" width="19.625" style="1" bestFit="1" customWidth="1"/>
    <x:col min="7" max="7" width="12.875" style="1" bestFit="1" customWidth="1"/>
    <x:col min="8" max="8" width="23.125" style="1" customWidth="1"/>
    <x:col min="9" max="9" width="18.875" style="2" bestFit="1" customWidth="1"/>
    <x:col min="10" max="10" width="28.125" style="1" customWidth="1"/>
    <x:col min="11" max="11" width="18.875" style="7" bestFit="1" customWidth="1"/>
    <x:col min="12" max="12" width="23.875" style="7" customWidth="1"/>
    <x:col min="13" max="13" width="18.875" style="7" bestFit="1" customWidth="1"/>
    <x:col min="14" max="14" width="20.75" style="7" bestFit="1" customWidth="1"/>
    <x:col min="15" max="15" width="18.875" style="1" bestFit="1" customWidth="1"/>
    <x:col min="16" max="16384" width="9.125" style="1"/>
  </x:cols>
  <x:sheetData>
    <x:row r="1" spans="1:14" s="4" customFormat="1" x14ac:dyDescent="0.25">
      <x:c r="A1" s="4" t="s">
        <x:v>107</x:v>
      </x:c>
      <x:c r="B1" s="4" t="s">
        <x:v>108</x:v>
      </x:c>
      <x:c r="C1" s="5" t="s">
        <x:v>106</x:v>
      </x:c>
      <x:c r="D1" s="5" t="s">
        <x:v>104</x:v>
      </x:c>
      <x:c r="E1" s="5" t="s">
        <x:v>105</x:v>
      </x:c>
      <x:c r="F1" s="4" t="s">
        <x:v>109</x:v>
      </x:c>
      <x:c r="G1" s="4" t="s">
        <x:v>110</x:v>
      </x:c>
      <x:c r="H1" s="4" t="s">
        <x:v>111</x:v>
      </x:c>
      <x:c r="I1" s="5" t="s">
        <x:v>115</x:v>
      </x:c>
      <x:c r="J1" s="4" t="s">
        <x:v>116</x:v>
      </x:c>
      <x:c r="K1" s="11" t="s">
        <x:v>117</x:v>
      </x:c>
      <x:c r="L1" s="11" t="s">
        <x:v>104</x:v>
      </x:c>
      <x:c r="M1" s="11" t="s">
        <x:v>105</x:v>
      </x:c>
      <x:c r="N1" s="11" t="s">
        <x:v>119</x:v>
      </x:c>
    </x:row>
    <x:row r="2" spans="1:14" outlineLevel="2" x14ac:dyDescent="0.25">
      <x:c r="A2" s="1" t="s">
        <x:v>0</x:v>
      </x:c>
      <x:c r="B2" s="1" t="s">
        <x:v>120</x:v>
      </x:c>
      <x:c r="C2" s="2">
        <x:v>2779277.5500000003</x:v>
      </x:c>
      <x:c r="D2" s="2">
        <x:v>2668458.7959094737</x:v>
      </x:c>
      <x:c r="E2" s="2">
        <x:v>110818.75409052651</x:v>
      </x:c>
      <x:c r="F2" s="1">
        <x:v>70</x:v>
      </x:c>
      <x:c r="G2" s="1">
        <x:v>69.507712999999995</x:v>
      </x:c>
      <x:c r="H2" s="9">
        <x:v>0</x:v>
      </x:c>
      <x:c r="I2" s="2">
        <x:f t="shared" ref="I2:I32" si="0">+C2*(1-H2)*(1-G2/F2)</x:f>
        <x:v>19545.745817955052</x:v>
      </x:c>
      <x:c r="J2" s="3">
        <x:v>1.0503428074696788</x:v>
      </x:c>
      <x:c r="K2" s="7">
        <x:f t="shared" ref="K2:K32" si="1">IF((C2*(1-H2)-I2*J2)&lt;0,C2*(1-H2),I2*J2)</x:f>
        <x:v>20529.733536519641</x:v>
      </x:c>
      <x:c r="L2" s="7">
        <x:f t="shared" ref="L2:L32" si="2">+D2/$C2*$K2</x:f>
        <x:v>19711.146888947285</x:v>
      </x:c>
      <x:c r="M2" s="7">
        <x:f t="shared" ref="M2:M32" si="3">+E2/$C2*$K2</x:f>
        <x:v>818.58664757235385</x:v>
      </x:c>
      <x:c r="N2" s="7">
        <x:f t="shared" ref="N2:N76" si="4">+L2+M2</x:f>
        <x:v>20529.733536519638</x:v>
      </x:c>
    </x:row>
    <x:row r="3" spans="1:14" outlineLevel="2" x14ac:dyDescent="0.25">
      <x:c r="A3" s="1" t="s">
        <x:v>0</x:v>
      </x:c>
      <x:c r="B3" s="1" t="s">
        <x:v>121</x:v>
      </x:c>
      <x:c r="C3" s="2">
        <x:v>481234.68</x:v>
      </x:c>
      <x:c r="D3" s="2">
        <x:v>342769.46166893269</x:v>
      </x:c>
      <x:c r="E3" s="2">
        <x:v>138465.2183310673</x:v>
      </x:c>
      <x:c r="F3" s="1">
        <x:v>70</x:v>
      </x:c>
      <x:c r="G3" s="1">
        <x:v>68.524195000000006</x:v>
      </x:c>
      <x:c r="H3" s="9">
        <x:v>0</x:v>
      </x:c>
      <x:c r="I3" s="2">
        <x:f t="shared" si="0"/>
        <x:v>10145.836384534232</x:v>
      </x:c>
      <x:c r="J3" s="3">
        <x:v>1.0503428074696788</x:v>
      </x:c>
      <x:c r="K3" s="7">
        <x:f t="shared" si="1"/>
        <x:v>10656.6062722597</x:v>
      </x:c>
      <x:c r="L3" s="7">
        <x:f t="shared" si="2"/>
        <x:v>7590.3906076765479</x:v>
      </x:c>
      <x:c r="M3" s="7">
        <x:f t="shared" si="3"/>
        <x:v>3066.2156645831519</x:v>
      </x:c>
      <x:c r="N3" s="7">
        <x:f t="shared" ref="N3:N6" si="5">+L3+M3</x:f>
        <x:v>10656.6062722597</x:v>
      </x:c>
    </x:row>
    <x:row r="4" spans="1:14" outlineLevel="2" x14ac:dyDescent="0.25">
      <x:c r="A4" s="1" t="s">
        <x:v>0</x:v>
      </x:c>
      <x:c r="B4" s="1" t="s">
        <x:v>122</x:v>
      </x:c>
      <x:c r="C4" s="2">
        <x:v>833788.08999999985</x:v>
      </x:c>
      <x:c r="D4" s="2">
        <x:v>413148.88095822872</x:v>
      </x:c>
      <x:c r="E4" s="2">
        <x:v>420639.20904177119</x:v>
      </x:c>
      <x:c r="F4" s="1">
        <x:v>70</x:v>
      </x:c>
      <x:c r="G4" s="1">
        <x:v>67.542586999999997</x:v>
      </x:c>
      <x:c r="H4" s="9">
        <x:v>0</x:v>
      </x:c>
      <x:c r="I4" s="2">
        <x:f t="shared" si="0"/>
        <x:v>29270.881308731015</x:v>
      </x:c>
      <x:c r="J4" s="3">
        <x:v>1.0503428074696788</x:v>
      </x:c>
      <x:c r="K4" s="7">
        <x:f t="shared" si="1"/>
        <x:v>30744.45965092428</x:v>
      </x:c>
      <x:c r="L4" s="7">
        <x:f t="shared" si="2"/>
        <x:v>15234.133531992264</x:v>
      </x:c>
      <x:c r="M4" s="7">
        <x:f t="shared" si="3"/>
        <x:v>15510.326118932018</x:v>
      </x:c>
      <x:c r="N4" s="7">
        <x:f t="shared" si="5"/>
        <x:v>30744.459650924284</x:v>
      </x:c>
    </x:row>
    <x:row r="5" spans="1:14" outlineLevel="2" x14ac:dyDescent="0.25">
      <x:c r="A5" s="1" t="s">
        <x:v>0</x:v>
      </x:c>
      <x:c r="B5" s="1" t="s">
        <x:v>28</x:v>
      </x:c>
      <x:c r="C5" s="2">
        <x:v>1389440.63</x:v>
      </x:c>
      <x:c r="D5" s="2">
        <x:v>716672.70623035636</x:v>
      </x:c>
      <x:c r="E5" s="2">
        <x:v>672767.92376964365</x:v>
      </x:c>
      <x:c r="F5" s="1">
        <x:v>70</x:v>
      </x:c>
      <x:c r="G5" s="1">
        <x:v>66.562736000000001</x:v>
      </x:c>
      <x:c r="H5" s="9">
        <x:v>0</x:v>
      </x:c>
      <x:c r="I5" s="2">
        <x:f t="shared" si="0"/>
        <x:v>68226.775109090187</x:v>
      </x:c>
      <x:c r="J5" s="3">
        <x:v>1.0503428074696788</x:v>
      </x:c>
      <x:c r="K5" s="7">
        <x:f t="shared" si="1"/>
        <x:v>71661.502512684194</x:v>
      </x:c>
      <x:c r="L5" s="7">
        <x:f t="shared" si="2"/>
        <x:v>36962.963245359293</x:v>
      </x:c>
      <x:c r="M5" s="7">
        <x:f t="shared" si="3"/>
        <x:v>34698.539267324901</x:v>
      </x:c>
      <x:c r="N5" s="7">
        <x:f t="shared" si="5"/>
        <x:v>71661.502512684194</x:v>
      </x:c>
    </x:row>
    <x:row r="6" spans="1:14" outlineLevel="2" x14ac:dyDescent="0.25">
      <x:c r="A6" s="1" t="s">
        <x:v>0</x:v>
      </x:c>
      <x:c r="B6" s="1" t="s">
        <x:v>27</x:v>
      </x:c>
      <x:c r="C6" s="2">
        <x:v>955758.02</x:v>
      </x:c>
      <x:c r="D6" s="2">
        <x:v>724602.4208339497</x:v>
      </x:c>
      <x:c r="E6" s="2">
        <x:v>231155.59916605038</x:v>
      </x:c>
      <x:c r="F6" s="1">
        <x:v>70</x:v>
      </x:c>
      <x:c r="G6" s="1">
        <x:v>65.585267000000002</x:v>
      </x:c>
      <x:c r="H6" s="9">
        <x:v>0</x:v>
      </x:c>
      <x:c r="I6" s="2">
        <x:f t="shared" si="0"/>
        <x:v>60277.378155837992</x:v>
      </x:c>
      <x:c r="J6" s="3">
        <x:v>1.0503428074696788</x:v>
      </x:c>
      <x:c r="K6" s="7">
        <x:f t="shared" si="1"/>
        <x:v>63311.910599114366</x:v>
      </x:c>
      <x:c r="L6" s="7">
        <x:f t="shared" si="2"/>
        <x:v>47999.559227073885</x:v>
      </x:c>
      <x:c r="M6" s="7">
        <x:f t="shared" si="3"/>
        <x:v>15312.351372040484</x:v>
      </x:c>
      <x:c r="N6" s="7">
        <x:f t="shared" si="5"/>
        <x:v>63311.910599114373</x:v>
      </x:c>
    </x:row>
    <x:row r="7" spans="1:14" outlineLevel="2" x14ac:dyDescent="0.25">
      <x:c r="A7" s="1" t="s">
        <x:v>0</x:v>
      </x:c>
      <x:c r="B7" s="1" t="s">
        <x:v>26</x:v>
      </x:c>
      <x:c r="C7" s="2">
        <x:v>755360.21</x:v>
      </x:c>
      <x:c r="D7" s="2">
        <x:v>530988.29698644846</x:v>
      </x:c>
      <x:c r="E7" s="2">
        <x:v>224371.91301355156</x:v>
      </x:c>
      <x:c r="F7" s="1">
        <x:v>70</x:v>
      </x:c>
      <x:c r="G7" s="1">
        <x:v>64.609823000000006</x:v>
      </x:c>
      <x:c r="H7" s="9">
        <x:v>0</x:v>
      </x:c>
      <x:c r="I7" s="2">
        <x:f t="shared" si="0"/>
        <x:v>58164.646152245252</x:v>
      </x:c>
      <x:c r="J7" s="3">
        <x:v>1.0503428074696788</x:v>
      </x:c>
      <x:c r="K7" s="7">
        <x:f t="shared" si="1"/>
        <x:v>61092.817735029726</x:v>
      </x:c>
      <x:c r="L7" s="7">
        <x:f t="shared" si="2"/>
        <x:v>42945.830105648442</x:v>
      </x:c>
      <x:c r="M7" s="7">
        <x:f t="shared" si="3"/>
        <x:v>18146.987629381285</x:v>
      </x:c>
      <x:c r="N7" s="7">
        <x:f t="shared" si="4"/>
        <x:v>61092.817735029726</x:v>
      </x:c>
    </x:row>
    <x:row r="8" spans="1:14" outlineLevel="2" x14ac:dyDescent="0.25">
      <x:c r="A8" s="1" t="s">
        <x:v>0</x:v>
      </x:c>
      <x:c r="B8" s="1" t="s">
        <x:v>25</x:v>
      </x:c>
      <x:c r="C8" s="2">
        <x:v>260016.44</x:v>
      </x:c>
      <x:c r="D8" s="2">
        <x:v>214513.6909662151</x:v>
      </x:c>
      <x:c r="E8" s="2">
        <x:v>45502.749033784901</x:v>
      </x:c>
      <x:c r="F8" s="1">
        <x:v>70</x:v>
      </x:c>
      <x:c r="G8" s="1">
        <x:v>63.636930999999997</x:v>
      </x:c>
      <x:c r="H8" s="9">
        <x:v>0</x:v>
      </x:c>
      <x:c r="I8" s="2">
        <x:f t="shared" si="0"/>
        <x:v>23635.750697919433</x:v>
      </x:c>
      <x:c r="J8" s="3">
        <x:v>1.0503428074696788</x:v>
      </x:c>
      <x:c r="K8" s="7">
        <x:f t="shared" si="1"/>
        <x:v>24825.640744706117</x:v>
      </x:c>
      <x:c r="L8" s="7">
        <x:f t="shared" si="2"/>
        <x:v>20481.165832238017</x:v>
      </x:c>
      <x:c r="M8" s="7">
        <x:f t="shared" si="3"/>
        <x:v>4344.4749124681011</x:v>
      </x:c>
      <x:c r="N8" s="7">
        <x:f t="shared" si="4"/>
        <x:v>24825.640744706117</x:v>
      </x:c>
    </x:row>
    <x:row r="9" spans="1:14" outlineLevel="2" x14ac:dyDescent="0.25">
      <x:c r="A9" s="1" t="s">
        <x:v>0</x:v>
      </x:c>
      <x:c r="B9" s="1" t="s">
        <x:v>24</x:v>
      </x:c>
      <x:c r="C9" s="2">
        <x:v>108744.9</x:v>
      </x:c>
      <x:c r="D9" s="2">
        <x:v>81650.274622830053</x:v>
      </x:c>
      <x:c r="E9" s="2">
        <x:v>27094.625377169945</x:v>
      </x:c>
      <x:c r="F9" s="1">
        <x:v>70</x:v>
      </x:c>
      <x:c r="G9" s="1">
        <x:v>62.666553999999998</x:v>
      </x:c>
      <x:c r="H9" s="9">
        <x:v>0</x:v>
      </x:c>
      <x:c r="I9" s="2">
        <x:f t="shared" si="0"/>
        <x:v>11392.497884648572</x:v>
      </x:c>
      <x:c r="J9" s="3">
        <x:v>1.0503428074696788</x:v>
      </x:c>
      <x:c r="K9" s="7">
        <x:f t="shared" si="1"/>
        <x:v>11966.028212254158</x:v>
      </x:c>
      <x:c r="L9" s="7">
        <x:f t="shared" si="2"/>
        <x:v>8984.6005621880577</x:v>
      </x:c>
      <x:c r="M9" s="7">
        <x:f t="shared" si="3"/>
        <x:v>2981.4276500660999</x:v>
      </x:c>
      <x:c r="N9" s="7">
        <x:f t="shared" si="4"/>
        <x:v>11966.028212254158</x:v>
      </x:c>
    </x:row>
    <x:row r="10" spans="1:14" outlineLevel="2" x14ac:dyDescent="0.25">
      <x:c r="A10" s="1" t="s">
        <x:v>0</x:v>
      </x:c>
      <x:c r="B10" s="1" t="s">
        <x:v>23</x:v>
      </x:c>
      <x:c r="C10" s="2">
        <x:v>345016.64</x:v>
      </x:c>
      <x:c r="D10" s="2">
        <x:v>230896.09539636684</x:v>
      </x:c>
      <x:c r="E10" s="2">
        <x:v>114120.54460363317</x:v>
      </x:c>
      <x:c r="F10" s="1">
        <x:v>70</x:v>
      </x:c>
      <x:c r="G10" s="1">
        <x:v>61.698855000000002</x:v>
      </x:c>
      <x:c r="H10" s="9">
        <x:v>0</x:v>
      </x:c>
      <x:c r="I10" s="2">
        <x:f t="shared" si="0"/>
        <x:v>40914.759372182867</x:v>
      </x:c>
      <x:c r="J10" s="3">
        <x:v>1.0503428074696788</x:v>
      </x:c>
      <x:c r="K10" s="7">
        <x:f t="shared" si="1"/>
        <x:v>42974.523225924902</x:v>
      </x:c>
      <x:c r="L10" s="7">
        <x:f t="shared" si="2"/>
        <x:v>28759.91608516777</x:v>
      </x:c>
      <x:c r="M10" s="7">
        <x:f t="shared" si="3"/>
        <x:v>14214.607140757131</x:v>
      </x:c>
      <x:c r="N10" s="7">
        <x:f t="shared" si="4"/>
        <x:v>42974.523225924902</x:v>
      </x:c>
    </x:row>
    <x:row r="11" spans="1:14" outlineLevel="2" x14ac:dyDescent="0.25">
      <x:c r="A11" s="1" t="s">
        <x:v>0</x:v>
      </x:c>
      <x:c r="B11" s="1" t="s">
        <x:v>22</x:v>
      </x:c>
      <x:c r="C11" s="2">
        <x:v>29902.269999999997</x:v>
      </x:c>
      <x:c r="D11" s="2">
        <x:v>22276.202299276178</x:v>
      </x:c>
      <x:c r="E11" s="2">
        <x:v>7626.0677007238191</x:v>
      </x:c>
      <x:c r="F11" s="1">
        <x:v>70</x:v>
      </x:c>
      <x:c r="G11" s="1">
        <x:v>60.734226999999997</x:v>
      </x:c>
      <x:c r="H11" s="9">
        <x:v>0</x:v>
      </x:c>
      <x:c r="I11" s="2">
        <x:f t="shared" si="0"/>
        <x:v>3958.1092286387156</x:v>
      </x:c>
      <x:c r="J11" s="3">
        <x:f t="shared" ref="J11:J31" si="6">$J$32</x:f>
        <x:v>1.0505584261759435</x:v>
      </x:c>
      <x:c r="K11" s="7">
        <x:f t="shared" si="1"/>
        <x:v>4158.2250018711666</x:v>
      </x:c>
      <x:c r="L11" s="7">
        <x:f t="shared" si="2"/>
        <x:v>3097.7401163052232</x:v>
      </x:c>
      <x:c r="M11" s="7">
        <x:f t="shared" si="3"/>
        <x:v>1060.4848855659436</x:v>
      </x:c>
      <x:c r="N11" s="7">
        <x:f t="shared" si="4"/>
        <x:v>4158.2250018711666</x:v>
      </x:c>
    </x:row>
    <x:row r="12" spans="1:14" outlineLevel="2" x14ac:dyDescent="0.25">
      <x:c r="A12" s="1" t="s">
        <x:v>0</x:v>
      </x:c>
      <x:c r="B12" s="1" t="s">
        <x:v>21</x:v>
      </x:c>
      <x:c r="C12" s="2">
        <x:v>53486.3</x:v>
      </x:c>
      <x:c r="D12" s="2">
        <x:v>40853.959843710356</x:v>
      </x:c>
      <x:c r="E12" s="2">
        <x:v>12632.340156289645</x:v>
      </x:c>
      <x:c r="F12" s="1">
        <x:v>70</x:v>
      </x:c>
      <x:c r="G12" s="1">
        <x:v>59.772351</x:v>
      </x:c>
      <x:c r="H12" s="9">
        <x:v>0</x:v>
      </x:c>
      <x:c r="I12" s="2">
        <x:f t="shared" si="0"/>
        <x:v>7814.8443244100008</x:v>
      </x:c>
      <x:c r="J12" s="3">
        <x:f t="shared" si="6"/>
        <x:v>1.0505584261759435</x:v>
      </x:c>
      <x:c r="K12" s="7">
        <x:f t="shared" si="1"/>
        <x:v>8209.9505542621755</x:v>
      </x:c>
      <x:c r="L12" s="7">
        <x:f t="shared" si="2"/>
        <x:v>6270.9327484360383</x:v>
      </x:c>
      <x:c r="M12" s="7">
        <x:f t="shared" si="3"/>
        <x:v>1939.0178058261367</x:v>
      </x:c>
      <x:c r="N12" s="7">
        <x:f t="shared" si="4"/>
        <x:v>8209.9505542621755</x:v>
      </x:c>
    </x:row>
    <x:row r="13" spans="1:14" outlineLevel="2" x14ac:dyDescent="0.25">
      <x:c r="A13" s="1" t="s">
        <x:v>0</x:v>
      </x:c>
      <x:c r="B13" s="1" t="s">
        <x:v>20</x:v>
      </x:c>
      <x:c r="C13" s="2">
        <x:v>5123.96</x:v>
      </x:c>
      <x:c r="D13" s="2">
        <x:v>3879.1239128496341</x:v>
      </x:c>
      <x:c r="E13" s="2">
        <x:v>1244.836087150366</x:v>
      </x:c>
      <x:c r="F13" s="1">
        <x:v>70</x:v>
      </x:c>
      <x:c r="G13" s="1">
        <x:v>58.814194999999998</x:v>
      </x:c>
      <x:c r="H13" s="9">
        <x:v>0</x:v>
      </x:c>
      <x:c r="I13" s="2">
        <x:f t="shared" si="0"/>
        <x:v>818.79453411142902</x:v>
      </x:c>
      <x:c r="J13" s="3">
        <x:f t="shared" si="6"/>
        <x:v>1.0505584261759435</x:v>
      </x:c>
      <x:c r="K13" s="7">
        <x:f t="shared" si="1"/>
        <x:v>860.19149711756779</x:v>
      </x:c>
      <x:c r="L13" s="7">
        <x:f t="shared" si="2"/>
        <x:v>651.21300831752876</x:v>
      </x:c>
      <x:c r="M13" s="7">
        <x:f t="shared" si="3"/>
        <x:v>208.97848880003909</x:v>
      </x:c>
      <x:c r="N13" s="7">
        <x:f t="shared" si="4"/>
        <x:v>860.19149711756791</x:v>
      </x:c>
    </x:row>
    <x:row r="14" spans="1:14" outlineLevel="2" x14ac:dyDescent="0.25">
      <x:c r="A14" s="1" t="s">
        <x:v>0</x:v>
      </x:c>
      <x:c r="B14" s="1" t="s">
        <x:v>19</x:v>
      </x:c>
      <x:c r="C14" s="2">
        <x:v>12633.24</x:v>
      </x:c>
      <x:c r="D14" s="2">
        <x:v>10503.385692117943</x:v>
      </x:c>
      <x:c r="E14" s="2">
        <x:v>2129.8543078820562</x:v>
      </x:c>
      <x:c r="F14" s="1">
        <x:v>70</x:v>
      </x:c>
      <x:c r="G14" s="1">
        <x:v>57.859112000000003</x:v>
      </x:c>
      <x:c r="H14" s="9">
        <x:v>0</x:v>
      </x:c>
      <x:c r="I14" s="2">
        <x:f t="shared" si="0"/>
        <x:v>2191.1250273874275</x:v>
      </x:c>
      <x:c r="J14" s="3">
        <x:f t="shared" si="6"/>
        <x:v>1.0505584261759435</x:v>
      </x:c>
      <x:c r="K14" s="7">
        <x:f t="shared" si="1"/>
        <x:v>2301.904860326857</x:v>
      </x:c>
      <x:c r="L14" s="7">
        <x:f t="shared" si="2"/>
        <x:v>1913.8237359991469</x:v>
      </x:c>
      <x:c r="M14" s="7">
        <x:f t="shared" si="3"/>
        <x:v>388.08112432771003</x:v>
      </x:c>
      <x:c r="N14" s="7">
        <x:f t="shared" si="4"/>
        <x:v>2301.904860326857</x:v>
      </x:c>
    </x:row>
    <x:row r="15" spans="1:14" outlineLevel="2" x14ac:dyDescent="0.25">
      <x:c r="A15" s="1" t="s">
        <x:v>0</x:v>
      </x:c>
      <x:c r="B15" s="1" t="s">
        <x:v>18</x:v>
      </x:c>
      <x:c r="C15" s="2">
        <x:v>20725.91</x:v>
      </x:c>
      <x:c r="D15" s="2">
        <x:v>13126.632001997446</x:v>
      </x:c>
      <x:c r="E15" s="2">
        <x:v>7599.2779980025534</x:v>
      </x:c>
      <x:c r="F15" s="1">
        <x:v>70</x:v>
      </x:c>
      <x:c r="G15" s="1">
        <x:v>55.960321999999998</x:v>
      </x:c>
      <x:c r="H15" s="9">
        <x:v>0</x:v>
      </x:c>
      <x:c r="I15" s="2">
        <x:f t="shared" si="0"/>
        <x:v>4156.9300379568576</x:v>
      </x:c>
      <x:c r="J15" s="3">
        <x:f t="shared" si="6"/>
        <x:v>1.0505584261759435</x:v>
      </x:c>
      <x:c r="K15" s="7">
        <x:f t="shared" si="1"/>
        <x:v>4367.0978783994615</x:v>
      </x:c>
      <x:c r="L15" s="7">
        <x:f t="shared" si="2"/>
        <x:v>2765.8755039683915</x:v>
      </x:c>
      <x:c r="M15" s="7">
        <x:f t="shared" si="3"/>
        <x:v>1601.2223744310702</x:v>
      </x:c>
      <x:c r="N15" s="7">
        <x:f t="shared" si="4"/>
        <x:v>4367.0978783994615</x:v>
      </x:c>
    </x:row>
    <x:row r="16" spans="1:14" outlineLevel="2" x14ac:dyDescent="0.25">
      <x:c r="A16" s="1" t="s">
        <x:v>0</x:v>
      </x:c>
      <x:c r="B16" s="1" t="s">
        <x:v>17</x:v>
      </x:c>
      <x:c r="C16" s="2">
        <x:v>210271.21000000002</x:v>
      </x:c>
      <x:c r="D16" s="2">
        <x:v>146945.88023799847</x:v>
      </x:c>
      <x:c r="E16" s="2">
        <x:v>63325.329762001536</x:v>
      </x:c>
      <x:c r="F16" s="1">
        <x:v>70</x:v>
      </x:c>
      <x:c r="G16" s="1">
        <x:v>55.016660000000002</x:v>
      </x:c>
      <x:c r="H16" s="9">
        <x:v>0</x:v>
      </x:c>
      <x:c r="I16" s="2">
        <x:f t="shared" si="0"/>
        <x:v>45008.071880591422</x:v>
      </x:c>
      <x:c r="J16" s="3">
        <x:f t="shared" si="6"/>
        <x:v>1.0505584261759435</x:v>
      </x:c>
      <x:c r="K16" s="7">
        <x:f t="shared" si="1"/>
        <x:v>47283.609160087864</x:v>
      </x:c>
      <x:c r="L16" s="7">
        <x:f t="shared" si="2"/>
        <x:v>33043.665696595359</x:v>
      </x:c>
      <x:c r="M16" s="7">
        <x:f t="shared" si="3"/>
        <x:v>14239.943463492506</x:v>
      </x:c>
      <x:c r="N16" s="7">
        <x:f t="shared" si="4"/>
        <x:v>47283.609160087864</x:v>
      </x:c>
    </x:row>
    <x:row r="17" spans="1:14" outlineLevel="2" x14ac:dyDescent="0.25">
      <x:c r="A17" s="1" t="s">
        <x:v>0</x:v>
      </x:c>
      <x:c r="B17" s="1" t="s">
        <x:v>16</x:v>
      </x:c>
      <x:c r="C17" s="2">
        <x:v>12316.51</x:v>
      </x:c>
      <x:c r="D17" s="2">
        <x:v>9550.0923524586306</x:v>
      </x:c>
      <x:c r="E17" s="2">
        <x:v>2766.4176475413697</x:v>
      </x:c>
      <x:c r="F17" s="1">
        <x:v>70</x:v>
      </x:c>
      <x:c r="G17" s="1">
        <x:v>54.077407999999998</x:v>
      </x:c>
      <x:c r="H17" s="9">
        <x:v>0</x:v>
      </x:c>
      <x:c r="I17" s="2">
        <x:f t="shared" si="0"/>
        <x:v>2801.5823370560006</x:v>
      </x:c>
      <x:c r="J17" s="3">
        <x:f t="shared" si="6"/>
        <x:v>1.0505584261759435</x:v>
      </x:c>
      <x:c r="K17" s="7">
        <x:f t="shared" si="1"/>
        <x:v>2943.2259308198736</x:v>
      </x:c>
      <x:c r="L17" s="7">
        <x:f t="shared" si="2"/>
        <x:v>2282.1464403049895</x:v>
      </x:c>
      <x:c r="M17" s="7">
        <x:f t="shared" si="3"/>
        <x:v>661.0794905148839</x:v>
      </x:c>
      <x:c r="N17" s="7">
        <x:f t="shared" si="4"/>
        <x:v>2943.2259308198736</x:v>
      </x:c>
    </x:row>
    <x:row r="18" spans="1:14" outlineLevel="2" x14ac:dyDescent="0.25">
      <x:c r="A18" s="1" t="s">
        <x:v>0</x:v>
      </x:c>
      <x:c r="B18" s="1" t="s">
        <x:v>15</x:v>
      </x:c>
      <x:c r="C18" s="2">
        <x:v>5529.67</x:v>
      </x:c>
      <x:c r="D18" s="2">
        <x:v>4478.7957955425773</x:v>
      </x:c>
      <x:c r="E18" s="2">
        <x:v>1050.8742044574224</x:v>
      </x:c>
      <x:c r="F18" s="1">
        <x:v>70</x:v>
      </x:c>
      <x:c r="G18" s="1">
        <x:v>53.142007</x:v>
      </x:c>
      <x:c r="H18" s="9">
        <x:v>0</x:v>
      </x:c>
      <x:c r="I18" s="2">
        <x:f t="shared" si="0"/>
        <x:v>1331.7019736044288</x:v>
      </x:c>
      <x:c r="J18" s="3">
        <x:f t="shared" si="6"/>
        <x:v>1.0505584261759435</x:v>
      </x:c>
      <x:c r="K18" s="7">
        <x:f t="shared" si="1"/>
        <x:v>1399.0307295252665</x:v>
      </x:c>
      <x:c r="L18" s="7">
        <x:f t="shared" si="2"/>
        <x:v>1133.1549530501147</x:v>
      </x:c>
      <x:c r="M18" s="7">
        <x:f t="shared" si="3"/>
        <x:v>265.87577647515161</x:v>
      </x:c>
      <x:c r="N18" s="7">
        <x:f t="shared" si="4"/>
        <x:v>1399.0307295252665</x:v>
      </x:c>
    </x:row>
    <x:row r="19" spans="1:14" outlineLevel="2" x14ac:dyDescent="0.25">
      <x:c r="A19" s="1" t="s">
        <x:v>0</x:v>
      </x:c>
      <x:c r="B19" s="1" t="s">
        <x:v>14</x:v>
      </x:c>
      <x:c r="C19" s="2">
        <x:v>10808.759999999998</x:v>
      </x:c>
      <x:c r="D19" s="2">
        <x:v>7981.4224074652866</x:v>
      </x:c>
      <x:c r="E19" s="2">
        <x:v>2827.3375925347127</x:v>
      </x:c>
      <x:c r="F19" s="1">
        <x:v>70</x:v>
      </x:c>
      <x:c r="G19" s="1">
        <x:v>52.211801000000001</x:v>
      </x:c>
      <x:c r="H19" s="9">
        <x:v>0</x:v>
      </x:c>
      <x:c r="I19" s="2">
        <x:f t="shared" si="0"/>
        <x:v>2746.6910546177137</x:v>
      </x:c>
      <x:c r="J19" s="3">
        <x:f t="shared" si="6"/>
        <x:v>1.0505584261759435</x:v>
      </x:c>
      <x:c r="K19" s="7">
        <x:f t="shared" si="1"/>
        <x:v>2885.559431530728</x:v>
      </x:c>
      <x:c r="L19" s="7">
        <x:f t="shared" si="2"/>
        <x:v>2130.759560291111</x:v>
      </x:c>
      <x:c r="M19" s="7">
        <x:f t="shared" si="3"/>
        <x:v>754.79987123961712</x:v>
      </x:c>
      <x:c r="N19" s="7">
        <x:f t="shared" si="4"/>
        <x:v>2885.559431530728</x:v>
      </x:c>
    </x:row>
    <x:row r="20" spans="1:14" outlineLevel="2" x14ac:dyDescent="0.25">
      <x:c r="A20" s="1" t="s">
        <x:v>0</x:v>
      </x:c>
      <x:c r="B20" s="1" t="s">
        <x:v>13</x:v>
      </x:c>
      <x:c r="C20" s="2">
        <x:v>9741.48</x:v>
      </x:c>
      <x:c r="D20" s="2">
        <x:v>6101.0090393922364</x:v>
      </x:c>
      <x:c r="E20" s="2">
        <x:v>3640.4709606077636</x:v>
      </x:c>
      <x:c r="F20" s="1">
        <x:v>70</x:v>
      </x:c>
      <x:c r="G20" s="1">
        <x:v>51.285767</x:v>
      </x:c>
      <x:c r="H20" s="9">
        <x:v>0</x:v>
      </x:c>
      <x:c r="I20" s="2">
        <x:f t="shared" si="0"/>
        <x:v>2604.3475212119997</x:v>
      </x:c>
      <x:c r="J20" s="3">
        <x:f t="shared" si="6"/>
        <x:v>1.0505584261759435</x:v>
      </x:c>
      <x:c r="K20" s="7">
        <x:f t="shared" si="1"/>
        <x:v>2736.0192330996983</x:v>
      </x:c>
      <x:c r="L20" s="7">
        <x:f t="shared" si="2"/>
        <x:v>1713.5464090766777</x:v>
      </x:c>
      <x:c r="M20" s="7">
        <x:f t="shared" si="3"/>
        <x:v>1022.4728240230207</x:v>
      </x:c>
      <x:c r="N20" s="7">
        <x:f t="shared" si="4"/>
        <x:v>2736.0192330996983</x:v>
      </x:c>
    </x:row>
    <x:row r="21" spans="1:14" outlineLevel="2" x14ac:dyDescent="0.25">
      <x:c r="A21" s="1" t="s">
        <x:v>0</x:v>
      </x:c>
      <x:c r="B21" s="1" t="s">
        <x:v>12</x:v>
      </x:c>
      <x:c r="C21" s="2">
        <x:v>11519.34</x:v>
      </x:c>
      <x:c r="D21" s="2">
        <x:v>9149.0316582202213</x:v>
      </x:c>
      <x:c r="E21" s="2">
        <x:v>2370.3083417797784</x:v>
      </x:c>
      <x:c r="F21" s="1">
        <x:v>70</x:v>
      </x:c>
      <x:c r="G21" s="1">
        <x:v>50.364913999999999</x:v>
      </x:c>
      <x:c r="H21" s="9">
        <x:v>0</x:v>
      </x:c>
      <x:c r="I21" s="2">
        <x:f t="shared" si="0"/>
        <x:v>3231.1890223320001</x:v>
      </x:c>
      <x:c r="J21" s="3">
        <x:f t="shared" si="6"/>
        <x:v>1.0505584261759435</x:v>
      </x:c>
      <x:c r="K21" s="7">
        <x:f t="shared" si="1"/>
        <x:v>3394.5528539780917</x:v>
      </x:c>
      <x:c r="L21" s="7">
        <x:f t="shared" si="2"/>
        <x:v>2696.0634486478707</x:v>
      </x:c>
      <x:c r="M21" s="7">
        <x:f t="shared" si="3"/>
        <x:v>698.48940533022073</x:v>
      </x:c>
      <x:c r="N21" s="7">
        <x:f t="shared" si="4"/>
        <x:v>3394.5528539780917</x:v>
      </x:c>
    </x:row>
    <x:row r="22" spans="1:14" outlineLevel="2" x14ac:dyDescent="0.25">
      <x:c r="A22" s="1" t="s">
        <x:v>0</x:v>
      </x:c>
      <x:c r="B22" s="1" t="s">
        <x:v>11</x:v>
      </x:c>
      <x:c r="C22" s="2">
        <x:v>1303.22</x:v>
      </x:c>
      <x:c r="D22" s="2">
        <x:v>602.67962915279122</x:v>
      </x:c>
      <x:c r="E22" s="2">
        <x:v>700.54037084720881</x:v>
      </x:c>
      <x:c r="F22" s="1">
        <x:v>70</x:v>
      </x:c>
      <x:c r="G22" s="1">
        <x:v>48.538113000000003</x:v>
      </x:c>
      <x:c r="H22" s="9">
        <x:v>0</x:v>
      </x:c>
      <x:c r="I22" s="2">
        <x:f t="shared" si="0"/>
        <x:v>399.56514823057137</x:v>
      </x:c>
      <x:c r="J22" s="3">
        <x:f t="shared" si="6"/>
        <x:v>1.0505584261759435</x:v>
      </x:c>
      <x:c r="K22" s="7">
        <x:f t="shared" si="1"/>
        <x:v>419.76653327986662</x:v>
      </x:c>
      <x:c r="L22" s="7">
        <x:f t="shared" si="2"/>
        <x:v>194.12281779581559</x:v>
      </x:c>
      <x:c r="M22" s="7">
        <x:f t="shared" si="3"/>
        <x:v>225.64371548405103</x:v>
      </x:c>
      <x:c r="N22" s="7">
        <x:f t="shared" si="4"/>
        <x:v>419.76653327986662</x:v>
      </x:c>
    </x:row>
    <x:row r="23" spans="1:14" outlineLevel="2" x14ac:dyDescent="0.25">
      <x:c r="A23" s="1" t="s">
        <x:v>0</x:v>
      </x:c>
      <x:c r="B23" s="1" t="s">
        <x:v>10</x:v>
      </x:c>
      <x:c r="C23" s="2">
        <x:v>10472.450000000001</x:v>
      </x:c>
      <x:c r="D23" s="2">
        <x:v>2827.9724892323629</x:v>
      </x:c>
      <x:c r="E23" s="2">
        <x:v>7644.4775107676378</x:v>
      </x:c>
      <x:c r="F23" s="1">
        <x:v>70</x:v>
      </x:c>
      <x:c r="G23" s="1">
        <x:v>47.632970999999998</x:v>
      </x:c>
      <x:c r="H23" s="9">
        <x:v>0</x:v>
      </x:c>
      <x:c r="I23" s="2">
        <x:f t="shared" si="0"/>
        <x:v>3346.2513264435725</x:v>
      </x:c>
      <x:c r="J23" s="3">
        <x:f t="shared" si="6"/>
        <x:v>1.0505584261759435</x:v>
      </x:c>
      <x:c r="K23" s="7">
        <x:f t="shared" si="1"/>
        <x:v>3515.4325270977229</x:v>
      </x:c>
      <x:c r="L23" s="7">
        <x:f t="shared" si="2"/>
        <x:v>949.30474477175471</x:v>
      </x:c>
      <x:c r="M23" s="7">
        <x:f t="shared" si="3"/>
        <x:v>2566.1277823259679</x:v>
      </x:c>
      <x:c r="N23" s="7">
        <x:f t="shared" si="4"/>
        <x:v>3515.4325270977224</x:v>
      </x:c>
    </x:row>
    <x:row r="24" spans="1:14" outlineLevel="2" x14ac:dyDescent="0.25">
      <x:c r="A24" s="1" t="s">
        <x:v>0</x:v>
      </x:c>
      <x:c r="B24" s="1" t="s">
        <x:v>9</x:v>
      </x:c>
      <x:c r="C24" s="2">
        <x:v>8950</x:v>
      </x:c>
      <x:c r="D24" s="2">
        <x:v>2861.3657568977942</x:v>
      </x:c>
      <x:c r="E24" s="2">
        <x:v>6088.6342431022058</x:v>
      </x:c>
      <x:c r="F24" s="1">
        <x:v>70</x:v>
      </x:c>
      <x:c r="G24" s="1">
        <x:v>46.732714000000001</x:v>
      </x:c>
      <x:c r="H24" s="9">
        <x:v>0</x:v>
      </x:c>
      <x:c r="I24" s="2">
        <x:f t="shared" si="0"/>
        <x:v>2974.8887099999997</x:v>
      </x:c>
      <x:c r="J24" s="3">
        <x:f t="shared" si="6"/>
        <x:v>1.0505584261759435</x:v>
      </x:c>
      <x:c r="K24" s="7">
        <x:f t="shared" si="1"/>
        <x:v>3125.2944012261828</x:v>
      </x:c>
      <x:c r="L24" s="7">
        <x:f t="shared" si="2"/>
        <x:v>999.17434412212242</x:v>
      </x:c>
      <x:c r="M24" s="7">
        <x:f t="shared" si="3"/>
        <x:v>2126.1200571040604</x:v>
      </x:c>
      <x:c r="N24" s="7">
        <x:f t="shared" si="4"/>
        <x:v>3125.2944012261828</x:v>
      </x:c>
    </x:row>
    <x:row r="25" spans="1:14" outlineLevel="2" x14ac:dyDescent="0.25">
      <x:c r="A25" s="1" t="s">
        <x:v>0</x:v>
      </x:c>
      <x:c r="B25" s="1" t="s">
        <x:v>8</x:v>
      </x:c>
      <x:c r="C25" s="2">
        <x:v>2158329.11</x:v>
      </x:c>
      <x:c r="D25" s="2">
        <x:v>1722028.4482759596</x:v>
      </x:c>
      <x:c r="E25" s="2">
        <x:v>436300.66172404034</x:v>
      </x:c>
      <x:c r="F25" s="1">
        <x:v>70</x:v>
      </x:c>
      <x:c r="G25" s="1">
        <x:v>40.601317000000002</x:v>
      </x:c>
      <x:c r="H25" s="9">
        <x:v>0</x:v>
      </x:c>
      <x:c r="I25" s="2">
        <x:f t="shared" si="0"/>
        <x:v>906457.6187794588</x:v>
      </x:c>
      <x:c r="J25" s="3">
        <x:f t="shared" si="6"/>
        <x:v>1.0505584261759435</x:v>
      </x:c>
      <x:c r="K25" s="7">
        <x:f t="shared" si="1"/>
        <x:v>952286.68938014167</x:v>
      </x:c>
      <x:c r="L25" s="7">
        <x:f t="shared" si="2"/>
        <x:v>759784.39174511994</x:v>
      </x:c>
      <x:c r="M25" s="7">
        <x:f t="shared" si="3"/>
        <x:v>192502.29763502171</x:v>
      </x:c>
      <x:c r="N25" s="7">
        <x:f t="shared" si="4"/>
        <x:v>952286.68938014167</x:v>
      </x:c>
    </x:row>
    <x:row r="26" spans="1:14" outlineLevel="2" x14ac:dyDescent="0.25">
      <x:c r="A26" s="1" t="s">
        <x:v>0</x:v>
      </x:c>
      <x:c r="B26" s="1" t="s">
        <x:v>7</x:v>
      </x:c>
      <x:c r="C26" s="2">
        <x:v>24552.16</x:v>
      </x:c>
      <x:c r="D26" s="2">
        <x:v>19857.875860469765</x:v>
      </x:c>
      <x:c r="E26" s="2">
        <x:v>4694.2841395302357</x:v>
      </x:c>
      <x:c r="F26" s="1">
        <x:v>70</x:v>
      </x:c>
      <x:c r="G26" s="1">
        <x:v>38.907595000000001</x:v>
      </x:c>
      <x:c r="H26" s="9">
        <x:v>0</x:v>
      </x:c>
      <x:c r="I26" s="2">
        <x:f t="shared" si="0"/>
        <x:v>10905.510033497143</x:v>
      </x:c>
      <x:c r="J26" s="3">
        <x:f t="shared" si="6"/>
        <x:v>1.0505584261759435</x:v>
      </x:c>
      <x:c r="K26" s="7">
        <x:f t="shared" si="1"/>
        <x:v>11456.875457436719</x:v>
      </x:c>
      <x:c r="L26" s="7">
        <x:f t="shared" si="2"/>
        <x:v>9266.362331568429</x:v>
      </x:c>
      <x:c r="M26" s="7">
        <x:f t="shared" si="3"/>
        <x:v>2190.5131258682904</x:v>
      </x:c>
      <x:c r="N26" s="7">
        <x:f t="shared" si="4"/>
        <x:v>11456.875457436719</x:v>
      </x:c>
    </x:row>
    <x:row r="27" spans="1:14" outlineLevel="2" x14ac:dyDescent="0.25">
      <x:c r="A27" s="1" t="s">
        <x:v>0</x:v>
      </x:c>
      <x:c r="B27" s="1" t="s">
        <x:v>6</x:v>
      </x:c>
      <x:c r="C27" s="2">
        <x:v>4470.59</x:v>
      </x:c>
      <x:c r="D27" s="2">
        <x:v>4053.7550492941168</x:v>
      </x:c>
      <x:c r="E27" s="2">
        <x:v>416.8349507058835</x:v>
      </x:c>
      <x:c r="F27" s="1">
        <x:v>70</x:v>
      </x:c>
      <x:c r="G27" s="1">
        <x:v>37.241276999999997</x:v>
      </x:c>
      <x:c r="H27" s="9">
        <x:v>0</x:v>
      </x:c>
      <x:c r="I27" s="2">
        <x:f t="shared" si="0"/>
        <x:v>2092.1545636652859</x:v>
      </x:c>
      <x:c r="J27" s="3">
        <x:f t="shared" si="6"/>
        <x:v>1.0505584261759435</x:v>
      </x:c>
      <x:c r="K27" s="7">
        <x:f t="shared" si="1"/>
        <x:v>2197.9306057210206</x:v>
      </x:c>
      <x:c r="L27" s="7">
        <x:f t="shared" si="2"/>
        <x:v>1992.996962579808</x:v>
      </x:c>
      <x:c r="M27" s="7">
        <x:f t="shared" si="3"/>
        <x:v>204.93364314121274</x:v>
      </x:c>
      <x:c r="N27" s="7">
        <x:f t="shared" si="4"/>
        <x:v>2197.9306057210206</x:v>
      </x:c>
    </x:row>
    <x:row r="28" spans="1:14" outlineLevel="2" x14ac:dyDescent="0.25">
      <x:c r="A28" s="1" t="s">
        <x:v>0</x:v>
      </x:c>
      <x:c r="B28" s="1" t="s">
        <x:v>5</x:v>
      </x:c>
      <x:c r="C28" s="2">
        <x:v>29.79</x:v>
      </x:c>
      <x:c r="D28" s="2">
        <x:v>26.403081085531085</x:v>
      </x:c>
      <x:c r="E28" s="2">
        <x:v>3.3869189144689149</x:v>
      </x:c>
      <x:c r="F28" s="1">
        <x:v>70</x:v>
      </x:c>
      <x:c r="G28" s="1">
        <x:v>36.418394999999997</x:v>
      </x:c>
      <x:c r="H28" s="9">
        <x:v>0</x:v>
      </x:c>
      <x:c r="I28" s="2">
        <x:f t="shared" si="0"/>
        <x:v>14.29137161357143</x:v>
      </x:c>
      <x:c r="J28" s="3">
        <x:f t="shared" si="6"/>
        <x:v>1.0505584261759435</x:v>
      </x:c>
      <x:c r="K28" s="7">
        <x:f t="shared" si="1"/>
        <x:v>15.013920870249155</x:v>
      </x:c>
      <x:c r="L28" s="7">
        <x:f t="shared" si="2"/>
        <x:v>13.306940924771261</x:v>
      </x:c>
      <x:c r="M28" s="7">
        <x:f t="shared" si="3"/>
        <x:v>1.7069799454778938</x:v>
      </x:c>
      <x:c r="N28" s="7">
        <x:f t="shared" si="4"/>
        <x:v>15.013920870249155</x:v>
      </x:c>
    </x:row>
    <x:row r="29" spans="1:14" outlineLevel="2" x14ac:dyDescent="0.25">
      <x:c r="A29" s="1" t="s">
        <x:v>0</x:v>
      </x:c>
      <x:c r="B29" s="1" t="s">
        <x:v>4</x:v>
      </x:c>
      <x:c r="C29" s="2">
        <x:v>1363.38</x:v>
      </x:c>
      <x:c r="D29" s="2">
        <x:v>1208.3730342528156</x:v>
      </x:c>
      <x:c r="E29" s="2">
        <x:v>155.00696574718461</x:v>
      </x:c>
      <x:c r="F29" s="1">
        <x:v>70</x:v>
      </x:c>
      <x:c r="G29" s="1">
        <x:v>35.603236000000003</x:v>
      </x:c>
      <x:c r="H29" s="9">
        <x:v>0</x:v>
      </x:c>
      <x:c r="I29" s="2">
        <x:f t="shared" si="0"/>
        <x:v>669.94085860457142</x:v>
      </x:c>
      <x:c r="J29" s="3">
        <x:f t="shared" si="6"/>
        <x:v>1.0505584261759435</x:v>
      </x:c>
      <x:c r="K29" s="7">
        <x:f t="shared" si="1"/>
        <x:v>703.81201404657884</x:v>
      </x:c>
      <x:c r="L29" s="7">
        <x:f t="shared" si="2"/>
        <x:v>623.7934097295323</x:v>
      </x:c>
      <x:c r="M29" s="7">
        <x:f t="shared" si="3"/>
        <x:v>80.018604317046638</x:v>
      </x:c>
      <x:c r="N29" s="7">
        <x:f t="shared" si="4"/>
        <x:v>703.81201404657895</x:v>
      </x:c>
    </x:row>
    <x:row r="30" spans="1:14" outlineLevel="2" x14ac:dyDescent="0.25">
      <x:c r="A30" s="1" t="s">
        <x:v>0</x:v>
      </x:c>
      <x:c r="B30" s="1" t="s">
        <x:v>3</x:v>
      </x:c>
      <x:c r="C30" s="2">
        <x:v>12112.11</x:v>
      </x:c>
      <x:c r="D30" s="2">
        <x:v>9695.2759264607521</x:v>
      </x:c>
      <x:c r="E30" s="2">
        <x:v>2416.8340735392494</x:v>
      </x:c>
      <x:c r="F30" s="1">
        <x:v>70</x:v>
      </x:c>
      <x:c r="G30" s="1">
        <x:v>34.794424999999997</x:v>
      </x:c>
      <x:c r="H30" s="9">
        <x:v>0</x:v>
      </x:c>
      <x:c r="I30" s="2">
        <x:f t="shared" si="0"/>
        <x:v>6091.6256716178568</x:v>
      </x:c>
      <x:c r="J30" s="3">
        <x:f t="shared" si="6"/>
        <x:v>1.0505584261759435</x:v>
      </x:c>
      <x:c r="K30" s="7">
        <x:f t="shared" si="1"/>
        <x:v>6399.6086784278305</x:v>
      </x:c>
      <x:c r="L30" s="7">
        <x:f t="shared" si="2"/>
        <x:v>5122.6394045901707</x:v>
      </x:c>
      <x:c r="M30" s="7">
        <x:f t="shared" si="3"/>
        <x:v>1276.9692738376605</x:v>
      </x:c>
      <x:c r="N30" s="7">
        <x:f t="shared" si="4"/>
        <x:v>6399.6086784278314</x:v>
      </x:c>
    </x:row>
    <x:row r="31" spans="1:14" outlineLevel="2" x14ac:dyDescent="0.25">
      <x:c r="A31" s="1" t="s">
        <x:v>0</x:v>
      </x:c>
      <x:c r="B31" s="1" t="s">
        <x:v>2</x:v>
      </x:c>
      <x:c r="C31" s="2">
        <x:v>2862.74</x:v>
      </x:c>
      <x:c r="D31" s="2">
        <x:v>2326.2610603319226</x:v>
      </x:c>
      <x:c r="E31" s="2">
        <x:v>536.47893966807703</x:v>
      </x:c>
      <x:c r="F31" s="1">
        <x:v>70</x:v>
      </x:c>
      <x:c r="G31" s="1">
        <x:v>30.867882000000002</x:v>
      </x:c>
      <x:c r="H31" s="9">
        <x:v>0</x:v>
      </x:c>
      <x:c r="I31" s="2">
        <x:f t="shared" si="0"/>
        <x:v>1600.3582783331428</x:v>
      </x:c>
      <x:c r="J31" s="3">
        <x:f t="shared" si="6"/>
        <x:v>1.0505584261759435</x:v>
      </x:c>
      <x:c r="K31" s="7">
        <x:f t="shared" si="1"/>
        <x:v>1681.2698742033092</x:v>
      </x:c>
      <x:c r="L31" s="7">
        <x:f t="shared" si="2"/>
        <x:v>1366.1990401742066</x:v>
      </x:c>
      <x:c r="M31" s="7">
        <x:f t="shared" si="3"/>
        <x:v>315.0708340291024</x:v>
      </x:c>
      <x:c r="N31" s="7">
        <x:f t="shared" si="4"/>
        <x:v>1681.269874203309</x:v>
      </x:c>
    </x:row>
    <x:row r="32" spans="1:14" outlineLevel="2" x14ac:dyDescent="0.25">
      <x:c r="A32" s="1" t="s">
        <x:v>0</x:v>
      </x:c>
      <x:c r="B32" s="1" t="s">
        <x:v>1</x:v>
      </x:c>
      <x:c r="C32" s="2">
        <x:v>156.4</x:v>
      </x:c>
      <x:c r="D32" s="2">
        <x:v>58.493576124435421</x:v>
      </x:c>
      <x:c r="E32" s="2">
        <x:v>97.906423875564585</x:v>
      </x:c>
      <x:c r="F32" s="1">
        <x:v>70</x:v>
      </x:c>
      <x:c r="G32" s="1">
        <x:v>20.409333</x:v>
      </x:c>
      <x:c r="H32" s="9">
        <x:v>0</x:v>
      </x:c>
      <x:c r="I32" s="2">
        <x:f t="shared" si="0"/>
        <x:v>110.79971884</x:v>
      </x:c>
      <x:c r="J32" s="3">
        <x:v>1.0505584261759435</x:v>
      </x:c>
      <x:c r="K32" s="7">
        <x:f t="shared" si="1"/>
        <x:v>116.40157824528744</x:v>
      </x:c>
      <x:c r="L32" s="7">
        <x:f t="shared" si="2"/>
        <x:v>43.534172494214488</x:v>
      </x:c>
      <x:c r="M32" s="7">
        <x:f t="shared" si="3"/>
        <x:v>72.867405751072951</x:v>
      </x:c>
      <x:c r="N32" s="7">
        <x:f t="shared" si="4"/>
        <x:v>116.40157824528744</x:v>
      </x:c>
    </x:row>
    <x:row r="33" spans="1:14" outlineLevel="1" x14ac:dyDescent="0.25">
      <x:c r="A33" s="4" t="s">
        <x:v>112</x:v>
      </x:c>
      <x:c r="C33" s="2">
        <x:f>SUBTOTAL(9,C2:C32)</x:f>
        <x:v>10515297.76</x:v>
      </x:c>
      <x:c r="D33" s="2">
        <x:f>SUBTOTAL(9,D2:D32)</x:f>
        <x:v>7964093.06255309</x:v>
      </x:c>
      <x:c r="E33" s="2">
        <x:f>SUBTOTAL(9,E2:E32)</x:f>
        <x:v>2551204.6974469079</x:v>
      </x:c>
      <x:c r="F33" s="2"/>
      <x:c r="G33" s="2"/>
      <x:c r="H33" s="2"/>
      <x:c r="I33" s="2">
        <x:f>SUBTOTAL(9,I2:I32)</x:f>
        <x:v>1332900.6622853675</x:v>
      </x:c>
      <x:c r="J33" s="2" t="s">
        <x:v>118</x:v>
      </x:c>
      <x:c r="K33" s="7">
        <x:f>SUBTOTAL(9,K2:K32)</x:f>
        <x:v>1400220.684591132</x:v>
      </x:c>
      <x:c r="L33" s="7">
        <x:f>SUBTOTAL(9,L2:L32)</x:f>
        <x:v>1066724.4536211551</x:v>
      </x:c>
      <x:c r="M33" s="7">
        <x:f>SUBTOTAL(9,M2:M32)</x:f>
        <x:v>333496.23096997745</x:v>
      </x:c>
      <x:c r="N33" s="7">
        <x:f>+L33+M33</x:f>
        <x:v>1400220.6845911327</x:v>
      </x:c>
    </x:row>
    <x:row r="34" spans="1:14" outlineLevel="2" x14ac:dyDescent="0.25">
      <x:c r="A34" s="1" t="s">
        <x:v>29</x:v>
      </x:c>
      <x:c r="B34" s="1" t="s">
        <x:v>120</x:v>
      </x:c>
      <x:c r="C34" s="2">
        <x:v>97758365.480000019</x:v>
      </x:c>
      <x:c r="D34" s="2">
        <x:v>62703562.594824024</x:v>
      </x:c>
      <x:c r="E34" s="2">
        <x:v>35054802.885175988</x:v>
      </x:c>
      <x:c r="F34" s="1">
        <x:v>65</x:v>
      </x:c>
      <x:c r="G34" s="1">
        <x:v>64.500412999999995</x:v>
      </x:c>
      <x:c r="H34" s="9">
        <x:v>-0.4</x:v>
      </x:c>
      <x:c r="I34" s="2">
        <x:f t="shared" ref="I34:I65" si="7">+C34*(1-H34)*(1-G34/F34)</x:f>
        <x:v>1051912.7992166136</x:v>
      </x:c>
      <x:c r="J34" s="3">
        <x:f t="shared" ref="J34:J65" si="8">$J$130</x:f>
        <x:v>1.0136589269026999</x:v>
      </x:c>
      <x:c r="K34" s="7">
        <x:f t="shared" ref="K34:K65" si="9">IF((C34*(1-H34)-I34*J34)&lt;0,C34*(1-H34),I34*J34)</x:f>
        <x:v>1066280.7992491277</x:v>
      </x:c>
      <x:c r="L34" s="7">
        <x:f t="shared" ref="L34:L65" si="10">+D34/$C34*$K34</x:f>
        <x:v>683927.19652268745</x:v>
      </x:c>
      <x:c r="M34" s="7">
        <x:f t="shared" ref="M34:M65" si="11">+E34/$C34*$K34</x:f>
        <x:v>382353.60272644029</x:v>
      </x:c>
      <x:c r="N34" s="7">
        <x:f t="shared" si="4"/>
        <x:v>1066280.7992491277</x:v>
      </x:c>
    </x:row>
    <x:row r="35" spans="1:14" outlineLevel="2" x14ac:dyDescent="0.25">
      <x:c r="A35" s="1" t="s">
        <x:v>29</x:v>
      </x:c>
      <x:c r="B35" s="1" t="s">
        <x:v>121</x:v>
      </x:c>
      <x:c r="C35" s="2">
        <x:v>55718314.470000014</x:v>
      </x:c>
      <x:c r="D35" s="2">
        <x:v>37557090.624484211</x:v>
      </x:c>
      <x:c r="E35" s="2">
        <x:v>18161223.845515799</x:v>
      </x:c>
      <x:c r="F35" s="1">
        <x:v>65</x:v>
      </x:c>
      <x:c r="G35" s="1">
        <x:v>63.501368999999997</x:v>
      </x:c>
      <x:c r="H35" s="9">
        <x:v>-0.4</x:v>
      </x:c>
      <x:c r="I35" s="2">
        <x:f t="shared" si="7"/>
        <x:v>1798487.2410074959</x:v>
      </x:c>
      <x:c r="J35" s="3">
        <x:f t="shared" si="8"/>
        <x:v>1.0136589269026999</x:v>
      </x:c>
      <x:c r="K35" s="7">
        <x:f t="shared" si="9"/>
        <x:v>1823052.6467678556</x:v>
      </x:c>
      <x:c r="L35" s="7">
        <x:f t="shared" si="10"/>
        <x:v>1228833.8963435651</x:v>
      </x:c>
      <x:c r="M35" s="7">
        <x:f t="shared" si="11"/>
        <x:v>594218.75042429054</x:v>
      </x:c>
      <x:c r="N35" s="7">
        <x:f t="shared" si="4"/>
        <x:v>1823052.6467678556</x:v>
      </x:c>
    </x:row>
    <x:row r="36" spans="1:14" outlineLevel="2" x14ac:dyDescent="0.25">
      <x:c r="A36" s="1" t="s">
        <x:v>29</x:v>
      </x:c>
      <x:c r="B36" s="1" t="s">
        <x:v>122</x:v>
      </x:c>
      <x:c r="C36" s="2">
        <x:v>34600620.240000002</x:v>
      </x:c>
      <x:c r="D36" s="2">
        <x:v>22306297.387413345</x:v>
      </x:c>
      <x:c r="E36" s="2">
        <x:v>12294322.852586657</x:v>
      </x:c>
      <x:c r="F36" s="1">
        <x:v>65</x:v>
      </x:c>
      <x:c r="G36" s="1">
        <x:v>62.502541000000001</x:v>
      </x:c>
      <x:c r="H36" s="9">
        <x:v>-0.4</x:v>
      </x:c>
      <x:c r="I36" s="2">
        <x:f t="shared" si="7"/>
        <x:v>1861216.6552855114</x:v>
      </x:c>
      <x:c r="J36" s="3">
        <x:f t="shared" si="8"/>
        <x:v>1.0136589269026999</x:v>
      </x:c>
      <x:c r="K36" s="7">
        <x:f t="shared" si="9"/>
        <x:v>1886638.8775301438</x:v>
      </x:c>
      <x:c r="L36" s="7">
        <x:f t="shared" si="10"/>
        <x:v>1216276.6902135478</x:v>
      </x:c>
      <x:c r="M36" s="7">
        <x:f t="shared" si="11"/>
        <x:v>670362.18731659604</x:v>
      </x:c>
      <x:c r="N36" s="7">
        <x:f t="shared" ref="N36:N43" si="12">+L36+M36</x:f>
        <x:v>1886638.8775301438</x:v>
      </x:c>
    </x:row>
    <x:row r="37" spans="1:14" outlineLevel="2" x14ac:dyDescent="0.25">
      <x:c r="A37" s="1" t="s">
        <x:v>29</x:v>
      </x:c>
      <x:c r="B37" s="1" t="s">
        <x:v>28</x:v>
      </x:c>
      <x:c r="C37" s="2">
        <x:v>26203566.800000004</x:v>
      </x:c>
      <x:c r="D37" s="2">
        <x:v>17876902.511625171</x:v>
      </x:c>
      <x:c r="E37" s="2">
        <x:v>8326664.2883748319</x:v>
      </x:c>
      <x:c r="F37" s="1">
        <x:v>65</x:v>
      </x:c>
      <x:c r="G37" s="1">
        <x:v>61.503995000000003</x:v>
      </x:c>
      <x:c r="H37" s="9">
        <x:v>-0.4</x:v>
      </x:c>
      <x:c r="I37" s="2">
        <x:f t="shared" si="7"/>
        <x:v>1973091.0887828835</x:v>
      </x:c>
      <x:c r="J37" s="3">
        <x:f t="shared" si="8"/>
        <x:v>1.0136589269026999</x:v>
      </x:c>
      <x:c r="K37" s="7">
        <x:f t="shared" si="9"/>
        <x:v>2000041.3957369374</x:v>
      </x:c>
      <x:c r="L37" s="7">
        <x:f t="shared" si="10"/>
        <x:v>1364491.5336794516</x:v>
      </x:c>
      <x:c r="M37" s="7">
        <x:f t="shared" si="11"/>
        <x:v>635549.8620574855</x:v>
      </x:c>
      <x:c r="N37" s="7">
        <x:f t="shared" si="12"/>
        <x:v>2000041.3957369369</x:v>
      </x:c>
    </x:row>
    <x:row r="38" spans="1:14" outlineLevel="2" x14ac:dyDescent="0.25">
      <x:c r="A38" s="1" t="s">
        <x:v>29</x:v>
      </x:c>
      <x:c r="B38" s="1" t="s">
        <x:v>27</x:v>
      </x:c>
      <x:c r="C38" s="2">
        <x:v>15297660.660000008</x:v>
      </x:c>
      <x:c r="D38" s="2">
        <x:v>10926230.536846627</x:v>
      </x:c>
      <x:c r="E38" s="2">
        <x:v>4371430.123153382</x:v>
      </x:c>
      <x:c r="F38" s="1">
        <x:v>65</x:v>
      </x:c>
      <x:c r="G38" s="1">
        <x:v>60.505746000000002</x:v>
      </x:c>
      <x:c r="H38" s="9">
        <x:v>-0.4</x:v>
      </x:c>
      <x:c r="I38" s="2">
        <x:f t="shared" si="7"/>
        <x:v>1480803.1024090266</x:v>
      </x:c>
      <x:c r="J38" s="3">
        <x:f t="shared" si="8"/>
        <x:v>1.0136589269026999</x:v>
      </x:c>
      <x:c r="K38" s="7">
        <x:f t="shared" si="9"/>
        <x:v>1501029.2837421226</x:v>
      </x:c>
      <x:c r="L38" s="7">
        <x:f t="shared" si="10"/>
        <x:v>1072098.0391209822</x:v>
      </x:c>
      <x:c r="M38" s="7">
        <x:f t="shared" si="11"/>
        <x:v>428931.24462114042</x:v>
      </x:c>
      <x:c r="N38" s="7">
        <x:f t="shared" si="12"/>
        <x:v>1501029.2837421226</x:v>
      </x:c>
    </x:row>
    <x:row r="39" spans="1:14" outlineLevel="2" x14ac:dyDescent="0.25">
      <x:c r="A39" s="1" t="s">
        <x:v>29</x:v>
      </x:c>
      <x:c r="B39" s="1" t="s">
        <x:v>26</x:v>
      </x:c>
      <x:c r="C39" s="2">
        <x:v>7381957.0900000017</x:v>
      </x:c>
      <x:c r="D39" s="2">
        <x:v>5225339.7246240806</x:v>
      </x:c>
      <x:c r="E39" s="2">
        <x:v>2156617.3653759211</x:v>
      </x:c>
      <x:c r="F39" s="1">
        <x:v>65</x:v>
      </x:c>
      <x:c r="G39" s="1">
        <x:v>59.507902999999999</x:v>
      </x:c>
      <x:c r="H39" s="9">
        <x:v>-0.4</x:v>
      </x:c>
      <x:c r="I39" s="2">
        <x:f t="shared" si="7"/>
        <x:v>873221.44835945952</x:v>
      </x:c>
      <x:c r="J39" s="3">
        <x:f t="shared" si="8"/>
        <x:v>1.0136589269026999</x:v>
      </x:c>
      <x:c r="K39" s="7">
        <x:f t="shared" si="9"/>
        <x:v>885148.71629247104</x:v>
      </x:c>
      <x:c r="L39" s="7">
        <x:f t="shared" si="10"/>
        <x:v>626555.08465480094</x:v>
      </x:c>
      <x:c r="M39" s="7">
        <x:f t="shared" si="11"/>
        <x:v>258593.6316376701</x:v>
      </x:c>
      <x:c r="N39" s="7">
        <x:f t="shared" si="12"/>
        <x:v>885148.71629247104</x:v>
      </x:c>
    </x:row>
    <x:row r="40" spans="1:14" outlineLevel="2" x14ac:dyDescent="0.25">
      <x:c r="A40" s="1" t="s">
        <x:v>29</x:v>
      </x:c>
      <x:c r="B40" s="1" t="s">
        <x:v>25</x:v>
      </x:c>
      <x:c r="C40" s="2">
        <x:v>14049438.889999999</x:v>
      </x:c>
      <x:c r="D40" s="2">
        <x:v>9868128.7110270727</x:v>
      </x:c>
      <x:c r="E40" s="2">
        <x:v>4181310.1789729265</x:v>
      </x:c>
      <x:c r="F40" s="1">
        <x:v>65</x:v>
      </x:c>
      <x:c r="G40" s="1">
        <x:v>58.510458</x:v>
      </x:c>
      <x:c r="H40" s="9">
        <x:v>-0.4</x:v>
      </x:c>
      <x:c r="I40" s="2">
        <x:f t="shared" si="7"/>
        <x:v>1963756.8192972892</x:v>
      </x:c>
      <x:c r="J40" s="3">
        <x:f t="shared" si="8"/>
        <x:v>1.0136589269026999</x:v>
      </x:c>
      <x:c r="K40" s="7">
        <x:f t="shared" si="9"/>
        <x:v>1990579.6301467493</x:v>
      </x:c>
      <x:c r="L40" s="7">
        <x:f t="shared" si="10"/>
        <x:v>1398155.1970604565</x:v>
      </x:c>
      <x:c r="M40" s="7">
        <x:f t="shared" si="11"/>
        <x:v>592424.43308629305</x:v>
      </x:c>
      <x:c r="N40" s="7">
        <x:f t="shared" si="12"/>
        <x:v>1990579.6301467496</x:v>
      </x:c>
    </x:row>
    <x:row r="41" spans="1:14" outlineLevel="2" x14ac:dyDescent="0.25">
      <x:c r="A41" s="1" t="s">
        <x:v>29</x:v>
      </x:c>
      <x:c r="B41" s="1" t="s">
        <x:v>24</x:v>
      </x:c>
      <x:c r="C41" s="2">
        <x:v>10865243</x:v>
      </x:c>
      <x:c r="D41" s="2">
        <x:v>8712351.8588486928</x:v>
      </x:c>
      <x:c r="E41" s="2">
        <x:v>2152891.1411513076</x:v>
      </x:c>
      <x:c r="F41" s="1">
        <x:v>65</x:v>
      </x:c>
      <x:c r="G41" s="1">
        <x:v>57.513595000000002</x:v>
      </x:c>
      <x:c r="H41" s="9">
        <x:v>-0.4</x:v>
      </x:c>
      <x:c r="I41" s="2">
        <x:f t="shared" si="7"/>
        <x:v>1751973.1281535528</x:v>
      </x:c>
      <x:c r="J41" s="3">
        <x:f t="shared" si="8"/>
        <x:v>1.0136589269026999</x:v>
      </x:c>
      <x:c r="K41" s="7">
        <x:f t="shared" si="9"/>
        <x:v>1775903.2010464966</x:v>
      </x:c>
      <x:c r="L41" s="7">
        <x:f t="shared" si="10"/>
        <x:v>1424017.2589580177</x:v>
      </x:c>
      <x:c r="M41" s="7">
        <x:f t="shared" si="11"/>
        <x:v>351885.942088479</x:v>
      </x:c>
      <x:c r="N41" s="7">
        <x:f t="shared" si="12"/>
        <x:v>1775903.2010464966</x:v>
      </x:c>
    </x:row>
    <x:row r="42" spans="1:14" outlineLevel="2" x14ac:dyDescent="0.25">
      <x:c r="A42" s="1" t="s">
        <x:v>29</x:v>
      </x:c>
      <x:c r="B42" s="1" t="s">
        <x:v>23</x:v>
      </x:c>
      <x:c r="C42" s="2">
        <x:v>9768614.6299999971</x:v>
      </x:c>
      <x:c r="D42" s="2">
        <x:v>6388890.3677682094</x:v>
      </x:c>
      <x:c r="E42" s="2">
        <x:v>3379724.2622317881</x:v>
      </x:c>
      <x:c r="F42" s="1">
        <x:v>65</x:v>
      </x:c>
      <x:c r="G42" s="1">
        <x:v>56.517285000000001</x:v>
      </x:c>
      <x:c r="H42" s="9">
        <x:v>-0.4</x:v>
      </x:c>
      <x:c r="I42" s="2">
        <x:f t="shared" si="7"/>
        <x:v>1784771.129101055</x:v>
      </x:c>
      <x:c r="J42" s="3">
        <x:f t="shared" si="8"/>
        <x:v>1.0136589269026999</x:v>
      </x:c>
      <x:c r="K42" s="7">
        <x:f t="shared" si="9"/>
        <x:v>1809149.1874914954</x:v>
      </x:c>
      <x:c r="L42" s="7">
        <x:f t="shared" si="10"/>
        <x:v>1183223.6458917512</x:v>
      </x:c>
      <x:c r="M42" s="7">
        <x:f t="shared" si="11"/>
        <x:v>625925.54159974423</x:v>
      </x:c>
      <x:c r="N42" s="7">
        <x:f t="shared" si="12"/>
        <x:v>1809149.1874914954</x:v>
      </x:c>
    </x:row>
    <x:row r="43" spans="1:14" outlineLevel="2" x14ac:dyDescent="0.25">
      <x:c r="A43" s="1" t="s">
        <x:v>29</x:v>
      </x:c>
      <x:c r="B43" s="1" t="s">
        <x:v>22</x:v>
      </x:c>
      <x:c r="C43" s="2">
        <x:v>6164813.3399999989</x:v>
      </x:c>
      <x:c r="D43" s="2">
        <x:v>4129446.1365537052</x:v>
      </x:c>
      <x:c r="E43" s="2">
        <x:v>2035367.2034462939</x:v>
      </x:c>
      <x:c r="F43" s="1">
        <x:v>65</x:v>
      </x:c>
      <x:c r="G43" s="1">
        <x:v>55.521743000000001</x:v>
      </x:c>
      <x:c r="H43" s="9">
        <x:v>-0.4</x:v>
      </x:c>
      <x:c r="I43" s="2">
        <x:f t="shared" si="7"/>
        <x:v>1258528.6041687343</x:v>
      </x:c>
      <x:c r="J43" s="3">
        <x:f t="shared" si="8"/>
        <x:v>1.0136589269026999</x:v>
      </x:c>
      <x:c r="K43" s="7">
        <x:f t="shared" si="9"/>
        <x:v>1275718.7543780319</x:v>
      </x:c>
      <x:c r="L43" s="7">
        <x:f t="shared" si="10"/>
        <x:v>854529.01670425443</x:v>
      </x:c>
      <x:c r="M43" s="7">
        <x:f t="shared" si="11"/>
        <x:v>421189.73767377762</x:v>
      </x:c>
      <x:c r="N43" s="7">
        <x:f t="shared" si="12"/>
        <x:v>1275718.7543780319</x:v>
      </x:c>
    </x:row>
    <x:row r="44" spans="1:14" outlineLevel="2" x14ac:dyDescent="0.25">
      <x:c r="A44" s="1" t="s">
        <x:v>29</x:v>
      </x:c>
      <x:c r="B44" s="1" t="s">
        <x:v>21</x:v>
      </x:c>
      <x:c r="C44" s="2">
        <x:v>4968099.4399999976</x:v>
      </x:c>
      <x:c r="D44" s="2">
        <x:v>3474231.2391460463</x:v>
      </x:c>
      <x:c r="E44" s="2">
        <x:v>1493868.2008539508</x:v>
      </x:c>
      <x:c r="F44" s="1">
        <x:v>65</x:v>
      </x:c>
      <x:c r="G44" s="1">
        <x:v>54.526969999999999</x:v>
      </x:c>
      <x:c r="H44" s="9">
        <x:v>-0.4</x:v>
      </x:c>
      <x:c r="I44" s="2">
        <x:f t="shared" si="7"/>
        <x:v>1120668.8656822224</x:v>
      </x:c>
      <x:c r="J44" s="3">
        <x:f t="shared" si="8"/>
        <x:v>1.0136589269026999</x:v>
      </x:c>
      <x:c r="K44" s="7">
        <x:f t="shared" si="9"/>
        <x:v>1135975.9998007074</x:v>
      </x:c>
      <x:c r="L44" s="7">
        <x:f t="shared" si="10"/>
        <x:v>794397.00293675729</x:v>
      </x:c>
      <x:c r="M44" s="7">
        <x:f t="shared" si="11"/>
        <x:v>341578.99686394999</x:v>
      </x:c>
      <x:c r="N44" s="7">
        <x:f t="shared" si="4"/>
        <x:v>1135975.9998007072</x:v>
      </x:c>
    </x:row>
    <x:row r="45" spans="1:14" outlineLevel="2" x14ac:dyDescent="0.25">
      <x:c r="A45" s="1" t="s">
        <x:v>29</x:v>
      </x:c>
      <x:c r="B45" s="1" t="s">
        <x:v>20</x:v>
      </x:c>
      <x:c r="C45" s="2">
        <x:v>3696412.5599999996</x:v>
      </x:c>
      <x:c r="D45" s="2">
        <x:v>2822199.130065856</x:v>
      </x:c>
      <x:c r="E45" s="2">
        <x:v>874213.42993414367</x:v>
      </x:c>
      <x:c r="F45" s="1">
        <x:v>65</x:v>
      </x:c>
      <x:c r="G45" s="1">
        <x:v>53.533188000000003</x:v>
      </x:c>
      <x:c r="H45" s="9">
        <x:v>-0.4</x:v>
      </x:c>
      <x:c r="I45" s="2">
        <x:f t="shared" si="7"/>
        <x:v>912930.69322987983</x:v>
      </x:c>
      <x:c r="J45" s="3">
        <x:f t="shared" si="8"/>
        <x:v>1.0136589269026999</x:v>
      </x:c>
      <x:c r="K45" s="7">
        <x:f t="shared" si="9"/>
        <x:v>925400.34683593793</x:v>
      </x:c>
      <x:c r="L45" s="7">
        <x:f t="shared" si="10"/>
        <x:v>706540.19577377092</x:v>
      </x:c>
      <x:c r="M45" s="7">
        <x:f t="shared" si="11"/>
        <x:v>218860.15106216705</x:v>
      </x:c>
      <x:c r="N45" s="7">
        <x:f t="shared" si="4"/>
        <x:v>925400.34683593793</x:v>
      </x:c>
    </x:row>
    <x:row r="46" spans="1:14" outlineLevel="2" x14ac:dyDescent="0.25">
      <x:c r="A46" s="1" t="s">
        <x:v>29</x:v>
      </x:c>
      <x:c r="B46" s="1" t="s">
        <x:v>19</x:v>
      </x:c>
      <x:c r="C46" s="2">
        <x:v>5445087.0999999996</x:v>
      </x:c>
      <x:c r="D46" s="2">
        <x:v>3839638.4307109984</x:v>
      </x:c>
      <x:c r="E46" s="2">
        <x:v>1605448.6692890013</x:v>
      </x:c>
      <x:c r="F46" s="1">
        <x:v>65</x:v>
      </x:c>
      <x:c r="G46" s="1">
        <x:v>52.540466000000002</x:v>
      </x:c>
      <x:c r="H46" s="9">
        <x:v>-0.4</x:v>
      </x:c>
      <x:c r="I46" s="2">
        <x:f t="shared" si="7"/>
        <x:v>1461239.1845780914</x:v>
      </x:c>
      <x:c r="J46" s="3">
        <x:f t="shared" si="8"/>
        <x:v>1.0136589269026999</x:v>
      </x:c>
      <x:c r="K46" s="7">
        <x:f t="shared" si="9"/>
        <x:v>1481198.1437876043</x:v>
      </x:c>
      <x:c r="L46" s="7">
        <x:f t="shared" si="10"/>
        <x:v>1044476.46326625</x:v>
      </x:c>
      <x:c r="M46" s="7">
        <x:f t="shared" si="11"/>
        <x:v>436721.68052135443</x:v>
      </x:c>
      <x:c r="N46" s="7">
        <x:f t="shared" si="4"/>
        <x:v>1481198.1437876043</x:v>
      </x:c>
    </x:row>
    <x:row r="47" spans="1:14" outlineLevel="2" x14ac:dyDescent="0.25">
      <x:c r="A47" s="1" t="s">
        <x:v>29</x:v>
      </x:c>
      <x:c r="B47" s="1" t="s">
        <x:v>95</x:v>
      </x:c>
      <x:c r="C47" s="2">
        <x:v>5317747.1499999994</x:v>
      </x:c>
      <x:c r="D47" s="2">
        <x:v>3640143.423075729</x:v>
      </x:c>
      <x:c r="E47" s="2">
        <x:v>1677603.7269242702</x:v>
      </x:c>
      <x:c r="F47" s="1">
        <x:v>65</x:v>
      </x:c>
      <x:c r="G47" s="1">
        <x:v>51.548991999999998</x:v>
      </x:c>
      <x:c r="H47" s="9">
        <x:v>-0.4</x:v>
      </x:c>
      <x:c r="I47" s="2">
        <x:f t="shared" si="7"/>
        <x:v>1540625.8959888932</x:v>
      </x:c>
      <x:c r="J47" s="3">
        <x:f t="shared" si="8"/>
        <x:v>1.0136589269026999</x:v>
      </x:c>
      <x:c r="K47" s="7">
        <x:f t="shared" si="9"/>
        <x:v>1561669.1924866121</x:v>
      </x:c>
      <x:c r="L47" s="7">
        <x:f t="shared" si="10"/>
        <x:v>1069005.2910940165</x:v>
      </x:c>
      <x:c r="M47" s="7">
        <x:f t="shared" si="11"/>
        <x:v>492663.90139259561</x:v>
      </x:c>
      <x:c r="N47" s="7">
        <x:f t="shared" si="4"/>
        <x:v>1561669.1924866121</x:v>
      </x:c>
    </x:row>
    <x:row r="48" spans="1:14" outlineLevel="2" x14ac:dyDescent="0.25">
      <x:c r="A48" s="1" t="s">
        <x:v>29</x:v>
      </x:c>
      <x:c r="B48" s="1" t="s">
        <x:v>18</x:v>
      </x:c>
      <x:c r="C48" s="2">
        <x:v>7003261.129999998</x:v>
      </x:c>
      <x:c r="D48" s="2">
        <x:v>4998091.6118401196</x:v>
      </x:c>
      <x:c r="E48" s="2">
        <x:v>2005169.5181598784</x:v>
      </x:c>
      <x:c r="F48" s="1">
        <x:v>65</x:v>
      </x:c>
      <x:c r="G48" s="1">
        <x:v>50.558951</x:v>
      </x:c>
      <x:c r="H48" s="9">
        <x:v>-0.4</x:v>
      </x:c>
      <x:c r="I48" s="2">
        <x:f t="shared" si="7"/>
        <x:v>2178280.1845134688</x:v>
      </x:c>
      <x:c r="J48" s="3">
        <x:f t="shared" si="8"/>
        <x:v>1.0136589269026999</x:v>
      </x:c>
      <x:c r="K48" s="7">
        <x:f t="shared" si="9"/>
        <x:v>2208033.1543273376</x:v>
      </x:c>
      <x:c r="L48" s="7">
        <x:f t="shared" si="10"/>
        <x:v>1575830.4284890129</x:v>
      </x:c>
      <x:c r="M48" s="7">
        <x:f t="shared" si="11"/>
        <x:v>632202.72583832464</x:v>
      </x:c>
      <x:c r="N48" s="7">
        <x:f t="shared" si="4"/>
        <x:v>2208033.1543273376</x:v>
      </x:c>
    </x:row>
    <x:row r="49" spans="1:14" outlineLevel="2" x14ac:dyDescent="0.25">
      <x:c r="A49" s="1" t="s">
        <x:v>29</x:v>
      </x:c>
      <x:c r="B49" s="1" t="s">
        <x:v>17</x:v>
      </x:c>
      <x:c r="C49" s="2">
        <x:v>6265953.8899999987</x:v>
      </x:c>
      <x:c r="D49" s="2">
        <x:v>4982685.2208506409</x:v>
      </x:c>
      <x:c r="E49" s="2">
        <x:v>1283268.6691493581</x:v>
      </x:c>
      <x:c r="F49" s="1">
        <x:v>65</x:v>
      </x:c>
      <x:c r="G49" s="1">
        <x:v>49.570459999999997</x:v>
      </x:c>
      <x:c r="H49" s="9">
        <x:v>-0.4</x:v>
      </x:c>
      <x:c r="I49" s="2">
        <x:f t="shared" si="7"/>
        <x:v>2082355.3947303824</x:v>
      </x:c>
      <x:c r="J49" s="3">
        <x:f t="shared" si="8"/>
        <x:v>1.0136589269026999</x:v>
      </x:c>
      <x:c r="K49" s="7">
        <x:f t="shared" si="9"/>
        <x:v>2110798.1348524475</x:v>
      </x:c>
      <x:c r="L49" s="7">
        <x:f t="shared" si="10"/>
        <x:v>1678506.2347032994</x:v>
      </x:c>
      <x:c r="M49" s="7">
        <x:f t="shared" si="11"/>
        <x:v>432291.90014914837</x:v>
      </x:c>
      <x:c r="N49" s="7">
        <x:f t="shared" si="4"/>
        <x:v>2110798.1348524475</x:v>
      </x:c>
    </x:row>
    <x:row r="50" spans="1:14" outlineLevel="2" x14ac:dyDescent="0.25">
      <x:c r="A50" s="1" t="s">
        <x:v>29</x:v>
      </x:c>
      <x:c r="B50" s="1" t="s">
        <x:v>16</x:v>
      </x:c>
      <x:c r="C50" s="2">
        <x:v>7458611.9346099962</x:v>
      </x:c>
      <x:c r="D50" s="2">
        <x:v>5199697.2309345109</x:v>
      </x:c>
      <x:c r="E50" s="2">
        <x:v>2258914.7036754857</x:v>
      </x:c>
      <x:c r="F50" s="1">
        <x:v>65</x:v>
      </x:c>
      <x:c r="G50" s="1">
        <x:v>48.583865000000003</x:v>
      </x:c>
      <x:c r="H50" s="9">
        <x:v>-0.4</x:v>
      </x:c>
      <x:c r="I50" s="2">
        <x:f t="shared" si="7"/>
        <x:v>2637203.2708251746</x:v>
      </x:c>
      <x:c r="J50" s="3">
        <x:f t="shared" si="8"/>
        <x:v>1.0136589269026999</x:v>
      </x:c>
      <x:c r="K50" s="7">
        <x:f t="shared" si="9"/>
        <x:v>2673224.6375289368</x:v>
      </x:c>
      <x:c r="L50" s="7">
        <x:f t="shared" si="10"/>
        <x:v>1863612.005462507</x:v>
      </x:c>
      <x:c r="M50" s="7">
        <x:f t="shared" si="11"/>
        <x:v>809612.63206642983</x:v>
      </x:c>
      <x:c r="N50" s="7">
        <x:f t="shared" si="4"/>
        <x:v>2673224.6375289368</x:v>
      </x:c>
    </x:row>
    <x:row r="51" spans="1:14" outlineLevel="2" x14ac:dyDescent="0.25">
      <x:c r="A51" s="1" t="s">
        <x:v>29</x:v>
      </x:c>
      <x:c r="B51" s="1" t="s">
        <x:v>15</x:v>
      </x:c>
      <x:c r="C51" s="2">
        <x:v>3802652.049999998</x:v>
      </x:c>
      <x:c r="D51" s="2">
        <x:v>2873240.6639046096</x:v>
      </x:c>
      <x:c r="E51" s="2">
        <x:v>929411.38609538809</x:v>
      </x:c>
      <x:c r="F51" s="1">
        <x:v>65</x:v>
      </x:c>
      <x:c r="G51" s="1">
        <x:v>47.599161000000002</x:v>
      </x:c>
      <x:c r="H51" s="9">
        <x:v>-0.4</x:v>
      </x:c>
      <x:c r="I51" s="2">
        <x:f t="shared" si="7"/>
        <x:v>1425185.7005091978</x:v>
      </x:c>
      <x:c r="J51" s="3">
        <x:f t="shared" si="8"/>
        <x:v>1.0136589269026999</x:v>
      </x:c>
      <x:c r="K51" s="7">
        <x:f t="shared" si="9"/>
        <x:v>1444652.2078152259</x:v>
      </x:c>
      <x:c r="L51" s="7">
        <x:f t="shared" si="10"/>
        <x:v>1091562.7867383454</x:v>
      </x:c>
      <x:c r="M51" s="7">
        <x:f t="shared" si="11"/>
        <x:v>353089.42107688042</x:v>
      </x:c>
      <x:c r="N51" s="7">
        <x:f t="shared" si="4"/>
        <x:v>1444652.2078152257</x:v>
      </x:c>
    </x:row>
    <x:row r="52" spans="1:14" outlineLevel="2" x14ac:dyDescent="0.25">
      <x:c r="A52" s="1" t="s">
        <x:v>29</x:v>
      </x:c>
      <x:c r="B52" s="1" t="s">
        <x:v>14</x:v>
      </x:c>
      <x:c r="C52" s="2">
        <x:v>4424137.0600000015</x:v>
      </x:c>
      <x:c r="D52" s="2">
        <x:v>3193500.6104536839</x:v>
      </x:c>
      <x:c r="E52" s="2">
        <x:v>1230636.4495463176</x:v>
      </x:c>
      <x:c r="F52" s="1">
        <x:v>65</x:v>
      </x:c>
      <x:c r="G52" s="1">
        <x:v>46.616928999999999</x:v>
      </x:c>
      <x:c r="H52" s="9">
        <x:v>-0.4</x:v>
      </x:c>
      <x:c r="I52" s="2">
        <x:f t="shared" si="7"/>
        <x:v>1751706.3994276279</x:v>
      </x:c>
      <x:c r="J52" s="3">
        <x:f t="shared" si="8"/>
        <x:v>1.0136589269026999</x:v>
      </x:c>
      <x:c r="K52" s="7">
        <x:f t="shared" si="9"/>
        <x:v>1775632.8290924015</x:v>
      </x:c>
      <x:c r="L52" s="7">
        <x:f t="shared" si="10"/>
        <x:v>1281715.3824000617</x:v>
      </x:c>
      <x:c r="M52" s="7">
        <x:f t="shared" si="11"/>
        <x:v>493917.4466923399</x:v>
      </x:c>
      <x:c r="N52" s="7">
        <x:f t="shared" si="4"/>
        <x:v>1775632.8290924015</x:v>
      </x:c>
    </x:row>
    <x:row r="53" spans="1:14" outlineLevel="2" x14ac:dyDescent="0.25">
      <x:c r="A53" s="1" t="s">
        <x:v>29</x:v>
      </x:c>
      <x:c r="B53" s="1" t="s">
        <x:v>13</x:v>
      </x:c>
      <x:c r="C53" s="2">
        <x:v>5227098.21</x:v>
      </x:c>
      <x:c r="D53" s="2">
        <x:v>3626563.0451422348</x:v>
      </x:c>
      <x:c r="E53" s="2">
        <x:v>1600535.1648577652</x:v>
      </x:c>
      <x:c r="F53" s="1">
        <x:v>65</x:v>
      </x:c>
      <x:c r="G53" s="1">
        <x:v>45.636958</x:v>
      </x:c>
      <x:c r="H53" s="9">
        <x:v>-0.4</x:v>
      </x:c>
      <x:c r="I53" s="2">
        <x:f t="shared" si="7"/>
        <x:v>2179962.0161491809</x:v>
      </x:c>
      <x:c r="J53" s="3">
        <x:f t="shared" si="8"/>
        <x:v>1.0136589269026999</x:v>
      </x:c>
      <x:c r="K53" s="7">
        <x:f t="shared" si="9"/>
        <x:v>2209737.9579784246</x:v>
      </x:c>
      <x:c r="L53" s="7">
        <x:f t="shared" si="10"/>
        <x:v>1533117.1705405205</x:v>
      </x:c>
      <x:c r="M53" s="7">
        <x:f t="shared" si="11"/>
        <x:v>676620.78743790416</x:v>
      </x:c>
      <x:c r="N53" s="7">
        <x:f t="shared" si="4"/>
        <x:v>2209737.9579784246</x:v>
      </x:c>
    </x:row>
    <x:row r="54" spans="1:14" outlineLevel="2" x14ac:dyDescent="0.25">
      <x:c r="A54" s="1" t="s">
        <x:v>29</x:v>
      </x:c>
      <x:c r="B54" s="1" t="s">
        <x:v>12</x:v>
      </x:c>
      <x:c r="C54" s="2">
        <x:v>4989767.6680854876</x:v>
      </x:c>
      <x:c r="D54" s="2">
        <x:v>3890463.755337453</x:v>
      </x:c>
      <x:c r="E54" s="2">
        <x:v>1099303.912748035</x:v>
      </x:c>
      <x:c r="F54" s="1">
        <x:v>65</x:v>
      </x:c>
      <x:c r="G54" s="1">
        <x:v>44.660153000000001</x:v>
      </x:c>
      <x:c r="H54" s="9">
        <x:v>-0.4</x:v>
      </x:c>
      <x:c r="I54" s="2">
        <x:f t="shared" si="7"/>
        <x:v>2185962.3893564283</x:v>
      </x:c>
      <x:c r="J54" s="3">
        <x:f t="shared" si="8"/>
        <x:v>1.0136589269026999</x:v>
      </x:c>
      <x:c r="K54" s="7">
        <x:f t="shared" si="9"/>
        <x:v>2215820.2898446987</x:v>
      </x:c>
      <x:c r="L54" s="7">
        <x:f t="shared" si="10"/>
        <x:v>1727649.2813722</x:v>
      </x:c>
      <x:c r="M54" s="7">
        <x:f t="shared" si="11"/>
        <x:v>488171.00847249903</x:v>
      </x:c>
      <x:c r="N54" s="7">
        <x:f t="shared" si="4"/>
        <x:v>2215820.2898446992</x:v>
      </x:c>
    </x:row>
    <x:row r="55" spans="1:14" outlineLevel="2" x14ac:dyDescent="0.25">
      <x:c r="A55" s="1" t="s">
        <x:v>29</x:v>
      </x:c>
      <x:c r="B55" s="1" t="s">
        <x:v>94</x:v>
      </x:c>
      <x:c r="C55" s="2">
        <x:v>3170514.8000000003</x:v>
      </x:c>
      <x:c r="D55" s="2">
        <x:v>2432634.8741312581</x:v>
      </x:c>
      <x:c r="E55" s="2">
        <x:v>737879.92586874217</x:v>
      </x:c>
      <x:c r="F55" s="1">
        <x:v>65</x:v>
      </x:c>
      <x:c r="G55" s="1">
        <x:v>43.686140000000002</x:v>
      </x:c>
      <x:c r="H55" s="9">
        <x:v>-0.4</x:v>
      </x:c>
      <x:c r="I55" s="2">
        <x:f t="shared" si="7"/>
        <x:v>1455481.1077719876</x:v>
      </x:c>
      <x:c r="J55" s="3">
        <x:f t="shared" si="8"/>
        <x:v>1.0136589269026999</x:v>
      </x:c>
      <x:c r="K55" s="7">
        <x:f t="shared" si="9"/>
        <x:v>1475361.4178313059</x:v>
      </x:c>
      <x:c r="L55" s="7">
        <x:f t="shared" si="10"/>
        <x:v>1131997.7553689934</x:v>
      </x:c>
      <x:c r="M55" s="7">
        <x:f t="shared" si="11"/>
        <x:v>343363.6624623125</x:v>
      </x:c>
      <x:c r="N55" s="7">
        <x:f t="shared" si="4"/>
        <x:v>1475361.4178313059</x:v>
      </x:c>
    </x:row>
    <x:row r="56" spans="1:14" outlineLevel="2" x14ac:dyDescent="0.25">
      <x:c r="A56" s="1" t="s">
        <x:v>29</x:v>
      </x:c>
      <x:c r="B56" s="1" t="s">
        <x:v>11</x:v>
      </x:c>
      <x:c r="C56" s="2">
        <x:v>5469606.580000001</x:v>
      </x:c>
      <x:c r="D56" s="2">
        <x:v>3881500.9774000258</x:v>
      </x:c>
      <x:c r="E56" s="2">
        <x:v>1588105.602599975</x:v>
      </x:c>
      <x:c r="F56" s="1">
        <x:v>65</x:v>
      </x:c>
      <x:c r="G56" s="1">
        <x:v>42.715851000000001</x:v>
      </x:c>
      <x:c r="H56" s="9">
        <x:v>-0.4</x:v>
      </x:c>
      <x:c r="I56" s="2">
        <x:f t="shared" si="7"/>
        <x:v>2625226.7569252397</x:v>
      </x:c>
      <x:c r="J56" s="3">
        <x:f t="shared" si="8"/>
        <x:v>1.0136589269026999</x:v>
      </x:c>
      <x:c r="K56" s="7">
        <x:f t="shared" si="9"/>
        <x:v>2661084.5373010933</x:v>
      </x:c>
      <x:c r="L56" s="7">
        <x:f t="shared" si="10"/>
        <x:v>1888436.0477126467</x:v>
      </x:c>
      <x:c r="M56" s="7">
        <x:f t="shared" si="11"/>
        <x:v>772648.48958844633</x:v>
      </x:c>
      <x:c r="N56" s="7">
        <x:f t="shared" si="4"/>
        <x:v>2661084.5373010929</x:v>
      </x:c>
    </x:row>
    <x:row r="57" spans="1:14" outlineLevel="2" x14ac:dyDescent="0.25">
      <x:c r="A57" s="1" t="s">
        <x:v>29</x:v>
      </x:c>
      <x:c r="B57" s="1" t="s">
        <x:v>10</x:v>
      </x:c>
      <x:c r="C57" s="2">
        <x:v>2679397.9299999997</x:v>
      </x:c>
      <x:c r="D57" s="2">
        <x:v>2108596.8929195744</x:v>
      </x:c>
      <x:c r="E57" s="2">
        <x:v>570801.03708042542</x:v>
      </x:c>
      <x:c r="F57" s="1">
        <x:v>65</x:v>
      </x:c>
      <x:c r="G57" s="1">
        <x:v>41.749085000000001</x:v>
      </x:c>
      <x:c r="H57" s="9">
        <x:v>-0.4</x:v>
      </x:c>
      <x:c r="I57" s="2">
        <x:f t="shared" si="7"/>
        <x:v>1341812.8450807433</x:v>
      </x:c>
      <x:c r="J57" s="3">
        <x:f t="shared" si="8"/>
        <x:v>1.0136589269026999</x:v>
      </x:c>
      <x:c r="K57" s="7">
        <x:f t="shared" si="9"/>
        <x:v>1360140.5686488049</x:v>
      </x:c>
      <x:c r="L57" s="7">
        <x:f t="shared" si="10"/>
        <x:v>1070385.3074137194</x:v>
      </x:c>
      <x:c r="M57" s="7">
        <x:f t="shared" si="11"/>
        <x:v>289755.26123508555</x:v>
      </x:c>
      <x:c r="N57" s="7">
        <x:f t="shared" si="4"/>
        <x:v>1360140.5686488049</x:v>
      </x:c>
    </x:row>
    <x:row r="58" spans="1:14" outlineLevel="2" x14ac:dyDescent="0.25">
      <x:c r="A58" s="1" t="s">
        <x:v>29</x:v>
      </x:c>
      <x:c r="B58" s="1" t="s">
        <x:v>9</x:v>
      </x:c>
      <x:c r="C58" s="2">
        <x:v>2399865.54</x:v>
      </x:c>
      <x:c r="D58" s="2">
        <x:v>1870362.5403831934</x:v>
      </x:c>
      <x:c r="E58" s="2">
        <x:v>529502.99961680686</x:v>
      </x:c>
      <x:c r="F58" s="1">
        <x:v>65</x:v>
      </x:c>
      <x:c r="G58" s="1">
        <x:v>40.786628999999998</x:v>
      </x:c>
      <x:c r="H58" s="9">
        <x:v>-0.4</x:v>
      </x:c>
      <x:c r="I58" s="2">
        <x:f t="shared" si="7"/>
        <x:v>1251574.9005875303</x:v>
      </x:c>
      <x:c r="J58" s="3">
        <x:f t="shared" si="8"/>
        <x:v>1.0136589269026999</x:v>
      </x:c>
      <x:c r="K58" s="7">
        <x:f t="shared" si="9"/>
        <x:v>1268670.0706679092</x:v>
      </x:c>
      <x:c r="L58" s="7">
        <x:f t="shared" si="10"/>
        <x:v>988752.46830810199</x:v>
      </x:c>
      <x:c r="M58" s="7">
        <x:f t="shared" si="11"/>
        <x:v>279917.60235980729</x:v>
      </x:c>
      <x:c r="N58" s="7">
        <x:f t="shared" si="4"/>
        <x:v>1268670.0706679092</x:v>
      </x:c>
    </x:row>
    <x:row r="59" spans="1:14" outlineLevel="2" x14ac:dyDescent="0.25">
      <x:c r="A59" s="1" t="s">
        <x:v>29</x:v>
      </x:c>
      <x:c r="B59" s="1" t="s">
        <x:v>93</x:v>
      </x:c>
      <x:c r="C59" s="2">
        <x:v>2717661.7799999993</x:v>
      </x:c>
      <x:c r="D59" s="2">
        <x:v>1913615.6085743152</x:v>
      </x:c>
      <x:c r="E59" s="2">
        <x:v>804046.17142568401</x:v>
      </x:c>
      <x:c r="F59" s="1">
        <x:v>65</x:v>
      </x:c>
      <x:c r="G59" s="1">
        <x:v>39.828541000000001</x:v>
      </x:c>
      <x:c r="H59" s="9">
        <x:v>-0.4</x:v>
      </x:c>
      <x:c r="I59" s="2">
        <x:f t="shared" si="7"/>
        <x:v>1473392.5676860274</x:v>
      </x:c>
      <x:c r="J59" s="3">
        <x:f t="shared" si="8"/>
        <x:v>1.0136589269026999</x:v>
      </x:c>
      <x:c r="K59" s="7">
        <x:f t="shared" si="9"/>
        <x:v>1493517.529067032</x:v>
      </x:c>
      <x:c r="L59" s="7">
        <x:f t="shared" si="10"/>
        <x:v>1051646.1159129289</x:v>
      </x:c>
      <x:c r="M59" s="7">
        <x:f t="shared" si="11"/>
        <x:v>441871.41315410309</x:v>
      </x:c>
      <x:c r="N59" s="7">
        <x:f t="shared" si="4"/>
        <x:v>1493517.529067032</x:v>
      </x:c>
    </x:row>
    <x:row r="60" spans="1:14" outlineLevel="2" x14ac:dyDescent="0.25">
      <x:c r="A60" s="1" t="s">
        <x:v>29</x:v>
      </x:c>
      <x:c r="B60" s="1" t="s">
        <x:v>92</x:v>
      </x:c>
      <x:c r="C60" s="2">
        <x:v>3363137.7</x:v>
      </x:c>
      <x:c r="D60" s="2">
        <x:v>2408814.5695151095</x:v>
      </x:c>
      <x:c r="E60" s="2">
        <x:v>954323.13048489054</x:v>
      </x:c>
      <x:c r="F60" s="1">
        <x:v>65</x:v>
      </x:c>
      <x:c r="G60" s="1">
        <x:v>38.875360000000001</x:v>
      </x:c>
      <x:c r="H60" s="9">
        <x:v>-0.4</x:v>
      </x:c>
      <x:c r="I60" s="2">
        <x:f t="shared" si="7"/>
        <x:v>1892385.6362476801</x:v>
      </x:c>
      <x:c r="J60" s="3">
        <x:f t="shared" si="8"/>
        <x:v>1.0136589269026999</x:v>
      </x:c>
      <x:c r="K60" s="7">
        <x:f t="shared" si="9"/>
        <x:v>1918233.5933249064</x:v>
      </x:c>
      <x:c r="L60" s="7">
        <x:f t="shared" si="10"/>
        <x:v>1373916.0984500742</x:v>
      </x:c>
      <x:c r="M60" s="7">
        <x:f t="shared" si="11"/>
        <x:v>544317.49487483222</x:v>
      </x:c>
      <x:c r="N60" s="7">
        <x:f t="shared" si="4"/>
        <x:v>1918233.5933249064</x:v>
      </x:c>
    </x:row>
    <x:row r="61" spans="1:14" outlineLevel="2" x14ac:dyDescent="0.25">
      <x:c r="A61" s="1" t="s">
        <x:v>29</x:v>
      </x:c>
      <x:c r="B61" s="1" t="s">
        <x:v>91</x:v>
      </x:c>
      <x:c r="C61" s="2">
        <x:v>1771814.5399999996</x:v>
      </x:c>
      <x:c r="D61" s="2">
        <x:v>1350598.1399238564</x:v>
      </x:c>
      <x:c r="E61" s="2">
        <x:v>421216.40007614327</x:v>
      </x:c>
      <x:c r="F61" s="1">
        <x:v>65</x:v>
      </x:c>
      <x:c r="G61" s="1">
        <x:v>37.927515</x:v>
      </x:c>
      <x:c r="H61" s="9">
        <x:v>-0.4</x:v>
      </x:c>
      <x:c r="I61" s="2">
        <x:f t="shared" si="7"/>
        <x:v>1033144.4858416099</x:v>
      </x:c>
      <x:c r="J61" s="3">
        <x:f t="shared" si="8"/>
        <x:v>1.0136589269026999</x:v>
      </x:c>
      <x:c r="K61" s="7">
        <x:f t="shared" si="9"/>
        <x:v>1047256.1308536478</x:v>
      </x:c>
      <x:c r="L61" s="7">
        <x:f t="shared" si="10"/>
        <x:v>798290.19935393007</x:v>
      </x:c>
      <x:c r="M61" s="7">
        <x:f t="shared" si="11"/>
        <x:v>248965.93149971784</x:v>
      </x:c>
      <x:c r="N61" s="7">
        <x:f t="shared" si="4"/>
        <x:v>1047256.1308536479</x:v>
      </x:c>
    </x:row>
    <x:row r="62" spans="1:14" outlineLevel="2" x14ac:dyDescent="0.25">
      <x:c r="A62" s="1" t="s">
        <x:v>29</x:v>
      </x:c>
      <x:c r="B62" s="1" t="s">
        <x:v>90</x:v>
      </x:c>
      <x:c r="C62" s="2">
        <x:v>162052.6</x:v>
      </x:c>
      <x:c r="D62" s="2">
        <x:v>129859.92327650126</x:v>
      </x:c>
      <x:c r="E62" s="2">
        <x:v>32192.676723498753</x:v>
      </x:c>
      <x:c r="F62" s="1">
        <x:v>65</x:v>
      </x:c>
      <x:c r="G62" s="1">
        <x:v>36.985152999999997</x:v>
      </x:c>
      <x:c r="H62" s="9">
        <x:v>-0.4</x:v>
      </x:c>
      <x:c r="I62" s="2">
        <x:f t="shared" si="7"/>
        <x:v>97782.004814355081</x:v>
      </x:c>
      <x:c r="J62" s="3">
        <x:f t="shared" si="8"/>
        <x:v>1.0136589269026999</x:v>
      </x:c>
      <x:c r="K62" s="7">
        <x:f t="shared" si="9"/>
        <x:v>99117.602070513807</x:v>
      </x:c>
      <x:c r="L62" s="7">
        <x:f t="shared" si="10"/>
        <x:v>79427.322981721401</x:v>
      </x:c>
      <x:c r="M62" s="7">
        <x:f t="shared" si="11"/>
        <x:v>19690.279088792417</x:v>
      </x:c>
      <x:c r="N62" s="7">
        <x:f t="shared" si="4"/>
        <x:v>99117.602070513822</x:v>
      </x:c>
    </x:row>
    <x:row r="63" spans="1:14" outlineLevel="2" x14ac:dyDescent="0.25">
      <x:c r="A63" s="1" t="s">
        <x:v>29</x:v>
      </x:c>
      <x:c r="B63" s="1" t="s">
        <x:v>89</x:v>
      </x:c>
      <x:c r="C63" s="2">
        <x:v>799417.11</x:v>
      </x:c>
      <x:c r="D63" s="2">
        <x:v>598080.91845344612</x:v>
      </x:c>
      <x:c r="E63" s="2">
        <x:v>201336.19154655389</x:v>
      </x:c>
      <x:c r="F63" s="1">
        <x:v>65</x:v>
      </x:c>
      <x:c r="G63" s="1">
        <x:v>36.049205999999998</x:v>
      </x:c>
      <x:c r="H63" s="9">
        <x:v>-0.4</x:v>
      </x:c>
      <x:c r="I63" s="2">
        <x:f t="shared" si="7"/>
        <x:v>498480.98615937651</x:v>
      </x:c>
      <x:c r="J63" s="3">
        <x:f t="shared" si="8"/>
        <x:v>1.0136589269026999</x:v>
      </x:c>
      <x:c r="K63" s="7">
        <x:f t="shared" si="9"/>
        <x:v>505289.70151171315</x:v>
      </x:c>
      <x:c r="L63" s="7">
        <x:f t="shared" si="10"/>
        <x:v>378030.59877614211</x:v>
      </x:c>
      <x:c r="M63" s="7">
        <x:f t="shared" si="11"/>
        <x:v>127259.10273557107</x:v>
      </x:c>
      <x:c r="N63" s="7">
        <x:f t="shared" si="4"/>
        <x:v>505289.70151171321</x:v>
      </x:c>
    </x:row>
    <x:row r="64" spans="1:14" outlineLevel="2" x14ac:dyDescent="0.25">
      <x:c r="A64" s="1" t="s">
        <x:v>29</x:v>
      </x:c>
      <x:c r="B64" s="1" t="s">
        <x:v>88</x:v>
      </x:c>
      <x:c r="C64" s="2">
        <x:v>1081844.2999999998</x:v>
      </x:c>
      <x:c r="D64" s="2">
        <x:v>737521.52122080128</x:v>
      </x:c>
      <x:c r="E64" s="2">
        <x:v>344322.77877919865</x:v>
      </x:c>
      <x:c r="F64" s="1">
        <x:v>65</x:v>
      </x:c>
      <x:c r="G64" s="1">
        <x:v>35.119293999999996</x:v>
      </x:c>
      <x:c r="H64" s="9">
        <x:v>-0.4</x:v>
      </x:c>
      <x:c r="I64" s="2">
        <x:f t="shared" si="7"/>
        <x:v>696258.15465394012</x:v>
      </x:c>
      <x:c r="J64" s="3">
        <x:f t="shared" si="8"/>
        <x:v>1.0136589269026999</x:v>
      </x:c>
      <x:c r="K64" s="7">
        <x:f t="shared" si="9"/>
        <x:v>705768.29389376694</x:v>
      </x:c>
      <x:c r="L64" s="7">
        <x:f t="shared" si="10"/>
        <x:v>481140.68331454042</x:v>
      </x:c>
      <x:c r="M64" s="7">
        <x:f t="shared" si="11"/>
        <x:v>224627.61057922663</x:v>
      </x:c>
      <x:c r="N64" s="7">
        <x:f t="shared" si="4"/>
        <x:v>705768.29389376706</x:v>
      </x:c>
    </x:row>
    <x:row r="65" spans="1:14" outlineLevel="2" x14ac:dyDescent="0.25">
      <x:c r="A65" s="1" t="s">
        <x:v>29</x:v>
      </x:c>
      <x:c r="B65" s="1" t="s">
        <x:v>8</x:v>
      </x:c>
      <x:c r="C65" s="2">
        <x:v>868126.53</x:v>
      </x:c>
      <x:c r="D65" s="2">
        <x:v>646587.06740308437</x:v>
      </x:c>
      <x:c r="E65" s="2">
        <x:v>221539.46259691569</x:v>
      </x:c>
      <x:c r="F65" s="1">
        <x:v>65</x:v>
      </x:c>
      <x:c r="G65" s="1">
        <x:v>34.196973</x:v>
      </x:c>
      <x:c r="H65" s="9">
        <x:v>-0.4</x:v>
      </x:c>
      <x:c r="I65" s="2">
        <x:f t="shared" si="7"/>
        <x:v>575958.38338782825</x:v>
      </x:c>
      <x:c r="J65" s="3">
        <x:f t="shared" si="8"/>
        <x:v>1.0136589269026999</x:v>
      </x:c>
      <x:c r="K65" s="7">
        <x:f t="shared" si="9"/>
        <x:v>583825.35684551974</x:v>
      </x:c>
      <x:c r="L65" s="7">
        <x:f t="shared" si="10"/>
        <x:v>434837.44858978549</x:v>
      </x:c>
      <x:c r="M65" s="7">
        <x:f t="shared" si="11"/>
        <x:v>148987.90825573431</x:v>
      </x:c>
      <x:c r="N65" s="7">
        <x:f t="shared" si="4"/>
        <x:v>583825.35684551974</x:v>
      </x:c>
    </x:row>
    <x:row r="66" spans="1:14" outlineLevel="2" x14ac:dyDescent="0.25">
      <x:c r="A66" s="1" t="s">
        <x:v>29</x:v>
      </x:c>
      <x:c r="B66" s="1" t="s">
        <x:v>87</x:v>
      </x:c>
      <x:c r="C66" s="2">
        <x:v>283387.12000000005</x:v>
      </x:c>
      <x:c r="D66" s="2">
        <x:v>239746.07537072769</x:v>
      </x:c>
      <x:c r="E66" s="2">
        <x:v>43641.044629272365</x:v>
      </x:c>
      <x:c r="F66" s="1">
        <x:v>65</x:v>
      </x:c>
      <x:c r="G66" s="1">
        <x:v>33.281171999999998</x:v>
      </x:c>
      <x:c r="H66" s="9">
        <x:v>-0.4</x:v>
      </x:c>
      <x:c r="I66" s="2">
        <x:f t="shared" ref="I66:I97" si="13">+C66*(1-H66)*(1-G66/F66)</x:f>
        <x:v>193602.92682113088</x:v>
      </x:c>
      <x:c r="J66" s="3">
        <x:f t="shared" ref="J66:J97" si="14">$J$130</x:f>
        <x:v>1.0136589269026999</x:v>
      </x:c>
      <x:c r="K66" s="7">
        <x:f t="shared" ref="K66:K97" si="15">IF((C66*(1-H66)-I66*J66)&lt;0,C66*(1-H66),I66*J66)</x:f>
        <x:v>196247.33504672945</x:v>
      </x:c>
      <x:c r="L66" s="7">
        <x:f t="shared" ref="L66:L97" si="16">+D66/$C66*$K66</x:f>
        <x:v>166025.64145970234</x:v>
      </x:c>
      <x:c r="M66" s="7">
        <x:f t="shared" ref="M66:M97" si="17">+E66/$C66*$K66</x:f>
        <x:v>30221.693587027123</x:v>
      </x:c>
      <x:c r="N66" s="7">
        <x:f t="shared" si="4"/>
        <x:v>196247.33504672945</x:v>
      </x:c>
    </x:row>
    <x:row r="67" spans="1:14" outlineLevel="2" x14ac:dyDescent="0.25">
      <x:c r="A67" s="1" t="s">
        <x:v>29</x:v>
      </x:c>
      <x:c r="B67" s="1" t="s">
        <x:v>7</x:v>
      </x:c>
      <x:c r="C67" s="2">
        <x:v>1153850.6600000001</x:v>
      </x:c>
      <x:c r="D67" s="2">
        <x:v>977948.43908367062</x:v>
      </x:c>
      <x:c r="E67" s="2">
        <x:v>175902.22091632959</x:v>
      </x:c>
      <x:c r="F67" s="1">
        <x:v>65</x:v>
      </x:c>
      <x:c r="G67" s="1">
        <x:v>32.374229</x:v>
      </x:c>
      <x:c r="H67" s="9">
        <x:v>-0.4</x:v>
      </x:c>
      <x:c r="I67" s="2">
        <x:f t="shared" si="13"/>
        <x:v>810821.14402926783</x:v>
      </x:c>
      <x:c r="J67" s="3">
        <x:f t="shared" si="14"/>
        <x:v>1.0136589269026999</x:v>
      </x:c>
      <x:c r="K67" s="7">
        <x:f t="shared" si="15"/>
        <x:v>821896.09076672711</x:v>
      </x:c>
      <x:c r="L67" s="7">
        <x:f t="shared" si="16"/>
        <x:v>696599.67872644064</x:v>
      </x:c>
      <x:c r="M67" s="7">
        <x:f t="shared" si="17"/>
        <x:v>125296.41204028646</x:v>
      </x:c>
      <x:c r="N67" s="7">
        <x:f t="shared" si="4"/>
        <x:v>821896.09076672711</x:v>
      </x:c>
    </x:row>
    <x:row r="68" spans="1:14" outlineLevel="2" x14ac:dyDescent="0.25">
      <x:c r="A68" s="1" t="s">
        <x:v>29</x:v>
      </x:c>
      <x:c r="B68" s="1" t="s">
        <x:v>86</x:v>
      </x:c>
      <x:c r="C68" s="2">
        <x:v>427665.42000000004</x:v>
      </x:c>
      <x:c r="D68" s="2">
        <x:v>342623.80142945424</x:v>
      </x:c>
      <x:c r="E68" s="2">
        <x:v>85041.618570545776</x:v>
      </x:c>
      <x:c r="F68" s="1">
        <x:v>65</x:v>
      </x:c>
      <x:c r="G68" s="1">
        <x:v>31.474575999999999</x:v>
      </x:c>
      <x:c r="H68" s="9">
        <x:v>-0.4</x:v>
      </x:c>
      <x:c r="I68" s="2">
        <x:f t="shared" si="13"/>
        <x:v>308811.2361522048</x:v>
      </x:c>
      <x:c r="J68" s="3">
        <x:f t="shared" si="14"/>
        <x:v>1.0136589269026999</x:v>
      </x:c>
      <x:c r="K68" s="7">
        <x:f t="shared" si="15"/>
        <x:v>313029.26625354018</x:v>
      </x:c>
      <x:c r="L68" s="7">
        <x:f t="shared" si="16"/>
        <x:v>250783.14062067657</x:v>
      </x:c>
      <x:c r="M68" s="7">
        <x:f t="shared" si="17"/>
        <x:v>62246.125632863601</x:v>
      </x:c>
      <x:c r="N68" s="7">
        <x:f t="shared" si="4"/>
        <x:v>313029.26625354018</x:v>
      </x:c>
    </x:row>
    <x:row r="69" spans="1:14" outlineLevel="2" x14ac:dyDescent="0.25">
      <x:c r="A69" s="1" t="s">
        <x:v>29</x:v>
      </x:c>
      <x:c r="B69" s="1" t="s">
        <x:v>6</x:v>
      </x:c>
      <x:c r="C69" s="2">
        <x:v>1022806.3500000002</x:v>
      </x:c>
      <x:c r="D69" s="2">
        <x:v>799720.57006314304</x:v>
      </x:c>
      <x:c r="E69" s="2">
        <x:v>223085.77993685714</x:v>
      </x:c>
      <x:c r="F69" s="1">
        <x:v>65</x:v>
      </x:c>
      <x:c r="G69" s="1">
        <x:v>30.584372999999999</x:v>
      </x:c>
      <x:c r="H69" s="9">
        <x:v>-0.4</x:v>
      </x:c>
      <x:c r="I69" s="2">
        <x:f t="shared" si="13"/>
        <x:v>758165.08567329275</x:v>
      </x:c>
      <x:c r="J69" s="3">
        <x:f t="shared" si="14"/>
        <x:v>1.0136589269026999</x:v>
      </x:c>
      <x:c r="K69" s="7">
        <x:f t="shared" si="15"/>
        <x:v>768520.80715868343</x:v>
      </x:c>
      <x:c r="L69" s="7">
        <x:f t="shared" si="16"/>
        <x:v>600897.6166469137</x:v>
      </x:c>
      <x:c r="M69" s="7">
        <x:f t="shared" si="17"/>
        <x:v>167623.19051176973</x:v>
      </x:c>
      <x:c r="N69" s="7">
        <x:f t="shared" si="4"/>
        <x:v>768520.80715868343</x:v>
      </x:c>
    </x:row>
    <x:row r="70" spans="1:14" outlineLevel="2" x14ac:dyDescent="0.25">
      <x:c r="A70" s="1" t="s">
        <x:v>29</x:v>
      </x:c>
      <x:c r="B70" s="1" t="s">
        <x:v>5</x:v>
      </x:c>
      <x:c r="C70" s="2">
        <x:v>1331493.83</x:v>
      </x:c>
      <x:c r="D70" s="2">
        <x:v>962014.41994217061</x:v>
      </x:c>
      <x:c r="E70" s="2">
        <x:v>369479.4100578294</x:v>
      </x:c>
      <x:c r="F70" s="1">
        <x:v>65</x:v>
      </x:c>
      <x:c r="G70" s="1">
        <x:v>29.702555</x:v>
      </x:c>
      <x:c r="H70" s="9">
        <x:v>-0.4</x:v>
      </x:c>
      <x:c r="I70" s="2">
        <x:f t="shared" si="13"/>
        <x:v>1012271.7280795398</x:v>
      </x:c>
      <x:c r="J70" s="3">
        <x:f t="shared" si="14"/>
        <x:v>1.0136589269026999</x:v>
      </x:c>
      <x:c r="K70" s="7">
        <x:f t="shared" si="15"/>
        <x:v>1026098.2736190479</x:v>
      </x:c>
      <x:c r="L70" s="7">
        <x:f t="shared" si="16"/>
        <x:v>741363.80752082868</x:v>
      </x:c>
      <x:c r="M70" s="7">
        <x:f t="shared" si="17"/>
        <x:v>284734.46609821921</x:v>
      </x:c>
      <x:c r="N70" s="7">
        <x:f t="shared" si="4"/>
        <x:v>1026098.2736190478</x:v>
      </x:c>
    </x:row>
    <x:row r="71" spans="1:14" outlineLevel="2" x14ac:dyDescent="0.25">
      <x:c r="A71" s="1" t="s">
        <x:v>29</x:v>
      </x:c>
      <x:c r="B71" s="1" t="s">
        <x:v>4</x:v>
      </x:c>
      <x:c r="C71" s="2">
        <x:v>799944.49000000011</x:v>
      </x:c>
      <x:c r="D71" s="2">
        <x:v>614440.43331852881</x:v>
      </x:c>
      <x:c r="E71" s="2">
        <x:v>185504.05668147129</x:v>
      </x:c>
      <x:c r="F71" s="1">
        <x:v>65</x:v>
      </x:c>
      <x:c r="G71" s="1">
        <x:v>28.830658</x:v>
      </x:c>
      <x:c r="H71" s="9">
        <x:v>-0.4</x:v>
      </x:c>
      <x:c r="I71" s="2">
        <x:f t="shared" si="13"/>
        <x:v>623182.34116547415</x:v>
      </x:c>
      <x:c r="J71" s="3">
        <x:f t="shared" si="14"/>
        <x:v>1.0136589269026999</x:v>
      </x:c>
      <x:c r="K71" s="7">
        <x:f t="shared" si="15"/>
        <x:v>631694.34321050672</x:v>
      </x:c>
      <x:c r="L71" s="7">
        <x:f t="shared" si="16"/>
        <x:v>485206.84974919591</x:v>
      </x:c>
      <x:c r="M71" s="7">
        <x:f t="shared" si="17"/>
        <x:v>146487.49346131081</x:v>
      </x:c>
      <x:c r="N71" s="7">
        <x:f t="shared" si="4"/>
        <x:v>631694.34321050672</x:v>
      </x:c>
    </x:row>
    <x:row r="72" spans="1:14" outlineLevel="2" x14ac:dyDescent="0.25">
      <x:c r="A72" s="1" t="s">
        <x:v>29</x:v>
      </x:c>
      <x:c r="B72" s="1" t="s">
        <x:v>3</x:v>
      </x:c>
      <x:c r="C72" s="2">
        <x:v>1243616.94</x:v>
      </x:c>
      <x:c r="D72" s="2">
        <x:v>952847.92032340507</x:v>
      </x:c>
      <x:c r="E72" s="2">
        <x:v>290769.01967659499</x:v>
      </x:c>
      <x:c r="F72" s="1">
        <x:v>65</x:v>
      </x:c>
      <x:c r="G72" s="1">
        <x:v>27.968263</x:v>
      </x:c>
      <x:c r="H72" s="9">
        <x:v>-0.4</x:v>
      </x:c>
      <x:c r="I72" s="2">
        <x:f t="shared" si="13"/>
        <x:v>991917.13278699515</x:v>
      </x:c>
      <x:c r="J72" s="3">
        <x:f t="shared" si="14"/>
        <x:v>1.0136589269026999</x:v>
      </x:c>
      <x:c r="K72" s="7">
        <x:f t="shared" si="15"/>
        <x:v>1005465.6563972684</x:v>
      </x:c>
      <x:c r="L72" s="7">
        <x:f t="shared" si="16"/>
        <x:v>770378.58591307432</x:v>
      </x:c>
      <x:c r="M72" s="7">
        <x:f t="shared" si="17"/>
        <x:v>235087.07048419415</x:v>
      </x:c>
      <x:c r="N72" s="7">
        <x:f t="shared" si="4"/>
        <x:v>1005465.6563972684</x:v>
      </x:c>
    </x:row>
    <x:row r="73" spans="1:14" outlineLevel="2" x14ac:dyDescent="0.25">
      <x:c r="A73" s="1" t="s">
        <x:v>29</x:v>
      </x:c>
      <x:c r="B73" s="1" t="s">
        <x:v>85</x:v>
      </x:c>
      <x:c r="C73" s="2">
        <x:v>1171178.0400000003</x:v>
      </x:c>
      <x:c r="D73" s="2">
        <x:v>975830.03562611272</x:v>
      </x:c>
      <x:c r="E73" s="2">
        <x:v>195348.0043738875</x:v>
      </x:c>
      <x:c r="F73" s="1">
        <x:v>65</x:v>
      </x:c>
      <x:c r="G73" s="1">
        <x:v>27.116101</x:v>
      </x:c>
      <x:c r="H73" s="9">
        <x:v>-0.4</x:v>
      </x:c>
      <x:c r="I73" s="2">
        <x:f t="shared" si="13"/>
        <x:v>955635.48938044836</x:v>
      </x:c>
      <x:c r="J73" s="3">
        <x:f t="shared" si="14"/>
        <x:v>1.0136589269026999</x:v>
      </x:c>
      <x:c r="K73" s="7">
        <x:f t="shared" si="15"/>
        <x:v>968688.44467552169</x:v>
      </x:c>
      <x:c r="L73" s="7">
        <x:f t="shared" si="16"/>
        <x:v>807114.92804144265</x:v>
      </x:c>
      <x:c r="M73" s="7">
        <x:f t="shared" si="17"/>
        <x:v>161573.51663407899</x:v>
      </x:c>
      <x:c r="N73" s="7">
        <x:f t="shared" si="4"/>
        <x:v>968688.44467552169</x:v>
      </x:c>
    </x:row>
    <x:row r="74" spans="1:14" outlineLevel="2" x14ac:dyDescent="0.25">
      <x:c r="A74" s="1" t="s">
        <x:v>29</x:v>
      </x:c>
      <x:c r="B74" s="1" t="s">
        <x:v>84</x:v>
      </x:c>
      <x:c r="C74" s="2">
        <x:v>1107833.4600000002</x:v>
      </x:c>
      <x:c r="D74" s="2">
        <x:v>911024.86312753905</x:v>
      </x:c>
      <x:c r="E74" s="2">
        <x:v>196808.59687246114</x:v>
      </x:c>
      <x:c r="F74" s="1">
        <x:v>65</x:v>
      </x:c>
      <x:c r="G74" s="1">
        <x:v>26.274542</x:v>
      </x:c>
      <x:c r="H74" s="9">
        <x:v>-0.4</x:v>
      </x:c>
      <x:c r="I74" s="2">
        <x:f t="shared" si="13"/>
        <x:v>924029.25194945489</x:v>
      </x:c>
      <x:c r="J74" s="3">
        <x:f t="shared" si="14"/>
        <x:v>1.0136589269026999</x:v>
      </x:c>
      <x:c r="K74" s="7">
        <x:f t="shared" si="15"/>
        <x:v>936650.49995778897</x:v>
      </x:c>
      <x:c r="L74" s="7">
        <x:f t="shared" si="16"/>
        <x:v>770252.8623051208</x:v>
      </x:c>
      <x:c r="M74" s="7">
        <x:f t="shared" si="17"/>
        <x:v>166397.63765266817</x:v>
      </x:c>
      <x:c r="N74" s="7">
        <x:f t="shared" si="4"/>
        <x:v>936650.49995778897</x:v>
      </x:c>
    </x:row>
    <x:row r="75" spans="1:14" outlineLevel="2" x14ac:dyDescent="0.25">
      <x:c r="A75" s="1" t="s">
        <x:v>29</x:v>
      </x:c>
      <x:c r="B75" s="1" t="s">
        <x:v>83</x:v>
      </x:c>
      <x:c r="C75" s="2">
        <x:v>1701317.27</x:v>
      </x:c>
      <x:c r="D75" s="2">
        <x:v>1311493.2906383683</x:v>
      </x:c>
      <x:c r="E75" s="2">
        <x:v>389823.97936163179</x:v>
      </x:c>
      <x:c r="F75" s="1">
        <x:v>65</x:v>
      </x:c>
      <x:c r="G75" s="1">
        <x:v>25.443353999999999</x:v>
      </x:c>
      <x:c r="H75" s="9">
        <x:v>-0.4</x:v>
      </x:c>
      <x:c r="I75" s="2">
        <x:f t="shared" si="13"/>
        <x:v>1449504.1073277998</x:v>
      </x:c>
      <x:c r="J75" s="3">
        <x:f t="shared" si="14"/>
        <x:v>1.0136589269026999</x:v>
      </x:c>
      <x:c r="K75" s="7">
        <x:f t="shared" si="15"/>
        <x:v>1469302.7779749534</x:v>
      </x:c>
      <x:c r="L75" s="7">
        <x:f t="shared" si="16"/>
        <x:v>1132640.4364486746</x:v>
      </x:c>
      <x:c r="M75" s="7">
        <x:f t="shared" si="17"/>
        <x:v>336662.34152627893</x:v>
      </x:c>
      <x:c r="N75" s="7">
        <x:f t="shared" si="4"/>
        <x:v>1469302.7779749536</x:v>
      </x:c>
    </x:row>
    <x:row r="76" spans="1:14" outlineLevel="2" x14ac:dyDescent="0.25">
      <x:c r="A76" s="1" t="s">
        <x:v>29</x:v>
      </x:c>
      <x:c r="B76" s="1" t="s">
        <x:v>82</x:v>
      </x:c>
      <x:c r="C76" s="2">
        <x:v>811744.9099999998</x:v>
      </x:c>
      <x:c r="D76" s="2">
        <x:v>637091.52260218095</x:v>
      </x:c>
      <x:c r="E76" s="2">
        <x:v>174653.38739781885</x:v>
      </x:c>
      <x:c r="F76" s="1">
        <x:v>65</x:v>
      </x:c>
      <x:c r="G76" s="1">
        <x:v>24.623823000000002</x:v>
      </x:c>
      <x:c r="H76" s="9">
        <x:v>-0.4</x:v>
      </x:c>
      <x:c r="I76" s="2">
        <x:f t="shared" si="13"/>
        <x:v>705926.44047711813</x:v>
      </x:c>
      <x:c r="J76" s="3">
        <x:f t="shared" si="14"/>
        <x:v>1.0136589269026999</x:v>
      </x:c>
      <x:c r="K76" s="7">
        <x:f t="shared" si="15"/>
        <x:v>715568.63812627818</x:v>
      </x:c>
      <x:c r="L76" s="7">
        <x:f t="shared" si="16"/>
        <x:v>561608.34219488944</x:v>
      </x:c>
      <x:c r="M76" s="7">
        <x:f t="shared" si="17"/>
        <x:v>153960.29593138877</x:v>
      </x:c>
      <x:c r="N76" s="7">
        <x:f t="shared" si="4"/>
        <x:v>715568.63812627818</x:v>
      </x:c>
    </x:row>
    <x:row r="77" spans="1:14" outlineLevel="2" x14ac:dyDescent="0.25">
      <x:c r="A77" s="1" t="s">
        <x:v>29</x:v>
      </x:c>
      <x:c r="B77" s="1" t="s">
        <x:v>2</x:v>
      </x:c>
      <x:c r="C77" s="2">
        <x:v>883099.59000000008</x:v>
      </x:c>
      <x:c r="D77" s="2">
        <x:v>704394.43891186581</x:v>
      </x:c>
      <x:c r="E77" s="2">
        <x:v>178705.15108813427</x:v>
      </x:c>
      <x:c r="F77" s="1">
        <x:v>65</x:v>
      </x:c>
      <x:c r="G77" s="1">
        <x:v>23.814592999999999</x:v>
      </x:c>
      <x:c r="H77" s="9">
        <x:v>-0.4</x:v>
      </x:c>
      <x:c r="I77" s="2">
        <x:f t="shared" si="13"/>
        <x:v>783371.42230702133</x:v>
      </x:c>
      <x:c r="J77" s="3">
        <x:f t="shared" si="14"/>
        <x:v>1.0136589269026999</x:v>
      </x:c>
      <x:c r="K77" s="7">
        <x:f t="shared" si="15"/>
        <x:v>794071.43530197698</x:v>
      </x:c>
      <x:c r="L77" s="7">
        <x:f t="shared" si="16"/>
        <x:v>633382.13431338582</x:v>
      </x:c>
      <x:c r="M77" s="7">
        <x:f t="shared" si="17"/>
        <x:v>160689.30098859113</x:v>
      </x:c>
      <x:c r="N77" s="7">
        <x:f t="shared" ref="N77:N147" si="18">+L77+M77</x:f>
        <x:v>794071.43530197698</x:v>
      </x:c>
    </x:row>
    <x:row r="78" spans="1:14" outlineLevel="2" x14ac:dyDescent="0.25">
      <x:c r="A78" s="1" t="s">
        <x:v>29</x:v>
      </x:c>
      <x:c r="B78" s="1" t="s">
        <x:v>81</x:v>
      </x:c>
      <x:c r="C78" s="2">
        <x:v>378894.17000000004</x:v>
      </x:c>
      <x:c r="D78" s="2">
        <x:v>281565.14763459738</x:v>
      </x:c>
      <x:c r="E78" s="2">
        <x:v>97329.022365402649</x:v>
      </x:c>
      <x:c r="F78" s="1">
        <x:v>65</x:v>
      </x:c>
      <x:c r="G78" s="1">
        <x:v>23.017983999999998</x:v>
      </x:c>
      <x:c r="H78" s="9">
        <x:v>-0.4</x:v>
      </x:c>
      <x:c r="I78" s="2">
        <x:f t="shared" si="13"/>
        <x:v>342606.73154069856</x:v>
      </x:c>
      <x:c r="J78" s="3">
        <x:f t="shared" si="14"/>
        <x:v>1.0136589269026999</x:v>
      </x:c>
      <x:c r="K78" s="7">
        <x:f t="shared" si="15"/>
        <x:v>347286.37184318586</x:v>
      </x:c>
      <x:c r="L78" s="7">
        <x:f t="shared" si="16"/>
        <x:v>258076.65121770097</x:v>
      </x:c>
      <x:c r="M78" s="7">
        <x:f t="shared" si="17"/>
        <x:v>89209.720625484872</x:v>
      </x:c>
      <x:c r="N78" s="7">
        <x:f t="shared" si="18"/>
        <x:v>347286.37184318586</x:v>
      </x:c>
    </x:row>
    <x:row r="79" spans="1:14" outlineLevel="2" x14ac:dyDescent="0.25">
      <x:c r="A79" s="1" t="s">
        <x:v>29</x:v>
      </x:c>
      <x:c r="B79" s="1" t="s">
        <x:v>80</x:v>
      </x:c>
      <x:c r="C79" s="2">
        <x:v>886605.62000000011</x:v>
      </x:c>
      <x:c r="D79" s="2">
        <x:v>727433.68790682987</x:v>
      </x:c>
      <x:c r="E79" s="2">
        <x:v>159171.93209317021</x:v>
      </x:c>
      <x:c r="F79" s="1">
        <x:v>65</x:v>
      </x:c>
      <x:c r="G79" s="1">
        <x:v>22.231399</x:v>
      </x:c>
      <x:c r="H79" s="9">
        <x:v>-0.4</x:v>
      </x:c>
      <x:c r="I79" s="2">
        <x:f t="shared" si="13"/>
        <x:v>816714.3816706565</x:v>
      </x:c>
      <x:c r="J79" s="3">
        <x:f t="shared" si="14"/>
        <x:v>1.0136589269026999</x:v>
      </x:c>
      <x:c r="K79" s="7">
        <x:f t="shared" si="15"/>
        <x:v>827869.82371027977</x:v>
      </x:c>
      <x:c r="L79" s="7">
        <x:f t="shared" si="16"/>
        <x:v>679242.70429094043</x:v>
      </x:c>
      <x:c r="M79" s="7">
        <x:f t="shared" si="17"/>
        <x:v>148627.11941933937</x:v>
      </x:c>
      <x:c r="N79" s="7">
        <x:f t="shared" si="18"/>
        <x:v>827869.82371027977</x:v>
      </x:c>
    </x:row>
    <x:row r="80" spans="1:14" outlineLevel="2" x14ac:dyDescent="0.25">
      <x:c r="A80" s="1" t="s">
        <x:v>29</x:v>
      </x:c>
      <x:c r="B80" s="1" t="s">
        <x:v>79</x:v>
      </x:c>
      <x:c r="C80" s="2">
        <x:v>329547.74</x:v>
      </x:c>
      <x:c r="D80" s="2">
        <x:v>263128.26104251249</x:v>
      </x:c>
      <x:c r="E80" s="2">
        <x:v>66419.478957487518</x:v>
      </x:c>
      <x:c r="F80" s="1">
        <x:v>65</x:v>
      </x:c>
      <x:c r="G80" s="1">
        <x:v>21.458255000000001</x:v>
      </x:c>
      <x:c r="H80" s="9">
        <x:v>-0.4</x:v>
      </x:c>
      <x:c r="I80" s="2">
        <x:f t="shared" si="13"/>
        <x:v>309057.18653182796</x:v>
      </x:c>
      <x:c r="J80" s="3">
        <x:f t="shared" si="14"/>
        <x:v>1.0136589269026999</x:v>
      </x:c>
      <x:c r="K80" s="7">
        <x:f t="shared" si="15"/>
        <x:v>313278.5760514203</x:v>
      </x:c>
      <x:c r="L80" s="7">
        <x:f t="shared" si="16"/>
        <x:v>250138.10423425972</x:v>
      </x:c>
      <x:c r="M80" s="7">
        <x:f t="shared" si="17"/>
        <x:v>63140.471817160585</x:v>
      </x:c>
      <x:c r="N80" s="7">
        <x:f t="shared" si="18"/>
        <x:v>313278.5760514203</x:v>
      </x:c>
    </x:row>
    <x:row r="81" spans="1:14" outlineLevel="2" x14ac:dyDescent="0.25">
      <x:c r="A81" s="1" t="s">
        <x:v>29</x:v>
      </x:c>
      <x:c r="B81" s="1" t="s">
        <x:v>78</x:v>
      </x:c>
      <x:c r="C81" s="2">
        <x:v>330769.53999999998</x:v>
      </x:c>
      <x:c r="D81" s="2">
        <x:v>264686.20638683543</x:v>
      </x:c>
      <x:c r="E81" s="2">
        <x:v>66083.333613164548</x:v>
      </x:c>
      <x:c r="F81" s="1">
        <x:v>65</x:v>
      </x:c>
      <x:c r="G81" s="1">
        <x:v>20.695225000000001</x:v>
      </x:c>
      <x:c r="H81" s="9">
        <x:v>-0.4</x:v>
      </x:c>
      <x:c r="I81" s="2">
        <x:f t="shared" si="13"/>
        <x:v>315639.04715653689</x:v>
      </x:c>
      <x:c r="J81" s="3">
        <x:f t="shared" si="14"/>
        <x:v>1.0136589269026999</x:v>
      </x:c>
      <x:c r="K81" s="7">
        <x:f t="shared" si="15"/>
        <x:v>319950.33782928588</x:v>
      </x:c>
      <x:c r="L81" s="7">
        <x:f t="shared" si="16"/>
        <x:v>256028.53621956875</x:v>
      </x:c>
      <x:c r="M81" s="7">
        <x:f t="shared" si="17"/>
        <x:v>63921.801609717149</x:v>
      </x:c>
      <x:c r="N81" s="7">
        <x:f t="shared" si="18"/>
        <x:v>319950.33782928588</x:v>
      </x:c>
    </x:row>
    <x:row r="82" spans="1:14" outlineLevel="2" x14ac:dyDescent="0.25">
      <x:c r="A82" s="1" t="s">
        <x:v>29</x:v>
      </x:c>
      <x:c r="B82" s="1" t="s">
        <x:v>77</x:v>
      </x:c>
      <x:c r="C82" s="2">
        <x:v>274677.78000000003</x:v>
      </x:c>
      <x:c r="D82" s="2">
        <x:v>195823.64244667182</x:v>
      </x:c>
      <x:c r="E82" s="2">
        <x:v>78854.137553328197</x:v>
      </x:c>
      <x:c r="F82" s="1">
        <x:v>65</x:v>
      </x:c>
      <x:c r="G82" s="1">
        <x:v>19.945115999999999</x:v>
      </x:c>
      <x:c r="H82" s="9">
        <x:v>-0.4</x:v>
      </x:c>
      <x:c r="I82" s="2">
        <x:f t="shared" si="13"/>
        <x:v>266550.85725213122</x:v>
      </x:c>
      <x:c r="J82" s="3">
        <x:f t="shared" si="14"/>
        <x:v>1.0136589269026999</x:v>
      </x:c>
      <x:c r="K82" s="7">
        <x:f t="shared" si="15"/>
        <x:v>270191.65592719009</x:v>
      </x:c>
      <x:c r="L82" s="7">
        <x:f t="shared" si="16"/>
        <x:v>192625.38900074206</x:v>
      </x:c>
      <x:c r="M82" s="7">
        <x:f t="shared" si="17"/>
        <x:v>77566.266926448036</x:v>
      </x:c>
      <x:c r="N82" s="7">
        <x:f t="shared" si="18"/>
        <x:v>270191.65592719009</x:v>
      </x:c>
    </x:row>
    <x:row r="83" spans="1:14" outlineLevel="2" x14ac:dyDescent="0.25">
      <x:c r="A83" s="1" t="s">
        <x:v>29</x:v>
      </x:c>
      <x:c r="B83" s="1" t="s">
        <x:v>76</x:v>
      </x:c>
      <x:c r="C83" s="2">
        <x:v>619304.27999999991</x:v>
      </x:c>
      <x:c r="D83" s="2">
        <x:v>483136.24402346346</x:v>
      </x:c>
      <x:c r="E83" s="2">
        <x:v>136168.03597653643</x:v>
      </x:c>
      <x:c r="F83" s="1">
        <x:v>65</x:v>
      </x:c>
      <x:c r="G83" s="1">
        <x:v>19.205558</x:v>
      </x:c>
      <x:c r="H83" s="9">
        <x:v>-0.4</x:v>
      </x:c>
      <x:c r="I83" s="2">
        <x:f t="shared" si="13"/>
        <x:v>610845.71543286869</x:v>
      </x:c>
      <x:c r="J83" s="3">
        <x:f t="shared" si="14"/>
        <x:v>1.0136589269026999</x:v>
      </x:c>
      <x:c r="K83" s="7">
        <x:f t="shared" si="15"/>
        <x:v>619189.21240879362</x:v>
      </x:c>
      <x:c r="L83" s="7">
        <x:f t="shared" si="16"/>
        <x:v>483046.47664154862</x:v>
      </x:c>
      <x:c r="M83" s="7">
        <x:f t="shared" si="17"/>
        <x:v>136142.73576724494</x:v>
      </x:c>
      <x:c r="N83" s="7">
        <x:f t="shared" si="18"/>
        <x:v>619189.21240879362</x:v>
      </x:c>
    </x:row>
    <x:row r="84" spans="1:14" outlineLevel="2" x14ac:dyDescent="0.25">
      <x:c r="A84" s="1" t="s">
        <x:v>29</x:v>
      </x:c>
      <x:c r="B84" s="1" t="s">
        <x:v>75</x:v>
      </x:c>
      <x:c r="C84" s="2">
        <x:v>829307.21999999974</x:v>
      </x:c>
      <x:c r="D84" s="2">
        <x:v>620658.24856811063</x:v>
      </x:c>
      <x:c r="E84" s="2">
        <x:v>208648.97143188905</x:v>
      </x:c>
      <x:c r="F84" s="1">
        <x:v>65</x:v>
      </x:c>
      <x:c r="G84" s="1">
        <x:v>18.478123</x:v>
      </x:c>
      <x:c r="H84" s="9">
        <x:v>-0.4</x:v>
      </x:c>
      <x:c r="I84" s="2">
        <x:f t="shared" si="13"/>
        <x:v>830973.84427188756</x:v>
      </x:c>
      <x:c r="J84" s="3">
        <x:f t="shared" si="14"/>
        <x:v>1.0136589269026999</x:v>
      </x:c>
      <x:c r="K84" s="7">
        <x:f t="shared" si="15"/>
        <x:v>842324.05526885274</x:v>
      </x:c>
      <x:c r="L84" s="7">
        <x:f t="shared" si="16"/>
        <x:v>630400.1222489716</x:v>
      </x:c>
      <x:c r="M84" s="7">
        <x:f t="shared" si="17"/>
        <x:v>211923.93301988114</x:v>
      </x:c>
      <x:c r="N84" s="7">
        <x:f t="shared" si="18"/>
        <x:v>842324.05526885274</x:v>
      </x:c>
    </x:row>
    <x:row r="85" spans="1:14" outlineLevel="2" x14ac:dyDescent="0.25">
      <x:c r="A85" s="1" t="s">
        <x:v>29</x:v>
      </x:c>
      <x:c r="B85" s="1" t="s">
        <x:v>74</x:v>
      </x:c>
      <x:c r="C85" s="2">
        <x:v>976159.3899999999</x:v>
      </x:c>
      <x:c r="D85" s="2">
        <x:v>639150.75097320555</x:v>
      </x:c>
      <x:c r="E85" s="2">
        <x:v>337008.63902679435</x:v>
      </x:c>
      <x:c r="F85" s="1">
        <x:v>65</x:v>
      </x:c>
      <x:c r="G85" s="1">
        <x:v>17.761448999999999</x:v>
      </x:c>
      <x:c r="H85" s="9">
        <x:v>-0.4</x:v>
      </x:c>
      <x:c r="I85" s="2">
        <x:f t="shared" si="13"/>
        <x:v>993189.18738617597</x:v>
      </x:c>
      <x:c r="J85" s="3">
        <x:f t="shared" si="14"/>
        <x:v>1.0136589269026999</x:v>
      </x:c>
      <x:c r="K85" s="7">
        <x:f t="shared" si="15"/>
        <x:v>1006755.0858972357</x:v>
      </x:c>
      <x:c r="L85" s="7">
        <x:f t="shared" si="16"/>
        <x:v>659183.60852658737</x:v>
      </x:c>
      <x:c r="M85" s="7">
        <x:f t="shared" si="17"/>
        <x:v>347571.47737064835</x:v>
      </x:c>
      <x:c r="N85" s="7">
        <x:f t="shared" si="18"/>
        <x:v>1006755.0858972357</x:v>
      </x:c>
    </x:row>
    <x:row r="86" spans="1:14" outlineLevel="2" x14ac:dyDescent="0.25">
      <x:c r="A86" s="1" t="s">
        <x:v>29</x:v>
      </x:c>
      <x:c r="B86" s="1" t="s">
        <x:v>73</x:v>
      </x:c>
      <x:c r="C86" s="2">
        <x:v>323331.15999999997</x:v>
      </x:c>
      <x:c r="D86" s="2">
        <x:v>258694.23257138068</x:v>
      </x:c>
      <x:c r="E86" s="2">
        <x:v>64636.927428619296</x:v>
      </x:c>
      <x:c r="F86" s="1">
        <x:v>65</x:v>
      </x:c>
      <x:c r="G86" s="1">
        <x:v>17.055806</x:v>
      </x:c>
      <x:c r="H86" s="9">
        <x:v>-0.4</x:v>
      </x:c>
      <x:c r="I86" s="2">
        <x:f t="shared" si="13"/>
        <x:v>333886.0400892162</x:v>
      </x:c>
      <x:c r="J86" s="3">
        <x:f t="shared" si="14"/>
        <x:v>1.0136589269026999</x:v>
      </x:c>
      <x:c r="K86" s="7">
        <x:f t="shared" si="15"/>
        <x:v>338446.5651046267</x:v>
      </x:c>
      <x:c r="L86" s="7">
        <x:f t="shared" si="16"/>
        <x:v>270787.92661419098</x:v>
      </x:c>
      <x:c r="M86" s="7">
        <x:f t="shared" si="17"/>
        <x:v>67658.638490435726</x:v>
      </x:c>
      <x:c r="N86" s="7">
        <x:f t="shared" si="18"/>
        <x:v>338446.5651046267</x:v>
      </x:c>
    </x:row>
    <x:row r="87" spans="1:14" outlineLevel="2" x14ac:dyDescent="0.25">
      <x:c r="A87" s="1" t="s">
        <x:v>29</x:v>
      </x:c>
      <x:c r="B87" s="1" t="s">
        <x:v>72</x:v>
      </x:c>
      <x:c r="C87" s="2">
        <x:v>673754.27000000014</x:v>
      </x:c>
      <x:c r="D87" s="2">
        <x:v>564768.51058833837</x:v>
      </x:c>
      <x:c r="E87" s="2">
        <x:v>108985.75941166181</x:v>
      </x:c>
      <x:c r="F87" s="1">
        <x:v>65</x:v>
      </x:c>
      <x:c r="G87" s="1">
        <x:v>16.360838999999999</x:v>
      </x:c>
      <x:c r="H87" s="9">
        <x:v>-0.4</x:v>
      </x:c>
      <x:c r="I87" s="2">
        <x:f t="shared" si="13"/>
        <x:v>705833.52889468416</x:v>
      </x:c>
      <x:c r="J87" s="3">
        <x:f t="shared" si="14"/>
        <x:v>1.0136589269026999</x:v>
      </x:c>
      <x:c r="K87" s="7">
        <x:f t="shared" si="15"/>
        <x:v>715474.45747133135</x:v>
      </x:c>
      <x:c r="L87" s="7">
        <x:f t="shared" si="16"/>
        <x:v>599740.08581805823</x:v>
      </x:c>
      <x:c r="M87" s="7">
        <x:f t="shared" si="17"/>
        <x:v>115734.37165327318</x:v>
      </x:c>
      <x:c r="N87" s="7">
        <x:f t="shared" si="18"/>
        <x:v>715474.45747133135</x:v>
      </x:c>
    </x:row>
    <x:row r="88" spans="1:14" outlineLevel="2" x14ac:dyDescent="0.25">
      <x:c r="A88" s="1" t="s">
        <x:v>29</x:v>
      </x:c>
      <x:c r="B88" s="1" t="s">
        <x:v>71</x:v>
      </x:c>
      <x:c r="C88" s="2">
        <x:v>404793.17999999993</x:v>
      </x:c>
      <x:c r="D88" s="2">
        <x:v>311910.86317820178</x:v>
      </x:c>
      <x:c r="E88" s="2">
        <x:v>92882.316821798144</x:v>
      </x:c>
      <x:c r="F88" s="1">
        <x:v>65</x:v>
      </x:c>
      <x:c r="G88" s="1">
        <x:v>15.675703</x:v>
      </x:c>
      <x:c r="H88" s="9">
        <x:v>-0.4</x:v>
      </x:c>
      <x:c r="I88" s="2">
        <x:f t="shared" si="13"/>
        <x:v>430039.91765311133</x:v>
      </x:c>
      <x:c r="J88" s="3">
        <x:f t="shared" si="14"/>
        <x:v>1.0136589269026999</x:v>
      </x:c>
      <x:c r="K88" s="7">
        <x:f t="shared" si="15"/>
        <x:v>435913.80145357823</x:v>
      </x:c>
      <x:c r="L88" s="7">
        <x:f t="shared" si="16"/>
        <x:v>335890.66417244694</x:v>
      </x:c>
      <x:c r="M88" s="7">
        <x:f t="shared" si="17"/>
        <x:v>100023.13728113125</x:v>
      </x:c>
      <x:c r="N88" s="7">
        <x:f t="shared" si="18"/>
        <x:v>435913.80145357817</x:v>
      </x:c>
    </x:row>
    <x:row r="89" spans="1:14" outlineLevel="2" x14ac:dyDescent="0.25">
      <x:c r="A89" s="1" t="s">
        <x:v>29</x:v>
      </x:c>
      <x:c r="B89" s="1" t="s">
        <x:v>70</x:v>
      </x:c>
      <x:c r="C89" s="2">
        <x:v>211484.62999999995</x:v>
      </x:c>
      <x:c r="D89" s="2">
        <x:v>155032.16792470549</x:v>
      </x:c>
      <x:c r="E89" s="2">
        <x:v>56452.462075294454</x:v>
      </x:c>
      <x:c r="F89" s="1">
        <x:v>65</x:v>
      </x:c>
      <x:c r="G89" s="1">
        <x:v>15.00211</x:v>
      </x:c>
      <x:c r="H89" s="9">
        <x:v>-0.4</x:v>
      </x:c>
      <x:c r="I89" s="2">
        <x:f t="shared" si="13"/>
        <x:v>227743.06729850732</x:v>
      </x:c>
      <x:c r="J89" s="3">
        <x:f t="shared" si="14"/>
        <x:v>1.0136589269026999</x:v>
      </x:c>
      <x:c r="K89" s="7">
        <x:f t="shared" si="15"/>
        <x:v>230853.7932073343</x:v>
      </x:c>
      <x:c r="L89" s="7">
        <x:f t="shared" si="16"/>
        <x:v>169231.04073603218</x:v>
      </x:c>
      <x:c r="M89" s="7">
        <x:f t="shared" si="17"/>
        <x:v>61622.752471302112</x:v>
      </x:c>
      <x:c r="N89" s="7">
        <x:f t="shared" si="18"/>
        <x:v>230853.7932073343</x:v>
      </x:c>
    </x:row>
    <x:row r="90" spans="1:14" outlineLevel="2" x14ac:dyDescent="0.25">
      <x:c r="A90" s="1" t="s">
        <x:v>29</x:v>
      </x:c>
      <x:c r="B90" s="1" t="s">
        <x:v>69</x:v>
      </x:c>
      <x:c r="C90" s="2">
        <x:v>278189.68999999994</x:v>
      </x:c>
      <x:c r="D90" s="2">
        <x:v>229576.29611725415</x:v>
      </x:c>
      <x:c r="E90" s="2">
        <x:v>48613.393882745811</x:v>
      </x:c>
      <x:c r="F90" s="1">
        <x:v>65</x:v>
      </x:c>
      <x:c r="G90" s="1">
        <x:v>14.339587</x:v>
      </x:c>
      <x:c r="H90" s="9">
        <x:v>-0.4</x:v>
      </x:c>
      <x:c r="I90" s="2">
        <x:f t="shared" si="13"/>
        <x:v>303545.94496675004</x:v>
      </x:c>
      <x:c r="J90" s="3">
        <x:f t="shared" si="14"/>
        <x:v>1.0136589269026999</x:v>
      </x:c>
      <x:c r="K90" s="7">
        <x:f t="shared" si="15"/>
        <x:v>307692.05684066185</x:v>
      </x:c>
      <x:c r="L90" s="7">
        <x:f t="shared" si="16"/>
        <x:v>253923.1513366969</x:v>
      </x:c>
      <x:c r="M90" s="7">
        <x:f t="shared" si="17"/>
        <x:v>53768.905503964976</x:v>
      </x:c>
      <x:c r="N90" s="7">
        <x:f t="shared" si="18"/>
        <x:v>307692.05684066185</x:v>
      </x:c>
    </x:row>
    <x:row r="91" spans="1:14" outlineLevel="2" x14ac:dyDescent="0.25">
      <x:c r="A91" s="1" t="s">
        <x:v>29</x:v>
      </x:c>
      <x:c r="B91" s="1" t="s">
        <x:v>68</x:v>
      </x:c>
      <x:c r="C91" s="2">
        <x:v>558666.25000000012</x:v>
      </x:c>
      <x:c r="D91" s="2">
        <x:v>448712.96249864076</x:v>
      </x:c>
      <x:c r="E91" s="2">
        <x:v>109953.28750135933</x:v>
      </x:c>
      <x:c r="F91" s="1">
        <x:v>65</x:v>
      </x:c>
      <x:c r="G91" s="1">
        <x:v>13.693187</x:v>
      </x:c>
      <x:c r="H91" s="9">
        <x:v>-0.4</x:v>
      </x:c>
      <x:c r="I91" s="2">
        <x:f t="shared" si="13"/>
        <x:v>617365.21146808856</x:v>
      </x:c>
      <x:c r="J91" s="3">
        <x:f t="shared" si="14"/>
        <x:v>1.0136589269026999</x:v>
      </x:c>
      <x:c r="K91" s="7">
        <x:f t="shared" si="15"/>
        <x:v>625797.75776380103</x:v>
      </x:c>
      <x:c r="L91" s="7">
        <x:f t="shared" si="16"/>
        <x:v>502632.05592104746</x:v>
      </x:c>
      <x:c r="M91" s="7">
        <x:f t="shared" si="17"/>
        <x:v>123165.70184275357</x:v>
      </x:c>
      <x:c r="N91" s="7">
        <x:f t="shared" si="18"/>
        <x:v>625797.75776380103</x:v>
      </x:c>
    </x:row>
    <x:row r="92" spans="1:14" outlineLevel="2" x14ac:dyDescent="0.25">
      <x:c r="A92" s="1" t="s">
        <x:v>29</x:v>
      </x:c>
      <x:c r="B92" s="1" t="s">
        <x:v>1</x:v>
      </x:c>
      <x:c r="C92" s="2">
        <x:v>141966.25</x:v>
      </x:c>
      <x:c r="D92" s="2">
        <x:v>92923.325940944487</x:v>
      </x:c>
      <x:c r="E92" s="2">
        <x:v>49042.924059055505</x:v>
      </x:c>
      <x:c r="F92" s="1">
        <x:v>65</x:v>
      </x:c>
      <x:c r="G92" s="1">
        <x:v>13.061605</x:v>
      </x:c>
      <x:c r="H92" s="9">
        <x:v>-0.4</x:v>
      </x:c>
      <x:c r="I92" s="2">
        <x:f t="shared" si="13"/>
        <x:v>158813.82825901921</x:v>
      </x:c>
      <x:c r="J92" s="3">
        <x:f t="shared" si="14"/>
        <x:v>1.0136589269026999</x:v>
      </x:c>
      <x:c r="K92" s="7">
        <x:f t="shared" si="15"/>
        <x:v>160983.0547303471</x:v>
      </x:c>
      <x:c r="L92" s="7">
        <x:f t="shared" si="16"/>
        <x:v>105370.68398775729</x:v>
      </x:c>
      <x:c r="M92" s="7">
        <x:f t="shared" si="17"/>
        <x:v>55612.370742589796</x:v>
      </x:c>
      <x:c r="N92" s="7">
        <x:f t="shared" si="18"/>
        <x:v>160983.0547303471</x:v>
      </x:c>
    </x:row>
    <x:row r="93" spans="1:14" outlineLevel="2" x14ac:dyDescent="0.25">
      <x:c r="A93" s="1" t="s">
        <x:v>29</x:v>
      </x:c>
      <x:c r="B93" s="1" t="s">
        <x:v>67</x:v>
      </x:c>
      <x:c r="C93" s="2">
        <x:v>102704.33000000002</x:v>
      </x:c>
      <x:c r="D93" s="2">
        <x:v>73115.028014900498</x:v>
      </x:c>
      <x:c r="E93" s="2">
        <x:v>29589.301985099522</x:v>
      </x:c>
      <x:c r="F93" s="1">
        <x:v>65</x:v>
      </x:c>
      <x:c r="G93" s="1">
        <x:v>12.452449</x:v>
      </x:c>
      <x:c r="H93" s="9">
        <x:v>-0.4</x:v>
      </x:c>
      <x:c r="I93" s="2">
        <x:f t="shared" si="13"/>
        <x:v>116240.08347744866</x:v>
      </x:c>
      <x:c r="J93" s="3">
        <x:f t="shared" si="14"/>
        <x:v>1.0136589269026999</x:v>
      </x:c>
      <x:c r="K93" s="7">
        <x:f t="shared" si="15"/>
        <x:v>117827.79828083086</x:v>
      </x:c>
      <x:c r="L93" s="7">
        <x:f t="shared" si="16"/>
        <x:v>83881.397914157962</x:v>
      </x:c>
      <x:c r="M93" s="7">
        <x:f t="shared" si="17"/>
        <x:v>33946.400366672897</x:v>
      </x:c>
      <x:c r="N93" s="7">
        <x:f t="shared" si="18"/>
        <x:v>117827.79828083086</x:v>
      </x:c>
    </x:row>
    <x:row r="94" spans="1:14" outlineLevel="2" x14ac:dyDescent="0.25">
      <x:c r="A94" s="1" t="s">
        <x:v>29</x:v>
      </x:c>
      <x:c r="B94" s="1" t="s">
        <x:v>66</x:v>
      </x:c>
      <x:c r="C94" s="2">
        <x:v>101975.38999999998</x:v>
      </x:c>
      <x:c r="D94" s="2">
        <x:v>74763.607927287696</x:v>
      </x:c>
      <x:c r="E94" s="2">
        <x:v>27211.782072712285</x:v>
      </x:c>
      <x:c r="F94" s="1">
        <x:v>65</x:v>
      </x:c>
      <x:c r="G94" s="1">
        <x:v>11.862665</x:v>
      </x:c>
      <x:c r="H94" s="9">
        <x:v>-0.4</x:v>
      </x:c>
      <x:c r="I94" s="2">
        <x:f t="shared" si="13"/>
        <x:v>116710.47145015244</x:v>
      </x:c>
      <x:c r="J94" s="3">
        <x:f t="shared" si="14"/>
        <x:v>1.0136589269026999</x:v>
      </x:c>
      <x:c r="K94" s="7">
        <x:f t="shared" si="15"/>
        <x:v>118304.61124846972</x:v>
      </x:c>
      <x:c r="L94" s="7">
        <x:f t="shared" si="16"/>
        <x:v>86735.43265066974</x:v>
      </x:c>
      <x:c r="M94" s="7">
        <x:f t="shared" si="17"/>
        <x:v>31569.178597799972</x:v>
      </x:c>
      <x:c r="N94" s="7">
        <x:f t="shared" si="18"/>
        <x:v>118304.61124846971</x:v>
      </x:c>
    </x:row>
    <x:row r="95" spans="1:14" outlineLevel="2" x14ac:dyDescent="0.25">
      <x:c r="A95" s="1" t="s">
        <x:v>29</x:v>
      </x:c>
      <x:c r="B95" s="1" t="s">
        <x:v>65</x:v>
      </x:c>
      <x:c r="C95" s="2">
        <x:v>161995.66999999998</x:v>
      </x:c>
      <x:c r="D95" s="2">
        <x:v>133744.58685439226</x:v>
      </x:c>
      <x:c r="E95" s="2">
        <x:v>28251.083145607743</x:v>
      </x:c>
      <x:c r="F95" s="1">
        <x:v>65</x:v>
      </x:c>
      <x:c r="G95" s="1">
        <x:v>11.298567</x:v>
      </x:c>
      <x:c r="H95" s="9">
        <x:v>-0.4</x:v>
      </x:c>
      <x:c r="I95" s="2">
        <x:f t="shared" si="13"/>
        <x:v>187371.6840971254</x:v>
      </x:c>
      <x:c r="J95" s="3">
        <x:f t="shared" si="14"/>
        <x:v>1.0136589269026999</x:v>
      </x:c>
      <x:c r="K95" s="7">
        <x:f t="shared" si="15"/>
        <x:v>189930.98023384382</x:v>
      </x:c>
      <x:c r="L95" s="7">
        <x:f t="shared" si="16"/>
        <x:v>156808.14482402639</x:v>
      </x:c>
      <x:c r="M95" s="7">
        <x:f t="shared" si="17"/>
        <x:v>33122.835409817453</x:v>
      </x:c>
      <x:c r="N95" s="7">
        <x:f t="shared" si="18"/>
        <x:v>189930.98023384385</x:v>
      </x:c>
    </x:row>
    <x:row r="96" spans="1:14" outlineLevel="2" x14ac:dyDescent="0.25">
      <x:c r="A96" s="1" t="s">
        <x:v>29</x:v>
      </x:c>
      <x:c r="B96" s="1" t="s">
        <x:v>64</x:v>
      </x:c>
      <x:c r="C96" s="2">
        <x:v>67035.790000000008</x:v>
      </x:c>
      <x:c r="D96" s="2">
        <x:v>48433.021608808835</x:v>
      </x:c>
      <x:c r="E96" s="2">
        <x:v>18602.768391191177</x:v>
      </x:c>
      <x:c r="F96" s="1">
        <x:v>65</x:v>
      </x:c>
      <x:c r="G96" s="1">
        <x:v>10.757558</x:v>
      </x:c>
      <x:c r="H96" s="9">
        <x:v>-0.4</x:v>
      </x:c>
      <x:c r="I96" s="2">
        <x:f t="shared" si="13"/>
        <x:v>78317.829713828498</x:v>
      </x:c>
      <x:c r="J96" s="3">
        <x:f t="shared" si="14"/>
        <x:v>1.0136589269026999</x:v>
      </x:c>
      <x:c r="K96" s="7">
        <x:f t="shared" si="15"/>
        <x:v>79387.567225067774</x:v>
      </x:c>
      <x:c r="L96" s="7">
        <x:f t="shared" si="16"/>
        <x:v>57357.11862100038</x:v>
      </x:c>
      <x:c r="M96" s="7">
        <x:f t="shared" si="17"/>
        <x:v>22030.448604067398</x:v>
      </x:c>
      <x:c r="N96" s="7">
        <x:f t="shared" si="18"/>
        <x:v>79387.567225067774</x:v>
      </x:c>
    </x:row>
    <x:row r="97" spans="1:14" outlineLevel="2" x14ac:dyDescent="0.25">
      <x:c r="A97" s="1" t="s">
        <x:v>29</x:v>
      </x:c>
      <x:c r="B97" s="1" t="s">
        <x:v>63</x:v>
      </x:c>
      <x:c r="C97" s="2">
        <x:v>267465.06</x:v>
      </x:c>
      <x:c r="D97" s="2">
        <x:v>239994.88845581724</x:v>
      </x:c>
      <x:c r="E97" s="2">
        <x:v>27470.171544182758</x:v>
      </x:c>
      <x:c r="F97" s="1">
        <x:v>65</x:v>
      </x:c>
      <x:c r="G97" s="1">
        <x:v>10.242960999999999</x:v>
      </x:c>
      <x:c r="H97" s="9">
        <x:v>-0.4</x:v>
      </x:c>
      <x:c r="I97" s="2">
        <x:f t="shared" si="13"/>
        <x:v>315443.57861815812</x:v>
      </x:c>
      <x:c r="J97" s="3">
        <x:f t="shared" si="14"/>
        <x:v>1.0136589269026999</x:v>
      </x:c>
      <x:c r="K97" s="7">
        <x:f t="shared" si="15"/>
        <x:v>319752.19940042961</x:v>
      </x:c>
      <x:c r="L97" s="7">
        <x:f t="shared" si="16"/>
        <x:v>286911.84347072599</x:v>
      </x:c>
      <x:c r="M97" s="7">
        <x:f t="shared" si="17"/>
        <x:v>32840.355929703612</x:v>
      </x:c>
      <x:c r="N97" s="7">
        <x:f t="shared" si="18"/>
        <x:v>319752.19940042961</x:v>
      </x:c>
    </x:row>
    <x:row r="98" spans="1:14" outlineLevel="2" x14ac:dyDescent="0.25">
      <x:c r="A98" s="1" t="s">
        <x:v>29</x:v>
      </x:c>
      <x:c r="B98" s="1" t="s">
        <x:v>62</x:v>
      </x:c>
      <x:c r="C98" s="2">
        <x:v>31712.300000000003</x:v>
      </x:c>
      <x:c r="D98" s="2">
        <x:v>23281.391525343333</x:v>
      </x:c>
      <x:c r="E98" s="2">
        <x:v>8430.9084746566677</x:v>
      </x:c>
      <x:c r="F98" s="1">
        <x:v>65</x:v>
      </x:c>
      <x:c r="G98" s="1">
        <x:v>9.7529489999999992</x:v>
      </x:c>
      <x:c r="H98" s="9">
        <x:v>-0.4</x:v>
      </x:c>
      <x:c r="I98" s="2">
        <x:f t="shared" ref="I98:I129" si="19">+C98*(1-H98)*(1-G98/F98)</x:f>
        <x:v>37735.62273228031</x:v>
      </x:c>
      <x:c r="J98" s="3">
        <x:f t="shared" ref="J98:J129" si="20">$J$130</x:f>
        <x:v>1.0136589269026999</x:v>
      </x:c>
      <x:c r="K98" s="7">
        <x:f t="shared" ref="K98:K129" si="21">IF((C98*(1-H98)-I98*J98)&lt;0,C98*(1-H98),I98*J98)</x:f>
        <x:v>38251.050844808386</x:v>
      </x:c>
      <x:c r="L98" s="7">
        <x:f t="shared" ref="L98:L130" si="22">+D98/$C98*$K98</x:f>
        <x:v>28081.775556291999</x:v>
      </x:c>
      <x:c r="M98" s="7">
        <x:f t="shared" ref="M98:M130" si="23">+E98/$C98*$K98</x:f>
        <x:v>10169.275288516381</x:v>
      </x:c>
      <x:c r="N98" s="7">
        <x:f t="shared" si="18"/>
        <x:v>38251.050844808378</x:v>
      </x:c>
    </x:row>
    <x:row r="99" spans="1:14" outlineLevel="2" x14ac:dyDescent="0.25">
      <x:c r="A99" s="1" t="s">
        <x:v>29</x:v>
      </x:c>
      <x:c r="B99" s="1" t="s">
        <x:v>61</x:v>
      </x:c>
      <x:c r="C99" s="2">
        <x:v>116015.10999999999</x:v>
      </x:c>
      <x:c r="D99" s="2">
        <x:v>95497.944870686144</x:v>
      </x:c>
      <x:c r="E99" s="2">
        <x:v>20517.165129313842</x:v>
      </x:c>
      <x:c r="F99" s="1">
        <x:v>65</x:v>
      </x:c>
      <x:c r="G99" s="1">
        <x:v>9.2879679999999993</x:v>
      </x:c>
      <x:c r="H99" s="9">
        <x:v>-0.4</x:v>
      </x:c>
      <x:c r="I99" s="2">
        <x:f t="shared" si="19"/>
        <x:v>139212.50044807579</x:v>
      </x:c>
      <x:c r="J99" s="3">
        <x:f t="shared" si="20"/>
        <x:v>1.0136589269026999</x:v>
      </x:c>
      <x:c r="K99" s="7">
        <x:f t="shared" si="21"/>
        <x:v>141113.99381563812</x:v>
      </x:c>
      <x:c r="L99" s="7">
        <x:f t="shared" si="22"/>
        <x:v>116158.11424811956</x:v>
      </x:c>
      <x:c r="M99" s="7">
        <x:f t="shared" si="23"/>
        <x:v>24955.879567518576</x:v>
      </x:c>
      <x:c r="N99" s="7">
        <x:f t="shared" si="18"/>
        <x:v>141113.99381563812</x:v>
      </x:c>
    </x:row>
    <x:row r="100" spans="1:14" outlineLevel="2" x14ac:dyDescent="0.25">
      <x:c r="A100" s="1" t="s">
        <x:v>29</x:v>
      </x:c>
      <x:c r="B100" s="1" t="s">
        <x:v>60</x:v>
      </x:c>
      <x:c r="C100" s="2">
        <x:v>140334.61999999997</x:v>
      </x:c>
      <x:c r="D100" s="2">
        <x:v>118839.5839100384</x:v>
      </x:c>
      <x:c r="E100" s="2">
        <x:v>21495.036089961573</x:v>
      </x:c>
      <x:c r="F100" s="1">
        <x:v>65</x:v>
      </x:c>
      <x:c r="G100" s="1">
        <x:v>8.8469130000000007</x:v>
      </x:c>
      <x:c r="H100" s="9">
        <x:v>-0.4</x:v>
      </x:c>
      <x:c r="I100" s="2">
        <x:f t="shared" si="19"/>
        <x:v>169727.86117478018</x:v>
      </x:c>
      <x:c r="J100" s="3">
        <x:f t="shared" si="20"/>
        <x:v>1.0136589269026999</x:v>
      </x:c>
      <x:c r="K100" s="7">
        <x:f t="shared" si="21"/>
        <x:v>172046.1616239181</x:v>
      </x:c>
      <x:c r="L100" s="7">
        <x:f t="shared" si="22"/>
        <x:v>145693.87269303645</x:v>
      </x:c>
      <x:c r="M100" s="7">
        <x:f t="shared" si="23"/>
        <x:v>26352.288930881648</x:v>
      </x:c>
      <x:c r="N100" s="7">
        <x:f t="shared" si="18"/>
        <x:v>172046.1616239181</x:v>
      </x:c>
    </x:row>
    <x:row r="101" spans="1:14" outlineLevel="2" x14ac:dyDescent="0.25">
      <x:c r="A101" s="1" t="s">
        <x:v>29</x:v>
      </x:c>
      <x:c r="B101" s="1" t="s">
        <x:v>59</x:v>
      </x:c>
      <x:c r="C101" s="2">
        <x:v>33427.69</x:v>
      </x:c>
      <x:c r="D101" s="2">
        <x:v>24131.670931571472</x:v>
      </x:c>
      <x:c r="E101" s="2">
        <x:v>9296.0190684285299</x:v>
      </x:c>
      <x:c r="F101" s="1">
        <x:v>65</x:v>
      </x:c>
      <x:c r="G101" s="1">
        <x:v>8.4283339999999995</x:v>
      </x:c>
      <x:c r="H101" s="9">
        <x:v>-0.4</x:v>
      </x:c>
      <x:c r="I101" s="2">
        <x:f t="shared" si="19"/>
        <x:v>40730.525528679325</x:v>
      </x:c>
      <x:c r="J101" s="3">
        <x:f t="shared" si="20"/>
        <x:v>1.0136589269026999</x:v>
      </x:c>
      <x:c r="K101" s="7">
        <x:f t="shared" si="21"/>
        <x:v>41286.860799584108</x:v>
      </x:c>
      <x:c r="L101" s="7">
        <x:f t="shared" si="22"/>
        <x:v>29805.258413404023</x:v>
      </x:c>
      <x:c r="M101" s="7">
        <x:f t="shared" si="23"/>
        <x:v>11481.602386180088</x:v>
      </x:c>
      <x:c r="N101" s="7">
        <x:f t="shared" si="18"/>
        <x:v>41286.860799584108</x:v>
      </x:c>
    </x:row>
    <x:row r="102" spans="1:14" outlineLevel="2" x14ac:dyDescent="0.25">
      <x:c r="A102" s="1" t="s">
        <x:v>29</x:v>
      </x:c>
      <x:c r="B102" s="1" t="s">
        <x:v>58</x:v>
      </x:c>
      <x:c r="C102" s="2">
        <x:v>79063.38</x:v>
      </x:c>
      <x:c r="D102" s="2">
        <x:v>60958.25080219833</x:v>
      </x:c>
      <x:c r="E102" s="2">
        <x:v>18105.129197801674</x:v>
      </x:c>
      <x:c r="F102" s="1">
        <x:v>65</x:v>
      </x:c>
      <x:c r="G102" s="1">
        <x:v>8.0312129999999993</x:v>
      </x:c>
      <x:c r="H102" s="9">
        <x:v>-0.4</x:v>
      </x:c>
      <x:c r="I102" s="2">
        <x:f t="shared" si="19"/>
        <x:v>97012.350717047462</x:v>
      </x:c>
      <x:c r="J102" s="3">
        <x:f t="shared" si="20"/>
        <x:v>1.0136589269026999</x:v>
      </x:c>
      <x:c r="K102" s="7">
        <x:f t="shared" si="21"/>
        <x:v>98337.435324150691</x:v>
      </x:c>
      <x:c r="L102" s="7">
        <x:f t="shared" si="22"/>
        <x:v>75818.641268998806</x:v>
      </x:c>
      <x:c r="M102" s="7">
        <x:f t="shared" si="23"/>
        <x:v>22518.79405515188</x:v>
      </x:c>
      <x:c r="N102" s="7">
        <x:f t="shared" si="18"/>
        <x:v>98337.435324150691</x:v>
      </x:c>
    </x:row>
    <x:row r="103" spans="1:14" outlineLevel="2" x14ac:dyDescent="0.25">
      <x:c r="A103" s="1" t="s">
        <x:v>29</x:v>
      </x:c>
      <x:c r="B103" s="1" t="s">
        <x:v>57</x:v>
      </x:c>
      <x:c r="C103" s="2">
        <x:v>9949.7999999999993</x:v>
      </x:c>
      <x:c r="D103" s="2">
        <x:v>6568.3094815721333</x:v>
      </x:c>
      <x:c r="E103" s="2">
        <x:v>3381.4905184278655</x:v>
      </x:c>
      <x:c r="F103" s="1">
        <x:v>65</x:v>
      </x:c>
      <x:c r="G103" s="1">
        <x:v>7.6537509999999997</x:v>
      </x:c>
      <x:c r="H103" s="9">
        <x:v>-0.4</x:v>
      </x:c>
      <x:c r="I103" s="2">
        <x:f t="shared" si="19"/>
        <x:v>12289.495255696613</x:v>
      </x:c>
      <x:c r="J103" s="3">
        <x:f t="shared" si="20"/>
        <x:v>1.0136589269026999</x:v>
      </x:c>
      <x:c r="K103" s="7">
        <x:f t="shared" si="21"/>
        <x:v>12457.35657306525</x:v>
      </x:c>
      <x:c r="L103" s="7">
        <x:f t="shared" si="22"/>
        <x:v>8223.6601031366881</x:v>
      </x:c>
      <x:c r="M103" s="7">
        <x:f t="shared" si="23"/>
        <x:v>4233.69646992856</x:v>
      </x:c>
      <x:c r="N103" s="7">
        <x:f t="shared" si="18"/>
        <x:v>12457.356573065248</x:v>
      </x:c>
    </x:row>
    <x:row r="104" spans="1:14" outlineLevel="2" x14ac:dyDescent="0.25">
      <x:c r="A104" s="1" t="s">
        <x:v>29</x:v>
      </x:c>
      <x:c r="B104" s="1" t="s">
        <x:v>56</x:v>
      </x:c>
      <x:c r="C104" s="2">
        <x:v>96472.459999999992</x:v>
      </x:c>
      <x:c r="D104" s="2">
        <x:v>79612.601137770747</x:v>
      </x:c>
      <x:c r="E104" s="2">
        <x:v>16859.858862229252</x:v>
      </x:c>
      <x:c r="F104" s="1">
        <x:v>65</x:v>
      </x:c>
      <x:c r="G104" s="1">
        <x:v>7.2938640000000001</x:v>
      </x:c>
      <x:c r="H104" s="9">
        <x:v>-0.4</x:v>
      </x:c>
      <x:c r="I104" s="2">
        <x:f t="shared" si="19"/>
        <x:v>119905.75470492897</x:v>
      </x:c>
      <x:c r="J104" s="3">
        <x:f t="shared" si="20"/>
        <x:v>1.0136589269026999</x:v>
      </x:c>
      <x:c r="K104" s="7">
        <x:f t="shared" si="21"/>
        <x:v>121543.53864365666</x:v>
      </x:c>
      <x:c r="L104" s="7">
        <x:f t="shared" si="22"/>
        <x:v>100302.17186242233</x:v>
      </x:c>
      <x:c r="M104" s="7">
        <x:f t="shared" si="23"/>
        <x:v>21241.366781234337</x:v>
      </x:c>
      <x:c r="N104" s="7">
        <x:f t="shared" si="18"/>
        <x:v>121543.53864365666</x:v>
      </x:c>
    </x:row>
    <x:row r="105" spans="1:14" outlineLevel="2" x14ac:dyDescent="0.25">
      <x:c r="A105" s="1" t="s">
        <x:v>29</x:v>
      </x:c>
      <x:c r="B105" s="1" t="s">
        <x:v>55</x:v>
      </x:c>
      <x:c r="C105" s="2">
        <x:v>100488.40999999997</x:v>
      </x:c>
      <x:c r="D105" s="2">
        <x:v>70404.48308268172</x:v>
      </x:c>
      <x:c r="E105" s="2">
        <x:v>30083.926917318262</x:v>
      </x:c>
      <x:c r="F105" s="1">
        <x:v>65</x:v>
      </x:c>
      <x:c r="G105" s="1">
        <x:v>6.9512320000000001</x:v>
      </x:c>
      <x:c r="H105" s="9">
        <x:v>-0.4</x:v>
      </x:c>
      <x:c r="I105" s="2">
        <x:f t="shared" si="19"/>
        <x:v>125638.76551216043</x:v>
      </x:c>
      <x:c r="J105" s="3">
        <x:f t="shared" si="20"/>
        <x:v>1.0136589269026999</x:v>
      </x:c>
      <x:c r="K105" s="7">
        <x:f t="shared" si="21"/>
        <x:v>127354.85622643649</x:v>
      </x:c>
      <x:c r="L105" s="7">
        <x:f t="shared" si="22"/>
        <x:v>89227.731045714754</x:v>
      </x:c>
      <x:c r="M105" s="7">
        <x:f t="shared" si="23"/>
        <x:v>38127.125180721749</x:v>
      </x:c>
      <x:c r="N105" s="7">
        <x:f t="shared" si="18"/>
        <x:v>127354.8562264365</x:v>
      </x:c>
    </x:row>
    <x:row r="106" spans="1:14" outlineLevel="2" x14ac:dyDescent="0.25">
      <x:c r="A106" s="1" t="s">
        <x:v>29</x:v>
      </x:c>
      <x:c r="B106" s="1" t="s">
        <x:v>54</x:v>
      </x:c>
      <x:c r="C106" s="2">
        <x:v>79411.300000000017</x:v>
      </x:c>
      <x:c r="D106" s="2">
        <x:v>61555.408093688238</x:v>
      </x:c>
      <x:c r="E106" s="2">
        <x:v>17855.891906311779</x:v>
      </x:c>
      <x:c r="F106" s="1">
        <x:v>65</x:v>
      </x:c>
      <x:c r="G106" s="1">
        <x:v>6.6212049999999998</x:v>
      </x:c>
      <x:c r="H106" s="9">
        <x:v>-0.4</x:v>
      </x:c>
      <x:c r="I106" s="2">
        <x:f t="shared" si="19"/>
        <x:v>99850.929303644632</x:v>
      </x:c>
      <x:c r="J106" s="3">
        <x:f t="shared" si="20"/>
        <x:v>1.0136589269026999</x:v>
      </x:c>
      <x:c r="K106" s="7">
        <x:f t="shared" si="21"/>
        <x:v>101214.78584816976</x:v>
      </x:c>
      <x:c r="L106" s="7">
        <x:f t="shared" si="22"/>
        <x:v>78456.308459870939</x:v>
      </x:c>
      <x:c r="M106" s="7">
        <x:f t="shared" si="23"/>
        <x:v>22758.477388298819</x:v>
      </x:c>
      <x:c r="N106" s="7">
        <x:f t="shared" si="18"/>
        <x:v>101214.78584816976</x:v>
      </x:c>
    </x:row>
    <x:row r="107" spans="1:14" outlineLevel="2" x14ac:dyDescent="0.25">
      <x:c r="A107" s="1" t="s">
        <x:v>29</x:v>
      </x:c>
      <x:c r="B107" s="1" t="s">
        <x:v>53</x:v>
      </x:c>
      <x:c r="C107" s="2">
        <x:v>36126.230000000003</x:v>
      </x:c>
      <x:c r="D107" s="2">
        <x:v>20214.226605198292</x:v>
      </x:c>
      <x:c r="E107" s="2">
        <x:v>15912.00339480171</x:v>
      </x:c>
      <x:c r="F107" s="1">
        <x:v>65</x:v>
      </x:c>
      <x:c r="G107" s="1">
        <x:v>6.305828</x:v>
      </x:c>
      <x:c r="H107" s="9">
        <x:v>-0.4</x:v>
      </x:c>
      <x:c r="I107" s="2">
        <x:f t="shared" si="19"/>
        <x:v>45670.135696372061</x:v>
      </x:c>
      <x:c r="J107" s="3">
        <x:f t="shared" si="20"/>
        <x:v>1.0136589269026999</x:v>
      </x:c>
      <x:c r="K107" s="7">
        <x:f t="shared" si="21"/>
        <x:v>46293.940741485188</x:v>
      </x:c>
      <x:c r="L107" s="7">
        <x:f t="shared" si="22"/>
        <x:v>25903.511343309357</x:v>
      </x:c>
      <x:c r="M107" s="7">
        <x:f t="shared" si="23"/>
        <x:v>20390.429398175824</x:v>
      </x:c>
      <x:c r="N107" s="7">
        <x:f t="shared" si="18"/>
        <x:v>46293.940741485181</x:v>
      </x:c>
    </x:row>
    <x:row r="108" spans="1:14" outlineLevel="2" x14ac:dyDescent="0.25">
      <x:c r="A108" s="1" t="s">
        <x:v>29</x:v>
      </x:c>
      <x:c r="B108" s="1" t="s">
        <x:v>52</x:v>
      </x:c>
      <x:c r="C108" s="2">
        <x:v>76239.75</x:v>
      </x:c>
      <x:c r="D108" s="2">
        <x:v>66300.149227135451</x:v>
      </x:c>
      <x:c r="E108" s="2">
        <x:v>9939.6007728645473</x:v>
      </x:c>
      <x:c r="F108" s="1">
        <x:v>65</x:v>
      </x:c>
      <x:c r="G108" s="1">
        <x:v>5.9992530000000004</x:v>
      </x:c>
      <x:c r="H108" s="9">
        <x:v>-0.4</x:v>
      </x:c>
      <x:c r="I108" s="2">
        <x:f t="shared" si="19"/>
        <x:v>96884.355100469984</x:v>
      </x:c>
      <x:c r="J108" s="3">
        <x:f t="shared" si="20"/>
        <x:v>1.0136589269026999</x:v>
      </x:c>
      <x:c r="K108" s="7">
        <x:f t="shared" si="21"/>
        <x:v>98207.691424802528</x:v>
      </x:c>
      <x:c r="L108" s="7">
        <x:f t="shared" si="22"/>
        <x:v>85404.065421474734</x:v>
      </x:c>
      <x:c r="M108" s="7">
        <x:f t="shared" si="23"/>
        <x:v>12803.626003327794</x:v>
      </x:c>
      <x:c r="N108" s="7">
        <x:f t="shared" si="18"/>
        <x:v>98207.691424802528</x:v>
      </x:c>
    </x:row>
    <x:row r="109" spans="1:14" outlineLevel="2" x14ac:dyDescent="0.25">
      <x:c r="A109" s="1" t="s">
        <x:v>29</x:v>
      </x:c>
      <x:c r="B109" s="1" t="s">
        <x:v>51</x:v>
      </x:c>
      <x:c r="C109" s="2">
        <x:v>55796.94000000001</x:v>
      </x:c>
      <x:c r="D109" s="2">
        <x:v>37454.467987163778</x:v>
      </x:c>
      <x:c r="E109" s="2">
        <x:v>18342.472012836231</x:v>
      </x:c>
      <x:c r="F109" s="1">
        <x:v>65</x:v>
      </x:c>
      <x:c r="G109" s="1">
        <x:v>5.7040139999999999</x:v>
      </x:c>
      <x:c r="H109" s="9">
        <x:v>-0.4</x:v>
      </x:c>
      <x:c r="I109" s="2">
        <x:f t="shared" si="19"/>
        <x:v>71260.744651015033</x:v>
      </x:c>
      <x:c r="J109" s="3">
        <x:f t="shared" si="20"/>
        <x:v>1.0136589269026999</x:v>
      </x:c>
      <x:c r="K109" s="7">
        <x:f t="shared" si="21"/>
        <x:v>72234.089953235205</x:v>
      </x:c>
      <x:c r="L109" s="7">
        <x:f t="shared" si="22"/>
        <x:v>48488.132319359378</x:v>
      </x:c>
      <x:c r="M109" s="7">
        <x:f t="shared" si="23"/>
        <x:v>23745.957633875823</x:v>
      </x:c>
      <x:c r="N109" s="7">
        <x:f t="shared" si="18"/>
        <x:v>72234.089953235205</x:v>
      </x:c>
    </x:row>
    <x:row r="110" spans="1:14" outlineLevel="2" x14ac:dyDescent="0.25">
      <x:c r="A110" s="1" t="s">
        <x:v>29</x:v>
      </x:c>
      <x:c r="B110" s="1" t="s">
        <x:v>50</x:v>
      </x:c>
      <x:c r="C110" s="2">
        <x:v>41507.07</x:v>
      </x:c>
      <x:c r="D110" s="2">
        <x:v>24785.70434952285</x:v>
      </x:c>
      <x:c r="E110" s="2">
        <x:v>16721.36565047715</x:v>
      </x:c>
      <x:c r="F110" s="1">
        <x:v>65</x:v>
      </x:c>
      <x:c r="G110" s="1">
        <x:v>5.4150010000000002</x:v>
      </x:c>
      <x:c r="H110" s="9">
        <x:v>-0.4</x:v>
      </x:c>
      <x:c r="I110" s="2">
        <x:f t="shared" si="19"/>
        <x:v>53268.895603386183</x:v>
      </x:c>
      <x:c r="J110" s="3">
        <x:f t="shared" si="20"/>
        <x:v>1.0136589269026999</x:v>
      </x:c>
      <x:c r="K110" s="7">
        <x:f t="shared" si="21"/>
        <x:v>53996.491554620385</x:v>
      </x:c>
      <x:c r="L110" s="7">
        <x:f t="shared" si="22"/>
        <x:v>32243.689462646442</x:v>
      </x:c>
      <x:c r="M110" s="7">
        <x:f t="shared" si="23"/>
        <x:v>21752.802091973939</x:v>
      </x:c>
      <x:c r="N110" s="7">
        <x:f t="shared" si="18"/>
        <x:v>53996.491554620385</x:v>
      </x:c>
    </x:row>
    <x:row r="111" spans="1:14" outlineLevel="2" x14ac:dyDescent="0.25">
      <x:c r="A111" s="1" t="s">
        <x:v>29</x:v>
      </x:c>
      <x:c r="B111" s="1" t="s">
        <x:v>49</x:v>
      </x:c>
      <x:c r="C111" s="2">
        <x:v>1172.77</x:v>
      </x:c>
      <x:c r="D111" s="2">
        <x:v>948.08419112222566</x:v>
      </x:c>
      <x:c r="E111" s="2">
        <x:v>224.68580887777443</x:v>
      </x:c>
      <x:c r="F111" s="1">
        <x:v>65</x:v>
      </x:c>
      <x:c r="G111" s="1">
        <x:v>5.1336570000000004</x:v>
      </x:c>
      <x:c r="H111" s="9">
        <x:v>-0.4</x:v>
      </x:c>
      <x:c r="I111" s="2">
        <x:f t="shared" si="19"/>
        <x:v>1512.203561725446</x:v>
      </x:c>
      <x:c r="J111" s="3">
        <x:f t="shared" si="20"/>
        <x:v>1.0136589269026999</x:v>
      </x:c>
      <x:c r="K111" s="7">
        <x:f t="shared" si="21"/>
        <x:v>1532.8586396370563</x:v>
      </x:c>
      <x:c r="L111" s="7">
        <x:f t="shared" si="22"/>
        <x:v>1239.1850434995895</x:v>
      </x:c>
      <x:c r="M111" s="7">
        <x:f t="shared" si="23"/>
        <x:v>293.6735961374668</x:v>
      </x:c>
      <x:c r="N111" s="7">
        <x:f t="shared" si="18"/>
        <x:v>1532.8586396370563</x:v>
      </x:c>
    </x:row>
    <x:row r="112" spans="1:14" outlineLevel="2" x14ac:dyDescent="0.25">
      <x:c r="A112" s="1" t="s">
        <x:v>29</x:v>
      </x:c>
      <x:c r="B112" s="1" t="s">
        <x:v>48</x:v>
      </x:c>
      <x:c r="C112" s="2">
        <x:v>278.75</x:v>
      </x:c>
      <x:c r="D112" s="2">
        <x:v>213.19484145127484</x:v>
      </x:c>
      <x:c r="E112" s="2">
        <x:v>65.55515854872516</x:v>
      </x:c>
      <x:c r="F112" s="1">
        <x:v>65</x:v>
      </x:c>
      <x:c r="G112" s="1">
        <x:v>4.8574229999999998</x:v>
      </x:c>
      <x:c r="H112" s="9">
        <x:v>-0.4</x:v>
      </x:c>
      <x:c r="I112" s="2">
        <x:f t="shared" si="19"/>
        <x:v>361.08677960384614</x:v>
      </x:c>
      <x:c r="J112" s="3">
        <x:f t="shared" si="20"/>
        <x:v>1.0136589269026999</x:v>
      </x:c>
      <x:c r="K112" s="7">
        <x:f t="shared" si="21"/>
        <x:v>366.01883753198638</x:v>
      </x:c>
      <x:c r="L112" s="7">
        <x:f t="shared" si="22"/>
        <x:v>279.9401902630018</x:v>
      </x:c>
      <x:c r="M112" s="7">
        <x:f t="shared" si="23"/>
        <x:v>86.07864726898454</x:v>
      </x:c>
      <x:c r="N112" s="7">
        <x:f t="shared" si="18"/>
        <x:v>366.01883753198632</x:v>
      </x:c>
    </x:row>
    <x:row r="113" spans="1:14" outlineLevel="2" x14ac:dyDescent="0.25">
      <x:c r="A113" s="1" t="s">
        <x:v>29</x:v>
      </x:c>
      <x:c r="B113" s="1" t="s">
        <x:v>47</x:v>
      </x:c>
      <x:c r="C113" s="2">
        <x:v>613.74</x:v>
      </x:c>
      <x:c r="D113" s="2">
        <x:v>486.1729958846214</x:v>
      </x:c>
      <x:c r="E113" s="2">
        <x:v>127.56700411537864</x:v>
      </x:c>
      <x:c r="F113" s="1">
        <x:v>65</x:v>
      </x:c>
      <x:c r="G113" s="1">
        <x:v>4.5850960000000001</x:v>
      </x:c>
      <x:c r="H113" s="9">
        <x:v>-0.4</x:v>
      </x:c>
      <x:c r="I113" s="2">
        <x:f t="shared" si="19"/>
        <x:v>798.62554543606154</x:v>
      </x:c>
      <x:c r="J113" s="3">
        <x:f t="shared" si="20"/>
        <x:v>1.0136589269026999</x:v>
      </x:c>
      <x:c r="K113" s="7">
        <x:f t="shared" si="21"/>
        <x:v>809.53391338380152</x:v>
      </x:c>
      <x:c r="L113" s="7">
        <x:f t="shared" si="22"/>
        <x:v>641.27077905954377</x:v>
      </x:c>
      <x:c r="M113" s="7">
        <x:f t="shared" si="23"/>
        <x:v>168.26313432425781</x:v>
      </x:c>
      <x:c r="N113" s="7">
        <x:f t="shared" si="18"/>
        <x:v>809.53391338380152</x:v>
      </x:c>
    </x:row>
    <x:row r="114" spans="1:14" outlineLevel="2" x14ac:dyDescent="0.25">
      <x:c r="A114" s="1" t="s">
        <x:v>29</x:v>
      </x:c>
      <x:c r="B114" s="1" t="s">
        <x:v>46</x:v>
      </x:c>
      <x:c r="C114" s="2">
        <x:v>28893.739999999994</x:v>
      </x:c>
      <x:c r="D114" s="2">
        <x:v>21622.363508856135</x:v>
      </x:c>
      <x:c r="E114" s="2">
        <x:v>7271.3764911438593</x:v>
      </x:c>
      <x:c r="F114" s="1">
        <x:v>65</x:v>
      </x:c>
      <x:c r="G114" s="1">
        <x:v>3.7936879999999999</x:v>
      </x:c>
      <x:c r="H114" s="9">
        <x:v>-0.4</x:v>
      </x:c>
      <x:c r="I114" s="2">
        <x:f t="shared" si="19"/>
        <x:v>38090.322636948171</x:v>
      </x:c>
      <x:c r="J114" s="3">
        <x:f t="shared" si="20"/>
        <x:v>1.0136589269026999</x:v>
      </x:c>
      <x:c r="K114" s="7">
        <x:f t="shared" si="21"/>
        <x:v>38610.595569546502</x:v>
      </x:c>
      <x:c r="L114" s="7">
        <x:f t="shared" si="22"/>
        <x:v>28893.882643720226</x:v>
      </x:c>
      <x:c r="M114" s="7">
        <x:f t="shared" si="23"/>
        <x:v>9716.7129258262776</x:v>
      </x:c>
      <x:c r="N114" s="7">
        <x:f t="shared" si="18"/>
        <x:v>38610.595569546502</x:v>
      </x:c>
    </x:row>
    <x:row r="115" spans="1:14" outlineLevel="2" x14ac:dyDescent="0.25">
      <x:c r="A115" s="1" t="s">
        <x:v>29</x:v>
      </x:c>
      <x:c r="B115" s="1" t="s">
        <x:v>45</x:v>
      </x:c>
      <x:c r="C115" s="2">
        <x:v>31566.84</x:v>
      </x:c>
      <x:c r="D115" s="2">
        <x:v>24272.244007868165</x:v>
      </x:c>
      <x:c r="E115" s="2">
        <x:v>7294.5959921318354</x:v>
      </x:c>
      <x:c r="F115" s="1">
        <x:v>65</x:v>
      </x:c>
      <x:c r="G115" s="1">
        <x:v>3.5319349999999998</x:v>
      </x:c>
      <x:c r="H115" s="9">
        <x:v>-0.4</x:v>
      </x:c>
      <x:c r="I115" s="2">
        <x:f t="shared" si="19"/>
        <x:v>41792.209263852921</x:v>
      </x:c>
      <x:c r="J115" s="3">
        <x:f t="shared" si="20"/>
        <x:v>1.0136589269026999</x:v>
      </x:c>
      <x:c r="K115" s="7">
        <x:f t="shared" si="21"/>
        <x:v>42363.045995290224</x:v>
      </x:c>
      <x:c r="L115" s="7">
        <x:f t="shared" si="22"/>
        <x:v>32573.618053445531</x:v>
      </x:c>
      <x:c r="M115" s="7">
        <x:f t="shared" si="23"/>
        <x:v>9789.4279418446913</x:v>
      </x:c>
      <x:c r="N115" s="7">
        <x:f t="shared" si="18"/>
        <x:v>42363.045995290224</x:v>
      </x:c>
    </x:row>
    <x:row r="116" spans="1:14" outlineLevel="2" x14ac:dyDescent="0.25">
      <x:c r="A116" s="1" t="s">
        <x:v>29</x:v>
      </x:c>
      <x:c r="B116" s="1" t="s">
        <x:v>44</x:v>
      </x:c>
      <x:c r="C116" s="2">
        <x:v>3289.3199999999997</x:v>
      </x:c>
      <x:c r="D116" s="2">
        <x:v>2513.8748241247431</x:v>
      </x:c>
      <x:c r="E116" s="2">
        <x:v>775.44517587525661</x:v>
      </x:c>
      <x:c r="F116" s="1">
        <x:v>65</x:v>
      </x:c>
      <x:c r="G116" s="1">
        <x:v>3.2829350000000002</x:v>
      </x:c>
      <x:c r="H116" s="9">
        <x:v>-0.4</x:v>
      </x:c>
      <x:c r="I116" s="2">
        <x:f t="shared" si="19"/>
        <x:v>4372.4622576018446</x:v>
      </x:c>
      <x:c r="J116" s="3">
        <x:f t="shared" si="20"/>
        <x:v>1.0136589269026999</x:v>
      </x:c>
      <x:c r="K116" s="7">
        <x:f t="shared" si="21"/>
        <x:v>4432.1853999632422</x:v>
      </x:c>
      <x:c r="L116" s="7">
        <x:f t="shared" si="22"/>
        <x:v>3387.3138803220272</x:v>
      </x:c>
      <x:c r="M116" s="7">
        <x:f t="shared" si="23"/>
        <x:v>1044.8715196412149</x:v>
      </x:c>
      <x:c r="N116" s="7">
        <x:f t="shared" si="18"/>
        <x:v>4432.1853999632422</x:v>
      </x:c>
    </x:row>
    <x:row r="117" spans="1:14" outlineLevel="2" x14ac:dyDescent="0.25">
      <x:c r="A117" s="1" t="s">
        <x:v>29</x:v>
      </x:c>
      <x:c r="B117" s="1" t="s">
        <x:v>43</x:v>
      </x:c>
      <x:c r="C117" s="2">
        <x:v>17416.21</x:v>
      </x:c>
      <x:c r="D117" s="2">
        <x:v>12520.514323500181</x:v>
      </x:c>
      <x:c r="E117" s="2">
        <x:v>4895.6956764998185</x:v>
      </x:c>
      <x:c r="F117" s="1">
        <x:v>65</x:v>
      </x:c>
      <x:c r="G117" s="1">
        <x:v>3.0264030000000002</x:v>
      </x:c>
      <x:c r="H117" s="9">
        <x:v>-0.4</x:v>
      </x:c>
      <x:c r="I117" s="2">
        <x:f t="shared" si="19"/>
        <x:v>23247.43464200489</x:v>
      </x:c>
      <x:c r="J117" s="3">
        <x:f t="shared" si="20"/>
        <x:v>1.0136589269026999</x:v>
      </x:c>
      <x:c r="K117" s="7">
        <x:f t="shared" si="21"/>
        <x:v>23564.969652455326</x:v>
      </x:c>
      <x:c r="L117" s="7">
        <x:f t="shared" si="22"/>
        <x:v>16940.857974634779</x:v>
      </x:c>
      <x:c r="M117" s="7">
        <x:f t="shared" si="23"/>
        <x:v>6624.1116778205469</x:v>
      </x:c>
      <x:c r="N117" s="7">
        <x:f t="shared" si="18"/>
        <x:v>23564.969652455326</x:v>
      </x:c>
    </x:row>
    <x:row r="118" spans="1:14" outlineLevel="2" x14ac:dyDescent="0.25">
      <x:c r="A118" s="1" t="s">
        <x:v>29</x:v>
      </x:c>
      <x:c r="B118" s="1" t="s">
        <x:v>42</x:v>
      </x:c>
      <x:c r="C118" s="2">
        <x:v>949.55</x:v>
      </x:c>
      <x:c r="D118" s="2">
        <x:v>709.24844634067301</x:v>
      </x:c>
      <x:c r="E118" s="2">
        <x:v>240.30155365932697</x:v>
      </x:c>
      <x:c r="F118" s="1">
        <x:v>65</x:v>
      </x:c>
      <x:c r="G118" s="1">
        <x:v>2.7847909999999998</x:v>
      </x:c>
      <x:c r="H118" s="9">
        <x:v>-0.4</x:v>
      </x:c>
      <x:c r="I118" s="2">
        <x:f t="shared" si="19"/>
        <x:v>1272.4158828973846</x:v>
      </x:c>
      <x:c r="J118" s="3">
        <x:f t="shared" si="20"/>
        <x:v>1.0136589269026999</x:v>
      </x:c>
      <x:c r="K118" s="7">
        <x:f t="shared" si="21"/>
        <x:v>1289.7957184317142</x:v>
      </x:c>
      <x:c r="L118" s="7">
        <x:f t="shared" si="22"/>
        <x:v>963.38856236590539</x:v>
      </x:c>
      <x:c r="M118" s="7">
        <x:f t="shared" si="23"/>
        <x:v>326.40715606580886</x:v>
      </x:c>
      <x:c r="N118" s="7">
        <x:f t="shared" si="18"/>
        <x:v>1289.7957184317142</x:v>
      </x:c>
    </x:row>
    <x:row r="119" spans="1:14" outlineLevel="2" x14ac:dyDescent="0.25">
      <x:c r="A119" s="1" t="s">
        <x:v>29</x:v>
      </x:c>
      <x:c r="B119" s="1" t="s">
        <x:v>41</x:v>
      </x:c>
      <x:c r="C119" s="2">
        <x:v>830.94</x:v>
      </x:c>
      <x:c r="D119" s="2">
        <x:v>574.94504408429862</x:v>
      </x:c>
      <x:c r="E119" s="2">
        <x:v>255.99495591570141</x:v>
      </x:c>
      <x:c r="F119" s="1">
        <x:v>65</x:v>
      </x:c>
      <x:c r="G119" s="1">
        <x:v>1.022025</x:v>
      </x:c>
      <x:c r="H119" s="9">
        <x:v>-0.4</x:v>
      </x:c>
      <x:c r="I119" s="2">
        <x:f t="shared" si="19"/>
        <x:v>1145.0246456169232</x:v>
      </x:c>
      <x:c r="J119" s="3">
        <x:f t="shared" si="20"/>
        <x:v>1.0136589269026999</x:v>
      </x:c>
      <x:c r="K119" s="7">
        <x:f t="shared" si="21"/>
        <x:v>1160.6644535531946</x:v>
      </x:c>
      <x:c r="L119" s="7">
        <x:f t="shared" si="22"/>
        <x:v>803.08840038416713</x:v>
      </x:c>
      <x:c r="M119" s="7">
        <x:f t="shared" si="23"/>
        <x:v>357.57605316902749</x:v>
      </x:c>
      <x:c r="N119" s="7">
        <x:f t="shared" si="18"/>
        <x:v>1160.6644535531946</x:v>
      </x:c>
    </x:row>
    <x:row r="120" spans="1:14" outlineLevel="2" x14ac:dyDescent="0.25">
      <x:c r="A120" s="1" t="s">
        <x:v>29</x:v>
      </x:c>
      <x:c r="B120" s="1" t="s">
        <x:v>40</x:v>
      </x:c>
      <x:c r="C120" s="2">
        <x:v>487.27000000000004</x:v>
      </x:c>
      <x:c r="D120" s="2">
        <x:v>336.14239345079415</x:v>
      </x:c>
      <x:c r="E120" s="2">
        <x:v>151.12760654920589</x:v>
      </x:c>
      <x:c r="F120" s="1">
        <x:v>65</x:v>
      </x:c>
      <x:c r="G120" s="1">
        <x:v>0.85746</x:v>
      </x:c>
      <x:c r="H120" s="9">
        <x:v>-0.4</x:v>
      </x:c>
      <x:c r="I120" s="2">
        <x:f t="shared" si="19"/>
        <x:v>673.17891772492305</x:v>
      </x:c>
      <x:c r="J120" s="3">
        <x:f t="shared" si="20"/>
        <x:v>1.0136589269026999</x:v>
      </x:c>
      <x:c r="K120" s="7">
        <x:f t="shared" si="21"/>
        <x:v>682.178</x:v>
      </x:c>
      <x:c r="L120" s="7">
        <x:f t="shared" si="22"/>
        <x:v>470.59935083111179</x:v>
      </x:c>
      <x:c r="M120" s="7">
        <x:f t="shared" si="23"/>
        <x:v>211.57864916888823</x:v>
      </x:c>
      <x:c r="N120" s="7">
        <x:f t="shared" si="18"/>
        <x:v>682.178</x:v>
      </x:c>
    </x:row>
    <x:row r="121" spans="1:14" outlineLevel="2" x14ac:dyDescent="0.25">
      <x:c r="A121" s="1" t="s">
        <x:v>29</x:v>
      </x:c>
      <x:c r="B121" s="1" t="s">
        <x:v>39</x:v>
      </x:c>
      <x:c r="C121" s="2">
        <x:v>15311.440000000002</x:v>
      </x:c>
      <x:c r="D121" s="2">
        <x:v>7156.7481965165107</x:v>
      </x:c>
      <x:c r="E121" s="2">
        <x:v>8154.6918034834907</x:v>
      </x:c>
      <x:c r="F121" s="1">
        <x:v>65</x:v>
      </x:c>
      <x:c r="G121" s="1">
        <x:v>0.66293800000000003</x:v>
      </x:c>
      <x:c r="H121" s="9">
        <x:v>-0.4</x:v>
      </x:c>
      <x:c r="I121" s="2">
        <x:f t="shared" si="19"/>
        <x:v>21217.389083461418</x:v>
      </x:c>
      <x:c r="J121" s="3">
        <x:f t="shared" si="20"/>
        <x:v>1.0136589269026999</x:v>
      </x:c>
      <x:c r="K121" s="7">
        <x:f t="shared" si="21"/>
        <x:v>21436.016000000003</x:v>
      </x:c>
      <x:c r="L121" s="7">
        <x:f t="shared" si="22"/>
        <x:v>10019.447475123116</x:v>
      </x:c>
      <x:c r="M121" s="7">
        <x:f t="shared" si="23"/>
        <x:v>11416.568524876888</x:v>
      </x:c>
      <x:c r="N121" s="7">
        <x:f t="shared" si="18"/>
        <x:v>21436.016000000003</x:v>
      </x:c>
    </x:row>
    <x:row r="122" spans="1:14" outlineLevel="2" x14ac:dyDescent="0.25">
      <x:c r="A122" s="1" t="s">
        <x:v>29</x:v>
      </x:c>
      <x:c r="B122" s="1" t="s">
        <x:v>38</x:v>
      </x:c>
      <x:c r="C122" s="2">
        <x:v>1284.6100000000001</x:v>
      </x:c>
      <x:c r="D122" s="2">
        <x:v>821.6731302717717</x:v>
      </x:c>
      <x:c r="E122" s="2">
        <x:v>462.93686972822843</x:v>
      </x:c>
      <x:c r="F122" s="1">
        <x:v>65</x:v>
      </x:c>
      <x:c r="G122" s="1">
        <x:v>0.577206</x:v>
      </x:c>
      <x:c r="H122" s="9">
        <x:v>-0.4</x:v>
      </x:c>
      <x:c r="I122" s="2">
        <x:f t="shared" si="19"/>
        <x:v>1782.4835624688615</x:v>
      </x:c>
      <x:c r="J122" s="3">
        <x:f t="shared" si="20"/>
        <x:v>1.0136589269026999</x:v>
      </x:c>
      <x:c r="K122" s="7">
        <x:f t="shared" si="21"/>
        <x:v>1798.454</x:v>
      </x:c>
      <x:c r="L122" s="7">
        <x:f t="shared" si="22"/>
        <x:v>1150.3423823804803</x:v>
      </x:c>
      <x:c r="M122" s="7">
        <x:f t="shared" si="23"/>
        <x:v>648.11161761951973</x:v>
      </x:c>
      <x:c r="N122" s="7">
        <x:f t="shared" si="18"/>
        <x:v>1798.4540000000002</x:v>
      </x:c>
    </x:row>
    <x:row r="123" spans="1:14" outlineLevel="2" x14ac:dyDescent="0.25">
      <x:c r="A123" s="1" t="s">
        <x:v>29</x:v>
      </x:c>
      <x:c r="B123" s="1" t="s">
        <x:v>37</x:v>
      </x:c>
      <x:c r="C123" s="2">
        <x:v>1529.4</x:v>
      </x:c>
      <x:c r="D123" s="2">
        <x:v>1125.0203728397978</x:v>
      </x:c>
      <x:c r="E123" s="2">
        <x:v>404.37962716020223</x:v>
      </x:c>
      <x:c r="F123" s="1">
        <x:v>65</x:v>
      </x:c>
      <x:c r="G123" s="1">
        <x:v>0.47450700000000001</x:v>
      </x:c>
      <x:c r="H123" s="9">
        <x:v>-0.4</x:v>
      </x:c>
      <x:c r="I123" s="2">
        <x:f t="shared" si="19"/>
        <x:v>2125.5293014135382</x:v>
      </x:c>
      <x:c r="J123" s="3">
        <x:f t="shared" si="20"/>
        <x:v>1.0136589269026999</x:v>
      </x:c>
      <x:c r="K123" s="7">
        <x:f t="shared" si="21"/>
        <x:v>2141.16</x:v>
      </x:c>
      <x:c r="L123" s="7">
        <x:f t="shared" si="22"/>
        <x:v>1575.0285219757168</x:v>
      </x:c>
      <x:c r="M123" s="7">
        <x:f t="shared" si="23"/>
        <x:v>566.13147802428307</x:v>
      </x:c>
      <x:c r="N123" s="7">
        <x:f t="shared" si="18"/>
        <x:v>2141.16</x:v>
      </x:c>
    </x:row>
    <x:row r="124" spans="1:14" outlineLevel="2" x14ac:dyDescent="0.25">
      <x:c r="A124" s="1" t="s">
        <x:v>29</x:v>
      </x:c>
      <x:c r="B124" s="1" t="s">
        <x:v>36</x:v>
      </x:c>
      <x:c r="C124" s="2">
        <x:v>2239.2600000000002</x:v>
      </x:c>
      <x:c r="D124" s="2">
        <x:v>1581.3678076546007</x:v>
      </x:c>
      <x:c r="E124" s="2">
        <x:v>657.89219234539939</x:v>
      </x:c>
      <x:c r="F124" s="1">
        <x:v>65</x:v>
      </x:c>
      <x:c r="G124" s="1">
        <x:v>0</x:v>
      </x:c>
      <x:c r="H124" s="9">
        <x:v>-0.4</x:v>
      </x:c>
      <x:c r="I124" s="2">
        <x:f t="shared" si="19"/>
        <x:v>3134.9639999999999</x:v>
      </x:c>
      <x:c r="J124" s="3">
        <x:f t="shared" si="20"/>
        <x:v>1.0136589269026999</x:v>
      </x:c>
      <x:c r="K124" s="7">
        <x:f t="shared" si="21"/>
        <x:v>3134.9639999999999</x:v>
      </x:c>
      <x:c r="L124" s="7">
        <x:f t="shared" si="22"/>
        <x:v>2213.9149307164407</x:v>
      </x:c>
      <x:c r="M124" s="7">
        <x:f t="shared" si="23"/>
        <x:v>921.04906928355911</x:v>
      </x:c>
      <x:c r="N124" s="7">
        <x:f t="shared" si="18"/>
        <x:v>3134.9639999999999</x:v>
      </x:c>
    </x:row>
    <x:row r="125" spans="1:14" outlineLevel="2" x14ac:dyDescent="0.25">
      <x:c r="A125" s="1" t="s">
        <x:v>29</x:v>
      </x:c>
      <x:c r="B125" s="1" t="s">
        <x:v>35</x:v>
      </x:c>
      <x:c r="C125" s="2">
        <x:v>626.04</x:v>
      </x:c>
      <x:c r="D125" s="2">
        <x:v>66.569123774254763</x:v>
      </x:c>
      <x:c r="E125" s="2">
        <x:v>559.4708762257452</x:v>
      </x:c>
      <x:c r="F125" s="1">
        <x:v>65</x:v>
      </x:c>
      <x:c r="G125" s="1">
        <x:v>0</x:v>
      </x:c>
      <x:c r="H125" s="9">
        <x:v>-0.4</x:v>
      </x:c>
      <x:c r="I125" s="2">
        <x:f t="shared" si="19"/>
        <x:v>876.4559999999999</x:v>
      </x:c>
      <x:c r="J125" s="3">
        <x:f t="shared" si="20"/>
        <x:v>1.0136589269026999</x:v>
      </x:c>
      <x:c r="K125" s="7">
        <x:f t="shared" si="21"/>
        <x:v>876.4559999999999</x:v>
      </x:c>
      <x:c r="L125" s="7">
        <x:f t="shared" si="22"/>
        <x:v>93.196773283956659</x:v>
      </x:c>
      <x:c r="M125" s="7">
        <x:f t="shared" si="23"/>
        <x:v>783.25922671604326</x:v>
      </x:c>
      <x:c r="N125" s="7">
        <x:f t="shared" si="18"/>
        <x:v>876.4559999999999</x:v>
      </x:c>
    </x:row>
    <x:row r="126" spans="1:14" outlineLevel="2" x14ac:dyDescent="0.25">
      <x:c r="A126" s="1" t="s">
        <x:v>29</x:v>
      </x:c>
      <x:c r="B126" s="1" t="s">
        <x:v>34</x:v>
      </x:c>
      <x:c r="C126" s="2">
        <x:v>923.9</x:v>
      </x:c>
      <x:c r="D126" s="2">
        <x:v>796.22878441767398</x:v>
      </x:c>
      <x:c r="E126" s="2">
        <x:v>127.67121558232601</x:v>
      </x:c>
      <x:c r="F126" s="1">
        <x:v>65</x:v>
      </x:c>
      <x:c r="G126" s="1">
        <x:v>0</x:v>
      </x:c>
      <x:c r="H126" s="9">
        <x:v>-0.4</x:v>
      </x:c>
      <x:c r="I126" s="2">
        <x:f t="shared" si="19"/>
        <x:v>1293.4599999999998</x:v>
      </x:c>
      <x:c r="J126" s="3">
        <x:f t="shared" si="20"/>
        <x:v>1.0136589269026999</x:v>
      </x:c>
      <x:c r="K126" s="7">
        <x:f t="shared" si="21"/>
        <x:v>1293.4599999999998</x:v>
      </x:c>
      <x:c r="L126" s="7">
        <x:f t="shared" si="22"/>
        <x:v>1114.7202981847433</x:v>
      </x:c>
      <x:c r="M126" s="7">
        <x:f t="shared" si="23"/>
        <x:v>178.73970181525641</x:v>
      </x:c>
      <x:c r="N126" s="7">
        <x:f t="shared" si="18"/>
        <x:v>1293.4599999999998</x:v>
      </x:c>
    </x:row>
    <x:row r="127" spans="1:14" outlineLevel="2" x14ac:dyDescent="0.25">
      <x:c r="A127" s="1" t="s">
        <x:v>29</x:v>
      </x:c>
      <x:c r="B127" s="1" t="s">
        <x:v>33</x:v>
      </x:c>
      <x:c r="C127" s="2">
        <x:v>2195.7600000000002</x:v>
      </x:c>
      <x:c r="D127" s="2">
        <x:v>1454.4570297983498</x:v>
      </x:c>
      <x:c r="E127" s="2">
        <x:v>741.30297020165017</x:v>
      </x:c>
      <x:c r="F127" s="1">
        <x:v>65</x:v>
      </x:c>
      <x:c r="G127" s="1">
        <x:v>0</x:v>
      </x:c>
      <x:c r="H127" s="9">
        <x:v>-0.4</x:v>
      </x:c>
      <x:c r="I127" s="2">
        <x:f t="shared" si="19"/>
        <x:v>3074.0640000000003</x:v>
      </x:c>
      <x:c r="J127" s="3">
        <x:f t="shared" si="20"/>
        <x:v>1.0136589269026999</x:v>
      </x:c>
      <x:c r="K127" s="7">
        <x:f t="shared" si="21"/>
        <x:v>3074.0640000000003</x:v>
      </x:c>
      <x:c r="L127" s="7">
        <x:f t="shared" si="22"/>
        <x:v>2036.2398417176896</x:v>
      </x:c>
      <x:c r="M127" s="7">
        <x:f t="shared" si="23"/>
        <x:v>1037.8241582823102</x:v>
      </x:c>
      <x:c r="N127" s="7">
        <x:f t="shared" si="18"/>
        <x:v>3074.0639999999999</x:v>
      </x:c>
    </x:row>
    <x:row r="128" spans="1:14" outlineLevel="2" x14ac:dyDescent="0.25">
      <x:c r="A128" s="1" t="s">
        <x:v>29</x:v>
      </x:c>
      <x:c r="B128" s="1" t="s">
        <x:v>32</x:v>
      </x:c>
      <x:c r="C128" s="2">
        <x:v>425.42</x:v>
      </x:c>
      <x:c r="D128" s="2">
        <x:v>194.94225363633325</x:v>
      </x:c>
      <x:c r="E128" s="2">
        <x:v>230.47774636366677</x:v>
      </x:c>
      <x:c r="F128" s="1">
        <x:v>65</x:v>
      </x:c>
      <x:c r="G128" s="1">
        <x:v>0</x:v>
      </x:c>
      <x:c r="H128" s="9">
        <x:v>-0.4</x:v>
      </x:c>
      <x:c r="I128" s="2">
        <x:f t="shared" si="19"/>
        <x:v>595.58799999999997</x:v>
      </x:c>
      <x:c r="J128" s="3">
        <x:f t="shared" si="20"/>
        <x:v>1.0136589269026999</x:v>
      </x:c>
      <x:c r="K128" s="7">
        <x:f t="shared" si="21"/>
        <x:v>595.58799999999997</x:v>
      </x:c>
      <x:c r="L128" s="7">
        <x:f t="shared" si="22"/>
        <x:v>272.91915509086652</x:v>
      </x:c>
      <x:c r="M128" s="7">
        <x:f t="shared" si="23"/>
        <x:v>322.66884490913344</x:v>
      </x:c>
      <x:c r="N128" s="7">
        <x:f t="shared" si="18"/>
        <x:v>595.58799999999997</x:v>
      </x:c>
    </x:row>
    <x:row r="129" spans="1:15" outlineLevel="2" x14ac:dyDescent="0.25">
      <x:c r="A129" s="1" t="s">
        <x:v>29</x:v>
      </x:c>
      <x:c r="B129" s="1" t="s">
        <x:v>31</x:v>
      </x:c>
      <x:c r="C129" s="2">
        <x:v>69.92</x:v>
      </x:c>
      <x:c r="D129" s="2">
        <x:v>60.877923410112629</x:v>
      </x:c>
      <x:c r="E129" s="2">
        <x:v>9.0420765898873725</x:v>
      </x:c>
      <x:c r="F129" s="1">
        <x:v>65</x:v>
      </x:c>
      <x:c r="G129" s="1">
        <x:v>0</x:v>
      </x:c>
      <x:c r="H129" s="9">
        <x:v>-0.4</x:v>
      </x:c>
      <x:c r="I129" s="2">
        <x:f t="shared" si="19"/>
        <x:v>97.887999999999991</x:v>
      </x:c>
      <x:c r="J129" s="3">
        <x:f t="shared" si="20"/>
        <x:v>1.0136589269026999</x:v>
      </x:c>
      <x:c r="K129" s="7">
        <x:f t="shared" si="21"/>
        <x:v>97.887999999999991</x:v>
      </x:c>
      <x:c r="L129" s="7">
        <x:f t="shared" si="22"/>
        <x:v>85.229092774157678</x:v>
      </x:c>
      <x:c r="M129" s="7">
        <x:f t="shared" si="23"/>
        <x:v>12.65890722584232</x:v>
      </x:c>
      <x:c r="N129" s="7">
        <x:f t="shared" si="18"/>
        <x:v>97.888000000000005</x:v>
      </x:c>
    </x:row>
    <x:row r="130" spans="1:15" outlineLevel="2" x14ac:dyDescent="0.25">
      <x:c r="A130" s="1" t="s">
        <x:v>29</x:v>
      </x:c>
      <x:c r="B130" s="1" t="s">
        <x:v>30</x:v>
      </x:c>
      <x:c r="C130" s="2">
        <x:v>490.79999999999995</x:v>
      </x:c>
      <x:c r="D130" s="2">
        <x:v>285.50431362233797</x:v>
      </x:c>
      <x:c r="E130" s="2">
        <x:v>205.29568637766184</x:v>
      </x:c>
      <x:c r="F130" s="1">
        <x:v>65</x:v>
      </x:c>
      <x:c r="G130" s="1">
        <x:v>0</x:v>
      </x:c>
      <x:c r="H130" s="9">
        <x:v>-0.4</x:v>
      </x:c>
      <x:c r="I130" s="2">
        <x:f t="shared" ref="I130" si="24">+C130*(1-H130)*(1-G130/F130)</x:f>
        <x:v>687.11999999999989</x:v>
      </x:c>
      <x:c r="J130" s="3">
        <x:v>1.0136589269026999</x:v>
      </x:c>
      <x:c r="K130" s="7">
        <x:f t="shared" ref="K130" si="25">IF((C130*(1-H130)-I130*J130)&lt;0,C130*(1-H130),I130*J130)</x:f>
        <x:v>687.11999999999989</x:v>
      </x:c>
      <x:c r="L130" s="7">
        <x:f t="shared" si="22"/>
        <x:v>399.70603907127315</x:v>
      </x:c>
      <x:c r="M130" s="7">
        <x:f t="shared" si="23"/>
        <x:v>287.41396092872657</x:v>
      </x:c>
      <x:c r="N130" s="7">
        <x:f t="shared" si="18"/>
        <x:v>687.11999999999966</x:v>
      </x:c>
    </x:row>
    <x:row r="131" spans="1:15" outlineLevel="1" x14ac:dyDescent="0.25">
      <x:c r="A131" s="4" t="s">
        <x:v>113</x:v>
      </x:c>
      <x:c r="C131" s="2">
        <x:f>SUBTOTAL(9,C34:C130)</x:f>
        <x:v>381754568.43269563</x:v>
      </x:c>
      <x:c r="D131" s="2">
        <x:f>SUBTOTAL(9,D34:D130)</x:f>
        <x:v>262616639.70529535</x:v>
      </x:c>
      <x:c r="E131" s="2">
        <x:f>SUBTOTAL(9,E34:E130)</x:f>
        <x:v>119137928.72740008</x:v>
      </x:c>
      <x:c r="F131" s="2"/>
      <x:c r="G131" s="2"/>
      <x:c r="H131" s="2"/>
      <x:c r="I131" s="2">
        <x:f t="shared" ref="I131" si="26">SUBTOTAL(9,I34:I130)</x:f>
        <x:v>67066844.125816382</x:v>
      </x:c>
      <x:c r="J131" s="2" t="s">
        <x:v>118</x:v>
      </x:c>
      <x:c r="K131" s="7">
        <x:f>SUBTOTAL(9,K34:K130)</x:f>
        <x:v>67982678.788686901</x:v>
      </x:c>
      <x:c r="L131" s="7">
        <x:f>SUBTOTAL(9,L34:L130)</x:f>
        <x:v>49998605.832082964</x:v>
      </x:c>
      <x:c r="M131" s="7">
        <x:f>SUBTOTAL(9,M34:M130)</x:f>
        <x:v>17984072.956603993</x:v>
      </x:c>
      <x:c r="N131" s="7">
        <x:f>+L131+M131</x:f>
        <x:v>67982678.788686961</x:v>
      </x:c>
      <x:c r="O131" s="12"/>
    </x:row>
    <x:row r="132" spans="1:15" s="8" customFormat="1" outlineLevel="2" x14ac:dyDescent="0.25">
      <x:c r="A132" s="8" t="s">
        <x:v>96</x:v>
      </x:c>
      <x:c r="B132" s="8" t="s">
        <x:v>120</x:v>
      </x:c>
      <x:c r="C132" s="2">
        <x:v>496125490.27999997</x:v>
      </x:c>
      <x:c r="D132" s="7">
        <x:v>342710863.97497237</x:v>
      </x:c>
      <x:c r="E132" s="7">
        <x:v>153414626.35502747</x:v>
      </x:c>
      <x:c r="F132" s="8">
        <x:v>55</x:v>
      </x:c>
      <x:c r="G132" s="8">
        <x:v>54.628754999999998</x:v>
      </x:c>
      <x:c r="H132" s="10">
        <x:v>-0.25</x:v>
      </x:c>
      <x:c r="I132" s="2">
        <x:f t="shared" ref="I132:I163" si="27">+C132*(1-H132)*(1-G132/F132)</x:f>
        <x:v>4186002.4463408897</x:v>
      </x:c>
      <x:c r="J132" s="6">
        <x:f t="shared" ref="J132:J163" si="28">$J$235</x:f>
        <x:v>1.08286973314515</x:v>
      </x:c>
      <x:c r="K132" s="7">
        <x:f t="shared" ref="K132:K163" si="29">IF((C132*(1-H132)-I132*J132)&lt;0,C132*(1-H132),I132*J132)</x:f>
        <x:v>4532895.3520141039</x:v>
      </x:c>
      <x:c r="L132" s="7">
        <x:f t="shared" ref="L132" si="30">+D132/$C132*$K132</x:f>
        <x:v>3131208.7623640373</x:v>
      </x:c>
      <x:c r="M132" s="7">
        <x:f t="shared" ref="M132" si="31">+E132/$C132*$K132</x:f>
        <x:v>1401686.5901068947</x:v>
      </x:c>
      <x:c r="N132" s="7">
        <x:f t="shared" si="18"/>
        <x:v>4532895.3524709325</x:v>
      </x:c>
    </x:row>
    <x:row r="133" spans="1:15" s="8" customFormat="1" outlineLevel="2" x14ac:dyDescent="0.25">
      <x:c r="A133" s="8" t="s">
        <x:v>96</x:v>
      </x:c>
      <x:c r="B133" s="8" t="s">
        <x:v>121</x:v>
      </x:c>
      <x:c r="C133" s="2">
        <x:v>346866583.29000002</x:v>
      </x:c>
      <x:c r="D133" s="7">
        <x:v>254381866.21798491</x:v>
      </x:c>
      <x:c r="E133" s="7">
        <x:v>92484717.052014828</x:v>
      </x:c>
      <x:c r="F133" s="8">
        <x:v>55</x:v>
      </x:c>
      <x:c r="G133" s="8">
        <x:v>53.889442000000003</x:v>
      </x:c>
      <x:c r="H133" s="10">
        <x:v>-0.25</x:v>
      </x:c>
      <x:c r="I133" s="2">
        <x:f t="shared" si="27"/>
        <x:v>8754896.7955766879</x:v>
      </x:c>
      <x:c r="J133" s="6">
        <x:f t="shared" si="28"/>
        <x:v>1.08286973314515</x:v>
      </x:c>
      <x:c r="K133" s="7">
        <x:f t="shared" si="29"/>
        <x:v>9480412.7567394562</x:v>
      </x:c>
      <x:c r="L133" s="7">
        <x:f t="shared" ref="L133:L196" si="32">+D133/$C133*$K133</x:f>
        <x:v>6952659.0503528062</x:v>
      </x:c>
      <x:c r="M133" s="7">
        <x:f t="shared" ref="M133:M196" si="33">+E133/$C133*$K133</x:f>
        <x:v>2527753.7058400111</x:v>
      </x:c>
      <x:c r="N133" s="7">
        <x:f t="shared" ref="N133:N145" si="34">+L133+M133</x:f>
        <x:v>9480412.7561928183</x:v>
      </x:c>
    </x:row>
    <x:row r="134" spans="1:15" s="8" customFormat="1" outlineLevel="2" x14ac:dyDescent="0.25">
      <x:c r="A134" s="8" t="s">
        <x:v>96</x:v>
      </x:c>
      <x:c r="B134" s="8" t="s">
        <x:v>122</x:v>
      </x:c>
      <x:c r="C134" s="2">
        <x:v>238105007.19999999</x:v>
      </x:c>
      <x:c r="D134" s="7">
        <x:v>164113165.46558145</x:v>
      </x:c>
      <x:c r="E134" s="7">
        <x:v>73991841.684418708</x:v>
      </x:c>
      <x:c r="F134" s="8">
        <x:v>55</x:v>
      </x:c>
      <x:c r="G134" s="8">
        <x:v>53.154283</x:v>
      </x:c>
      <x:c r="H134" s="10">
        <x:v>-0.25</x:v>
      </x:c>
      <x:c r="I134" s="2">
        <x:f t="shared" si="27"/>
        <x:v>9988055.8994127829</x:v>
      </x:c>
      <x:c r="J134" s="6">
        <x:f t="shared" si="28"/>
        <x:v>1.08286973314515</x:v>
      </x:c>
      <x:c r="K134" s="7">
        <x:f t="shared" si="29"/>
        <x:v>10815763.426435962</x:v>
      </x:c>
      <x:c r="L134" s="7">
        <x:f t="shared" si="32"/>
        <x:v>7454732.6564549003</x:v>
      </x:c>
      <x:c r="M134" s="7">
        <x:f t="shared" si="33"/>
        <x:v>3361030.7677098522</x:v>
      </x:c>
      <x:c r="N134" s="7">
        <x:f t="shared" si="34"/>
        <x:v>10815763.424164753</x:v>
      </x:c>
    </x:row>
    <x:row r="135" spans="1:15" s="8" customFormat="1" outlineLevel="2" x14ac:dyDescent="0.25">
      <x:c r="A135" s="8" t="s">
        <x:v>96</x:v>
      </x:c>
      <x:c r="B135" s="8" t="s">
        <x:v>28</x:v>
      </x:c>
      <x:c r="C135" s="2">
        <x:v>272978845.19999999</x:v>
      </x:c>
      <x:c r="D135" s="7">
        <x:v>205008680.26650652</x:v>
      </x:c>
      <x:c r="E135" s="7">
        <x:v>67970164.903493568</x:v>
      </x:c>
      <x:c r="F135" s="8">
        <x:v>55</x:v>
      </x:c>
      <x:c r="G135" s="8">
        <x:v>52.423191000000003</x:v>
      </x:c>
      <x:c r="H135" s="10">
        <x:v>-0.25</x:v>
      </x:c>
      <x:c r="I135" s="2">
        <x:f t="shared" si="27"/>
        <x:v>15986689.66184012</x:v>
      </x:c>
      <x:c r="J135" s="6">
        <x:f t="shared" si="28"/>
        <x:v>1.08286973314515</x:v>
      </x:c>
      <x:c r="K135" s="7">
        <x:f t="shared" si="29"/>
        <x:v>17311502.367991138</x:v>
      </x:c>
      <x:c r="L135" s="7">
        <x:f t="shared" si="32"/>
        <x:v>13001037.685876936</x:v>
      </x:c>
      <x:c r="M135" s="7">
        <x:f t="shared" si="33"/>
        <x:v>4310464.6802116996</x:v>
      </x:c>
      <x:c r="N135" s="7">
        <x:f t="shared" si="34"/>
        <x:v>17311502.366088636</x:v>
      </x:c>
    </x:row>
    <x:row r="136" spans="1:15" s="8" customFormat="1" outlineLevel="2" x14ac:dyDescent="0.25">
      <x:c r="A136" s="8" t="s">
        <x:v>96</x:v>
      </x:c>
      <x:c r="B136" s="8" t="s">
        <x:v>27</x:v>
      </x:c>
      <x:c r="C136" s="2">
        <x:v>230108176.69999999</x:v>
      </x:c>
      <x:c r="D136" s="7">
        <x:v>170228227.52558431</x:v>
      </x:c>
      <x:c r="E136" s="7">
        <x:v>59879949.154415779</x:v>
      </x:c>
      <x:c r="F136" s="8">
        <x:v>55</x:v>
      </x:c>
      <x:c r="G136" s="8">
        <x:v>51.696072999999998</x:v>
      </x:c>
      <x:c r="H136" s="10">
        <x:v>-0.25</x:v>
      </x:c>
      <x:c r="I136" s="2">
        <x:f t="shared" si="27"/>
        <x:v>17278650.407270472</x:v>
      </x:c>
      <x:c r="J136" s="6">
        <x:f t="shared" si="28"/>
        <x:v>1.08286973314515</x:v>
      </x:c>
      <x:c r="K136" s="7">
        <x:f t="shared" si="29"/>
        <x:v>18710527.555629313</x:v>
      </x:c>
      <x:c r="L136" s="7">
        <x:f t="shared" si="32"/>
        <x:v>13841576.54691191</x:v>
      </x:c>
      <x:c r="M136" s="7">
        <x:f t="shared" si="33"/>
        <x:v>4868951.007091173</x:v>
      </x:c>
      <x:c r="N136" s="7">
        <x:f t="shared" si="34"/>
        <x:v>18710527.554003082</x:v>
      </x:c>
    </x:row>
    <x:row r="137" spans="1:15" s="8" customFormat="1" outlineLevel="2" x14ac:dyDescent="0.25">
      <x:c r="A137" s="8" t="s">
        <x:v>96</x:v>
      </x:c>
      <x:c r="B137" s="8" t="s">
        <x:v>26</x:v>
      </x:c>
      <x:c r="C137" s="2">
        <x:v>158420024.59999999</x:v>
      </x:c>
      <x:c r="D137" s="7">
        <x:v>117089696.40048777</x:v>
      </x:c>
      <x:c r="E137" s="7">
        <x:v>41330328.209512226</x:v>
      </x:c>
      <x:c r="F137" s="8">
        <x:v>55</x:v>
      </x:c>
      <x:c r="G137" s="8">
        <x:v>50.972836999999998</x:v>
      </x:c>
      <x:c r="H137" s="10">
        <x:v>-0.25</x:v>
      </x:c>
      <x:c r="I137" s="2">
        <x:f t="shared" si="27"/>
        <x:v>14499619.580186596</x:v>
      </x:c>
      <x:c r="J137" s="6">
        <x:f t="shared" si="28"/>
        <x:v>1.08286973314515</x:v>
      </x:c>
      <x:c r="K137" s="7">
        <x:f t="shared" si="29"/>
        <x:v>15701199.185502851</x:v>
      </x:c>
      <x:c r="L137" s="7">
        <x:f t="shared" si="32"/>
        <x:v>11604900.645584894</x:v>
      </x:c>
      <x:c r="M137" s="7">
        <x:f t="shared" si="33"/>
        <x:v>4096298.5409090691</x:v>
      </x:c>
      <x:c r="N137" s="7">
        <x:f t="shared" si="34"/>
        <x:v>15701199.186493963</x:v>
      </x:c>
    </x:row>
    <x:row r="138" spans="1:15" s="8" customFormat="1" outlineLevel="2" x14ac:dyDescent="0.25">
      <x:c r="A138" s="8" t="s">
        <x:v>96</x:v>
      </x:c>
      <x:c r="B138" s="8" t="s">
        <x:v>25</x:v>
      </x:c>
      <x:c r="C138" s="2">
        <x:v>152761162</x:v>
      </x:c>
      <x:c r="D138" s="7">
        <x:v>109419991.38239852</x:v>
      </x:c>
      <x:c r="E138" s="7">
        <x:v>43341170.617601536</x:v>
      </x:c>
      <x:c r="F138" s="8">
        <x:v>55</x:v>
      </x:c>
      <x:c r="G138" s="8">
        <x:v>50.253726</x:v>
      </x:c>
      <x:c r="H138" s="10">
        <x:v>-0.25</x:v>
      </x:c>
      <x:c r="I138" s="2">
        <x:f t="shared" si="27"/>
        <x:v>16478325.713872463</x:v>
      </x:c>
      <x:c r="J138" s="6">
        <x:f t="shared" si="28"/>
        <x:v>1.08286973314515</x:v>
      </x:c>
      <x:c r="K138" s="7">
        <x:f t="shared" si="29"/>
        <x:v>17843880.168459937</x:v>
      </x:c>
      <x:c r="L138" s="7">
        <x:f t="shared" si="32"/>
        <x:v>12781240.916859731</x:v>
      </x:c>
      <x:c r="M138" s="7">
        <x:f t="shared" si="33"/>
        <x:v>5062639.2516002106</x:v>
      </x:c>
      <x:c r="N138" s="7">
        <x:f t="shared" si="34"/>
        <x:v>17843880.168459941</x:v>
      </x:c>
    </x:row>
    <x:row r="139" spans="1:15" s="8" customFormat="1" outlineLevel="2" x14ac:dyDescent="0.25">
      <x:c r="A139" s="8" t="s">
        <x:v>96</x:v>
      </x:c>
      <x:c r="B139" s="8" t="s">
        <x:v>24</x:v>
      </x:c>
      <x:c r="C139" s="2">
        <x:v>124728568.29999998</x:v>
      </x:c>
      <x:c r="D139" s="7">
        <x:v>93476668.321069673</x:v>
      </x:c>
      <x:c r="E139" s="7">
        <x:v>31251899.988930222</x:v>
      </x:c>
      <x:c r="F139" s="8">
        <x:v>55</x:v>
      </x:c>
      <x:c r="G139" s="8">
        <x:v>49.538302999999999</x:v>
      </x:c>
      <x:c r="H139" s="10">
        <x:v>-0.25</x:v>
      </x:c>
      <x:c r="I139" s="2">
        <x:f t="shared" si="27"/>
        <x:v>15482491.98405467</x:v>
      </x:c>
      <x:c r="J139" s="6">
        <x:f t="shared" si="28"/>
        <x:v>1.08286973314515</x:v>
      </x:c>
      <x:c r="K139" s="7">
        <x:f t="shared" si="29"/>
        <x:v>16765521.963195205</x:v>
      </x:c>
      <x:c r="L139" s="7">
        <x:f t="shared" si="32"/>
        <x:v>12564764.890219679</x:v>
      </x:c>
      <x:c r="M139" s="7">
        <x:f t="shared" si="33"/>
        <x:v>4200757.0743196737</x:v>
      </x:c>
      <x:c r="N139" s="7">
        <x:f t="shared" si="34"/>
        <x:v>16765521.964539353</x:v>
      </x:c>
    </x:row>
    <x:row r="140" spans="1:15" s="8" customFormat="1" outlineLevel="2" x14ac:dyDescent="0.25">
      <x:c r="A140" s="8" t="s">
        <x:v>96</x:v>
      </x:c>
      <x:c r="B140" s="8" t="s">
        <x:v>23</x:v>
      </x:c>
      <x:c r="C140" s="2">
        <x:v>119109721.09999999</x:v>
      </x:c>
      <x:c r="D140" s="7">
        <x:v>84307811.38901177</x:v>
      </x:c>
      <x:c r="E140" s="7">
        <x:v>34801909.710988343</x:v>
      </x:c>
      <x:c r="F140" s="8">
        <x:v>55</x:v>
      </x:c>
      <x:c r="G140" s="8">
        <x:v>48.826461999999999</x:v>
      </x:c>
      <x:c r="H140" s="10">
        <x:v>-0.25</x:v>
      </x:c>
      <x:c r="I140" s="2">
        <x:f t="shared" si="27"/>
        <x:v>16712008.84955118</x:v>
      </x:c>
      <x:c r="J140" s="6">
        <x:f t="shared" si="28"/>
        <x:v>1.08286973314515</x:v>
      </x:c>
      <x:c r="K140" s="7">
        <x:f t="shared" si="29"/>
        <x:v>18096928.563232873</x:v>
      </x:c>
      <x:c r="L140" s="7">
        <x:f t="shared" si="32"/>
        <x:v>12809302.430895012</x:v>
      </x:c>
      <x:c r="M140" s="7">
        <x:f t="shared" si="33"/>
        <x:v>5287626.1323378794</x:v>
      </x:c>
      <x:c r="N140" s="7">
        <x:f t="shared" si="34"/>
        <x:v>18096928.563232891</x:v>
      </x:c>
    </x:row>
    <x:row r="141" spans="1:15" s="8" customFormat="1" outlineLevel="2" x14ac:dyDescent="0.25">
      <x:c r="A141" s="8" t="s">
        <x:v>96</x:v>
      </x:c>
      <x:c r="B141" s="8" t="s">
        <x:v>22</x:v>
      </x:c>
      <x:c r="C141" s="2">
        <x:v>79499393.760000005</x:v>
      </x:c>
      <x:c r="D141" s="7">
        <x:v>53379910.063654177</x:v>
      </x:c>
      <x:c r="E141" s="7">
        <x:v>26119483.696345769</x:v>
      </x:c>
      <x:c r="F141" s="8">
        <x:v>55</x:v>
      </x:c>
      <x:c r="G141" s="8">
        <x:v>48.118098000000003</x:v>
      </x:c>
      <x:c r="H141" s="10">
        <x:v>-0.25</x:v>
      </x:c>
      <x:c r="I141" s="2">
        <x:f t="shared" si="27"/>
        <x:v>12434250.838993894</x:v>
      </x:c>
      <x:c r="J141" s="6">
        <x:f t="shared" si="28"/>
        <x:v>1.08286973314515</x:v>
      </x:c>
      <x:c r="K141" s="7">
        <x:f t="shared" si="29"/>
        <x:v>13464673.887881175</x:v>
      </x:c>
      <x:c r="L141" s="7">
        <x:f t="shared" si="32"/>
        <x:v>9040862.416402027</x:v>
      </x:c>
      <x:c r="M141" s="7">
        <x:f t="shared" si="33"/>
        <x:v>4423811.4714791374</x:v>
      </x:c>
      <x:c r="N141" s="7">
        <x:f t="shared" si="34"/>
        <x:v>13464673.887881164</x:v>
      </x:c>
    </x:row>
    <x:row r="142" spans="1:15" s="8" customFormat="1" outlineLevel="2" x14ac:dyDescent="0.25">
      <x:c r="A142" s="8" t="s">
        <x:v>96</x:v>
      </x:c>
      <x:c r="B142" s="8" t="s">
        <x:v>21</x:v>
      </x:c>
      <x:c r="C142" s="2">
        <x:v>63235461.649999991</x:v>
      </x:c>
      <x:c r="D142" s="7">
        <x:v>43308743.951965459</x:v>
      </x:c>
      <x:c r="E142" s="7">
        <x:v>19926717.698034547</x:v>
      </x:c>
      <x:c r="F142" s="8">
        <x:v>55</x:v>
      </x:c>
      <x:c r="G142" s="8">
        <x:v>47.413103999999997</x:v>
      </x:c>
      <x:c r="H142" s="10">
        <x:v>-0.25</x:v>
      </x:c>
      <x:c r="I142" s="2">
        <x:f t="shared" si="27"/>
        <x:v>10903656.160239514</x:v>
      </x:c>
      <x:c r="J142" s="6">
        <x:f t="shared" si="28"/>
        <x:v>1.08286973314515</x:v>
      </x:c>
      <x:c r="K142" s="7">
        <x:f t="shared" si="29"/>
        <x:v>11807239.236545034</x:v>
      </x:c>
      <x:c r="L142" s="7">
        <x:f t="shared" si="32"/>
        <x:v>8086549.6595157543</x:v>
      </x:c>
      <x:c r="M142" s="7">
        <x:f t="shared" si="33"/>
        <x:v>3720689.5770292818</x:v>
      </x:c>
      <x:c r="N142" s="7">
        <x:f t="shared" si="34"/>
        <x:v>11807239.236545036</x:v>
      </x:c>
    </x:row>
    <x:row r="143" spans="1:15" s="8" customFormat="1" outlineLevel="2" x14ac:dyDescent="0.25">
      <x:c r="A143" s="8" t="s">
        <x:v>96</x:v>
      </x:c>
      <x:c r="B143" s="8" t="s">
        <x:v>20</x:v>
      </x:c>
      <x:c r="C143" s="2">
        <x:v>35203826.439999998</x:v>
      </x:c>
      <x:c r="D143" s="7">
        <x:v>29098649.853595138</x:v>
      </x:c>
      <x:c r="E143" s="7">
        <x:v>6105176.5864048637</x:v>
      </x:c>
      <x:c r="F143" s="8">
        <x:v>55</x:v>
      </x:c>
      <x:c r="G143" s="8">
        <x:v>46.711534999999998</x:v>
      </x:c>
      <x:c r="H143" s="10">
        <x:v>-0.25</x:v>
      </x:c>
      <x:c r="I143" s="2">
        <x:f t="shared" si="27"/>
        <x:v>6631492.8025912438</x:v>
      </x:c>
      <x:c r="J143" s="6">
        <x:f t="shared" si="28"/>
        <x:v>1.08286973314515</x:v>
      </x:c>
      <x:c r="K143" s="7">
        <x:f t="shared" si="29"/>
        <x:v>7181042.8414959628</x:v>
      </x:c>
      <x:c r="L143" s="7">
        <x:f t="shared" si="32"/>
        <x:v>5935680.0768376049</x:v>
      </x:c>
      <x:c r="M143" s="7">
        <x:f t="shared" si="33"/>
        <x:v>1245362.7646583582</x:v>
      </x:c>
      <x:c r="N143" s="7">
        <x:f t="shared" si="34"/>
        <x:v>7181042.8414959628</x:v>
      </x:c>
    </x:row>
    <x:row r="144" spans="1:15" s="8" customFormat="1" outlineLevel="2" x14ac:dyDescent="0.25">
      <x:c r="A144" s="8" t="s">
        <x:v>96</x:v>
      </x:c>
      <x:c r="B144" s="8" t="s">
        <x:v>19</x:v>
      </x:c>
      <x:c r="C144" s="2">
        <x:v>57853276.25</x:v>
      </x:c>
      <x:c r="D144" s="7">
        <x:v>44465149.019841827</x:v>
      </x:c>
      <x:c r="E144" s="7">
        <x:v>13388127.230158173</x:v>
      </x:c>
      <x:c r="F144" s="8">
        <x:v>55</x:v>
      </x:c>
      <x:c r="G144" s="8">
        <x:v>46.013267999999997</x:v>
      </x:c>
      <x:c r="H144" s="10">
        <x:v>-0.25</x:v>
      </x:c>
      <x:c r="I144" s="2">
        <x:f t="shared" si="27"/>
        <x:v>11816179.295016253</x:v>
      </x:c>
      <x:c r="J144" s="6">
        <x:f t="shared" si="28"/>
        <x:v>1.08286973314515</x:v>
      </x:c>
      <x:c r="K144" s="7">
        <x:f t="shared" si="29"/>
        <x:v>12795382.919989496</x:v>
      </x:c>
      <x:c r="L144" s="7">
        <x:f t="shared" si="32"/>
        <x:v>9834336.8808481582</x:v>
      </x:c>
      <x:c r="M144" s="7">
        <x:f t="shared" si="33"/>
        <x:v>2961046.0391413383</x:v>
      </x:c>
      <x:c r="N144" s="7">
        <x:f t="shared" si="34"/>
        <x:v>12795382.919989496</x:v>
      </x:c>
    </x:row>
    <x:row r="145" spans="1:14" s="8" customFormat="1" outlineLevel="2" x14ac:dyDescent="0.25">
      <x:c r="A145" s="8" t="s">
        <x:v>96</x:v>
      </x:c>
      <x:c r="B145" s="8" t="s">
        <x:v>95</x:v>
      </x:c>
      <x:c r="C145" s="2">
        <x:v>53222163.479999997</x:v>
      </x:c>
      <x:c r="D145" s="7">
        <x:v>36275382.969065338</x:v>
      </x:c>
      <x:c r="E145" s="7">
        <x:v>16946780.510934677</x:v>
      </x:c>
      <x:c r="F145" s="8">
        <x:v>55</x:v>
      </x:c>
      <x:c r="G145" s="8">
        <x:v>45.318030999999998</x:v>
      </x:c>
      <x:c r="H145" s="10">
        <x:v>-0.25</x:v>
      </x:c>
      <x:c r="I145" s="2">
        <x:f t="shared" si="27"/>
        <x:v>11711257.657415735</x:v>
      </x:c>
      <x:c r="J145" s="6">
        <x:f t="shared" si="28"/>
        <x:v>1.08286973314515</x:v>
      </x:c>
      <x:c r="K145" s="7">
        <x:f t="shared" si="29"/>
        <x:v>12681766.454279872</x:v>
      </x:c>
      <x:c r="L145" s="7">
        <x:f t="shared" si="32"/>
        <x:v>8643690.9883628096</x:v>
      </x:c>
      <x:c r="M145" s="7">
        <x:f t="shared" si="33"/>
        <x:v>4038075.4659170667</x:v>
      </x:c>
      <x:c r="N145" s="7">
        <x:f t="shared" si="34"/>
        <x:v>12681766.454279877</x:v>
      </x:c>
    </x:row>
    <x:row r="146" spans="1:14" outlineLevel="2" x14ac:dyDescent="0.25">
      <x:c r="A146" s="8" t="s">
        <x:v>96</x:v>
      </x:c>
      <x:c r="B146" s="1" t="s">
        <x:v>18</x:v>
      </x:c>
      <x:c r="C146" s="2">
        <x:v>56701489.719999999</x:v>
      </x:c>
      <x:c r="D146" s="2">
        <x:v>37507626.408253536</x:v>
      </x:c>
      <x:c r="E146" s="2">
        <x:v>19193863.311746482</x:v>
      </x:c>
      <x:c r="F146" s="1">
        <x:v>55</x:v>
      </x:c>
      <x:c r="G146" s="1">
        <x:v>44.625705000000004</x:v>
      </x:c>
      <x:c r="H146" s="9">
        <x:v>-0.25</x:v>
      </x:c>
      <x:c r="I146" s="2">
        <x:f t="shared" si="27"/>
        <x:v>13369045.029426076</x:v>
      </x:c>
      <x:c r="J146" s="3">
        <x:f t="shared" si="28"/>
        <x:v>1.08286973314515</x:v>
      </x:c>
      <x:c r="K146" s="7">
        <x:f t="shared" si="29"/>
        <x:v>14476934.223420108</x:v>
      </x:c>
      <x:c r="L146" s="7">
        <x:f t="shared" si="32"/>
        <x:v>9576387.5529600717</x:v>
      </x:c>
      <x:c r="M146" s="7">
        <x:f t="shared" si="33"/>
        <x:v>4900546.6704600407</x:v>
      </x:c>
      <x:c r="N146" s="7">
        <x:f t="shared" si="18"/>
        <x:v>14476934.223420113</x:v>
      </x:c>
    </x:row>
    <x:row r="147" spans="1:14" outlineLevel="2" x14ac:dyDescent="0.25">
      <x:c r="A147" s="8" t="s">
        <x:v>96</x:v>
      </x:c>
      <x:c r="B147" s="1" t="s">
        <x:v>17</x:v>
      </x:c>
      <x:c r="C147" s="2">
        <x:v>48358012.43</x:v>
      </x:c>
      <x:c r="D147" s="2">
        <x:v>37588285.466052361</x:v>
      </x:c>
      <x:c r="E147" s="2">
        <x:v>10769726.963947624</x:v>
      </x:c>
      <x:c r="F147" s="1">
        <x:v>55</x:v>
      </x:c>
      <x:c r="G147" s="1">
        <x:v>43.936168000000002</x:v>
      </x:c>
      <x:c r="H147" s="9">
        <x:v>-0.25</x:v>
      </x:c>
      <x:c r="I147" s="2">
        <x:f t="shared" si="27"/>
        <x:v>12159657.394987082</x:v>
      </x:c>
      <x:c r="J147" s="3">
        <x:f t="shared" si="28"/>
        <x:v>1.08286973314515</x:v>
      </x:c>
      <x:c r="K147" s="7">
        <x:f t="shared" si="29"/>
        <x:v>13167324.958446112</x:v>
      </x:c>
      <x:c r="L147" s="7">
        <x:f t="shared" si="32"/>
        <x:v>10234853.429486752</x:v>
      </x:c>
      <x:c r="M147" s="7">
        <x:f t="shared" si="33"/>
        <x:v>2932471.5289593553</x:v>
      </x:c>
      <x:c r="N147" s="7">
        <x:f t="shared" si="18"/>
        <x:v>13167324.958446108</x:v>
      </x:c>
    </x:row>
    <x:row r="148" spans="1:14" outlineLevel="2" x14ac:dyDescent="0.25">
      <x:c r="A148" s="1" t="s">
        <x:v>96</x:v>
      </x:c>
      <x:c r="B148" s="1" t="s">
        <x:v>16</x:v>
      </x:c>
      <x:c r="C148" s="2">
        <x:v>71834205.049999997</x:v>
      </x:c>
      <x:c r="D148" s="2">
        <x:v>56248081.128516108</x:v>
      </x:c>
      <x:c r="E148" s="2">
        <x:v>15586123.921483934</x:v>
      </x:c>
      <x:c r="F148" s="1">
        <x:v>55</x:v>
      </x:c>
      <x:c r="G148" s="1">
        <x:v>43.249312000000003</x:v>
      </x:c>
      <x:c r="H148" s="9">
        <x:v>-0.25</x:v>
      </x:c>
      <x:c r="I148" s="2">
        <x:f t="shared" si="27"/>
        <x:v>19184121.165240318</x:v>
      </x:c>
      <x:c r="J148" s="3">
        <x:f t="shared" si="28"/>
        <x:v>1.08286973314515</x:v>
      </x:c>
      <x:c r="K148" s="7">
        <x:f t="shared" si="29"/>
        <x:v>20773904.166828007</x:v>
      </x:c>
      <x:c r="L148" s="7">
        <x:f t="shared" si="32"/>
        <x:v>16266516.015851149</x:v>
      </x:c>
      <x:c r="M148" s="7">
        <x:f t="shared" si="33"/>
        <x:v>4507388.1509768693</x:v>
      </x:c>
      <x:c r="N148" s="7">
        <x:f t="shared" ref="N148:N211" si="35">+L148+M148</x:f>
        <x:v>20773904.166828018</x:v>
      </x:c>
    </x:row>
    <x:row r="149" spans="1:14" outlineLevel="2" x14ac:dyDescent="0.25">
      <x:c r="A149" s="1" t="s">
        <x:v>96</x:v>
      </x:c>
      <x:c r="B149" s="1" t="s">
        <x:v>15</x:v>
      </x:c>
      <x:c r="C149" s="2">
        <x:v>33703785.25</x:v>
      </x:c>
      <x:c r="D149" s="2">
        <x:v>21634478.928313091</x:v>
      </x:c>
      <x:c r="E149" s="2">
        <x:v>12069306.321686927</x:v>
      </x:c>
      <x:c r="F149" s="1">
        <x:v>55</x:v>
      </x:c>
      <x:c r="G149" s="1">
        <x:v>42.565390999999998</x:v>
      </x:c>
      <x:c r="H149" s="9">
        <x:v>-0.25</x:v>
      </x:c>
      <x:c r="I149" s="2">
        <x:f t="shared" si="27"/>
        <x:v>9524849.8046299405</x:v>
      </x:c>
      <x:c r="J149" s="3">
        <x:f t="shared" si="28"/>
        <x:v>1.08286973314515</x:v>
      </x:c>
      <x:c r="K149" s="7">
        <x:f t="shared" si="29"/>
        <x:v>10314171.566187257</x:v>
      </x:c>
      <x:c r="L149" s="7">
        <x:f t="shared" si="32"/>
        <x:v>6620672.5967577854</x:v>
      </x:c>
      <x:c r="M149" s="7">
        <x:f t="shared" si="33"/>
        <x:v>3693498.9694294776</x:v>
      </x:c>
      <x:c r="N149" s="7">
        <x:f t="shared" si="35"/>
        <x:v>10314171.566187263</x:v>
      </x:c>
    </x:row>
    <x:row r="150" spans="1:14" outlineLevel="2" x14ac:dyDescent="0.25">
      <x:c r="A150" s="1" t="s">
        <x:v>96</x:v>
      </x:c>
      <x:c r="B150" s="1" t="s">
        <x:v>14</x:v>
      </x:c>
      <x:c r="C150" s="2">
        <x:v>34646011.210000001</x:v>
      </x:c>
      <x:c r="D150" s="2">
        <x:v>23541175.122619458</x:v>
      </x:c>
      <x:c r="E150" s="2">
        <x:v>11104836.077380544</x:v>
      </x:c>
      <x:c r="F150" s="1">
        <x:v>55</x:v>
      </x:c>
      <x:c r="G150" s="1">
        <x:v>41.884146000000001</x:v>
      </x:c>
      <x:c r="H150" s="9">
        <x:v>-0.25</x:v>
      </x:c>
      <x:c r="I150" s="2">
        <x:f t="shared" si="27"/>
        <x:v>10327546.016198259</x:v>
      </x:c>
      <x:c r="J150" s="3">
        <x:f t="shared" si="28"/>
        <x:v>1.08286973314515</x:v>
      </x:c>
      <x:c r="K150" s="7">
        <x:f t="shared" si="29"/>
        <x:v>11183386.998604866</x:v>
      </x:c>
      <x:c r="L150" s="7">
        <x:f t="shared" si="32"/>
        <x:v>7598856.6245742645</x:v>
      </x:c>
      <x:c r="M150" s="7">
        <x:f t="shared" si="33"/>
        <x:v>3584530.3708027005</x:v>
      </x:c>
      <x:c r="N150" s="7">
        <x:f t="shared" si="35"/>
        <x:v>11183386.995376965</x:v>
      </x:c>
    </x:row>
    <x:row r="151" spans="1:14" outlineLevel="2" x14ac:dyDescent="0.25">
      <x:c r="A151" s="1" t="s">
        <x:v>96</x:v>
      </x:c>
      <x:c r="B151" s="1" t="s">
        <x:v>13</x:v>
      </x:c>
      <x:c r="C151" s="2">
        <x:v>48409712.189999998</x:v>
      </x:c>
      <x:c r="D151" s="2">
        <x:v>35445387.303216487</x:v>
      </x:c>
      <x:c r="E151" s="2">
        <x:v>12964324.886783529</x:v>
      </x:c>
      <x:c r="F151" s="1">
        <x:v>55</x:v>
      </x:c>
      <x:c r="G151" s="1">
        <x:v>41.205655</x:v>
      </x:c>
      <x:c r="H151" s="9">
        <x:v>-0.25</x:v>
      </x:c>
      <x:c r="I151" s="2">
        <x:f t="shared" si="27"/>
        <x:v>15176824.347717399</x:v>
      </x:c>
      <x:c r="J151" s="3">
        <x:f t="shared" si="28"/>
        <x:v>1.08286973314515</x:v>
      </x:c>
      <x:c r="K151" s="7">
        <x:f t="shared" si="29"/>
        <x:v>16434523.731403556</x:v>
      </x:c>
      <x:c r="L151" s="7">
        <x:f t="shared" si="32"/>
        <x:v>12033289.033348862</x:v>
      </x:c>
      <x:c r="M151" s="7">
        <x:f t="shared" si="33"/>
        <x:v>4401234.6980547011</x:v>
      </x:c>
      <x:c r="N151" s="7">
        <x:f t="shared" si="35"/>
        <x:v>16434523.731403563</x:v>
      </x:c>
    </x:row>
    <x:row r="152" spans="1:14" outlineLevel="2" x14ac:dyDescent="0.25">
      <x:c r="A152" s="1" t="s">
        <x:v>96</x:v>
      </x:c>
      <x:c r="B152" s="1" t="s">
        <x:v>12</x:v>
      </x:c>
      <x:c r="C152" s="2">
        <x:v>37024571.909999996</x:v>
      </x:c>
      <x:c r="D152" s="2">
        <x:v>22996970.536234315</x:v>
      </x:c>
      <x:c r="E152" s="2">
        <x:v>14027601.373765683</x:v>
      </x:c>
      <x:c r="F152" s="1">
        <x:v>55</x:v>
      </x:c>
      <x:c r="G152" s="1">
        <x:v>40.530034000000001</x:v>
      </x:c>
      <x:c r="H152" s="9">
        <x:v>-0.25</x:v>
      </x:c>
      <x:c r="I152" s="2">
        <x:f t="shared" si="27"/>
        <x:v>12176006.743233066</x:v>
      </x:c>
      <x:c r="J152" s="3">
        <x:f t="shared" si="28"/>
        <x:v>1.08286973314515</x:v>
      </x:c>
      <x:c r="K152" s="7">
        <x:f t="shared" si="29"/>
        <x:v>13185029.172818337</x:v>
      </x:c>
      <x:c r="L152" s="7">
        <x:f t="shared" si="32"/>
        <x:v>8189580.9124749778</x:v>
      </x:c>
      <x:c r="M152" s="7">
        <x:f t="shared" si="33"/>
        <x:v>4995448.2603433598</x:v>
      </x:c>
      <x:c r="N152" s="7">
        <x:f t="shared" si="35"/>
        <x:v>13185029.172818337</x:v>
      </x:c>
    </x:row>
    <x:row r="153" spans="1:14" outlineLevel="2" x14ac:dyDescent="0.25">
      <x:c r="A153" s="1" t="s">
        <x:v>96</x:v>
      </x:c>
      <x:c r="B153" s="1" t="s">
        <x:v>94</x:v>
      </x:c>
      <x:c r="C153" s="2">
        <x:v>23516712.059999999</x:v>
      </x:c>
      <x:c r="D153" s="2">
        <x:v>17706555.161641818</x:v>
      </x:c>
      <x:c r="E153" s="2">
        <x:v>5810156.8983581876</x:v>
      </x:c>
      <x:c r="F153" s="1">
        <x:v>55</x:v>
      </x:c>
      <x:c r="G153" s="1">
        <x:v>39.857419999999998</x:v>
      </x:c>
      <x:c r="H153" s="9">
        <x:v>-0.25</x:v>
      </x:c>
      <x:c r="I153" s="2">
        <x:f t="shared" si="27"/>
        <x:v>8093265.766034429</x:v>
      </x:c>
      <x:c r="J153" s="3">
        <x:f t="shared" si="28"/>
        <x:v>1.08286973314515</x:v>
      </x:c>
      <x:c r="K153" s="7">
        <x:f t="shared" si="29"/>
        <x:v>8763952.5403384808</x:v>
      </x:c>
      <x:c r="L153" s="7">
        <x:f t="shared" si="32"/>
        <x:v>6598686.4444992598</x:v>
      </x:c>
      <x:c r="M153" s="7">
        <x:f t="shared" si="33"/>
        <x:v>2165266.0958392238</x:v>
      </x:c>
      <x:c r="N153" s="7">
        <x:f t="shared" si="35"/>
        <x:v>8763952.5403384827</x:v>
      </x:c>
    </x:row>
    <x:row r="154" spans="1:14" outlineLevel="2" x14ac:dyDescent="0.25">
      <x:c r="A154" s="1" t="s">
        <x:v>96</x:v>
      </x:c>
      <x:c r="B154" s="1" t="s">
        <x:v>11</x:v>
      </x:c>
      <x:c r="C154" s="2">
        <x:v>27736564.280000001</x:v>
      </x:c>
      <x:c r="D154" s="2">
        <x:v>22698748.535572164</x:v>
      </x:c>
      <x:c r="E154" s="2">
        <x:v>5037815.7444278356</x:v>
      </x:c>
      <x:c r="F154" s="1">
        <x:v>55</x:v>
      </x:c>
      <x:c r="G154" s="1">
        <x:v>39.188146000000003</x:v>
      </x:c>
      <x:c r="H154" s="9">
        <x:v>-0.25</x:v>
      </x:c>
      <x:c r="I154" s="2">
        <x:f t="shared" si="27"/>
        <x:v>9967420.5649312492</x:v>
      </x:c>
      <x:c r="J154" s="3">
        <x:f t="shared" si="28"/>
        <x:v>1.08286973314515</x:v>
      </x:c>
      <x:c r="K154" s="7">
        <x:f t="shared" si="29"/>
        <x:v>10793418.047292583</x:v>
      </x:c>
      <x:c r="L154" s="7">
        <x:f t="shared" si="32"/>
        <x:v>8833000.353668917</x:v>
      </x:c>
      <x:c r="M154" s="7">
        <x:f t="shared" si="33"/>
        <x:v>1960417.6936236643</x:v>
      </x:c>
      <x:c r="N154" s="7">
        <x:f t="shared" si="35"/>
        <x:v>10793418.047292581</x:v>
      </x:c>
    </x:row>
    <x:row r="155" spans="1:14" outlineLevel="2" x14ac:dyDescent="0.25">
      <x:c r="A155" s="1" t="s">
        <x:v>96</x:v>
      </x:c>
      <x:c r="B155" s="1" t="s">
        <x:v>10</x:v>
      </x:c>
      <x:c r="C155" s="2">
        <x:v>24636420.539999999</x:v>
      </x:c>
      <x:c r="D155" s="2">
        <x:v>20181259.214105237</x:v>
      </x:c>
      <x:c r="E155" s="2">
        <x:v>4455161.3258947739</x:v>
      </x:c>
      <x:c r="F155" s="1">
        <x:v>55</x:v>
      </x:c>
      <x:c r="G155" s="1">
        <x:v>38.522413</x:v>
      </x:c>
      <x:c r="H155" s="9">
        <x:v>-0.25</x:v>
      </x:c>
      <x:c r="I155" s="2">
        <x:f t="shared" si="27"/>
        <x:v>9226108.2458281126</x:v>
      </x:c>
      <x:c r="J155" s="3">
        <x:f t="shared" si="28"/>
        <x:v>1.08286973314515</x:v>
      </x:c>
      <x:c r="K155" s="7">
        <x:f t="shared" si="29"/>
        <x:v>9990673.3741281554</x:v>
      </x:c>
      <x:c r="L155" s="7">
        <x:f t="shared" si="32"/>
        <x:v>8183996.0784635851</x:v>
      </x:c>
      <x:c r="M155" s="7">
        <x:f t="shared" si="33"/>
        <x:v>1806677.2956645756</x:v>
      </x:c>
      <x:c r="N155" s="7">
        <x:f t="shared" si="35"/>
        <x:v>9990673.374128161</x:v>
      </x:c>
    </x:row>
    <x:row r="156" spans="1:14" outlineLevel="2" x14ac:dyDescent="0.25">
      <x:c r="A156" s="1" t="s">
        <x:v>96</x:v>
      </x:c>
      <x:c r="B156" s="1" t="s">
        <x:v>9</x:v>
      </x:c>
      <x:c r="C156" s="2">
        <x:v>40219892.710000001</x:v>
      </x:c>
      <x:c r="D156" s="2">
        <x:v>30824701.289780475</x:v>
      </x:c>
      <x:c r="E156" s="2">
        <x:v>9395191.420219522</x:v>
      </x:c>
      <x:c r="F156" s="1">
        <x:v>55</x:v>
      </x:c>
      <x:c r="G156" s="1">
        <x:v>37.860239999999997</x:v>
      </x:c>
      <x:c r="H156" s="9">
        <x:v>-0.25</x:v>
      </x:c>
      <x:c r="I156" s="2">
        <x:f t="shared" si="27"/>
        <x:v>15667257.006253403</x:v>
      </x:c>
      <x:c r="J156" s="3">
        <x:f t="shared" si="28"/>
        <x:v>1.08286973314515</x:v>
      </x:c>
      <x:c r="K156" s="7">
        <x:f t="shared" si="29"/>
        <x:v>16965598.413478103</x:v>
      </x:c>
      <x:c r="L156" s="7">
        <x:f t="shared" si="32"/>
        <x:v>13002508.66079041</x:v>
      </x:c>
      <x:c r="M156" s="7">
        <x:f t="shared" si="33"/>
        <x:v>3963089.7526876922</x:v>
      </x:c>
      <x:c r="N156" s="7">
        <x:f t="shared" si="35"/>
        <x:v>16965598.413478103</x:v>
      </x:c>
    </x:row>
    <x:row r="157" spans="1:14" outlineLevel="2" x14ac:dyDescent="0.25">
      <x:c r="A157" s="1" t="s">
        <x:v>96</x:v>
      </x:c>
      <x:c r="B157" s="1" t="s">
        <x:v>93</x:v>
      </x:c>
      <x:c r="C157" s="2">
        <x:v>22768876.309999999</x:v>
      </x:c>
      <x:c r="D157" s="2">
        <x:v>16383537.710019303</x:v>
      </x:c>
      <x:c r="E157" s="2">
        <x:v>6385338.5999806914</x:v>
      </x:c>
      <x:c r="F157" s="1">
        <x:v>55</x:v>
      </x:c>
      <x:c r="G157" s="1">
        <x:v>37.201816000000001</x:v>
      </x:c>
      <x:c r="H157" s="9">
        <x:v>-0.25</x:v>
      </x:c>
      <x:c r="I157" s="2">
        <x:f t="shared" si="27"/>
        <x:v>9210105.6826959308</x:v>
      </x:c>
      <x:c r="J157" s="3">
        <x:f t="shared" si="28"/>
        <x:v>1.08286973314515</x:v>
      </x:c>
      <x:c r="K157" s="7">
        <x:f t="shared" si="29"/>
        <x:v>9973344.6828595717</x:v>
      </x:c>
      <x:c r="L157" s="7">
        <x:f t="shared" si="32"/>
        <x:v>7176404.6008228455</x:v>
      </x:c>
      <x:c r="M157" s="7">
        <x:f t="shared" si="33"/>
        <x:v>2796940.0820367238</x:v>
      </x:c>
      <x:c r="N157" s="7">
        <x:f t="shared" si="35"/>
        <x:v>9973344.6828595698</x:v>
      </x:c>
    </x:row>
    <x:row r="158" spans="1:14" outlineLevel="2" x14ac:dyDescent="0.25">
      <x:c r="A158" s="1" t="s">
        <x:v>96</x:v>
      </x:c>
      <x:c r="B158" s="1" t="s">
        <x:v>92</x:v>
      </x:c>
      <x:c r="C158" s="2">
        <x:v>18774912.350000001</x:v>
      </x:c>
      <x:c r="D158" s="2">
        <x:v>11593318.22853489</x:v>
      </x:c>
      <x:c r="E158" s="2">
        <x:v>7181594.121465099</x:v>
      </x:c>
      <x:c r="F158" s="1">
        <x:v>55</x:v>
      </x:c>
      <x:c r="G158" s="1">
        <x:v>36.547330000000002</x:v>
      </x:c>
      <x:c r="H158" s="9">
        <x:v>-0.25</x:v>
      </x:c>
      <x:c r="I158" s="2">
        <x:f t="shared" si="27"/>
        <x:v>7873801.4062153297</x:v>
      </x:c>
      <x:c r="J158" s="3">
        <x:f t="shared" si="28"/>
        <x:v>1.08286973314515</x:v>
      </x:c>
      <x:c r="K158" s="7">
        <x:f t="shared" si="29"/>
        <x:v>8526301.227586301</x:v>
      </x:c>
      <x:c r="L158" s="7">
        <x:f t="shared" si="32"/>
        <x:v>5264904.6558001991</x:v>
      </x:c>
      <x:c r="M158" s="7">
        <x:f t="shared" si="33"/>
        <x:v>3261396.5717860959</x:v>
      </x:c>
      <x:c r="N158" s="7">
        <x:f t="shared" si="35"/>
        <x:v>8526301.2275862955</x:v>
      </x:c>
    </x:row>
    <x:row r="159" spans="1:14" outlineLevel="2" x14ac:dyDescent="0.25">
      <x:c r="A159" s="1" t="s">
        <x:v>96</x:v>
      </x:c>
      <x:c r="B159" s="1" t="s">
        <x:v>91</x:v>
      </x:c>
      <x:c r="C159" s="2">
        <x:v>20212406.57</x:v>
      </x:c>
      <x:c r="D159" s="2">
        <x:v>15860803.146117203</x:v>
      </x:c>
      <x:c r="E159" s="2">
        <x:v>4351603.4238827946</x:v>
      </x:c>
      <x:c r="F159" s="1">
        <x:v>55</x:v>
      </x:c>
      <x:c r="G159" s="1">
        <x:v>35.896979999999999</x:v>
      </x:c>
      <x:c r="H159" s="9">
        <x:v>-0.25</x:v>
      </x:c>
      <x:c r="I159" s="2">
        <x:f t="shared" si="27"/>
        <x:v>8775409.2489736676</x:v>
      </x:c>
      <x:c r="J159" s="3">
        <x:f t="shared" si="28"/>
        <x:v>1.08286973314515</x:v>
      </x:c>
      <x:c r="K159" s="7">
        <x:f t="shared" si="29"/>
        <x:v>9502625.0716755968</x:v>
      </x:c>
      <x:c r="L159" s="7">
        <x:f t="shared" si="32"/>
        <x:v>7456769.935397381</x:v>
      </x:c>
      <x:c r="M159" s="7">
        <x:f t="shared" si="33"/>
        <x:v>2045855.1362782137</x:v>
      </x:c>
      <x:c r="N159" s="7">
        <x:f t="shared" si="35"/>
        <x:v>9502625.0716755949</x:v>
      </x:c>
    </x:row>
    <x:row r="160" spans="1:14" outlineLevel="2" x14ac:dyDescent="0.25">
      <x:c r="A160" s="1" t="s">
        <x:v>96</x:v>
      </x:c>
      <x:c r="B160" s="1" t="s">
        <x:v>90</x:v>
      </x:c>
      <x:c r="C160" s="2">
        <x:v>7253309.6900000004</x:v>
      </x:c>
      <x:c r="D160" s="2">
        <x:v>4522838.6593966559</x:v>
      </x:c>
      <x:c r="E160" s="2">
        <x:v>2730471.0306033455</x:v>
      </x:c>
      <x:c r="F160" s="1">
        <x:v>55</x:v>
      </x:c>
      <x:c r="G160" s="1">
        <x:v>35.251367000000002</x:v>
      </x:c>
      <x:c r="H160" s="9">
        <x:v>-0.25</x:v>
      </x:c>
      <x:c r="I160" s="2">
        <x:f t="shared" si="27"/>
        <x:v>3255521.6159807672</x:v>
      </x:c>
      <x:c r="J160" s="3">
        <x:f t="shared" si="28"/>
        <x:v>1.08286973314515</x:v>
      </x:c>
      <x:c r="K160" s="7">
        <x:f t="shared" si="29"/>
        <x:v>3525305.8235453609</x:v>
      </x:c>
      <x:c r="L160" s="7">
        <x:f t="shared" si="32"/>
        <x:v>2198222.6247569919</x:v>
      </x:c>
      <x:c r="M160" s="7">
        <x:f t="shared" si="33"/>
        <x:v>1327083.1987883695</x:v>
      </x:c>
      <x:c r="N160" s="7">
        <x:f t="shared" si="35"/>
        <x:v>3525305.8235453614</x:v>
      </x:c>
    </x:row>
    <x:row r="161" spans="1:14" outlineLevel="2" x14ac:dyDescent="0.25">
      <x:c r="A161" s="1" t="s">
        <x:v>96</x:v>
      </x:c>
      <x:c r="B161" s="1" t="s">
        <x:v>89</x:v>
      </x:c>
      <x:c r="C161" s="2">
        <x:v>11127958.439999999</x:v>
      </x:c>
      <x:c r="D161" s="2">
        <x:v>8596859.1267460398</x:v>
      </x:c>
      <x:c r="E161" s="2">
        <x:v>2531099.313253962</x:v>
      </x:c>
      <x:c r="F161" s="1">
        <x:v>55</x:v>
      </x:c>
      <x:c r="G161" s="1">
        <x:v>34.610298</x:v>
      </x:c>
      <x:c r="H161" s="9">
        <x:v>-0.25</x:v>
      </x:c>
      <x:c r="I161" s="2">
        <x:f t="shared" si="27"/>
        <x:v>5156721.7377269296</x:v>
      </x:c>
      <x:c r="J161" s="3">
        <x:f t="shared" si="28"/>
        <x:v>1.08286973314515</x:v>
      </x:c>
      <x:c r="K161" s="7">
        <x:f t="shared" si="29"/>
        <x:v>5584057.8920361549</x:v>
      </x:c>
      <x:c r="L161" s="7">
        <x:f t="shared" si="32"/>
        <x:v>4313941.2599593848</x:v>
      </x:c>
      <x:c r="M161" s="7">
        <x:f t="shared" si="33"/>
        <x:v>1270116.632076771</x:v>
      </x:c>
      <x:c r="N161" s="7">
        <x:f t="shared" si="35"/>
        <x:v>5584057.8920361558</x:v>
      </x:c>
    </x:row>
    <x:row r="162" spans="1:14" outlineLevel="2" x14ac:dyDescent="0.25">
      <x:c r="A162" s="1" t="s">
        <x:v>96</x:v>
      </x:c>
      <x:c r="B162" s="1" t="s">
        <x:v>88</x:v>
      </x:c>
      <x:c r="C162" s="2">
        <x:v>27076659.629999999</x:v>
      </x:c>
      <x:c r="D162" s="2">
        <x:v>22275523.940901089</x:v>
      </x:c>
      <x:c r="E162" s="2">
        <x:v>4801135.6890989076</x:v>
      </x:c>
      <x:c r="F162" s="1">
        <x:v>55</x:v>
      </x:c>
      <x:c r="G162" s="1">
        <x:v>33.973945000000001</x:v>
      </x:c>
      <x:c r="H162" s="9">
        <x:v>-0.25</x:v>
      </x:c>
      <x:c r="I162" s="2">
        <x:f t="shared" si="27"/>
        <x:v>12938984.877196809</x:v>
      </x:c>
      <x:c r="J162" s="3">
        <x:f t="shared" si="28"/>
        <x:v>1.08286973314515</x:v>
      </x:c>
      <x:c r="K162" s="7">
        <x:f t="shared" si="29"/>
        <x:v>14011235.10113924</x:v>
      </x:c>
      <x:c r="L162" s="7">
        <x:f t="shared" si="32"/>
        <x:v>11526813.395815503</x:v>
      </x:c>
      <x:c r="M162" s="7">
        <x:f t="shared" si="33"/>
        <x:v>2484421.7053237357</x:v>
      </x:c>
      <x:c r="N162" s="7">
        <x:f t="shared" si="35"/>
        <x:v>14011235.101139238</x:v>
      </x:c>
    </x:row>
    <x:row r="163" spans="1:14" outlineLevel="2" x14ac:dyDescent="0.25">
      <x:c r="A163" s="1" t="s">
        <x:v>96</x:v>
      </x:c>
      <x:c r="B163" s="1" t="s">
        <x:v>8</x:v>
      </x:c>
      <x:c r="C163" s="2">
        <x:v>10283990.789999999</x:v>
      </x:c>
      <x:c r="D163" s="2">
        <x:v>8887474.9446009696</x:v>
      </x:c>
      <x:c r="E163" s="2">
        <x:v>1396515.8453990351</x:v>
      </x:c>
      <x:c r="F163" s="1">
        <x:v>55</x:v>
      </x:c>
      <x:c r="G163" s="1">
        <x:v>33.342480999999999</x:v>
      </x:c>
      <x:c r="H163" s="9">
        <x:v>-0.25</x:v>
      </x:c>
      <x:c r="I163" s="2">
        <x:f t="shared" si="27"/>
        <x:v>5061948.31659659</x:v>
      </x:c>
      <x:c r="J163" s="3">
        <x:f t="shared" si="28"/>
        <x:v>1.08286973314515</x:v>
      </x:c>
      <x:c r="K163" s="7">
        <x:f t="shared" si="29"/>
        <x:v>5481430.6227874905</x:v>
      </x:c>
      <x:c r="L163" s="7">
        <x:f t="shared" si="32"/>
        <x:v>4737079.0498921005</x:v>
      </x:c>
      <x:c r="M163" s="7">
        <x:f t="shared" si="33"/>
        <x:v>744351.57289539266</x:v>
      </x:c>
      <x:c r="N163" s="7">
        <x:f t="shared" si="35"/>
        <x:v>5481430.6227874933</x:v>
      </x:c>
    </x:row>
    <x:row r="164" spans="1:14" outlineLevel="2" x14ac:dyDescent="0.25">
      <x:c r="A164" s="1" t="s">
        <x:v>96</x:v>
      </x:c>
      <x:c r="B164" s="1" t="s">
        <x:v>87</x:v>
      </x:c>
      <x:c r="C164" s="2">
        <x:v>19248544.979999997</x:v>
      </x:c>
      <x:c r="D164" s="2">
        <x:v>16267435.557730336</x:v>
      </x:c>
      <x:c r="E164" s="2">
        <x:v>2981109.4222696605</x:v>
      </x:c>
      <x:c r="F164" s="1">
        <x:v>55</x:v>
      </x:c>
      <x:c r="G164" s="1">
        <x:v>32.716068</x:v>
      </x:c>
      <x:c r="H164" s="9">
        <x:v>-0.25</x:v>
      </x:c>
      <x:c r="I164" s="2">
        <x:f t="shared" ref="I164:I195" si="36">+C164*(1-H164)*(1-G164/F164)</x:f>
        <x:v>9748483.3507559393</x:v>
      </x:c>
      <x:c r="J164" s="3">
        <x:f t="shared" ref="J164:J195" si="37">$J$235</x:f>
        <x:v>1.08286973314515</x:v>
      </x:c>
      <x:c r="K164" s="7">
        <x:f t="shared" ref="K164:K195" si="38">IF((C164*(1-H164)-I164*J164)&lt;0,C164*(1-H164),I164*J164)</x:f>
        <x:v>10556337.564603021</x:v>
      </x:c>
      <x:c r="L164" s="7">
        <x:f t="shared" si="32"/>
        <x:v>8921429.709947234</x:v>
      </x:c>
      <x:c r="M164" s="7">
        <x:f t="shared" si="33"/>
        <x:v>1634907.8546557878</x:v>
      </x:c>
      <x:c r="N164" s="7">
        <x:f t="shared" si="35"/>
        <x:v>10556337.564603021</x:v>
      </x:c>
    </x:row>
    <x:row r="165" spans="1:14" outlineLevel="2" x14ac:dyDescent="0.25">
      <x:c r="A165" s="1" t="s">
        <x:v>96</x:v>
      </x:c>
      <x:c r="B165" s="1" t="s">
        <x:v>7</x:v>
      </x:c>
      <x:c r="C165" s="2">
        <x:v>22021360.749999989</x:v>
      </x:c>
      <x:c r="D165" s="2">
        <x:v>19589003.42368634</x:v>
      </x:c>
      <x:c r="E165" s="2">
        <x:v>2432357.3263136498</x:v>
      </x:c>
      <x:c r="F165" s="1">
        <x:v>55</x:v>
      </x:c>
      <x:c r="G165" s="1">
        <x:v>32.095092000000001</x:v>
      </x:c>
      <x:c r="H165" s="9">
        <x:v>-0.25</x:v>
      </x:c>
      <x:c r="I165" s="2">
        <x:f t="shared" si="36"/>
        <x:v>11463573.682126381</x:v>
      </x:c>
      <x:c r="J165" s="3">
        <x:f t="shared" si="37"/>
        <x:v>1.08286973314515</x:v>
      </x:c>
      <x:c r="K165" s="7">
        <x:f t="shared" si="38"/>
        <x:v>12413556.974053958</x:v>
      </x:c>
      <x:c r="L165" s="7">
        <x:f t="shared" si="32"/>
        <x:v>11042424.345410559</x:v>
      </x:c>
      <x:c r="M165" s="7">
        <x:f t="shared" si="33"/>
        <x:v>1371132.6286433984</x:v>
      </x:c>
      <x:c r="N165" s="7">
        <x:f t="shared" si="35"/>
        <x:v>12413556.974053958</x:v>
      </x:c>
    </x:row>
    <x:row r="166" spans="1:14" outlineLevel="2" x14ac:dyDescent="0.25">
      <x:c r="A166" s="1" t="s">
        <x:v>96</x:v>
      </x:c>
      <x:c r="B166" s="1" t="s">
        <x:v>86</x:v>
      </x:c>
      <x:c r="C166" s="2">
        <x:v>13410939.430000002</x:v>
      </x:c>
      <x:c r="D166" s="2">
        <x:v>11524144.088974006</x:v>
      </x:c>
      <x:c r="E166" s="2">
        <x:v>1886795.3410259951</x:v>
      </x:c>
      <x:c r="F166" s="1">
        <x:v>55</x:v>
      </x:c>
      <x:c r="G166" s="1">
        <x:v>31.479707999999999</x:v>
      </x:c>
      <x:c r="H166" s="9">
        <x:v>-0.25</x:v>
      </x:c>
      <x:c r="I166" s="2">
        <x:f t="shared" si="36"/>
        <x:v>7168845.7133616721</x:v>
      </x:c>
      <x:c r="J166" s="3">
        <x:f t="shared" si="37"/>
        <x:v>1.08286973314515</x:v>
      </x:c>
      <x:c r="K166" s="7">
        <x:f t="shared" si="38"/>
        <x:v>7762926.044586706</x:v>
      </x:c>
      <x:c r="L166" s="7">
        <x:f t="shared" si="32"/>
        <x:v>6670754.0330652473</x:v>
      </x:c>
      <x:c r="M166" s="7">
        <x:f t="shared" si="33"/>
        <x:v>1092172.0115214593</x:v>
      </x:c>
      <x:c r="N166" s="7">
        <x:f t="shared" si="35"/>
        <x:v>7762926.0445867069</x:v>
      </x:c>
    </x:row>
    <x:row r="167" spans="1:14" outlineLevel="2" x14ac:dyDescent="0.25">
      <x:c r="A167" s="1" t="s">
        <x:v>96</x:v>
      </x:c>
      <x:c r="B167" s="1" t="s">
        <x:v>6</x:v>
      </x:c>
      <x:c r="C167" s="2">
        <x:v>12372263.090000004</x:v>
      </x:c>
      <x:c r="D167" s="2">
        <x:v>9711573.7308127955</x:v>
      </x:c>
      <x:c r="E167" s="2">
        <x:v>2660689.3591872072</x:v>
      </x:c>
      <x:c r="F167" s="1">
        <x:v>55</x:v>
      </x:c>
      <x:c r="G167" s="1">
        <x:v>30.86983</x:v>
      </x:c>
      <x:c r="H167" s="9">
        <x:v>-0.25</x:v>
      </x:c>
      <x:c r="I167" s="2">
        <x:f t="shared" si="36"/>
        <x:v>6785109.3556005768</x:v>
      </x:c>
      <x:c r="J167" s="3">
        <x:f t="shared" si="37"/>
        <x:v>1.08286973314515</x:v>
      </x:c>
      <x:c r="K167" s="7">
        <x:f t="shared" si="38"/>
        <x:v>7347389.5572598577</x:v>
      </x:c>
      <x:c r="L167" s="7">
        <x:f t="shared" si="32"/>
        <x:v>5767313.1338442201</x:v>
      </x:c>
      <x:c r="M167" s="7">
        <x:f t="shared" si="33"/>
        <x:v>1580076.4234156373</x:v>
      </x:c>
      <x:c r="N167" s="7">
        <x:f t="shared" si="35"/>
        <x:v>7347389.5572598577</x:v>
      </x:c>
    </x:row>
    <x:row r="168" spans="1:14" outlineLevel="2" x14ac:dyDescent="0.25">
      <x:c r="A168" s="1" t="s">
        <x:v>96</x:v>
      </x:c>
      <x:c r="B168" s="1" t="s">
        <x:v>5</x:v>
      </x:c>
      <x:c r="C168" s="2">
        <x:v>29604954.78999998</x:v>
      </x:c>
      <x:c r="D168" s="2">
        <x:v>25955116.051427606</x:v>
      </x:c>
      <x:c r="E168" s="2">
        <x:v>3649838.7385723726</x:v>
      </x:c>
      <x:c r="F168" s="1">
        <x:v>55</x:v>
      </x:c>
      <x:c r="G168" s="1">
        <x:v>30.265575999999999</x:v>
      </x:c>
      <x:c r="H168" s="9">
        <x:v>-0.25</x:v>
      </x:c>
      <x:c r="I168" s="2">
        <x:f t="shared" si="36"/>
        <x:v>16642306.915379331</x:v>
      </x:c>
      <x:c r="J168" s="3">
        <x:f t="shared" si="37"/>
        <x:v>1.08286973314515</x:v>
      </x:c>
      <x:c r="K168" s="7">
        <x:f t="shared" si="38"/>
        <x:v>18021450.448376499</x:v>
      </x:c>
      <x:c r="L168" s="7">
        <x:f t="shared" si="32"/>
        <x:v>15799680.868307261</x:v>
      </x:c>
      <x:c r="M168" s="7">
        <x:f t="shared" si="33"/>
        <x:v>2221769.5800692369</x:v>
      </x:c>
      <x:c r="N168" s="7">
        <x:f t="shared" si="35"/>
        <x:v>18021450.448376499</x:v>
      </x:c>
    </x:row>
    <x:row r="169" spans="1:14" outlineLevel="2" x14ac:dyDescent="0.25">
      <x:c r="A169" s="1" t="s">
        <x:v>96</x:v>
      </x:c>
      <x:c r="B169" s="1" t="s">
        <x:v>4</x:v>
      </x:c>
      <x:c r="C169" s="2">
        <x:v>19627381.020000007</x:v>
      </x:c>
      <x:c r="D169" s="2">
        <x:v>17424698.840955876</x:v>
      </x:c>
      <x:c r="E169" s="2">
        <x:v>2202682.1790441321</x:v>
      </x:c>
      <x:c r="F169" s="1">
        <x:v>55</x:v>
      </x:c>
      <x:c r="G169" s="1">
        <x:v>29.667058999999998</x:v>
      </x:c>
      <x:c r="H169" s="9">
        <x:v>-0.25</x:v>
      </x:c>
      <x:c r="I169" s="2">
        <x:f t="shared" si="36"/>
        <x:v>11300438.303731365</x:v>
      </x:c>
      <x:c r="J169" s="3">
        <x:f t="shared" si="37"/>
        <x:v>1.08286973314515</x:v>
      </x:c>
      <x:c r="K169" s="7">
        <x:f t="shared" si="38"/>
        <x:v>12236902.610384814</x:v>
      </x:c>
      <x:c r="L169" s="7">
        <x:f t="shared" si="32"/>
        <x:v>10863616.623878133</x:v>
      </x:c>
      <x:c r="M169" s="7">
        <x:f t="shared" si="33"/>
        <x:v>1373285.9865066828</x:v>
      </x:c>
      <x:c r="N169" s="7">
        <x:f t="shared" si="35"/>
        <x:v>12236902.610384814</x:v>
      </x:c>
    </x:row>
    <x:row r="170" spans="1:14" outlineLevel="2" x14ac:dyDescent="0.25">
      <x:c r="A170" s="1" t="s">
        <x:v>96</x:v>
      </x:c>
      <x:c r="B170" s="1" t="s">
        <x:v>3</x:v>
      </x:c>
      <x:c r="C170" s="2">
        <x:v>22549899.010000017</x:v>
      </x:c>
      <x:c r="D170" s="2">
        <x:v>19472350.093213744</x:v>
      </x:c>
      <x:c r="E170" s="2">
        <x:v>3077548.916786273</x:v>
      </x:c>
      <x:c r="F170" s="1">
        <x:v>55</x:v>
      </x:c>
      <x:c r="G170" s="1">
        <x:v>29.074380000000001</x:v>
      </x:c>
      <x:c r="H170" s="9">
        <x:v>-0.25</x:v>
      </x:c>
      <x:c r="I170" s="2">
        <x:f t="shared" si="36"/>
        <x:v>13286820.744809924</x:v>
      </x:c>
      <x:c r="J170" s="3">
        <x:f t="shared" si="37"/>
        <x:v>1.08286973314515</x:v>
      </x:c>
      <x:c r="K170" s="7">
        <x:f t="shared" si="38"/>
        <x:v>14387896.034279766</x:v>
      </x:c>
      <x:c r="L170" s="7">
        <x:f t="shared" si="32"/>
        <x:v>12424275.095866919</x:v>
      </x:c>
      <x:c r="M170" s="7">
        <x:f t="shared" si="33"/>
        <x:v>1963620.9384128491</x:v>
      </x:c>
      <x:c r="N170" s="7">
        <x:f t="shared" si="35"/>
        <x:v>14387896.034279767</x:v>
      </x:c>
    </x:row>
    <x:row r="171" spans="1:14" outlineLevel="2" x14ac:dyDescent="0.25">
      <x:c r="A171" s="1" t="s">
        <x:v>96</x:v>
      </x:c>
      <x:c r="B171" s="1" t="s">
        <x:v>85</x:v>
      </x:c>
      <x:c r="C171" s="2">
        <x:v>15108943.499999998</x:v>
      </x:c>
      <x:c r="D171" s="2">
        <x:v>13484479.569071025</x:v>
      </x:c>
      <x:c r="E171" s="2">
        <x:v>1624463.9309289737</x:v>
      </x:c>
      <x:c r="F171" s="1">
        <x:v>55</x:v>
      </x:c>
      <x:c r="G171" s="1">
        <x:v>28.488104</x:v>
      </x:c>
      <x:c r="H171" s="9">
        <x:v>-0.25</x:v>
      </x:c>
      <x:c r="I171" s="2">
        <x:f t="shared" si="36"/>
        <x:v>9103789.5168608166</x:v>
      </x:c>
      <x:c r="J171" s="3">
        <x:f t="shared" si="37"/>
        <x:v>1.08286973314515</x:v>
      </x:c>
      <x:c r="K171" s="7">
        <x:f t="shared" si="38"/>
        <x:v>9858218.1247326862</x:v>
      </x:c>
      <x:c r="L171" s="7">
        <x:f t="shared" si="32"/>
        <x:v>8798294.9231628012</x:v>
      </x:c>
      <x:c r="M171" s="7">
        <x:f t="shared" si="33"/>
        <x:v>1059923.2015698857</x:v>
      </x:c>
      <x:c r="N171" s="7">
        <x:f t="shared" si="35"/>
        <x:v>9858218.1247326862</x:v>
      </x:c>
    </x:row>
    <x:row r="172" spans="1:14" outlineLevel="2" x14ac:dyDescent="0.25">
      <x:c r="A172" s="1" t="s">
        <x:v>96</x:v>
      </x:c>
      <x:c r="B172" s="1" t="s">
        <x:v>84</x:v>
      </x:c>
      <x:c r="C172" s="2">
        <x:v>17579577.760000009</x:v>
      </x:c>
      <x:c r="D172" s="2">
        <x:v>15689906.477423508</x:v>
      </x:c>
      <x:c r="E172" s="2">
        <x:v>1889671.2825765016</x:v>
      </x:c>
      <x:c r="F172" s="1">
        <x:v>55</x:v>
      </x:c>
      <x:c r="G172" s="1">
        <x:v>27.907844000000001</x:v>
      </x:c>
      <x:c r="H172" s="9">
        <x:v>-0.25</x:v>
      </x:c>
      <x:c r="I172" s="2">
        <x:f t="shared" si="36"/>
        <x:v>10824287.7974557</x:v>
      </x:c>
      <x:c r="J172" s="3">
        <x:f t="shared" si="37"/>
        <x:v>1.08286973314515</x:v>
      </x:c>
      <x:c r="K172" s="7">
        <x:f t="shared" si="38"/>
        <x:v>11721293.638717158</x:v>
      </x:c>
      <x:c r="L172" s="7">
        <x:f t="shared" si="32"/>
        <x:v>10461343.468916809</x:v>
      </x:c>
      <x:c r="M172" s="7">
        <x:f t="shared" si="33"/>
        <x:v>1259950.1698003486</x:v>
      </x:c>
      <x:c r="N172" s="7">
        <x:f t="shared" si="35"/>
        <x:v>11721293.638717158</x:v>
      </x:c>
    </x:row>
    <x:row r="173" spans="1:14" outlineLevel="2" x14ac:dyDescent="0.25">
      <x:c r="A173" s="1" t="s">
        <x:v>96</x:v>
      </x:c>
      <x:c r="B173" s="1" t="s">
        <x:v>83</x:v>
      </x:c>
      <x:c r="C173" s="2">
        <x:v>20503123.169999998</x:v>
      </x:c>
      <x:c r="D173" s="2">
        <x:v>18587477.044406753</x:v>
      </x:c>
      <x:c r="E173" s="2">
        <x:v>1915646.1255932464</x:v>
      </x:c>
      <x:c r="F173" s="1">
        <x:v>55</x:v>
      </x:c>
      <x:c r="G173" s="1">
        <x:v>27.333666999999998</x:v>
      </x:c>
      <x:c r="H173" s="9">
        <x:v>-0.25</x:v>
      </x:c>
      <x:c r="I173" s="2">
        <x:f t="shared" si="36"/>
        <x:v>12891959.844573535</x:v>
      </x:c>
      <x:c r="J173" s="3">
        <x:f t="shared" si="37"/>
        <x:v>1.08286973314515</x:v>
      </x:c>
      <x:c r="K173" s="7">
        <x:f t="shared" si="38"/>
        <x:v>13960313.116611334</x:v>
      </x:c>
      <x:c r="L173" s="7">
        <x:f t="shared" si="32"/>
        <x:v>12655974.284318933</x:v>
      </x:c>
      <x:c r="M173" s="7">
        <x:f t="shared" si="33"/>
        <x:v>1304338.8322924015</x:v>
      </x:c>
      <x:c r="N173" s="7">
        <x:f t="shared" si="35"/>
        <x:v>13960313.116611335</x:v>
      </x:c>
    </x:row>
    <x:row r="174" spans="1:14" outlineLevel="2" x14ac:dyDescent="0.25">
      <x:c r="A174" s="1" t="s">
        <x:v>96</x:v>
      </x:c>
      <x:c r="B174" s="1" t="s">
        <x:v>82</x:v>
      </x:c>
      <x:c r="C174" s="2">
        <x:v>17351548.319999993</x:v>
      </x:c>
      <x:c r="D174" s="2">
        <x:v>15273531.966064591</x:v>
      </x:c>
      <x:c r="E174" s="2">
        <x:v>2078016.3539354017</x:v>
      </x:c>
      <x:c r="F174" s="1">
        <x:v>55</x:v>
      </x:c>
      <x:c r="G174" s="1">
        <x:v>26.765630999999999</x:v>
      </x:c>
      <x:c r="H174" s="9">
        <x:v>-0.25</x:v>
      </x:c>
      <x:c r="I174" s="2">
        <x:f t="shared" si="36"/>
        <x:v>11134318.590641133</x:v>
      </x:c>
      <x:c r="J174" s="3">
        <x:f t="shared" si="37"/>
        <x:v>1.08286973314515</x:v>
      </x:c>
      <x:c r="K174" s="7">
        <x:f t="shared" si="38"/>
        <x:v>12057016.601000646</x:v>
      </x:c>
      <x:c r="L174" s="7">
        <x:f t="shared" si="32"/>
        <x:v>10613071.817832731</x:v>
      </x:c>
      <x:c r="M174" s="7">
        <x:f t="shared" si="33"/>
        <x:v>1443944.783167914</x:v>
      </x:c>
      <x:c r="N174" s="7">
        <x:f t="shared" si="35"/>
        <x:v>12057016.601000644</x:v>
      </x:c>
    </x:row>
    <x:row r="175" spans="1:14" outlineLevel="2" x14ac:dyDescent="0.25">
      <x:c r="A175" s="1" t="s">
        <x:v>96</x:v>
      </x:c>
      <x:c r="B175" s="1" t="s">
        <x:v>2</x:v>
      </x:c>
      <x:c r="C175" s="2">
        <x:v>17859462.339999992</x:v>
      </x:c>
      <x:c r="D175" s="2">
        <x:v>15973143.747486673</x:v>
      </x:c>
      <x:c r="E175" s="2">
        <x:v>1886318.59251332</x:v>
      </x:c>
      <x:c r="F175" s="1">
        <x:v>55</x:v>
      </x:c>
      <x:c r="G175" s="1">
        <x:v>26.203779999999998</x:v>
      </x:c>
      <x:c r="H175" s="9">
        <x:v>-0.25</x:v>
      </x:c>
      <x:c r="I175" s="2">
        <x:f t="shared" si="36"/>
        <x:v>11688295.605098967</x:v>
      </x:c>
      <x:c r="J175" s="3">
        <x:f t="shared" si="37"/>
        <x:v>1.08286973314515</x:v>
      </x:c>
      <x:c r="K175" s="7">
        <x:f t="shared" si="38"/>
        <x:v>12656901.542815147</x:v>
      </x:c>
      <x:c r="L175" s="7">
        <x:f t="shared" si="32"/>
        <x:v>11320078.056793969</x:v>
      </x:c>
      <x:c r="M175" s="7">
        <x:f t="shared" si="33"/>
        <x:v>1336823.4860211781</x:v>
      </x:c>
      <x:c r="N175" s="7">
        <x:f t="shared" si="35"/>
        <x:v>12656901.542815147</x:v>
      </x:c>
    </x:row>
    <x:row r="176" spans="1:14" outlineLevel="2" x14ac:dyDescent="0.25">
      <x:c r="A176" s="1" t="s">
        <x:v>96</x:v>
      </x:c>
      <x:c r="B176" s="1" t="s">
        <x:v>81</x:v>
      </x:c>
      <x:c r="C176" s="2">
        <x:v>10753196.939999999</x:v>
      </x:c>
      <x:c r="D176" s="2">
        <x:v>9425742.2551600672</x:v>
      </x:c>
      <x:c r="E176" s="2">
        <x:v>1327454.684839932</x:v>
      </x:c>
      <x:c r="F176" s="1">
        <x:v>55</x:v>
      </x:c>
      <x:c r="G176" s="1">
        <x:v>25.648385999999999</x:v>
      </x:c>
      <x:c r="H176" s="9">
        <x:v>-0.25</x:v>
      </x:c>
      <x:c r="I176" s="2">
        <x:f t="shared" si="36"/>
        <x:v>7173265.587474118</x:v>
      </x:c>
      <x:c r="J176" s="3">
        <x:f t="shared" si="37"/>
        <x:v>1.08286973314515</x:v>
      </x:c>
      <x:c r="K176" s="7">
        <x:f t="shared" si="38"/>
        <x:v>7767712.1924873861</x:v>
      </x:c>
      <x:c r="L176" s="7">
        <x:f t="shared" si="32"/>
        <x:v>6808807.9709856417</x:v>
      </x:c>
      <x:c r="M176" s="7">
        <x:f t="shared" si="33"/>
        <x:v>958904.22150174447</x:v>
      </x:c>
      <x:c r="N176" s="7">
        <x:f t="shared" si="35"/>
        <x:v>7767712.1924873861</x:v>
      </x:c>
    </x:row>
    <x:row r="177" spans="1:14" outlineLevel="2" x14ac:dyDescent="0.25">
      <x:c r="A177" s="1" t="s">
        <x:v>96</x:v>
      </x:c>
      <x:c r="B177" s="1" t="s">
        <x:v>80</x:v>
      </x:c>
      <x:c r="C177" s="2">
        <x:v>8637523.2200000007</x:v>
      </x:c>
      <x:c r="D177" s="2">
        <x:v>8212223.5046381904</x:v>
      </x:c>
      <x:c r="E177" s="2">
        <x:v>425299.71536181011</x:v>
      </x:c>
      <x:c r="F177" s="1">
        <x:v>55</x:v>
      </x:c>
      <x:c r="G177" s="1">
        <x:v>25.099468999999999</x:v>
      </x:c>
      <x:c r="H177" s="9">
        <x:v>-0.25</x:v>
      </x:c>
      <x:c r="I177" s="2">
        <x:f t="shared" si="36"/>
        <x:v>5869693.8818824952</x:v>
      </x:c>
      <x:c r="J177" s="3">
        <x:f t="shared" si="37"/>
        <x:v>1.08286973314515</x:v>
      </x:c>
      <x:c r="K177" s="7">
        <x:f t="shared" si="38"/>
        <x:v>6356113.8475178173</x:v>
      </x:c>
      <x:c r="L177" s="7">
        <x:f t="shared" si="32"/>
        <x:v>6043147.5791438855</x:v>
      </x:c>
      <x:c r="M177" s="7">
        <x:f t="shared" si="33"/>
        <x:v>312966.26837393176</x:v>
      </x:c>
      <x:c r="N177" s="7">
        <x:f t="shared" si="35"/>
        <x:v>6356113.8475178173</x:v>
      </x:c>
    </x:row>
    <x:row r="178" spans="1:14" outlineLevel="2" x14ac:dyDescent="0.25">
      <x:c r="A178" s="1" t="s">
        <x:v>96</x:v>
      </x:c>
      <x:c r="B178" s="1" t="s">
        <x:v>79</x:v>
      </x:c>
      <x:c r="C178" s="2">
        <x:v>3959873.9499999993</x:v>
      </x:c>
      <x:c r="D178" s="2">
        <x:v>3481557.047736601</x:v>
      </x:c>
      <x:c r="E178" s="2">
        <x:v>478316.90226339852</x:v>
      </x:c>
      <x:c r="F178" s="1">
        <x:v>55</x:v>
      </x:c>
      <x:c r="G178" s="1">
        <x:v>24.556825</x:v>
      </x:c>
      <x:c r="H178" s="9">
        <x:v>-0.25</x:v>
      </x:c>
      <x:c r="I178" s="2">
        <x:f t="shared" si="36"/>
        <x:v>2739798.5372225279</x:v>
      </x:c>
      <x:c r="J178" s="3">
        <x:f t="shared" si="37"/>
        <x:v>1.08286973314515</x:v>
      </x:c>
      <x:c r="K178" s="7">
        <x:f t="shared" si="38"/>
        <x:v>2966844.910873631</x:v>
      </x:c>
      <x:c r="L178" s="7">
        <x:f t="shared" si="32"/>
        <x:v>2608476.9210882485</x:v>
      </x:c>
      <x:c r="M178" s="7">
        <x:f t="shared" si="33"/>
        <x:v>358367.98978538299</x:v>
      </x:c>
      <x:c r="N178" s="7">
        <x:f t="shared" si="35"/>
        <x:v>2966844.9108736315</x:v>
      </x:c>
    </x:row>
    <x:row r="179" spans="1:14" outlineLevel="2" x14ac:dyDescent="0.25">
      <x:c r="A179" s="1" t="s">
        <x:v>96</x:v>
      </x:c>
      <x:c r="B179" s="1" t="s">
        <x:v>78</x:v>
      </x:c>
      <x:c r="C179" s="2">
        <x:v>6544046.5900000017</x:v>
      </x:c>
      <x:c r="D179" s="2">
        <x:v>5783780.342274853</x:v>
      </x:c>
      <x:c r="E179" s="2">
        <x:v>760266.24772514869</x:v>
      </x:c>
      <x:c r="F179" s="1">
        <x:v>55</x:v>
      </x:c>
      <x:c r="G179" s="1">
        <x:v>24.020464</x:v>
      </x:c>
      <x:c r="H179" s="9">
        <x:v>-0.25</x:v>
      </x:c>
      <x:c r="I179" s="2">
        <x:f t="shared" si="36"/>
        <x:v>4607534.7027405072</x:v>
      </x:c>
      <x:c r="J179" s="3">
        <x:f t="shared" si="37"/>
        <x:v>1.08286973314515</x:v>
      </x:c>
      <x:c r="K179" s="7">
        <x:f t="shared" si="38"/>
        <x:v>4989359.8740136307</x:v>
      </x:c>
      <x:c r="L179" s="7">
        <x:f t="shared" si="32"/>
        <x:v>4409712.1197077185</x:v>
      </x:c>
      <x:c r="M179" s="7">
        <x:f t="shared" si="33"/>
        <x:v>579647.75430591218</x:v>
      </x:c>
      <x:c r="N179" s="7">
        <x:f t="shared" si="35"/>
        <x:v>4989359.8740136307</x:v>
      </x:c>
    </x:row>
    <x:row r="180" spans="1:14" outlineLevel="2" x14ac:dyDescent="0.25">
      <x:c r="A180" s="1" t="s">
        <x:v>96</x:v>
      </x:c>
      <x:c r="B180" s="1" t="s">
        <x:v>77</x:v>
      </x:c>
      <x:c r="C180" s="2">
        <x:v>4415709.0999999996</x:v>
      </x:c>
      <x:c r="D180" s="2">
        <x:v>4009691.0645949324</x:v>
      </x:c>
      <x:c r="E180" s="2">
        <x:v>406018.03540506761</x:v>
      </x:c>
      <x:c r="F180" s="1">
        <x:v>55</x:v>
      </x:c>
      <x:c r="G180" s="1">
        <x:v>23.490390000000001</x:v>
      </x:c>
      <x:c r="H180" s="9">
        <x:v>-0.25</x:v>
      </x:c>
      <x:c r="I180" s="2">
        <x:f t="shared" si="36"/>
        <x:v>3162210.7185102501</x:v>
      </x:c>
      <x:c r="J180" s="3">
        <x:f t="shared" si="37"/>
        <x:v>1.08286973314515</x:v>
      </x:c>
      <x:c r="K180" s="7">
        <x:f t="shared" si="38"/>
        <x:v>3424262.2769019278</x:v>
      </x:c>
      <x:c r="L180" s="7">
        <x:f t="shared" si="32"/>
        <x:v>3109406.3362378557</x:v>
      </x:c>
      <x:c r="M180" s="7">
        <x:f t="shared" si="33"/>
        <x:v>314855.94066407235</x:v>
      </x:c>
      <x:c r="N180" s="7">
        <x:f t="shared" si="35"/>
        <x:v>3424262.2769019282</x:v>
      </x:c>
    </x:row>
    <x:row r="181" spans="1:14" outlineLevel="2" x14ac:dyDescent="0.25">
      <x:c r="A181" s="1" t="s">
        <x:v>96</x:v>
      </x:c>
      <x:c r="B181" s="1" t="s">
        <x:v>76</x:v>
      </x:c>
      <x:c r="C181" s="2">
        <x:v>9705573.3399999999</x:v>
      </x:c>
      <x:c r="D181" s="2">
        <x:v>8849903.5732510686</x:v>
      </x:c>
      <x:c r="E181" s="2">
        <x:v>855669.76674893219</x:v>
      </x:c>
      <x:c r="F181" s="1">
        <x:v>55</x:v>
      </x:c>
      <x:c r="G181" s="1">
        <x:v>22.966605999999999</x:v>
      </x:c>
      <x:c r="H181" s="9">
        <x:v>-0.25</x:v>
      </x:c>
      <x:c r="I181" s="2">
        <x:f t="shared" si="36"/>
        <x:v>7065964.8817299092</x:v>
      </x:c>
      <x:c r="J181" s="3">
        <x:f t="shared" si="37"/>
        <x:v>1.08286973314515</x:v>
      </x:c>
      <x:c r="K181" s="7">
        <x:f t="shared" si="38"/>
        <x:v>7651519.5058918679</x:v>
      </x:c>
      <x:c r="L181" s="7">
        <x:f t="shared" si="32"/>
        <x:v>6976940.7168265954</x:v>
      </x:c>
      <x:c r="M181" s="7">
        <x:f t="shared" si="33"/>
        <x:v>674578.78906527325</x:v>
      </x:c>
      <x:c r="N181" s="7">
        <x:f t="shared" si="35"/>
        <x:v>7651519.5058918688</x:v>
      </x:c>
    </x:row>
    <x:row r="182" spans="1:14" outlineLevel="2" x14ac:dyDescent="0.25">
      <x:c r="A182" s="1" t="s">
        <x:v>96</x:v>
      </x:c>
      <x:c r="B182" s="1" t="s">
        <x:v>75</x:v>
      </x:c>
      <x:c r="C182" s="2">
        <x:v>11699756.539999997</x:v>
      </x:c>
      <x:c r="D182" s="2">
        <x:v>10788964.258693416</x:v>
      </x:c>
      <x:c r="E182" s="2">
        <x:v>910792.28130658146</x:v>
      </x:c>
      <x:c r="F182" s="1">
        <x:v>55</x:v>
      </x:c>
      <x:c r="G182" s="1">
        <x:v>22.449483000000001</x:v>
      </x:c>
      <x:c r="H182" s="9">
        <x:v>-0.25</x:v>
      </x:c>
      <x:c r="I182" s="2">
        <x:f t="shared" si="36"/>
        <x:v>8655298.2761620693</x:v>
      </x:c>
      <x:c r="J182" s="3">
        <x:f t="shared" si="37"/>
        <x:v>1.08286973314515</x:v>
      </x:c>
      <x:c r="K182" s="7">
        <x:f t="shared" si="38"/>
        <x:v>9372560.5345992967</x:v>
      </x:c>
      <x:c r="L182" s="7">
        <x:f t="shared" si="32"/>
        <x:v>8642933.7460582983</x:v>
      </x:c>
      <x:c r="M182" s="7">
        <x:f t="shared" si="33"/>
        <x:v>729626.78854099708</x:v>
      </x:c>
      <x:c r="N182" s="7">
        <x:f t="shared" si="35"/>
        <x:v>9372560.5345992949</x:v>
      </x:c>
    </x:row>
    <x:row r="183" spans="1:14" outlineLevel="2" x14ac:dyDescent="0.25">
      <x:c r="A183" s="1" t="s">
        <x:v>96</x:v>
      </x:c>
      <x:c r="B183" s="1" t="s">
        <x:v>74</x:v>
      </x:c>
      <x:c r="C183" s="2">
        <x:v>8304343.5999999978</x:v>
      </x:c>
      <x:c r="D183" s="2">
        <x:v>6838547.6012291973</x:v>
      </x:c>
      <x:c r="E183" s="2">
        <x:v>1465795.9987708004</x:v>
      </x:c>
      <x:c r="F183" s="1">
        <x:v>55</x:v>
      </x:c>
      <x:c r="G183" s="1">
        <x:v>21.938604999999999</x:v>
      </x:c>
      <x:c r="H183" s="9">
        <x:v>-0.25</x:v>
      </x:c>
      <x:c r="I183" s="2">
        <x:f t="shared" si="36"/>
        <x:v>6239845.0903482251</x:v>
      </x:c>
      <x:c r="J183" s="3">
        <x:f t="shared" si="37"/>
        <x:v>1.08286973314515</x:v>
      </x:c>
      <x:c r="K183" s="7">
        <x:f t="shared" si="38"/>
        <x:v>6756939.3878524574</x:v>
      </x:c>
      <x:c r="L183" s="7">
        <x:f t="shared" si="32"/>
        <x:v>5564275.0189731447</x:v>
      </x:c>
      <x:c r="M183" s="7">
        <x:f t="shared" si="33"/>
        <x:v>1192664.3688793122</x:v>
      </x:c>
      <x:c r="N183" s="7">
        <x:f t="shared" si="35"/>
        <x:v>6756939.3878524564</x:v>
      </x:c>
    </x:row>
    <x:row r="184" spans="1:14" outlineLevel="2" x14ac:dyDescent="0.25">
      <x:c r="A184" s="1" t="s">
        <x:v>96</x:v>
      </x:c>
      <x:c r="B184" s="1" t="s">
        <x:v>73</x:v>
      </x:c>
      <x:c r="C184" s="2">
        <x:v>6223287.9700000025</x:v>
      </x:c>
      <x:c r="D184" s="2">
        <x:v>5541713.8268408068</x:v>
      </x:c>
      <x:c r="E184" s="2">
        <x:v>681574.14315919578</x:v>
      </x:c>
      <x:c r="F184" s="1">
        <x:v>55</x:v>
      </x:c>
      <x:c r="G184" s="1">
        <x:v>21.433948000000001</x:v>
      </x:c>
      <x:c r="H184" s="9">
        <x:v>-0.25</x:v>
      </x:c>
      <x:c r="I184" s="2">
        <x:f t="shared" si="36"/>
        <x:v>4747527.4457271481</x:v>
      </x:c>
      <x:c r="J184" s="3">
        <x:f t="shared" si="37"/>
        <x:v>1.08286973314515</x:v>
      </x:c>
      <x:c r="K184" s="7">
        <x:f t="shared" si="38"/>
        <x:v>5140953.7782538328</x:v>
      </x:c>
      <x:c r="L184" s="7">
        <x:f t="shared" si="32"/>
        <x:v>4577916.8139794022</x:v>
      </x:c>
      <x:c r="M184" s="7">
        <x:f t="shared" si="33"/>
        <x:v>563036.96427443076</x:v>
      </x:c>
      <x:c r="N184" s="7">
        <x:f t="shared" si="35"/>
        <x:v>5140953.7782538328</x:v>
      </x:c>
    </x:row>
    <x:row r="185" spans="1:14" outlineLevel="2" x14ac:dyDescent="0.25">
      <x:c r="A185" s="1" t="s">
        <x:v>96</x:v>
      </x:c>
      <x:c r="B185" s="1" t="s">
        <x:v>72</x:v>
      </x:c>
      <x:c r="C185" s="2">
        <x:v>7886086.6699999999</x:v>
      </x:c>
      <x:c r="D185" s="2">
        <x:v>7048963.6375791896</x:v>
      </x:c>
      <x:c r="E185" s="2">
        <x:v>837123.0324208102</x:v>
      </x:c>
      <x:c r="F185" s="1">
        <x:v>55</x:v>
      </x:c>
      <x:c r="G185" s="1">
        <x:v>20.935486000000001</x:v>
      </x:c>
      <x:c r="H185" s="9">
        <x:v>-0.25</x:v>
      </x:c>
      <x:c r="I185" s="2">
        <x:f t="shared" si="36"/>
        <x:v>6105357.0403506448</x:v>
      </x:c>
      <x:c r="J185" s="3">
        <x:f t="shared" si="37"/>
        <x:v>1.08286973314515</x:v>
      </x:c>
      <x:c r="K185" s="7">
        <x:f t="shared" si="38"/>
        <x:v>6611306.3490403658</x:v>
      </x:c>
      <x:c r="L185" s="7">
        <x:f t="shared" si="32"/>
        <x:v>5909503.6615013471</x:v>
      </x:c>
      <x:c r="M185" s="7">
        <x:f t="shared" si="33"/>
        <x:v>701802.68753901822</x:v>
      </x:c>
      <x:c r="N185" s="7">
        <x:f t="shared" si="35"/>
        <x:v>6611306.3490403648</x:v>
      </x:c>
    </x:row>
    <x:row r="186" spans="1:14" outlineLevel="2" x14ac:dyDescent="0.25">
      <x:c r="A186" s="1" t="s">
        <x:v>96</x:v>
      </x:c>
      <x:c r="B186" s="1" t="s">
        <x:v>71</x:v>
      </x:c>
      <x:c r="C186" s="2">
        <x:v>9378437.8699999992</x:v>
      </x:c>
      <x:c r="D186" s="2">
        <x:v>8840359.5000995509</x:v>
      </x:c>
      <x:c r="E186" s="2">
        <x:v>538078.36990044801</x:v>
      </x:c>
      <x:c r="F186" s="1">
        <x:v>55</x:v>
      </x:c>
      <x:c r="G186" s="1">
        <x:v>20.443187999999999</x:v>
      </x:c>
      <x:c r="H186" s="9">
        <x:v>-0.25</x:v>
      </x:c>
      <x:c r="I186" s="2">
        <x:f t="shared" si="36"/>
        <x:v>7365657.1438015997</x:v>
      </x:c>
      <x:c r="J186" s="3">
        <x:f t="shared" si="37"/>
        <x:v>1.08286973314515</x:v>
      </x:c>
      <x:c r="K186" s="7">
        <x:f t="shared" si="38"/>
        <x:v>7976047.1857471056</x:v>
      </x:c>
      <x:c r="L186" s="7">
        <x:f t="shared" si="32"/>
        <x:v>7518429.5603550998</x:v>
      </x:c>
      <x:c r="M186" s="7">
        <x:f t="shared" si="33"/>
        <x:v>457617.6253920056</x:v>
      </x:c>
      <x:c r="N186" s="7">
        <x:f t="shared" si="35"/>
        <x:v>7976047.1857471056</x:v>
      </x:c>
    </x:row>
    <x:row r="187" spans="1:14" outlineLevel="2" x14ac:dyDescent="0.25">
      <x:c r="A187" s="1" t="s">
        <x:v>96</x:v>
      </x:c>
      <x:c r="B187" s="1" t="s">
        <x:v>70</x:v>
      </x:c>
      <x:c r="C187" s="2">
        <x:v>4784893.080000001</x:v>
      </x:c>
      <x:c r="D187" s="2">
        <x:v>4147671.8760498296</x:v>
      </x:c>
      <x:c r="E187" s="2">
        <x:v>637221.20395017113</x:v>
      </x:c>
      <x:c r="F187" s="1">
        <x:v>55</x:v>
      </x:c>
      <x:c r="G187" s="1">
        <x:v>19.957166000000001</x:v>
      </x:c>
      <x:c r="H187" s="9">
        <x:v>-0.25</x:v>
      </x:c>
      <x:c r="I187" s="2">
        <x:f t="shared" si="36"/>
        <x:v>3810823.0434133806</x:v>
      </x:c>
      <x:c r="J187" s="3">
        <x:f t="shared" si="37"/>
        <x:v>1.08286973314515</x:v>
      </x:c>
      <x:c r="K187" s="7">
        <x:f t="shared" si="38"/>
        <x:v>4126624.9320844361</x:v>
      </x:c>
      <x:c r="L187" s="7">
        <x:f t="shared" si="32"/>
        <x:v>3577067.6350855157</x:v>
      </x:c>
      <x:c r="M187" s="7">
        <x:f t="shared" si="33"/>
        <x:v>549557.29699892004</x:v>
      </x:c>
      <x:c r="N187" s="7">
        <x:f t="shared" si="35"/>
        <x:v>4126624.9320844356</x:v>
      </x:c>
    </x:row>
    <x:row r="188" spans="1:14" outlineLevel="2" x14ac:dyDescent="0.25">
      <x:c r="A188" s="1" t="s">
        <x:v>96</x:v>
      </x:c>
      <x:c r="B188" s="1" t="s">
        <x:v>69</x:v>
      </x:c>
      <x:c r="C188" s="2">
        <x:v>4777880.4399999985</x:v>
      </x:c>
      <x:c r="D188" s="2">
        <x:v>4361906.6243314305</x:v>
      </x:c>
      <x:c r="E188" s="2">
        <x:v>415973.81566856819</x:v>
      </x:c>
      <x:c r="F188" s="1">
        <x:v>55</x:v>
      </x:c>
      <x:c r="G188" s="1">
        <x:v>19.477353000000001</x:v>
      </x:c>
      <x:c r="H188" s="9">
        <x:v>-0.25</x:v>
      </x:c>
      <x:c r="I188" s="2">
        <x:f t="shared" si="36"/>
        <x:v>3857340.0063255597</x:v>
      </x:c>
      <x:c r="J188" s="3">
        <x:f t="shared" si="37"/>
        <x:v>1.08286973314515</x:v>
      </x:c>
      <x:c r="K188" s="7">
        <x:f t="shared" si="38"/>
        <x:v>4176996.7432998698</x:v>
      </x:c>
      <x:c r="L188" s="7">
        <x:f t="shared" si="32"/>
        <x:v>3813337.3141523232</x:v>
      </x:c>
      <x:c r="M188" s="7">
        <x:f t="shared" si="33"/>
        <x:v>363659.42914754688</x:v>
      </x:c>
      <x:c r="N188" s="7">
        <x:f t="shared" si="35"/>
        <x:v>4176996.7432998698</x:v>
      </x:c>
    </x:row>
    <x:row r="189" spans="1:14" outlineLevel="2" x14ac:dyDescent="0.25">
      <x:c r="A189" s="1" t="s">
        <x:v>96</x:v>
      </x:c>
      <x:c r="B189" s="1" t="s">
        <x:v>68</x:v>
      </x:c>
      <x:c r="C189" s="2">
        <x:v>5840043.4099999992</x:v>
      </x:c>
      <x:c r="D189" s="2">
        <x:v>5611933.3327596476</x:v>
      </x:c>
      <x:c r="E189" s="2">
        <x:v>228110.07724035182</x:v>
      </x:c>
      <x:c r="F189" s="1">
        <x:v>55</x:v>
      </x:c>
      <x:c r="G189" s="1">
        <x:v>19.003556</x:v>
      </x:c>
      <x:c r="H189" s="9">
        <x:v>-0.25</x:v>
      </x:c>
      <x:c r="I189" s="2">
        <x:f t="shared" si="36"/>
        <x:v>4777745.3537644092</x:v>
      </x:c>
      <x:c r="J189" s="3">
        <x:f t="shared" si="37"/>
        <x:v>1.08286973314515</x:v>
      </x:c>
      <x:c r="K189" s="7">
        <x:f t="shared" si="38"/>
        <x:v>5173675.8362663463</x:v>
      </x:c>
      <x:c r="L189" s="7">
        <x:f t="shared" si="32"/>
        <x:v>4971593.8461553762</x:v>
      </x:c>
      <x:c r="M189" s="7">
        <x:f t="shared" si="33"/>
        <x:v>202081.99011097048</x:v>
      </x:c>
      <x:c r="N189" s="7">
        <x:f t="shared" si="35"/>
        <x:v>5173675.8362663463</x:v>
      </x:c>
    </x:row>
    <x:row r="190" spans="1:14" outlineLevel="2" x14ac:dyDescent="0.25">
      <x:c r="A190" s="1" t="s">
        <x:v>96</x:v>
      </x:c>
      <x:c r="B190" s="1" t="s">
        <x:v>1</x:v>
      </x:c>
      <x:c r="C190" s="2">
        <x:v>2856526.6158961114</x:v>
      </x:c>
      <x:c r="D190" s="2">
        <x:v>2330620.8867014251</x:v>
      </x:c>
      <x:c r="E190" s="2">
        <x:v>525905.72919468652</x:v>
      </x:c>
      <x:c r="F190" s="1">
        <x:v>55</x:v>
      </x:c>
      <x:c r="G190" s="1">
        <x:v>18.535726</x:v>
      </x:c>
      <x:c r="H190" s="9">
        <x:v>-0.25</x:v>
      </x:c>
      <x:c r="I190" s="2">
        <x:f t="shared" si="36"/>
        <x:v>2367299.3002347401</x:v>
      </x:c>
      <x:c r="J190" s="3">
        <x:f t="shared" si="37"/>
        <x:v>1.08286973314515</x:v>
      </x:c>
      <x:c r="K190" s="7">
        <x:f t="shared" si="38"/>
        <x:v>2563476.7615198935</x:v>
      </x:c>
      <x:c r="L190" s="7">
        <x:f t="shared" si="32"/>
        <x:v>2091523.4781027078</x:v>
      </x:c>
      <x:c r="M190" s="7">
        <x:f t="shared" si="33"/>
        <x:v>471953.28341718618</x:v>
      </x:c>
      <x:c r="N190" s="7">
        <x:f t="shared" si="35"/>
        <x:v>2563476.761519894</x:v>
      </x:c>
    </x:row>
    <x:row r="191" spans="1:14" outlineLevel="2" x14ac:dyDescent="0.25">
      <x:c r="A191" s="1" t="s">
        <x:v>96</x:v>
      </x:c>
      <x:c r="B191" s="1" t="s">
        <x:v>67</x:v>
      </x:c>
      <x:c r="C191" s="2">
        <x:v>2599557.81</x:v>
      </x:c>
      <x:c r="D191" s="2">
        <x:v>2416283.1871599355</x:v>
      </x:c>
      <x:c r="E191" s="2">
        <x:v>183274.6228400644</x:v>
      </x:c>
      <x:c r="F191" s="1">
        <x:v>55</x:v>
      </x:c>
      <x:c r="G191" s="1">
        <x:v>18.073816999999998</x:v>
      </x:c>
      <x:c r="H191" s="9">
        <x:v>-0.25</x:v>
      </x:c>
      <x:c r="I191" s="2">
        <x:f t="shared" si="36"/>
        <x:v>2181630.6229804372</x:v>
      </x:c>
      <x:c r="J191" s="3">
        <x:f t="shared" si="37"/>
        <x:v>1.08286973314515</x:v>
      </x:c>
      <x:c r="K191" s="7">
        <x:f t="shared" si="38"/>
        <x:v>2362421.7705281135</x:v>
      </x:c>
      <x:c r="L191" s="7">
        <x:f t="shared" si="32"/>
        <x:v>2195865.7673043585</x:v>
      </x:c>
      <x:c r="M191" s="7">
        <x:f t="shared" si="33"/>
        <x:v>166556.00322375487</x:v>
      </x:c>
      <x:c r="N191" s="7">
        <x:f t="shared" si="35"/>
        <x:v>2362421.7705281135</x:v>
      </x:c>
    </x:row>
    <x:row r="192" spans="1:14" outlineLevel="2" x14ac:dyDescent="0.25">
      <x:c r="A192" s="1" t="s">
        <x:v>96</x:v>
      </x:c>
      <x:c r="B192" s="1" t="s">
        <x:v>66</x:v>
      </x:c>
      <x:c r="C192" s="2">
        <x:v>2716317.68</x:v>
      </x:c>
      <x:c r="D192" s="2">
        <x:v>2493354.6925024982</x:v>
      </x:c>
      <x:c r="E192" s="2">
        <x:v>222962.98749750218</x:v>
      </x:c>
      <x:c r="F192" s="1">
        <x:v>55</x:v>
      </x:c>
      <x:c r="G192" s="1">
        <x:v>17.617785999999999</x:v>
      </x:c>
      <x:c r="H192" s="9">
        <x:v>-0.25</x:v>
      </x:c>
      <x:c r="I192" s="2">
        <x:f t="shared" si="36"/>
        <x:v>2307772.0183123527</x:v>
      </x:c>
      <x:c r="J192" s="3">
        <x:f t="shared" si="37"/>
        <x:v>1.08286973314515</x:v>
      </x:c>
      <x:c r="K192" s="7">
        <x:f t="shared" si="38"/>
        <x:v>2499016.4696297417</x:v>
      </x:c>
      <x:c r="L192" s="7">
        <x:f t="shared" si="32"/>
        <x:v>2293890.1760534663</x:v>
      </x:c>
      <x:c r="M192" s="7">
        <x:f t="shared" si="33"/>
        <x:v>205126.2935762757</x:v>
      </x:c>
      <x:c r="N192" s="7">
        <x:f t="shared" si="35"/>
        <x:v>2499016.4696297422</x:v>
      </x:c>
    </x:row>
    <x:row r="193" spans="1:14" outlineLevel="2" x14ac:dyDescent="0.25">
      <x:c r="A193" s="1" t="s">
        <x:v>96</x:v>
      </x:c>
      <x:c r="B193" s="1" t="s">
        <x:v>65</x:v>
      </x:c>
      <x:c r="C193" s="2">
        <x:v>1339517.7800000003</x:v>
      </x:c>
      <x:c r="D193" s="2">
        <x:v>1104522.3786889017</x:v>
      </x:c>
      <x:c r="E193" s="2">
        <x:v>234995.40131109869</x:v>
      </x:c>
      <x:c r="F193" s="1">
        <x:v>55</x:v>
      </x:c>
      <x:c r="G193" s="1">
        <x:v>17.167712000000002</x:v>
      </x:c>
      <x:c r="H193" s="9">
        <x:v>-0.25</x:v>
      </x:c>
      <x:c r="I193" s="2">
        <x:f t="shared" si="36"/>
        <x:v>1151750.5098654693</x:v>
      </x:c>
      <x:c r="J193" s="3">
        <x:f t="shared" si="37"/>
        <x:v>1.08286973314515</x:v>
      </x:c>
      <x:c r="K193" s="7">
        <x:f t="shared" si="38"/>
        <x:v>1247195.7672678111</x:v>
      </x:c>
      <x:c r="L193" s="7">
        <x:f t="shared" si="32"/>
        <x:v>1028396.6783579179</x:v>
      </x:c>
      <x:c r="M193" s="7">
        <x:f t="shared" si="33"/>
        <x:v>218799.0889098933</x:v>
      </x:c>
      <x:c r="N193" s="7">
        <x:f t="shared" si="35"/>
        <x:v>1247195.7672678111</x:v>
      </x:c>
    </x:row>
    <x:row r="194" spans="1:14" outlineLevel="2" x14ac:dyDescent="0.25">
      <x:c r="A194" s="1" t="s">
        <x:v>96</x:v>
      </x:c>
      <x:c r="B194" s="1" t="s">
        <x:v>64</x:v>
      </x:c>
      <x:c r="C194" s="2">
        <x:v>1018059.5700000001</x:v>
      </x:c>
      <x:c r="D194" s="2">
        <x:v>971954.7037572813</x:v>
      </x:c>
      <x:c r="E194" s="2">
        <x:v>46104.866242718774</x:v>
      </x:c>
      <x:c r="F194" s="1">
        <x:v>55</x:v>
      </x:c>
      <x:c r="G194" s="1">
        <x:v>16.723355999999999</x:v>
      </x:c>
      <x:c r="H194" s="9">
        <x:v>-0.25</x:v>
      </x:c>
      <x:c r="I194" s="2">
        <x:f t="shared" si="36"/>
        <x:v>885634.17572007014</x:v>
      </x:c>
      <x:c r="J194" s="3">
        <x:f t="shared" si="37"/>
        <x:v>1.08286973314515</x:v>
      </x:c>
      <x:c r="K194" s="7">
        <x:f t="shared" si="38"/>
        <x:v>959026.44352621725</x:v>
      </x:c>
      <x:c r="L194" s="7">
        <x:f t="shared" si="32"/>
        <x:v>915595.01062685694</x:v>
      </x:c>
      <x:c r="M194" s="7">
        <x:f t="shared" si="33"/>
        <x:v>43431.432899360232</x:v>
      </x:c>
      <x:c r="N194" s="7">
        <x:f t="shared" si="35"/>
        <x:v>959026.44352621713</x:v>
      </x:c>
    </x:row>
    <x:row r="195" spans="1:14" outlineLevel="2" x14ac:dyDescent="0.25">
      <x:c r="A195" s="1" t="s">
        <x:v>96</x:v>
      </x:c>
      <x:c r="B195" s="1" t="s">
        <x:v>63</x:v>
      </x:c>
      <x:c r="C195" s="2">
        <x:v>2398105.3700000006</x:v>
      </x:c>
      <x:c r="D195" s="2">
        <x:v>2311988.9125132621</x:v>
      </x:c>
      <x:c r="E195" s="2">
        <x:v>86116.457486738567</x:v>
      </x:c>
      <x:c r="F195" s="1">
        <x:v>55</x:v>
      </x:c>
      <x:c r="G195" s="1">
        <x:v>16.284665</x:v>
      </x:c>
      <x:c r="H195" s="9">
        <x:v>-0.25</x:v>
      </x:c>
      <x:c r="I195" s="2">
        <x:f t="shared" si="36"/>
        <x:v>2110078.4719283856</x:v>
      </x:c>
      <x:c r="J195" s="3">
        <x:f t="shared" si="37"/>
        <x:v>1.08286973314515</x:v>
      </x:c>
      <x:c r="K195" s="7">
        <x:f t="shared" si="38"/>
        <x:v>2284940.1118124169</x:v>
      </x:c>
      <x:c r="L195" s="7">
        <x:f t="shared" si="32"/>
        <x:v>2202887.4420422651</x:v>
      </x:c>
      <x:c r="M195" s="7">
        <x:f t="shared" si="33"/>
        <x:v>82052.66977015177</x:v>
      </x:c>
      <x:c r="N195" s="7">
        <x:f t="shared" si="35"/>
        <x:v>2284940.1118124169</x:v>
      </x:c>
    </x:row>
    <x:row r="196" spans="1:14" outlineLevel="2" x14ac:dyDescent="0.25">
      <x:c r="A196" s="1" t="s">
        <x:v>96</x:v>
      </x:c>
      <x:c r="B196" s="1" t="s">
        <x:v>62</x:v>
      </x:c>
      <x:c r="C196" s="2">
        <x:v>774858.40999999992</x:v>
      </x:c>
      <x:c r="D196" s="2">
        <x:v>683885.80745823705</x:v>
      </x:c>
      <x:c r="E196" s="2">
        <x:v>90972.60254176287</x:v>
      </x:c>
      <x:c r="F196" s="1">
        <x:v>55</x:v>
      </x:c>
      <x:c r="G196" s="1">
        <x:v>15.851588</x:v>
      </x:c>
      <x:c r="H196" s="9">
        <x:v>-0.25</x:v>
      </x:c>
      <x:c r="I196" s="2">
        <x:f t="shared" ref="I196:I227" si="39">+C196*(1-H196)*(1-G196/F196)</x:f>
        <x:v>689419.91537147539</x:v>
      </x:c>
      <x:c r="J196" s="3">
        <x:f t="shared" ref="J196:J227" si="40">$J$235</x:f>
        <x:v>1.08286973314515</x:v>
      </x:c>
      <x:c r="K196" s="7">
        <x:f t="shared" ref="K196:K227" si="41">IF((C196*(1-H196)-I196*J196)&lt;0,C196*(1-H196),I196*J196)</x:f>
        <x:v>746551.95978326141</x:v>
      </x:c>
      <x:c r="L196" s="7">
        <x:f t="shared" si="32"/>
        <x:v>658902.68884854089</x:v>
      </x:c>
      <x:c r="M196" s="7">
        <x:f t="shared" si="33"/>
        <x:v>87649.270934720567</x:v>
      </x:c>
      <x:c r="N196" s="7">
        <x:f t="shared" si="35"/>
        <x:v>746551.95978326141</x:v>
      </x:c>
    </x:row>
    <x:row r="197" spans="1:14" outlineLevel="2" x14ac:dyDescent="0.25">
      <x:c r="A197" s="1" t="s">
        <x:v>96</x:v>
      </x:c>
      <x:c r="B197" s="1" t="s">
        <x:v>61</x:v>
      </x:c>
      <x:c r="C197" s="2">
        <x:v>1040376.1299999999</x:v>
      </x:c>
      <x:c r="D197" s="2">
        <x:v>979041.66432081105</x:v>
      </x:c>
      <x:c r="E197" s="2">
        <x:v>61334.465679188856</x:v>
      </x:c>
      <x:c r="F197" s="1">
        <x:v>55</x:v>
      </x:c>
      <x:c r="G197" s="1">
        <x:v>15.42407</x:v>
      </x:c>
      <x:c r="H197" s="9">
        <x:v>-0.25</x:v>
      </x:c>
      <x:c r="I197" s="2">
        <x:f t="shared" si="39"/>
        <x:v>935769.38396706572</x:v>
      </x:c>
      <x:c r="J197" s="3">
        <x:f t="shared" si="40"/>
        <x:v>1.08286973314515</x:v>
      </x:c>
      <x:c r="K197" s="7">
        <x:f t="shared" si="41"/>
        <x:v>1013316.3431018179</x:v>
      </x:c>
      <x:c r="L197" s="7">
        <x:f t="shared" ref="L197:L235" si="42">+D197/$C197*$K197</x:f>
        <x:v>953577.1635147779</x:v>
      </x:c>
      <x:c r="M197" s="7">
        <x:f t="shared" ref="M197:M235" si="43">+E197/$C197*$K197</x:f>
        <x:v>59739.179587039944</x:v>
      </x:c>
      <x:c r="N197" s="7">
        <x:f t="shared" si="35"/>
        <x:v>1013316.3431018179</x:v>
      </x:c>
    </x:row>
    <x:row r="198" spans="1:14" outlineLevel="2" x14ac:dyDescent="0.25">
      <x:c r="A198" s="1" t="s">
        <x:v>96</x:v>
      </x:c>
      <x:c r="B198" s="1" t="s">
        <x:v>60</x:v>
      </x:c>
      <x:c r="C198" s="2">
        <x:v>1247238.49</x:v>
      </x:c>
      <x:c r="D198" s="2">
        <x:v>1137524.0206967297</x:v>
      </x:c>
      <x:c r="E198" s="2">
        <x:v>109714.46930327041</x:v>
      </x:c>
      <x:c r="F198" s="1">
        <x:v>55</x:v>
      </x:c>
      <x:c r="G198" s="1">
        <x:v>15.002048</x:v>
      </x:c>
      <x:c r="H198" s="9">
        <x:v>-0.25</x:v>
      </x:c>
      <x:c r="I198" s="2">
        <x:f t="shared" si="39"/>
        <x:v>1133795.1194448292</x:v>
      </x:c>
      <x:c r="J198" s="3">
        <x:f t="shared" si="40"/>
        <x:v>1.08286973314515</x:v>
      </x:c>
      <x:c r="K198" s="7">
        <x:f t="shared" si="41"/>
        <x:v>1227752.4184344956</x:v>
      </x:c>
      <x:c r="L198" s="7">
        <x:f t="shared" si="42"/>
        <x:v>1119752.0591572996</x:v>
      </x:c>
      <x:c r="M198" s="7">
        <x:f t="shared" si="43"/>
        <x:v>108000.35927719604</x:v>
      </x:c>
      <x:c r="N198" s="7">
        <x:f t="shared" si="35"/>
        <x:v>1227752.4184344956</x:v>
      </x:c>
    </x:row>
    <x:row r="199" spans="1:14" outlineLevel="2" x14ac:dyDescent="0.25">
      <x:c r="A199" s="1" t="s">
        <x:v>96</x:v>
      </x:c>
      <x:c r="B199" s="1" t="s">
        <x:v>59</x:v>
      </x:c>
      <x:c r="C199" s="2">
        <x:v>963021.33000000019</x:v>
      </x:c>
      <x:c r="D199" s="2">
        <x:v>849469.37602772249</x:v>
      </x:c>
      <x:c r="E199" s="2">
        <x:v>113551.95397227773</x:v>
      </x:c>
      <x:c r="F199" s="1">
        <x:v>55</x:v>
      </x:c>
      <x:c r="G199" s="1">
        <x:v>14.585406000000001</x:v>
      </x:c>
      <x:c r="H199" s="9">
        <x:v>-0.25</x:v>
      </x:c>
      <x:c r="I199" s="2">
        <x:f t="shared" si="39"/>
        <x:v>884548.09239295521</x:v>
      </x:c>
      <x:c r="J199" s="3">
        <x:f t="shared" si="40"/>
        <x:v>1.08286973314515</x:v>
      </x:c>
      <x:c r="K199" s="7">
        <x:f t="shared" si="41"/>
        <x:v>957850.35676361085</x:v>
      </x:c>
      <x:c r="L199" s="7">
        <x:f t="shared" si="42"/>
        <x:v>844908.12356971961</x:v>
      </x:c>
      <x:c r="M199" s="7">
        <x:f t="shared" si="43"/>
        <x:v>112942.23319389127</x:v>
      </x:c>
      <x:c r="N199" s="7">
        <x:f t="shared" si="35"/>
        <x:v>957850.35676361085</x:v>
      </x:c>
    </x:row>
    <x:row r="200" spans="1:14" outlineLevel="2" x14ac:dyDescent="0.25">
      <x:c r="A200" s="1" t="s">
        <x:v>96</x:v>
      </x:c>
      <x:c r="B200" s="1" t="s">
        <x:v>58</x:v>
      </x:c>
      <x:c r="C200" s="2">
        <x:v>830084.23</x:v>
      </x:c>
      <x:c r="D200" s="2">
        <x:v>780092.28358406667</x:v>
      </x:c>
      <x:c r="E200" s="2">
        <x:v>49991.946415933373</x:v>
      </x:c>
      <x:c r="F200" s="1">
        <x:v>55</x:v>
      </x:c>
      <x:c r="G200" s="1">
        <x:v>14.174092999999999</x:v>
      </x:c>
      <x:c r="H200" s="9">
        <x:v>-0.25</x:v>
      </x:c>
      <x:c r="I200" s="2">
        <x:f t="shared" si="39"/>
        <x:v>770203.21763969562</x:v>
      </x:c>
      <x:c r="J200" s="3">
        <x:f t="shared" si="40"/>
        <x:v>1.08286973314515</x:v>
      </x:c>
      <x:c r="K200" s="7">
        <x:f t="shared" si="41"/>
        <x:v>834029.75275303307</x:v>
      </x:c>
      <x:c r="L200" s="7">
        <x:f t="shared" si="42"/>
        <x:v>783800.18664150278</x:v>
      </x:c>
      <x:c r="M200" s="7">
        <x:f t="shared" si="43"/>
        <x:v>50229.566111530381</x:v>
      </x:c>
      <x:c r="N200" s="7">
        <x:f t="shared" si="35"/>
        <x:v>834029.75275303319</x:v>
      </x:c>
    </x:row>
    <x:row r="201" spans="1:14" outlineLevel="2" x14ac:dyDescent="0.25">
      <x:c r="A201" s="1" t="s">
        <x:v>96</x:v>
      </x:c>
      <x:c r="B201" s="1" t="s">
        <x:v>57</x:v>
      </x:c>
      <x:c r="C201" s="2">
        <x:v>710867.0900000002</x:v>
      </x:c>
      <x:c r="D201" s="2">
        <x:v>677668.60260541597</x:v>
      </x:c>
      <x:c r="E201" s="2">
        <x:v>33198.487394584234</x:v>
      </x:c>
      <x:c r="F201" s="1">
        <x:v>55</x:v>
      </x:c>
      <x:c r="G201" s="1">
        <x:v>13.768062</x:v>
      </x:c>
      <x:c r="H201" s="9">
        <x:v>-0.25</x:v>
      </x:c>
      <x:c r="I201" s="2">
        <x:f t="shared" si="39"/>
        <x:v>666146.08593455516</x:v>
      </x:c>
      <x:c r="J201" s="3">
        <x:f t="shared" si="40"/>
        <x:v>1.08286973314515</x:v>
      </x:c>
      <x:c r="K201" s="7">
        <x:f t="shared" si="41"/>
        <x:v>721349.43431163789</x:v>
      </x:c>
      <x:c r="L201" s="7">
        <x:f t="shared" si="42"/>
        <x:v>687661.40677601879</x:v>
      </x:c>
      <x:c r="M201" s="7">
        <x:f t="shared" si="43"/>
        <x:v>33688.027535619032</x:v>
      </x:c>
      <x:c r="N201" s="7">
        <x:f t="shared" si="35"/>
        <x:v>721349.43431163777</x:v>
      </x:c>
    </x:row>
    <x:row r="202" spans="1:14" outlineLevel="2" x14ac:dyDescent="0.25">
      <x:c r="A202" s="1" t="s">
        <x:v>96</x:v>
      </x:c>
      <x:c r="B202" s="1" t="s">
        <x:v>56</x:v>
      </x:c>
      <x:c r="C202" s="2">
        <x:v>787747.9299999997</x:v>
      </x:c>
      <x:c r="D202" s="2">
        <x:v>662583.28934305126</x:v>
      </x:c>
      <x:c r="E202" s="2">
        <x:v>125164.64065694848</x:v>
      </x:c>
      <x:c r="F202" s="1">
        <x:v>55</x:v>
      </x:c>
      <x:c r="G202" s="1">
        <x:v>13.367271000000001</x:v>
      </x:c>
      <x:c r="H202" s="9">
        <x:v>-0.25</x:v>
      </x:c>
      <x:c r="I202" s="2">
        <x:f t="shared" si="39"/>
        <x:v>745365.82022729458</x:v>
      </x:c>
      <x:c r="J202" s="3">
        <x:f t="shared" si="40"/>
        <x:v>1.08286973314515</x:v>
      </x:c>
      <x:c r="K202" s="7">
        <x:f t="shared" si="41"/>
        <x:v>807134.08684504637</x:v>
      </x:c>
      <x:c r="L202" s="7">
        <x:f t="shared" si="42"/>
        <x:v>678889.19518035557</x:v>
      </x:c>
      <x:c r="M202" s="7">
        <x:f t="shared" si="43"/>
        <x:v>128244.89166469092</x:v>
      </x:c>
      <x:c r="N202" s="7">
        <x:f t="shared" si="35"/>
        <x:v>807134.08684504649</x:v>
      </x:c>
    </x:row>
    <x:row r="203" spans="1:14" outlineLevel="2" x14ac:dyDescent="0.25">
      <x:c r="A203" s="1" t="s">
        <x:v>96</x:v>
      </x:c>
      <x:c r="B203" s="1" t="s">
        <x:v>55</x:v>
      </x:c>
      <x:c r="C203" s="2">
        <x:v>1141980.9100000001</x:v>
      </x:c>
      <x:c r="D203" s="2">
        <x:v>1037100.3993982357</x:v>
      </x:c>
      <x:c r="E203" s="2">
        <x:v>104880.51060176436</x:v>
      </x:c>
      <x:c r="F203" s="1">
        <x:v>55</x:v>
      </x:c>
      <x:c r="G203" s="1">
        <x:v>12.971685000000001</x:v>
      </x:c>
      <x:c r="H203" s="9">
        <x:v>-0.25</x:v>
      </x:c>
      <x:c r="I203" s="2">
        <x:f t="shared" si="39"/>
        <x:v>1090807.5774878787</x:v>
      </x:c>
      <x:c r="J203" s="3">
        <x:f t="shared" si="40"/>
        <x:v>1.08286973314515</x:v>
      </x:c>
      <x:c r="K203" s="7">
        <x:f t="shared" si="41"/>
        <x:v>1181202.5103470068</x:v>
      </x:c>
      <x:c r="L203" s="7">
        <x:f t="shared" si="42"/>
        <x:v>1072719.8541795935</x:v>
      </x:c>
      <x:c r="M203" s="7">
        <x:f t="shared" si="43"/>
        <x:v>108482.65616741344</x:v>
      </x:c>
      <x:c r="N203" s="7">
        <x:f t="shared" si="35"/>
        <x:v>1181202.5103470068</x:v>
      </x:c>
    </x:row>
    <x:row r="204" spans="1:14" outlineLevel="2" x14ac:dyDescent="0.25">
      <x:c r="A204" s="1" t="s">
        <x:v>96</x:v>
      </x:c>
      <x:c r="B204" s="1" t="s">
        <x:v>54</x:v>
      </x:c>
      <x:c r="C204" s="2">
        <x:v>703458.59</x:v>
      </x:c>
      <x:c r="D204" s="2">
        <x:v>566967.81032222731</x:v>
      </x:c>
      <x:c r="E204" s="2">
        <x:v>136490.77967777266</x:v>
      </x:c>
      <x:c r="F204" s="1">
        <x:v>55</x:v>
      </x:c>
      <x:c r="G204" s="1">
        <x:v>12.580928</x:v>
      </x:c>
      <x:c r="H204" s="9">
        <x:v>-0.25</x:v>
      </x:c>
      <x:c r="I204" s="2">
        <x:f t="shared" si="39"/>
        <x:v>678183.19495973818</x:v>
      </x:c>
      <x:c r="J204" s="3">
        <x:f t="shared" si="40"/>
        <x:v>1.08286973314515</x:v>
      </x:c>
      <x:c r="K204" s="7">
        <x:f t="shared" si="41"/>
        <x:v>734384.05534957687</x:v>
      </x:c>
      <x:c r="L204" s="7">
        <x:f t="shared" si="42"/>
        <x:v>591892.86436477664</x:v>
      </x:c>
      <x:c r="M204" s="7">
        <x:f t="shared" si="43"/>
        <x:v>142491.19098480025</x:v>
      </x:c>
      <x:c r="N204" s="7">
        <x:f t="shared" si="35"/>
        <x:v>734384.05534957687</x:v>
      </x:c>
    </x:row>
    <x:row r="205" spans="1:14" outlineLevel="2" x14ac:dyDescent="0.25">
      <x:c r="A205" s="1" t="s">
        <x:v>96</x:v>
      </x:c>
      <x:c r="B205" s="1" t="s">
        <x:v>53</x:v>
      </x:c>
      <x:c r="C205" s="2">
        <x:v>498667.58</x:v>
      </x:c>
      <x:c r="D205" s="2">
        <x:v>485016.51790306275</x:v>
      </x:c>
      <x:c r="E205" s="2">
        <x:v>13651.062096937278</x:v>
      </x:c>
      <x:c r="F205" s="1">
        <x:v>55</x:v>
      </x:c>
      <x:c r="G205" s="1">
        <x:v>12.195171</x:v>
      </x:c>
      <x:c r="H205" s="9">
        <x:v>-0.25</x:v>
      </x:c>
      <x:c r="I205" s="2">
        <x:f t="shared" si="39"/>
        <x:v>485122.28385781404</x:v>
      </x:c>
      <x:c r="J205" s="3">
        <x:f t="shared" si="40"/>
        <x:v>1.08286973314515</x:v>
      </x:c>
      <x:c r="K205" s="7">
        <x:f t="shared" si="41"/>
        <x:v>525324.23806387675</x:v>
      </x:c>
      <x:c r="L205" s="7">
        <x:f t="shared" si="42"/>
        <x:v>510943.44796952925</x:v>
      </x:c>
      <x:c r="M205" s="7">
        <x:f t="shared" si="43"/>
        <x:v>14380.790094347507</x:v>
      </x:c>
      <x:c r="N205" s="7">
        <x:f t="shared" si="35"/>
        <x:v>525324.23806387675</x:v>
      </x:c>
    </x:row>
    <x:row r="206" spans="1:14" outlineLevel="2" x14ac:dyDescent="0.25">
      <x:c r="A206" s="1" t="s">
        <x:v>96</x:v>
      </x:c>
      <x:c r="B206" s="1" t="s">
        <x:v>52</x:v>
      </x:c>
      <x:c r="C206" s="2">
        <x:v>792097.26</x:v>
      </x:c>
      <x:c r="D206" s="2">
        <x:v>772638.44857562927</x:v>
      </x:c>
      <x:c r="E206" s="2">
        <x:v>19458.811424370742</x:v>
      </x:c>
      <x:c r="F206" s="1">
        <x:v>55</x:v>
      </x:c>
      <x:c r="G206" s="1">
        <x:v>11.814377</x:v>
      </x:c>
      <x:c r="H206" s="9">
        <x:v>-0.25</x:v>
      </x:c>
      <x:c r="I206" s="2">
        <x:f t="shared" si="39"/>
        <x:v>777436.67385665863</x:v>
      </x:c>
      <x:c r="J206" s="3">
        <x:f t="shared" si="40"/>
        <x:v>1.08286973314515</x:v>
      </x:c>
      <x:c r="K206" s="7">
        <x:f t="shared" si="41"/>
        <x:v>841862.64355641289</x:v>
      </x:c>
      <x:c r="L206" s="7">
        <x:f t="shared" si="42"/>
        <x:v>821181.28628699563</x:v>
      </x:c>
      <x:c r="M206" s="7">
        <x:f t="shared" si="43"/>
        <x:v>20681.357269417247</x:v>
      </x:c>
      <x:c r="N206" s="7">
        <x:f t="shared" si="35"/>
        <x:v>841862.64355641289</x:v>
      </x:c>
    </x:row>
    <x:row r="207" spans="1:14" outlineLevel="2" x14ac:dyDescent="0.25">
      <x:c r="A207" s="1" t="s">
        <x:v>96</x:v>
      </x:c>
      <x:c r="B207" s="1" t="s">
        <x:v>51</x:v>
      </x:c>
      <x:c r="C207" s="2">
        <x:v>338971.77999999991</x:v>
      </x:c>
      <x:c r="D207" s="2">
        <x:v>300654.17649507296</x:v>
      </x:c>
      <x:c r="E207" s="2">
        <x:v>38317.603504926934</x:v>
      </x:c>
      <x:c r="F207" s="1">
        <x:v>55</x:v>
      </x:c>
      <x:c r="G207" s="1">
        <x:v>11.438516</x:v>
      </x:c>
      <x:c r="H207" s="9">
        <x:v>-0.25</x:v>
      </x:c>
      <x:c r="I207" s="2">
        <x:f t="shared" si="39"/>
        <x:v>335593.49479367078</x:v>
      </x:c>
      <x:c r="J207" s="3">
        <x:f t="shared" si="40"/>
        <x:v>1.08286973314515</x:v>
      </x:c>
      <x:c r="K207" s="7">
        <x:f t="shared" si="41"/>
        <x:v>363404.03815247054</x:v>
      </x:c>
      <x:c r="L207" s="7">
        <x:f t="shared" si="42"/>
        <x:v>322324.59535633062</x:v>
      </x:c>
      <x:c r="M207" s="7">
        <x:f t="shared" si="43"/>
        <x:v>41079.442796139876</x:v>
      </x:c>
      <x:c r="N207" s="7">
        <x:f t="shared" si="35"/>
        <x:v>363404.03815247049</x:v>
      </x:c>
    </x:row>
    <x:row r="208" spans="1:14" outlineLevel="2" x14ac:dyDescent="0.25">
      <x:c r="A208" s="1" t="s">
        <x:v>96</x:v>
      </x:c>
      <x:c r="B208" s="1" t="s">
        <x:v>50</x:v>
      </x:c>
      <x:c r="C208" s="2">
        <x:v>279213.72000000003</x:v>
      </x:c>
      <x:c r="D208" s="2">
        <x:v>227217.39605873998</x:v>
      </x:c>
      <x:c r="E208" s="2">
        <x:v>51996.323941260031</x:v>
      </x:c>
      <x:c r="F208" s="1">
        <x:v>55</x:v>
      </x:c>
      <x:c r="G208" s="1">
        <x:v>11.067577999999999</x:v>
      </x:c>
      <x:c r="H208" s="9">
        <x:v>-0.25</x:v>
      </x:c>
      <x:c r="I208" s="2">
        <x:f t="shared" si="39"/>
        <x:v>278784.88580067822</x:v>
      </x:c>
      <x:c r="J208" s="3">
        <x:f t="shared" si="40"/>
        <x:v>1.08286973314515</x:v>
      </x:c>
      <x:c r="K208" s="7">
        <x:f t="shared" si="41"/>
        <x:v>301887.71489188157</x:v>
      </x:c>
      <x:c r="L208" s="7">
        <x:f t="shared" si="42"/>
        <x:v>245668.94664007419</x:v>
      </x:c>
      <x:c r="M208" s="7">
        <x:f t="shared" si="43"/>
        <x:v>56218.768251807327</x:v>
      </x:c>
      <x:c r="N208" s="7">
        <x:f t="shared" si="35"/>
        <x:v>301887.71489188151</x:v>
      </x:c>
    </x:row>
    <x:row r="209" spans="1:14" outlineLevel="2" x14ac:dyDescent="0.25">
      <x:c r="A209" s="1" t="s">
        <x:v>96</x:v>
      </x:c>
      <x:c r="B209" s="1" t="s">
        <x:v>49</x:v>
      </x:c>
      <x:c r="C209" s="2">
        <x:v>38052.6</x:v>
      </x:c>
      <x:c r="D209" s="2">
        <x:v>37918.646561036527</x:v>
      </x:c>
      <x:c r="E209" s="2">
        <x:v>133.9534389634687</x:v>
      </x:c>
      <x:c r="F209" s="1">
        <x:v>55</x:v>
      </x:c>
      <x:c r="G209" s="1">
        <x:v>10.701216000000001</x:v>
      </x:c>
      <x:c r="H209" s="9">
        <x:v>-0.25</x:v>
      </x:c>
      <x:c r="I209" s="2">
        <x:f t="shared" si="39"/>
        <x:v>38310.99790996364</x:v>
      </x:c>
      <x:c r="J209" s="3">
        <x:f t="shared" si="40"/>
        <x:v>1.08286973314515</x:v>
      </x:c>
      <x:c r="K209" s="7">
        <x:f t="shared" si="41"/>
        <x:v>41485.82008328673</x:v>
      </x:c>
      <x:c r="L209" s="7">
        <x:f t="shared" si="42"/>
        <x:v>41339.780961955308</x:v>
      </x:c>
      <x:c r="M209" s="7">
        <x:f t="shared" si="43"/>
        <x:v>146.03912133142001</x:v>
      </x:c>
      <x:c r="N209" s="7">
        <x:f t="shared" si="35"/>
        <x:v>41485.82008328673</x:v>
      </x:c>
    </x:row>
    <x:row r="210" spans="1:14" outlineLevel="2" x14ac:dyDescent="0.25">
      <x:c r="A210" s="1" t="s">
        <x:v>96</x:v>
      </x:c>
      <x:c r="B210" s="1" t="s">
        <x:v>48</x:v>
      </x:c>
      <x:c r="C210" s="2">
        <x:v>25873.489999999998</x:v>
      </x:c>
      <x:c r="D210" s="2">
        <x:v>25833.172655624807</x:v>
      </x:c>
      <x:c r="E210" s="2">
        <x:v>40.317344375191766</x:v>
      </x:c>
      <x:c r="F210" s="1">
        <x:v>55</x:v>
      </x:c>
      <x:c r="G210" s="1">
        <x:v>10.339281</x:v>
      </x:c>
      <x:c r="H210" s="9">
        <x:v>-0.25</x:v>
      </x:c>
      <x:c r="I210" s="2">
        <x:f t="shared" si="39"/>
        <x:v>26262.015146347952</x:v>
      </x:c>
      <x:c r="J210" s="3">
        <x:f t="shared" si="40"/>
        <x:v>1.08286973314515</x:v>
      </x:c>
      <x:c r="K210" s="7">
        <x:f t="shared" si="41"/>
        <x:v>28438.341333379696</x:v>
      </x:c>
      <x:c r="L210" s="7">
        <x:f t="shared" si="42"/>
        <x:v>28394.027311537375</x:v>
      </x:c>
      <x:c r="M210" s="7">
        <x:f t="shared" si="43"/>
        <x:v>44.314021842322759</x:v>
      </x:c>
      <x:c r="N210" s="7">
        <x:f t="shared" si="35"/>
        <x:v>28438.341333379696</x:v>
      </x:c>
    </x:row>
    <x:row r="211" spans="1:14" outlineLevel="2" x14ac:dyDescent="0.25">
      <x:c r="A211" s="1" t="s">
        <x:v>96</x:v>
      </x:c>
      <x:c r="B211" s="1" t="s">
        <x:v>47</x:v>
      </x:c>
      <x:c r="C211" s="2">
        <x:v>836.94</x:v>
      </x:c>
      <x:c r="D211" s="2">
        <x:v>831.79813058546324</x:v>
      </x:c>
      <x:c r="E211" s="2">
        <x:v>5.1418694145367834</x:v>
      </x:c>
      <x:c r="F211" s="1">
        <x:v>55</x:v>
      </x:c>
      <x:c r="G211" s="1">
        <x:v>9.9820200000000003</x:v>
      </x:c>
      <x:c r="H211" s="9">
        <x:v>-0.25</x:v>
      </x:c>
      <x:c r="I211" s="2">
        <x:f t="shared" si="39"/>
        <x:v>856.30336775454566</x:v>
      </x:c>
      <x:c r="J211" s="3">
        <x:f t="shared" si="40"/>
        <x:v>1.08286973314515</x:v>
      </x:c>
      <x:c r="K211" s="7">
        <x:f t="shared" si="41"/>
        <x:v>927.26499933165815</x:v>
      </x:c>
      <x:c r="L211" s="7">
        <x:f t="shared" si="42"/>
        <x:v>921.56820441298544</x:v>
      </x:c>
      <x:c r="M211" s="7">
        <x:f t="shared" si="43"/>
        <x:v>5.6967949186726932</x:v>
      </x:c>
      <x:c r="N211" s="7">
        <x:f t="shared" si="35"/>
        <x:v>927.26499933165815</x:v>
      </x:c>
    </x:row>
    <x:row r="212" spans="1:14" outlineLevel="2" x14ac:dyDescent="0.25">
      <x:c r="A212" s="1" t="s">
        <x:v>96</x:v>
      </x:c>
      <x:c r="B212" s="1" t="s">
        <x:v>103</x:v>
      </x:c>
      <x:c r="C212" s="2">
        <x:v>2702.87</x:v>
      </x:c>
      <x:c r="D212" s="2">
        <x:v>2517.5087148014481</x:v>
      </x:c>
      <x:c r="E212" s="2">
        <x:v>185.36128519855194</x:v>
      </x:c>
      <x:c r="F212" s="1">
        <x:v>55</x:v>
      </x:c>
      <x:c r="G212" s="1">
        <x:v>9.6294319999999995</x:v>
      </x:c>
      <x:c r="H212" s="9">
        <x:v>-0.25</x:v>
      </x:c>
      <x:c r="I212" s="2">
        <x:f t="shared" si="39"/>
        <x:v>2787.0624347763637</x:v>
      </x:c>
      <x:c r="J212" s="3">
        <x:f t="shared" si="40"/>
        <x:v>1.08286973314515</x:v>
      </x:c>
      <x:c r="K212" s="7">
        <x:f t="shared" si="41"/>
        <x:v>3018.0255550051529</x:v>
      </x:c>
      <x:c r="L212" s="7">
        <x:f t="shared" si="42"/>
        <x:v>2811.0510813390765</x:v>
      </x:c>
      <x:c r="M212" s="7">
        <x:f t="shared" si="43"/>
        <x:v>206.97447366607651</x:v>
      </x:c>
      <x:c r="N212" s="7">
        <x:f t="shared" ref="N212:N235" si="44">+L212+M212</x:f>
        <x:v>3018.0255550051529</x:v>
      </x:c>
    </x:row>
    <x:row r="213" spans="1:14" outlineLevel="2" x14ac:dyDescent="0.25">
      <x:c r="A213" s="1" t="s">
        <x:v>96</x:v>
      </x:c>
      <x:c r="B213" s="1" t="s">
        <x:v>102</x:v>
      </x:c>
      <x:c r="C213" s="2">
        <x:v>8960.44</x:v>
      </x:c>
      <x:c r="D213" s="2">
        <x:v>6916.762445495935</x:v>
      </x:c>
      <x:c r="E213" s="2">
        <x:v>2043.6775545040659</x:v>
      </x:c>
      <x:c r="F213" s="1">
        <x:v>55</x:v>
      </x:c>
      <x:c r="G213" s="1">
        <x:v>9.2815119999999993</x:v>
      </x:c>
      <x:c r="H213" s="9">
        <x:v>-0.25</x:v>
      </x:c>
      <x:c r="I213" s="2">
        <x:f t="shared" si="39"/>
        <x:v>9310.4038321527278</x:v>
      </x:c>
      <x:c r="J213" s="3">
        <x:f t="shared" si="40"/>
        <x:v>1.08286973314515</x:v>
      </x:c>
      <x:c r="K213" s="7">
        <x:f t="shared" si="41"/>
        <x:v>10081.954513196806</x:v>
      </x:c>
      <x:c r="L213" s="7">
        <x:f t="shared" si="42"/>
        <x:v>7782.4843818024465</x:v>
      </x:c>
      <x:c r="M213" s="7">
        <x:f t="shared" si="43"/>
        <x:v>2299.4701313943597</x:v>
      </x:c>
      <x:c r="N213" s="7">
        <x:f t="shared" si="44"/>
        <x:v>10081.954513196806</x:v>
      </x:c>
    </x:row>
    <x:row r="214" spans="1:14" outlineLevel="2" x14ac:dyDescent="0.25">
      <x:c r="A214" s="1" t="s">
        <x:v>96</x:v>
      </x:c>
      <x:c r="B214" s="1" t="s">
        <x:v>46</x:v>
      </x:c>
      <x:c r="C214" s="2">
        <x:v>7346.5</x:v>
      </x:c>
      <x:c r="D214" s="2">
        <x:v>4533.0919911668516</x:v>
      </x:c>
      <x:c r="E214" s="2">
        <x:v>2813.408008833148</x:v>
      </x:c>
      <x:c r="F214" s="1">
        <x:v>55</x:v>
      </x:c>
      <x:c r="G214" s="1">
        <x:v>8.9382940000000008</x:v>
      </x:c>
      <x:c r="H214" s="9">
        <x:v>-0.25</x:v>
      </x:c>
      <x:c r="I214" s="2">
        <x:f t="shared" si="39"/>
        <x:v>7690.734616568182</x:v>
      </x:c>
      <x:c r="J214" s="3">
        <x:f t="shared" si="40"/>
        <x:v>1.08286973314515</x:v>
      </x:c>
      <x:c r="K214" s="7">
        <x:f t="shared" si="41"/>
        <x:v>8328.0637419333543</x:v>
      </x:c>
      <x:c r="L214" s="7">
        <x:f t="shared" si="42"/>
        <x:v>5138.7571020874057</x:v>
      </x:c>
      <x:c r="M214" s="7">
        <x:f t="shared" si="43"/>
        <x:v>3189.3066398459473</x:v>
      </x:c>
      <x:c r="N214" s="7">
        <x:f t="shared" si="44"/>
        <x:v>8328.0637419333525</x:v>
      </x:c>
    </x:row>
    <x:row r="215" spans="1:14" outlineLevel="2" x14ac:dyDescent="0.25">
      <x:c r="A215" s="1" t="s">
        <x:v>96</x:v>
      </x:c>
      <x:c r="B215" s="1" t="s">
        <x:v>45</x:v>
      </x:c>
      <x:c r="C215" s="2">
        <x:v>237493.51999999996</x:v>
      </x:c>
      <x:c r="D215" s="2">
        <x:v>223639.67060838742</x:v>
      </x:c>
      <x:c r="E215" s="2">
        <x:v>13853.849391612552</x:v>
      </x:c>
      <x:c r="F215" s="1">
        <x:v>55</x:v>
      </x:c>
      <x:c r="G215" s="1">
        <x:v>8.5985890000000005</x:v>
      </x:c>
      <x:c r="H215" s="9">
        <x:v>-0.25</x:v>
      </x:c>
      <x:c r="I215" s="2">
        <x:f t="shared" si="39"/>
        <x:v>250455.32798537996</x:v>
      </x:c>
      <x:c r="J215" s="3">
        <x:f t="shared" si="40"/>
        <x:v>1.08286973314515</x:v>
      </x:c>
      <x:c r="K215" s="7">
        <x:f t="shared" si="41"/>
        <x:v>271210.49418030941</x:v>
      </x:c>
      <x:c r="L215" s="7">
        <x:f t="shared" si="42"/>
        <x:v>255389.81267372001</x:v>
      </x:c>
      <x:c r="M215" s="7">
        <x:f t="shared" si="43"/>
        <x:v>15820.681506589399</x:v>
      </x:c>
      <x:c r="N215" s="7">
        <x:f t="shared" si="44"/>
        <x:v>271210.49418030941</x:v>
      </x:c>
    </x:row>
    <x:row r="216" spans="1:14" outlineLevel="2" x14ac:dyDescent="0.25">
      <x:c r="A216" s="1" t="s">
        <x:v>96</x:v>
      </x:c>
      <x:c r="B216" s="1" t="s">
        <x:v>44</x:v>
      </x:c>
      <x:c r="C216" s="2">
        <x:v>28815.21</x:v>
      </x:c>
      <x:c r="D216" s="2">
        <x:v>28797.328805413719</x:v>
      </x:c>
      <x:c r="E216" s="2">
        <x:v>17.881194586281609</x:v>
      </x:c>
      <x:c r="F216" s="1">
        <x:v>55</x:v>
      </x:c>
      <x:c r="G216" s="1">
        <x:v>8.2632910000000006</x:v>
      </x:c>
      <x:c r="H216" s="9">
        <x:v>-0.25</x:v>
      </x:c>
      <x:c r="I216" s="2">
        <x:f t="shared" si="39"/>
        <x:v>30607.456466906588</x:v>
      </x:c>
      <x:c r="J216" s="3">
        <x:f t="shared" si="40"/>
        <x:v>1.08286973314515</x:v>
      </x:c>
      <x:c r="K216" s="7">
        <x:f t="shared" si="41"/>
        <x:v>33143.888216570929</x:v>
      </x:c>
      <x:c r="L216" s="7">
        <x:f t="shared" si="42"/>
        <x:v>33123.320873332879</x:v>
      </x:c>
      <x:c r="M216" s="7">
        <x:f t="shared" si="43"/>
        <x:v>20.567343238049315</x:v>
      </x:c>
      <x:c r="N216" s="7">
        <x:f t="shared" si="44"/>
        <x:v>33143.888216570929</x:v>
      </x:c>
    </x:row>
    <x:row r="217" spans="1:14" outlineLevel="2" x14ac:dyDescent="0.25">
      <x:c r="A217" s="1" t="s">
        <x:v>96</x:v>
      </x:c>
      <x:c r="B217" s="1" t="s">
        <x:v>43</x:v>
      </x:c>
      <x:c r="C217" s="2">
        <x:v>52.76</x:v>
      </x:c>
      <x:c r="D217" s="2">
        <x:v>52.76</x:v>
      </x:c>
      <x:c r="F217" s="1">
        <x:v>55</x:v>
      </x:c>
      <x:c r="G217" s="1">
        <x:v>7.9324050000000002</x:v>
      </x:c>
      <x:c r="H217" s="9">
        <x:v>-0.25</x:v>
      </x:c>
      <x:c r="I217" s="2">
        <x:f t="shared" si="39"/>
        <x:v>56.438325277272732</x:v>
      </x:c>
      <x:c r="J217" s="3">
        <x:f t="shared" si="40"/>
        <x:v>1.08286973314515</x:v>
      </x:c>
      <x:c r="K217" s="7">
        <x:f t="shared" si="41"/>
        <x:v>61.115354232159497</x:v>
      </x:c>
      <x:c r="L217" s="7">
        <x:f t="shared" si="42"/>
        <x:v>61.115354232159497</x:v>
      </x:c>
      <x:c r="M217" s="7">
        <x:f t="shared" si="43"/>
        <x:v>0</x:v>
      </x:c>
      <x:c r="N217" s="7">
        <x:f t="shared" si="44"/>
        <x:v>61.115354232159497</x:v>
      </x:c>
    </x:row>
    <x:row r="218" spans="1:14" outlineLevel="2" x14ac:dyDescent="0.25">
      <x:c r="A218" s="1" t="s">
        <x:v>96</x:v>
      </x:c>
      <x:c r="B218" s="1" t="s">
        <x:v>42</x:v>
      </x:c>
      <x:c r="C218" s="2">
        <x:v>362.5</x:v>
      </x:c>
      <x:c r="D218" s="2">
        <x:v>362.5</x:v>
      </x:c>
      <x:c r="F218" s="1">
        <x:v>55</x:v>
      </x:c>
      <x:c r="G218" s="1">
        <x:v>7.6059530000000004</x:v>
      </x:c>
      <x:c r="H218" s="9">
        <x:v>-0.25</x:v>
      </x:c>
      <x:c r="I218" s="2">
        <x:f t="shared" si="39"/>
        <x:v>390.46231903409085</x:v>
      </x:c>
      <x:c r="J218" s="3">
        <x:f t="shared" si="40"/>
        <x:v>1.08286973314515</x:v>
      </x:c>
      <x:c r="K218" s="7">
        <x:f t="shared" si="41"/>
        <x:v>422.81982721568238</x:v>
      </x:c>
      <x:c r="L218" s="7">
        <x:f t="shared" si="42"/>
        <x:v>422.81982721568238</x:v>
      </x:c>
      <x:c r="M218" s="7">
        <x:f t="shared" si="43"/>
        <x:v>0</x:v>
      </x:c>
      <x:c r="N218" s="7">
        <x:f t="shared" si="44"/>
        <x:v>422.81982721568238</x:v>
      </x:c>
    </x:row>
    <x:row r="219" spans="1:14" outlineLevel="2" x14ac:dyDescent="0.25">
      <x:c r="A219" s="1" t="s">
        <x:v>96</x:v>
      </x:c>
      <x:c r="B219" s="1" t="s">
        <x:v>101</x:v>
      </x:c>
      <x:c r="C219" s="2">
        <x:v>10855.74</x:v>
      </x:c>
      <x:c r="D219" s="2">
        <x:v>10855.74</x:v>
      </x:c>
      <x:c r="F219" s="1">
        <x:v>55</x:v>
      </x:c>
      <x:c r="G219" s="1">
        <x:v>7.2839660000000004</x:v>
      </x:c>
      <x:c r="H219" s="9">
        <x:v>-0.25</x:v>
      </x:c>
      <x:c r="I219" s="2">
        <x:f t="shared" si="39"/>
        <x:v>11772.56497579909</x:v>
      </x:c>
      <x:c r="J219" s="3">
        <x:f t="shared" si="40"/>
        <x:v>1.08286973314515</x:v>
      </x:c>
      <x:c r="K219" s="7">
        <x:f t="shared" si="41"/>
        <x:v>12748.154293777501</x:v>
      </x:c>
      <x:c r="L219" s="7">
        <x:f t="shared" si="42"/>
        <x:v>12748.154293777501</x:v>
      </x:c>
      <x:c r="M219" s="7">
        <x:f t="shared" si="43"/>
        <x:v>0</x:v>
      </x:c>
      <x:c r="N219" s="7">
        <x:f t="shared" si="44"/>
        <x:v>12748.154293777501</x:v>
      </x:c>
    </x:row>
    <x:row r="220" spans="1:14" outlineLevel="2" x14ac:dyDescent="0.25">
      <x:c r="A220" s="1" t="s">
        <x:v>96</x:v>
      </x:c>
      <x:c r="B220" s="1" t="s">
        <x:v>100</x:v>
      </x:c>
      <x:c r="C220" s="2">
        <x:v>160.68</x:v>
      </x:c>
      <x:c r="D220" s="2">
        <x:v>160.68</x:v>
      </x:c>
      <x:c r="F220" s="1">
        <x:v>55</x:v>
      </x:c>
      <x:c r="G220" s="1">
        <x:v>6.9655610000000001</x:v>
      </x:c>
      <x:c r="H220" s="9">
        <x:v>-0.25</x:v>
      </x:c>
      <x:c r="I220" s="2">
        <x:f t="shared" si="39"/>
        <x:v>175.4130376936364</x:v>
      </x:c>
      <x:c r="J220" s="3">
        <x:f t="shared" si="40"/>
        <x:v>1.08286973314515</x:v>
      </x:c>
      <x:c r="K220" s="7">
        <x:f t="shared" si="41"/>
        <x:v>189.94946931748819</x:v>
      </x:c>
      <x:c r="L220" s="7">
        <x:f t="shared" si="42"/>
        <x:v>189.94946931748819</x:v>
      </x:c>
      <x:c r="M220" s="7">
        <x:f t="shared" si="43"/>
        <x:v>0</x:v>
      </x:c>
      <x:c r="N220" s="7">
        <x:f t="shared" si="44"/>
        <x:v>189.94946931748819</x:v>
      </x:c>
    </x:row>
    <x:row r="221" spans="1:14" outlineLevel="2" x14ac:dyDescent="0.25">
      <x:c r="A221" s="1" t="s">
        <x:v>96</x:v>
      </x:c>
      <x:c r="B221" s="1" t="s">
        <x:v>99</x:v>
      </x:c>
      <x:c r="C221" s="2">
        <x:v>66.37</x:v>
      </x:c>
      <x:c r="D221" s="2">
        <x:v>38.888112645430454</x:v>
      </x:c>
      <x:c r="E221" s="2">
        <x:v>27.481887354569551</x:v>
      </x:c>
      <x:c r="F221" s="1">
        <x:v>55</x:v>
      </x:c>
      <x:c r="G221" s="1">
        <x:v>6.3391820000000001</x:v>
      </x:c>
      <x:c r="H221" s="9">
        <x:v>-0.25</x:v>
      </x:c>
      <x:c r="I221" s="2">
        <x:f t="shared" si="39"/>
        <x:v>73.40042024227273</x:v>
      </x:c>
      <x:c r="J221" s="3">
        <x:f t="shared" si="40"/>
        <x:v>1.08286973314515</x:v>
      </x:c>
      <x:c r="K221" s="7">
        <x:f t="shared" si="41"/>
        <x:v>79.483093480491732</x:v>
      </x:c>
      <x:c r="L221" s="7">
        <x:f t="shared" si="42"/>
        <x:v>46.571455366530678</x:v>
      </x:c>
      <x:c r="M221" s="7">
        <x:f t="shared" si="43"/>
        <x:v>32.911638113961054</x:v>
      </x:c>
      <x:c r="N221" s="7">
        <x:f t="shared" si="44"/>
        <x:v>79.483093480491732</x:v>
      </x:c>
    </x:row>
    <x:row r="222" spans="1:14" outlineLevel="2" x14ac:dyDescent="0.25">
      <x:c r="A222" s="1" t="s">
        <x:v>96</x:v>
      </x:c>
      <x:c r="B222" s="1" t="s">
        <x:v>98</x:v>
      </x:c>
      <x:c r="C222" s="2">
        <x:v>293.77999999999997</x:v>
      </x:c>
      <x:c r="D222" s="2">
        <x:v>125.16</x:v>
      </x:c>
      <x:c r="E222" s="2">
        <x:v>168.62</x:v>
      </x:c>
      <x:c r="F222" s="1">
        <x:v>55</x:v>
      </x:c>
      <x:c r="G222" s="1">
        <x:v>5.4286459999999996</x:v>
      </x:c>
      <x:c r="H222" s="9">
        <x:v>-0.25</x:v>
      </x:c>
      <x:c r="I222" s="2">
        <x:f t="shared" si="39"/>
        <x:v>330.97891768454542</x:v>
      </x:c>
      <x:c r="J222" s="3">
        <x:f t="shared" si="40"/>
        <x:v>1.08286973314515</x:v>
      </x:c>
      <x:c r="K222" s="7">
        <x:f t="shared" si="41"/>
        <x:v>358.40705226973427</x:v>
      </x:c>
      <x:c r="L222" s="7">
        <x:f t="shared" si="42"/>
        <x:v>152.69326251644068</x:v>
      </x:c>
      <x:c r="M222" s="7">
        <x:f t="shared" si="43"/>
        <x:v>205.71378975329364</x:v>
      </x:c>
      <x:c r="N222" s="7">
        <x:f t="shared" si="44"/>
        <x:v>358.40705226973432</x:v>
      </x:c>
    </x:row>
    <x:row r="223" spans="1:14" outlineLevel="2" x14ac:dyDescent="0.25">
      <x:c r="A223" s="1" t="s">
        <x:v>96</x:v>
      </x:c>
      <x:c r="B223" s="1" t="s">
        <x:v>41</x:v>
      </x:c>
      <x:c r="C223" s="2">
        <x:v>40752.039999999994</x:v>
      </x:c>
      <x:c r="D223" s="2">
        <x:v>40752.039999999994</x:v>
      </x:c>
      <x:c r="F223" s="1">
        <x:v>55</x:v>
      </x:c>
      <x:c r="G223" s="1">
        <x:v>5.1292970000000002</x:v>
      </x:c>
      <x:c r="H223" s="9">
        <x:v>-0.25</x:v>
      </x:c>
      <x:c r="I223" s="2">
        <x:f t="shared" si="39"/>
        <x:v>46189.383715548174</x:v>
      </x:c>
      <x:c r="J223" s="3">
        <x:f t="shared" si="40"/>
        <x:v>1.08286973314515</x:v>
      </x:c>
      <x:c r="K223" s="7">
        <x:f t="shared" si="41"/>
        <x:v>50017.085618194586</x:v>
      </x:c>
      <x:c r="L223" s="7">
        <x:f t="shared" si="42"/>
        <x:v>50017.085618194586</x:v>
      </x:c>
      <x:c r="M223" s="7">
        <x:f t="shared" si="43"/>
        <x:v>0</x:v>
      </x:c>
      <x:c r="N223" s="7">
        <x:f t="shared" si="44"/>
        <x:v>50017.085618194586</x:v>
      </x:c>
    </x:row>
    <x:row r="224" spans="1:14" outlineLevel="2" x14ac:dyDescent="0.25">
      <x:c r="A224" s="1" t="s">
        <x:v>96</x:v>
      </x:c>
      <x:c r="B224" s="1" t="s">
        <x:v>40</x:v>
      </x:c>
      <x:c r="C224" s="2">
        <x:v>41200.37000000001</x:v>
      </x:c>
      <x:c r="D224" s="2">
        <x:v>52311.710601948413</x:v>
      </x:c>
      <x:c r="E224" s="2">
        <x:v>-11111.340601948403</x:v>
      </x:c>
      <x:c r="F224" s="1">
        <x:v>55</x:v>
      </x:c>
      <x:c r="G224" s="1">
        <x:v>4.832141</x:v>
      </x:c>
      <x:c r="H224" s="9">
        <x:v>-0.25</x:v>
      </x:c>
      <x:c r="I224" s="2">
        <x:f t="shared" si="39"/>
        <x:v>46975.780747905235</x:v>
      </x:c>
      <x:c r="J224" s="3">
        <x:f t="shared" si="40"/>
        <x:v>1.08286973314515</x:v>
      </x:c>
      <x:c r="K224" s="7">
        <x:f t="shared" si="41"/>
        <x:v>50868.651162769216</x:v>
      </x:c>
      <x:c r="L224" s="7">
        <x:f t="shared" si="42"/>
        <x:v>64587.433519122496</x:v>
      </x:c>
      <x:c r="M224" s="7">
        <x:f t="shared" si="43"/>
        <x:v>-13718.782356353287</x:v>
      </x:c>
      <x:c r="N224" s="7">
        <x:f t="shared" si="44"/>
        <x:v>50868.651162769209</x:v>
      </x:c>
    </x:row>
    <x:row r="225" spans="1:15" outlineLevel="2" x14ac:dyDescent="0.25">
      <x:c r="A225" s="1" t="s">
        <x:v>96</x:v>
      </x:c>
      <x:c r="B225" s="1" t="s">
        <x:v>39</x:v>
      </x:c>
      <x:c r="C225" s="2">
        <x:v>125506.43999999999</x:v>
      </x:c>
      <x:c r="D225" s="2">
        <x:v>124013.97506543151</x:v>
      </x:c>
      <x:c r="E225" s="2">
        <x:v>1492.4649345684688</x:v>
      </x:c>
      <x:c r="F225" s="1">
        <x:v>55</x:v>
      </x:c>
      <x:c r="G225" s="1">
        <x:v>4.5365570000000002</x:v>
      </x:c>
      <x:c r="H225" s="9">
        <x:v>-0.25</x:v>
      </x:c>
      <x:c r="I225" s="2">
        <x:f t="shared" si="39"/>
        <x:v>143942.88820620271</x:v>
      </x:c>
      <x:c r="J225" s="3">
        <x:f t="shared" si="40"/>
        <x:v>1.08286973314515</x:v>
      </x:c>
      <x:c r="K225" s="7">
        <x:f t="shared" si="41"/>
        <x:v>155871.39693999288</x:v>
      </x:c>
      <x:c r="L225" s="7">
        <x:f t="shared" si="42"/>
        <x:v>154017.8458852809</x:v>
      </x:c>
      <x:c r="M225" s="7">
        <x:f t="shared" si="43"/>
        <x:v>1853.551054711952</x:v>
      </x:c>
      <x:c r="N225" s="7">
        <x:f t="shared" si="44"/>
        <x:v>155871.39693999285</x:v>
      </x:c>
    </x:row>
    <x:row r="226" spans="1:15" outlineLevel="2" x14ac:dyDescent="0.25">
      <x:c r="A226" s="1" t="s">
        <x:v>96</x:v>
      </x:c>
      <x:c r="B226" s="1" t="s">
        <x:v>38</x:v>
      </x:c>
      <x:c r="C226" s="2">
        <x:v>120281.63999999998</x:v>
      </x:c>
      <x:c r="D226" s="2">
        <x:v>120757.04045777458</x:v>
      </x:c>
      <x:c r="E226" s="2">
        <x:v>-475.4004577745942</x:v>
      </x:c>
      <x:c r="F226" s="1">
        <x:v>55</x:v>
      </x:c>
      <x:c r="G226" s="1">
        <x:v>4.241714</x:v>
      </x:c>
      <x:c r="H226" s="9">
        <x:v>-0.25</x:v>
      </x:c>
      <x:c r="I226" s="2">
        <x:f t="shared" si="39"/>
        <x:v>138756.58826520544</x:v>
      </x:c>
      <x:c r="J226" s="3">
        <x:f t="shared" si="40"/>
        <x:v>1.08286973314515</x:v>
      </x:c>
      <x:c r="K226" s="7">
        <x:f t="shared" si="41"/>
        <x:v>150255.30970687448</x:v>
      </x:c>
      <x:c r="L226" s="7">
        <x:f t="shared" si="42"/>
        <x:v>150849.17792331809</x:v>
      </x:c>
      <x:c r="M226" s="7">
        <x:f t="shared" si="43"/>
        <x:v>-593.86821644360327</x:v>
      </x:c>
      <x:c r="N226" s="7">
        <x:f t="shared" si="44"/>
        <x:v>150255.30970687448</x:v>
      </x:c>
    </x:row>
    <x:row r="227" spans="1:15" outlineLevel="2" x14ac:dyDescent="0.25">
      <x:c r="A227" s="1" t="s">
        <x:v>96</x:v>
      </x:c>
      <x:c r="B227" s="1" t="s">
        <x:v>37</x:v>
      </x:c>
      <x:c r="C227" s="2">
        <x:v>628.04000000000008</x:v>
      </x:c>
      <x:c r="D227" s="2">
        <x:v>568.76588935741199</x:v>
      </x:c>
      <x:c r="E227" s="2">
        <x:v>59.274110642588035</x:v>
      </x:c>
      <x:c r="F227" s="1">
        <x:v>55</x:v>
      </x:c>
      <x:c r="G227" s="1">
        <x:v>3.9465270000000001</x:v>
      </x:c>
      <x:c r="H227" s="9">
        <x:v>-0.25</x:v>
      </x:c>
      <x:c r="I227" s="2">
        <x:f t="shared" si="39"/>
        <x:v>728.71870870272733</x:v>
      </x:c>
      <x:c r="J227" s="3">
        <x:f t="shared" si="40"/>
        <x:v>1.08286973314515</x:v>
      </x:c>
      <x:c r="K227" s="7">
        <x:f t="shared" si="41"/>
        <x:v>785.05000000000007</x:v>
      </x:c>
      <x:c r="L227" s="7">
        <x:f t="shared" si="42"/>
        <x:v>710.95736169676502</x:v>
      </x:c>
      <x:c r="M227" s="7">
        <x:f t="shared" si="43"/>
        <x:v>74.092638303235034</x:v>
      </x:c>
      <x:c r="N227" s="7">
        <x:f t="shared" si="44"/>
        <x:v>785.05000000000007</x:v>
      </x:c>
    </x:row>
    <x:row r="228" spans="1:15" outlineLevel="2" x14ac:dyDescent="0.25">
      <x:c r="A228" s="1" t="s">
        <x:v>96</x:v>
      </x:c>
      <x:c r="B228" s="1" t="s">
        <x:v>36</x:v>
      </x:c>
      <x:c r="C228" s="2">
        <x:v>1788.9099999999999</x:v>
      </x:c>
      <x:c r="D228" s="2">
        <x:v>1789.0280951256129</x:v>
      </x:c>
      <x:c r="E228" s="2">
        <x:v>-0.11809512561315216</x:v>
      </x:c>
      <x:c r="F228" s="1">
        <x:v>55</x:v>
      </x:c>
      <x:c r="G228" s="1">
        <x:v>3.6470720000000001</x:v>
      </x:c>
      <x:c r="H228" s="9">
        <x:v>-0.25</x:v>
      </x:c>
      <x:c r="I228" s="2">
        <x:f t="shared" ref="I228:I235" si="45">+C228*(1-H228)*(1-G228/F228)</x:f>
        <x:v>2087.8583279199997</x:v>
      </x:c>
      <x:c r="J228" s="3">
        <x:f t="shared" ref="J228:J234" si="46">$J$235</x:f>
        <x:v>1.08286973314515</x:v>
      </x:c>
      <x:c r="K228" s="7">
        <x:f t="shared" ref="K228:K235" si="47">IF((C228*(1-H228)-I228*J228)&lt;0,C228*(1-H228),I228*J228)</x:f>
        <x:v>2236.1374999999998</x:v>
      </x:c>
      <x:c r="L228" s="7">
        <x:f t="shared" si="42"/>
        <x:v>2236.2851189070161</x:v>
      </x:c>
      <x:c r="M228" s="7">
        <x:f t="shared" si="43"/>
        <x:v>-0.1476189070164402</x:v>
      </x:c>
      <x:c r="N228" s="7">
        <x:f t="shared" si="44"/>
        <x:v>2236.1374999999998</x:v>
      </x:c>
    </x:row>
    <x:row r="229" spans="1:15" outlineLevel="2" x14ac:dyDescent="0.25">
      <x:c r="A229" s="1" t="s">
        <x:v>96</x:v>
      </x:c>
      <x:c r="B229" s="1" t="s">
        <x:v>35</x:v>
      </x:c>
      <x:c r="C229" s="2">
        <x:v>848.61999999999989</x:v>
      </x:c>
      <x:c r="D229" s="2">
        <x:v>1006.5248131298591</x:v>
      </x:c>
      <x:c r="E229" s="2">
        <x:v>-157.90481312985924</x:v>
      </x:c>
      <x:c r="F229" s="1">
        <x:v>55</x:v>
      </x:c>
      <x:c r="G229" s="1">
        <x:v>3.3402810000000001</x:v>
      </x:c>
      <x:c r="H229" s="9">
        <x:v>-0.25</x:v>
      </x:c>
      <x:c r="I229" s="2">
        <x:f t="shared" si="45"/>
        <x:v>996.35160767681805</x:v>
      </x:c>
      <x:c r="J229" s="3">
        <x:f t="shared" si="46"/>
        <x:v>1.08286973314515</x:v>
      </x:c>
      <x:c r="K229" s="7">
        <x:f t="shared" si="47"/>
        <x:v>1060.7749999999999</x:v>
      </x:c>
      <x:c r="L229" s="7">
        <x:f t="shared" si="42"/>
        <x:v>1258.1560164123239</x:v>
      </x:c>
      <x:c r="M229" s="7">
        <x:f t="shared" si="43"/>
        <x:v>-197.38101641232402</x:v>
      </x:c>
      <x:c r="N229" s="7">
        <x:f t="shared" si="44"/>
        <x:v>1060.7749999999999</x:v>
      </x:c>
    </x:row>
    <x:row r="230" spans="1:15" outlineLevel="2" x14ac:dyDescent="0.25">
      <x:c r="A230" s="1" t="s">
        <x:v>96</x:v>
      </x:c>
      <x:c r="B230" s="1" t="s">
        <x:v>33</x:v>
      </x:c>
      <x:c r="C230" s="2">
        <x:v>214.03</x:v>
      </x:c>
      <x:c r="D230" s="2">
        <x:v>214.03</x:v>
      </x:c>
      <x:c r="F230" s="1">
        <x:v>55</x:v>
      </x:c>
      <x:c r="G230" s="1">
        <x:v>2.0355059999999998</x:v>
      </x:c>
      <x:c r="H230" s="9">
        <x:v>-0.25</x:v>
      </x:c>
      <x:c r="I230" s="2">
        <x:f t="shared" si="45"/>
        <x:v>257.63615115500005</x:v>
      </x:c>
      <x:c r="J230" s="3">
        <x:f t="shared" si="46"/>
        <x:v>1.08286973314515</x:v>
      </x:c>
      <x:c r="K230" s="7">
        <x:f t="shared" si="47"/>
        <x:v>267.53750000000002</x:v>
      </x:c>
      <x:c r="L230" s="7">
        <x:f t="shared" si="42"/>
        <x:v>267.53750000000002</x:v>
      </x:c>
      <x:c r="M230" s="7">
        <x:f t="shared" si="43"/>
        <x:v>0</x:v>
      </x:c>
      <x:c r="N230" s="7">
        <x:f t="shared" si="44"/>
        <x:v>267.53750000000002</x:v>
      </x:c>
      <x:c r="O230" s="3"/>
    </x:row>
    <x:row r="231" spans="1:15" outlineLevel="2" x14ac:dyDescent="0.25">
      <x:c r="A231" s="1" t="s">
        <x:v>96</x:v>
      </x:c>
      <x:c r="B231" s="1" t="s">
        <x:v>97</x:v>
      </x:c>
      <x:c r="C231" s="2">
        <x:v>45</x:v>
      </x:c>
      <x:c r="D231" s="2">
        <x:v>45</x:v>
      </x:c>
      <x:c r="F231" s="1">
        <x:v>55</x:v>
      </x:c>
      <x:c r="G231" s="1">
        <x:v>1.7030430000000001</x:v>
      </x:c>
      <x:c r="H231" s="9">
        <x:v>-0.25</x:v>
      </x:c>
      <x:c r="I231" s="2">
        <x:f t="shared" si="45"/>
        <x:v>54.508251477272729</x:v>
      </x:c>
      <x:c r="J231" s="3">
        <x:f t="shared" si="46"/>
        <x:v>1.08286973314515</x:v>
      </x:c>
      <x:c r="K231" s="7">
        <x:f t="shared" si="47"/>
        <x:v>56.25</x:v>
      </x:c>
      <x:c r="L231" s="7">
        <x:f t="shared" si="42"/>
        <x:v>56.25</x:v>
      </x:c>
      <x:c r="M231" s="7">
        <x:f t="shared" si="43"/>
        <x:v>0</x:v>
      </x:c>
      <x:c r="N231" s="7">
        <x:f t="shared" si="44"/>
        <x:v>56.25</x:v>
      </x:c>
    </x:row>
    <x:row r="232" spans="1:15" outlineLevel="2" x14ac:dyDescent="0.25">
      <x:c r="A232" s="1" t="s">
        <x:v>96</x:v>
      </x:c>
      <x:c r="B232" s="1" t="s">
        <x:v>32</x:v>
      </x:c>
      <x:c r="C232" s="2">
        <x:v>1423.35</x:v>
      </x:c>
      <x:c r="D232" s="2">
        <x:v>1359.9363847212937</x:v>
      </x:c>
      <x:c r="E232" s="2">
        <x:v>63.413615278706203</x:v>
      </x:c>
      <x:c r="F232" s="1">
        <x:v>55</x:v>
      </x:c>
      <x:c r="G232" s="1">
        <x:v>1.0549770000000001</x:v>
      </x:c>
      <x:c r="H232" s="9">
        <x:v>-0.25</x:v>
      </x:c>
      <x:c r="I232" s="2">
        <x:f t="shared" si="45"/>
        <x:v>1745.0601928875001</x:v>
      </x:c>
      <x:c r="J232" s="3">
        <x:f t="shared" si="46"/>
        <x:v>1.08286973314515</x:v>
      </x:c>
      <x:c r="K232" s="7">
        <x:f t="shared" si="47"/>
        <x:v>1779.1875</x:v>
      </x:c>
      <x:c r="L232" s="7">
        <x:f t="shared" si="42"/>
        <x:v>1699.9204809016173</x:v>
      </x:c>
      <x:c r="M232" s="7">
        <x:f t="shared" si="43"/>
        <x:v>79.267019098382761</x:v>
      </x:c>
      <x:c r="N232" s="7">
        <x:f t="shared" si="44"/>
        <x:v>1779.1875</x:v>
      </x:c>
    </x:row>
    <x:row r="233" spans="1:15" outlineLevel="2" x14ac:dyDescent="0.25">
      <x:c r="A233" s="1" t="s">
        <x:v>96</x:v>
      </x:c>
      <x:c r="B233" s="1" t="s">
        <x:v>123</x:v>
      </x:c>
      <x:c r="C233" s="2">
        <x:v>216.75</x:v>
      </x:c>
      <x:c r="D233" s="2">
        <x:v>216.75</x:v>
      </x:c>
      <x:c r="F233" s="1">
        <x:v>55</x:v>
      </x:c>
      <x:c r="G233" s="1">
        <x:v>0</x:v>
      </x:c>
      <x:c r="H233" s="9">
        <x:v>-0.25</x:v>
      </x:c>
      <x:c r="I233" s="2">
        <x:f t="shared" si="45"/>
        <x:v>270.9375</x:v>
      </x:c>
      <x:c r="J233" s="3">
        <x:f t="shared" si="46"/>
        <x:v>1.08286973314515</x:v>
      </x:c>
      <x:c r="K233" s="7">
        <x:f t="shared" si="47"/>
        <x:v>270.9375</x:v>
      </x:c>
      <x:c r="L233" s="7">
        <x:f t="shared" si="42"/>
        <x:v>270.9375</x:v>
      </x:c>
      <x:c r="M233" s="7">
        <x:f t="shared" si="43"/>
        <x:v>0</x:v>
      </x:c>
      <x:c r="N233" s="7">
        <x:f t="shared" si="44"/>
        <x:v>270.9375</x:v>
      </x:c>
    </x:row>
    <x:row r="234" spans="1:15" outlineLevel="2" x14ac:dyDescent="0.25">
      <x:c r="A234" s="1" t="s">
        <x:v>96</x:v>
      </x:c>
      <x:c r="B234" s="1" t="s">
        <x:v>124</x:v>
      </x:c>
      <x:c r="C234" s="2">
        <x:v>226.76</x:v>
      </x:c>
      <x:c r="D234" s="2">
        <x:v>226.76</x:v>
      </x:c>
      <x:c r="F234" s="1">
        <x:v>55</x:v>
      </x:c>
      <x:c r="G234" s="1">
        <x:v>0</x:v>
      </x:c>
      <x:c r="H234" s="9">
        <x:v>-0.25</x:v>
      </x:c>
      <x:c r="I234" s="2">
        <x:f t="shared" si="45"/>
        <x:v>283.45</x:v>
      </x:c>
      <x:c r="J234" s="3">
        <x:f t="shared" si="46"/>
        <x:v>1.08286973314515</x:v>
      </x:c>
      <x:c r="K234" s="7">
        <x:f t="shared" si="47"/>
        <x:v>283.45</x:v>
      </x:c>
      <x:c r="L234" s="7">
        <x:f t="shared" si="42"/>
        <x:v>283.45</x:v>
      </x:c>
      <x:c r="M234" s="7">
        <x:f t="shared" si="43"/>
        <x:v>0</x:v>
      </x:c>
      <x:c r="N234" s="7">
        <x:f t="shared" si="44"/>
        <x:v>283.45</x:v>
      </x:c>
    </x:row>
    <x:row r="235" spans="1:15" outlineLevel="2" x14ac:dyDescent="0.25">
      <x:c r="A235" s="1" t="s">
        <x:v>96</x:v>
      </x:c>
      <x:c r="B235" s="1" t="s">
        <x:v>30</x:v>
      </x:c>
      <x:c r="C235" s="2">
        <x:v>-473.31</x:v>
      </x:c>
      <x:c r="D235" s="2">
        <x:v>-473.31</x:v>
      </x:c>
      <x:c r="F235" s="1">
        <x:v>55</x:v>
      </x:c>
      <x:c r="G235" s="1">
        <x:v>0</x:v>
      </x:c>
      <x:c r="H235" s="9">
        <x:v>-0.25</x:v>
      </x:c>
      <x:c r="I235" s="2">
        <x:f t="shared" si="45"/>
        <x:v>-591.63750000000005</x:v>
      </x:c>
      <x:c r="J235" s="3">
        <x:v>1.08286973314515</x:v>
      </x:c>
      <x:c r="K235" s="7">
        <x:f t="shared" si="47"/>
        <x:v>-640.66634174366368</x:v>
      </x:c>
      <x:c r="L235" s="7">
        <x:f t="shared" si="42"/>
        <x:v>-640.66634174366368</x:v>
      </x:c>
      <x:c r="M235" s="7">
        <x:f t="shared" si="43"/>
        <x:v>0</x:v>
      </x:c>
      <x:c r="N235" s="7">
        <x:f t="shared" si="44"/>
        <x:v>-640.66634174366368</x:v>
      </x:c>
    </x:row>
    <x:row r="236" spans="1:15" outlineLevel="1" x14ac:dyDescent="0.25">
      <x:c r="A236" s="4" t="s">
        <x:v>114</x:v>
      </x:c>
      <x:c r="C236" s="2">
        <x:f>SUBTOTAL(9,C132:C235)</x:f>
        <x:v>3346383042.5758958</x:v>
      </x:c>
      <x:c r="D236" s="2">
        <x:f>SUBTOTAL(9,D132:D235)</x:f>
        <x:v>2475128207.2022762</x:v>
      </x:c>
      <x:c r="E236" s="2">
        <x:f>SUBTOTAL(9,E132:E235)</x:f>
        <x:v>871254835.31361866</x:v>
      </x:c>
      <x:c r="F236" s="2"/>
      <x:c r="G236" s="2" t="s">
        <x:v>118</x:v>
      </x:c>
      <x:c r="H236" s="2"/>
      <x:c r="I236" s="2">
        <x:v>578715253.12959778</x:v>
      </x:c>
      <x:c r="J236" s="2" t="s">
        <x:v>118</x:v>
      </x:c>
      <x:c r="K236" s="7">
        <x:f>SUBTOTAL(9,K132:K235)</x:f>
        <x:v>638308805.66665745</x:v>
      </x:c>
      <x:c r="L236" s="7">
        <x:f>SUBTOTAL(9,L132:L235)</x:f>
        <x:v>506199349.28220993</x:v>
      </x:c>
      <x:c r="M236" s="7">
        <x:f>SUBTOTAL(9,M132:M235)</x:f>
        <x:v>132109456.37766477</x:v>
      </x:c>
      <x:c r="N236" s="7">
        <x:f>+L236+M236</x:f>
        <x:v>638308805.65987468</x:v>
      </x:c>
    </x:row>
    <x:row r="238" spans="1:15" x14ac:dyDescent="0.25">
      <x:c r="C238" s="2">
        <x:v>3346383042.5159168</x:v>
      </x:c>
    </x:row>
    <x:row r="239" spans="1:15" x14ac:dyDescent="0.25">
      <x:c r="C239" s="2">
        <x:f>+C236-C238</x:f>
        <x:v>5.9978961944580078E-2</x:v>
      </x:c>
    </x:row>
    <x:row r="244" spans="3:16" x14ac:dyDescent="0.25">
      <x:c r="C244" s="2">
        <x:v>103157564.72</x:v>
      </x:c>
      <x:c r="D244" s="2">
        <x:v>64787075.592238128</x:v>
      </x:c>
      <x:c r="E244" s="2">
        <x:v>38370489.127761856</x:v>
      </x:c>
      <x:c r="I244" s="2">
        <x:v>19151746.587684628</x:v>
      </x:c>
      <x:c r="K244" s="7">
        <x:v>25811570.761400919</x:v>
      </x:c>
      <x:c r="L244" s="7">
        <x:v>16292175.739379451</x:v>
      </x:c>
      <x:c r="M244" s="7">
        <x:v>9519395.0220214557</x:v>
      </x:c>
    </x:row>
    <x:row r="248" spans="3:16" x14ac:dyDescent="0.25">
      <x:c r="C248" s="2">
        <x:f>+C236+C244</x:f>
        <x:v>3449540607.2958956</x:v>
      </x:c>
      <x:c r="D248" s="2">
        <x:f t="shared" ref="D248:P248" si="48">+D236+D244</x:f>
        <x:v>2539915282.7945142</x:v>
      </x:c>
      <x:c r="E248" s="2">
        <x:f t="shared" si="48"/>
        <x:v>909625324.4413805</x:v>
      </x:c>
      <x:c r="F248" s="2">
        <x:f t="shared" si="48"/>
        <x:v>0</x:v>
      </x:c>
      <x:c r="G248" s="2" t="s">
        <x:v>118</x:v>
      </x:c>
      <x:c r="H248" s="2" t="s">
        <x:v>118</x:v>
      </x:c>
      <x:c r="I248" s="2">
        <x:f t="shared" si="48"/>
        <x:v>597866999.71728241</x:v>
      </x:c>
      <x:c r="J248" s="2"/>
      <x:c r="K248" s="2">
        <x:f t="shared" si="48"/>
        <x:v>664120376.42805839</x:v>
      </x:c>
      <x:c r="L248" s="2">
        <x:f t="shared" si="48"/>
        <x:v>522491525.0215894</x:v>
      </x:c>
      <x:c r="M248" s="2">
        <x:f t="shared" si="48"/>
        <x:v>141628851.39968622</x:v>
      </x:c>
      <x:c r="N248" s="2">
        <x:f t="shared" si="48"/>
        <x:v>638308805.65987468</x:v>
      </x:c>
      <x:c r="O248" s="2">
        <x:f t="shared" si="48"/>
        <x:v>0</x:v>
      </x:c>
      <x:c r="P248" s="2">
        <x:f t="shared" si="48"/>
        <x:v>0</x:v>
      </x:c>
    </x:row>
  </x:sheetData>
  <x:sortState xmlns:xlrd2="http://schemas.microsoft.com/office/spreadsheetml/2017/richdata2" ref="A2:E236">
    <x:sortCondition ref="A2:A236"/>
    <x:sortCondition descending="1" ref="B2:B236"/>
  </x:sortState>
  <x:pageMargins left="0.75" right="0.75" top="2" bottom="1" header="0.75" footer="0.5"/>
  <x:pageSetup scale="55" fitToHeight="0" orientation="landscape" r:id="rId1"/>
  <x:headerFooter>
    <x:oddHeader>&amp;C
2025 RATE CASE
ONCOR ELECTRIC DELIVERY COMPANY LLC
WP/II-B-5_5 ONCOR LEGACY DISTRIBUTION SUBSTATION
TEST  YEAR ENDED DECEMBER 31, 2024
SPONSOR: D. A. WATSON
&amp;RWP/II-B-5/5
Page   &amp;P of &amp;N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2025-04-04T19:01:58.0000000Z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/>
</file>