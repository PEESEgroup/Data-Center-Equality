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02017CC9-894F-44FB-A6F4-06EF01F7AA74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10 TCOS - 362 NTU" sheetId="1" r:id="rId1"/>
  </x:sheets>
  <x:definedNames>
    <x:definedName name="_xlnm._FilterDatabase" localSheetId="0" hidden="1">'WP II-B-1_10 TCOS - 362 NTU'!$A$1:$M$26</x:definedName>
    <x:definedName name="_xlnm.Print_Titles" localSheetId="0">'WP II-B-1_10 TCOS - 362 NTU'!$1:$1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K27" i="1" l="1"/>
  <x:c r="L27" i="1"/>
  <x:c r="M27" i="1"/>
  <x:c r="J27" i="1"/>
  <x:c r="D27" i="1"/>
  <x:c r="E27" i="1"/>
  <x:c r="F27" i="1"/>
  <x:c r="G27" i="1"/>
  <x:c r="C27" i="1"/>
  <x:c r="H29" i="1" l="1"/>
  <x:c r="I29" i="1" s="1"/>
</x:calcChain>
</file>

<file path=xl/sharedStrings.xml><?xml version="1.0" encoding="utf-8"?>
<sst xmlns="http://schemas.openxmlformats.org/spreadsheetml/2006/main" count="62" uniqueCount="62">
  <si>
    <t>(D + T)              DIST &amp; TCOS Investment Total Only</t>
  </si>
  <si>
    <t>(E)          TCOS % Based on Property Unit                  (T / (D + T))</t>
  </si>
  <si>
    <t>(F)           DIST % Based on Property Unit              (1 - E)</t>
  </si>
  <si>
    <t>(G)               TCOS % of Common Investment          (C * E)</t>
  </si>
  <si>
    <t>Total TCOS of 362                           (T +G)</t>
  </si>
  <si>
    <t>Total DIST of 362                           (D +H)</t>
  </si>
  <si>
    <t>Location</t>
  </si>
  <si>
    <t>Total 362</t>
  </si>
  <si>
    <t>Location Name</t>
  </si>
  <si>
    <t>(C)         Common Investment Based on Property Unit</t>
  </si>
  <si>
    <t>(T)                TCOS Investment Based on Property Unit</t>
  </si>
  <si>
    <t xml:space="preserve">Investment to Allocate to TCOS or DIST                   </t>
  </si>
  <si>
    <t>N006270</t>
  </si>
  <si>
    <t>Grady 138 - 25KV</t>
  </si>
  <si>
    <t>Luther 138 - 25KV</t>
  </si>
  <si>
    <t>Brown 138 - 12.5KV</t>
  </si>
  <si>
    <t>Elbow 138 - 25KV</t>
  </si>
  <si>
    <t>Airport Road 138 - 25KV</t>
  </si>
  <si>
    <t>Canal Road 138 - 25KV</t>
  </si>
  <si>
    <t>Carterville 138 - 25KV</t>
  </si>
  <si>
    <t>Coyote 138 - 25KV</t>
  </si>
  <si>
    <t>Driver 138 - 25KV</t>
  </si>
  <si>
    <t>East Stiles 138 - 25KV</t>
  </si>
  <si>
    <t>Glass Ranch 138 - 25KV</t>
  </si>
  <si>
    <t>Hadacol Corner 138 - 25KV</t>
  </si>
  <si>
    <t>Natural Dam 138 - 25KV</t>
  </si>
  <si>
    <t>Pecan Grove 138 - 25KV</t>
  </si>
  <si>
    <t>Dewey Lake Sub</t>
  </si>
  <si>
    <t>Ringo 138 - 25KV</t>
  </si>
  <si>
    <t>Salt Flat Road 138 - 25KV</t>
  </si>
  <si>
    <t>Salt Mine 138 - 25KV</t>
  </si>
  <si>
    <t>St. Lawrence 138 - 25KV</t>
  </si>
  <si>
    <t>Triangle 138KV</t>
  </si>
  <si>
    <t>Yosemite 138 - 12.5KV</t>
  </si>
  <si>
    <t>Elbow Creek Battery Station</t>
  </si>
  <si>
    <t>NTUSU DeltaStar Mob XFMR MT35</t>
  </si>
  <si>
    <t>N006030</t>
  </si>
  <si>
    <t>N006310</t>
  </si>
  <si>
    <t>N006100</t>
  </si>
  <si>
    <t>N006220</t>
  </si>
  <si>
    <t>N006400</t>
  </si>
  <si>
    <t>N006160</t>
  </si>
  <si>
    <t>N006180</t>
  </si>
  <si>
    <t>N006230</t>
  </si>
  <si>
    <t>N006170</t>
  </si>
  <si>
    <t>N006320</t>
  </si>
  <si>
    <t>N006420</t>
  </si>
  <si>
    <t>N006140</t>
  </si>
  <si>
    <t>N006090</t>
  </si>
  <si>
    <t>N006350</t>
  </si>
  <si>
    <t>N006060</t>
  </si>
  <si>
    <t>N006110</t>
  </si>
  <si>
    <t>N006150</t>
  </si>
  <si>
    <t>N006260</t>
  </si>
  <si>
    <t>N006010</t>
  </si>
  <si>
    <t>N006210</t>
  </si>
  <si>
    <t>N006070</t>
  </si>
  <si>
    <t>N006550</t>
  </si>
  <si>
    <t>N006551</t>
  </si>
  <si>
    <t>NTUSU HK Porter XFMR MT36</t>
  </si>
  <si>
    <t>(D)                     DIST Investment Based on Property Unit</t>
  </si>
  <si>
    <t>(H)                 DIST % of Common Investment         (C -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</si>
</sst>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_);[Red]\(#,##0.00000000\)"/>
    <numFmt numFmtId="165" formatCode="#,##0.0000000_);[Red]\(#,##0.0000000\)"/>
  </numFmts>
  <fonts count="6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1" xfId="0" applyFont="1" applyFill="1" applyBorder="1" applyAlignment="1">
      <alignment horizontal="center" wrapText="1"/>
    </xf>
    <xf numFmtId="40" fontId="2" fillId="0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wrapText="1"/>
    </xf>
    <xf numFmtId="0" fontId="3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40" fontId="3" fillId="0" borderId="0" xfId="0" applyNumberFormat="1" applyFont="1" applyFill="1"/>
    <xf numFmtId="40" fontId="3" fillId="0" borderId="0" xfId="0" applyNumberFormat="1" applyFont="1" applyFill="1" applyAlignment="1"/>
    <xf numFmtId="164" fontId="3" fillId="0" borderId="0" xfId="0" applyNumberFormat="1" applyFont="1" applyFill="1"/>
    <xf numFmtId="165" fontId="3" fillId="0" borderId="0" xfId="1" applyNumberFormat="1" applyFont="1" applyFill="1" applyAlignment="1">
      <alignment horizontal="center"/>
    </xf>
    <xf numFmtId="0" fontId="2" fillId="0" borderId="0" xfId="0" applyFont="1" applyFill="1" applyAlignment="1"/>
    <xf numFmtId="39" fontId="5" fillId="0" borderId="0" xfId="0" applyNumberFormat="1" applyFont="1" applyFill="1"/>
    <xf numFmtId="39" fontId="3" fillId="0" borderId="0" xfId="1" applyNumberFormat="1" applyFont="1" applyFill="1"/>
    <xf numFmtId="39" fontId="3" fillId="0" borderId="2" xfId="0" applyNumberFormat="1" applyFont="1" applyFill="1" applyBorder="1" applyAlignment="1"/>
    <xf numFmtId="40" fontId="2" fillId="0" borderId="3" xfId="0" applyNumberFormat="1" applyFont="1" applyFill="1" applyBorder="1" applyAlignment="1">
      <alignment horizontal="center"/>
    </xf>
    <xf numFmtId="164" fontId="2" fillId="0" borderId="4" xfId="0" applyNumberFormat="1" applyFont="1" applyFill="1" applyBorder="1"/>
    <xf numFmtId="164" fontId="2" fillId="0" borderId="5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M29"/>
  <x:sheetViews>
    <x:sheetView tabSelected="1" topLeftCell="C1" zoomScaleNormal="100" workbookViewId="0">
      <x:pane ySplit="1" topLeftCell="A2" activePane="bottomLeft" state="frozen"/>
      <x:selection pane="bottomLeft" activeCell="M27" sqref="M27"/>
    </x:sheetView>
  </x:sheetViews>
  <x:sheetFormatPr defaultColWidth="9.125" defaultRowHeight="15.65"/>
  <x:cols>
    <x:col min="1" max="1" width="10.875" style="5" bestFit="1" customWidth="1"/>
    <x:col min="2" max="2" width="47.5" style="6" bestFit="1" customWidth="1"/>
    <x:col min="3" max="3" width="18.125" style="7" bestFit="1" customWidth="1"/>
    <x:col min="4" max="4" width="21.125" style="7" customWidth="1"/>
    <x:col min="5" max="5" width="18.125" style="7" bestFit="1" customWidth="1"/>
    <x:col min="6" max="6" width="21.125" style="8" bestFit="1" customWidth="1"/>
    <x:col min="7" max="7" width="20" style="7" bestFit="1" customWidth="1"/>
    <x:col min="8" max="8" width="14.375" style="9" bestFit="1" customWidth="1"/>
    <x:col min="9" max="9" width="15" style="9" bestFit="1" customWidth="1"/>
    <x:col min="10" max="10" width="16.625" style="7" bestFit="1" customWidth="1"/>
    <x:col min="11" max="11" width="18.5" style="7" customWidth="1"/>
    <x:col min="12" max="12" width="18.125" style="7" bestFit="1" customWidth="1"/>
    <x:col min="13" max="13" width="20" style="7" bestFit="1" customWidth="1"/>
    <x:col min="14" max="16384" width="9.125" style="4"/>
  </x:cols>
  <x:sheetData>
    <x:row r="1" spans="1:13" ht="93.75">
      <x:c r="A1" s="1" t="s">
        <x:v>6</x:v>
      </x:c>
      <x:c r="B1" s="1" t="s">
        <x:v>8</x:v>
      </x:c>
      <x:c r="C1" s="2" t="s">
        <x:v>9</x:v>
      </x:c>
      <x:c r="D1" s="2" t="s">
        <x:v>60</x:v>
      </x:c>
      <x:c r="E1" s="2" t="s">
        <x:v>10</x:v>
      </x:c>
      <x:c r="F1" s="2" t="s">
        <x:v>11</x:v>
      </x:c>
      <x:c r="G1" s="2" t="s">
        <x:v>0</x:v>
      </x:c>
      <x:c r="H1" s="3" t="s">
        <x:v>1</x:v>
      </x:c>
      <x:c r="I1" s="3" t="s">
        <x:v>2</x:v>
      </x:c>
      <x:c r="J1" s="2" t="s">
        <x:v>3</x:v>
      </x:c>
      <x:c r="K1" s="2" t="s">
        <x:v>61</x:v>
      </x:c>
      <x:c r="L1" s="2" t="s">
        <x:v>4</x:v>
      </x:c>
      <x:c r="M1" s="2" t="s">
        <x:v>5</x:v>
      </x:c>
    </x:row>
    <x:row r="2" spans="1:13">
      <x:c r="A2" s="5" t="s">
        <x:v>12</x:v>
      </x:c>
      <x:c r="B2" s="11" t="s">
        <x:v>28</x:v>
      </x:c>
      <x:c r="C2" s="12">
        <x:v>108794.93</x:v>
      </x:c>
      <x:c r="D2" s="12">
        <x:v>3166513.45</x:v>
      </x:c>
      <x:c r="E2" s="12">
        <x:v>1203677.2</x:v>
      </x:c>
      <x:c r="F2" s="12">
        <x:v>4478985.58</x:v>
      </x:c>
      <x:c r="G2" s="13">
        <x:v>4370190.6500000004</x:v>
      </x:c>
      <x:c r="H2" s="10">
        <x:v>0.27542899072377997</x:v>
      </x:c>
      <x:c r="I2" s="10">
        <x:v>0.72457100927622009</x:v>
      </x:c>
      <x:c r="J2" s="13">
        <x:v>29965.279999999999</x:v>
      </x:c>
      <x:c r="K2" s="13">
        <x:v>78829.649999999994</x:v>
      </x:c>
      <x:c r="L2" s="13">
        <x:v>1233642.48</x:v>
      </x:c>
      <x:c r="M2" s="13">
        <x:v>3245343.1</x:v>
      </x:c>
    </x:row>
    <x:row r="3" spans="1:13">
      <x:c r="A3" s="5" t="s">
        <x:v>36</x:v>
      </x:c>
      <x:c r="B3" s="11" t="s">
        <x:v>15</x:v>
      </x:c>
      <x:c r="C3" s="12">
        <x:v>119329.96</x:v>
      </x:c>
      <x:c r="D3" s="12">
        <x:v>6318608.2000000002</x:v>
      </x:c>
      <x:c r="E3" s="12">
        <x:v>2035690.23</x:v>
      </x:c>
      <x:c r="F3" s="12">
        <x:v>8473628.3900000006</x:v>
      </x:c>
      <x:c r="G3" s="13">
        <x:v>8354298.4299999997</x:v>
      </x:c>
      <x:c r="H3" s="10">
        <x:v>0.2436698002898611</x:v>
      </x:c>
      <x:c r="I3" s="10">
        <x:v>0.75633019971013893</x:v>
      </x:c>
      <x:c r="J3" s="13">
        <x:v>29077.11</x:v>
      </x:c>
      <x:c r="K3" s="13">
        <x:v>90252.85</x:v>
      </x:c>
      <x:c r="L3" s="13">
        <x:v>2064767.34</x:v>
      </x:c>
      <x:c r="M3" s="13">
        <x:v>6408861.0499999998</x:v>
      </x:c>
    </x:row>
    <x:row r="4" spans="1:13">
      <x:c r="A4" s="5" t="s">
        <x:v>37</x:v>
      </x:c>
      <x:c r="B4" s="11" t="s">
        <x:v>29</x:v>
      </x:c>
      <x:c r="C4" s="12">
        <x:v>504190.44</x:v>
      </x:c>
      <x:c r="D4" s="12">
        <x:v>6528356.9199999999</x:v>
      </x:c>
      <x:c r="E4" s="12">
        <x:v>1542274.36</x:v>
      </x:c>
      <x:c r="F4" s="12">
        <x:v>8574821.7200000007</x:v>
      </x:c>
      <x:c r="G4" s="13">
        <x:v>8070631.2800000003</x:v>
      </x:c>
      <x:c r="H4" s="10">
        <x:v>0.19109711576366303</x:v>
      </x:c>
      <x:c r="I4" s="10">
        <x:v>0.80890288423633694</x:v>
      </x:c>
      <x:c r="J4" s="13">
        <x:v>96349.34</x:v>
      </x:c>
      <x:c r="K4" s="13">
        <x:v>407841.1</x:v>
      </x:c>
      <x:c r="L4" s="13">
        <x:v>1638623.7000000002</x:v>
      </x:c>
      <x:c r="M4" s="13">
        <x:v>6936198.0199999996</x:v>
      </x:c>
    </x:row>
    <x:row r="5" spans="1:13">
      <x:c r="A5" s="5" t="s">
        <x:v>38</x:v>
      </x:c>
      <x:c r="B5" s="11" t="s">
        <x:v>21</x:v>
      </x:c>
      <x:c r="C5" s="12">
        <x:v>672565.78</x:v>
      </x:c>
      <x:c r="D5" s="12">
        <x:v>7349035.3399999999</x:v>
      </x:c>
      <x:c r="E5" s="12">
        <x:v>3141058.19</x:v>
      </x:c>
      <x:c r="F5" s="12">
        <x:v>11162659.310000001</x:v>
      </x:c>
      <x:c r="G5" s="13">
        <x:v>10490093.529999999</x:v>
      </x:c>
      <x:c r="H5" s="10">
        <x:v>0.29943090412083295</x:v>
      </x:c>
      <x:c r="I5" s="10">
        <x:v>0.70056909587916705</x:v>
      </x:c>
      <x:c r="J5" s="13">
        <x:v>201386.98</x:v>
      </x:c>
      <x:c r="K5" s="13">
        <x:v>471178.80000000005</x:v>
      </x:c>
      <x:c r="L5" s="13">
        <x:v>3342445.17</x:v>
      </x:c>
      <x:c r="M5" s="13">
        <x:v>7820214.1399999997</x:v>
      </x:c>
    </x:row>
    <x:row r="6" spans="1:13">
      <x:c r="A6" s="5" t="s">
        <x:v>39</x:v>
      </x:c>
      <x:c r="B6" s="11" t="s">
        <x:v>25</x:v>
      </x:c>
      <x:c r="C6" s="12">
        <x:v>212882.25</x:v>
      </x:c>
      <x:c r="D6" s="12">
        <x:v>3266260.89</x:v>
      </x:c>
      <x:c r="E6" s="12">
        <x:v>1836622.21</x:v>
      </x:c>
      <x:c r="F6" s="12">
        <x:v>5315765.3499999996</x:v>
      </x:c>
      <x:c r="G6" s="13">
        <x:v>5102883.0999999996</x:v>
      </x:c>
      <x:c r="H6" s="10">
        <x:v>0.35991853507284932</x:v>
      </x:c>
      <x:c r="I6" s="10">
        <x:v>0.64008146492715068</x:v>
      </x:c>
      <x:c r="J6" s="13">
        <x:v>76620.27</x:v>
      </x:c>
      <x:c r="K6" s="13">
        <x:v>136261.97999999998</x:v>
      </x:c>
      <x:c r="L6" s="13">
        <x:v>1913242.48</x:v>
      </x:c>
      <x:c r="M6" s="13">
        <x:v>3402522.87</x:v>
      </x:c>
    </x:row>
    <x:row r="7" spans="1:13">
      <x:c r="A7" s="5" t="s">
        <x:v>40</x:v>
      </x:c>
      <x:c r="B7" s="11" t="s">
        <x:v>32</x:v>
      </x:c>
      <x:c r="C7" s="12">
        <x:v>663693.31000000006</x:v>
      </x:c>
      <x:c r="D7" s="12">
        <x:v>438731.52000000002</x:v>
      </x:c>
      <x:c r="E7" s="12">
        <x:v>1463074.16</x:v>
      </x:c>
      <x:c r="F7" s="12">
        <x:v>2565498.9900000002</x:v>
      </x:c>
      <x:c r="G7" s="13">
        <x:v>1901805.68</x:v>
      </x:c>
      <x:c r="H7" s="10">
        <x:v>0.76930791372965079</x:v>
      </x:c>
      <x:c r="I7" s="10">
        <x:v>0.23069208627034921</x:v>
      </x:c>
      <x:c r="J7" s="13">
        <x:v>510584.52</x:v>
      </x:c>
      <x:c r="K7" s="13">
        <x:v>153108.79000000004</x:v>
      </x:c>
      <x:c r="L7" s="13">
        <x:v>1973658.68</x:v>
      </x:c>
      <x:c r="M7" s="13">
        <x:v>591840.31000000006</x:v>
      </x:c>
    </x:row>
    <x:row r="8" spans="1:13">
      <x:c r="A8" s="5" t="s">
        <x:v>41</x:v>
      </x:c>
      <x:c r="B8" s="11" t="s">
        <x:v>23</x:v>
      </x:c>
      <x:c r="C8" s="12">
        <x:v>223737.17</x:v>
      </x:c>
      <x:c r="D8" s="12">
        <x:v>3450881.93</x:v>
      </x:c>
      <x:c r="E8" s="12">
        <x:v>3067080.68</x:v>
      </x:c>
      <x:c r="F8" s="12">
        <x:v>6741699.7800000003</x:v>
      </x:c>
      <x:c r="G8" s="13">
        <x:v>6517962.6100000003</x:v>
      </x:c>
      <x:c r="H8" s="10">
        <x:v>0.47055818873437816</x:v>
      </x:c>
      <x:c r="I8" s="10">
        <x:v>0.52944181126562184</x:v>
      </x:c>
      <x:c r="J8" s="13">
        <x:v>105281.36</x:v>
      </x:c>
      <x:c r="K8" s="13">
        <x:v>118455.81000000001</x:v>
      </x:c>
      <x:c r="L8" s="13">
        <x:v>3172362.04</x:v>
      </x:c>
      <x:c r="M8" s="13">
        <x:v>3569337.74</x:v>
      </x:c>
    </x:row>
    <x:row r="9" spans="1:13">
      <x:c r="A9" s="5" t="s">
        <x:v>42</x:v>
      </x:c>
      <x:c r="B9" s="11" t="s">
        <x:v>24</x:v>
      </x:c>
      <x:c r="C9" s="12">
        <x:v>245869.12</x:v>
      </x:c>
      <x:c r="D9" s="12">
        <x:v>2040684.15</x:v>
      </x:c>
      <x:c r="E9" s="12">
        <x:v>735466.51</x:v>
      </x:c>
      <x:c r="F9" s="12">
        <x:v>3022019.7800000003</x:v>
      </x:c>
      <x:c r="G9" s="13">
        <x:v>2776150.66</x:v>
      </x:c>
      <x:c r="H9" s="10">
        <x:v>0.26492312560587039</x:v>
      </x:c>
      <x:c r="I9" s="10">
        <x:v>0.73507687439412961</x:v>
      </x:c>
      <x:c r="J9" s="13">
        <x:v>65136.42</x:v>
      </x:c>
      <x:c r="K9" s="13">
        <x:v>180732.7</x:v>
      </x:c>
      <x:c r="L9" s="13">
        <x:v>800602.93</x:v>
      </x:c>
      <x:c r="M9" s="13">
        <x:v>2221416.85</x:v>
      </x:c>
    </x:row>
    <x:row r="10" spans="1:13">
      <x:c r="A10" s="5" t="s">
        <x:v>43</x:v>
      </x:c>
      <x:c r="B10" s="11" t="s">
        <x:v>26</x:v>
      </x:c>
      <x:c r="C10" s="12">
        <x:v>535360.1</x:v>
      </x:c>
      <x:c r="D10" s="12">
        <x:v>2400224.88</x:v>
      </x:c>
      <x:c r="E10" s="12">
        <x:v>1619663.92</x:v>
      </x:c>
      <x:c r="F10" s="12">
        <x:v>4555248.9000000004</x:v>
      </x:c>
      <x:c r="G10" s="13">
        <x:v>4019888.8</x:v>
      </x:c>
      <x:c r="H10" s="10">
        <x:v>0.40291261788137023</x:v>
      </x:c>
      <x:c r="I10" s="10">
        <x:v>0.59708738211862977</x:v>
      </x:c>
      <x:c r="J10" s="13">
        <x:v>215703.34</x:v>
      </x:c>
      <x:c r="K10" s="13">
        <x:v>319656.76</x:v>
      </x:c>
      <x:c r="L10" s="13">
        <x:v>1835367.26</x:v>
      </x:c>
      <x:c r="M10" s="13">
        <x:v>2719881.6399999997</x:v>
      </x:c>
    </x:row>
    <x:row r="11" spans="1:13">
      <x:c r="A11" s="5" t="s">
        <x:v>44</x:v>
      </x:c>
      <x:c r="B11" s="11" t="s">
        <x:v>13</x:v>
      </x:c>
      <x:c r="C11" s="12">
        <x:v>220328.63</x:v>
      </x:c>
      <x:c r="D11" s="12">
        <x:v>2376554.98</x:v>
      </x:c>
      <x:c r="E11" s="12">
        <x:v>1602444.41</x:v>
      </x:c>
      <x:c r="F11" s="12">
        <x:v>4199328.0199999996</x:v>
      </x:c>
      <x:c r="G11" s="13">
        <x:v>3978999.3899999997</x:v>
      </x:c>
      <x:c r="H11" s="10">
        <x:v>0.40272547264703151</x:v>
      </x:c>
      <x:c r="I11" s="10">
        <x:v>0.59727452735296849</x:v>
      </x:c>
      <x:c r="J11" s="13">
        <x:v>88731.95</x:v>
      </x:c>
      <x:c r="K11" s="13">
        <x:v>131596.68</x:v>
      </x:c>
      <x:c r="L11" s="13">
        <x:v>1691176.3599999999</x:v>
      </x:c>
      <x:c r="M11" s="13">
        <x:v>2508151.66</x:v>
      </x:c>
    </x:row>
    <x:row r="12" spans="1:13">
      <x:c r="A12" s="5" t="s">
        <x:v>45</x:v>
      </x:c>
      <x:c r="B12" s="11" t="s">
        <x:v>30</x:v>
      </x:c>
      <x:c r="C12" s="12">
        <x:v>13644.88</x:v>
      </x:c>
      <x:c r="D12" s="12">
        <x:v>215022.81</x:v>
      </x:c>
      <x:c r="E12" s="12">
        <x:v>670697.41</x:v>
      </x:c>
      <x:c r="F12" s="12">
        <x:v>899365.10000000009</x:v>
      </x:c>
      <x:c r="G12" s="13">
        <x:v>885720.22</x:v>
      </x:c>
      <x:c r="H12" s="10">
        <x:v>0.75723393782293924</x:v>
      </x:c>
      <x:c r="I12" s="10">
        <x:v>0.24276606217706076</x:v>
      </x:c>
      <x:c r="J12" s="13">
        <x:v>10332.370000000001</x:v>
      </x:c>
      <x:c r="K12" s="13">
        <x:v>3312.5099999999984</x:v>
      </x:c>
      <x:c r="L12" s="13">
        <x:v>681029.78</x:v>
      </x:c>
      <x:c r="M12" s="13">
        <x:v>218335.32</x:v>
      </x:c>
    </x:row>
    <x:row r="13" spans="1:13">
      <x:c r="A13" s="5" t="s">
        <x:v>46</x:v>
      </x:c>
      <x:c r="B13" s="11" t="s">
        <x:v>33</x:v>
      </x:c>
      <x:c r="C13" s="12">
        <x:v>230046.16</x:v>
      </x:c>
      <x:c r="D13" s="12">
        <x:v>860780.14</x:v>
      </x:c>
      <x:c r="E13" s="12">
        <x:v>683367.86</x:v>
      </x:c>
      <x:c r="F13" s="12">
        <x:v>1774194.1600000001</x:v>
      </x:c>
      <x:c r="G13" s="13">
        <x:v>1544148</x:v>
      </x:c>
      <x:c r="H13" s="10">
        <x:v>0.44255334333237489</x:v>
      </x:c>
      <x:c r="I13" s="10">
        <x:v>0.55744665666762505</x:v>
      </x:c>
      <x:c r="J13" s="13">
        <x:v>101807.7</x:v>
      </x:c>
      <x:c r="K13" s="13">
        <x:v>128238.46</x:v>
      </x:c>
      <x:c r="L13" s="13">
        <x:v>785175.55999999994</x:v>
      </x:c>
      <x:c r="M13" s="13">
        <x:v>989018.6</x:v>
      </x:c>
    </x:row>
    <x:row r="14" spans="1:13">
      <x:c r="A14" s="5" t="s">
        <x:v>47</x:v>
      </x:c>
      <x:c r="B14" s="11" t="s">
        <x:v>16</x:v>
      </x:c>
      <x:c r="C14" s="12">
        <x:v>85879.92</x:v>
      </x:c>
      <x:c r="D14" s="12">
        <x:v>334049.34999999998</x:v>
      </x:c>
      <x:c r="E14" s="12">
        <x:v>854694.11</x:v>
      </x:c>
      <x:c r="F14" s="12">
        <x:v>1274623.3799999999</x:v>
      </x:c>
      <x:c r="G14" s="13">
        <x:v>1188743.46</x:v>
      </x:c>
      <x:c r="H14" s="10">
        <x:v>0.71898953706967184</x:v>
      </x:c>
      <x:c r="I14" s="10">
        <x:v>0.28101046293032816</x:v>
      </x:c>
      <x:c r="J14" s="13">
        <x:v>61746.76</x:v>
      </x:c>
      <x:c r="K14" s="13">
        <x:v>24133.159999999996</x:v>
      </x:c>
      <x:c r="L14" s="13">
        <x:v>916440.87</x:v>
      </x:c>
      <x:c r="M14" s="13">
        <x:v>358182.50999999995</x:v>
      </x:c>
    </x:row>
    <x:row r="15" spans="1:13">
      <x:c r="A15" s="5" t="s">
        <x:v>48</x:v>
      </x:c>
      <x:c r="B15" s="11" t="s">
        <x:v>20</x:v>
      </x:c>
      <x:c r="C15" s="12">
        <x:v>154705.22</x:v>
      </x:c>
      <x:c r="D15" s="12">
        <x:v>3059960.76</x:v>
      </x:c>
      <x:c r="E15" s="12">
        <x:v>1081857.75</x:v>
      </x:c>
      <x:c r="F15" s="12">
        <x:v>4296523.7300000004</x:v>
      </x:c>
      <x:c r="G15" s="13">
        <x:v>4141818.51</x:v>
      </x:c>
      <x:c r="H15" s="10">
        <x:v>0.26120356249023574</x:v>
      </x:c>
      <x:c r="I15" s="10">
        <x:v>0.7387964375097642</x:v>
      </x:c>
      <x:c r="J15" s="13">
        <x:v>40409.550000000003</x:v>
      </x:c>
      <x:c r="K15" s="13">
        <x:v>114295.67</x:v>
      </x:c>
      <x:c r="L15" s="13">
        <x:v>1122267.3</x:v>
      </x:c>
      <x:c r="M15" s="13">
        <x:v>3174256.4299999997</x:v>
      </x:c>
    </x:row>
    <x:row r="16" spans="1:13">
      <x:c r="A16" s="5" t="s">
        <x:v>49</x:v>
      </x:c>
      <x:c r="B16" s="11" t="s">
        <x:v>31</x:v>
      </x:c>
      <x:c r="C16" s="12">
        <x:v>744491.37</x:v>
      </x:c>
      <x:c r="D16" s="12">
        <x:v>457090.21</x:v>
      </x:c>
      <x:c r="E16" s="12">
        <x:v>1248664.7</x:v>
      </x:c>
      <x:c r="F16" s="12">
        <x:v>2450246.2800000003</x:v>
      </x:c>
      <x:c r="G16" s="13">
        <x:v>1705754.91</x:v>
      </x:c>
      <x:c r="H16" s="10">
        <x:v>0.73203054710831816</x:v>
      </x:c>
      <x:c r="I16" s="10">
        <x:v>0.26796945289168184</x:v>
      </x:c>
      <x:c r="J16" s="13">
        <x:v>544990.42000000004</x:v>
      </x:c>
      <x:c r="K16" s="13">
        <x:v>199500.94999999995</x:v>
      </x:c>
      <x:c r="L16" s="13">
        <x:v>1793655.12</x:v>
      </x:c>
      <x:c r="M16" s="13">
        <x:v>656591.15999999992</x:v>
      </x:c>
    </x:row>
    <x:row r="17" spans="1:13">
      <x:c r="A17" s="5" t="s">
        <x:v>50</x:v>
      </x:c>
      <x:c r="B17" s="11" t="s">
        <x:v>18</x:v>
      </x:c>
      <x:c r="C17" s="12">
        <x:v>817542.03</x:v>
      </x:c>
      <x:c r="D17" s="12">
        <x:v>4979958.95</x:v>
      </x:c>
      <x:c r="E17" s="12">
        <x:v>4723993.21</x:v>
      </x:c>
      <x:c r="F17" s="12">
        <x:v>10521494.190000001</x:v>
      </x:c>
      <x:c r="G17" s="13">
        <x:v>9703952.1600000001</x:v>
      </x:c>
      <x:c r="H17" s="10">
        <x:v>0.48681126329872587</x:v>
      </x:c>
      <x:c r="I17" s="10">
        <x:v>0.51318873670127418</x:v>
      </x:c>
      <x:c r="J17" s="13">
        <x:v>397988.67</x:v>
      </x:c>
      <x:c r="K17" s="13">
        <x:v>419553.36000000004</x:v>
      </x:c>
      <x:c r="L17" s="13">
        <x:v>5121981.88</x:v>
      </x:c>
      <x:c r="M17" s="13">
        <x:v>5399512.3100000005</x:v>
      </x:c>
    </x:row>
    <x:row r="18" spans="1:13">
      <x:c r="A18" s="5" t="s">
        <x:v>51</x:v>
      </x:c>
      <x:c r="B18" s="11" t="s">
        <x:v>22</x:v>
      </x:c>
      <x:c r="C18" s="12">
        <x:v>606359.93000000005</x:v>
      </x:c>
      <x:c r="D18" s="12">
        <x:v>1517099.27</x:v>
      </x:c>
      <x:c r="E18" s="12">
        <x:v>1442153.54</x:v>
      </x:c>
      <x:c r="F18" s="12">
        <x:v>3565612.74</x:v>
      </x:c>
      <x:c r="G18" s="13">
        <x:v>2959252.81</x:v>
      </x:c>
      <x:c r="H18" s="10">
        <x:v>0.48733705181477888</x:v>
      </x:c>
      <x:c r="I18" s="10">
        <x:v>0.51266294818522118</x:v>
      </x:c>
      <x:c r="J18" s="13">
        <x:v>295501.65999999997</x:v>
      </x:c>
      <x:c r="K18" s="13">
        <x:v>310858.27000000008</x:v>
      </x:c>
      <x:c r="L18" s="13">
        <x:v>1737655.2</x:v>
      </x:c>
      <x:c r="M18" s="13">
        <x:v>1827957.54</x:v>
      </x:c>
    </x:row>
    <x:row r="19" spans="1:13">
      <x:c r="A19" s="5" t="s">
        <x:v>52</x:v>
      </x:c>
      <x:c r="B19" s="11" t="s">
        <x:v>34</x:v>
      </x:c>
      <x:c r="C19" s="12">
        <x:v>17456.55</x:v>
      </x:c>
      <x:c r="D19" s="12">
        <x:v>2531.9499999999998</x:v>
      </x:c>
      <x:c r="E19" s="12">
        <x:v>0</x:v>
      </x:c>
      <x:c r="F19" s="12">
        <x:v>19988.5</x:v>
      </x:c>
      <x:c r="G19" s="13">
        <x:v>2531.9499999999998</x:v>
      </x:c>
      <x:c r="H19" s="10">
        <x:v>0</x:v>
      </x:c>
      <x:c r="I19" s="10">
        <x:v>1</x:v>
      </x:c>
      <x:c r="J19" s="13">
        <x:v>0</x:v>
      </x:c>
      <x:c r="K19" s="13">
        <x:v>17456.55</x:v>
      </x:c>
      <x:c r="L19" s="13">
        <x:v>0</x:v>
      </x:c>
      <x:c r="M19" s="13">
        <x:v>19988.5</x:v>
      </x:c>
    </x:row>
    <x:row r="20" spans="1:13">
      <x:c r="A20" s="5" t="s">
        <x:v>53</x:v>
      </x:c>
      <x:c r="B20" s="11" t="s">
        <x:v>27</x:v>
      </x:c>
      <x:c r="C20" s="12">
        <x:v>1251365.74</x:v>
      </x:c>
      <x:c r="D20" s="12">
        <x:v>2829585.92</x:v>
      </x:c>
      <x:c r="E20" s="12">
        <x:v>1425818.95</x:v>
      </x:c>
      <x:c r="F20" s="12">
        <x:v>5506770.6100000003</x:v>
      </x:c>
      <x:c r="G20" s="13">
        <x:v>4255404.87</x:v>
      </x:c>
      <x:c r="H20" s="10">
        <x:v>0.33506070363640861</x:v>
      </x:c>
      <x:c r="I20" s="10">
        <x:v>0.66493929636359139</x:v>
      </x:c>
      <x:c r="J20" s="13">
        <x:v>419283.49</x:v>
      </x:c>
      <x:c r="K20" s="13">
        <x:v>832082.25</x:v>
      </x:c>
      <x:c r="L20" s="13">
        <x:v>1845102.44</x:v>
      </x:c>
      <x:c r="M20" s="13">
        <x:v>3661668.17</x:v>
      </x:c>
    </x:row>
    <x:row r="21" spans="1:13">
      <x:c r="A21" s="5" t="s">
        <x:v>54</x:v>
      </x:c>
      <x:c r="B21" s="11" t="s">
        <x:v>17</x:v>
      </x:c>
      <x:c r="C21" s="12">
        <x:v>560311.5</x:v>
      </x:c>
      <x:c r="D21" s="12">
        <x:v>1345459.89</x:v>
      </x:c>
      <x:c r="E21" s="12">
        <x:v>1206764.96</x:v>
      </x:c>
      <x:c r="F21" s="12">
        <x:v>3112536.3499999996</x:v>
      </x:c>
      <x:c r="G21" s="13">
        <x:v>2552224.8499999996</x:v>
      </x:c>
      <x:c r="H21" s="10">
        <x:v>0.47282862244680368</x:v>
      </x:c>
      <x:c r="I21" s="10">
        <x:v>0.52717137755319632</x:v>
      </x:c>
      <x:c r="J21" s="13">
        <x:v>264931.31</x:v>
      </x:c>
      <x:c r="K21" s="13">
        <x:v>295380.19</x:v>
      </x:c>
      <x:c r="L21" s="13">
        <x:v>1471696.27</x:v>
      </x:c>
      <x:c r="M21" s="13">
        <x:v>1640840.0799999998</x:v>
      </x:c>
    </x:row>
    <x:row r="22" spans="1:13">
      <x:c r="A22" s="5" t="s">
        <x:v>55</x:v>
      </x:c>
      <x:c r="B22" s="11" t="s">
        <x:v>14</x:v>
      </x:c>
      <x:c r="C22" s="12">
        <x:v>649554.43000000005</x:v>
      </x:c>
      <x:c r="D22" s="12">
        <x:v>1356963.86</x:v>
      </x:c>
      <x:c r="E22" s="12">
        <x:v>1185193.8700000001</x:v>
      </x:c>
      <x:c r="F22" s="12">
        <x:v>3191712.16</x:v>
      </x:c>
      <x:c r="G22" s="13">
        <x:v>2542157.7300000004</x:v>
      </x:c>
      <x:c r="H22" s="10">
        <x:v>0.46621570959721681</x:v>
      </x:c>
      <x:c r="I22" s="10">
        <x:v>0.53378429040278319</x:v>
      </x:c>
      <x:c r="J22" s="13">
        <x:v>302832.48</x:v>
      </x:c>
      <x:c r="K22" s="13">
        <x:v>346721.95000000007</x:v>
      </x:c>
      <x:c r="L22" s="13">
        <x:v>1488026.35</x:v>
      </x:c>
      <x:c r="M22" s="13">
        <x:v>1703685.81</x:v>
      </x:c>
    </x:row>
    <x:row r="23" spans="1:13">
      <x:c r="A23" s="5" t="s">
        <x:v>56</x:v>
      </x:c>
      <x:c r="B23" s="11" t="s">
        <x:v>19</x:v>
      </x:c>
      <x:c r="C23" s="12">
        <x:v>210498.08</x:v>
      </x:c>
      <x:c r="D23" s="12">
        <x:v>2376903.16</x:v>
      </x:c>
      <x:c r="E23" s="12">
        <x:v>1579080.81</x:v>
      </x:c>
      <x:c r="F23" s="12">
        <x:v>4166482.0500000003</x:v>
      </x:c>
      <x:c r="G23" s="13">
        <x:v>3955983.97</x:v>
      </x:c>
      <x:c r="H23" s="10">
        <x:v>0.39916259064113446</x:v>
      </x:c>
      <x:c r="I23" s="10">
        <x:v>0.60083740935886554</x:v>
      </x:c>
      <x:c r="J23" s="13">
        <x:v>84022.96</x:v>
      </x:c>
      <x:c r="K23" s="13">
        <x:v>126475.11999999998</x:v>
      </x:c>
      <x:c r="L23" s="13">
        <x:v>1663103.77</x:v>
      </x:c>
      <x:c r="M23" s="13">
        <x:v>2503378.2800000003</x:v>
      </x:c>
    </x:row>
    <x:row r="24" spans="1:13">
      <x:c r="A24" s="5" t="s">
        <x:v>57</x:v>
      </x:c>
      <x:c r="B24" s="11" t="s">
        <x:v>35</x:v>
      </x:c>
      <x:c r="C24" s="12">
        <x:v>355245.38</x:v>
      </x:c>
      <x:c r="D24" s="12">
        <x:v>2860444.64</x:v>
      </x:c>
      <x:c r="E24" s="12">
        <x:v>68673.41</x:v>
      </x:c>
      <x:c r="F24" s="12">
        <x:v>3284363.43</x:v>
      </x:c>
      <x:c r="G24" s="13">
        <x:v>2929118.0500000003</x:v>
      </x:c>
      <x:c r="H24" s="10">
        <x:v>2.3445081020206746E-2</x:v>
      </x:c>
      <x:c r="I24" s="10">
        <x:v>0.9765549189797933</x:v>
      </x:c>
      <x:c r="J24" s="13">
        <x:v>8328.76</x:v>
      </x:c>
      <x:c r="K24" s="13">
        <x:v>346916.62</x:v>
      </x:c>
      <x:c r="L24" s="13">
        <x:v>77002.17</x:v>
      </x:c>
      <x:c r="M24" s="13">
        <x:v>3207361.2600000002</x:v>
      </x:c>
    </x:row>
    <x:row r="25" spans="1:13">
      <x:c r="A25" s="5" t="s">
        <x:v>58</x:v>
      </x:c>
      <x:c r="B25" s="11" t="s">
        <x:v>59</x:v>
      </x:c>
      <x:c r="C25" s="12">
        <x:v>3996.22</x:v>
      </x:c>
      <x:c r="D25" s="12">
        <x:v>0</x:v>
      </x:c>
      <x:c r="E25" s="12">
        <x:v>0</x:v>
      </x:c>
      <x:c r="F25" s="12">
        <x:v>3996.22</x:v>
      </x:c>
      <x:c r="G25" s="13">
        <x:v>0</x:v>
      </x:c>
      <x:c r="H25" s="10">
        <x:v>0.36634504131136614</x:v>
      </x:c>
      <x:c r="I25" s="10">
        <x:v>0.63365495868863386</x:v>
      </x:c>
      <x:c r="J25" s="13">
        <x:v>1464</x:v>
      </x:c>
      <x:c r="K25" s="13">
        <x:v>2532.2199999999998</x:v>
      </x:c>
      <x:c r="L25" s="13">
        <x:v>1464</x:v>
      </x:c>
      <x:c r="M25" s="13">
        <x:v>2532.2199999999998</x:v>
      </x:c>
    </x:row>
    <x:row r="26" spans="1:13">
      <x:c r="B26" s="11"/>
      <x:c r="C26" s="12"/>
      <x:c r="D26" s="12"/>
      <x:c r="E26" s="12"/>
      <x:c r="F26" s="12"/>
      <x:c r="G26" s="13"/>
      <x:c r="H26" s="10"/>
      <x:c r="I26" s="10"/>
      <x:c r="J26" s="13"/>
      <x:c r="K26" s="13"/>
      <x:c r="L26" s="13"/>
      <x:c r="M26" s="13"/>
    </x:row>
    <x:row r="27" spans="1:13" ht="16.3" thickBot="1">
      <x:c r="C27" s="14">
        <x:f>SUM(C2:C26)</x:f>
        <x:v>9207849.1000000015</x:v>
      </x:c>
      <x:c r="D27" s="14">
        <x:f>SUM(D2:D26)</x:f>
        <x:v>59531703.170000017</x:v>
      </x:c>
      <x:c r="E27" s="14">
        <x:f>SUM(E2:E26)</x:f>
        <x:v>34418012.449999996</x:v>
      </x:c>
      <x:c r="F27" s="14">
        <x:f>SUM(F2:F26)</x:f>
        <x:v>103157564.72</x:v>
      </x:c>
      <x:c r="G27" s="14">
        <x:f>SUM(G2:G26)</x:f>
        <x:v>93949715.61999999</x:v>
      </x:c>
      <x:c r="J27" s="14">
        <x:f>SUM(J2:J26)</x:f>
        <x:v>3952476.7</x:v>
      </x:c>
      <x:c r="K27" s="14">
        <x:f>SUM(K2:K26)</x:f>
        <x:v>5255372.4000000004</x:v>
      </x:c>
      <x:c r="L27" s="14">
        <x:f>SUM(L2:L26)</x:f>
        <x:v>38370489.150000013</x:v>
      </x:c>
      <x:c r="M27" s="14">
        <x:f>SUM(M2:M26)</x:f>
        <x:v>64787075.569999993</x:v>
      </x:c>
    </x:row>
    <x:row r="28" spans="1:13" ht="17" thickTop="1" thickBot="1"/>
    <x:row r="29" spans="1:13" ht="16.3" thickBot="1">
      <x:c r="G29" s="15" t="s">
        <x:v>7</x:v>
      </x:c>
      <x:c r="H29" s="16">
        <x:f>E27/G27</x:f>
        <x:v>0.36634504131136614</x:v>
      </x:c>
      <x:c r="I29" s="17">
        <x:f>1-H29</x:f>
        <x:v>0.63365495868863386</x:v>
      </x:c>
    </x:row>
  </x:sheetData>
  <x:phoneticPr fontId="1" type="noConversion"/>
  <x:pageMargins left="0.7" right="0.7" top="2.665" bottom="0.75" header="1.5" footer="0.3"/>
  <x:pageSetup scale="48" fitToHeight="0" orientation="landscape" r:id="rId1"/>
  <x:headerFooter alignWithMargins="0">
    <x:oddHeader>&amp;C&amp;"Arial,Bold"&amp;12
2025 RATE CASE
ONCOR ELECTRIC DELIVERY COMPANY LLC
TCOS ALLOCATION OF FERC ACCOUNT 362 NTUSU ONLY
FOR THE TEST YEAR ENDING DECEMBER 31, 2024
SPONSOR: W. A. LEDBETTER
&amp;R&amp;"Arial,Bold"&amp;12WP/II-B-1/10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2025-03-31T22:14:48.0000000Z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