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defaultThemeVersion="166925"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B (Rate Base)\Sch II-B WP\"/>
    </mc:Choice>
  </mc:AlternateContent>
  <xr:revisionPtr revIDLastSave="0" documentId="13_ncr:1_{025575FD-43B7-4654-9533-FBCCE6D0EE63}" xr6:coauthVersionLast="47" xr6:coauthVersionMax="47" xr10:uidLastSave="{00000000-0000-0000-0000-000000000000}"/>
  <x:bookViews>
    <x:workbookView xWindow="-28920" yWindow="-120" windowWidth="29040" windowHeight="15720" xr2:uid="{0A2F731B-C46C-418C-8DF4-E90750015EC1}"/>
  </x:bookViews>
  <x:sheets>
    <x:sheet name="Page 1" sheetId="1" r:id="rId1"/>
    <x:sheet name="Page 2" sheetId="2" r:id="rId2"/>
  </x:sheets>
  <x:externalReferences>
    <x:externalReference r:id="rId3"/>
  </x:externalReferences>
  <x:definedNames>
    <x:definedName name="_xlnm.Print_Area" localSheetId="0">'Page 1'!$A$1:$L$84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C73" i="1" l="1"/>
  <x:c r="B73" i="1"/>
  <x:c r="H1" i="2"/>
  <x:c r="D16" i="2"/>
  <x:c r="C12" i="2"/>
  <x:c r="H78" i="1"/>
  <x:c r="H79" i="1"/>
  <x:c r="H77" i="1"/>
  <x:c r="F73" i="1"/>
  <x:c r="J73" i="1" s="1"/>
  <x:c r="J79" i="1" s="1"/>
  <x:c r="J72" i="1"/>
  <x:c r="J78" i="1" s="1"/>
  <x:c r="K72" i="1"/>
  <x:c r="K78" i="1" s="1"/>
  <x:c r="K71" i="1"/>
  <x:c r="K77" i="1" s="1"/>
  <x:c r="J71" i="1"/>
  <x:c r="J77" i="1" s="1"/>
  <x:c r="J80" i="1" l="1"/>
  <x:c r="G73" i="1"/>
  <x:c r="L72" i="1"/>
  <x:c r="L78" i="1" s="1"/>
  <x:c r="L71" i="1"/>
  <x:c r="L77" i="1" s="1"/>
  <x:c r="H72" i="1"/>
  <x:c r="H71" i="1"/>
  <x:c r="C74" i="1"/>
  <x:c r="F74" i="1"/>
  <x:c r="J74" i="1"/>
  <x:c r="D71" i="1"/>
  <x:c r="D72" i="1"/>
  <x:c r="D73" i="1"/>
  <x:c r="B74" i="1"/>
  <x:c r="D61" i="1"/>
  <x:c r="G56" i="1"/>
  <x:c r="F56" i="1"/>
  <x:c r="K55" i="1"/>
  <x:c r="J55" i="1"/>
  <x:c r="H55" i="1"/>
  <x:c r="D55" i="1"/>
  <x:c r="K54" i="1"/>
  <x:c r="J54" i="1"/>
  <x:c r="L54" i="1" s="1"/>
  <x:c r="H54" i="1"/>
  <x:c r="D54" i="1"/>
  <x:c r="K53" i="1"/>
  <x:c r="J53" i="1"/>
  <x:c r="H53" i="1"/>
  <x:c r="D53" i="1"/>
  <x:c r="H52" i="1"/>
  <x:c r="K52" i="1"/>
  <x:c r="J52" i="1"/>
  <x:c r="K51" i="1"/>
  <x:c r="J51" i="1"/>
  <x:c r="L51" i="1" s="1"/>
  <x:c r="H51" i="1"/>
  <x:c r="D51" i="1"/>
  <x:c r="H50" i="1"/>
  <x:c r="K50" i="1"/>
  <x:c r="J50" i="1"/>
  <x:c r="K49" i="1"/>
  <x:c r="J49" i="1"/>
  <x:c r="L49" i="1" s="1"/>
  <x:c r="H49" i="1"/>
  <x:c r="D49" i="1"/>
  <x:c r="B56" i="1"/>
  <x:c r="K48" i="1"/>
  <x:c r="J48" i="1"/>
  <x:c r="L48" i="1" s="1"/>
  <x:c r="H48" i="1"/>
  <x:c r="D48" i="1"/>
  <x:c r="K47" i="1"/>
  <x:c r="J47" i="1"/>
  <x:c r="H47" i="1"/>
  <x:c r="D47" i="1"/>
  <x:c r="K46" i="1"/>
  <x:c r="J46" i="1"/>
  <x:c r="H46" i="1"/>
  <x:c r="D46" i="1"/>
  <x:c r="K45" i="1"/>
  <x:c r="J45" i="1"/>
  <x:c r="H45" i="1"/>
  <x:c r="D45" i="1"/>
  <x:c r="K44" i="1"/>
  <x:c r="J44" i="1"/>
  <x:c r="H44" i="1"/>
  <x:c r="D44" i="1"/>
  <x:c r="G40" i="1"/>
  <x:c r="F40" i="1"/>
  <x:c r="C40" i="1"/>
  <x:c r="B40" i="1"/>
  <x:c r="K39" i="1"/>
  <x:c r="J39" i="1"/>
  <x:c r="L39" i="1" s="1"/>
  <x:c r="H39" i="1"/>
  <x:c r="D39" i="1"/>
  <x:c r="K38" i="1"/>
  <x:c r="J38" i="1"/>
  <x:c r="H38" i="1"/>
  <x:c r="D38" i="1"/>
  <x:c r="K37" i="1"/>
  <x:c r="J37" i="1"/>
  <x:c r="H37" i="1"/>
  <x:c r="D37" i="1"/>
  <x:c r="K36" i="1"/>
  <x:c r="J36" i="1"/>
  <x:c r="L36" i="1" s="1"/>
  <x:c r="H36" i="1"/>
  <x:c r="D36" i="1"/>
  <x:c r="K35" i="1"/>
  <x:c r="J35" i="1"/>
  <x:c r="H35" i="1"/>
  <x:c r="D35" i="1"/>
  <x:c r="K34" i="1"/>
  <x:c r="J34" i="1"/>
  <x:c r="H34" i="1"/>
  <x:c r="D34" i="1"/>
  <x:c r="K33" i="1"/>
  <x:c r="J33" i="1"/>
  <x:c r="H33" i="1"/>
  <x:c r="D33" i="1"/>
  <x:c r="K32" i="1"/>
  <x:c r="J32" i="1"/>
  <x:c r="H32" i="1"/>
  <x:c r="D32" i="1"/>
  <x:c r="K31" i="1"/>
  <x:c r="J31" i="1"/>
  <x:c r="D31" i="1"/>
  <x:c r="K30" i="1"/>
  <x:c r="J30" i="1"/>
  <x:c r="D30" i="1"/>
  <x:c r="K29" i="1"/>
  <x:c r="J29" i="1"/>
  <x:c r="D29" i="1"/>
  <x:c r="K28" i="1"/>
  <x:c r="J28" i="1"/>
  <x:c r="D28" i="1"/>
  <x:c r="H24" i="1"/>
  <x:c r="G24" i="1"/>
  <x:c r="G59" i="1" s="1"/>
  <x:c r="F24" i="1"/>
  <x:c r="K23" i="1"/>
  <x:c r="J23" i="1"/>
  <x:c r="D23" i="1"/>
  <x:c r="K22" i="1"/>
  <x:c r="J22" i="1"/>
  <x:c r="D22" i="1"/>
  <x:c r="K21" i="1"/>
  <x:c r="J21" i="1"/>
  <x:c r="D21" i="1"/>
  <x:c r="J20" i="1"/>
  <x:c r="K20" i="1"/>
  <x:c r="K19" i="1"/>
  <x:c r="J19" i="1"/>
  <x:c r="D19" i="1"/>
  <x:c r="K18" i="1"/>
  <x:c r="J18" i="1"/>
  <x:c r="L18" i="1" s="1"/>
  <x:c r="D18" i="1"/>
  <x:c r="K17" i="1"/>
  <x:c r="J17" i="1"/>
  <x:c r="D17" i="1"/>
  <x:c r="K16" i="1"/>
  <x:c r="J16" i="1"/>
  <x:c r="D16" i="1"/>
  <x:c r="K15" i="1"/>
  <x:c r="J15" i="1"/>
  <x:c r="D15" i="1"/>
  <x:c r="K14" i="1"/>
  <x:c r="J14" i="1"/>
  <x:c r="L14" i="1" s="1"/>
  <x:c r="K13" i="1"/>
  <x:c r="B24" i="1"/>
  <x:c r="K12" i="1"/>
  <x:c r="J12" i="1"/>
  <x:c r="D12" i="1"/>
  <x:c r="L45" i="1" l="1"/>
  <x:c r="L12" i="1"/>
  <x:c r="D74" i="1"/>
  <x:c r="L17" i="1"/>
  <x:c r="L32" i="1"/>
  <x:c r="L35" i="1"/>
  <x:c r="L38" i="1"/>
  <x:c r="L47" i="1"/>
  <x:c r="H73" i="1"/>
  <x:c r="K73" i="1"/>
  <x:c r="H74" i="1"/>
  <x:c r="G74" i="1"/>
  <x:c r="L28" i="1"/>
  <x:c r="H40" i="1"/>
  <x:c r="H56" i="1"/>
  <x:c r="L50" i="1"/>
  <x:c r="L29" i="1"/>
  <x:c r="L23" i="1"/>
  <x:c r="L30" i="1"/>
  <x:c r="L15" i="1"/>
  <x:c r="L19" i="1"/>
  <x:c r="F59" i="1"/>
  <x:c r="L55" i="1"/>
  <x:c r="L46" i="1"/>
  <x:c r="J56" i="1"/>
  <x:c r="L53" i="1"/>
  <x:c r="L44" i="1"/>
  <x:c r="L31" i="1"/>
  <x:c r="L34" i="1"/>
  <x:c r="L33" i="1"/>
  <x:c r="D40" i="1"/>
  <x:c r="J40" i="1"/>
  <x:c r="K40" i="1"/>
  <x:c r="L37" i="1"/>
  <x:c r="L22" i="1"/>
  <x:c r="L16" i="1"/>
  <x:c r="L21" i="1"/>
  <x:c r="L20" i="1"/>
  <x:c r="B59" i="1"/>
  <x:c r="K56" i="1"/>
  <x:c r="L52" i="1"/>
  <x:c r="K24" i="1"/>
  <x:c r="D13" i="1"/>
  <x:c r="J13" i="1"/>
  <x:c r="L13" i="1" s="1"/>
  <x:c r="D50" i="1"/>
  <x:c r="D52" i="1"/>
  <x:c r="C24" i="1"/>
  <x:c r="C56" i="1"/>
  <x:c r="D14" i="1"/>
  <x:c r="D20" i="1"/>
  <x:c r="H59" i="1" l="1"/>
  <x:c r="K79" i="1"/>
  <x:c r="K80" i="1" s="1"/>
  <x:c r="L73" i="1"/>
  <x:c r="K74" i="1"/>
  <x:c r="D56" i="1"/>
  <x:c r="L56" i="1"/>
  <x:c r="L40" i="1"/>
  <x:c r="L24" i="1"/>
  <x:c r="D24" i="1"/>
  <x:c r="D59" i="1" s="1"/>
  <x:c r="C59" i="1"/>
  <x:c r="J24" i="1"/>
  <x:c r="J59" i="1" s="1"/>
  <x:c r="J61" i="1" s="1"/>
  <x:c r="J65" i="1" s="1"/>
  <x:c r="K59" i="1"/>
  <x:c r="K61" i="1" s="1"/>
  <x:c r="K65" i="1" s="1"/>
  <x:c r="L79" i="1" l="1"/>
  <x:c r="L80" i="1" s="1"/>
  <x:c r="L74" i="1"/>
  <x:c r="L59" i="1"/>
  <x:c r="L61" i="1" s="1"/>
  <x:c r="L65" i="1" s="1"/>
</x:calcChain>
</file>

<file path=xl/sharedStrings.xml><?xml version="1.0" encoding="utf-8"?>
<sst xmlns="http://schemas.openxmlformats.org/spreadsheetml/2006/main" count="99" uniqueCount="87">
  <si>
    <t>Oncor Electric Delivery Company LLC</t>
  </si>
  <si>
    <t>Business Units - ESD (Distribution), TRN (Transmission) &amp; NTUSU (Transmission)</t>
  </si>
  <si>
    <t>January 1, 2022 through December 31, 2024</t>
  </si>
  <si>
    <t>Losses Reflected in SIR</t>
  </si>
  <si>
    <t>Period</t>
  </si>
  <si>
    <t>Property-A924</t>
  </si>
  <si>
    <t>Liability-A925</t>
  </si>
  <si>
    <t>Total</t>
  </si>
  <si>
    <t>January 2022</t>
  </si>
  <si>
    <t>February 2022</t>
  </si>
  <si>
    <t>March 2022</t>
  </si>
  <si>
    <t>April 2022</t>
  </si>
  <si>
    <t>May 2022</t>
  </si>
  <si>
    <t>June 2022</t>
  </si>
  <si>
    <t>July 2022</t>
  </si>
  <si>
    <t>August 2022</t>
  </si>
  <si>
    <t>September 2022</t>
  </si>
  <si>
    <t>October 2022</t>
  </si>
  <si>
    <t>November 2022</t>
  </si>
  <si>
    <t>December 2022</t>
  </si>
  <si>
    <t>2022 Totals</t>
  </si>
  <si>
    <t>January 2023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</si>
  <si>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</si>
  <si>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</si>
  <si>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</si>
  <si>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</si>
  <si>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</si>
  <si>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</si>
  <si>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</si>
  <si>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</si>
  <si>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</si>
  <si>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</si>
  <si>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</si>
  <si>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2023 Totals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</si>
  <si>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</si>
  <si>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</si>
  <si>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</si>
  <si>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</si>
  <si>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</si>
  <si>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</si>
  <si>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</si>
  <si>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</si>
  <si>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</si>
  <si>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</si>
  <si>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</si>
  <si>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</si>
  <si>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2024 Totals</t>
  </si>
  <si>
    <t>Requested recovery - amortizations over 5 years</t>
  </si>
  <si>
    <t xml:space="preserve">K&amp;M Adjustments for SIR Regulatory Asset Balances </t>
  </si>
  <si>
    <t>Distribution (ESD)</t>
  </si>
  <si>
    <t>NTU Transmission (NTUSU)</t>
  </si>
  <si>
    <t>Transmission (TRN)</t>
  </si>
  <si>
    <t>Requested Five-year Amortizations:</t>
  </si>
  <si>
    <t>PURA Sec. 36.064</t>
  </si>
  <si>
    <t>Self-Insurance Reserve (SIR) Regulatory Asset (Account 1866400) Balances to Be Reviewed</t>
  </si>
  <si>
    <t>Annual Cost of Service Accrual for SIR Loss Incidents</t>
  </si>
  <si>
    <t>To Be Reviewed SIR Deficit / (Surplus)</t>
  </si>
  <si>
    <t>3 Year Total &amp; 12/31/2024 Balance To Be Reviewed (in this rate case)</t>
  </si>
  <si>
    <t>SIR Regulatory Asset Balances to Be Reviewed at 12/31/2024</t>
  </si>
  <si>
    <t>Docket No. 46957 (2017 rate case) rates were effective through April 30, 2023.  Docket No. 46957 annual cost of service accrual for SIR of $75 million (page 11 of Docket No. 46957 Order)</t>
  </si>
  <si>
    <t>Docket No. 53601 (2022 rate case) Order on Rehearing pages 7-9, 33-34, 37, &amp; 70; rates effective beginning May 1, 2023 (billing cycle 4 for Retail).  Docket No. 53601 annual cost of service accrual for SIR of $122.2 million</t>
  </si>
  <si>
    <t xml:space="preserve">K&amp;M Adjustments to 12/31/2024 Balance </t>
  </si>
  <si>
    <t>Reference Company Witness Gregory S. Wilson Direct Testimony for listing of loss events reflected in SIR.</t>
  </si>
  <si>
    <t>Page 1 of 2</t>
  </si>
  <si>
    <t>SIR K&amp;M adjustment - Regulatory Asset Account 1866400 Claim 2024CL03</t>
  </si>
  <si>
    <t>Balance as of Dec 31, 2024</t>
  </si>
  <si>
    <t>Unit</t>
  </si>
  <si>
    <t>Account</t>
  </si>
  <si>
    <t>Liability Claim</t>
  </si>
  <si>
    <t>Sum Total Amt</t>
  </si>
  <si>
    <t>ESD</t>
  </si>
  <si>
    <t>1862700</t>
  </si>
  <si>
    <t>2024CL03</t>
  </si>
  <si>
    <t>included $10,000 accrual</t>
  </si>
  <si>
    <t>Balance as of Feb 28, 2025</t>
  </si>
  <si>
    <t>closed to SIR Account 1866400</t>
  </si>
  <si>
    <t>K&amp;M adjustment to SIR</t>
  </si>
  <si>
    <t>Claim was finalized and closed in February 2025 and does not include $10,000 related to an accrual at 12-31-2024.  K&amp;M adjustment removes the estimated claim accrual at 12-31-2024.</t>
  </si>
  <si>
    <t>Page 2 of 2</t>
  </si>
  <si>
    <t>(See Page 2 of this workpaper for the adjustment)</t>
  </si>
  <si>
    <t>See K&amp;M O&amp;M adjustment #23</t>
  </si>
  <si>
    <t>Sponsor:  W. Alan Ledbetter &amp; Ashley Thenmadathil</t>
  </si>
  <si>
    <t>including K&amp;M Amortization Adjustments to SIR Balance</t>
  </si>
  <si>
    <t>Requesting 5-year recovery (amortization) of the adjusted to be reviewed balance</t>
  </si>
  <si>
    <t>Adjusted SIR Regulatory Asset Balances to Be Reviewed</t>
  </si>
  <si>
    <t>Total Requested Annual Amortization for five years - K&amp;M O&amp;M Adjustment #12</t>
  </si>
  <si>
    <t>WP/II-B-12 SIR Regulatory Asset To Be Reviewed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</si>
</sst>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0"/>
      <name val="Arial"/>
      <family val="2"/>
    </font>
    <font>
      <sz val="10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43" fontId="0" fillId="0" borderId="0" xfId="0" applyNumberFormat="1"/>
    <xf numFmtId="49" fontId="0" fillId="0" borderId="0" xfId="0" applyNumberFormat="1" applyAlignment="1">
      <alignment horizontal="center"/>
    </xf>
    <xf numFmtId="43" fontId="0" fillId="0" borderId="6" xfId="0" applyNumberFormat="1" applyBorder="1"/>
    <xf numFmtId="49" fontId="4" fillId="0" borderId="0" xfId="0" applyNumberFormat="1" applyFont="1" applyAlignment="1">
      <alignment horizontal="center"/>
    </xf>
    <xf numFmtId="43" fontId="4" fillId="0" borderId="0" xfId="0" applyNumberFormat="1" applyFont="1"/>
    <xf numFmtId="43" fontId="0" fillId="0" borderId="0" xfId="0" applyNumberFormat="1" applyAlignment="1">
      <alignment horizontal="right"/>
    </xf>
    <xf numFmtId="40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  <xf numFmtId="43" fontId="0" fillId="0" borderId="0" xfId="0" applyNumberFormat="1" applyFill="1"/>
    <xf numFmtId="43" fontId="0" fillId="0" borderId="0" xfId="0" applyNumberFormat="1" applyFont="1" applyFill="1"/>
    <xf numFmtId="43" fontId="5" fillId="0" borderId="6" xfId="0" applyNumberFormat="1" applyFont="1" applyFill="1" applyBorder="1"/>
    <xf numFmtId="44" fontId="0" fillId="0" borderId="0" xfId="1" applyFont="1"/>
    <xf numFmtId="44" fontId="0" fillId="0" borderId="0" xfId="0" applyNumberFormat="1"/>
    <xf numFmtId="0" fontId="6" fillId="0" borderId="0" xfId="0" applyFont="1"/>
    <xf numFmtId="44" fontId="0" fillId="0" borderId="6" xfId="1" applyFont="1" applyBorder="1"/>
    <xf numFmtId="44" fontId="0" fillId="0" borderId="6" xfId="0" applyNumberFormat="1" applyBorder="1"/>
    <xf numFmtId="40" fontId="0" fillId="0" borderId="6" xfId="0" applyNumberFormat="1" applyBorder="1"/>
    <xf numFmtId="0" fontId="0" fillId="0" borderId="0" xfId="0" applyAlignment="1">
      <alignment horizontal="right"/>
    </xf>
    <xf numFmtId="0" fontId="0" fillId="0" borderId="0" xfId="0" applyFont="1" applyAlignment="1">
      <alignment horizontal="right"/>
    </xf>
    <xf numFmtId="0" fontId="0" fillId="0" borderId="0" xfId="0" applyFill="1"/>
    <xf numFmtId="0" fontId="0" fillId="0" borderId="0" xfId="0" applyAlignment="1">
      <alignment horizontal="right" wrapText="1"/>
    </xf>
    <xf numFmtId="0" fontId="8" fillId="0" borderId="7" xfId="4" applyFont="1" applyBorder="1"/>
    <xf numFmtId="43" fontId="8" fillId="0" borderId="7" xfId="3" applyFont="1" applyFill="1" applyBorder="1"/>
    <xf numFmtId="0" fontId="8" fillId="0" borderId="7" xfId="5" applyFont="1" applyBorder="1"/>
    <xf numFmtId="43" fontId="8" fillId="0" borderId="7" xfId="6" applyFont="1" applyFill="1" applyBorder="1"/>
    <xf numFmtId="0" fontId="2" fillId="0" borderId="0" xfId="2" applyFont="1"/>
    <xf numFmtId="43" fontId="2" fillId="0" borderId="0" xfId="3" applyFont="1"/>
    <xf numFmtId="43" fontId="2" fillId="0" borderId="0" xfId="3" applyFont="1" applyFill="1"/>
    <xf numFmtId="0" fontId="9" fillId="0" borderId="0" xfId="5" applyFont="1"/>
    <xf numFmtId="43" fontId="2" fillId="0" borderId="0" xfId="6" applyFont="1"/>
    <xf numFmtId="43" fontId="2" fillId="2" borderId="0" xfId="3" applyFont="1" applyFill="1"/>
    <xf numFmtId="0" fontId="2" fillId="2" borderId="0" xfId="2" applyFont="1" applyFill="1"/>
    <xf numFmtId="0" fontId="2" fillId="0" borderId="0" xfId="2" applyFont="1" applyAlignment="1">
      <alignment wrapText="1"/>
    </xf>
    <xf numFmtId="43" fontId="0" fillId="0" borderId="6" xfId="0" applyNumberFormat="1" applyFill="1" applyBorder="1"/>
    <xf numFmtId="0" fontId="10" fillId="0" borderId="0" xfId="0" applyFont="1" applyFill="1" applyAlignment="1">
      <alignment horizontal="right"/>
    </xf>
    <xf numFmtId="0" fontId="10" fillId="0" borderId="0" xfId="2" applyFont="1" applyAlignment="1">
      <alignment horizontal="right"/>
    </xf>
    <xf numFmtId="0" fontId="6" fillId="0" borderId="0" xfId="0" applyFont="1" applyAlignment="1">
      <alignment horizontal="center" wrapText="1"/>
    </xf>
    <xf numFmtId="43" fontId="0" fillId="0" borderId="6" xfId="0" applyNumberForma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43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3" fontId="0" fillId="0" borderId="0" xfId="0" applyNumberForma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2" fillId="0" borderId="0" xfId="2" applyFont="1" applyAlignment="1">
      <alignment wrapText="1"/>
    </xf>
  </cellXfs>
  <cellStyles count="7">
    <cellStyle name="Comma 2" xfId="3" xr:uid="{AB267C91-C958-4C86-A170-E2AB960FE1F6}"/>
    <cellStyle name="Comma 2 2" xfId="6" xr:uid="{7D3546EA-D564-47DE-A6A4-C2E7EAA5A323}"/>
    <cellStyle name="Currency" xfId="1" builtinId="4"/>
    <cellStyle name="Normal" xfId="0" builtinId="0"/>
    <cellStyle name="Normal 2" xfId="2" xr:uid="{E5DEB896-BED0-4751-A59C-0D0F9E5F5970}"/>
    <cellStyle name="Normal 3" xfId="5" xr:uid="{698850CD-FA8C-40A3-90A8-8D5AA004221E}"/>
    <cellStyle name="Normal 4" xfId="4" xr:uid="{7B79BE8E-C929-4C83-93E0-CAC5ECFD4A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2024%20Rate%20Case%20Support\K&amp;M%20Adjustments\First%20Draft\KM%20Adj%20-%202024%20Weather%20Events%2030%20-%2032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il"/>
      <sheetName val="Sheet4"/>
      <sheetName val="sheet1"/>
    </sheetNames>
    <sheetDataSet>
      <sheetData sheetId="0">
        <row r="261">
          <cell r="L261">
            <v>1323573.5400000003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6F5CB7F-4476-4246-B3AC-41C8EB7F2AA4}" mc:Ignorable="x14ac xr xr2 xr3">
  <x:sheetPr>
    <x:pageSetUpPr fitToPage="1"/>
  </x:sheetPr>
  <x:dimension ref="A1:Q84"/>
  <x:sheetViews>
    <x:sheetView tabSelected="1" zoomScaleNormal="100" workbookViewId="0">
      <x:pane ySplit="10" topLeftCell="A41" activePane="bottomLeft" state="frozen"/>
      <x:selection pane="bottomLeft" activeCell="A6" sqref="A6:L6"/>
    </x:sheetView>
  </x:sheetViews>
  <x:sheetFormatPr defaultRowHeight="13" x14ac:dyDescent="0.3"/>
  <x:cols>
    <x:col min="1" max="1" width="24.3984375" bestFit="1" customWidth="1"/>
    <x:col min="2" max="2" width="17.09765625" bestFit="1" customWidth="1"/>
    <x:col min="3" max="3" width="16" bestFit="1" customWidth="1"/>
    <x:col min="4" max="4" width="17.09765625" bestFit="1" customWidth="1"/>
    <x:col min="5" max="5" width="3.796875" customWidth="1"/>
    <x:col min="6" max="6" width="15.8984375" bestFit="1" customWidth="1"/>
    <x:col min="7" max="7" width="14.796875" bestFit="1" customWidth="1"/>
    <x:col min="8" max="8" width="15.8984375" bestFit="1" customWidth="1"/>
    <x:col min="9" max="9" width="4.19921875" customWidth="1"/>
    <x:col min="10" max="10" width="15.8984375" bestFit="1" customWidth="1"/>
    <x:col min="11" max="11" width="16.296875" customWidth="1"/>
    <x:col min="12" max="12" width="18" customWidth="1"/>
    <x:col min="14" max="14" width="16.09765625" bestFit="1" customWidth="1"/>
    <x:col min="15" max="15" width="15.09765625" bestFit="1" customWidth="1"/>
    <x:col min="16" max="16" width="16.09765625" bestFit="1" customWidth="1"/>
  </x:cols>
  <x:sheetData>
    <x:row r="1" spans="1:12" x14ac:dyDescent="0.3">
      <x:c r="L1" s="39" t="s">
        <x:v>86</x:v>
      </x:c>
    </x:row>
    <x:row r="2" spans="1:12" x14ac:dyDescent="0.3">
      <x:c r="L2" s="39" t="s">
        <x:v>63</x:v>
      </x:c>
    </x:row>
    <x:row r="3" spans="1:12" ht="14.5" x14ac:dyDescent="0.35">
      <x:c r="A3" s="43" t="s">
        <x:v>0</x:v>
      </x:c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</x:row>
    <x:row r="4" spans="1:12" ht="14.5" x14ac:dyDescent="0.35">
      <x:c r="A4" s="43" t="s">
        <x:v>1</x:v>
      </x:c>
      <x:c r="B4" s="43"/>
      <x:c r="C4" s="43"/>
      <x:c r="D4" s="43"/>
      <x:c r="E4" s="43"/>
      <x:c r="F4" s="43"/>
      <x:c r="G4" s="43"/>
      <x:c r="H4" s="43"/>
      <x:c r="I4" s="43"/>
      <x:c r="J4" s="43"/>
      <x:c r="K4" s="43"/>
      <x:c r="L4" s="43"/>
    </x:row>
    <x:row r="5" spans="1:12" ht="14.5" x14ac:dyDescent="0.35">
      <x:c r="A5" s="43" t="s">
        <x:v>54</x:v>
      </x:c>
      <x:c r="B5" s="43"/>
      <x:c r="C5" s="43"/>
      <x:c r="D5" s="43"/>
      <x:c r="E5" s="43"/>
      <x:c r="F5" s="43"/>
      <x:c r="G5" s="43"/>
      <x:c r="H5" s="43"/>
      <x:c r="I5" s="43"/>
      <x:c r="J5" s="43"/>
      <x:c r="K5" s="43"/>
      <x:c r="L5" s="43"/>
    </x:row>
    <x:row r="6" spans="1:12" ht="14.5" x14ac:dyDescent="0.35">
      <x:c r="A6" s="43" t="s">
        <x:v>2</x:v>
      </x:c>
      <x:c r="B6" s="43"/>
      <x:c r="C6" s="43"/>
      <x:c r="D6" s="43"/>
      <x:c r="E6" s="43"/>
      <x:c r="F6" s="43"/>
      <x:c r="G6" s="43"/>
      <x:c r="H6" s="43"/>
      <x:c r="I6" s="43"/>
      <x:c r="J6" s="43"/>
      <x:c r="K6" s="43"/>
      <x:c r="L6" s="43"/>
    </x:row>
    <x:row r="7" spans="1:12" s="24" customFormat="1" ht="14.5" x14ac:dyDescent="0.35">
      <x:c r="A7" s="44" t="s">
        <x:v>81</x:v>
      </x:c>
      <x:c r="B7" s="44"/>
      <x:c r="C7" s="44"/>
      <x:c r="D7" s="44"/>
      <x:c r="E7" s="44"/>
      <x:c r="F7" s="44"/>
      <x:c r="G7" s="44"/>
      <x:c r="H7" s="44"/>
      <x:c r="I7" s="44"/>
      <x:c r="J7" s="44"/>
      <x:c r="K7" s="44"/>
      <x:c r="L7" s="44"/>
    </x:row>
    <x:row r="8" spans="1:12" ht="14.5" x14ac:dyDescent="0.35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spans="1:12" ht="14.5" x14ac:dyDescent="0.35">
      <x:c r="B9" s="45" t="s">
        <x:v>3</x:v>
      </x:c>
      <x:c r="C9" s="46"/>
      <x:c r="D9" s="47"/>
      <x:c r="F9" s="45" t="s">
        <x:v>55</x:v>
      </x:c>
      <x:c r="G9" s="46"/>
      <x:c r="H9" s="47"/>
      <x:c r="J9" s="45" t="s">
        <x:v>56</x:v>
      </x:c>
      <x:c r="K9" s="46"/>
      <x:c r="L9" s="47"/>
    </x:row>
    <x:row r="10" spans="1:12" ht="14.5" x14ac:dyDescent="0.35">
      <x:c r="A10" s="2" t="s">
        <x:v>4</x:v>
      </x:c>
      <x:c r="B10" s="3" t="s">
        <x:v>5</x:v>
      </x:c>
      <x:c r="C10" s="3" t="s">
        <x:v>6</x:v>
      </x:c>
      <x:c r="D10" s="3" t="s">
        <x:v>7</x:v>
      </x:c>
      <x:c r="F10" s="3" t="s">
        <x:v>5</x:v>
      </x:c>
      <x:c r="G10" s="3" t="s">
        <x:v>6</x:v>
      </x:c>
      <x:c r="H10" s="3" t="s">
        <x:v>7</x:v>
      </x:c>
      <x:c r="J10" s="3" t="s">
        <x:v>5</x:v>
      </x:c>
      <x:c r="K10" s="3" t="s">
        <x:v>6</x:v>
      </x:c>
      <x:c r="L10" s="3" t="s">
        <x:v>7</x:v>
      </x:c>
    </x:row>
    <x:row r="11" spans="1:12" x14ac:dyDescent="0.3"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</x:row>
    <x:row r="12" spans="1:12" x14ac:dyDescent="0.3">
      <x:c r="A12" s="5" t="s">
        <x:v>8</x:v>
      </x:c>
      <x:c r="B12" s="13">
        <x:v>0</x:v>
      </x:c>
      <x:c r="C12" s="4">
        <x:v>0</x:v>
      </x:c>
      <x:c r="D12" s="4">
        <x:f>SUM(B12:C12)</x:f>
        <x:v>0</x:v>
      </x:c>
      <x:c r="E12" s="4"/>
      <x:c r="F12" s="4">
        <x:v>-5687500</x:v>
      </x:c>
      <x:c r="G12" s="4">
        <x:v>-562500</x:v>
      </x:c>
      <x:c r="H12" s="4">
        <x:v>-6250000</x:v>
      </x:c>
      <x:c r="I12" s="4"/>
      <x:c r="J12" s="4">
        <x:f>F12+B12</x:f>
        <x:v>-5687500</x:v>
      </x:c>
      <x:c r="K12" s="4">
        <x:f>G12+C12</x:f>
        <x:v>-562500</x:v>
      </x:c>
      <x:c r="L12" s="4">
        <x:f>SUM(J12:K12)</x:f>
        <x:v>-6250000</x:v>
      </x:c>
    </x:row>
    <x:row r="13" spans="1:12" x14ac:dyDescent="0.3">
      <x:c r="A13" s="5" t="s">
        <x:v>9</x:v>
      </x:c>
      <x:c r="B13" s="13">
        <x:v>-107954.16000000015</x:v>
      </x:c>
      <x:c r="C13" s="4">
        <x:v>0</x:v>
      </x:c>
      <x:c r="D13" s="4">
        <x:f t="shared" ref="D13:D23" si="0">SUM(B13:C13)</x:f>
        <x:v>-107954.16000000015</x:v>
      </x:c>
      <x:c r="E13" s="4"/>
      <x:c r="F13" s="4">
        <x:v>-5687500</x:v>
      </x:c>
      <x:c r="G13" s="4">
        <x:v>-562500</x:v>
      </x:c>
      <x:c r="H13" s="4">
        <x:v>-6250000</x:v>
      </x:c>
      <x:c r="I13" s="4"/>
      <x:c r="J13" s="4">
        <x:f t="shared" ref="J13:K23" si="1">F13+B13</x:f>
        <x:v>-5795454.1600000001</x:v>
      </x:c>
      <x:c r="K13" s="4">
        <x:f t="shared" si="1"/>
        <x:v>-562500</x:v>
      </x:c>
      <x:c r="L13" s="4">
        <x:f t="shared" ref="L13:L23" si="2">SUM(J13:K13)</x:f>
        <x:v>-6357954.1600000001</x:v>
      </x:c>
    </x:row>
    <x:row r="14" spans="1:12" x14ac:dyDescent="0.3">
      <x:c r="A14" s="5" t="s">
        <x:v>10</x:v>
      </x:c>
      <x:c r="B14" s="13">
        <x:v>73096693.230000004</x:v>
      </x:c>
      <x:c r="C14" s="4">
        <x:v>9441227.8900000006</x:v>
      </x:c>
      <x:c r="D14" s="4">
        <x:f t="shared" si="0"/>
        <x:v>82537921.120000005</x:v>
      </x:c>
      <x:c r="E14" s="4"/>
      <x:c r="F14" s="4">
        <x:v>-5687500</x:v>
      </x:c>
      <x:c r="G14" s="4">
        <x:v>-562500</x:v>
      </x:c>
      <x:c r="H14" s="4">
        <x:v>-6250000</x:v>
      </x:c>
      <x:c r="I14" s="4"/>
      <x:c r="J14" s="4">
        <x:f t="shared" si="1"/>
        <x:v>67409193.230000004</x:v>
      </x:c>
      <x:c r="K14" s="4">
        <x:f t="shared" si="1"/>
        <x:v>8878727.8900000006</x:v>
      </x:c>
      <x:c r="L14" s="4">
        <x:f t="shared" si="2"/>
        <x:v>76287921.120000005</x:v>
      </x:c>
    </x:row>
    <x:row r="15" spans="1:12" x14ac:dyDescent="0.3">
      <x:c r="A15" s="5" t="s">
        <x:v>11</x:v>
      </x:c>
      <x:c r="B15" s="4">
        <x:v>-72877861.060000002</x:v>
      </x:c>
      <x:c r="C15" s="4">
        <x:v>-7885164.3300000001</x:v>
      </x:c>
      <x:c r="D15" s="4">
        <x:f t="shared" si="0"/>
        <x:v>-80763025.390000001</x:v>
      </x:c>
      <x:c r="E15" s="4"/>
      <x:c r="F15" s="4">
        <x:v>-5687500</x:v>
      </x:c>
      <x:c r="G15" s="4">
        <x:v>-562500</x:v>
      </x:c>
      <x:c r="H15" s="4">
        <x:v>-6250000</x:v>
      </x:c>
      <x:c r="I15" s="4"/>
      <x:c r="J15" s="4">
        <x:f t="shared" si="1"/>
        <x:v>-78565361.060000002</x:v>
      </x:c>
      <x:c r="K15" s="4">
        <x:f t="shared" si="1"/>
        <x:v>-8447664.3300000001</x:v>
      </x:c>
      <x:c r="L15" s="4">
        <x:f t="shared" si="2"/>
        <x:v>-87013025.390000001</x:v>
      </x:c>
    </x:row>
    <x:row r="16" spans="1:12" x14ac:dyDescent="0.3">
      <x:c r="A16" s="5" t="s">
        <x:v>12</x:v>
      </x:c>
      <x:c r="B16" s="4">
        <x:v>2297942.62</x:v>
      </x:c>
      <x:c r="C16" s="4">
        <x:v>0</x:v>
      </x:c>
      <x:c r="D16" s="4">
        <x:f t="shared" si="0"/>
        <x:v>2297942.62</x:v>
      </x:c>
      <x:c r="E16" s="4"/>
      <x:c r="F16" s="4">
        <x:v>-5687500</x:v>
      </x:c>
      <x:c r="G16" s="4">
        <x:v>-562500</x:v>
      </x:c>
      <x:c r="H16" s="4">
        <x:v>-6250000</x:v>
      </x:c>
      <x:c r="I16" s="4"/>
      <x:c r="J16" s="4">
        <x:f t="shared" si="1"/>
        <x:v>-3389557.38</x:v>
      </x:c>
      <x:c r="K16" s="4">
        <x:f t="shared" si="1"/>
        <x:v>-562500</x:v>
      </x:c>
      <x:c r="L16" s="4">
        <x:f t="shared" si="2"/>
        <x:v>-3952057.38</x:v>
      </x:c>
    </x:row>
    <x:row r="17" spans="1:12" x14ac:dyDescent="0.3">
      <x:c r="A17" s="5" t="s">
        <x:v>13</x:v>
      </x:c>
      <x:c r="B17" s="4">
        <x:v>140129539.13</x:v>
      </x:c>
      <x:c r="C17" s="4">
        <x:v>8614263.6699999999</x:v>
      </x:c>
      <x:c r="D17" s="4">
        <x:f t="shared" si="0"/>
        <x:v>148743802.79999998</x:v>
      </x:c>
      <x:c r="E17" s="4"/>
      <x:c r="F17" s="4">
        <x:v>-5687500</x:v>
      </x:c>
      <x:c r="G17" s="4">
        <x:v>-562500</x:v>
      </x:c>
      <x:c r="H17" s="4">
        <x:v>-6250000</x:v>
      </x:c>
      <x:c r="I17" s="4"/>
      <x:c r="J17" s="4">
        <x:f t="shared" si="1"/>
        <x:v>134442039.13</x:v>
      </x:c>
      <x:c r="K17" s="4">
        <x:f t="shared" si="1"/>
        <x:v>8051763.6699999999</x:v>
      </x:c>
      <x:c r="L17" s="4">
        <x:f t="shared" si="2"/>
        <x:v>142493802.79999998</x:v>
      </x:c>
    </x:row>
    <x:row r="18" spans="1:12" x14ac:dyDescent="0.3">
      <x:c r="A18" s="5" t="s">
        <x:v>14</x:v>
      </x:c>
      <x:c r="B18" s="4">
        <x:v>-59608174.93</x:v>
      </x:c>
      <x:c r="C18" s="4">
        <x:v>-8576583.3000000007</x:v>
      </x:c>
      <x:c r="D18" s="4">
        <x:f t="shared" si="0"/>
        <x:v>-68184758.230000004</x:v>
      </x:c>
      <x:c r="E18" s="4"/>
      <x:c r="F18" s="4">
        <x:v>-5687500</x:v>
      </x:c>
      <x:c r="G18" s="4">
        <x:v>-562500</x:v>
      </x:c>
      <x:c r="H18" s="4">
        <x:v>-6250000</x:v>
      </x:c>
      <x:c r="I18" s="4"/>
      <x:c r="J18" s="4">
        <x:f t="shared" si="1"/>
        <x:v>-65295674.93</x:v>
      </x:c>
      <x:c r="K18" s="4">
        <x:f t="shared" si="1"/>
        <x:v>-9139083.3000000007</x:v>
      </x:c>
      <x:c r="L18" s="4">
        <x:f t="shared" si="2"/>
        <x:v>-74434758.230000004</x:v>
      </x:c>
    </x:row>
    <x:row r="19" spans="1:12" x14ac:dyDescent="0.3">
      <x:c r="A19" s="5" t="s">
        <x:v>15</x:v>
      </x:c>
      <x:c r="B19" s="4">
        <x:v>23886358.73</x:v>
      </x:c>
      <x:c r="C19" s="4">
        <x:v>0</x:v>
      </x:c>
      <x:c r="D19" s="4">
        <x:f t="shared" si="0"/>
        <x:v>23886358.73</x:v>
      </x:c>
      <x:c r="E19" s="4"/>
      <x:c r="F19" s="4">
        <x:v>-5687500</x:v>
      </x:c>
      <x:c r="G19" s="4">
        <x:v>-562500</x:v>
      </x:c>
      <x:c r="H19" s="4">
        <x:v>-6250000</x:v>
      </x:c>
      <x:c r="I19" s="4"/>
      <x:c r="J19" s="4">
        <x:f t="shared" si="1"/>
        <x:v>18198858.73</x:v>
      </x:c>
      <x:c r="K19" s="4">
        <x:f t="shared" si="1"/>
        <x:v>-562500</x:v>
      </x:c>
      <x:c r="L19" s="4">
        <x:f t="shared" si="2"/>
        <x:v>17636358.73</x:v>
      </x:c>
    </x:row>
    <x:row r="20" spans="1:12" x14ac:dyDescent="0.3">
      <x:c r="A20" s="5" t="s">
        <x:v>16</x:v>
      </x:c>
      <x:c r="B20" s="4">
        <x:v>110450132.08</x:v>
      </x:c>
      <x:c r="C20" s="4">
        <x:v>13404816.27</x:v>
      </x:c>
      <x:c r="D20" s="4">
        <x:f t="shared" si="0"/>
        <x:v>123854948.34999999</x:v>
      </x:c>
      <x:c r="E20" s="4"/>
      <x:c r="F20" s="4">
        <x:v>-5687500</x:v>
      </x:c>
      <x:c r="G20" s="4">
        <x:v>-562500</x:v>
      </x:c>
      <x:c r="H20" s="4">
        <x:v>-6250000</x:v>
      </x:c>
      <x:c r="I20" s="4"/>
      <x:c r="J20" s="4">
        <x:f t="shared" si="1"/>
        <x:v>104762632.08</x:v>
      </x:c>
      <x:c r="K20" s="4">
        <x:f t="shared" si="1"/>
        <x:v>12842316.27</x:v>
      </x:c>
      <x:c r="L20" s="4">
        <x:f t="shared" si="2"/>
        <x:v>117604948.34999999</x:v>
      </x:c>
    </x:row>
    <x:row r="21" spans="1:12" x14ac:dyDescent="0.3">
      <x:c r="A21" s="5" t="s">
        <x:v>17</x:v>
      </x:c>
      <x:c r="B21" s="4">
        <x:v>-110449792.73999999</x:v>
      </x:c>
      <x:c r="C21" s="4">
        <x:v>-12955743.75</x:v>
      </x:c>
      <x:c r="D21" s="4">
        <x:f t="shared" si="0"/>
        <x:v>-123405536.48999999</x:v>
      </x:c>
      <x:c r="E21" s="4"/>
      <x:c r="F21" s="4">
        <x:v>-5687500</x:v>
      </x:c>
      <x:c r="G21" s="4">
        <x:v>-562500</x:v>
      </x:c>
      <x:c r="H21" s="4">
        <x:v>-6250000</x:v>
      </x:c>
      <x:c r="I21" s="4"/>
      <x:c r="J21" s="4">
        <x:f t="shared" si="1"/>
        <x:v>-116137292.73999999</x:v>
      </x:c>
      <x:c r="K21" s="4">
        <x:f t="shared" si="1"/>
        <x:v>-13518243.75</x:v>
      </x:c>
      <x:c r="L21" s="4">
        <x:f t="shared" si="2"/>
        <x:v>-129655536.48999999</x:v>
      </x:c>
    </x:row>
    <x:row r="22" spans="1:12" x14ac:dyDescent="0.3">
      <x:c r="A22" s="5" t="s">
        <x:v>18</x:v>
      </x:c>
      <x:c r="B22" s="4">
        <x:v>0</x:v>
      </x:c>
      <x:c r="C22" s="4">
        <x:v>0</x:v>
      </x:c>
      <x:c r="D22" s="4">
        <x:f t="shared" si="0"/>
        <x:v>0</x:v>
      </x:c>
      <x:c r="E22" s="4"/>
      <x:c r="F22" s="4">
        <x:v>-5687500</x:v>
      </x:c>
      <x:c r="G22" s="4">
        <x:v>-562500</x:v>
      </x:c>
      <x:c r="H22" s="4">
        <x:v>-6250000</x:v>
      </x:c>
      <x:c r="I22" s="4"/>
      <x:c r="J22" s="4">
        <x:f t="shared" si="1"/>
        <x:v>-5687500</x:v>
      </x:c>
      <x:c r="K22" s="4">
        <x:f t="shared" si="1"/>
        <x:v>-562500</x:v>
      </x:c>
      <x:c r="L22" s="4">
        <x:f t="shared" si="2"/>
        <x:v>-6250000</x:v>
      </x:c>
    </x:row>
    <x:row r="23" spans="1:12" x14ac:dyDescent="0.3">
      <x:c r="A23" s="5" t="s">
        <x:v>19</x:v>
      </x:c>
      <x:c r="B23" s="6">
        <x:v>155435477.99000001</x:v>
      </x:c>
      <x:c r="C23" s="6">
        <x:v>16213436.380000001</x:v>
      </x:c>
      <x:c r="D23" s="6">
        <x:f t="shared" si="0"/>
        <x:v>171648914.37</x:v>
      </x:c>
      <x:c r="E23" s="4"/>
      <x:c r="F23" s="6">
        <x:v>-5687500</x:v>
      </x:c>
      <x:c r="G23" s="6">
        <x:v>-562500</x:v>
      </x:c>
      <x:c r="H23" s="6">
        <x:v>-6250000</x:v>
      </x:c>
      <x:c r="I23" s="4"/>
      <x:c r="J23" s="6">
        <x:f t="shared" si="1"/>
        <x:v>149747977.99000001</x:v>
      </x:c>
      <x:c r="K23" s="6">
        <x:f t="shared" si="1"/>
        <x:v>15650936.380000001</x:v>
      </x:c>
      <x:c r="L23" s="6">
        <x:f t="shared" si="2"/>
        <x:v>165398914.37</x:v>
      </x:c>
    </x:row>
    <x:row r="24" spans="1:12" x14ac:dyDescent="0.3">
      <x:c r="A24" s="5" t="s">
        <x:v>20</x:v>
      </x:c>
      <x:c r="B24" s="4">
        <x:f>SUM(B12:B23)</x:f>
        <x:v>262252360.88999999</x:v>
      </x:c>
      <x:c r="C24" s="4">
        <x:f t="shared" ref="C24" si="3">SUM(C12:C23)</x:f>
        <x:v>18256252.829999998</x:v>
      </x:c>
      <x:c r="D24" s="4">
        <x:f>SUM(D12:D23)</x:f>
        <x:v>280508613.71999997</x:v>
      </x:c>
      <x:c r="E24" s="4"/>
      <x:c r="F24" s="4">
        <x:f>SUM(F12:F23)</x:f>
        <x:v>-68250000</x:v>
      </x:c>
      <x:c r="G24" s="4">
        <x:f>SUM(G12:G23)</x:f>
        <x:v>-6750000</x:v>
      </x:c>
      <x:c r="H24" s="4">
        <x:f>SUM(H12:H23)</x:f>
        <x:v>-75000000</x:v>
      </x:c>
      <x:c r="I24" s="4"/>
      <x:c r="J24" s="4">
        <x:f>SUM(J12:J23)</x:f>
        <x:v>194002360.88999999</x:v>
      </x:c>
      <x:c r="K24" s="4">
        <x:f t="shared" ref="K24:L24" si="4">SUM(K12:K23)</x:f>
        <x:v>11506252.83</x:v>
      </x:c>
      <x:c r="L24" s="4">
        <x:f t="shared" si="4"/>
        <x:v>205508613.71999997</x:v>
      </x:c>
    </x:row>
    <x:row r="25" spans="1:12" ht="14.5" x14ac:dyDescent="0.35">
      <x:c r="A25" s="7"/>
      <x:c r="B25" s="8"/>
      <x:c r="C25" s="8"/>
      <x:c r="D25" s="8"/>
      <x:c r="E25" s="4"/>
      <x:c r="F25" s="4"/>
      <x:c r="G25" s="4"/>
      <x:c r="H25" s="4"/>
      <x:c r="I25" s="4"/>
      <x:c r="J25" s="4"/>
      <x:c r="K25" s="4"/>
      <x:c r="L25" s="4"/>
    </x:row>
    <x:row r="26" spans="1:12" ht="14.5" x14ac:dyDescent="0.35">
      <x:c r="A26" s="7"/>
      <x:c r="B26" s="8"/>
      <x:c r="C26" s="8"/>
      <x:c r="D26" s="8"/>
      <x:c r="E26" s="4"/>
      <x:c r="F26" s="4"/>
      <x:c r="G26" s="4"/>
      <x:c r="H26" s="4"/>
      <x:c r="I26" s="4"/>
      <x:c r="J26" s="4"/>
      <x:c r="K26" s="4"/>
      <x:c r="L26" s="4"/>
    </x:row>
    <x:row r="27" spans="1:12" x14ac:dyDescent="0.3"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</x:row>
    <x:row r="28" spans="1:12" x14ac:dyDescent="0.3">
      <x:c r="A28" s="5" t="s">
        <x:v>21</x:v>
      </x:c>
      <x:c r="B28" s="4">
        <x:v>-97289630.290000007</x:v>
      </x:c>
      <x:c r="C28" s="4">
        <x:v>-16187920.16</x:v>
      </x:c>
      <x:c r="D28" s="4">
        <x:f>SUM(B28:C28)</x:f>
        <x:v>-113477550.45</x:v>
      </x:c>
      <x:c r="E28" s="4"/>
      <x:c r="F28" s="4">
        <x:v>-5687500</x:v>
      </x:c>
      <x:c r="G28" s="4">
        <x:v>-562500</x:v>
      </x:c>
      <x:c r="H28" s="4">
        <x:v>-6250000</x:v>
      </x:c>
      <x:c r="I28" s="4"/>
      <x:c r="J28" s="4">
        <x:f t="shared" ref="J28:K39" si="5">F28+B28</x:f>
        <x:v>-102977130.29000001</x:v>
      </x:c>
      <x:c r="K28" s="4">
        <x:f t="shared" si="5"/>
        <x:v>-16750420.16</x:v>
      </x:c>
      <x:c r="L28" s="4">
        <x:f t="shared" ref="L28:L39" si="6">SUM(J28:K28)</x:f>
        <x:v>-119727550.45</x:v>
      </x:c>
    </x:row>
    <x:row r="29" spans="1:12" x14ac:dyDescent="0.3">
      <x:c r="A29" s="5" t="s">
        <x:v>22</x:v>
      </x:c>
      <x:c r="B29" s="4">
        <x:v>24317425.120000001</x:v>
      </x:c>
      <x:c r="C29" s="4">
        <x:v>434752.82</x:v>
      </x:c>
      <x:c r="D29" s="4">
        <x:f t="shared" ref="D29:D39" si="7">SUM(B29:C29)</x:f>
        <x:v>24752177.940000001</x:v>
      </x:c>
      <x:c r="E29" s="4"/>
      <x:c r="F29" s="4">
        <x:v>-5687500</x:v>
      </x:c>
      <x:c r="G29" s="4">
        <x:v>-562500</x:v>
      </x:c>
      <x:c r="H29" s="4">
        <x:v>-6250000</x:v>
      </x:c>
      <x:c r="I29" s="4"/>
      <x:c r="J29" s="4">
        <x:f t="shared" si="5"/>
        <x:v>18629925.120000001</x:v>
      </x:c>
      <x:c r="K29" s="4">
        <x:f t="shared" si="5"/>
        <x:v>-127747.18</x:v>
      </x:c>
      <x:c r="L29" s="4">
        <x:f t="shared" si="6"/>
        <x:v>18502177.940000001</x:v>
      </x:c>
    </x:row>
    <x:row r="30" spans="1:12" x14ac:dyDescent="0.3">
      <x:c r="A30" s="5" t="s">
        <x:v>23</x:v>
      </x:c>
      <x:c r="B30" s="4">
        <x:v>190908803.38999999</x:v>
      </x:c>
      <x:c r="C30" s="4">
        <x:v>20300051.66</x:v>
      </x:c>
      <x:c r="D30" s="4">
        <x:f t="shared" si="7"/>
        <x:v>211208855.04999998</x:v>
      </x:c>
      <x:c r="E30" s="4"/>
      <x:c r="F30" s="4">
        <x:v>-5687500</x:v>
      </x:c>
      <x:c r="G30" s="4">
        <x:v>-562500</x:v>
      </x:c>
      <x:c r="H30" s="4">
        <x:v>-6250000</x:v>
      </x:c>
      <x:c r="I30" s="4"/>
      <x:c r="J30" s="4">
        <x:f t="shared" si="5"/>
        <x:v>185221303.38999999</x:v>
      </x:c>
      <x:c r="K30" s="4">
        <x:f t="shared" si="5"/>
        <x:v>19737551.66</x:v>
      </x:c>
      <x:c r="L30" s="4">
        <x:f t="shared" si="6"/>
        <x:v>204958855.04999998</x:v>
      </x:c>
    </x:row>
    <x:row r="31" spans="1:12" x14ac:dyDescent="0.3">
      <x:c r="A31" s="5" t="s">
        <x:v>24</x:v>
      </x:c>
      <x:c r="B31" s="4">
        <x:v>-128656714.77</x:v>
      </x:c>
      <x:c r="C31" s="4">
        <x:v>-20277887.969999999</x:v>
      </x:c>
      <x:c r="D31" s="4">
        <x:f t="shared" si="7"/>
        <x:v>-148934602.74000001</x:v>
      </x:c>
      <x:c r="E31" s="4"/>
      <x:c r="F31" s="4">
        <x:v>-5687500</x:v>
      </x:c>
      <x:c r="G31" s="4">
        <x:v>-562500</x:v>
      </x:c>
      <x:c r="H31" s="4">
        <x:v>-6250000</x:v>
      </x:c>
      <x:c r="I31" s="4"/>
      <x:c r="J31" s="4">
        <x:f t="shared" si="5"/>
        <x:v>-134344214.76999998</x:v>
      </x:c>
      <x:c r="K31" s="4">
        <x:f t="shared" si="5"/>
        <x:v>-20840387.969999999</x:v>
      </x:c>
      <x:c r="L31" s="4">
        <x:f t="shared" si="6"/>
        <x:v>-155184602.73999998</x:v>
      </x:c>
    </x:row>
    <x:row r="32" spans="1:12" x14ac:dyDescent="0.3">
      <x:c r="A32" s="5" t="s">
        <x:v>25</x:v>
      </x:c>
      <x:c r="B32" s="4">
        <x:v>18662631.350000001</x:v>
      </x:c>
      <x:c r="C32" s="4">
        <x:v>-148835.14000000001</x:v>
      </x:c>
      <x:c r="D32" s="4">
        <x:f t="shared" si="7"/>
        <x:v>18513796.210000001</x:v>
      </x:c>
      <x:c r="E32" s="4"/>
      <x:c r="F32" s="4">
        <x:v>-9344813.25</x:v>
      </x:c>
      <x:c r="G32" s="4">
        <x:v>-335313.21000000002</x:v>
      </x:c>
      <x:c r="H32" s="4">
        <x:f>SUM(F32:G32)</x:f>
        <x:v>-9680126.4600000009</x:v>
      </x:c>
      <x:c r="I32" s="4"/>
      <x:c r="J32" s="4">
        <x:f t="shared" si="5"/>
        <x:v>9317818.1000000015</x:v>
      </x:c>
      <x:c r="K32" s="4">
        <x:f t="shared" si="5"/>
        <x:v>-484148.35000000003</x:v>
      </x:c>
      <x:c r="L32" s="4">
        <x:f t="shared" si="6"/>
        <x:v>8833669.7500000019</x:v>
      </x:c>
    </x:row>
    <x:row r="33" spans="1:12" x14ac:dyDescent="0.3">
      <x:c r="A33" s="5" t="s">
        <x:v>26</x:v>
      </x:c>
      <x:c r="B33" s="4">
        <x:v>198945339.31</x:v>
      </x:c>
      <x:c r="C33" s="4">
        <x:v>12252467.949999999</x:v>
      </x:c>
      <x:c r="D33" s="4">
        <x:f t="shared" si="7"/>
        <x:v>211197807.25999999</x:v>
      </x:c>
      <x:c r="E33" s="4"/>
      <x:c r="F33" s="4">
        <x:v>-9885191.75</x:v>
      </x:c>
      <x:c r="G33" s="4">
        <x:v>-298141.59000000003</x:v>
      </x:c>
      <x:c r="H33" s="4">
        <x:f t="shared" ref="H33:H39" si="8">SUM(F33:G33)</x:f>
        <x:v>-10183333.34</x:v>
      </x:c>
      <x:c r="I33" s="4"/>
      <x:c r="J33" s="4">
        <x:f t="shared" si="5"/>
        <x:v>189060147.56</x:v>
      </x:c>
      <x:c r="K33" s="4">
        <x:f t="shared" si="5"/>
        <x:v>11954326.359999999</x:v>
      </x:c>
      <x:c r="L33" s="4">
        <x:f t="shared" si="6"/>
        <x:v>201014473.92000002</x:v>
      </x:c>
    </x:row>
    <x:row r="34" spans="1:12" x14ac:dyDescent="0.3">
      <x:c r="A34" s="5" t="s">
        <x:v>27</x:v>
      </x:c>
      <x:c r="B34" s="4">
        <x:v>-97816383.170000002</x:v>
      </x:c>
      <x:c r="C34" s="4">
        <x:v>-12225265.33</x:v>
      </x:c>
      <x:c r="D34" s="4">
        <x:f t="shared" si="7"/>
        <x:v>-110041648.5</x:v>
      </x:c>
      <x:c r="E34" s="4"/>
      <x:c r="F34" s="4">
        <x:v>-9885191.75</x:v>
      </x:c>
      <x:c r="G34" s="4">
        <x:v>-298141.59000000003</x:v>
      </x:c>
      <x:c r="H34" s="4">
        <x:f t="shared" si="8"/>
        <x:v>-10183333.34</x:v>
      </x:c>
      <x:c r="I34" s="4"/>
      <x:c r="J34" s="4">
        <x:f t="shared" si="5"/>
        <x:v>-107701574.92</x:v>
      </x:c>
      <x:c r="K34" s="4">
        <x:f t="shared" si="5"/>
        <x:v>-12523406.92</x:v>
      </x:c>
      <x:c r="L34" s="4">
        <x:f t="shared" si="6"/>
        <x:v>-120224981.84</x:v>
      </x:c>
    </x:row>
    <x:row r="35" spans="1:12" x14ac:dyDescent="0.3">
      <x:c r="A35" s="5" t="s">
        <x:v>28</x:v>
      </x:c>
      <x:c r="B35" s="4">
        <x:v>38450609.289999999</x:v>
      </x:c>
      <x:c r="C35" s="4">
        <x:v>0</x:v>
      </x:c>
      <x:c r="D35" s="4">
        <x:f t="shared" si="7"/>
        <x:v>38450609.289999999</x:v>
      </x:c>
      <x:c r="E35" s="4"/>
      <x:c r="F35" s="4">
        <x:v>-9885191.75</x:v>
      </x:c>
      <x:c r="G35" s="4">
        <x:v>-298141.59000000003</x:v>
      </x:c>
      <x:c r="H35" s="4">
        <x:f t="shared" si="8"/>
        <x:v>-10183333.34</x:v>
      </x:c>
      <x:c r="I35" s="4"/>
      <x:c r="J35" s="4">
        <x:f t="shared" si="5"/>
        <x:v>28565417.539999999</x:v>
      </x:c>
      <x:c r="K35" s="4">
        <x:f t="shared" si="5"/>
        <x:v>-298141.59000000003</x:v>
      </x:c>
      <x:c r="L35" s="4">
        <x:f t="shared" si="6"/>
        <x:v>28267275.949999999</x:v>
      </x:c>
    </x:row>
    <x:row r="36" spans="1:12" x14ac:dyDescent="0.3">
      <x:c r="A36" s="5" t="s">
        <x:v>29</x:v>
      </x:c>
      <x:c r="B36" s="4">
        <x:v>152590226.12</x:v>
      </x:c>
      <x:c r="C36" s="4">
        <x:v>16916812.859999999</x:v>
      </x:c>
      <x:c r="D36" s="4">
        <x:f t="shared" si="7"/>
        <x:v>169507038.98000002</x:v>
      </x:c>
      <x:c r="E36" s="4"/>
      <x:c r="F36" s="4">
        <x:v>-9885191.75</x:v>
      </x:c>
      <x:c r="G36" s="4">
        <x:v>-298141.59000000003</x:v>
      </x:c>
      <x:c r="H36" s="4">
        <x:f t="shared" si="8"/>
        <x:v>-10183333.34</x:v>
      </x:c>
      <x:c r="I36" s="4"/>
      <x:c r="J36" s="4">
        <x:f t="shared" si="5"/>
        <x:v>142705034.37</x:v>
      </x:c>
      <x:c r="K36" s="4">
        <x:f t="shared" si="5"/>
        <x:v>16618671.27</x:v>
      </x:c>
      <x:c r="L36" s="4">
        <x:f t="shared" si="6"/>
        <x:v>159323705.64000002</x:v>
      </x:c>
    </x:row>
    <x:row r="37" spans="1:12" x14ac:dyDescent="0.3">
      <x:c r="A37" s="5" t="s">
        <x:v>30</x:v>
      </x:c>
      <x:c r="B37" s="4">
        <x:v>-69214335.920000002</x:v>
      </x:c>
      <x:c r="C37" s="4">
        <x:v>-13537784.390000001</x:v>
      </x:c>
      <x:c r="D37" s="4">
        <x:f t="shared" si="7"/>
        <x:v>-82752120.310000002</x:v>
      </x:c>
      <x:c r="E37" s="4"/>
      <x:c r="F37" s="4">
        <x:v>-9885191.75</x:v>
      </x:c>
      <x:c r="G37" s="4">
        <x:v>-298141.59000000003</x:v>
      </x:c>
      <x:c r="H37" s="4">
        <x:f t="shared" si="8"/>
        <x:v>-10183333.34</x:v>
      </x:c>
      <x:c r="I37" s="4"/>
      <x:c r="J37" s="4">
        <x:f t="shared" si="5"/>
        <x:v>-79099527.670000002</x:v>
      </x:c>
      <x:c r="K37" s="4">
        <x:f t="shared" si="5"/>
        <x:v>-13835925.98</x:v>
      </x:c>
      <x:c r="L37" s="4">
        <x:f t="shared" si="6"/>
        <x:v>-92935453.650000006</x:v>
      </x:c>
    </x:row>
    <x:row r="38" spans="1:12" x14ac:dyDescent="0.3">
      <x:c r="A38" s="5" t="s">
        <x:v>31</x:v>
      </x:c>
      <x:c r="B38" s="4">
        <x:v>23501053.859999999</x:v>
      </x:c>
      <x:c r="C38" s="4">
        <x:v>0</x:v>
      </x:c>
      <x:c r="D38" s="4">
        <x:f t="shared" si="7"/>
        <x:v>23501053.859999999</x:v>
      </x:c>
      <x:c r="E38" s="4"/>
      <x:c r="F38" s="4">
        <x:v>-9885191.75</x:v>
      </x:c>
      <x:c r="G38" s="4">
        <x:v>-298141.59000000003</x:v>
      </x:c>
      <x:c r="H38" s="4">
        <x:f t="shared" si="8"/>
        <x:v>-10183333.34</x:v>
      </x:c>
      <x:c r="I38" s="4"/>
      <x:c r="J38" s="4">
        <x:f t="shared" si="5"/>
        <x:v>13615862.109999999</x:v>
      </x:c>
      <x:c r="K38" s="4">
        <x:f t="shared" si="5"/>
        <x:v>-298141.59000000003</x:v>
      </x:c>
      <x:c r="L38" s="4">
        <x:f t="shared" si="6"/>
        <x:v>13317720.52</x:v>
      </x:c>
    </x:row>
    <x:row r="39" spans="1:12" x14ac:dyDescent="0.3">
      <x:c r="A39" s="5" t="s">
        <x:v>32</x:v>
      </x:c>
      <x:c r="B39" s="6">
        <x:v>72458555.689999998</x:v>
      </x:c>
      <x:c r="C39" s="6">
        <x:v>15229618.869999999</x:v>
      </x:c>
      <x:c r="D39" s="6">
        <x:f t="shared" si="7"/>
        <x:v>87688174.560000002</x:v>
      </x:c>
      <x:c r="E39" s="4"/>
      <x:c r="F39" s="6">
        <x:v>-9885191.75</x:v>
      </x:c>
      <x:c r="G39" s="6">
        <x:v>-298141.59000000003</x:v>
      </x:c>
      <x:c r="H39" s="6">
        <x:f t="shared" si="8"/>
        <x:v>-10183333.34</x:v>
      </x:c>
      <x:c r="I39" s="4"/>
      <x:c r="J39" s="6">
        <x:f t="shared" si="5"/>
        <x:v>62573363.939999998</x:v>
      </x:c>
      <x:c r="K39" s="6">
        <x:f t="shared" si="5"/>
        <x:v>14931477.279999999</x:v>
      </x:c>
      <x:c r="L39" s="6">
        <x:f t="shared" si="6"/>
        <x:v>77504841.219999999</x:v>
      </x:c>
    </x:row>
    <x:row r="40" spans="1:12" x14ac:dyDescent="0.3">
      <x:c r="A40" s="5" t="s">
        <x:v>33</x:v>
      </x:c>
      <x:c r="B40" s="4">
        <x:f>SUM(B28:B39)</x:f>
        <x:v>326857579.98000002</x:v>
      </x:c>
      <x:c r="C40" s="4">
        <x:f t="shared" ref="C40:D40" si="9">SUM(C28:C39)</x:f>
        <x:v>2756011.1699999981</x:v>
      </x:c>
      <x:c r="D40" s="4">
        <x:f t="shared" si="9"/>
        <x:v>329613591.14999998</x:v>
      </x:c>
      <x:c r="E40" s="4"/>
      <x:c r="F40" s="4">
        <x:f>SUM(F28:F39)</x:f>
        <x:v>-101291155.5</x:v>
      </x:c>
      <x:c r="G40" s="4">
        <x:f>SUM(G28:G39)</x:f>
        <x:v>-4672304.3399999989</x:v>
      </x:c>
      <x:c r="H40" s="4">
        <x:f>SUM(H28:H39)</x:f>
        <x:v>-105963459.84000002</x:v>
      </x:c>
      <x:c r="I40" s="4"/>
      <x:c r="J40" s="4">
        <x:f>SUM(J28:J39)</x:f>
        <x:v>225566424.48000002</x:v>
      </x:c>
      <x:c r="K40" s="4">
        <x:f t="shared" ref="K40:L40" si="10">SUM(K28:K39)</x:f>
        <x:v>-1916293.1700000037</x:v>
      </x:c>
      <x:c r="L40" s="4">
        <x:f t="shared" si="10"/>
        <x:v>223650131.31000003</x:v>
      </x:c>
    </x:row>
    <x:row r="41" spans="1:12" ht="14.5" x14ac:dyDescent="0.35">
      <x:c r="A41" s="7"/>
      <x:c r="B41" s="8"/>
      <x:c r="C41" s="8"/>
      <x:c r="D41" s="8"/>
      <x:c r="E41" s="4"/>
      <x:c r="F41" s="4"/>
      <x:c r="G41" s="4"/>
      <x:c r="H41" s="4"/>
      <x:c r="I41" s="4"/>
      <x:c r="J41" s="4"/>
      <x:c r="K41" s="4"/>
      <x:c r="L41" s="4"/>
    </x:row>
    <x:row r="42" spans="1:12" ht="14.5" x14ac:dyDescent="0.35">
      <x:c r="A42" s="7"/>
      <x:c r="B42" s="8"/>
      <x:c r="C42" s="8"/>
      <x:c r="D42" s="8"/>
      <x:c r="E42" s="4"/>
      <x:c r="F42" s="4"/>
      <x:c r="G42" s="4"/>
      <x:c r="H42" s="4"/>
      <x:c r="I42" s="4"/>
      <x:c r="J42" s="4"/>
      <x:c r="K42" s="4"/>
      <x:c r="L42" s="4"/>
    </x:row>
    <x:row r="43" spans="1:12" x14ac:dyDescent="0.3"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</x:row>
    <x:row r="44" spans="1:12" x14ac:dyDescent="0.3">
      <x:c r="A44" s="5" t="s">
        <x:v>34</x:v>
      </x:c>
      <x:c r="B44" s="14">
        <x:v>-4657700.13</x:v>
      </x:c>
      <x:c r="C44" s="14">
        <x:v>-15207891.07</x:v>
      </x:c>
      <x:c r="D44" s="4">
        <x:f>SUM(B44:C44)</x:f>
        <x:v>-19865591.199999999</x:v>
      </x:c>
      <x:c r="E44" s="4"/>
      <x:c r="F44" s="4">
        <x:v>-9885191.75</x:v>
      </x:c>
      <x:c r="G44" s="4">
        <x:v>-298141.59000000003</x:v>
      </x:c>
      <x:c r="H44" s="4">
        <x:f>SUM(F44:G44)</x:f>
        <x:v>-10183333.34</x:v>
      </x:c>
      <x:c r="I44" s="4"/>
      <x:c r="J44" s="4">
        <x:f t="shared" ref="J44:K55" si="11">F44+B44</x:f>
        <x:v>-14542891.879999999</x:v>
      </x:c>
      <x:c r="K44" s="4">
        <x:f t="shared" si="11"/>
        <x:v>-15506032.66</x:v>
      </x:c>
      <x:c r="L44" s="4">
        <x:f t="shared" ref="L44:L55" si="12">SUM(J44:K44)</x:f>
        <x:v>-30048924.539999999</x:v>
      </x:c>
    </x:row>
    <x:row r="45" spans="1:12" x14ac:dyDescent="0.3">
      <x:c r="A45" s="5" t="s">
        <x:v>35</x:v>
      </x:c>
      <x:c r="B45" s="14">
        <x:v>5165761.32</x:v>
      </x:c>
      <x:c r="C45" s="14">
        <x:v>3000000</x:v>
      </x:c>
      <x:c r="D45" s="4">
        <x:f t="shared" ref="D45:D54" si="13">SUM(B45:C45)</x:f>
        <x:v>8165761.3200000003</x:v>
      </x:c>
      <x:c r="E45" s="4"/>
      <x:c r="F45" s="4">
        <x:v>-9885191.75</x:v>
      </x:c>
      <x:c r="G45" s="4">
        <x:v>-298141.59000000003</x:v>
      </x:c>
      <x:c r="H45" s="4">
        <x:f t="shared" ref="H45:H49" si="14">SUM(F45:G45)</x:f>
        <x:v>-10183333.34</x:v>
      </x:c>
      <x:c r="I45" s="4"/>
      <x:c r="J45" s="4">
        <x:f t="shared" si="11"/>
        <x:v>-4719430.43</x:v>
      </x:c>
      <x:c r="K45" s="4">
        <x:f t="shared" si="11"/>
        <x:v>2701858.41</x:v>
      </x:c>
      <x:c r="L45" s="4">
        <x:f t="shared" si="12"/>
        <x:v>-2017572.0199999996</x:v>
      </x:c>
    </x:row>
    <x:row r="46" spans="1:12" x14ac:dyDescent="0.3">
      <x:c r="A46" s="5" t="s">
        <x:v>36</x:v>
      </x:c>
      <x:c r="B46" s="14">
        <x:v>40536173.020000003</x:v>
      </x:c>
      <x:c r="C46" s="14">
        <x:v>12618762.16</x:v>
      </x:c>
      <x:c r="D46" s="4">
        <x:f t="shared" si="13"/>
        <x:v>53154935.180000007</x:v>
      </x:c>
      <x:c r="E46" s="4"/>
      <x:c r="F46" s="4">
        <x:v>-9885191.75</x:v>
      </x:c>
      <x:c r="G46" s="4">
        <x:v>-298141.59000000003</x:v>
      </x:c>
      <x:c r="H46" s="4">
        <x:f t="shared" si="14"/>
        <x:v>-10183333.34</x:v>
      </x:c>
      <x:c r="I46" s="4"/>
      <x:c r="J46" s="4">
        <x:f t="shared" si="11"/>
        <x:v>30650981.270000003</x:v>
      </x:c>
      <x:c r="K46" s="4">
        <x:f t="shared" si="11"/>
        <x:v>12320620.57</x:v>
      </x:c>
      <x:c r="L46" s="4">
        <x:f t="shared" si="12"/>
        <x:v>42971601.840000004</x:v>
      </x:c>
    </x:row>
    <x:row r="47" spans="1:12" x14ac:dyDescent="0.3">
      <x:c r="A47" s="5" t="s">
        <x:v>37</x:v>
      </x:c>
      <x:c r="B47" s="14">
        <x:v>-2761018.58</x:v>
      </x:c>
      <x:c r="C47" s="14">
        <x:v>-12589099.58</x:v>
      </x:c>
      <x:c r="D47" s="4">
        <x:f t="shared" si="13"/>
        <x:v>-15350118.16</x:v>
      </x:c>
      <x:c r="E47" s="4"/>
      <x:c r="F47" s="4">
        <x:v>-9885191.75</x:v>
      </x:c>
      <x:c r="G47" s="4">
        <x:v>-298141.59000000003</x:v>
      </x:c>
      <x:c r="H47" s="4">
        <x:f t="shared" si="14"/>
        <x:v>-10183333.34</x:v>
      </x:c>
      <x:c r="I47" s="4"/>
      <x:c r="J47" s="4">
        <x:f t="shared" si="11"/>
        <x:v>-12646210.33</x:v>
      </x:c>
      <x:c r="K47" s="4">
        <x:f t="shared" si="11"/>
        <x:v>-12887241.17</x:v>
      </x:c>
      <x:c r="L47" s="4">
        <x:f t="shared" si="12"/>
        <x:v>-25533451.5</x:v>
      </x:c>
    </x:row>
    <x:row r="48" spans="1:12" x14ac:dyDescent="0.3">
      <x:c r="A48" s="5" t="s">
        <x:v>38</x:v>
      </x:c>
      <x:c r="B48" s="14">
        <x:v>939505.49</x:v>
      </x:c>
      <x:c r="C48" s="14">
        <x:v>0</x:v>
      </x:c>
      <x:c r="D48" s="4">
        <x:f t="shared" si="13"/>
        <x:v>939505.49</x:v>
      </x:c>
      <x:c r="E48" s="4"/>
      <x:c r="F48" s="4">
        <x:v>-9885191.75</x:v>
      </x:c>
      <x:c r="G48" s="4">
        <x:v>-298141.59000000003</x:v>
      </x:c>
      <x:c r="H48" s="4">
        <x:f t="shared" si="14"/>
        <x:v>-10183333.34</x:v>
      </x:c>
      <x:c r="I48" s="4"/>
      <x:c r="J48" s="4">
        <x:f t="shared" si="11"/>
        <x:v>-8945686.2599999998</x:v>
      </x:c>
      <x:c r="K48" s="4">
        <x:f t="shared" si="11"/>
        <x:v>-298141.59000000003</x:v>
      </x:c>
      <x:c r="L48" s="4">
        <x:f t="shared" si="12"/>
        <x:v>-9243827.8499999996</x:v>
      </x:c>
    </x:row>
    <x:row r="49" spans="1:12" x14ac:dyDescent="0.3">
      <x:c r="A49" s="5" t="s">
        <x:v>39</x:v>
      </x:c>
      <x:c r="B49" s="14">
        <x:v>255528934.67999998</x:v>
      </x:c>
      <x:c r="C49" s="14">
        <x:v>14178661.76</x:v>
      </x:c>
      <x:c r="D49" s="4">
        <x:f t="shared" si="13"/>
        <x:v>269707596.44</x:v>
      </x:c>
      <x:c r="E49" s="4"/>
      <x:c r="F49" s="4">
        <x:v>-9885191.75</x:v>
      </x:c>
      <x:c r="G49" s="4">
        <x:v>-298141.59000000003</x:v>
      </x:c>
      <x:c r="H49" s="4">
        <x:f t="shared" si="14"/>
        <x:v>-10183333.34</x:v>
      </x:c>
      <x:c r="I49" s="4"/>
      <x:c r="J49" s="4">
        <x:f t="shared" si="11"/>
        <x:v>245643742.92999998</x:v>
      </x:c>
      <x:c r="K49" s="4">
        <x:f t="shared" si="11"/>
        <x:v>13880520.17</x:v>
      </x:c>
      <x:c r="L49" s="4">
        <x:f t="shared" si="12"/>
        <x:v>259524263.09999996</x:v>
      </x:c>
    </x:row>
    <x:row r="50" spans="1:12" x14ac:dyDescent="0.3">
      <x:c r="A50" s="5" t="s">
        <x:v>40</x:v>
      </x:c>
      <x:c r="B50" s="14">
        <x:v>-251987008.60999998</x:v>
      </x:c>
      <x:c r="C50" s="14">
        <x:v>-14156078.470000001</x:v>
      </x:c>
      <x:c r="D50" s="4">
        <x:f t="shared" si="13"/>
        <x:v>-266143087.07999998</x:v>
      </x:c>
      <x:c r="E50" s="4"/>
      <x:c r="F50" s="4">
        <x:v>-9885191.75</x:v>
      </x:c>
      <x:c r="G50" s="4">
        <x:v>-298141.59000000003</x:v>
      </x:c>
      <x:c r="H50" s="4">
        <x:f t="shared" ref="H50:H55" si="15">SUM(F50:G50)</x:f>
        <x:v>-10183333.34</x:v>
      </x:c>
      <x:c r="I50" s="4"/>
      <x:c r="J50" s="4">
        <x:f t="shared" si="11"/>
        <x:v>-261872200.35999998</x:v>
      </x:c>
      <x:c r="K50" s="4">
        <x:f t="shared" si="11"/>
        <x:v>-14454220.060000001</x:v>
      </x:c>
      <x:c r="L50" s="4">
        <x:f t="shared" si="12"/>
        <x:v>-276326420.41999996</x:v>
      </x:c>
    </x:row>
    <x:row r="51" spans="1:12" x14ac:dyDescent="0.3">
      <x:c r="A51" s="5" t="s">
        <x:v>41</x:v>
      </x:c>
      <x:c r="B51" s="14">
        <x:v>58065342.590000004</x:v>
      </x:c>
      <x:c r="C51" s="14">
        <x:v>0</x:v>
      </x:c>
      <x:c r="D51" s="4">
        <x:f t="shared" si="13"/>
        <x:v>58065342.590000004</x:v>
      </x:c>
      <x:c r="E51" s="4"/>
      <x:c r="F51" s="4">
        <x:v>-9885191.75</x:v>
      </x:c>
      <x:c r="G51" s="4">
        <x:v>-298141.59000000003</x:v>
      </x:c>
      <x:c r="H51" s="4">
        <x:f t="shared" si="15"/>
        <x:v>-10183333.34</x:v>
      </x:c>
      <x:c r="I51" s="4"/>
      <x:c r="J51" s="4">
        <x:f t="shared" si="11"/>
        <x:v>48180150.840000004</x:v>
      </x:c>
      <x:c r="K51" s="4">
        <x:f t="shared" si="11"/>
        <x:v>-298141.59000000003</x:v>
      </x:c>
      <x:c r="L51" s="4">
        <x:f t="shared" si="12"/>
        <x:v>47882009.25</x:v>
      </x:c>
    </x:row>
    <x:row r="52" spans="1:12" x14ac:dyDescent="0.3">
      <x:c r="A52" s="5" t="s">
        <x:v>42</x:v>
      </x:c>
      <x:c r="B52" s="14">
        <x:v>322015940.21000004</x:v>
      </x:c>
      <x:c r="C52" s="14">
        <x:v>17824898.41</x:v>
      </x:c>
      <x:c r="D52" s="4">
        <x:f t="shared" si="13"/>
        <x:v>339840838.62000006</x:v>
      </x:c>
      <x:c r="E52" s="4"/>
      <x:c r="F52" s="4">
        <x:v>-9885191.75</x:v>
      </x:c>
      <x:c r="G52" s="4">
        <x:v>-298141.59000000003</x:v>
      </x:c>
      <x:c r="H52" s="4">
        <x:f t="shared" si="15"/>
        <x:v>-10183333.34</x:v>
      </x:c>
      <x:c r="I52" s="4"/>
      <x:c r="J52" s="4">
        <x:f t="shared" si="11"/>
        <x:v>312130748.46000004</x:v>
      </x:c>
      <x:c r="K52" s="4">
        <x:f t="shared" si="11"/>
        <x:v>17526756.82</x:v>
      </x:c>
      <x:c r="L52" s="4">
        <x:f t="shared" si="12"/>
        <x:v>329657505.28000003</x:v>
      </x:c>
    </x:row>
    <x:row r="53" spans="1:12" x14ac:dyDescent="0.3">
      <x:c r="A53" s="5" t="s">
        <x:v>43</x:v>
      </x:c>
      <x:c r="B53" s="14">
        <x:v>-225552420.68000001</x:v>
      </x:c>
      <x:c r="C53" s="14">
        <x:v>-14795790.09</x:v>
      </x:c>
      <x:c r="D53" s="4">
        <x:f t="shared" si="13"/>
        <x:v>-240348210.77000001</x:v>
      </x:c>
      <x:c r="E53" s="4"/>
      <x:c r="F53" s="4">
        <x:v>-9885191.75</x:v>
      </x:c>
      <x:c r="G53" s="4">
        <x:v>-298141.59000000003</x:v>
      </x:c>
      <x:c r="H53" s="4">
        <x:f t="shared" si="15"/>
        <x:v>-10183333.34</x:v>
      </x:c>
      <x:c r="I53" s="4"/>
      <x:c r="J53" s="4">
        <x:f t="shared" si="11"/>
        <x:v>-235437612.43000001</x:v>
      </x:c>
      <x:c r="K53" s="4">
        <x:f t="shared" si="11"/>
        <x:v>-15093931.68</x:v>
      </x:c>
      <x:c r="L53" s="4">
        <x:f t="shared" si="12"/>
        <x:v>-250531544.11000001</x:v>
      </x:c>
    </x:row>
    <x:row r="54" spans="1:12" x14ac:dyDescent="0.3">
      <x:c r="A54" s="5" t="s">
        <x:v>44</x:v>
      </x:c>
      <x:c r="B54" s="14">
        <x:v>6737054.96</x:v>
      </x:c>
      <x:c r="C54" s="14">
        <x:v>0</x:v>
      </x:c>
      <x:c r="D54" s="4">
        <x:f t="shared" si="13"/>
        <x:v>6737054.96</x:v>
      </x:c>
      <x:c r="E54" s="4"/>
      <x:c r="F54" s="4">
        <x:v>-9885191.75</x:v>
      </x:c>
      <x:c r="G54" s="4">
        <x:v>-298141.59000000003</x:v>
      </x:c>
      <x:c r="H54" s="4">
        <x:f t="shared" si="15"/>
        <x:v>-10183333.34</x:v>
      </x:c>
      <x:c r="I54" s="4"/>
      <x:c r="J54" s="4">
        <x:f t="shared" si="11"/>
        <x:v>-3148136.79</x:v>
      </x:c>
      <x:c r="K54" s="4">
        <x:f t="shared" si="11"/>
        <x:v>-298141.59000000003</x:v>
      </x:c>
      <x:c r="L54" s="4">
        <x:f t="shared" si="12"/>
        <x:v>-3446278.38</x:v>
      </x:c>
    </x:row>
    <x:row r="55" spans="1:12" ht="14.5" x14ac:dyDescent="0.35">
      <x:c r="A55" s="5" t="s">
        <x:v>45</x:v>
      </x:c>
      <x:c r="B55" s="15">
        <x:v>234781843.73000002</x:v>
      </x:c>
      <x:c r="C55" s="15">
        <x:v>19904706.530000001</x:v>
      </x:c>
      <x:c r="D55" s="6">
        <x:f>SUM(B55:C55)</x:f>
        <x:v>254686550.26000002</x:v>
      </x:c>
      <x:c r="E55" s="4"/>
      <x:c r="F55" s="6">
        <x:v>-9885191.75</x:v>
      </x:c>
      <x:c r="G55" s="6">
        <x:v>-298141.59000000003</x:v>
      </x:c>
      <x:c r="H55" s="6">
        <x:f t="shared" si="15"/>
        <x:v>-10183333.34</x:v>
      </x:c>
      <x:c r="I55" s="4"/>
      <x:c r="J55" s="6">
        <x:f t="shared" si="11"/>
        <x:v>224896651.98000002</x:v>
      </x:c>
      <x:c r="K55" s="6">
        <x:f t="shared" si="11"/>
        <x:v>19606564.940000001</x:v>
      </x:c>
      <x:c r="L55" s="6">
        <x:f t="shared" si="12"/>
        <x:v>244503216.92000002</x:v>
      </x:c>
    </x:row>
    <x:row r="56" spans="1:12" x14ac:dyDescent="0.3">
      <x:c r="A56" s="5" t="s">
        <x:v>46</x:v>
      </x:c>
      <x:c r="B56" s="4">
        <x:f>SUM(B44:B55)</x:f>
        <x:v>438812408</x:v>
      </x:c>
      <x:c r="C56" s="4">
        <x:f t="shared" ref="C56:D56" si="16">SUM(C44:C55)</x:f>
        <x:v>10778169.65</x:v>
      </x:c>
      <x:c r="D56" s="4">
        <x:f t="shared" si="16"/>
        <x:v>449590577.6500001</x:v>
      </x:c>
      <x:c r="E56" s="4"/>
      <x:c r="F56" s="4">
        <x:f>SUM(F44:F55)</x:f>
        <x:v>-118622301</x:v>
      </x:c>
      <x:c r="G56" s="4">
        <x:f>SUM(G44:G55)</x:f>
        <x:v>-3577699.0799999996</x:v>
      </x:c>
      <x:c r="H56" s="4">
        <x:f>SUM(H44:H55)</x:f>
        <x:v>-122200000.08000003</x:v>
      </x:c>
      <x:c r="I56" s="4"/>
      <x:c r="J56" s="4">
        <x:f>SUM(J44:J55)</x:f>
        <x:v>320190107</x:v>
      </x:c>
      <x:c r="K56" s="4">
        <x:f>SUM(K44:K55)</x:f>
        <x:v>7200470.5700000022</x:v>
      </x:c>
      <x:c r="L56" s="4">
        <x:f>SUM(L44:L55)</x:f>
        <x:v>327390577.57000005</x:v>
      </x:c>
    </x:row>
    <x:row r="57" spans="1:12" ht="14.5" x14ac:dyDescent="0.35">
      <x:c r="A57" s="7"/>
      <x:c r="B57" s="8"/>
      <x:c r="C57" s="8"/>
      <x:c r="D57" s="8"/>
      <x:c r="E57" s="4"/>
      <x:c r="F57" s="4"/>
      <x:c r="G57" s="4"/>
      <x:c r="H57" s="4"/>
      <x:c r="I57" s="4"/>
      <x:c r="J57" s="4"/>
      <x:c r="K57" s="4"/>
      <x:c r="L57" s="4"/>
    </x:row>
    <x:row r="58" spans="1:12" x14ac:dyDescent="0.3"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</x:row>
    <x:row r="59" spans="1:12" ht="39" x14ac:dyDescent="0.3">
      <x:c r="A59" s="25" t="s">
        <x:v>57</x:v>
      </x:c>
      <x:c r="B59" s="4">
        <x:f>B24+B40+B56</x:f>
        <x:v>1027922348.87</x:v>
      </x:c>
      <x:c r="C59" s="4">
        <x:f t="shared" ref="C59" si="17">C24+C40+C56</x:f>
        <x:v>31790433.649999999</x:v>
      </x:c>
      <x:c r="D59" s="4">
        <x:f>D24+D40+D56</x:f>
        <x:v>1059712782.52</x:v>
      </x:c>
      <x:c r="E59" s="4"/>
      <x:c r="F59" s="4">
        <x:f>F24+F40+F56</x:f>
        <x:v>-288163456.5</x:v>
      </x:c>
      <x:c r="G59" s="4">
        <x:f t="shared" ref="G59" si="18">G24+G40+G56</x:f>
        <x:v>-15000003.42</x:v>
      </x:c>
      <x:c r="H59" s="4">
        <x:f>H24+H40+H56</x:f>
        <x:v>-303163459.92000008</x:v>
      </x:c>
      <x:c r="I59" s="4"/>
      <x:c r="J59" s="4">
        <x:f>J24+J40+J56</x:f>
        <x:v>739758892.37</x:v>
      </x:c>
      <x:c r="K59" s="4">
        <x:f t="shared" ref="K59:L59" si="19">K24+K40+K56</x:f>
        <x:v>16790430.229999997</x:v>
      </x:c>
      <x:c r="L59" s="4">
        <x:f t="shared" si="19"/>
        <x:v>756549322.60000002</x:v>
      </x:c>
    </x:row>
    <x:row r="60" spans="1:12" x14ac:dyDescent="0.3"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</x:row>
    <x:row r="61" spans="1:12" ht="26" x14ac:dyDescent="0.3">
      <x:c r="A61" s="25" t="s">
        <x:v>61</x:v>
      </x:c>
      <x:c r="B61" s="4">
        <x:v>1323573.54</x:v>
      </x:c>
      <x:c r="C61" s="4">
        <x:v>-10000</x:v>
      </x:c>
      <x:c r="D61" s="4">
        <x:f>SUM(B61:C61)</x:f>
        <x:v>1313573.54</x:v>
      </x:c>
      <x:c r="E61" s="4"/>
      <x:c r="F61" s="4">
        <x:v>0</x:v>
      </x:c>
      <x:c r="G61" s="4">
        <x:v>0</x:v>
      </x:c>
      <x:c r="H61" s="4">
        <x:v>0</x:v>
      </x:c>
      <x:c r="I61" s="4"/>
      <x:c r="J61" s="4">
        <x:f>J59+B61</x:f>
        <x:v>741082465.90999997</x:v>
      </x:c>
      <x:c r="K61" s="4">
        <x:f>K59+C61</x:f>
        <x:v>16780430.229999997</x:v>
      </x:c>
      <x:c r="L61" s="4">
        <x:f>L59+D61</x:f>
        <x:v>757862896.13999999</x:v>
      </x:c>
    </x:row>
    <x:row r="62" spans="1:12" x14ac:dyDescent="0.3">
      <x:c r="B62" s="50" t="s">
        <x:v>80</x:v>
      </x:c>
      <x:c r="C62" s="48" t="s">
        <x:v>79</x:v>
      </x:c>
      <x:c r="D62" s="4"/>
      <x:c r="E62" s="4"/>
      <x:c r="F62" s="4"/>
      <x:c r="G62" s="4"/>
      <x:c r="H62" s="4"/>
      <x:c r="I62" s="4"/>
      <x:c r="J62" s="4"/>
      <x:c r="K62" s="4"/>
      <x:c r="L62" s="4"/>
    </x:row>
    <x:row r="63" spans="1:12" x14ac:dyDescent="0.3">
      <x:c r="B63" s="51"/>
      <x:c r="C63" s="49"/>
      <x:c r="D63" s="4"/>
      <x:c r="E63" s="4"/>
      <x:c r="F63" s="4"/>
      <x:c r="G63" s="4"/>
      <x:c r="H63" s="4"/>
      <x:c r="I63" s="4"/>
      <x:c r="J63" s="4"/>
      <x:c r="K63" s="4"/>
      <x:c r="L63" s="4"/>
    </x:row>
    <x:row r="64" spans="1:12" x14ac:dyDescent="0.3">
      <x:c r="B64" s="51"/>
      <x:c r="C64" s="49"/>
      <x:c r="D64" s="4"/>
      <x:c r="E64" s="4"/>
      <x:c r="F64" s="4"/>
      <x:c r="G64" s="4"/>
      <x:c r="H64" s="4"/>
      <x:c r="I64" s="4"/>
      <x:c r="J64" s="42" t="s">
        <x:v>47</x:v>
      </x:c>
      <x:c r="K64" s="42"/>
      <x:c r="L64" s="42"/>
    </x:row>
    <x:row r="65" spans="1:17" x14ac:dyDescent="0.3">
      <x:c r="B65" s="4"/>
      <x:c r="C65" s="4"/>
      <x:c r="D65" s="4"/>
      <x:c r="E65" s="4"/>
      <x:c r="F65" s="4"/>
      <x:c r="G65" s="4"/>
      <x:c r="H65" s="4"/>
      <x:c r="I65" s="9" t="s">
        <x:v>82</x:v>
      </x:c>
      <x:c r="J65" s="4">
        <x:f>J61/$J$68</x:f>
        <x:v>148216493.18199998</x:v>
      </x:c>
      <x:c r="K65" s="4">
        <x:f>K61/$J$68</x:f>
        <x:v>3356086.0459999992</x:v>
      </x:c>
      <x:c r="L65" s="4">
        <x:f>L61/$J$68</x:f>
        <x:v>151572579.22799999</x:v>
      </x:c>
    </x:row>
    <x:row r="66" spans="1:17" x14ac:dyDescent="0.3">
      <x:c r="D66" s="10"/>
    </x:row>
    <x:row r="67" spans="1:17" x14ac:dyDescent="0.3">
      <x:c r="J67" s="11"/>
      <x:c r="L67" s="23" t="s">
        <x:v>83</x:v>
      </x:c>
    </x:row>
    <x:row r="68" spans="1:17" x14ac:dyDescent="0.3">
      <x:c r="J68" s="12">
        <x:v>5</x:v>
      </x:c>
    </x:row>
    <x:row r="69" spans="1:17" x14ac:dyDescent="0.3">
      <x:c r="J69" s="12"/>
    </x:row>
    <x:row r="70" spans="1:17" x14ac:dyDescent="0.3">
      <x:c r="A70" s="18" t="s">
        <x:v>58</x:v>
      </x:c>
      <x:c r="F70" s="18" t="s">
        <x:v>48</x:v>
      </x:c>
      <x:c r="J70" s="18" t="s">
        <x:v>84</x:v>
      </x:c>
    </x:row>
    <x:row r="71" spans="1:17" x14ac:dyDescent="0.3">
      <x:c r="A71" t="s">
        <x:v>51</x:v>
      </x:c>
      <x:c r="B71" s="16">
        <x:v>32547310.560000002</x:v>
      </x:c>
      <x:c r="C71" s="16">
        <x:v>-29342.26999999996</x:v>
      </x:c>
      <x:c r="D71" s="17">
        <x:f>SUM(B71:C71)</x:f>
        <x:v>32517968.290000003</x:v>
      </x:c>
      <x:c r="F71">
        <x:v>110.99</x:v>
      </x:c>
      <x:c r="H71" s="17">
        <x:f>SUM(F71:G71)</x:f>
        <x:v>110.99</x:v>
      </x:c>
      <x:c r="J71" s="17">
        <x:f>B71+F71</x:f>
        <x:v>32547421.550000001</x:v>
      </x:c>
      <x:c r="K71" s="17">
        <x:f>C71+G71</x:f>
        <x:v>-29342.26999999996</x:v>
      </x:c>
      <x:c r="L71" s="17">
        <x:f>SUM(J71:K71)</x:f>
        <x:v>32518079.280000001</x:v>
      </x:c>
    </x:row>
    <x:row r="72" spans="1:17" x14ac:dyDescent="0.3">
      <x:c r="A72" t="s">
        <x:v>50</x:v>
      </x:c>
      <x:c r="B72" s="16">
        <x:v>-946280.72</x:v>
      </x:c>
      <x:c r="C72" s="16"/>
      <x:c r="D72" s="17">
        <x:f t="shared" ref="D72:D73" si="20">SUM(B72:C72)</x:f>
        <x:v>-946280.72</x:v>
      </x:c>
      <x:c r="H72" s="17">
        <x:f t="shared" ref="H72:H73" si="21">SUM(F72:G72)</x:f>
        <x:v>0</x:v>
      </x:c>
      <x:c r="J72" s="17">
        <x:f t="shared" ref="J72:J73" si="22">B72+F72</x:f>
        <x:v>-946280.72</x:v>
      </x:c>
      <x:c r="K72" s="17">
        <x:f t="shared" ref="K72:K73" si="23">C72+G72</x:f>
        <x:v>0</x:v>
      </x:c>
      <x:c r="L72" s="17">
        <x:f t="shared" ref="L72:L73" si="24">SUM(J72:K72)</x:f>
        <x:v>-946280.72</x:v>
      </x:c>
    </x:row>
    <x:row r="73" spans="1:17" x14ac:dyDescent="0.3">
      <x:c r="A73" t="s">
        <x:v>49</x:v>
      </x:c>
      <x:c r="B73" s="19">
        <x:f>710103916.471375-1946054</x:f>
        <x:v>708157862.47137499</x:v>
      </x:c>
      <x:c r="C73" s="19">
        <x:f>14873718.5586253+1946054</x:f>
        <x:v>16819772.558625299</x:v>
      </x:c>
      <x:c r="D73" s="20">
        <x:f t="shared" si="20"/>
        <x:v>724977635.03000033</x:v>
      </x:c>
      <x:c r="F73" s="21">
        <x:f>[1]Detail!$L$261-F71</x:f>
        <x:v>1323462.5500000003</x:v>
      </x:c>
      <x:c r="G73" s="38">
        <x:f>C61</x:f>
        <x:v>-10000</x:v>
      </x:c>
      <x:c r="H73" s="20">
        <x:f t="shared" si="21"/>
        <x:v>1313462.5500000003</x:v>
      </x:c>
      <x:c r="J73" s="20">
        <x:f t="shared" si="22"/>
        <x:v>709481325.02137494</x:v>
      </x:c>
      <x:c r="K73" s="20">
        <x:f t="shared" si="23"/>
        <x:v>16809772.558625299</x:v>
      </x:c>
      <x:c r="L73" s="20">
        <x:f t="shared" si="24"/>
        <x:v>726291097.58000028</x:v>
      </x:c>
    </x:row>
    <x:row r="74" spans="1:17" x14ac:dyDescent="0.3">
      <x:c r="B74" s="17">
        <x:f>SUM(B71:B73)</x:f>
        <x:v>739758892.31137502</x:v>
      </x:c>
      <x:c r="C74" s="17">
        <x:f t="shared" ref="C74:L74" si="25">SUM(C71:C73)</x:f>
        <x:v>16790430.2886253</x:v>
      </x:c>
      <x:c r="D74" s="17">
        <x:f t="shared" si="25"/>
        <x:v>756549322.60000038</x:v>
      </x:c>
      <x:c r="E74" s="17"/>
      <x:c r="F74" s="17">
        <x:f t="shared" si="25"/>
        <x:v>1323573.5400000003</x:v>
      </x:c>
      <x:c r="G74" s="17">
        <x:f t="shared" si="25"/>
        <x:v>-10000</x:v>
      </x:c>
      <x:c r="H74" s="17">
        <x:f t="shared" si="25"/>
        <x:v>1313573.5400000003</x:v>
      </x:c>
      <x:c r="I74" s="17"/>
      <x:c r="J74" s="17">
        <x:f t="shared" si="25"/>
        <x:v>741082465.85137498</x:v>
      </x:c>
      <x:c r="K74" s="17">
        <x:f t="shared" si="25"/>
        <x:v>16780430.2886253</x:v>
      </x:c>
      <x:c r="L74" s="17">
        <x:f t="shared" si="25"/>
        <x:v>757862896.14000034</x:v>
      </x:c>
    </x:row>
    <x:row r="76" spans="1:17" x14ac:dyDescent="0.3">
      <x:c r="J76" s="41" t="s">
        <x:v>52</x:v>
      </x:c>
      <x:c r="K76" s="41"/>
      <x:c r="L76" s="41"/>
    </x:row>
    <x:row r="77" spans="1:17" x14ac:dyDescent="0.3">
      <x:c r="H77" s="22" t="str">
        <x:f>A71</x:f>
        <x:v>Transmission (TRN)</x:v>
      </x:c>
      <x:c r="J77" s="17">
        <x:f>ROUND(J71/$J$68,2)</x:f>
        <x:v>6509484.3099999996</x:v>
      </x:c>
      <x:c r="K77" s="17">
        <x:f t="shared" ref="K77:L77" si="26">ROUND(K71/$J$68,2)</x:f>
        <x:v>-5868.45</x:v>
      </x:c>
      <x:c r="L77" s="17">
        <x:f t="shared" si="26"/>
        <x:v>6503615.8600000003</x:v>
      </x:c>
    </x:row>
    <x:row r="78" spans="1:17" x14ac:dyDescent="0.3">
      <x:c r="H78" s="22" t="str">
        <x:f t="shared" ref="H78:H79" si="27">A72</x:f>
        <x:v>NTU Transmission (NTUSU)</x:v>
      </x:c>
      <x:c r="J78" s="17">
        <x:f t="shared" ref="J78:L79" si="28">ROUND(J72/$J$68,2)</x:f>
        <x:v>-189256.14</x:v>
      </x:c>
      <x:c r="K78" s="17">
        <x:f t="shared" si="28"/>
        <x:v>0</x:v>
      </x:c>
      <x:c r="L78" s="17">
        <x:f t="shared" si="28"/>
        <x:v>-189256.14</x:v>
      </x:c>
    </x:row>
    <x:row r="79" spans="1:17" x14ac:dyDescent="0.3">
      <x:c r="H79" s="22" t="str">
        <x:f t="shared" si="27"/>
        <x:v>Distribution (ESD)</x:v>
      </x:c>
      <x:c r="J79" s="20">
        <x:f t="shared" si="28"/>
        <x:v>141896265</x:v>
      </x:c>
      <x:c r="K79" s="20">
        <x:f t="shared" si="28"/>
        <x:v>3361954.51</x:v>
      </x:c>
      <x:c r="L79" s="20">
        <x:f t="shared" si="28"/>
        <x:v>145258219.52000001</x:v>
      </x:c>
    </x:row>
    <x:row r="80" spans="1:17" x14ac:dyDescent="0.3">
      <x:c r="H80" s="22" t="s">
        <x:v>85</x:v>
      </x:c>
      <x:c r="J80" s="17">
        <x:f>SUM(J77:J79)</x:f>
        <x:v>148216493.16999999</x:v>
      </x:c>
      <x:c r="K80" s="17">
        <x:f t="shared" ref="K80:L80" si="29">SUM(K77:K79)</x:f>
        <x:v>3356086.0599999996</x:v>
      </x:c>
      <x:c r="L80" s="17">
        <x:f t="shared" si="29"/>
        <x:v>151572579.24000001</x:v>
      </x:c>
      <x:c r="N80" s="17"/>
      <x:c r="O80" s="17"/>
      <x:c r="P80" s="17"/>
      <x:c r="Q80" s="17"/>
    </x:row>
    <x:row r="81" spans="1:1" x14ac:dyDescent="0.3">
      <x:c r="A81" t="s">
        <x:v>53</x:v>
      </x:c>
    </x:row>
    <x:row r="82" spans="1:1" x14ac:dyDescent="0.3">
      <x:c r="A82" t="s">
        <x:v>62</x:v>
      </x:c>
    </x:row>
    <x:row r="83" spans="1:1" x14ac:dyDescent="0.3">
      <x:c r="A83" t="s">
        <x:v>59</x:v>
      </x:c>
    </x:row>
    <x:row r="84" spans="1:1" x14ac:dyDescent="0.3">
      <x:c r="A84" t="s">
        <x:v>60</x:v>
      </x:c>
    </x:row>
  </x:sheetData>
  <x:mergeCells count="12">
    <x:mergeCell ref="J76:L76"/>
    <x:mergeCell ref="J64:L64"/>
    <x:mergeCell ref="A3:L3"/>
    <x:mergeCell ref="A4:L4"/>
    <x:mergeCell ref="A5:L5"/>
    <x:mergeCell ref="A6:L6"/>
    <x:mergeCell ref="A7:L7"/>
    <x:mergeCell ref="B9:D9"/>
    <x:mergeCell ref="F9:H9"/>
    <x:mergeCell ref="J9:L9"/>
    <x:mergeCell ref="C62:C64"/>
    <x:mergeCell ref="B62:B64"/>
  </x:mergeCells>
  <x:pageMargins left="0.45" right="0.45" top="0.75" bottom="0.75" header="0.3" footer="0.3"/>
  <x:pageSetup scale="59" orientation="portrait" r:id="rId1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E60212D-D2A5-4F31-823C-0D0BFFB0EBD6}" mc:Ignorable="x14ac xr xr2 xr3">
  <x:sheetPr>
    <x:pageSetUpPr fitToPage="1"/>
  </x:sheetPr>
  <x:dimension ref="A1:H21"/>
  <x:sheetViews>
    <x:sheetView workbookViewId="0">
      <x:selection activeCell="H1" sqref="H1"/>
    </x:sheetView>
  </x:sheetViews>
  <x:sheetFormatPr defaultRowHeight="13" x14ac:dyDescent="0.3"/>
  <x:cols>
    <x:col min="1" max="1" width="5" style="30" bestFit="1" customWidth="1"/>
    <x:col min="2" max="2" width="11.5" style="30" bestFit="1" customWidth="1"/>
    <x:col min="3" max="3" width="18.69921875" style="30" bestFit="1" customWidth="1"/>
    <x:col min="4" max="4" width="17.296875" style="31" bestFit="1" customWidth="1"/>
    <x:col min="5" max="16384" width="8.796875" style="30"/>
  </x:cols>
  <x:sheetData>
    <x:row r="1" spans="1:8" x14ac:dyDescent="0.3">
      <x:c r="H1" s="40" t="str">
        <x:f>'Page 1'!L1</x:f>
        <x:v>WP/II-B-12 SIR Regulatory Asset To Be Reviewed</x:v>
      </x:c>
    </x:row>
    <x:row r="2" spans="1:8" x14ac:dyDescent="0.3">
      <x:c r="H2" s="40" t="s">
        <x:v>78</x:v>
      </x:c>
    </x:row>
    <x:row r="3" spans="1:8" x14ac:dyDescent="0.3">
      <x:c r="A3" s="30" t="s">
        <x:v>64</x:v>
      </x:c>
    </x:row>
    <x:row r="6" spans="1:8" ht="13.5" thickBot="1" x14ac:dyDescent="0.35">
      <x:c r="A6" s="30" t="s">
        <x:v>65</x:v>
      </x:c>
    </x:row>
    <x:row r="7" spans="1:8" ht="14" thickTop="1" thickBot="1" x14ac:dyDescent="0.35">
      <x:c r="A7" s="26" t="s">
        <x:v>66</x:v>
      </x:c>
      <x:c r="B7" s="26" t="s">
        <x:v>67</x:v>
      </x:c>
      <x:c r="C7" s="26" t="s">
        <x:v>68</x:v>
      </x:c>
      <x:c r="D7" s="27" t="s">
        <x:v>69</x:v>
      </x:c>
    </x:row>
    <x:row r="8" spans="1:8" ht="13.5" thickTop="1" x14ac:dyDescent="0.3">
      <x:c r="A8" s="30" t="s">
        <x:v>70</x:v>
      </x:c>
      <x:c r="B8" s="30" t="s">
        <x:v>71</x:v>
      </x:c>
      <x:c r="C8" s="30" t="s">
        <x:v>72</x:v>
      </x:c>
      <x:c r="D8" s="32">
        <x:v>2652375</x:v>
      </x:c>
      <x:c r="E8" s="30" t="s">
        <x:v>73</x:v>
      </x:c>
    </x:row>
    <x:row r="9" spans="1:8" x14ac:dyDescent="0.3">
      <x:c r="D9" s="32"/>
    </x:row>
    <x:row r="10" spans="1:8" x14ac:dyDescent="0.3">
      <x:c r="D10" s="32"/>
    </x:row>
    <x:row r="11" spans="1:8" ht="13.5" thickBot="1" x14ac:dyDescent="0.35">
      <x:c r="A11" s="33" t="s">
        <x:v>74</x:v>
      </x:c>
      <x:c r="B11" s="33"/>
      <x:c r="C11" s="33"/>
      <x:c r="D11" s="33"/>
    </x:row>
    <x:row r="12" spans="1:8" ht="14" thickTop="1" thickBot="1" x14ac:dyDescent="0.35">
      <x:c r="A12" s="28" t="s">
        <x:v>66</x:v>
      </x:c>
      <x:c r="B12" s="28" t="s">
        <x:v>67</x:v>
      </x:c>
      <x:c r="C12" s="28" t="str">
        <x:f>C7</x:f>
        <x:v>Liability Claim</x:v>
      </x:c>
      <x:c r="D12" s="29" t="s">
        <x:v>69</x:v>
      </x:c>
    </x:row>
    <x:row r="13" spans="1:8" ht="13.5" thickTop="1" x14ac:dyDescent="0.3">
      <x:c r="A13" s="33" t="s">
        <x:v>70</x:v>
      </x:c>
      <x:c r="B13" s="33" t="s">
        <x:v>71</x:v>
      </x:c>
      <x:c r="C13" s="30" t="s">
        <x:v>72</x:v>
      </x:c>
      <x:c r="D13" s="34">
        <x:v>2642375</x:v>
      </x:c>
      <x:c r="E13" s="33" t="s">
        <x:v>75</x:v>
      </x:c>
    </x:row>
    <x:row r="16" spans="1:8" x14ac:dyDescent="0.3">
      <x:c r="D16" s="35">
        <x:f>D13-D8</x:f>
        <x:v>-10000</x:v>
      </x:c>
      <x:c r="E16" s="36" t="s">
        <x:v>76</x:v>
      </x:c>
      <x:c r="F16" s="36"/>
      <x:c r="G16" s="36"/>
    </x:row>
    <x:row r="17" spans="1:6" x14ac:dyDescent="0.3">
      <x:c r="D17" s="32"/>
    </x:row>
    <x:row r="18" spans="1:6" ht="43.5" customHeight="1" x14ac:dyDescent="0.3">
      <x:c r="A18" s="52" t="s">
        <x:v>77</x:v>
      </x:c>
      <x:c r="B18" s="52"/>
      <x:c r="C18" s="52"/>
      <x:c r="D18" s="52"/>
      <x:c r="E18" s="52"/>
      <x:c r="F18" s="52"/>
    </x:row>
    <x:row r="19" spans="1:6" x14ac:dyDescent="0.3">
      <x:c r="A19" s="37"/>
      <x:c r="B19" s="37"/>
      <x:c r="C19" s="37"/>
      <x:c r="D19" s="37"/>
      <x:c r="E19" s="37"/>
      <x:c r="F19" s="37"/>
    </x:row>
    <x:row r="20" spans="1:6" x14ac:dyDescent="0.3">
      <x:c r="A20" s="37"/>
      <x:c r="B20" s="37"/>
      <x:c r="C20" s="37"/>
      <x:c r="D20" s="37"/>
      <x:c r="E20" s="37"/>
      <x:c r="F20" s="37"/>
    </x:row>
    <x:row r="21" spans="1:6" x14ac:dyDescent="0.3">
      <x:c r="A21" s="37"/>
      <x:c r="B21" s="37"/>
      <x:c r="C21" s="37"/>
      <x:c r="D21" s="37"/>
      <x:c r="E21" s="37"/>
      <x:c r="F21" s="37"/>
    </x:row>
  </x:sheetData>
  <x:mergeCells count="1">
    <x:mergeCell ref="A18:F18"/>
  </x:mergeCells>
  <x:printOptions horizontalCentered="1"/>
  <x:pageMargins left="0.7" right="0.7" top="0.75" bottom="0.75" header="0.3" footer="0.3"/>
  <x:pageSetup orientation="portrait" r:id="rId1"/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2025-04-30T16:53:27.0000000Z</dcterms:modified>
</coreProperties>
</file>