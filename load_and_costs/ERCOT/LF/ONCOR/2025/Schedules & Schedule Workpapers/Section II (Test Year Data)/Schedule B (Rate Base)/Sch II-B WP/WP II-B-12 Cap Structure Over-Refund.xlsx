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6DC05166-9CF8-4B9A-897F-8175F12E5055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WP II-B-12 CapStructOver-Refund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L28" i="1" l="1"/>
  <x:c r="K8" i="1" l="1"/>
  <x:c r="L11" i="1"/>
  <x:c r="L12" i="1"/>
  <x:c r="L13" i="1"/>
  <x:c r="L14" i="1"/>
  <x:c r="L15" i="1"/>
  <x:c r="L16" i="1"/>
  <x:c r="L17" i="1"/>
  <x:c r="L18" i="1"/>
  <x:c r="L19" i="1"/>
  <x:c r="L20" i="1"/>
  <x:c r="L21" i="1"/>
  <x:c r="L10" i="1"/>
  <x:c r="K22" i="1"/>
  <x:c r="L24" i="1" l="1"/>
  <x:c r="B34" i="1" l="1"/>
  <x:c r="B35" i="1" l="1"/>
  <x:c r="B36" i="1" s="1"/>
  <x:c r="B37" i="1" s="1"/>
  <x:c r="B38" i="1" s="1"/>
  <x:c r="B39" i="1" s="1"/>
  <x:c r="B40" i="1" s="1"/>
  <x:c r="E22" i="1"/>
  <x:c r="F12" i="1" s="1"/>
  <x:c r="G12" i="1" s="1"/>
  <x:c r="H12" i="1" s="1"/>
  <x:c r="I12" i="1" s="1"/>
  <x:c r="I13" i="1"/>
  <x:c r="B41" i="1" l="1"/>
  <x:c r="E40" i="1"/>
  <x:c r="F20" i="1"/>
  <x:c r="G20" i="1" s="1"/>
  <x:c r="H20" i="1" s="1"/>
  <x:c r="I20" i="1" s="1"/>
  <x:c r="F19" i="1"/>
  <x:c r="G19" i="1" s="1"/>
  <x:c r="H19" i="1" s="1"/>
  <x:c r="I19" i="1" s="1"/>
  <x:c r="F17" i="1"/>
  <x:c r="G17" i="1" s="1"/>
  <x:c r="H17" i="1" s="1"/>
  <x:c r="I17" i="1" s="1"/>
  <x:c r="F18" i="1"/>
  <x:c r="G18" i="1" s="1"/>
  <x:c r="H18" i="1" s="1"/>
  <x:c r="I18" i="1" s="1"/>
  <x:c r="F16" i="1"/>
  <x:c r="G16" i="1" s="1"/>
  <x:c r="H16" i="1" s="1"/>
  <x:c r="I16" i="1" s="1"/>
  <x:c r="F15" i="1"/>
  <x:c r="G15" i="1" s="1"/>
  <x:c r="H15" i="1" s="1"/>
  <x:c r="I15" i="1" s="1"/>
  <x:c r="F11" i="1"/>
  <x:c r="G11" i="1" s="1"/>
  <x:c r="F14" i="1"/>
  <x:c r="G14" i="1" s="1"/>
  <x:c r="H14" i="1" s="1"/>
  <x:c r="I14" i="1" s="1"/>
  <x:c r="F21" i="1"/>
  <x:c r="G21" i="1" s="1"/>
  <x:c r="H21" i="1" s="1"/>
  <x:c r="I21" i="1" s="1"/>
  <x:c r="B42" i="1" l="1"/>
  <x:c r="E41" i="1"/>
  <x:c r="G22" i="1"/>
  <x:c r="H11" i="1"/>
  <x:c r="I11" i="1" s="1"/>
  <x:c r="F22" i="1"/>
  <x:c r="C22" i="1"/>
  <x:c r="C24" i="1" s="1"/>
  <x:c r="B43" i="1" l="1"/>
  <x:c r="E42" i="1"/>
  <x:c r="I22" i="1"/>
  <x:c r="H22" i="1"/>
  <x:c r="C30" i="1" s="1"/>
  <x:c r="C32" i="1" s="1"/>
  <x:c r="C33" i="1" s="1"/>
  <x:c r="C34" i="1" s="1"/>
  <x:c r="C35" i="1" s="1"/>
  <x:c r="C36" i="1" s="1"/>
  <x:c r="C37" i="1" s="1"/>
  <x:c r="C38" i="1" s="1"/>
  <x:c r="C39" i="1" s="1"/>
  <x:c r="C40" i="1" s="1"/>
  <x:c r="C41" i="1" s="1"/>
  <x:c r="C42" i="1" s="1"/>
  <x:c r="C43" i="1" s="1"/>
  <x:c r="B44" i="1" l="1"/>
  <x:c r="C44" i="1" s="1"/>
  <x:c r="E43" i="1"/>
  <x:c r="B45" i="1" l="1"/>
  <x:c r="E44" i="1"/>
  <x:c r="B46" i="1" l="1"/>
  <x:c r="E45" i="1"/>
  <x:c r="C45" i="1"/>
  <x:c r="B47" i="1" l="1"/>
  <x:c r="E46" i="1"/>
  <x:c r="C46" i="1"/>
  <x:c r="B48" i="1" l="1"/>
  <x:c r="E47" i="1"/>
  <x:c r="C47" i="1"/>
  <x:c r="C48" i="1" l="1"/>
  <x:c r="B49" i="1"/>
  <x:c r="E48" i="1"/>
  <x:c r="B50" i="1" l="1"/>
  <x:c r="E49" i="1"/>
  <x:c r="C49" i="1"/>
  <x:c r="B51" i="1" l="1"/>
  <x:c r="E50" i="1"/>
  <x:c r="C50" i="1"/>
  <x:c r="B52" i="1" l="1"/>
  <x:c r="B53" i="1" s="1"/>
  <x:c r="B54" i="1" s="1"/>
  <x:c r="B55" i="1" s="1"/>
  <x:c r="B56" i="1" s="1"/>
  <x:c r="B57" i="1" s="1"/>
  <x:c r="B58" i="1" s="1"/>
  <x:c r="B59" i="1" s="1"/>
  <x:c r="B60" i="1" s="1"/>
  <x:c r="B61" i="1" s="1"/>
  <x:c r="B62" i="1" s="1"/>
  <x:c r="B63" i="1" s="1"/>
  <x:c r="B64" i="1" s="1"/>
  <x:c r="B65" i="1" s="1"/>
  <x:c r="B66" i="1" s="1"/>
  <x:c r="B67" i="1" s="1"/>
  <x:c r="B68" i="1" s="1"/>
  <x:c r="B69" i="1" s="1"/>
  <x:c r="B70" i="1" s="1"/>
  <x:c r="B71" i="1" s="1"/>
  <x:c r="B72" i="1" s="1"/>
  <x:c r="B73" i="1" s="1"/>
  <x:c r="B74" i="1" s="1"/>
  <x:c r="B75" i="1" s="1"/>
  <x:c r="B76" i="1" s="1"/>
  <x:c r="B77" i="1" s="1"/>
  <x:c r="B78" i="1" s="1"/>
  <x:c r="B79" i="1" s="1"/>
  <x:c r="B80" i="1" s="1"/>
  <x:c r="B81" i="1" s="1"/>
  <x:c r="B82" i="1" s="1"/>
  <x:c r="B83" i="1" s="1"/>
  <x:c r="B84" i="1" s="1"/>
  <x:c r="B85" i="1" s="1"/>
  <x:c r="B86" i="1" s="1"/>
  <x:c r="B87" i="1" s="1"/>
  <x:c r="B88" i="1" s="1"/>
  <x:c r="B89" i="1" s="1"/>
  <x:c r="B90" i="1" s="1"/>
  <x:c r="B91" i="1" s="1"/>
  <x:c r="E51" i="1"/>
  <x:c r="E52" i="1" s="1"/>
  <x:c r="C51" i="1"/>
  <x:c r="L51" i="1" s="1"/>
  <x:c r="L52" i="1" s="1"/>
  <x:c r="C52" i="1" l="1"/>
  <x:c r="C53" i="1" s="1"/>
  <x:c r="C54" i="1" s="1"/>
  <x:c r="C55" i="1" s="1"/>
  <x:c r="C56" i="1" s="1"/>
  <x:c r="C57" i="1" s="1"/>
  <x:c r="C58" i="1" s="1"/>
  <x:c r="C59" i="1" s="1"/>
  <x:c r="C60" i="1" s="1"/>
  <x:c r="C61" i="1" s="1"/>
  <x:c r="C62" i="1" s="1"/>
  <x:c r="C63" i="1" s="1"/>
  <x:c r="C64" i="1" s="1"/>
  <x:c r="C65" i="1" s="1"/>
  <x:c r="C66" i="1" s="1"/>
  <x:c r="C67" i="1" s="1"/>
  <x:c r="C68" i="1" s="1"/>
  <x:c r="C69" i="1" s="1"/>
  <x:c r="C70" i="1" s="1"/>
  <x:c r="C71" i="1" s="1"/>
  <x:c r="C72" i="1" s="1"/>
  <x:c r="C73" i="1" s="1"/>
  <x:c r="C74" i="1" s="1"/>
  <x:c r="C75" i="1" s="1"/>
  <x:c r="C76" i="1" s="1"/>
  <x:c r="C77" i="1" s="1"/>
  <x:c r="C78" i="1" s="1"/>
  <x:c r="C79" i="1" s="1"/>
  <x:c r="C80" i="1" s="1"/>
  <x:c r="C81" i="1" s="1"/>
  <x:c r="C82" i="1" s="1"/>
  <x:c r="C83" i="1" s="1"/>
  <x:c r="C84" i="1" s="1"/>
  <x:c r="C85" i="1" s="1"/>
  <x:c r="C86" i="1" s="1"/>
  <x:c r="C87" i="1" s="1"/>
  <x:c r="C88" i="1" s="1"/>
  <x:c r="C89" i="1" s="1"/>
  <x:c r="C90" i="1" s="1"/>
  <x:c r="C91" i="1" s="1"/>
  <x:c r="B92" i="1" l="1"/>
  <x:c r="B93" i="1" s="1"/>
  <x:c r="C92" i="1" l="1"/>
</x:calcChain>
</file>

<file path=xl/sharedStrings.xml><?xml version="1.0" encoding="utf-8"?>
<sst xmlns="http://schemas.openxmlformats.org/spreadsheetml/2006/main" count="67" uniqueCount="66">
  <si>
    <t>CSREFUND</t>
  </si>
  <si>
    <t>CSRFDGRD</t>
  </si>
  <si>
    <t>GuardlightsCap Struct Ref</t>
  </si>
  <si>
    <t>CSRFDLPR</t>
  </si>
  <si>
    <t>Prim grtr 10kw Cap Struct Ref</t>
  </si>
  <si>
    <t>CSRFDLSC</t>
  </si>
  <si>
    <t>SEC Gtr 10kw Cap Structure Ref</t>
  </si>
  <si>
    <t>CSRFDMTL</t>
  </si>
  <si>
    <t>Metered SL Cap Struct Ref</t>
  </si>
  <si>
    <t>CSRFDRES</t>
  </si>
  <si>
    <t>RES Cap Structure Refund</t>
  </si>
  <si>
    <t>CSRFDSPR</t>
  </si>
  <si>
    <t>Prim less 10kw Cap Struct Ref</t>
  </si>
  <si>
    <t>CSRFDSSC</t>
  </si>
  <si>
    <t>Sec less10kw Cap Structure Ref</t>
  </si>
  <si>
    <t>CSRFDSUB</t>
  </si>
  <si>
    <t>Prim Substation Cap Struct Ref</t>
  </si>
  <si>
    <t>CSRFDTRN</t>
  </si>
  <si>
    <t>Transmission Cap Struct Ref</t>
  </si>
  <si>
    <t>CSRFDUML</t>
  </si>
  <si>
    <t>Unmtr SL Cap Struct Ref</t>
  </si>
  <si>
    <t>WCSRDLS0</t>
  </si>
  <si>
    <t>WCSRXFMR</t>
  </si>
  <si>
    <t>Wholesale DLS Cap Struct Ref</t>
  </si>
  <si>
    <t>Wholesale XFMR Cap Struct Ref</t>
  </si>
  <si>
    <t>Cap Structure Refund Regulatory Liability</t>
  </si>
  <si>
    <t>Over-Refund of Capital Structure Refund to be collected</t>
  </si>
  <si>
    <t>Reg Liability Refund</t>
  </si>
  <si>
    <t>Docket No. 48522 allocation factors *</t>
  </si>
  <si>
    <t>* Docket No. 48522, Item No. 1, page 11 of 21.</t>
  </si>
  <si>
    <t>Refunds to date (incl. cancel/rebills)</t>
  </si>
  <si>
    <t>Factors as a % of total</t>
  </si>
  <si>
    <t>Three projects reflect lighting class.</t>
  </si>
  <si>
    <t>Page 1 of 1</t>
  </si>
  <si>
    <t>Oncor Electric Delivery Company LLC</t>
  </si>
  <si>
    <t>Cap Structure</t>
  </si>
  <si>
    <t>Amount to be refunded</t>
  </si>
  <si>
    <t>Over-refund/to be collected/(refunded)</t>
  </si>
  <si>
    <t>To be collected/(refunded)</t>
  </si>
  <si>
    <t>Regulatory Liability Account 2541351 by project for the Capital Structure Refund</t>
  </si>
  <si>
    <t>2025 Rate Case</t>
  </si>
  <si>
    <t>For Test Year Ending December 31, 2024</t>
  </si>
  <si>
    <t>Balance at 12-31-2021 Approved in Docket No. 53601 to be recovered/amortized over five-years</t>
  </si>
  <si>
    <t>Docket No. 53601</t>
  </si>
  <si>
    <t>Amortized over 5 years</t>
  </si>
  <si>
    <t>Docket No. 53601 approved balance</t>
  </si>
  <si>
    <t>Account 928 amortization</t>
  </si>
  <si>
    <t>Approved unamortized balance</t>
  </si>
  <si>
    <t>2024 Test Year Amortization</t>
  </si>
  <si>
    <t>Fully amortized May 2028</t>
  </si>
  <si>
    <t>Docket No. 53601 rates effective May 1, 2023 (billing cycle 4)</t>
  </si>
  <si>
    <t>Over-Refund of Capital Structure Refund (Docket No. 48522 Rider CSR &amp; Rider WCSR - DLS &amp; XFMR) Approved to be Collected in Docket No. 53601 over Five-Years</t>
  </si>
  <si>
    <t>Cancel/</t>
  </si>
  <si>
    <t>Rebills</t>
  </si>
  <si>
    <t>Balance</t>
  </si>
  <si>
    <t>@ 12-31-2024</t>
  </si>
  <si>
    <t>Approved Unamortized Balance at 12-31-2024</t>
  </si>
  <si>
    <t>Balance at 12-31-2024</t>
  </si>
  <si>
    <t>Docket No. 53601 Order on Rehearing pages 37, 60, and 62 for approval of other non-tax regulatory liability (over-refund) and tariff Riders WCSR and CSR deleted effective with Docket No. 53601 rates.</t>
  </si>
  <si>
    <t>2022 - 2023</t>
  </si>
  <si>
    <t>Balance to be reviewed in this case</t>
  </si>
  <si>
    <t>Reference Sch II-E-4.1 Line No. 48 and II-E- 4.1.1 Line No 49</t>
  </si>
  <si>
    <t>Sponsor:  W. Alan Ledbetter &amp; R. Prachyl</t>
  </si>
  <si>
    <t>Reference Sch II-E-4.1 Line No. 23 and II-E- 4.1.1 Line No 23</t>
  </si>
  <si>
    <t>Requested five-year amortization - K&amp;M O&amp;M Adjustment #18</t>
  </si>
  <si>
    <t>WP/II-B-12 Cap Structure Over-Refund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</si>
</sst>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40" fontId="3" fillId="0" borderId="0" xfId="3" applyNumberFormat="1" applyFont="1" applyFill="1" applyAlignment="1">
      <alignment horizontal="center"/>
    </xf>
    <xf numFmtId="40" fontId="3" fillId="0" borderId="0" xfId="3" applyNumberFormat="1" applyFont="1" applyFill="1"/>
    <xf numFmtId="0" fontId="4" fillId="0" borderId="0" xfId="0" applyFont="1"/>
    <xf numFmtId="44" fontId="4" fillId="0" borderId="0" xfId="1" applyFont="1"/>
    <xf numFmtId="0" fontId="4" fillId="0" borderId="0" xfId="0" applyNumberFormat="1" applyFont="1"/>
    <xf numFmtId="0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44" fontId="4" fillId="0" borderId="0" xfId="1" applyFont="1" applyAlignment="1">
      <alignment horizontal="center"/>
    </xf>
    <xf numFmtId="44" fontId="4" fillId="0" borderId="0" xfId="0" applyNumberFormat="1" applyFont="1" applyFill="1"/>
    <xf numFmtId="0" fontId="4" fillId="0" borderId="0" xfId="0" applyFont="1" applyFill="1"/>
    <xf numFmtId="44" fontId="4" fillId="0" borderId="0" xfId="1" applyFont="1" applyFill="1"/>
    <xf numFmtId="164" fontId="4" fillId="0" borderId="0" xfId="2" applyNumberFormat="1" applyFont="1" applyFill="1"/>
    <xf numFmtId="44" fontId="4" fillId="0" borderId="1" xfId="1" applyFont="1" applyFill="1" applyBorder="1"/>
    <xf numFmtId="164" fontId="4" fillId="0" borderId="1" xfId="2" applyNumberFormat="1" applyFont="1" applyFill="1" applyBorder="1"/>
    <xf numFmtId="44" fontId="4" fillId="0" borderId="1" xfId="0" applyNumberFormat="1" applyFont="1" applyFill="1" applyBorder="1"/>
    <xf numFmtId="164" fontId="4" fillId="0" borderId="0" xfId="0" applyNumberFormat="1" applyFont="1" applyFill="1"/>
    <xf numFmtId="0" fontId="4" fillId="0" borderId="0" xfId="0" applyFont="1" applyFill="1" applyAlignment="1">
      <alignment horizontal="right"/>
    </xf>
    <xf numFmtId="164" fontId="4" fillId="0" borderId="0" xfId="0" applyNumberFormat="1" applyFont="1" applyFill="1" applyAlignment="1">
      <alignment horizontal="left"/>
    </xf>
    <xf numFmtId="0" fontId="6" fillId="0" borderId="0" xfId="0" applyFont="1"/>
    <xf numFmtId="44" fontId="6" fillId="0" borderId="0" xfId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7" fontId="4" fillId="0" borderId="0" xfId="0" applyNumberFormat="1" applyFont="1" applyFill="1"/>
    <xf numFmtId="17" fontId="4" fillId="2" borderId="0" xfId="0" applyNumberFormat="1" applyFont="1" applyFill="1"/>
    <xf numFmtId="44" fontId="4" fillId="2" borderId="0" xfId="0" applyNumberFormat="1" applyFont="1" applyFill="1"/>
    <xf numFmtId="44" fontId="4" fillId="0" borderId="0" xfId="0" applyNumberFormat="1" applyFont="1"/>
    <xf numFmtId="44" fontId="4" fillId="0" borderId="1" xfId="0" applyNumberFormat="1" applyFont="1" applyBorder="1"/>
    <xf numFmtId="44" fontId="6" fillId="0" borderId="0" xfId="0" applyNumberFormat="1" applyFont="1" applyFill="1"/>
    <xf numFmtId="0" fontId="4" fillId="0" borderId="0" xfId="0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8" fontId="4" fillId="0" borderId="0" xfId="0" applyNumberFormat="1" applyFont="1"/>
    <xf numFmtId="0" fontId="4" fillId="2" borderId="1" xfId="0" applyFont="1" applyFill="1" applyBorder="1" applyAlignment="1">
      <alignment horizontal="center"/>
    </xf>
    <xf numFmtId="44" fontId="4" fillId="2" borderId="1" xfId="0" applyNumberFormat="1" applyFont="1" applyFill="1" applyBorder="1"/>
    <xf numFmtId="0" fontId="4" fillId="0" borderId="0" xfId="0" applyFont="1" applyAlignment="1">
      <alignment horizontal="left" indent="2"/>
    </xf>
    <xf numFmtId="0" fontId="4" fillId="0" borderId="1" xfId="0" quotePrefix="1" applyFont="1" applyBorder="1" applyAlignment="1">
      <alignment horizontal="center"/>
    </xf>
    <xf numFmtId="44" fontId="4" fillId="0" borderId="0" xfId="0" applyNumberFormat="1" applyFont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44" fontId="6" fillId="0" borderId="0" xfId="1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</cellXfs>
  <cellStyles count="4">
    <cellStyle name="Currency" xfId="1" builtinId="4"/>
    <cellStyle name="Normal" xfId="0" builtinId="0"/>
    <cellStyle name="Normal 2 3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N111"/>
  <x:sheetViews>
    <x:sheetView tabSelected="1" zoomScaleNormal="100" workbookViewId="0">
      <x:selection activeCell="D13" sqref="D13"/>
    </x:sheetView>
  </x:sheetViews>
  <x:sheetFormatPr defaultColWidth="8.7265625" defaultRowHeight="10" x14ac:dyDescent="0.2"/>
  <x:cols>
    <x:col min="1" max="1" width="9.81640625" style="3" customWidth="1"/>
    <x:col min="2" max="2" width="36.26953125" style="3" customWidth="1"/>
    <x:col min="3" max="3" width="16.1796875" style="3" customWidth="1"/>
    <x:col min="4" max="4" width="24.36328125" style="3" customWidth="1"/>
    <x:col min="5" max="5" width="35.453125" style="3" bestFit="1" customWidth="1"/>
    <x:col min="6" max="6" width="16.81640625" style="3" hidden="1" customWidth="1"/>
    <x:col min="7" max="7" width="14.7265625" style="4" hidden="1" customWidth="1"/>
    <x:col min="8" max="8" width="28.453125" style="4" bestFit="1" customWidth="1"/>
    <x:col min="9" max="9" width="19.54296875" style="3" bestFit="1" customWidth="1"/>
    <x:col min="10" max="10" width="3.453125" style="3" customWidth="1"/>
    <x:col min="11" max="11" width="12.54296875" style="3" bestFit="1" customWidth="1"/>
    <x:col min="12" max="12" width="10.81640625" style="3" customWidth="1"/>
    <x:col min="13" max="13" width="9" style="3" bestFit="1" customWidth="1"/>
    <x:col min="14" max="16384" width="8.7265625" style="3"/>
  </x:cols>
  <x:sheetData>
    <x:row r="1" spans="1:12" s="21" customFormat="1" ht="10.5" x14ac:dyDescent="0.25">
      <x:c r="A1" s="21" t="s">
        <x:v>40</x:v>
      </x:c>
      <x:c r="G1" s="22"/>
      <x:c r="H1" s="22"/>
      <x:c r="L1" s="39" t="s">
        <x:v>65</x:v>
      </x:c>
    </x:row>
    <x:row r="2" spans="1:12" s="21" customFormat="1" ht="10.5" x14ac:dyDescent="0.25">
      <x:c r="A2" s="21" t="s">
        <x:v>34</x:v>
      </x:c>
      <x:c r="G2" s="22"/>
      <x:c r="H2" s="22"/>
      <x:c r="L2" s="39" t="s">
        <x:v>33</x:v>
      </x:c>
    </x:row>
    <x:row r="3" spans="1:12" s="21" customFormat="1" ht="10.5" x14ac:dyDescent="0.25">
      <x:c r="A3" s="21" t="s">
        <x:v>51</x:v>
      </x:c>
      <x:c r="G3" s="22"/>
      <x:c r="H3" s="22"/>
    </x:row>
    <x:row r="4" spans="1:12" s="21" customFormat="1" ht="10.5" x14ac:dyDescent="0.25">
      <x:c r="A4" s="21" t="s">
        <x:v>41</x:v>
      </x:c>
      <x:c r="G4" s="22"/>
      <x:c r="H4" s="22"/>
      <x:c r="I4" s="23"/>
    </x:row>
    <x:row r="5" spans="1:12" s="21" customFormat="1" ht="10.5" x14ac:dyDescent="0.25">
      <x:c r="A5" s="40" t="s">
        <x:v>62</x:v>
      </x:c>
      <x:c r="B5" s="40"/>
      <x:c r="G5" s="22"/>
      <x:c r="H5" s="22"/>
      <x:c r="I5" s="24"/>
      <x:c r="L5" s="31" t="s">
        <x:v>59</x:v>
      </x:c>
    </x:row>
    <x:row r="6" spans="1:12" x14ac:dyDescent="0.2">
      <x:c r="I6" s="8" t="s">
        <x:v>43</x:v>
      </x:c>
      <x:c r="K6" s="7" t="s">
        <x:v>54</x:v>
      </x:c>
      <x:c r="L6" s="31" t="s">
        <x:v>52</x:v>
      </x:c>
    </x:row>
    <x:row r="7" spans="1:12" x14ac:dyDescent="0.2">
      <x:c r="A7" s="9" t="s">
        <x:v>39</x:v>
      </x:c>
      <x:c r="G7" s="10" t="s">
        <x:v>35</x:v>
      </x:c>
      <x:c r="I7" s="7" t="s">
        <x:v>38</x:v>
      </x:c>
      <x:c r="K7" s="37" t="s">
        <x:v>55</x:v>
      </x:c>
      <x:c r="L7" s="32" t="s">
        <x:v>53</x:v>
      </x:c>
    </x:row>
    <x:row r="8" spans="1:12" x14ac:dyDescent="0.2">
      <x:c r="A8" s="1" t="s">
        <x:v>0</x:v>
      </x:c>
      <x:c r="B8" s="2" t="s">
        <x:v>25</x:v>
      </x:c>
      <x:c r="C8" s="4">
        <x:v>-3491822.1</x:v>
      </x:c>
      <x:c r="D8" s="5" t="s">
        <x:v>36</x:v>
      </x:c>
      <x:c r="E8" s="6" t="s">
        <x:v>28</x:v>
      </x:c>
      <x:c r="F8" s="6" t="s">
        <x:v>31</x:v>
      </x:c>
      <x:c r="G8" s="6" t="s">
        <x:v>27</x:v>
      </x:c>
      <x:c r="H8" s="6" t="s">
        <x:v>37</x:v>
      </x:c>
      <x:c r="I8" s="6" t="s">
        <x:v>44</x:v>
      </x:c>
      <x:c r="K8" s="4">
        <x:f>C8</x:f>
        <x:v>-3491822.1</x:v>
      </x:c>
    </x:row>
    <x:row r="9" spans="1:12" x14ac:dyDescent="0.2">
      <x:c r="A9" s="1"/>
      <x:c r="B9" s="2"/>
      <x:c r="C9" s="4"/>
      <x:c r="I9" s="4"/>
      <x:c r="K9" s="4"/>
      <x:c r="L9" s="4"/>
    </x:row>
    <x:row r="10" spans="1:12" s="12" customFormat="1" x14ac:dyDescent="0.2">
      <x:c r="A10" s="1" t="s">
        <x:v>1</x:v>
      </x:c>
      <x:c r="B10" s="2" t="s">
        <x:v>2</x:v>
      </x:c>
      <x:c r="C10" s="13">
        <x:v>-9542.630000000001</x:v>
      </x:c>
      <x:c r="E10" s="14"/>
      <x:c r="F10" s="14"/>
      <x:c r="G10" s="13"/>
      <x:c r="H10" s="13"/>
      <x:c r="I10" s="13"/>
      <x:c r="K10" s="13">
        <x:v>-9542.630000000001</x:v>
      </x:c>
      <x:c r="L10" s="13">
        <x:f>C10-K10</x:f>
        <x:v>0</x:v>
      </x:c>
    </x:row>
    <x:row r="11" spans="1:12" s="12" customFormat="1" x14ac:dyDescent="0.2">
      <x:c r="A11" s="1" t="s">
        <x:v>3</x:v>
      </x:c>
      <x:c r="B11" s="2" t="s">
        <x:v>4</x:v>
      </x:c>
      <x:c r="C11" s="13">
        <x:v>-167006.44</x:v>
      </x:c>
      <x:c r="E11" s="14">
        <x:v>2.4568880000000001E-2</x:v>
      </x:c>
      <x:c r="F11" s="14">
        <x:f>E11/E$22</x:f>
        <x:v>4.2038149623178471E-2</x:v>
      </x:c>
      <x:c r="G11" s="13">
        <x:f>F11*C$8</x:f>
        <x:v>-146789.73989732127</x:v>
      </x:c>
      <x:c r="H11" s="13">
        <x:f>-(C11-G11)</x:f>
        <x:v>20216.700102678733</x:v>
      </x:c>
      <x:c r="I11" s="13">
        <x:f>H11/5</x:f>
        <x:v>4043.3400205357466</x:v>
      </x:c>
      <x:c r="K11" s="13">
        <x:v>-167025.41</x:v>
      </x:c>
      <x:c r="L11" s="13">
        <x:f t="shared" ref="L11:L21" si="0">C11-K11</x:f>
        <x:v>18.970000000001164</x:v>
      </x:c>
    </x:row>
    <x:row r="12" spans="1:12" s="12" customFormat="1" x14ac:dyDescent="0.2">
      <x:c r="A12" s="1" t="s">
        <x:v>5</x:v>
      </x:c>
      <x:c r="B12" s="2" t="s">
        <x:v>6</x:v>
      </x:c>
      <x:c r="C12" s="13">
        <x:v>-1414921.29</x:v>
      </x:c>
      <x:c r="E12" s="14">
        <x:v>0.2222016</x:v>
      </x:c>
      <x:c r="F12" s="14">
        <x:f>E12/E$22</x:f>
        <x:v>0.38019413613114039</x:v>
      </x:c>
      <x:c r="G12" s="13">
        <x:f>F12*C$8</x:f>
        <x:v>-1327570.2868331245</x:v>
      </x:c>
      <x:c r="H12" s="13">
        <x:f t="shared" ref="H12:H21" si="1">-(C12-G12)</x:f>
        <x:v>87351.003166875569</x:v>
      </x:c>
      <x:c r="I12" s="13">
        <x:f>H12/5</x:f>
        <x:v>17470.200633375112</x:v>
      </x:c>
      <x:c r="K12" s="13">
        <x:v>-1414850.9100000001</x:v>
      </x:c>
      <x:c r="L12" s="13">
        <x:f t="shared" si="0"/>
        <x:v>-70.379999999888241</x:v>
      </x:c>
    </x:row>
    <x:row r="13" spans="1:12" s="12" customFormat="1" x14ac:dyDescent="0.2">
      <x:c r="A13" s="1" t="s">
        <x:v>7</x:v>
      </x:c>
      <x:c r="B13" s="2" t="s">
        <x:v>8</x:v>
      </x:c>
      <x:c r="C13" s="13">
        <x:v>-1212.24</x:v>
      </x:c>
      <x:c r="E13" s="14"/>
      <x:c r="F13" s="14"/>
      <x:c r="G13" s="13"/>
      <x:c r="H13" s="13"/>
      <x:c r="I13" s="13">
        <x:f t="shared" ref="I13" si="2">H13/4</x:f>
        <x:v>0</x:v>
      </x:c>
      <x:c r="K13" s="13">
        <x:v>-1212.24</x:v>
      </x:c>
      <x:c r="L13" s="13">
        <x:f t="shared" si="0"/>
        <x:v>0</x:v>
      </x:c>
    </x:row>
    <x:row r="14" spans="1:12" s="12" customFormat="1" x14ac:dyDescent="0.2">
      <x:c r="A14" s="1" t="s">
        <x:v>9</x:v>
      </x:c>
      <x:c r="B14" s="2" t="s">
        <x:v>10</x:v>
      </x:c>
      <x:c r="C14" s="13">
        <x:v>-1837915.23</x:v>
      </x:c>
      <x:c r="E14" s="14">
        <x:v>0.31122306999999999</x:v>
      </x:c>
      <x:c r="F14" s="14">
        <x:f t="shared" ref="F14:F21" si="3">E14/E$22</x:f>
        <x:v>0.53251275527598108</x:v>
      </x:c>
      <x:c r="G14" s="13">
        <x:f t="shared" ref="G14:G21" si="4">F14*C$8</x:f>
        <x:v>-1859439.8074045624</x:v>
      </x:c>
      <x:c r="H14" s="13">
        <x:f t="shared" si="1"/>
        <x:v>-21524.577404562384</x:v>
      </x:c>
      <x:c r="I14" s="13">
        <x:f t="shared" ref="I14:I21" si="5">H14/5</x:f>
        <x:v>-4304.9154809124766</x:v>
      </x:c>
      <x:c r="K14" s="13">
        <x:v>-1837913.49</x:v>
      </x:c>
      <x:c r="L14" s="13">
        <x:f t="shared" si="0"/>
        <x:v>-1.7399999999906868</x:v>
      </x:c>
    </x:row>
    <x:row r="15" spans="1:12" s="12" customFormat="1" x14ac:dyDescent="0.2">
      <x:c r="A15" s="1" t="s">
        <x:v>11</x:v>
      </x:c>
      <x:c r="B15" s="2" t="s">
        <x:v>12</x:v>
      </x:c>
      <x:c r="C15" s="13">
        <x:v>-919.2</x:v>
      </x:c>
      <x:c r="E15" s="14">
        <x:v>1.5394000000000001E-4</x:v>
      </x:c>
      <x:c r="F15" s="14">
        <x:f t="shared" si="3"/>
        <x:v>2.6339632710127992E-4</x:v>
      </x:c>
      <x:c r="G15" s="13">
        <x:f t="shared" si="4"/>
        <x:v>-919.73311603107823</x:v>
      </x:c>
      <x:c r="H15" s="13">
        <x:f t="shared" si="1"/>
        <x:v>-0.53311603107817973</x:v>
      </x:c>
      <x:c r="I15" s="13">
        <x:f t="shared" si="5"/>
        <x:v>-0.10662320621563595</x:v>
      </x:c>
      <x:c r="K15" s="13">
        <x:v>-919.2</x:v>
      </x:c>
      <x:c r="L15" s="13">
        <x:f t="shared" si="0"/>
        <x:v>0</x:v>
      </x:c>
    </x:row>
    <x:row r="16" spans="1:12" s="12" customFormat="1" x14ac:dyDescent="0.2">
      <x:c r="A16" s="1" t="s">
        <x:v>13</x:v>
      </x:c>
      <x:c r="B16" s="2" t="s">
        <x:v>14</x:v>
      </x:c>
      <x:c r="C16" s="13">
        <x:v>-92152.06</x:v>
      </x:c>
      <x:c r="E16" s="14">
        <x:v>1.4786479999999999E-2</x:v>
      </x:c>
      <x:c r="F16" s="14">
        <x:f t="shared" si="3"/>
        <x:v>2.5300146308669176E-2</x:v>
      </x:c>
      <x:c r="G16" s="13">
        <x:f t="shared" si="4"/>
        <x:v>-88343.61001384446</x:v>
      </x:c>
      <x:c r="H16" s="13">
        <x:f t="shared" si="1"/>
        <x:v>3808.4499861555378</x:v>
      </x:c>
      <x:c r="I16" s="13">
        <x:f t="shared" si="5"/>
        <x:v>761.68999723110755</x:v>
      </x:c>
      <x:c r="K16" s="13">
        <x:v>-92151.85</x:v>
      </x:c>
      <x:c r="L16" s="13">
        <x:f t="shared" si="0"/>
        <x:v>-0.20999999999185093</x:v>
      </x:c>
    </x:row>
    <x:row r="17" spans="1:13" s="12" customFormat="1" x14ac:dyDescent="0.2">
      <x:c r="A17" s="1" t="s">
        <x:v>15</x:v>
      </x:c>
      <x:c r="B17" s="2" t="s">
        <x:v>16</x:v>
      </x:c>
      <x:c r="C17" s="13">
        <x:v>-10784.31</x:v>
      </x:c>
      <x:c r="E17" s="14">
        <x:v>1.57406E-3</x:v>
      </x:c>
      <x:c r="F17" s="14">
        <x:f t="shared" si="3"/>
        <x:v>2.693267653871902E-3</x:v>
      </x:c>
      <x:c r="G17" s="13">
        <x:f t="shared" si="4"/>
        <x:v>-9404.4115150050584</x:v>
      </x:c>
      <x:c r="H17" s="13">
        <x:f t="shared" si="1"/>
        <x:v>1379.8984849949411</x:v>
      </x:c>
      <x:c r="I17" s="13">
        <x:f t="shared" si="5"/>
        <x:v>275.97969699898823</x:v>
      </x:c>
      <x:c r="K17" s="13">
        <x:v>-10784.31</x:v>
      </x:c>
      <x:c r="L17" s="13">
        <x:f t="shared" si="0"/>
        <x:v>0</x:v>
      </x:c>
    </x:row>
    <x:row r="18" spans="1:13" s="12" customFormat="1" x14ac:dyDescent="0.2">
      <x:c r="A18" s="1" t="s">
        <x:v>17</x:v>
      </x:c>
      <x:c r="B18" s="2" t="s">
        <x:v>18</x:v>
      </x:c>
      <x:c r="C18" s="13">
        <x:v>-7254.09</x:v>
      </x:c>
      <x:c r="E18" s="14">
        <x:v>1.13927E-3</x:v>
      </x:c>
      <x:c r="F18" s="14">
        <x:f t="shared" si="3"/>
        <x:v>1.9493278782426603E-3</x:v>
      </x:c>
      <x:c r="G18" s="13">
        <x:f t="shared" si="4"/>
        <x:v>-6806.7061653938308</x:v>
      </x:c>
      <x:c r="H18" s="13">
        <x:f t="shared" si="1"/>
        <x:v>447.38383460616933</x:v>
      </x:c>
      <x:c r="I18" s="13">
        <x:f t="shared" si="5"/>
        <x:v>89.47676692123386</x:v>
      </x:c>
      <x:c r="K18" s="13">
        <x:v>-7253.8</x:v>
      </x:c>
      <x:c r="L18" s="13">
        <x:f t="shared" si="0"/>
        <x:v>-0.28999999999996362</x:v>
      </x:c>
    </x:row>
    <x:row r="19" spans="1:13" s="12" customFormat="1" x14ac:dyDescent="0.2">
      <x:c r="A19" s="1" t="s">
        <x:v>19</x:v>
      </x:c>
      <x:c r="B19" s="2" t="s">
        <x:v>20</x:v>
      </x:c>
      <x:c r="C19" s="13">
        <x:v>-31611.84</x:v>
      </x:c>
      <x:c r="E19" s="14">
        <x:v>7.1701999999999998E-3</x:v>
      </x:c>
      <x:c r="F19" s="14">
        <x:f t="shared" si="3"/>
        <x:v>1.2268444488642309E-2</x:v>
      </x:c>
      <x:c r="G19" s="13">
        <x:f t="shared" si="4"/>
        <x:v>-42839.225598064411</x:v>
      </x:c>
      <x:c r="H19" s="13">
        <x:f>-(C19-G19+C13+C10)</x:f>
        <x:v>-472.51559806441037</x:v>
      </x:c>
      <x:c r="I19" s="13">
        <x:f t="shared" si="5"/>
        <x:v>-94.503119612882074</x:v>
      </x:c>
      <x:c r="K19" s="13">
        <x:v>-31611.84</x:v>
      </x:c>
      <x:c r="L19" s="13">
        <x:f t="shared" si="0"/>
        <x:v>0</x:v>
      </x:c>
    </x:row>
    <x:row r="20" spans="1:13" s="12" customFormat="1" x14ac:dyDescent="0.2">
      <x:c r="A20" s="1" t="s">
        <x:v>21</x:v>
      </x:c>
      <x:c r="B20" s="2" t="s">
        <x:v>23</x:v>
      </x:c>
      <x:c r="C20" s="13">
        <x:v>-40.47</x:v>
      </x:c>
      <x:c r="E20" s="14">
        <x:v>1.3289599999999999E-3</x:v>
      </x:c>
      <x:c r="F20" s="14">
        <x:f t="shared" si="3"/>
        <x:v>2.2738936135151158E-3</x:v>
      </x:c>
      <x:c r="G20" s="13">
        <x:f t="shared" si="4"/>
        <x:v>-7940.0319727209398</x:v>
      </x:c>
      <x:c r="H20" s="13">
        <x:f t="shared" si="1"/>
        <x:v>-7899.5619727209396</x:v>
      </x:c>
      <x:c r="I20" s="13">
        <x:f t="shared" si="5"/>
        <x:v>-1579.9123945441879</x:v>
      </x:c>
      <x:c r="K20" s="13">
        <x:v>-40.47</x:v>
      </x:c>
      <x:c r="L20" s="13">
        <x:f t="shared" si="0"/>
        <x:v>0</x:v>
      </x:c>
    </x:row>
    <x:row r="21" spans="1:13" s="12" customFormat="1" x14ac:dyDescent="0.2">
      <x:c r="A21" s="1" t="s">
        <x:v>22</x:v>
      </x:c>
      <x:c r="B21" s="2" t="s">
        <x:v>24</x:v>
      </x:c>
      <x:c r="C21" s="15">
        <x:v>-106.79</x:v>
      </x:c>
      <x:c r="E21" s="16">
        <x:v>2.9600999999999998E-4</x:v>
      </x:c>
      <x:c r="F21" s="16">
        <x:f t="shared" si="3"/>
        <x:v>5.0648269965733309E-4</x:v>
      </x:c>
      <x:c r="G21" s="15">
        <x:f t="shared" si="4"/>
        <x:v>-1768.5474839311382</x:v>
      </x:c>
      <x:c r="H21" s="15">
        <x:f t="shared" si="1"/>
        <x:v>-1661.7574839311383</x:v>
      </x:c>
      <x:c r="I21" s="15">
        <x:f t="shared" si="5"/>
        <x:v>-332.35149678622764</x:v>
      </x:c>
      <x:c r="K21" s="15">
        <x:v>-106.79</x:v>
      </x:c>
      <x:c r="L21" s="15">
        <x:f t="shared" si="0"/>
        <x:v>0</x:v>
      </x:c>
    </x:row>
    <x:row r="22" spans="1:13" s="12" customFormat="1" x14ac:dyDescent="0.2">
      <x:c r="B22" s="12" t="s">
        <x:v>30</x:v>
      </x:c>
      <x:c r="C22" s="17">
        <x:f>SUM(C10:C21)</x:f>
        <x:v>-3573466.5900000003</x:v>
      </x:c>
      <x:c r="E22" s="18">
        <x:f>SUM(E10:E21)</x:f>
        <x:v>0.58444247000000016</x:v>
      </x:c>
      <x:c r="F22" s="18">
        <x:f>SUM(F10:F21)</x:f>
        <x:v>0.99999999999999978</x:v>
      </x:c>
      <x:c r="G22" s="13">
        <x:f>SUM(G10:G21)</x:f>
        <x:v>-3491822.0999999987</x:v>
      </x:c>
      <x:c r="H22" s="13">
        <x:f>SUM(H10:H21)</x:f>
        <x:v>81644.490000001009</x:v>
      </x:c>
      <x:c r="I22" s="13">
        <x:f>SUM(I10:I21)</x:f>
        <x:v>16328.898000000197</x:v>
      </x:c>
      <x:c r="K22" s="13">
        <x:f>SUM(K10:K21)</x:f>
        <x:v>-3573412.9400000004</x:v>
      </x:c>
      <x:c r="L22" s="13"/>
    </x:row>
    <x:row r="23" spans="1:13" s="12" customFormat="1" x14ac:dyDescent="0.2">
      <x:c r="G23" s="13"/>
      <x:c r="H23" s="13"/>
      <x:c r="I23" s="19"/>
      <x:c r="K23" s="13"/>
      <x:c r="L23" s="13"/>
    </x:row>
    <x:row r="24" spans="1:13" s="12" customFormat="1" x14ac:dyDescent="0.2">
      <x:c r="A24" s="12" t="s">
        <x:v>26</x:v>
      </x:c>
      <x:c r="C24" s="11">
        <x:f>C8-C22</x:f>
        <x:v>81644.490000000224</x:v>
      </x:c>
      <x:c r="D24" s="12" t="s">
        <x:v>42</x:v>
      </x:c>
      <x:c r="E24" s="20"/>
      <x:c r="F24" s="18"/>
      <x:c r="G24" s="13"/>
      <x:c r="H24" s="13"/>
      <x:c r="I24" s="19"/>
      <x:c r="K24" s="13">
        <x:v>81644.490000000224</x:v>
      </x:c>
      <x:c r="L24" s="13">
        <x:f>SUM(L10:L21)</x:f>
        <x:v>-53.649999999869578</x:v>
      </x:c>
    </x:row>
    <x:row r="25" spans="1:13" s="12" customFormat="1" x14ac:dyDescent="0.2">
      <x:c r="D25" s="11"/>
      <x:c r="E25" s="11"/>
      <x:c r="F25" s="11"/>
      <x:c r="G25" s="13"/>
      <x:c r="H25" s="13"/>
      <x:c r="L25" s="43" t="s">
        <x:v>60</x:v>
      </x:c>
      <x:c r="M25" s="11"/>
    </x:row>
    <x:row r="26" spans="1:13" s="12" customFormat="1" x14ac:dyDescent="0.2">
      <x:c r="A26" s="12" t="s">
        <x:v>29</x:v>
      </x:c>
      <x:c r="G26" s="13"/>
      <x:c r="H26" s="13"/>
      <x:c r="L26" s="44"/>
      <x:c r="M26" s="11"/>
    </x:row>
    <x:row r="27" spans="1:13" s="12" customFormat="1" x14ac:dyDescent="0.2">
      <x:c r="A27" s="12" t="s">
        <x:v>32</x:v>
      </x:c>
      <x:c r="G27" s="13"/>
      <x:c r="H27" s="13"/>
      <x:c r="L27" s="44"/>
    </x:row>
    <x:row r="28" spans="1:13" s="12" customFormat="1" x14ac:dyDescent="0.2">
      <x:c r="G28" s="13"/>
      <x:c r="H28" s="13"/>
      <x:c r="K28" s="19" t="s">
        <x:v>64</x:v>
      </x:c>
      <x:c r="L28" s="13">
        <x:f>ROUND(L24/5,2)</x:f>
        <x:v>-10.73</x:v>
      </x:c>
    </x:row>
    <x:row r="29" spans="1:13" s="12" customFormat="1" x14ac:dyDescent="0.2">
      <x:c r="G29" s="13"/>
      <x:c r="H29" s="13"/>
      <x:c r="L29" s="19" t="s">
        <x:v>61</x:v>
      </x:c>
    </x:row>
    <x:row r="30" spans="1:13" s="12" customFormat="1" x14ac:dyDescent="0.2">
      <x:c r="A30" s="12" t="s">
        <x:v>45</x:v>
      </x:c>
      <x:c r="C30" s="11">
        <x:f>H22</x:f>
        <x:v>81644.490000001009</x:v>
      </x:c>
      <x:c r="D30" s="12" t="s">
        <x:v>58</x:v>
      </x:c>
      <x:c r="G30" s="13"/>
      <x:c r="H30" s="13"/>
    </x:row>
    <x:row r="31" spans="1:13" s="12" customFormat="1" x14ac:dyDescent="0.2">
      <x:c r="B31" s="19" t="s">
        <x:v>46</x:v>
      </x:c>
      <x:c r="C31" s="11" t="s">
        <x:v>47</x:v>
      </x:c>
      <x:c r="G31" s="13"/>
      <x:c r="H31" s="13"/>
    </x:row>
    <x:row r="32" spans="1:13" s="12" customFormat="1" x14ac:dyDescent="0.2">
      <x:c r="A32" s="25">
        <x:v>45047</x:v>
      </x:c>
      <x:c r="B32" s="13">
        <x:v>1166.71</x:v>
      </x:c>
      <x:c r="C32" s="11">
        <x:f>C30-B32</x:f>
        <x:v>80477.780000001003</x:v>
      </x:c>
      <x:c r="D32" s="12" t="s">
        <x:v>50</x:v>
      </x:c>
      <x:c r="G32" s="13"/>
      <x:c r="H32" s="13"/>
    </x:row>
    <x:row r="33" spans="1:8" s="12" customFormat="1" x14ac:dyDescent="0.2">
      <x:c r="A33" s="25">
        <x:v>45078</x:v>
      </x:c>
      <x:c r="B33" s="11">
        <x:v>1360.75</x:v>
      </x:c>
      <x:c r="C33" s="11">
        <x:f>C32-B33</x:f>
        <x:v>79117.030000001003</x:v>
      </x:c>
      <x:c r="G33" s="13"/>
      <x:c r="H33" s="13"/>
    </x:row>
    <x:row r="34" spans="1:8" s="12" customFormat="1" x14ac:dyDescent="0.2">
      <x:c r="A34" s="25">
        <x:v>45108</x:v>
      </x:c>
      <x:c r="B34" s="11">
        <x:f>B33</x:f>
        <x:v>1360.75</x:v>
      </x:c>
      <x:c r="C34" s="11">
        <x:f t="shared" ref="C34:C92" si="6">C33-B34</x:f>
        <x:v>77756.280000001003</x:v>
      </x:c>
      <x:c r="G34" s="13"/>
      <x:c r="H34" s="13"/>
    </x:row>
    <x:row r="35" spans="1:8" x14ac:dyDescent="0.2">
      <x:c r="A35" s="25">
        <x:v>45139</x:v>
      </x:c>
      <x:c r="B35" s="11">
        <x:f t="shared" ref="B35:B91" si="7">B34</x:f>
        <x:v>1360.75</x:v>
      </x:c>
      <x:c r="C35" s="11">
        <x:f t="shared" si="6"/>
        <x:v>76395.530000001003</x:v>
      </x:c>
    </x:row>
    <x:row r="36" spans="1:8" x14ac:dyDescent="0.2">
      <x:c r="A36" s="25">
        <x:v>45170</x:v>
      </x:c>
      <x:c r="B36" s="11">
        <x:f t="shared" si="7"/>
        <x:v>1360.75</x:v>
      </x:c>
      <x:c r="C36" s="11">
        <x:f t="shared" si="6"/>
        <x:v>75034.780000001003</x:v>
      </x:c>
    </x:row>
    <x:row r="37" spans="1:8" x14ac:dyDescent="0.2">
      <x:c r="A37" s="25">
        <x:v>45200</x:v>
      </x:c>
      <x:c r="B37" s="11">
        <x:f t="shared" si="7"/>
        <x:v>1360.75</x:v>
      </x:c>
      <x:c r="C37" s="11">
        <x:f t="shared" si="6"/>
        <x:v>73674.030000001003</x:v>
      </x:c>
    </x:row>
    <x:row r="38" spans="1:8" x14ac:dyDescent="0.2">
      <x:c r="A38" s="25">
        <x:v>45231</x:v>
      </x:c>
      <x:c r="B38" s="11">
        <x:f t="shared" si="7"/>
        <x:v>1360.75</x:v>
      </x:c>
      <x:c r="C38" s="11">
        <x:f t="shared" si="6"/>
        <x:v>72313.280000001003</x:v>
      </x:c>
    </x:row>
    <x:row r="39" spans="1:8" x14ac:dyDescent="0.2">
      <x:c r="A39" s="25">
        <x:v>45261</x:v>
      </x:c>
      <x:c r="B39" s="11">
        <x:f t="shared" si="7"/>
        <x:v>1360.75</x:v>
      </x:c>
      <x:c r="C39" s="11">
        <x:f t="shared" si="6"/>
        <x:v>70952.530000001003</x:v>
      </x:c>
      <x:c r="E39" s="34" t="s">
        <x:v>48</x:v>
      </x:c>
    </x:row>
    <x:row r="40" spans="1:8" x14ac:dyDescent="0.2">
      <x:c r="A40" s="26">
        <x:v>45292</x:v>
      </x:c>
      <x:c r="B40" s="27">
        <x:f t="shared" si="7"/>
        <x:v>1360.75</x:v>
      </x:c>
      <x:c r="C40" s="11">
        <x:f t="shared" si="6"/>
        <x:v>69591.780000001003</x:v>
      </x:c>
      <x:c r="E40" s="27">
        <x:f>B40</x:f>
        <x:v>1360.75</x:v>
      </x:c>
    </x:row>
    <x:row r="41" spans="1:8" x14ac:dyDescent="0.2">
      <x:c r="A41" s="26">
        <x:v>45323</x:v>
      </x:c>
      <x:c r="B41" s="27">
        <x:f t="shared" si="7"/>
        <x:v>1360.75</x:v>
      </x:c>
      <x:c r="C41" s="11">
        <x:f t="shared" si="6"/>
        <x:v>68231.030000001003</x:v>
      </x:c>
      <x:c r="D41" s="4"/>
      <x:c r="E41" s="27">
        <x:f t="shared" ref="E41:E51" si="8">B41</x:f>
        <x:v>1360.75</x:v>
      </x:c>
    </x:row>
    <x:row r="42" spans="1:8" x14ac:dyDescent="0.2">
      <x:c r="A42" s="26">
        <x:v>45352</x:v>
      </x:c>
      <x:c r="B42" s="27">
        <x:f t="shared" si="7"/>
        <x:v>1360.75</x:v>
      </x:c>
      <x:c r="C42" s="11">
        <x:f t="shared" si="6"/>
        <x:v>66870.280000001003</x:v>
      </x:c>
      <x:c r="D42" s="4"/>
      <x:c r="E42" s="27">
        <x:f t="shared" si="8"/>
        <x:v>1360.75</x:v>
      </x:c>
    </x:row>
    <x:row r="43" spans="1:8" x14ac:dyDescent="0.2">
      <x:c r="A43" s="26">
        <x:v>45383</x:v>
      </x:c>
      <x:c r="B43" s="27">
        <x:f t="shared" si="7"/>
        <x:v>1360.75</x:v>
      </x:c>
      <x:c r="C43" s="11">
        <x:f t="shared" si="6"/>
        <x:v>65509.530000001003</x:v>
      </x:c>
      <x:c r="D43" s="4"/>
      <x:c r="E43" s="27">
        <x:f t="shared" si="8"/>
        <x:v>1360.75</x:v>
      </x:c>
    </x:row>
    <x:row r="44" spans="1:8" x14ac:dyDescent="0.2">
      <x:c r="A44" s="26">
        <x:v>45413</x:v>
      </x:c>
      <x:c r="B44" s="27">
        <x:f t="shared" si="7"/>
        <x:v>1360.75</x:v>
      </x:c>
      <x:c r="C44" s="11">
        <x:f t="shared" si="6"/>
        <x:v>64148.780000001003</x:v>
      </x:c>
      <x:c r="D44" s="4"/>
      <x:c r="E44" s="27">
        <x:f t="shared" si="8"/>
        <x:v>1360.75</x:v>
      </x:c>
    </x:row>
    <x:row r="45" spans="1:8" x14ac:dyDescent="0.2">
      <x:c r="A45" s="26">
        <x:v>45444</x:v>
      </x:c>
      <x:c r="B45" s="27">
        <x:f t="shared" si="7"/>
        <x:v>1360.75</x:v>
      </x:c>
      <x:c r="C45" s="11">
        <x:f t="shared" si="6"/>
        <x:v>62788.030000001003</x:v>
      </x:c>
      <x:c r="D45" s="4"/>
      <x:c r="E45" s="27">
        <x:f t="shared" si="8"/>
        <x:v>1360.75</x:v>
      </x:c>
    </x:row>
    <x:row r="46" spans="1:8" x14ac:dyDescent="0.2">
      <x:c r="A46" s="26">
        <x:v>45474</x:v>
      </x:c>
      <x:c r="B46" s="27">
        <x:f t="shared" si="7"/>
        <x:v>1360.75</x:v>
      </x:c>
      <x:c r="C46" s="11">
        <x:f t="shared" si="6"/>
        <x:v>61427.280000001003</x:v>
      </x:c>
      <x:c r="D46" s="4"/>
      <x:c r="E46" s="27">
        <x:f t="shared" si="8"/>
        <x:v>1360.75</x:v>
      </x:c>
    </x:row>
    <x:row r="47" spans="1:8" x14ac:dyDescent="0.2">
      <x:c r="A47" s="26">
        <x:v>45505</x:v>
      </x:c>
      <x:c r="B47" s="27">
        <x:f t="shared" si="7"/>
        <x:v>1360.75</x:v>
      </x:c>
      <x:c r="C47" s="11">
        <x:f t="shared" si="6"/>
        <x:v>60066.530000001003</x:v>
      </x:c>
      <x:c r="D47" s="4"/>
      <x:c r="E47" s="27">
        <x:f t="shared" si="8"/>
        <x:v>1360.75</x:v>
      </x:c>
    </x:row>
    <x:row r="48" spans="1:8" x14ac:dyDescent="0.2">
      <x:c r="A48" s="26">
        <x:v>45536</x:v>
      </x:c>
      <x:c r="B48" s="27">
        <x:f t="shared" si="7"/>
        <x:v>1360.75</x:v>
      </x:c>
      <x:c r="C48" s="11">
        <x:f t="shared" si="6"/>
        <x:v>58705.780000001003</x:v>
      </x:c>
      <x:c r="D48" s="4"/>
      <x:c r="E48" s="27">
        <x:f t="shared" si="8"/>
        <x:v>1360.75</x:v>
      </x:c>
    </x:row>
    <x:row r="49" spans="1:14" x14ac:dyDescent="0.2">
      <x:c r="A49" s="26">
        <x:v>45566</x:v>
      </x:c>
      <x:c r="B49" s="27">
        <x:f t="shared" si="7"/>
        <x:v>1360.75</x:v>
      </x:c>
      <x:c r="C49" s="11">
        <x:f t="shared" si="6"/>
        <x:v>57345.030000001003</x:v>
      </x:c>
      <x:c r="D49" s="4"/>
      <x:c r="E49" s="27">
        <x:f t="shared" si="8"/>
        <x:v>1360.75</x:v>
      </x:c>
    </x:row>
    <x:row r="50" spans="1:14" x14ac:dyDescent="0.2">
      <x:c r="A50" s="26">
        <x:v>45597</x:v>
      </x:c>
      <x:c r="B50" s="27">
        <x:f t="shared" si="7"/>
        <x:v>1360.75</x:v>
      </x:c>
      <x:c r="C50" s="11">
        <x:f t="shared" si="6"/>
        <x:v>55984.280000001003</x:v>
      </x:c>
      <x:c r="D50" s="41" t="s">
        <x:v>56</x:v>
      </x:c>
      <x:c r="E50" s="27">
        <x:f t="shared" si="8"/>
        <x:v>1360.75</x:v>
      </x:c>
    </x:row>
    <x:row r="51" spans="1:14" ht="10.5" x14ac:dyDescent="0.25">
      <x:c r="A51" s="26">
        <x:v>45627</x:v>
      </x:c>
      <x:c r="B51" s="27">
        <x:f t="shared" si="7"/>
        <x:v>1360.75</x:v>
      </x:c>
      <x:c r="C51" s="30">
        <x:f t="shared" si="6"/>
        <x:v>54623.530000001003</x:v>
      </x:c>
      <x:c r="D51" s="42"/>
      <x:c r="E51" s="35">
        <x:f t="shared" si="8"/>
        <x:v>1360.75</x:v>
      </x:c>
      <x:c r="G51" s="4">
        <x:v>54569.880000000114</x:v>
      </x:c>
      <x:c r="K51" s="38" t="s">
        <x:v>56</x:v>
      </x:c>
      <x:c r="L51" s="29">
        <x:f>C51</x:f>
        <x:v>54623.530000001003</x:v>
      </x:c>
    </x:row>
    <x:row r="52" spans="1:14" x14ac:dyDescent="0.2">
      <x:c r="A52" s="25">
        <x:v>45658</x:v>
      </x:c>
      <x:c r="B52" s="11">
        <x:f t="shared" si="7"/>
        <x:v>1360.75</x:v>
      </x:c>
      <x:c r="C52" s="11">
        <x:f t="shared" si="6"/>
        <x:v>53262.780000001003</x:v>
      </x:c>
      <x:c r="D52" s="4"/>
      <x:c r="E52" s="27">
        <x:f>SUM(E40:E51)</x:f>
        <x:v>16329</x:v>
      </x:c>
      <x:c r="K52" s="38" t="s">
        <x:v>57</x:v>
      </x:c>
      <x:c r="L52" s="28">
        <x:f>L51+L24</x:f>
        <x:v>54569.880000001132</x:v>
      </x:c>
      <x:c r="M52" s="33"/>
      <x:c r="N52" s="28"/>
    </x:row>
    <x:row r="53" spans="1:14" x14ac:dyDescent="0.2">
      <x:c r="A53" s="25">
        <x:v>45689</x:v>
      </x:c>
      <x:c r="B53" s="11">
        <x:f t="shared" si="7"/>
        <x:v>1360.75</x:v>
      </x:c>
      <x:c r="C53" s="11">
        <x:f t="shared" si="6"/>
        <x:v>51902.030000001003</x:v>
      </x:c>
      <x:c r="D53" s="4"/>
    </x:row>
    <x:row r="54" spans="1:14" x14ac:dyDescent="0.2">
      <x:c r="A54" s="25">
        <x:v>45717</x:v>
      </x:c>
      <x:c r="B54" s="11">
        <x:f t="shared" si="7"/>
        <x:v>1360.75</x:v>
      </x:c>
      <x:c r="C54" s="11">
        <x:f t="shared" si="6"/>
        <x:v>50541.280000001003</x:v>
      </x:c>
      <x:c r="D54" s="4"/>
      <x:c r="E54" s="19" t="s">
        <x:v>63</x:v>
      </x:c>
    </x:row>
    <x:row r="55" spans="1:14" x14ac:dyDescent="0.2">
      <x:c r="A55" s="25">
        <x:v>45748</x:v>
      </x:c>
      <x:c r="B55" s="11">
        <x:f t="shared" si="7"/>
        <x:v>1360.75</x:v>
      </x:c>
      <x:c r="C55" s="11">
        <x:f t="shared" si="6"/>
        <x:v>49180.530000001003</x:v>
      </x:c>
    </x:row>
    <x:row r="56" spans="1:14" x14ac:dyDescent="0.2">
      <x:c r="A56" s="25">
        <x:v>45778</x:v>
      </x:c>
      <x:c r="B56" s="11">
        <x:f t="shared" si="7"/>
        <x:v>1360.75</x:v>
      </x:c>
      <x:c r="C56" s="11">
        <x:f t="shared" si="6"/>
        <x:v>47819.780000001003</x:v>
      </x:c>
    </x:row>
    <x:row r="57" spans="1:14" x14ac:dyDescent="0.2">
      <x:c r="A57" s="25">
        <x:v>45809</x:v>
      </x:c>
      <x:c r="B57" s="11">
        <x:f t="shared" si="7"/>
        <x:v>1360.75</x:v>
      </x:c>
      <x:c r="C57" s="11">
        <x:f t="shared" si="6"/>
        <x:v>46459.030000001003</x:v>
      </x:c>
    </x:row>
    <x:row r="58" spans="1:14" x14ac:dyDescent="0.2">
      <x:c r="A58" s="25">
        <x:v>45839</x:v>
      </x:c>
      <x:c r="B58" s="11">
        <x:f t="shared" si="7"/>
        <x:v>1360.75</x:v>
      </x:c>
      <x:c r="C58" s="11">
        <x:f t="shared" si="6"/>
        <x:v>45098.280000001003</x:v>
      </x:c>
    </x:row>
    <x:row r="59" spans="1:14" x14ac:dyDescent="0.2">
      <x:c r="A59" s="25">
        <x:v>45870</x:v>
      </x:c>
      <x:c r="B59" s="11">
        <x:f t="shared" si="7"/>
        <x:v>1360.75</x:v>
      </x:c>
      <x:c r="C59" s="11">
        <x:f t="shared" si="6"/>
        <x:v>43737.530000001003</x:v>
      </x:c>
    </x:row>
    <x:row r="60" spans="1:14" x14ac:dyDescent="0.2">
      <x:c r="A60" s="25">
        <x:v>45901</x:v>
      </x:c>
      <x:c r="B60" s="11">
        <x:f t="shared" si="7"/>
        <x:v>1360.75</x:v>
      </x:c>
      <x:c r="C60" s="11">
        <x:f t="shared" si="6"/>
        <x:v>42376.780000001003</x:v>
      </x:c>
    </x:row>
    <x:row r="61" spans="1:14" x14ac:dyDescent="0.2">
      <x:c r="A61" s="25">
        <x:v>45931</x:v>
      </x:c>
      <x:c r="B61" s="11">
        <x:f t="shared" si="7"/>
        <x:v>1360.75</x:v>
      </x:c>
      <x:c r="C61" s="11">
        <x:f t="shared" si="6"/>
        <x:v>41016.030000001003</x:v>
      </x:c>
    </x:row>
    <x:row r="62" spans="1:14" x14ac:dyDescent="0.2">
      <x:c r="A62" s="25">
        <x:v>45962</x:v>
      </x:c>
      <x:c r="B62" s="11">
        <x:f t="shared" si="7"/>
        <x:v>1360.75</x:v>
      </x:c>
      <x:c r="C62" s="11">
        <x:f t="shared" si="6"/>
        <x:v>39655.280000001003</x:v>
      </x:c>
    </x:row>
    <x:row r="63" spans="1:14" x14ac:dyDescent="0.2">
      <x:c r="A63" s="25">
        <x:v>45992</x:v>
      </x:c>
      <x:c r="B63" s="11">
        <x:f t="shared" si="7"/>
        <x:v>1360.75</x:v>
      </x:c>
      <x:c r="C63" s="11">
        <x:f t="shared" si="6"/>
        <x:v>38294.530000001003</x:v>
      </x:c>
    </x:row>
    <x:row r="64" spans="1:14" x14ac:dyDescent="0.2">
      <x:c r="A64" s="25">
        <x:v>46023</x:v>
      </x:c>
      <x:c r="B64" s="11">
        <x:f t="shared" si="7"/>
        <x:v>1360.75</x:v>
      </x:c>
      <x:c r="C64" s="11">
        <x:f t="shared" si="6"/>
        <x:v>36933.780000001003</x:v>
      </x:c>
    </x:row>
    <x:row r="65" spans="1:3" x14ac:dyDescent="0.2">
      <x:c r="A65" s="25">
        <x:v>46054</x:v>
      </x:c>
      <x:c r="B65" s="11">
        <x:f t="shared" si="7"/>
        <x:v>1360.75</x:v>
      </x:c>
      <x:c r="C65" s="11">
        <x:f t="shared" si="6"/>
        <x:v>35573.030000001003</x:v>
      </x:c>
    </x:row>
    <x:row r="66" spans="1:3" x14ac:dyDescent="0.2">
      <x:c r="A66" s="25">
        <x:v>46082</x:v>
      </x:c>
      <x:c r="B66" s="11">
        <x:f t="shared" si="7"/>
        <x:v>1360.75</x:v>
      </x:c>
      <x:c r="C66" s="11">
        <x:f t="shared" si="6"/>
        <x:v>34212.280000001003</x:v>
      </x:c>
    </x:row>
    <x:row r="67" spans="1:3" x14ac:dyDescent="0.2">
      <x:c r="A67" s="25">
        <x:v>46113</x:v>
      </x:c>
      <x:c r="B67" s="11">
        <x:f t="shared" si="7"/>
        <x:v>1360.75</x:v>
      </x:c>
      <x:c r="C67" s="11">
        <x:f t="shared" si="6"/>
        <x:v>32851.530000001003</x:v>
      </x:c>
    </x:row>
    <x:row r="68" spans="1:3" x14ac:dyDescent="0.2">
      <x:c r="A68" s="25">
        <x:v>46143</x:v>
      </x:c>
      <x:c r="B68" s="11">
        <x:f t="shared" si="7"/>
        <x:v>1360.75</x:v>
      </x:c>
      <x:c r="C68" s="11">
        <x:f t="shared" si="6"/>
        <x:v>31490.780000001003</x:v>
      </x:c>
    </x:row>
    <x:row r="69" spans="1:3" x14ac:dyDescent="0.2">
      <x:c r="A69" s="25">
        <x:v>46174</x:v>
      </x:c>
      <x:c r="B69" s="11">
        <x:f t="shared" si="7"/>
        <x:v>1360.75</x:v>
      </x:c>
      <x:c r="C69" s="11">
        <x:f t="shared" si="6"/>
        <x:v>30130.030000001003</x:v>
      </x:c>
    </x:row>
    <x:row r="70" spans="1:3" x14ac:dyDescent="0.2">
      <x:c r="A70" s="25">
        <x:v>46204</x:v>
      </x:c>
      <x:c r="B70" s="11">
        <x:f t="shared" si="7"/>
        <x:v>1360.75</x:v>
      </x:c>
      <x:c r="C70" s="11">
        <x:f t="shared" si="6"/>
        <x:v>28769.280000001003</x:v>
      </x:c>
    </x:row>
    <x:row r="71" spans="1:3" x14ac:dyDescent="0.2">
      <x:c r="A71" s="25">
        <x:v>46235</x:v>
      </x:c>
      <x:c r="B71" s="11">
        <x:f t="shared" si="7"/>
        <x:v>1360.75</x:v>
      </x:c>
      <x:c r="C71" s="11">
        <x:f t="shared" si="6"/>
        <x:v>27408.530000001003</x:v>
      </x:c>
    </x:row>
    <x:row r="72" spans="1:3" x14ac:dyDescent="0.2">
      <x:c r="A72" s="25">
        <x:v>46266</x:v>
      </x:c>
      <x:c r="B72" s="11">
        <x:f t="shared" si="7"/>
        <x:v>1360.75</x:v>
      </x:c>
      <x:c r="C72" s="11">
        <x:f t="shared" si="6"/>
        <x:v>26047.780000001003</x:v>
      </x:c>
    </x:row>
    <x:row r="73" spans="1:3" x14ac:dyDescent="0.2">
      <x:c r="A73" s="25">
        <x:v>46296</x:v>
      </x:c>
      <x:c r="B73" s="11">
        <x:f t="shared" si="7"/>
        <x:v>1360.75</x:v>
      </x:c>
      <x:c r="C73" s="11">
        <x:f t="shared" si="6"/>
        <x:v>24687.030000001003</x:v>
      </x:c>
    </x:row>
    <x:row r="74" spans="1:3" x14ac:dyDescent="0.2">
      <x:c r="A74" s="25">
        <x:v>46327</x:v>
      </x:c>
      <x:c r="B74" s="11">
        <x:f t="shared" si="7"/>
        <x:v>1360.75</x:v>
      </x:c>
      <x:c r="C74" s="11">
        <x:f t="shared" si="6"/>
        <x:v>23326.280000001003</x:v>
      </x:c>
    </x:row>
    <x:row r="75" spans="1:3" x14ac:dyDescent="0.2">
      <x:c r="A75" s="25">
        <x:v>46357</x:v>
      </x:c>
      <x:c r="B75" s="11">
        <x:f t="shared" si="7"/>
        <x:v>1360.75</x:v>
      </x:c>
      <x:c r="C75" s="11">
        <x:f t="shared" si="6"/>
        <x:v>21965.530000001003</x:v>
      </x:c>
    </x:row>
    <x:row r="76" spans="1:3" x14ac:dyDescent="0.2">
      <x:c r="A76" s="25">
        <x:v>46388</x:v>
      </x:c>
      <x:c r="B76" s="11">
        <x:f t="shared" si="7"/>
        <x:v>1360.75</x:v>
      </x:c>
      <x:c r="C76" s="11">
        <x:f t="shared" si="6"/>
        <x:v>20604.780000001003</x:v>
      </x:c>
    </x:row>
    <x:row r="77" spans="1:3" x14ac:dyDescent="0.2">
      <x:c r="A77" s="25">
        <x:v>46419</x:v>
      </x:c>
      <x:c r="B77" s="11">
        <x:f t="shared" si="7"/>
        <x:v>1360.75</x:v>
      </x:c>
      <x:c r="C77" s="11">
        <x:f t="shared" si="6"/>
        <x:v>19244.030000001003</x:v>
      </x:c>
    </x:row>
    <x:row r="78" spans="1:3" x14ac:dyDescent="0.2">
      <x:c r="A78" s="25">
        <x:v>46447</x:v>
      </x:c>
      <x:c r="B78" s="11">
        <x:f t="shared" si="7"/>
        <x:v>1360.75</x:v>
      </x:c>
      <x:c r="C78" s="11">
        <x:f t="shared" si="6"/>
        <x:v>17883.280000001003</x:v>
      </x:c>
    </x:row>
    <x:row r="79" spans="1:3" x14ac:dyDescent="0.2">
      <x:c r="A79" s="25">
        <x:v>46478</x:v>
      </x:c>
      <x:c r="B79" s="11">
        <x:f t="shared" si="7"/>
        <x:v>1360.75</x:v>
      </x:c>
      <x:c r="C79" s="11">
        <x:f t="shared" si="6"/>
        <x:v>16522.530000001003</x:v>
      </x:c>
    </x:row>
    <x:row r="80" spans="1:3" x14ac:dyDescent="0.2">
      <x:c r="A80" s="25">
        <x:v>46508</x:v>
      </x:c>
      <x:c r="B80" s="11">
        <x:f t="shared" si="7"/>
        <x:v>1360.75</x:v>
      </x:c>
      <x:c r="C80" s="11">
        <x:f t="shared" si="6"/>
        <x:v>15161.780000001003</x:v>
      </x:c>
    </x:row>
    <x:row r="81" spans="1:3" x14ac:dyDescent="0.2">
      <x:c r="A81" s="25">
        <x:v>46539</x:v>
      </x:c>
      <x:c r="B81" s="11">
        <x:f t="shared" si="7"/>
        <x:v>1360.75</x:v>
      </x:c>
      <x:c r="C81" s="11">
        <x:f t="shared" si="6"/>
        <x:v>13801.030000001003</x:v>
      </x:c>
    </x:row>
    <x:row r="82" spans="1:3" x14ac:dyDescent="0.2">
      <x:c r="A82" s="25">
        <x:v>46569</x:v>
      </x:c>
      <x:c r="B82" s="11">
        <x:f t="shared" si="7"/>
        <x:v>1360.75</x:v>
      </x:c>
      <x:c r="C82" s="11">
        <x:f t="shared" si="6"/>
        <x:v>12440.280000001003</x:v>
      </x:c>
    </x:row>
    <x:row r="83" spans="1:3" x14ac:dyDescent="0.2">
      <x:c r="A83" s="25">
        <x:v>46600</x:v>
      </x:c>
      <x:c r="B83" s="11">
        <x:f t="shared" si="7"/>
        <x:v>1360.75</x:v>
      </x:c>
      <x:c r="C83" s="11">
        <x:f t="shared" si="6"/>
        <x:v>11079.530000001003</x:v>
      </x:c>
    </x:row>
    <x:row r="84" spans="1:3" x14ac:dyDescent="0.2">
      <x:c r="A84" s="25">
        <x:v>46631</x:v>
      </x:c>
      <x:c r="B84" s="11">
        <x:f t="shared" si="7"/>
        <x:v>1360.75</x:v>
      </x:c>
      <x:c r="C84" s="11">
        <x:f t="shared" si="6"/>
        <x:v>9718.7800000010029</x:v>
      </x:c>
    </x:row>
    <x:row r="85" spans="1:3" x14ac:dyDescent="0.2">
      <x:c r="A85" s="25">
        <x:v>46661</x:v>
      </x:c>
      <x:c r="B85" s="11">
        <x:f t="shared" si="7"/>
        <x:v>1360.75</x:v>
      </x:c>
      <x:c r="C85" s="11">
        <x:f t="shared" si="6"/>
        <x:v>8358.0300000010029</x:v>
      </x:c>
    </x:row>
    <x:row r="86" spans="1:3" x14ac:dyDescent="0.2">
      <x:c r="A86" s="25">
        <x:v>46692</x:v>
      </x:c>
      <x:c r="B86" s="11">
        <x:f t="shared" si="7"/>
        <x:v>1360.75</x:v>
      </x:c>
      <x:c r="C86" s="11">
        <x:f t="shared" si="6"/>
        <x:v>6997.2800000010029</x:v>
      </x:c>
    </x:row>
    <x:row r="87" spans="1:3" x14ac:dyDescent="0.2">
      <x:c r="A87" s="25">
        <x:v>46722</x:v>
      </x:c>
      <x:c r="B87" s="11">
        <x:f t="shared" si="7"/>
        <x:v>1360.75</x:v>
      </x:c>
      <x:c r="C87" s="11">
        <x:f t="shared" si="6"/>
        <x:v>5636.5300000010029</x:v>
      </x:c>
    </x:row>
    <x:row r="88" spans="1:3" x14ac:dyDescent="0.2">
      <x:c r="A88" s="25">
        <x:v>46753</x:v>
      </x:c>
      <x:c r="B88" s="11">
        <x:f t="shared" si="7"/>
        <x:v>1360.75</x:v>
      </x:c>
      <x:c r="C88" s="11">
        <x:f t="shared" si="6"/>
        <x:v>4275.7800000010029</x:v>
      </x:c>
    </x:row>
    <x:row r="89" spans="1:3" x14ac:dyDescent="0.2">
      <x:c r="A89" s="25">
        <x:v>46784</x:v>
      </x:c>
      <x:c r="B89" s="11">
        <x:f t="shared" si="7"/>
        <x:v>1360.75</x:v>
      </x:c>
      <x:c r="C89" s="11">
        <x:f t="shared" si="6"/>
        <x:v>2915.0300000010029</x:v>
      </x:c>
    </x:row>
    <x:row r="90" spans="1:3" x14ac:dyDescent="0.2">
      <x:c r="A90" s="25">
        <x:v>46813</x:v>
      </x:c>
      <x:c r="B90" s="11">
        <x:f t="shared" si="7"/>
        <x:v>1360.75</x:v>
      </x:c>
      <x:c r="C90" s="11">
        <x:f t="shared" si="6"/>
        <x:v>1554.2800000010029</x:v>
      </x:c>
    </x:row>
    <x:row r="91" spans="1:3" x14ac:dyDescent="0.2">
      <x:c r="A91" s="25">
        <x:v>46844</x:v>
      </x:c>
      <x:c r="B91" s="11">
        <x:f t="shared" si="7"/>
        <x:v>1360.75</x:v>
      </x:c>
      <x:c r="C91" s="11">
        <x:f t="shared" si="6"/>
        <x:v>193.53000000100292</x:v>
      </x:c>
    </x:row>
    <x:row r="92" spans="1:3" x14ac:dyDescent="0.2">
      <x:c r="A92" s="25">
        <x:v>46874</x:v>
      </x:c>
      <x:c r="B92" s="17">
        <x:f>C91</x:f>
        <x:v>193.53000000100292</x:v>
      </x:c>
      <x:c r="C92" s="11">
        <x:f t="shared" si="6"/>
        <x:v>0</x:v>
      </x:c>
    </x:row>
    <x:row r="93" spans="1:3" x14ac:dyDescent="0.2">
      <x:c r="A93" s="25"/>
      <x:c r="B93" s="4">
        <x:f>SUM(B32:B92)</x:f>
        <x:v>81644.490000000995</x:v>
      </x:c>
      <x:c r="C93" s="36" t="s">
        <x:v>49</x:v>
      </x:c>
    </x:row>
    <x:row r="94" spans="1:3" x14ac:dyDescent="0.2">
      <x:c r="A94" s="25"/>
    </x:row>
    <x:row r="95" spans="1:3" x14ac:dyDescent="0.2">
      <x:c r="A95" s="25"/>
    </x:row>
    <x:row r="96" spans="1:3" x14ac:dyDescent="0.2">
      <x:c r="A96" s="25"/>
    </x:row>
    <x:row r="97" spans="1:1" x14ac:dyDescent="0.2">
      <x:c r="A97" s="25"/>
    </x:row>
    <x:row r="98" spans="1:1" x14ac:dyDescent="0.2">
      <x:c r="A98" s="25"/>
    </x:row>
    <x:row r="99" spans="1:1" x14ac:dyDescent="0.2">
      <x:c r="A99" s="25"/>
    </x:row>
    <x:row r="100" spans="1:1" x14ac:dyDescent="0.2">
      <x:c r="A100" s="25"/>
    </x:row>
    <x:row r="101" spans="1:1" x14ac:dyDescent="0.2">
      <x:c r="A101" s="25"/>
    </x:row>
    <x:row r="102" spans="1:1" x14ac:dyDescent="0.2">
      <x:c r="A102" s="25"/>
    </x:row>
    <x:row r="103" spans="1:1" x14ac:dyDescent="0.2">
      <x:c r="A103" s="25"/>
    </x:row>
    <x:row r="104" spans="1:1" x14ac:dyDescent="0.2">
      <x:c r="A104" s="25"/>
    </x:row>
    <x:row r="105" spans="1:1" x14ac:dyDescent="0.2">
      <x:c r="A105" s="25"/>
    </x:row>
    <x:row r="106" spans="1:1" x14ac:dyDescent="0.2">
      <x:c r="A106" s="25"/>
    </x:row>
    <x:row r="107" spans="1:1" x14ac:dyDescent="0.2">
      <x:c r="A107" s="25"/>
    </x:row>
    <x:row r="108" spans="1:1" x14ac:dyDescent="0.2">
      <x:c r="A108" s="25"/>
    </x:row>
    <x:row r="109" spans="1:1" x14ac:dyDescent="0.2">
      <x:c r="A109" s="25"/>
    </x:row>
    <x:row r="110" spans="1:1" x14ac:dyDescent="0.2">
      <x:c r="A110" s="25"/>
    </x:row>
    <x:row r="111" spans="1:1" x14ac:dyDescent="0.2">
      <x:c r="A111" s="25"/>
    </x:row>
  </x:sheetData>
  <x:mergeCells count="2">
    <x:mergeCell ref="D50:D51"/>
    <x:mergeCell ref="L25:L27"/>
  </x:mergeCells>
  <x:printOptions horizontalCentered="1"/>
  <x:pageMargins left="0.45" right="0.45" top="1" bottom="0.5" header="0.3" footer="0.3"/>
  <x:pageSetup scale="53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2025-05-01T16:58:10.0000000Z</dcterms:modified>
</coreProperties>
</file>