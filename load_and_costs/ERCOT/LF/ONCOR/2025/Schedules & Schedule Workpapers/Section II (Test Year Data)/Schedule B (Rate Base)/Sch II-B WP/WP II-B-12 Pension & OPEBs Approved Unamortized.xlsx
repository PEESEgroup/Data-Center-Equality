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8_{4C772DC2-7554-4257-A4F9-C19A3951CDD9}" xr6:coauthVersionLast="47" xr6:coauthVersionMax="47" xr10:uidLastSave="{00000000-0000-0000-0000-000000000000}"/>
  <x:bookViews>
    <x:workbookView xWindow="-110" yWindow="-110" windowWidth="19420" windowHeight="10300" xr2:uid="{2C8D0008-1228-4C4E-9B09-23944754035D}"/>
  </x:bookViews>
  <x:sheets>
    <x:sheet name="Dkt 53601 Pension-OPEBs unamort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</x:externalReferences>
  <x:definedNames>
    <x:definedName name="____as1" localSheetId="0" hidden="1">{"FCB_ALL",#N/A,FALSE,"FCB"}</x:definedName>
    <x:definedName name="____as1" hidden="1">{"FCB_ALL",#N/A,FALSE,"FCB"}</x:definedName>
    <x:definedName name="____AS2" localSheetId="0" hidden="1">{"FCB_ALL",#N/A,FALSE,"FCB"}</x:definedName>
    <x:definedName name="____AS2" hidden="1">{"FCB_ALL",#N/A,FALSE,"FCB"}</x:definedName>
    <x:definedName name="____as3" localSheetId="0" hidden="1">{"FCB_ALL",#N/A,FALSE,"FCB"}</x:definedName>
    <x:definedName name="____as3" hidden="1">{"FCB_ALL",#N/A,FALSE,"FCB"}</x:definedName>
    <x:definedName name="____AS4" localSheetId="0" hidden="1">{"FCB_ALL",#N/A,FALSE,"FCB"}</x:definedName>
    <x:definedName name="____AS4" hidden="1">{"FCB_ALL",#N/A,FALSE,"FCB"}</x:definedName>
    <x:definedName name="____as6" localSheetId="0" hidden="1">{"FCB_ALL",#N/A,FALSE,"FCB"}</x:definedName>
    <x:definedName name="____as6" hidden="1">{"FCB_ALL",#N/A,FALSE,"FCB"}</x:definedName>
    <x:definedName name="____AS7" localSheetId="0" hidden="1">{"FCB_ALL",#N/A,FALSE,"FCB"}</x:definedName>
    <x:definedName name="____AS7" hidden="1">{"FCB_ALL",#N/A,FALSE,"FCB"}</x:definedName>
    <x:definedName name="____dlj2" localSheetId="0" hidden="1">{"cap_structure",#N/A,FALSE,"Graph-Mkt Cap";"price",#N/A,FALSE,"Graph-Price";"ebit",#N/A,FALSE,"Graph-EBITDA";"ebitda",#N/A,FALSE,"Graph-EBITDA"}</x:definedName>
    <x:definedName name="____dlj2" hidden="1">{"cap_structure",#N/A,FALSE,"Graph-Mkt Cap";"price",#N/A,FALSE,"Graph-Price";"ebit",#N/A,FALSE,"Graph-EBITDA";"ebitda",#N/A,FALSE,"Graph-EBITDA"}</x:definedName>
    <x:definedName name="____g2" localSheetId="0" hidden="1">{#N/A,"DR",FALSE,"increm pf";#N/A,"MAMSI",FALSE,"increm pf";#N/A,"MAXI",FALSE,"increm pf";#N/A,"PCAM",FALSE,"increm pf";#N/A,"PHSV",FALSE,"increm pf";#N/A,"SIE",FALSE,"increm pf"}</x:definedName>
    <x:definedName name="____g2" hidden="1">{#N/A,"DR",FALSE,"increm pf";#N/A,"MAMSI",FALSE,"increm pf";#N/A,"MAXI",FALSE,"increm pf";#N/A,"PCAM",FALSE,"increm pf";#N/A,"PHSV",FALSE,"increm pf";#N/A,"SIE",FALSE,"increm pf"}</x:definedName>
    <x:definedName name="____h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5" localSheetId="0" hidden="1">{#N/A,"DR",FALSE,"increm pf";#N/A,"MAMSI",FALSE,"increm pf";#N/A,"MAXI",FALSE,"increm pf";#N/A,"PCAM",FALSE,"increm pf";#N/A,"PHSV",FALSE,"increm pf";#N/A,"SIE",FALSE,"increm pf"}</x:definedName>
    <x:definedName name="____h5" hidden="1">{#N/A,"DR",FALSE,"increm pf";#N/A,"MAMSI",FALSE,"increm pf";#N/A,"MAXI",FALSE,"increm pf";#N/A,"PCAM",FALSE,"increm pf";#N/A,"PHSV",FALSE,"increm pf";#N/A,"SIE",FALSE,"increm pf"}</x:definedName>
    <x:definedName name="____h6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_j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_jjj2" localSheetId="0" hidden="1">{"summary1",#N/A,TRUE,"Comps";"summary2",#N/A,TRUE,"Comps";"summary3",#N/A,TRUE,"Comps"}</x:definedName>
    <x:definedName name="____jjj2" hidden="1">{"summary1",#N/A,TRUE,"Comps";"summary2",#N/A,TRUE,"Comps";"summary3",#N/A,TRUE,"Comps"}</x:definedName>
    <x:definedName name="___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_sdf2" localSheetId="0" hidden="1">{#N/A,#N/A,FALSE,"Calc";#N/A,#N/A,FALSE,"Sensitivity";#N/A,#N/A,FALSE,"LT Earn.Dil.";#N/A,#N/A,FALSE,"Dil. AVP"}</x:definedName>
    <x:definedName name="____sdf2" hidden="1">{#N/A,#N/A,FALSE,"Calc";#N/A,#N/A,FALSE,"Sensitivity";#N/A,#N/A,FALSE,"LT Earn.Dil.";#N/A,#N/A,FALSE,"Dil. AVP"}</x:definedName>
    <x:definedName name="____wrn2" localSheetId="0" hidden="1">{#N/A,#N/A,FALSE,"Calc";#N/A,#N/A,FALSE,"Sensitivity";#N/A,#N/A,FALSE,"LT Earn.Dil.";#N/A,#N/A,FALSE,"Dil. AVP"}</x:definedName>
    <x:definedName name="____wrn2" hidden="1">{#N/A,#N/A,FALSE,"Calc";#N/A,#N/A,FALSE,"Sensitivity";#N/A,#N/A,FALSE,"LT Earn.Dil.";#N/A,#N/A,FALSE,"Dil. AVP"}</x:definedName>
    <x:definedName name="____xlfn.RTD" hidden="1">#NAME?</x:definedName>
    <x:definedName name="___as1" localSheetId="0" hidden="1">{"FCB_ALL",#N/A,FALSE,"FCB"}</x:definedName>
    <x:definedName name="___as1" hidden="1">{"FCB_ALL",#N/A,FALSE,"FCB"}</x:definedName>
    <x:definedName name="___AS2" localSheetId="0" hidden="1">{"FCB_ALL",#N/A,FALSE,"FCB"}</x:definedName>
    <x:definedName name="___AS2" hidden="1">{"FCB_ALL",#N/A,FALSE,"FCB"}</x:definedName>
    <x:definedName name="___as3" localSheetId="0" hidden="1">{"FCB_ALL",#N/A,FALSE,"FCB"}</x:definedName>
    <x:definedName name="___as3" hidden="1">{"FCB_ALL",#N/A,FALSE,"FCB"}</x:definedName>
    <x:definedName name="___AS4" localSheetId="0" hidden="1">{"FCB_ALL",#N/A,FALSE,"FCB"}</x:definedName>
    <x:definedName name="___AS4" hidden="1">{"FCB_ALL",#N/A,FALSE,"FCB"}</x:definedName>
    <x:definedName name="___as6" localSheetId="0" hidden="1">{"FCB_ALL",#N/A,FALSE,"FCB"}</x:definedName>
    <x:definedName name="___as6" hidden="1">{"FCB_ALL",#N/A,FALSE,"FCB"}</x:definedName>
    <x:definedName name="___AS7" localSheetId="0" hidden="1">{"FCB_ALL",#N/A,FALSE,"FCB"}</x:definedName>
    <x:definedName name="___AS7" hidden="1">{"FCB_ALL",#N/A,FALSE,"FCB"}</x:definedName>
    <x:definedName name="___dlj2" localSheetId="0" hidden="1">{"cap_structure",#N/A,FALSE,"Graph-Mkt Cap";"price",#N/A,FALSE,"Graph-Price";"ebit",#N/A,FALSE,"Graph-EBITDA";"ebitda",#N/A,FALSE,"Graph-EBITDA"}</x:definedName>
    <x:definedName name="___dlj2" hidden="1">{"cap_structure",#N/A,FALSE,"Graph-Mkt Cap";"price",#N/A,FALSE,"Graph-Price";"ebit",#N/A,FALSE,"Graph-EBITDA";"ebitda",#N/A,FALSE,"Graph-EBITDA"}</x:definedName>
    <x:definedName name="___g2" localSheetId="0" hidden="1">{#N/A,"DR",FALSE,"increm pf";#N/A,"MAMSI",FALSE,"increm pf";#N/A,"MAXI",FALSE,"increm pf";#N/A,"PCAM",FALSE,"increm pf";#N/A,"PHSV",FALSE,"increm pf";#N/A,"SIE",FALSE,"increm pf"}</x:definedName>
    <x:definedName name="___g2" hidden="1">{#N/A,"DR",FALSE,"increm pf";#N/A,"MAMSI",FALSE,"increm pf";#N/A,"MAXI",FALSE,"increm pf";#N/A,"PCAM",FALSE,"increm pf";#N/A,"PHSV",FALSE,"increm pf";#N/A,"SIE",FALSE,"increm pf"}</x:definedName>
    <x:definedName name="___h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5" localSheetId="0" hidden="1">{#N/A,"DR",FALSE,"increm pf";#N/A,"MAMSI",FALSE,"increm pf";#N/A,"MAXI",FALSE,"increm pf";#N/A,"PCAM",FALSE,"increm pf";#N/A,"PHSV",FALSE,"increm pf";#N/A,"SIE",FALSE,"increm pf"}</x:definedName>
    <x:definedName name="___h5" hidden="1">{#N/A,"DR",FALSE,"increm pf";#N/A,"MAMSI",FALSE,"increm pf";#N/A,"MAXI",FALSE,"increm pf";#N/A,"PCAM",FALSE,"increm pf";#N/A,"PHSV",FALSE,"increm pf";#N/A,"SIE",FALSE,"increm pf"}</x:definedName>
    <x:definedName name="___h6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_j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_jjj2" localSheetId="0" hidden="1">{"summary1",#N/A,TRUE,"Comps";"summary2",#N/A,TRUE,"Comps";"summary3",#N/A,TRUE,"Comps"}</x:definedName>
    <x:definedName name="___jjj2" hidden="1">{"summary1",#N/A,TRUE,"Comps";"summary2",#N/A,TRUE,"Comps";"summary3",#N/A,TRUE,"Comps"}</x:definedName>
    <x:definedName name="__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_sdf2" localSheetId="0" hidden="1">{#N/A,#N/A,FALSE,"Calc";#N/A,#N/A,FALSE,"Sensitivity";#N/A,#N/A,FALSE,"LT Earn.Dil.";#N/A,#N/A,FALSE,"Dil. AVP"}</x:definedName>
    <x:definedName name="___sdf2" hidden="1">{#N/A,#N/A,FALSE,"Calc";#N/A,#N/A,FALSE,"Sensitivity";#N/A,#N/A,FALSE,"LT Earn.Dil.";#N/A,#N/A,FALSE,"Dil. AVP"}</x:definedName>
    <x:definedName name="___wrn2" localSheetId="0" hidden="1">{#N/A,#N/A,FALSE,"Calc";#N/A,#N/A,FALSE,"Sensitivity";#N/A,#N/A,FALSE,"LT Earn.Dil.";#N/A,#N/A,FALSE,"Dil. AVP"}</x:definedName>
    <x:definedName name="___wrn2" hidden="1">{#N/A,#N/A,FALSE,"Calc";#N/A,#N/A,FALSE,"Sensitivity";#N/A,#N/A,FALSE,"LT Earn.Dil.";#N/A,#N/A,FALSE,"Dil. AVP"}</x:definedName>
    <x:definedName name="___xlfn.RTD" hidden="1">#NAME?</x:definedName>
    <x:definedName name="__as1" localSheetId="0" hidden="1">{"FCB_ALL",#N/A,FALSE,"FCB"}</x:definedName>
    <x:definedName name="__as1" hidden="1">{"FCB_ALL",#N/A,FALSE,"FCB"}</x:definedName>
    <x:definedName name="__AS2" localSheetId="0" hidden="1">{"FCB_ALL",#N/A,FALSE,"FCB"}</x:definedName>
    <x:definedName name="__AS2" hidden="1">{"FCB_ALL",#N/A,FALSE,"FCB"}</x:definedName>
    <x:definedName name="__as3" localSheetId="0" hidden="1">{"FCB_ALL",#N/A,FALSE,"FCB"}</x:definedName>
    <x:definedName name="__as3" hidden="1">{"FCB_ALL",#N/A,FALSE,"FCB"}</x:definedName>
    <x:definedName name="__AS4" localSheetId="0" hidden="1">{"FCB_ALL",#N/A,FALSE,"FCB"}</x:definedName>
    <x:definedName name="__AS4" hidden="1">{"FCB_ALL",#N/A,FALSE,"FCB"}</x:definedName>
    <x:definedName name="__as6" localSheetId="0" hidden="1">{"FCB_ALL",#N/A,FALSE,"FCB"}</x:definedName>
    <x:definedName name="__as6" hidden="1">{"FCB_ALL",#N/A,FALSE,"FCB"}</x:definedName>
    <x:definedName name="__AS7" localSheetId="0" hidden="1">{"FCB_ALL",#N/A,FALSE,"FCB"}</x:definedName>
    <x:definedName name="__AS7" hidden="1">{"FCB_ALL",#N/A,FALSE,"FCB"}</x:definedName>
    <x:definedName name="__dlj2" localSheetId="0" hidden="1">{"cap_structure",#N/A,FALSE,"Graph-Mkt Cap";"price",#N/A,FALSE,"Graph-Price";"ebit",#N/A,FALSE,"Graph-EBITDA";"ebitda",#N/A,FALSE,"Graph-EBITDA"}</x:definedName>
    <x:definedName name="__dlj2" hidden="1">{"cap_structure",#N/A,FALSE,"Graph-Mkt Cap";"price",#N/A,FALSE,"Graph-Price";"ebit",#N/A,FALSE,"Graph-EBITDA";"ebitda",#N/A,FALSE,"Graph-EBITDA"}</x:definedName>
    <x:definedName name="__FDS_HYPERLINK_TOGGLE_STATE__" hidden="1">"ON"</x:definedName>
    <x:definedName name="__g2" localSheetId="0" hidden="1">{#N/A,"DR",FALSE,"increm pf";#N/A,"MAMSI",FALSE,"increm pf";#N/A,"MAXI",FALSE,"increm pf";#N/A,"PCAM",FALSE,"increm pf";#N/A,"PHSV",FALSE,"increm pf";#N/A,"SIE",FALSE,"increm pf"}</x:definedName>
    <x:definedName name="__g2" hidden="1">{#N/A,"DR",FALSE,"increm pf";#N/A,"MAMSI",FALSE,"increm pf";#N/A,"MAXI",FALSE,"increm pf";#N/A,"PCAM",FALSE,"increm pf";#N/A,"PHSV",FALSE,"increm pf";#N/A,"SIE",FALSE,"increm pf"}</x:definedName>
    <x:definedName name="__h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5" localSheetId="0" hidden="1">{#N/A,"DR",FALSE,"increm pf";#N/A,"MAMSI",FALSE,"increm pf";#N/A,"MAXI",FALSE,"increm pf";#N/A,"PCAM",FALSE,"increm pf";#N/A,"PHSV",FALSE,"increm pf";#N/A,"SIE",FALSE,"increm pf"}</x:definedName>
    <x:definedName name="__h5" hidden="1">{#N/A,"DR",FALSE,"increm pf";#N/A,"MAMSI",FALSE,"increm pf";#N/A,"MAXI",FALSE,"increm pf";#N/A,"PCAM",FALSE,"increm pf";#N/A,"PHSV",FALSE,"increm pf";#N/A,"SIE",FALSE,"increm pf"}</x:definedName>
    <x:definedName name="__h6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_j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_jjj2" localSheetId="0" hidden="1">{"summary1",#N/A,TRUE,"Comps";"summary2",#N/A,TRUE,"Comps";"summary3",#N/A,TRUE,"Comps"}</x:definedName>
    <x:definedName name="__jjj2" hidden="1">{"summary1",#N/A,TRUE,"Comps";"summary2",#N/A,TRUE,"Comps";"summary3",#N/A,TRUE,"Comps"}</x:definedName>
    <x:definedName name="_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_sdf2" localSheetId="0" hidden="1">{#N/A,#N/A,FALSE,"Calc";#N/A,#N/A,FALSE,"Sensitivity";#N/A,#N/A,FALSE,"LT Earn.Dil.";#N/A,#N/A,FALSE,"Dil. AVP"}</x:definedName>
    <x:definedName name="__sdf2" hidden="1">{#N/A,#N/A,FALSE,"Calc";#N/A,#N/A,FALSE,"Sensitivity";#N/A,#N/A,FALSE,"LT Earn.Dil.";#N/A,#N/A,FALSE,"Dil. AVP"}</x:definedName>
    <x:definedName name="__wrn2" localSheetId="0" hidden="1">{#N/A,#N/A,FALSE,"Calc";#N/A,#N/A,FALSE,"Sensitivity";#N/A,#N/A,FALSE,"LT Earn.Dil.";#N/A,#N/A,FALSE,"Dil. AVP"}</x:definedName>
    <x:definedName name="__wrn2" hidden="1">{#N/A,#N/A,FALSE,"Calc";#N/A,#N/A,FALSE,"Sensitivity";#N/A,#N/A,FALSE,"LT Earn.Dil.";#N/A,#N/A,FALSE,"Dil. AVP"}</x:definedName>
    <x:definedName name="__xlfn.BAHTTEXT" hidden="1">#NAME?</x:definedName>
    <x:definedName name="__xlfn.RTD" hidden="1">#NAME?</x:definedName>
    <x:definedName name="_12__123Graph_ACHART_3" hidden="1">#REF!</x:definedName>
    <x:definedName name="_14__123Graph_BCHART_3" hidden="1">#REF!</x:definedName>
    <x:definedName name="_18__123Graph_LBL_ACHART_3" hidden="1">#REF!</x:definedName>
    <x:definedName name="_2___123Graph_ACHART_3" hidden="1">#REF!</x:definedName>
    <x:definedName name="_21___0__123Grap" hidden="1">#REF!</x:definedName>
    <x:definedName name="_22___0__123Grap" hidden="1">#REF!</x:definedName>
    <x:definedName name="_23_0__123Grap" hidden="1">#REF!</x:definedName>
    <x:definedName name="_24_0__123Grap" hidden="1">#REF!</x:definedName>
    <x:definedName name="_4___123Graph_BCHART_3" hidden="1">#REF!</x:definedName>
    <x:definedName name="_8___123Graph_LBL_ACHART_3" hidden="1">#REF!</x:definedName>
    <x:definedName name="_as1" localSheetId="0" hidden="1">{"FCB_ALL",#N/A,FALSE,"FCB"}</x:definedName>
    <x:definedName name="_as1" hidden="1">{"FCB_ALL",#N/A,FALSE,"FCB"}</x:definedName>
    <x:definedName name="_AS2" localSheetId="0" hidden="1">{"FCB_ALL",#N/A,FALSE,"FCB"}</x:definedName>
    <x:definedName name="_AS2" hidden="1">{"FCB_ALL",#N/A,FALSE,"FCB"}</x:definedName>
    <x:definedName name="_as3" localSheetId="0" hidden="1">{"FCB_ALL",#N/A,FALSE,"FCB"}</x:definedName>
    <x:definedName name="_as3" hidden="1">{"FCB_ALL",#N/A,FALSE,"FCB"}</x:definedName>
    <x:definedName name="_AS4" localSheetId="0" hidden="1">{"FCB_ALL",#N/A,FALSE,"FCB"}</x:definedName>
    <x:definedName name="_AS4" hidden="1">{"FCB_ALL",#N/A,FALSE,"FCB"}</x:definedName>
    <x:definedName name="_as6" localSheetId="0" hidden="1">{"FCB_ALL",#N/A,FALSE,"FCB"}</x:definedName>
    <x:definedName name="_as6" hidden="1">{"FCB_ALL",#N/A,FALSE,"FCB"}</x:definedName>
    <x:definedName name="_AS7" localSheetId="0" hidden="1">{"FCB_ALL",#N/A,FALSE,"FCB"}</x:definedName>
    <x:definedName name="_AS7" hidden="1">{"FCB_ALL",#N/A,FALSE,"FCB"}</x:definedName>
    <x:definedName name="_bdm.FastTrackBookmark.10_10_2005_10_18_01_AM.edm" hidden="1">#REF!</x:definedName>
    <x:definedName name="_bdm.FastTrackBookmark.10_10_2005_10_18_06_AM.edm" hidden="1">#REF!</x:definedName>
    <x:definedName name="_dlj2" localSheetId="0" hidden="1">{"cap_structure",#N/A,FALSE,"Graph-Mkt Cap";"price",#N/A,FALSE,"Graph-Price";"ebit",#N/A,FALSE,"Graph-EBITDA";"ebitda",#N/A,FALSE,"Graph-EBITDA"}</x:definedName>
    <x:definedName name="_dlj2" hidden="1">{"cap_structure",#N/A,FALSE,"Graph-Mkt Cap";"price",#N/A,FALSE,"Graph-Price";"ebit",#N/A,FALSE,"Graph-EBITDA";"ebitda",#N/A,FALSE,"Graph-EBITDA"}</x:definedName>
    <x:definedName name="_Fill" hidden="1">#REF!</x:definedName>
    <x:definedName name="_g2" localSheetId="0" hidden="1">{#N/A,"DR",FALSE,"increm pf";#N/A,"MAMSI",FALSE,"increm pf";#N/A,"MAXI",FALSE,"increm pf";#N/A,"PCAM",FALSE,"increm pf";#N/A,"PHSV",FALSE,"increm pf";#N/A,"SIE",FALSE,"increm pf"}</x:definedName>
    <x:definedName name="_g2" hidden="1">{#N/A,"DR",FALSE,"increm pf";#N/A,"MAMSI",FALSE,"increm pf";#N/A,"MAXI",FALSE,"increm pf";#N/A,"PCAM",FALSE,"increm pf";#N/A,"PHSV",FALSE,"increm pf";#N/A,"SIE",FALSE,"increm pf"}</x:definedName>
    <x:definedName name="_h2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5" localSheetId="0" hidden="1">{#N/A,"DR",FALSE,"increm pf";#N/A,"MAMSI",FALSE,"increm pf";#N/A,"MAXI",FALSE,"increm pf";#N/A,"PCAM",FALSE,"increm pf";#N/A,"PHSV",FALSE,"increm pf";#N/A,"SIE",FALSE,"increm pf"}</x:definedName>
    <x:definedName name="_h5" hidden="1">{#N/A,"DR",FALSE,"increm pf";#N/A,"MAMSI",FALSE,"increm pf";#N/A,"MAXI",FALSE,"increm pf";#N/A,"PCAM",FALSE,"increm pf";#N/A,"PHSV",FALSE,"increm pf";#N/A,"SIE",FALSE,"increm pf"}</x:definedName>
    <x:definedName name="_h6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h6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_j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j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_jjj2" localSheetId="0" hidden="1">{"summary1",#N/A,TRUE,"Comps";"summary2",#N/A,TRUE,"Comps";"summary3",#N/A,TRUE,"Comps"}</x:definedName>
    <x:definedName name="_jjj2" hidden="1">{"summary1",#N/A,TRUE,"Comps";"summary2",#N/A,TRUE,"Comps";"summary3",#N/A,TRUE,"Comps"}</x:definedName>
    <x:definedName name="_Key1" hidden="1">#REF!</x:definedName>
    <x:definedName name="_Key2" hidden="1">#REF!</x:definedName>
    <x: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_Order1" hidden="1">255</x:definedName>
    <x:definedName name="_Order2" hidden="1">255</x:definedName>
    <x:definedName name="_QTR1">[1]Detailed!#REF!</x:definedName>
    <x:definedName name="_Qtr2">[1]Detailed!#REF!</x:definedName>
    <x:definedName name="_Regression_X" hidden="1">#REF!</x:definedName>
    <x:definedName name="_Regression_Y" hidden="1">#REF!</x:definedName>
    <x:definedName name="_sdf2" localSheetId="0" hidden="1">{#N/A,#N/A,FALSE,"Calc";#N/A,#N/A,FALSE,"Sensitivity";#N/A,#N/A,FALSE,"LT Earn.Dil.";#N/A,#N/A,FALSE,"Dil. AVP"}</x:definedName>
    <x:definedName name="_sdf2" hidden="1">{#N/A,#N/A,FALSE,"Calc";#N/A,#N/A,FALSE,"Sensitivity";#N/A,#N/A,FALSE,"LT Earn.Dil.";#N/A,#N/A,FALSE,"Dil. AVP"}</x:definedName>
    <x:definedName name="_Sort" hidden="1">#REF!</x:definedName>
    <x:definedName name="_Table1_In1" hidden="1">#REF!</x:definedName>
    <x:definedName name="_Table1_Out" hidden="1">#REF!</x:definedName>
    <x:definedName name="_Table2_In1" hidden="1">#REF!</x:definedName>
    <x:definedName name="_Table2_In2" hidden="1">#REF!</x:definedName>
    <x:definedName name="_Table2_Out" hidden="1">#REF!</x:definedName>
    <x:definedName name="_Table3_In2" hidden="1">#REF!</x:definedName>
    <x:definedName name="_wrn2" localSheetId="0" hidden="1">{#N/A,#N/A,FALSE,"Calc";#N/A,#N/A,FALSE,"Sensitivity";#N/A,#N/A,FALSE,"LT Earn.Dil.";#N/A,#N/A,FALSE,"Dil. AVP"}</x:definedName>
    <x:definedName name="_wrn2" hidden="1">{#N/A,#N/A,FALSE,"Calc";#N/A,#N/A,FALSE,"Sensitivity";#N/A,#N/A,FALSE,"LT Earn.Dil.";#N/A,#N/A,FALSE,"Dil. AVP"}</x:definedName>
    <x:definedName name="AAA_DOCTOPS" hidden="1">"AAA_SET"</x:definedName>
    <x:definedName name="AAA_duser" hidden="1">"OFF"</x:definedName>
    <x:definedName name="aaaa" localSheetId="0" hidden="1">{#N/A,#N/A,TRUE,"financial";#N/A,#N/A,TRUE,"plants"}</x:definedName>
    <x:definedName name="aaaa" hidden="1">{#N/A,#N/A,TRUE,"financial";#N/A,#N/A,TRUE,"plants"}</x:definedName>
    <x:definedName name="aaaaaaaaaaaaaaaaaa" localSheetId="0" hidden="1">{#N/A,#N/A,FALSE,"Calc";#N/A,#N/A,FALSE,"Sensitivity";#N/A,#N/A,FALSE,"LT Earn.Dil.";#N/A,#N/A,FALSE,"Dil. AVP"}</x:definedName>
    <x:definedName name="aaaaaaaaaaaaaaaaaa" hidden="1">{#N/A,#N/A,FALSE,"Calc";#N/A,#N/A,FALSE,"Sensitivity";#N/A,#N/A,FALSE,"LT Earn.Dil.";#N/A,#N/A,FALSE,"Dil. AVP"}</x:definedName>
    <x:definedName name="AAB_Addin5" hidden="1">"AAB_Description for addin 5,Description for addin 5,Description for addin 5,Description for addin 5,Description for addin 5,Description for addin 5"</x:definedName>
    <x:definedName name="ab" localSheetId="0" hidden="1">{#N/A,#N/A,TRUE,"Pro Forma";#N/A,#N/A,TRUE,"PF_Bal";#N/A,#N/A,TRUE,"PF_INC";#N/A,#N/A,TRUE,"CBE";#N/A,#N/A,TRUE,"SWK"}</x:definedName>
    <x:definedName name="ab" hidden="1">{#N/A,#N/A,TRUE,"Pro Forma";#N/A,#N/A,TRUE,"PF_Bal";#N/A,#N/A,TRUE,"PF_INC";#N/A,#N/A,TRUE,"CBE";#N/A,#N/A,TRUE,"SWK"}</x:definedName>
    <x:definedName name="Account">'[2]2281011 Project Drill'!#REF!</x:definedName>
    <x:definedName name="Account2">'[2]2281011 Project Drill'!#REF!</x:definedName>
    <x:definedName name="AccountDescr">'[2]2281011 Project Drill'!#REF!</x:definedName>
    <x:definedName name="AccountDescr2">'[2]2281011 Project Drill'!#REF!</x:definedName>
    <x:definedName name="acct_mo">#REF!</x:definedName>
    <x:definedName name="AcctLookup">[3]Account!$B$4:$C$6172</x:definedName>
    <x:definedName name="Activity">'[2]2281011 Project Drill'!#REF!</x:definedName>
    <x:definedName name="Activity2">'[2]2281011 Project Drill'!#REF!</x:definedName>
    <x:definedName name="ActivityDescr">'[2]2281011 Project Drill'!#REF!</x:definedName>
    <x:definedName name="ActivityDescr2">'[2]2281011 Project Drill'!#REF!</x:definedName>
    <x:definedName name="addg" localSheetId="0" hidden="1">{#N/A,#N/A,FALSE,"CBE";#N/A,#N/A,FALSE,"SWK"}</x:definedName>
    <x:definedName name="addg" hidden="1">{#N/A,#N/A,FALSE,"CBE";#N/A,#N/A,FALSE,"SWK"}</x:definedName>
    <x:definedName name="ADLJK" localSheetId="0" hidden="1">{"inputs raw data",#N/A,TRUE,"INPUT"}</x:definedName>
    <x:definedName name="ADLJK" hidden="1">{"inputs raw data",#N/A,TRUE,"INPUT"}</x:definedName>
    <x:definedName name="adljk2" localSheetId="0" hidden="1">{"inputs raw data",#N/A,TRUE,"INPUT"}</x:definedName>
    <x:definedName name="adljk2" hidden="1">{"inputs raw data",#N/A,TRUE,"INPUT"}</x:definedName>
    <x:definedName name="Affiliate">'[2]2281011 Project Drill'!#REF!</x:definedName>
    <x:definedName name="Affiliate2">'[2]2281011 Project Drill'!#REF!</x:definedName>
    <x:definedName name="AffiliateDescr">'[2]2281011 Project Drill'!#REF!</x:definedName>
    <x:definedName name="andy" localSheetId="0" hidden="1">{#N/A,#N/A,TRUE,"financial";#N/A,#N/A,TRUE,"plants"}</x:definedName>
    <x:definedName name="andy" hidden="1">{#N/A,#N/A,TRUE,"financial";#N/A,#N/A,TRUE,"plants"}</x:definedName>
    <x:definedName name="anscount" hidden="1">1</x:definedName>
    <x:definedName name="APN">'[4]12-31-2024 Bal Sheet'!#REF!</x:definedName>
    <x:definedName name="APRAM">'[5]ADDL MATCH'!$E$84:$I$105</x:definedName>
    <x:definedName name="APRDAD">'[5]DIVIDEND APPLIED TO DEBT'!$C$81:$E$102</x:definedName>
    <x:definedName name="APRDSD">'[5]DEBT SERV DEF'!$E$34:$G$55</x:definedName>
    <x:definedName name="APRII">'[5]INT INCURRED'!$C$81:$E$102</x:definedName>
    <x:definedName name="APRPA">'[5]PRINC AMORT'!$C$81:$E$102</x:definedName>
    <x:definedName name="AS2DocOpenMode" hidden="1">"AS2DocumentBrowse"</x:definedName>
    <x:definedName name="asad" localSheetId="0" hidden="1">{"away stand alones",#N/A,FALSE,"Target"}</x:definedName>
    <x:definedName name="asad" hidden="1">{"away stand alones",#N/A,FALSE,"Target"}</x:definedName>
    <x:definedName name="ASD">'[6]Trial Balance'!$L$6</x:definedName>
    <x:definedName name="asdas" localSheetId="0" hidden="1">{"summary1",#N/A,TRUE,"Comps";"summary2",#N/A,TRUE,"Comps";"summary3",#N/A,TRUE,"Comps"}</x:definedName>
    <x:definedName name="asdas" hidden="1">{"summary1",#N/A,TRUE,"Comps";"summary2",#N/A,TRUE,"Comps";"summary3",#N/A,TRUE,"Comps"}</x:definedName>
    <x:definedName name="asdaw" localSheetId="0" hidden="1">{"FCB_ALL",#N/A,FALSE,"FCB"}</x:definedName>
    <x:definedName name="asdaw" hidden="1">{"FCB_ALL",#N/A,FALSE,"FCB"}</x:definedName>
    <x:definedName name="asdf" localSheetId="0" hidden="1">{#N/A,#N/A,FALSE,"Calc";#N/A,#N/A,FALSE,"Sensitivity";#N/A,#N/A,FALSE,"LT Earn.Dil.";#N/A,#N/A,FALSE,"Dil. AVP"}</x:definedName>
    <x:definedName name="asdf" hidden="1">{#N/A,#N/A,FALSE,"Calc";#N/A,#N/A,FALSE,"Sensitivity";#N/A,#N/A,FALSE,"LT Earn.Dil.";#N/A,#N/A,FALSE,"Dil. AVP"}</x:definedName>
    <x:definedName name="ATA" localSheetId="0" hidden="1">{#N/A,#N/A,FALSE,"Aging Summary";#N/A,#N/A,FALSE,"Ratio Analysis";#N/A,#N/A,FALSE,"Test 120 Day Accts";#N/A,#N/A,FALSE,"Tickmarks"}</x:definedName>
    <x:definedName name="ATA" hidden="1">{#N/A,#N/A,FALSE,"Aging Summary";#N/A,#N/A,FALSE,"Ratio Analysis";#N/A,#N/A,FALSE,"Test 120 Day Accts";#N/A,#N/A,FALSE,"Tickmarks"}</x:definedName>
    <x:definedName name="AUGAM">'[5]ADDL MATCH'!$E$184:$I$205</x:definedName>
    <x:definedName name="AUGDAD">'[5]DIVIDEND APPLIED TO DEBT'!$C$179:$E$200</x:definedName>
    <x:definedName name="AUGII">'[5]INT INCURRED'!$C$179:$E$200</x:definedName>
    <x:definedName name="AUGPA">'[5]PRINC AMORT'!$C$179:$E$200</x:definedName>
    <x:definedName name="avdd" localSheetId="0" hidden="1">{#N/A,#N/A,FALSE,"Calc";#N/A,#N/A,FALSE,"Sensitivity";#N/A,#N/A,FALSE,"LT Earn.Dil.";#N/A,#N/A,FALSE,"Dil. AVP"}</x:definedName>
    <x:definedName name="avdd" hidden="1">{#N/A,#N/A,FALSE,"Calc";#N/A,#N/A,FALSE,"Sensitivity";#N/A,#N/A,FALSE,"LT Earn.Dil.";#N/A,#N/A,FALSE,"Dil. AVP"}</x:definedName>
    <x:definedName name="BLPH1" hidden="1">#REF!</x:definedName>
    <x:definedName name="BLPH11" hidden="1">#REF!</x:definedName>
    <x:definedName name="BLPH12" hidden="1">#REF!</x:definedName>
    <x:definedName name="BLPH13" hidden="1">#REF!</x:definedName>
    <x:definedName name="BLPH14" hidden="1">#REF!</x:definedName>
    <x:definedName name="BLPH15" hidden="1">#REF!</x:definedName>
    <x:definedName name="BLPH16" hidden="1">#REF!</x:definedName>
    <x:definedName name="BLPH17" hidden="1">#REF!</x:definedName>
    <x:definedName name="BLPH18" hidden="1">#REF!</x:definedName>
    <x:definedName name="BLPH19" hidden="1">#REF!</x:definedName>
    <x:definedName name="BLPH2" hidden="1">#REF!</x:definedName>
    <x:definedName name="BLPH20" hidden="1">#REF!</x:definedName>
    <x:definedName name="BLPH21" hidden="1">#REF!</x:definedName>
    <x:definedName name="BLPH22" hidden="1">#REF!</x:definedName>
    <x:definedName name="BLPH23" hidden="1">#REF!</x:definedName>
    <x:definedName name="BLPH24" hidden="1">#REF!</x:definedName>
    <x:definedName name="BLPH25" hidden="1">#REF!</x:definedName>
    <x:definedName name="BLPH26" hidden="1">#REF!</x:definedName>
    <x:definedName name="BLPH27" hidden="1">#REF!</x:definedName>
    <x:definedName name="BLPH28" hidden="1">#REF!</x:definedName>
    <x:definedName name="BLPH29" hidden="1">#REF!</x:definedName>
    <x:definedName name="BLPH30" hidden="1">#REF!</x:definedName>
    <x:definedName name="BLPH31" hidden="1">#REF!</x:definedName>
    <x:definedName name="BLPH32" hidden="1">#REF!</x:definedName>
    <x:definedName name="BLPH33" hidden="1">#REF!</x:definedName>
    <x:definedName name="BLPH34" hidden="1">#REF!</x:definedName>
    <x:definedName name="BLPH35" hidden="1">#REF!</x:definedName>
    <x:definedName name="BLPH36" hidden="1">#REF!</x:definedName>
    <x:definedName name="BLPH37" hidden="1">#REF!</x:definedName>
    <x:definedName name="BLPH38" hidden="1">#REF!</x:definedName>
    <x:definedName name="BLPH39" hidden="1">#REF!</x:definedName>
    <x:definedName name="BLPH40" hidden="1">#REF!</x:definedName>
    <x:definedName name="BLPH41" hidden="1">#REF!</x:definedName>
    <x:definedName name="BLPH42" hidden="1">#REF!</x:definedName>
    <x:definedName name="bnkj" localSheetId="0" hidden="1">{#N/A,#N/A,FALSE,"output";#N/A,#N/A,FALSE,"contrib";#N/A,#N/A,FALSE,"profile";#N/A,#N/A,FALSE,"comps"}</x:definedName>
    <x:definedName name="bnkj" hidden="1">{#N/A,#N/A,FALSE,"output";#N/A,#N/A,FALSE,"contrib";#N/A,#N/A,FALSE,"profile";#N/A,#N/A,FALSE,"comps"}</x:definedName>
    <x:definedName name="Cable" localSheetId="0" hidden="1">{#N/A,#N/A,FALSE,"Operations";#N/A,#N/A,FALSE,"Financials"}</x:definedName>
    <x:definedName name="Cable" hidden="1">{#N/A,#N/A,FALSE,"Operations";#N/A,#N/A,FALSE,"Financials"}</x:definedName>
    <x:definedName name="Cable2" localSheetId="0" hidden="1">{#N/A,#N/A,FALSE,"Operations";#N/A,#N/A,FALSE,"Financials"}</x:definedName>
    <x:definedName name="Cable2" hidden="1">{#N/A,#N/A,FALSE,"Operations";#N/A,#N/A,FALSE,"Financials"}</x:definedName>
    <x:definedName name="CBWorkbookPriority" hidden="1">-31260691</x:definedName>
    <x:definedName name="cc" localSheetId="0" hidden="1">{#N/A,#N/A,FALSE,"CBE";#N/A,#N/A,FALSE,"SWK"}</x:definedName>
    <x:definedName name="cc" hidden="1">{#N/A,#N/A,FALSE,"CBE";#N/A,#N/A,FALSE,"SWK"}</x:definedName>
    <x:definedName name="Completed">#REF!</x:definedName>
    <x:definedName name="confused" localSheetId="0" hidden="1">{"BS",#N/A,FALSE,"NGC";"PL",#N/A,FALSE,"NGC";"CF",#N/A,FALSE,"NGC"}</x:definedName>
    <x:definedName name="confused" hidden="1">{"BS",#N/A,FALSE,"NGC";"PL",#N/A,FALSE,"NGC";"CF",#N/A,FALSE,"NGC"}</x:definedName>
    <x:definedName name="cooper2" localSheetId="0" hidden="1">{#N/A,#N/A,TRUE,"Pro Forma";#N/A,#N/A,TRUE,"PF_Bal";#N/A,#N/A,TRUE,"PF_INC";#N/A,#N/A,TRUE,"CBE";#N/A,#N/A,TRUE,"SWK"}</x:definedName>
    <x:definedName name="cooper2" hidden="1">{#N/A,#N/A,TRUE,"Pro Forma";#N/A,#N/A,TRUE,"PF_Bal";#N/A,#N/A,TRUE,"PF_INC";#N/A,#N/A,TRUE,"CBE";#N/A,#N/A,TRUE,"SWK"}</x:definedName>
    <x:definedName name="Credit">[7]JOURNAL!#REF!</x:definedName>
    <x:definedName name="CustTable">[1]Detailed!#REF!</x:definedName>
    <x:definedName name="Cwvu.GREY_ALL." hidden="1">#REF!</x:definedName>
    <x:definedName name="Cwvy.GREY_ALL._dcf" hidden="1">#REF!</x:definedName>
    <x:definedName name="dasdas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dasda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Date1">[1]Detailed!#REF!</x:definedName>
    <x:definedName name="Date2">[1]Detailed!#REF!</x:definedName>
    <x:definedName name="dddddd" localSheetId="0" hidden="1">{"FCB_ALL",#N/A,FALSE,"FCB";"GREY_ALL",#N/A,FALSE,"GREY"}</x:definedName>
    <x:definedName name="dddddd" hidden="1">{"FCB_ALL",#N/A,FALSE,"FCB";"GREY_ALL",#N/A,FALSE,"GREY"}</x:definedName>
    <x:definedName name="Debit">[7]JOURNAL!#REF!</x:definedName>
    <x:definedName name="DECAM">'[5]ADDL MATCH'!$E$284:$I$305</x:definedName>
    <x:definedName name="DECDAD">'[5]DIVIDEND APPLIED TO DEBT'!$C$275:$E$296</x:definedName>
    <x:definedName name="DECDR">'[5]DIVD REPL'!$C$84:$E$105</x:definedName>
    <x:definedName name="DECII">'[5]INT INCURRED'!$C$275:$E$296</x:definedName>
    <x:definedName name="DECPA">'[5]PRINC AMORT'!$C$275:$E$296</x:definedName>
    <x:definedName name="DeptDescr">'[2]2281011 Project Drill'!#REF!</x:definedName>
    <x:definedName name="DeptDescr2">'[2]2281011 Project Drill'!#REF!</x:definedName>
    <x:definedName name="DeptID">'[2]2281011 Project Drill'!#REF!</x:definedName>
    <x:definedName name="DeptID2">'[2]2281011 Project Drill'!#REF!</x:definedName>
    <x:definedName name="DeptLookup">[3]Dept!$B$4:$C$6264</x:definedName>
    <x:definedName name="df" localSheetId="0" hidden="1">{"comps",#N/A,FALSE,"comps";"notes",#N/A,FALSE,"comps"}</x:definedName>
    <x:definedName name="df" hidden="1">{"comps",#N/A,FALSE,"comps";"notes",#N/A,FALSE,"comps"}</x:definedName>
    <x:definedName name="dfd" localSheetId="0" hidden="1">{"FCB_ALL",#N/A,FALSE,"FCB";"GREY_ALL",#N/A,FALSE,"GREY"}</x:definedName>
    <x:definedName name="dfd" hidden="1">{"FCB_ALL",#N/A,FALSE,"FCB";"GREY_ALL",#N/A,FALSE,"GREY"}</x:definedName>
    <x:definedName name="dfdas" localSheetId="0" hidden="1">{"FCB_ALL",#N/A,FALSE,"FCB";"GREY_ALL",#N/A,FALSE,"GREY"}</x:definedName>
    <x:definedName name="dfdas" hidden="1">{"FCB_ALL",#N/A,FALSE,"FCB";"GREY_ALL",#N/A,FALSE,"GREY"}</x:definedName>
    <x:definedName name="dfdfd" localSheetId="0" hidden="1">{"FCB_ALL",#N/A,FALSE,"FCB";"GREY_ALL",#N/A,FALSE,"GREY"}</x:definedName>
    <x:definedName name="dfdfd" hidden="1">{"FCB_ALL",#N/A,FALSE,"FCB";"GREY_ALL",#N/A,FALSE,"GREY"}</x:definedName>
    <x:definedName name="dfdfdfd" localSheetId="0" hidden="1">{"FCB_ALL",#N/A,FALSE,"FCB"}</x:definedName>
    <x:definedName name="dfdfdfd" hidden="1">{"FCB_ALL",#N/A,FALSE,"FCB"}</x:definedName>
    <x:definedName name="dfsaadsfa" localSheetId="0" hidden="1">{#N/A,#N/A,FALSE,"Calc";#N/A,#N/A,FALSE,"Sensitivity";#N/A,#N/A,FALSE,"LT Earn.Dil.";#N/A,#N/A,FALSE,"Dil. AVP"}</x:definedName>
    <x:definedName name="dfsaadsfa" hidden="1">{#N/A,#N/A,FALSE,"Calc";#N/A,#N/A,FALSE,"Sensitivity";#N/A,#N/A,FALSE,"LT Earn.Dil.";#N/A,#N/A,FALSE,"Dil. AVP"}</x:definedName>
    <x:definedName name="EC">'[2]2281011 Project Drill'!#REF!</x:definedName>
    <x:definedName name="ECDescr">'[2]2281011 Project Drill'!#REF!</x:definedName>
    <x:definedName name="ECDescr2">'[2]2281011 Project Drill'!#REF!</x:definedName>
    <x:definedName name="ECID">'[2]2281011 Project Drill'!#REF!</x:definedName>
    <x: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edp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eeee" localSheetId="0" hidden="1">{#N/A,#N/A,FALSE,"Calc";#N/A,#N/A,FALSE,"Sensitivity";#N/A,#N/A,FALSE,"LT Earn.Dil.";#N/A,#N/A,FALSE,"Dil. AVP"}</x:definedName>
    <x:definedName name="eeee" hidden="1">{#N/A,#N/A,FALSE,"Calc";#N/A,#N/A,FALSE,"Sensitivity";#N/A,#N/A,FALSE,"LT Earn.Dil.";#N/A,#N/A,FALSE,"Dil. AVP"}</x:definedName>
    <x:definedName name="Elapsed">#REF!</x:definedName>
    <x:definedName name="emily" localSheetId="0" hidden="1">{#N/A,#N/A,FALSE,"Calc";#N/A,#N/A,FALSE,"Sensitivity";#N/A,#N/A,FALSE,"LT Earn.Dil.";#N/A,#N/A,FALSE,"Dil. AVP"}</x:definedName>
    <x:definedName name="emily" hidden="1">{#N/A,#N/A,FALSE,"Calc";#N/A,#N/A,FALSE,"Sensitivity";#N/A,#N/A,FALSE,"LT Earn.Dil.";#N/A,#N/A,FALSE,"Dil. AVP"}</x:definedName>
    <x:definedName name="entry">[8]JOURNAL!$B$9:$R$204,[8]JOURNAL!$I$3,[8]JOURNAL!$G$3,[8]JOURNAL!$E$3,[8]JOURNAL!$B$7,[8]JOURNAL!$B$3</x:definedName>
    <x:definedName name="EntryFields">[8]JOURNAL!$B$9:$R$204,[8]JOURNAL!$I$3,[8]JOURNAL!$G$3,[8]JOURNAL!$E$3,[8]JOURNAL!$B$7,[8]JOURNAL!$B$3</x:definedName>
    <x:definedName name="eyr" localSheetId="0" hidden="1">{"hiden",#N/A,FALSE,"14";"hidden",#N/A,FALSE,"16";"hidden",#N/A,FALSE,"18";"hidden",#N/A,FALSE,"20"}</x:definedName>
    <x:definedName name="eyr" hidden="1">{"hiden",#N/A,FALSE,"14";"hidden",#N/A,FALSE,"16";"hidden",#N/A,FALSE,"18";"hidden",#N/A,FALSE,"20"}</x:definedName>
    <x:definedName name="fd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fdf" localSheetId="0" hidden="1">{"Application Management",#N/A,FALSE,"Total Costs"}</x:definedName>
    <x:definedName name="fdf" hidden="1">{"Application Management",#N/A,FALSE,"Total Costs"}</x:definedName>
    <x:definedName name="FDP_0_1_aUrv" hidden="1">#REF!</x:definedName>
    <x:definedName name="FDP_1_1_aUrv" hidden="1">#REF!</x:definedName>
    <x:definedName name="FDP_10_1_aDrv" hidden="1">#REF!</x:definedName>
    <x:definedName name="FDP_100_1_aUrv" hidden="1">#REF!</x:definedName>
    <x:definedName name="FDP_101_1_aUrv" hidden="1">#REF!</x:definedName>
    <x:definedName name="FDP_102_1_aUrv" hidden="1">#REF!</x:definedName>
    <x:definedName name="FDP_103_1_aUrv" hidden="1">#REF!</x:definedName>
    <x:definedName name="FDP_104_1_aUrv" hidden="1">#REF!</x:definedName>
    <x:definedName name="FDP_105_1_aUrv" hidden="1">#REF!</x:definedName>
    <x:definedName name="FDP_106_1_aUrv" hidden="1">#REF!</x:definedName>
    <x:definedName name="FDP_107_1_aUrv" hidden="1">#REF!</x:definedName>
    <x:definedName name="FDP_108_1_aUrv" hidden="1">#REF!</x:definedName>
    <x:definedName name="FDP_109_1_aUrv" hidden="1">#REF!</x:definedName>
    <x:definedName name="FDP_11_1_aDrv" hidden="1">#REF!</x:definedName>
    <x:definedName name="FDP_110_1_aUrv" hidden="1">#REF!</x:definedName>
    <x:definedName name="FDP_111_1_aUrv" hidden="1">#REF!</x:definedName>
    <x:definedName name="FDP_112_1_aUrv" hidden="1">#REF!</x:definedName>
    <x:definedName name="FDP_113_1_aUrv" hidden="1">#REF!</x:definedName>
    <x:definedName name="FDP_114_1_aUrv" hidden="1">#REF!</x:definedName>
    <x:definedName name="FDP_115_1_aUrv" hidden="1">#REF!</x:definedName>
    <x:definedName name="FDP_116_1_aUrv" hidden="1">#REF!</x:definedName>
    <x:definedName name="FDP_117_1_aUrv" hidden="1">#REF!</x:definedName>
    <x:definedName name="FDP_118_1_aUrv" hidden="1">#REF!</x:definedName>
    <x:definedName name="FDP_119_1_aUrv" hidden="1">#REF!</x:definedName>
    <x:definedName name="FDP_12_1_aDrv" hidden="1">#REF!</x:definedName>
    <x:definedName name="FDP_120_1_aUrv" hidden="1">#REF!</x:definedName>
    <x:definedName name="FDP_121_1_aUrv" hidden="1">#REF!</x:definedName>
    <x:definedName name="FDP_122_1_aUrv" hidden="1">#REF!</x:definedName>
    <x:definedName name="FDP_123_1_aUrv" hidden="1">#REF!</x:definedName>
    <x:definedName name="FDP_124_1_aUrv" hidden="1">#REF!</x:definedName>
    <x:definedName name="FDP_125_1_aUrv" hidden="1">#REF!</x:definedName>
    <x:definedName name="FDP_126_1_aUrv" hidden="1">#REF!</x:definedName>
    <x:definedName name="FDP_127_1_aUrv" hidden="1">#REF!</x:definedName>
    <x:definedName name="FDP_128_1_aUrv" hidden="1">#REF!</x:definedName>
    <x:definedName name="FDP_129_1_aUrv" hidden="1">#REF!</x:definedName>
    <x:definedName name="FDP_13_1_aUrv" hidden="1">#REF!</x:definedName>
    <x:definedName name="FDP_130_1_aUrv" hidden="1">#REF!</x:definedName>
    <x:definedName name="FDP_131_1_aSrv" hidden="1">#REF!</x:definedName>
    <x:definedName name="FDP_132_1_aUrv" hidden="1">#REF!</x:definedName>
    <x:definedName name="FDP_133_1_aUrv" hidden="1">#REF!</x:definedName>
    <x:definedName name="FDP_134_1_aUrv" hidden="1">#REF!</x:definedName>
    <x:definedName name="FDP_135_1_aUrv" hidden="1">#REF!</x:definedName>
    <x:definedName name="FDP_136_1_aSrv" hidden="1">#REF!</x:definedName>
    <x:definedName name="FDP_137_1_aUrv" hidden="1">#REF!</x:definedName>
    <x:definedName name="FDP_138_1_aUrv" hidden="1">#REF!</x:definedName>
    <x:definedName name="FDP_139_1_aUrv" hidden="1">#REF!</x:definedName>
    <x:definedName name="FDP_14_1_aUrv" hidden="1">#REF!</x:definedName>
    <x:definedName name="FDP_140_1_aUrv" hidden="1">#REF!</x:definedName>
    <x:definedName name="FDP_141_1_aUrv" hidden="1">#REF!</x:definedName>
    <x:definedName name="FDP_142_1_aUrv" hidden="1">#REF!</x:definedName>
    <x:definedName name="FDP_143_1_aUrv" hidden="1">#REF!</x:definedName>
    <x:definedName name="FDP_144_1_aUrv" hidden="1">#REF!</x:definedName>
    <x:definedName name="FDP_145_1_aUrv" hidden="1">#REF!</x:definedName>
    <x:definedName name="FDP_146_1_aUrv" hidden="1">#REF!</x:definedName>
    <x:definedName name="FDP_147_1_aUrv" hidden="1">#REF!</x:definedName>
    <x:definedName name="FDP_148_1_aUrv" hidden="1">#REF!</x:definedName>
    <x:definedName name="FDP_149_1_aUrv" hidden="1">#REF!</x:definedName>
    <x:definedName name="FDP_15_1_aUrv" hidden="1">#REF!</x:definedName>
    <x:definedName name="FDP_150_1_aSrv" hidden="1">#REF!</x:definedName>
    <x:definedName name="FDP_151_1_aUrv" hidden="1">#REF!</x:definedName>
    <x:definedName name="FDP_152_1_aSrv" hidden="1">#REF!</x:definedName>
    <x:definedName name="FDP_153_1_aUrv" hidden="1">#REF!</x:definedName>
    <x:definedName name="FDP_154_1_aSrv" hidden="1">#REF!</x:definedName>
    <x:definedName name="FDP_155_1_aUrv" hidden="1">#REF!</x:definedName>
    <x:definedName name="FDP_156_1_aSrv" hidden="1">#REF!</x:definedName>
    <x:definedName name="FDP_157_1_aUrv" hidden="1">#REF!</x:definedName>
    <x:definedName name="FDP_158_1_aSrv" hidden="1">#REF!</x:definedName>
    <x:definedName name="FDP_159_1_aUrv" hidden="1">#REF!</x:definedName>
    <x:definedName name="FDP_16_1_aUrv" hidden="1">#REF!</x:definedName>
    <x:definedName name="FDP_160_1_aSrv" hidden="1">#REF!</x:definedName>
    <x:definedName name="FDP_161_1_aDrv" hidden="1">#REF!</x:definedName>
    <x:definedName name="FDP_162_1_aDrv" hidden="1">#REF!</x:definedName>
    <x:definedName name="FDP_163_1_aDrv" hidden="1">#REF!</x:definedName>
    <x:definedName name="FDP_164_1_aDrv" hidden="1">#REF!</x:definedName>
    <x:definedName name="FDP_165_1_aDrv" hidden="1">#REF!</x:definedName>
    <x:definedName name="FDP_166_1_aDrv" hidden="1">#REF!</x:definedName>
    <x:definedName name="FDP_167_1_aDrv" hidden="1">#REF!</x:definedName>
    <x:definedName name="FDP_168_1_aDrv" hidden="1">#REF!</x:definedName>
    <x:definedName name="FDP_169_1_aDrv" hidden="1">#REF!</x:definedName>
    <x:definedName name="FDP_17_1_aUrv" hidden="1">#REF!</x:definedName>
    <x:definedName name="FDP_170_1_aDrv" hidden="1">#REF!</x:definedName>
    <x:definedName name="FDP_171_1_aDrv" hidden="1">#REF!</x:definedName>
    <x:definedName name="FDP_172_1_aDrv" hidden="1">#REF!</x:definedName>
    <x:definedName name="FDP_173_1_aDrv" hidden="1">#REF!</x:definedName>
    <x:definedName name="FDP_174_1_aUrv" hidden="1">#REF!</x:definedName>
    <x:definedName name="FDP_175_1_aUrv" hidden="1">#REF!</x:definedName>
    <x:definedName name="FDP_176_1_aUrv" hidden="1">#REF!</x:definedName>
    <x:definedName name="FDP_177_1_aUrv" hidden="1">#REF!</x:definedName>
    <x:definedName name="FDP_178_1_aUrv" hidden="1">#REF!</x:definedName>
    <x:definedName name="FDP_179_1_aUrv" hidden="1">#REF!</x:definedName>
    <x:definedName name="FDP_18_1_aUrv" hidden="1">#REF!</x:definedName>
    <x:definedName name="FDP_180_1_aUdv" hidden="1">#REF!</x:definedName>
    <x:definedName name="FDP_181_1_aUdv" hidden="1">#REF!</x:definedName>
    <x:definedName name="FDP_182_1_aUdv" hidden="1">#REF!</x:definedName>
    <x:definedName name="FDP_183_1_aUdv" hidden="1">#REF!</x:definedName>
    <x:definedName name="FDP_184_1_aUdv" hidden="1">#REF!</x:definedName>
    <x:definedName name="FDP_185_1_aUdv" hidden="1">#REF!</x:definedName>
    <x:definedName name="FDP_186_1_aUdv" hidden="1">#REF!</x:definedName>
    <x:definedName name="FDP_187_1_aUdv" hidden="1">#REF!</x:definedName>
    <x:definedName name="FDP_188_1_aUdv" hidden="1">#REF!</x:definedName>
    <x:definedName name="FDP_189_1_aUdv" hidden="1">#REF!</x:definedName>
    <x:definedName name="FDP_19_1_aUrv" hidden="1">#REF!</x:definedName>
    <x:definedName name="FDP_190_1_aUdv" hidden="1">#REF!</x:definedName>
    <x:definedName name="FDP_191_1_aUdv" hidden="1">#REF!</x:definedName>
    <x:definedName name="FDP_192_1_aUdv" hidden="1">#REF!</x:definedName>
    <x:definedName name="FDP_193_1_aUdv" hidden="1">#REF!</x:definedName>
    <x:definedName name="FDP_194_1_aUdv" hidden="1">#REF!</x:definedName>
    <x:definedName name="FDP_195_1_aUdv" hidden="1">#REF!</x:definedName>
    <x:definedName name="FDP_196_1_aUdv" hidden="1">#REF!</x:definedName>
    <x:definedName name="FDP_197_1_aUdv" hidden="1">#REF!</x:definedName>
    <x:definedName name="FDP_198_1_aUdv" hidden="1">#REF!</x:definedName>
    <x:definedName name="FDP_199_1_aUdv" hidden="1">#REF!</x:definedName>
    <x:definedName name="FDP_2_1_aUrv" hidden="1">#REF!</x:definedName>
    <x:definedName name="FDP_20_1_aUrv" hidden="1">#REF!</x:definedName>
    <x:definedName name="FDP_21_1_aUrv" hidden="1">#REF!</x:definedName>
    <x:definedName name="FDP_22_1_aUrv" hidden="1">#REF!</x:definedName>
    <x:definedName name="FDP_23_1_aDrv" hidden="1">#REF!</x:definedName>
    <x:definedName name="FDP_24_1_aUrv" hidden="1">#REF!</x:definedName>
    <x:definedName name="FDP_25_1_aUrv" hidden="1">#REF!</x:definedName>
    <x:definedName name="FDP_26_1_aUrv" hidden="1">#REF!</x:definedName>
    <x:definedName name="FDP_27_1_aUrv" hidden="1">#REF!</x:definedName>
    <x:definedName name="FDP_28_1_aUrv" hidden="1">#REF!</x:definedName>
    <x:definedName name="FDP_29_1_aDrv" hidden="1">#REF!</x:definedName>
    <x:definedName name="FDP_3_1_aUrv" hidden="1">#REF!</x:definedName>
    <x:definedName name="FDP_30_1_aUrv" hidden="1">#REF!</x:definedName>
    <x:definedName name="FDP_31_1_aUrv" hidden="1">#REF!</x:definedName>
    <x:definedName name="FDP_32_1_aUrv" hidden="1">#REF!</x:definedName>
    <x:definedName name="FDP_33_1_aUrv" hidden="1">#REF!</x:definedName>
    <x:definedName name="FDP_34_1_aUrv" hidden="1">#REF!</x:definedName>
    <x:definedName name="FDP_35_1_aSrv" hidden="1">#REF!</x:definedName>
    <x:definedName name="FDP_36_1_aUrv" hidden="1">#REF!</x:definedName>
    <x:definedName name="FDP_37_1_aUrv" hidden="1">#REF!</x:definedName>
    <x:definedName name="FDP_38_1_aUrv" hidden="1">#REF!</x:definedName>
    <x:definedName name="FDP_39_1_aUrv" hidden="1">#REF!</x:definedName>
    <x:definedName name="FDP_4_1_aUrv" hidden="1">#REF!</x:definedName>
    <x:definedName name="FDP_40_1_aUrv" hidden="1">#REF!</x:definedName>
    <x:definedName name="FDP_41_1_aSrv" hidden="1">#REF!</x:definedName>
    <x:definedName name="FDP_42_1_aSrv" hidden="1">#REF!</x:definedName>
    <x:definedName name="FDP_43_1_aUrv" hidden="1">#REF!</x:definedName>
    <x:definedName name="FDP_44_1_aUrv" hidden="1">#REF!</x:definedName>
    <x:definedName name="FDP_45_1_aUrv" hidden="1">#REF!</x:definedName>
    <x:definedName name="FDP_46_1_aUrv" hidden="1">#REF!</x:definedName>
    <x:definedName name="FDP_47_1_aUrv" hidden="1">#REF!</x:definedName>
    <x:definedName name="FDP_48_1_aSrv" hidden="1">#REF!</x:definedName>
    <x:definedName name="FDP_49_1_aUrv" hidden="1">#REF!</x:definedName>
    <x:definedName name="FDP_5_1_aUrv" hidden="1">#REF!</x:definedName>
    <x:definedName name="FDP_50_1_aUrv" hidden="1">#REF!</x:definedName>
    <x:definedName name="FDP_51_1_aUrv" hidden="1">#REF!</x:definedName>
    <x:definedName name="FDP_52_1_aUrv" hidden="1">#REF!</x:definedName>
    <x:definedName name="FDP_53_1_aUrv" hidden="1">#REF!</x:definedName>
    <x:definedName name="FDP_54_1_aUrv" hidden="1">#REF!</x:definedName>
    <x:definedName name="FDP_55_1_aUrv" hidden="1">#REF!</x:definedName>
    <x:definedName name="FDP_56_1_aUrv" hidden="1">#REF!</x:definedName>
    <x:definedName name="FDP_57_1_aUrv" hidden="1">#REF!</x:definedName>
    <x:definedName name="FDP_58_1_aUrv" hidden="1">#REF!</x:definedName>
    <x:definedName name="FDP_59_1_aUrv" hidden="1">#REF!</x:definedName>
    <x:definedName name="FDP_6_1_aUrv" hidden="1">#REF!</x:definedName>
    <x:definedName name="FDP_60_1_aUrv" hidden="1">#REF!</x:definedName>
    <x:definedName name="FDP_61_1_aSrv" hidden="1">#REF!</x:definedName>
    <x:definedName name="FDP_62_1_aSrv" hidden="1">#REF!</x:definedName>
    <x:definedName name="FDP_63_1_aUrv" hidden="1">#REF!</x:definedName>
    <x:definedName name="FDP_64_1_aSrv" hidden="1">#REF!</x:definedName>
    <x:definedName name="FDP_65_1_aSrv" hidden="1">#REF!</x:definedName>
    <x:definedName name="FDP_66_1_aUrv" hidden="1">#REF!</x:definedName>
    <x:definedName name="FDP_67_1_aUrv" hidden="1">#REF!</x:definedName>
    <x:definedName name="FDP_68_1_aUrv" hidden="1">#REF!</x:definedName>
    <x:definedName name="FDP_69_1_aUrv" hidden="1">#REF!</x:definedName>
    <x:definedName name="FDP_7_1_aUrv" hidden="1">#REF!</x:definedName>
    <x:definedName name="FDP_70_1_aDrv" hidden="1">#REF!</x:definedName>
    <x:definedName name="FDP_71_1_aUrv" hidden="1">#REF!</x:definedName>
    <x:definedName name="FDP_72_1_aDrv" hidden="1">#REF!</x:definedName>
    <x:definedName name="FDP_73_1_aUrv" hidden="1">#REF!</x:definedName>
    <x:definedName name="FDP_74_1_aUrv" hidden="1">#REF!</x:definedName>
    <x:definedName name="FDP_75_1_aSrv" hidden="1">#REF!</x:definedName>
    <x:definedName name="FDP_76_1_aUrv" hidden="1">#REF!</x:definedName>
    <x:definedName name="FDP_77_1_aUrv" hidden="1">#REF!</x:definedName>
    <x:definedName name="FDP_78_1_aUrv" hidden="1">#REF!</x:definedName>
    <x:definedName name="FDP_79_1_aUrv" hidden="1">#REF!</x:definedName>
    <x:definedName name="FDP_8_1_aDrv" hidden="1">#REF!</x:definedName>
    <x:definedName name="FDP_80_1_aUrv" hidden="1">#REF!</x:definedName>
    <x:definedName name="FDP_81_1_aSrv" hidden="1">#REF!</x:definedName>
    <x:definedName name="FDP_82_1_aUrv" hidden="1">#REF!</x:definedName>
    <x:definedName name="FDP_83_1_aSrv" hidden="1">#REF!</x:definedName>
    <x:definedName name="FDP_84_1_aUrv" hidden="1">#REF!</x:definedName>
    <x:definedName name="FDP_85_1_aUrv" hidden="1">#REF!</x:definedName>
    <x:definedName name="FDP_86_1_aUrv" hidden="1">#REF!</x:definedName>
    <x:definedName name="FDP_87_1_aSrv" hidden="1">#REF!</x:definedName>
    <x:definedName name="FDP_88_1_aUrv" hidden="1">#REF!</x:definedName>
    <x:definedName name="FDP_89_1_aSrv" hidden="1">#REF!</x:definedName>
    <x:definedName name="FDP_9_1_aDrv" hidden="1">#REF!</x:definedName>
    <x:definedName name="FDP_90_1_aUrv" hidden="1">#REF!</x:definedName>
    <x:definedName name="FDP_91_1_aUrv" hidden="1">#REF!</x:definedName>
    <x:definedName name="FDP_92_1_aSrv" hidden="1">#REF!</x:definedName>
    <x:definedName name="FDP_93_1_aDrv" hidden="1">#REF!</x:definedName>
    <x:definedName name="FDP_94_1_aUrv" hidden="1">#REF!</x:definedName>
    <x:definedName name="FDP_95_1_aUrv" hidden="1">#REF!</x:definedName>
    <x:definedName name="FDP_96_1_aUrv" hidden="1">#REF!</x:definedName>
    <x:definedName name="FDP_97_1_aUrv" hidden="1">#REF!</x:definedName>
    <x:definedName name="FDP_98_1_aUrv" hidden="1">#REF!</x:definedName>
    <x:definedName name="FDP_99_1_aUrv" hidden="1">#REF!</x:definedName>
    <x:definedName name="fds" localSheetId="0" hidden="1">{"comps",#N/A,FALSE,"comps";"notes",#N/A,FALSE,"comps"}</x:definedName>
    <x:definedName name="fds" hidden="1">{"comps",#N/A,FALSE,"comps";"notes",#N/A,FALSE,"comps"}</x:definedName>
    <x:definedName name="fdsf" localSheetId="0" hidden="1">{"general",#N/A,FALSE,"Assumptions"}</x:definedName>
    <x:definedName name="fdsf" hidden="1">{"general",#N/A,FALSE,"Assumptions"}</x:definedName>
    <x:definedName name="FEBAM">'[5]ADDL MATCH'!$E$34:$I$55</x:definedName>
    <x:definedName name="FEBDAD">'[5]DIVIDEND APPLIED TO DEBT'!$C$32:$E$53</x:definedName>
    <x:definedName name="FEBII">'[5]INT INCURRED'!$C$32:$E$53</x:definedName>
    <x:definedName name="FEBPA">'[5]PRINC AMORT'!$C$32:$E$53</x:definedName>
    <x:definedName name="fins1" localSheetId="0" hidden="1">{#N/A,#N/A,FALSE,"Calc";#N/A,#N/A,FALSE,"Sensitivity";#N/A,#N/A,FALSE,"LT Earn.Dil.";#N/A,#N/A,FALSE,"Dil. AVP"}</x:definedName>
    <x:definedName name="fins1" hidden="1">{#N/A,#N/A,FALSE,"Calc";#N/A,#N/A,FALSE,"Sensitivity";#N/A,#N/A,FALSE,"LT Earn.Dil.";#N/A,#N/A,FALSE,"Dil. AVP"}</x:definedName>
    <x:definedName name="FY">[1]Detailed!#REF!</x:definedName>
    <x:definedName name="gds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gds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gfd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gf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gg" localSheetId="0" hidden="1">{#N/A,"DR",FALSE,"increm pf";#N/A,"MAMSI",FALSE,"increm pf";#N/A,"MAXI",FALSE,"increm pf";#N/A,"PCAM",FALSE,"increm pf";#N/A,"PHSV",FALSE,"increm pf";#N/A,"SIE",FALSE,"increm pf"}</x:definedName>
    <x:definedName name="gg" hidden="1">{#N/A,"DR",FALSE,"increm pf";#N/A,"MAMSI",FALSE,"increm pf";#N/A,"MAXI",FALSE,"increm pf";#N/A,"PCAM",FALSE,"increm pf";#N/A,"PHSV",FALSE,"increm pf";#N/A,"SIE",FALSE,"increm pf"}</x:definedName>
    <x:definedName name="ggf" localSheetId="0" hidden="1">{"comps",#N/A,FALSE,"comps";"notes",#N/A,FALSE,"comps"}</x:definedName>
    <x:definedName name="ggf" hidden="1">{"comps",#N/A,FALSE,"comps";"notes",#N/A,FALSE,"comps"}</x:definedName>
    <x:definedName name="gsdg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hh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hhsdf" localSheetId="0" hidden="1">{"up stand alones",#N/A,FALSE,"Acquiror"}</x:definedName>
    <x:definedName name="hhhsdf" hidden="1">{"up stand alones",#N/A,FALSE,"Acquiror"}</x:definedName>
    <x:definedName name="hthth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hthth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ik" localSheetId="0" hidden="1">{"casespecific",#N/A,FALSE,"Assumptions"}</x:definedName>
    <x:definedName name="ik" hidden="1">{"casespecific",#N/A,FALSE,"Assumptions"}</x:definedName>
    <x:definedName name="IQ_ACCOUNT_CHANGE" hidden="1">"c1449"</x:definedName>
    <x:definedName name="IQ_ACCOUNTS_PAY" hidden="1">"c1343"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"c1341"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"c1340"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SITION_RE_ASSETS" hidden="1">"c1628"</x:definedName>
    <x:definedName name="IQ_AD" hidden="1">"c7"</x:definedName>
    <x:definedName name="IQ_ADD_PAID_IN" hidden="1">"c1344"</x:definedName>
    <x:definedName name="IQ_ADDIN" hidden="1">"AUTO"</x:definedName>
    <x:definedName name="IQ_ADJ_AVG_BANK_ASSETS" hidden="1">"c2671"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"c1342"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ORTIZATION" hidden="1">"c1591"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OPER_LEASE_DEPR" hidden="1">"c2070"</x:definedName>
    <x:definedName name="IQ_ASSETS_OPER_LEASE_GROSS" hidden="1">"c2071"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BROKER_REC_NO_REUT" hidden="1">"c5315"</x:definedName>
    <x:definedName name="IQ_AVG_BROKER_REC_REUT" hidden="1">"c3630"</x:definedName>
    <x:definedName name="IQ_AVG_DAILY_VOL" hidden="1">"c65"</x:definedName>
    <x:definedName name="IQ_AVG_INDUSTRY_REC" hidden="1">"c4455"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SHAREOUTSTANDING" hidden="1">"c83"</x:definedName>
    <x:definedName name="IQ_AVG_TEV" hidden="1">"c84"</x:definedName>
    <x:definedName name="IQ_AVG_VOLUME" hidden="1">"c1346"</x:definedName>
    <x:definedName name="IQ_BANK_DEBT" hidden="1">"c2544"</x:definedName>
    <x:definedName name="IQ_BANK_DEBT_PCT" hidden="1">"c2545"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WEIGHT" hidden="1">"c87"</x:definedName>
    <x:definedName name="IQ_BENCHMARK_SECURITY" hidden="1">"c2154"</x:definedName>
    <x:definedName name="IQ_BENCHMARK_SPRD" hidden="1">"c2153"</x:definedName>
    <x:definedName name="IQ_BETA" hidden="1">"c2133"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ROK_COMISSION" hidden="1">"c98"</x:definedName>
    <x:definedName name="IQ_BROK_COMMISSION" hidden="1">"c3514"</x:definedName>
    <x:definedName name="IQ_BUILDINGS" hidden="1">"c99"</x:definedName>
    <x:definedName name="IQ_BUS_SEG_ASSETS" hidden="1">"c4067"</x:definedName>
    <x:definedName name="IQ_BUS_SEG_ASSETS_ABS" hidden="1">"c4089"</x:definedName>
    <x:definedName name="IQ_BUS_SEG_ASSETS_TOTAL" hidden="1">"c4112"</x:definedName>
    <x:definedName name="IQ_BUS_SEG_CAPEX" hidden="1">"c4079"</x:definedName>
    <x:definedName name="IQ_BUS_SEG_CAPEX_ABS" hidden="1">"c4101"</x:definedName>
    <x:definedName name="IQ_BUS_SEG_CAPEX_TOTAL" hidden="1">"c4116"</x:definedName>
    <x:definedName name="IQ_BUS_SEG_DA" hidden="1">"c4078"</x:definedName>
    <x:definedName name="IQ_BUS_SEG_DA_ABS" hidden="1">"c4100"</x:definedName>
    <x:definedName name="IQ_BUS_SEG_DA_TOTAL" hidden="1">"c4115"</x:definedName>
    <x:definedName name="IQ_BUS_SEG_EARNINGS_OP" hidden="1">"c4063"</x:definedName>
    <x:definedName name="IQ_BUS_SEG_EARNINGS_OP_ABS" hidden="1">"c4085"</x:definedName>
    <x:definedName name="IQ_BUS_SEG_EARNINGS_OP_TOTAL" hidden="1">"c4108"</x:definedName>
    <x:definedName name="IQ_BUS_SEG_EBT" hidden="1">"c4064"</x:definedName>
    <x:definedName name="IQ_BUS_SEG_EBT_ABS" hidden="1">"c4086"</x:definedName>
    <x:definedName name="IQ_BUS_SEG_EBT_TOTAL" hidden="1">"c4110"</x:definedName>
    <x:definedName name="IQ_BUS_SEG_GP" hidden="1">"c4066"</x:definedName>
    <x:definedName name="IQ_BUS_SEG_GP_ABS" hidden="1">"c4088"</x:definedName>
    <x:definedName name="IQ_BUS_SEG_GP_TOTAL" hidden="1">"c4109"</x:definedName>
    <x:definedName name="IQ_BUS_SEG_INC_TAX" hidden="1">"c4077"</x:definedName>
    <x:definedName name="IQ_BUS_SEG_INC_TAX_ABS" hidden="1">"c4099"</x:definedName>
    <x:definedName name="IQ_BUS_SEG_INC_TAX_TOTAL" hidden="1">"c4114"</x:definedName>
    <x:definedName name="IQ_BUS_SEG_INTEREST_EXP" hidden="1">"c4076"</x:definedName>
    <x:definedName name="IQ_BUS_SEG_INTEREST_EXP_ABS" hidden="1">"c4098"</x:definedName>
    <x:definedName name="IQ_BUS_SEG_INTEREST_EXP_TOTAL" hidden="1">"c4113"</x:definedName>
    <x:definedName name="IQ_BUS_SEG_NAME" hidden="1">"c5482"</x:definedName>
    <x:definedName name="IQ_BUS_SEG_NAME_ABS" hidden="1">"c5483"</x:definedName>
    <x:definedName name="IQ_BUS_SEG_NI" hidden="1">"c4065"</x:definedName>
    <x:definedName name="IQ_BUS_SEG_NI_ABS" hidden="1">"c4087"</x:definedName>
    <x:definedName name="IQ_BUS_SEG_NI_TOTAL" hidden="1">"c4111"</x:definedName>
    <x:definedName name="IQ_BUS_SEG_OPER_INC" hidden="1">"c4062"</x:definedName>
    <x:definedName name="IQ_BUS_SEG_OPER_INC_ABS" hidden="1">"c4084"</x:definedName>
    <x:definedName name="IQ_BUS_SEG_OPER_INC_TOTAL" hidden="1">"c4107"</x:definedName>
    <x:definedName name="IQ_BUS_SEG_REV" hidden="1">"c4068"</x:definedName>
    <x:definedName name="IQ_BUS_SEG_REV_ABS" hidden="1">"c4090"</x:definedName>
    <x:definedName name="IQ_BUS_SEG_REV_TOTAL" hidden="1">"c4106"</x:definedName>
    <x:definedName name="IQ_BUSINESS_DESCRIPTION" hidden="1">"c322"</x:definedName>
    <x:definedName name="IQ_BV_OVER_SHARES" hidden="1">"c1349"</x:definedName>
    <x:definedName name="IQ_BV_SHARE" hidden="1">"c100"</x:definedName>
    <x:definedName name="IQ_BV_SHARE_ACT_OR_EST" hidden="1">"c3587"</x:definedName>
    <x:definedName name="IQ_BV_SHARE_EST" hidden="1">"c3541"</x:definedName>
    <x:definedName name="IQ_BV_SHARE_HIGH_EST" hidden="1">"c3542"</x:definedName>
    <x:definedName name="IQ_BV_SHARE_LOW_EST" hidden="1">"c3543"</x:definedName>
    <x:definedName name="IQ_BV_SHARE_MEDIAN_EST" hidden="1">"c3544"</x:definedName>
    <x:definedName name="IQ_BV_SHARE_NUM_EST" hidden="1">"c3539"</x:definedName>
    <x:definedName name="IQ_BV_SHARE_STDDEV_EST" hidden="1">"c3540"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C_TYPE_BS" hidden="1">"c3086"</x:definedName>
    <x:definedName name="IQ_CALC_TYPE_CF" hidden="1">"c3085"</x:definedName>
    <x:definedName name="IQ_CALC_TYPE_IS" hidden="1">"c3084"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_LOSS_CF_1YR" hidden="1">"c3474"</x:definedName>
    <x:definedName name="IQ_CAP_LOSS_CF_2YR" hidden="1">"c3475"</x:definedName>
    <x:definedName name="IQ_CAP_LOSS_CF_3YR" hidden="1">"c3476"</x:definedName>
    <x:definedName name="IQ_CAP_LOSS_CF_4YR" hidden="1">"c3477"</x:definedName>
    <x:definedName name="IQ_CAP_LOSS_CF_5YR" hidden="1">"c3478"</x:definedName>
    <x:definedName name="IQ_CAP_LOSS_CF_AFTER_FIVE" hidden="1">"c3479"</x:definedName>
    <x:definedName name="IQ_CAP_LOSS_CF_MAX_YEAR" hidden="1">"c3482"</x:definedName>
    <x:definedName name="IQ_CAP_LOSS_CF_NO_EXP" hidden="1">"c3480"</x:definedName>
    <x:definedName name="IQ_CAP_LOSS_CF_TOTAL" hidden="1">"c3481"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ACT_OR_EST" hidden="1">"c3584"</x:definedName>
    <x:definedName name="IQ_CAPEX_BNK" hidden="1">"c110"</x:definedName>
    <x:definedName name="IQ_CAPEX_BR" hidden="1">"c111"</x:definedName>
    <x:definedName name="IQ_CAPEX_EST" hidden="1">"c3523"</x:definedName>
    <x:definedName name="IQ_CAPEX_FIN" hidden="1">"c112"</x:definedName>
    <x:definedName name="IQ_CAPEX_HIGH_EST" hidden="1">"c3524"</x:definedName>
    <x:definedName name="IQ_CAPEX_INS" hidden="1">"c113"</x:definedName>
    <x:definedName name="IQ_CAPEX_LOW_EST" hidden="1">"c3525"</x:definedName>
    <x:definedName name="IQ_CAPEX_MEDIAN_EST" hidden="1">"c3526"</x:definedName>
    <x:definedName name="IQ_CAPEX_NUM_EST" hidden="1">"c3521"</x:definedName>
    <x:definedName name="IQ_CAPEX_STDDEV_EST" hidden="1">"c3522"</x:definedName>
    <x:definedName name="IQ_CAPEX_UTI" hidden="1">"c114"</x:definedName>
    <x:definedName name="IQ_CAPITAL_LEASE" hidden="1">"c1350"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PITALIZED_INTEREST_BOP" hidden="1">"c3459"</x:definedName>
    <x:definedName name="IQ_CAPITALIZED_INTEREST_EOP" hidden="1">"c3464"</x:definedName>
    <x:definedName name="IQ_CAPITALIZED_INTEREST_EXP" hidden="1">"c3461"</x:definedName>
    <x:definedName name="IQ_CAPITALIZED_INTEREST_OTHER_ADJ" hidden="1">"c3463"</x:definedName>
    <x:definedName name="IQ_CAPITALIZED_INTEREST_WRITE_OFF" hidden="1">"c3462"</x:definedName>
    <x:definedName name="IQ_CASH" hidden="1">"c1458"</x:definedName>
    <x:definedName name="IQ_CASH_ACQUIRE_CF" hidden="1">"c1630"</x:definedName>
    <x:definedName name="IQ_CASH_CONVERSION" hidden="1">"c117"</x:definedName>
    <x:definedName name="IQ_CASH_DUE_BANKS" hidden="1">"c1351"</x:definedName>
    <x:definedName name="IQ_CASH_EQUIV" hidden="1">"c118"</x:definedName>
    <x:definedName name="IQ_CASH_FINAN" hidden="1">"c119"</x:definedName>
    <x:definedName name="IQ_CASH_FLOW_ACT_OR_EST" hidden="1">"c4154"</x:definedName>
    <x:definedName name="IQ_CASH_INTEREST" hidden="1">"c120"</x:definedName>
    <x:definedName name="IQ_CASH_INVEST" hidden="1">"c121"</x:definedName>
    <x:definedName name="IQ_CASH_OPER" hidden="1">"c122"</x:definedName>
    <x:definedName name="IQ_CASH_OPER_ACT_OR_EST" hidden="1">"c4164"</x:definedName>
    <x:definedName name="IQ_CASH_SEGREG" hidden="1">"c123"</x:definedName>
    <x:definedName name="IQ_CASH_SHARE" hidden="1">"c1911"</x:definedName>
    <x:definedName name="IQ_CASH_ST" hidden="1">"c1355"</x:definedName>
    <x:definedName name="IQ_CASH_ST_INVEST" hidden="1">"c124"</x:definedName>
    <x:definedName name="IQ_CASH_TAXES" hidden="1">"c125"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FPS_ACT_OR_EST" hidden="1">"c2217"</x:definedName>
    <x:definedName name="IQ_CFPS_EST" hidden="1">"c1667"</x:definedName>
    <x:definedName name="IQ_CFPS_HIGH_EST" hidden="1">"c1669"</x:definedName>
    <x:definedName name="IQ_CFPS_LOW_EST" hidden="1">"c1670"</x:definedName>
    <x:definedName name="IQ_CFPS_MEDIAN_EST" hidden="1">"c1668"</x:definedName>
    <x:definedName name="IQ_CFPS_NUM_EST" hidden="1">"c1671"</x:definedName>
    <x:definedName name="IQ_CFPS_STDDEV_EST" hidden="1">"c1672"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OPER_ASSETS" hidden="1">"c3592"</x:definedName>
    <x:definedName name="IQ_CHANGE_NET_WORKING_CAPITAL" hidden="1">"c1909"</x:definedName>
    <x:definedName name="IQ_CHANGE_OTHER_NET_OPER_ASSETS" hidden="1">"c3593"</x:definedName>
    <x:definedName name="IQ_CHANGE_OTHER_NET_OPER_ASSETS_BNK" hidden="1">"c3594"</x:definedName>
    <x:definedName name="IQ_CHANGE_OTHER_NET_OPER_ASSETS_BR" hidden="1">"c3595"</x:definedName>
    <x:definedName name="IQ_CHANGE_OTHER_NET_OPER_ASSETS_FIN" hidden="1">"c3596"</x:definedName>
    <x:definedName name="IQ_CHANGE_OTHER_NET_OPER_ASSETS_INS" hidden="1">"c3597"</x:definedName>
    <x:definedName name="IQ_CHANGE_OTHER_NET_OPER_ASSETS_REIT" hidden="1">"c3598"</x:definedName>
    <x:definedName name="IQ_CHANGE_OTHER_NET_OPER_ASSETS_UTI" hidden="1">"c3599"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"c1357"</x:definedName>
    <x:definedName name="IQ_CHARGE_OFFS_GROSS" hidden="1">"c162"</x:definedName>
    <x:definedName name="IQ_CHARGE_OFFS_NET" hidden="1">"c163"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OSEPRICE" hidden="1">"c174"</x:definedName>
    <x:definedName name="IQ_CLOSEPRICE_ADJ" hidden="1">"c2115"</x:definedName>
    <x:definedName name="IQ_COGS" hidden="1">"c175"</x:definedName>
    <x:definedName name="IQ_COMBINED_RATIO" hidden="1">"c176"</x:definedName>
    <x:definedName name="IQ_COMMERCIAL_DOM" hidden="1">"c177"</x:definedName>
    <x:definedName name="IQ_COMMERCIAL_FIRE_WRITTEN" hidden="1">"c178"</x:definedName>
    <x:definedName name="IQ_COMMERCIAL_MORT" hidden="1">"c179"</x:definedName>
    <x:definedName name="IQ_COMMISS_FEES" hidden="1">"c180"</x:definedName>
    <x:definedName name="IQ_COMMISSION_DEF" hidden="1">"c181"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"c1358"</x:definedName>
    <x:definedName name="IQ_COMP_BENEFITS" hidden="1">"c213"</x:definedName>
    <x:definedName name="IQ_COMPANY_ADDRESS" hidden="1">"c214"</x:definedName>
    <x:definedName name="IQ_COMPANY_ID" hidden="1">"c3513"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LOANS" hidden="1">"c222"</x:definedName>
    <x:definedName name="IQ_CONSUMER_LOANS" hidden="1">"c223"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E" hidden="1">"c2192"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ST_BORROWING" hidden="1">"c2936"</x:definedName>
    <x:definedName name="IQ_COST_BORROWINGS" hidden="1">"c225"</x:definedName>
    <x:definedName name="IQ_COST_REV" hidden="1">"c226"</x:definedName>
    <x:definedName name="IQ_COST_REVENUE" hidden="1">"c1359"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FEE_BNK" hidden="1">"c231"</x:definedName>
    <x:definedName name="IQ_CREDIT_CARD_FEE_FIN" hidden="1">"c1583"</x:definedName>
    <x:definedName name="IQ_CREDIT_LOSS_CF" hidden="1">"c232"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EBITDA" hidden="1">"c5528"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"c1362"</x:definedName>
    <x:definedName name="IQ_DAYS_PAYABLE_OUT" hidden="1">"c274"</x:definedName>
    <x:definedName name="IQ_DAYS_SALES_OUT" hidden="1">"c275"</x:definedName>
    <x:definedName name="IQ_DAYS_SALES_OUTST" hidden="1">"c1363"</x:definedName>
    <x:definedName name="IQ_DEBT_ADJ" hidden="1">"c2515"</x:definedName>
    <x:definedName name="IQ_DEBT_ADJ_PCT" hidden="1">"c2516"</x:definedName>
    <x:definedName name="IQ_DEBT_EQUIV_NET_PBO" hidden="1">"c2938"</x:definedName>
    <x:definedName name="IQ_DEBT_EQUIV_OPER_LEASE" hidden="1">"c2935"</x:definedName>
    <x:definedName name="IQ_DEF_ACQ_CST" hidden="1">"c1364"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"c1365"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"c1447"</x:definedName>
    <x:definedName name="IQ_DEFERRED_TAXES" hidden="1">"c1356"</x:definedName>
    <x:definedName name="IQ_DEMAND_DEP" hidden="1">"c320"</x:definedName>
    <x:definedName name="IQ_DEPOSITS_FIN" hidden="1">"c321"</x:definedName>
    <x:definedName name="IQ_DEPOSITS_INTEREST_SECURITIES" hidden="1">"c5509"</x:definedName>
    <x:definedName name="IQ_DEPRE_AMORT" hidden="1">"c1360"</x:definedName>
    <x:definedName name="IQ_DEPRE_AMORT_SUPPL" hidden="1">"c1593"</x:definedName>
    <x:definedName name="IQ_DEPRE_DEPLE" hidden="1">"c1361"</x:definedName>
    <x:definedName name="IQ_DEPRE_SUPP" hidden="1">"c1443"</x:definedName>
    <x:definedName name="IQ_DESCRIPTION_LONG" hidden="1">"c1520"</x:definedName>
    <x:definedName name="IQ_DEVELOP_LAND" hidden="1">"c323"</x:definedName>
    <x:definedName name="IQ_DIFF_LASTCLOSE_TARGET_PRICE" hidden="1">"c1854"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WEIGHT" hidden="1">"c326"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"c1367"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ACT_OR_EST" hidden="1">"c4278"</x:definedName>
    <x:definedName name="IQ_DISTRIBUTABLE_CASH_PAYOUT" hidden="1">"c3005"</x:definedName>
    <x:definedName name="IQ_DISTRIBUTABLE_CASH_SHARE" hidden="1">"c3003"</x:definedName>
    <x:definedName name="IQ_DISTRIBUTABLE_CASH_SHARE_ACT_OR_EST" hidden="1">"c4286"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"c1366"</x:definedName>
    <x:definedName name="IQ_DIVIDEND_YIELD" hidden="1">"c332"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PS_ACT_OR_EST" hidden="1">"c2218"</x:definedName>
    <x:definedName name="IQ_DPS_EST" hidden="1">"c1674"</x:definedName>
    <x:definedName name="IQ_DPS_HIGH_EST" hidden="1">"c1676"</x:definedName>
    <x:definedName name="IQ_DPS_LOW_EST" hidden="1">"c1677"</x:definedName>
    <x:definedName name="IQ_DPS_MEDIAN_EST" hidden="1">"c1675"</x:definedName>
    <x:definedName name="IQ_DPS_NUM_EST" hidden="1">"c1678"</x:definedName>
    <x:definedName name="IQ_DPS_STDDEV_EST" hidden="1">"c1679"</x:definedName>
    <x:definedName name="IQ_DURATION" hidden="1">"c2181"</x:definedName>
    <x:definedName name="IQ_EARNING_ASSET_YIELD" hidden="1">"c343"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ARNINGS_ANNOUNCE_DATE" hidden="1">"c1649"</x:definedName>
    <x:definedName name="IQ_EARNINGS_ANNOUNCE_DATE_REUT" hidden="1">"c5314"</x:definedName>
    <x:definedName name="IQ_EBIT" hidden="1">"c352"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ACT_OR_EST" hidden="1">"c2219"</x:definedName>
    <x:definedName name="IQ_EBIT_EQ_INC" hidden="1">"c3498"</x:definedName>
    <x:definedName name="IQ_EBIT_EQ_INC_EXCL_SBC" hidden="1">"c3502"</x:definedName>
    <x:definedName name="IQ_EBIT_EST" hidden="1">"c1681"</x:definedName>
    <x:definedName name="IQ_EBIT_EXCL_SBC" hidden="1">"c3082"</x:definedName>
    <x:definedName name="IQ_EBIT_GW_ACT_OR_EST" hidden="1">"c4306"</x:definedName>
    <x:definedName name="IQ_EBIT_HIGH_EST" hidden="1">"c1683"</x:definedName>
    <x:definedName name="IQ_EBIT_INT" hidden="1">"c360"</x:definedName>
    <x:definedName name="IQ_EBIT_LOW_EST" hidden="1">"c1684"</x:definedName>
    <x:definedName name="IQ_EBIT_MARGIN" hidden="1">"c359"</x:definedName>
    <x:definedName name="IQ_EBIT_MEDIAN_EST" hidden="1">"c1682"</x:definedName>
    <x:definedName name="IQ_EBIT_NUM_EST" hidden="1">"c1685"</x:definedName>
    <x:definedName name="IQ_EBIT_OVER_IE" hidden="1">"c1369"</x:definedName>
    <x:definedName name="IQ_EBIT_SBC_ACT_OR_EST" hidden="1">"c4316"</x:definedName>
    <x:definedName name="IQ_EBIT_SBC_GW_ACT_OR_EST" hidden="1">"c4320"</x:definedName>
    <x:definedName name="IQ_EBIT_STDDEV_EST" hidden="1">"c1686"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EQ_INC" hidden="1">"c3497"</x:definedName>
    <x:definedName name="IQ_EBITA_EQ_INC_EXCL_SBC" hidden="1">"c3501"</x:definedName>
    <x:definedName name="IQ_EBITA_EXCL_SBC" hidden="1">"c3080"</x:definedName>
    <x:definedName name="IQ_EBITA_MARGIN" hidden="1">"c1963"</x:definedName>
    <x:definedName name="IQ_EBITDA" hidden="1">"c361"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ACT_OR_EST" hidden="1">"c2215"</x:definedName>
    <x:definedName name="IQ_EBITDA_CAPEX_INT" hidden="1">"c368"</x:definedName>
    <x:definedName name="IQ_EBITDA_CAPEX_OVER_TOTAL_IE" hidden="1">"c1370"</x:definedName>
    <x:definedName name="IQ_EBITDA_EQ_INC" hidden="1">"c3496"</x:definedName>
    <x:definedName name="IQ_EBITDA_EQ_INC_EXCL_SBC" hidden="1">"c3500"</x:definedName>
    <x:definedName name="IQ_EBITDA_EST" hidden="1">"c369"</x:definedName>
    <x:definedName name="IQ_EBITDA_EST_REUT" hidden="1">"c3640"</x:definedName>
    <x:definedName name="IQ_EBITDA_EXCL_SBC" hidden="1">"c3081"</x:definedName>
    <x:definedName name="IQ_EBITDA_HIGH_EST" hidden="1">"c370"</x:definedName>
    <x:definedName name="IQ_EBITDA_HIGH_EST_REUT" hidden="1">"c3642"</x:definedName>
    <x:definedName name="IQ_EBITDA_INT" hidden="1">"c373"</x:definedName>
    <x:definedName name="IQ_EBITDA_LOW_EST" hidden="1">"c371"</x:definedName>
    <x:definedName name="IQ_EBITDA_LOW_EST_REUT" hidden="1">"c3643"</x:definedName>
    <x:definedName name="IQ_EBITDA_MARGIN" hidden="1">"c372"</x:definedName>
    <x:definedName name="IQ_EBITDA_MEDIAN_EST" hidden="1">"c1663"</x:definedName>
    <x:definedName name="IQ_EBITDA_MEDIAN_EST_REUT" hidden="1">"c3641"</x:definedName>
    <x:definedName name="IQ_EBITDA_NUM_EST" hidden="1">"c374"</x:definedName>
    <x:definedName name="IQ_EBITDA_NUM_EST_REUT" hidden="1">"c3644"</x:definedName>
    <x:definedName name="IQ_EBITDA_OVER_TOTAL_IE" hidden="1">"c1371"</x:definedName>
    <x:definedName name="IQ_EBITDA_SBC_ACT_OR_EST" hidden="1">"c4337"</x:definedName>
    <x:definedName name="IQ_EBITDA_STDDEV_EST" hidden="1">"c375"</x:definedName>
    <x:definedName name="IQ_EBITDA_STDDEV_EST_REUT" hidden="1">"c3645"</x:definedName>
    <x:definedName name="IQ_EBITDAR" hidden="1">"c2989"</x:definedName>
    <x:definedName name="IQ_EBITDAR_EQ_INC" hidden="1">"c3499"</x:definedName>
    <x:definedName name="IQ_EBITDAR_EQ_INC_EXCL_SBC" hidden="1">"c3503"</x:definedName>
    <x:definedName name="IQ_EBITDAR_EXCL_SBC" hidden="1">"c3083"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INCL_MARGIN" hidden="1">"c387"</x:definedName>
    <x:definedName name="IQ_EBT_INS" hidden="1">"c388"</x:definedName>
    <x:definedName name="IQ_EBT_REIT" hidden="1">"c389"</x:definedName>
    <x:definedName name="IQ_EBT_SBC_ACT_OR_EST" hidden="1">"c4350"</x:definedName>
    <x:definedName name="IQ_EBT_SBC_GW_ACT_OR_EST" hidden="1">"c4354"</x:definedName>
    <x:definedName name="IQ_EBT_UTI" hidden="1">"c390"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MPLOYEES" hidden="1">"c392"</x:definedName>
    <x:definedName name="IQ_ENTERPRISE_VALUE" hidden="1">"c1348"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ACT_OR_EST" hidden="1">"c2213"</x:definedName>
    <x:definedName name="IQ_EPS_EST" hidden="1">"c399"</x:definedName>
    <x:definedName name="IQ_EPS_EST_REUT" hidden="1">"c5453"</x:definedName>
    <x:definedName name="IQ_EPS_GW_ACT_OR_EST" hidden="1">"c2223"</x:definedName>
    <x:definedName name="IQ_EPS_GW_EST" hidden="1">"c1737"</x:definedName>
    <x:definedName name="IQ_EPS_GW_HIGH_EST" hidden="1">"c1739"</x:definedName>
    <x:definedName name="IQ_EPS_GW_LOW_EST" hidden="1">"c1740"</x:definedName>
    <x:definedName name="IQ_EPS_GW_MEDIAN_EST" hidden="1">"c1738"</x:definedName>
    <x:definedName name="IQ_EPS_GW_NUM_EST" hidden="1">"c1741"</x:definedName>
    <x:definedName name="IQ_EPS_GW_STDDEV_EST" hidden="1">"c1742"</x:definedName>
    <x:definedName name="IQ_EPS_HIGH_EST" hidden="1">"c400"</x:definedName>
    <x:definedName name="IQ_EPS_HIGH_EST_REUT" hidden="1">"c5454"</x:definedName>
    <x:definedName name="IQ_EPS_LOW_EST" hidden="1">"c401"</x:definedName>
    <x:definedName name="IQ_EPS_LOW_EST_REUT" hidden="1">"c5455"</x:definedName>
    <x:definedName name="IQ_EPS_MEDIAN_EST" hidden="1">"c1661"</x:definedName>
    <x:definedName name="IQ_EPS_MEDIAN_EST_REUT" hidden="1">"c5456"</x:definedName>
    <x:definedName name="IQ_EPS_NORM" hidden="1">"c1902"</x:definedName>
    <x:definedName name="IQ_EPS_NORM_EST" hidden="1">"c2226"</x:definedName>
    <x:definedName name="IQ_EPS_NORM_HIGH_EST" hidden="1">"c2228"</x:definedName>
    <x:definedName name="IQ_EPS_NORM_LOW_EST" hidden="1">"c2229"</x:definedName>
    <x:definedName name="IQ_EPS_NORM_MEDIAN_EST" hidden="1">"c2227"</x:definedName>
    <x:definedName name="IQ_EPS_NORM_NUM_EST" hidden="1">"c2230"</x:definedName>
    <x:definedName name="IQ_EPS_NORM_STDDEV_EST" hidden="1">"c2231"</x:definedName>
    <x:definedName name="IQ_EPS_NUM_EST" hidden="1">"c402"</x:definedName>
    <x:definedName name="IQ_EPS_NUM_EST_REUT" hidden="1">"c5451"</x:definedName>
    <x:definedName name="IQ_EPS_REPORT_ACT_OR_EST" hidden="1">"c2224"</x:definedName>
    <x:definedName name="IQ_EPS_REPORTED_EST" hidden="1">"c1744"</x:definedName>
    <x:definedName name="IQ_EPS_REPORTED_HIGH_EST" hidden="1">"c1746"</x:definedName>
    <x:definedName name="IQ_EPS_REPORTED_LOW_EST" hidden="1">"c1747"</x:definedName>
    <x:definedName name="IQ_EPS_REPORTED_MEDIAN_EST" hidden="1">"c1745"</x:definedName>
    <x:definedName name="IQ_EPS_REPORTED_NUM_EST" hidden="1">"c1748"</x:definedName>
    <x:definedName name="IQ_EPS_REPORTED_STDDEV_EST" hidden="1">"c1749"</x:definedName>
    <x:definedName name="IQ_EPS_SBC_ACT_OR_EST" hidden="1">"c4376"</x:definedName>
    <x:definedName name="IQ_EPS_SBC_GW_ACT_OR_EST" hidden="1">"c4380"</x:definedName>
    <x:definedName name="IQ_EPS_STDDEV_EST" hidden="1">"c403"</x:definedName>
    <x:definedName name="IQ_EPS_STDDEV_EST_REUT" hidden="1">"c5452"</x:definedName>
    <x:definedName name="IQ_EQUITY_AFFIL" hidden="1">"c1451"</x:definedName>
    <x:definedName name="IQ_EQUITY_METHOD" hidden="1">"c404"</x:definedName>
    <x:definedName name="IQ_EQV_OVER_BV" hidden="1">"c1596"</x:definedName>
    <x:definedName name="IQ_EQV_OVER_LTM_PRETAX_INC" hidden="1">"c1390"</x:definedName>
    <x:definedName name="IQ_ESOP_DEBT" hidden="1">"c1597"</x:definedName>
    <x:definedName name="IQ_EST_ACT_BV_SHARE" hidden="1">"c3549"</x:definedName>
    <x:definedName name="IQ_EST_ACT_CAPEX" hidden="1">"c3546"</x:definedName>
    <x:definedName name="IQ_EST_ACT_CFPS" hidden="1">"c1673"</x:definedName>
    <x:definedName name="IQ_EST_ACT_DPS" hidden="1">"c1680"</x:definedName>
    <x:definedName name="IQ_EST_ACT_EBIT" hidden="1">"c1687"</x:definedName>
    <x:definedName name="IQ_EST_ACT_EBITDA" hidden="1">"c1664"</x:definedName>
    <x:definedName name="IQ_EST_ACT_EPS" hidden="1">"c1648"</x:definedName>
    <x:definedName name="IQ_EST_ACT_EPS_GW" hidden="1">"c1743"</x:definedName>
    <x:definedName name="IQ_EST_ACT_EPS_NORM" hidden="1">"c2232"</x:definedName>
    <x:definedName name="IQ_EST_ACT_EPS_REPORTED" hidden="1">"c1750"</x:definedName>
    <x:definedName name="IQ_EST_ACT_FFO" hidden="1">"c1666"</x:definedName>
    <x:definedName name="IQ_EST_ACT_NAV" hidden="1">"c1757"</x:definedName>
    <x:definedName name="IQ_EST_ACT_NET_DEBT" hidden="1">"c3545"</x:definedName>
    <x:definedName name="IQ_EST_ACT_NI" hidden="1">"c1722"</x:definedName>
    <x:definedName name="IQ_EST_ACT_NI_GW" hidden="1">"c1729"</x:definedName>
    <x:definedName name="IQ_EST_ACT_NI_REPORTED" hidden="1">"c1736"</x:definedName>
    <x:definedName name="IQ_EST_ACT_OPER_INC" hidden="1">"c1694"</x:definedName>
    <x:definedName name="IQ_EST_ACT_PRETAX_GW_INC" hidden="1">"c1708"</x:definedName>
    <x:definedName name="IQ_EST_ACT_PRETAX_INC" hidden="1">"c1701"</x:definedName>
    <x:definedName name="IQ_EST_ACT_PRETAX_REPORT_INC" hidden="1">"c1715"</x:definedName>
    <x:definedName name="IQ_EST_ACT_RETURN_ASSETS" hidden="1">"c3547"</x:definedName>
    <x:definedName name="IQ_EST_ACT_RETURN_EQUITY" hidden="1">"c3548"</x:definedName>
    <x:definedName name="IQ_EST_ACT_REV" hidden="1">"c2113"</x:definedName>
    <x:definedName name="IQ_EST_CAPEX_GROWTH_1YR" hidden="1">"c3588"</x:definedName>
    <x:definedName name="IQ_EST_CAPEX_GROWTH_2YR" hidden="1">"c3589"</x:definedName>
    <x:definedName name="IQ_EST_CAPEX_GROWTH_Q_1YR" hidden="1">"c3590"</x:definedName>
    <x:definedName name="IQ_EST_CAPEX_SEQ_GROWTH_Q" hidden="1">"c3591"</x:definedName>
    <x:definedName name="IQ_EST_CFPS_DIFF" hidden="1">"c1871"</x:definedName>
    <x:definedName name="IQ_EST_CFPS_GROWTH_1YR" hidden="1">"c1774"</x:definedName>
    <x:definedName name="IQ_EST_CFPS_GROWTH_2YR" hidden="1">"c1775"</x:definedName>
    <x:definedName name="IQ_EST_CFPS_GROWTH_Q_1YR" hidden="1">"c1776"</x:definedName>
    <x:definedName name="IQ_EST_CFPS_SEQ_GROWTH_Q" hidden="1">"c1777"</x:definedName>
    <x:definedName name="IQ_EST_CFPS_SURPRISE_PERCENT" hidden="1">"c1872"</x:definedName>
    <x:definedName name="IQ_EST_CURRENCY" hidden="1">"c2140"</x:definedName>
    <x:definedName name="IQ_EST_CURRENCY_REUT" hidden="1">"c5437"</x:definedName>
    <x:definedName name="IQ_EST_DATE" hidden="1">"c1634"</x:definedName>
    <x:definedName name="IQ_EST_DATE_REUT" hidden="1">"c5438"</x:definedName>
    <x:definedName name="IQ_EST_DPS_DIFF" hidden="1">"c1873"</x:definedName>
    <x:definedName name="IQ_EST_DPS_GROWTH_1YR" hidden="1">"c1778"</x:definedName>
    <x:definedName name="IQ_EST_DPS_GROWTH_2YR" hidden="1">"c1779"</x:definedName>
    <x:definedName name="IQ_EST_DPS_GROWTH_Q_1YR" hidden="1">"c1780"</x:definedName>
    <x:definedName name="IQ_EST_DPS_SEQ_GROWTH_Q" hidden="1">"c1781"</x:definedName>
    <x:definedName name="IQ_EST_DPS_SURPRISE_PERCENT" hidden="1">"c1874"</x:definedName>
    <x:definedName name="IQ_EST_EBIT_DIFF" hidden="1">"c1875"</x:definedName>
    <x:definedName name="IQ_EST_EBIT_SURPRISE_PERCENT" hidden="1">"c1876"</x:definedName>
    <x:definedName name="IQ_EST_EBITDA_DIFF" hidden="1">"c1867"</x:definedName>
    <x:definedName name="IQ_EST_EBITDA_GROWTH_1YR" hidden="1">"c1766"</x:definedName>
    <x:definedName name="IQ_EST_EBITDA_GROWTH_2YR" hidden="1">"c1767"</x:definedName>
    <x:definedName name="IQ_EST_EBITDA_GROWTH_Q_1YR" hidden="1">"c1768"</x:definedName>
    <x:definedName name="IQ_EST_EBITDA_SEQ_GROWTH_Q" hidden="1">"c1769"</x:definedName>
    <x:definedName name="IQ_EST_EBITDA_SURPRISE_PERCENT" hidden="1">"c1868"</x:definedName>
    <x:definedName name="IQ_EST_EPS_DIFF" hidden="1">"c1864"</x:definedName>
    <x:definedName name="IQ_EST_EPS_GROWTH_1YR" hidden="1">"c1636"</x:definedName>
    <x:definedName name="IQ_EST_EPS_GROWTH_1YR_REUT" hidden="1">"c3646"</x:definedName>
    <x:definedName name="IQ_EST_EPS_GROWTH_2YR" hidden="1">"c1637"</x:definedName>
    <x:definedName name="IQ_EST_EPS_GROWTH_5YR" hidden="1">"c1655"</x:definedName>
    <x:definedName name="IQ_EST_EPS_GROWTH_5YR_HIGH" hidden="1">"c1657"</x:definedName>
    <x:definedName name="IQ_EST_EPS_GROWTH_5YR_LOW" hidden="1">"c1658"</x:definedName>
    <x:definedName name="IQ_EST_EPS_GROWTH_5YR_MEDIAN" hidden="1">"c1656"</x:definedName>
    <x:definedName name="IQ_EST_EPS_GROWTH_5YR_NUM" hidden="1">"c1659"</x:definedName>
    <x:definedName name="IQ_EST_EPS_GROWTH_5YR_REUT" hidden="1">"c3633"</x:definedName>
    <x:definedName name="IQ_EST_EPS_GROWTH_5YR_STDDEV" hidden="1">"c1660"</x:definedName>
    <x:definedName name="IQ_EST_EPS_GROWTH_Q_1YR" hidden="1">"c1641"</x:definedName>
    <x:definedName name="IQ_EST_EPS_GROWTH_Q_1YR_REUT" hidden="1">"c5410"</x:definedName>
    <x:definedName name="IQ_EST_EPS_GW_DIFF" hidden="1">"c1891"</x:definedName>
    <x:definedName name="IQ_EST_EPS_GW_SURPRISE_PERCENT" hidden="1">"c1892"</x:definedName>
    <x:definedName name="IQ_EST_EPS_NORM_DIFF" hidden="1">"c2247"</x:definedName>
    <x:definedName name="IQ_EST_EPS_NORM_SURPRISE_PERCENT" hidden="1">"c2248"</x:definedName>
    <x:definedName name="IQ_EST_EPS_REPORT_DIFF" hidden="1">"c1893"</x:definedName>
    <x:definedName name="IQ_EST_EPS_REPORT_SURPRISE_PERCENT" hidden="1">"c1894"</x:definedName>
    <x:definedName name="IQ_EST_EPS_SEQ_GROWTH_Q" hidden="1">"c1764"</x:definedName>
    <x:definedName name="IQ_EST_EPS_SURPRISE_PERCENT" hidden="1">"c1635"</x:definedName>
    <x:definedName name="IQ_EST_FFO_DIFF" hidden="1">"c1869"</x:definedName>
    <x:definedName name="IQ_EST_FFO_GROWTH_1YR" hidden="1">"c1770"</x:definedName>
    <x:definedName name="IQ_EST_FFO_GROWTH_2YR" hidden="1">"c1771"</x:definedName>
    <x:definedName name="IQ_EST_FFO_GROWTH_Q_1YR" hidden="1">"c1772"</x:definedName>
    <x:definedName name="IQ_EST_FFO_SEQ_GROWTH_Q" hidden="1">"c1773"</x:definedName>
    <x:definedName name="IQ_EST_FFO_SURPRISE_PERCENT" hidden="1">"c1870"</x:definedName>
    <x:definedName name="IQ_EST_NAV_DIFF" hidden="1">"c1895"</x:definedName>
    <x:definedName name="IQ_EST_NAV_SURPRISE_PERCENT" hidden="1">"c1896"</x:definedName>
    <x:definedName name="IQ_EST_NI_DIFF" hidden="1">"c1885"</x:definedName>
    <x:definedName name="IQ_EST_NI_GW_DIFF" hidden="1">"c1887"</x:definedName>
    <x:definedName name="IQ_EST_NI_GW_SURPRISE_PERCENT" hidden="1">"c1888"</x:definedName>
    <x:definedName name="IQ_EST_NI_REPORT_DIFF" hidden="1">"c1889"</x:definedName>
    <x:definedName name="IQ_EST_NI_REPORT_SURPRISE_PERCENT" hidden="1">"c1890"</x:definedName>
    <x:definedName name="IQ_EST_NI_SURPRISE_PERCENT" hidden="1">"c1886"</x:definedName>
    <x:definedName name="IQ_EST_NUM_BUY" hidden="1">"c1759"</x:definedName>
    <x:definedName name="IQ_EST_NUM_HOLD" hidden="1">"c1761"</x:definedName>
    <x:definedName name="IQ_EST_NUM_NO_OPINION" hidden="1">"c1758"</x:definedName>
    <x:definedName name="IQ_EST_NUM_OUTPERFORM" hidden="1">"c1760"</x:definedName>
    <x:definedName name="IQ_EST_NUM_SELL" hidden="1">"c1763"</x:definedName>
    <x:definedName name="IQ_EST_NUM_UNDERPERFORM" hidden="1">"c1762"</x:definedName>
    <x:definedName name="IQ_EST_OPER_INC_DIFF" hidden="1">"c1877"</x:definedName>
    <x:definedName name="IQ_EST_OPER_INC_SURPRISE_PERCENT" hidden="1">"c1878"</x:definedName>
    <x:definedName name="IQ_EST_PRE_TAX_DIFF" hidden="1">"c1879"</x:definedName>
    <x:definedName name="IQ_EST_PRE_TAX_GW_DIFF" hidden="1">"c1881"</x:definedName>
    <x:definedName name="IQ_EST_PRE_TAX_GW_SURPRISE_PERCENT" hidden="1">"c1882"</x:definedName>
    <x:definedName name="IQ_EST_PRE_TAX_REPORT_DIFF" hidden="1">"c1883"</x:definedName>
    <x:definedName name="IQ_EST_PRE_TAX_REPORT_SURPRISE_PERCENT" hidden="1">"c1884"</x:definedName>
    <x:definedName name="IQ_EST_PRE_TAX_SURPRISE_PERCENT" hidden="1">"c1880"</x:definedName>
    <x:definedName name="IQ_EST_REV_DIFF" hidden="1">"c1865"</x:definedName>
    <x:definedName name="IQ_EST_REV_GROWTH_1YR" hidden="1">"c1638"</x:definedName>
    <x:definedName name="IQ_EST_REV_GROWTH_2YR" hidden="1">"c1639"</x:definedName>
    <x:definedName name="IQ_EST_REV_GROWTH_Q_1YR" hidden="1">"c1640"</x:definedName>
    <x:definedName name="IQ_EST_REV_SEQ_GROWTH_Q" hidden="1">"c1765"</x:definedName>
    <x:definedName name="IQ_EST_REV_SURPRISE_PERCENT" hidden="1">"c1866"</x:definedName>
    <x:definedName name="IQ_EST_VENDOR" hidden="1">"c5564"</x:definedName>
    <x:definedName name="IQ_EV_OVER_EMPLOYEE" hidden="1">"c1428"</x:definedName>
    <x:definedName name="IQ_EV_OVER_LTM_EBIT" hidden="1">"c1426"</x:definedName>
    <x:definedName name="IQ_EV_OVER_LTM_EBITDA" hidden="1">"c1427"</x:definedName>
    <x:definedName name="IQ_EV_OVER_LTM_REVENUE" hidden="1">"c1429"</x:definedName>
    <x:definedName name="IQ_EVAL_DATE" hidden="1">"c2180"</x:definedName>
    <x:definedName name="IQ_EXCHANGE" hidden="1">"c405"</x:definedName>
    <x:definedName name="IQ_EXCISE_TAXES_EXCL_SALES" hidden="1">"c5515"</x:definedName>
    <x:definedName name="IQ_EXCISE_TAXES_INCL_SALES" hidden="1">"c5514"</x:definedName>
    <x:definedName name="IQ_EXERCISE_PRICE" hidden="1">"c1897"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"c1459"</x:definedName>
    <x:definedName name="IQ_FDIC" hidden="1">"c417"</x:definedName>
    <x:definedName name="IQ_FEDFUNDS_SOLD" hidden="1">"c2256"</x:definedName>
    <x:definedName name="IQ_FFO" hidden="1">"c1574"</x:definedName>
    <x:definedName name="IQ_FFO_ACT_OR_EST" hidden="1">"c2216"</x:definedName>
    <x:definedName name="IQ_FFO_ADJ_ACT_OR_EST" hidden="1">"c4435"</x:definedName>
    <x:definedName name="IQ_FFO_EST" hidden="1">"c418"</x:definedName>
    <x:definedName name="IQ_FFO_HIGH_EST" hidden="1">"c419"</x:definedName>
    <x:definedName name="IQ_FFO_LOW_EST" hidden="1">"c420"</x:definedName>
    <x:definedName name="IQ_FFO_MEDIAN_EST" hidden="1">"c1665"</x:definedName>
    <x:definedName name="IQ_FFO_NUM_EST" hidden="1">"c421"</x:definedName>
    <x:definedName name="IQ_FFO_PAYOUT_RATIO" hidden="1">"c3492"</x:definedName>
    <x:definedName name="IQ_FFO_SHARE_ACT_OR_EST" hidden="1">"c4446"</x:definedName>
    <x:definedName name="IQ_FFO_STDDEV_EST" hidden="1">"c422"</x:definedName>
    <x:definedName name="IQ_FHLB_DEBT" hidden="1">"c423"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CURRENT_PORT_DEBT_TOTAL" hidden="1">"c5524"</x:definedName>
    <x:definedName name="IQ_FIN_DIV_CURRENT_PORT_LEASES_TOTAL" hidden="1">"c5523"</x:definedName>
    <x:definedName name="IQ_FIN_DIV_DEBT_CURRENT" hidden="1">"c429"</x:definedName>
    <x:definedName name="IQ_FIN_DIV_DEBT_LT" hidden="1">"c430"</x:definedName>
    <x:definedName name="IQ_FIN_DIV_DEBT_LT_TOTAL" hidden="1">"c5526"</x:definedName>
    <x:definedName name="IQ_FIN_DIV_EXP" hidden="1">"c431"</x:definedName>
    <x:definedName name="IQ_FIN_DIV_INT_EXP" hidden="1">"c432"</x:definedName>
    <x:definedName name="IQ_FIN_DIV_LEASES_LT_TOTAL" hidden="1">"c5525"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NOTES_PAY_TOTAL" hidden="1">"c5522"</x:definedName>
    <x:definedName name="IQ_FIN_DIV_REV" hidden="1">"c437"</x:definedName>
    <x:definedName name="IQ_FIN_DIV_ST_DEBT_TOTAL" hidden="1">"c5527"</x:definedName>
    <x:definedName name="IQ_FINANCING_CASH" hidden="1">"c1405"</x:definedName>
    <x:definedName name="IQ_FINANCING_CASH_SUPPL" hidden="1">"c1406"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OREIGN_DEP_IB" hidden="1">"c446"</x:definedName>
    <x:definedName name="IQ_FOREIGN_DEP_NON_IB" hidden="1">"c447"</x:definedName>
    <x:definedName name="IQ_FOREIGN_EXCHANGE" hidden="1">"c1376"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X" hidden="1">"c451"</x:definedName>
    <x:definedName name="IQ_FY" hidden="1">1000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"c1377"</x:definedName>
    <x:definedName name="IQ_GEO_SEG_ASSETS" hidden="1">"c4069"</x:definedName>
    <x:definedName name="IQ_GEO_SEG_ASSETS_ABS" hidden="1">"c4091"</x:definedName>
    <x:definedName name="IQ_GEO_SEG_ASSETS_TOTAL" hidden="1">"c4123"</x:definedName>
    <x:definedName name="IQ_GEO_SEG_CAPEX" hidden="1">"c4083"</x:definedName>
    <x:definedName name="IQ_GEO_SEG_CAPEX_ABS" hidden="1">"c4105"</x:definedName>
    <x:definedName name="IQ_GEO_SEG_CAPEX_TOTAL" hidden="1">"c4127"</x:definedName>
    <x:definedName name="IQ_GEO_SEG_DA" hidden="1">"c4082"</x:definedName>
    <x:definedName name="IQ_GEO_SEG_DA_ABS" hidden="1">"c4104"</x:definedName>
    <x:definedName name="IQ_GEO_SEG_DA_TOTAL" hidden="1">"c4126"</x:definedName>
    <x:definedName name="IQ_GEO_SEG_EARNINGS_OP" hidden="1">"c4073"</x:definedName>
    <x:definedName name="IQ_GEO_SEG_EARNINGS_OP_ABS" hidden="1">"c4095"</x:definedName>
    <x:definedName name="IQ_GEO_SEG_EARNINGS_OP_TOTAL" hidden="1">"c4119"</x:definedName>
    <x:definedName name="IQ_GEO_SEG_EBT" hidden="1">"c4072"</x:definedName>
    <x:definedName name="IQ_GEO_SEG_EBT_ABS" hidden="1">"c4094"</x:definedName>
    <x:definedName name="IQ_GEO_SEG_EBT_TOTAL" hidden="1">"c4121"</x:definedName>
    <x:definedName name="IQ_GEO_SEG_GP" hidden="1">"c4070"</x:definedName>
    <x:definedName name="IQ_GEO_SEG_GP_ABS" hidden="1">"c4092"</x:definedName>
    <x:definedName name="IQ_GEO_SEG_GP_TOTAL" hidden="1">"c4120"</x:definedName>
    <x:definedName name="IQ_GEO_SEG_INC_TAX" hidden="1">"c4081"</x:definedName>
    <x:definedName name="IQ_GEO_SEG_INC_TAX_ABS" hidden="1">"c4103"</x:definedName>
    <x:definedName name="IQ_GEO_SEG_INC_TAX_TOTAL" hidden="1">"c4125"</x:definedName>
    <x:definedName name="IQ_GEO_SEG_INTEREST_EXP" hidden="1">"c4080"</x:definedName>
    <x:definedName name="IQ_GEO_SEG_INTEREST_EXP_ABS" hidden="1">"c4102"</x:definedName>
    <x:definedName name="IQ_GEO_SEG_INTEREST_EXP_TOTAL" hidden="1">"c4124"</x:definedName>
    <x:definedName name="IQ_GEO_SEG_NAME" hidden="1">"c5484"</x:definedName>
    <x:definedName name="IQ_GEO_SEG_NAME_ABS" hidden="1">"c5485"</x:definedName>
    <x:definedName name="IQ_GEO_SEG_NI" hidden="1">"c4071"</x:definedName>
    <x:definedName name="IQ_GEO_SEG_NI_ABS" hidden="1">"c4093"</x:definedName>
    <x:definedName name="IQ_GEO_SEG_NI_TOTAL" hidden="1">"c4122"</x:definedName>
    <x:definedName name="IQ_GEO_SEG_OPER_INC" hidden="1">"c4075"</x:definedName>
    <x:definedName name="IQ_GEO_SEG_OPER_INC_ABS" hidden="1">"c4097"</x:definedName>
    <x:definedName name="IQ_GEO_SEG_OPER_INC_TOTAL" hidden="1">"c4118"</x:definedName>
    <x:definedName name="IQ_GEO_SEG_REV" hidden="1">"c4074"</x:definedName>
    <x:definedName name="IQ_GEO_SEG_REV_ABS" hidden="1">"c4096"</x:definedName>
    <x:definedName name="IQ_GEO_SEG_REV_TOTAL" hidden="1">"c4117"</x:definedName>
    <x:definedName name="IQ_GOODWILL_NET" hidden="1">"c1380"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"c1446"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PC_EARNED" hidden="1">"c2747"</x:definedName>
    <x:definedName name="IQ_GROSS_PROFIT" hidden="1">"c1378"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IGH_TARGET_PRICE" hidden="1">"c1651"</x:definedName>
    <x:definedName name="IQ_HIGH_TARGET_PRICE_REUT" hidden="1">"c5317"</x:definedName>
    <x:definedName name="IQ_HIGHPRICE" hidden="1">"c545"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"c1395"</x:definedName>
    <x:definedName name="IQ_INC_AVAIL_INCL" hidden="1">"c1396"</x:definedName>
    <x:definedName name="IQ_INC_BEFORE_TAX" hidden="1">"c1375"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DUSTRY" hidden="1">"c3601"</x:definedName>
    <x:definedName name="IQ_INDUSTRY_GROUP" hidden="1">"c3602"</x:definedName>
    <x:definedName name="IQ_INDUSTRY_SECTOR" hidden="1">"c3603"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UR_RECEIV" hidden="1">"c1600"</x:definedName>
    <x:definedName name="IQ_INT_BORROW" hidden="1">"c583"</x:definedName>
    <x:definedName name="IQ_INT_DEPOSITS" hidden="1">"c584"</x:definedName>
    <x:definedName name="IQ_INT_DIV_INC" hidden="1">"c585"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UTI" hidden="1">"c592"</x:definedName>
    <x:definedName name="IQ_INT_INC_BR" hidden="1">"c593"</x:definedName>
    <x:definedName name="IQ_INT_INC_FIN" hidden="1">"c594"</x:definedName>
    <x:definedName name="IQ_INT_INC_INVEST" hidden="1">"c595"</x:definedName>
    <x:definedName name="IQ_INT_INC_LOANS" hidden="1">"c596"</x:definedName>
    <x:definedName name="IQ_INT_INC_REIT" hidden="1">"c597"</x:definedName>
    <x:definedName name="IQ_INT_INC_TOTAL" hidden="1">"c598"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ANGIBLES_NET" hidden="1">"c1407"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"c1383"</x:definedName>
    <x:definedName name="IQ_INTEREST_EXP_SUPPL" hidden="1">"c1460"</x:definedName>
    <x:definedName name="IQ_INTEREST_INC" hidden="1">"c1393"</x:definedName>
    <x:definedName name="IQ_INTEREST_INC_NON" hidden="1">"c1384"</x:definedName>
    <x:definedName name="IQ_INTEREST_INVEST_INC" hidden="1">"c619"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GOV_SECURITY" hidden="1">"c5510"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MUNI_SECURITY" hidden="1">"c5512"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NVEST_SECURITY_SUPPL" hidden="1">"c5511"</x:definedName>
    <x:definedName name="IQ_IPRD" hidden="1">"c644"</x:definedName>
    <x:definedName name="IQ_ISS_DEBT_NET" hidden="1">"c1391"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K" hidden="1">1000</x:definedName>
    <x:definedName name="IQ_LATESTQ" hidden="1">500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OR" hidden="1">"c655"</x:definedName>
    <x:definedName name="IQ_LL" hidden="1">"c656"</x:definedName>
    <x:definedName name="IQ_LOAN_LEASE_RECEIV" hidden="1">"c657"</x:definedName>
    <x:definedName name="IQ_LOAN_LOSS" hidden="1">"c1386"</x:definedName>
    <x:definedName name="IQ_LOAN_SERVICE_REV" hidden="1">"c658"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FOR_SALE" hidden="1">"c666"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NG_TERM_DEBT" hidden="1">"c1387"</x:definedName>
    <x:definedName name="IQ_LONG_TERM_DEBT_OVER_TOTAL_CAP" hidden="1">"c1388"</x:definedName>
    <x:definedName name="IQ_LONG_TERM_GROWTH" hidden="1">"c671"</x:definedName>
    <x:definedName name="IQ_LONG_TERM_INV" hidden="1">"c1389"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_TARGET_PRICE_REUT" hidden="1">"c5318"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REVENUE_OVER_EMPLOYEES" hidden="1">"c1437"</x:definedName>
    <x:definedName name="IQ_MACHINERY" hidden="1">"c711"</x:definedName>
    <x:definedName name="IQ_MAINT_CAPEX" hidden="1">"c2947"</x:definedName>
    <x:definedName name="IQ_MAINT_CAPEX_ACT_OR_EST" hidden="1">"c4458"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DIAN_TARGET_PRICE_REUT" hidden="1">"c5316"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KTCAP_TOTAL_REV_FWD_REUT" hidden="1">"c4048"</x:definedName>
    <x:definedName name="IQ_MM_ACCOUNT" hidden="1">"c743"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SERV_RIGHTS" hidden="1">"c2242"</x:definedName>
    <x:definedName name="IQ_NAV_ACT_OR_EST" hidden="1">"c2225"</x:definedName>
    <x:definedName name="IQ_NAV_EST" hidden="1">"c1751"</x:definedName>
    <x:definedName name="IQ_NAV_HIGH_EST" hidden="1">"c1753"</x:definedName>
    <x:definedName name="IQ_NAV_LOW_EST" hidden="1">"c1754"</x:definedName>
    <x:definedName name="IQ_NAV_MEDIAN_EST" hidden="1">"c1752"</x:definedName>
    <x:definedName name="IQ_NAV_NUM_EST" hidden="1">"c1755"</x:definedName>
    <x:definedName name="IQ_NAV_STDDEV_EST" hidden="1">"c1756"</x:definedName>
    <x:definedName name="IQ_NET_CHANGE" hidden="1">"c749"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ACT_OR_EST" hidden="1">"c3583"</x:definedName>
    <x:definedName name="IQ_NET_DEBT_EBITDA" hidden="1">"c750"</x:definedName>
    <x:definedName name="IQ_NET_DEBT_EBITDA_CAPEX" hidden="1">"c2949"</x:definedName>
    <x:definedName name="IQ_NET_DEBT_EST" hidden="1">"c3517"</x:definedName>
    <x:definedName name="IQ_NET_DEBT_HIGH_EST" hidden="1">"c3518"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DEBT_LOW_EST" hidden="1">"c3519"</x:definedName>
    <x:definedName name="IQ_NET_DEBT_MEDIAN_EST" hidden="1">"c3520"</x:definedName>
    <x:definedName name="IQ_NET_DEBT_NUM_EST" hidden="1">"c3515"</x:definedName>
    <x:definedName name="IQ_NET_DEBT_STDDEV_EST" hidden="1">"c3516"</x:definedName>
    <x:definedName name="IQ_NET_EARNED" hidden="1">"c2734"</x:definedName>
    <x:definedName name="IQ_NET_INC" hidden="1">"c1394"</x:definedName>
    <x:definedName name="IQ_NET_INC_BEFORE" hidden="1">"c1368"</x:definedName>
    <x:definedName name="IQ_NET_INC_CF" hidden="1">"c1397"</x:definedName>
    <x:definedName name="IQ_NET_INC_MARGIN" hidden="1">"c1398"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"c1392"</x:definedName>
    <x:definedName name="IQ_NET_INTEREST_INC_AFTER_LL" hidden="1">"c1604"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TOTAL_DEPOSITS" hidden="1">"c779"</x:definedName>
    <x:definedName name="IQ_NET_RENTAL_EXP_FN" hidden="1">"c780"</x:definedName>
    <x:definedName name="IQ_NET_TO_GROSS_EARNED" hidden="1">"c2750"</x:definedName>
    <x:definedName name="IQ_NET_TO_GROSS_WRITTEN" hidden="1">"c2729"</x:definedName>
    <x:definedName name="IQ_NET_WORKING_CAP" hidden="1">"c3493"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CT_OR_EST" hidden="1">"c2222"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EST" hidden="1">"c1716"</x:definedName>
    <x:definedName name="IQ_NI_GW_EST" hidden="1">"c1723"</x:definedName>
    <x:definedName name="IQ_NI_GW_HIGH_EST" hidden="1">"c1725"</x:definedName>
    <x:definedName name="IQ_NI_GW_LOW_EST" hidden="1">"c1726"</x:definedName>
    <x:definedName name="IQ_NI_GW_MEDIAN_EST" hidden="1">"c1724"</x:definedName>
    <x:definedName name="IQ_NI_GW_NUM_EST" hidden="1">"c1727"</x:definedName>
    <x:definedName name="IQ_NI_GW_STDDEV_EST" hidden="1">"c1728"</x:definedName>
    <x:definedName name="IQ_NI_HIGH_EST" hidden="1">"c1718"</x:definedName>
    <x:definedName name="IQ_NI_LOW_EST" hidden="1">"c1719"</x:definedName>
    <x:definedName name="IQ_NI_MARGIN" hidden="1">"c794"</x:definedName>
    <x:definedName name="IQ_NI_MEDIAN_EST" hidden="1">"c1717"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NUM_EST" hidden="1">"c1720"</x:definedName>
    <x:definedName name="IQ_NI_REPORTED_EST" hidden="1">"c1730"</x:definedName>
    <x:definedName name="IQ_NI_REPORTED_HIGH_EST" hidden="1">"c1732"</x:definedName>
    <x:definedName name="IQ_NI_REPORTED_LOW_EST" hidden="1">"c1733"</x:definedName>
    <x:definedName name="IQ_NI_REPORTED_MEDIAN_EST" hidden="1">"c1731"</x:definedName>
    <x:definedName name="IQ_NI_REPORTED_NUM_EST" hidden="1">"c1734"</x:definedName>
    <x:definedName name="IQ_NI_REPORTED_STDDEV_EST" hidden="1">"c1735"</x:definedName>
    <x:definedName name="IQ_NI_SBC_ACT_OR_EST" hidden="1">"c4474"</x:definedName>
    <x:definedName name="IQ_NI_SBC_GW_ACT_OR_EST" hidden="1">"c4478"</x:definedName>
    <x:definedName name="IQ_NI_SFAS" hidden="1">"c795"</x:definedName>
    <x:definedName name="IQ_NI_STDDEV_EST" hidden="1">"c1721"</x:definedName>
    <x:definedName name="IQ_NOL_CF_1YR" hidden="1">"c3465"</x:definedName>
    <x:definedName name="IQ_NOL_CF_2YR" hidden="1">"c3466"</x:definedName>
    <x:definedName name="IQ_NOL_CF_3YR" hidden="1">"c3467"</x:definedName>
    <x:definedName name="IQ_NOL_CF_4YR" hidden="1">"c3468"</x:definedName>
    <x:definedName name="IQ_NOL_CF_5YR" hidden="1">"c3469"</x:definedName>
    <x:definedName name="IQ_NOL_CF_AFTER_FIVE" hidden="1">"c3470"</x:definedName>
    <x:definedName name="IQ_NOL_CF_MAX_YEAR" hidden="1">"c3473"</x:definedName>
    <x:definedName name="IQ_NOL_CF_NO_EXP" hidden="1">"c3471"</x:definedName>
    <x:definedName name="IQ_NOL_CF_TOTAL" hidden="1">"c3472"</x:definedName>
    <x:definedName name="IQ_NON_ACCRUAL_LOANS" hidden="1">"c796"</x:definedName>
    <x:definedName name="IQ_NON_CASH" hidden="1">"c1399"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EREST_EXP" hidden="1">"c1400"</x:definedName>
    <x:definedName name="IQ_NON_INTEREST_INC" hidden="1">"c1401"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CASH_PENSION_EXP" hidden="1">"c3000"</x:definedName>
    <x:definedName name="IQ_NONRECOURSE_DEBT" hidden="1">"c2550"</x:definedName>
    <x:definedName name="IQ_NONRECOURSE_DEBT_PCT" hidden="1">"c2551"</x:definedName>
    <x:definedName name="IQ_NONUTIL_REV" hidden="1">"c2089"</x:definedName>
    <x:definedName name="IQ_NORM_EPS_ACT_OR_EST" hidden="1">"c2249"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"c1423"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BER_ADRHOLDERS" hidden="1">"c1970"</x:definedName>
    <x:definedName name="IQ_NUMBER_DAYS" hidden="1">"c1904"</x:definedName>
    <x:definedName name="IQ_NUMBER_SHAREHOLDERS" hidden="1">"c1967"</x:definedName>
    <x:definedName name="IQ_NUMBER_SHAREHOLDERS_CLASSA" hidden="1">"c1968"</x:definedName>
    <x:definedName name="IQ_NUMBER_SHAREHOLDERS_OTHER" hidden="1">"c1969"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B_ACCRUED_LIAB" hidden="1">"c3308"</x:definedName>
    <x:definedName name="IQ_OPEB_ACCRUED_LIAB_DOM" hidden="1">"c3306"</x:definedName>
    <x:definedName name="IQ_OPEB_ACCRUED_LIAB_FOREIGN" hidden="1">"c3307"</x:definedName>
    <x:definedName name="IQ_OPEB_ACCUM_OTHER_CI" hidden="1">"c3314"</x:definedName>
    <x:definedName name="IQ_OPEB_ACCUM_OTHER_CI_DOM" hidden="1">"c3312"</x:definedName>
    <x:definedName name="IQ_OPEB_ACCUM_OTHER_CI_FOREIGN" hidden="1">"c3313"</x:definedName>
    <x:definedName name="IQ_OPEB_ASSETS" hidden="1">"c3356"</x:definedName>
    <x:definedName name="IQ_OPEB_ASSETS_ACQ" hidden="1">"c3347"</x:definedName>
    <x:definedName name="IQ_OPEB_ASSETS_ACQ_DOM" hidden="1">"c3345"</x:definedName>
    <x:definedName name="IQ_OPEB_ASSETS_ACQ_FOREIGN" hidden="1">"c3346"</x:definedName>
    <x:definedName name="IQ_OPEB_ASSETS_ACTUAL_RETURN" hidden="1">"c3332"</x:definedName>
    <x:definedName name="IQ_OPEB_ASSETS_ACTUAL_RETURN_DOM" hidden="1">"c3330"</x:definedName>
    <x:definedName name="IQ_OPEB_ASSETS_ACTUAL_RETURN_FOREIGN" hidden="1">"c3331"</x:definedName>
    <x:definedName name="IQ_OPEB_ASSETS_BEG" hidden="1">"c3329"</x:definedName>
    <x:definedName name="IQ_OPEB_ASSETS_BEG_DOM" hidden="1">"c3327"</x:definedName>
    <x:definedName name="IQ_OPEB_ASSETS_BEG_FOREIGN" hidden="1">"c3328"</x:definedName>
    <x:definedName name="IQ_OPEB_ASSETS_BENEFITS_PAID" hidden="1">"c3341"</x:definedName>
    <x:definedName name="IQ_OPEB_ASSETS_BENEFITS_PAID_DOM" hidden="1">"c3339"</x:definedName>
    <x:definedName name="IQ_OPEB_ASSETS_BENEFITS_PAID_FOREIGN" hidden="1">"c3340"</x:definedName>
    <x:definedName name="IQ_OPEB_ASSETS_CURTAIL" hidden="1">"c3350"</x:definedName>
    <x:definedName name="IQ_OPEB_ASSETS_CURTAIL_DOM" hidden="1">"c3348"</x:definedName>
    <x:definedName name="IQ_OPEB_ASSETS_CURTAIL_FOREIGN" hidden="1">"c3349"</x:definedName>
    <x:definedName name="IQ_OPEB_ASSETS_DOM" hidden="1">"c3354"</x:definedName>
    <x:definedName name="IQ_OPEB_ASSETS_EMPLOYER_CONTRIBUTIONS" hidden="1">"c3335"</x:definedName>
    <x:definedName name="IQ_OPEB_ASSETS_EMPLOYER_CONTRIBUTIONS_DOM" hidden="1">"c3333"</x:definedName>
    <x:definedName name="IQ_OPEB_ASSETS_EMPLOYER_CONTRIBUTIONS_FOREIGN" hidden="1">"c3334"</x:definedName>
    <x:definedName name="IQ_OPEB_ASSETS_FOREIGN" hidden="1">"c3355"</x:definedName>
    <x:definedName name="IQ_OPEB_ASSETS_FX_ADJ" hidden="1">"c3344"</x:definedName>
    <x:definedName name="IQ_OPEB_ASSETS_FX_ADJ_DOM" hidden="1">"c3342"</x:definedName>
    <x:definedName name="IQ_OPEB_ASSETS_FX_ADJ_FOREIGN" hidden="1">"c3343"</x:definedName>
    <x:definedName name="IQ_OPEB_ASSETS_OTHER_PLAN_ADJ" hidden="1">"c3353"</x:definedName>
    <x:definedName name="IQ_OPEB_ASSETS_OTHER_PLAN_ADJ_DOM" hidden="1">"c3351"</x:definedName>
    <x:definedName name="IQ_OPEB_ASSETS_OTHER_PLAN_ADJ_FOREIGN" hidden="1">"c3352"</x:definedName>
    <x:definedName name="IQ_OPEB_ASSETS_PARTICIP_CONTRIBUTIONS" hidden="1">"c3338"</x:definedName>
    <x:definedName name="IQ_OPEB_ASSETS_PARTICIP_CONTRIBUTIONS_DOM" hidden="1">"c3336"</x:definedName>
    <x:definedName name="IQ_OPEB_ASSETS_PARTICIP_CONTRIBUTIONS_FOREIGN" hidden="1">"c3337"</x:definedName>
    <x:definedName name="IQ_OPEB_BENEFIT_INFO_DATE" hidden="1">"c3410"</x:definedName>
    <x:definedName name="IQ_OPEB_BENEFIT_INFO_DATE_DOM" hidden="1">"c3408"</x:definedName>
    <x:definedName name="IQ_OPEB_BENEFIT_INFO_DATE_FOREIGN" hidden="1">"c3409"</x:definedName>
    <x:definedName name="IQ_OPEB_BREAKDOWN_EQ" hidden="1">"c3275"</x:definedName>
    <x:definedName name="IQ_OPEB_BREAKDOWN_EQ_DOM" hidden="1">"c3273"</x:definedName>
    <x:definedName name="IQ_OPEB_BREAKDOWN_EQ_FOREIGN" hidden="1">"c3274"</x:definedName>
    <x:definedName name="IQ_OPEB_BREAKDOWN_FI" hidden="1">"c3278"</x:definedName>
    <x:definedName name="IQ_OPEB_BREAKDOWN_FI_DOM" hidden="1">"c3276"</x:definedName>
    <x:definedName name="IQ_OPEB_BREAKDOWN_FI_FOREIGN" hidden="1">"c3277"</x:definedName>
    <x:definedName name="IQ_OPEB_BREAKDOWN_OTHER" hidden="1">"c3284"</x:definedName>
    <x:definedName name="IQ_OPEB_BREAKDOWN_OTHER_DOM" hidden="1">"c3282"</x:definedName>
    <x:definedName name="IQ_OPEB_BREAKDOWN_OTHER_FOREIGN" hidden="1">"c3283"</x:definedName>
    <x:definedName name="IQ_OPEB_BREAKDOWN_PCT_EQ" hidden="1">"c3263"</x:definedName>
    <x:definedName name="IQ_OPEB_BREAKDOWN_PCT_EQ_DOM" hidden="1">"c3261"</x:definedName>
    <x:definedName name="IQ_OPEB_BREAKDOWN_PCT_EQ_FOREIGN" hidden="1">"c3262"</x:definedName>
    <x:definedName name="IQ_OPEB_BREAKDOWN_PCT_FI" hidden="1">"c3266"</x:definedName>
    <x:definedName name="IQ_OPEB_BREAKDOWN_PCT_FI_DOM" hidden="1">"c3264"</x:definedName>
    <x:definedName name="IQ_OPEB_BREAKDOWN_PCT_FI_FOREIGN" hidden="1">"c3265"</x:definedName>
    <x:definedName name="IQ_OPEB_BREAKDOWN_PCT_OTHER" hidden="1">"c3272"</x:definedName>
    <x:definedName name="IQ_OPEB_BREAKDOWN_PCT_OTHER_DOM" hidden="1">"c3270"</x:definedName>
    <x:definedName name="IQ_OPEB_BREAKDOWN_PCT_OTHER_FOREIGN" hidden="1">"c3271"</x:definedName>
    <x:definedName name="IQ_OPEB_BREAKDOWN_PCT_RE" hidden="1">"c3269"</x:definedName>
    <x:definedName name="IQ_OPEB_BREAKDOWN_PCT_RE_DOM" hidden="1">"c3267"</x:definedName>
    <x:definedName name="IQ_OPEB_BREAKDOWN_PCT_RE_FOREIGN" hidden="1">"c3268"</x:definedName>
    <x:definedName name="IQ_OPEB_BREAKDOWN_RE" hidden="1">"c3281"</x:definedName>
    <x:definedName name="IQ_OPEB_BREAKDOWN_RE_DOM" hidden="1">"c3279"</x:definedName>
    <x:definedName name="IQ_OPEB_BREAKDOWN_RE_FOREIGN" hidden="1">"c3280"</x:definedName>
    <x:definedName name="IQ_OPEB_DECREASE_EFFECT_PBO" hidden="1">"c3458"</x:definedName>
    <x:definedName name="IQ_OPEB_DECREASE_EFFECT_PBO_DOM" hidden="1">"c3456"</x:definedName>
    <x:definedName name="IQ_OPEB_DECREASE_EFFECT_PBO_FOREIGN" hidden="1">"c3457"</x:definedName>
    <x:definedName name="IQ_OPEB_DECREASE_EFFECT_SERVICE_INT_COST" hidden="1">"c3455"</x:definedName>
    <x:definedName name="IQ_OPEB_DECREASE_EFFECT_SERVICE_INT_COST_DOM" hidden="1">"c3453"</x:definedName>
    <x:definedName name="IQ_OPEB_DECREASE_EFFECT_SERVICE_INT_COST_FOREIGN" hidden="1">"c3454"</x:definedName>
    <x:definedName name="IQ_OPEB_DISC_RATE_MAX" hidden="1">"c3422"</x:definedName>
    <x:definedName name="IQ_OPEB_DISC_RATE_MAX_DOM" hidden="1">"c3420"</x:definedName>
    <x:definedName name="IQ_OPEB_DISC_RATE_MAX_FOREIGN" hidden="1">"c3421"</x:definedName>
    <x:definedName name="IQ_OPEB_DISC_RATE_MIN" hidden="1">"c3419"</x:definedName>
    <x:definedName name="IQ_OPEB_DISC_RATE_MIN_DOM" hidden="1">"c3417"</x:definedName>
    <x:definedName name="IQ_OPEB_DISC_RATE_MIN_FOREIGN" hidden="1">"c3418"</x:definedName>
    <x:definedName name="IQ_OPEB_EST_BENEFIT_1YR" hidden="1">"c3287"</x:definedName>
    <x:definedName name="IQ_OPEB_EST_BENEFIT_1YR_DOM" hidden="1">"c3285"</x:definedName>
    <x:definedName name="IQ_OPEB_EST_BENEFIT_1YR_FOREIGN" hidden="1">"c3286"</x:definedName>
    <x:definedName name="IQ_OPEB_EST_BENEFIT_2YR" hidden="1">"c3290"</x:definedName>
    <x:definedName name="IQ_OPEB_EST_BENEFIT_2YR_DOM" hidden="1">"c3288"</x:definedName>
    <x:definedName name="IQ_OPEB_EST_BENEFIT_2YR_FOREIGN" hidden="1">"c3289"</x:definedName>
    <x:definedName name="IQ_OPEB_EST_BENEFIT_3YR" hidden="1">"c3293"</x:definedName>
    <x:definedName name="IQ_OPEB_EST_BENEFIT_3YR_DOM" hidden="1">"c3291"</x:definedName>
    <x:definedName name="IQ_OPEB_EST_BENEFIT_3YR_FOREIGN" hidden="1">"c3292"</x:definedName>
    <x:definedName name="IQ_OPEB_EST_BENEFIT_4YR" hidden="1">"c3296"</x:definedName>
    <x:definedName name="IQ_OPEB_EST_BENEFIT_4YR_DOM" hidden="1">"c3294"</x:definedName>
    <x:definedName name="IQ_OPEB_EST_BENEFIT_4YR_FOREIGN" hidden="1">"c3295"</x:definedName>
    <x:definedName name="IQ_OPEB_EST_BENEFIT_5YR" hidden="1">"c3299"</x:definedName>
    <x:definedName name="IQ_OPEB_EST_BENEFIT_5YR_DOM" hidden="1">"c3297"</x:definedName>
    <x:definedName name="IQ_OPEB_EST_BENEFIT_5YR_FOREIGN" hidden="1">"c3298"</x:definedName>
    <x:definedName name="IQ_OPEB_EST_BENEFIT_AFTER5" hidden="1">"c3302"</x:definedName>
    <x:definedName name="IQ_OPEB_EST_BENEFIT_AFTER5_DOM" hidden="1">"c3300"</x:definedName>
    <x:definedName name="IQ_OPEB_EST_BENEFIT_AFTER5_FOREIGN" hidden="1">"c3301"</x:definedName>
    <x:definedName name="IQ_OPEB_EXP_RATE_RETURN_MAX" hidden="1">"c3434"</x:definedName>
    <x:definedName name="IQ_OPEB_EXP_RATE_RETURN_MAX_DOM" hidden="1">"c3432"</x:definedName>
    <x:definedName name="IQ_OPEB_EXP_RATE_RETURN_MAX_FOREIGN" hidden="1">"c3433"</x:definedName>
    <x:definedName name="IQ_OPEB_EXP_RATE_RETURN_MIN" hidden="1">"c3431"</x:definedName>
    <x:definedName name="IQ_OPEB_EXP_RATE_RETURN_MIN_DOM" hidden="1">"c3429"</x:definedName>
    <x:definedName name="IQ_OPEB_EXP_RATE_RETURN_MIN_FOREIGN" hidden="1">"c3430"</x:definedName>
    <x:definedName name="IQ_OPEB_EXP_RETURN" hidden="1">"c3398"</x:definedName>
    <x:definedName name="IQ_OPEB_EXP_RETURN_DOM" hidden="1">"c3396"</x:definedName>
    <x:definedName name="IQ_OPEB_EXP_RETURN_FOREIGN" hidden="1">"c3397"</x:definedName>
    <x:definedName name="IQ_OPEB_HEALTH_COST_TREND_INITIAL" hidden="1">"c3413"</x:definedName>
    <x:definedName name="IQ_OPEB_HEALTH_COST_TREND_INITIAL_DOM" hidden="1">"c3411"</x:definedName>
    <x:definedName name="IQ_OPEB_HEALTH_COST_TREND_INITIAL_FOREIGN" hidden="1">"c3412"</x:definedName>
    <x:definedName name="IQ_OPEB_HEALTH_COST_TREND_ULTIMATE" hidden="1">"c3416"</x:definedName>
    <x:definedName name="IQ_OPEB_HEALTH_COST_TREND_ULTIMATE_DOM" hidden="1">"c3414"</x:definedName>
    <x:definedName name="IQ_OPEB_HEALTH_COST_TREND_ULTIMATE_FOREIGN" hidden="1">"c3415"</x:definedName>
    <x:definedName name="IQ_OPEB_INCREASE_EFFECT_PBO" hidden="1">"c3452"</x:definedName>
    <x:definedName name="IQ_OPEB_INCREASE_EFFECT_PBO_DOM" hidden="1">"c3450"</x:definedName>
    <x:definedName name="IQ_OPEB_INCREASE_EFFECT_PBO_FOREIGN" hidden="1">"c3451"</x:definedName>
    <x:definedName name="IQ_OPEB_INCREASE_EFFECT_SERVICE_INT_COST" hidden="1">"c3449"</x:definedName>
    <x:definedName name="IQ_OPEB_INCREASE_EFFECT_SERVICE_INT_COST_DOM" hidden="1">"c3447"</x:definedName>
    <x:definedName name="IQ_OPEB_INCREASE_EFFECT_SERVICE_INT_COST_FOREIGN" hidden="1">"c3448"</x:definedName>
    <x:definedName name="IQ_OPEB_INTAN_ASSETS" hidden="1">"c3311"</x:definedName>
    <x:definedName name="IQ_OPEB_INTAN_ASSETS_DOM" hidden="1">"c3309"</x:definedName>
    <x:definedName name="IQ_OPEB_INTAN_ASSETS_FOREIGN" hidden="1">"c3310"</x:definedName>
    <x:definedName name="IQ_OPEB_INTEREST_COST" hidden="1">"c3395"</x:definedName>
    <x:definedName name="IQ_OPEB_INTEREST_COST_DOM" hidden="1">"c3393"</x:definedName>
    <x:definedName name="IQ_OPEB_INTEREST_COST_FOREIGN" hidden="1">"c3394"</x:definedName>
    <x:definedName name="IQ_OPEB_NET_ASSET_RECOG" hidden="1">"c3326"</x:definedName>
    <x:definedName name="IQ_OPEB_NET_ASSET_RECOG_DOM" hidden="1">"c3324"</x:definedName>
    <x:definedName name="IQ_OPEB_NET_ASSET_RECOG_FOREIGN" hidden="1">"c3325"</x:definedName>
    <x:definedName name="IQ_OPEB_OBLIGATION_ACCUMULATED" hidden="1">"c3407"</x:definedName>
    <x:definedName name="IQ_OPEB_OBLIGATION_ACCUMULATED_DOM" hidden="1">"c3405"</x:definedName>
    <x:definedName name="IQ_OPEB_OBLIGATION_ACCUMULATED_FOREIGN" hidden="1">"c3406"</x:definedName>
    <x:definedName name="IQ_OPEB_OBLIGATION_ACQ" hidden="1">"c3380"</x:definedName>
    <x:definedName name="IQ_OPEB_OBLIGATION_ACQ_DOM" hidden="1">"c3378"</x:definedName>
    <x:definedName name="IQ_OPEB_OBLIGATION_ACQ_FOREIGN" hidden="1">"c3379"</x:definedName>
    <x:definedName name="IQ_OPEB_OBLIGATION_ACTUARIAL_GAIN_LOSS" hidden="1">"c3371"</x:definedName>
    <x:definedName name="IQ_OPEB_OBLIGATION_ACTUARIAL_GAIN_LOSS_DOM" hidden="1">"c3369"</x:definedName>
    <x:definedName name="IQ_OPEB_OBLIGATION_ACTUARIAL_GAIN_LOSS_FOREIGN" hidden="1">"c3370"</x:definedName>
    <x:definedName name="IQ_OPEB_OBLIGATION_BEG" hidden="1">"c3359"</x:definedName>
    <x:definedName name="IQ_OPEB_OBLIGATION_BEG_DOM" hidden="1">"c3357"</x:definedName>
    <x:definedName name="IQ_OPEB_OBLIGATION_BEG_FOREIGN" hidden="1">"c3358"</x:definedName>
    <x:definedName name="IQ_OPEB_OBLIGATION_CURTAIL" hidden="1">"c3383"</x:definedName>
    <x:definedName name="IQ_OPEB_OBLIGATION_CURTAIL_DOM" hidden="1">"c3381"</x:definedName>
    <x:definedName name="IQ_OPEB_OBLIGATION_CURTAIL_FOREIGN" hidden="1">"c3382"</x:definedName>
    <x:definedName name="IQ_OPEB_OBLIGATION_EMPLOYEE_CONTRIBUTIONS" hidden="1">"c3368"</x:definedName>
    <x:definedName name="IQ_OPEB_OBLIGATION_EMPLOYEE_CONTRIBUTIONS_DOM" hidden="1">"c3366"</x:definedName>
    <x:definedName name="IQ_OPEB_OBLIGATION_EMPLOYEE_CONTRIBUTIONS_FOREIGN" hidden="1">"c3367"</x:definedName>
    <x:definedName name="IQ_OPEB_OBLIGATION_FX_ADJ" hidden="1">"c3377"</x:definedName>
    <x:definedName name="IQ_OPEB_OBLIGATION_FX_ADJ_DOM" hidden="1">"c3375"</x:definedName>
    <x:definedName name="IQ_OPEB_OBLIGATION_FX_ADJ_FOREIGN" hidden="1">"c3376"</x:definedName>
    <x:definedName name="IQ_OPEB_OBLIGATION_INTEREST_COST" hidden="1">"c3365"</x:definedName>
    <x:definedName name="IQ_OPEB_OBLIGATION_INTEREST_COST_DOM" hidden="1">"c3363"</x:definedName>
    <x:definedName name="IQ_OPEB_OBLIGATION_INTEREST_COST_FOREIGN" hidden="1">"c3364"</x:definedName>
    <x:definedName name="IQ_OPEB_OBLIGATION_OTHER_PLAN_ADJ" hidden="1">"c3386"</x:definedName>
    <x:definedName name="IQ_OPEB_OBLIGATION_OTHER_PLAN_ADJ_DOM" hidden="1">"c3384"</x:definedName>
    <x:definedName name="IQ_OPEB_OBLIGATION_OTHER_PLAN_ADJ_FOREIGN" hidden="1">"c3385"</x:definedName>
    <x:definedName name="IQ_OPEB_OBLIGATION_PAID" hidden="1">"c3374"</x:definedName>
    <x:definedName name="IQ_OPEB_OBLIGATION_PAID_DOM" hidden="1">"c3372"</x:definedName>
    <x:definedName name="IQ_OPEB_OBLIGATION_PAID_FOREIGN" hidden="1">"c3373"</x:definedName>
    <x:definedName name="IQ_OPEB_OBLIGATION_PROJECTED" hidden="1">"c3389"</x:definedName>
    <x:definedName name="IQ_OPEB_OBLIGATION_PROJECTED_DOM" hidden="1">"c3387"</x:definedName>
    <x:definedName name="IQ_OPEB_OBLIGATION_PROJECTED_FOREIGN" hidden="1">"c3388"</x:definedName>
    <x:definedName name="IQ_OPEB_OBLIGATION_SERVICE_COST" hidden="1">"c3362"</x:definedName>
    <x:definedName name="IQ_OPEB_OBLIGATION_SERVICE_COST_DOM" hidden="1">"c3360"</x:definedName>
    <x:definedName name="IQ_OPEB_OBLIGATION_SERVICE_COST_FOREIGN" hidden="1">"c3361"</x:definedName>
    <x:definedName name="IQ_OPEB_OTHER" hidden="1">"c3317"</x:definedName>
    <x:definedName name="IQ_OPEB_OTHER_ADJ" hidden="1">"c3323"</x:definedName>
    <x:definedName name="IQ_OPEB_OTHER_ADJ_DOM" hidden="1">"c3321"</x:definedName>
    <x:definedName name="IQ_OPEB_OTHER_ADJ_FOREIGN" hidden="1">"c3322"</x:definedName>
    <x:definedName name="IQ_OPEB_OTHER_COST" hidden="1">"c3401"</x:definedName>
    <x:definedName name="IQ_OPEB_OTHER_COST_DOM" hidden="1">"c3399"</x:definedName>
    <x:definedName name="IQ_OPEB_OTHER_COST_FOREIGN" hidden="1">"c3400"</x:definedName>
    <x:definedName name="IQ_OPEB_OTHER_DOM" hidden="1">"c3315"</x:definedName>
    <x:definedName name="IQ_OPEB_OTHER_FOREIGN" hidden="1">"c3316"</x:definedName>
    <x:definedName name="IQ_OPEB_PBO_ASSUMED_RATE_RET_MAX" hidden="1">"c3440"</x:definedName>
    <x:definedName name="IQ_OPEB_PBO_ASSUMED_RATE_RET_MAX_DOM" hidden="1">"c3438"</x:definedName>
    <x:definedName name="IQ_OPEB_PBO_ASSUMED_RATE_RET_MAX_FOREIGN" hidden="1">"c3439"</x:definedName>
    <x:definedName name="IQ_OPEB_PBO_ASSUMED_RATE_RET_MIN" hidden="1">"c3437"</x:definedName>
    <x:definedName name="IQ_OPEB_PBO_ASSUMED_RATE_RET_MIN_DOM" hidden="1">"c3435"</x:definedName>
    <x:definedName name="IQ_OPEB_PBO_ASSUMED_RATE_RET_MIN_FOREIGN" hidden="1">"c3436"</x:definedName>
    <x:definedName name="IQ_OPEB_PBO_RATE_COMP_INCREASE_MAX" hidden="1">"c3446"</x:definedName>
    <x:definedName name="IQ_OPEB_PBO_RATE_COMP_INCREASE_MAX_DOM" hidden="1">"c3444"</x:definedName>
    <x:definedName name="IQ_OPEB_PBO_RATE_COMP_INCREASE_MAX_FOREIGN" hidden="1">"c3445"</x:definedName>
    <x:definedName name="IQ_OPEB_PBO_RATE_COMP_INCREASE_MIN" hidden="1">"c3443"</x:definedName>
    <x:definedName name="IQ_OPEB_PBO_RATE_COMP_INCREASE_MIN_DOM" hidden="1">"c3441"</x:definedName>
    <x:definedName name="IQ_OPEB_PBO_RATE_COMP_INCREASE_MIN_FOREIGN" hidden="1">"c3442"</x:definedName>
    <x:definedName name="IQ_OPEB_PREPAID_COST" hidden="1">"c3305"</x:definedName>
    <x:definedName name="IQ_OPEB_PREPAID_COST_DOM" hidden="1">"c3303"</x:definedName>
    <x:definedName name="IQ_OPEB_PREPAID_COST_FOREIGN" hidden="1">"c3304"</x:definedName>
    <x:definedName name="IQ_OPEB_RATE_COMP_INCREASE_MAX" hidden="1">"c3428"</x:definedName>
    <x:definedName name="IQ_OPEB_RATE_COMP_INCREASE_MAX_DOM" hidden="1">"c3426"</x:definedName>
    <x:definedName name="IQ_OPEB_RATE_COMP_INCREASE_MAX_FOREIGN" hidden="1">"c3427"</x:definedName>
    <x:definedName name="IQ_OPEB_RATE_COMP_INCREASE_MIN" hidden="1">"c3425"</x:definedName>
    <x:definedName name="IQ_OPEB_RATE_COMP_INCREASE_MIN_DOM" hidden="1">"c3423"</x:definedName>
    <x:definedName name="IQ_OPEB_RATE_COMP_INCREASE_MIN_FOREIGN" hidden="1">"c3424"</x:definedName>
    <x:definedName name="IQ_OPEB_SERVICE_COST" hidden="1">"c3392"</x:definedName>
    <x:definedName name="IQ_OPEB_SERVICE_COST_DOM" hidden="1">"c3390"</x:definedName>
    <x:definedName name="IQ_OPEB_SERVICE_COST_FOREIGN" hidden="1">"c3391"</x:definedName>
    <x:definedName name="IQ_OPEB_TOTAL_COST" hidden="1">"c3404"</x:definedName>
    <x:definedName name="IQ_OPEB_TOTAL_COST_DOM" hidden="1">"c3402"</x:definedName>
    <x:definedName name="IQ_OPEB_TOTAL_COST_FOREIGN" hidden="1">"c3403"</x:definedName>
    <x:definedName name="IQ_OPEB_UNRECOG_PRIOR" hidden="1">"c3320"</x:definedName>
    <x:definedName name="IQ_OPEB_UNRECOG_PRIOR_DOM" hidden="1">"c3318"</x:definedName>
    <x:definedName name="IQ_OPEB_UNRECOG_PRIOR_FOREIGN" hidden="1">"c3319"</x:definedName>
    <x:definedName name="IQ_OPENPRICE" hidden="1">"c848"</x:definedName>
    <x:definedName name="IQ_OPER_INC" hidden="1">"c849"</x:definedName>
    <x:definedName name="IQ_OPER_INC_ACT_OR_EST" hidden="1">"c2220"</x:definedName>
    <x:definedName name="IQ_OPER_INC_BR" hidden="1">"c850"</x:definedName>
    <x:definedName name="IQ_OPER_INC_EST" hidden="1">"c1688"</x:definedName>
    <x:definedName name="IQ_OPER_INC_FIN" hidden="1">"c851"</x:definedName>
    <x:definedName name="IQ_OPER_INC_HIGH_EST" hidden="1">"c1690"</x:definedName>
    <x:definedName name="IQ_OPER_INC_INS" hidden="1">"c852"</x:definedName>
    <x:definedName name="IQ_OPER_INC_LOW_EST" hidden="1">"c1691"</x:definedName>
    <x:definedName name="IQ_OPER_INC_MARGIN" hidden="1">"c1448"</x:definedName>
    <x:definedName name="IQ_OPER_INC_MEDIAN_EST" hidden="1">"c1689"</x:definedName>
    <x:definedName name="IQ_OPER_INC_NUM_EST" hidden="1">"c1692"</x:definedName>
    <x:definedName name="IQ_OPER_INC_REIT" hidden="1">"c853"</x:definedName>
    <x:definedName name="IQ_OPER_INC_STDDEV_EST" hidden="1">"c1693"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THER_ADJUST_GROSS_LOANS" hidden="1">"c859"</x:definedName>
    <x:definedName name="IQ_OTHER_AMORT" hidden="1">"c5563"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URRENT_ASSETS" hidden="1">"c1403"</x:definedName>
    <x:definedName name="IQ_OTHER_CURRENT_LIAB" hidden="1">"c1404"</x:definedName>
    <x:definedName name="IQ_OTHER_DEBT" hidden="1">"c2507"</x:definedName>
    <x:definedName name="IQ_OTHER_DEBT_PCT" hidden="1">"c2508"</x:definedName>
    <x:definedName name="IQ_OTHER_DEP" hidden="1">"c885"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"c1408"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OANS" hidden="1">"c945"</x:definedName>
    <x:definedName name="IQ_OTHER_LONG_TERM" hidden="1">"c1409"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"c1453"</x:definedName>
    <x:definedName name="IQ_OTHER_NON_INT_EXP" hidden="1">"c953"</x:definedName>
    <x:definedName name="IQ_OTHER_NON_INT_EXP_TOTAL" hidden="1">"c954"</x:definedName>
    <x:definedName name="IQ_OTHER_NON_INT_INC" hidden="1">"c955"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"c1410"</x:definedName>
    <x:definedName name="IQ_OTHER_STRIKE_PRICE_GRANTED" hidden="1">"c2692"</x:definedName>
    <x:definedName name="IQ_OTHER_UNDRAWN" hidden="1">"c2522"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"c2128"</x:definedName>
    <x:definedName name="IQ_OUTSTANDING_FILING_DATE" hidden="1">"c2127"</x:definedName>
    <x:definedName name="IQ_OWNERSHIP" hidden="1">"c2160"</x:definedName>
    <x:definedName name="IQ_PART_TIME" hidden="1">"c1024"</x:definedName>
    <x:definedName name="IQ_PAY_ACCRUED" hidden="1">"c1457"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EXCL_FWD_REUT" hidden="1">"c4049"</x:definedName>
    <x:definedName name="IQ_PE_NORMALIZED" hidden="1">"c2207"</x:definedName>
    <x:definedName name="IQ_PE_RATIO" hidden="1">"c1610"</x:definedName>
    <x:definedName name="IQ_PEG_FWD" hidden="1">"c1863"</x:definedName>
    <x:definedName name="IQ_PEG_FWD_REUT" hidden="1">"c4052"</x:definedName>
    <x:definedName name="IQ_PENSION" hidden="1">"c1031"</x:definedName>
    <x:definedName name="IQ_PENSION_ACCRUED_LIAB" hidden="1">"c3134"</x:definedName>
    <x:definedName name="IQ_PENSION_ACCRUED_LIAB_DOM" hidden="1">"c3132"</x:definedName>
    <x:definedName name="IQ_PENSION_ACCRUED_LIAB_FOREIGN" hidden="1">"c3133"</x:definedName>
    <x:definedName name="IQ_PENSION_ACCUM_OTHER_CI" hidden="1">"c3140"</x:definedName>
    <x:definedName name="IQ_PENSION_ACCUM_OTHER_CI_DOM" hidden="1">"c3138"</x:definedName>
    <x:definedName name="IQ_PENSION_ACCUM_OTHER_CI_FOREIGN" hidden="1">"c3139"</x:definedName>
    <x:definedName name="IQ_PENSION_ACCUMULATED_OBLIGATION" hidden="1">"c3570"</x:definedName>
    <x:definedName name="IQ_PENSION_ACCUMULATED_OBLIGATION_DOMESTIC" hidden="1">"c3568"</x:definedName>
    <x:definedName name="IQ_PENSION_ACCUMULATED_OBLIGATION_FOREIGN" hidden="1">"c3569"</x:definedName>
    <x:definedName name="IQ_PENSION_ASSETS" hidden="1">"c3182"</x:definedName>
    <x:definedName name="IQ_PENSION_ASSETS_ACQ" hidden="1">"c3173"</x:definedName>
    <x:definedName name="IQ_PENSION_ASSETS_ACQ_DOM" hidden="1">"c3171"</x:definedName>
    <x:definedName name="IQ_PENSION_ASSETS_ACQ_FOREIGN" hidden="1">"c3172"</x:definedName>
    <x:definedName name="IQ_PENSION_ASSETS_ACTUAL_RETURN" hidden="1">"c3158"</x:definedName>
    <x:definedName name="IQ_PENSION_ASSETS_ACTUAL_RETURN_DOM" hidden="1">"c3156"</x:definedName>
    <x:definedName name="IQ_PENSION_ASSETS_ACTUAL_RETURN_FOREIGN" hidden="1">"c3157"</x:definedName>
    <x:definedName name="IQ_PENSION_ASSETS_BEG" hidden="1">"c3155"</x:definedName>
    <x:definedName name="IQ_PENSION_ASSETS_BEG_DOM" hidden="1">"c3153"</x:definedName>
    <x:definedName name="IQ_PENSION_ASSETS_BEG_FOREIGN" hidden="1">"c3154"</x:definedName>
    <x:definedName name="IQ_PENSION_ASSETS_BENEFITS_PAID" hidden="1">"c3167"</x:definedName>
    <x:definedName name="IQ_PENSION_ASSETS_BENEFITS_PAID_DOM" hidden="1">"c3165"</x:definedName>
    <x:definedName name="IQ_PENSION_ASSETS_BENEFITS_PAID_FOREIGN" hidden="1">"c3166"</x:definedName>
    <x:definedName name="IQ_PENSION_ASSETS_CURTAIL" hidden="1">"c3176"</x:definedName>
    <x:definedName name="IQ_PENSION_ASSETS_CURTAIL_DOM" hidden="1">"c3174"</x:definedName>
    <x:definedName name="IQ_PENSION_ASSETS_CURTAIL_FOREIGN" hidden="1">"c3175"</x:definedName>
    <x:definedName name="IQ_PENSION_ASSETS_DOM" hidden="1">"c3180"</x:definedName>
    <x:definedName name="IQ_PENSION_ASSETS_EMPLOYER_CONTRIBUTIONS" hidden="1">"c3161"</x:definedName>
    <x:definedName name="IQ_PENSION_ASSETS_EMPLOYER_CONTRIBUTIONS_DOM" hidden="1">"c3159"</x:definedName>
    <x:definedName name="IQ_PENSION_ASSETS_EMPLOYER_CONTRIBUTIONS_FOREIGN" hidden="1">"c3160"</x:definedName>
    <x:definedName name="IQ_PENSION_ASSETS_FOREIGN" hidden="1">"c3181"</x:definedName>
    <x:definedName name="IQ_PENSION_ASSETS_FX_ADJ" hidden="1">"c3170"</x:definedName>
    <x:definedName name="IQ_PENSION_ASSETS_FX_ADJ_DOM" hidden="1">"c3168"</x:definedName>
    <x:definedName name="IQ_PENSION_ASSETS_FX_ADJ_FOREIGN" hidden="1">"c3169"</x:definedName>
    <x:definedName name="IQ_PENSION_ASSETS_OTHER_PLAN_ADJ" hidden="1">"c3179"</x:definedName>
    <x:definedName name="IQ_PENSION_ASSETS_OTHER_PLAN_ADJ_DOM" hidden="1">"c3177"</x:definedName>
    <x:definedName name="IQ_PENSION_ASSETS_OTHER_PLAN_ADJ_FOREIGN" hidden="1">"c3178"</x:definedName>
    <x:definedName name="IQ_PENSION_ASSETS_PARTICIP_CONTRIBUTIONS" hidden="1">"c3164"</x:definedName>
    <x:definedName name="IQ_PENSION_ASSETS_PARTICIP_CONTRIBUTIONS_DOM" hidden="1">"c3162"</x:definedName>
    <x:definedName name="IQ_PENSION_ASSETS_PARTICIP_CONTRIBUTIONS_FOREIGN" hidden="1">"c3163"</x:definedName>
    <x:definedName name="IQ_PENSION_BENEFIT_INFO_DATE" hidden="1">"c3230"</x:definedName>
    <x:definedName name="IQ_PENSION_BENEFIT_INFO_DATE_DOM" hidden="1">"c3228"</x:definedName>
    <x:definedName name="IQ_PENSION_BENEFIT_INFO_DATE_FOREIGN" hidden="1">"c3229"</x:definedName>
    <x:definedName name="IQ_PENSION_BREAKDOWN_EQ" hidden="1">"c3101"</x:definedName>
    <x:definedName name="IQ_PENSION_BREAKDOWN_EQ_DOM" hidden="1">"c3099"</x:definedName>
    <x:definedName name="IQ_PENSION_BREAKDOWN_EQ_FOREIGN" hidden="1">"c3100"</x:definedName>
    <x:definedName name="IQ_PENSION_BREAKDOWN_FI" hidden="1">"c3104"</x:definedName>
    <x:definedName name="IQ_PENSION_BREAKDOWN_FI_DOM" hidden="1">"c3102"</x:definedName>
    <x:definedName name="IQ_PENSION_BREAKDOWN_FI_FOREIGN" hidden="1">"c3103"</x:definedName>
    <x:definedName name="IQ_PENSION_BREAKDOWN_OTHER" hidden="1">"c3110"</x:definedName>
    <x:definedName name="IQ_PENSION_BREAKDOWN_OTHER_DOM" hidden="1">"c3108"</x:definedName>
    <x:definedName name="IQ_PENSION_BREAKDOWN_OTHER_FOREIGN" hidden="1">"c3109"</x:definedName>
    <x:definedName name="IQ_PENSION_BREAKDOWN_PCT_EQ" hidden="1">"c3089"</x:definedName>
    <x:definedName name="IQ_PENSION_BREAKDOWN_PCT_EQ_DOM" hidden="1">"c3087"</x:definedName>
    <x:definedName name="IQ_PENSION_BREAKDOWN_PCT_EQ_FOREIGN" hidden="1">"c3088"</x:definedName>
    <x:definedName name="IQ_PENSION_BREAKDOWN_PCT_FI" hidden="1">"c3092"</x:definedName>
    <x:definedName name="IQ_PENSION_BREAKDOWN_PCT_FI_DOM" hidden="1">"c3090"</x:definedName>
    <x:definedName name="IQ_PENSION_BREAKDOWN_PCT_FI_FOREIGN" hidden="1">"c3091"</x:definedName>
    <x:definedName name="IQ_PENSION_BREAKDOWN_PCT_OTHER" hidden="1">"c3098"</x:definedName>
    <x:definedName name="IQ_PENSION_BREAKDOWN_PCT_OTHER_DOM" hidden="1">"c3096"</x:definedName>
    <x:definedName name="IQ_PENSION_BREAKDOWN_PCT_OTHER_FOREIGN" hidden="1">"c3097"</x:definedName>
    <x:definedName name="IQ_PENSION_BREAKDOWN_PCT_RE" hidden="1">"c3095"</x:definedName>
    <x:definedName name="IQ_PENSION_BREAKDOWN_PCT_RE_DOM" hidden="1">"c3093"</x:definedName>
    <x:definedName name="IQ_PENSION_BREAKDOWN_PCT_RE_FOREIGN" hidden="1">"c3094"</x:definedName>
    <x:definedName name="IQ_PENSION_BREAKDOWN_RE" hidden="1">"c3107"</x:definedName>
    <x:definedName name="IQ_PENSION_BREAKDOWN_RE_DOM" hidden="1">"c3105"</x:definedName>
    <x:definedName name="IQ_PENSION_BREAKDOWN_RE_FOREIGN" hidden="1">"c3106"</x:definedName>
    <x:definedName name="IQ_PENSION_CONTRIBUTION_TOTAL_COST" hidden="1">"c3559"</x:definedName>
    <x:definedName name="IQ_PENSION_DISC_RATE_MAX" hidden="1">"c3236"</x:definedName>
    <x:definedName name="IQ_PENSION_DISC_RATE_MAX_DOM" hidden="1">"c3234"</x:definedName>
    <x:definedName name="IQ_PENSION_DISC_RATE_MAX_FOREIGN" hidden="1">"c3235"</x:definedName>
    <x:definedName name="IQ_PENSION_DISC_RATE_MIN" hidden="1">"c3233"</x:definedName>
    <x:definedName name="IQ_PENSION_DISC_RATE_MIN_DOM" hidden="1">"c3231"</x:definedName>
    <x:definedName name="IQ_PENSION_DISC_RATE_MIN_FOREIGN" hidden="1">"c3232"</x:definedName>
    <x:definedName name="IQ_PENSION_DISCOUNT_RATE_DOMESTIC" hidden="1">"c3573"</x:definedName>
    <x:definedName name="IQ_PENSION_DISCOUNT_RATE_FOREIGN" hidden="1">"c3574"</x:definedName>
    <x:definedName name="IQ_PENSION_EST_BENEFIT_1YR" hidden="1">"c3113"</x:definedName>
    <x:definedName name="IQ_PENSION_EST_BENEFIT_1YR_DOM" hidden="1">"c3111"</x:definedName>
    <x:definedName name="IQ_PENSION_EST_BENEFIT_1YR_FOREIGN" hidden="1">"c3112"</x:definedName>
    <x:definedName name="IQ_PENSION_EST_BENEFIT_2YR" hidden="1">"c3116"</x:definedName>
    <x:definedName name="IQ_PENSION_EST_BENEFIT_2YR_DOM" hidden="1">"c3114"</x:definedName>
    <x:definedName name="IQ_PENSION_EST_BENEFIT_2YR_FOREIGN" hidden="1">"c3115"</x:definedName>
    <x:definedName name="IQ_PENSION_EST_BENEFIT_3YR" hidden="1">"c3119"</x:definedName>
    <x:definedName name="IQ_PENSION_EST_BENEFIT_3YR_DOM" hidden="1">"c3117"</x:definedName>
    <x:definedName name="IQ_PENSION_EST_BENEFIT_3YR_FOREIGN" hidden="1">"c3118"</x:definedName>
    <x:definedName name="IQ_PENSION_EST_BENEFIT_4YR" hidden="1">"c3122"</x:definedName>
    <x:definedName name="IQ_PENSION_EST_BENEFIT_4YR_DOM" hidden="1">"c3120"</x:definedName>
    <x:definedName name="IQ_PENSION_EST_BENEFIT_4YR_FOREIGN" hidden="1">"c3121"</x:definedName>
    <x:definedName name="IQ_PENSION_EST_BENEFIT_5YR" hidden="1">"c3125"</x:definedName>
    <x:definedName name="IQ_PENSION_EST_BENEFIT_5YR_DOM" hidden="1">"c3123"</x:definedName>
    <x:definedName name="IQ_PENSION_EST_BENEFIT_5YR_FOREIGN" hidden="1">"c3124"</x:definedName>
    <x:definedName name="IQ_PENSION_EST_BENEFIT_AFTER5" hidden="1">"c3128"</x:definedName>
    <x:definedName name="IQ_PENSION_EST_BENEFIT_AFTER5_DOM" hidden="1">"c3126"</x:definedName>
    <x:definedName name="IQ_PENSION_EST_BENEFIT_AFTER5_FOREIGN" hidden="1">"c3127"</x:definedName>
    <x:definedName name="IQ_PENSION_EST_CONTRIBUTIONS_NEXTYR" hidden="1">"c3218"</x:definedName>
    <x:definedName name="IQ_PENSION_EST_CONTRIBUTIONS_NEXTYR_DOM" hidden="1">"c3216"</x:definedName>
    <x:definedName name="IQ_PENSION_EST_CONTRIBUTIONS_NEXTYR_FOREIGN" hidden="1">"c3217"</x:definedName>
    <x:definedName name="IQ_PENSION_EXP_RATE_RETURN_MAX" hidden="1">"c3248"</x:definedName>
    <x:definedName name="IQ_PENSION_EXP_RATE_RETURN_MAX_DOM" hidden="1">"c3246"</x:definedName>
    <x:definedName name="IQ_PENSION_EXP_RATE_RETURN_MAX_FOREIGN" hidden="1">"c3247"</x:definedName>
    <x:definedName name="IQ_PENSION_EXP_RATE_RETURN_MIN" hidden="1">"c3245"</x:definedName>
    <x:definedName name="IQ_PENSION_EXP_RATE_RETURN_MIN_DOM" hidden="1">"c3243"</x:definedName>
    <x:definedName name="IQ_PENSION_EXP_RATE_RETURN_MIN_FOREIGN" hidden="1">"c3244"</x:definedName>
    <x:definedName name="IQ_PENSION_EXP_RETURN_DOMESTIC" hidden="1">"c3571"</x:definedName>
    <x:definedName name="IQ_PENSION_EXP_RETURN_FOREIGN" hidden="1">"c3572"</x:definedName>
    <x:definedName name="IQ_PENSION_INTAN_ASSETS" hidden="1">"c3137"</x:definedName>
    <x:definedName name="IQ_PENSION_INTAN_ASSETS_DOM" hidden="1">"c3135"</x:definedName>
    <x:definedName name="IQ_PENSION_INTAN_ASSETS_FOREIGN" hidden="1">"c3136"</x:definedName>
    <x:definedName name="IQ_PENSION_INTEREST_COST" hidden="1">"c3582"</x:definedName>
    <x:definedName name="IQ_PENSION_INTEREST_COST_DOM" hidden="1">"c3580"</x:definedName>
    <x:definedName name="IQ_PENSION_INTEREST_COST_FOREIGN" hidden="1">"c3581"</x:definedName>
    <x:definedName name="IQ_PENSION_NET_ASSET_RECOG" hidden="1">"c3152"</x:definedName>
    <x:definedName name="IQ_PENSION_NET_ASSET_RECOG_DOM" hidden="1">"c3150"</x:definedName>
    <x:definedName name="IQ_PENSION_NET_ASSET_RECOG_FOREIGN" hidden="1">"c3151"</x:definedName>
    <x:definedName name="IQ_PENSION_OBLIGATION_ACQ" hidden="1">"c3206"</x:definedName>
    <x:definedName name="IQ_PENSION_OBLIGATION_ACQ_DOM" hidden="1">"c3204"</x:definedName>
    <x:definedName name="IQ_PENSION_OBLIGATION_ACQ_FOREIGN" hidden="1">"c3205"</x:definedName>
    <x:definedName name="IQ_PENSION_OBLIGATION_ACTUARIAL_GAIN_LOSS" hidden="1">"c3197"</x:definedName>
    <x:definedName name="IQ_PENSION_OBLIGATION_ACTUARIAL_GAIN_LOSS_DOM" hidden="1">"c3195"</x:definedName>
    <x:definedName name="IQ_PENSION_OBLIGATION_ACTUARIAL_GAIN_LOSS_FOREIGN" hidden="1">"c3196"</x:definedName>
    <x:definedName name="IQ_PENSION_OBLIGATION_BEG" hidden="1">"c3185"</x:definedName>
    <x:definedName name="IQ_PENSION_OBLIGATION_BEG_DOM" hidden="1">"c3183"</x:definedName>
    <x:definedName name="IQ_PENSION_OBLIGATION_BEG_FOREIGN" hidden="1">"c3184"</x:definedName>
    <x:definedName name="IQ_PENSION_OBLIGATION_CURTAIL" hidden="1">"c3209"</x:definedName>
    <x:definedName name="IQ_PENSION_OBLIGATION_CURTAIL_DOM" hidden="1">"c3207"</x:definedName>
    <x:definedName name="IQ_PENSION_OBLIGATION_CURTAIL_FOREIGN" hidden="1">"c3208"</x:definedName>
    <x:definedName name="IQ_PENSION_OBLIGATION_EMPLOYEE_CONTRIBUTIONS" hidden="1">"c3194"</x:definedName>
    <x:definedName name="IQ_PENSION_OBLIGATION_EMPLOYEE_CONTRIBUTIONS_DOM" hidden="1">"c3192"</x:definedName>
    <x:definedName name="IQ_PENSION_OBLIGATION_EMPLOYEE_CONTRIBUTIONS_FOREIGN" hidden="1">"c3193"</x:definedName>
    <x:definedName name="IQ_PENSION_OBLIGATION_FX_ADJ" hidden="1">"c3203"</x:definedName>
    <x:definedName name="IQ_PENSION_OBLIGATION_FX_ADJ_DOM" hidden="1">"c3201"</x:definedName>
    <x:definedName name="IQ_PENSION_OBLIGATION_FX_ADJ_FOREIGN" hidden="1">"c3202"</x:definedName>
    <x:definedName name="IQ_PENSION_OBLIGATION_INTEREST_COST" hidden="1">"c3191"</x:definedName>
    <x:definedName name="IQ_PENSION_OBLIGATION_INTEREST_COST_DOM" hidden="1">"c3189"</x:definedName>
    <x:definedName name="IQ_PENSION_OBLIGATION_INTEREST_COST_FOREIGN" hidden="1">"c3190"</x:definedName>
    <x:definedName name="IQ_PENSION_OBLIGATION_OTHER_COST" hidden="1">"c3555"</x:definedName>
    <x:definedName name="IQ_PENSION_OBLIGATION_OTHER_COST_DOM" hidden="1">"c3553"</x:definedName>
    <x:definedName name="IQ_PENSION_OBLIGATION_OTHER_COST_FOREIGN" hidden="1">"c3554"</x:definedName>
    <x:definedName name="IQ_PENSION_OBLIGATION_OTHER_PLAN_ADJ" hidden="1">"c3212"</x:definedName>
    <x:definedName name="IQ_PENSION_OBLIGATION_OTHER_PLAN_ADJ_DOM" hidden="1">"c3210"</x:definedName>
    <x:definedName name="IQ_PENSION_OBLIGATION_OTHER_PLAN_ADJ_FOREIGN" hidden="1">"c3211"</x:definedName>
    <x:definedName name="IQ_PENSION_OBLIGATION_PAID" hidden="1">"c3200"</x:definedName>
    <x:definedName name="IQ_PENSION_OBLIGATION_PAID_DOM" hidden="1">"c3198"</x:definedName>
    <x:definedName name="IQ_PENSION_OBLIGATION_PAID_FOREIGN" hidden="1">"c3199"</x:definedName>
    <x:definedName name="IQ_PENSION_OBLIGATION_PROJECTED" hidden="1">"c3215"</x:definedName>
    <x:definedName name="IQ_PENSION_OBLIGATION_PROJECTED_DOM" hidden="1">"c3213"</x:definedName>
    <x:definedName name="IQ_PENSION_OBLIGATION_PROJECTED_FOREIGN" hidden="1">"c3214"</x:definedName>
    <x:definedName name="IQ_PENSION_OBLIGATION_ROA" hidden="1">"c3552"</x:definedName>
    <x:definedName name="IQ_PENSION_OBLIGATION_ROA_DOM" hidden="1">"c3550"</x:definedName>
    <x:definedName name="IQ_PENSION_OBLIGATION_ROA_FOREIGN" hidden="1">"c3551"</x:definedName>
    <x:definedName name="IQ_PENSION_OBLIGATION_SERVICE_COST" hidden="1">"c3188"</x:definedName>
    <x:definedName name="IQ_PENSION_OBLIGATION_SERVICE_COST_DOM" hidden="1">"c3186"</x:definedName>
    <x:definedName name="IQ_PENSION_OBLIGATION_SERVICE_COST_FOREIGN" hidden="1">"c3187"</x:definedName>
    <x:definedName name="IQ_PENSION_OBLIGATION_TOTAL_COST" hidden="1">"c3558"</x:definedName>
    <x:definedName name="IQ_PENSION_OBLIGATION_TOTAL_COST_DOM" hidden="1">"c3556"</x:definedName>
    <x:definedName name="IQ_PENSION_OBLIGATION_TOTAL_COST_FOREIGN" hidden="1">"c3557"</x:definedName>
    <x:definedName name="IQ_PENSION_OTHER" hidden="1">"c3143"</x:definedName>
    <x:definedName name="IQ_PENSION_OTHER_ADJ" hidden="1">"c3149"</x:definedName>
    <x:definedName name="IQ_PENSION_OTHER_ADJ_DOM" hidden="1">"c3147"</x:definedName>
    <x:definedName name="IQ_PENSION_OTHER_ADJ_FOREIGN" hidden="1">"c3148"</x:definedName>
    <x:definedName name="IQ_PENSION_OTHER_DOM" hidden="1">"c3141"</x:definedName>
    <x:definedName name="IQ_PENSION_OTHER_FOREIGN" hidden="1">"c3142"</x:definedName>
    <x:definedName name="IQ_PENSION_PBO_ASSUMED_RATE_RET_MAX" hidden="1">"c3254"</x:definedName>
    <x:definedName name="IQ_PENSION_PBO_ASSUMED_RATE_RET_MAX_DOM" hidden="1">"c3252"</x:definedName>
    <x:definedName name="IQ_PENSION_PBO_ASSUMED_RATE_RET_MAX_FOREIGN" hidden="1">"c3253"</x:definedName>
    <x:definedName name="IQ_PENSION_PBO_ASSUMED_RATE_RET_MIN" hidden="1">"c3251"</x:definedName>
    <x:definedName name="IQ_PENSION_PBO_ASSUMED_RATE_RET_MIN_DOM" hidden="1">"c3249"</x:definedName>
    <x:definedName name="IQ_PENSION_PBO_ASSUMED_RATE_RET_MIN_FOREIGN" hidden="1">"c3250"</x:definedName>
    <x:definedName name="IQ_PENSION_PBO_RATE_COMP_INCREASE_MAX" hidden="1">"c3260"</x:definedName>
    <x:definedName name="IQ_PENSION_PBO_RATE_COMP_INCREASE_MAX_DOM" hidden="1">"c3258"</x:definedName>
    <x:definedName name="IQ_PENSION_PBO_RATE_COMP_INCREASE_MAX_FOREIGN" hidden="1">"c3259"</x:definedName>
    <x:definedName name="IQ_PENSION_PBO_RATE_COMP_INCREASE_MIN" hidden="1">"c3257"</x:definedName>
    <x:definedName name="IQ_PENSION_PBO_RATE_COMP_INCREASE_MIN_DOM" hidden="1">"c3255"</x:definedName>
    <x:definedName name="IQ_PENSION_PBO_RATE_COMP_INCREASE_MIN_FOREIGN" hidden="1">"c3256"</x:definedName>
    <x:definedName name="IQ_PENSION_PREPAID_COST" hidden="1">"c3131"</x:definedName>
    <x:definedName name="IQ_PENSION_PREPAID_COST_DOM" hidden="1">"c3129"</x:definedName>
    <x:definedName name="IQ_PENSION_PREPAID_COST_FOREIGN" hidden="1">"c3130"</x:definedName>
    <x:definedName name="IQ_PENSION_PROJECTED_OBLIGATION" hidden="1">"c3566"</x:definedName>
    <x:definedName name="IQ_PENSION_PROJECTED_OBLIGATION_DOMESTIC" hidden="1">"c3564"</x:definedName>
    <x:definedName name="IQ_PENSION_PROJECTED_OBLIGATION_FOREIGN" hidden="1">"c3565"</x:definedName>
    <x:definedName name="IQ_PENSION_QUART_ADDL_CONTRIBUTIONS_EXP" hidden="1">"c3224"</x:definedName>
    <x:definedName name="IQ_PENSION_QUART_ADDL_CONTRIBUTIONS_EXP_DOM" hidden="1">"c3222"</x:definedName>
    <x:definedName name="IQ_PENSION_QUART_ADDL_CONTRIBUTIONS_EXP_FOREIGN" hidden="1">"c3223"</x:definedName>
    <x:definedName name="IQ_PENSION_QUART_EMPLOYER_CONTRIBUTIONS" hidden="1">"c3221"</x:definedName>
    <x:definedName name="IQ_PENSION_QUART_EMPLOYER_CONTRIBUTIONS_DOM" hidden="1">"c3219"</x:definedName>
    <x:definedName name="IQ_PENSION_QUART_EMPLOYER_CONTRIBUTIONS_FOREIGN" hidden="1">"c3220"</x:definedName>
    <x:definedName name="IQ_PENSION_RATE_COMP_GROWTH_DOMESTIC" hidden="1">"c3575"</x:definedName>
    <x:definedName name="IQ_PENSION_RATE_COMP_GROWTH_FOREIGN" hidden="1">"c3576"</x:definedName>
    <x:definedName name="IQ_PENSION_RATE_COMP_INCREASE_MAX" hidden="1">"c3242"</x:definedName>
    <x:definedName name="IQ_PENSION_RATE_COMP_INCREASE_MAX_DOM" hidden="1">"c3240"</x:definedName>
    <x:definedName name="IQ_PENSION_RATE_COMP_INCREASE_MAX_FOREIGN" hidden="1">"c3241"</x:definedName>
    <x:definedName name="IQ_PENSION_RATE_COMP_INCREASE_MIN" hidden="1">"c3239"</x:definedName>
    <x:definedName name="IQ_PENSION_RATE_COMP_INCREASE_MIN_DOM" hidden="1">"c3237"</x:definedName>
    <x:definedName name="IQ_PENSION_RATE_COMP_INCREASE_MIN_FOREIGN" hidden="1">"c3238"</x:definedName>
    <x:definedName name="IQ_PENSION_SERVICE_COST" hidden="1">"c3579"</x:definedName>
    <x:definedName name="IQ_PENSION_SERVICE_COST_DOM" hidden="1">"c3577"</x:definedName>
    <x:definedName name="IQ_PENSION_SERVICE_COST_FOREIGN" hidden="1">"c3578"</x:definedName>
    <x:definedName name="IQ_PENSION_TOTAL_ASSETS" hidden="1">"c3563"</x:definedName>
    <x:definedName name="IQ_PENSION_TOTAL_ASSETS_DOMESTIC" hidden="1">"c3561"</x:definedName>
    <x:definedName name="IQ_PENSION_TOTAL_ASSETS_FOREIGN" hidden="1">"c3562"</x:definedName>
    <x:definedName name="IQ_PENSION_TOTAL_EXP" hidden="1">"c3560"</x:definedName>
    <x:definedName name="IQ_PENSION_UNFUNDED_ADDL_MIN_LIAB" hidden="1">"c3227"</x:definedName>
    <x:definedName name="IQ_PENSION_UNFUNDED_ADDL_MIN_LIAB_DOM" hidden="1">"c3225"</x:definedName>
    <x:definedName name="IQ_PENSION_UNFUNDED_ADDL_MIN_LIAB_FOREIGN" hidden="1">"c3226"</x:definedName>
    <x:definedName name="IQ_PENSION_UNRECOG_PRIOR" hidden="1">"c3146"</x:definedName>
    <x:definedName name="IQ_PENSION_UNRECOG_PRIOR_DOM" hidden="1">"c3144"</x:definedName>
    <x:definedName name="IQ_PENSION_UNRECOG_PRIOR_FOREIGN" hidden="1">"c3145"</x:definedName>
    <x:definedName name="IQ_PENSION_UV_LIAB" hidden="1">"c3567"</x:definedName>
    <x:definedName name="IQ_PERCENT_CHANGE_EST_5YR_GROWTH_RATE_12MONTHS" hidden="1">"c1852"</x:definedName>
    <x:definedName name="IQ_PERCENT_CHANGE_EST_5YR_GROWTH_RATE_18MONTHS" hidden="1">"c1853"</x:definedName>
    <x:definedName name="IQ_PERCENT_CHANGE_EST_5YR_GROWTH_RATE_3MONTHS" hidden="1">"c1849"</x:definedName>
    <x:definedName name="IQ_PERCENT_CHANGE_EST_5YR_GROWTH_RATE_6MONTHS" hidden="1">"c1850"</x:definedName>
    <x:definedName name="IQ_PERCENT_CHANGE_EST_5YR_GROWTH_RATE_9MONTHS" hidden="1">"c1851"</x:definedName>
    <x:definedName name="IQ_PERCENT_CHANGE_EST_5YR_GROWTH_RATE_DAY" hidden="1">"c1846"</x:definedName>
    <x:definedName name="IQ_PERCENT_CHANGE_EST_5YR_GROWTH_RATE_MONTH" hidden="1">"c1848"</x:definedName>
    <x:definedName name="IQ_PERCENT_CHANGE_EST_5YR_GROWTH_RATE_WEEK" hidden="1">"c1847"</x:definedName>
    <x:definedName name="IQ_PERCENT_CHANGE_EST_CFPS_12MONTHS" hidden="1">"c1812"</x:definedName>
    <x:definedName name="IQ_PERCENT_CHANGE_EST_CFPS_18MONTHS" hidden="1">"c1813"</x:definedName>
    <x:definedName name="IQ_PERCENT_CHANGE_EST_CFPS_3MONTHS" hidden="1">"c1809"</x:definedName>
    <x:definedName name="IQ_PERCENT_CHANGE_EST_CFPS_6MONTHS" hidden="1">"c1810"</x:definedName>
    <x:definedName name="IQ_PERCENT_CHANGE_EST_CFPS_9MONTHS" hidden="1">"c1811"</x:definedName>
    <x:definedName name="IQ_PERCENT_CHANGE_EST_CFPS_DAY" hidden="1">"c1806"</x:definedName>
    <x:definedName name="IQ_PERCENT_CHANGE_EST_CFPS_MONTH" hidden="1">"c1808"</x:definedName>
    <x:definedName name="IQ_PERCENT_CHANGE_EST_CFPS_WEEK" hidden="1">"c1807"</x:definedName>
    <x:definedName name="IQ_PERCENT_CHANGE_EST_DPS_12MONTHS" hidden="1">"c1820"</x:definedName>
    <x:definedName name="IQ_PERCENT_CHANGE_EST_DPS_18MONTHS" hidden="1">"c1821"</x:definedName>
    <x:definedName name="IQ_PERCENT_CHANGE_EST_DPS_3MONTHS" hidden="1">"c1817"</x:definedName>
    <x:definedName name="IQ_PERCENT_CHANGE_EST_DPS_6MONTHS" hidden="1">"c1818"</x:definedName>
    <x:definedName name="IQ_PERCENT_CHANGE_EST_DPS_9MONTHS" hidden="1">"c1819"</x:definedName>
    <x:definedName name="IQ_PERCENT_CHANGE_EST_DPS_DAY" hidden="1">"c1814"</x:definedName>
    <x:definedName name="IQ_PERCENT_CHANGE_EST_DPS_MONTH" hidden="1">"c1816"</x:definedName>
    <x:definedName name="IQ_PERCENT_CHANGE_EST_DPS_WEEK" hidden="1">"c1815"</x:definedName>
    <x:definedName name="IQ_PERCENT_CHANGE_EST_EBITDA_12MONTHS" hidden="1">"c1804"</x:definedName>
    <x:definedName name="IQ_PERCENT_CHANGE_EST_EBITDA_18MONTHS" hidden="1">"c1805"</x:definedName>
    <x:definedName name="IQ_PERCENT_CHANGE_EST_EBITDA_3MONTHS" hidden="1">"c1801"</x:definedName>
    <x:definedName name="IQ_PERCENT_CHANGE_EST_EBITDA_6MONTHS" hidden="1">"c1802"</x:definedName>
    <x:definedName name="IQ_PERCENT_CHANGE_EST_EBITDA_9MONTHS" hidden="1">"c1803"</x:definedName>
    <x:definedName name="IQ_PERCENT_CHANGE_EST_EBITDA_DAY" hidden="1">"c1798"</x:definedName>
    <x:definedName name="IQ_PERCENT_CHANGE_EST_EBITDA_MONTH" hidden="1">"c1800"</x:definedName>
    <x:definedName name="IQ_PERCENT_CHANGE_EST_EBITDA_WEEK" hidden="1">"c1799"</x:definedName>
    <x:definedName name="IQ_PERCENT_CHANGE_EST_EPS_12MONTHS" hidden="1">"c1788"</x:definedName>
    <x:definedName name="IQ_PERCENT_CHANGE_EST_EPS_18MONTHS" hidden="1">"c1789"</x:definedName>
    <x:definedName name="IQ_PERCENT_CHANGE_EST_EPS_3MONTHS" hidden="1">"c1785"</x:definedName>
    <x:definedName name="IQ_PERCENT_CHANGE_EST_EPS_6MONTHS" hidden="1">"c1786"</x:definedName>
    <x:definedName name="IQ_PERCENT_CHANGE_EST_EPS_9MONTHS" hidden="1">"c1787"</x:definedName>
    <x:definedName name="IQ_PERCENT_CHANGE_EST_EPS_DAY" hidden="1">"c1782"</x:definedName>
    <x:definedName name="IQ_PERCENT_CHANGE_EST_EPS_MONTH" hidden="1">"c1784"</x:definedName>
    <x:definedName name="IQ_PERCENT_CHANGE_EST_EPS_WEEK" hidden="1">"c1783"</x:definedName>
    <x:definedName name="IQ_PERCENT_CHANGE_EST_FFO_12MONTHS" hidden="1">"c1828"</x:definedName>
    <x:definedName name="IQ_PERCENT_CHANGE_EST_FFO_18MONTHS" hidden="1">"c1829"</x:definedName>
    <x:definedName name="IQ_PERCENT_CHANGE_EST_FFO_3MONTHS" hidden="1">"c1825"</x:definedName>
    <x:definedName name="IQ_PERCENT_CHANGE_EST_FFO_6MONTHS" hidden="1">"c1826"</x:definedName>
    <x:definedName name="IQ_PERCENT_CHANGE_EST_FFO_9MONTHS" hidden="1">"c1827"</x:definedName>
    <x:definedName name="IQ_PERCENT_CHANGE_EST_FFO_DAY" hidden="1">"c1822"</x:definedName>
    <x:definedName name="IQ_PERCENT_CHANGE_EST_FFO_MONTH" hidden="1">"c1824"</x:definedName>
    <x:definedName name="IQ_PERCENT_CHANGE_EST_FFO_WEEK" hidden="1">"c1823"</x:definedName>
    <x:definedName name="IQ_PERCENT_CHANGE_EST_PRICE_TARGET_12MONTHS" hidden="1">"c1844"</x:definedName>
    <x:definedName name="IQ_PERCENT_CHANGE_EST_PRICE_TARGET_18MONTHS" hidden="1">"c1845"</x:definedName>
    <x:definedName name="IQ_PERCENT_CHANGE_EST_PRICE_TARGET_3MONTHS" hidden="1">"c1841"</x:definedName>
    <x:definedName name="IQ_PERCENT_CHANGE_EST_PRICE_TARGET_6MONTHS" hidden="1">"c1842"</x:definedName>
    <x:definedName name="IQ_PERCENT_CHANGE_EST_PRICE_TARGET_9MONTHS" hidden="1">"c1843"</x:definedName>
    <x:definedName name="IQ_PERCENT_CHANGE_EST_PRICE_TARGET_DAY" hidden="1">"c1838"</x:definedName>
    <x:definedName name="IQ_PERCENT_CHANGE_EST_PRICE_TARGET_MONTH" hidden="1">"c1840"</x:definedName>
    <x:definedName name="IQ_PERCENT_CHANGE_EST_PRICE_TARGET_WEEK" hidden="1">"c1839"</x:definedName>
    <x:definedName name="IQ_PERCENT_CHANGE_EST_RECO_12MONTHS" hidden="1">"c1836"</x:definedName>
    <x:definedName name="IQ_PERCENT_CHANGE_EST_RECO_18MONTHS" hidden="1">"c1837"</x:definedName>
    <x:definedName name="IQ_PERCENT_CHANGE_EST_RECO_3MONTHS" hidden="1">"c1833"</x:definedName>
    <x:definedName name="IQ_PERCENT_CHANGE_EST_RECO_6MONTHS" hidden="1">"c1834"</x:definedName>
    <x:definedName name="IQ_PERCENT_CHANGE_EST_RECO_9MONTHS" hidden="1">"c1835"</x:definedName>
    <x:definedName name="IQ_PERCENT_CHANGE_EST_RECO_DAY" hidden="1">"c1830"</x:definedName>
    <x:definedName name="IQ_PERCENT_CHANGE_EST_RECO_MONTH" hidden="1">"c1832"</x:definedName>
    <x:definedName name="IQ_PERCENT_CHANGE_EST_RECO_WEEK" hidden="1">"c1831"</x:definedName>
    <x:definedName name="IQ_PERCENT_CHANGE_EST_REV_12MONTHS" hidden="1">"c1796"</x:definedName>
    <x:definedName name="IQ_PERCENT_CHANGE_EST_REV_18MONTHS" hidden="1">"c1797"</x:definedName>
    <x:definedName name="IQ_PERCENT_CHANGE_EST_REV_3MONTHS" hidden="1">"c1793"</x:definedName>
    <x:definedName name="IQ_PERCENT_CHANGE_EST_REV_6MONTHS" hidden="1">"c1794"</x:definedName>
    <x:definedName name="IQ_PERCENT_CHANGE_EST_REV_9MONTHS" hidden="1">"c1795"</x:definedName>
    <x:definedName name="IQ_PERCENT_CHANGE_EST_REV_DAY" hidden="1">"c1790"</x:definedName>
    <x:definedName name="IQ_PERCENT_CHANGE_EST_REV_MONTH" hidden="1">"c1792"</x:definedName>
    <x:definedName name="IQ_PERCENT_CHANGE_EST_REV_WEEK" hidden="1">"c1791"</x:definedName>
    <x:definedName name="IQ_PERIODDATE" hidden="1">"c1414"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OTENTIAL_UPSIDE" hidden="1">"c1855"</x:definedName>
    <x:definedName name="IQ_PRE_OPEN_COST" hidden="1">"c1040"</x:definedName>
    <x:definedName name="IQ_PRE_TAX_ACT_OR_EST" hidden="1">"c2221"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"c1416"</x:definedName>
    <x:definedName name="IQ_PREF_TOT" hidden="1">"c1415"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"c1418"</x:definedName>
    <x:definedName name="IQ_PREPAID_SUBS" hidden="1">"c2117"</x:definedName>
    <x:definedName name="IQ_PRETAX_GW_INC_EST" hidden="1">"c1702"</x:definedName>
    <x:definedName name="IQ_PRETAX_GW_INC_HIGH_EST" hidden="1">"c1704"</x:definedName>
    <x:definedName name="IQ_PRETAX_GW_INC_LOW_EST" hidden="1">"c1705"</x:definedName>
    <x:definedName name="IQ_PRETAX_GW_INC_MEDIAN_EST" hidden="1">"c1703"</x:definedName>
    <x:definedName name="IQ_PRETAX_GW_INC_NUM_EST" hidden="1">"c1706"</x:definedName>
    <x:definedName name="IQ_PRETAX_GW_INC_STDDEV_EST" hidden="1">"c1707"</x:definedName>
    <x:definedName name="IQ_PRETAX_INC_EST" hidden="1">"c1695"</x:definedName>
    <x:definedName name="IQ_PRETAX_INC_HIGH_EST" hidden="1">"c1697"</x:definedName>
    <x:definedName name="IQ_PRETAX_INC_LOW_EST" hidden="1">"c1698"</x:definedName>
    <x:definedName name="IQ_PRETAX_INC_MEDIAN_EST" hidden="1">"c1696"</x:definedName>
    <x:definedName name="IQ_PRETAX_INC_NUM_EST" hidden="1">"c1699"</x:definedName>
    <x:definedName name="IQ_PRETAX_INC_STDDEV_EST" hidden="1">"c1700"</x:definedName>
    <x:definedName name="IQ_PRETAX_REPORT_INC_EST" hidden="1">"c1709"</x:definedName>
    <x:definedName name="IQ_PRETAX_REPORT_INC_HIGH_EST" hidden="1">"c1711"</x:definedName>
    <x:definedName name="IQ_PRETAX_REPORT_INC_LOW_EST" hidden="1">"c1712"</x:definedName>
    <x:definedName name="IQ_PRETAX_REPORT_INC_MEDIAN_EST" hidden="1">"c1710"</x:definedName>
    <x:definedName name="IQ_PRETAX_REPORT_INC_NUM_EST" hidden="1">"c1713"</x:definedName>
    <x:definedName name="IQ_PRETAX_REPORT_INC_STDDEV_EST" hidden="1">"c1714"</x:definedName>
    <x:definedName name="IQ_PRICE_CFPS_FWD" hidden="1">"c2237"</x:definedName>
    <x:definedName name="IQ_PRICE_OVER_BVPS" hidden="1">"c1412"</x:definedName>
    <x:definedName name="IQ_PRICE_OVER_LTM_EPS" hidden="1">"c1413"</x:definedName>
    <x:definedName name="IQ_PRICE_TARGET" hidden="1">"c82"</x:definedName>
    <x:definedName name="IQ_PRICE_TARGET_REUT" hidden="1">"c3631"</x:definedName>
    <x:definedName name="IQ_PRICEDATE" hidden="1">"c1069"</x:definedName>
    <x:definedName name="IQ_PRICING_DATE" hidden="1">"c1613"</x:definedName>
    <x:definedName name="IQ_PRIMARY_INDUSTRY" hidden="1">"c1070"</x:definedName>
    <x:definedName name="IQ_PRINCIPAL_AMT" hidden="1">"c2157"</x:definedName>
    <x:definedName name="IQ_PRO_FORMA_BASIC_EPS" hidden="1">"c1614"</x:definedName>
    <x:definedName name="IQ_PRO_FORMA_DILUT_EPS" hidden="1">"c1615"</x:definedName>
    <x:definedName name="IQ_PRO_FORMA_NET_INC" hidden="1">"c1452"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"c1379"</x:definedName>
    <x:definedName name="IQ_PROPERTY_MGMT_FEE" hidden="1">"c1074"</x:definedName>
    <x:definedName name="IQ_PROPERTY_NET" hidden="1">"c1402"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AL_ESTATE" hidden="1">"c1093"</x:definedName>
    <x:definedName name="IQ_REAL_ESTATE_ASSETS" hidden="1">"c1094"</x:definedName>
    <x:definedName name="IQ_RECURRING_PROFIT_ACT_OR_EST" hidden="1">"c4507"</x:definedName>
    <x:definedName name="IQ_RECURRING_PROFIT_SHARE_ACT_OR_EST" hidden="1">"c4508"</x:definedName>
    <x:definedName name="IQ_REDEEM_PREF_STOCK" hidden="1">"c1417"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NTAL_REV" hidden="1">"c1101"</x:definedName>
    <x:definedName name="IQ_RESEARCH_DEV" hidden="1">"c1419"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R_STOCK_COMP" hidden="1">"c3506"</x:definedName>
    <x:definedName name="IQ_RESTR_STOCK_COMP_PRETAX" hidden="1">"c3504"</x:definedName>
    <x:definedName name="IQ_RESTR_STOCK_COMP_TAX" hidden="1">"c3505"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"c1420"</x:definedName>
    <x:definedName name="IQ_RETURN_ASSETS" hidden="1">"c1113"</x:definedName>
    <x:definedName name="IQ_RETURN_ASSETS_ACT_OR_EST" hidden="1">"c3585"</x:definedName>
    <x:definedName name="IQ_RETURN_ASSETS_BANK" hidden="1">"c1114"</x:definedName>
    <x:definedName name="IQ_RETURN_ASSETS_BROK" hidden="1">"c1115"</x:definedName>
    <x:definedName name="IQ_RETURN_ASSETS_EST" hidden="1">"c3529"</x:definedName>
    <x:definedName name="IQ_RETURN_ASSETS_FS" hidden="1">"c1116"</x:definedName>
    <x:definedName name="IQ_RETURN_ASSETS_HIGH_EST" hidden="1">"c3530"</x:definedName>
    <x:definedName name="IQ_RETURN_ASSETS_LOW_EST" hidden="1">"c3531"</x:definedName>
    <x:definedName name="IQ_RETURN_ASSETS_MEDIAN_EST" hidden="1">"c3532"</x:definedName>
    <x:definedName name="IQ_RETURN_ASSETS_NUM_EST" hidden="1">"c3527"</x:definedName>
    <x:definedName name="IQ_RETURN_ASSETS_STDDEV_EST" hidden="1">"c3528"</x:definedName>
    <x:definedName name="IQ_RETURN_CAPITAL" hidden="1">"c1117"</x:definedName>
    <x:definedName name="IQ_RETURN_EQUITY" hidden="1">"c1118"</x:definedName>
    <x:definedName name="IQ_RETURN_EQUITY_ACT_OR_EST" hidden="1">"c3586"</x:definedName>
    <x:definedName name="IQ_RETURN_EQUITY_BANK" hidden="1">"c1119"</x:definedName>
    <x:definedName name="IQ_RETURN_EQUITY_BROK" hidden="1">"c1120"</x:definedName>
    <x:definedName name="IQ_RETURN_EQUITY_EST" hidden="1">"c3535"</x:definedName>
    <x:definedName name="IQ_RETURN_EQUITY_FS" hidden="1">"c1121"</x:definedName>
    <x:definedName name="IQ_RETURN_EQUITY_HIGH_EST" hidden="1">"c3536"</x:definedName>
    <x:definedName name="IQ_RETURN_EQUITY_LOW_EST" hidden="1">"c3537"</x:definedName>
    <x:definedName name="IQ_RETURN_EQUITY_MEDIAN_EST" hidden="1">"c3538"</x:definedName>
    <x:definedName name="IQ_RETURN_EQUITY_NUM_EST" hidden="1">"c3533"</x:definedName>
    <x:definedName name="IQ_RETURN_EQUITY_STDDEV_EST" hidden="1">"c3534"</x:definedName>
    <x:definedName name="IQ_RETURN_INVESTMENT" hidden="1">"c1421"</x:definedName>
    <x:definedName name="IQ_REV" hidden="1">"c1122"</x:definedName>
    <x:definedName name="IQ_REV_BEFORE_LL" hidden="1">"c1123"</x:definedName>
    <x:definedName name="IQ_REV_STDDEV_EST" hidden="1">"c1124"</x:definedName>
    <x:definedName name="IQ_REV_STDDEV_EST_REUT" hidden="1">"c3639"</x:definedName>
    <x:definedName name="IQ_REV_UTI" hidden="1">"c1125"</x:definedName>
    <x:definedName name="IQ_REVENUE" hidden="1">"c1422"</x:definedName>
    <x:definedName name="IQ_REVENUE_ACT_OR_EST" hidden="1">"c2214"</x:definedName>
    <x:definedName name="IQ_REVENUE_EST" hidden="1">"c1126"</x:definedName>
    <x:definedName name="IQ_REVENUE_EST_REUT" hidden="1">"c3634"</x:definedName>
    <x:definedName name="IQ_REVENUE_HIGH_EST" hidden="1">"c1127"</x:definedName>
    <x:definedName name="IQ_REVENUE_HIGH_EST_REUT" hidden="1">"c3636"</x:definedName>
    <x:definedName name="IQ_REVENUE_LOW_EST" hidden="1">"c1128"</x:definedName>
    <x:definedName name="IQ_REVENUE_LOW_EST_REUT" hidden="1">"c3637"</x:definedName>
    <x:definedName name="IQ_REVENUE_MEDIAN_EST" hidden="1">"c1662"</x:definedName>
    <x:definedName name="IQ_REVENUE_MEDIAN_EST_REUT" hidden="1">"c3635"</x:definedName>
    <x:definedName name="IQ_REVENUE_NUM_EST" hidden="1">"c1129"</x:definedName>
    <x:definedName name="IQ_REVENUE_NUM_EST_REUT" hidden="1">"c3638"</x:definedName>
    <x:definedName name="IQ_REVISION_DATE_" hidden="1">38961.7261689815</x:definedName>
    <x:definedName name="IQ_RISK_ADJ_BANK_ASSETS" hidden="1">"c2670"</x:definedName>
    <x:definedName name="IQ_SALARY" hidden="1">"c1130"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_PURCHASED_RESELL" hidden="1">"c5513"</x:definedName>
    <x:definedName name="IQ_SECUR_RECEIV" hidden="1">"c1151"</x:definedName>
    <x:definedName name="IQ_SECURED_DEBT" hidden="1">"c2546"</x:definedName>
    <x:definedName name="IQ_SECURED_DEBT_PCT" hidden="1">"c2547"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"c1347"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"c1425"</x:definedName>
    <x:definedName name="IQ_SMALL_INT_BEAR_CD" hidden="1">"c1166"</x:definedName>
    <x:definedName name="IQ_SOFTWARE" hidden="1">"c1167"</x:definedName>
    <x:definedName name="IQ_SOURCE" hidden="1">"c1168"</x:definedName>
    <x:definedName name="IQ_SP_BANK" hidden="1">"c2637"</x:definedName>
    <x:definedName name="IQ_SP_BANK_ACTION" hidden="1">"c2636"</x:definedName>
    <x:definedName name="IQ_SP_BANK_DATE" hidden="1">"c2635"</x:definedName>
    <x:definedName name="IQ_SP_FIN_ENHANCE_FX" hidden="1">"c2631"</x:definedName>
    <x:definedName name="IQ_SP_FIN_ENHANCE_FX_ACTION" hidden="1">"c2630"</x:definedName>
    <x:definedName name="IQ_SP_FIN_ENHANCE_FX_DATE" hidden="1">"c2629"</x:definedName>
    <x:definedName name="IQ_SP_FIN_ENHANCE_LC" hidden="1">"c2634"</x:definedName>
    <x:definedName name="IQ_SP_FIN_ENHANCE_LC_ACTION" hidden="1">"c2633"</x:definedName>
    <x:definedName name="IQ_SP_FIN_ENHANCE_LC_DATE" hidden="1">"c2632"</x:definedName>
    <x:definedName name="IQ_SP_FIN_STRENGTH_LC_ACTION_LT" hidden="1">"c2625"</x:definedName>
    <x:definedName name="IQ_SP_FIN_STRENGTH_LC_ACTION_ST" hidden="1">"c2626"</x:definedName>
    <x:definedName name="IQ_SP_FIN_STRENGTH_LC_DATE_LT" hidden="1">"c2623"</x:definedName>
    <x:definedName name="IQ_SP_FIN_STRENGTH_LC_DATE_ST" hidden="1">"c2624"</x:definedName>
    <x:definedName name="IQ_SP_FIN_STRENGTH_LC_LT" hidden="1">"c2627"</x:definedName>
    <x:definedName name="IQ_SP_FIN_STRENGTH_LC_ST" hidden="1">"c2628"</x:definedName>
    <x:definedName name="IQ_SP_FX_ACTION_LT" hidden="1">"c2613"</x:definedName>
    <x:definedName name="IQ_SP_FX_ACTION_ST" hidden="1">"c2614"</x:definedName>
    <x:definedName name="IQ_SP_FX_DATE_LT" hidden="1">"c2611"</x:definedName>
    <x:definedName name="IQ_SP_FX_DATE_ST" hidden="1">"c2612"</x:definedName>
    <x:definedName name="IQ_SP_FX_LT" hidden="1">"c2615"</x:definedName>
    <x:definedName name="IQ_SP_FX_ST" hidden="1">"c2616"</x:definedName>
    <x:definedName name="IQ_SP_ISSUE_ACTION" hidden="1">"c2644"</x:definedName>
    <x:definedName name="IQ_SP_ISSUE_DATE" hidden="1">"c2643"</x:definedName>
    <x:definedName name="IQ_SP_ISSUE_LT" hidden="1">"c2645"</x:definedName>
    <x:definedName name="IQ_SP_ISSUE_OUTLOOK_WATCH" hidden="1">"c2650"</x:definedName>
    <x:definedName name="IQ_SP_ISSUE_OUTLOOK_WATCH_DATE" hidden="1">"c2649"</x:definedName>
    <x:definedName name="IQ_SP_ISSUE_RECOVER" hidden="1">"c2648"</x:definedName>
    <x:definedName name="IQ_SP_ISSUE_RECOVER_ACTION" hidden="1">"c2647"</x:definedName>
    <x:definedName name="IQ_SP_ISSUE_RECOVER_DATE" hidden="1">"c2646"</x:definedName>
    <x:definedName name="IQ_SP_LC_ACTION_LT" hidden="1">"c2619"</x:definedName>
    <x:definedName name="IQ_SP_LC_ACTION_ST" hidden="1">"c2620"</x:definedName>
    <x:definedName name="IQ_SP_LC_DATE_LT" hidden="1">"c2617"</x:definedName>
    <x:definedName name="IQ_SP_LC_DATE_ST" hidden="1">"c2618"</x:definedName>
    <x:definedName name="IQ_SP_LC_LT" hidden="1">"c2621"</x:definedName>
    <x:definedName name="IQ_SP_LC_ST" hidden="1">"c2622"</x:definedName>
    <x:definedName name="IQ_SP_OUTLOOK_WATCH" hidden="1">"c2639"</x:definedName>
    <x:definedName name="IQ_SP_OUTLOOK_WATCH_DATE" hidden="1">"c2638"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COMP" hidden="1">"c3512"</x:definedName>
    <x:definedName name="IQ_STOCK_BASED_COMP_PRETAX" hidden="1">"c3510"</x:definedName>
    <x:definedName name="IQ_STOCK_BASED_COMP_TAX" hidden="1">"c3511"</x:definedName>
    <x:definedName name="IQ_STOCK_BASED_GA" hidden="1">"c2993"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TOTAL" hidden="1">"c3040"</x:definedName>
    <x:definedName name="IQ_STOCK_OPTIONS_COMP" hidden="1">"c3509"</x:definedName>
    <x:definedName name="IQ_STOCK_OPTIONS_COMP_PRETAX" hidden="1">"c3507"</x:definedName>
    <x:definedName name="IQ_STOCK_OPTIONS_COMP_TAX" hidden="1">"c3508"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VA" hidden="1">"c1214"</x:definedName>
    <x:definedName name="IQ_TARGET_PRICE_NUM" hidden="1">"c1653"</x:definedName>
    <x:definedName name="IQ_TARGET_PRICE_NUM_REUT" hidden="1">"c5319"</x:definedName>
    <x:definedName name="IQ_TARGET_PRICE_STDDEV" hidden="1">"c1654"</x:definedName>
    <x:definedName name="IQ_TARGET_PRICE_STDDEV_REUT" hidden="1">"c5320"</x:definedName>
    <x:definedName name="IQ_TAX_BENEFIT_CF_1YR" hidden="1">"c3483"</x:definedName>
    <x:definedName name="IQ_TAX_BENEFIT_CF_2YR" hidden="1">"c3484"</x:definedName>
    <x:definedName name="IQ_TAX_BENEFIT_CF_3YR" hidden="1">"c3485"</x:definedName>
    <x:definedName name="IQ_TAX_BENEFIT_CF_4YR" hidden="1">"c3486"</x:definedName>
    <x:definedName name="IQ_TAX_BENEFIT_CF_5YR" hidden="1">"c3487"</x:definedName>
    <x:definedName name="IQ_TAX_BENEFIT_CF_AFTER_FIVE" hidden="1">"c3488"</x:definedName>
    <x:definedName name="IQ_TAX_BENEFIT_CF_MAX_YEAR" hidden="1">"c3491"</x:definedName>
    <x:definedName name="IQ_TAX_BENEFIT_CF_NO_EXP" hidden="1">"c3489"</x:definedName>
    <x:definedName name="IQ_TAX_BENEFIT_CF_TOTAL" hidden="1">"c3490"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_FWD" hidden="1">"c2238"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BITDA_FWD_REUT" hidden="1">"c4050"</x:definedName>
    <x:definedName name="IQ_TEV_EMPLOYEE_AVG" hidden="1">"c1225"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TOTAL_REV_FWD_REUT" hidden="1">"c4051"</x:definedName>
    <x:definedName name="IQ_TEV_UFCF" hidden="1">"c2208"</x:definedName>
    <x:definedName name="IQ_TIER_ONE_CAPITAL" hidden="1">"c2667"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"c1455"</x:definedName>
    <x:definedName name="IQ_TOTAL_CASH_FINAN" hidden="1">"c1352"</x:definedName>
    <x:definedName name="IQ_TOTAL_CASH_INVEST" hidden="1">"c1353"</x:definedName>
    <x:definedName name="IQ_TOTAL_CASH_OPER" hidden="1">"c1354"</x:definedName>
    <x:definedName name="IQ_TOTAL_CHURN" hidden="1">"c2122"</x:definedName>
    <x:definedName name="IQ_TOTAL_CL" hidden="1">"c1245"</x:definedName>
    <x:definedName name="IQ_TOTAL_COMMON" hidden="1">"c1411"</x:definedName>
    <x:definedName name="IQ_TOTAL_COMMON_EQUITY" hidden="1">"c1246"</x:definedName>
    <x:definedName name="IQ_TOTAL_CURRENT_ASSETS" hidden="1">"c1430"</x:definedName>
    <x:definedName name="IQ_TOTAL_CURRENT_LIAB" hidden="1">"c1431"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XCL_FIN" hidden="1">"c2937"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OVER_EBITDA" hidden="1">"c1433"</x:definedName>
    <x:definedName name="IQ_TOTAL_DEBT_OVER_TOTAL_BV" hidden="1">"c1434"</x:definedName>
    <x:definedName name="IQ_TOTAL_DEBT_OVER_TOTAL_CAP" hidden="1">"c1432"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POSITS" hidden="1">"c1265"</x:definedName>
    <x:definedName name="IQ_TOTAL_DIV_PAID_CF" hidden="1">"c1266"</x:definedName>
    <x:definedName name="IQ_TOTAL_EMPLOYEE" hidden="1">"c2141"</x:definedName>
    <x:definedName name="IQ_TOTAL_EMPLOYEES" hidden="1">"c1522"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"c1382"</x:definedName>
    <x:definedName name="IQ_TOTAL_INVENTORY" hidden="1">"c1385"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"c1435"</x:definedName>
    <x:definedName name="IQ_TOTAL_LIAB_TOTAL_ASSETS" hidden="1">"c1283"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"c1436"</x:definedName>
    <x:definedName name="IQ_TOTAL_SPECIAL" hidden="1">"c1618"</x:definedName>
    <x:definedName name="IQ_TOTAL_ST_BORROW" hidden="1">"c1424"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UNUSUAL" hidden="1">"c1508"</x:definedName>
    <x:definedName name="IQ_TOTAL_UNUSUAL_BNK" hidden="1">"c5516"</x:definedName>
    <x:definedName name="IQ_TOTAL_UNUSUAL_BR" hidden="1">"c5517"</x:definedName>
    <x:definedName name="IQ_TOTAL_UNUSUAL_FIN" hidden="1">"c5518"</x:definedName>
    <x:definedName name="IQ_TOTAL_UNUSUAL_INS" hidden="1">"c5519"</x:definedName>
    <x:definedName name="IQ_TOTAL_UNUSUAL_REIT" hidden="1">"c5520"</x:definedName>
    <x:definedName name="IQ_TOTAL_UNUSUAL_UTI" hidden="1">"c5521"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_EQ_INC" hidden="1">"c3611"</x:definedName>
    <x:definedName name="IQ_TR_ACQ_EBITDA" hidden="1">"c2381"</x:definedName>
    <x:definedName name="IQ_TR_ACQ_EBITDA_EQ_INC" hidden="1">"c3610"</x:definedName>
    <x:definedName name="IQ_TR_ACQ_FILING_CURRENCY" hidden="1">"c3033"</x:definedName>
    <x:definedName name="IQ_TR_ACQ_FILINGDATE" hidden="1">"c3607"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ERIODDATE" hidden="1">"c3606"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INIT_FILED_DATE" hidden="1">"c3495"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_EQ_INC" hidden="1">"c3609"</x:definedName>
    <x:definedName name="IQ_TR_TARGET_EBITDA" hidden="1">"c2334"</x:definedName>
    <x:definedName name="IQ_TR_TARGET_EBITDA_EQ_INC" hidden="1">"c3608"</x:definedName>
    <x:definedName name="IQ_TR_TARGET_FILING_CURRENCY" hidden="1">"c3034"</x:definedName>
    <x:definedName name="IQ_TR_TARGET_FILINGDATE" hidden="1">"c3605"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ERIODDATE" hidden="1">"c3604"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"c1345"</x:definedName>
    <x:definedName name="IQ_TRADE_PRINCIPAL" hidden="1">"c1309"</x:definedName>
    <x:definedName name="IQ_TRADING_ASSETS" hidden="1">"c1310"</x:definedName>
    <x:definedName name="IQ_TRADING_CURRENCY" hidden="1">"c2212"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"c1438"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LEVERED_FCF" hidden="1">"c1908"</x:definedName>
    <x:definedName name="IQ_UNPAID_CLAIMS" hidden="1">"c1330"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UAL_EXP" hidden="1">"c1456"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COST_REV_ADJ" hidden="1">"c2951"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IGHTED_AVG_PRICE" hidden="1">"c1334"</x:definedName>
    <x:definedName name="IQ_WIP_INV" hidden="1">"c1335"</x:definedName>
    <x:definedName name="IQ_WORKING_CAP" hidden="1">"c3494"</x:definedName>
    <x:definedName name="IQ_WORKMEN_WRITTEN" hidden="1">"c1336"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JANAM">'[5]ADDL MATCH'!$E$9:$I$30</x:definedName>
    <x:definedName name="JANDAD">'[5]DIVIDEND APPLIED TO DEBT'!$C$8:$E$29</x:definedName>
    <x:definedName name="JANDSD">'[5]DEBT SERV DEF'!$E$9:$G$30</x:definedName>
    <x:definedName name="JANII">'[5]INT INCURRED'!$C$8:$E$29</x:definedName>
    <x:definedName name="JANPA">'[5]PRINC AMORT'!$C$8:$E$29</x:definedName>
    <x:definedName name="JULAM">'[5]ADDL MATCH'!$E$159:$I$180</x:definedName>
    <x:definedName name="JULDAD">'[5]DIVIDEND APPLIED TO DEBT'!$C$155:$E$176</x:definedName>
    <x:definedName name="JULDSD">'[5]DEBT SERV DEF'!$E$59:$G$80</x:definedName>
    <x:definedName name="JULII">'[5]INT INCURRED'!$C$155:$E$176</x:definedName>
    <x:definedName name="JULPA">'[5]PRINC AMORT'!$C$155:$E$176</x:definedName>
    <x:definedName name="JUNAM">'[5]ADDL MATCH'!$E$134:$I$155</x:definedName>
    <x:definedName name="JUNDAD">'[5]DIVIDEND APPLIED TO DEBT'!$C$131:$E$152</x:definedName>
    <x:definedName name="JUNDR">'[5]DIVD REPL'!$C$34:$E$55</x:definedName>
    <x:definedName name="JUNII">'[5]INT INCURRED'!$C$131:$E$152</x:definedName>
    <x:definedName name="JUNPA">'[5]PRINC AMORT'!$C$131:$E$152</x:definedName>
    <x:definedName name="KeyControlFigure">#REF!</x:definedName>
    <x:definedName name="KIT" localSheetId="0" hidden="1">{"equity comps",#N/A,FALSE,"CS Comps";"equity comps",#N/A,FALSE,"PS Comps";"equity comps",#N/A,FALSE,"GIC_Comps";"equity comps",#N/A,FALSE,"GIC2_Comps"}</x:definedName>
    <x:definedName name="KIT" hidden="1">{"equity comps",#N/A,FALSE,"CS Comps";"equity comps",#N/A,FALSE,"PS Comps";"equity comps",#N/A,FALSE,"GIC_Comps";"equity comps",#N/A,FALSE,"GIC2_Comps"}</x:definedName>
    <x:definedName name="kol" localSheetId="0" hidden="1">{"away stand alones",#N/A,FALSE,"Target"}</x:definedName>
    <x:definedName name="kol" hidden="1">{"away stand alones",#N/A,FALSE,"Target"}</x:definedName>
    <x:definedName name="Labels">[1]Detailed!#REF!</x:definedName>
    <x:definedName name="Ledgers">#N/A</x:definedName>
    <x:definedName name="limcount" hidden="1">1</x:definedName>
    <x:definedName name="Lines">[7]JOURNAL!#REF!</x:definedName>
    <x:definedName name="ListOfManagers">#REF!</x:definedName>
    <x:definedName name="Location">'[2]2281011 Project Drill'!#REF!</x:definedName>
    <x:definedName name="Location2">'[2]2281011 Project Drill'!#REF!</x:definedName>
    <x:definedName name="LocationDescr">'[2]2281011 Project Drill'!#REF!</x:definedName>
    <x:definedName name="LocationDescr2">'[2]2281011 Project Drill'!#REF!</x:definedName>
    <x:definedName name="MARAM">'[5]ADDL MATCH'!$E$59:$I$80</x:definedName>
    <x:definedName name="MARDAD">'[5]DIVIDEND APPLIED TO DEBT'!$C$56:$E$77</x:definedName>
    <x:definedName name="MARDR">'[5]DIVD REPL'!$C$9:$E$30</x:definedName>
    <x:definedName name="MARII">'[5]INT INCURRED'!$C$56:$E$77</x:definedName>
    <x:definedName name="MARPA">'[5]PRINC AMORT'!$C$56:$E$77</x:definedName>
    <x:definedName name="mason?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?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hidden="1">{#N/A,#N/A,FALSE,"Data &amp; Key Results";#N/A,#N/A,FALSE,"Summary Template";#N/A,#N/A,FALSE,"Budget";#N/A,#N/A,FALSE,"Present Value Comparison";#N/A,#N/A,FALSE,"Cashflow";#N/A,#N/A,FALSE,"Income";#N/A,#N/A,FALSE,"Inputs"}</x:definedName>
    <x:definedName name="MAYAM">'[5]ADDL MATCH'!$E$109:$I$130</x:definedName>
    <x:definedName name="MAYDAD">'[5]DIVIDEND APPLIED TO DEBT'!$C$106:$E$127</x:definedName>
    <x:definedName name="MAYII">'[5]INT INCURRED'!$C$106:$E$127</x:definedName>
    <x:definedName name="MAYPA">'[5]PRINC AMORT'!$C$106:$E$127</x:definedName>
    <x:definedName name="MgrList">#REF!</x:definedName>
    <x:definedName name="Mktsize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onthNumber">[1]Detailed!#REF!</x:definedName>
    <x:definedName name="New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ew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noidea" localSheetId="0" hidden="1">{#N/A,#N/A,FALSE,"Calc";#N/A,#N/A,FALSE,"Sensitivity";#N/A,#N/A,FALSE,"LT Earn.Dil.";#N/A,#N/A,FALSE,"Dil. AVP"}</x:definedName>
    <x:definedName name="noidea" hidden="1">{#N/A,#N/A,FALSE,"Calc";#N/A,#N/A,FALSE,"Sensitivity";#N/A,#N/A,FALSE,"LT Earn.Dil.";#N/A,#N/A,FALSE,"Dil. AVP"}</x:definedName>
    <x:definedName name="NOIDEA2" localSheetId="0" hidden="1">{#N/A,#N/A,FALSE,"Calc";#N/A,#N/A,FALSE,"Sensitivity";#N/A,#N/A,FALSE,"LT Earn.Dil.";#N/A,#N/A,FALSE,"Dil. AVP"}</x:definedName>
    <x:definedName name="NOIDEA2" hidden="1">{#N/A,#N/A,FALSE,"Calc";#N/A,#N/A,FALSE,"Sensitivity";#N/A,#N/A,FALSE,"LT Earn.Dil.";#N/A,#N/A,FALSE,"Dil. AVP"}</x:definedName>
    <x:definedName name="NOVAM">'[5]ADDL MATCH'!$E$259:$I$280</x:definedName>
    <x:definedName name="NOVDAD">'[5]DIVIDEND APPLIED TO DEBT'!$C$251:$E$272</x:definedName>
    <x:definedName name="NOVII">'[5]INT INCURRED'!$C$251:$E$272</x:definedName>
    <x:definedName name="NOVPA">'[5]PRINC AMORT'!$C$251:$E$272</x:definedName>
    <x:definedName name="NvsAnswerCol">"'[ARLATENT.xls]BU Descriptions'!$A$5:$A$211"</x:definedName>
    <x:definedName name="NvsASD">"V2024-12-31"</x:definedName>
    <x:definedName name="NvsAutoDrillOk">"VN"</x:definedName>
    <x:definedName name="NvsElapsedTime">0.000185185184818693</x:definedName>
    <x:definedName name="NvsEndTime">44512.4267939815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Mar 2004.xls]Sheet1'!$K$99"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.F_ACNT_D_NONRG">"YSNYN"</x:definedName>
    <x:definedName name="NvsTree.F_BU_D_BASE_FCR">"YSNNN"</x:definedName>
    <x:definedName name="NvsTreeASD">"V2024-12-31"</x:definedName>
    <x:definedName name="NvsValTbl.ACCOUNT">"GL_ACCOUNT_TBL"</x:definedName>
    <x:definedName name="NvsValTbl.AFFILIATE">"AFFILIATE_VW"</x:definedName>
    <x:definedName name="NvsValTbl.BUSINESS_UNIT">"BUS_UNIT_TBL_AP"</x:definedName>
    <x:definedName name="NvsValTbl.CURRENCY_CD">"CURRENCY_CD_TBL"</x:definedName>
    <x:definedName name="NvsValTbl.DEPTID">"DEPARTMENT_TBL"</x:definedName>
    <x:definedName name="NvsValTbl.PF_SCENARIO_ID">"PF_SCENARIO_VW"</x:definedName>
    <x:definedName name="NvsValTbl.PROJECT_ID">"PROJECT"</x:definedName>
    <x:definedName name="NvsValTbl.SCENARIO">"SCENARIO_ALL_VW"</x:definedName>
    <x:definedName name="NvsValTbl.TU_EC">"TU_EC_TBL"</x:definedName>
    <x:definedName name="NvsValTbl.TU_LOCATION">"TU_LOC_TBL"</x:definedName>
    <x:definedName name="OCTAM">'[5]ADDL MATCH'!$E$234:$I$255</x:definedName>
    <x:definedName name="OCTDAD">'[5]DIVIDEND APPLIED TO DEBT'!$C$227:$E$248</x:definedName>
    <x:definedName name="OCTDSD">'[5]DEBT SERV DEF'!$E$84:$G$105</x:definedName>
    <x:definedName name="OCTII">'[5]INT INCURRED'!$C$227:$E$248</x:definedName>
    <x:definedName name="OCTPA">'[5]PRINC AMORT'!$C$227:$E$248</x:definedName>
    <x: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P" localSheetId="0" hidden="1">{#N/A,#N/A,FALSE,"Operations";#N/A,#N/A,FALSE,"Financials"}</x:definedName>
    <x:definedName name="OP" hidden="1">{#N/A,#N/A,FALSE,"Operations";#N/A,#N/A,FALSE,"Financials"}</x:definedName>
    <x:definedName name="PED">'[4]12-31-2024 Bal Sheet'!#REF!</x:definedName>
    <x:definedName name="Period">[1]Detailed!#REF!</x:definedName>
    <x:definedName name="po" localSheetId="0" hidden="1">{#N/A,#N/A,FALSE,"Calc";#N/A,#N/A,FALSE,"Sensitivity";#N/A,#N/A,FALSE,"LT Earn.Dil.";#N/A,#N/A,FALSE,"Dil. AVP"}</x:definedName>
    <x:definedName name="po" hidden="1">{#N/A,#N/A,FALSE,"Calc";#N/A,#N/A,FALSE,"Sensitivity";#N/A,#N/A,FALSE,"LT Earn.Dil.";#N/A,#N/A,FALSE,"Dil. AVP"}</x:definedName>
    <x: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poi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_xlnm.Print_Area" localSheetId="0">'Dkt 53601 Pension-OPEBs unamort'!$A$1:$N$99</x:definedName>
    <x:definedName name="prout" localSheetId="0" hidden="1">{"comp1",#N/A,FALSE,"COMPS";"footnotes",#N/A,FALSE,"COMPS"}</x:definedName>
    <x:definedName name="prout" hidden="1">{"comp1",#N/A,FALSE,"COMPS";"footnotes",#N/A,FALSE,"COMPS"}</x:definedName>
    <x:definedName name="qewreqrqwer" localSheetId="0" hidden="1">{"comp1",#N/A,FALSE,"COMPS";"footnotes",#N/A,FALSE,"COMPS"}</x:definedName>
    <x:definedName name="qewreqrqwer" hidden="1">{"comp1",#N/A,FALSE,"COMPS";"footnotes",#N/A,FALSE,"COMPS"}</x:definedName>
    <x:definedName name="qq" localSheetId="0" hidden="1">{"equity comps",#N/A,FALSE,"CS Comps";"equity comps",#N/A,FALSE,"PS Comps";"equity comps",#N/A,FALSE,"GIC_Comps";"equity comps",#N/A,FALSE,"GIC2_Comps"}</x:definedName>
    <x:definedName name="qq" hidden="1">{"equity comps",#N/A,FALSE,"CS Comps";"equity comps",#N/A,FALSE,"PS Comps";"equity comps",#N/A,FALSE,"GIC_Comps";"equity comps",#N/A,FALSE,"GIC2_Comps"}</x:definedName>
    <x:definedName name="qqqqqq" localSheetId="0" hidden="1">{"FCB_ALL",#N/A,FALSE,"FCB"}</x:definedName>
    <x:definedName name="qqqqqq" hidden="1">{"FCB_ALL",#N/A,FALSE,"FCB"}</x:definedName>
    <x:definedName name="qwe" localSheetId="0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r" localSheetId="0" hidden="1">{"hiden",#N/A,FALSE,"14";"hidden",#N/A,FALSE,"16";"hidden",#N/A,FALSE,"18";"hidden",#N/A,FALSE,"20"}</x:definedName>
    <x:definedName name="qwer" hidden="1">{"hiden",#N/A,FALSE,"14";"hidden",#N/A,FALSE,"16";"hidden",#N/A,FALSE,"18";"hidden",#N/A,FALSE,"20"}</x:definedName>
    <x:definedName name="qwerqewr" localSheetId="0" hidden="1">{#N/A,#N/A,FALSE,"Calc";#N/A,#N/A,FALSE,"Sensitivity";#N/A,#N/A,FALSE,"LT Earn.Dil.";#N/A,#N/A,FALSE,"Dil. AVP"}</x:definedName>
    <x:definedName name="qwerqewr" hidden="1">{#N/A,#N/A,FALSE,"Calc";#N/A,#N/A,FALSE,"Sensitivity";#N/A,#N/A,FALSE,"LT Earn.Dil.";#N/A,#N/A,FALSE,"Dil. AVP"}</x:definedName>
    <x:definedName name="qwerqwerq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qwerqwerq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RespMger">#REF!</x:definedName>
    <x:definedName name="rngResHeaders">#REF!</x:definedName>
    <x:definedName name="rngURL">#REF!</x:definedName>
    <x:definedName name="rngXmlConst">#REF!</x:definedName>
    <x:definedName name="rrrr" localSheetId="0" hidden="1">{"comp1",#N/A,FALSE,"COMPS";"footnotes",#N/A,FALSE,"COMPS"}</x:definedName>
    <x:definedName name="rrrr" hidden="1">{"comp1",#N/A,FALSE,"COMPS";"footnotes",#N/A,FALSE,"COMPS"}</x:definedName>
    <x:definedName name="rty" localSheetId="0" hidden="1">{#N/A,#N/A,TRUE,"Pro Forma";#N/A,#N/A,TRUE,"PF_Bal";#N/A,#N/A,TRUE,"PF_INC";#N/A,#N/A,TRUE,"CBE";#N/A,#N/A,TRUE,"SWK"}</x:definedName>
    <x:definedName name="rty" hidden="1">{#N/A,#N/A,TRUE,"Pro Forma";#N/A,#N/A,TRUE,"PF_Bal";#N/A,#N/A,TRUE,"PF_INC";#N/A,#N/A,TRUE,"CBE";#N/A,#N/A,TRUE,"SWK"}</x:definedName>
    <x:definedName name="saaaaaaaaaaaaaaa" localSheetId="0" hidden="1">{"up stand alones",#N/A,FALSE,"Acquiror"}</x:definedName>
    <x:definedName name="saaaaaaaaaaaaaaa" hidden="1">{"up stand alones",#N/A,FALSE,"Acquiror"}</x:definedName>
    <x:definedName name="sadfsdfsdfsaf" localSheetId="0" hidden="1">{"wpocash",#N/A,FALSE,"WPOALLT";"wpoinc",#N/A,FALSE,"WPOALLT";"wpobroad",#N/A,FALSE,"WPOALLT";"wpocable",#N/A,FALSE,"WPOALLT";"wpoexcl",#N/A,FALSE,"WPOALLT";"wponwsweek",#N/A,FALSE,"WPOALLT";"wpopost",#N/A,FALSE,"WPOALLT"}</x:definedName>
    <x:definedName name="sadfsdfsd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APBEXdnldView" hidden="1">"D3F6J5CPI9NGORO9TICK7IUYB"</x:definedName>
    <x:definedName name="SAPBEXsysID" hidden="1">"HBP"</x:definedName>
    <x:definedName name="Scenarios" localSheetId="0" hidden="1">{#N/A,"ICF Downside",FALSE,"Inputs";#N/A,"High Inflation",FALSE,"Inputs"}</x:definedName>
    <x:definedName name="Scenarios" hidden="1">{#N/A,"ICF Downside",FALSE,"Inputs";#N/A,"High Inflation",FALSE,"Inputs"}</x:definedName>
    <x:definedName name="sdafsdafsaf" localSheetId="0" hidden="1">{"wpocash",#N/A,FALSE,"WPOALLT";"wpoinc",#N/A,FALSE,"WPOALLT";"wpobroad",#N/A,FALSE,"WPOALLT";"wpocable",#N/A,FALSE,"WPOALLT";"wpoexcl",#N/A,FALSE,"WPOALLT";"wponwsweek",#N/A,FALSE,"WPOALLT";"wpopost",#N/A,FALSE,"WPOALLT"}</x:definedName>
    <x:definedName name="sdafsda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df" localSheetId="0" hidden="1">{#N/A,#N/A,FALSE,"Calc";#N/A,#N/A,FALSE,"Sensitivity";#N/A,#N/A,FALSE,"LT Earn.Dil.";#N/A,#N/A,FALSE,"Dil. AVP"}</x:definedName>
    <x:definedName name="sdf" hidden="1">{#N/A,#N/A,FALSE,"Calc";#N/A,#N/A,FALSE,"Sensitivity";#N/A,#N/A,FALSE,"LT Earn.Dil.";#N/A,#N/A,FALSE,"Dil. AVP"}</x:definedName>
    <x:definedName name="sdfsdfsdfsafsdf" localSheetId="0" hidden="1">{"FCB_ALL",#N/A,FALSE,"FCB"}</x:definedName>
    <x:definedName name="sdfsdfsdfsafsdf" hidden="1">{"FCB_ALL",#N/A,FALSE,"FCB"}</x:definedName>
    <x:definedName name="sdgdfghfhgfjhgfjhjjjg" localSheetId="0" hidden="1">{"general",#N/A,FALSE,"Assumptions"}</x:definedName>
    <x:definedName name="sdgdfghfhgfjhgfjhjjjg" hidden="1">{"general",#N/A,FALSE,"Assumptions"}</x:definedName>
    <x:definedName name="se" localSheetId="0" hidden="1">{"consolidated",#N/A,FALSE,"Sheet1";"cms",#N/A,FALSE,"Sheet1";"fse",#N/A,FALSE,"Sheet1"}</x:definedName>
    <x:definedName name="se" hidden="1">{"consolidated",#N/A,FALSE,"Sheet1";"cms",#N/A,FALSE,"Sheet1";"fse",#N/A,FALSE,"Sheet1"}</x:definedName>
    <x:definedName name="SemMo">#N/A</x:definedName>
    <x:definedName name="sencount" hidden="1">1</x:definedName>
    <x:definedName name="SEPAM">'[5]ADDL MATCH'!$E$209:$I$230</x:definedName>
    <x:definedName name="SEPDAD">'[5]DIVIDEND APPLIED TO DEBT'!$C$203:$E$224</x:definedName>
    <x:definedName name="SEPDR">'[5]DIVD REPL'!$C$59:$E$80</x:definedName>
    <x:definedName name="SEPII">'[5]INT INCURRED'!$C$203:$E$224</x:definedName>
    <x:definedName name="SEPPA">'[5]PRINC AMORT'!$C$203:$E$224</x:definedName>
    <x:definedName name="sfs" localSheetId="0" hidden="1">{"comps",#N/A,FALSE,"HANDPACK";"footnotes",#N/A,FALSE,"HANDPACK"}</x:definedName>
    <x:definedName name="sfs" hidden="1">{"comps",#N/A,FALSE,"HANDPACK";"footnotes",#N/A,FALSE,"HANDPACK"}</x:definedName>
    <x:definedName name="SPS" localSheetId="0" hidden="1">{#N/A,#N/A,TRUE,"financial";#N/A,#N/A,TRUE,"plants"}</x:definedName>
    <x:definedName name="SPS" hidden="1">{#N/A,#N/A,TRUE,"financial";#N/A,#N/A,TRUE,"plants"}</x:definedName>
    <x:definedName name="ss" localSheetId="0" hidden="1">{#N/A,#N/A,TRUE,"Pro Forma";#N/A,#N/A,TRUE,"PF_Bal";#N/A,#N/A,TRUE,"PF_INC";#N/A,#N/A,TRUE,"CBE";#N/A,#N/A,TRUE,"SWK"}</x:definedName>
    <x:definedName name="ss" hidden="1">{#N/A,#N/A,TRUE,"Pro Forma";#N/A,#N/A,TRUE,"PF_Bal";#N/A,#N/A,TRUE,"PF_INC";#N/A,#N/A,TRUE,"CBE";#N/A,#N/A,TRUE,"SWK"}</x:definedName>
    <x:definedName name="Stat1">[1]Detailed!#REF!</x:definedName>
    <x:definedName name="Stat2">[1]Detailed!#REF!</x:definedName>
    <x:definedName name="svfs" localSheetId="0" hidden="1">{"comps2",#N/A,FALSE,"AERO";"footnotes",#N/A,FALSE,"AERO"}</x:definedName>
    <x:definedName name="svfs" hidden="1">{"comps2",#N/A,FALSE,"AERO";"footnotes",#N/A,FALSE,"AERO"}</x:definedName>
    <x:definedName name="Task">'[2]2281011 Project Drill'!#REF!</x:definedName>
    <x:definedName name="Task2">'[2]2281011 Project Drill'!#REF!</x:definedName>
    <x:definedName name="TaskDescr">'[2]2281011 Project Drill'!#REF!</x:definedName>
    <x:definedName name="ththt" localSheetId="0" hidden="1">{#N/A,"DR",FALSE,"increm pf";#N/A,"MAMSI",FALSE,"increm pf";#N/A,"MAXI",FALSE,"increm pf";#N/A,"PCAM",FALSE,"increm pf";#N/A,"PHSV",FALSE,"increm pf";#N/A,"SIE",FALSE,"increm pf"}</x:definedName>
    <x:definedName name="ththt" hidden="1">{#N/A,"DR",FALSE,"increm pf";#N/A,"MAMSI",FALSE,"increm pf";#N/A,"MAXI",FALSE,"increm pf";#N/A,"PCAM",FALSE,"increm pf";#N/A,"PHSV",FALSE,"increm pf";#N/A,"SIE",FALSE,"increm pf"}</x:definedName>
    <x:definedName name="Time1">[1]Detailed!#REF!</x:definedName>
    <x:definedName name="Time2">[1]Detailed!#REF!</x:definedName>
    <x:definedName name="tt" localSheetId="0" hidden="1">{"away stand alones",#N/A,FALSE,"Target"}</x:definedName>
    <x:definedName name="tt" hidden="1">{"away stand alones",#N/A,FALSE,"Target"}</x:definedName>
    <x:definedName name="TUS">#N/A</x:definedName>
    <x:definedName name="tyu" localSheetId="0" hidden="1">{"consolidated",#N/A,FALSE,"Sheet1";"cms",#N/A,FALSE,"Sheet1";"fse",#N/A,FALSE,"Sheet1"}</x:definedName>
    <x:definedName name="tyu" hidden="1">{"consolidated",#N/A,FALSE,"Sheet1";"cms",#N/A,FALSE,"Sheet1";"fse",#N/A,FALSE,"Sheet1"}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u" localSheetId="0" hidden="1">{"away stand alones",#N/A,FALSE,"Target"}</x:definedName>
    <x:definedName name="uu" hidden="1">{"away stand alones",#N/A,FALSE,"Target"}</x:definedName>
    <x:definedName name="Variables">[1]Detailed!#REF!</x:definedName>
    <x:definedName name="vsv" localSheetId="0" hidden="1">{"comp",#N/A,FALSE,"SPEC";"footnotes",#N/A,FALSE,"SPEC"}</x:definedName>
    <x:definedName name="vsv" hidden="1">{"comp",#N/A,FALSE,"SPEC";"footnotes",#N/A,FALSE,"SPEC"}</x:definedName>
    <x: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here" localSheetId="0" hidden="1">{"inputs raw data",#N/A,TRUE,"INPUT"}</x:definedName>
    <x:definedName name="where" hidden="1">{"inputs raw data",#N/A,TRUE,"INPUT"}</x:definedName>
    <x:definedName name="wrn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1." localSheetId="0" hidden="1">{#N/A,#N/A,FALSE,"Calc";#N/A,#N/A,FALSE,"Sensitivity";#N/A,#N/A,FALSE,"LT Earn.Dil.";#N/A,#N/A,FALSE,"Dil. AVP"}</x:definedName>
    <x:definedName name="wrn.1." hidden="1">{#N/A,#N/A,FALSE,"Calc";#N/A,#N/A,FALSE,"Sensitivity";#N/A,#N/A,FALSE,"LT Earn.Dil.";#N/A,#N/A,FALSE,"Dil. AVP"}</x:definedName>
    <x:definedName name="WRN.2." localSheetId="0" hidden="1">{#N/A,#N/A,FALSE,"Calc";#N/A,#N/A,FALSE,"Sensitivity";#N/A,#N/A,FALSE,"LT Earn.Dil.";#N/A,#N/A,FALSE,"Dil. AVP"}</x:definedName>
    <x:definedName name="WRN.2." hidden="1">{#N/A,#N/A,FALSE,"Calc";#N/A,#N/A,FALSE,"Sensitivity";#N/A,#N/A,FALSE,"LT Earn.Dil.";#N/A,#N/A,FALSE,"Dil. AVP"}</x:definedName>
    <x:definedName name="wrn.20._.year._.indices." localSheetId="0" hidden="1">{#N/A,#N/A,FALSE,"20 yrindrefema";#N/A,#N/A,FALSE,"20yrindloema";#N/A,#N/A,FALSE,"20yrindhiema"}</x:definedName>
    <x:definedName name="wrn.20._.year._.indices." hidden="1">{#N/A,#N/A,FALSE,"20 yrindrefema";#N/A,#N/A,FALSE,"20yrindloema";#N/A,#N/A,FALSE,"20yrindhiema"}</x:definedName>
    <x:definedName name="wrn.3cases." localSheetId="0" hidden="1">{#N/A,"Base",FALSE,"Dividend";#N/A,"Conservative",FALSE,"Dividend";#N/A,"Downside",FALSE,"Dividend"}</x:definedName>
    <x:definedName name="wrn.3cases." hidden="1">{#N/A,"Base",FALSE,"Dividend";#N/A,"Conservative",FALSE,"Dividend";#N/A,"Downside",FALSE,"Dividend"}</x:definedName>
    <x: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_.50.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localSheetId="0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Accretion." localSheetId="0" hidden="1">{"Accretion",#N/A,FALSE,"Assum"}</x:definedName>
    <x:definedName name="wrn.Accretion." hidden="1">{"Accretion",#N/A,FALSE,"Assum"}</x:definedName>
    <x:definedName name="wrn.Aging._.and._.Trend._.Analysis." localSheetId="0" hidden="1">{#N/A,#N/A,FALSE,"Aging Summary";#N/A,#N/A,FALSE,"Ratio Analysis";#N/A,#N/A,FALSE,"Test 120 Day Accts";#N/A,#N/A,FALSE,"Tickmarks"}</x:definedName>
    <x:definedName name="wrn.Aging._.and._.Trend._.Analysis." hidden="1">{#N/A,#N/A,FALSE,"Aging Summary";#N/A,#N/A,FALSE,"Ratio Analysis";#N/A,#N/A,FALSE,"Test 120 Day Accts";#N/A,#N/A,FALSE,"Tickmarks"}</x:definedName>
    <x: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L." localSheetId="0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stsl1" localSheetId="0" hidden="1">{"Help Desk",#N/A,FALSE,"Total Costs";"Server Management",#N/A,FALSE,"Total Costs";"Application Management",#N/A,FALSE,"Total Costs"}</x:definedName>
    <x:definedName name="wrn.all._.costsl1" hidden="1">{"Help Desk",#N/A,FALSE,"Total Costs";"Server Management",#N/A,FALSE,"Total Costs";"Application Management",#N/A,FALSE,"Total Costs"}</x:definedName>
    <x: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Reports." localSheetId="0" hidden="1">{"BS",#N/A,FALSE,"NGC";"PL",#N/A,FALSE,"NGC";"CF",#N/A,FALSE,"NGC"}</x:definedName>
    <x:definedName name="wrn.All._.Reports." hidden="1">{"BS",#N/A,FALSE,"NGC";"PL",#N/A,FALSE,"NGC";"CF",#N/A,FALSE,"NGC"}</x:definedName>
    <x:definedName name="wrn.All._.Total._.Costsl." localSheetId="0" hidden="1">{"Help Desk",#N/A,FALSE,"Total Costs";"Server Management",#N/A,FALSE,"Total Costs";"Application Management",#N/A,FALSE,"Total Costs"}</x:definedName>
    <x:definedName name="wrn.All._.Total._.Costsl." hidden="1">{"Help Desk",#N/A,FALSE,"Total Costs";"Server Management",#N/A,FALSE,"Total Costs";"Application Management",#N/A,FALSE,"Total Costs"}</x:definedName>
    <x:definedName name="wrn.all._.Total._Costsl2." localSheetId="0" hidden="1">{"Help Desk",#N/A,FALSE,"Total Costs";"Server Management",#N/A,FALSE,"Total Costs";"Application Management",#N/A,FALSE,"Total Costs"}</x:definedName>
    <x:definedName name="wrn.all._.Total._Costsl2." hidden="1">{"Help Desk",#N/A,FALSE,"Total Costs";"Server Management",#N/A,FALSE,"Total Costs";"Application Management",#N/A,FALSE,"Total Costs"}</x:definedName>
    <x:definedName name="wrn.All._.Up." localSheetId="0" hidden="1">{"All Up",#N/A,FALSE,"Feedstock"}</x:definedName>
    <x:definedName name="wrn.All._.Up." hidden="1">{"All Up",#N/A,FALSE,"Feedstock"}</x:definedName>
    <x:definedName name="wrn.All._.Worksheets." localSheetId="0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NADARKO." localSheetId="0" hidden="1">{"Table1",#N/A,FALSE,"ANADARKO";"Table2",#N/A,FALSE,"ANADARKO";"Table3",#N/A,FALSE,"ANADARKO";"Table3c",#N/A,FALSE,"ANADARKO";"Table3c2",#N/A,FALSE,"ANADARKO";"Table5",#N/A,FALSE,"ANADARKO"}</x:definedName>
    <x:definedName name="wrn.ANADARKO." hidden="1">{"Table1",#N/A,FALSE,"ANADARKO";"Table2",#N/A,FALSE,"ANADARKO";"Table3",#N/A,FALSE,"ANADARKO";"Table3c",#N/A,FALSE,"ANADARKO";"Table3c2",#N/A,FALSE,"ANADARKO";"Table5",#N/A,FALSE,"ANADARKO"}</x:definedName>
    <x:definedName name="wrn.Application._.Management._.Total._.Costs." localSheetId="0" hidden="1">{"Application Management",#N/A,FALSE,"Total Costs"}</x:definedName>
    <x:definedName name="wrn.Application._.Management._.Total._.Costs." hidden="1">{"Application Management",#N/A,FALSE,"Total Costs"}</x:definedName>
    <x:definedName name="wrn.Assumptions." localSheetId="0" hidden="1">{"Assumptions",#N/A,FALSE,"Assum"}</x:definedName>
    <x:definedName name="wrn.Assumptions." hidden="1">{"Assumptions",#N/A,FALSE,"Assum"}</x:definedName>
    <x:definedName name="wrn.away." localSheetId="0" hidden="1">{"away stand alones",#N/A,FALSE,"Target"}</x:definedName>
    <x:definedName name="wrn.away." hidden="1">{"away stand alones",#N/A,FALSE,"Target"}</x:definedName>
    <x:definedName name="wrn.BidCo." localSheetId="0" hidden="1">{#N/A,#N/A,FALSE,"BidCo Assumptions";#N/A,#N/A,FALSE,"Credit Stats";#N/A,#N/A,FALSE,"Bidco Summary";#N/A,#N/A,FALSE,"BIDCO Consolidated"}</x:definedName>
    <x:definedName name="wrn.BidCo." hidden="1">{#N/A,#N/A,FALSE,"BidCo Assumptions";#N/A,#N/A,FALSE,"Credit Stats";#N/A,#N/A,FALSE,"Bidco Summary";#N/A,#N/A,FALSE,"BIDCO Consolidated"}</x:definedName>
    <x:definedName name="wrn.brian." localSheetId="0" hidden="1">{#N/A,#N/A,FALSE,"output";#N/A,#N/A,FALSE,"contrib";#N/A,#N/A,FALSE,"profile";#N/A,#N/A,FALSE,"comps"}</x:definedName>
    <x:definedName name="wrn.brian." hidden="1">{#N/A,#N/A,FALSE,"output";#N/A,#N/A,FALSE,"contrib";#N/A,#N/A,FALSE,"profile";#N/A,#N/A,FALSE,"comps"}</x:definedName>
    <x:definedName name="wrn.Budget." localSheetId="0" hidden="1">{"Budget",#N/A,FALSE,"Summary"}</x:definedName>
    <x:definedName name="wrn.Budget." hidden="1">{"Budget",#N/A,FALSE,"Summary"}</x:definedName>
    <x:definedName name="wrn.Buildups." localSheetId="0" hidden="1">{"ACQ",#N/A,FALSE,"ACQUISITIONS";"ACQF",#N/A,FALSE,"ACQUISITIONS";"PF",#N/A,FALSE,"PROYECTOVILA";"PV",#N/A,FALSE,"PROYECTOVILA";"Fee Dev",#N/A,FALSE,"DEVELOPMENT GROWTH";"gd",#N/A,FALSE,"DEVELOPMENT GROWTH"}</x:definedName>
    <x:definedName name="wrn.Buildups." hidden="1">{"ACQ",#N/A,FALSE,"ACQUISITIONS";"ACQF",#N/A,FALSE,"ACQUISITIONS";"PF",#N/A,FALSE,"PROYECTOVILA";"PV",#N/A,FALSE,"PROYECTOVILA";"Fee Dev",#N/A,FALSE,"DEVELOPMENT GROWTH";"gd",#N/A,FALSE,"DEVELOPMENT GROWTH"}</x:definedName>
    <x:definedName name="wrn.CAG." localSheetId="0" hidden="1">{#N/A,#N/A,FALSE,"CAG"}</x:definedName>
    <x:definedName name="wrn.CAG." hidden="1">{#N/A,#N/A,FALSE,"CAG"}</x:definedName>
    <x:definedName name="wrn.cash." localSheetId="0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ash.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ompco._.Only." localSheetId="0" hidden="1">{"vi1",#N/A,FALSE,"6_30_96";"vi2",#N/A,FALSE,"6_30_96";"vi3",#N/A,FALSE,"6_30_96"}</x:definedName>
    <x:definedName name="wrn.Compco._.Only." hidden="1">{"vi1",#N/A,FALSE,"6_30_96";"vi2",#N/A,FALSE,"6_30_96";"vi3",#N/A,FALSE,"6_30_96"}</x:definedName>
    <x:definedName name="wrn.comps." localSheetId="0" hidden="1">{"comps",#N/A,FALSE,"comps";"notes",#N/A,FALSE,"comps"}</x:definedName>
    <x:definedName name="wrn.comps." hidden="1">{"comps",#N/A,FALSE,"comps";"notes",#N/A,FALSE,"comps"}</x:definedName>
    <x:definedName name="wrn.cooper." localSheetId="0" hidden="1">{#N/A,#N/A,TRUE,"Pro Forma";#N/A,#N/A,TRUE,"PF_Bal";#N/A,#N/A,TRUE,"PF_INC";#N/A,#N/A,TRUE,"CBE";#N/A,#N/A,TRUE,"SWK"}</x:definedName>
    <x:definedName name="wrn.cooper." hidden="1">{#N/A,#N/A,TRUE,"Pro Forma";#N/A,#N/A,TRUE,"PF_Bal";#N/A,#N/A,TRUE,"PF_INC";#N/A,#N/A,TRUE,"CBE";#N/A,#N/A,TRUE,"SWK"}</x:definedName>
    <x:definedName name="wrn.CPB." localSheetId="0" hidden="1">{#N/A,#N/A,FALSE,"CPB"}</x:definedName>
    <x:definedName name="wrn.CPB." hidden="1">{#N/A,#N/A,FALSE,"CPB"}</x:definedName>
    <x:definedName name="wrn.Credit._.Summary." localSheetId="0" hidden="1">{#N/A,#N/A,FALSE,"Credit Summary"}</x:definedName>
    <x:definedName name="wrn.Credit._.Summary." hidden="1">{#N/A,#N/A,FALSE,"Credit Summary"}</x:definedName>
    <x:definedName name="wrn.DCF._.Valuation." localSheetId="0" hidden="1">{"value box",#N/A,TRUE,"DPL Inc. Fin Statements";"unlevered free cash flows",#N/A,TRUE,"DPL Inc. Fin Statements"}</x:definedName>
    <x:definedName name="wrn.DCF._.Valuation." hidden="1">{"value box",#N/A,TRUE,"DPL Inc. Fin Statements";"unlevered free cash flows",#N/A,TRUE,"DPL Inc. Fin Statements"}</x:definedName>
    <x:definedName name="wrn.Detailed._.Report." localSheetId="0" hidden="1">{"fullreport",#N/A,FALSE,"DetailRpt"}</x:definedName>
    <x:definedName name="wrn.Detailed._.Report." hidden="1">{"fullreport",#N/A,FALSE,"DetailRpt"}</x:definedName>
    <x:definedName name="wrn.DevRptMatz." localSheetId="0" hidden="1">{"DevSumm-Matz",#N/A,FALSE,"DevSumm-Matz";"DevSumm-Matz,2",#N/A,FALSE,"DevSumm-Matz";"DevSumm-Matz,3",#N/A,FALSE,"DevSumm-Matz"}</x:definedName>
    <x:definedName name="wrn.DevRptMatz." hidden="1">{"DevSumm-Matz",#N/A,FALSE,"DevSumm-Matz";"DevSumm-Matz,2",#N/A,FALSE,"DevSumm-Matz";"DevSumm-Matz,3",#N/A,FALSE,"DevSumm-Matz"}</x:definedName>
    <x:definedName name="wrn.dil_anal." localSheetId="0" hidden="1">{"hiden",#N/A,FALSE,"14";"hidden",#N/A,FALSE,"16";"hidden",#N/A,FALSE,"18";"hidden",#N/A,FALSE,"20"}</x:definedName>
    <x:definedName name="wrn.dil_anal." hidden="1">{"hiden",#N/A,FALSE,"14";"hidden",#N/A,FALSE,"16";"hidden",#N/A,FALSE,"18";"hidden",#N/A,FALSE,"20"}</x:definedName>
    <x:definedName name="wrn.document." localSheetId="0" hidden="1">{"consolidated",#N/A,FALSE,"Sheet1";"cms",#N/A,FALSE,"Sheet1";"fse",#N/A,FALSE,"Sheet1"}</x:definedName>
    <x:definedName name="wrn.document." hidden="1">{"consolidated",#N/A,FALSE,"Sheet1";"cms",#N/A,FALSE,"Sheet1";"fse",#N/A,FALSE,"Sheet1"}</x:definedName>
    <x:definedName name="wrn.documentaero." localSheetId="0" hidden="1">{"comps2",#N/A,FALSE,"AERO";"footnotes",#N/A,FALSE,"AERO"}</x:definedName>
    <x:definedName name="wrn.documentaero." hidden="1">{"comps2",#N/A,FALSE,"AERO";"footnotes",#N/A,FALSE,"AERO"}</x:definedName>
    <x:definedName name="wrn.documenthand." localSheetId="0" hidden="1">{"comps",#N/A,FALSE,"HANDPACK";"footnotes",#N/A,FALSE,"HANDPACK"}</x:definedName>
    <x:definedName name="wrn.documenthand." hidden="1">{"comps",#N/A,FALSE,"HANDPACK";"footnotes",#N/A,FALSE,"HANDPACK"}</x:definedName>
    <x: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quity._.comps." localSheetId="0" hidden="1">{"equity comps",#N/A,FALSE,"CS Comps";"equity comps",#N/A,FALSE,"PS Comps";"equity comps",#N/A,FALSE,"GIC_Comps";"equity comps",#N/A,FALSE,"GIC2_Comps"}</x:definedName>
    <x:definedName name="wrn.equity._.comps." hidden="1">{"equity comps",#N/A,FALSE,"CS Comps";"equity comps",#N/A,FALSE,"PS Comps";"equity comps",#N/A,FALSE,"GIC_Comps";"equity comps",#N/A,FALSE,"GIC2_Comps"}</x:definedName>
    <x:definedName name="wrn.FCB." localSheetId="0" hidden="1">{"FCB_ALL",#N/A,FALSE,"FCB"}</x:definedName>
    <x:definedName name="wrn.FCB." hidden="1">{"FCB_ALL",#N/A,FALSE,"FCB"}</x:definedName>
    <x:definedName name="wrn.fcb._dcf" localSheetId="0" hidden="1">{"FCB_ALL",#N/A,FALSE,"FCB"}</x:definedName>
    <x:definedName name="wrn.fcb._dcf" hidden="1">{"FCB_ALL",#N/A,FALSE,"FCB"}</x:definedName>
    <x:definedName name="wrn.fcb2" localSheetId="0" hidden="1">{"FCB_ALL",#N/A,FALSE,"FCB"}</x:definedName>
    <x:definedName name="wrn.fcb2" hidden="1">{"FCB_ALL",#N/A,FALSE,"FCB"}</x:definedName>
    <x:definedName name="wrn.fcb2_dcf" localSheetId="0" hidden="1">{"FCB_ALL",#N/A,FALSE,"FCB"}</x:definedName>
    <x:definedName name="wrn.fcb2_dcf" hidden="1">{"FCB_ALL",#N/A,FALSE,"FCB"}</x:definedName>
    <x:definedName name="wrn.Feedstock." localSheetId="0" hidden="1">{"Feedstock",#N/A,FALSE,"Feedstock"}</x:definedName>
    <x:definedName name="wrn.Feedstock." hidden="1">{"Feedstock",#N/A,FALSE,"Feedstock"}</x:definedName>
    <x:definedName name="wrn.Financials." localSheetId="0" hidden="1">{#N/A,#N/A,TRUE,"Income Statement";#N/A,#N/A,TRUE,"Balance Sheet";#N/A,#N/A,TRUE,"Cash Flow"}</x:definedName>
    <x:definedName name="wrn.Financials." hidden="1">{#N/A,#N/A,TRUE,"Income Statement";#N/A,#N/A,TRUE,"Balance Sheet";#N/A,#N/A,TRUE,"Cash Flow"}</x:definedName>
    <x:definedName name="wrn.Financials_long." localSheetId="0" hidden="1">{"IS",#N/A,FALSE,"Financials2 (Expanded)";"bsa",#N/A,FALSE,"Financials2 (Expanded)";"BS",#N/A,FALSE,"Financials2 (Expanded)";"CF",#N/A,FALSE,"Financials2 (Expanded)"}</x:definedName>
    <x:definedName name="wrn.Financials_long." hidden="1">{"IS",#N/A,FALSE,"Financials2 (Expanded)";"bsa",#N/A,FALSE,"Financials2 (Expanded)";"BS",#N/A,FALSE,"Financials2 (Expanded)";"CF",#N/A,FALSE,"Financials2 (Expanded)"}</x:definedName>
    <x:definedName name="wrn.FREELANCER." localSheetId="0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EELANCER.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iendly." localSheetId="0" hidden="1">{#N/A,#N/A,TRUE,"Julio";#N/A,#N/A,TRUE,"Agosto";#N/A,#N/A,TRUE,"BHCo";#N/A,#N/A,TRUE,"Abril";#N/A,#N/A,TRUE,"Pro Forma"}</x:definedName>
    <x:definedName name="wrn.Friendly." hidden="1">{#N/A,#N/A,TRUE,"Julio";#N/A,#N/A,TRUE,"Agosto";#N/A,#N/A,TRUE,"BHCo";#N/A,#N/A,TRUE,"Abril";#N/A,#N/A,TRUE,"Pro Forma"}</x:definedName>
    <x:definedName name="wrn.full." localSheetId="0" hidden="1">{"vi1",#N/A,FALSE,"Pagcc";"vi2",#N/A,FALSE,"Pagcc";"vi3",#N/A,FALSE,"Pagcc";"vi4",#N/A,FALSE,"Pagcc";"vi5",#N/A,FALSE,"Pagcc";#N/A,#N/A,FALSE,"Contribution"}</x:definedName>
    <x:definedName name="wrn.full." hidden="1">{"vi1",#N/A,FALSE,"Pagcc";"vi2",#N/A,FALSE,"Pagcc";"vi3",#N/A,FALSE,"Pagcc";"vi4",#N/A,FALSE,"Pagcc";"vi5",#N/A,FALSE,"Pagcc";#N/A,#N/A,FALSE,"Contribution"}</x:definedName>
    <x: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Pack." localSheetId="0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report." localSheetId="0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GIS." localSheetId="0" hidden="1">{#N/A,#N/A,FALSE,"GIS"}</x:definedName>
    <x:definedName name="wrn.GIS." hidden="1">{#N/A,#N/A,FALSE,"GIS"}</x:definedName>
    <x:definedName name="wrn.Help._.Desk._.Total._.Costs." localSheetId="0" hidden="1">{"Help Desk",#N/A,FALSE,"Total Costs"}</x:definedName>
    <x:definedName name="wrn.Help._.Desk._.Total._.Costs." hidden="1">{"Help Desk",#N/A,FALSE,"Total Costs"}</x:definedName>
    <x:definedName name="wrn.HNZ." localSheetId="0" hidden="1">{#N/A,#N/A,FALSE,"HNZ"}</x:definedName>
    <x:definedName name="wrn.HNZ." hidden="1">{#N/A,#N/A,FALSE,"HNZ"}</x:definedName>
    <x:definedName name="wrn.INDEPS." localSheetId="0" hidden="1">{"page1",#N/A,FALSE,"TIND_CC1";"page2",#N/A,FALSE,"TIND_CC1";"page3",#N/A,FALSE,"TIND_CC1";"page4",#N/A,FALSE,"TIND_CC1";"page5",#N/A,FALSE,"TIND_CC1"}</x:definedName>
    <x:definedName name="wrn.INDEPS." hidden="1">{"page1",#N/A,FALSE,"TIND_CC1";"page2",#N/A,FALSE,"TIND_CC1";"page3",#N/A,FALSE,"TIND_CC1";"page4",#N/A,FALSE,"TIND_CC1";"page5",#N/A,FALSE,"TIND_CC1"}</x:definedName>
    <x:definedName name="wrn.K." localSheetId="0" hidden="1">{#N/A,#N/A,FALSE,"K"}</x:definedName>
    <x:definedName name="wrn.K." hidden="1">{#N/A,#N/A,FALSE,"K"}</x:definedName>
    <x:definedName name="wrn.Mason._.Deliverables." localSheetId="0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CCRK." localSheetId="0" hidden="1">{#N/A,#N/A,FALSE,"MCCRK"}</x:definedName>
    <x:definedName name="wrn.MCCRK." hidden="1">{#N/A,#N/A,FALSE,"MCCRK"}</x:definedName>
    <x:definedName name="wrn.memo." localSheetId="0" hidden="1">{#N/A,#N/A,TRUE,"financial";#N/A,#N/A,TRUE,"plants"}</x:definedName>
    <x:definedName name="wrn.memo." hidden="1">{#N/A,#N/A,TRUE,"financial";#N/A,#N/A,TRUE,"plants"}</x:definedName>
    <x: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onthly._.no._.Notes." localSheetId="0" hidden="1">{"Without Notes",#N/A,FALSE,"23 Mo Forecast"}</x:definedName>
    <x:definedName name="wrn.Monthly._.no._.Notes." hidden="1">{"Without Notes",#N/A,FALSE,"23 Mo Forecast"}</x:definedName>
    <x:definedName name="wrn.Monthly._.with._.Notes." localSheetId="0" hidden="1">{"With Notes",#N/A,FALSE,"23 Mo Forecast"}</x:definedName>
    <x:definedName name="wrn.Monthly._.with._.Notes." hidden="1">{"With Notes",#N/A,FALSE,"23 Mo Forecast"}</x:definedName>
    <x:definedName name="wrn.NA." localSheetId="0" hidden="1">{#N/A,#N/A,FALSE,"NA"}</x:definedName>
    <x:definedName name="wrn.NA." hidden="1">{#N/A,#N/A,FALSE,"NA"}</x:definedName>
    <x:definedName name="wrn.new." localSheetId="0" hidden="1">{#N/A,#N/A,FALSE,"Impl";#N/A,#N/A,FALSE,"sum";#N/A,#N/A,FALSE,"cat";#N/A,#N/A,FALSE,"cum";#N/A,#N/A,FALSE,"varity";#N/A,#N/A,FALSE,"ddc";#N/A,#N/A,FALSE,"man";#N/A,#N/A,FALSE,"metra";#N/A,#N/A,FALSE,"volvo"}</x:definedName>
    <x:definedName name="wrn.new." hidden="1">{#N/A,#N/A,FALSE,"Impl";#N/A,#N/A,FALSE,"sum";#N/A,#N/A,FALSE,"cat";#N/A,#N/A,FALSE,"cum";#N/A,#N/A,FALSE,"varity";#N/A,#N/A,FALSE,"ddc";#N/A,#N/A,FALSE,"man";#N/A,#N/A,FALSE,"metra";#N/A,#N/A,FALSE,"volvo"}</x:definedName>
    <x:definedName name="wrn.Paging._.Compco." localSheetId="0" hidden="1">{"financials",#N/A,TRUE,"6_30_96";"footnotes",#N/A,TRUE,"6_30_96";"valuation",#N/A,TRUE,"6_30_96"}</x:definedName>
    <x:definedName name="wrn.Paging._.Compco." hidden="1">{"financials",#N/A,TRUE,"6_30_96";"footnotes",#N/A,TRUE,"6_30_96";"valuation",#N/A,TRUE,"6_30_96"}</x:definedName>
    <x:definedName name="wrn.perimeter._.comp." localSheetId="0" hidden="1">{#N/A,#N/A,TRUE,"comp";#N/A,#N/A,TRUE,"notes"}</x:definedName>
    <x:definedName name="wrn.perimeter._.comp." hidden="1">{#N/A,#N/A,TRUE,"comp";#N/A,#N/A,TRUE,"notes"}</x:definedName>
    <x:definedName name="wrn.Pianocomp." localSheetId="0" hidden="1">{"page_1",#N/A,TRUE,"Sheet1";"page_2",#N/A,TRUE,"Sheet1";"page_notes",#N/A,TRUE,"Sheet1"}</x:definedName>
    <x:definedName name="wrn.Pianocomp." hidden="1">{"page_1",#N/A,TRUE,"Sheet1";"page_2",#N/A,TRUE,"Sheet1";"page_notes",#N/A,TRUE,"Sheet1"}</x:definedName>
    <x:definedName name="wrn.print." localSheetId="0" hidden="1">{"ass",#N/A,FALSE,"Assumptions";#N/A,#N/A,FALSE,"Merg";"sens",#N/A,FALSE,"Assumptions";#N/A,#N/A,FALSE,"Bach";#N/A,#N/A,FALSE,"Kent";#N/A,#N/A,FALSE,"Bell"}</x:definedName>
    <x:definedName name="wrn.print." hidden="1">{"ass",#N/A,FALSE,"Assumptions";#N/A,#N/A,FALSE,"Merg";"sens",#N/A,FALSE,"Assumptions";#N/A,#N/A,FALSE,"Bach";#N/A,#N/A,FALSE,"Kent";#N/A,#N/A,FALSE,"Bell"}</x:definedName>
    <x:definedName name="wrn.print._.graphs." localSheetId="0" hidden="1">{"cap_structure",#N/A,FALSE,"Graph-Mkt Cap";"price",#N/A,FALSE,"Graph-Price";"ebit",#N/A,FALSE,"Graph-EBITDA";"ebitda",#N/A,FALSE,"Graph-EBITDA"}</x:definedName>
    <x:definedName name="wrn.print._.graphs." hidden="1">{"cap_structure",#N/A,FALSE,"Graph-Mkt Cap";"price",#N/A,FALSE,"Graph-Price";"ebit",#N/A,FALSE,"Graph-EBITDA";"ebitda",#N/A,FALSE,"Graph-EBITDA"}</x:definedName>
    <x:definedName name="wrn.print._.raw._.data._.entry." localSheetId="0" hidden="1">{"inputs raw data",#N/A,TRUE,"INPUT"}</x:definedName>
    <x:definedName name="wrn.print._.raw._.data._.entry." hidden="1">{"inputs raw data",#N/A,TRUE,"INPUT"}</x:definedName>
    <x:definedName name="wrn.print._.summary._.sheets." localSheetId="0" hidden="1">{"summary1",#N/A,TRUE,"Comps";"summary2",#N/A,TRUE,"Comps";"summary3",#N/A,TRUE,"Comps"}</x:definedName>
    <x:definedName name="wrn.print._.summary._.sheets." hidden="1">{"summary1",#N/A,TRUE,"Comps";"summary2",#N/A,TRUE,"Comps";"summary3",#N/A,TRUE,"Comps"}</x:definedName>
    <x:definedName name="wrn.print._.summary._.sheets.2" localSheetId="0" hidden="1">{"summary1",#N/A,TRUE,"Comps";"summary2",#N/A,TRUE,"Comps";"summary3",#N/A,TRUE,"Comps"}</x:definedName>
    <x:definedName name="wrn.print._.summary._.sheets.2" hidden="1">{"summary1",#N/A,TRUE,"Comps";"summary2",#N/A,TRUE,"Comps";"summary3",#N/A,TRUE,"Comps"}</x:definedName>
    <x:definedName name="wrn.Print._.the._.lot." localSheetId="0" hidden="1">{"First Page",#N/A,FALSE,"Surfactants LBO";"Second Page",#N/A,FALSE,"Surfactants LBO"}</x:definedName>
    <x:definedName name="wrn.Print._.the._.lot." hidden="1">{"First Page",#N/A,FALSE,"Surfactants LBO";"Second Page",#N/A,FALSE,"Surfactants LBO"}</x:definedName>
    <x:definedName name="wrn.Print_Buyer." localSheetId="0" hidden="1">{#N/A,"DR",FALSE,"increm pf";#N/A,"MAMSI",FALSE,"increm pf";#N/A,"MAXI",FALSE,"increm pf";#N/A,"PCAM",FALSE,"increm pf";#N/A,"PHSV",FALSE,"increm pf";#N/A,"SIE",FALSE,"increm pf"}</x:definedName>
    <x:definedName name="wrn.Print_Buyer." hidden="1">{#N/A,"DR",FALSE,"increm pf";#N/A,"MAMSI",FALSE,"increm pf";#N/A,"MAXI",FALSE,"increm pf";#N/A,"PCAM",FALSE,"increm pf";#N/A,"PHSV",FALSE,"increm pf";#N/A,"SIE",FALSE,"increm pf"}</x:definedName>
    <x: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All." localSheetId="0" hidden="1">{"PA1",#N/A,TRUE,"BORDMW";"pa2",#N/A,TRUE,"BORDMW";"PA3",#N/A,TRUE,"BORDMW";"PA4",#N/A,TRUE,"BORDMW"}</x:definedName>
    <x:definedName name="wrn.PrintAll." hidden="1">{"PA1",#N/A,TRUE,"BORDMW";"pa2",#N/A,TRUE,"BORDMW";"PA3",#N/A,TRUE,"BORDMW";"PA4",#N/A,TRUE,"BORDMW"}</x:definedName>
    <x:definedName name="wrn.Printing._.Report." localSheetId="0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Report1." localSheetId="0" hidden="1">{#N/A,#N/A,FALSE,"Operations";#N/A,#N/A,FALSE,"Financials"}</x:definedName>
    <x:definedName name="wrn.Report1." hidden="1">{#N/A,#N/A,FALSE,"Operations";#N/A,#N/A,FALSE,"Financials"}</x:definedName>
    <x:definedName name="wrn.sales." localSheetId="0" hidden="1">{"sales",#N/A,FALSE,"Sales";"sales existing",#N/A,FALSE,"Sales";"sales rd1",#N/A,FALSE,"Sales";"sales rd2",#N/A,FALSE,"Sales"}</x:definedName>
    <x:definedName name="wrn.sales." hidden="1">{"sales",#N/A,FALSE,"Sales";"sales existing",#N/A,FALSE,"Sales";"sales rd1",#N/A,FALSE,"Sales";"sales rd2",#N/A,FALSE,"Sales"}</x:definedName>
    <x:definedName name="wrn.Scenarios." localSheetId="0" hidden="1">{#N/A,"ICF Downside",FALSE,"Inputs";#N/A,"High Inflation",FALSE,"Inputs"}</x:definedName>
    <x:definedName name="wrn.Scenarios." hidden="1">{#N/A,"ICF Downside",FALSE,"Inputs";#N/A,"High Inflation",FALSE,"Inputs"}</x:definedName>
    <x:definedName name="wrn.sens." localSheetId="0" hidden="1">{#N/A,#N/A,FALSE,"Sensitivities";#N/A,#N/A,FALSE,"Sensitivities2"}</x:definedName>
    <x:definedName name="wrn.sens." hidden="1">{#N/A,#N/A,FALSE,"Sensitivities";#N/A,#N/A,FALSE,"Sensitivities2"}</x:definedName>
    <x:definedName name="wrn.sensitivity._.analyses." localSheetId="0" hidden="1">{"general",#N/A,FALSE,"Assumptions"}</x:definedName>
    <x:definedName name="wrn.sensitivity._.analyses." hidden="1">{"general",#N/A,FALSE,"Assumptions"}</x:definedName>
    <x:definedName name="wrn.Server._.Management._.Total._.Costs." localSheetId="0" hidden="1">{"Server Management",#N/A,FALSE,"Total Costs"}</x:definedName>
    <x:definedName name="wrn.Server._.Management._.Total._.Costs." hidden="1">{"Server Management",#N/A,FALSE,"Total Costs"}</x:definedName>
    <x:definedName name="wrn.SHORT." localSheetId="0" hidden="1">{"CREDIT STATISTICS",#N/A,FALSE,"STATS";"CF_AND_IS",#N/A,FALSE,"PLAN";"BALSHEET",#N/A,FALSE,"BALANCE SHEET"}</x:definedName>
    <x:definedName name="wrn.SHORT." hidden="1">{"CREDIT STATISTICS",#N/A,FALSE,"STATS";"CF_AND_IS",#N/A,FALSE,"PLAN";"BALSHEET",#N/A,FALSE,"BALANCE SHEET"}</x:definedName>
    <x:definedName name="wrn.stand_alone." localSheetId="0" hidden="1">{#N/A,#N/A,FALSE,"CBE";#N/A,#N/A,FALSE,"SWK"}</x:definedName>
    <x:definedName name="wrn.stand_alone." hidden="1">{#N/A,#N/A,FALSE,"CBE";#N/A,#N/A,FALSE,"SWK"}</x:definedName>
    <x:definedName name="wrn.STAND_ALONE_BOTH." localSheetId="0" hidden="1">{"FCB_ALL",#N/A,FALSE,"FCB";"GREY_ALL",#N/A,FALSE,"GREY"}</x:definedName>
    <x:definedName name="wrn.STAND_ALONE_BOTH." hidden="1">{"FCB_ALL",#N/A,FALSE,"FCB";"GREY_ALL",#N/A,FALSE,"GREY"}</x:definedName>
    <x:definedName name="wrn.Stand_alone_both._dcf" localSheetId="0" hidden="1">{"FCB_ALL",#N/A,FALSE,"FCB";"GREY_ALL",#N/A,FALSE,"GREY"}</x:definedName>
    <x:definedName name="wrn.Stand_alone_both._dcf" hidden="1">{"FCB_ALL",#N/A,FALSE,"FCB";"GREY_ALL",#N/A,FALSE,"GREY"}</x:definedName>
    <x:definedName name="wrn.Summary." localSheetId="0" hidden="1">{#N/A,#N/A,FALSE,"Summary3";#N/A,#N/A,FALSE,"Summary1";#N/A,#N/A,FALSE,"Summary2";#N/A,#N/A,FALSE,"Sensitivities1";#N/A,#N/A,FALSE,"Sensitivities2"}</x:definedName>
    <x:definedName name="wrn.Summary." hidden="1">{#N/A,#N/A,FALSE,"Summary3";#N/A,#N/A,FALSE,"Summary1";#N/A,#N/A,FALSE,"Summary2";#N/A,#N/A,FALSE,"Sensitivities1";#N/A,#N/A,FALSE,"Sensitivities2"}</x:definedName>
    <x:definedName name="wrn.Summary._.Report." localSheetId="0" hidden="1">{"summaryall",#N/A,FALSE,"SumryRpt"}</x:definedName>
    <x:definedName name="wrn.Summary._.Report." hidden="1">{"summaryall",#N/A,FALSE,"SumryRpt"}</x:definedName>
    <x: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otalBud." localSheetId="0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comp." localSheetId="0" hidden="1">{"comp1",#N/A,FALSE,"COMPS";"footnotes",#N/A,FALSE,"COMPS"}</x:definedName>
    <x:definedName name="wrn.totalcomp." hidden="1">{"comp1",#N/A,FALSE,"COMPS";"footnotes",#N/A,FALSE,"COMPS"}</x:definedName>
    <x:definedName name="wrn.Trading._.Summary." localSheetId="0" hidden="1">{#N/A,#N/A,FALSE,"Trading Summary"}</x:definedName>
    <x:definedName name="wrn.Trading._.Summary." hidden="1">{#N/A,#N/A,FALSE,"Trading Summary"}</x:definedName>
    <x:definedName name="wrn.trans._.sum." localSheetId="0" hidden="1">{"trans assumptions",#N/A,FALSE,"Merger";"trans accretion",#N/A,FALSE,"Merger"}</x:definedName>
    <x:definedName name="wrn.trans._.sum." hidden="1">{"trans assumptions",#N/A,FALSE,"Merger";"trans accretion",#N/A,FALSE,"Merger"}</x:definedName>
    <x:definedName name="wrn.up." localSheetId="0" hidden="1">{"up stand alones",#N/A,FALSE,"Acquiror"}</x:definedName>
    <x:definedName name="wrn.up." hidden="1">{"up stand alones",#N/A,FALSE,"Acquiror"}</x:definedName>
    <x:definedName name="wrn.Wacc." localSheetId="0" hidden="1">{"Area1",#N/A,FALSE,"OREWACC";"Area2",#N/A,FALSE,"OREWACC"}</x:definedName>
    <x:definedName name="wrn.Wacc." hidden="1">{"Area1",#N/A,FALSE,"OREWACC";"Area2",#N/A,FALSE,"OREWACC"}</x:definedName>
    <x:definedName name="wrn.wpoall." localSheetId="0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poall.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WY." localSheetId="0" hidden="1">{#N/A,#N/A,FALSE,"WWY"}</x:definedName>
    <x:definedName name="wrn.WWY." hidden="1">{#N/A,#N/A,FALSE,"WWY"}</x:definedName>
    <x:definedName name="WRN2.Document" localSheetId="0" hidden="1">{"consolidated",#N/A,FALSE,"Sheet1";"cms",#N/A,FALSE,"Sheet1";"fse",#N/A,FALSE,"Sheet1"}</x:definedName>
    <x:definedName name="WRN2.Document" hidden="1">{"consolidated",#N/A,FALSE,"Sheet1";"cms",#N/A,FALSE,"Sheet1";"fse",#N/A,FALSE,"Sheet1"}</x:definedName>
    <x: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ww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x" localSheetId="0" hidden="1">{#N/A,#N/A,FALSE,"Aging Summary";#N/A,#N/A,FALSE,"Ratio Analysis";#N/A,#N/A,FALSE,"Test 120 Day Accts";#N/A,#N/A,FALSE,"Tickmarks"}</x:definedName>
    <x:definedName name="x" hidden="1">{#N/A,#N/A,FALSE,"Aging Summary";#N/A,#N/A,FALSE,"Ratio Analysis";#N/A,#N/A,FALSE,"Test 120 Day Accts";#N/A,#N/A,FALSE,"Tickmarks"}</x:definedName>
    <x:definedName name="Z_2891AF67_639B_11D2_AA4E_AB73DC59AB4D_.wvu.PrintArea" hidden="1">#REF!</x:definedName>
    <x:definedName name="Z_2891AF68_639B_11D2_AA4E_AB73DC59AB4D_.wvu.PrintArea" hidden="1">#REF!</x:definedName>
    <x:definedName name="Z_D5258982_C814_11D7_9311_00065B14ACBA_.wvu.FilterData" hidden="1">#REF!</x:definedName>
    <x:definedName name="Z_D5258982_C814_11D7_9311_00065B14ACBA_.wvu.PrintArea" hidden="1">#REF!</x:definedName>
    <x:definedName name="Z_D5258982_C814_11D7_9311_00065B14ACBA_.wvu.PrintTitles" hidden="1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38" i="1" l="1"/>
  <x:c r="G39" i="1" s="1"/>
  <x:c r="G40" i="1" s="1"/>
  <x:c r="G41" i="1" s="1"/>
  <x:c r="G42" i="1" s="1"/>
  <x:c r="G43" i="1" s="1"/>
  <x:c r="G44" i="1" s="1"/>
  <x:c r="B38" i="1"/>
  <x:c r="B39" i="1" s="1"/>
  <x:c r="I37" i="1"/>
  <x:c r="I38" i="1" s="1"/>
  <x:c r="D37" i="1"/>
  <x:c r="D38" i="1" s="1"/>
  <x:c r="D39" i="1" s="1"/>
  <x:c r="D40" i="1" s="1"/>
  <x:c r="D41" i="1" s="1"/>
  <x:c r="D42" i="1" s="1"/>
  <x:c r="D43" i="1" s="1"/>
  <x:c r="D44" i="1" s="1"/>
  <x:c r="D45" i="1" s="1"/>
  <x:c r="D46" i="1" s="1"/>
  <x:c r="D47" i="1" s="1"/>
  <x:c r="D48" i="1" s="1"/>
  <x:c r="D49" i="1" s="1"/>
  <x:c r="D50" i="1" s="1"/>
  <x:c r="D51" i="1" s="1"/>
  <x:c r="D52" i="1" s="1"/>
  <x:c r="D53" i="1" s="1"/>
  <x:c r="D54" i="1" s="1"/>
  <x:c r="D55" i="1" s="1"/>
  <x:c r="D56" i="1" s="1"/>
  <x:c r="D57" i="1" s="1"/>
  <x:c r="D58" i="1" s="1"/>
  <x:c r="D59" i="1" s="1"/>
  <x:c r="D60" i="1" s="1"/>
  <x:c r="D61" i="1" s="1"/>
  <x:c r="D62" i="1" s="1"/>
  <x:c r="D63" i="1" s="1"/>
  <x:c r="D64" i="1" s="1"/>
  <x:c r="D65" i="1" s="1"/>
  <x:c r="D66" i="1" s="1"/>
  <x:c r="D67" i="1" s="1"/>
  <x:c r="D68" i="1" s="1"/>
  <x:c r="D69" i="1" s="1"/>
  <x:c r="D70" i="1" s="1"/>
  <x:c r="D71" i="1" s="1"/>
  <x:c r="D72" i="1" s="1"/>
  <x:c r="D73" i="1" s="1"/>
  <x:c r="D74" i="1" s="1"/>
  <x:c r="D75" i="1" s="1"/>
  <x:c r="D76" i="1" s="1"/>
  <x:c r="D77" i="1" s="1"/>
  <x:c r="D78" i="1" s="1"/>
  <x:c r="D79" i="1" s="1"/>
  <x:c r="D80" i="1" s="1"/>
  <x:c r="D81" i="1" s="1"/>
  <x:c r="D82" i="1" s="1"/>
  <x:c r="D83" i="1" s="1"/>
  <x:c r="D84" i="1" s="1"/>
  <x:c r="D85" i="1" s="1"/>
  <x:c r="D86" i="1" s="1"/>
  <x:c r="D87" i="1" s="1"/>
  <x:c r="D88" i="1" s="1"/>
  <x:c r="D89" i="1" s="1"/>
  <x:c r="D90" i="1" s="1"/>
  <x:c r="D91" i="1" s="1"/>
  <x:c r="D92" i="1" s="1"/>
  <x:c r="D93" i="1" s="1"/>
  <x:c r="D94" i="1" s="1"/>
  <x:c r="D95" i="1" s="1"/>
  <x:c r="J36" i="1"/>
  <x:c r="J37" i="1" s="1"/>
  <x:c r="J38" i="1" s="1"/>
  <x:c r="E36" i="1"/>
  <x:c r="E37" i="1" s="1"/>
  <x:c r="H35" i="1"/>
  <x:c r="K35" i="1" s="1"/>
  <x:c r="C35" i="1"/>
  <x:c r="C36" i="1" s="1"/>
  <x:c r="C37" i="1" s="1"/>
  <x:c r="C38" i="1" s="1"/>
  <x:c r="D17" i="1"/>
  <x:c r="E17" i="1" s="1"/>
  <x:c r="B17" i="1"/>
  <x:c r="C17" i="1" s="1"/>
  <x:c r="D16" i="1"/>
  <x:c r="E16" i="1" s="1"/>
  <x:c r="B16" i="1"/>
  <x:c r="C16" i="1" s="1"/>
  <x:c r="F16" i="1" s="1"/>
  <x:c r="D15" i="1"/>
  <x:c r="E15" i="1" s="1"/>
  <x:c r="K102" i="1" s="1"/>
  <x:c r="B15" i="1"/>
  <x:c r="C15" i="1" s="1"/>
  <x:c r="F102" i="1" s="1"/>
  <x:c r="J14" i="1"/>
  <x:c r="D14" i="1"/>
  <x:c r="B14" i="1"/>
  <x:c r="D13" i="1"/>
  <x:c r="B13" i="1"/>
  <x:c r="D12" i="1"/>
  <x:c r="B12" i="1"/>
  <x:c r="D11" i="1"/>
  <x:c r="B11" i="1"/>
  <x:c r="D10" i="1"/>
  <x:c r="D9" i="1"/>
  <x:c r="E8" i="1"/>
  <x:c r="C8" i="1"/>
  <x:c r="E7" i="1"/>
  <x:c r="C7" i="1"/>
  <x:c r="F35" i="1" l="1"/>
  <x:c r="C39" i="1"/>
  <x:c r="I39" i="1"/>
  <x:c r="I40" i="1" s="1"/>
  <x:c r="I41" i="1" s="1"/>
  <x:c r="I42" i="1" s="1"/>
  <x:c r="I43" i="1" s="1"/>
  <x:c r="I44" i="1" s="1"/>
  <x:c r="I45" i="1" s="1"/>
  <x:c r="I46" i="1" s="1"/>
  <x:c r="I47" i="1" s="1"/>
  <x:c r="I48" i="1" s="1"/>
  <x:c r="I49" i="1" s="1"/>
  <x:c r="I50" i="1" s="1"/>
  <x:c r="I51" i="1" s="1"/>
  <x:c r="I52" i="1" s="1"/>
  <x:c r="I53" i="1" s="1"/>
  <x:c r="I54" i="1" s="1"/>
  <x:c r="I55" i="1" s="1"/>
  <x:c r="I56" i="1" s="1"/>
  <x:c r="I57" i="1" s="1"/>
  <x:c r="I58" i="1" s="1"/>
  <x:c r="I59" i="1" s="1"/>
  <x:c r="I60" i="1" s="1"/>
  <x:c r="I61" i="1" s="1"/>
  <x:c r="I62" i="1" s="1"/>
  <x:c r="I63" i="1" s="1"/>
  <x:c r="I64" i="1" s="1"/>
  <x:c r="I65" i="1" s="1"/>
  <x:c r="I66" i="1" s="1"/>
  <x:c r="I67" i="1" s="1"/>
  <x:c r="I68" i="1" s="1"/>
  <x:c r="I69" i="1" s="1"/>
  <x:c r="I70" i="1" s="1"/>
  <x:c r="I71" i="1" s="1"/>
  <x:c r="I72" i="1" s="1"/>
  <x:c r="I73" i="1" s="1"/>
  <x:c r="I74" i="1" s="1"/>
  <x:c r="I75" i="1" s="1"/>
  <x:c r="I76" i="1" s="1"/>
  <x:c r="I77" i="1" s="1"/>
  <x:c r="I78" i="1" s="1"/>
  <x:c r="I79" i="1" s="1"/>
  <x:c r="I80" i="1" s="1"/>
  <x:c r="I81" i="1" s="1"/>
  <x:c r="I82" i="1" s="1"/>
  <x:c r="I83" i="1" s="1"/>
  <x:c r="I84" i="1" s="1"/>
  <x:c r="I85" i="1" s="1"/>
  <x:c r="I86" i="1" s="1"/>
  <x:c r="I87" i="1" s="1"/>
  <x:c r="I88" i="1" s="1"/>
  <x:c r="I89" i="1" s="1"/>
  <x:c r="I90" i="1" s="1"/>
  <x:c r="I91" i="1" s="1"/>
  <x:c r="I92" i="1" s="1"/>
  <x:c r="I93" i="1" s="1"/>
  <x:c r="I94" i="1" s="1"/>
  <x:c r="I95" i="1" s="1"/>
  <x:c r="E14" i="1"/>
  <x:c r="J16" i="1" s="1"/>
  <x:c r="H36" i="1"/>
  <x:c r="H37" i="1" s="1"/>
  <x:c r="H38" i="1" s="1"/>
  <x:c r="H39" i="1" s="1"/>
  <x:c r="H40" i="1" s="1"/>
  <x:c r="H41" i="1" s="1"/>
  <x:c r="H42" i="1" s="1"/>
  <x:c r="H43" i="1" s="1"/>
  <x:c r="H44" i="1" s="1"/>
  <x:c r="D19" i="1"/>
  <x:c r="B19" i="1"/>
  <x:c r="G45" i="1"/>
  <x:c r="G46" i="1" s="1"/>
  <x:c r="G47" i="1" s="1"/>
  <x:c r="G48" i="1" s="1"/>
  <x:c r="G49" i="1" s="1"/>
  <x:c r="G50" i="1" s="1"/>
  <x:c r="G51" i="1" s="1"/>
  <x:c r="G52" i="1" s="1"/>
  <x:c r="G53" i="1" s="1"/>
  <x:c r="G54" i="1" s="1"/>
  <x:c r="G55" i="1" s="1"/>
  <x:c r="G56" i="1" s="1"/>
  <x:c r="G57" i="1" s="1"/>
  <x:c r="G58" i="1" s="1"/>
  <x:c r="G59" i="1" s="1"/>
  <x:c r="G60" i="1" s="1"/>
  <x:c r="G61" i="1" s="1"/>
  <x:c r="G62" i="1" s="1"/>
  <x:c r="G63" i="1" s="1"/>
  <x:c r="G64" i="1" s="1"/>
  <x:c r="G65" i="1" s="1"/>
  <x:c r="G66" i="1" s="1"/>
  <x:c r="G67" i="1" s="1"/>
  <x:c r="G68" i="1" s="1"/>
  <x:c r="G69" i="1" s="1"/>
  <x:c r="G70" i="1" s="1"/>
  <x:c r="G71" i="1" s="1"/>
  <x:c r="G72" i="1" s="1"/>
  <x:c r="G73" i="1" s="1"/>
  <x:c r="G74" i="1" s="1"/>
  <x:c r="G75" i="1" s="1"/>
  <x:c r="G76" i="1" s="1"/>
  <x:c r="G77" i="1" s="1"/>
  <x:c r="G78" i="1" s="1"/>
  <x:c r="G79" i="1" s="1"/>
  <x:c r="G80" i="1" s="1"/>
  <x:c r="G81" i="1" s="1"/>
  <x:c r="G82" i="1" s="1"/>
  <x:c r="G83" i="1" s="1"/>
  <x:c r="G84" i="1" s="1"/>
  <x:c r="G85" i="1" s="1"/>
  <x:c r="G86" i="1" s="1"/>
  <x:c r="G87" i="1" s="1"/>
  <x:c r="G88" i="1" s="1"/>
  <x:c r="G89" i="1" s="1"/>
  <x:c r="G90" i="1" s="1"/>
  <x:c r="G91" i="1" s="1"/>
  <x:c r="G92" i="1" s="1"/>
  <x:c r="G93" i="1" s="1"/>
  <x:c r="G94" i="1" s="1"/>
  <x:c r="G95" i="1" s="1"/>
  <x:c r="E38" i="1"/>
  <x:c r="E39" i="1" s="1"/>
  <x:c r="E40" i="1" s="1"/>
  <x:c r="E41" i="1" s="1"/>
  <x:c r="E42" i="1" s="1"/>
  <x:c r="E43" i="1" s="1"/>
  <x:c r="E44" i="1" s="1"/>
  <x:c r="E45" i="1" s="1"/>
  <x:c r="E46" i="1" s="1"/>
  <x:c r="E47" i="1" s="1"/>
  <x:c r="E48" i="1" s="1"/>
  <x:c r="E49" i="1" s="1"/>
  <x:c r="E50" i="1" s="1"/>
  <x:c r="E51" i="1" s="1"/>
  <x:c r="E52" i="1" s="1"/>
  <x:c r="E53" i="1" s="1"/>
  <x:c r="E54" i="1" s="1"/>
  <x:c r="E55" i="1" s="1"/>
  <x:c r="E56" i="1" s="1"/>
  <x:c r="E57" i="1" s="1"/>
  <x:c r="E58" i="1" s="1"/>
  <x:c r="E59" i="1" s="1"/>
  <x:c r="E60" i="1" s="1"/>
  <x:c r="E61" i="1" s="1"/>
  <x:c r="E62" i="1" s="1"/>
  <x:c r="E63" i="1" s="1"/>
  <x:c r="E64" i="1" s="1"/>
  <x:c r="E65" i="1" s="1"/>
  <x:c r="E66" i="1" s="1"/>
  <x:c r="E67" i="1" s="1"/>
  <x:c r="E68" i="1" s="1"/>
  <x:c r="E69" i="1" s="1"/>
  <x:c r="E70" i="1" s="1"/>
  <x:c r="E71" i="1" s="1"/>
  <x:c r="E72" i="1" s="1"/>
  <x:c r="E73" i="1" s="1"/>
  <x:c r="E74" i="1" s="1"/>
  <x:c r="E75" i="1" s="1"/>
  <x:c r="E76" i="1" s="1"/>
  <x:c r="E77" i="1" s="1"/>
  <x:c r="E78" i="1" s="1"/>
  <x:c r="E79" i="1" s="1"/>
  <x:c r="E80" i="1" s="1"/>
  <x:c r="E81" i="1" s="1"/>
  <x:c r="E82" i="1" s="1"/>
  <x:c r="E83" i="1" s="1"/>
  <x:c r="E84" i="1" s="1"/>
  <x:c r="E85" i="1" s="1"/>
  <x:c r="E86" i="1" s="1"/>
  <x:c r="E87" i="1" s="1"/>
  <x:c r="E88" i="1" s="1"/>
  <x:c r="E89" i="1" s="1"/>
  <x:c r="E90" i="1" s="1"/>
  <x:c r="E91" i="1" s="1"/>
  <x:c r="E92" i="1" s="1"/>
  <x:c r="E93" i="1" s="1"/>
  <x:c r="E94" i="1" s="1"/>
  <x:c r="E95" i="1" s="1"/>
  <x:c r="D98" i="1"/>
  <x:c r="B40" i="1"/>
  <x:c r="B41" i="1" s="1"/>
  <x:c r="B42" i="1" s="1"/>
  <x:c r="B43" i="1" s="1"/>
  <x:c r="B44" i="1" s="1"/>
  <x:c r="C14" i="1"/>
  <x:c r="E19" i="1" l="1"/>
  <x:c r="E21" i="1"/>
  <x:c r="C40" i="1"/>
  <x:c r="C41" i="1" s="1"/>
  <x:c r="C42" i="1" s="1"/>
  <x:c r="C43" i="1" s="1"/>
  <x:c r="C44" i="1" s="1"/>
  <x:c r="N55" i="1"/>
  <x:c r="J39" i="1"/>
  <x:c r="J40" i="1" s="1"/>
  <x:c r="J41" i="1" s="1"/>
  <x:c r="J42" i="1" s="1"/>
  <x:c r="J43" i="1" s="1"/>
  <x:c r="J44" i="1" s="1"/>
  <x:c r="J45" i="1" s="1"/>
  <x:c r="J46" i="1" s="1"/>
  <x:c r="J47" i="1" s="1"/>
  <x:c r="J48" i="1" s="1"/>
  <x:c r="J49" i="1" s="1"/>
  <x:c r="J50" i="1" s="1"/>
  <x:c r="J51" i="1" s="1"/>
  <x:c r="J52" i="1" s="1"/>
  <x:c r="J53" i="1" s="1"/>
  <x:c r="J54" i="1" s="1"/>
  <x:c r="J55" i="1" s="1"/>
  <x:c r="J56" i="1" s="1"/>
  <x:c r="J57" i="1" s="1"/>
  <x:c r="J58" i="1" s="1"/>
  <x:c r="J59" i="1" s="1"/>
  <x:c r="J60" i="1" s="1"/>
  <x:c r="J61" i="1" s="1"/>
  <x:c r="J62" i="1" s="1"/>
  <x:c r="J63" i="1" s="1"/>
  <x:c r="J64" i="1" s="1"/>
  <x:c r="J65" i="1" s="1"/>
  <x:c r="J66" i="1" s="1"/>
  <x:c r="J67" i="1" s="1"/>
  <x:c r="J68" i="1" s="1"/>
  <x:c r="J69" i="1" s="1"/>
  <x:c r="J70" i="1" s="1"/>
  <x:c r="J71" i="1" s="1"/>
  <x:c r="J72" i="1" s="1"/>
  <x:c r="J73" i="1" s="1"/>
  <x:c r="J74" i="1" s="1"/>
  <x:c r="J75" i="1" s="1"/>
  <x:c r="J76" i="1" s="1"/>
  <x:c r="J77" i="1" s="1"/>
  <x:c r="J78" i="1" s="1"/>
  <x:c r="J79" i="1" s="1"/>
  <x:c r="J80" i="1" s="1"/>
  <x:c r="J81" i="1" s="1"/>
  <x:c r="J82" i="1" s="1"/>
  <x:c r="J83" i="1" s="1"/>
  <x:c r="J84" i="1" s="1"/>
  <x:c r="J85" i="1" s="1"/>
  <x:c r="J86" i="1" s="1"/>
  <x:c r="J87" i="1" s="1"/>
  <x:c r="J88" i="1" s="1"/>
  <x:c r="J89" i="1" s="1"/>
  <x:c r="J90" i="1" s="1"/>
  <x:c r="J91" i="1" s="1"/>
  <x:c r="J92" i="1" s="1"/>
  <x:c r="J93" i="1" s="1"/>
  <x:c r="J94" i="1" s="1"/>
  <x:c r="J95" i="1" s="1"/>
  <x:c r="I98" i="1"/>
  <x:c r="G98" i="1"/>
  <x:c r="J98" i="1" s="1"/>
  <x:c r="E99" i="1"/>
  <x:c r="E100" i="1"/>
  <x:c r="C19" i="1"/>
  <x:c r="C21" i="1"/>
  <x:c r="H16" i="1"/>
  <x:c r="F14" i="1"/>
  <x:c r="F21" i="1" s="1"/>
  <x:c r="B45" i="1"/>
  <x:c r="H45" i="1"/>
  <x:c r="H46" i="1" s="1"/>
  <x:c r="H47" i="1" s="1"/>
  <x:c r="H48" i="1" s="1"/>
  <x:c r="H49" i="1" s="1"/>
  <x:c r="H50" i="1" s="1"/>
  <x:c r="H51" i="1" s="1"/>
  <x:c r="H52" i="1" s="1"/>
  <x:c r="H53" i="1" s="1"/>
  <x:c r="H54" i="1" s="1"/>
  <x:c r="H55" i="1" s="1"/>
  <x:c r="C22" i="1" l="1"/>
  <x:c r="C24" i="1"/>
  <x:c r="E22" i="1"/>
  <x:c r="E24" i="1"/>
  <x:c r="J99" i="1"/>
  <x:c r="J100" i="1"/>
  <x:c r="H56" i="1"/>
  <x:c r="H57" i="1" s="1"/>
  <x:c r="H58" i="1" s="1"/>
  <x:c r="H59" i="1" s="1"/>
  <x:c r="H60" i="1" s="1"/>
  <x:c r="H61" i="1" s="1"/>
  <x:c r="H62" i="1" s="1"/>
  <x:c r="H63" i="1" s="1"/>
  <x:c r="H64" i="1" s="1"/>
  <x:c r="H65" i="1" s="1"/>
  <x:c r="H66" i="1" s="1"/>
  <x:c r="H67" i="1" s="1"/>
  <x:c r="H68" i="1" s="1"/>
  <x:c r="H69" i="1" s="1"/>
  <x:c r="H70" i="1" s="1"/>
  <x:c r="H71" i="1" s="1"/>
  <x:c r="H72" i="1" s="1"/>
  <x:c r="H73" i="1" s="1"/>
  <x:c r="H74" i="1" s="1"/>
  <x:c r="H75" i="1" s="1"/>
  <x:c r="H76" i="1" s="1"/>
  <x:c r="H77" i="1" s="1"/>
  <x:c r="H78" i="1" s="1"/>
  <x:c r="H79" i="1" s="1"/>
  <x:c r="H80" i="1" s="1"/>
  <x:c r="H81" i="1" s="1"/>
  <x:c r="H82" i="1" s="1"/>
  <x:c r="H83" i="1" s="1"/>
  <x:c r="H84" i="1" s="1"/>
  <x:c r="H85" i="1" s="1"/>
  <x:c r="H86" i="1" s="1"/>
  <x:c r="H87" i="1" s="1"/>
  <x:c r="H88" i="1" s="1"/>
  <x:c r="H89" i="1" s="1"/>
  <x:c r="H90" i="1" s="1"/>
  <x:c r="H91" i="1" s="1"/>
  <x:c r="H92" i="1" s="1"/>
  <x:c r="H93" i="1" s="1"/>
  <x:c r="H94" i="1" s="1"/>
  <x:c r="H95" i="1" s="1"/>
  <x:c r="H96" i="1" s="1"/>
  <x:c r="K55" i="1"/>
  <x:c r="B46" i="1"/>
  <x:c r="B47" i="1" s="1"/>
  <x:c r="B48" i="1" s="1"/>
  <x:c r="B49" i="1" s="1"/>
  <x:c r="B50" i="1" s="1"/>
  <x:c r="B51" i="1" s="1"/>
  <x:c r="B52" i="1" s="1"/>
  <x:c r="B53" i="1" s="1"/>
  <x:c r="B54" i="1" s="1"/>
  <x:c r="B55" i="1" s="1"/>
  <x:c r="B56" i="1" s="1"/>
  <x:c r="B57" i="1" s="1"/>
  <x:c r="B58" i="1" s="1"/>
  <x:c r="B59" i="1" s="1"/>
  <x:c r="B60" i="1" s="1"/>
  <x:c r="B61" i="1" s="1"/>
  <x:c r="B62" i="1" s="1"/>
  <x:c r="B63" i="1" s="1"/>
  <x:c r="B64" i="1" s="1"/>
  <x:c r="B65" i="1" s="1"/>
  <x:c r="B66" i="1" s="1"/>
  <x:c r="B67" i="1" s="1"/>
  <x:c r="B68" i="1" s="1"/>
  <x:c r="B69" i="1" s="1"/>
  <x:c r="B70" i="1" s="1"/>
  <x:c r="B71" i="1" s="1"/>
  <x:c r="B72" i="1" s="1"/>
  <x:c r="B73" i="1" s="1"/>
  <x:c r="B74" i="1" s="1"/>
  <x:c r="B75" i="1" s="1"/>
  <x:c r="B76" i="1" s="1"/>
  <x:c r="B77" i="1" s="1"/>
  <x:c r="B78" i="1" s="1"/>
  <x:c r="B79" i="1" s="1"/>
  <x:c r="B80" i="1" s="1"/>
  <x:c r="B81" i="1" s="1"/>
  <x:c r="B82" i="1" s="1"/>
  <x:c r="B83" i="1" s="1"/>
  <x:c r="B84" i="1" s="1"/>
  <x:c r="B85" i="1" s="1"/>
  <x:c r="B86" i="1" s="1"/>
  <x:c r="B87" i="1" s="1"/>
  <x:c r="B88" i="1" s="1"/>
  <x:c r="B89" i="1" s="1"/>
  <x:c r="B90" i="1" s="1"/>
  <x:c r="B91" i="1" s="1"/>
  <x:c r="B92" i="1" s="1"/>
  <x:c r="B93" i="1" s="1"/>
  <x:c r="B94" i="1" s="1"/>
  <x:c r="B95" i="1" s="1"/>
  <x:c r="C45" i="1"/>
  <x:c r="F22" i="1" l="1"/>
  <x:c r="C46" i="1"/>
  <x:c r="C47" i="1" s="1"/>
  <x:c r="C48" i="1" s="1"/>
  <x:c r="C49" i="1" s="1"/>
  <x:c r="C50" i="1" s="1"/>
  <x:c r="C51" i="1" s="1"/>
  <x:c r="C52" i="1" s="1"/>
  <x:c r="C53" i="1" s="1"/>
  <x:c r="C54" i="1" s="1"/>
  <x:c r="C55" i="1" s="1"/>
  <x:c r="F55" i="1" s="1"/>
  <x:c r="M55" i="1"/>
  <x:c r="B98" i="1"/>
  <x:c r="E98" i="1" s="1"/>
  <x:c r="H99" i="1"/>
  <x:c r="K99" i="1" s="1"/>
  <x:c r="H100" i="1"/>
  <x:c r="K100" i="1" s="1"/>
  <x:c r="C56" i="1" l="1"/>
  <x:c r="C57" i="1" s="1"/>
  <x:c r="C58" i="1" s="1"/>
  <x:c r="C59" i="1" s="1"/>
  <x:c r="C60" i="1" s="1"/>
  <x:c r="C61" i="1" s="1"/>
  <x:c r="C62" i="1" s="1"/>
  <x:c r="C63" i="1" s="1"/>
  <x:c r="C64" i="1" s="1"/>
  <x:c r="C65" i="1" s="1"/>
  <x:c r="C66" i="1" s="1"/>
  <x:c r="C67" i="1" s="1"/>
  <x:c r="C68" i="1" s="1"/>
  <x:c r="C69" i="1" s="1"/>
  <x:c r="C70" i="1" s="1"/>
  <x:c r="C71" i="1" s="1"/>
  <x:c r="C72" i="1" s="1"/>
  <x:c r="C73" i="1" s="1"/>
  <x:c r="C74" i="1" s="1"/>
  <x:c r="C75" i="1" s="1"/>
  <x:c r="C76" i="1" s="1"/>
  <x:c r="C77" i="1" s="1"/>
  <x:c r="C78" i="1" s="1"/>
  <x:c r="C79" i="1" s="1"/>
  <x:c r="C80" i="1" s="1"/>
  <x:c r="C81" i="1" s="1"/>
  <x:c r="C82" i="1" s="1"/>
  <x:c r="C83" i="1" s="1"/>
  <x:c r="C84" i="1" s="1"/>
  <x:c r="C85" i="1" s="1"/>
  <x:c r="C86" i="1" s="1"/>
  <x:c r="C87" i="1" s="1"/>
  <x:c r="C88" i="1" s="1"/>
  <x:c r="C89" i="1" s="1"/>
  <x:c r="C90" i="1" s="1"/>
  <x:c r="C91" i="1" s="1"/>
  <x:c r="C92" i="1" s="1"/>
  <x:c r="C93" i="1" s="1"/>
  <x:c r="C94" i="1" s="1"/>
  <x:c r="C95" i="1" s="1"/>
  <x:c r="C96" i="1" s="1"/>
  <x:c r="C99" i="1" s="1"/>
  <x:c r="F99" i="1" s="1"/>
  <x:c r="C100" i="1" l="1"/>
  <x:c r="F100" i="1" s="1"/>
</x:calcChain>
</file>

<file path=xl/sharedStrings.xml><?xml version="1.0" encoding="utf-8"?>
<sst xmlns="http://schemas.openxmlformats.org/spreadsheetml/2006/main" count="76" uniqueCount="54">
  <si>
    <t>Oncor Electric Delivery Company LLC</t>
  </si>
  <si>
    <t>Test Year Ending December 31, 2024</t>
  </si>
  <si>
    <t>Approved Unamortized Balances at December 31, 2024</t>
  </si>
  <si>
    <t>Pension</t>
  </si>
  <si>
    <t>OPEBs</t>
  </si>
  <si>
    <t>Pension &amp;</t>
  </si>
  <si>
    <t>Account 1823600</t>
  </si>
  <si>
    <t>Account 2543700</t>
  </si>
  <si>
    <t>Docket No. 35717</t>
  </si>
  <si>
    <t>Docket No. 35717 Amortization 9/01/2009-12/31/2011</t>
  </si>
  <si>
    <t>Docket 38929 Approved</t>
  </si>
  <si>
    <t>Docket No. 38929 Amortization 1/01/2012-11/26/2017</t>
  </si>
  <si>
    <t>Docket 46957 Approved</t>
  </si>
  <si>
    <t>Docket No. 46957 Amortization 11/27/2017-12/31/2021</t>
  </si>
  <si>
    <t>Balance at May 1, 2023</t>
  </si>
  <si>
    <t>Docket No. 46957 Amortization 01/01/2022-4/30/2023</t>
  </si>
  <si>
    <t>Docket 53601 Approved</t>
  </si>
  <si>
    <t>Docket No. 53601 Amortization 5/01/2023-12/31/2024</t>
  </si>
  <si>
    <t>Total Unamortized Balances at 12/31/2024 Approved in Docket No. 53601</t>
  </si>
  <si>
    <t>Annual Recovery/Amortization for Five Years Beginning May 1, 2023</t>
  </si>
  <si>
    <t>Dkt 53601 Approved</t>
  </si>
  <si>
    <t>Amortize project APPROVED in 1823600 and 2543700</t>
  </si>
  <si>
    <t>Total</t>
  </si>
  <si>
    <t xml:space="preserve">Amort </t>
  </si>
  <si>
    <t>Period</t>
  </si>
  <si>
    <t>Balance</t>
  </si>
  <si>
    <t>A926</t>
  </si>
  <si>
    <t>Beginning balance</t>
  </si>
  <si>
    <t>Balance @05/01/2023</t>
  </si>
  <si>
    <t>May-28 3 billing cycles of  2028</t>
  </si>
  <si>
    <t>Total of Five-Year Amortizations Approved in Docket No. 53601</t>
  </si>
  <si>
    <t>Balances at Dkt 53601 approved 12-31-2021 plus Docket No. 46957 amortizations 2022 through 4-30-2023</t>
  </si>
  <si>
    <t>Pension Regulatory Asset &amp; OPEB Regulatory Liability Approved in Docket No. 53601 &amp; Approved Five-Year Amortizations</t>
  </si>
  <si>
    <t>Regulatory Liability OPEBs - 2543700</t>
  </si>
  <si>
    <t>Regulatory Asset Pension - 1823600</t>
  </si>
  <si>
    <t>Sponsor: W. Alan Ledbetter &amp; R. Prachyl</t>
  </si>
  <si>
    <t>Page 1 of 1</t>
  </si>
  <si>
    <t>Balances at 12-31-2021 Approved in Dkt 53601 with Five-Year Amortizations</t>
  </si>
  <si>
    <t>Balance beginning with Dkt 53601 approved five-year amortization</t>
  </si>
  <si>
    <t>18 retail billing cycles for May 2023 - Dkt 53601 rates (5-1-2023)</t>
  </si>
  <si>
    <t>3 retail billing cycles for May 2023 - Dkt 46957 rates (4-30-2023)</t>
  </si>
  <si>
    <t>Unamortized</t>
  </si>
  <si>
    <t>Dkt 53601 approved</t>
  </si>
  <si>
    <t>@ 12-31-2024</t>
  </si>
  <si>
    <t>Reference Schedule II-B-14 in this application for approved unamortized and to be reviewed balances at 12-31-2024</t>
  </si>
  <si>
    <t>Docket No. 53601 rates effective 5-1-2023 (billing cycle 4 for retail)</t>
  </si>
  <si>
    <t>Balances at the end of Docket No. 53601 approved five-year amortization represent Docket No. 46957 amortization recognized 2022 through April 2023.</t>
  </si>
  <si>
    <t>Reference Sch II-E-4.1 Line Nos. 19-20 and II-E-4.1.1 Line Nos 19-20</t>
  </si>
  <si>
    <t>ESD/DIST Amort</t>
  </si>
  <si>
    <t>ESD/DIST</t>
  </si>
  <si>
    <t>TRN/TRAN Amort</t>
  </si>
  <si>
    <t>TRN/TRAN</t>
  </si>
  <si>
    <t>Reference Docket No. 53601 Order on Rehearing pages 37 (Findings of Fact 167, 167A, 173) &amp; 60 (Finding of Fact 377); PURA Sec. 36.065</t>
  </si>
  <si>
    <t>WP/II-B-12 Pension &amp; OPEBs Approved Unamortized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</si>
</sst>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2" applyFont="1"/>
    <xf numFmtId="43" fontId="2" fillId="0" borderId="0" xfId="3" applyFont="1"/>
    <xf numFmtId="0" fontId="2" fillId="0" borderId="0" xfId="2"/>
    <xf numFmtId="43" fontId="2" fillId="0" borderId="0" xfId="3" applyFont="1" applyBorder="1" applyAlignment="1">
      <alignment horizontal="center"/>
    </xf>
    <xf numFmtId="0" fontId="2" fillId="0" borderId="0" xfId="2" applyAlignment="1">
      <alignment horizontal="center"/>
    </xf>
    <xf numFmtId="43" fontId="2" fillId="0" borderId="1" xfId="3" applyFont="1" applyBorder="1" applyAlignment="1">
      <alignment horizontal="center"/>
    </xf>
    <xf numFmtId="0" fontId="2" fillId="0" borderId="1" xfId="2" applyBorder="1" applyAlignment="1">
      <alignment horizontal="center"/>
    </xf>
    <xf numFmtId="0" fontId="2" fillId="0" borderId="0" xfId="2" applyAlignment="1">
      <alignment horizontal="left" indent="1"/>
    </xf>
    <xf numFmtId="164" fontId="2" fillId="0" borderId="0" xfId="1" applyNumberFormat="1" applyFont="1" applyBorder="1"/>
    <xf numFmtId="164" fontId="2" fillId="0" borderId="0" xfId="1" applyNumberFormat="1" applyFont="1"/>
    <xf numFmtId="164" fontId="2" fillId="2" borderId="0" xfId="1" applyNumberFormat="1" applyFont="1" applyFill="1"/>
    <xf numFmtId="164" fontId="2" fillId="3" borderId="0" xfId="1" applyNumberFormat="1" applyFont="1" applyFill="1"/>
    <xf numFmtId="164" fontId="2" fillId="0" borderId="0" xfId="2" applyNumberFormat="1"/>
    <xf numFmtId="0" fontId="4" fillId="0" borderId="0" xfId="2" applyFont="1" applyAlignment="1">
      <alignment horizontal="center"/>
    </xf>
    <xf numFmtId="164" fontId="2" fillId="0" borderId="1" xfId="1" applyNumberFormat="1" applyFont="1" applyBorder="1"/>
    <xf numFmtId="0" fontId="2" fillId="0" borderId="0" xfId="2" applyProtection="1">
      <protection locked="0"/>
    </xf>
    <xf numFmtId="0" fontId="2" fillId="0" borderId="0" xfId="4" applyAlignment="1">
      <alignment horizontal="left"/>
    </xf>
    <xf numFmtId="0" fontId="2" fillId="0" borderId="0" xfId="4"/>
    <xf numFmtId="43" fontId="2" fillId="0" borderId="0" xfId="5" applyFont="1"/>
    <xf numFmtId="0" fontId="2" fillId="0" borderId="2" xfId="4" applyBorder="1" applyAlignment="1">
      <alignment horizontal="center"/>
    </xf>
    <xf numFmtId="0" fontId="3" fillId="0" borderId="0" xfId="4" applyFont="1" applyAlignment="1">
      <alignment horizontal="center"/>
    </xf>
    <xf numFmtId="0" fontId="3" fillId="0" borderId="0" xfId="2" applyFont="1" applyAlignment="1">
      <alignment horizontal="center"/>
    </xf>
    <xf numFmtId="0" fontId="2" fillId="0" borderId="6" xfId="4" applyBorder="1" applyAlignment="1">
      <alignment horizontal="center"/>
    </xf>
    <xf numFmtId="0" fontId="5" fillId="0" borderId="7" xfId="4" applyFont="1" applyBorder="1" applyAlignment="1">
      <alignment horizontal="center"/>
    </xf>
    <xf numFmtId="0" fontId="3" fillId="0" borderId="8" xfId="4" applyFont="1" applyBorder="1" applyAlignment="1">
      <alignment horizontal="center"/>
    </xf>
    <xf numFmtId="0" fontId="3" fillId="0" borderId="9" xfId="4" applyFont="1" applyBorder="1" applyAlignment="1">
      <alignment horizontal="center"/>
    </xf>
    <xf numFmtId="0" fontId="3" fillId="0" borderId="10" xfId="4" applyFont="1" applyBorder="1" applyAlignment="1">
      <alignment horizontal="center"/>
    </xf>
    <xf numFmtId="0" fontId="3" fillId="0" borderId="11" xfId="4" applyFont="1" applyBorder="1" applyAlignment="1">
      <alignment horizontal="center"/>
    </xf>
    <xf numFmtId="0" fontId="3" fillId="0" borderId="10" xfId="5" applyNumberFormat="1" applyFont="1" applyFill="1" applyBorder="1" applyAlignment="1">
      <alignment horizontal="center"/>
    </xf>
    <xf numFmtId="0" fontId="3" fillId="0" borderId="12" xfId="4" applyFont="1" applyBorder="1" applyAlignment="1">
      <alignment horizontal="center"/>
    </xf>
    <xf numFmtId="0" fontId="5" fillId="0" borderId="0" xfId="4" applyFont="1" applyAlignment="1">
      <alignment horizontal="center"/>
    </xf>
    <xf numFmtId="0" fontId="3" fillId="0" borderId="2" xfId="4" applyFont="1" applyBorder="1" applyAlignment="1">
      <alignment horizontal="center"/>
    </xf>
    <xf numFmtId="43" fontId="2" fillId="0" borderId="13" xfId="4" applyNumberFormat="1" applyBorder="1"/>
    <xf numFmtId="43" fontId="2" fillId="0" borderId="2" xfId="5" applyFont="1" applyFill="1" applyBorder="1" applyAlignment="1">
      <alignment horizontal="center"/>
    </xf>
    <xf numFmtId="0" fontId="2" fillId="0" borderId="13" xfId="4" applyBorder="1" applyAlignment="1">
      <alignment horizontal="center"/>
    </xf>
    <xf numFmtId="43" fontId="4" fillId="0" borderId="0" xfId="4" applyNumberFormat="1" applyFont="1" applyAlignment="1">
      <alignment horizontal="center"/>
    </xf>
    <xf numFmtId="43" fontId="2" fillId="0" borderId="13" xfId="4" applyNumberFormat="1" applyBorder="1" applyAlignment="1">
      <alignment horizontal="center"/>
    </xf>
    <xf numFmtId="0" fontId="2" fillId="0" borderId="13" xfId="4" applyBorder="1"/>
    <xf numFmtId="17" fontId="2" fillId="0" borderId="0" xfId="4" applyNumberFormat="1" applyAlignment="1">
      <alignment horizontal="center"/>
    </xf>
    <xf numFmtId="43" fontId="2" fillId="0" borderId="6" xfId="4" applyNumberFormat="1" applyBorder="1" applyAlignment="1">
      <alignment horizontal="center"/>
    </xf>
    <xf numFmtId="43" fontId="2" fillId="0" borderId="14" xfId="4" applyNumberFormat="1" applyBorder="1" applyAlignment="1">
      <alignment horizontal="center"/>
    </xf>
    <xf numFmtId="43" fontId="2" fillId="0" borderId="6" xfId="5" applyFont="1" applyFill="1" applyBorder="1" applyAlignment="1">
      <alignment horizontal="center"/>
    </xf>
    <xf numFmtId="0" fontId="2" fillId="0" borderId="14" xfId="4" applyBorder="1" applyAlignment="1">
      <alignment horizontal="center"/>
    </xf>
    <xf numFmtId="0" fontId="4" fillId="0" borderId="0" xfId="4" applyFont="1" applyAlignment="1">
      <alignment horizontal="center"/>
    </xf>
    <xf numFmtId="43" fontId="2" fillId="0" borderId="14" xfId="4" applyNumberFormat="1" applyBorder="1"/>
    <xf numFmtId="43" fontId="2" fillId="0" borderId="0" xfId="4" applyNumberFormat="1" applyAlignment="1">
      <alignment horizontal="center"/>
    </xf>
    <xf numFmtId="17" fontId="3" fillId="0" borderId="0" xfId="4" applyNumberFormat="1" applyFont="1" applyAlignment="1">
      <alignment horizontal="center"/>
    </xf>
    <xf numFmtId="164" fontId="2" fillId="0" borderId="0" xfId="1" applyNumberFormat="1" applyFont="1" applyFill="1"/>
    <xf numFmtId="43" fontId="2" fillId="0" borderId="10" xfId="4" applyNumberFormat="1" applyBorder="1"/>
    <xf numFmtId="43" fontId="2" fillId="0" borderId="12" xfId="4" applyNumberFormat="1" applyBorder="1" applyAlignment="1">
      <alignment horizontal="center"/>
    </xf>
    <xf numFmtId="43" fontId="2" fillId="0" borderId="10" xfId="5" applyFont="1" applyFill="1" applyBorder="1" applyAlignment="1">
      <alignment horizontal="center"/>
    </xf>
    <xf numFmtId="0" fontId="2" fillId="0" borderId="12" xfId="4" applyBorder="1"/>
    <xf numFmtId="0" fontId="2" fillId="0" borderId="15" xfId="4" applyBorder="1"/>
    <xf numFmtId="43" fontId="2" fillId="0" borderId="0" xfId="2" applyNumberFormat="1"/>
    <xf numFmtId="0" fontId="2" fillId="0" borderId="0" xfId="2" applyAlignment="1">
      <alignment wrapText="1"/>
    </xf>
    <xf numFmtId="43" fontId="3" fillId="0" borderId="0" xfId="4" applyNumberFormat="1" applyFont="1" applyFill="1" applyAlignment="1">
      <alignment horizontal="center"/>
    </xf>
    <xf numFmtId="164" fontId="2" fillId="0" borderId="0" xfId="3" applyNumberFormat="1" applyFont="1"/>
    <xf numFmtId="43" fontId="2" fillId="3" borderId="6" xfId="5" applyFont="1" applyFill="1" applyBorder="1" applyAlignment="1">
      <alignment horizontal="center"/>
    </xf>
    <xf numFmtId="0" fontId="2" fillId="0" borderId="0" xfId="2" applyAlignment="1">
      <alignment horizontal="right"/>
    </xf>
    <xf numFmtId="0" fontId="2" fillId="0" borderId="0" xfId="4" applyAlignment="1">
      <alignment horizontal="center"/>
    </xf>
    <xf numFmtId="0" fontId="4" fillId="0" borderId="0" xfId="4" quotePrefix="1" applyFont="1" applyAlignment="1">
      <alignment horizontal="center"/>
    </xf>
    <xf numFmtId="0" fontId="2" fillId="0" borderId="0" xfId="2" applyAlignment="1">
      <alignment horizontal="center" wrapText="1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6" fillId="0" borderId="0" xfId="2" applyFont="1" applyProtection="1">
      <protection locked="0"/>
    </xf>
  </cellXfs>
  <cellStyles count="6">
    <cellStyle name="Comma" xfId="1" builtinId="3"/>
    <cellStyle name="Comma 2 2" xfId="5" xr:uid="{FCB8013C-9232-4A48-B181-E633D2275D77}"/>
    <cellStyle name="Comma 4" xfId="3" xr:uid="{DBCA5F7B-E155-4BFF-84A9-55DA39CDA334}"/>
    <cellStyle name="Normal" xfId="0" builtinId="0"/>
    <cellStyle name="Normal 2" xfId="2" xr:uid="{DEC357C0-233F-4BDB-9E02-C93904DAE672}"/>
    <cellStyle name="Normal 2 2" xfId="4" xr:uid="{3FF3770A-F3F9-4B4D-A287-ABAB1E219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JXFI%20(GJPS)\JXFI%20-%20Glenda%20Stoneham\2025%20Rate%20Filing\Draft%20Sch%20E-4.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L%20Account%20Reconciliations\2015\02%20-%20Feb\Feb15_1869920_ELEC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JRNLDOC/FPRD/2007/04/JE_2007-04-02_000066164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Closing/Working%20Journals/2003/April/April%20Interco%20Payab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Portfolio Walkforward"/>
      <sheetName val="DataSheet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 xml:space="preserve"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 xml:space="preserve"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 xml:space="preserve"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 xml:space="preserve"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I-B-12"/>
      <sheetName val="12-31-2024 Bal Sheet"/>
      <sheetName val="II-E-4.1.1"/>
      <sheetName val="II-E-4.1"/>
      <sheetName val="Sheet1"/>
      <sheetName val="Dkt 53601 Pension-OPEBs unamort"/>
      <sheetName val="Pension-OPEBs"/>
      <sheetName val="SIR T&amp;D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D5">
            <v>72909900</v>
          </cell>
          <cell r="E5">
            <v>-59661224</v>
          </cell>
          <cell r="F5">
            <v>293633251</v>
          </cell>
          <cell r="H5">
            <v>-17440156.219999999</v>
          </cell>
          <cell r="I5">
            <v>-41206121.5</v>
          </cell>
          <cell r="J5">
            <v>-30688193.039999999</v>
          </cell>
          <cell r="K5">
            <v>-30918690.079999998</v>
          </cell>
          <cell r="L5">
            <v>-31107534.960000001</v>
          </cell>
        </row>
        <row r="6">
          <cell r="G6">
            <v>-133904097</v>
          </cell>
        </row>
        <row r="10">
          <cell r="B10">
            <v>37906425</v>
          </cell>
          <cell r="C10">
            <v>-5980791.5899999999</v>
          </cell>
          <cell r="D10">
            <v>55375706</v>
          </cell>
          <cell r="E10">
            <v>-45981744</v>
          </cell>
          <cell r="F10">
            <v>33081523</v>
          </cell>
          <cell r="H10">
            <v>-39289143.68</v>
          </cell>
          <cell r="I10">
            <v>-5703334.2299999995</v>
          </cell>
          <cell r="J10">
            <v>-4247549.04</v>
          </cell>
          <cell r="K10">
            <v>1250334.7600000002</v>
          </cell>
          <cell r="L10">
            <v>4094646.72</v>
          </cell>
        </row>
        <row r="11">
          <cell r="G11">
            <v>-23659575.839999996</v>
          </cell>
        </row>
      </sheetData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111441.60000000001</v>
          </cell>
          <cell r="G9">
            <v>6.2784000000000006E-2</v>
          </cell>
          <cell r="H9">
            <v>111441.60000000001</v>
          </cell>
          <cell r="I9">
            <v>0</v>
          </cell>
        </row>
        <row r="10">
          <cell r="E10" t="str">
            <v>ESD</v>
          </cell>
          <cell r="F10">
            <v>522412.67499999999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391034.27500000002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5.8327999999999998E-2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149829.52499999999</v>
          </cell>
          <cell r="G13">
            <v>8.4411E-2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161917.27499999999</v>
          </cell>
          <cell r="G14">
            <v>9.1220999999999997E-2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142727.75000000003</v>
          </cell>
          <cell r="G19">
            <v>8.0410000000000009E-2</v>
          </cell>
          <cell r="H19">
            <v>142727.75</v>
          </cell>
          <cell r="I19">
            <v>2.9103830456733704E-11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1.6200000000000001E-4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111441.60000000001</v>
          </cell>
          <cell r="G34">
            <v>6.2784000000000006E-2</v>
          </cell>
          <cell r="H34">
            <v>111441.60000000001</v>
          </cell>
          <cell r="I34">
            <v>0</v>
          </cell>
        </row>
        <row r="35">
          <cell r="E35" t="str">
            <v>ESD</v>
          </cell>
          <cell r="F35">
            <v>522412.67499999999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391034.27500000002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5.8327999999999998E-2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149829.52499999999</v>
          </cell>
          <cell r="G38">
            <v>8.4411E-2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161917.27499999999</v>
          </cell>
          <cell r="G39">
            <v>9.1220999999999997E-2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142727.75000000003</v>
          </cell>
          <cell r="G44">
            <v>8.0410000000000009E-2</v>
          </cell>
          <cell r="H44">
            <v>142727.75</v>
          </cell>
          <cell r="I44">
            <v>2.9103830456733704E-11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1.6200000000000001E-4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111441.60000000001</v>
          </cell>
          <cell r="G59">
            <v>6.2784000000000006E-2</v>
          </cell>
          <cell r="H59">
            <v>108832.92</v>
          </cell>
          <cell r="I59">
            <v>2608.6800000000076</v>
          </cell>
        </row>
        <row r="60">
          <cell r="E60" t="str">
            <v>ESD</v>
          </cell>
          <cell r="F60">
            <v>522412.67499999999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391034.27500000002</v>
          </cell>
          <cell r="G61">
            <v>0.220301</v>
          </cell>
          <cell r="H61">
            <v>381880.77</v>
          </cell>
          <cell r="I61">
            <v>9153.5050000000047</v>
          </cell>
        </row>
        <row r="62">
          <cell r="E62" t="str">
            <v>TRN</v>
          </cell>
          <cell r="F62">
            <v>103532.2</v>
          </cell>
          <cell r="G62">
            <v>5.8327999999999998E-2</v>
          </cell>
          <cell r="H62">
            <v>101108.67</v>
          </cell>
          <cell r="I62">
            <v>2423.5299999999988</v>
          </cell>
        </row>
        <row r="63">
          <cell r="E63" t="str">
            <v>TUS</v>
          </cell>
          <cell r="F63">
            <v>149829.52499999999</v>
          </cell>
          <cell r="G63">
            <v>8.4411E-2</v>
          </cell>
          <cell r="H63">
            <v>146322.25</v>
          </cell>
          <cell r="I63">
            <v>3507.2749999999942</v>
          </cell>
        </row>
        <row r="64">
          <cell r="E64" t="str">
            <v>TUM</v>
          </cell>
          <cell r="F64">
            <v>161917.27499999999</v>
          </cell>
          <cell r="G64">
            <v>9.1220999999999997E-2</v>
          </cell>
          <cell r="H64">
            <v>158127.04000000001</v>
          </cell>
          <cell r="I64">
            <v>3790.234999999986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142727.75000000003</v>
          </cell>
          <cell r="G69">
            <v>8.0410000000000009E-2</v>
          </cell>
          <cell r="H69">
            <v>139386.71</v>
          </cell>
          <cell r="I69">
            <v>3341.0400000000373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4490.1399999999849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1.6200000000000001E-4</v>
          </cell>
          <cell r="H80">
            <v>280.82</v>
          </cell>
          <cell r="I80">
            <v>6.7300000000000182</v>
          </cell>
        </row>
        <row r="84">
          <cell r="E84" t="str">
            <v>TXU</v>
          </cell>
          <cell r="F84">
            <v>111441.60000000001</v>
          </cell>
          <cell r="G84">
            <v>6.2784000000000006E-2</v>
          </cell>
          <cell r="H84">
            <v>111441.60000000001</v>
          </cell>
          <cell r="I84">
            <v>0</v>
          </cell>
        </row>
        <row r="85">
          <cell r="E85" t="str">
            <v>ESD</v>
          </cell>
          <cell r="F85">
            <v>522412.67499999999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391034.27500000002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5.8327999999999998E-2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149829.52499999999</v>
          </cell>
          <cell r="G88">
            <v>8.4411E-2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161917.27499999999</v>
          </cell>
          <cell r="G89">
            <v>9.1220999999999997E-2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142727.75000000003</v>
          </cell>
          <cell r="G94">
            <v>8.0410000000000009E-2</v>
          </cell>
          <cell r="H94">
            <v>142727.75</v>
          </cell>
          <cell r="I94">
            <v>2.9103830456733704E-11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1.6200000000000001E-4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111441.60000000001</v>
          </cell>
          <cell r="G109">
            <v>6.2784000000000006E-2</v>
          </cell>
          <cell r="H109">
            <v>111441.60000000001</v>
          </cell>
          <cell r="I109">
            <v>0</v>
          </cell>
        </row>
        <row r="110">
          <cell r="E110" t="str">
            <v>ESD</v>
          </cell>
          <cell r="F110">
            <v>522412.67499999999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391034.27500000002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5.8327999999999998E-2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149829.52499999999</v>
          </cell>
          <cell r="G113">
            <v>8.4411E-2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161917.27499999999</v>
          </cell>
          <cell r="G114">
            <v>9.1220999999999997E-2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142727.75000000003</v>
          </cell>
          <cell r="G119">
            <v>8.0410000000000009E-2</v>
          </cell>
          <cell r="H119">
            <v>142727.75</v>
          </cell>
          <cell r="I119">
            <v>2.9103830456733704E-11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1.6200000000000001E-4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111441.60000000001</v>
          </cell>
          <cell r="G134">
            <v>6.2784000000000006E-2</v>
          </cell>
          <cell r="H134">
            <v>113296.84999999999</v>
          </cell>
          <cell r="I134">
            <v>0</v>
          </cell>
        </row>
        <row r="135">
          <cell r="E135" t="str">
            <v>ESD</v>
          </cell>
          <cell r="F135">
            <v>522412.67499999999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391034.27500000002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5.8327999999999998E-2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149829.52499999999</v>
          </cell>
          <cell r="G138">
            <v>8.4411E-2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161917.27499999999</v>
          </cell>
          <cell r="G139">
            <v>9.1220999999999997E-2</v>
          </cell>
          <cell r="H139">
            <v>164612.85999999999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142727.75000000003</v>
          </cell>
          <cell r="G144">
            <v>8.0410000000000009E-2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1.6200000000000001E-4</v>
          </cell>
          <cell r="H155">
            <v>292.33999999999997</v>
          </cell>
          <cell r="I155">
            <v>0</v>
          </cell>
        </row>
        <row r="159">
          <cell r="E159" t="str">
            <v>TXU</v>
          </cell>
          <cell r="F159">
            <v>111441.60000000001</v>
          </cell>
          <cell r="G159">
            <v>6.2784000000000006E-2</v>
          </cell>
          <cell r="H159">
            <v>111441.60000000001</v>
          </cell>
          <cell r="I159">
            <v>0</v>
          </cell>
        </row>
        <row r="160">
          <cell r="E160" t="str">
            <v>ESD</v>
          </cell>
          <cell r="F160">
            <v>522412.67499999999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391034.27500000002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5.8327999999999998E-2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149829.52499999999</v>
          </cell>
          <cell r="G163">
            <v>8.4411E-2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161917.27499999999</v>
          </cell>
          <cell r="G164">
            <v>9.1220999999999997E-2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142727.75000000003</v>
          </cell>
          <cell r="G169">
            <v>8.0410000000000009E-2</v>
          </cell>
          <cell r="H169">
            <v>142727.75</v>
          </cell>
          <cell r="I169">
            <v>2.9103830456733704E-11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1.6200000000000001E-4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111441.60000000001</v>
          </cell>
          <cell r="G184">
            <v>6.2784000000000006E-2</v>
          </cell>
          <cell r="H184">
            <v>111441.60000000001</v>
          </cell>
          <cell r="I184">
            <v>0</v>
          </cell>
        </row>
        <row r="185">
          <cell r="E185" t="str">
            <v>ESD</v>
          </cell>
          <cell r="F185">
            <v>522412.67499999999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391034.27500000002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5.8327999999999998E-2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149829.52499999999</v>
          </cell>
          <cell r="G188">
            <v>8.4411E-2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161917.27499999999</v>
          </cell>
          <cell r="G189">
            <v>9.1220999999999997E-2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142727.75000000003</v>
          </cell>
          <cell r="G194">
            <v>8.0410000000000009E-2</v>
          </cell>
          <cell r="H194">
            <v>142727.75</v>
          </cell>
          <cell r="I194">
            <v>2.9103830456733704E-11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1.6200000000000001E-4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111441.60000000001</v>
          </cell>
          <cell r="G209">
            <v>6.2784000000000006E-2</v>
          </cell>
          <cell r="H209">
            <v>116060.90999999999</v>
          </cell>
          <cell r="I209">
            <v>0</v>
          </cell>
        </row>
        <row r="210">
          <cell r="E210" t="str">
            <v>ESD</v>
          </cell>
          <cell r="F210">
            <v>522412.67499999999</v>
          </cell>
          <cell r="G210">
            <v>0.294317</v>
          </cell>
          <cell r="H210">
            <v>544067.05000000005</v>
          </cell>
          <cell r="I210">
            <v>0</v>
          </cell>
        </row>
        <row r="211">
          <cell r="E211" t="str">
            <v>GEN</v>
          </cell>
          <cell r="F211">
            <v>391034.27500000002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5.8327999999999998E-2</v>
          </cell>
          <cell r="H212">
            <v>107823.67999999999</v>
          </cell>
          <cell r="I212">
            <v>0</v>
          </cell>
        </row>
        <row r="213">
          <cell r="E213" t="str">
            <v>TUS</v>
          </cell>
          <cell r="F213">
            <v>149829.52499999999</v>
          </cell>
          <cell r="G213">
            <v>8.4411E-2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161917.27499999999</v>
          </cell>
          <cell r="G214">
            <v>9.1220999999999997E-2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142727.75000000003</v>
          </cell>
          <cell r="G219">
            <v>8.0410000000000009E-2</v>
          </cell>
          <cell r="H219">
            <v>148643.92000000001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1.6200000000000001E-4</v>
          </cell>
          <cell r="H230">
            <v>299.47000000000003</v>
          </cell>
          <cell r="I230">
            <v>0</v>
          </cell>
        </row>
        <row r="234">
          <cell r="E234" t="str">
            <v>TXU</v>
          </cell>
          <cell r="F234">
            <v>105182.95000000001</v>
          </cell>
          <cell r="G234">
            <v>5.9258000000000005E-2</v>
          </cell>
          <cell r="H234">
            <v>105182.95</v>
          </cell>
          <cell r="I234">
            <v>1.4551915228366852E-11</v>
          </cell>
        </row>
        <row r="235">
          <cell r="E235" t="str">
            <v>ESD</v>
          </cell>
          <cell r="F235">
            <v>488419.65</v>
          </cell>
          <cell r="G235">
            <v>0.27516600000000002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371180.89999999997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5.3344000000000003E-2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164386.29999999999</v>
          </cell>
          <cell r="G238">
            <v>9.2612E-2</v>
          </cell>
          <cell r="H238">
            <v>164386.29999999999</v>
          </cell>
          <cell r="I238">
            <v>0</v>
          </cell>
        </row>
        <row r="239">
          <cell r="E239" t="str">
            <v>TUM</v>
          </cell>
          <cell r="F239">
            <v>166952.95000000001</v>
          </cell>
          <cell r="G239">
            <v>9.4058000000000003E-2</v>
          </cell>
          <cell r="H239">
            <v>166952.95000000001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4.5754999999999997E-2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7.9259999999999997E-2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4217.4000000000005</v>
          </cell>
          <cell r="G246">
            <v>2.3760000000000001E-3</v>
          </cell>
          <cell r="H246">
            <v>4217.3999999999996</v>
          </cell>
          <cell r="I246">
            <v>9.0949470177292824E-13</v>
          </cell>
        </row>
        <row r="247">
          <cell r="E247" t="str">
            <v>ELREP</v>
          </cell>
          <cell r="F247">
            <v>157852.52500000002</v>
          </cell>
          <cell r="G247">
            <v>8.893100000000001E-2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220.10000000000002</v>
          </cell>
          <cell r="G255">
            <v>1.2400000000000001E-4</v>
          </cell>
          <cell r="H255">
            <v>220.1</v>
          </cell>
          <cell r="I255">
            <v>2.8421709430404007E-14</v>
          </cell>
        </row>
        <row r="259">
          <cell r="E259" t="str">
            <v>TXU</v>
          </cell>
          <cell r="F259">
            <v>105182.95000000001</v>
          </cell>
          <cell r="G259">
            <v>5.9258000000000005E-2</v>
          </cell>
          <cell r="H259">
            <v>105182.95</v>
          </cell>
          <cell r="I259">
            <v>1.4551915228366852E-11</v>
          </cell>
        </row>
        <row r="260">
          <cell r="E260" t="str">
            <v>ESD</v>
          </cell>
          <cell r="F260">
            <v>488419.65</v>
          </cell>
          <cell r="G260">
            <v>0.27516600000000002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371180.89999999997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5.3344000000000003E-2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164386.29999999999</v>
          </cell>
          <cell r="G263">
            <v>9.2612E-2</v>
          </cell>
          <cell r="H263">
            <v>164386.29999999999</v>
          </cell>
          <cell r="I263">
            <v>0</v>
          </cell>
        </row>
        <row r="264">
          <cell r="E264" t="str">
            <v>TUM</v>
          </cell>
          <cell r="F264">
            <v>166952.95000000001</v>
          </cell>
          <cell r="G264">
            <v>9.4058000000000003E-2</v>
          </cell>
          <cell r="H264">
            <v>166952.95000000001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4.5754999999999997E-2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7.9259999999999997E-2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4217.4000000000005</v>
          </cell>
          <cell r="G271">
            <v>2.3760000000000001E-3</v>
          </cell>
          <cell r="H271">
            <v>4217.3999999999996</v>
          </cell>
          <cell r="I271">
            <v>9.0949470177292824E-13</v>
          </cell>
        </row>
        <row r="272">
          <cell r="E272" t="str">
            <v>ELREP</v>
          </cell>
          <cell r="F272">
            <v>157852.52500000002</v>
          </cell>
          <cell r="G272">
            <v>8.893100000000001E-2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220.10000000000002</v>
          </cell>
          <cell r="G280">
            <v>1.2400000000000001E-4</v>
          </cell>
          <cell r="H280">
            <v>220.1</v>
          </cell>
          <cell r="I280">
            <v>2.8421709430404007E-14</v>
          </cell>
        </row>
        <row r="284">
          <cell r="E284" t="str">
            <v>TXU</v>
          </cell>
          <cell r="F284">
            <v>105182.95000000001</v>
          </cell>
          <cell r="G284">
            <v>5.9258000000000005E-2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0.27516600000000002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371180.89999999997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5.3344000000000003E-2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164386.29999999999</v>
          </cell>
          <cell r="G288">
            <v>9.2612E-2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166952.95000000001</v>
          </cell>
          <cell r="G289">
            <v>9.4058000000000003E-2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4.5754999999999997E-2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7.9259999999999997E-2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4217.4000000000005</v>
          </cell>
          <cell r="G296">
            <v>2.3760000000000001E-3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157852.52500000002</v>
          </cell>
          <cell r="G297">
            <v>8.893100000000001E-2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220.10000000000002</v>
          </cell>
          <cell r="G305">
            <v>1.2400000000000001E-4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6.2784000000000006E-2</v>
          </cell>
          <cell r="E9">
            <v>127137.12999999999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5.8327999999999998E-2</v>
          </cell>
          <cell r="E12">
            <v>118113.75</v>
          </cell>
        </row>
        <row r="13">
          <cell r="C13" t="str">
            <v>TUS</v>
          </cell>
          <cell r="D13">
            <v>8.4411E-2</v>
          </cell>
          <cell r="E13">
            <v>170931.63</v>
          </cell>
        </row>
        <row r="14">
          <cell r="C14" t="str">
            <v>TUM</v>
          </cell>
          <cell r="D14">
            <v>9.1220999999999997E-2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8.0410000000000009E-2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1.6200000000000001E-4</v>
          </cell>
          <cell r="E30">
            <v>328.05</v>
          </cell>
        </row>
        <row r="34">
          <cell r="C34" t="str">
            <v>TXU</v>
          </cell>
          <cell r="D34">
            <v>6.2784000000000006E-2</v>
          </cell>
          <cell r="E34">
            <v>129624.98000000001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5.8327999999999998E-2</v>
          </cell>
          <cell r="E37">
            <v>120425.05</v>
          </cell>
        </row>
        <row r="38">
          <cell r="C38" t="str">
            <v>TUS</v>
          </cell>
          <cell r="D38">
            <v>8.4411E-2</v>
          </cell>
          <cell r="E38">
            <v>174276.49</v>
          </cell>
        </row>
        <row r="39">
          <cell r="C39" t="str">
            <v>TUM</v>
          </cell>
          <cell r="D39">
            <v>9.1220999999999997E-2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8.0410000000000009E-2</v>
          </cell>
          <cell r="E44">
            <v>166015.95000000001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1.6200000000000001E-4</v>
          </cell>
          <cell r="E55">
            <v>334.47</v>
          </cell>
        </row>
        <row r="59">
          <cell r="C59" t="str">
            <v>TXU</v>
          </cell>
          <cell r="D59">
            <v>6.2784000000000006E-2</v>
          </cell>
          <cell r="E59">
            <v>132146.32999999999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5.8327999999999998E-2</v>
          </cell>
          <cell r="E62">
            <v>122767.45</v>
          </cell>
        </row>
        <row r="63">
          <cell r="C63" t="str">
            <v>TUS</v>
          </cell>
          <cell r="D63">
            <v>8.4411E-2</v>
          </cell>
          <cell r="E63">
            <v>177666.36</v>
          </cell>
        </row>
        <row r="64">
          <cell r="C64" t="str">
            <v>TUM</v>
          </cell>
          <cell r="D64">
            <v>9.1220999999999997E-2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8.0410000000000009E-2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1.6200000000000001E-4</v>
          </cell>
          <cell r="E80">
            <v>340.97</v>
          </cell>
        </row>
        <row r="84">
          <cell r="C84" t="str">
            <v>TXU</v>
          </cell>
          <cell r="D84">
            <v>6.2784000000000006E-2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631388.43999999994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5.8327999999999998E-2</v>
          </cell>
          <cell r="E87">
            <v>125129.11</v>
          </cell>
        </row>
        <row r="88">
          <cell r="C88" t="str">
            <v>TUS</v>
          </cell>
          <cell r="D88">
            <v>8.4411E-2</v>
          </cell>
          <cell r="E88">
            <v>181084.1</v>
          </cell>
        </row>
        <row r="89">
          <cell r="C89" t="str">
            <v>TUM</v>
          </cell>
          <cell r="D89">
            <v>9.1220999999999997E-2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8.0410000000000009E-2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1.6200000000000001E-4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6.2784000000000006E-2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5.8327999999999998E-2</v>
          </cell>
          <cell r="G12">
            <v>206300.29</v>
          </cell>
        </row>
        <row r="13">
          <cell r="E13" t="str">
            <v>TUS</v>
          </cell>
          <cell r="F13">
            <v>8.4411E-2</v>
          </cell>
          <cell r="G13">
            <v>298553.25</v>
          </cell>
        </row>
        <row r="14">
          <cell r="E14" t="str">
            <v>TUM</v>
          </cell>
          <cell r="F14">
            <v>9.1220999999999997E-2</v>
          </cell>
          <cell r="G14">
            <v>322639.53999999998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8.0410000000000009E-2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1.6200000000000001E-4</v>
          </cell>
          <cell r="G30">
            <v>572.98</v>
          </cell>
        </row>
        <row r="34">
          <cell r="E34" t="str">
            <v>TXU</v>
          </cell>
          <cell r="F34">
            <v>6.2784000000000006E-2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5.8327999999999998E-2</v>
          </cell>
          <cell r="G37">
            <v>212231.69</v>
          </cell>
        </row>
        <row r="38">
          <cell r="E38" t="str">
            <v>TUS</v>
          </cell>
          <cell r="F38">
            <v>8.4411E-2</v>
          </cell>
          <cell r="G38">
            <v>307137.03000000003</v>
          </cell>
        </row>
        <row r="39">
          <cell r="E39" t="str">
            <v>TUM</v>
          </cell>
          <cell r="F39">
            <v>9.1220999999999997E-2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8.0410000000000009E-2</v>
          </cell>
          <cell r="G44">
            <v>292579.03000000003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1.6200000000000001E-4</v>
          </cell>
          <cell r="G55">
            <v>589.45000000000005</v>
          </cell>
        </row>
        <row r="59">
          <cell r="E59" t="str">
            <v>TXU</v>
          </cell>
          <cell r="F59">
            <v>6.2784000000000006E-2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1089415.8600000001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5.8327999999999998E-2</v>
          </cell>
          <cell r="G62">
            <v>215901.39</v>
          </cell>
        </row>
        <row r="63">
          <cell r="E63" t="str">
            <v>TUS</v>
          </cell>
          <cell r="F63">
            <v>8.4411E-2</v>
          </cell>
          <cell r="G63">
            <v>312447.74</v>
          </cell>
        </row>
        <row r="64">
          <cell r="E64" t="str">
            <v>TUM</v>
          </cell>
          <cell r="F64">
            <v>9.1220999999999997E-2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8.0410000000000009E-2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1.6200000000000001E-4</v>
          </cell>
          <cell r="G80">
            <v>599.64</v>
          </cell>
        </row>
        <row r="84">
          <cell r="E84" t="str">
            <v>TXU</v>
          </cell>
          <cell r="F84">
            <v>6.2784000000000006E-2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5.8327999999999998E-2</v>
          </cell>
          <cell r="G87">
            <v>219427.05</v>
          </cell>
        </row>
        <row r="88">
          <cell r="E88" t="str">
            <v>TUS</v>
          </cell>
          <cell r="F88">
            <v>8.4411E-2</v>
          </cell>
          <cell r="G88">
            <v>317550.01</v>
          </cell>
        </row>
        <row r="89">
          <cell r="E89" t="str">
            <v>TUM</v>
          </cell>
          <cell r="F89">
            <v>9.1220999999999997E-2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8.0410000000000009E-2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1.6200000000000001E-4</v>
          </cell>
          <cell r="G105">
            <v>609.44000000000005</v>
          </cell>
        </row>
      </sheetData>
      <sheetData sheetId="3" refreshError="1">
        <row r="8">
          <cell r="C8" t="str">
            <v>TXU</v>
          </cell>
          <cell r="D8">
            <v>6.2784000000000006E-2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5.8327999999999998E-2</v>
          </cell>
          <cell r="E11">
            <v>47938.03</v>
          </cell>
        </row>
        <row r="12">
          <cell r="C12" t="str">
            <v>TUS</v>
          </cell>
          <cell r="D12">
            <v>8.4411E-2</v>
          </cell>
          <cell r="E12">
            <v>69374.87</v>
          </cell>
        </row>
        <row r="13">
          <cell r="C13" t="str">
            <v>TUM</v>
          </cell>
          <cell r="D13">
            <v>9.1220999999999997E-2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66086.570000000007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133.13999999999999</v>
          </cell>
        </row>
        <row r="32">
          <cell r="C32" t="str">
            <v>TXU</v>
          </cell>
          <cell r="D32">
            <v>6.2784000000000006E-2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5.8327999999999998E-2</v>
          </cell>
          <cell r="E35">
            <v>47938.03</v>
          </cell>
        </row>
        <row r="36">
          <cell r="C36" t="str">
            <v>TUS</v>
          </cell>
          <cell r="D36">
            <v>8.4411E-2</v>
          </cell>
          <cell r="E36">
            <v>69374.87</v>
          </cell>
        </row>
        <row r="37">
          <cell r="C37" t="str">
            <v>TUM</v>
          </cell>
          <cell r="D37">
            <v>9.1220999999999997E-2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66086.570000000007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133.13999999999999</v>
          </cell>
        </row>
        <row r="56">
          <cell r="C56" t="str">
            <v>TXU</v>
          </cell>
          <cell r="D56">
            <v>6.2784000000000006E-2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5.8327999999999998E-2</v>
          </cell>
          <cell r="E59">
            <v>47938.03</v>
          </cell>
        </row>
        <row r="60">
          <cell r="C60" t="str">
            <v>TUS</v>
          </cell>
          <cell r="D60">
            <v>8.4411E-2</v>
          </cell>
          <cell r="E60">
            <v>69374.87</v>
          </cell>
        </row>
        <row r="61">
          <cell r="C61" t="str">
            <v>TUM</v>
          </cell>
          <cell r="D61">
            <v>9.1220999999999997E-2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66086.570000000007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133.13999999999999</v>
          </cell>
        </row>
        <row r="81">
          <cell r="C81" t="str">
            <v>TXU</v>
          </cell>
          <cell r="D81">
            <v>6.2784000000000006E-2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5.8327999999999998E-2</v>
          </cell>
          <cell r="E84">
            <v>48583.14</v>
          </cell>
        </row>
        <row r="85">
          <cell r="C85" t="str">
            <v>TUS</v>
          </cell>
          <cell r="D85">
            <v>8.4411E-2</v>
          </cell>
          <cell r="E85">
            <v>70308.460000000006</v>
          </cell>
        </row>
        <row r="86">
          <cell r="C86" t="str">
            <v>TUM</v>
          </cell>
          <cell r="D86">
            <v>9.1220999999999997E-2</v>
          </cell>
          <cell r="E86">
            <v>75980.710000000006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66975.899999999994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134.93</v>
          </cell>
        </row>
        <row r="106">
          <cell r="C106" t="str">
            <v>TXU</v>
          </cell>
          <cell r="D106">
            <v>6.2784000000000006E-2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5.8327999999999998E-2</v>
          </cell>
          <cell r="E109">
            <v>48583.14</v>
          </cell>
        </row>
        <row r="110">
          <cell r="C110" t="str">
            <v>TUS</v>
          </cell>
          <cell r="D110">
            <v>8.4411E-2</v>
          </cell>
          <cell r="E110">
            <v>70308.460000000006</v>
          </cell>
        </row>
        <row r="111">
          <cell r="C111" t="str">
            <v>TUM</v>
          </cell>
          <cell r="D111">
            <v>9.1220999999999997E-2</v>
          </cell>
          <cell r="E111">
            <v>75980.710000000006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66975.899999999994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134.93</v>
          </cell>
        </row>
        <row r="131">
          <cell r="C131" t="str">
            <v>TXU</v>
          </cell>
          <cell r="D131">
            <v>6.2784000000000006E-2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5.8327999999999998E-2</v>
          </cell>
          <cell r="E134">
            <v>48583.14</v>
          </cell>
        </row>
        <row r="135">
          <cell r="C135" t="str">
            <v>TUS</v>
          </cell>
          <cell r="D135">
            <v>8.4411E-2</v>
          </cell>
          <cell r="E135">
            <v>70308.460000000006</v>
          </cell>
        </row>
        <row r="136">
          <cell r="C136" t="str">
            <v>TUM</v>
          </cell>
          <cell r="D136">
            <v>9.1220999999999997E-2</v>
          </cell>
          <cell r="E136">
            <v>75980.710000000006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66975.899999999994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134.93</v>
          </cell>
        </row>
        <row r="155">
          <cell r="C155" t="str">
            <v>TXU</v>
          </cell>
          <cell r="D155">
            <v>6.2784000000000006E-2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5.8327999999999998E-2</v>
          </cell>
          <cell r="E158">
            <v>48982.59</v>
          </cell>
        </row>
        <row r="159">
          <cell r="C159" t="str">
            <v>TUS</v>
          </cell>
          <cell r="D159">
            <v>8.4411E-2</v>
          </cell>
          <cell r="E159">
            <v>70886.53</v>
          </cell>
        </row>
        <row r="160">
          <cell r="C160" t="str">
            <v>TUM</v>
          </cell>
          <cell r="D160">
            <v>9.1220999999999997E-2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136.04</v>
          </cell>
        </row>
        <row r="179">
          <cell r="C179" t="str">
            <v>TXU</v>
          </cell>
          <cell r="D179">
            <v>6.2784000000000006E-2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5.8327999999999998E-2</v>
          </cell>
          <cell r="E182">
            <v>48982.59</v>
          </cell>
        </row>
        <row r="183">
          <cell r="C183" t="str">
            <v>TUS</v>
          </cell>
          <cell r="D183">
            <v>8.4411E-2</v>
          </cell>
          <cell r="E183">
            <v>70886.53</v>
          </cell>
        </row>
        <row r="184">
          <cell r="C184" t="str">
            <v>TUM</v>
          </cell>
          <cell r="D184">
            <v>9.1220999999999997E-2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136.04</v>
          </cell>
        </row>
        <row r="203">
          <cell r="C203" t="str">
            <v>TXU</v>
          </cell>
          <cell r="D203">
            <v>6.2784000000000006E-2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5.8327999999999998E-2</v>
          </cell>
          <cell r="E206">
            <v>48982.59</v>
          </cell>
        </row>
        <row r="207">
          <cell r="C207" t="str">
            <v>TUS</v>
          </cell>
          <cell r="D207">
            <v>8.4411E-2</v>
          </cell>
          <cell r="E207">
            <v>70886.53</v>
          </cell>
        </row>
        <row r="208">
          <cell r="C208" t="str">
            <v>TUM</v>
          </cell>
          <cell r="D208">
            <v>9.1220999999999997E-2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136.04</v>
          </cell>
        </row>
        <row r="227">
          <cell r="C227" t="str">
            <v>TXU</v>
          </cell>
          <cell r="D227">
            <v>6.2784000000000006E-2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5.8327999999999998E-2</v>
          </cell>
          <cell r="E230">
            <v>49365.71</v>
          </cell>
        </row>
        <row r="231">
          <cell r="C231" t="str">
            <v>TUS</v>
          </cell>
          <cell r="D231">
            <v>8.4411E-2</v>
          </cell>
          <cell r="E231">
            <v>71440.97</v>
          </cell>
        </row>
        <row r="232">
          <cell r="C232" t="str">
            <v>TUM</v>
          </cell>
          <cell r="D232">
            <v>9.1220999999999997E-2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68054.740000000005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137.11000000000001</v>
          </cell>
        </row>
        <row r="251">
          <cell r="C251" t="str">
            <v>TXU</v>
          </cell>
          <cell r="D251">
            <v>6.2784000000000006E-2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5.8327999999999998E-2</v>
          </cell>
          <cell r="E254">
            <v>49365.71</v>
          </cell>
        </row>
        <row r="255">
          <cell r="C255" t="str">
            <v>TUS</v>
          </cell>
          <cell r="D255">
            <v>8.4411E-2</v>
          </cell>
          <cell r="E255">
            <v>71440.97</v>
          </cell>
        </row>
        <row r="256">
          <cell r="C256" t="str">
            <v>TUM</v>
          </cell>
          <cell r="D256">
            <v>9.1220999999999997E-2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68054.740000000005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137.11000000000001</v>
          </cell>
        </row>
        <row r="275">
          <cell r="C275" t="str">
            <v>TXU</v>
          </cell>
          <cell r="D275">
            <v>6.2784000000000006E-2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5.8327999999999998E-2</v>
          </cell>
          <cell r="E278">
            <v>49365.71</v>
          </cell>
        </row>
        <row r="279">
          <cell r="C279" t="str">
            <v>TUS</v>
          </cell>
          <cell r="D279">
            <v>8.4411E-2</v>
          </cell>
          <cell r="E279">
            <v>71440.97</v>
          </cell>
        </row>
        <row r="280">
          <cell r="C280" t="str">
            <v>TUM</v>
          </cell>
          <cell r="D280">
            <v>9.1220999999999997E-2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68054.740000000005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137.11000000000001</v>
          </cell>
        </row>
      </sheetData>
      <sheetData sheetId="4" refreshError="1">
        <row r="8">
          <cell r="C8" t="str">
            <v>TXU</v>
          </cell>
          <cell r="D8">
            <v>6.2784000000000006E-2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562415.93999999994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5.8327999999999998E-2</v>
          </cell>
          <cell r="E11">
            <v>111460.08</v>
          </cell>
        </row>
        <row r="12">
          <cell r="C12" t="str">
            <v>TUS</v>
          </cell>
          <cell r="D12">
            <v>8.4411E-2</v>
          </cell>
          <cell r="E12">
            <v>161302.57999999999</v>
          </cell>
        </row>
        <row r="13">
          <cell r="C13" t="str">
            <v>TUM</v>
          </cell>
          <cell r="D13">
            <v>9.1220999999999997E-2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309.57</v>
          </cell>
        </row>
        <row r="32">
          <cell r="C32" t="str">
            <v>TXU</v>
          </cell>
          <cell r="D32">
            <v>6.2784000000000006E-2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562415.93999999994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5.8327999999999998E-2</v>
          </cell>
          <cell r="E35">
            <v>111460.08</v>
          </cell>
        </row>
        <row r="36">
          <cell r="C36" t="str">
            <v>TUS</v>
          </cell>
          <cell r="D36">
            <v>8.4411E-2</v>
          </cell>
          <cell r="E36">
            <v>161302.57999999999</v>
          </cell>
        </row>
        <row r="37">
          <cell r="C37" t="str">
            <v>TUM</v>
          </cell>
          <cell r="D37">
            <v>9.1220999999999997E-2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309.57</v>
          </cell>
        </row>
        <row r="56">
          <cell r="C56" t="str">
            <v>TXU</v>
          </cell>
          <cell r="D56">
            <v>6.2784000000000006E-2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562415.93999999994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5.8327999999999998E-2</v>
          </cell>
          <cell r="E59">
            <v>111460.08</v>
          </cell>
        </row>
        <row r="60">
          <cell r="C60" t="str">
            <v>TUS</v>
          </cell>
          <cell r="D60">
            <v>8.4411E-2</v>
          </cell>
          <cell r="E60">
            <v>161302.57999999999</v>
          </cell>
        </row>
        <row r="61">
          <cell r="C61" t="str">
            <v>TUM</v>
          </cell>
          <cell r="D61">
            <v>9.1220999999999997E-2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309.57</v>
          </cell>
        </row>
        <row r="81">
          <cell r="C81" t="str">
            <v>TXU</v>
          </cell>
          <cell r="D81">
            <v>6.2784000000000006E-2</v>
          </cell>
          <cell r="E81">
            <v>116431.81000000001</v>
          </cell>
        </row>
        <row r="82">
          <cell r="C82" t="str">
            <v>ESD</v>
          </cell>
          <cell r="D82">
            <v>0.294317</v>
          </cell>
          <cell r="E82">
            <v>545805.69999999995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5.8327999999999998E-2</v>
          </cell>
          <cell r="E84">
            <v>108168.25</v>
          </cell>
        </row>
        <row r="85">
          <cell r="C85" t="str">
            <v>TUS</v>
          </cell>
          <cell r="D85">
            <v>8.4411E-2</v>
          </cell>
          <cell r="E85">
            <v>156538.71</v>
          </cell>
        </row>
        <row r="86">
          <cell r="C86" t="str">
            <v>TUM</v>
          </cell>
          <cell r="D86">
            <v>9.1220999999999997E-2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300.43</v>
          </cell>
        </row>
        <row r="106">
          <cell r="C106" t="str">
            <v>TXU</v>
          </cell>
          <cell r="D106">
            <v>6.2784000000000006E-2</v>
          </cell>
          <cell r="E106">
            <v>116431.81000000001</v>
          </cell>
        </row>
        <row r="107">
          <cell r="C107" t="str">
            <v>ESD</v>
          </cell>
          <cell r="D107">
            <v>0.294317</v>
          </cell>
          <cell r="E107">
            <v>545805.69999999995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5.8327999999999998E-2</v>
          </cell>
          <cell r="E109">
            <v>108168.25</v>
          </cell>
        </row>
        <row r="110">
          <cell r="C110" t="str">
            <v>TUS</v>
          </cell>
          <cell r="D110">
            <v>8.4411E-2</v>
          </cell>
          <cell r="E110">
            <v>156538.71</v>
          </cell>
        </row>
        <row r="111">
          <cell r="C111" t="str">
            <v>TUM</v>
          </cell>
          <cell r="D111">
            <v>9.1220999999999997E-2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300.43</v>
          </cell>
        </row>
        <row r="131">
          <cell r="C131" t="str">
            <v>TXU</v>
          </cell>
          <cell r="D131">
            <v>6.2784000000000006E-2</v>
          </cell>
          <cell r="E131">
            <v>116431.81000000001</v>
          </cell>
        </row>
        <row r="132">
          <cell r="C132" t="str">
            <v>ESD</v>
          </cell>
          <cell r="D132">
            <v>0.294317</v>
          </cell>
          <cell r="E132">
            <v>545805.69999999995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5.8327999999999998E-2</v>
          </cell>
          <cell r="E134">
            <v>108168.25</v>
          </cell>
        </row>
        <row r="135">
          <cell r="C135" t="str">
            <v>TUS</v>
          </cell>
          <cell r="D135">
            <v>8.4411E-2</v>
          </cell>
          <cell r="E135">
            <v>156538.71</v>
          </cell>
        </row>
        <row r="136">
          <cell r="C136" t="str">
            <v>TUM</v>
          </cell>
          <cell r="D136">
            <v>9.1220999999999997E-2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300.43</v>
          </cell>
        </row>
        <row r="155">
          <cell r="C155" t="str">
            <v>TXU</v>
          </cell>
          <cell r="D155">
            <v>6.2784000000000006E-2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5.8327999999999998E-2</v>
          </cell>
          <cell r="E158">
            <v>108361.02</v>
          </cell>
        </row>
        <row r="159">
          <cell r="C159" t="str">
            <v>TUS</v>
          </cell>
          <cell r="D159">
            <v>8.4411E-2</v>
          </cell>
          <cell r="E159">
            <v>156817.69</v>
          </cell>
        </row>
        <row r="160">
          <cell r="C160" t="str">
            <v>TUM</v>
          </cell>
          <cell r="D160">
            <v>9.1220999999999997E-2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300.95999999999998</v>
          </cell>
        </row>
        <row r="179">
          <cell r="C179" t="str">
            <v>TXU</v>
          </cell>
          <cell r="D179">
            <v>6.2784000000000006E-2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5.8327999999999998E-2</v>
          </cell>
          <cell r="E182">
            <v>108361.02</v>
          </cell>
        </row>
        <row r="183">
          <cell r="C183" t="str">
            <v>TUS</v>
          </cell>
          <cell r="D183">
            <v>8.4411E-2</v>
          </cell>
          <cell r="E183">
            <v>156817.69</v>
          </cell>
        </row>
        <row r="184">
          <cell r="C184" t="str">
            <v>TUM</v>
          </cell>
          <cell r="D184">
            <v>9.1220999999999997E-2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300.95999999999998</v>
          </cell>
        </row>
        <row r="203">
          <cell r="C203" t="str">
            <v>TXU</v>
          </cell>
          <cell r="D203">
            <v>6.2784000000000006E-2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5.8327999999999998E-2</v>
          </cell>
          <cell r="E206">
            <v>108361.02</v>
          </cell>
        </row>
        <row r="207">
          <cell r="C207" t="str">
            <v>TUS</v>
          </cell>
          <cell r="D207">
            <v>8.4411E-2</v>
          </cell>
          <cell r="E207">
            <v>156817.69</v>
          </cell>
        </row>
        <row r="208">
          <cell r="C208" t="str">
            <v>TUM</v>
          </cell>
          <cell r="D208">
            <v>9.1220999999999997E-2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300.95999999999998</v>
          </cell>
        </row>
        <row r="227">
          <cell r="C227" t="str">
            <v>TXU</v>
          </cell>
          <cell r="D227">
            <v>6.2784000000000006E-2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5.8327999999999998E-2</v>
          </cell>
          <cell r="E230">
            <v>108505.78</v>
          </cell>
        </row>
        <row r="231">
          <cell r="C231" t="str">
            <v>TUS</v>
          </cell>
          <cell r="D231">
            <v>8.4411E-2</v>
          </cell>
          <cell r="E231">
            <v>157027.18</v>
          </cell>
        </row>
        <row r="232">
          <cell r="C232" t="str">
            <v>TUM</v>
          </cell>
          <cell r="D232">
            <v>9.1220999999999997E-2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301.36</v>
          </cell>
        </row>
        <row r="251">
          <cell r="C251" t="str">
            <v>TXU</v>
          </cell>
          <cell r="D251">
            <v>6.2784000000000006E-2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5.8327999999999998E-2</v>
          </cell>
          <cell r="E254">
            <v>108505.78</v>
          </cell>
        </row>
        <row r="255">
          <cell r="C255" t="str">
            <v>TUS</v>
          </cell>
          <cell r="D255">
            <v>8.4411E-2</v>
          </cell>
          <cell r="E255">
            <v>157027.18</v>
          </cell>
        </row>
        <row r="256">
          <cell r="C256" t="str">
            <v>TUM</v>
          </cell>
          <cell r="D256">
            <v>9.1220999999999997E-2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301.36</v>
          </cell>
        </row>
        <row r="275">
          <cell r="C275" t="str">
            <v>TXU</v>
          </cell>
          <cell r="D275">
            <v>6.2784000000000006E-2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5.8327999999999998E-2</v>
          </cell>
          <cell r="E278">
            <v>108505.78</v>
          </cell>
        </row>
        <row r="279">
          <cell r="C279" t="str">
            <v>TUS</v>
          </cell>
          <cell r="D279">
            <v>8.4411E-2</v>
          </cell>
          <cell r="E279">
            <v>157027.18</v>
          </cell>
        </row>
        <row r="280">
          <cell r="C280" t="str">
            <v>TUM</v>
          </cell>
          <cell r="D280">
            <v>9.1220999999999997E-2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6.2784000000000006E-2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5.8327999999999998E-2</v>
          </cell>
          <cell r="E11">
            <v>78117.86</v>
          </cell>
        </row>
        <row r="12">
          <cell r="C12" t="str">
            <v>TUS</v>
          </cell>
          <cell r="D12">
            <v>8.4411E-2</v>
          </cell>
          <cell r="E12">
            <v>113050.44</v>
          </cell>
        </row>
        <row r="13">
          <cell r="C13" t="str">
            <v>TUM</v>
          </cell>
          <cell r="D13">
            <v>9.1220999999999997E-2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216.96</v>
          </cell>
        </row>
        <row r="32">
          <cell r="C32" t="str">
            <v>TXU</v>
          </cell>
          <cell r="D32">
            <v>6.2784000000000006E-2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5.8327999999999998E-2</v>
          </cell>
          <cell r="E35">
            <v>78117.86</v>
          </cell>
        </row>
        <row r="36">
          <cell r="C36" t="str">
            <v>TUS</v>
          </cell>
          <cell r="D36">
            <v>8.4411E-2</v>
          </cell>
          <cell r="E36">
            <v>113050.44</v>
          </cell>
        </row>
        <row r="37">
          <cell r="C37" t="str">
            <v>TUM</v>
          </cell>
          <cell r="D37">
            <v>9.1220999999999997E-2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216.96</v>
          </cell>
        </row>
        <row r="56">
          <cell r="C56" t="str">
            <v>TXU</v>
          </cell>
          <cell r="D56">
            <v>6.2784000000000006E-2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5.8327999999999998E-2</v>
          </cell>
          <cell r="E59">
            <v>78117.86</v>
          </cell>
        </row>
        <row r="60">
          <cell r="C60" t="str">
            <v>TUS</v>
          </cell>
          <cell r="D60">
            <v>8.4411E-2</v>
          </cell>
          <cell r="E60">
            <v>113050.45</v>
          </cell>
        </row>
        <row r="61">
          <cell r="C61" t="str">
            <v>TUM</v>
          </cell>
          <cell r="D61">
            <v>9.1220999999999997E-2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216.96</v>
          </cell>
        </row>
        <row r="81">
          <cell r="C81" t="str">
            <v>TXU</v>
          </cell>
          <cell r="D81">
            <v>6.2784000000000006E-2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5.8327999999999998E-2</v>
          </cell>
          <cell r="E84">
            <v>78117.86</v>
          </cell>
        </row>
        <row r="85">
          <cell r="C85" t="str">
            <v>TUS</v>
          </cell>
          <cell r="D85">
            <v>8.4411E-2</v>
          </cell>
          <cell r="E85">
            <v>113050.44</v>
          </cell>
        </row>
        <row r="86">
          <cell r="C86" t="str">
            <v>TUM</v>
          </cell>
          <cell r="D86">
            <v>9.1220999999999997E-2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216.96</v>
          </cell>
        </row>
        <row r="106">
          <cell r="C106" t="str">
            <v>TXU</v>
          </cell>
          <cell r="D106">
            <v>6.2784000000000006E-2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5.8327999999999998E-2</v>
          </cell>
          <cell r="E109">
            <v>78117.86</v>
          </cell>
        </row>
        <row r="110">
          <cell r="C110" t="str">
            <v>TUS</v>
          </cell>
          <cell r="D110">
            <v>8.4411E-2</v>
          </cell>
          <cell r="E110">
            <v>113050.44</v>
          </cell>
        </row>
        <row r="111">
          <cell r="C111" t="str">
            <v>TUM</v>
          </cell>
          <cell r="D111">
            <v>9.1220999999999997E-2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216.96</v>
          </cell>
        </row>
        <row r="131">
          <cell r="C131" t="str">
            <v>TXU</v>
          </cell>
          <cell r="D131">
            <v>6.2784000000000006E-2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5.8327999999999998E-2</v>
          </cell>
          <cell r="E134">
            <v>78117.86</v>
          </cell>
        </row>
        <row r="135">
          <cell r="C135" t="str">
            <v>TUS</v>
          </cell>
          <cell r="D135">
            <v>8.4411E-2</v>
          </cell>
          <cell r="E135">
            <v>113050.45</v>
          </cell>
        </row>
        <row r="136">
          <cell r="C136" t="str">
            <v>TUM</v>
          </cell>
          <cell r="D136">
            <v>9.1220999999999997E-2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216.96</v>
          </cell>
        </row>
        <row r="155">
          <cell r="C155" t="str">
            <v>TXU</v>
          </cell>
          <cell r="D155">
            <v>6.2784000000000006E-2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5.8327999999999998E-2</v>
          </cell>
          <cell r="E158">
            <v>78117.86</v>
          </cell>
        </row>
        <row r="159">
          <cell r="C159" t="str">
            <v>TUS</v>
          </cell>
          <cell r="D159">
            <v>8.4411E-2</v>
          </cell>
          <cell r="E159">
            <v>113050.44</v>
          </cell>
        </row>
        <row r="160">
          <cell r="C160" t="str">
            <v>TUM</v>
          </cell>
          <cell r="D160">
            <v>9.1220999999999997E-2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216.96</v>
          </cell>
        </row>
        <row r="179">
          <cell r="C179" t="str">
            <v>TXU</v>
          </cell>
          <cell r="D179">
            <v>6.2784000000000006E-2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5.8327999999999998E-2</v>
          </cell>
          <cell r="E182">
            <v>78117.86</v>
          </cell>
        </row>
        <row r="183">
          <cell r="C183" t="str">
            <v>TUS</v>
          </cell>
          <cell r="D183">
            <v>8.4411E-2</v>
          </cell>
          <cell r="E183">
            <v>113050.44</v>
          </cell>
        </row>
        <row r="184">
          <cell r="C184" t="str">
            <v>TUM</v>
          </cell>
          <cell r="D184">
            <v>9.1220999999999997E-2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216.96</v>
          </cell>
        </row>
        <row r="203">
          <cell r="C203" t="str">
            <v>TXU</v>
          </cell>
          <cell r="D203">
            <v>6.2784000000000006E-2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5.8327999999999998E-2</v>
          </cell>
          <cell r="E206">
            <v>78117.86</v>
          </cell>
        </row>
        <row r="207">
          <cell r="C207" t="str">
            <v>TUS</v>
          </cell>
          <cell r="D207">
            <v>8.4411E-2</v>
          </cell>
          <cell r="E207">
            <v>113050.45</v>
          </cell>
        </row>
        <row r="208">
          <cell r="C208" t="str">
            <v>TUM</v>
          </cell>
          <cell r="D208">
            <v>9.1220999999999997E-2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216.96</v>
          </cell>
        </row>
        <row r="227">
          <cell r="C227" t="str">
            <v>TXU</v>
          </cell>
          <cell r="D227">
            <v>6.2784000000000006E-2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5.8327999999999998E-2</v>
          </cell>
          <cell r="E230">
            <v>78117.86</v>
          </cell>
        </row>
        <row r="231">
          <cell r="C231" t="str">
            <v>TUS</v>
          </cell>
          <cell r="D231">
            <v>8.4411E-2</v>
          </cell>
          <cell r="E231">
            <v>113050.44</v>
          </cell>
        </row>
        <row r="232">
          <cell r="C232" t="str">
            <v>TUM</v>
          </cell>
          <cell r="D232">
            <v>9.1220999999999997E-2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216.96</v>
          </cell>
        </row>
        <row r="251">
          <cell r="C251" t="str">
            <v>TXU</v>
          </cell>
          <cell r="D251">
            <v>6.2784000000000006E-2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5.8327999999999998E-2</v>
          </cell>
          <cell r="E254">
            <v>78117.86</v>
          </cell>
        </row>
        <row r="255">
          <cell r="C255" t="str">
            <v>TUS</v>
          </cell>
          <cell r="D255">
            <v>8.4411E-2</v>
          </cell>
          <cell r="E255">
            <v>113050.44</v>
          </cell>
        </row>
        <row r="256">
          <cell r="C256" t="str">
            <v>TUM</v>
          </cell>
          <cell r="D256">
            <v>9.1220999999999997E-2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216.96</v>
          </cell>
        </row>
        <row r="275">
          <cell r="C275" t="str">
            <v>TXU</v>
          </cell>
          <cell r="D275">
            <v>6.2784000000000006E-2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5.8327999999999998E-2</v>
          </cell>
          <cell r="E278">
            <v>78117.86</v>
          </cell>
        </row>
        <row r="279">
          <cell r="C279" t="str">
            <v>TUS</v>
          </cell>
          <cell r="D279">
            <v>8.4411E-2</v>
          </cell>
          <cell r="E279">
            <v>113050.45</v>
          </cell>
        </row>
        <row r="280">
          <cell r="C280" t="str">
            <v>TUM</v>
          </cell>
          <cell r="D280">
            <v>9.1220999999999997E-2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acct description"/>
      <sheetName val="recon"/>
      <sheetName val="Adj Entries"/>
      <sheetName val="query balance"/>
      <sheetName val="pivot"/>
      <sheetName val="Pre Mar 2015"/>
      <sheetName val="9302000"/>
      <sheetName val="Trial Balance"/>
      <sheetName val="All Source"/>
      <sheetName val="ADDL MATCH"/>
      <sheetName val="DIVIDEND APPLIED TO DEBT"/>
      <sheetName val="DEBT SERV DEF"/>
      <sheetName val="INT INCURRED"/>
      <sheetName val="PRINC AMORT"/>
      <sheetName val="DIVD RE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L6" t="str">
            <v>2015-02-28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Note"/>
      <sheetName val="Previous JE"/>
      <sheetName val="Setup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  <sheetName val="Detailed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4607727.4800000004</v>
          </cell>
          <cell r="K13" t="str">
            <v xml:space="preserve"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4607727.4800000004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-4607727.4800000004</v>
          </cell>
          <cell r="K14" t="str">
            <v xml:space="preserve"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-4607727.4800000004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4607727.4800000004</v>
          </cell>
          <cell r="K15" t="str">
            <v xml:space="preserve"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4607727.4800000004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-4607727.4800000004</v>
          </cell>
          <cell r="K16" t="str">
            <v xml:space="preserve"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-4607727.4800000004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 xml:space="preserve"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 xml:space="preserve"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 xml:space="preserve"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 xml:space="preserve"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15926.839999999851</v>
          </cell>
          <cell r="K21" t="str">
            <v xml:space="preserve"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-15926.839999999851</v>
          </cell>
          <cell r="K22" t="str">
            <v xml:space="preserve"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15926.839999999851</v>
          </cell>
          <cell r="K23" t="str">
            <v xml:space="preserve"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-15926.839999999851</v>
          </cell>
          <cell r="K24" t="str">
            <v xml:space="preserve"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602.46999999999753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-602.46999999999753</v>
          </cell>
          <cell r="K26" t="str">
            <v xml:space="preserve"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602.46999999999753</v>
          </cell>
          <cell r="K27" t="str">
            <v xml:space="preserve"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-602.46999999999753</v>
          </cell>
          <cell r="K28" t="str">
            <v xml:space="preserve"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 xml:space="preserve"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 xml:space="preserve"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 xml:space="preserve"> Please make sure there are no Journal Lines below this End of File Marker</v>
          </cell>
        </row>
        <row r="34">
          <cell r="K34" t="str">
            <v xml:space="preserve"> </v>
          </cell>
        </row>
        <row r="35">
          <cell r="K35" t="str">
            <v xml:space="preserve"> </v>
          </cell>
        </row>
        <row r="36">
          <cell r="K36" t="str">
            <v xml:space="preserve"> </v>
          </cell>
        </row>
        <row r="37">
          <cell r="K37" t="str">
            <v xml:space="preserve"> </v>
          </cell>
        </row>
        <row r="38">
          <cell r="K38" t="str">
            <v xml:space="preserve"> </v>
          </cell>
        </row>
        <row r="39">
          <cell r="K39" t="str">
            <v xml:space="preserve"> </v>
          </cell>
        </row>
        <row r="40">
          <cell r="K40" t="str">
            <v xml:space="preserve"> </v>
          </cell>
        </row>
        <row r="41">
          <cell r="K41" t="str">
            <v xml:space="preserve"> </v>
          </cell>
        </row>
        <row r="42">
          <cell r="K42" t="str">
            <v xml:space="preserve"> </v>
          </cell>
        </row>
        <row r="43">
          <cell r="K43" t="str">
            <v xml:space="preserve"> </v>
          </cell>
        </row>
        <row r="44">
          <cell r="K44" t="str">
            <v xml:space="preserve"> </v>
          </cell>
        </row>
        <row r="45">
          <cell r="K45" t="str">
            <v xml:space="preserve"> </v>
          </cell>
        </row>
        <row r="46">
          <cell r="K46" t="str">
            <v xml:space="preserve"> </v>
          </cell>
        </row>
        <row r="47">
          <cell r="K47" t="str">
            <v xml:space="preserve"> </v>
          </cell>
        </row>
        <row r="48">
          <cell r="K48" t="str">
            <v xml:space="preserve"> </v>
          </cell>
        </row>
        <row r="49">
          <cell r="K49" t="str">
            <v xml:space="preserve"> </v>
          </cell>
          <cell r="N49" t="str">
            <v xml:space="preserve">     </v>
          </cell>
        </row>
        <row r="50">
          <cell r="K50" t="str">
            <v xml:space="preserve"> </v>
          </cell>
          <cell r="N50" t="str">
            <v xml:space="preserve">     </v>
          </cell>
        </row>
        <row r="51">
          <cell r="K51" t="str">
            <v xml:space="preserve"> </v>
          </cell>
          <cell r="N51" t="str">
            <v xml:space="preserve">     </v>
          </cell>
        </row>
        <row r="52">
          <cell r="K52" t="str">
            <v xml:space="preserve"> </v>
          </cell>
          <cell r="N52" t="str">
            <v xml:space="preserve">     </v>
          </cell>
        </row>
        <row r="53">
          <cell r="K53" t="str">
            <v xml:space="preserve"> </v>
          </cell>
          <cell r="N53" t="str">
            <v xml:space="preserve">     </v>
          </cell>
        </row>
        <row r="54">
          <cell r="K54" t="str">
            <v xml:space="preserve"> </v>
          </cell>
          <cell r="N54" t="str">
            <v xml:space="preserve">     </v>
          </cell>
        </row>
        <row r="55">
          <cell r="K55" t="str">
            <v xml:space="preserve"> </v>
          </cell>
          <cell r="N55" t="str">
            <v xml:space="preserve">     </v>
          </cell>
        </row>
        <row r="56">
          <cell r="K56" t="str">
            <v xml:space="preserve"> </v>
          </cell>
          <cell r="N56" t="str">
            <v xml:space="preserve">     </v>
          </cell>
        </row>
        <row r="57">
          <cell r="K57" t="str">
            <v xml:space="preserve"> </v>
          </cell>
          <cell r="N57" t="str">
            <v xml:space="preserve">     </v>
          </cell>
        </row>
        <row r="58">
          <cell r="K58" t="str">
            <v xml:space="preserve"> </v>
          </cell>
          <cell r="N58" t="str">
            <v xml:space="preserve">     </v>
          </cell>
        </row>
        <row r="59">
          <cell r="K59" t="str">
            <v xml:space="preserve"> </v>
          </cell>
          <cell r="N59" t="str">
            <v xml:space="preserve">     </v>
          </cell>
        </row>
        <row r="60">
          <cell r="K60" t="str">
            <v xml:space="preserve"> </v>
          </cell>
          <cell r="N60" t="str">
            <v xml:space="preserve">     </v>
          </cell>
        </row>
        <row r="61">
          <cell r="K61" t="str">
            <v xml:space="preserve"> </v>
          </cell>
          <cell r="N61" t="str">
            <v xml:space="preserve">     </v>
          </cell>
        </row>
        <row r="62">
          <cell r="K62" t="str">
            <v xml:space="preserve"> </v>
          </cell>
          <cell r="N62" t="str">
            <v xml:space="preserve">     </v>
          </cell>
        </row>
        <row r="63">
          <cell r="K63" t="str">
            <v xml:space="preserve"> </v>
          </cell>
          <cell r="N63" t="str">
            <v xml:space="preserve">     </v>
          </cell>
        </row>
        <row r="64">
          <cell r="K64" t="str">
            <v xml:space="preserve"> </v>
          </cell>
          <cell r="N64" t="str">
            <v xml:space="preserve">     </v>
          </cell>
        </row>
        <row r="65">
          <cell r="K65" t="str">
            <v xml:space="preserve"> </v>
          </cell>
          <cell r="N65" t="str">
            <v xml:space="preserve">     </v>
          </cell>
        </row>
        <row r="66">
          <cell r="K66" t="str">
            <v xml:space="preserve"> </v>
          </cell>
          <cell r="N66" t="str">
            <v xml:space="preserve">     </v>
          </cell>
        </row>
        <row r="67">
          <cell r="K67" t="str">
            <v xml:space="preserve"> </v>
          </cell>
          <cell r="N67" t="str">
            <v xml:space="preserve">     </v>
          </cell>
        </row>
        <row r="68">
          <cell r="K68" t="str">
            <v xml:space="preserve"> </v>
          </cell>
          <cell r="N68" t="str">
            <v xml:space="preserve">     </v>
          </cell>
        </row>
        <row r="69">
          <cell r="K69" t="str">
            <v xml:space="preserve"> </v>
          </cell>
          <cell r="N69" t="str">
            <v xml:space="preserve">     </v>
          </cell>
        </row>
        <row r="70">
          <cell r="K70" t="str">
            <v xml:space="preserve"> </v>
          </cell>
          <cell r="N70" t="str">
            <v xml:space="preserve">     </v>
          </cell>
        </row>
        <row r="71">
          <cell r="K71" t="str">
            <v xml:space="preserve"> </v>
          </cell>
          <cell r="N71" t="str">
            <v xml:space="preserve">     </v>
          </cell>
        </row>
        <row r="72">
          <cell r="K72" t="str">
            <v xml:space="preserve"> </v>
          </cell>
          <cell r="N72" t="str">
            <v xml:space="preserve">     </v>
          </cell>
        </row>
        <row r="73">
          <cell r="K73" t="str">
            <v xml:space="preserve"> </v>
          </cell>
          <cell r="N73" t="str">
            <v xml:space="preserve">     </v>
          </cell>
        </row>
        <row r="74">
          <cell r="K74" t="str">
            <v xml:space="preserve"> </v>
          </cell>
          <cell r="N74" t="str">
            <v xml:space="preserve">     </v>
          </cell>
        </row>
        <row r="75">
          <cell r="K75" t="str">
            <v xml:space="preserve"> </v>
          </cell>
          <cell r="N75" t="str">
            <v xml:space="preserve">     </v>
          </cell>
        </row>
        <row r="76">
          <cell r="K76" t="str">
            <v xml:space="preserve"> </v>
          </cell>
          <cell r="N76" t="str">
            <v xml:space="preserve">     </v>
          </cell>
        </row>
        <row r="77">
          <cell r="K77" t="str">
            <v xml:space="preserve"> </v>
          </cell>
          <cell r="N77" t="str">
            <v xml:space="preserve">     </v>
          </cell>
        </row>
        <row r="78">
          <cell r="K78" t="str">
            <v xml:space="preserve"> </v>
          </cell>
          <cell r="N78" t="str">
            <v xml:space="preserve">     </v>
          </cell>
        </row>
        <row r="79">
          <cell r="K79" t="str">
            <v xml:space="preserve"> </v>
          </cell>
          <cell r="N79" t="str">
            <v xml:space="preserve">     </v>
          </cell>
        </row>
        <row r="80">
          <cell r="K80" t="str">
            <v xml:space="preserve"> </v>
          </cell>
          <cell r="N80" t="str">
            <v xml:space="preserve">     </v>
          </cell>
        </row>
        <row r="81">
          <cell r="K81" t="str">
            <v xml:space="preserve"> </v>
          </cell>
          <cell r="N81" t="str">
            <v xml:space="preserve">     </v>
          </cell>
        </row>
        <row r="82">
          <cell r="K82" t="str">
            <v xml:space="preserve"> </v>
          </cell>
          <cell r="N82" t="str">
            <v xml:space="preserve">     </v>
          </cell>
        </row>
        <row r="83">
          <cell r="K83" t="str">
            <v xml:space="preserve"> </v>
          </cell>
          <cell r="N83" t="str">
            <v xml:space="preserve">     </v>
          </cell>
        </row>
        <row r="84">
          <cell r="K84" t="str">
            <v xml:space="preserve"> </v>
          </cell>
          <cell r="N84" t="str">
            <v xml:space="preserve">    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83612C-2DA4-4A89-89F0-7A8A466EF943}" mc:Ignorable="x14ac xr xr2 xr3">
  <x:sheetPr>
    <x:pageSetUpPr fitToPage="1"/>
  </x:sheetPr>
  <x:dimension ref="A1:N102"/>
  <x:sheetViews>
    <x:sheetView tabSelected="1" view="pageBreakPreview" zoomScale="60" zoomScaleNormal="100" workbookViewId="0">
      <x:selection activeCell="N1" sqref="N1"/>
    </x:sheetView>
  </x:sheetViews>
  <x:sheetFormatPr defaultRowHeight="12.5" x14ac:dyDescent="0.25"/>
  <x:cols>
    <x:col min="1" max="1" width="61.453125" style="3" customWidth="1"/>
    <x:col min="2" max="2" width="17.81640625" style="2" bestFit="1" customWidth="1"/>
    <x:col min="3" max="3" width="20.54296875" style="2" bestFit="1" customWidth="1"/>
    <x:col min="4" max="4" width="16.08984375" style="3" bestFit="1" customWidth="1"/>
    <x:col min="5" max="5" width="20.54296875" style="3" bestFit="1" customWidth="1"/>
    <x:col min="6" max="6" width="19.453125" style="3" bestFit="1" customWidth="1"/>
    <x:col min="7" max="7" width="14.81640625" style="3" bestFit="1" customWidth="1"/>
    <x:col min="8" max="8" width="16.08984375" style="3" bestFit="1" customWidth="1"/>
    <x:col min="9" max="9" width="15.54296875" style="3" bestFit="1" customWidth="1"/>
    <x:col min="10" max="10" width="16.1796875" style="3" bestFit="1" customWidth="1"/>
    <x:col min="11" max="11" width="19.1796875" style="3" bestFit="1" customWidth="1"/>
    <x:col min="12" max="12" width="3.6328125" style="3" customWidth="1"/>
    <x:col min="13" max="13" width="11.6328125" style="3" bestFit="1" customWidth="1"/>
    <x:col min="14" max="14" width="12.08984375" style="3" bestFit="1" customWidth="1"/>
    <x:col min="15" max="16384" width="8.7265625" style="3"/>
  </x:cols>
  <x:sheetData>
    <x:row r="1" spans="1:14" ht="13" x14ac:dyDescent="0.3">
      <x:c r="A1" s="1" t="s">
        <x:v>0</x:v>
      </x:c>
      <x:c r="N1" s="59" t="s">
        <x:v>53</x:v>
      </x:c>
    </x:row>
    <x:row r="2" spans="1:14" ht="13" x14ac:dyDescent="0.3">
      <x:c r="A2" s="1" t="s">
        <x:v>32</x:v>
      </x:c>
      <x:c r="N2" s="59" t="s">
        <x:v>36</x:v>
      </x:c>
    </x:row>
    <x:row r="3" spans="1:14" ht="13" x14ac:dyDescent="0.3">
      <x:c r="A3" s="1" t="s">
        <x:v>1</x:v>
      </x:c>
      <x:c r="N3" s="59"/>
    </x:row>
    <x:row r="4" spans="1:14" ht="13" x14ac:dyDescent="0.3">
      <x:c r="A4" s="1" t="s">
        <x:v>2</x:v>
      </x:c>
    </x:row>
    <x:row r="5" spans="1:14" ht="13" x14ac:dyDescent="0.3">
      <x:c r="A5" s="1" t="s">
        <x:v>35</x:v>
      </x:c>
    </x:row>
    <x:row r="7" spans="1:14" x14ac:dyDescent="0.25">
      <x:c r="B7" s="4" t="s">
        <x:v>3</x:v>
      </x:c>
      <x:c r="C7" s="4" t="str">
        <x:f>B7</x:f>
        <x:v>Pension</x:v>
      </x:c>
      <x:c r="D7" s="5" t="s">
        <x:v>4</x:v>
      </x:c>
      <x:c r="E7" s="4" t="str">
        <x:f>D7</x:f>
        <x:v>OPEBs</x:v>
      </x:c>
      <x:c r="F7" s="5" t="s">
        <x:v>5</x:v>
      </x:c>
    </x:row>
    <x:row r="8" spans="1:14" x14ac:dyDescent="0.25">
      <x:c r="B8" s="6" t="s">
        <x:v>6</x:v>
      </x:c>
      <x:c r="C8" s="6" t="str">
        <x:f>B8</x:f>
        <x:v>Account 1823600</x:v>
      </x:c>
      <x:c r="D8" s="6" t="s">
        <x:v>7</x:v>
      </x:c>
      <x:c r="E8" s="6" t="str">
        <x:f>D8</x:f>
        <x:v>Account 2543700</x:v>
      </x:c>
      <x:c r="F8" s="7" t="s">
        <x:v>4</x:v>
      </x:c>
    </x:row>
    <x:row r="9" spans="1:14" x14ac:dyDescent="0.25">
      <x:c r="A9" s="8" t="s">
        <x:v>8</x:v>
      </x:c>
      <x:c r="B9" s="9">
        <x:v>46975122</x:v>
      </x:c>
      <x:c r="C9" s="9"/>
      <x:c r="D9" s="10">
        <x:f>'[4]Pension-OPEBs'!$B$10</x:f>
        <x:v>37906425</x:v>
      </x:c>
      <x:c r="E9" s="10"/>
    </x:row>
    <x:row r="10" spans="1:14" x14ac:dyDescent="0.25">
      <x:c r="A10" s="8" t="s">
        <x:v>9</x:v>
      </x:c>
      <x:c r="B10" s="9">
        <x:v>-7411630.2699999996</x:v>
      </x:c>
      <x:c r="C10" s="9"/>
      <x:c r="D10" s="10">
        <x:f>'[4]Pension-OPEBs'!$C$10</x:f>
        <x:v>-5980791.5899999999</x:v>
      </x:c>
      <x:c r="E10" s="10"/>
    </x:row>
    <x:row r="11" spans="1:14" x14ac:dyDescent="0.25">
      <x:c r="A11" s="8" t="s">
        <x:v>10</x:v>
      </x:c>
      <x:c r="B11" s="9">
        <x:f>'[4]Pension-OPEBs'!$D$5-B9-B10</x:f>
        <x:v>33346408.27</x:v>
      </x:c>
      <x:c r="C11" s="9"/>
      <x:c r="D11" s="10">
        <x:f>'[4]Pension-OPEBs'!$D$10-'[4]Pension-OPEBs'!$C$10-'[4]Pension-OPEBs'!$B$10</x:f>
        <x:v>23450072.590000004</x:v>
      </x:c>
      <x:c r="E11" s="10"/>
    </x:row>
    <x:row r="12" spans="1:14" x14ac:dyDescent="0.25">
      <x:c r="A12" s="8" t="s">
        <x:v>11</x:v>
      </x:c>
      <x:c r="B12" s="10">
        <x:f>'[4]Pension-OPEBs'!$E$5</x:f>
        <x:v>-59661224</x:v>
      </x:c>
      <x:c r="C12" s="10"/>
      <x:c r="D12" s="10">
        <x:f>'[4]Pension-OPEBs'!$E$10</x:f>
        <x:v>-45981744</x:v>
      </x:c>
      <x:c r="E12" s="10"/>
    </x:row>
    <x:row r="13" spans="1:14" x14ac:dyDescent="0.25">
      <x:c r="A13" s="8" t="s">
        <x:v>12</x:v>
      </x:c>
      <x:c r="B13" s="10">
        <x:f>'[4]Pension-OPEBs'!$F$5</x:f>
        <x:v>293633251</x:v>
      </x:c>
      <x:c r="C13" s="10"/>
      <x:c r="D13" s="10">
        <x:f>'[4]Pension-OPEBs'!$F$10</x:f>
        <x:v>33081523</x:v>
      </x:c>
      <x:c r="E13" s="10"/>
    </x:row>
    <x:row r="14" spans="1:14" x14ac:dyDescent="0.25">
      <x:c r="A14" s="8" t="s">
        <x:v>13</x:v>
      </x:c>
      <x:c r="B14" s="10">
        <x:f>'[4]Pension-OPEBs'!$G$6+'[4]Pension-OPEBs'!$I$5-B15</x:f>
        <x:v>-133904097</x:v>
      </x:c>
      <x:c r="C14" s="11">
        <x:f>SUM(B9:B14)</x:f>
        <x:v>172977830</x:v>
      </x:c>
      <x:c r="D14" s="10">
        <x:f>'[4]Pension-OPEBs'!$G$11+'[4]Pension-OPEBs'!$I$10-D15</x:f>
        <x:v>-23659575.839999996</x:v>
      </x:c>
      <x:c r="E14" s="12">
        <x:f>SUM(D9:D14)</x:f>
        <x:v>18815909.160000004</x:v>
      </x:c>
      <x:c r="F14" s="13">
        <x:f>C14+E14</x:f>
        <x:v>191793739.16</x:v>
      </x:c>
      <x:c r="H14" s="5" t="s">
        <x:v>14</x:v>
      </x:c>
      <x:c r="J14" s="5" t="str">
        <x:f>H14</x:f>
        <x:v>Balance at May 1, 2023</x:v>
      </x:c>
    </x:row>
    <x:row r="15" spans="1:14" x14ac:dyDescent="0.25">
      <x:c r="A15" s="8" t="s">
        <x:v>15</x:v>
      </x:c>
      <x:c r="B15" s="10">
        <x:f>'[4]Pension-OPEBs'!I5</x:f>
        <x:v>-41206121.5</x:v>
      </x:c>
      <x:c r="C15" s="10">
        <x:f>B15</x:f>
        <x:v>-41206121.5</x:v>
      </x:c>
      <x:c r="D15" s="10">
        <x:f>'[4]Pension-OPEBs'!I10</x:f>
        <x:v>-5703334.2299999995</x:v>
      </x:c>
      <x:c r="E15" s="10">
        <x:f>D15</x:f>
        <x:v>-5703334.2299999995</x:v>
      </x:c>
      <x:c r="F15" s="13"/>
      <x:c r="H15" s="14" t="s">
        <x:v>3</x:v>
      </x:c>
      <x:c r="J15" s="14" t="s">
        <x:v>4</x:v>
      </x:c>
    </x:row>
    <x:row r="16" spans="1:14" x14ac:dyDescent="0.25">
      <x:c r="A16" s="8" t="s">
        <x:v>16</x:v>
      </x:c>
      <x:c r="B16" s="10">
        <x:f>'[4]Pension-OPEBs'!$H$5</x:f>
        <x:v>-17440156.219999999</x:v>
      </x:c>
      <x:c r="C16" s="11">
        <x:f>B16</x:f>
        <x:v>-17440156.219999999</x:v>
      </x:c>
      <x:c r="D16" s="10">
        <x:f>'[4]Pension-OPEBs'!$H$10</x:f>
        <x:v>-39289143.68</x:v>
      </x:c>
      <x:c r="E16" s="12">
        <x:f t="shared" ref="E16:E17" si="0">D16</x:f>
        <x:v>-39289143.68</x:v>
      </x:c>
      <x:c r="F16" s="13">
        <x:f t="shared" ref="F16" si="1">C16+E16</x:f>
        <x:v>-56729299.899999999</x:v>
      </x:c>
      <x:c r="H16" s="13">
        <x:f>SUM(C14:C16)</x:f>
        <x:v>114331552.28</x:v>
      </x:c>
      <x:c r="J16" s="13">
        <x:f>SUM(E14:E16)</x:f>
        <x:v>-26176568.749999996</x:v>
      </x:c>
    </x:row>
    <x:row r="17" spans="1:14" x14ac:dyDescent="0.25">
      <x:c r="A17" s="8" t="s">
        <x:v>17</x:v>
      </x:c>
      <x:c r="B17" s="15">
        <x:f>'[4]Pension-OPEBs'!$J$5+'[4]Pension-OPEBs'!$K$5+'[4]Pension-OPEBs'!$L$5-'[4]Pension-OPEBs'!$I$5</x:f>
        <x:v>-51508296.579999998</x:v>
      </x:c>
      <x:c r="C17" s="15">
        <x:f>B17</x:f>
        <x:v>-51508296.579999998</x:v>
      </x:c>
      <x:c r="D17" s="15">
        <x:f>'[4]Pension-OPEBs'!$J$10+'[4]Pension-OPEBs'!$K$10+'[4]Pension-OPEBs'!$L$10-'[4]Pension-OPEBs'!$I$10</x:f>
        <x:v>6800766.6699999999</x:v>
      </x:c>
      <x:c r="E17" s="15">
        <x:f t="shared" si="0"/>
        <x:v>6800766.6699999999</x:v>
      </x:c>
    </x:row>
    <x:row r="18" spans="1:14" x14ac:dyDescent="0.25">
      <x:c r="B18" s="10"/>
      <x:c r="C18" s="10"/>
      <x:c r="D18" s="10"/>
      <x:c r="E18" s="10"/>
    </x:row>
    <x:row r="19" spans="1:14" x14ac:dyDescent="0.25">
      <x:c r="A19" s="3" t="s">
        <x:v>18</x:v>
      </x:c>
      <x:c r="B19" s="10">
        <x:f>SUM(B9:B18)</x:f>
        <x:v>62823255.700000003</x:v>
      </x:c>
      <x:c r="C19" s="10">
        <x:f>SUM(C14:C17)</x:f>
        <x:v>62823255.700000003</x:v>
      </x:c>
      <x:c r="D19" s="10">
        <x:f>SUM(D9:D18)</x:f>
        <x:v>-19375802.079999998</x:v>
      </x:c>
      <x:c r="E19" s="10">
        <x:f>SUM(E14:E17)</x:f>
        <x:v>-19375802.079999998</x:v>
      </x:c>
    </x:row>
    <x:row r="20" spans="1:14" x14ac:dyDescent="0.25">
      <x:c r="B20" s="10"/>
      <x:c r="C20" s="10"/>
      <x:c r="D20" s="10"/>
      <x:c r="E20" s="10"/>
    </x:row>
    <x:row r="21" spans="1:14" x14ac:dyDescent="0.25">
      <x:c r="A21" s="3" t="s">
        <x:v>37</x:v>
      </x:c>
      <x:c r="B21" s="10"/>
      <x:c r="C21" s="11">
        <x:f>C14+C16</x:f>
        <x:v>155537673.78</x:v>
      </x:c>
      <x:c r="D21" s="10"/>
      <x:c r="E21" s="12">
        <x:f>E14+E16</x:f>
        <x:v>-20473234.519999996</x:v>
      </x:c>
      <x:c r="F21" s="13">
        <x:f>SUM(F14:F16)</x:f>
        <x:v>135064439.25999999</x:v>
      </x:c>
    </x:row>
    <x:row r="22" spans="1:14" x14ac:dyDescent="0.25">
      <x:c r="A22" s="3" t="s">
        <x:v>19</x:v>
      </x:c>
      <x:c r="B22" s="10"/>
      <x:c r="C22" s="10">
        <x:f>C21/5</x:f>
        <x:v>31107534.756000001</x:v>
      </x:c>
      <x:c r="D22" s="10"/>
      <x:c r="E22" s="10">
        <x:f>E21/5</x:f>
        <x:v>-4094646.9039999992</x:v>
      </x:c>
      <x:c r="F22" s="13">
        <x:f>SUM(C22:E22)</x:f>
        <x:v>27012887.852000002</x:v>
      </x:c>
      <x:c r="H22" s="3" t="s">
        <x:v>47</x:v>
      </x:c>
    </x:row>
    <x:row r="23" spans="1:14" x14ac:dyDescent="0.25">
      <x:c r="D23" s="2"/>
    </x:row>
    <x:row r="24" spans="1:14" x14ac:dyDescent="0.25">
      <x:c r="A24" s="3" t="s">
        <x:v>38</x:v>
      </x:c>
      <x:c r="C24" s="57">
        <x:f>C21+C15</x:f>
        <x:v>114331552.28</x:v>
      </x:c>
      <x:c r="D24" s="57"/>
      <x:c r="E24" s="57">
        <x:f>E21+E15</x:f>
        <x:v>-26176568.749999996</x:v>
      </x:c>
      <x:c r="G24" s="3" t="s">
        <x:v>31</x:v>
      </x:c>
    </x:row>
    <x:row r="25" spans="1:14" x14ac:dyDescent="0.25">
      <x:c r="D25" s="2"/>
      <x:c r="G25" s="3" t="s">
        <x:v>45</x:v>
      </x:c>
    </x:row>
    <x:row r="26" spans="1:14" x14ac:dyDescent="0.25">
      <x:c r="A26" s="16" t="s">
        <x:v>52</x:v>
      </x:c>
      <x:c r="D26" s="2"/>
    </x:row>
    <x:row r="27" spans="1:14" ht="13" x14ac:dyDescent="0.3">
      <x:c r="A27" s="66" t="s">
        <x:v>44</x:v>
      </x:c>
      <x:c r="D27" s="2"/>
    </x:row>
    <x:row r="28" spans="1:14" x14ac:dyDescent="0.25">
      <x:c r="D28" s="2"/>
      <x:c r="M28" s="62" t="s">
        <x:v>20</x:v>
      </x:c>
      <x:c r="N28" s="62"/>
    </x:row>
    <x:row r="29" spans="1:14" ht="13" thickBot="1" x14ac:dyDescent="0.3">
      <x:c r="A29" s="17" t="s">
        <x:v>21</x:v>
      </x:c>
      <x:c r="B29" s="18"/>
      <x:c r="C29" s="18"/>
      <x:c r="D29" s="19"/>
      <x:c r="E29" s="18"/>
      <x:c r="F29" s="18"/>
      <x:c r="G29" s="18"/>
      <x:c r="H29" s="19"/>
      <x:c r="I29" s="19"/>
      <x:c r="J29" s="19"/>
      <x:c r="M29" s="5">
        <x:v>2024</x:v>
      </x:c>
      <x:c r="N29" s="5">
        <x:v>2024</x:v>
      </x:c>
    </x:row>
    <x:row r="30" spans="1:14" ht="13" x14ac:dyDescent="0.3">
      <x:c r="A30" s="20"/>
      <x:c r="B30" s="63" t="s">
        <x:v>34</x:v>
      </x:c>
      <x:c r="C30" s="64"/>
      <x:c r="D30" s="64"/>
      <x:c r="E30" s="65"/>
      <x:c r="F30" s="21" t="s">
        <x:v>3</x:v>
      </x:c>
      <x:c r="G30" s="63" t="s">
        <x:v>33</x:v>
      </x:c>
      <x:c r="H30" s="64"/>
      <x:c r="I30" s="64"/>
      <x:c r="J30" s="65"/>
      <x:c r="K30" s="22" t="s">
        <x:v>4</x:v>
      </x:c>
      <x:c r="M30" s="5" t="s">
        <x:v>3</x:v>
      </x:c>
      <x:c r="N30" s="5" t="s">
        <x:v>4</x:v>
      </x:c>
    </x:row>
    <x:row r="31" spans="1:14" ht="13" x14ac:dyDescent="0.3">
      <x:c r="A31" s="23"/>
      <x:c r="B31" s="24" t="s">
        <x:v>48</x:v>
      </x:c>
      <x:c r="C31" s="25" t="s">
        <x:v>49</x:v>
      </x:c>
      <x:c r="D31" s="24" t="s">
        <x:v>50</x:v>
      </x:c>
      <x:c r="E31" s="26" t="s">
        <x:v>51</x:v>
      </x:c>
      <x:c r="F31" s="21" t="s">
        <x:v>22</x:v>
      </x:c>
      <x:c r="G31" s="24" t="s">
        <x:v>48</x:v>
      </x:c>
      <x:c r="H31" s="25" t="s">
        <x:v>49</x:v>
      </x:c>
      <x:c r="I31" s="24" t="s">
        <x:v>50</x:v>
      </x:c>
      <x:c r="J31" s="26" t="s">
        <x:v>51</x:v>
      </x:c>
      <x:c r="K31" s="21" t="s">
        <x:v>22</x:v>
      </x:c>
      <x:c r="M31" s="5" t="s">
        <x:v>23</x:v>
      </x:c>
      <x:c r="N31" s="5" t="s">
        <x:v>23</x:v>
      </x:c>
    </x:row>
    <x:row r="32" spans="1:14" ht="13.5" thickBot="1" x14ac:dyDescent="0.35">
      <x:c r="A32" s="27" t="s">
        <x:v>24</x:v>
      </x:c>
      <x:c r="B32" s="27">
        <x:v>9260000</x:v>
      </x:c>
      <x:c r="C32" s="28" t="s">
        <x:v>25</x:v>
      </x:c>
      <x:c r="D32" s="29">
        <x:v>9260000</x:v>
      </x:c>
      <x:c r="E32" s="30" t="s">
        <x:v>25</x:v>
      </x:c>
      <x:c r="F32" s="31" t="s">
        <x:v>25</x:v>
      </x:c>
      <x:c r="G32" s="27">
        <x:v>9260000</x:v>
      </x:c>
      <x:c r="H32" s="28" t="s">
        <x:v>25</x:v>
      </x:c>
      <x:c r="I32" s="27">
        <x:v>9260000</x:v>
      </x:c>
      <x:c r="J32" s="30" t="s">
        <x:v>25</x:v>
      </x:c>
      <x:c r="K32" s="31" t="s">
        <x:v>25</x:v>
      </x:c>
      <x:c r="M32" s="7" t="s">
        <x:v>26</x:v>
      </x:c>
      <x:c r="N32" s="7" t="s">
        <x:v>26</x:v>
      </x:c>
    </x:row>
    <x:row r="33" spans="1:11" ht="13" x14ac:dyDescent="0.3">
      <x:c r="A33" s="23" t="s">
        <x:v>27</x:v>
      </x:c>
      <x:c r="B33" s="32"/>
      <x:c r="C33" s="33">
        <x:v>109671842.15000001</x:v>
      </x:c>
      <x:c r="D33" s="34"/>
      <x:c r="E33" s="35"/>
      <x:c r="F33" s="36"/>
      <x:c r="G33" s="20"/>
      <x:c r="H33" s="37">
        <x:v>-14429468.77</x:v>
      </x:c>
      <x:c r="I33" s="20"/>
      <x:c r="J33" s="38"/>
    </x:row>
    <x:row r="34" spans="1:11" x14ac:dyDescent="0.25">
      <x:c r="A34" s="39" t="s">
        <x:v>40</x:v>
      </x:c>
      <x:c r="B34" s="40">
        <x:v>288530.7795</x:v>
      </x:c>
      <x:c r="C34" s="41"/>
      <x:c r="D34" s="42"/>
      <x:c r="E34" s="43"/>
      <x:c r="F34" s="44"/>
      <x:c r="G34" s="40">
        <x:v>39935.510741999999</x:v>
      </x:c>
      <x:c r="H34" s="41"/>
      <x:c r="I34" s="23"/>
      <x:c r="J34" s="41"/>
    </x:row>
    <x:row r="35" spans="1:11" x14ac:dyDescent="0.25">
      <x:c r="A35" s="39" t="s">
        <x:v>28</x:v>
      </x:c>
      <x:c r="B35" s="40"/>
      <x:c r="C35" s="45">
        <x:f>C33-B34</x:f>
        <x:v>109383311.37050001</x:v>
      </x:c>
      <x:c r="D35" s="42"/>
      <x:c r="E35" s="45">
        <x:v>4948241.379999999</x:v>
      </x:c>
      <x:c r="F35" s="46">
        <x:f>C35+E35</x:f>
        <x:v>114331552.75050001</x:v>
      </x:c>
      <x:c r="G35" s="40"/>
      <x:c r="H35" s="41">
        <x:f>H33-G34</x:f>
        <x:v>-14469404.280741999</x:v>
      </x:c>
      <x:c r="I35" s="23"/>
      <x:c r="J35" s="41">
        <x:v>-11707163.890000001</x:v>
      </x:c>
      <x:c r="K35" s="46">
        <x:f>H35+J35</x:f>
        <x:v>-26176568.170741998</x:v>
      </x:c>
    </x:row>
    <x:row r="36" spans="1:11" x14ac:dyDescent="0.25">
      <x:c r="A36" s="39" t="s">
        <x:v>39</x:v>
      </x:c>
      <x:c r="B36" s="42">
        <x:v>2029831.0866960001</x:v>
      </x:c>
      <x:c r="C36" s="41">
        <x:f t="shared" ref="C36:C67" si="2">C35-B36</x:f>
        <x:v>107353480.28380401</x:v>
      </x:c>
      <x:c r="D36" s="42">
        <x:v>224868.535</x:v>
      </x:c>
      <x:c r="E36" s="41">
        <x:f>E35-D36</x:f>
        <x:v>4723372.8449999988</x:v>
      </x:c>
      <x:c r="F36" s="18"/>
      <x:c r="G36" s="42">
        <x:v>-142165.86268200001</x:v>
      </x:c>
      <x:c r="H36" s="41">
        <x:f t="shared" ref="H36:H67" si="3">H35-G36</x:f>
        <x:v>-14327238.418059999</x:v>
      </x:c>
      <x:c r="I36" s="42">
        <x:v>-175410.13150000002</x:v>
      </x:c>
      <x:c r="J36" s="41">
        <x:f>J35-I36</x:f>
        <x:v>-11531753.7585</x:v>
      </x:c>
    </x:row>
    <x:row r="37" spans="1:11" x14ac:dyDescent="0.25">
      <x:c r="A37" s="39">
        <x:v>45089</x:v>
      </x:c>
      <x:c r="B37" s="42">
        <x:v>2367426.0358333336</x:v>
      </x:c>
      <x:c r="C37" s="41">
        <x:f t="shared" si="2"/>
        <x:v>104986054.24797069</x:v>
      </x:c>
      <x:c r="D37" s="42">
        <x:f>D36</x:f>
        <x:v>224868.535</x:v>
      </x:c>
      <x:c r="E37" s="41">
        <x:f t="shared" ref="E37:E68" si="4">+E36-D37</x:f>
        <x:v>4498504.3099999987</x:v>
      </x:c>
      <x:c r="F37" s="18"/>
      <x:c r="G37" s="42">
        <x:v>-165810.43416666664</x:v>
      </x:c>
      <x:c r="H37" s="41">
        <x:f t="shared" si="3"/>
        <x:v>-14161427.983893333</x:v>
      </x:c>
      <x:c r="I37" s="42">
        <x:f>I36</x:f>
        <x:v>-175410.13150000002</x:v>
      </x:c>
      <x:c r="J37" s="41">
        <x:f t="shared" ref="J37:J68" si="5">+J36-I37</x:f>
        <x:v>-11356343.627</x:v>
      </x:c>
    </x:row>
    <x:row r="38" spans="1:11" x14ac:dyDescent="0.25">
      <x:c r="A38" s="39">
        <x:v>45120</x:v>
      </x:c>
      <x:c r="B38" s="42">
        <x:f>B37</x:f>
        <x:v>2367426.0358333336</x:v>
      </x:c>
      <x:c r="C38" s="41">
        <x:f t="shared" si="2"/>
        <x:v>102618628.21213736</x:v>
      </x:c>
      <x:c r="D38" s="42">
        <x:f t="shared" ref="D38:D95" si="6">D37</x:f>
        <x:v>224868.535</x:v>
      </x:c>
      <x:c r="E38" s="41">
        <x:f t="shared" si="4"/>
        <x:v>4273635.7749999985</x:v>
      </x:c>
      <x:c r="F38" s="18"/>
      <x:c r="G38" s="42">
        <x:f>G37</x:f>
        <x:v>-165810.43416666664</x:v>
      </x:c>
      <x:c r="H38" s="41">
        <x:f t="shared" si="3"/>
        <x:v>-13995617.549726667</x:v>
      </x:c>
      <x:c r="I38" s="42">
        <x:f t="shared" ref="I38:I95" si="7">I37</x:f>
        <x:v>-175410.13150000002</x:v>
      </x:c>
      <x:c r="J38" s="41">
        <x:f t="shared" si="5"/>
        <x:v>-11180933.4955</x:v>
      </x:c>
    </x:row>
    <x:row r="39" spans="1:11" x14ac:dyDescent="0.25">
      <x:c r="A39" s="39">
        <x:v>45151</x:v>
      </x:c>
      <x:c r="B39" s="42">
        <x:f t="shared" ref="B39:B95" si="8">B38</x:f>
        <x:v>2367426.0358333336</x:v>
      </x:c>
      <x:c r="C39" s="41">
        <x:f t="shared" si="2"/>
        <x:v>100251202.17630403</x:v>
      </x:c>
      <x:c r="D39" s="42">
        <x:f t="shared" si="6"/>
        <x:v>224868.535</x:v>
      </x:c>
      <x:c r="E39" s="41">
        <x:f t="shared" si="4"/>
        <x:v>4048767.2399999984</x:v>
      </x:c>
      <x:c r="F39" s="18"/>
      <x:c r="G39" s="42">
        <x:f t="shared" ref="G39:G95" si="9">G38</x:f>
        <x:v>-165810.43416666664</x:v>
      </x:c>
      <x:c r="H39" s="41">
        <x:f t="shared" si="3"/>
        <x:v>-13829807.115560001</x:v>
      </x:c>
      <x:c r="I39" s="42">
        <x:f t="shared" si="7"/>
        <x:v>-175410.13150000002</x:v>
      </x:c>
      <x:c r="J39" s="41">
        <x:f t="shared" si="5"/>
        <x:v>-11005523.364</x:v>
      </x:c>
    </x:row>
    <x:row r="40" spans="1:11" x14ac:dyDescent="0.25">
      <x:c r="A40" s="39">
        <x:v>45182</x:v>
      </x:c>
      <x:c r="B40" s="42">
        <x:f t="shared" si="8"/>
        <x:v>2367426.0358333336</x:v>
      </x:c>
      <x:c r="C40" s="41">
        <x:f t="shared" si="2"/>
        <x:v>97883776.140470698</x:v>
      </x:c>
      <x:c r="D40" s="42">
        <x:f t="shared" si="6"/>
        <x:v>224868.535</x:v>
      </x:c>
      <x:c r="E40" s="41">
        <x:f t="shared" si="4"/>
        <x:v>3823898.7049999982</x:v>
      </x:c>
      <x:c r="F40" s="18"/>
      <x:c r="G40" s="42">
        <x:f t="shared" si="9"/>
        <x:v>-165810.43416666664</x:v>
      </x:c>
      <x:c r="H40" s="41">
        <x:f t="shared" si="3"/>
        <x:v>-13663996.681393335</x:v>
      </x:c>
      <x:c r="I40" s="42">
        <x:f t="shared" si="7"/>
        <x:v>-175410.13150000002</x:v>
      </x:c>
      <x:c r="J40" s="41">
        <x:f t="shared" si="5"/>
        <x:v>-10830113.2325</x:v>
      </x:c>
    </x:row>
    <x:row r="41" spans="1:11" x14ac:dyDescent="0.25">
      <x:c r="A41" s="39">
        <x:v>45213</x:v>
      </x:c>
      <x:c r="B41" s="42">
        <x:f t="shared" si="8"/>
        <x:v>2367426.0358333336</x:v>
      </x:c>
      <x:c r="C41" s="41">
        <x:f t="shared" si="2"/>
        <x:v>95516350.10463737</x:v>
      </x:c>
      <x:c r="D41" s="42">
        <x:f t="shared" si="6"/>
        <x:v>224868.535</x:v>
      </x:c>
      <x:c r="E41" s="41">
        <x:f t="shared" si="4"/>
        <x:v>3599030.1699999981</x:v>
      </x:c>
      <x:c r="F41" s="18"/>
      <x:c r="G41" s="42">
        <x:f t="shared" si="9"/>
        <x:v>-165810.43416666664</x:v>
      </x:c>
      <x:c r="H41" s="41">
        <x:f t="shared" si="3"/>
        <x:v>-13498186.247226669</x:v>
      </x:c>
      <x:c r="I41" s="42">
        <x:f t="shared" si="7"/>
        <x:v>-175410.13150000002</x:v>
      </x:c>
      <x:c r="J41" s="41">
        <x:f t="shared" si="5"/>
        <x:v>-10654703.101</x:v>
      </x:c>
    </x:row>
    <x:row r="42" spans="1:11" x14ac:dyDescent="0.25">
      <x:c r="A42" s="39">
        <x:v>45244</x:v>
      </x:c>
      <x:c r="B42" s="42">
        <x:f t="shared" si="8"/>
        <x:v>2367426.0358333336</x:v>
      </x:c>
      <x:c r="C42" s="41">
        <x:f t="shared" si="2"/>
        <x:v>93148924.068804041</x:v>
      </x:c>
      <x:c r="D42" s="42">
        <x:f t="shared" si="6"/>
        <x:v>224868.535</x:v>
      </x:c>
      <x:c r="E42" s="41">
        <x:f t="shared" si="4"/>
        <x:v>3374161.6349999979</x:v>
      </x:c>
      <x:c r="F42" s="18"/>
      <x:c r="G42" s="42">
        <x:f t="shared" si="9"/>
        <x:v>-165810.43416666664</x:v>
      </x:c>
      <x:c r="H42" s="41">
        <x:f t="shared" si="3"/>
        <x:v>-13332375.813060002</x:v>
      </x:c>
      <x:c r="I42" s="42">
        <x:f t="shared" si="7"/>
        <x:v>-175410.13150000002</x:v>
      </x:c>
      <x:c r="J42" s="41">
        <x:f t="shared" si="5"/>
        <x:v>-10479292.9695</x:v>
      </x:c>
    </x:row>
    <x:row r="43" spans="1:11" x14ac:dyDescent="0.25">
      <x:c r="A43" s="39">
        <x:v>45275</x:v>
      </x:c>
      <x:c r="B43" s="42">
        <x:f t="shared" si="8"/>
        <x:v>2367426.0358333336</x:v>
      </x:c>
      <x:c r="C43" s="41">
        <x:f t="shared" si="2"/>
        <x:v>90781498.032970712</x:v>
      </x:c>
      <x:c r="D43" s="42">
        <x:f t="shared" si="6"/>
        <x:v>224868.535</x:v>
      </x:c>
      <x:c r="E43" s="41">
        <x:f t="shared" si="4"/>
        <x:v>3149293.0999999978</x:v>
      </x:c>
      <x:c r="F43" s="18"/>
      <x:c r="G43" s="42">
        <x:f t="shared" si="9"/>
        <x:v>-165810.43416666664</x:v>
      </x:c>
      <x:c r="H43" s="41">
        <x:f t="shared" si="3"/>
        <x:v>-13166565.378893336</x:v>
      </x:c>
      <x:c r="I43" s="42">
        <x:f t="shared" si="7"/>
        <x:v>-175410.13150000002</x:v>
      </x:c>
      <x:c r="J43" s="41">
        <x:f t="shared" si="5"/>
        <x:v>-10303882.838</x:v>
      </x:c>
    </x:row>
    <x:row r="44" spans="1:11" x14ac:dyDescent="0.25">
      <x:c r="A44" s="39">
        <x:v>45306</x:v>
      </x:c>
      <x:c r="B44" s="58">
        <x:f t="shared" si="8"/>
        <x:v>2367426.0358333336</x:v>
      </x:c>
      <x:c r="C44" s="41">
        <x:f t="shared" si="2"/>
        <x:v>88414071.997137383</x:v>
      </x:c>
      <x:c r="D44" s="58">
        <x:f t="shared" si="6"/>
        <x:v>224868.535</x:v>
      </x:c>
      <x:c r="E44" s="41">
        <x:f t="shared" si="4"/>
        <x:v>2924424.5649999976</x:v>
      </x:c>
      <x:c r="F44" s="18"/>
      <x:c r="G44" s="58">
        <x:f t="shared" si="9"/>
        <x:v>-165810.43416666664</x:v>
      </x:c>
      <x:c r="H44" s="41">
        <x:f t="shared" si="3"/>
        <x:v>-13000754.94472667</x:v>
      </x:c>
      <x:c r="I44" s="58">
        <x:f t="shared" si="7"/>
        <x:v>-175410.13150000002</x:v>
      </x:c>
      <x:c r="J44" s="41">
        <x:f t="shared" si="5"/>
        <x:v>-10128472.706499999</x:v>
      </x:c>
    </x:row>
    <x:row r="45" spans="1:11" x14ac:dyDescent="0.25">
      <x:c r="A45" s="39">
        <x:v>45337</x:v>
      </x:c>
      <x:c r="B45" s="58">
        <x:f t="shared" si="8"/>
        <x:v>2367426.0358333336</x:v>
      </x:c>
      <x:c r="C45" s="41">
        <x:f t="shared" si="2"/>
        <x:v>86046645.961304054</x:v>
      </x:c>
      <x:c r="D45" s="58">
        <x:f t="shared" si="6"/>
        <x:v>224868.535</x:v>
      </x:c>
      <x:c r="E45" s="41">
        <x:f t="shared" si="4"/>
        <x:v>2699556.0299999975</x:v>
      </x:c>
      <x:c r="F45" s="18"/>
      <x:c r="G45" s="58">
        <x:f t="shared" si="9"/>
        <x:v>-165810.43416666664</x:v>
      </x:c>
      <x:c r="H45" s="41">
        <x:f t="shared" si="3"/>
        <x:v>-12834944.510560004</x:v>
      </x:c>
      <x:c r="I45" s="58">
        <x:f t="shared" si="7"/>
        <x:v>-175410.13150000002</x:v>
      </x:c>
      <x:c r="J45" s="41">
        <x:f t="shared" si="5"/>
        <x:v>-9953062.5749999993</x:v>
      </x:c>
    </x:row>
    <x:row r="46" spans="1:11" x14ac:dyDescent="0.25">
      <x:c r="A46" s="39">
        <x:v>45368</x:v>
      </x:c>
      <x:c r="B46" s="58">
        <x:f t="shared" si="8"/>
        <x:v>2367426.0358333336</x:v>
      </x:c>
      <x:c r="C46" s="41">
        <x:f t="shared" si="2"/>
        <x:v>83679219.925470725</x:v>
      </x:c>
      <x:c r="D46" s="58">
        <x:f t="shared" si="6"/>
        <x:v>224868.535</x:v>
      </x:c>
      <x:c r="E46" s="41">
        <x:f t="shared" si="4"/>
        <x:v>2474687.4949999973</x:v>
      </x:c>
      <x:c r="F46" s="18"/>
      <x:c r="G46" s="58">
        <x:f t="shared" si="9"/>
        <x:v>-165810.43416666664</x:v>
      </x:c>
      <x:c r="H46" s="41">
        <x:f t="shared" si="3"/>
        <x:v>-12669134.076393338</x:v>
      </x:c>
      <x:c r="I46" s="58">
        <x:f t="shared" si="7"/>
        <x:v>-175410.13150000002</x:v>
      </x:c>
      <x:c r="J46" s="41">
        <x:f t="shared" si="5"/>
        <x:v>-9777652.4434999991</x:v>
      </x:c>
    </x:row>
    <x:row r="47" spans="1:11" x14ac:dyDescent="0.25">
      <x:c r="A47" s="39">
        <x:v>45399</x:v>
      </x:c>
      <x:c r="B47" s="58">
        <x:f t="shared" si="8"/>
        <x:v>2367426.0358333336</x:v>
      </x:c>
      <x:c r="C47" s="41">
        <x:f t="shared" si="2"/>
        <x:v>81311793.889637396</x:v>
      </x:c>
      <x:c r="D47" s="58">
        <x:f t="shared" si="6"/>
        <x:v>224868.535</x:v>
      </x:c>
      <x:c r="E47" s="41">
        <x:f t="shared" si="4"/>
        <x:v>2249818.9599999972</x:v>
      </x:c>
      <x:c r="F47" s="18"/>
      <x:c r="G47" s="58">
        <x:f t="shared" si="9"/>
        <x:v>-165810.43416666664</x:v>
      </x:c>
      <x:c r="H47" s="41">
        <x:f t="shared" si="3"/>
        <x:v>-12503323.642226672</x:v>
      </x:c>
      <x:c r="I47" s="58">
        <x:f t="shared" si="7"/>
        <x:v>-175410.13150000002</x:v>
      </x:c>
      <x:c r="J47" s="41">
        <x:f t="shared" si="5"/>
        <x:v>-9602242.311999999</x:v>
      </x:c>
    </x:row>
    <x:row r="48" spans="1:11" x14ac:dyDescent="0.25">
      <x:c r="A48" s="39">
        <x:v>45430</x:v>
      </x:c>
      <x:c r="B48" s="58">
        <x:f t="shared" si="8"/>
        <x:v>2367426.0358333336</x:v>
      </x:c>
      <x:c r="C48" s="41">
        <x:f t="shared" si="2"/>
        <x:v>78944367.853804067</x:v>
      </x:c>
      <x:c r="D48" s="58">
        <x:f t="shared" si="6"/>
        <x:v>224868.535</x:v>
      </x:c>
      <x:c r="E48" s="41">
        <x:f t="shared" si="4"/>
        <x:v>2024950.4249999973</x:v>
      </x:c>
      <x:c r="F48" s="18"/>
      <x:c r="G48" s="58">
        <x:f t="shared" si="9"/>
        <x:v>-165810.43416666664</x:v>
      </x:c>
      <x:c r="H48" s="41">
        <x:f t="shared" si="3"/>
        <x:v>-12337513.208060006</x:v>
      </x:c>
      <x:c r="I48" s="58">
        <x:f t="shared" si="7"/>
        <x:v>-175410.13150000002</x:v>
      </x:c>
      <x:c r="J48" s="41">
        <x:f t="shared" si="5"/>
        <x:v>-9426832.1804999989</x:v>
      </x:c>
    </x:row>
    <x:row r="49" spans="1:14" x14ac:dyDescent="0.25">
      <x:c r="A49" s="39">
        <x:v>45461</x:v>
      </x:c>
      <x:c r="B49" s="58">
        <x:f t="shared" si="8"/>
        <x:v>2367426.0358333336</x:v>
      </x:c>
      <x:c r="C49" s="41">
        <x:f t="shared" si="2"/>
        <x:v>76576941.817970738</x:v>
      </x:c>
      <x:c r="D49" s="58">
        <x:f t="shared" si="6"/>
        <x:v>224868.535</x:v>
      </x:c>
      <x:c r="E49" s="41">
        <x:f t="shared" si="4"/>
        <x:v>1800081.8899999973</x:v>
      </x:c>
      <x:c r="F49" s="18"/>
      <x:c r="G49" s="58">
        <x:f t="shared" si="9"/>
        <x:v>-165810.43416666664</x:v>
      </x:c>
      <x:c r="H49" s="41">
        <x:f t="shared" si="3"/>
        <x:v>-12171702.77389334</x:v>
      </x:c>
      <x:c r="I49" s="58">
        <x:f t="shared" si="7"/>
        <x:v>-175410.13150000002</x:v>
      </x:c>
      <x:c r="J49" s="41">
        <x:f t="shared" si="5"/>
        <x:v>-9251422.0489999987</x:v>
      </x:c>
    </x:row>
    <x:row r="50" spans="1:14" x14ac:dyDescent="0.25">
      <x:c r="A50" s="39">
        <x:v>45492</x:v>
      </x:c>
      <x:c r="B50" s="58">
        <x:f t="shared" si="8"/>
        <x:v>2367426.0358333336</x:v>
      </x:c>
      <x:c r="C50" s="41">
        <x:f t="shared" si="2"/>
        <x:v>74209515.782137409</x:v>
      </x:c>
      <x:c r="D50" s="58">
        <x:f t="shared" si="6"/>
        <x:v>224868.535</x:v>
      </x:c>
      <x:c r="E50" s="41">
        <x:f t="shared" si="4"/>
        <x:v>1575213.3549999974</x:v>
      </x:c>
      <x:c r="F50" s="18"/>
      <x:c r="G50" s="58">
        <x:f t="shared" si="9"/>
        <x:v>-165810.43416666664</x:v>
      </x:c>
      <x:c r="H50" s="41">
        <x:f t="shared" si="3"/>
        <x:v>-12005892.339726673</x:v>
      </x:c>
      <x:c r="I50" s="58">
        <x:f t="shared" si="7"/>
        <x:v>-175410.13150000002</x:v>
      </x:c>
      <x:c r="J50" s="41">
        <x:f t="shared" si="5"/>
        <x:v>-9076011.9174999986</x:v>
      </x:c>
    </x:row>
    <x:row r="51" spans="1:14" x14ac:dyDescent="0.25">
      <x:c r="A51" s="39">
        <x:v>45523</x:v>
      </x:c>
      <x:c r="B51" s="58">
        <x:f t="shared" si="8"/>
        <x:v>2367426.0358333336</x:v>
      </x:c>
      <x:c r="C51" s="41">
        <x:f t="shared" si="2"/>
        <x:v>71842089.74630408</x:v>
      </x:c>
      <x:c r="D51" s="58">
        <x:f t="shared" si="6"/>
        <x:v>224868.535</x:v>
      </x:c>
      <x:c r="E51" s="41">
        <x:f t="shared" si="4"/>
        <x:v>1350344.8199999975</x:v>
      </x:c>
      <x:c r="F51" s="18"/>
      <x:c r="G51" s="58">
        <x:f t="shared" si="9"/>
        <x:v>-165810.43416666664</x:v>
      </x:c>
      <x:c r="H51" s="41">
        <x:f t="shared" si="3"/>
        <x:v>-11840081.905560007</x:v>
      </x:c>
      <x:c r="I51" s="58">
        <x:f t="shared" si="7"/>
        <x:v>-175410.13150000002</x:v>
      </x:c>
      <x:c r="J51" s="41">
        <x:f t="shared" si="5"/>
        <x:v>-8900601.7859999985</x:v>
      </x:c>
    </x:row>
    <x:row r="52" spans="1:14" x14ac:dyDescent="0.25">
      <x:c r="A52" s="39">
        <x:v>45554</x:v>
      </x:c>
      <x:c r="B52" s="58">
        <x:f t="shared" si="8"/>
        <x:v>2367426.0358333336</x:v>
      </x:c>
      <x:c r="C52" s="41">
        <x:f t="shared" si="2"/>
        <x:v>69474663.710470751</x:v>
      </x:c>
      <x:c r="D52" s="58">
        <x:f t="shared" si="6"/>
        <x:v>224868.535</x:v>
      </x:c>
      <x:c r="E52" s="41">
        <x:f t="shared" si="4"/>
        <x:v>1125476.2849999976</x:v>
      </x:c>
      <x:c r="F52" s="60" t="s">
        <x:v>41</x:v>
      </x:c>
      <x:c r="G52" s="58">
        <x:f t="shared" si="9"/>
        <x:v>-165810.43416666664</x:v>
      </x:c>
      <x:c r="H52" s="41">
        <x:f t="shared" si="3"/>
        <x:v>-11674271.471393341</x:v>
      </x:c>
      <x:c r="I52" s="58">
        <x:f t="shared" si="7"/>
        <x:v>-175410.13150000002</x:v>
      </x:c>
      <x:c r="J52" s="41">
        <x:f t="shared" si="5"/>
        <x:v>-8725191.6544999983</x:v>
      </x:c>
      <x:c r="K52" s="5" t="s">
        <x:v>41</x:v>
      </x:c>
    </x:row>
    <x:row r="53" spans="1:14" x14ac:dyDescent="0.25">
      <x:c r="A53" s="39">
        <x:v>45585</x:v>
      </x:c>
      <x:c r="B53" s="58">
        <x:f t="shared" si="8"/>
        <x:v>2367426.0358333336</x:v>
      </x:c>
      <x:c r="C53" s="41">
        <x:f t="shared" si="2"/>
        <x:v>67107237.674637415</x:v>
      </x:c>
      <x:c r="D53" s="58">
        <x:f t="shared" si="6"/>
        <x:v>224868.535</x:v>
      </x:c>
      <x:c r="E53" s="41">
        <x:f t="shared" si="4"/>
        <x:v>900607.74999999756</x:v>
      </x:c>
      <x:c r="F53" s="60" t="s">
        <x:v>42</x:v>
      </x:c>
      <x:c r="G53" s="58">
        <x:f t="shared" si="9"/>
        <x:v>-165810.43416666664</x:v>
      </x:c>
      <x:c r="H53" s="41">
        <x:f t="shared" si="3"/>
        <x:v>-11508461.037226675</x:v>
      </x:c>
      <x:c r="I53" s="58">
        <x:f t="shared" si="7"/>
        <x:v>-175410.13150000002</x:v>
      </x:c>
      <x:c r="J53" s="41">
        <x:f t="shared" si="5"/>
        <x:v>-8549781.5229999982</x:v>
      </x:c>
      <x:c r="K53" s="5" t="s">
        <x:v>42</x:v>
      </x:c>
    </x:row>
    <x:row r="54" spans="1:14" x14ac:dyDescent="0.25">
      <x:c r="A54" s="39">
        <x:v>45616</x:v>
      </x:c>
      <x:c r="B54" s="58">
        <x:f t="shared" si="8"/>
        <x:v>2367426.0358333336</x:v>
      </x:c>
      <x:c r="C54" s="41">
        <x:f t="shared" si="2"/>
        <x:v>64739811.638804078</x:v>
      </x:c>
      <x:c r="D54" s="58">
        <x:f t="shared" si="6"/>
        <x:v>224868.535</x:v>
      </x:c>
      <x:c r="E54" s="41">
        <x:f t="shared" si="4"/>
        <x:v>675739.21499999752</x:v>
      </x:c>
      <x:c r="F54" s="61" t="s">
        <x:v>43</x:v>
      </x:c>
      <x:c r="G54" s="58">
        <x:f t="shared" si="9"/>
        <x:v>-165810.43416666664</x:v>
      </x:c>
      <x:c r="H54" s="41">
        <x:f t="shared" si="3"/>
        <x:v>-11342650.603060009</x:v>
      </x:c>
      <x:c r="I54" s="58">
        <x:f t="shared" si="7"/>
        <x:v>-175410.13150000002</x:v>
      </x:c>
      <x:c r="J54" s="41">
        <x:f t="shared" si="5"/>
        <x:v>-8374371.391499998</x:v>
      </x:c>
      <x:c r="K54" s="14" t="s">
        <x:v>43</x:v>
      </x:c>
    </x:row>
    <x:row r="55" spans="1:14" ht="13" x14ac:dyDescent="0.3">
      <x:c r="A55" s="47">
        <x:v>45647</x:v>
      </x:c>
      <x:c r="B55" s="58">
        <x:f t="shared" si="8"/>
        <x:v>2367426.0358333336</x:v>
      </x:c>
      <x:c r="C55" s="41">
        <x:f t="shared" si="2"/>
        <x:v>62372385.602970742</x:v>
      </x:c>
      <x:c r="D55" s="58">
        <x:f t="shared" si="6"/>
        <x:v>224868.535</x:v>
      </x:c>
      <x:c r="E55" s="41">
        <x:f t="shared" si="4"/>
        <x:v>450870.67999999749</x:v>
      </x:c>
      <x:c r="F55" s="56">
        <x:f>C55+E55</x:f>
        <x:v>62823256.282970741</x:v>
      </x:c>
      <x:c r="G55" s="58">
        <x:f t="shared" si="9"/>
        <x:v>-165810.43416666664</x:v>
      </x:c>
      <x:c r="H55" s="41">
        <x:f t="shared" si="3"/>
        <x:v>-11176840.168893343</x:v>
      </x:c>
      <x:c r="I55" s="58">
        <x:f t="shared" si="7"/>
        <x:v>-175410.13150000002</x:v>
      </x:c>
      <x:c r="J55" s="41">
        <x:f t="shared" si="5"/>
        <x:v>-8198961.2599999979</x:v>
      </x:c>
      <x:c r="K55" s="56">
        <x:f>H55+J55</x:f>
        <x:v>-19375801.428893343</x:v>
      </x:c>
      <x:c r="M55" s="12">
        <x:f>SUM(B44:B55)+SUM(D44:D55)</x:f>
        <x:v>31107534.849999994</x:v>
      </x:c>
      <x:c r="N55" s="12">
        <x:f>SUM(G44:G55)+SUM(I44:I55)</x:f>
        <x:v>-4094646.7879999997</x:v>
      </x:c>
    </x:row>
    <x:row r="56" spans="1:14" x14ac:dyDescent="0.25">
      <x:c r="A56" s="39">
        <x:v>45678</x:v>
      </x:c>
      <x:c r="B56" s="42">
        <x:f t="shared" si="8"/>
        <x:v>2367426.0358333336</x:v>
      </x:c>
      <x:c r="C56" s="41">
        <x:f t="shared" si="2"/>
        <x:v>60004959.567137405</x:v>
      </x:c>
      <x:c r="D56" s="42">
        <x:f t="shared" si="6"/>
        <x:v>224868.535</x:v>
      </x:c>
      <x:c r="E56" s="41">
        <x:f t="shared" si="4"/>
        <x:v>226002.14499999749</x:v>
      </x:c>
      <x:c r="F56" s="18"/>
      <x:c r="G56" s="42">
        <x:f t="shared" si="9"/>
        <x:v>-165810.43416666664</x:v>
      </x:c>
      <x:c r="H56" s="41">
        <x:f t="shared" si="3"/>
        <x:v>-11011029.734726677</x:v>
      </x:c>
      <x:c r="I56" s="42">
        <x:f t="shared" si="7"/>
        <x:v>-175410.13150000002</x:v>
      </x:c>
      <x:c r="J56" s="41">
        <x:f t="shared" si="5"/>
        <x:v>-8023551.1284999978</x:v>
      </x:c>
    </x:row>
    <x:row r="57" spans="1:14" x14ac:dyDescent="0.25">
      <x:c r="A57" s="39">
        <x:v>45709</x:v>
      </x:c>
      <x:c r="B57" s="42">
        <x:f t="shared" si="8"/>
        <x:v>2367426.0358333336</x:v>
      </x:c>
      <x:c r="C57" s="41">
        <x:f t="shared" si="2"/>
        <x:v>57637533.531304069</x:v>
      </x:c>
      <x:c r="D57" s="42">
        <x:f t="shared" si="6"/>
        <x:v>224868.535</x:v>
      </x:c>
      <x:c r="E57" s="41">
        <x:f t="shared" si="4"/>
        <x:v>1133.6099999974831</x:v>
      </x:c>
      <x:c r="F57" s="18"/>
      <x:c r="G57" s="42">
        <x:f t="shared" si="9"/>
        <x:v>-165810.43416666664</x:v>
      </x:c>
      <x:c r="H57" s="41">
        <x:f t="shared" si="3"/>
        <x:v>-10845219.300560011</x:v>
      </x:c>
      <x:c r="I57" s="42">
        <x:f t="shared" si="7"/>
        <x:v>-175410.13150000002</x:v>
      </x:c>
      <x:c r="J57" s="41">
        <x:f t="shared" si="5"/>
        <x:v>-7848140.9969999976</x:v>
      </x:c>
    </x:row>
    <x:row r="58" spans="1:14" x14ac:dyDescent="0.25">
      <x:c r="A58" s="39">
        <x:v>45740</x:v>
      </x:c>
      <x:c r="B58" s="42">
        <x:f t="shared" si="8"/>
        <x:v>2367426.0358333336</x:v>
      </x:c>
      <x:c r="C58" s="41">
        <x:f t="shared" si="2"/>
        <x:v>55270107.495470732</x:v>
      </x:c>
      <x:c r="D58" s="42">
        <x:f t="shared" si="6"/>
        <x:v>224868.535</x:v>
      </x:c>
      <x:c r="E58" s="41">
        <x:f t="shared" si="4"/>
        <x:v>-223734.92500000252</x:v>
      </x:c>
      <x:c r="F58" s="18"/>
      <x:c r="G58" s="42">
        <x:f t="shared" si="9"/>
        <x:v>-165810.43416666664</x:v>
      </x:c>
      <x:c r="H58" s="41">
        <x:f t="shared" si="3"/>
        <x:v>-10679408.866393344</x:v>
      </x:c>
      <x:c r="I58" s="42">
        <x:f t="shared" si="7"/>
        <x:v>-175410.13150000002</x:v>
      </x:c>
      <x:c r="J58" s="41">
        <x:f t="shared" si="5"/>
        <x:v>-7672730.8654999975</x:v>
      </x:c>
    </x:row>
    <x:row r="59" spans="1:14" x14ac:dyDescent="0.25">
      <x:c r="A59" s="39">
        <x:v>45771</x:v>
      </x:c>
      <x:c r="B59" s="42">
        <x:f t="shared" si="8"/>
        <x:v>2367426.0358333336</x:v>
      </x:c>
      <x:c r="C59" s="41">
        <x:f t="shared" si="2"/>
        <x:v>52902681.459637396</x:v>
      </x:c>
      <x:c r="D59" s="42">
        <x:f t="shared" si="6"/>
        <x:v>224868.535</x:v>
      </x:c>
      <x:c r="E59" s="41">
        <x:f t="shared" si="4"/>
        <x:v>-448603.46000000252</x:v>
      </x:c>
      <x:c r="F59" s="18"/>
      <x:c r="G59" s="42">
        <x:f t="shared" si="9"/>
        <x:v>-165810.43416666664</x:v>
      </x:c>
      <x:c r="H59" s="41">
        <x:f t="shared" si="3"/>
        <x:v>-10513598.432226678</x:v>
      </x:c>
      <x:c r="I59" s="42">
        <x:f t="shared" si="7"/>
        <x:v>-175410.13150000002</x:v>
      </x:c>
      <x:c r="J59" s="41">
        <x:f t="shared" si="5"/>
        <x:v>-7497320.7339999974</x:v>
      </x:c>
    </x:row>
    <x:row r="60" spans="1:14" x14ac:dyDescent="0.25">
      <x:c r="A60" s="39">
        <x:v>45802</x:v>
      </x:c>
      <x:c r="B60" s="42">
        <x:f t="shared" si="8"/>
        <x:v>2367426.0358333336</x:v>
      </x:c>
      <x:c r="C60" s="41">
        <x:f t="shared" si="2"/>
        <x:v>50535255.42380406</x:v>
      </x:c>
      <x:c r="D60" s="42">
        <x:f t="shared" si="6"/>
        <x:v>224868.535</x:v>
      </x:c>
      <x:c r="E60" s="41">
        <x:f t="shared" si="4"/>
        <x:v>-673471.99500000256</x:v>
      </x:c>
      <x:c r="F60" s="18"/>
      <x:c r="G60" s="42">
        <x:f t="shared" si="9"/>
        <x:v>-165810.43416666664</x:v>
      </x:c>
      <x:c r="H60" s="41">
        <x:f t="shared" si="3"/>
        <x:v>-10347787.998060012</x:v>
      </x:c>
      <x:c r="I60" s="42">
        <x:f t="shared" si="7"/>
        <x:v>-175410.13150000002</x:v>
      </x:c>
      <x:c r="J60" s="41">
        <x:f t="shared" si="5"/>
        <x:v>-7321910.6024999972</x:v>
      </x:c>
    </x:row>
    <x:row r="61" spans="1:14" x14ac:dyDescent="0.25">
      <x:c r="A61" s="39">
        <x:v>45833</x:v>
      </x:c>
      <x:c r="B61" s="42">
        <x:f t="shared" si="8"/>
        <x:v>2367426.0358333336</x:v>
      </x:c>
      <x:c r="C61" s="41">
        <x:f t="shared" si="2"/>
        <x:v>48167829.387970723</x:v>
      </x:c>
      <x:c r="D61" s="42">
        <x:f t="shared" si="6"/>
        <x:v>224868.535</x:v>
      </x:c>
      <x:c r="E61" s="41">
        <x:f t="shared" si="4"/>
        <x:v>-898340.53000000259</x:v>
      </x:c>
      <x:c r="F61" s="18"/>
      <x:c r="G61" s="42">
        <x:f t="shared" si="9"/>
        <x:v>-165810.43416666664</x:v>
      </x:c>
      <x:c r="H61" s="41">
        <x:f t="shared" si="3"/>
        <x:v>-10181977.563893346</x:v>
      </x:c>
      <x:c r="I61" s="42">
        <x:f t="shared" si="7"/>
        <x:v>-175410.13150000002</x:v>
      </x:c>
      <x:c r="J61" s="41">
        <x:f t="shared" si="5"/>
        <x:v>-7146500.4709999971</x:v>
      </x:c>
    </x:row>
    <x:row r="62" spans="1:14" x14ac:dyDescent="0.25">
      <x:c r="A62" s="39">
        <x:v>45864</x:v>
      </x:c>
      <x:c r="B62" s="42">
        <x:f t="shared" si="8"/>
        <x:v>2367426.0358333336</x:v>
      </x:c>
      <x:c r="C62" s="41">
        <x:f t="shared" si="2"/>
        <x:v>45800403.352137387</x:v>
      </x:c>
      <x:c r="D62" s="42">
        <x:f t="shared" si="6"/>
        <x:v>224868.535</x:v>
      </x:c>
      <x:c r="E62" s="41">
        <x:f t="shared" si="4"/>
        <x:v>-1123209.0650000025</x:v>
      </x:c>
      <x:c r="F62" s="18"/>
      <x:c r="G62" s="42">
        <x:f t="shared" si="9"/>
        <x:v>-165810.43416666664</x:v>
      </x:c>
      <x:c r="H62" s="41">
        <x:f t="shared" si="3"/>
        <x:v>-10016167.12972668</x:v>
      </x:c>
      <x:c r="I62" s="42">
        <x:f t="shared" si="7"/>
        <x:v>-175410.13150000002</x:v>
      </x:c>
      <x:c r="J62" s="41">
        <x:f t="shared" si="5"/>
        <x:v>-6971090.339499997</x:v>
      </x:c>
    </x:row>
    <x:row r="63" spans="1:14" x14ac:dyDescent="0.25">
      <x:c r="A63" s="39">
        <x:v>45895</x:v>
      </x:c>
      <x:c r="B63" s="42">
        <x:f t="shared" si="8"/>
        <x:v>2367426.0358333336</x:v>
      </x:c>
      <x:c r="C63" s="41">
        <x:f t="shared" si="2"/>
        <x:v>43432977.31630405</x:v>
      </x:c>
      <x:c r="D63" s="42">
        <x:f t="shared" si="6"/>
        <x:v>224868.535</x:v>
      </x:c>
      <x:c r="E63" s="41">
        <x:f t="shared" si="4"/>
        <x:v>-1348077.6000000024</x:v>
      </x:c>
      <x:c r="F63" s="18"/>
      <x:c r="G63" s="42">
        <x:f t="shared" si="9"/>
        <x:v>-165810.43416666664</x:v>
      </x:c>
      <x:c r="H63" s="41">
        <x:f t="shared" si="3"/>
        <x:v>-9850356.6955600139</x:v>
      </x:c>
      <x:c r="I63" s="42">
        <x:f t="shared" si="7"/>
        <x:v>-175410.13150000002</x:v>
      </x:c>
      <x:c r="J63" s="41">
        <x:f t="shared" si="5"/>
        <x:v>-6795680.2079999968</x:v>
      </x:c>
    </x:row>
    <x:row r="64" spans="1:14" x14ac:dyDescent="0.25">
      <x:c r="A64" s="39">
        <x:v>45926</x:v>
      </x:c>
      <x:c r="B64" s="42">
        <x:f t="shared" si="8"/>
        <x:v>2367426.0358333336</x:v>
      </x:c>
      <x:c r="C64" s="41">
        <x:f t="shared" si="2"/>
        <x:v>41065551.280470714</x:v>
      </x:c>
      <x:c r="D64" s="42">
        <x:f t="shared" si="6"/>
        <x:v>224868.535</x:v>
      </x:c>
      <x:c r="E64" s="41">
        <x:f t="shared" si="4"/>
        <x:v>-1572946.1350000023</x:v>
      </x:c>
      <x:c r="F64" s="18"/>
      <x:c r="G64" s="42">
        <x:f t="shared" si="9"/>
        <x:v>-165810.43416666664</x:v>
      </x:c>
      <x:c r="H64" s="41">
        <x:f t="shared" si="3"/>
        <x:v>-9684546.2613933478</x:v>
      </x:c>
      <x:c r="I64" s="42">
        <x:f t="shared" si="7"/>
        <x:v>-175410.13150000002</x:v>
      </x:c>
      <x:c r="J64" s="41">
        <x:f t="shared" si="5"/>
        <x:v>-6620270.0764999967</x:v>
      </x:c>
    </x:row>
    <x:row r="65" spans="1:10" x14ac:dyDescent="0.25">
      <x:c r="A65" s="39">
        <x:v>45957</x:v>
      </x:c>
      <x:c r="B65" s="42">
        <x:f t="shared" si="8"/>
        <x:v>2367426.0358333336</x:v>
      </x:c>
      <x:c r="C65" s="41">
        <x:f t="shared" si="2"/>
        <x:v>38698125.244637378</x:v>
      </x:c>
      <x:c r="D65" s="42">
        <x:f t="shared" si="6"/>
        <x:v>224868.535</x:v>
      </x:c>
      <x:c r="E65" s="41">
        <x:f t="shared" si="4"/>
        <x:v>-1797814.6700000023</x:v>
      </x:c>
      <x:c r="F65" s="18"/>
      <x:c r="G65" s="42">
        <x:f t="shared" si="9"/>
        <x:v>-165810.43416666664</x:v>
      </x:c>
      <x:c r="H65" s="41">
        <x:f t="shared" si="3"/>
        <x:v>-9518735.8272266816</x:v>
      </x:c>
      <x:c r="I65" s="42">
        <x:f t="shared" si="7"/>
        <x:v>-175410.13150000002</x:v>
      </x:c>
      <x:c r="J65" s="41">
        <x:f t="shared" si="5"/>
        <x:v>-6444859.9449999966</x:v>
      </x:c>
    </x:row>
    <x:row r="66" spans="1:10" x14ac:dyDescent="0.25">
      <x:c r="A66" s="39">
        <x:v>45988</x:v>
      </x:c>
      <x:c r="B66" s="42">
        <x:f t="shared" si="8"/>
        <x:v>2367426.0358333336</x:v>
      </x:c>
      <x:c r="C66" s="41">
        <x:f t="shared" si="2"/>
        <x:v>36330699.208804041</x:v>
      </x:c>
      <x:c r="D66" s="42">
        <x:f t="shared" si="6"/>
        <x:v>224868.535</x:v>
      </x:c>
      <x:c r="E66" s="41">
        <x:f t="shared" si="4"/>
        <x:v>-2022683.2050000022</x:v>
      </x:c>
      <x:c r="F66" s="18"/>
      <x:c r="G66" s="42">
        <x:f t="shared" si="9"/>
        <x:v>-165810.43416666664</x:v>
      </x:c>
      <x:c r="H66" s="41">
        <x:f t="shared" si="3"/>
        <x:v>-9352925.3930600155</x:v>
      </x:c>
      <x:c r="I66" s="42">
        <x:f t="shared" si="7"/>
        <x:v>-175410.13150000002</x:v>
      </x:c>
      <x:c r="J66" s="41">
        <x:f t="shared" si="5"/>
        <x:v>-6269449.8134999964</x:v>
      </x:c>
    </x:row>
    <x:row r="67" spans="1:10" x14ac:dyDescent="0.25">
      <x:c r="A67" s="39">
        <x:v>46019</x:v>
      </x:c>
      <x:c r="B67" s="42">
        <x:f t="shared" si="8"/>
        <x:v>2367426.0358333336</x:v>
      </x:c>
      <x:c r="C67" s="41">
        <x:f t="shared" si="2"/>
        <x:v>33963273.172970705</x:v>
      </x:c>
      <x:c r="D67" s="42">
        <x:f t="shared" si="6"/>
        <x:v>224868.535</x:v>
      </x:c>
      <x:c r="E67" s="41">
        <x:f t="shared" si="4"/>
        <x:v>-2247551.7400000021</x:v>
      </x:c>
      <x:c r="F67" s="18"/>
      <x:c r="G67" s="42">
        <x:f t="shared" si="9"/>
        <x:v>-165810.43416666664</x:v>
      </x:c>
      <x:c r="H67" s="41">
        <x:f t="shared" si="3"/>
        <x:v>-9187114.9588933494</x:v>
      </x:c>
      <x:c r="I67" s="42">
        <x:f t="shared" si="7"/>
        <x:v>-175410.13150000002</x:v>
      </x:c>
      <x:c r="J67" s="41">
        <x:f t="shared" si="5"/>
        <x:v>-6094039.6819999963</x:v>
      </x:c>
    </x:row>
    <x:row r="68" spans="1:10" x14ac:dyDescent="0.25">
      <x:c r="A68" s="39">
        <x:v>46050</x:v>
      </x:c>
      <x:c r="B68" s="42">
        <x:f t="shared" si="8"/>
        <x:v>2367426.0358333336</x:v>
      </x:c>
      <x:c r="C68" s="41">
        <x:f t="shared" ref="C68:C96" si="10">C67-B68</x:f>
        <x:v>31595847.137137372</x:v>
      </x:c>
      <x:c r="D68" s="42">
        <x:f t="shared" si="6"/>
        <x:v>224868.535</x:v>
      </x:c>
      <x:c r="E68" s="41">
        <x:f t="shared" si="4"/>
        <x:v>-2472420.2750000022</x:v>
      </x:c>
      <x:c r="F68" s="18"/>
      <x:c r="G68" s="42">
        <x:f t="shared" si="9"/>
        <x:v>-165810.43416666664</x:v>
      </x:c>
      <x:c r="H68" s="41">
        <x:f t="shared" ref="H68:H96" si="11">H67-G68</x:f>
        <x:v>-9021304.5247266833</x:v>
      </x:c>
      <x:c r="I68" s="42">
        <x:f t="shared" si="7"/>
        <x:v>-175410.13150000002</x:v>
      </x:c>
      <x:c r="J68" s="41">
        <x:f t="shared" si="5"/>
        <x:v>-5918629.5504999962</x:v>
      </x:c>
    </x:row>
    <x:row r="69" spans="1:10" x14ac:dyDescent="0.25">
      <x:c r="A69" s="39">
        <x:v>46081</x:v>
      </x:c>
      <x:c r="B69" s="42">
        <x:f t="shared" si="8"/>
        <x:v>2367426.0358333336</x:v>
      </x:c>
      <x:c r="C69" s="41">
        <x:f t="shared" si="10"/>
        <x:v>29228421.101304039</x:v>
      </x:c>
      <x:c r="D69" s="42">
        <x:f t="shared" si="6"/>
        <x:v>224868.535</x:v>
      </x:c>
      <x:c r="E69" s="41">
        <x:f t="shared" ref="E69:E95" si="12">+E68-D69</x:f>
        <x:v>-2697288.8100000024</x:v>
      </x:c>
      <x:c r="F69" s="18"/>
      <x:c r="G69" s="42">
        <x:f t="shared" si="9"/>
        <x:v>-165810.43416666664</x:v>
      </x:c>
      <x:c r="H69" s="41">
        <x:f t="shared" si="11"/>
        <x:v>-8855494.0905600172</x:v>
      </x:c>
      <x:c r="I69" s="42">
        <x:f t="shared" si="7"/>
        <x:v>-175410.13150000002</x:v>
      </x:c>
      <x:c r="J69" s="41">
        <x:f t="shared" ref="J69:J95" si="13">+J68-I69</x:f>
        <x:v>-5743219.418999996</x:v>
      </x:c>
    </x:row>
    <x:row r="70" spans="1:10" x14ac:dyDescent="0.25">
      <x:c r="A70" s="39">
        <x:v>46112</x:v>
      </x:c>
      <x:c r="B70" s="42">
        <x:f t="shared" si="8"/>
        <x:v>2367426.0358333336</x:v>
      </x:c>
      <x:c r="C70" s="41">
        <x:f t="shared" si="10"/>
        <x:v>26860995.065470707</x:v>
      </x:c>
      <x:c r="D70" s="42">
        <x:f t="shared" si="6"/>
        <x:v>224868.535</x:v>
      </x:c>
      <x:c r="E70" s="41">
        <x:f t="shared" si="12"/>
        <x:v>-2922157.3450000025</x:v>
      </x:c>
      <x:c r="F70" s="18"/>
      <x:c r="G70" s="42">
        <x:f t="shared" si="9"/>
        <x:v>-165810.43416666664</x:v>
      </x:c>
      <x:c r="H70" s="41">
        <x:f t="shared" si="11"/>
        <x:v>-8689683.656393351</x:v>
      </x:c>
      <x:c r="I70" s="42">
        <x:f t="shared" si="7"/>
        <x:v>-175410.13150000002</x:v>
      </x:c>
      <x:c r="J70" s="41">
        <x:f t="shared" si="13"/>
        <x:v>-5567809.2874999959</x:v>
      </x:c>
    </x:row>
    <x:row r="71" spans="1:10" x14ac:dyDescent="0.25">
      <x:c r="A71" s="39">
        <x:v>46122</x:v>
      </x:c>
      <x:c r="B71" s="42">
        <x:f t="shared" si="8"/>
        <x:v>2367426.0358333336</x:v>
      </x:c>
      <x:c r="C71" s="41">
        <x:f t="shared" si="10"/>
        <x:v>24493569.029637374</x:v>
      </x:c>
      <x:c r="D71" s="42">
        <x:f t="shared" si="6"/>
        <x:v>224868.535</x:v>
      </x:c>
      <x:c r="E71" s="41">
        <x:f t="shared" si="12"/>
        <x:v>-3147025.8800000027</x:v>
      </x:c>
      <x:c r="F71" s="18"/>
      <x:c r="G71" s="42">
        <x:f t="shared" si="9"/>
        <x:v>-165810.43416666664</x:v>
      </x:c>
      <x:c r="H71" s="41">
        <x:f t="shared" si="11"/>
        <x:v>-8523873.2222266849</x:v>
      </x:c>
      <x:c r="I71" s="42">
        <x:f t="shared" si="7"/>
        <x:v>-175410.13150000002</x:v>
      </x:c>
      <x:c r="J71" s="41">
        <x:f t="shared" si="13"/>
        <x:v>-5392399.1559999958</x:v>
      </x:c>
    </x:row>
    <x:row r="72" spans="1:10" x14ac:dyDescent="0.25">
      <x:c r="A72" s="39">
        <x:v>46153</x:v>
      </x:c>
      <x:c r="B72" s="42">
        <x:f t="shared" si="8"/>
        <x:v>2367426.0358333336</x:v>
      </x:c>
      <x:c r="C72" s="41">
        <x:f t="shared" si="10"/>
        <x:v>22126142.993804041</x:v>
      </x:c>
      <x:c r="D72" s="42">
        <x:f t="shared" si="6"/>
        <x:v>224868.535</x:v>
      </x:c>
      <x:c r="E72" s="41">
        <x:f t="shared" si="12"/>
        <x:v>-3371894.4150000028</x:v>
      </x:c>
      <x:c r="F72" s="18"/>
      <x:c r="G72" s="42">
        <x:f t="shared" si="9"/>
        <x:v>-165810.43416666664</x:v>
      </x:c>
      <x:c r="H72" s="41">
        <x:f t="shared" si="11"/>
        <x:v>-8358062.7880600179</x:v>
      </x:c>
      <x:c r="I72" s="42">
        <x:f t="shared" si="7"/>
        <x:v>-175410.13150000002</x:v>
      </x:c>
      <x:c r="J72" s="41">
        <x:f t="shared" si="13"/>
        <x:v>-5216989.0244999956</x:v>
      </x:c>
    </x:row>
    <x:row r="73" spans="1:10" x14ac:dyDescent="0.25">
      <x:c r="A73" s="39">
        <x:v>46184</x:v>
      </x:c>
      <x:c r="B73" s="42">
        <x:f t="shared" si="8"/>
        <x:v>2367426.0358333336</x:v>
      </x:c>
      <x:c r="C73" s="41">
        <x:f t="shared" si="10"/>
        <x:v>19758716.957970709</x:v>
      </x:c>
      <x:c r="D73" s="42">
        <x:f t="shared" si="6"/>
        <x:v>224868.535</x:v>
      </x:c>
      <x:c r="E73" s="41">
        <x:f t="shared" si="12"/>
        <x:v>-3596762.950000003</x:v>
      </x:c>
      <x:c r="F73" s="18"/>
      <x:c r="G73" s="42">
        <x:f t="shared" si="9"/>
        <x:v>-165810.43416666664</x:v>
      </x:c>
      <x:c r="H73" s="41">
        <x:f t="shared" si="11"/>
        <x:v>-8192252.3538933508</x:v>
      </x:c>
      <x:c r="I73" s="42">
        <x:f t="shared" si="7"/>
        <x:v>-175410.13150000002</x:v>
      </x:c>
      <x:c r="J73" s="41">
        <x:f t="shared" si="13"/>
        <x:v>-5041578.8929999955</x:v>
      </x:c>
    </x:row>
    <x:row r="74" spans="1:10" x14ac:dyDescent="0.25">
      <x:c r="A74" s="39">
        <x:v>46215</x:v>
      </x:c>
      <x:c r="B74" s="42">
        <x:f t="shared" si="8"/>
        <x:v>2367426.0358333336</x:v>
      </x:c>
      <x:c r="C74" s="41">
        <x:f t="shared" si="10"/>
        <x:v>17391290.922137376</x:v>
      </x:c>
      <x:c r="D74" s="42">
        <x:f t="shared" si="6"/>
        <x:v>224868.535</x:v>
      </x:c>
      <x:c r="E74" s="41">
        <x:f t="shared" si="12"/>
        <x:v>-3821631.4850000031</x:v>
      </x:c>
      <x:c r="F74" s="18"/>
      <x:c r="G74" s="42">
        <x:f t="shared" si="9"/>
        <x:v>-165810.43416666664</x:v>
      </x:c>
      <x:c r="H74" s="41">
        <x:f t="shared" si="11"/>
        <x:v>-8026441.9197266838</x:v>
      </x:c>
      <x:c r="I74" s="42">
        <x:f t="shared" si="7"/>
        <x:v>-175410.13150000002</x:v>
      </x:c>
      <x:c r="J74" s="41">
        <x:f t="shared" si="13"/>
        <x:v>-4866168.7614999954</x:v>
      </x:c>
    </x:row>
    <x:row r="75" spans="1:10" x14ac:dyDescent="0.25">
      <x:c r="A75" s="39">
        <x:v>46246</x:v>
      </x:c>
      <x:c r="B75" s="42">
        <x:f t="shared" si="8"/>
        <x:v>2367426.0358333336</x:v>
      </x:c>
      <x:c r="C75" s="41">
        <x:f t="shared" si="10"/>
        <x:v>15023864.886304043</x:v>
      </x:c>
      <x:c r="D75" s="42">
        <x:f t="shared" si="6"/>
        <x:v>224868.535</x:v>
      </x:c>
      <x:c r="E75" s="41">
        <x:f t="shared" si="12"/>
        <x:v>-4046500.0200000033</x:v>
      </x:c>
      <x:c r="F75" s="18"/>
      <x:c r="G75" s="42">
        <x:f t="shared" si="9"/>
        <x:v>-165810.43416666664</x:v>
      </x:c>
      <x:c r="H75" s="41">
        <x:f t="shared" si="11"/>
        <x:v>-7860631.4855600167</x:v>
      </x:c>
      <x:c r="I75" s="42">
        <x:f t="shared" si="7"/>
        <x:v>-175410.13150000002</x:v>
      </x:c>
      <x:c r="J75" s="41">
        <x:f t="shared" si="13"/>
        <x:v>-4690758.6299999952</x:v>
      </x:c>
    </x:row>
    <x:row r="76" spans="1:10" x14ac:dyDescent="0.25">
      <x:c r="A76" s="39">
        <x:v>46277</x:v>
      </x:c>
      <x:c r="B76" s="42">
        <x:f t="shared" si="8"/>
        <x:v>2367426.0358333336</x:v>
      </x:c>
      <x:c r="C76" s="41">
        <x:f t="shared" si="10"/>
        <x:v>12656438.850470711</x:v>
      </x:c>
      <x:c r="D76" s="42">
        <x:f t="shared" si="6"/>
        <x:v>224868.535</x:v>
      </x:c>
      <x:c r="E76" s="41">
        <x:f t="shared" si="12"/>
        <x:v>-4271368.5550000034</x:v>
      </x:c>
      <x:c r="F76" s="18"/>
      <x:c r="G76" s="42">
        <x:f t="shared" si="9"/>
        <x:v>-165810.43416666664</x:v>
      </x:c>
      <x:c r="H76" s="41">
        <x:f t="shared" si="11"/>
        <x:v>-7694821.0513933497</x:v>
      </x:c>
      <x:c r="I76" s="42">
        <x:f t="shared" si="7"/>
        <x:v>-175410.13150000002</x:v>
      </x:c>
      <x:c r="J76" s="41">
        <x:f t="shared" si="13"/>
        <x:v>-4515348.4984999951</x:v>
      </x:c>
    </x:row>
    <x:row r="77" spans="1:10" x14ac:dyDescent="0.25">
      <x:c r="A77" s="39">
        <x:v>46308</x:v>
      </x:c>
      <x:c r="B77" s="42">
        <x:f t="shared" si="8"/>
        <x:v>2367426.0358333336</x:v>
      </x:c>
      <x:c r="C77" s="41">
        <x:f t="shared" si="10"/>
        <x:v>10289012.814637378</x:v>
      </x:c>
      <x:c r="D77" s="42">
        <x:f t="shared" si="6"/>
        <x:v>224868.535</x:v>
      </x:c>
      <x:c r="E77" s="41">
        <x:f t="shared" si="12"/>
        <x:v>-4496237.0900000036</x:v>
      </x:c>
      <x:c r="F77" s="18"/>
      <x:c r="G77" s="42">
        <x:f t="shared" si="9"/>
        <x:v>-165810.43416666664</x:v>
      </x:c>
      <x:c r="H77" s="41">
        <x:f t="shared" si="11"/>
        <x:v>-7529010.6172266826</x:v>
      </x:c>
      <x:c r="I77" s="42">
        <x:f t="shared" si="7"/>
        <x:v>-175410.13150000002</x:v>
      </x:c>
      <x:c r="J77" s="41">
        <x:f t="shared" si="13"/>
        <x:v>-4339938.366999995</x:v>
      </x:c>
    </x:row>
    <x:row r="78" spans="1:10" x14ac:dyDescent="0.25">
      <x:c r="A78" s="39">
        <x:v>46339</x:v>
      </x:c>
      <x:c r="B78" s="42">
        <x:f t="shared" si="8"/>
        <x:v>2367426.0358333336</x:v>
      </x:c>
      <x:c r="C78" s="41">
        <x:f t="shared" si="10"/>
        <x:v>7921586.7788040442</x:v>
      </x:c>
      <x:c r="D78" s="42">
        <x:f t="shared" si="6"/>
        <x:v>224868.535</x:v>
      </x:c>
      <x:c r="E78" s="41">
        <x:f t="shared" si="12"/>
        <x:v>-4721105.6250000037</x:v>
      </x:c>
      <x:c r="F78" s="18"/>
      <x:c r="G78" s="42">
        <x:f t="shared" si="9"/>
        <x:v>-165810.43416666664</x:v>
      </x:c>
      <x:c r="H78" s="41">
        <x:f t="shared" si="11"/>
        <x:v>-7363200.1830600156</x:v>
      </x:c>
      <x:c r="I78" s="42">
        <x:f t="shared" si="7"/>
        <x:v>-175410.13150000002</x:v>
      </x:c>
      <x:c r="J78" s="41">
        <x:f t="shared" si="13"/>
        <x:v>-4164528.2354999948</x:v>
      </x:c>
    </x:row>
    <x:row r="79" spans="1:10" x14ac:dyDescent="0.25">
      <x:c r="A79" s="39">
        <x:v>46370</x:v>
      </x:c>
      <x:c r="B79" s="42">
        <x:f t="shared" si="8"/>
        <x:v>2367426.0358333336</x:v>
      </x:c>
      <x:c r="C79" s="41">
        <x:f t="shared" si="10"/>
        <x:v>5554160.7429707106</x:v>
      </x:c>
      <x:c r="D79" s="42">
        <x:f t="shared" si="6"/>
        <x:v>224868.535</x:v>
      </x:c>
      <x:c r="E79" s="41">
        <x:f t="shared" si="12"/>
        <x:v>-4945974.1600000039</x:v>
      </x:c>
      <x:c r="F79" s="18"/>
      <x:c r="G79" s="42">
        <x:f t="shared" si="9"/>
        <x:v>-165810.43416666664</x:v>
      </x:c>
      <x:c r="H79" s="41">
        <x:f t="shared" si="11"/>
        <x:v>-7197389.7488933485</x:v>
      </x:c>
      <x:c r="I79" s="42">
        <x:f t="shared" si="7"/>
        <x:v>-175410.13150000002</x:v>
      </x:c>
      <x:c r="J79" s="41">
        <x:f t="shared" si="13"/>
        <x:v>-3989118.1039999947</x:v>
      </x:c>
    </x:row>
    <x:row r="80" spans="1:10" x14ac:dyDescent="0.25">
      <x:c r="A80" s="39">
        <x:v>46401</x:v>
      </x:c>
      <x:c r="B80" s="42">
        <x:f t="shared" si="8"/>
        <x:v>2367426.0358333336</x:v>
      </x:c>
      <x:c r="C80" s="41">
        <x:f t="shared" si="10"/>
        <x:v>3186734.707137377</x:v>
      </x:c>
      <x:c r="D80" s="42">
        <x:f t="shared" si="6"/>
        <x:v>224868.535</x:v>
      </x:c>
      <x:c r="E80" s="41">
        <x:f t="shared" si="12"/>
        <x:v>-5170842.695000004</x:v>
      </x:c>
      <x:c r="F80" s="18"/>
      <x:c r="G80" s="42">
        <x:f t="shared" si="9"/>
        <x:v>-165810.43416666664</x:v>
      </x:c>
      <x:c r="H80" s="41">
        <x:f t="shared" si="11"/>
        <x:v>-7031579.3147266814</x:v>
      </x:c>
      <x:c r="I80" s="42">
        <x:f t="shared" si="7"/>
        <x:v>-175410.13150000002</x:v>
      </x:c>
      <x:c r="J80" s="41">
        <x:f t="shared" si="13"/>
        <x:v>-3813707.9724999946</x:v>
      </x:c>
    </x:row>
    <x:row r="81" spans="1:10" x14ac:dyDescent="0.25">
      <x:c r="A81" s="39">
        <x:v>46432</x:v>
      </x:c>
      <x:c r="B81" s="42">
        <x:f t="shared" si="8"/>
        <x:v>2367426.0358333336</x:v>
      </x:c>
      <x:c r="C81" s="41">
        <x:f t="shared" si="10"/>
        <x:v>819308.67130404338</x:v>
      </x:c>
      <x:c r="D81" s="42">
        <x:f t="shared" si="6"/>
        <x:v>224868.535</x:v>
      </x:c>
      <x:c r="E81" s="41">
        <x:f t="shared" si="12"/>
        <x:v>-5395711.2300000042</x:v>
      </x:c>
      <x:c r="F81" s="18"/>
      <x:c r="G81" s="42">
        <x:f t="shared" si="9"/>
        <x:v>-165810.43416666664</x:v>
      </x:c>
      <x:c r="H81" s="41">
        <x:f t="shared" si="11"/>
        <x:v>-6865768.8805600144</x:v>
      </x:c>
      <x:c r="I81" s="42">
        <x:f t="shared" si="7"/>
        <x:v>-175410.13150000002</x:v>
      </x:c>
      <x:c r="J81" s="41">
        <x:f t="shared" si="13"/>
        <x:v>-3638297.8409999944</x:v>
      </x:c>
    </x:row>
    <x:row r="82" spans="1:10" x14ac:dyDescent="0.25">
      <x:c r="A82" s="39">
        <x:v>46463</x:v>
      </x:c>
      <x:c r="B82" s="42">
        <x:f t="shared" si="8"/>
        <x:v>2367426.0358333336</x:v>
      </x:c>
      <x:c r="C82" s="41">
        <x:f t="shared" si="10"/>
        <x:v>-1548117.3645292902</x:v>
      </x:c>
      <x:c r="D82" s="42">
        <x:f t="shared" si="6"/>
        <x:v>224868.535</x:v>
      </x:c>
      <x:c r="E82" s="41">
        <x:f t="shared" si="12"/>
        <x:v>-5620579.7650000043</x:v>
      </x:c>
      <x:c r="F82" s="18"/>
      <x:c r="G82" s="42">
        <x:f t="shared" si="9"/>
        <x:v>-165810.43416666664</x:v>
      </x:c>
      <x:c r="H82" s="41">
        <x:f t="shared" si="11"/>
        <x:v>-6699958.4463933473</x:v>
      </x:c>
      <x:c r="I82" s="42">
        <x:f t="shared" si="7"/>
        <x:v>-175410.13150000002</x:v>
      </x:c>
      <x:c r="J82" s="41">
        <x:f t="shared" si="13"/>
        <x:v>-3462887.7094999943</x:v>
      </x:c>
    </x:row>
    <x:row r="83" spans="1:10" x14ac:dyDescent="0.25">
      <x:c r="A83" s="39">
        <x:v>46494</x:v>
      </x:c>
      <x:c r="B83" s="42">
        <x:f t="shared" si="8"/>
        <x:v>2367426.0358333336</x:v>
      </x:c>
      <x:c r="C83" s="41">
        <x:f t="shared" si="10"/>
        <x:v>-3915543.4003626239</x:v>
      </x:c>
      <x:c r="D83" s="42">
        <x:f t="shared" si="6"/>
        <x:v>224868.535</x:v>
      </x:c>
      <x:c r="E83" s="41">
        <x:f t="shared" si="12"/>
        <x:v>-5845448.3000000045</x:v>
      </x:c>
      <x:c r="F83" s="18"/>
      <x:c r="G83" s="42">
        <x:f t="shared" si="9"/>
        <x:v>-165810.43416666664</x:v>
      </x:c>
      <x:c r="H83" s="41">
        <x:f t="shared" si="11"/>
        <x:v>-6534148.0122266803</x:v>
      </x:c>
      <x:c r="I83" s="42">
        <x:f t="shared" si="7"/>
        <x:v>-175410.13150000002</x:v>
      </x:c>
      <x:c r="J83" s="41">
        <x:f t="shared" si="13"/>
        <x:v>-3287477.5779999942</x:v>
      </x:c>
    </x:row>
    <x:row r="84" spans="1:10" x14ac:dyDescent="0.25">
      <x:c r="A84" s="39">
        <x:v>46525</x:v>
      </x:c>
      <x:c r="B84" s="42">
        <x:f t="shared" si="8"/>
        <x:v>2367426.0358333336</x:v>
      </x:c>
      <x:c r="C84" s="41">
        <x:f t="shared" si="10"/>
        <x:v>-6282969.4361959575</x:v>
      </x:c>
      <x:c r="D84" s="42">
        <x:f t="shared" si="6"/>
        <x:v>224868.535</x:v>
      </x:c>
      <x:c r="E84" s="41">
        <x:f t="shared" si="12"/>
        <x:v>-6070316.8350000046</x:v>
      </x:c>
      <x:c r="F84" s="18"/>
      <x:c r="G84" s="42">
        <x:f t="shared" si="9"/>
        <x:v>-165810.43416666664</x:v>
      </x:c>
      <x:c r="H84" s="41">
        <x:f t="shared" si="11"/>
        <x:v>-6368337.5780600132</x:v>
      </x:c>
      <x:c r="I84" s="42">
        <x:f t="shared" si="7"/>
        <x:v>-175410.13150000002</x:v>
      </x:c>
      <x:c r="J84" s="41">
        <x:f t="shared" si="13"/>
        <x:v>-3112067.446499994</x:v>
      </x:c>
    </x:row>
    <x:row r="85" spans="1:10" x14ac:dyDescent="0.25">
      <x:c r="A85" s="39">
        <x:v>46556</x:v>
      </x:c>
      <x:c r="B85" s="42">
        <x:f t="shared" si="8"/>
        <x:v>2367426.0358333336</x:v>
      </x:c>
      <x:c r="C85" s="41">
        <x:f t="shared" si="10"/>
        <x:v>-8650395.4720292911</x:v>
      </x:c>
      <x:c r="D85" s="42">
        <x:f t="shared" si="6"/>
        <x:v>224868.535</x:v>
      </x:c>
      <x:c r="E85" s="41">
        <x:f t="shared" si="12"/>
        <x:v>-6295185.3700000048</x:v>
      </x:c>
      <x:c r="F85" s="18"/>
      <x:c r="G85" s="42">
        <x:f t="shared" si="9"/>
        <x:v>-165810.43416666664</x:v>
      </x:c>
      <x:c r="H85" s="41">
        <x:f t="shared" si="11"/>
        <x:v>-6202527.1438933462</x:v>
      </x:c>
      <x:c r="I85" s="42">
        <x:f t="shared" si="7"/>
        <x:v>-175410.13150000002</x:v>
      </x:c>
      <x:c r="J85" s="41">
        <x:f t="shared" si="13"/>
        <x:v>-2936657.3149999939</x:v>
      </x:c>
    </x:row>
    <x:row r="86" spans="1:10" x14ac:dyDescent="0.25">
      <x:c r="A86" s="39">
        <x:v>46587</x:v>
      </x:c>
      <x:c r="B86" s="42">
        <x:f t="shared" si="8"/>
        <x:v>2367426.0358333336</x:v>
      </x:c>
      <x:c r="C86" s="41">
        <x:f t="shared" si="10"/>
        <x:v>-11017821.507862624</x:v>
      </x:c>
      <x:c r="D86" s="42">
        <x:f t="shared" si="6"/>
        <x:v>224868.535</x:v>
      </x:c>
      <x:c r="E86" s="41">
        <x:f t="shared" si="12"/>
        <x:v>-6520053.9050000049</x:v>
      </x:c>
      <x:c r="F86" s="18"/>
      <x:c r="G86" s="42">
        <x:f t="shared" si="9"/>
        <x:v>-165810.43416666664</x:v>
      </x:c>
      <x:c r="H86" s="41">
        <x:f t="shared" si="11"/>
        <x:v>-6036716.7097266791</x:v>
      </x:c>
      <x:c r="I86" s="42">
        <x:f t="shared" si="7"/>
        <x:v>-175410.13150000002</x:v>
      </x:c>
      <x:c r="J86" s="41">
        <x:f t="shared" si="13"/>
        <x:v>-2761247.1834999938</x:v>
      </x:c>
    </x:row>
    <x:row r="87" spans="1:10" x14ac:dyDescent="0.25">
      <x:c r="A87" s="39">
        <x:v>46618</x:v>
      </x:c>
      <x:c r="B87" s="42">
        <x:f t="shared" si="8"/>
        <x:v>2367426.0358333336</x:v>
      </x:c>
      <x:c r="C87" s="41">
        <x:f t="shared" si="10"/>
        <x:v>-13385247.543695956</x:v>
      </x:c>
      <x:c r="D87" s="42">
        <x:f t="shared" si="6"/>
        <x:v>224868.535</x:v>
      </x:c>
      <x:c r="E87" s="41">
        <x:f t="shared" si="12"/>
        <x:v>-6744922.4400000051</x:v>
      </x:c>
      <x:c r="F87" s="18"/>
      <x:c r="G87" s="42">
        <x:f t="shared" si="9"/>
        <x:v>-165810.43416666664</x:v>
      </x:c>
      <x:c r="H87" s="41">
        <x:f t="shared" si="11"/>
        <x:v>-5870906.2755600121</x:v>
      </x:c>
      <x:c r="I87" s="42">
        <x:f t="shared" si="7"/>
        <x:v>-175410.13150000002</x:v>
      </x:c>
      <x:c r="J87" s="41">
        <x:f t="shared" si="13"/>
        <x:v>-2585837.0519999936</x:v>
      </x:c>
    </x:row>
    <x:row r="88" spans="1:10" x14ac:dyDescent="0.25">
      <x:c r="A88" s="39">
        <x:v>46649</x:v>
      </x:c>
      <x:c r="B88" s="42">
        <x:f t="shared" si="8"/>
        <x:v>2367426.0358333336</x:v>
      </x:c>
      <x:c r="C88" s="41">
        <x:f t="shared" si="10"/>
        <x:v>-15752673.579529289</x:v>
      </x:c>
      <x:c r="D88" s="42">
        <x:f t="shared" si="6"/>
        <x:v>224868.535</x:v>
      </x:c>
      <x:c r="E88" s="41">
        <x:f t="shared" si="12"/>
        <x:v>-6969790.9750000052</x:v>
      </x:c>
      <x:c r="F88" s="18"/>
      <x:c r="G88" s="42">
        <x:f t="shared" si="9"/>
        <x:v>-165810.43416666664</x:v>
      </x:c>
      <x:c r="H88" s="41">
        <x:f t="shared" si="11"/>
        <x:v>-5705095.841393345</x:v>
      </x:c>
      <x:c r="I88" s="42">
        <x:f t="shared" si="7"/>
        <x:v>-175410.13150000002</x:v>
      </x:c>
      <x:c r="J88" s="41">
        <x:f t="shared" si="13"/>
        <x:v>-2410426.9204999935</x:v>
      </x:c>
    </x:row>
    <x:row r="89" spans="1:10" x14ac:dyDescent="0.25">
      <x:c r="A89" s="39">
        <x:v>46680</x:v>
      </x:c>
      <x:c r="B89" s="42">
        <x:f t="shared" si="8"/>
        <x:v>2367426.0358333336</x:v>
      </x:c>
      <x:c r="C89" s="41">
        <x:f t="shared" si="10"/>
        <x:v>-18120099.615362622</x:v>
      </x:c>
      <x:c r="D89" s="42">
        <x:f t="shared" si="6"/>
        <x:v>224868.535</x:v>
      </x:c>
      <x:c r="E89" s="41">
        <x:f t="shared" si="12"/>
        <x:v>-7194659.5100000054</x:v>
      </x:c>
      <x:c r="F89" s="18"/>
      <x:c r="G89" s="42">
        <x:f t="shared" si="9"/>
        <x:v>-165810.43416666664</x:v>
      </x:c>
      <x:c r="H89" s="41">
        <x:f t="shared" si="11"/>
        <x:v>-5539285.407226678</x:v>
      </x:c>
      <x:c r="I89" s="42">
        <x:f t="shared" si="7"/>
        <x:v>-175410.13150000002</x:v>
      </x:c>
      <x:c r="J89" s="41">
        <x:f t="shared" si="13"/>
        <x:v>-2235016.7889999934</x:v>
      </x:c>
    </x:row>
    <x:row r="90" spans="1:10" x14ac:dyDescent="0.25">
      <x:c r="A90" s="39">
        <x:v>46711</x:v>
      </x:c>
      <x:c r="B90" s="42">
        <x:f t="shared" si="8"/>
        <x:v>2367426.0358333336</x:v>
      </x:c>
      <x:c r="C90" s="41">
        <x:f t="shared" si="10"/>
        <x:v>-20487525.651195955</x:v>
      </x:c>
      <x:c r="D90" s="42">
        <x:f t="shared" si="6"/>
        <x:v>224868.535</x:v>
      </x:c>
      <x:c r="E90" s="41">
        <x:f t="shared" si="12"/>
        <x:v>-7419528.0450000055</x:v>
      </x:c>
      <x:c r="F90" s="18"/>
      <x:c r="G90" s="42">
        <x:f t="shared" si="9"/>
        <x:v>-165810.43416666664</x:v>
      </x:c>
      <x:c r="H90" s="41">
        <x:f t="shared" si="11"/>
        <x:v>-5373474.9730600109</x:v>
      </x:c>
      <x:c r="I90" s="42">
        <x:f t="shared" si="7"/>
        <x:v>-175410.13150000002</x:v>
      </x:c>
      <x:c r="J90" s="41">
        <x:f t="shared" si="13"/>
        <x:v>-2059606.6574999932</x:v>
      </x:c>
    </x:row>
    <x:row r="91" spans="1:10" x14ac:dyDescent="0.25">
      <x:c r="A91" s="39">
        <x:v>46741</x:v>
      </x:c>
      <x:c r="B91" s="42">
        <x:f t="shared" si="8"/>
        <x:v>2367426.0358333336</x:v>
      </x:c>
      <x:c r="C91" s="41">
        <x:f t="shared" si="10"/>
        <x:v>-22854951.687029287</x:v>
      </x:c>
      <x:c r="D91" s="42">
        <x:f t="shared" si="6"/>
        <x:v>224868.535</x:v>
      </x:c>
      <x:c r="E91" s="41">
        <x:f t="shared" si="12"/>
        <x:v>-7644396.5800000057</x:v>
      </x:c>
      <x:c r="F91" s="18"/>
      <x:c r="G91" s="42">
        <x:f t="shared" si="9"/>
        <x:v>-165810.43416666664</x:v>
      </x:c>
      <x:c r="H91" s="41">
        <x:f t="shared" si="11"/>
        <x:v>-5207664.5388933439</x:v>
      </x:c>
      <x:c r="I91" s="42">
        <x:f t="shared" si="7"/>
        <x:v>-175410.13150000002</x:v>
      </x:c>
      <x:c r="J91" s="41">
        <x:f t="shared" si="13"/>
        <x:v>-1884196.5259999931</x:v>
      </x:c>
    </x:row>
    <x:row r="92" spans="1:10" x14ac:dyDescent="0.25">
      <x:c r="A92" s="39">
        <x:v>46772</x:v>
      </x:c>
      <x:c r="B92" s="42">
        <x:f t="shared" si="8"/>
        <x:v>2367426.0358333336</x:v>
      </x:c>
      <x:c r="C92" s="41">
        <x:f t="shared" si="10"/>
        <x:v>-25222377.72286262</x:v>
      </x:c>
      <x:c r="D92" s="42">
        <x:f t="shared" si="6"/>
        <x:v>224868.535</x:v>
      </x:c>
      <x:c r="E92" s="41">
        <x:f t="shared" si="12"/>
        <x:v>-7869265.1150000058</x:v>
      </x:c>
      <x:c r="F92" s="18"/>
      <x:c r="G92" s="42">
        <x:f t="shared" si="9"/>
        <x:v>-165810.43416666664</x:v>
      </x:c>
      <x:c r="H92" s="41">
        <x:f t="shared" si="11"/>
        <x:v>-5041854.1047266768</x:v>
      </x:c>
      <x:c r="I92" s="42">
        <x:f t="shared" si="7"/>
        <x:v>-175410.13150000002</x:v>
      </x:c>
      <x:c r="J92" s="41">
        <x:f t="shared" si="13"/>
        <x:v>-1708786.394499993</x:v>
      </x:c>
    </x:row>
    <x:row r="93" spans="1:10" x14ac:dyDescent="0.25">
      <x:c r="A93" s="39">
        <x:v>46803</x:v>
      </x:c>
      <x:c r="B93" s="42">
        <x:f t="shared" si="8"/>
        <x:v>2367426.0358333336</x:v>
      </x:c>
      <x:c r="C93" s="41">
        <x:f t="shared" si="10"/>
        <x:v>-27589803.758695953</x:v>
      </x:c>
      <x:c r="D93" s="42">
        <x:f t="shared" si="6"/>
        <x:v>224868.535</x:v>
      </x:c>
      <x:c r="E93" s="41">
        <x:f t="shared" si="12"/>
        <x:v>-8094133.650000006</x:v>
      </x:c>
      <x:c r="F93" s="18"/>
      <x:c r="G93" s="42">
        <x:f t="shared" si="9"/>
        <x:v>-165810.43416666664</x:v>
      </x:c>
      <x:c r="H93" s="41">
        <x:f t="shared" si="11"/>
        <x:v>-4876043.6705600098</x:v>
      </x:c>
      <x:c r="I93" s="42">
        <x:f t="shared" si="7"/>
        <x:v>-175410.13150000002</x:v>
      </x:c>
      <x:c r="J93" s="41">
        <x:f t="shared" si="13"/>
        <x:v>-1533376.2629999928</x:v>
      </x:c>
    </x:row>
    <x:row r="94" spans="1:10" x14ac:dyDescent="0.25">
      <x:c r="A94" s="39">
        <x:v>46832</x:v>
      </x:c>
      <x:c r="B94" s="42">
        <x:f t="shared" si="8"/>
        <x:v>2367426.0358333336</x:v>
      </x:c>
      <x:c r="C94" s="41">
        <x:f t="shared" si="10"/>
        <x:v>-29957229.794529285</x:v>
      </x:c>
      <x:c r="D94" s="42">
        <x:f t="shared" si="6"/>
        <x:v>224868.535</x:v>
      </x:c>
      <x:c r="E94" s="41">
        <x:f t="shared" si="12"/>
        <x:v>-8319002.1850000061</x:v>
      </x:c>
      <x:c r="F94" s="18"/>
      <x:c r="G94" s="42">
        <x:f t="shared" si="9"/>
        <x:v>-165810.43416666664</x:v>
      </x:c>
      <x:c r="H94" s="41">
        <x:f t="shared" si="11"/>
        <x:v>-4710233.2363933427</x:v>
      </x:c>
      <x:c r="I94" s="42">
        <x:f t="shared" si="7"/>
        <x:v>-175410.13150000002</x:v>
      </x:c>
      <x:c r="J94" s="41">
        <x:f t="shared" si="13"/>
        <x:v>-1357966.1314999927</x:v>
      </x:c>
    </x:row>
    <x:row r="95" spans="1:10" x14ac:dyDescent="0.25">
      <x:c r="A95" s="39">
        <x:v>46863</x:v>
      </x:c>
      <x:c r="B95" s="42">
        <x:f t="shared" si="8"/>
        <x:v>2367426.0358333336</x:v>
      </x:c>
      <x:c r="C95" s="41">
        <x:f t="shared" si="10"/>
        <x:v>-32324655.830362618</x:v>
      </x:c>
      <x:c r="D95" s="42">
        <x:f t="shared" si="6"/>
        <x:v>224868.535</x:v>
      </x:c>
      <x:c r="E95" s="41">
        <x:f t="shared" si="12"/>
        <x:v>-8543870.7200000063</x:v>
      </x:c>
      <x:c r="F95" s="18"/>
      <x:c r="G95" s="42">
        <x:f t="shared" si="9"/>
        <x:v>-165810.43416666664</x:v>
      </x:c>
      <x:c r="H95" s="41">
        <x:f t="shared" si="11"/>
        <x:v>-4544422.8022266757</x:v>
      </x:c>
      <x:c r="I95" s="42">
        <x:f t="shared" si="7"/>
        <x:v>-175410.13150000002</x:v>
      </x:c>
      <x:c r="J95" s="41">
        <x:f t="shared" si="13"/>
        <x:v>-1182555.9999999925</x:v>
      </x:c>
    </x:row>
    <x:row r="96" spans="1:10" ht="13" thickBot="1" x14ac:dyDescent="0.3">
      <x:c r="A96" s="39" t="s">
        <x:v>29</x:v>
      </x:c>
      <x:c r="B96" s="49">
        <x:v>337594.95330400002</x:v>
      </x:c>
      <x:c r="C96" s="50">
        <x:f t="shared" si="10"/>
        <x:v>-32662250.783666618</x:v>
      </x:c>
      <x:c r="D96" s="51"/>
      <x:c r="E96" s="52"/>
      <x:c r="F96" s="53"/>
      <x:c r="G96" s="51">
        <x:v>-23644.567318000001</x:v>
      </x:c>
      <x:c r="H96" s="50">
        <x:f t="shared" si="11"/>
        <x:v>-4520778.2349086758</x:v>
      </x:c>
      <x:c r="I96" s="51"/>
      <x:c r="J96" s="50"/>
    </x:row>
    <x:row r="98" spans="1:11" x14ac:dyDescent="0.25">
      <x:c r="A98" s="3" t="s">
        <x:v>30</x:v>
      </x:c>
      <x:c r="B98" s="2">
        <x:f>SUM(B36:B96)</x:f>
        <x:v>142045562.15416658</x:v>
      </x:c>
      <x:c r="D98" s="2">
        <x:f>SUM(D36:D96)</x:f>
        <x:v>13492112.100000007</x:v>
      </x:c>
      <x:c r="E98" s="54">
        <x:f>SUM(B98:D98)</x:f>
        <x:v>155537674.25416657</x:v>
      </x:c>
      <x:c r="G98" s="2">
        <x:f>SUM(G36:G96)</x:f>
        <x:v>-9948626.0458333362</x:v>
      </x:c>
      <x:c r="I98" s="2">
        <x:f>SUM(I36:I96)</x:f>
        <x:v>-10524607.890000006</x:v>
      </x:c>
      <x:c r="J98" s="54">
        <x:f>SUM(G98:I98)</x:f>
        <x:v>-20473233.935833342</x:v>
      </x:c>
    </x:row>
    <x:row r="99" spans="1:11" ht="37.5" x14ac:dyDescent="0.25">
      <x:c r="A99" s="55" t="s">
        <x:v>46</x:v>
      </x:c>
      <x:c r="C99" s="10">
        <x:f>C96</x:f>
        <x:v>-32662250.783666618</x:v>
      </x:c>
      <x:c r="D99" s="10"/>
      <x:c r="E99" s="10">
        <x:f>E95</x:f>
        <x:v>-8543870.7200000063</x:v>
      </x:c>
      <x:c r="F99" s="48">
        <x:f>SUM(C99:E99)</x:f>
        <x:v>-41206121.503666624</x:v>
      </x:c>
      <x:c r="G99" s="10"/>
      <x:c r="H99" s="10">
        <x:f>H96</x:f>
        <x:v>-4520778.2349086758</x:v>
      </x:c>
      <x:c r="I99" s="10"/>
      <x:c r="J99" s="10">
        <x:f>J95</x:f>
        <x:v>-1182555.9999999925</x:v>
      </x:c>
      <x:c r="K99" s="48">
        <x:f>SUM(H99:J99)</x:f>
        <x:v>-5703334.2349086683</x:v>
      </x:c>
    </x:row>
    <x:row r="100" spans="1:11" x14ac:dyDescent="0.25">
      <x:c r="C100" s="2">
        <x:f>C96</x:f>
        <x:v>-32662250.783666618</x:v>
      </x:c>
      <x:c r="E100" s="54">
        <x:f>E95</x:f>
        <x:v>-8543870.7200000063</x:v>
      </x:c>
      <x:c r="F100" s="13">
        <x:f>SUM(C100:E100)</x:f>
        <x:v>-41206121.503666624</x:v>
      </x:c>
      <x:c r="H100" s="54">
        <x:f>H96</x:f>
        <x:v>-4520778.2349086758</x:v>
      </x:c>
      <x:c r="J100" s="54">
        <x:f>J95</x:f>
        <x:v>-1182555.9999999925</x:v>
      </x:c>
      <x:c r="K100" s="13">
        <x:f>SUM(H100:J100)</x:f>
        <x:v>-5703334.2349086683</x:v>
      </x:c>
    </x:row>
    <x:row r="101" spans="1:11" x14ac:dyDescent="0.25">
      <x:c r="F101" s="13"/>
    </x:row>
    <x:row r="102" spans="1:11" x14ac:dyDescent="0.25">
      <x:c r="E102" s="13"/>
      <x:c r="F102" s="13">
        <x:f>C15</x:f>
        <x:v>-41206121.5</x:v>
      </x:c>
      <x:c r="J102" s="13"/>
      <x:c r="K102" s="13">
        <x:f>E15</x:f>
        <x:v>-5703334.2299999995</x:v>
      </x:c>
    </x:row>
  </x:sheetData>
  <x:mergeCells count="3">
    <x:mergeCell ref="M28:N28"/>
    <x:mergeCell ref="B30:E30"/>
    <x:mergeCell ref="G30:J30"/>
  </x:mergeCells>
  <x:printOptions horizontalCentered="1" verticalCentered="1"/>
  <x:pageMargins left="0.2" right="0.2" top="0.5" bottom="0.25" header="0.3" footer="0.3"/>
  <x:pageSetup scale="43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1900-01-01T06:00:00.0000000Z</dcterms:created>
  <dcterms:modified xsi:type="dcterms:W3CDTF">2025-04-30T22:29:01.0000000Z</dcterms:modified>
</coreProperties>
</file>