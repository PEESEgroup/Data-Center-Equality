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2"/>
  <x:workbookPr defaultThemeVersion="166925"/>
  <mc:AlternateContent xmlns:mc="http://schemas.openxmlformats.org/markup-compatibility/2006">
    <mc:Choice Requires="x15">
      <x15ac:absPath xmlns:x15ac="http://schemas.microsoft.com/office/spreadsheetml/2010/11/ac" url="N:\2025 Rate Case\Section II (Test Year Data)\Schedule B (Rate Base)\Sch II-B WP\"/>
    </mc:Choice>
  </mc:AlternateContent>
  <xr:revisionPtr revIDLastSave="0" documentId="13_ncr:1_{C5AFF7A6-835C-4D4B-801E-662837D8EE4B}" xr6:coauthVersionLast="47" xr6:coauthVersionMax="47" xr10:uidLastSave="{00000000-0000-0000-0000-000000000000}"/>
  <x:bookViews>
    <x:workbookView xWindow="-28920" yWindow="-120" windowWidth="29040" windowHeight="15720" xr2:uid="{612A207C-ECF3-4B42-AB93-A518CEB201BC}"/>
  </x:bookViews>
  <x:sheets>
    <x:sheet name="WP II-B-12 LLTF" sheetId="3" r:id="rId1"/>
  </x:sheets>
  <x:definedNames>
    <x:definedName name="NvsAnswerCol">"'[ARLATENT.xls]BU Descriptions'!$A$5:$A$211"</x:definedName>
    <x:definedName name="NvsASD">"V2024-12-31"</x:definedName>
    <x:definedName name="NvsAutoDrillOk">"VN"</x:definedName>
    <x:definedName name="NvsElapsedTime">0.000185185184818693</x:definedName>
    <x:definedName name="NvsEndTime">44512.4267939815</x:definedName>
    <x:definedName name="NvsInstLang">"VENG"</x:definedName>
    <x:definedName name="NvsInstSpec">"%"</x:definedName>
    <x:definedName name="NvsInstSpec1">","</x:definedName>
    <x:definedName name="NvsInstSpec2">","</x:definedName>
    <x:definedName name="NvsInstSpec3">","</x:definedName>
    <x:definedName name="NvsInstSpec4">","</x:definedName>
    <x:definedName name="NvsInstSpec5">","</x:definedName>
    <x:definedName name="NvsInstSpec6">","</x:definedName>
    <x:definedName name="NvsInstSpec7">","</x:definedName>
    <x:definedName name="NvsInstSpec8">","</x:definedName>
    <x:definedName name="NvsInstSpec9">","</x:definedName>
    <x:definedName name="NvsLayoutType">"M3"</x:definedName>
    <x:definedName name="NvsNplSpec">"%,X,RZF..nPloded,CZF.."</x:definedName>
    <x:definedName name="NvsPanelBusUnit">"V"</x:definedName>
    <x:definedName name="NvsPanelEffdt">"V2999-01-01"</x:definedName>
    <x:definedName name="NvsPanelSetid">"VSHARE"</x:definedName>
    <x:definedName name="NvsReqBU">"VX0001"</x:definedName>
    <x:definedName name="NvsReqBUOnly">"VN"</x:definedName>
    <x:definedName name="NvsTransLed">"VN"</x:definedName>
    <x:definedName name="NvsTreeASD">"V2024-12-31"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D28" i="3" l="1"/>
  <x:c r="D8" i="3" l="1"/>
  <x:c r="D12" i="3"/>
  <x:c r="D11" i="3"/>
  <x:c r="B13" i="3"/>
  <x:c r="B15" i="3" s="1"/>
  <x:c r="C13" i="3"/>
  <x:c r="C15" i="3" s="1"/>
  <x:c r="D9" i="3"/>
  <x:c r="D13" i="3" l="1"/>
  <x:c r="D15" i="3" s="1"/>
  <x:c r="D18" i="3" l="1"/>
  <x:c r="G15" i="3" l="1"/>
  <x:c r="F18" i="3"/>
  <x:c r="G18" i="3" s="1"/>
</x:calcChain>
</file>

<file path=xl/sharedStrings.xml><?xml version="1.0" encoding="utf-8"?>
<sst xmlns="http://schemas.openxmlformats.org/spreadsheetml/2006/main" count="53" uniqueCount="53">
  <si>
    <t>0PG47906</t>
  </si>
  <si>
    <t>0PG47239</t>
  </si>
  <si>
    <t>0PT47992</t>
  </si>
  <si>
    <t>0PT49587</t>
  </si>
  <si>
    <t>0PT50029</t>
  </si>
  <si>
    <t xml:space="preserve">(2) a transmission and distribution utility that procures, owns, and operates facilities under Subsection (b)(2) to recover the reasonable and necessary costs of procuring, owning, and operating the facilities, using the rate of return on investment established in the commission's final order in the utility's most recent base rate proceeding. </t>
  </si>
  <si>
    <t>(h) The commission shall permit:</t>
  </si>
  <si>
    <t>(b) Notwithstanding any other provision of this subtitle, a transmission and distribution utility may: (1) lease and operate facilities that provide temporary emergency electric energy to aid in restoring power to the utility's distribution customers during a significant power outage in which: (A) the independent system operator has ordered the utility to shed load; or (B) the utility's distribution facilities are not being fully served by the bulk power system under normal operations; and (2) procure, own, and operate, or enter into a cooperative agreement with other transmission and distribution utilities to procure, own, and operate jointly, transmission and distribution facilities that have a lead time of at least six months and would aid in restoring power to the utility's distribution customers following a significant power outage.  In this section, long lead time facilities may not be electric energy storage equipment or facilities under Chapter 35.</t>
  </si>
  <si>
    <t>Reference PURA Sec. 39.918 including:</t>
  </si>
  <si>
    <t>2023</t>
  </si>
  <si>
    <t>2024</t>
  </si>
  <si>
    <t>Total</t>
  </si>
  <si>
    <t>Total return</t>
  </si>
  <si>
    <t>Oncor Electric Delivery Company LLC</t>
  </si>
  <si>
    <t>At December 31, 2024</t>
  </si>
  <si>
    <t>Page 1 of 1</t>
  </si>
  <si>
    <t>0PT47993</t>
  </si>
  <si>
    <t>0PT49764</t>
  </si>
  <si>
    <t>Cost of purchasing (1) one 345 kV, 100 MVAR, shunt reactor for procuring long lead items over six months under provisions allowed by HB 2483</t>
  </si>
  <si>
    <t>Cost of purchasing (1) one metal-clad, walk-in type, arc resistant switchgear consisting of eight 13.8 kV feeder breakers, four 13.8 kV bus-tie breakers with Oncor's standard Suburban IV relaying protection control and communications equipment</t>
  </si>
  <si>
    <t xml:space="preserve">Cost of purchasing (2) two Suburban 4 control centers for procuring long lead time items over six months </t>
  </si>
  <si>
    <t>Purchase and store 35-138 kV standard double circuit capable tangent steel structures and 6-138 kV standard 138 kV full tension dead ends.</t>
  </si>
  <si>
    <t>Docket No. 46957 (rates through April 30, 2023)</t>
  </si>
  <si>
    <t>Docket No. 53601 (rates effective beginning May 1, 2023)</t>
  </si>
  <si>
    <t>(Order page 14)</t>
  </si>
  <si>
    <t>(Order on Rehearing page 39)</t>
  </si>
  <si>
    <t>Requesting Five-Year Amortization</t>
  </si>
  <si>
    <t>Account 407</t>
  </si>
  <si>
    <r>
      <t xml:space="preserve">16 TAC </t>
    </r>
    <r>
      <rPr>
        <sz val="10"/>
        <rFont val="Calibri"/>
        <family val="2"/>
      </rPr>
      <t>§</t>
    </r>
    <r>
      <rPr>
        <sz val="10"/>
        <rFont val="Arial"/>
        <family val="2"/>
      </rPr>
      <t xml:space="preserve"> 25.59</t>
    </r>
  </si>
  <si>
    <t>Deferred depreciation expense (Account 403)</t>
  </si>
  <si>
    <t>Debt (Account 431)</t>
  </si>
  <si>
    <t>HB 2483 Project</t>
  </si>
  <si>
    <t>TRAN</t>
  </si>
  <si>
    <t>DIST</t>
  </si>
  <si>
    <t>Total To Be Reviewed @ 12-31-2024</t>
  </si>
  <si>
    <t>Deferred ad valorem tax expense (Account 408)</t>
  </si>
  <si>
    <t>In Service</t>
  </si>
  <si>
    <t>Approved return at Docket Nos. 46957 and 53601 rates including related taxes (TGMT &amp; FIT)</t>
  </si>
  <si>
    <t>FERC Account</t>
  </si>
  <si>
    <t>Purchase and store 3 reels of HPFF of 3500 kcmil CU and 3 reels of HPFF 1250 kcmil CU, as well as equipment capable of securing and rotating the reels. The cost also covers 3 universal termination kits and 2 universal splice kits.</t>
  </si>
  <si>
    <t>(based on plant accounts and in-service dates of LLTF projects)</t>
  </si>
  <si>
    <t>Project Description for LLTF with a lead time of at least six months and would aid in restoring power</t>
  </si>
  <si>
    <t>Paving improvements for Liggett yard to accept and store LLTF</t>
  </si>
  <si>
    <t>LLTF storage expansion identified and approved for use at SOSF (rock and civil work).</t>
  </si>
  <si>
    <t>Project Total at 12-31-2024</t>
  </si>
  <si>
    <t>1823201  Regulatory Asset - HB2483 Long-Lead Time Facilities ("LLTF")</t>
  </si>
  <si>
    <t>Sch II-B-12 Line No 10 K&amp;M Adjustment to include return &amp; related taxes</t>
  </si>
  <si>
    <t>Rate of Allowed Return</t>
  </si>
  <si>
    <t>incremental costs deferred incl. allowed return of LLTF</t>
  </si>
  <si>
    <t>Equity (allowed return, non-GAAP)</t>
  </si>
  <si>
    <t>(Sch II-E-4.1 Line No. 39 , Sch II-E-4.1.1 Line No 40)</t>
  </si>
  <si>
    <t>WP/II-B-12 Long-Lead Time Facilities</t>
  </si>
  <si>
    <t>Sponsor:  W. Alan Ledbetter, R. Prachyl, &amp; Coler D. Snelleman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</si>
</sst>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0"/>
      <name val="Arial"/>
      <family val="2"/>
    </font>
    <font>
      <sz val="11"/>
      <color theme="1"/>
      <name val="Calibri"/>
      <family val="2"/>
      <scheme val="minor"/>
    </font>
    <font>
      <sz val="11"/>
      <color indexed="8"/>
      <name val="Calibri"/>
      <family val="2"/>
      <scheme val="minor"/>
    </font>
    <font>
      <sz val="10"/>
      <color indexed="8"/>
      <name val="Arial"/>
      <family val="2"/>
    </font>
    <font>
      <sz val="10"/>
      <name val="Calibri"/>
      <family val="2"/>
    </font>
    <font>
      <b/>
      <sz val="10"/>
      <name val="Arial"/>
      <family val="2"/>
    </font>
    <font>
      <u val="singleAccounting"/>
      <sz val="10"/>
      <name val="Arial"/>
      <family val="2"/>
    </font>
    <font>
      <u/>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9" fontId="2" fillId="0" borderId="0" applyFont="0" applyFill="0" applyBorder="0" applyAlignment="0" applyProtection="0"/>
  </cellStyleXfs>
  <cellXfs count="32">
    <xf numFmtId="0" fontId="0" fillId="0" borderId="0" xfId="0"/>
    <xf numFmtId="44" fontId="0" fillId="0" borderId="0" xfId="1" applyFont="1"/>
    <xf numFmtId="44" fontId="0" fillId="0" borderId="1" xfId="1" quotePrefix="1" applyFont="1" applyBorder="1" applyAlignment="1">
      <alignment horizontal="center"/>
    </xf>
    <xf numFmtId="44" fontId="0" fillId="0" borderId="1" xfId="1" applyFont="1" applyBorder="1"/>
    <xf numFmtId="10" fontId="0" fillId="0" borderId="0" xfId="2" applyNumberFormat="1" applyFont="1"/>
    <xf numFmtId="0" fontId="0" fillId="0" borderId="0" xfId="0" applyFont="1"/>
    <xf numFmtId="0" fontId="0" fillId="0" borderId="0" xfId="0" applyFont="1" applyAlignment="1">
      <alignment horizontal="right"/>
    </xf>
    <xf numFmtId="0" fontId="0" fillId="0" borderId="0" xfId="0" applyFont="1" applyAlignment="1">
      <alignment wrapText="1"/>
    </xf>
    <xf numFmtId="0" fontId="0" fillId="0" borderId="0" xfId="0" applyFont="1" applyAlignment="1">
      <alignment horizontal="left" indent="1"/>
    </xf>
    <xf numFmtId="44" fontId="0" fillId="0" borderId="0" xfId="1" applyFont="1" applyFill="1" applyBorder="1" applyAlignment="1">
      <alignment horizontal="center"/>
    </xf>
    <xf numFmtId="0" fontId="5" fillId="0" borderId="0" xfId="0" applyFont="1"/>
    <xf numFmtId="44" fontId="0" fillId="0" borderId="0" xfId="1" applyFont="1" applyAlignment="1">
      <alignment horizontal="center"/>
    </xf>
    <xf numFmtId="0" fontId="0" fillId="0" borderId="0" xfId="0" applyFont="1" applyAlignment="1">
      <alignment horizontal="center"/>
    </xf>
    <xf numFmtId="44" fontId="6" fillId="0" borderId="0" xfId="1" applyFont="1" applyBorder="1" applyAlignment="1">
      <alignment horizontal="center"/>
    </xf>
    <xf numFmtId="0" fontId="7" fillId="0" borderId="0" xfId="0" applyFont="1" applyBorder="1" applyAlignment="1">
      <alignment horizontal="left"/>
    </xf>
    <xf numFmtId="0" fontId="0" fillId="0" borderId="0" xfId="1" applyNumberFormat="1" applyFont="1" applyAlignment="1">
      <alignment horizontal="center"/>
    </xf>
    <xf numFmtId="3" fontId="0" fillId="0" borderId="0" xfId="1" applyNumberFormat="1" applyFont="1" applyAlignment="1">
      <alignment horizontal="center"/>
    </xf>
    <xf numFmtId="44" fontId="0" fillId="0" borderId="0" xfId="0" applyNumberFormat="1" applyFont="1"/>
    <xf numFmtId="0" fontId="7" fillId="0" borderId="0" xfId="0" applyFont="1" applyAlignment="1">
      <alignment horizontal="center"/>
    </xf>
    <xf numFmtId="0" fontId="0" fillId="0" borderId="0" xfId="0" applyFont="1" applyAlignment="1">
      <alignment horizontal="left" indent="2"/>
    </xf>
    <xf numFmtId="0" fontId="0" fillId="0" borderId="0" xfId="0" applyFont="1" applyFill="1"/>
    <xf numFmtId="14" fontId="3" fillId="0" borderId="0" xfId="0" applyNumberFormat="1" applyFont="1" applyAlignment="1">
      <alignment horizontal="center"/>
    </xf>
    <xf numFmtId="14" fontId="0" fillId="0" borderId="0" xfId="1" applyNumberFormat="1" applyFont="1" applyAlignment="1">
      <alignment horizontal="center"/>
    </xf>
    <xf numFmtId="44" fontId="6" fillId="0" borderId="0" xfId="1" applyFont="1" applyAlignment="1">
      <alignment horizontal="center"/>
    </xf>
    <xf numFmtId="44" fontId="0" fillId="0" borderId="0" xfId="1" applyFont="1" applyAlignment="1">
      <alignment wrapText="1"/>
    </xf>
    <xf numFmtId="0" fontId="0" fillId="0" borderId="0" xfId="0" applyAlignment="1">
      <alignment wrapText="1"/>
    </xf>
    <xf numFmtId="44" fontId="6" fillId="0" borderId="0" xfId="1" applyFont="1" applyAlignment="1">
      <alignment horizontal="center" wrapText="1"/>
    </xf>
    <xf numFmtId="0" fontId="7" fillId="0" borderId="0" xfId="0" applyFont="1" applyFill="1" applyAlignment="1">
      <alignment horizontal="center"/>
    </xf>
    <xf numFmtId="0" fontId="7" fillId="0" borderId="0" xfId="0" applyFont="1" applyBorder="1" applyAlignment="1">
      <alignment horizontal="right"/>
    </xf>
    <xf numFmtId="0" fontId="0" fillId="0" borderId="0" xfId="0" applyFont="1" applyAlignment="1">
      <alignment wrapText="1"/>
    </xf>
    <xf numFmtId="0" fontId="0" fillId="0" borderId="0" xfId="0" applyAlignment="1">
      <alignment wrapText="1"/>
    </xf>
    <xf numFmtId="44" fontId="0" fillId="0" borderId="0" xfId="1" applyFont="1" applyAlignment="1">
      <alignment wrapText="1"/>
    </xf>
  </cellXfs>
  <cellStyles count="5">
    <cellStyle name="Currency" xfId="1" builtinId="4"/>
    <cellStyle name="Normal" xfId="0" builtinId="0"/>
    <cellStyle name="Normal 2" xfId="3" xr:uid="{A4E1513B-D8B4-4405-9D58-F74B6D9CC8E8}"/>
    <cellStyle name="Percent" xfId="2" builtinId="5"/>
    <cellStyle name="Percent 2" xfId="4" xr:uid="{A9B8AAD4-E223-4633-B83B-013FF34300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1F5B146-36CF-4B7D-8C16-7209769CA09D}" mc:Ignorable="x14ac xr xr2 xr3">
  <x:sheetPr>
    <x:pageSetUpPr fitToPage="1"/>
  </x:sheetPr>
  <x:dimension ref="A1:U41"/>
  <x:sheetViews>
    <x:sheetView tabSelected="1" view="pageBreakPreview" zoomScale="60" zoomScaleNormal="100" workbookViewId="0">
      <x:selection activeCell="A4" sqref="A4"/>
    </x:sheetView>
  </x:sheetViews>
  <x:sheetFormatPr defaultRowHeight="12.5" x14ac:dyDescent="0.25"/>
  <x:cols>
    <x:col min="1" max="1" width="39.453125" style="5" customWidth="1"/>
    <x:col min="2" max="2" width="15" style="1" bestFit="1" customWidth="1"/>
    <x:col min="3" max="3" width="12.6328125" style="1" bestFit="1" customWidth="1"/>
    <x:col min="4" max="4" width="15.81640625" style="5" customWidth="1"/>
    <x:col min="5" max="5" width="8.7265625" style="5"/>
    <x:col min="6" max="7" width="14.26953125" style="5" customWidth="1"/>
    <x:col min="8" max="8" width="12.1796875" style="5" bestFit="1" customWidth="1"/>
    <x:col min="9" max="16384" width="8.7265625" style="5"/>
  </x:cols>
  <x:sheetData>
    <x:row r="1" spans="1:12" ht="13" x14ac:dyDescent="0.3">
      <x:c r="A1" s="10" t="s">
        <x:v>13</x:v>
      </x:c>
      <x:c r="L1" s="6" t="s">
        <x:v>51</x:v>
      </x:c>
    </x:row>
    <x:row r="2" spans="1:12" ht="13" x14ac:dyDescent="0.3">
      <x:c r="A2" s="10" t="s">
        <x:v>45</x:v>
      </x:c>
      <x:c r="L2" s="6" t="s">
        <x:v>15</x:v>
      </x:c>
    </x:row>
    <x:row r="3" spans="1:12" ht="13" x14ac:dyDescent="0.3">
      <x:c r="A3" s="10" t="s">
        <x:v>14</x:v>
      </x:c>
    </x:row>
    <x:row r="4" spans="1:12" ht="13" x14ac:dyDescent="0.3">
      <x:c r="A4" s="10" t="s">
        <x:v>52</x:v>
      </x:c>
    </x:row>
    <x:row r="7" spans="1:12" x14ac:dyDescent="0.25">
      <x:c r="B7" s="2" t="s">
        <x:v>9</x:v>
      </x:c>
      <x:c r="C7" s="2" t="s">
        <x:v>10</x:v>
      </x:c>
      <x:c r="D7" s="2" t="s">
        <x:v>11</x:v>
      </x:c>
      <x:c r="F7" s="5" t="s">
        <x:v>40</x:v>
      </x:c>
      <x:c r="H7" s="9"/>
    </x:row>
    <x:row r="8" spans="1:12" x14ac:dyDescent="0.25">
      <x:c r="A8" s="5" t="s">
        <x:v>29</x:v>
      </x:c>
      <x:c r="B8" s="1">
        <x:v>69839.28</x:v>
      </x:c>
      <x:c r="C8" s="1">
        <x:v>67955.88</x:v>
      </x:c>
      <x:c r="D8" s="1">
        <x:f>SUM(B8:C8)</x:f>
        <x:v>137795.16</x:v>
      </x:c>
    </x:row>
    <x:row r="9" spans="1:12" x14ac:dyDescent="0.25">
      <x:c r="A9" s="5" t="s">
        <x:v>35</x:v>
      </x:c>
      <x:c r="B9" s="1">
        <x:v>22784.519999999997</x:v>
      </x:c>
      <x:c r="C9" s="1">
        <x:v>23282.539999999994</x:v>
      </x:c>
      <x:c r="D9" s="1">
        <x:f t="shared" ref="D9:D12" si="0">SUM(B9:C9)</x:f>
        <x:v>46067.05999999999</x:v>
      </x:c>
    </x:row>
    <x:row r="10" spans="1:12" ht="37.5" x14ac:dyDescent="0.25">
      <x:c r="A10" s="7" t="s">
        <x:v>37</x:v>
      </x:c>
      <x:c r="D10" s="1"/>
    </x:row>
    <x:row r="11" spans="1:12" x14ac:dyDescent="0.25">
      <x:c r="A11" s="8" t="s">
        <x:v>30</x:v>
      </x:c>
      <x:c r="B11" s="1">
        <x:v>53763.25</x:v>
      </x:c>
      <x:c r="C11" s="1">
        <x:v>122661.19</x:v>
      </x:c>
      <x:c r="D11" s="1">
        <x:f t="shared" si="0"/>
        <x:v>176424.44</x:v>
      </x:c>
    </x:row>
    <x:row r="12" spans="1:12" x14ac:dyDescent="0.25">
      <x:c r="A12" s="8" t="s">
        <x:v>49</x:v>
      </x:c>
      <x:c r="B12" s="3">
        <x:v>277957.40999999997</x:v>
      </x:c>
      <x:c r="C12" s="3">
        <x:v>59285.910000000149</x:v>
      </x:c>
      <x:c r="D12" s="3">
        <x:f t="shared" si="0"/>
        <x:v>337243.32000000012</x:v>
      </x:c>
      <x:c r="F12" s="5" t="s">
        <x:v>46</x:v>
      </x:c>
    </x:row>
    <x:row r="13" spans="1:12" x14ac:dyDescent="0.25">
      <x:c r="A13" s="19" t="s">
        <x:v>12</x:v>
      </x:c>
      <x:c r="B13" s="3">
        <x:f>SUM(B11:B12)</x:f>
        <x:v>331720.65999999997</x:v>
      </x:c>
      <x:c r="C13" s="3">
        <x:f>SUM(C11:C12)</x:f>
        <x:v>181947.10000000015</x:v>
      </x:c>
      <x:c r="D13" s="3">
        <x:f>SUM(D11:D12)</x:f>
        <x:v>513667.76000000013</x:v>
      </x:c>
      <x:c r="J13" s="9"/>
    </x:row>
    <x:row r="14" spans="1:12" x14ac:dyDescent="0.25">
      <x:c r="F14" s="18" t="s">
        <x:v>32</x:v>
      </x:c>
      <x:c r="G14" s="18" t="s">
        <x:v>33</x:v>
      </x:c>
    </x:row>
    <x:row r="15" spans="1:12" x14ac:dyDescent="0.25">
      <x:c r="A15" s="8" t="s">
        <x:v>34</x:v>
      </x:c>
      <x:c r="B15" s="1">
        <x:f>B13+B9+B8</x:f>
        <x:v>424344.45999999996</x:v>
      </x:c>
      <x:c r="C15" s="1">
        <x:f t="shared" ref="C15:D15" si="1">C13+C9+C8</x:f>
        <x:v>273185.52000000014</x:v>
      </x:c>
      <x:c r="D15" s="1">
        <x:f t="shared" si="1"/>
        <x:v>697529.9800000001</x:v>
      </x:c>
      <x:c r="F15" s="1">
        <x:v>484273.18</x:v>
      </x:c>
      <x:c r="G15" s="17">
        <x:f>D15-F15</x:f>
        <x:v>213256.8000000001</x:v>
      </x:c>
      <x:c r="H15" s="5" t="s">
        <x:v>48</x:v>
      </x:c>
    </x:row>
    <x:row r="17" spans="1:21" x14ac:dyDescent="0.25">
      <x:c r="D17" s="27" t="s">
        <x:v>27</x:v>
      </x:c>
    </x:row>
    <x:row r="18" spans="1:21" x14ac:dyDescent="0.25">
      <x:c r="A18" s="8" t="s">
        <x:v>26</x:v>
      </x:c>
      <x:c r="D18" s="1">
        <x:f>ROUND(D15/5,2)</x:f>
        <x:v>139506</x:v>
      </x:c>
      <x:c r="F18" s="1">
        <x:f>ROUND(F15/5,2)</x:f>
        <x:v>96854.64</x:v>
      </x:c>
      <x:c r="G18" s="17">
        <x:f>D18-F18</x:f>
        <x:v>42651.360000000001</x:v>
      </x:c>
      <x:c r="H18" s="5" t="s">
        <x:v>50</x:v>
      </x:c>
    </x:row>
    <x:row r="19" spans="1:21" x14ac:dyDescent="0.25">
      <x:c r="L19" s="20"/>
      <x:c r="M19" s="20"/>
      <x:c r="N19" s="20"/>
      <x:c r="O19" s="20"/>
      <x:c r="P19" s="20"/>
      <x:c r="Q19" s="20"/>
      <x:c r="R19" s="20"/>
      <x:c r="S19" s="20"/>
      <x:c r="T19" s="20"/>
      <x:c r="U19" s="20"/>
    </x:row>
    <x:row r="20" spans="1:21" ht="28" x14ac:dyDescent="0.4">
      <x:c r="A20" s="13" t="s">
        <x:v>31</x:v>
      </x:c>
      <x:c r="B20" s="23" t="s">
        <x:v>38</x:v>
      </x:c>
      <x:c r="C20" s="23" t="s">
        <x:v>36</x:v>
      </x:c>
      <x:c r="D20" s="26" t="s">
        <x:v>44</x:v>
      </x:c>
      <x:c r="E20" s="14" t="s">
        <x:v>41</x:v>
      </x:c>
      <x:c r="L20" s="20"/>
      <x:c r="M20" s="20"/>
      <x:c r="N20" s="20"/>
      <x:c r="O20" s="20"/>
      <x:c r="P20" s="20"/>
      <x:c r="Q20" s="20"/>
      <x:c r="R20" s="20"/>
      <x:c r="S20" s="20"/>
      <x:c r="T20" s="20"/>
      <x:c r="U20" s="20"/>
    </x:row>
    <x:row r="21" spans="1:21" ht="25.5" customHeight="1" x14ac:dyDescent="0.25">
      <x:c r="A21" s="11" t="s">
        <x:v>2</x:v>
      </x:c>
      <x:c r="B21" s="15">
        <x:v>355</x:v>
      </x:c>
      <x:c r="C21" s="22">
        <x:v>44926</x:v>
      </x:c>
      <x:c r="D21" s="1">
        <x:v>1600778.25</x:v>
      </x:c>
      <x:c r="E21" s="31" t="s">
        <x:v>21</x:v>
      </x:c>
      <x:c r="F21" s="30"/>
      <x:c r="G21" s="30"/>
      <x:c r="H21" s="30"/>
      <x:c r="I21" s="30"/>
      <x:c r="J21" s="30"/>
      <x:c r="K21" s="30"/>
      <x:c r="L21" s="30"/>
      <x:c r="M21" s="20"/>
      <x:c r="N21" s="20"/>
      <x:c r="O21" s="20"/>
      <x:c r="P21" s="20"/>
      <x:c r="Q21" s="20"/>
      <x:c r="R21" s="20"/>
      <x:c r="S21" s="20"/>
      <x:c r="T21" s="20"/>
      <x:c r="U21" s="20"/>
    </x:row>
    <x:row r="22" spans="1:21" ht="39" customHeight="1" x14ac:dyDescent="0.25">
      <x:c r="A22" s="11" t="s">
        <x:v>16</x:v>
      </x:c>
      <x:c r="B22" s="16">
        <x:v>357358</x:v>
      </x:c>
      <x:c r="C22" s="22">
        <x:v>45657</x:v>
      </x:c>
      <x:c r="D22" s="1">
        <x:v>6903483.2999999998</x:v>
      </x:c>
      <x:c r="E22" s="31" t="s">
        <x:v>39</x:v>
      </x:c>
      <x:c r="F22" s="30"/>
      <x:c r="G22" s="30"/>
      <x:c r="H22" s="30"/>
      <x:c r="I22" s="30"/>
      <x:c r="J22" s="30"/>
      <x:c r="K22" s="30"/>
      <x:c r="L22" s="30"/>
      <x:c r="M22" s="20"/>
      <x:c r="N22" s="20"/>
      <x:c r="O22" s="20"/>
      <x:c r="P22" s="20"/>
      <x:c r="Q22" s="20"/>
      <x:c r="R22" s="20"/>
      <x:c r="S22" s="20"/>
      <x:c r="T22" s="20"/>
      <x:c r="U22" s="20"/>
    </x:row>
    <x:row r="23" spans="1:21" ht="26.5" customHeight="1" x14ac:dyDescent="0.25">
      <x:c r="A23" s="11" t="s">
        <x:v>3</x:v>
      </x:c>
      <x:c r="B23" s="15">
        <x:v>362</x:v>
      </x:c>
      <x:c r="C23" s="22">
        <x:v>45291</x:v>
      </x:c>
      <x:c r="D23" s="1">
        <x:v>1364594.5599999998</x:v>
      </x:c>
      <x:c r="E23" s="31" t="s">
        <x:v>20</x:v>
      </x:c>
      <x:c r="F23" s="30"/>
      <x:c r="G23" s="30"/>
      <x:c r="H23" s="30"/>
      <x:c r="I23" s="30"/>
      <x:c r="J23" s="30"/>
      <x:c r="K23" s="30"/>
      <x:c r="L23" s="30"/>
      <x:c r="M23" s="20"/>
      <x:c r="N23" s="20"/>
      <x:c r="O23" s="20"/>
      <x:c r="P23" s="20"/>
      <x:c r="Q23" s="20"/>
      <x:c r="R23" s="20"/>
      <x:c r="S23" s="20"/>
      <x:c r="T23" s="20"/>
      <x:c r="U23" s="20"/>
    </x:row>
    <x:row r="24" spans="1:21" ht="38" customHeight="1" x14ac:dyDescent="0.25">
      <x:c r="A24" s="11" t="s">
        <x:v>17</x:v>
      </x:c>
      <x:c r="B24" s="15">
        <x:v>362</x:v>
      </x:c>
      <x:c r="C24" s="22">
        <x:v>45657</x:v>
      </x:c>
      <x:c r="D24" s="1">
        <x:v>3286912.61</x:v>
      </x:c>
      <x:c r="E24" s="31" t="s">
        <x:v>19</x:v>
      </x:c>
      <x:c r="F24" s="30"/>
      <x:c r="G24" s="30"/>
      <x:c r="H24" s="30"/>
      <x:c r="I24" s="30"/>
      <x:c r="J24" s="30"/>
      <x:c r="K24" s="30"/>
      <x:c r="L24" s="30"/>
      <x:c r="M24" s="20"/>
      <x:c r="N24" s="20"/>
      <x:c r="O24" s="20"/>
      <x:c r="P24" s="20"/>
      <x:c r="Q24" s="20"/>
      <x:c r="R24" s="20"/>
      <x:c r="S24" s="20"/>
      <x:c r="T24" s="20"/>
      <x:c r="U24" s="20"/>
    </x:row>
    <x:row r="25" spans="1:21" ht="25.5" customHeight="1" x14ac:dyDescent="0.25">
      <x:c r="A25" s="11" t="s">
        <x:v>4</x:v>
      </x:c>
      <x:c r="B25" s="15">
        <x:v>362</x:v>
      </x:c>
      <x:c r="C25" s="22">
        <x:v>45291</x:v>
      </x:c>
      <x:c r="D25" s="1">
        <x:v>899048.67</x:v>
      </x:c>
      <x:c r="E25" s="31" t="s">
        <x:v>18</x:v>
      </x:c>
      <x:c r="F25" s="30"/>
      <x:c r="G25" s="30"/>
      <x:c r="H25" s="30"/>
      <x:c r="I25" s="30"/>
      <x:c r="J25" s="30"/>
      <x:c r="K25" s="30"/>
      <x:c r="L25" s="30"/>
      <x:c r="M25" s="20"/>
      <x:c r="N25" s="20"/>
      <x:c r="O25" s="20"/>
      <x:c r="P25" s="20"/>
      <x:c r="Q25" s="20"/>
      <x:c r="R25" s="20"/>
      <x:c r="S25" s="20"/>
      <x:c r="T25" s="20"/>
      <x:c r="U25" s="20"/>
    </x:row>
    <x:row r="26" spans="1:21" x14ac:dyDescent="0.25">
      <x:c r="A26" s="12" t="s">
        <x:v>0</x:v>
      </x:c>
      <x:c r="B26" s="15">
        <x:v>390</x:v>
      </x:c>
      <x:c r="C26" s="21">
        <x:v>44804</x:v>
      </x:c>
      <x:c r="D26" s="1">
        <x:v>595795.84</x:v>
      </x:c>
      <x:c r="E26" s="31" t="s">
        <x:v>42</x:v>
      </x:c>
      <x:c r="F26" s="30"/>
      <x:c r="G26" s="30"/>
      <x:c r="H26" s="30"/>
      <x:c r="I26" s="30"/>
      <x:c r="J26" s="30"/>
      <x:c r="K26" s="30"/>
      <x:c r="L26" s="30"/>
      <x:c r="M26" s="20"/>
      <x:c r="N26" s="20"/>
      <x:c r="O26" s="20"/>
      <x:c r="P26" s="20"/>
      <x:c r="Q26" s="20"/>
      <x:c r="R26" s="20"/>
      <x:c r="S26" s="20"/>
      <x:c r="T26" s="20"/>
      <x:c r="U26" s="20"/>
    </x:row>
    <x:row r="27" spans="1:21" ht="12.5" customHeight="1" x14ac:dyDescent="0.25">
      <x:c r="A27" s="12" t="s">
        <x:v>1</x:v>
      </x:c>
      <x:c r="B27" s="15">
        <x:v>390</x:v>
      </x:c>
      <x:c r="C27" s="21">
        <x:v>44804</x:v>
      </x:c>
      <x:c r="D27" s="3">
        <x:v>649257.25</x:v>
      </x:c>
      <x:c r="E27" s="31" t="s">
        <x:v>43</x:v>
      </x:c>
      <x:c r="F27" s="30"/>
      <x:c r="G27" s="30"/>
      <x:c r="H27" s="30"/>
      <x:c r="I27" s="30"/>
      <x:c r="J27" s="30"/>
      <x:c r="K27" s="30"/>
      <x:c r="L27" s="30"/>
      <x:c r="M27" s="20"/>
      <x:c r="N27" s="20"/>
      <x:c r="O27" s="20"/>
      <x:c r="P27" s="20"/>
      <x:c r="Q27" s="20"/>
      <x:c r="R27" s="20"/>
      <x:c r="S27" s="20"/>
      <x:c r="T27" s="20"/>
      <x:c r="U27" s="20"/>
    </x:row>
    <x:row r="28" spans="1:21" ht="12.5" customHeight="1" x14ac:dyDescent="0.25">
      <x:c r="A28" s="12"/>
      <x:c r="B28" s="15"/>
      <x:c r="C28" s="21"/>
      <x:c r="D28" s="1">
        <x:f>SUM(D21:D27)</x:f>
        <x:v>15299870.48</x:v>
      </x:c>
      <x:c r="E28" s="24"/>
      <x:c r="F28" s="25"/>
      <x:c r="G28" s="25"/>
      <x:c r="H28" s="25"/>
      <x:c r="I28" s="25"/>
      <x:c r="J28" s="25"/>
      <x:c r="K28" s="25"/>
      <x:c r="L28" s="25"/>
      <x:c r="M28" s="20"/>
      <x:c r="N28" s="20"/>
      <x:c r="O28" s="20"/>
      <x:c r="P28" s="20"/>
      <x:c r="Q28" s="20"/>
      <x:c r="R28" s="20"/>
      <x:c r="S28" s="20"/>
      <x:c r="T28" s="20"/>
      <x:c r="U28" s="20"/>
    </x:row>
    <x:row r="29" spans="1:21" x14ac:dyDescent="0.25">
      <x:c r="L29" s="20"/>
      <x:c r="M29" s="20"/>
      <x:c r="N29" s="20"/>
      <x:c r="O29" s="20"/>
      <x:c r="P29" s="20"/>
      <x:c r="Q29" s="20"/>
      <x:c r="R29" s="20"/>
      <x:c r="S29" s="20"/>
      <x:c r="T29" s="20"/>
      <x:c r="U29" s="20"/>
    </x:row>
    <x:row r="30" spans="1:21" x14ac:dyDescent="0.25">
      <x:c r="D30" s="28" t="s">
        <x:v>47</x:v>
      </x:c>
    </x:row>
    <x:row r="31" spans="1:21" x14ac:dyDescent="0.25">
      <x:c r="A31" s="5" t="s">
        <x:v>22</x:v>
      </x:c>
      <x:c r="D31" s="4">
        <x:v>7.4399999999999994E-2</x:v>
      </x:c>
      <x:c r="E31" s="5" t="s">
        <x:v>24</x:v>
      </x:c>
    </x:row>
    <x:row r="32" spans="1:21" x14ac:dyDescent="0.25">
      <x:c r="A32" s="5" t="s">
        <x:v>23</x:v>
      </x:c>
      <x:c r="D32" s="4">
        <x:v>6.6500000000000004E-2</x:v>
      </x:c>
      <x:c r="E32" s="5" t="s">
        <x:v>25</x:v>
      </x:c>
    </x:row>
    <x:row r="35" spans="1:12" x14ac:dyDescent="0.25">
      <x:c r="A35" s="5" t="s">
        <x:v>8</x:v>
      </x:c>
    </x:row>
    <x:row r="36" spans="1:12" ht="62.5" customHeight="1" x14ac:dyDescent="0.25">
      <x:c r="A36" s="29" t="s">
        <x:v>7</x:v>
      </x:c>
      <x:c r="B36" s="29"/>
      <x:c r="C36" s="29"/>
      <x:c r="D36" s="29"/>
      <x:c r="E36" s="29"/>
      <x:c r="F36" s="29"/>
      <x:c r="G36" s="29"/>
      <x:c r="H36" s="29"/>
      <x:c r="I36" s="29"/>
      <x:c r="J36" s="29"/>
      <x:c r="K36" s="30"/>
      <x:c r="L36" s="30"/>
    </x:row>
    <x:row r="38" spans="1:12" x14ac:dyDescent="0.25">
      <x:c r="A38" s="5" t="s">
        <x:v>6</x:v>
      </x:c>
    </x:row>
    <x:row r="39" spans="1:12" ht="26" customHeight="1" x14ac:dyDescent="0.25">
      <x:c r="A39" s="29" t="s">
        <x:v>5</x:v>
      </x:c>
      <x:c r="B39" s="29"/>
      <x:c r="C39" s="29"/>
      <x:c r="D39" s="29"/>
      <x:c r="E39" s="29"/>
      <x:c r="F39" s="29"/>
      <x:c r="G39" s="29"/>
      <x:c r="H39" s="29"/>
      <x:c r="I39" s="29"/>
      <x:c r="J39" s="29"/>
      <x:c r="K39" s="30"/>
      <x:c r="L39" s="30"/>
    </x:row>
    <x:row r="41" spans="1:12" ht="13" x14ac:dyDescent="0.3">
      <x:c r="A41" s="5" t="s">
        <x:v>28</x:v>
      </x:c>
    </x:row>
  </x:sheetData>
  <x:mergeCells count="9">
    <x:mergeCell ref="A36:L36"/>
    <x:mergeCell ref="A39:L39"/>
    <x:mergeCell ref="E26:L26"/>
    <x:mergeCell ref="E27:L27"/>
    <x:mergeCell ref="E21:L21"/>
    <x:mergeCell ref="E22:L22"/>
    <x:mergeCell ref="E23:L23"/>
    <x:mergeCell ref="E24:L24"/>
    <x:mergeCell ref="E25:L25"/>
  </x:mergeCells>
  <x:printOptions horizontalCentered="1"/>
  <x:pageMargins left="0.45" right="0.45" top="1" bottom="0.5" header="0.3" footer="0.3"/>
  <x:pageSetup scale="71" orientation="landscape" r:id="rId1"/>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2025-05-01T18:45:50.0000000Z</dcterms:modified>
</coreProperties>
</file>