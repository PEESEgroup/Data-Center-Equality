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8968E7B6-4DED-4B7F-A631-423DC6446917}" xr6:coauthVersionLast="47" xr6:coauthVersionMax="47" xr10:uidLastSave="{00000000-0000-0000-0000-000000000000}"/>
  <x:bookViews>
    <x:workbookView xWindow="25974" yWindow="-109" windowWidth="26301" windowHeight="14169" xr2:uid="{850028ED-AE1B-4063-AE94-B36264F3C0F2}"/>
  </x:bookViews>
  <x:sheets>
    <x:sheet name="WP II-B-5_02" sheetId="1" r:id="rId1"/>
  </x:sheets>
  <x:externalReferences>
    <x:externalReference r:id="rId2"/>
    <x:externalReference r:id="rId3"/>
  </x:externalReferences>
  <x:definedNames>
    <x:definedName name="_xlnm.Print_Area" localSheetId="0">'WP II-B-5_02'!$C$2:$Q$114</x:definedName>
    <x:definedName name="_xlnm.Print_Titles" localSheetId="0">'WP II-B-5_02'!$A:$B,'WP II-B-5_02'!$2:$2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O10" i="1" l="1"/>
  <x:c r="M47" i="1"/>
  <x:c r="H47" i="1"/>
  <x:c r="G47" i="1"/>
  <x:c r="F47" i="1"/>
  <x:c r="E106" i="1"/>
  <x:c r="E83" i="1"/>
  <x:c r="E10" i="1"/>
  <x:c r="E25" i="1"/>
  <x:c r="E47" i="1"/>
  <x:c r="E58" i="1"/>
  <x:c r="M10" i="1"/>
  <x:c r="H10" i="1"/>
  <x:c r="F10" i="1"/>
  <x:c r="P106" i="1" l="1"/>
  <x:c r="F106" i="1"/>
  <x:c r="P83" i="1"/>
  <x:c r="F83" i="1"/>
  <x:c r="P58" i="1"/>
  <x:c r="F58" i="1"/>
  <x:c r="P25" i="1"/>
  <x:c r="F25" i="1"/>
  <x:c r="P10" i="1"/>
  <x:c r="M48" i="1"/>
  <x:c r="P114" i="1"/>
  <x:c r="G114" i="1"/>
  <x:c r="F114" i="1"/>
  <x:c r="E114" i="1"/>
  <x:c r="P111" i="1"/>
  <x:c r="E111" i="1"/>
  <x:c r="M112" i="1"/>
  <x:c r="M110" i="1"/>
  <x:c r="M111" i="1" s="1"/>
  <x:c r="F107" i="1" l="1"/>
  <x:c r="E107" i="1"/>
  <x:c r="O112" i="1"/>
  <x:c r="O110" i="1"/>
  <x:c r="O111" i="1" l="1"/>
  <x:c r="M87" i="1"/>
  <x:c r="O87" i="1" s="1"/>
  <x:c r="M86" i="1"/>
  <x:c r="O86" i="1" s="1"/>
  <x:c r="M85" i="1"/>
  <x:c r="O85" i="1" s="1"/>
  <x:c r="M84" i="1"/>
  <x:c r="L113" i="1"/>
  <x:c r="M31" i="1"/>
  <x:c r="O31" i="1" s="1"/>
  <x:c r="M30" i="1"/>
  <x:c r="O30" i="1" s="1"/>
  <x:c r="M29" i="1"/>
  <x:c r="O29" i="1" s="1"/>
  <x:c r="M28" i="1"/>
  <x:c r="O28" i="1" s="1"/>
  <x:c r="M27" i="1"/>
  <x:c r="O27" i="1" s="1"/>
  <x:c r="M17" i="1"/>
  <x:c r="O17" i="1" s="1"/>
  <x:c r="M16" i="1"/>
  <x:c r="O16" i="1" s="1"/>
  <x:c r="M15" i="1"/>
  <x:c r="O15" i="1" s="1"/>
  <x:c r="M14" i="1"/>
  <x:c r="O14" i="1" s="1"/>
  <x:c r="M13" i="1"/>
  <x:c r="O13" i="1" s="1"/>
  <x:c r="M12" i="1"/>
  <x:c r="O12" i="1" s="1"/>
  <x:c r="D113" i="1"/>
  <x:c r="D112" i="1"/>
  <x:c r="D110" i="1"/>
  <x:c r="H110" i="1"/>
  <x:c r="Q110" i="1" s="1"/>
  <x:c r="Q111" i="1" s="1"/>
  <x:c r="H112" i="1"/>
  <x:c r="H113" i="1"/>
  <x:c r="H84" i="1"/>
  <x:c r="H85" i="1"/>
  <x:c r="H86" i="1"/>
  <x:c r="H87" i="1"/>
  <x:c r="H88" i="1"/>
  <x:c r="H89" i="1"/>
  <x:c r="H90" i="1"/>
  <x:c r="H91" i="1"/>
  <x:c r="H92" i="1"/>
  <x:c r="H93" i="1"/>
  <x:c r="H94" i="1"/>
  <x:c r="H95" i="1"/>
  <x:c r="H96" i="1"/>
  <x:c r="H97" i="1"/>
  <x:c r="H98" i="1"/>
  <x:c r="H99" i="1"/>
  <x:c r="H100" i="1"/>
  <x:c r="H101" i="1"/>
  <x:c r="H102" i="1"/>
  <x:c r="H103" i="1"/>
  <x:c r="H104" i="1"/>
  <x:c r="H105" i="1"/>
  <x:c r="H59" i="1"/>
  <x:c r="H60" i="1"/>
  <x:c r="H61" i="1"/>
  <x:c r="H62" i="1"/>
  <x:c r="H63" i="1"/>
  <x:c r="H64" i="1"/>
  <x:c r="H65" i="1"/>
  <x:c r="H66" i="1"/>
  <x:c r="H67" i="1"/>
  <x:c r="H68" i="1"/>
  <x:c r="H69" i="1"/>
  <x:c r="H70" i="1"/>
  <x:c r="H71" i="1"/>
  <x:c r="H72" i="1"/>
  <x:c r="H73" i="1"/>
  <x:c r="H74" i="1"/>
  <x:c r="H75" i="1"/>
  <x:c r="H76" i="1"/>
  <x:c r="H77" i="1"/>
  <x:c r="H78" i="1"/>
  <x:c r="H79" i="1"/>
  <x:c r="H80" i="1"/>
  <x:c r="H81" i="1"/>
  <x:c r="H82" i="1"/>
  <x:c r="H48" i="1"/>
  <x:c r="H49" i="1"/>
  <x:c r="H50" i="1"/>
  <x:c r="H51" i="1"/>
  <x:c r="H52" i="1"/>
  <x:c r="H53" i="1"/>
  <x:c r="H54" i="1"/>
  <x:c r="H55" i="1"/>
  <x:c r="H56" i="1"/>
  <x:c r="H57" i="1"/>
  <x:c r="D32" i="1"/>
  <x:c r="D31" i="1"/>
  <x:c r="D30" i="1"/>
  <x:c r="D29" i="1"/>
  <x:c r="D28" i="1"/>
  <x:c r="D27" i="1"/>
  <x:c r="H11" i="1"/>
  <x:c r="H12" i="1"/>
  <x:c r="H13" i="1"/>
  <x:c r="H14" i="1"/>
  <x:c r="H15" i="1"/>
  <x:c r="H16" i="1"/>
  <x:c r="H17" i="1"/>
  <x:c r="H18" i="1"/>
  <x:c r="H19" i="1"/>
  <x:c r="H20" i="1"/>
  <x:c r="H21" i="1"/>
  <x:c r="H22" i="1"/>
  <x:c r="H23" i="1"/>
  <x:c r="H24" i="1"/>
  <x:c r="H3" i="1"/>
  <x:c r="H4" i="1"/>
  <x:c r="H5" i="1"/>
  <x:c r="H6" i="1"/>
  <x:c r="H7" i="1"/>
  <x:c r="H8" i="1"/>
  <x:c r="H9" i="1"/>
  <x:c r="D93" i="1"/>
  <x:c r="D92" i="1"/>
  <x:c r="D91" i="1"/>
  <x:c r="D90" i="1"/>
  <x:c r="D89" i="1"/>
  <x:c r="D88" i="1"/>
  <x:c r="D87" i="1"/>
  <x:c r="D86" i="1"/>
  <x:c r="D85" i="1"/>
  <x:c r="D24" i="1"/>
  <x:c r="D23" i="1"/>
  <x:c r="D22" i="1"/>
  <x:c r="D21" i="1"/>
  <x:c r="D20" i="1"/>
  <x:c r="D19" i="1"/>
  <x:c r="D18" i="1"/>
  <x:c r="D17" i="1"/>
  <x:c r="D16" i="1"/>
  <x:c r="D15" i="1"/>
  <x:c r="D14" i="1"/>
  <x:c r="D13" i="1"/>
  <x:c r="D12" i="1"/>
  <x:c r="D11" i="1"/>
  <x:c r="L6" i="1"/>
  <x:c r="D6" i="1"/>
  <x:c r="L5" i="1"/>
  <x:c r="D5" i="1"/>
  <x:c r="L4" i="1"/>
  <x:c r="D4" i="1"/>
  <x:c r="M81" i="1"/>
  <x:c r="O81" i="1" s="1"/>
  <x:c r="D81" i="1"/>
  <x:c r="D105" i="1"/>
  <x:c r="D104" i="1"/>
  <x:c r="D103" i="1"/>
  <x:c r="D102" i="1"/>
  <x:c r="D101" i="1"/>
  <x:c r="D100" i="1"/>
  <x:c r="D99" i="1"/>
  <x:c r="D98" i="1"/>
  <x:c r="D97" i="1"/>
  <x:c r="D96" i="1"/>
  <x:c r="D95" i="1"/>
  <x:c r="D94" i="1"/>
  <x:c r="D84" i="1"/>
  <x:c r="D82" i="1"/>
  <x:c r="D80" i="1"/>
  <x:c r="D79" i="1"/>
  <x:c r="D78" i="1"/>
  <x:c r="D77" i="1"/>
  <x:c r="D76" i="1"/>
  <x:c r="D75" i="1"/>
  <x:c r="D74" i="1"/>
  <x:c r="D73" i="1"/>
  <x:c r="D72" i="1"/>
  <x:c r="D71" i="1"/>
  <x:c r="D70" i="1"/>
  <x:c r="D69" i="1"/>
  <x:c r="D68" i="1"/>
  <x:c r="D67" i="1"/>
  <x:c r="D66" i="1"/>
  <x:c r="D65" i="1"/>
  <x:c r="D64" i="1"/>
  <x:c r="D63" i="1"/>
  <x:c r="D62" i="1"/>
  <x:c r="D61" i="1"/>
  <x:c r="D60" i="1"/>
  <x:c r="D59" i="1"/>
  <x:c r="D57" i="1"/>
  <x:c r="D56" i="1"/>
  <x:c r="D55" i="1"/>
  <x:c r="D54" i="1"/>
  <x:c r="D53" i="1"/>
  <x:c r="D52" i="1"/>
  <x:c r="D51" i="1"/>
  <x:c r="D50" i="1"/>
  <x:c r="D49" i="1"/>
  <x:c r="D48" i="1"/>
  <x:c r="D46" i="1"/>
  <x:c r="D45" i="1"/>
  <x:c r="D44" i="1"/>
  <x:c r="D43" i="1"/>
  <x:c r="D42" i="1"/>
  <x:c r="D41" i="1"/>
  <x:c r="D40" i="1"/>
  <x:c r="D39" i="1"/>
  <x:c r="D38" i="1"/>
  <x:c r="D37" i="1"/>
  <x:c r="D36" i="1"/>
  <x:c r="D35" i="1"/>
  <x:c r="D34" i="1"/>
  <x:c r="D33" i="1"/>
  <x:c r="D26" i="1"/>
  <x:c r="D9" i="1"/>
  <x:c r="D8" i="1"/>
  <x:c r="D7" i="1"/>
  <x:c r="Q81" i="1" l="1"/>
  <x:c r="H25" i="1"/>
  <x:c r="H58" i="1"/>
  <x:c r="H83" i="1"/>
  <x:c r="H106" i="1"/>
  <x:c r="O84" i="1"/>
  <x:c r="M113" i="1"/>
  <x:c r="M114" i="1" s="1"/>
  <x:c r="H114" i="1"/>
  <x:c r="Q112" i="1"/>
  <x:c r="Q84" i="1"/>
  <x:c r="Q85" i="1"/>
  <x:c r="Q86" i="1"/>
  <x:c r="Q87" i="1"/>
  <x:c r="Q27" i="1"/>
  <x:c r="P27" i="1"/>
  <x:c r="Q28" i="1"/>
  <x:c r="P28" i="1"/>
  <x:c r="Q29" i="1"/>
  <x:c r="P29" i="1"/>
  <x:c r="Q30" i="1"/>
  <x:c r="P30" i="1"/>
  <x:c r="Q31" i="1"/>
  <x:c r="P31" i="1"/>
  <x:c r="Q12" i="1"/>
  <x:c r="Q13" i="1"/>
  <x:c r="Q14" i="1"/>
  <x:c r="Q15" i="1"/>
  <x:c r="Q16" i="1"/>
  <x:c r="Q17" i="1"/>
  <x:c r="M4" i="1"/>
  <x:c r="O4" i="1" s="1"/>
  <x:c r="Q4" i="1" s="1"/>
  <x:c r="M5" i="1"/>
  <x:c r="O5" i="1" s="1"/>
  <x:c r="Q5" i="1" s="1"/>
  <x:c r="M6" i="1"/>
  <x:c r="O6" i="1" s="1"/>
  <x:c r="Q6" i="1" s="1"/>
  <x:c r="D3" i="1"/>
  <x:c r="O113" i="1" l="1"/>
  <x:c r="Q113" i="1" s="1"/>
  <x:c r="Q114" i="1" s="1"/>
  <x:c r="H107" i="1"/>
  <x:c r="O114" i="1" l="1"/>
  <x:c r="M105" i="1"/>
  <x:c r="M104" i="1"/>
  <x:c r="O104" i="1" s="1"/>
  <x:c r="M103" i="1"/>
  <x:c r="O103" i="1" s="1"/>
  <x:c r="M102" i="1"/>
  <x:c r="O102" i="1" s="1"/>
  <x:c r="M101" i="1"/>
  <x:c r="O101" i="1" s="1"/>
  <x:c r="M100" i="1"/>
  <x:c r="O100" i="1" s="1"/>
  <x:c r="M99" i="1"/>
  <x:c r="O99" i="1" s="1"/>
  <x:c r="M98" i="1"/>
  <x:c r="O98" i="1" s="1"/>
  <x:c r="M97" i="1"/>
  <x:c r="O97" i="1" s="1"/>
  <x:c r="M96" i="1"/>
  <x:c r="O96" i="1" s="1"/>
  <x:c r="M95" i="1"/>
  <x:c r="O95" i="1" s="1"/>
  <x:c r="M94" i="1"/>
  <x:c r="O94" i="1" s="1"/>
  <x:c r="M93" i="1"/>
  <x:c r="O93" i="1" s="1"/>
  <x:c r="M92" i="1"/>
  <x:c r="O92" i="1" s="1"/>
  <x:c r="M91" i="1"/>
  <x:c r="O91" i="1" s="1"/>
  <x:c r="M90" i="1"/>
  <x:c r="O90" i="1" s="1"/>
  <x:c r="M89" i="1"/>
  <x:c r="O89" i="1" s="1"/>
  <x:c r="M88" i="1"/>
  <x:c r="M82" i="1"/>
  <x:c r="O82" i="1" s="1"/>
  <x:c r="M80" i="1"/>
  <x:c r="O80" i="1" s="1"/>
  <x:c r="M79" i="1"/>
  <x:c r="O79" i="1" s="1"/>
  <x:c r="M78" i="1"/>
  <x:c r="O78" i="1" s="1"/>
  <x:c r="M77" i="1"/>
  <x:c r="O77" i="1" s="1"/>
  <x:c r="M76" i="1"/>
  <x:c r="O76" i="1" s="1"/>
  <x:c r="M75" i="1"/>
  <x:c r="O75" i="1" s="1"/>
  <x:c r="M74" i="1"/>
  <x:c r="O74" i="1" s="1"/>
  <x:c r="M73" i="1"/>
  <x:c r="O73" i="1" s="1"/>
  <x:c r="M72" i="1"/>
  <x:c r="O72" i="1" s="1"/>
  <x:c r="M71" i="1"/>
  <x:c r="O71" i="1" s="1"/>
  <x:c r="M70" i="1"/>
  <x:c r="O70" i="1" s="1"/>
  <x:c r="M69" i="1"/>
  <x:c r="O69" i="1" s="1"/>
  <x:c r="M68" i="1"/>
  <x:c r="O68" i="1" s="1"/>
  <x:c r="M67" i="1"/>
  <x:c r="O67" i="1" s="1"/>
  <x:c r="M66" i="1"/>
  <x:c r="O66" i="1" s="1"/>
  <x:c r="M65" i="1"/>
  <x:c r="O65" i="1" s="1"/>
  <x:c r="M60" i="1"/>
  <x:c r="O60" i="1" s="1"/>
  <x:c r="M59" i="1"/>
  <x:c r="M57" i="1"/>
  <x:c r="O57" i="1" s="1"/>
  <x:c r="M56" i="1"/>
  <x:c r="O56" i="1" s="1"/>
  <x:c r="M55" i="1"/>
  <x:c r="O55" i="1" s="1"/>
  <x:c r="M54" i="1"/>
  <x:c r="O54" i="1" s="1"/>
  <x:c r="M53" i="1"/>
  <x:c r="O53" i="1" s="1"/>
  <x:c r="M52" i="1"/>
  <x:c r="O52" i="1" s="1"/>
  <x:c r="M51" i="1"/>
  <x:c r="O51" i="1" s="1"/>
  <x:c r="M50" i="1"/>
  <x:c r="O50" i="1" s="1"/>
  <x:c r="M49" i="1"/>
  <x:c r="M46" i="1"/>
  <x:c r="O46" i="1" s="1"/>
  <x:c r="M45" i="1"/>
  <x:c r="O45" i="1" s="1"/>
  <x:c r="M44" i="1"/>
  <x:c r="O44" i="1" s="1"/>
  <x:c r="P44" i="1" s="1"/>
  <x:c r="M43" i="1"/>
  <x:c r="O43" i="1" s="1"/>
  <x:c r="M42" i="1"/>
  <x:c r="O42" i="1" s="1"/>
  <x:c r="M41" i="1"/>
  <x:c r="O41" i="1" s="1"/>
  <x:c r="M40" i="1"/>
  <x:c r="O40" i="1" s="1"/>
  <x:c r="M39" i="1"/>
  <x:c r="O39" i="1" s="1"/>
  <x:c r="M38" i="1"/>
  <x:c r="O38" i="1" s="1"/>
  <x:c r="M37" i="1"/>
  <x:c r="O37" i="1" s="1"/>
  <x:c r="M36" i="1"/>
  <x:c r="O36" i="1" s="1"/>
  <x:c r="M35" i="1"/>
  <x:c r="O35" i="1" s="1"/>
  <x:c r="M34" i="1"/>
  <x:c r="O34" i="1" s="1"/>
  <x:c r="M33" i="1"/>
  <x:c r="O33" i="1" s="1"/>
  <x:c r="M32" i="1"/>
  <x:c r="O32" i="1" s="1"/>
  <x:c r="P32" i="1" s="1"/>
  <x:c r="M26" i="1"/>
  <x:c r="M24" i="1"/>
  <x:c r="O24" i="1" s="1"/>
  <x:c r="M23" i="1"/>
  <x:c r="O23" i="1" s="1"/>
  <x:c r="M22" i="1"/>
  <x:c r="O22" i="1" s="1"/>
  <x:c r="M21" i="1"/>
  <x:c r="O21" i="1" s="1"/>
  <x:c r="M20" i="1"/>
  <x:c r="O20" i="1" s="1"/>
  <x:c r="M19" i="1"/>
  <x:c r="O19" i="1" s="1"/>
  <x:c r="M18" i="1"/>
  <x:c r="O18" i="1" s="1"/>
  <x:c r="M11" i="1"/>
  <x:c r="M9" i="1"/>
  <x:c r="O9" i="1" s="1"/>
  <x:c r="M8" i="1"/>
  <x:c r="O8" i="1" s="1"/>
  <x:c r="M7" i="1"/>
  <x:c r="O7" i="1" s="1"/>
  <x:c r="L3" i="1"/>
  <x:c r="M3" i="1" s="1"/>
  <x:c r="M83" i="1" l="1"/>
  <x:c r="M25" i="1"/>
  <x:c r="O49" i="1"/>
  <x:c r="M58" i="1"/>
  <x:c r="O88" i="1"/>
  <x:c r="M106" i="1"/>
  <x:c r="O26" i="1"/>
  <x:c r="O47" i="1" s="1"/>
  <x:c r="O11" i="1"/>
  <x:c r="O25" i="1" s="1"/>
  <x:c r="O48" i="1"/>
  <x:c r="O58" i="1" s="1"/>
  <x:c r="O59" i="1"/>
  <x:c r="O83" i="1" l="1"/>
  <x:c r="Q59" i="1"/>
  <x:c r="M107" i="1"/>
  <x:c r="O3" i="1"/>
  <x:c r="Q7" i="1"/>
  <x:c r="Q8" i="1"/>
  <x:c r="Q9" i="1"/>
  <x:c r="Q11" i="1"/>
  <x:c r="Q18" i="1"/>
  <x:c r="Q19" i="1"/>
  <x:c r="Q20" i="1"/>
  <x:c r="Q21" i="1"/>
  <x:c r="Q22" i="1"/>
  <x:c r="Q23" i="1"/>
  <x:c r="Q24" i="1"/>
  <x:c r="P26" i="1"/>
  <x:c r="Q26" i="1"/>
  <x:c r="P34" i="1"/>
  <x:c r="Q34" i="1"/>
  <x:c r="P36" i="1"/>
  <x:c r="P38" i="1"/>
  <x:c r="P40" i="1"/>
  <x:c r="P42" i="1"/>
  <x:c r="Q44" i="1"/>
  <x:c r="P45" i="1"/>
  <x:c r="Q60" i="1"/>
  <x:c r="Q65" i="1"/>
  <x:c r="Q66" i="1"/>
  <x:c r="Q67" i="1"/>
  <x:c r="Q68" i="1"/>
  <x:c r="Q69" i="1"/>
  <x:c r="Q70" i="1"/>
  <x:c r="Q71" i="1"/>
  <x:c r="Q72" i="1"/>
  <x:c r="Q73" i="1"/>
  <x:c r="Q74" i="1"/>
  <x:c r="Q75" i="1"/>
  <x:c r="Q76" i="1"/>
  <x:c r="Q77" i="1"/>
  <x:c r="Q78" i="1"/>
  <x:c r="Q79" i="1"/>
  <x:c r="Q80" i="1"/>
  <x:c r="Q82" i="1"/>
  <x:c r="Q88" i="1"/>
  <x:c r="Q89" i="1"/>
  <x:c r="Q90" i="1"/>
  <x:c r="Q91" i="1"/>
  <x:c r="Q92" i="1"/>
  <x:c r="Q93" i="1"/>
  <x:c r="Q94" i="1"/>
  <x:c r="Q95" i="1"/>
  <x:c r="Q96" i="1"/>
  <x:c r="Q97" i="1"/>
  <x:c r="Q98" i="1"/>
  <x:c r="Q99" i="1"/>
  <x:c r="Q100" i="1"/>
  <x:c r="Q101" i="1"/>
  <x:c r="Q102" i="1"/>
  <x:c r="Q103" i="1"/>
  <x:c r="Q104" i="1"/>
  <x:c r="O105" i="1"/>
  <x:c r="O106" i="1" s="1"/>
  <x:c r="Q83" i="1" l="1"/>
  <x:c r="Q25" i="1"/>
  <x:c r="O107" i="1"/>
  <x:c r="Q105" i="1"/>
  <x:c r="Q106" i="1" s="1"/>
  <x:c r="Q45" i="1"/>
  <x:c r="Q42" i="1"/>
  <x:c r="Q38" i="1"/>
  <x:c r="Q40" i="1"/>
  <x:c r="Q36" i="1"/>
  <x:c r="P46" i="1"/>
  <x:c r="Q46" i="1"/>
  <x:c r="P43" i="1"/>
  <x:c r="Q43" i="1"/>
  <x:c r="P41" i="1"/>
  <x:c r="Q41" i="1"/>
  <x:c r="P39" i="1"/>
  <x:c r="Q39" i="1"/>
  <x:c r="P37" i="1"/>
  <x:c r="Q37" i="1"/>
  <x:c r="P35" i="1"/>
  <x:c r="Q35" i="1"/>
  <x:c r="P33" i="1"/>
  <x:c r="Q33" i="1"/>
  <x:c r="Q3" i="1"/>
  <x:c r="Q57" i="1"/>
  <x:c r="Q56" i="1"/>
  <x:c r="Q55" i="1"/>
  <x:c r="Q54" i="1"/>
  <x:c r="Q53" i="1"/>
  <x:c r="Q52" i="1"/>
  <x:c r="Q51" i="1"/>
  <x:c r="Q50" i="1"/>
  <x:c r="Q49" i="1"/>
  <x:c r="Q48" i="1"/>
  <x:c r="Q32" i="1"/>
  <x:c r="Q58" i="1" l="1"/>
  <x:c r="Q47" i="1"/>
  <x:c r="Q10" i="1"/>
  <x:c r="Q107" i="1" s="1"/>
  <x:c r="P47" i="1"/>
  <x:c r="P107" i="1" s="1"/>
</x:calcChain>
</file>

<file path=xl/sharedStrings.xml><?xml version="1.0" encoding="utf-8"?>
<sst xmlns="http://schemas.openxmlformats.org/spreadsheetml/2006/main" count="136" uniqueCount="34">
  <si>
    <t>350</t>
  </si>
  <si>
    <t>352</t>
  </si>
  <si>
    <t>352 SVC</t>
  </si>
  <si>
    <t>353</t>
  </si>
  <si>
    <t>353 SVC</t>
  </si>
  <si>
    <t>354</t>
  </si>
  <si>
    <t>355</t>
  </si>
  <si>
    <t>356</t>
  </si>
  <si>
    <t xml:space="preserve">Plant </t>
  </si>
  <si>
    <t>NTU DIST</t>
  </si>
  <si>
    <t>NTU TRN</t>
  </si>
  <si>
    <t>ASL</t>
  </si>
  <si>
    <t>RL</t>
  </si>
  <si>
    <t>Net Salvage</t>
  </si>
  <si>
    <t>Theo Res</t>
  </si>
  <si>
    <t>Alloc Reserve</t>
  </si>
  <si>
    <t xml:space="preserve">NTU DIST </t>
  </si>
  <si>
    <t>350 Total</t>
  </si>
  <si>
    <t>352 Total</t>
  </si>
  <si>
    <t>354 Total</t>
  </si>
  <si>
    <t>355 Total</t>
  </si>
  <si>
    <t>356 Total</t>
  </si>
  <si>
    <t>Grand Total</t>
  </si>
  <si>
    <t xml:space="preserve"> </t>
  </si>
  <si>
    <t>Vintage</t>
  </si>
  <si>
    <t>DC Tie</t>
  </si>
  <si>
    <t>Proration</t>
  </si>
  <si>
    <t>Total Plant</t>
  </si>
  <si>
    <t>Plant Functionalization</t>
  </si>
  <si>
    <t>Reserve Functionalization</t>
  </si>
  <si>
    <t>Age</t>
  </si>
  <si>
    <t>353 Total</t>
  </si>
  <si>
    <t>352 SVC Total</t>
  </si>
  <si>
    <t>353 SVC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</si>
</sst>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">
    <xf numFmtId="0" fontId="0" fillId="0" borderId="0" xfId="0"/>
    <xf numFmtId="39" fontId="1" fillId="0" borderId="0" xfId="0" applyNumberFormat="1" applyFont="1"/>
    <xf numFmtId="0" fontId="2" fillId="0" borderId="0" xfId="0" applyFont="1"/>
    <xf numFmtId="39" fontId="3" fillId="0" borderId="0" xfId="0" applyNumberFormat="1" applyFont="1"/>
    <xf numFmtId="0" fontId="1" fillId="0" borderId="0" xfId="0" applyNumberFormat="1" applyFont="1" applyFill="1"/>
    <xf numFmtId="39" fontId="1" fillId="0" borderId="0" xfId="0" applyNumberFormat="1" applyFont="1" applyFill="1"/>
    <xf numFmtId="10" fontId="1" fillId="0" borderId="0" xfId="0" applyNumberFormat="1" applyFont="1" applyFill="1"/>
    <xf numFmtId="0" fontId="3" fillId="0" borderId="0" xfId="0" applyNumberFormat="1" applyFont="1" applyFill="1"/>
    <xf numFmtId="39" fontId="3" fillId="0" borderId="0" xfId="0" applyNumberFormat="1" applyFont="1" applyFill="1"/>
    <xf numFmtId="10" fontId="3" fillId="0" borderId="0" xfId="0" applyNumberFormat="1" applyFont="1" applyFill="1"/>
    <xf numFmtId="43" fontId="1" fillId="0" borderId="0" xfId="1" applyFont="1" applyFill="1"/>
    <xf numFmtId="43" fontId="3" fillId="0" borderId="0" xfId="1" applyFont="1" applyFill="1"/>
    <xf numFmtId="39" fontId="3" fillId="0" borderId="1" xfId="0" applyNumberFormat="1" applyFont="1" applyFill="1" applyBorder="1" applyAlignment="1">
      <alignment horizontal="center"/>
    </xf>
    <xf numFmtId="39" fontId="3" fillId="0" borderId="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externalLink" Target="externalLinks/externalLink2.xml" Id="rId3" /><Relationship Type="http://schemas.openxmlformats.org/officeDocument/2006/relationships/calcChain" Target="calcChain.xml" Id="rId7" /><Relationship Type="http://schemas.openxmlformats.org/officeDocument/2006/relationships/externalLink" Target="externalLinks/externalLink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\TXU\Oncor%202022\Accrual\Copy%20of%20Accrual%20Computation%202021%20v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\TXU\Oncor%202025\Accrual\Accrual%20Computation%202024%20v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rual Rate "/>
      <sheetName val="Comparison"/>
      <sheetName val="Parameters"/>
      <sheetName val="Rate Split"/>
      <sheetName val="Reserve Split"/>
      <sheetName val="Intanbile TRN"/>
      <sheetName val="Intangible ESD"/>
      <sheetName val="Transmission Theo Res"/>
      <sheetName val="Distribution Substation"/>
      <sheetName val="Distribution "/>
      <sheetName val="Gemeral Depr "/>
    </sheetNames>
    <sheetDataSet>
      <sheetData sheetId="0" refreshError="1"/>
      <sheetData sheetId="1" refreshError="1"/>
      <sheetData sheetId="2" refreshError="1">
        <row r="17">
          <cell r="R1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rual Rate "/>
      <sheetName val="Comparison"/>
      <sheetName val="Parameters"/>
      <sheetName val="Rate Split"/>
      <sheetName val="Reserve Split"/>
      <sheetName val="Plant Recon"/>
      <sheetName val="Intangible ESD"/>
      <sheetName val="Transmission Theo Res"/>
      <sheetName val="Distribution Substation"/>
      <sheetName val="Distribution "/>
      <sheetName val="Gemeral Depr "/>
      <sheetName val="898 Assets"/>
    </sheetNames>
    <sheetDataSet>
      <sheetData sheetId="0"/>
      <sheetData sheetId="1"/>
      <sheetData sheetId="2">
        <row r="47">
          <cell r="K47">
            <v>-0.2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A8064A5-2338-41AB-9F56-8FAB94DA6B47}" mc:Ignorable="x14ac xr xr2 xr3">
  <x:sheetPr>
    <x:pageSetUpPr fitToPage="1"/>
  </x:sheetPr>
  <x:dimension ref="A1:Q115"/>
  <x:sheetViews>
    <x:sheetView tabSelected="1" workbookViewId="0">
      <x:pane xSplit="2" ySplit="2" topLeftCell="C3" activePane="bottomRight" state="frozen"/>
      <x:selection pane="topRight" activeCell="C1" sqref="C1"/>
      <x:selection pane="bottomLeft" activeCell="A3" sqref="A3"/>
      <x:selection pane="bottomRight" activeCell="C3" sqref="C3"/>
    </x:sheetView>
  </x:sheetViews>
  <x:sheetFormatPr defaultRowHeight="15.65" outlineLevelRow="2" x14ac:dyDescent="0.25"/>
  <x:cols>
    <x:col min="1" max="1" width="12.75" bestFit="1" customWidth="1"/>
    <x:col min="2" max="2" width="10.625" style="1" bestFit="1" customWidth="1"/>
    <x:col min="3" max="3" width="9.625" style="4" bestFit="1" customWidth="1"/>
    <x:col min="4" max="4" width="35" style="10" customWidth="1"/>
    <x:col min="5" max="5" width="20" style="5" customWidth="1"/>
    <x:col min="6" max="6" width="19.875" style="5" customWidth="1"/>
    <x:col min="7" max="7" width="19.75" style="5" customWidth="1"/>
    <x:col min="8" max="8" width="20" style="5" customWidth="1"/>
    <x:col min="9" max="9" width="7.125" style="5" bestFit="1" customWidth="1"/>
    <x:col min="10" max="10" width="9" style="5" bestFit="1" customWidth="1"/>
    <x:col min="11" max="11" width="7.75" style="5" bestFit="1" customWidth="1"/>
    <x:col min="12" max="12" width="14.375" style="6" bestFit="1" customWidth="1"/>
    <x:col min="13" max="13" width="18.875" style="5" bestFit="1" customWidth="1"/>
    <x:col min="14" max="14" width="11.625" style="5" bestFit="1" customWidth="1"/>
    <x:col min="15" max="15" width="18.875" style="5" bestFit="1" customWidth="1"/>
    <x:col min="16" max="16" width="21.875" style="5" customWidth="1"/>
    <x:col min="17" max="17" width="18.125" style="5" bestFit="1" customWidth="1"/>
  </x:cols>
  <x:sheetData>
    <x:row r="1" spans="2:17" x14ac:dyDescent="0.25">
      <x:c r="G1" s="12" t="s">
        <x:v>28</x:v>
      </x:c>
      <x:c r="H1" s="13"/>
      <x:c r="P1" s="12" t="s">
        <x:v>29</x:v>
      </x:c>
      <x:c r="Q1" s="13"/>
    </x:row>
    <x:row r="2" spans="2:17" s="2" customFormat="1" x14ac:dyDescent="0.25">
      <x:c r="B2" s="3" t="s">
        <x:v>8</x:v>
      </x:c>
      <x:c r="C2" s="7" t="s">
        <x:v>24</x:v>
      </x:c>
      <x:c r="D2" s="11" t="s">
        <x:v>30</x:v>
      </x:c>
      <x:c r="E2" s="8" t="s">
        <x:v>27</x:v>
      </x:c>
      <x:c r="F2" s="8" t="s">
        <x:v>25</x:v>
      </x:c>
      <x:c r="G2" s="8" t="s">
        <x:v>9</x:v>
      </x:c>
      <x:c r="H2" s="8" t="s">
        <x:v>10</x:v>
      </x:c>
      <x:c r="I2" s="8"/>
      <x:c r="J2" s="8" t="s">
        <x:v>11</x:v>
      </x:c>
      <x:c r="K2" s="8" t="s">
        <x:v>12</x:v>
      </x:c>
      <x:c r="L2" s="9" t="s">
        <x:v>13</x:v>
      </x:c>
      <x:c r="M2" s="8" t="s">
        <x:v>14</x:v>
      </x:c>
      <x:c r="N2" s="8" t="s">
        <x:v>26</x:v>
      </x:c>
      <x:c r="O2" s="8" t="s">
        <x:v>15</x:v>
      </x:c>
      <x:c r="P2" s="8" t="s">
        <x:v>16</x:v>
      </x:c>
      <x:c r="Q2" s="8" t="s">
        <x:v>10</x:v>
      </x:c>
    </x:row>
    <x:row r="3" spans="2:17" outlineLevel="2" x14ac:dyDescent="0.25">
      <x:c r="B3" s="1" t="s">
        <x:v>0</x:v>
      </x:c>
      <x:c r="C3" s="4">
        <x:v>2024</x:v>
      </x:c>
      <x:c r="D3" s="10">
        <x:f t="shared" ref="D3:D9" si="0">2024.5-C3</x:f>
        <x:v>0.5</x:v>
      </x:c>
      <x:c r="E3" s="5">
        <x:v>8817.6299999999992</x:v>
      </x:c>
      <x:c r="H3" s="5">
        <x:f t="shared" ref="H3:H9" si="1">E3</x:f>
        <x:v>8817.6299999999992</x:v>
      </x:c>
      <x:c r="J3" s="5">
        <x:v>100</x:v>
      </x:c>
      <x:c r="K3" s="5">
        <x:v>95.504812000000001</x:v>
      </x:c>
      <x:c r="L3" s="6">
        <x:f>[1]Parameters!$R$17</x:f>
        <x:v>0</x:v>
      </x:c>
      <x:c r="M3" s="5">
        <x:f t="shared" ref="M3:M9" si="2">(1-L3)*(1-K3/J3)*E3</x:f>
        <x:v>396.36904564439948</x:v>
      </x:c>
      <x:c r="N3" s="5">
        <x:v>1.187150241151725</x:v>
      </x:c>
      <x:c r="O3" s="5">
        <x:f t="shared" ref="O3:O9" si="3">IF((E3*(1-L3)-M3*N3)&lt;0,E3*(1-L3),M3*N3)</x:f>
        <x:v>470.54960812182793</x:v>
      </x:c>
      <x:c r="Q3" s="5">
        <x:f t="shared" ref="Q3:Q9" si="4">+H3/E3*O3</x:f>
        <x:v>470.54960812182793</x:v>
      </x:c>
    </x:row>
    <x:row r="4" spans="2:17" outlineLevel="2" x14ac:dyDescent="0.25">
      <x:c r="B4" s="1" t="s">
        <x:v>0</x:v>
      </x:c>
      <x:c r="C4" s="4">
        <x:v>2023</x:v>
      </x:c>
      <x:c r="D4" s="10">
        <x:f t="shared" si="0"/>
        <x:v>1.5</x:v>
      </x:c>
      <x:c r="E4" s="5">
        <x:v>8620.3799999999992</x:v>
      </x:c>
      <x:c r="H4" s="5">
        <x:f t="shared" si="1"/>
        <x:v>8620.3799999999992</x:v>
      </x:c>
      <x:c r="J4" s="5">
        <x:v>100</x:v>
      </x:c>
      <x:c r="K4" s="5">
        <x:v>95.504812000000001</x:v>
      </x:c>
      <x:c r="L4" s="6">
        <x:f>[1]Parameters!$R$17</x:f>
        <x:v>0</x:v>
      </x:c>
      <x:c r="M4" s="5">
        <x:f t="shared" si="2"/>
        <x:v>387.5022873143995</x:v>
      </x:c>
      <x:c r="N4" s="5">
        <x:v>1.187150241151725</x:v>
      </x:c>
      <x:c r="O4" s="5">
        <x:f t="shared" si="3"/>
        <x:v>460.0234338321344</x:v>
      </x:c>
      <x:c r="Q4" s="5">
        <x:f t="shared" si="4"/>
        <x:v>460.0234338321344</x:v>
      </x:c>
    </x:row>
    <x:row r="5" spans="2:17" outlineLevel="2" x14ac:dyDescent="0.25">
      <x:c r="B5" s="1" t="s">
        <x:v>0</x:v>
      </x:c>
      <x:c r="C5" s="4">
        <x:v>2022</x:v>
      </x:c>
      <x:c r="D5" s="10">
        <x:f t="shared" si="0"/>
        <x:v>2.5</x:v>
      </x:c>
      <x:c r="E5" s="5">
        <x:v>17550.990000000002</x:v>
      </x:c>
      <x:c r="H5" s="5">
        <x:f t="shared" si="1"/>
        <x:v>17550.990000000002</x:v>
      </x:c>
      <x:c r="J5" s="5">
        <x:v>100</x:v>
      </x:c>
      <x:c r="K5" s="5">
        <x:v>95.504812000000001</x:v>
      </x:c>
      <x:c r="L5" s="6">
        <x:f>[1]Parameters!$R$17</x:f>
        <x:v>0</x:v>
      </x:c>
      <x:c r="M5" s="5">
        <x:f t="shared" si="2"/>
        <x:v>788.94999636119906</x:v>
      </x:c>
      <x:c r="N5" s="5">
        <x:v>1.187150241151725</x:v>
      </x:c>
      <x:c r="O5" s="5">
        <x:f t="shared" si="3"/>
        <x:v>936.60217843684995</x:v>
      </x:c>
      <x:c r="Q5" s="5">
        <x:f t="shared" si="4"/>
        <x:v>936.60217843684995</x:v>
      </x:c>
    </x:row>
    <x:row r="6" spans="2:17" outlineLevel="2" x14ac:dyDescent="0.25">
      <x:c r="B6" s="1" t="s">
        <x:v>0</x:v>
      </x:c>
      <x:c r="C6" s="4">
        <x:v>2017</x:v>
      </x:c>
      <x:c r="D6" s="10">
        <x:f t="shared" si="0"/>
        <x:v>7.5</x:v>
      </x:c>
      <x:c r="E6" s="5">
        <x:v>406564.91</x:v>
      </x:c>
      <x:c r="H6" s="5">
        <x:f t="shared" si="1"/>
        <x:v>406564.91</x:v>
      </x:c>
      <x:c r="J6" s="5">
        <x:v>100</x:v>
      </x:c>
      <x:c r="K6" s="5">
        <x:v>95.504812000000001</x:v>
      </x:c>
      <x:c r="L6" s="6">
        <x:f>[1]Parameters!$R$17</x:f>
        <x:v>0</x:v>
      </x:c>
      <x:c r="M6" s="5">
        <x:f t="shared" si="2"/>
        <x:v>18275.857046530775</x:v>
      </x:c>
      <x:c r="N6" s="5">
        <x:v>1.187150241151725</x:v>
      </x:c>
      <x:c r="O6" s="5">
        <x:f t="shared" si="3"/>
        <x:v>21696.188100043462</x:v>
      </x:c>
      <x:c r="Q6" s="5">
        <x:f t="shared" si="4"/>
        <x:v>21696.188100043462</x:v>
      </x:c>
    </x:row>
    <x:row r="7" spans="2:17" outlineLevel="2" x14ac:dyDescent="0.25">
      <x:c r="B7" s="1" t="s">
        <x:v>0</x:v>
      </x:c>
      <x:c r="C7" s="4">
        <x:v>2014</x:v>
      </x:c>
      <x:c r="D7" s="10">
        <x:f t="shared" si="0"/>
        <x:v>10.5</x:v>
      </x:c>
      <x:c r="E7" s="5">
        <x:v>13842246.949999999</x:v>
      </x:c>
      <x:c r="H7" s="5">
        <x:f t="shared" si="1"/>
        <x:v>13842246.949999999</x:v>
      </x:c>
      <x:c r="J7" s="5">
        <x:v>100</x:v>
      </x:c>
      <x:c r="K7" s="5">
        <x:v>92.510024999999999</x:v>
      </x:c>
      <x:c r="L7" s="6">
        <x:v>0</x:v>
      </x:c>
      <x:c r="M7" s="5">
        <x:f t="shared" si="2"/>
        <x:v>1036780.8359932631</x:v>
      </x:c>
      <x:c r="N7" s="5">
        <x:v>1.187150241151725</x:v>
      </x:c>
      <x:c r="O7" s="5">
        <x:f t="shared" si="3"/>
        <x:v>1230814.6194708892</x:v>
      </x:c>
      <x:c r="Q7" s="5">
        <x:f t="shared" si="4"/>
        <x:v>1230814.6194708892</x:v>
      </x:c>
    </x:row>
    <x:row r="8" spans="2:17" outlineLevel="2" x14ac:dyDescent="0.25">
      <x:c r="B8" s="1" t="s">
        <x:v>0</x:v>
      </x:c>
      <x:c r="C8" s="4">
        <x:v>2013</x:v>
      </x:c>
      <x:c r="D8" s="10">
        <x:f t="shared" si="0"/>
        <x:v>11.5</x:v>
      </x:c>
      <x:c r="E8" s="5">
        <x:v>78591969.199999988</x:v>
      </x:c>
      <x:c r="H8" s="5">
        <x:f t="shared" si="1"/>
        <x:v>78591969.199999988</x:v>
      </x:c>
      <x:c r="J8" s="5">
        <x:v>100</x:v>
      </x:c>
      <x:c r="K8" s="5">
        <x:v>91.512247000000002</x:v>
      </x:c>
      <x:c r="L8" s="6">
        <x:v>0</x:v>
      </x:c>
      <x:c r="M8" s="5">
        <x:f t="shared" si="2"/>
        <x:v>6670692.2235320732</x:v>
      </x:c>
      <x:c r="N8" s="5">
        <x:v>1.187150241151725</x:v>
      </x:c>
      <x:c r="O8" s="5">
        <x:f t="shared" si="3"/>
        <x:v>7919113.8818150368</x:v>
      </x:c>
      <x:c r="Q8" s="5">
        <x:f t="shared" si="4"/>
        <x:v>7919113.8818150368</x:v>
      </x:c>
    </x:row>
    <x:row r="9" spans="2:17" outlineLevel="2" x14ac:dyDescent="0.25">
      <x:c r="B9" s="1" t="s">
        <x:v>0</x:v>
      </x:c>
      <x:c r="C9" s="4">
        <x:v>2012</x:v>
      </x:c>
      <x:c r="D9" s="10">
        <x:f t="shared" si="0"/>
        <x:v>12.5</x:v>
      </x:c>
      <x:c r="E9" s="5">
        <x:v>1519240.91</x:v>
      </x:c>
      <x:c r="H9" s="5">
        <x:f t="shared" si="1"/>
        <x:v>1519240.91</x:v>
      </x:c>
      <x:c r="J9" s="5">
        <x:v>100</x:v>
      </x:c>
      <x:c r="K9" s="5">
        <x:v>90.514759999999995</x:v>
      </x:c>
      <x:c r="L9" s="6">
        <x:v>0</x:v>
      </x:c>
      <x:c r="M9" s="5">
        <x:f t="shared" si="2"/>
        <x:v>144103.64649168408</x:v>
      </x:c>
      <x:c r="N9" s="5">
        <x:v>1.187150241151725</x:v>
      </x:c>
      <x:c r="O9" s="5">
        <x:f t="shared" si="3"/>
        <x:v>171072.67868344567</x:v>
      </x:c>
      <x:c r="Q9" s="5">
        <x:f t="shared" si="4"/>
        <x:v>171072.67868344567</x:v>
      </x:c>
    </x:row>
    <x:row r="10" spans="2:17" outlineLevel="1" x14ac:dyDescent="0.25">
      <x:c r="B10" s="3" t="s">
        <x:v>17</x:v>
      </x:c>
      <x:c r="E10" s="5">
        <x:f>SUBTOTAL(9,E3:E9)</x:f>
        <x:v>94395010.969999984</x:v>
      </x:c>
      <x:c r="F10" s="5">
        <x:f>SUBTOTAL(9,F3:F9)</x:f>
        <x:v>0</x:v>
      </x:c>
      <x:c r="H10" s="5">
        <x:f>SUBTOTAL(9,H3:H9)</x:f>
        <x:v>94395010.969999984</x:v>
      </x:c>
      <x:c r="M10" s="5">
        <x:f>SUBTOTAL(9,M3:M9)</x:f>
        <x:v>7871425.3843928706</x:v>
      </x:c>
      <x:c r="N10" s="5">
        <x:v>1.1871502411517201</x:v>
      </x:c>
      <x:c r="O10" s="5">
        <x:f>SUBTOTAL(9,O3:O9)</x:f>
        <x:v>9344564.5432898048</x:v>
      </x:c>
      <x:c r="P10" s="5">
        <x:f>SUBTOTAL(9,P3:P9)</x:f>
        <x:v>0</x:v>
      </x:c>
      <x:c r="Q10" s="5">
        <x:f>SUBTOTAL(9,Q3:Q9)</x:f>
        <x:v>9344564.5432898048</x:v>
      </x:c>
    </x:row>
    <x:row r="11" spans="2:17" outlineLevel="2" x14ac:dyDescent="0.25">
      <x:c r="B11" s="1" t="s">
        <x:v>1</x:v>
      </x:c>
      <x:c r="C11" s="4">
        <x:v>2024</x:v>
      </x:c>
      <x:c r="D11" s="10">
        <x:f t="shared" ref="D11:D24" si="5">2024.5-C11</x:f>
        <x:v>0.5</x:v>
      </x:c>
      <x:c r="E11" s="5">
        <x:v>5646.22</x:v>
      </x:c>
      <x:c r="H11" s="5">
        <x:f t="shared" ref="H11:H24" si="6">E11</x:f>
        <x:v>5646.22</x:v>
      </x:c>
      <x:c r="J11" s="5">
        <x:v>62</x:v>
      </x:c>
      <x:c r="K11" s="5">
        <x:v>61.500413000000002</x:v>
      </x:c>
      <x:c r="L11" s="6">
        <x:v>-0.47</x:v>
      </x:c>
      <x:c r="M11" s="5">
        <x:f t="shared" ref="M11:M24" si="7">(1-L11)*(1-K11/J11)*E11</x:f>
        <x:v>66.87973908670655</x:v>
      </x:c>
      <x:c r="N11" s="5">
        <x:v>1.187150241151725</x:v>
      </x:c>
      <x:c r="O11" s="5">
        <x:f t="shared" ref="O11:O24" si="8">IF((E11*(1-L11)-M11*N11)&lt;0,E11*(1-L11),M11*N11)</x:f>
        <x:v>79.396298384948125</x:v>
      </x:c>
      <x:c r="Q11" s="5">
        <x:f t="shared" ref="Q11:Q24" si="9">+H11/E11*O11</x:f>
        <x:v>79.396298384948125</x:v>
      </x:c>
    </x:row>
    <x:row r="12" spans="2:17" outlineLevel="2" x14ac:dyDescent="0.25">
      <x:c r="B12" s="1" t="s">
        <x:v>1</x:v>
      </x:c>
      <x:c r="C12" s="4">
        <x:v>2023</x:v>
      </x:c>
      <x:c r="D12" s="10">
        <x:f t="shared" si="5"/>
        <x:v>1.5</x:v>
      </x:c>
      <x:c r="E12" s="5">
        <x:v>10419.86</x:v>
      </x:c>
      <x:c r="H12" s="5">
        <x:f t="shared" si="6"/>
        <x:v>10419.86</x:v>
      </x:c>
      <x:c r="J12" s="5">
        <x:v>62</x:v>
      </x:c>
      <x:c r="K12" s="5">
        <x:v>60.501381000000002</x:v>
      </x:c>
      <x:c r="L12" s="6">
        <x:v>-0.47</x:v>
      </x:c>
      <x:c r="M12" s="5">
        <x:f t="shared" si="7"/>
        <x:v>370.2361008840287</x:v>
      </x:c>
      <x:c r="N12" s="5">
        <x:v>1.187150241151725</x:v>
      </x:c>
      <x:c r="O12" s="5">
        <x:f t="shared" si="8"/>
        <x:v>439.52587644754902</x:v>
      </x:c>
      <x:c r="Q12" s="5">
        <x:f t="shared" si="9"/>
        <x:v>439.52587644754902</x:v>
      </x:c>
    </x:row>
    <x:row r="13" spans="2:17" outlineLevel="2" x14ac:dyDescent="0.25">
      <x:c r="B13" s="1" t="s">
        <x:v>1</x:v>
      </x:c>
      <x:c r="C13" s="4">
        <x:v>2022</x:v>
      </x:c>
      <x:c r="D13" s="10">
        <x:f t="shared" si="5"/>
        <x:v>2.5</x:v>
      </x:c>
      <x:c r="E13" s="5">
        <x:v>92910.2</x:v>
      </x:c>
      <x:c r="H13" s="5">
        <x:f t="shared" si="6"/>
        <x:v>92910.2</x:v>
      </x:c>
      <x:c r="J13" s="5">
        <x:v>62</x:v>
      </x:c>
      <x:c r="K13" s="5">
        <x:v>59.502571000000003</x:v>
      </x:c>
      <x:c r="L13" s="6">
        <x:v>-0.47</x:v>
      </x:c>
      <x:c r="M13" s="5">
        <x:f t="shared" si="7"/>
        <x:v>5501.5135964100928</x:v>
      </x:c>
      <x:c r="N13" s="5">
        <x:v>1.187150241151725</x:v>
      </x:c>
      <x:c r="O13" s="5">
        <x:f t="shared" si="8"/>
        <x:v>6531.1231926777355</x:v>
      </x:c>
      <x:c r="Q13" s="5">
        <x:f t="shared" si="9"/>
        <x:v>6531.1231926777355</x:v>
      </x:c>
    </x:row>
    <x:row r="14" spans="2:17" outlineLevel="2" x14ac:dyDescent="0.25">
      <x:c r="B14" s="1" t="s">
        <x:v>1</x:v>
      </x:c>
      <x:c r="C14" s="4">
        <x:v>2018</x:v>
      </x:c>
      <x:c r="D14" s="10">
        <x:f t="shared" si="5"/>
        <x:v>6.5</x:v>
      </x:c>
      <x:c r="E14" s="5">
        <x:v>4270117.53</x:v>
      </x:c>
      <x:c r="H14" s="5">
        <x:f t="shared" si="6"/>
        <x:v>4270117.53</x:v>
      </x:c>
      <x:c r="J14" s="5">
        <x:v>62</x:v>
      </x:c>
      <x:c r="K14" s="5">
        <x:v>55.510877999999998</x:v>
      </x:c>
      <x:c r="L14" s="6">
        <x:v>-0.47</x:v>
      </x:c>
      <x:c r="M14" s="5">
        <x:f t="shared" si="7"/>
        <x:v>656978.88712206029</x:v>
      </x:c>
      <x:c r="N14" s="5">
        <x:v>1.187150241151725</x:v>
      </x:c>
      <x:c r="O14" s="5">
        <x:f t="shared" si="8"/>
        <x:v>779932.64427854575</x:v>
      </x:c>
      <x:c r="Q14" s="5">
        <x:f t="shared" si="9"/>
        <x:v>779932.64427854575</x:v>
      </x:c>
    </x:row>
    <x:row r="15" spans="2:17" outlineLevel="2" x14ac:dyDescent="0.25">
      <x:c r="B15" s="1" t="s">
        <x:v>1</x:v>
      </x:c>
      <x:c r="C15" s="4">
        <x:v>2017</x:v>
      </x:c>
      <x:c r="D15" s="10">
        <x:f t="shared" si="5"/>
        <x:v>7.5</x:v>
      </x:c>
      <x:c r="E15" s="5">
        <x:v>2707460.6500000004</x:v>
      </x:c>
      <x:c r="H15" s="5">
        <x:f t="shared" si="6"/>
        <x:v>2707460.6500000004</x:v>
      </x:c>
      <x:c r="J15" s="5">
        <x:v>62</x:v>
      </x:c>
      <x:c r="K15" s="5">
        <x:v>54.514161999999999</x:v>
      </x:c>
      <x:c r="L15" s="6">
        <x:v>-0.47</x:v>
      </x:c>
      <x:c r="M15" s="5">
        <x:f t="shared" si="7"/>
        <x:v>480538.53824828716</x:v>
      </x:c>
      <x:c r="N15" s="5">
        <x:v>1.187150241151725</x:v>
      </x:c>
      <x:c r="O15" s="5">
        <x:f t="shared" si="8"/>
        <x:v>570471.44156415155</x:v>
      </x:c>
      <x:c r="Q15" s="5">
        <x:f t="shared" si="9"/>
        <x:v>570471.44156415155</x:v>
      </x:c>
    </x:row>
    <x:row r="16" spans="2:17" outlineLevel="2" x14ac:dyDescent="0.25">
      <x:c r="B16" s="1" t="s">
        <x:v>1</x:v>
      </x:c>
      <x:c r="C16" s="4">
        <x:v>2016</x:v>
      </x:c>
      <x:c r="D16" s="10">
        <x:f t="shared" si="5"/>
        <x:v>8.5</x:v>
      </x:c>
      <x:c r="E16" s="5">
        <x:v>18932672.740000002</x:v>
      </x:c>
      <x:c r="H16" s="5">
        <x:f t="shared" si="6"/>
        <x:v>18932672.740000002</x:v>
      </x:c>
      <x:c r="J16" s="5">
        <x:v>62</x:v>
      </x:c>
      <x:c r="K16" s="5">
        <x:v>53.518158999999997</x:v>
      </x:c>
      <x:c r="L16" s="6">
        <x:v>-0.47</x:v>
      </x:c>
      <x:c r="M16" s="5">
        <x:f t="shared" si="7"/>
        <x:v>3807392.9392258106</x:v>
      </x:c>
      <x:c r="N16" s="5">
        <x:v>1.187150241151725</x:v>
      </x:c>
      <x:c r="O16" s="5">
        <x:f t="shared" si="8"/>
        <x:v>4519947.4459612956</x:v>
      </x:c>
      <x:c r="Q16" s="5">
        <x:f t="shared" si="9"/>
        <x:v>4519947.4459612956</x:v>
      </x:c>
    </x:row>
    <x:row r="17" spans="2:17" outlineLevel="2" x14ac:dyDescent="0.25">
      <x:c r="B17" s="1" t="s">
        <x:v>1</x:v>
      </x:c>
      <x:c r="C17" s="4">
        <x:v>2015</x:v>
      </x:c>
      <x:c r="D17" s="10">
        <x:f t="shared" si="5"/>
        <x:v>9.5</x:v>
      </x:c>
      <x:c r="E17" s="5">
        <x:v>15532616.540000001</x:v>
      </x:c>
      <x:c r="H17" s="5">
        <x:f t="shared" si="6"/>
        <x:v>15532616.540000001</x:v>
      </x:c>
      <x:c r="J17" s="5">
        <x:v>62</x:v>
      </x:c>
      <x:c r="K17" s="5">
        <x:v>52.522936000000001</x:v>
      </x:c>
      <x:c r="L17" s="6">
        <x:v>-0.47</x:v>
      </x:c>
      <x:c r="M17" s="5">
        <x:f t="shared" si="7"/>
        <x:v>3490149.8955555907</x:v>
      </x:c>
      <x:c r="N17" s="5">
        <x:v>1.187150241151725</x:v>
      </x:c>
      <x:c r="O17" s="5">
        <x:f t="shared" si="8"/>
        <x:v>4143332.2901644874</x:v>
      </x:c>
      <x:c r="Q17" s="5">
        <x:f t="shared" si="9"/>
        <x:v>4143332.2901644874</x:v>
      </x:c>
    </x:row>
    <x:row r="18" spans="2:17" outlineLevel="2" x14ac:dyDescent="0.25">
      <x:c r="B18" s="1" t="s">
        <x:v>1</x:v>
      </x:c>
      <x:c r="C18" s="4">
        <x:v>2014</x:v>
      </x:c>
      <x:c r="D18" s="10">
        <x:f t="shared" si="5"/>
        <x:v>10.5</x:v>
      </x:c>
      <x:c r="E18" s="5">
        <x:v>5480980.9100000001</x:v>
      </x:c>
      <x:c r="H18" s="5">
        <x:f t="shared" si="6"/>
        <x:v>5480980.9100000001</x:v>
      </x:c>
      <x:c r="J18" s="5">
        <x:v>62</x:v>
      </x:c>
      <x:c r="K18" s="5">
        <x:v>51.528593999999998</x:v>
      </x:c>
      <x:c r="L18" s="6">
        <x:v>-0.47</x:v>
      </x:c>
      <x:c r="M18" s="5">
        <x:f t="shared" si="7"/>
        <x:v>1360783.1820755391</x:v>
      </x:c>
      <x:c r="N18" s="5">
        <x:v>1.187150241151725</x:v>
      </x:c>
      <x:c r="O18" s="5">
        <x:f t="shared" si="8"/>
        <x:v>1615454.082756188</x:v>
      </x:c>
      <x:c r="Q18" s="5">
        <x:f t="shared" si="9"/>
        <x:v>1615454.082756188</x:v>
      </x:c>
    </x:row>
    <x:row r="19" spans="2:17" outlineLevel="2" x14ac:dyDescent="0.25">
      <x:c r="B19" s="1" t="s">
        <x:v>1</x:v>
      </x:c>
      <x:c r="C19" s="4">
        <x:v>2013</x:v>
      </x:c>
      <x:c r="D19" s="10">
        <x:f t="shared" si="5"/>
        <x:v>11.5</x:v>
      </x:c>
      <x:c r="E19" s="5">
        <x:v>35463296.57</x:v>
      </x:c>
      <x:c r="H19" s="5">
        <x:f t="shared" si="6"/>
        <x:v>35463296.57</x:v>
      </x:c>
      <x:c r="J19" s="5">
        <x:v>62</x:v>
      </x:c>
      <x:c r="K19" s="5">
        <x:v>50.535398000000001</x:v>
      </x:c>
      <x:c r="L19" s="6">
        <x:v>-0.47</x:v>
      </x:c>
      <x:c r="M19" s="5">
        <x:f t="shared" si="7"/>
        <x:v>9639704.7379198764</x:v>
      </x:c>
      <x:c r="N19" s="5">
        <x:v>1.187150241151725</x:v>
      </x:c>
      <x:c r="O19" s="5">
        <x:f t="shared" si="8"/>
        <x:v>11443777.804253006</x:v>
      </x:c>
      <x:c r="Q19" s="5">
        <x:f t="shared" si="9"/>
        <x:v>11443777.804253006</x:v>
      </x:c>
    </x:row>
    <x:row r="20" spans="2:17" outlineLevel="2" x14ac:dyDescent="0.25">
      <x:c r="B20" s="1" t="s">
        <x:v>1</x:v>
      </x:c>
      <x:c r="C20" s="4">
        <x:v>2012</x:v>
      </x:c>
      <x:c r="D20" s="10">
        <x:f t="shared" si="5"/>
        <x:v>12.5</x:v>
      </x:c>
      <x:c r="E20" s="5">
        <x:v>403435.31</x:v>
      </x:c>
      <x:c r="H20" s="5">
        <x:f t="shared" si="6"/>
        <x:v>403435.31</x:v>
      </x:c>
      <x:c r="J20" s="5">
        <x:v>62</x:v>
      </x:c>
      <x:c r="K20" s="5">
        <x:v>49.543354000000001</x:v>
      </x:c>
      <x:c r="L20" s="6">
        <x:v>-0.47</x:v>
      </x:c>
      <x:c r="M20" s="5">
        <x:f t="shared" si="7"/>
        <x:v>119151.81831674647</x:v>
      </x:c>
      <x:c r="N20" s="5">
        <x:v>1.187150241151725</x:v>
      </x:c>
      <x:c r="O20" s="5">
        <x:f t="shared" si="8"/>
        <x:v>141451.10984839211</x:v>
      </x:c>
      <x:c r="Q20" s="5">
        <x:f t="shared" si="9"/>
        <x:v>141451.10984839211</x:v>
      </x:c>
    </x:row>
    <x:row r="21" spans="2:17" outlineLevel="2" x14ac:dyDescent="0.25">
      <x:c r="B21" s="1" t="s">
        <x:v>1</x:v>
      </x:c>
      <x:c r="C21" s="4">
        <x:v>2011</x:v>
      </x:c>
      <x:c r="D21" s="10">
        <x:f t="shared" si="5"/>
        <x:v>13.5</x:v>
      </x:c>
      <x:c r="E21" s="5">
        <x:v>5369.62</x:v>
      </x:c>
      <x:c r="H21" s="5">
        <x:f t="shared" si="6"/>
        <x:v>5369.62</x:v>
      </x:c>
      <x:c r="J21" s="5">
        <x:v>62</x:v>
      </x:c>
      <x:c r="K21" s="5">
        <x:v>48.552762999999999</x:v>
      </x:c>
      <x:c r="L21" s="6">
        <x:v>-0.47</x:v>
      </x:c>
      <x:c r="M21" s="5">
        <x:f t="shared" si="7"/>
        <x:v>1711.9940730276096</x:v>
      </x:c>
      <x:c r="N21" s="5">
        <x:v>1.187150241151725</x:v>
      </x:c>
      <x:c r="O21" s="5">
        <x:f t="shared" si="8"/>
        <x:v>2032.3941766450505</x:v>
      </x:c>
      <x:c r="Q21" s="5">
        <x:f t="shared" si="9"/>
        <x:v>2032.3941766450505</x:v>
      </x:c>
    </x:row>
    <x:row r="22" spans="2:17" outlineLevel="2" x14ac:dyDescent="0.25">
      <x:c r="B22" s="1" t="s">
        <x:v>1</x:v>
      </x:c>
      <x:c r="C22" s="4">
        <x:v>2009</x:v>
      </x:c>
      <x:c r="D22" s="10">
        <x:f t="shared" si="5"/>
        <x:v>15.5</x:v>
      </x:c>
      <x:c r="E22" s="5">
        <x:v>1548.33</x:v>
      </x:c>
      <x:c r="H22" s="5">
        <x:f t="shared" si="6"/>
        <x:v>1548.33</x:v>
      </x:c>
      <x:c r="J22" s="5">
        <x:v>62</x:v>
      </x:c>
      <x:c r="K22" s="5">
        <x:v>47.563797999999998</x:v>
      </x:c>
      <x:c r="L22" s="6">
        <x:v>-0.47</x:v>
      </x:c>
      <x:c r="M22" s="5">
        <x:f t="shared" si="7"/>
        <x:v>529.95881975339046</x:v>
      </x:c>
      <x:c r="N22" s="5">
        <x:v>1.187150241151725</x:v>
      </x:c>
      <x:c r="O22" s="5">
        <x:f t="shared" si="8"/>
        <x:v>629.14074067072102</x:v>
      </x:c>
      <x:c r="Q22" s="5">
        <x:f t="shared" si="9"/>
        <x:v>629.14074067072102</x:v>
      </x:c>
    </x:row>
    <x:row r="23" spans="2:17" outlineLevel="2" x14ac:dyDescent="0.25">
      <x:c r="B23" s="1" t="s">
        <x:v>1</x:v>
      </x:c>
      <x:c r="C23" s="4">
        <x:v>2004</x:v>
      </x:c>
      <x:c r="D23" s="10">
        <x:f t="shared" si="5"/>
        <x:v>20.5</x:v>
      </x:c>
      <x:c r="E23" s="5">
        <x:v>30470.35</x:v>
      </x:c>
      <x:c r="H23" s="5">
        <x:f t="shared" si="6"/>
        <x:v>30470.35</x:v>
      </x:c>
      <x:c r="J23" s="5">
        <x:v>62</x:v>
      </x:c>
      <x:c r="K23" s="5">
        <x:v>46.576529999999998</x:v>
      </x:c>
      <x:c r="L23" s="6">
        <x:v>-0.47</x:v>
      </x:c>
      <x:c r="M23" s="5">
        <x:f t="shared" si="7"/>
        <x:v>11142.565125779278</x:v>
      </x:c>
      <x:c r="N23" s="5">
        <x:v>1.187150241151725</x:v>
      </x:c>
      <x:c r="O23" s="5">
        <x:f t="shared" si="8"/>
        <x:v>13227.89887611767</x:v>
      </x:c>
      <x:c r="Q23" s="5">
        <x:f t="shared" si="9"/>
        <x:v>13227.89887611767</x:v>
      </x:c>
    </x:row>
    <x:row r="24" spans="2:17" outlineLevel="2" x14ac:dyDescent="0.25">
      <x:c r="B24" s="1" t="s">
        <x:v>1</x:v>
      </x:c>
      <x:c r="C24" s="4">
        <x:v>1993</x:v>
      </x:c>
      <x:c r="D24" s="10">
        <x:f t="shared" si="5"/>
        <x:v>31.5</x:v>
      </x:c>
      <x:c r="E24" s="5">
        <x:v>2726221.74</x:v>
      </x:c>
      <x:c r="H24" s="5">
        <x:f t="shared" si="6"/>
        <x:v>2726221.74</x:v>
      </x:c>
      <x:c r="J24" s="5">
        <x:v>62</x:v>
      </x:c>
      <x:c r="K24" s="5">
        <x:v>41.677332999999997</x:v>
      </x:c>
      <x:c r="L24" s="6">
        <x:v>-0.47</x:v>
      </x:c>
      <x:c r="M24" s="5">
        <x:f t="shared" si="7"/>
        <x:v>1313613.2578639591</x:v>
      </x:c>
      <x:c r="N24" s="5">
        <x:v>1.187150241151725</x:v>
      </x:c>
      <x:c r="O24" s="5">
        <x:f t="shared" si="8"/>
        <x:v>1559456.2958533021</x:v>
      </x:c>
      <x:c r="Q24" s="5">
        <x:f t="shared" si="9"/>
        <x:v>1559456.2958533021</x:v>
      </x:c>
    </x:row>
    <x:row r="25" spans="2:17" outlineLevel="1" x14ac:dyDescent="0.25">
      <x:c r="B25" s="3" t="s">
        <x:v>18</x:v>
      </x:c>
      <x:c r="E25" s="5">
        <x:f>SUBTOTAL(9,E11:E24)</x:f>
        <x:v>85663166.569999993</x:v>
      </x:c>
      <x:c r="F25" s="5">
        <x:f>SUBTOTAL(9,F11:F24)</x:f>
        <x:v>0</x:v>
      </x:c>
      <x:c r="H25" s="5">
        <x:f>SUBTOTAL(9,H11:H24)</x:f>
        <x:v>85663166.569999993</x:v>
      </x:c>
      <x:c r="M25" s="5">
        <x:f>SUBTOTAL(9,M11:M24)</x:f>
        <x:v>20887636.403782807</x:v>
      </x:c>
      <x:c r="N25" s="5">
        <x:v>1.187150241151725</x:v>
      </x:c>
      <x:c r="O25" s="5">
        <x:f>SUBTOTAL(9,O11:O24)</x:f>
        <x:v>24796762.593840312</x:v>
      </x:c>
      <x:c r="P25" s="5">
        <x:f>SUBTOTAL(9,P11:P24)</x:f>
        <x:v>0</x:v>
      </x:c>
      <x:c r="Q25" s="5">
        <x:f>SUBTOTAL(9,Q11:Q24)</x:f>
        <x:v>24796762.593840312</x:v>
      </x:c>
    </x:row>
    <x:row r="26" spans="2:17" outlineLevel="2" x14ac:dyDescent="0.25">
      <x:c r="B26" s="1" t="s">
        <x:v>3</x:v>
      </x:c>
      <x:c r="C26" s="4">
        <x:v>2024</x:v>
      </x:c>
      <x:c r="D26" s="10">
        <x:f t="shared" ref="D26:D46" si="10">2024.5-C26</x:f>
        <x:v>0.5</x:v>
      </x:c>
      <x:c r="E26" s="5">
        <x:v>273376</x:v>
      </x:c>
      <x:c r="G26" s="5">
        <x:v>39592.280000000006</x:v>
      </x:c>
      <x:c r="H26" s="5">
        <x:v>233783.72</x:v>
      </x:c>
      <x:c r="J26" s="5">
        <x:v>52</x:v>
      </x:c>
      <x:c r="K26" s="5">
        <x:v>51.546661</x:v>
      </x:c>
      <x:c r="L26" s="6">
        <x:v>-0.2</x:v>
      </x:c>
      <x:c r="M26" s="5">
        <x:f t="shared" ref="M26:M46" si="11">(1-L26)*(1-K26/J26)*E26</x:f>
        <x:v>2859.9692876307759</x:v>
      </x:c>
      <x:c r="N26" s="5">
        <x:v>1.187150241151725</x:v>
      </x:c>
      <x:c r="O26" s="5">
        <x:f t="shared" ref="O26:O46" si="12">IF((E26*(1-L26)-M26*N26)&lt;0,E26*(1-L26),M26*N26)</x:f>
        <x:v>3395.2132294974026</x:v>
      </x:c>
      <x:c r="P26" s="5">
        <x:f t="shared" ref="P26:P32" si="13">+G26/E26*O26</x:f>
        <x:v>491.71921764151</x:v>
      </x:c>
      <x:c r="Q26" s="5">
        <x:f t="shared" ref="Q26:Q46" si="14">+H26/E26*O26</x:f>
        <x:v>2903.4940118558929</x:v>
      </x:c>
    </x:row>
    <x:row r="27" spans="2:17" outlineLevel="2" x14ac:dyDescent="0.25">
      <x:c r="B27" s="1" t="s">
        <x:v>3</x:v>
      </x:c>
      <x:c r="C27" s="4">
        <x:v>2023</x:v>
      </x:c>
      <x:c r="D27" s="10">
        <x:f t="shared" si="10"/>
        <x:v>1.5</x:v>
      </x:c>
      <x:c r="E27" s="5">
        <x:v>349894.54000000004</x:v>
      </x:c>
      <x:c r="G27" s="5">
        <x:v>121819.07</x:v>
      </x:c>
      <x:c r="H27" s="5">
        <x:v>228075.47</x:v>
      </x:c>
      <x:c r="J27" s="5">
        <x:v>52</x:v>
      </x:c>
      <x:c r="K27" s="5">
        <x:v>50.682720000000003</x:v>
      </x:c>
      <x:c r="L27" s="6">
        <x:v>-0.2</x:v>
      </x:c>
      <x:c r="M27" s="5">
        <x:f t="shared" si="11"/>
        <x:v>10636.363376566138</x:v>
      </x:c>
      <x:c r="N27" s="5">
        <x:v>1.187150241151725</x:v>
      </x:c>
      <x:c r="O27" s="5">
        <x:f t="shared" si="12"/>
        <x:v>12626.961347467866</x:v>
      </x:c>
      <x:c r="P27" s="5">
        <x:f t="shared" si="13"/>
        <x:v>4396.1951743359077</x:v>
      </x:c>
      <x:c r="Q27" s="5">
        <x:f t="shared" si="14"/>
        <x:v>8230.7661731319567</x:v>
      </x:c>
    </x:row>
    <x:row r="28" spans="2:17" outlineLevel="2" x14ac:dyDescent="0.25">
      <x:c r="B28" s="1" t="s">
        <x:v>3</x:v>
      </x:c>
      <x:c r="C28" s="4">
        <x:v>2022</x:v>
      </x:c>
      <x:c r="D28" s="10">
        <x:f t="shared" si="10"/>
        <x:v>2.5</x:v>
      </x:c>
      <x:c r="E28" s="5">
        <x:v>353428.70000000007</x:v>
      </x:c>
      <x:c r="G28" s="5">
        <x:v>23967.200000000001</x:v>
      </x:c>
      <x:c r="H28" s="5">
        <x:v>329461.50000000006</x:v>
      </x:c>
      <x:c r="J28" s="5">
        <x:v>52</x:v>
      </x:c>
      <x:c r="K28" s="5">
        <x:v>49.856710999999997</x:v>
      </x:c>
      <x:c r="L28" s="6">
        <x:v>-0.2</x:v>
      </x:c>
      <x:c r="M28" s="5">
        <x:f t="shared" si="11"/>
        <x:v>17480.765653714625</x:v>
      </x:c>
      <x:c r="N28" s="5">
        <x:v>1.187150241151725</x:v>
      </x:c>
      <x:c r="O28" s="5">
        <x:f t="shared" si="12"/>
        <x:v>20752.295161324109</x:v>
      </x:c>
      <x:c r="P28" s="5">
        <x:f t="shared" si="13"/>
        <x:v>1407.283586733299</x:v>
      </x:c>
      <x:c r="Q28" s="5">
        <x:f t="shared" si="14"/>
        <x:v>19345.011574590812</x:v>
      </x:c>
    </x:row>
    <x:row r="29" spans="2:17" outlineLevel="2" x14ac:dyDescent="0.25">
      <x:c r="B29" s="1" t="s">
        <x:v>3</x:v>
      </x:c>
      <x:c r="C29" s="4">
        <x:v>2021</x:v>
      </x:c>
      <x:c r="D29" s="10">
        <x:f t="shared" si="10"/>
        <x:v>3.5</x:v>
      </x:c>
      <x:c r="E29" s="5">
        <x:v>24553.02</x:v>
      </x:c>
      <x:c r="G29" s="5">
        <x:v>9064.27</x:v>
      </x:c>
      <x:c r="H29" s="5">
        <x:v>15488.75</x:v>
      </x:c>
      <x:c r="J29" s="5">
        <x:v>52</x:v>
      </x:c>
      <x:c r="K29" s="5">
        <x:v>49.059953</x:v>
      </x:c>
      <x:c r="L29" s="6">
        <x:v>-0.2</x:v>
      </x:c>
      <x:c r="M29" s="5">
        <x:f t="shared" si="11"/>
        <x:v>1665.8546028909218</x:v>
      </x:c>
      <x:c r="N29" s="5">
        <x:v>1.187150241151725</x:v>
      </x:c>
      <x:c r="O29" s="5">
        <x:f t="shared" si="12"/>
        <x:v>1977.6196935456687</x:v>
      </x:c>
      <x:c r="P29" s="5">
        <x:f t="shared" si="13"/>
        <x:v>730.08040801560048</x:v>
      </x:c>
      <x:c r="Q29" s="5">
        <x:f t="shared" si="14"/>
        <x:v>1247.5392855300681</x:v>
      </x:c>
    </x:row>
    <x:row r="30" spans="2:17" outlineLevel="2" x14ac:dyDescent="0.25">
      <x:c r="B30" s="1" t="s">
        <x:v>3</x:v>
      </x:c>
      <x:c r="C30" s="4">
        <x:v>2020</x:v>
      </x:c>
      <x:c r="D30" s="10">
        <x:f t="shared" si="10"/>
        <x:v>4.5</x:v>
      </x:c>
      <x:c r="E30" s="5">
        <x:v>34300.53</x:v>
      </x:c>
      <x:c r="H30" s="5">
        <x:v>34300.53</x:v>
      </x:c>
      <x:c r="J30" s="5">
        <x:v>52</x:v>
      </x:c>
      <x:c r="K30" s="5">
        <x:v>48.288268000000002</x:v>
      </x:c>
      <x:c r="L30" s="6">
        <x:v>-0.2</x:v>
      </x:c>
      <x:c r="M30" s="5">
        <x:f t="shared" si="11"/>
        <x:v>2938.0240342606148</x:v>
      </x:c>
      <x:c r="N30" s="5">
        <x:v>1.187150241151725</x:v>
      </x:c>
      <x:c r="O30" s="5">
        <x:f t="shared" si="12"/>
        <x:v>3487.8759407820526</x:v>
      </x:c>
      <x:c r="P30" s="5">
        <x:f t="shared" si="13"/>
        <x:v>0</x:v>
      </x:c>
      <x:c r="Q30" s="5">
        <x:f t="shared" si="14"/>
        <x:v>3487.8759407820526</x:v>
      </x:c>
    </x:row>
    <x:row r="31" spans="2:17" outlineLevel="2" x14ac:dyDescent="0.25">
      <x:c r="B31" s="1" t="s">
        <x:v>3</x:v>
      </x:c>
      <x:c r="C31" s="4">
        <x:v>2019</x:v>
      </x:c>
      <x:c r="D31" s="10">
        <x:f t="shared" si="10"/>
        <x:v>5.5</x:v>
      </x:c>
      <x:c r="E31" s="5">
        <x:v>1099635.51</x:v>
      </x:c>
      <x:c r="G31" s="5">
        <x:v>25094.839999999993</x:v>
      </x:c>
      <x:c r="H31" s="5">
        <x:v>1074540.67</x:v>
      </x:c>
      <x:c r="J31" s="5">
        <x:v>52</x:v>
      </x:c>
      <x:c r="K31" s="5">
        <x:v>47.539105999999997</x:v>
      </x:c>
      <x:c r="L31" s="6">
        <x:v>-0.2</x:v>
      </x:c>
      <x:c r="M31" s="5">
        <x:f t="shared" si="11"/>
        <x:v>113200.55650952185</x:v>
      </x:c>
      <x:c r="N31" s="5">
        <x:v>1.187150241151725</x:v>
      </x:c>
      <x:c r="O31" s="5">
        <x:f t="shared" si="12"/>
        <x:v>134386.06795878834</x:v>
      </x:c>
      <x:c r="P31" s="5">
        <x:f t="shared" si="13"/>
        <x:v>3066.8315482599492</x:v>
      </x:c>
      <x:c r="Q31" s="5">
        <x:f t="shared" si="14"/>
        <x:v>131319.23641052836</x:v>
      </x:c>
    </x:row>
    <x:row r="32" spans="2:17" outlineLevel="2" x14ac:dyDescent="0.25">
      <x:c r="B32" s="1" t="s">
        <x:v>3</x:v>
      </x:c>
      <x:c r="C32" s="4">
        <x:v>2018</x:v>
      </x:c>
      <x:c r="D32" s="10">
        <x:f t="shared" si="10"/>
        <x:v>6.5</x:v>
      </x:c>
      <x:c r="E32" s="5">
        <x:v>11277335.689999999</x:v>
      </x:c>
      <x:c r="G32" s="5">
        <x:v>2210021.7799999998</x:v>
      </x:c>
      <x:c r="H32" s="5">
        <x:v>9067313.9100000001</x:v>
      </x:c>
      <x:c r="J32" s="5">
        <x:v>52</x:v>
      </x:c>
      <x:c r="K32" s="5">
        <x:v>46.810975999999997</x:v>
      </x:c>
      <x:c r="L32" s="6">
        <x:v>-0.2</x:v>
      </x:c>
      <x:c r="M32" s="5">
        <x:f t="shared" si="11"/>
        <x:v>1350423.8204184594</x:v>
      </x:c>
      <x:c r="N32" s="5">
        <x:v>1.187150241151725</x:v>
      </x:c>
      <x:c r="O32" s="5">
        <x:f t="shared" si="12"/>
        <x:v>1603155.9640668076</x:v>
      </x:c>
      <x:c r="P32" s="5">
        <x:f t="shared" si="13"/>
        <x:v>314170.80192675744</x:v>
      </x:c>
      <x:c r="Q32" s="5">
        <x:f t="shared" si="14"/>
        <x:v>1288985.1621400504</x:v>
      </x:c>
    </x:row>
    <x:row r="33" spans="2:17" outlineLevel="2" x14ac:dyDescent="0.25">
      <x:c r="B33" s="1" t="s">
        <x:v>3</x:v>
      </x:c>
      <x:c r="C33" s="4">
        <x:v>2017</x:v>
      </x:c>
      <x:c r="D33" s="10">
        <x:f t="shared" si="10"/>
        <x:v>7.5</x:v>
      </x:c>
      <x:c r="E33" s="5">
        <x:v>25203292.960000001</x:v>
      </x:c>
      <x:c r="G33" s="5">
        <x:v>9709518.1699999999</x:v>
      </x:c>
      <x:c r="H33" s="5">
        <x:v>15493774.789999999</x:v>
      </x:c>
      <x:c r="J33" s="5">
        <x:v>52</x:v>
      </x:c>
      <x:c r="K33" s="5">
        <x:v>46.102784999999997</x:v>
      </x:c>
      <x:c r="L33" s="6">
        <x:v>-0.2</x:v>
      </x:c>
      <x:c r="M33" s="5">
        <x:f t="shared" si="11"/>
        <x:v>3429905.4759947658</x:v>
      </x:c>
      <x:c r="N33" s="5">
        <x:v>1.187150241151725</x:v>
      </x:c>
      <x:c r="O33" s="5">
        <x:f t="shared" si="12"/>
        <x:v>4071813.1129548079</x:v>
      </x:c>
      <x:c r="P33" s="5">
        <x:f t="shared" ref="P33:P44" si="15">+G33/E33*O33</x:f>
        <x:v>1568657.8522824489</x:v>
      </x:c>
      <x:c r="Q33" s="5">
        <x:f t="shared" si="14"/>
        <x:v>2503155.2606723588</x:v>
      </x:c>
    </x:row>
    <x:row r="34" spans="2:17" outlineLevel="2" x14ac:dyDescent="0.25">
      <x:c r="B34" s="1" t="s">
        <x:v>3</x:v>
      </x:c>
      <x:c r="C34" s="4">
        <x:v>2016</x:v>
      </x:c>
      <x:c r="D34" s="10">
        <x:f t="shared" si="10"/>
        <x:v>8.5</x:v>
      </x:c>
      <x:c r="E34" s="5">
        <x:v>64446368.560000002</x:v>
      </x:c>
      <x:c r="G34" s="5">
        <x:v>11878777.600000001</x:v>
      </x:c>
      <x:c r="H34" s="5">
        <x:v>52567590.960000001</x:v>
      </x:c>
      <x:c r="J34" s="5">
        <x:v>52</x:v>
      </x:c>
      <x:c r="K34" s="5">
        <x:v>45.413808000000003</x:v>
      </x:c>
      <x:c r="L34" s="6">
        <x:v>-0.2</x:v>
      </x:c>
      <x:c r="M34" s="5">
        <x:f t="shared" si="11"/>
        <x:v>9795142.0855136123</x:v>
      </x:c>
      <x:c r="N34" s="5">
        <x:v>1.187150241151725</x:v>
      </x:c>
      <x:c r="O34" s="5">
        <x:f t="shared" si="12"/>
        <x:v>11628305.288932895</x:v>
      </x:c>
      <x:c r="P34" s="5">
        <x:f t="shared" si="15"/>
        <x:v>2143333.3712750254</x:v>
      </x:c>
      <x:c r="Q34" s="5">
        <x:f t="shared" si="14"/>
        <x:v>9484971.9176578708</x:v>
      </x:c>
    </x:row>
    <x:row r="35" spans="2:17" outlineLevel="2" x14ac:dyDescent="0.25">
      <x:c r="B35" s="1" t="s">
        <x:v>3</x:v>
      </x:c>
      <x:c r="C35" s="4">
        <x:v>2015</x:v>
      </x:c>
      <x:c r="D35" s="10">
        <x:f t="shared" si="10"/>
        <x:v>9.5</x:v>
      </x:c>
      <x:c r="E35" s="5">
        <x:v>39876277.299999997</x:v>
      </x:c>
      <x:c r="G35" s="5">
        <x:v>6601607.6999999993</x:v>
      </x:c>
      <x:c r="H35" s="5">
        <x:v>33274669.599999998</x:v>
      </x:c>
      <x:c r="J35" s="5">
        <x:v>52</x:v>
      </x:c>
      <x:c r="K35" s="5">
        <x:v>44.743504000000001</x:v>
      </x:c>
      <x:c r="L35" s="6">
        <x:v>-0.2</x:v>
      </x:c>
      <x:c r="M35" s="5">
        <x:f t="shared" si="11"/>
        <x:v>6677585.6935924804</x:v>
      </x:c>
      <x:c r="N35" s="5">
        <x:v>1.187150241151725</x:v>
      </x:c>
      <x:c r="O35" s="5">
        <x:f t="shared" si="12"/>
        <x:v>7927297.4664596217</x:v>
      </x:c>
      <x:c r="P35" s="5">
        <x:f t="shared" si="15"/>
        <x:v>1312381.9859375472</x:v>
      </x:c>
      <x:c r="Q35" s="5">
        <x:f t="shared" si="14"/>
        <x:v>6614915.4805220747</x:v>
      </x:c>
    </x:row>
    <x:row r="36" spans="2:17" outlineLevel="2" x14ac:dyDescent="0.25">
      <x:c r="B36" s="1" t="s">
        <x:v>3</x:v>
      </x:c>
      <x:c r="C36" s="4">
        <x:v>2014</x:v>
      </x:c>
      <x:c r="D36" s="10">
        <x:f t="shared" si="10"/>
        <x:v>10.5</x:v>
      </x:c>
      <x:c r="E36" s="5">
        <x:v>19221867.070000004</x:v>
      </x:c>
      <x:c r="G36" s="5">
        <x:v>1132946.96</x:v>
      </x:c>
      <x:c r="H36" s="5">
        <x:v>18088920.110000003</x:v>
      </x:c>
      <x:c r="J36" s="5">
        <x:v>52</x:v>
      </x:c>
      <x:c r="K36" s="5">
        <x:v>44.091482999999997</x:v>
      </x:c>
      <x:c r="L36" s="6">
        <x:v>-0.2</x:v>
      </x:c>
      <x:c r="M36" s="5">
        <x:f t="shared" si="11"/>
        <x:v>3508072.211419276</x:v>
      </x:c>
      <x:c r="N36" s="5">
        <x:v>1.187150241151725</x:v>
      </x:c>
      <x:c r="O36" s="5">
        <x:f t="shared" si="12"/>
        <x:v>4164608.7717640586</x:v>
      </x:c>
      <x:c r="P36" s="5">
        <x:f t="shared" si="15"/>
        <x:v>245464.23250025228</x:v>
      </x:c>
      <x:c r="Q36" s="5">
        <x:f t="shared" si="14"/>
        <x:v>3919144.5392638058</x:v>
      </x:c>
    </x:row>
    <x:row r="37" spans="2:17" outlineLevel="2" x14ac:dyDescent="0.25">
      <x:c r="B37" s="1" t="s">
        <x:v>3</x:v>
      </x:c>
      <x:c r="C37" s="4">
        <x:v>2013</x:v>
      </x:c>
      <x:c r="D37" s="10">
        <x:f t="shared" si="10"/>
        <x:v>11.5</x:v>
      </x:c>
      <x:c r="E37" s="5">
        <x:v>106994717.69</x:v>
      </x:c>
      <x:c r="G37" s="5">
        <x:v>6623855.7999999998</x:v>
      </x:c>
      <x:c r="H37" s="5">
        <x:v>100370861.89</x:v>
      </x:c>
      <x:c r="J37" s="5">
        <x:v>52</x:v>
      </x:c>
      <x:c r="K37" s="5">
        <x:v>43.457428999999998</x:v>
      </x:c>
      <x:c r="L37" s="6">
        <x:v>-0.2</x:v>
      </x:c>
      <x:c r="M37" s="5">
        <x:f t="shared" si="11"/>
        <x:v>21092537.826733418</x:v>
      </x:c>
      <x:c r="N37" s="5">
        <x:v>1.187150241151725</x:v>
      </x:c>
      <x:c r="O37" s="5">
        <x:f t="shared" si="12"/>
        <x:v>25040011.367508456</x:v>
      </x:c>
      <x:c r="P37" s="5">
        <x:f t="shared" si="15"/>
        <x:v>1550183.2997895619</x:v>
      </x:c>
      <x:c r="Q37" s="5">
        <x:f t="shared" si="14"/>
        <x:v>23489828.067718893</x:v>
      </x:c>
    </x:row>
    <x:row r="38" spans="2:17" outlineLevel="2" x14ac:dyDescent="0.25">
      <x:c r="B38" s="1" t="s">
        <x:v>3</x:v>
      </x:c>
      <x:c r="C38" s="4">
        <x:v>2012</x:v>
      </x:c>
      <x:c r="D38" s="10">
        <x:f t="shared" si="10"/>
        <x:v>12.5</x:v>
      </x:c>
      <x:c r="E38" s="5">
        <x:v>800370.74</x:v>
      </x:c>
      <x:c r="G38" s="5">
        <x:v>522076.88</x:v>
      </x:c>
      <x:c r="H38" s="5">
        <x:v>278293.86</x:v>
      </x:c>
      <x:c r="J38" s="5">
        <x:v>52</x:v>
      </x:c>
      <x:c r="K38" s="5">
        <x:v>42.841076000000001</x:v>
      </x:c>
      <x:c r="L38" s="6">
        <x:v>-0.2</x:v>
      </x:c>
      <x:c r="M38" s="5">
        <x:f t="shared" si="11"/>
        <x:v>169166.18721885595</x:v>
      </x:c>
      <x:c r="N38" s="5">
        <x:v>1.187150241151725</x:v>
      </x:c>
      <x:c r="O38" s="5">
        <x:f t="shared" si="12"/>
        <x:v>200825.67995158269</x:v>
      </x:c>
      <x:c r="P38" s="5">
        <x:f t="shared" si="15"/>
        <x:v>130997.3480702216</x:v>
      </x:c>
      <x:c r="Q38" s="5">
        <x:f t="shared" si="14"/>
        <x:v>69828.331881361068</x:v>
      </x:c>
    </x:row>
    <x:row r="39" spans="2:17" outlineLevel="2" x14ac:dyDescent="0.25">
      <x:c r="B39" s="1" t="s">
        <x:v>3</x:v>
      </x:c>
      <x:c r="C39" s="4">
        <x:v>2011</x:v>
      </x:c>
      <x:c r="D39" s="10">
        <x:f t="shared" si="10"/>
        <x:v>13.5</x:v>
      </x:c>
      <x:c r="E39" s="5">
        <x:v>46064.06</x:v>
      </x:c>
      <x:c r="G39" s="5">
        <x:v>-1742.0000000000036</x:v>
      </x:c>
      <x:c r="H39" s="5">
        <x:v>47806.060000000005</x:v>
      </x:c>
      <x:c r="J39" s="5">
        <x:v>52</x:v>
      </x:c>
      <x:c r="K39" s="5">
        <x:v>42.242384999999999</x:v>
      </x:c>
      <x:c r="L39" s="6">
        <x:v>-0.2</x:v>
      </x:c>
      <x:c r="M39" s="5">
        <x:f t="shared" si="11"/>
        <x:v>10372.508372697694</x:v>
      </x:c>
      <x:c r="N39" s="5">
        <x:v>1.187150241151725</x:v>
      </x:c>
      <x:c r="O39" s="5">
        <x:f t="shared" si="12"/>
        <x:v>12313.725815996353</x:v>
      </x:c>
      <x:c r="P39" s="5">
        <x:f t="shared" si="15"/>
        <x:v>-465.6669510126917</x:v>
      </x:c>
      <x:c r="Q39" s="5">
        <x:f t="shared" si="14"/>
        <x:v>12779.392767009047</x:v>
      </x:c>
    </x:row>
    <x:row r="40" spans="2:17" outlineLevel="2" x14ac:dyDescent="0.25">
      <x:c r="B40" s="1" t="s">
        <x:v>3</x:v>
      </x:c>
      <x:c r="C40" s="4">
        <x:v>2010</x:v>
      </x:c>
      <x:c r="D40" s="10">
        <x:f t="shared" si="10"/>
        <x:v>14.5</x:v>
      </x:c>
      <x:c r="E40" s="5">
        <x:v>304115.18000000005</x:v>
      </x:c>
      <x:c r="G40" s="5">
        <x:v>303413.35000000003</x:v>
      </x:c>
      <x:c r="H40" s="5">
        <x:v>701.83</x:v>
      </x:c>
      <x:c r="J40" s="5">
        <x:v>52</x:v>
      </x:c>
      <x:c r="K40" s="5">
        <x:v>41.661084000000002</x:v>
      </x:c>
      <x:c r="L40" s="6">
        <x:v>-0.2</x:v>
      </x:c>
      <x:c r="M40" s="5">
        <x:f t="shared" si="11"/>
        <x:v>72558.953084881839</x:v>
      </x:c>
      <x:c r="N40" s="5">
        <x:v>1.187150241151725</x:v>
      </x:c>
      <x:c r="O40" s="5">
        <x:f t="shared" si="12"/>
        <x:v>86138.37865243417</x:v>
      </x:c>
      <x:c r="P40" s="5">
        <x:f t="shared" si="15"/>
        <x:v>85939.590488391725</x:v>
      </x:c>
      <x:c r="Q40" s="5">
        <x:f t="shared" si="14"/>
        <x:v>198.7881640424456</x:v>
      </x:c>
    </x:row>
    <x:row r="41" spans="2:17" outlineLevel="2" x14ac:dyDescent="0.25">
      <x:c r="B41" s="1" t="s">
        <x:v>3</x:v>
      </x:c>
      <x:c r="C41" s="4">
        <x:v>2009</x:v>
      </x:c>
      <x:c r="D41" s="10">
        <x:f t="shared" si="10"/>
        <x:v>15.5</x:v>
      </x:c>
      <x:c r="E41" s="5">
        <x:v>1413990.08</x:v>
      </x:c>
      <x:c r="G41" s="5">
        <x:v>1035554.3800000001</x:v>
      </x:c>
      <x:c r="H41" s="5">
        <x:v>378435.69999999995</x:v>
      </x:c>
      <x:c r="J41" s="5">
        <x:v>52</x:v>
      </x:c>
      <x:c r="K41" s="5">
        <x:v>41.096716000000001</x:v>
      </x:c>
      <x:c r="L41" s="6">
        <x:v>-0.2</x:v>
      </x:c>
      <x:c r="M41" s="5">
        <x:f t="shared" si="11"/>
        <x:v>355780.04804821667</x:v>
      </x:c>
      <x:c r="N41" s="5">
        <x:v>1.187150241151725</x:v>
      </x:c>
      <x:c r="O41" s="5">
        <x:f t="shared" si="12"/>
        <x:v>422364.36983741273</x:v>
      </x:c>
      <x:c r="P41" s="5">
        <x:f t="shared" si="15"/>
        <x:v>309324.1454289924</x:v>
      </x:c>
      <x:c r="Q41" s="5">
        <x:f t="shared" si="14"/>
        <x:v>113040.22440842028</x:v>
      </x:c>
    </x:row>
    <x:row r="42" spans="2:17" outlineLevel="2" x14ac:dyDescent="0.25">
      <x:c r="B42" s="1" t="s">
        <x:v>3</x:v>
      </x:c>
      <x:c r="C42" s="4">
        <x:v>2008</x:v>
      </x:c>
      <x:c r="D42" s="10">
        <x:f t="shared" si="10"/>
        <x:v>16.5</x:v>
      </x:c>
      <x:c r="E42" s="5">
        <x:v>24043.239999999998</x:v>
      </x:c>
      <x:c r="H42" s="5">
        <x:v>24043.239999999998</x:v>
      </x:c>
      <x:c r="J42" s="5">
        <x:v>52</x:v>
      </x:c>
      <x:c r="K42" s="5">
        <x:v>40.54898</x:v>
      </x:c>
      <x:c r="L42" s="6">
        <x:v>-0.2</x:v>
      </x:c>
      <x:c r="M42" s="5">
        <x:f t="shared" si="11"/>
        <x:v>6353.5297408799988</x:v>
      </x:c>
      <x:c r="N42" s="5">
        <x:v>1.187150241151725</x:v>
      </x:c>
      <x:c r="O42" s="5">
        <x:f t="shared" si="12"/>
        <x:v>7542.5943640503474</x:v>
      </x:c>
      <x:c r="P42" s="5">
        <x:f t="shared" si="15"/>
        <x:v>0</x:v>
      </x:c>
      <x:c r="Q42" s="5">
        <x:f t="shared" si="14"/>
        <x:v>7542.5943640503474</x:v>
      </x:c>
    </x:row>
    <x:row r="43" spans="2:17" outlineLevel="2" x14ac:dyDescent="0.25">
      <x:c r="B43" s="1" t="s">
        <x:v>3</x:v>
      </x:c>
      <x:c r="C43" s="4">
        <x:v>2007</x:v>
      </x:c>
      <x:c r="D43" s="10">
        <x:f t="shared" si="10"/>
        <x:v>17.5</x:v>
      </x:c>
      <x:c r="E43" s="5">
        <x:v>192039.81</x:v>
      </x:c>
      <x:c r="G43" s="5">
        <x:v>31515.800000000003</x:v>
      </x:c>
      <x:c r="H43" s="5">
        <x:v>160524.00999999998</x:v>
      </x:c>
      <x:c r="J43" s="5">
        <x:v>52</x:v>
      </x:c>
      <x:c r="K43" s="5">
        <x:v>40.017530999999998</x:v>
      </x:c>
      <x:c r="L43" s="6">
        <x:v>-0.2</x:v>
      </x:c>
      <x:c r="M43" s="5">
        <x:f t="shared" si="11"/>
        <x:v>53102.563155943622</x:v>
      </x:c>
      <x:c r="N43" s="5">
        <x:v>1.187150241151725</x:v>
      </x:c>
      <x:c r="O43" s="5">
        <x:f t="shared" si="12"/>
        <x:v>63040.720656353173</x:v>
      </x:c>
      <x:c r="P43" s="5">
        <x:f t="shared" si="15"/>
        <x:v>10345.660850536646</x:v>
      </x:c>
      <x:c r="Q43" s="5">
        <x:f t="shared" si="14"/>
        <x:v>52695.05980581652</x:v>
      </x:c>
    </x:row>
    <x:row r="44" spans="2:17" outlineLevel="2" x14ac:dyDescent="0.25">
      <x:c r="B44" s="1" t="s">
        <x:v>3</x:v>
      </x:c>
      <x:c r="C44" s="4">
        <x:v>2006</x:v>
      </x:c>
      <x:c r="D44" s="10">
        <x:f t="shared" si="10"/>
        <x:v>18.5</x:v>
      </x:c>
      <x:c r="E44" s="5">
        <x:v>88781.53</x:v>
      </x:c>
      <x:c r="G44" s="5">
        <x:v>42246.6</x:v>
      </x:c>
      <x:c r="H44" s="5">
        <x:v>46534.929999999993</x:v>
      </x:c>
      <x:c r="J44" s="5">
        <x:v>52</x:v>
      </x:c>
      <x:c r="K44" s="5">
        <x:v>39.501980000000003</x:v>
      </x:c>
      <x:c r="L44" s="6">
        <x:v>-0.2</x:v>
      </x:c>
      <x:c r="M44" s="5">
        <x:f t="shared" si="11"/>
        <x:v>25606.000097783071</x:v>
      </x:c>
      <x:c r="N44" s="5">
        <x:v>1.187150241151725</x:v>
      </x:c>
      <x:c r="O44" s="5">
        <x:f t="shared" si="12"/>
        <x:v>30398.169191014265</x:v>
      </x:c>
      <x:c r="P44" s="5">
        <x:f t="shared" si="15"/>
        <x:v>14464.937634495634</x:v>
      </x:c>
      <x:c r="Q44" s="5">
        <x:f t="shared" si="14"/>
        <x:v>15933.231556518629</x:v>
      </x:c>
    </x:row>
    <x:row r="45" spans="2:17" outlineLevel="2" x14ac:dyDescent="0.25">
      <x:c r="B45" s="1" t="s">
        <x:v>3</x:v>
      </x:c>
      <x:c r="C45" s="4">
        <x:v>2004</x:v>
      </x:c>
      <x:c r="D45" s="10">
        <x:f t="shared" si="10"/>
        <x:v>20.5</x:v>
      </x:c>
      <x:c r="E45" s="5">
        <x:v>114269.86000000002</x:v>
      </x:c>
      <x:c r="G45" s="5">
        <x:v>50885.270000000004</x:v>
      </x:c>
      <x:c r="H45" s="5">
        <x:v>63384.590000000004</x:v>
      </x:c>
      <x:c r="J45" s="5">
        <x:v>52</x:v>
      </x:c>
      <x:c r="K45" s="5">
        <x:v>38.516708999999999</x:v>
      </x:c>
      <x:c r="L45" s="6">
        <x:v>-0.2</x:v>
      </x:c>
      <x:c r="M45" s="5">
        <x:f t="shared" si="11"/>
        <x:v>35555.39480559832</x:v>
      </x:c>
      <x:c r="N45" s="5">
        <x:v>1.187150241151725</x:v>
      </x:c>
      <x:c r="O45" s="5">
        <x:f t="shared" si="12"/>
        <x:v>42209.595517710834</x:v>
      </x:c>
      <x:c r="P45" s="5">
        <x:f>+G45/E45*O45</x:f>
        <x:v>18796.265826434945</x:v>
      </x:c>
      <x:c r="Q45" s="5">
        <x:f t="shared" si="14"/>
        <x:v>23413.329691275885</x:v>
      </x:c>
    </x:row>
    <x:row r="46" spans="2:17" outlineLevel="2" x14ac:dyDescent="0.25">
      <x:c r="B46" s="1" t="s">
        <x:v>3</x:v>
      </x:c>
      <x:c r="C46" s="4">
        <x:v>1993</x:v>
      </x:c>
      <x:c r="D46" s="10">
        <x:f t="shared" si="10"/>
        <x:v>31.5</x:v>
      </x:c>
      <x:c r="E46" s="5">
        <x:v>10721317.27</x:v>
      </x:c>
      <x:c r="G46" s="5">
        <x:v>10311030.68</x:v>
      </x:c>
      <x:c r="H46" s="5">
        <x:v>410286.59</x:v>
      </x:c>
      <x:c r="J46" s="5">
        <x:v>52</x:v>
      </x:c>
      <x:c r="K46" s="5">
        <x:v>33.945504999999997</x:v>
      </x:c>
      <x:c r="L46" s="6">
        <x:v>-0.2</x:v>
      </x:c>
      <x:c r="M46" s="5">
        <x:f t="shared" si="11"/>
        <x:v>4466953.1317991232</x:v>
      </x:c>
      <x:c r="N46" s="5">
        <x:v>1.187150241151725</x:v>
      </x:c>
      <x:c r="O46" s="5">
        <x:f t="shared" si="12"/>
        <x:v>5302944.4876287822</x:v>
      </x:c>
      <x:c r="P46" s="5">
        <x:f>+G46/E46*O46</x:f>
        <x:v>5100009.8149578637</x:v>
      </x:c>
      <x:c r="Q46" s="5">
        <x:f t="shared" si="14"/>
        <x:v>202934.67267091802</x:v>
      </x:c>
    </x:row>
    <x:row r="47" spans="2:17" ht="14.95" customHeight="1" outlineLevel="1" x14ac:dyDescent="0.25">
      <x:c r="B47" s="3" t="s">
        <x:v>31</x:v>
      </x:c>
      <x:c r="E47" s="5">
        <x:f>SUBTOTAL(9,E26:E46)</x:f>
        <x:v>282860039.33999997</x:v>
      </x:c>
      <x:c r="F47" s="5">
        <x:f>SUBTOTAL(9,F26:F46)</x:f>
        <x:v>0</x:v>
      </x:c>
      <x:c r="G47" s="5">
        <x:f>SUBTOTAL(9,G26:G46)</x:f>
        <x:v>50671246.63000001</x:v>
      </x:c>
      <x:c r="H47" s="5">
        <x:f>SUBTOTAL(9,H26:H46)</x:f>
        <x:v>232188792.71000001</x:v>
      </x:c>
      <x:c r="M47" s="5">
        <x:f>SUBTOTAL(9,M26:M46)</x:f>
        <x:v>51197896.963460557</x:v>
      </x:c>
      <x:c r="N47" s="5">
        <x:v>1.187150241151725</x:v>
      </x:c>
      <x:c r="O47" s="1">
        <x:f>SUBTOTAL(9,O26:O46)</x:f>
        <x:v>60779595.726633385</x:v>
      </x:c>
      <x:c r="P47" s="5">
        <x:f>SUBTOTAL(9,P26:P46)</x:f>
        <x:v>12813695.749952504</x:v>
      </x:c>
      <x:c r="Q47" s="5">
        <x:f>SUBTOTAL(9,Q26:Q46)</x:f>
        <x:v>47965899.976680882</x:v>
      </x:c>
    </x:row>
    <x:row r="48" spans="2:17" outlineLevel="2" x14ac:dyDescent="0.25">
      <x:c r="B48" s="1" t="s">
        <x:v>5</x:v>
      </x:c>
      <x:c r="C48" s="4">
        <x:v>2020</x:v>
      </x:c>
      <x:c r="D48" s="10">
        <x:f t="shared" ref="D48:D57" si="16">2024.5-C48</x:f>
        <x:v>4.5</x:v>
      </x:c>
      <x:c r="E48" s="5">
        <x:v>831.88999999999987</x:v>
      </x:c>
      <x:c r="H48" s="5">
        <x:f t="shared" ref="H48:H57" si="17">E48</x:f>
        <x:v>831.88999999999987</x:v>
      </x:c>
      <x:c r="J48" s="5">
        <x:v>72</x:v>
      </x:c>
      <x:c r="K48" s="5">
        <x:v>67.769344000000004</x:v>
      </x:c>
      <x:c r="L48" s="6">
        <x:v>-0.45</x:v>
      </x:c>
      <x:c r="M48" s="5">
        <x:f>(1-L48)*(1-K48/J48)*E48</x:f>
        <x:v>70.877619566222194</x:v>
      </x:c>
      <x:c r="N48" s="5">
        <x:v>1.187150241151725</x:v>
      </x:c>
      <x:c r="O48" s="5">
        <x:f t="shared" ref="O48:O57" si="18">IF((E48*(1-L48)-M48*N48)&lt;0,E48*(1-L48),M48*N48)</x:f>
        <x:v>84.142383160300895</x:v>
      </x:c>
      <x:c r="Q48" s="5">
        <x:f t="shared" ref="Q48:Q57" si="19">+H48/E48*O48</x:f>
        <x:v>84.142383160300895</x:v>
      </x:c>
    </x:row>
    <x:row r="49" spans="2:17" outlineLevel="2" x14ac:dyDescent="0.25">
      <x:c r="B49" s="1" t="s">
        <x:v>5</x:v>
      </x:c>
      <x:c r="C49" s="4">
        <x:v>2019</x:v>
      </x:c>
      <x:c r="D49" s="10">
        <x:f t="shared" si="16"/>
        <x:v>5.5</x:v>
      </x:c>
      <x:c r="E49" s="5">
        <x:v>1550195.83</x:v>
      </x:c>
      <x:c r="H49" s="5">
        <x:f t="shared" si="17"/>
        <x:v>1550195.83</x:v>
      </x:c>
      <x:c r="J49" s="5">
        <x:v>72</x:v>
      </x:c>
      <x:c r="K49" s="5">
        <x:v>66.836775000000003</x:v>
      </x:c>
      <x:c r="L49" s="6">
        <x:v>-0.45</x:v>
      </x:c>
      <x:c r="M49" s="5">
        <x:f t="shared" ref="M49:M57" si="20">(1-L49)*(1-K49/J49)*E49</x:f>
        <x:v>161191.86532375033</x:v>
      </x:c>
      <x:c r="N49" s="5">
        <x:v>1.187150241151725</x:v>
      </x:c>
      <x:c r="O49" s="5">
        <x:f t="shared" si="18"/>
        <x:v>191358.96179078659</x:v>
      </x:c>
      <x:c r="Q49" s="5">
        <x:f t="shared" si="19"/>
        <x:v>191358.96179078659</x:v>
      </x:c>
    </x:row>
    <x:row r="50" spans="2:17" outlineLevel="2" x14ac:dyDescent="0.25">
      <x:c r="B50" s="1" t="s">
        <x:v>5</x:v>
      </x:c>
      <x:c r="C50" s="4">
        <x:v>2018</x:v>
      </x:c>
      <x:c r="D50" s="10">
        <x:f t="shared" si="16"/>
        <x:v>6.5</x:v>
      </x:c>
      <x:c r="E50" s="5">
        <x:v>448253.57000000007</x:v>
      </x:c>
      <x:c r="H50" s="5">
        <x:f t="shared" si="17"/>
        <x:v>448253.57000000007</x:v>
      </x:c>
      <x:c r="J50" s="5">
        <x:v>72</x:v>
      </x:c>
      <x:c r="K50" s="5">
        <x:v>65.906938999999994</x:v>
      </x:c>
      <x:c r="L50" s="6">
        <x:v>-0.45</x:v>
      </x:c>
      <x:c r="M50" s="5">
        <x:f t="shared" si="20"/>
        <x:v>55004.065290871833</x:v>
      </x:c>
      <x:c r="N50" s="5">
        <x:v>1.187150241151725</x:v>
      </x:c>
      <x:c r="O50" s="5">
        <x:f t="shared" si="18"/>
        <x:v>65298.089374383722</x:v>
      </x:c>
      <x:c r="Q50" s="5">
        <x:f t="shared" si="19"/>
        <x:v>65298.089374383722</x:v>
      </x:c>
    </x:row>
    <x:row r="51" spans="2:17" outlineLevel="2" x14ac:dyDescent="0.25">
      <x:c r="B51" s="1" t="s">
        <x:v>5</x:v>
      </x:c>
      <x:c r="C51" s="4">
        <x:v>2017</x:v>
      </x:c>
      <x:c r="D51" s="10">
        <x:f t="shared" si="16"/>
        <x:v>7.5</x:v>
      </x:c>
      <x:c r="E51" s="5">
        <x:v>256794.77000000002</x:v>
      </x:c>
      <x:c r="H51" s="5">
        <x:f t="shared" si="17"/>
        <x:v>256794.77000000002</x:v>
      </x:c>
      <x:c r="J51" s="5">
        <x:v>72</x:v>
      </x:c>
      <x:c r="K51" s="5">
        <x:v>64.980626000000001</x:v>
      </x:c>
      <x:c r="L51" s="6">
        <x:v>-0.45</x:v>
      </x:c>
      <x:c r="M51" s="5">
        <x:f t="shared" si="20"/>
        <x:v>36301.123211350976</x:v>
      </x:c>
      <x:c r="N51" s="5">
        <x:v>1.187150241151725</x:v>
      </x:c>
      <x:c r="O51" s="5">
        <x:f t="shared" si="18"/>
        <x:v>43094.887174433788</x:v>
      </x:c>
      <x:c r="Q51" s="5">
        <x:f t="shared" si="19"/>
        <x:v>43094.887174433788</x:v>
      </x:c>
    </x:row>
    <x:row r="52" spans="2:17" outlineLevel="2" x14ac:dyDescent="0.25">
      <x:c r="B52" s="1" t="s">
        <x:v>5</x:v>
      </x:c>
      <x:c r="C52" s="4">
        <x:v>2016</x:v>
      </x:c>
      <x:c r="D52" s="10">
        <x:f t="shared" si="16"/>
        <x:v>8.5</x:v>
      </x:c>
      <x:c r="E52" s="5">
        <x:v>26222278.819999997</x:v>
      </x:c>
      <x:c r="H52" s="5">
        <x:f t="shared" si="17"/>
        <x:v>26222278.819999997</x:v>
      </x:c>
      <x:c r="J52" s="5">
        <x:v>72</x:v>
      </x:c>
      <x:c r="K52" s="5">
        <x:v>64.057185000000004</x:v>
      </x:c>
      <x:c r="L52" s="6">
        <x:v>-0.45</x:v>
      </x:c>
      <x:c r="M52" s="5">
        <x:f t="shared" si="20"/>
        <x:v>4194501.7894615754</x:v>
      </x:c>
      <x:c r="N52" s="5">
        <x:v>1.187150241151725</x:v>
      </x:c>
      <x:c r="O52" s="5">
        <x:f t="shared" si="18"/>
        <x:v>4979503.8108706512</x:v>
      </x:c>
      <x:c r="Q52" s="5">
        <x:f t="shared" si="19"/>
        <x:v>4979503.8108706512</x:v>
      </x:c>
    </x:row>
    <x:row r="53" spans="2:17" outlineLevel="2" x14ac:dyDescent="0.25">
      <x:c r="B53" s="1" t="s">
        <x:v>5</x:v>
      </x:c>
      <x:c r="C53" s="4">
        <x:v>2015</x:v>
      </x:c>
      <x:c r="D53" s="10">
        <x:f t="shared" si="16"/>
        <x:v>9.5</x:v>
      </x:c>
      <x:c r="E53" s="5">
        <x:v>1604788.1600000001</x:v>
      </x:c>
      <x:c r="H53" s="5">
        <x:f t="shared" si="17"/>
        <x:v>1604788.1600000001</x:v>
      </x:c>
      <x:c r="J53" s="5">
        <x:v>72</x:v>
      </x:c>
      <x:c r="K53" s="5">
        <x:v>63.137146999999999</x:v>
      </x:c>
      <x:c r="L53" s="6">
        <x:v>-0.45</x:v>
      </x:c>
      <x:c r="M53" s="5">
        <x:f t="shared" si="20"/>
        <x:v>286435.4480474958</x:v>
      </x:c>
      <x:c r="N53" s="5">
        <x:v>1.187150241151725</x:v>
      </x:c>
      <x:c r="O53" s="5">
        <x:f t="shared" si="18"/>
        <x:v>340041.911223987</x:v>
      </x:c>
      <x:c r="Q53" s="5">
        <x:f t="shared" si="19"/>
        <x:v>340041.911223987</x:v>
      </x:c>
    </x:row>
    <x:row r="54" spans="2:17" outlineLevel="2" x14ac:dyDescent="0.25">
      <x:c r="B54" s="1" t="s">
        <x:v>5</x:v>
      </x:c>
      <x:c r="C54" s="4">
        <x:v>2014</x:v>
      </x:c>
      <x:c r="D54" s="10">
        <x:f t="shared" si="16"/>
        <x:v>10.5</x:v>
      </x:c>
      <x:c r="E54" s="5">
        <x:v>59019264.07</x:v>
      </x:c>
      <x:c r="H54" s="5">
        <x:f t="shared" si="17"/>
        <x:v>59019264.07</x:v>
      </x:c>
      <x:c r="J54" s="5">
        <x:v>72</x:v>
      </x:c>
      <x:c r="K54" s="5">
        <x:v>62.220633999999997</x:v>
      </x:c>
      <x:c r="L54" s="6">
        <x:v>-0.45</x:v>
      </x:c>
      <x:c r="M54" s="5">
        <x:f t="shared" si="20"/>
        <x:v>11623582.324544597</x:v>
      </x:c>
      <x:c r="N54" s="5">
        <x:v>1.187150241151725</x:v>
      </x:c>
      <x:c r="O54" s="5">
        <x:f t="shared" si="18"/>
        <x:v>13798938.559630048</x:v>
      </x:c>
      <x:c r="Q54" s="5">
        <x:f t="shared" si="19"/>
        <x:v>13798938.559630048</x:v>
      </x:c>
    </x:row>
    <x:row r="55" spans="2:17" outlineLevel="2" x14ac:dyDescent="0.25">
      <x:c r="B55" s="1" t="s">
        <x:v>5</x:v>
      </x:c>
      <x:c r="C55" s="4">
        <x:v>2013</x:v>
      </x:c>
      <x:c r="D55" s="10">
        <x:f t="shared" si="16"/>
        <x:v>11.5</x:v>
      </x:c>
      <x:c r="E55" s="5">
        <x:v>396589658.44</x:v>
      </x:c>
      <x:c r="H55" s="5">
        <x:f t="shared" si="17"/>
        <x:v>396589658.44</x:v>
      </x:c>
      <x:c r="J55" s="5">
        <x:v>72</x:v>
      </x:c>
      <x:c r="K55" s="5">
        <x:v>61.307281000000003</x:v>
      </x:c>
      <x:c r="L55" s="6">
        <x:v>-0.45</x:v>
      </x:c>
      <x:c r="M55" s="5">
        <x:f t="shared" si="20"/>
        <x:v>85401410.766765311</x:v>
      </x:c>
      <x:c r="N55" s="5">
        <x:v>1.187150241151725</x:v>
      </x:c>
      <x:c r="O55" s="5">
        <x:f t="shared" si="18"/>
        <x:v>101384305.38646296</x:v>
      </x:c>
      <x:c r="Q55" s="5">
        <x:f t="shared" si="19"/>
        <x:v>101384305.38646296</x:v>
      </x:c>
    </x:row>
    <x:row r="56" spans="2:17" outlineLevel="2" x14ac:dyDescent="0.25">
      <x:c r="B56" s="1" t="s">
        <x:v>5</x:v>
      </x:c>
      <x:c r="C56" s="4">
        <x:v>2012</x:v>
      </x:c>
      <x:c r="D56" s="10">
        <x:f t="shared" si="16"/>
        <x:v>12.5</x:v>
      </x:c>
      <x:c r="E56" s="5">
        <x:v>7814086.6900000004</x:v>
      </x:c>
      <x:c r="H56" s="5">
        <x:f t="shared" si="17"/>
        <x:v>7814086.6900000004</x:v>
      </x:c>
      <x:c r="J56" s="5">
        <x:v>72</x:v>
      </x:c>
      <x:c r="K56" s="5">
        <x:v>60.398108999999998</x:v>
      </x:c>
      <x:c r="L56" s="6">
        <x:v>-0.45</x:v>
      </x:c>
      <x:c r="M56" s="5">
        <x:f t="shared" si="20"/>
        <x:v>1825755.0550111067</x:v>
      </x:c>
      <x:c r="N56" s="5">
        <x:v>1.187150241151725</x:v>
      </x:c>
      <x:c r="O56" s="5">
        <x:f t="shared" si="18"/>
        <x:v>2167445.553840416</x:v>
      </x:c>
      <x:c r="Q56" s="5">
        <x:f t="shared" si="19"/>
        <x:v>2167445.553840416</x:v>
      </x:c>
    </x:row>
    <x:row r="57" spans="2:17" outlineLevel="2" x14ac:dyDescent="0.25">
      <x:c r="B57" s="1" t="s">
        <x:v>5</x:v>
      </x:c>
      <x:c r="C57" s="4">
        <x:v>1996</x:v>
      </x:c>
      <x:c r="D57" s="10">
        <x:f t="shared" si="16"/>
        <x:v>28.5</x:v>
      </x:c>
      <x:c r="E57" s="5">
        <x:v>1282780.33</x:v>
      </x:c>
      <x:c r="H57" s="5">
        <x:f t="shared" si="17"/>
        <x:v>1282780.33</x:v>
      </x:c>
      <x:c r="J57" s="5">
        <x:v>72</x:v>
      </x:c>
      <x:c r="K57" s="5">
        <x:v>46.439036000000002</x:v>
      </x:c>
      <x:c r="L57" s="6">
        <x:v>-0.45</x:v>
      </x:c>
      <x:c r="M57" s="5">
        <x:f t="shared" si="20"/>
        <x:v>660336.07862229552</x:v>
      </x:c>
      <x:c r="N57" s="5">
        <x:v>1.187150241151725</x:v>
      </x:c>
      <x:c r="O57" s="5">
        <x:f t="shared" si="18"/>
        <x:v>783918.13497764256</x:v>
      </x:c>
      <x:c r="Q57" s="5">
        <x:f t="shared" si="19"/>
        <x:v>783918.13497764256</x:v>
      </x:c>
    </x:row>
    <x:row r="58" spans="2:17" outlineLevel="1" x14ac:dyDescent="0.25">
      <x:c r="B58" s="3" t="s">
        <x:v>19</x:v>
      </x:c>
      <x:c r="E58" s="5">
        <x:f>SUBTOTAL(9,E48:E57)</x:f>
        <x:v>494788932.56999999</x:v>
      </x:c>
      <x:c r="F58" s="5">
        <x:f>SUBTOTAL(9,F48:F57)</x:f>
        <x:v>0</x:v>
      </x:c>
      <x:c r="H58" s="5">
        <x:f>SUBTOTAL(9,H48:H57)</x:f>
        <x:v>494788932.56999999</x:v>
      </x:c>
      <x:c r="M58" s="5">
        <x:f>SUBTOTAL(9,M48:M57)</x:f>
        <x:v>104244589.39389792</x:v>
      </x:c>
      <x:c r="N58" s="5">
        <x:v>1.187150241151725</x:v>
      </x:c>
      <x:c r="O58" s="1">
        <x:f>SUBTOTAL(9,O48:O57)</x:f>
        <x:v>123753989.43772845</x:v>
      </x:c>
      <x:c r="P58" s="5">
        <x:f>SUBTOTAL(9,P48:P57)</x:f>
        <x:v>0</x:v>
      </x:c>
      <x:c r="Q58" s="5">
        <x:f>SUBTOTAL(9,Q48:Q57)</x:f>
        <x:v>123753989.43772845</x:v>
      </x:c>
    </x:row>
    <x:row r="59" spans="2:17" outlineLevel="2" x14ac:dyDescent="0.25">
      <x:c r="B59" s="1" t="s">
        <x:v>6</x:v>
      </x:c>
      <x:c r="C59" s="4">
        <x:v>2024</x:v>
      </x:c>
      <x:c r="D59" s="10">
        <x:f t="shared" ref="D59:D82" si="21">2024.5-C59</x:f>
        <x:v>0.5</x:v>
      </x:c>
      <x:c r="E59" s="5">
        <x:v>51025.479999999996</x:v>
      </x:c>
      <x:c r="H59" s="5">
        <x:f t="shared" ref="H59:H82" si="22">E59</x:f>
        <x:v>51025.479999999996</x:v>
      </x:c>
      <x:c r="J59" s="5">
        <x:v>55</x:v>
      </x:c>
      <x:c r="K59" s="5">
        <x:v>54.587964999999997</x:v>
      </x:c>
      <x:c r="L59" s="6">
        <x:v>-0.75</x:v>
      </x:c>
      <x:c r="M59" s="5">
        <x:f t="shared" ref="M59:M82" si="23">(1-L59)*(1-K59/J59)*E59</x:f>
        <x:v>668.95447983000906</x:v>
      </x:c>
      <x:c r="N59" s="5">
        <x:v>1.187150241151725</x:v>
      </x:c>
      <x:c r="O59" s="5">
        <x:f t="shared" ref="O59:O82" si="24">IF((E59*(1-L59)-M59*N59)&lt;0,E59*(1-L59),M59*N59)</x:f>
        <x:v>794.14947204972202</x:v>
      </x:c>
      <x:c r="Q59" s="5">
        <x:f>$O$59</x:f>
        <x:v>794.14947204972202</x:v>
      </x:c>
    </x:row>
    <x:row r="60" spans="2:17" outlineLevel="2" x14ac:dyDescent="0.25">
      <x:c r="B60" s="1" t="s">
        <x:v>6</x:v>
      </x:c>
      <x:c r="C60" s="4">
        <x:v>2023</x:v>
      </x:c>
      <x:c r="D60" s="10">
        <x:f t="shared" si="21"/>
        <x:v>1.5</x:v>
      </x:c>
      <x:c r="E60" s="5">
        <x:v>48508.369999999995</x:v>
      </x:c>
      <x:c r="H60" s="5">
        <x:f t="shared" si="22"/>
        <x:v>48508.369999999995</x:v>
      </x:c>
      <x:c r="J60" s="5">
        <x:v>55</x:v>
      </x:c>
      <x:c r="K60" s="5">
        <x:v>53.766975000000002</x:v>
      </x:c>
      <x:c r="L60" s="6">
        <x:v>-0.75</x:v>
      </x:c>
      <x:c r="M60" s="5">
        <x:f t="shared" si="23"/>
        <x:v>1903.1101383397654</x:v>
      </x:c>
      <x:c r="N60" s="5">
        <x:v>1.187150241151725</x:v>
      </x:c>
      <x:c r="O60" s="5">
        <x:f t="shared" si="24"/>
        <x:v>2259.2776596683452</x:v>
      </x:c>
      <x:c r="Q60" s="5">
        <x:f t="shared" ref="Q60:Q82" si="25">+H60/E60*O60</x:f>
        <x:v>2259.2776596683452</x:v>
      </x:c>
    </x:row>
    <x:row r="61" spans="2:17" outlineLevel="2" x14ac:dyDescent="0.25">
      <x:c r="B61" s="1" t="s">
        <x:v>6</x:v>
      </x:c>
      <x:c r="C61" s="4">
        <x:v>2022</x:v>
      </x:c>
      <x:c r="D61" s="10">
        <x:f t="shared" si="21"/>
        <x:v>2.5</x:v>
      </x:c>
      <x:c r="E61" s="5">
        <x:v>59357.120000000003</x:v>
      </x:c>
      <x:c r="H61" s="5">
        <x:f t="shared" si="22"/>
        <x:v>59357.120000000003</x:v>
      </x:c>
      <x:c r="J61" s="5">
        <x:v>55</x:v>
      </x:c>
      <x:c r="K61" s="5">
        <x:v>52.950091999999998</x:v>
      </x:c>
      <x:c r="L61" s="6">
        <x:v>-0.75</x:v>
      </x:c>
      <x:c r="M61" s="5">
        <x:v>108439.59780130145</x:v>
      </x:c>
      <x:c r="N61" s="5">
        <x:v>1.187150241151725</x:v>
      </x:c>
      <x:c r="O61" s="5">
        <x:v>115883.55500363326</x:v>
      </x:c>
      <x:c r="Q61" s="5">
        <x:v>115883.55500363324</x:v>
      </x:c>
    </x:row>
    <x:row r="62" spans="2:17" outlineLevel="2" x14ac:dyDescent="0.25">
      <x:c r="B62" s="1" t="s">
        <x:v>6</x:v>
      </x:c>
      <x:c r="C62" s="4">
        <x:v>2021</x:v>
      </x:c>
      <x:c r="D62" s="10">
        <x:f t="shared" si="21"/>
        <x:v>3.5</x:v>
      </x:c>
      <x:c r="E62" s="5">
        <x:v>-681191.09</x:v>
      </x:c>
      <x:c r="H62" s="5">
        <x:f t="shared" si="22"/>
        <x:v>-681191.09</x:v>
      </x:c>
      <x:c r="J62" s="5">
        <x:v>55</x:v>
      </x:c>
      <x:c r="K62" s="5">
        <x:v>52.137321</x:v>
      </x:c>
      <x:c r="L62" s="6">
        <x:v>-0.75</x:v>
      </x:c>
      <x:c r="M62" s="5">
        <x:v>108439.59780130145</x:v>
      </x:c>
      <x:c r="N62" s="5">
        <x:v>1.187150241151725</x:v>
      </x:c>
      <x:c r="O62" s="5">
        <x:v>115883.55500363326</x:v>
      </x:c>
      <x:c r="Q62" s="5">
        <x:v>115883.55500363324</x:v>
      </x:c>
    </x:row>
    <x:row r="63" spans="2:17" outlineLevel="2" x14ac:dyDescent="0.25">
      <x:c r="B63" s="1" t="s">
        <x:v>6</x:v>
      </x:c>
      <x:c r="C63" s="4">
        <x:v>2020</x:v>
      </x:c>
      <x:c r="D63" s="10">
        <x:f t="shared" si="21"/>
        <x:v>4.5</x:v>
      </x:c>
      <x:c r="E63" s="5">
        <x:v>2064150.88</x:v>
      </x:c>
      <x:c r="H63" s="5">
        <x:f t="shared" si="22"/>
        <x:v>2064150.88</x:v>
      </x:c>
      <x:c r="J63" s="5">
        <x:v>55</x:v>
      </x:c>
      <x:c r="K63" s="5">
        <x:v>51.328674999999997</x:v>
      </x:c>
      <x:c r="L63" s="6">
        <x:v>-0.75</x:v>
      </x:c>
      <x:c r="M63" s="5">
        <x:v>108439.59780130145</x:v>
      </x:c>
      <x:c r="N63" s="5">
        <x:v>1.187150241151725</x:v>
      </x:c>
      <x:c r="O63" s="5">
        <x:v>115883.55500363326</x:v>
      </x:c>
      <x:c r="Q63" s="5">
        <x:v>115883.55500363324</x:v>
      </x:c>
    </x:row>
    <x:row r="64" spans="2:17" outlineLevel="2" x14ac:dyDescent="0.25">
      <x:c r="B64" s="1" t="s">
        <x:v>6</x:v>
      </x:c>
      <x:c r="C64" s="4">
        <x:v>2019</x:v>
      </x:c>
      <x:c r="D64" s="10">
        <x:f t="shared" si="21"/>
        <x:v>5.5</x:v>
      </x:c>
      <x:c r="E64" s="5">
        <x:v>1662563.2200000002</x:v>
      </x:c>
      <x:c r="H64" s="5">
        <x:f t="shared" si="22"/>
        <x:v>1662563.2200000002</x:v>
      </x:c>
      <x:c r="J64" s="5">
        <x:v>55</x:v>
      </x:c>
      <x:c r="K64" s="5">
        <x:v>50.524169999999998</x:v>
      </x:c>
      <x:c r="L64" s="6">
        <x:v>-0.75</x:v>
      </x:c>
      <x:c r="M64" s="5">
        <x:v>108439.59780130145</x:v>
      </x:c>
      <x:c r="N64" s="5">
        <x:v>1.187150241151725</x:v>
      </x:c>
      <x:c r="O64" s="5">
        <x:v>115883.55500363326</x:v>
      </x:c>
      <x:c r="Q64" s="5">
        <x:v>115883.55500363324</x:v>
      </x:c>
    </x:row>
    <x:row r="65" spans="2:17" outlineLevel="2" x14ac:dyDescent="0.25">
      <x:c r="B65" s="1" t="s">
        <x:v>6</x:v>
      </x:c>
      <x:c r="C65" s="4">
        <x:v>2018</x:v>
      </x:c>
      <x:c r="D65" s="10">
        <x:f t="shared" si="21"/>
        <x:v>6.5</x:v>
      </x:c>
      <x:c r="E65" s="5">
        <x:v>6983796.7699999996</x:v>
      </x:c>
      <x:c r="H65" s="5">
        <x:f t="shared" si="22"/>
        <x:v>6983796.7699999996</x:v>
      </x:c>
      <x:c r="J65" s="5">
        <x:v>55</x:v>
      </x:c>
      <x:c r="K65" s="5">
        <x:v>49.724181000000002</x:v>
      </x:c>
      <x:c r="L65" s="6">
        <x:v>-0.75</x:v>
      </x:c>
      <x:c r="M65" s="5">
        <x:f t="shared" si="23"/>
        <x:v>1172348.7901778736</x:v>
      </x:c>
      <x:c r="N65" s="5">
        <x:v>1.187150241151725</x:v>
      </x:c>
      <x:c r="O65" s="5">
        <x:f t="shared" si="24"/>
        <x:v>1391754.1489735956</x:v>
      </x:c>
      <x:c r="Q65" s="5">
        <x:f t="shared" si="25"/>
        <x:v>1391754.1489735956</x:v>
      </x:c>
    </x:row>
    <x:row r="66" spans="2:17" outlineLevel="2" x14ac:dyDescent="0.25">
      <x:c r="B66" s="1" t="s">
        <x:v>6</x:v>
      </x:c>
      <x:c r="C66" s="4">
        <x:v>2017</x:v>
      </x:c>
      <x:c r="D66" s="10">
        <x:f t="shared" si="21"/>
        <x:v>7.5</x:v>
      </x:c>
      <x:c r="E66" s="5">
        <x:v>11756605.600000001</x:v>
      </x:c>
      <x:c r="H66" s="5">
        <x:f t="shared" si="22"/>
        <x:v>11756605.600000001</x:v>
      </x:c>
      <x:c r="J66" s="5">
        <x:v>55</x:v>
      </x:c>
      <x:c r="K66" s="5">
        <x:v>48.928370000000001</x:v>
      </x:c>
      <x:c r="L66" s="6">
        <x:v>-0.75</x:v>
      </x:c>
      <x:c r="M66" s="5">
        <x:f t="shared" si="23"/>
        <x:v>2271237.7946086186</x:v>
      </x:c>
      <x:c r="N66" s="5">
        <x:v>1.187150241151725</x:v>
      </x:c>
      <x:c r="O66" s="5">
        <x:f t="shared" si="24"/>
        <x:v>2696300.4955825335</x:v>
      </x:c>
      <x:c r="Q66" s="5">
        <x:f t="shared" si="25"/>
        <x:v>2696300.4955825335</x:v>
      </x:c>
    </x:row>
    <x:row r="67" spans="2:17" ht="15.8" customHeight="1" outlineLevel="2" x14ac:dyDescent="0.25">
      <x:c r="B67" s="1" t="s">
        <x:v>6</x:v>
      </x:c>
      <x:c r="C67" s="4">
        <x:v>2016</x:v>
      </x:c>
      <x:c r="D67" s="10">
        <x:f t="shared" si="21"/>
        <x:v>8.5</x:v>
      </x:c>
      <x:c r="E67" s="5">
        <x:v>59868762.360000007</x:v>
      </x:c>
      <x:c r="H67" s="5">
        <x:f t="shared" si="22"/>
        <x:v>59868762.360000007</x:v>
      </x:c>
      <x:c r="J67" s="5">
        <x:v>55</x:v>
      </x:c>
      <x:c r="K67" s="5">
        <x:v>48.136744</x:v>
      </x:c>
      <x:c r="L67" s="6">
        <x:v>-0.75</x:v>
      </x:c>
      <x:c r="M67" s="5">
        <x:f t="shared" si="23"/>
        <x:v>13073920.442540497</x:v>
      </x:c>
      <x:c r="N67" s="5">
        <x:v>1.187150241151725</x:v>
      </x:c>
      <x:c r="O67" s="5">
        <x:f t="shared" si="24"/>
        <x:v>15520707.806160416</x:v>
      </x:c>
      <x:c r="Q67" s="5">
        <x:f t="shared" si="25"/>
        <x:v>15520707.806160416</x:v>
      </x:c>
    </x:row>
    <x:row r="68" spans="2:17" ht="15.8" customHeight="1" outlineLevel="2" x14ac:dyDescent="0.25">
      <x:c r="B68" s="1" t="s">
        <x:v>6</x:v>
      </x:c>
      <x:c r="C68" s="4">
        <x:v>2015</x:v>
      </x:c>
      <x:c r="D68" s="10">
        <x:f t="shared" si="21"/>
        <x:v>9.5</x:v>
      </x:c>
      <x:c r="E68" s="5">
        <x:v>5816342.8399999999</x:v>
      </x:c>
      <x:c r="H68" s="5">
        <x:f t="shared" si="22"/>
        <x:v>5816342.8399999999</x:v>
      </x:c>
      <x:c r="J68" s="5">
        <x:v>55</x:v>
      </x:c>
      <x:c r="K68" s="5">
        <x:v>47.349316999999999</x:v>
      </x:c>
      <x:c r="L68" s="6">
        <x:v>-0.75</x:v>
      </x:c>
      <x:c r="M68" s="5">
        <x:f t="shared" si="23"/>
        <x:v>1415877.1228050827</x:v>
      </x:c>
      <x:c r="N68" s="5">
        <x:v>1.187150241151725</x:v>
      </x:c>
      <x:c r="O68" s="5">
        <x:f t="shared" si="24"/>
        <x:v>1680858.8677792645</x:v>
      </x:c>
      <x:c r="Q68" s="5">
        <x:f t="shared" si="25"/>
        <x:v>1680858.8677792645</x:v>
      </x:c>
    </x:row>
    <x:row r="69" spans="2:17" ht="15.8" customHeight="1" outlineLevel="2" x14ac:dyDescent="0.25">
      <x:c r="B69" s="1" t="s">
        <x:v>6</x:v>
      </x:c>
      <x:c r="C69" s="4">
        <x:v>2014</x:v>
      </x:c>
      <x:c r="D69" s="10">
        <x:f t="shared" si="21"/>
        <x:v>10.5</x:v>
      </x:c>
      <x:c r="E69" s="5">
        <x:v>24042087.029999997</x:v>
      </x:c>
      <x:c r="H69" s="5">
        <x:f t="shared" si="22"/>
        <x:v>24042087.029999997</x:v>
      </x:c>
      <x:c r="J69" s="5">
        <x:v>55</x:v>
      </x:c>
      <x:c r="K69" s="5">
        <x:v>46.566093000000002</x:v>
      </x:c>
      <x:c r="L69" s="6">
        <x:v>-0.75</x:v>
      </x:c>
      <x:c r="M69" s="5">
        <x:f t="shared" si="23"/>
        <x:v>6451732.1939931046</x:v>
      </x:c>
      <x:c r="N69" s="5">
        <x:v>1.187150241151725</x:v>
      </x:c>
      <x:c r="O69" s="5">
        <x:f t="shared" si="24"/>
        <x:v>7659175.4299452621</x:v>
      </x:c>
      <x:c r="Q69" s="5">
        <x:f t="shared" si="25"/>
        <x:v>7659175.4299452621</x:v>
      </x:c>
    </x:row>
    <x:row r="70" spans="2:17" ht="15.8" customHeight="1" outlineLevel="2" x14ac:dyDescent="0.25">
      <x:c r="B70" s="1" t="s">
        <x:v>6</x:v>
      </x:c>
      <x:c r="C70" s="4">
        <x:v>2013</x:v>
      </x:c>
      <x:c r="D70" s="10">
        <x:f t="shared" si="21"/>
        <x:v>11.5</x:v>
      </x:c>
      <x:c r="E70" s="5">
        <x:v>93824015.940000027</x:v>
      </x:c>
      <x:c r="H70" s="5">
        <x:f t="shared" si="22"/>
        <x:v>93824015.940000027</x:v>
      </x:c>
      <x:c r="J70" s="5">
        <x:v>55</x:v>
      </x:c>
      <x:c r="K70" s="5">
        <x:v>45.787289000000001</x:v>
      </x:c>
      <x:c r="L70" s="6">
        <x:v>-0.75</x:v>
      </x:c>
      <x:c r="M70" s="5">
        <x:f t="shared" si="23"/>
        <x:v>27502794.572737694</x:v>
      </x:c>
      <x:c r="N70" s="5">
        <x:v>1.187150241151725</x:v>
      </x:c>
      <x:c r="O70" s="5">
        <x:f t="shared" si="24"/>
        <x:v>32649949.209371906</x:v>
      </x:c>
      <x:c r="Q70" s="5">
        <x:f t="shared" si="25"/>
        <x:v>32649949.209371906</x:v>
      </x:c>
    </x:row>
    <x:row r="71" spans="2:17" ht="15.8" customHeight="1" outlineLevel="2" x14ac:dyDescent="0.25">
      <x:c r="B71" s="1" t="s">
        <x:v>6</x:v>
      </x:c>
      <x:c r="C71" s="4">
        <x:v>2012</x:v>
      </x:c>
      <x:c r="D71" s="10">
        <x:f t="shared" si="21"/>
        <x:v>12.5</x:v>
      </x:c>
      <x:c r="E71" s="5">
        <x:v>781408.68</x:v>
      </x:c>
      <x:c r="H71" s="5">
        <x:f t="shared" si="22"/>
        <x:v>781408.68</x:v>
      </x:c>
      <x:c r="J71" s="5">
        <x:v>55</x:v>
      </x:c>
      <x:c r="K71" s="5">
        <x:v>45.012915999999997</x:v>
      </x:c>
      <x:c r="L71" s="6">
        <x:v>-0.75</x:v>
      </x:c>
      <x:c r="M71" s="5">
        <x:f t="shared" si="23"/>
        <x:v>248308.90399283567</x:v>
      </x:c>
      <x:c r="N71" s="5">
        <x:v>1.187150241151725</x:v>
      </x:c>
      <x:c r="O71" s="5">
        <x:f t="shared" si="24"/>
        <x:v>294779.97525521537</x:v>
      </x:c>
      <x:c r="Q71" s="5">
        <x:f t="shared" si="25"/>
        <x:v>294779.97525521537</x:v>
      </x:c>
    </x:row>
    <x:row r="72" spans="2:17" ht="15.8" customHeight="1" outlineLevel="2" x14ac:dyDescent="0.25">
      <x:c r="B72" s="1" t="s">
        <x:v>6</x:v>
      </x:c>
      <x:c r="C72" s="4">
        <x:v>2011</x:v>
      </x:c>
      <x:c r="D72" s="10">
        <x:f t="shared" si="21"/>
        <x:v>13.5</x:v>
      </x:c>
      <x:c r="E72" s="5">
        <x:v>379676.01</x:v>
      </x:c>
      <x:c r="H72" s="5">
        <x:f t="shared" si="22"/>
        <x:v>379676.01</x:v>
      </x:c>
      <x:c r="J72" s="5">
        <x:v>55</x:v>
      </x:c>
      <x:c r="K72" s="5">
        <x:v>44.242801999999998</x:v>
      </x:c>
      <x:c r="L72" s="6">
        <x:v>-0.75</x:v>
      </x:c>
      <x:c r="M72" s="5">
        <x:f t="shared" si="23"/>
        <x:v>129953.40958154482</x:v>
      </x:c>
      <x:c r="N72" s="5">
        <x:v>1.187150241151725</x:v>
      </x:c>
      <x:c r="O72" s="5">
        <x:f t="shared" si="24"/>
        <x:v>154274.22152321984</x:v>
      </x:c>
      <x:c r="Q72" s="5">
        <x:f t="shared" si="25"/>
        <x:v>154274.22152321984</x:v>
      </x:c>
    </x:row>
    <x:row r="73" spans="2:17" ht="15.8" customHeight="1" outlineLevel="2" x14ac:dyDescent="0.25">
      <x:c r="B73" s="1" t="s">
        <x:v>6</x:v>
      </x:c>
      <x:c r="C73" s="4">
        <x:v>2010</x:v>
      </x:c>
      <x:c r="D73" s="10">
        <x:f t="shared" si="21"/>
        <x:v>14.5</x:v>
      </x:c>
      <x:c r="E73" s="5">
        <x:v>15689.65</x:v>
      </x:c>
      <x:c r="H73" s="5">
        <x:f t="shared" si="22"/>
        <x:v>15689.65</x:v>
      </x:c>
      <x:c r="J73" s="5">
        <x:v>55</x:v>
      </x:c>
      <x:c r="K73" s="5">
        <x:v>43.476956999999999</x:v>
      </x:c>
      <x:c r="L73" s="6">
        <x:v>-0.75</x:v>
      </x:c>
      <x:c r="M73" s="5">
        <x:f t="shared" si="23"/>
        <x:v>5752.4890056120448</x:v>
      </x:c>
      <x:c r="N73" s="5">
        <x:v>1.187150241151725</x:v>
      </x:c>
      <x:c r="O73" s="5">
        <x:f t="shared" si="24"/>
        <x:v>6829.0687102349857</x:v>
      </x:c>
      <x:c r="Q73" s="5">
        <x:f t="shared" si="25"/>
        <x:v>6829.0687102349857</x:v>
      </x:c>
    </x:row>
    <x:row r="74" spans="2:17" ht="15.8" customHeight="1" outlineLevel="2" x14ac:dyDescent="0.25">
      <x:c r="B74" s="1" t="s">
        <x:v>6</x:v>
      </x:c>
      <x:c r="C74" s="4">
        <x:v>2009</x:v>
      </x:c>
      <x:c r="D74" s="10">
        <x:f t="shared" si="21"/>
        <x:v>15.5</x:v>
      </x:c>
      <x:c r="E74" s="5">
        <x:v>416730.68</x:v>
      </x:c>
      <x:c r="H74" s="5">
        <x:f t="shared" si="22"/>
        <x:v>416730.68</x:v>
      </x:c>
      <x:c r="J74" s="5">
        <x:v>55</x:v>
      </x:c>
      <x:c r="K74" s="5">
        <x:v>42.715392999999999</x:v>
      </x:c>
      <x:c r="L74" s="6">
        <x:v>-0.75</x:v>
      </x:c>
      <x:c r="M74" s="5">
        <x:f t="shared" si="23"/>
        <x:v>162889.12909317872</x:v>
      </x:c>
      <x:c r="N74" s="5">
        <x:v>1.187150241151725</x:v>
      </x:c>
      <x:c r="O74" s="5">
        <x:f t="shared" si="24"/>
        <x:v>193373.86888396158</x:v>
      </x:c>
      <x:c r="Q74" s="5">
        <x:f t="shared" si="25"/>
        <x:v>193373.86888396158</x:v>
      </x:c>
    </x:row>
    <x:row r="75" spans="2:17" ht="15.8" customHeight="1" outlineLevel="2" x14ac:dyDescent="0.25">
      <x:c r="B75" s="1" t="s">
        <x:v>6</x:v>
      </x:c>
      <x:c r="C75" s="4">
        <x:v>2008</x:v>
      </x:c>
      <x:c r="D75" s="10">
        <x:f t="shared" si="21"/>
        <x:v>16.5</x:v>
      </x:c>
      <x:c r="E75" s="5">
        <x:v>74902</x:v>
      </x:c>
      <x:c r="H75" s="5">
        <x:f t="shared" si="22"/>
        <x:v>74902</x:v>
      </x:c>
      <x:c r="J75" s="5">
        <x:v>55</x:v>
      </x:c>
      <x:c r="K75" s="5">
        <x:v>41.958131000000002</x:v>
      </x:c>
      <x:c r="L75" s="6">
        <x:v>-0.75</x:v>
      </x:c>
      <x:c r="M75" s="5">
        <x:f t="shared" si="23"/>
        <x:v>31081.975013027262</x:v>
      </x:c>
      <x:c r="N75" s="5">
        <x:v>1.187150241151725</x:v>
      </x:c>
      <x:c r="O75" s="5">
        <x:f t="shared" si="24"/>
        <x:v>36898.974132187206</x:v>
      </x:c>
      <x:c r="Q75" s="5">
        <x:f t="shared" si="25"/>
        <x:v>36898.974132187206</x:v>
      </x:c>
    </x:row>
    <x:row r="76" spans="2:17" ht="15.8" customHeight="1" outlineLevel="2" x14ac:dyDescent="0.25">
      <x:c r="B76" s="1" t="s">
        <x:v>6</x:v>
      </x:c>
      <x:c r="C76" s="4">
        <x:v>2007</x:v>
      </x:c>
      <x:c r="D76" s="10">
        <x:f t="shared" si="21"/>
        <x:v>17.5</x:v>
      </x:c>
      <x:c r="E76" s="5">
        <x:v>22296.92</x:v>
      </x:c>
      <x:c r="H76" s="5">
        <x:f t="shared" si="22"/>
        <x:v>22296.92</x:v>
      </x:c>
      <x:c r="J76" s="5">
        <x:v>55</x:v>
      </x:c>
      <x:c r="K76" s="5">
        <x:v>41.205634000000003</x:v>
      </x:c>
      <x:c r="L76" s="6">
        <x:v>-0.75</x:v>
      </x:c>
      <x:c r="M76" s="5">
        <x:f t="shared" si="23"/>
        <x:v>9786.3778457683602</x:v>
      </x:c>
      <x:c r="N76" s="5">
        <x:v>1.187150241151725</x:v>
      </x:c>
      <x:c r="O76" s="5">
        <x:f t="shared" si="24"/>
        <x:v>11617.900819605808</x:v>
      </x:c>
      <x:c r="Q76" s="5">
        <x:f t="shared" si="25"/>
        <x:v>11617.900819605808</x:v>
      </x:c>
    </x:row>
    <x:row r="77" spans="2:17" outlineLevel="2" x14ac:dyDescent="0.25">
      <x:c r="B77" s="1" t="s">
        <x:v>6</x:v>
      </x:c>
      <x:c r="C77" s="4">
        <x:v>2006</x:v>
      </x:c>
      <x:c r="D77" s="10">
        <x:f t="shared" si="21"/>
        <x:v>18.5</x:v>
      </x:c>
      <x:c r="E77" s="5">
        <x:v>1123869.1200000001</x:v>
      </x:c>
      <x:c r="H77" s="5">
        <x:f t="shared" si="22"/>
        <x:v>1123869.1200000001</x:v>
      </x:c>
      <x:c r="J77" s="5">
        <x:v>55</x:v>
      </x:c>
      <x:c r="K77" s="5">
        <x:v>40.457611</x:v>
      </x:c>
      <x:c r="L77" s="6">
        <x:v>-0.75</x:v>
      </x:c>
      <x:c r="M77" s="5">
        <x:f t="shared" si="23"/>
        <x:v>520028.15225860802</x:v>
      </x:c>
      <x:c r="N77" s="5">
        <x:v>1.187150241151725</x:v>
      </x:c>
      <x:c r="O77" s="5">
        <x:f t="shared" si="24"/>
        <x:v>617351.54635949247</x:v>
      </x:c>
      <x:c r="Q77" s="5">
        <x:f t="shared" si="25"/>
        <x:v>617351.54635949247</x:v>
      </x:c>
    </x:row>
    <x:row r="78" spans="2:17" outlineLevel="2" x14ac:dyDescent="0.25">
      <x:c r="B78" s="1" t="s">
        <x:v>6</x:v>
      </x:c>
      <x:c r="C78" s="4">
        <x:v>2005</x:v>
      </x:c>
      <x:c r="D78" s="10">
        <x:f t="shared" si="21"/>
        <x:v>19.5</x:v>
      </x:c>
      <x:c r="E78" s="5">
        <x:v>17743.439999999999</x:v>
      </x:c>
      <x:c r="H78" s="5">
        <x:f t="shared" si="22"/>
        <x:v>17743.439999999999</x:v>
      </x:c>
      <x:c r="J78" s="5">
        <x:v>55</x:v>
      </x:c>
      <x:c r="K78" s="5">
        <x:v>46.566093000000002</x:v>
      </x:c>
      <x:c r="L78" s="6">
        <x:v>-0.75</x:v>
      </x:c>
      <x:c r="M78" s="5">
        <x:f t="shared" si="23"/>
        <x:v>4761.4802715479991</x:v>
      </x:c>
      <x:c r="N78" s="5">
        <x:v>1.187150241151725</x:v>
      </x:c>
      <x:c r="O78" s="5">
        <x:f t="shared" si="24"/>
        <x:v>5652.5924526073877</x:v>
      </x:c>
      <x:c r="Q78" s="5">
        <x:f t="shared" si="25"/>
        <x:v>5652.5924526073877</x:v>
      </x:c>
    </x:row>
    <x:row r="79" spans="2:17" outlineLevel="2" x14ac:dyDescent="0.25">
      <x:c r="B79" s="1" t="s">
        <x:v>6</x:v>
      </x:c>
      <x:c r="C79" s="4">
        <x:v>2004</x:v>
      </x:c>
      <x:c r="D79" s="10">
        <x:f t="shared" si="21"/>
        <x:v>20.5</x:v>
      </x:c>
      <x:c r="E79" s="5">
        <x:v>47093.04</x:v>
      </x:c>
      <x:c r="H79" s="5">
        <x:f t="shared" si="22"/>
        <x:v>47093.04</x:v>
      </x:c>
      <x:c r="J79" s="5">
        <x:v>55</x:v>
      </x:c>
      <x:c r="K79" s="5">
        <x:v>45.787289000000001</x:v>
      </x:c>
      <x:c r="L79" s="6">
        <x:v>-0.75</x:v>
      </x:c>
      <x:c r="M79" s="5">
        <x:f t="shared" si="23"/>
        <x:v>13804.463515545813</x:v>
      </x:c>
      <x:c r="N79" s="5">
        <x:v>1.187150241151725</x:v>
      </x:c>
      <x:c r="O79" s="5">
        <x:f t="shared" si="24"/>
        <x:v>16387.972191450401</x:v>
      </x:c>
      <x:c r="Q79" s="5">
        <x:f t="shared" si="25"/>
        <x:v>16387.972191450401</x:v>
      </x:c>
    </x:row>
    <x:row r="80" spans="2:17" outlineLevel="2" x14ac:dyDescent="0.25">
      <x:c r="B80" s="1" t="s">
        <x:v>6</x:v>
      </x:c>
      <x:c r="C80" s="4">
        <x:v>1996</x:v>
      </x:c>
      <x:c r="D80" s="10">
        <x:f t="shared" si="21"/>
        <x:v>28.5</x:v>
      </x:c>
      <x:c r="E80" s="5">
        <x:v>16589401.130000001</x:v>
      </x:c>
      <x:c r="H80" s="5">
        <x:f t="shared" si="22"/>
        <x:v>16589401.130000001</x:v>
      </x:c>
      <x:c r="J80" s="5">
        <x:v>55</x:v>
      </x:c>
      <x:c r="K80" s="5">
        <x:v>33.258116999999999</x:v>
      </x:c>
      <x:c r="L80" s="6">
        <x:v>-0.75</x:v>
      </x:c>
      <x:c r="M80" s="5">
        <x:f t="shared" si="23"/>
        <x:v>11476335.13118043</x:v>
      </x:c>
      <x:c r="N80" s="5">
        <x:v>1.187150241151725</x:v>
      </x:c>
      <x:c r="O80" s="5">
        <x:f t="shared" si="24"/>
        <x:v>13624134.01851886</x:v>
      </x:c>
      <x:c r="Q80" s="5">
        <x:f t="shared" si="25"/>
        <x:v>13624134.01851886</x:v>
      </x:c>
    </x:row>
    <x:row r="81" spans="2:17" outlineLevel="2" x14ac:dyDescent="0.25">
      <x:c r="B81" s="1" t="s">
        <x:v>6</x:v>
      </x:c>
      <x:c r="C81" s="4">
        <x:v>1993</x:v>
      </x:c>
      <x:c r="D81" s="10">
        <x:f t="shared" si="21"/>
        <x:v>31.5</x:v>
      </x:c>
      <x:c r="E81" s="5">
        <x:v>126532.26000000001</x:v>
      </x:c>
      <x:c r="H81" s="5">
        <x:f t="shared" si="22"/>
        <x:v>126532.26000000001</x:v>
      </x:c>
      <x:c r="J81" s="5">
        <x:v>55</x:v>
      </x:c>
      <x:c r="K81" s="5">
        <x:v>31.214168999999998</x:v>
      </x:c>
      <x:c r="L81" s="6">
        <x:v>-0.75</x:v>
      </x:c>
      <x:c r="M81" s="5">
        <x:f t="shared" ref="M81" si="26">(1-L81)*(1-K81/J81)*E81</x:f>
        <x:v>95762.384849347392</x:v>
      </x:c>
      <x:c r="N81" s="5">
        <x:v>1.187150241151725</x:v>
      </x:c>
      <x:c r="O81" s="5">
        <x:f t="shared" ref="O81" si="27">IF((E81*(1-L81)-M81*N81)&lt;0,E81*(1-L81),M81*N81)</x:f>
        <x:v>113684.33826716706</x:v>
      </x:c>
      <x:c r="Q81" s="5">
        <x:f t="shared" ref="Q81" si="28">+H81/E81*O81</x:f>
        <x:v>113684.33826716706</x:v>
      </x:c>
    </x:row>
    <x:row r="82" spans="2:17" outlineLevel="2" x14ac:dyDescent="0.25">
      <x:c r="B82" s="1" t="s">
        <x:v>6</x:v>
      </x:c>
      <x:c r="C82" s="4">
        <x:v>1976</x:v>
      </x:c>
      <x:c r="D82" s="10">
        <x:f t="shared" si="21"/>
        <x:v>48.5</x:v>
      </x:c>
      <x:c r="E82" s="5">
        <x:v>2118.44</x:v>
      </x:c>
      <x:c r="H82" s="5">
        <x:f t="shared" si="22"/>
        <x:v>2118.44</x:v>
      </x:c>
      <x:c r="J82" s="5">
        <x:v>55</x:v>
      </x:c>
      <x:c r="K82" s="5">
        <x:v>20.933610000000002</x:v>
      </x:c>
      <x:c r="L82" s="6">
        <x:v>-0.75</x:v>
      </x:c>
      <x:c r="M82" s="5">
        <x:f t="shared" si="23"/>
        <x:v>2296.2419210054545</x:v>
      </x:c>
      <x:c r="N82" s="5">
        <x:v>1.187150241151725</x:v>
      </x:c>
      <x:c r="O82" s="5">
        <x:f t="shared" si="24"/>
        <x:v>2725.9841502643253</x:v>
      </x:c>
      <x:c r="Q82" s="5">
        <x:f t="shared" si="25"/>
        <x:v>2725.9841502643253</x:v>
      </x:c>
    </x:row>
    <x:row r="83" spans="2:17" outlineLevel="1" x14ac:dyDescent="0.25">
      <x:c r="B83" s="3" t="s">
        <x:v>20</x:v>
      </x:c>
      <x:c r="E83" s="5">
        <x:f>SUBTOTAL(9,E59:E82)</x:f>
        <x:v>225093485.89000002</x:v>
      </x:c>
      <x:c r="F83" s="5">
        <x:f>SUBTOTAL(9,F59:F82)</x:f>
        <x:v>0</x:v>
      </x:c>
      <x:c r="H83" s="5">
        <x:f>SUBTOTAL(9,H59:H82)</x:f>
        <x:v>225093485.89000002</x:v>
      </x:c>
      <x:c r="M83" s="5">
        <x:f>SUBTOTAL(9,M59:M82)</x:f>
        <x:v>65025001.511214688</x:v>
      </x:c>
      <x:c r="N83" s="5">
        <x:v>1.187150241151725</x:v>
      </x:c>
      <x:c r="O83" s="5">
        <x:f>SUBTOTAL(9,O59:O82)</x:f>
        <x:v>77143044.066223502</x:v>
      </x:c>
      <x:c r="P83" s="5">
        <x:f>SUBTOTAL(9,P59:P82)</x:f>
        <x:v>0</x:v>
      </x:c>
      <x:c r="Q83" s="5">
        <x:f>SUBTOTAL(9,Q59:Q82)</x:f>
        <x:v>77143044.066223502</x:v>
      </x:c>
    </x:row>
    <x:row r="84" spans="2:17" outlineLevel="2" x14ac:dyDescent="0.25">
      <x:c r="B84" s="1" t="s">
        <x:v>7</x:v>
      </x:c>
      <x:c r="C84" s="4">
        <x:v>2024</x:v>
      </x:c>
      <x:c r="D84" s="10">
        <x:f t="shared" ref="D84:D105" si="29">2024.5-C84</x:f>
        <x:v>0.5</x:v>
      </x:c>
      <x:c r="E84" s="5">
        <x:v>589.01</x:v>
      </x:c>
      <x:c r="G84" s="5" t="s">
        <x:v>23</x:v>
      </x:c>
      <x:c r="H84" s="5">
        <x:f t="shared" ref="H84:H105" si="30">E84</x:f>
        <x:v>589.01</x:v>
      </x:c>
      <x:c r="J84" s="5">
        <x:v>60</x:v>
      </x:c>
      <x:c r="K84" s="5">
        <x:v>59.628779999999999</x:v>
      </x:c>
      <x:c r="L84" s="6">
        <x:v>-0.45</x:v>
      </x:c>
      <x:c r="M84" s="5">
        <x:f t="shared" ref="M84:M87" si="31">(1-L84)*(1-K84/J84)*E84</x:f>
        <x:v>5.2840970615000451</x:v>
      </x:c>
      <x:c r="N84" s="5">
        <x:v>1.187150241151725</x:v>
      </x:c>
      <x:c r="O84" s="5">
        <x:f t="shared" ref="O84:O87" si="32">IF((E84*(1-L84)-M84*N84)&lt;0,E84*(1-L84),M84*N84)</x:f>
        <x:v>6.2730171008289002</x:v>
      </x:c>
      <x:c r="Q84" s="5">
        <x:f t="shared" ref="Q84:Q87" si="33">+H84/E84*O84</x:f>
        <x:v>6.2730171008289002</x:v>
      </x:c>
    </x:row>
    <x:row r="85" spans="2:17" outlineLevel="2" x14ac:dyDescent="0.25">
      <x:c r="B85" s="1" t="s">
        <x:v>7</x:v>
      </x:c>
      <x:c r="C85" s="4">
        <x:v>2023</x:v>
      </x:c>
      <x:c r="D85" s="10">
        <x:f t="shared" si="29"/>
        <x:v>1.5</x:v>
      </x:c>
      <x:c r="E85" s="5">
        <x:v>234493.94</x:v>
      </x:c>
      <x:c r="H85" s="5">
        <x:f t="shared" si="30"/>
        <x:v>234493.94</x:v>
      </x:c>
      <x:c r="J85" s="5">
        <x:v>60</x:v>
      </x:c>
      <x:c r="K85" s="5">
        <x:v>58.889114999999997</x:v>
      </x:c>
      <x:c r="L85" s="6">
        <x:v>-0.45</x:v>
      </x:c>
      <x:c r="M85" s="5">
        <x:f t="shared" si="31"/>
        <x:v>6295.3151796417578</x:v>
      </x:c>
      <x:c r="N85" s="5">
        <x:v>1.187150241151725</x:v>
      </x:c>
      <x:c r="O85" s="5">
        <x:f t="shared" si="32"/>
        <x:v>7473.4849336378275</x:v>
      </x:c>
      <x:c r="Q85" s="5">
        <x:f t="shared" si="33"/>
        <x:v>7473.4849336378275</x:v>
      </x:c>
    </x:row>
    <x:row r="86" spans="2:17" outlineLevel="2" x14ac:dyDescent="0.25">
      <x:c r="B86" s="1" t="s">
        <x:v>7</x:v>
      </x:c>
      <x:c r="C86" s="4">
        <x:v>2022</x:v>
      </x:c>
      <x:c r="D86" s="10">
        <x:f t="shared" si="29"/>
        <x:v>2.5</x:v>
      </x:c>
      <x:c r="E86" s="5">
        <x:v>-411164.27999999991</x:v>
      </x:c>
      <x:c r="H86" s="5">
        <x:f t="shared" si="30"/>
        <x:v>-411164.27999999991</x:v>
      </x:c>
      <x:c r="J86" s="5">
        <x:v>60</x:v>
      </x:c>
      <x:c r="K86" s="5">
        <x:v>58.153089000000001</x:v>
      </x:c>
      <x:c r="L86" s="6">
        <x:v>-0.45</x:v>
      </x:c>
      <x:c r="M86" s="5">
        <x:f t="shared" si="31"/>
        <x:v>-18351.775928861098</x:v>
      </x:c>
      <x:c r="N86" s="5">
        <x:v>1.187150241151725</x:v>
      </x:c>
      <x:c r="O86" s="5">
        <x:f t="shared" si="32"/>
        <x:v>-596188.20599999989</x:v>
      </x:c>
      <x:c r="Q86" s="5">
        <x:f t="shared" si="33"/>
        <x:v>-596188.20599999989</x:v>
      </x:c>
    </x:row>
    <x:row r="87" spans="2:17" outlineLevel="2" x14ac:dyDescent="0.25">
      <x:c r="B87" s="1" t="s">
        <x:v>7</x:v>
      </x:c>
      <x:c r="C87" s="4">
        <x:v>2021</x:v>
      </x:c>
      <x:c r="D87" s="10">
        <x:f t="shared" si="29"/>
        <x:v>3.5</x:v>
      </x:c>
      <x:c r="E87" s="5">
        <x:v>-783187.33</x:v>
      </x:c>
      <x:c r="H87" s="5">
        <x:f t="shared" si="30"/>
        <x:v>-783187.33</x:v>
      </x:c>
      <x:c r="J87" s="5">
        <x:v>60</x:v>
      </x:c>
      <x:c r="K87" s="5">
        <x:v>57.420988999999999</x:v>
      </x:c>
      <x:c r="L87" s="6">
        <x:v>-0.45</x:v>
      </x:c>
      <x:c r="M87" s="5">
        <x:f t="shared" si="31"/>
        <x:v>-48813.011195656887</x:v>
      </x:c>
      <x:c r="N87" s="5">
        <x:v>1.187150241151725</x:v>
      </x:c>
      <x:c r="O87" s="5">
        <x:f t="shared" si="32"/>
        <x:v>-1135621.6284999999</x:v>
      </x:c>
      <x:c r="Q87" s="5">
        <x:f t="shared" si="33"/>
        <x:v>-1135621.6284999999</x:v>
      </x:c>
    </x:row>
    <x:row r="88" spans="2:17" outlineLevel="2" x14ac:dyDescent="0.25">
      <x:c r="B88" s="1" t="s">
        <x:v>7</x:v>
      </x:c>
      <x:c r="C88" s="4">
        <x:v>2020</x:v>
      </x:c>
      <x:c r="D88" s="10">
        <x:f t="shared" si="29"/>
        <x:v>4.5</x:v>
      </x:c>
      <x:c r="E88" s="5">
        <x:v>2065403.19</x:v>
      </x:c>
      <x:c r="H88" s="5">
        <x:f t="shared" si="30"/>
        <x:v>2065403.19</x:v>
      </x:c>
      <x:c r="J88" s="5">
        <x:v>60</x:v>
      </x:c>
      <x:c r="K88" s="5">
        <x:v>56.692729999999997</x:v>
      </x:c>
      <x:c r="L88" s="6">
        <x:v>-0.45</x:v>
      </x:c>
      <x:c r="M88" s="5">
        <x:f t="shared" ref="M88:M105" si="34">(1-L88)*(1-K88/J88)*E88</x:f>
        <x:v>165078.77853128972</x:v>
      </x:c>
      <x:c r="N88" s="5">
        <x:v>1.187150241151725</x:v>
      </x:c>
      <x:c r="O88" s="5">
        <x:f t="shared" ref="O88:O105" si="35">IF((E88*(1-L88)-M88*N88)&lt;0,E88*(1-L88),M88*N88)</x:f>
        <x:v>195973.31174245279</x:v>
      </x:c>
      <x:c r="Q88" s="5">
        <x:f t="shared" ref="Q88:Q105" si="36">+H88/E88*O88</x:f>
        <x:v>195973.31174245279</x:v>
      </x:c>
    </x:row>
    <x:row r="89" spans="2:17" outlineLevel="2" x14ac:dyDescent="0.25">
      <x:c r="B89" s="1" t="s">
        <x:v>7</x:v>
      </x:c>
      <x:c r="C89" s="4">
        <x:v>2019</x:v>
      </x:c>
      <x:c r="D89" s="10">
        <x:f t="shared" si="29"/>
        <x:v>5.5</x:v>
      </x:c>
      <x:c r="E89" s="5">
        <x:v>1288931.98</x:v>
      </x:c>
      <x:c r="H89" s="5">
        <x:f t="shared" si="30"/>
        <x:v>1288931.98</x:v>
      </x:c>
      <x:c r="J89" s="5">
        <x:v>60</x:v>
      </x:c>
      <x:c r="K89" s="5">
        <x:v>55.967886</x:v>
      </x:c>
      <x:c r="L89" s="6">
        <x:v>-0.45</x:v>
      </x:c>
      <x:c r="M89" s="5">
        <x:f t="shared" si="34"/>
        <x:v>125597.08313880496</x:v>
      </x:c>
      <x:c r="N89" s="5">
        <x:v>1.187150241151725</x:v>
      </x:c>
      <x:c r="O89" s="5">
        <x:f t="shared" si="35"/>
        <x:v>149102.60753618556</x:v>
      </x:c>
      <x:c r="Q89" s="5">
        <x:f t="shared" si="36"/>
        <x:v>149102.60753618556</x:v>
      </x:c>
    </x:row>
    <x:row r="90" spans="2:17" outlineLevel="2" x14ac:dyDescent="0.25">
      <x:c r="B90" s="1" t="s">
        <x:v>7</x:v>
      </x:c>
      <x:c r="C90" s="4">
        <x:v>2018</x:v>
      </x:c>
      <x:c r="D90" s="10">
        <x:f t="shared" si="29"/>
        <x:v>6.5</x:v>
      </x:c>
      <x:c r="E90" s="5">
        <x:v>14897351.49</x:v>
      </x:c>
      <x:c r="H90" s="5">
        <x:f t="shared" si="30"/>
        <x:v>14897351.49</x:v>
      </x:c>
      <x:c r="J90" s="5">
        <x:v>60</x:v>
      </x:c>
      <x:c r="K90" s="5">
        <x:v>55.246727</x:v>
      </x:c>
      <x:c r="L90" s="6">
        <x:v>-0.45</x:v>
      </x:c>
      <x:c r="M90" s="5">
        <x:f t="shared" si="34"/>
        <x:v>1711270.1497157312</x:v>
      </x:c>
      <x:c r="N90" s="5">
        <x:v>1.187150241151725</x:v>
      </x:c>
      <x:c r="O90" s="5">
        <x:f t="shared" si="35"/>
        <x:v>2031534.7709107788</x:v>
      </x:c>
      <x:c r="Q90" s="5">
        <x:f t="shared" si="36"/>
        <x:v>2031534.7709107788</x:v>
      </x:c>
    </x:row>
    <x:row r="91" spans="2:17" outlineLevel="2" x14ac:dyDescent="0.25">
      <x:c r="B91" s="1" t="s">
        <x:v>7</x:v>
      </x:c>
      <x:c r="C91" s="4">
        <x:v>2017</x:v>
      </x:c>
      <x:c r="D91" s="10">
        <x:f t="shared" si="29"/>
        <x:v>7.5</x:v>
      </x:c>
      <x:c r="E91" s="5">
        <x:v>36432032.619999997</x:v>
      </x:c>
      <x:c r="H91" s="5">
        <x:f t="shared" si="30"/>
        <x:v>36432032.619999997</x:v>
      </x:c>
      <x:c r="J91" s="5">
        <x:v>60</x:v>
      </x:c>
      <x:c r="K91" s="5">
        <x:v>54.529164000000002</x:v>
      </x:c>
      <x:c r="L91" s="6">
        <x:v>-0.45</x:v>
      </x:c>
      <x:c r="M91" s="5">
        <x:f t="shared" si="34"/>
        <x:v>4816747.1605911963</x:v>
      </x:c>
      <x:c r="N91" s="5">
        <x:v>1.187150241151725</x:v>
      </x:c>
      <x:c r="O91" s="5">
        <x:f t="shared" si="35"/>
        <x:v>5718202.5532627255</x:v>
      </x:c>
      <x:c r="Q91" s="5">
        <x:f t="shared" si="36"/>
        <x:v>5718202.5532627255</x:v>
      </x:c>
    </x:row>
    <x:row r="92" spans="2:17" outlineLevel="2" x14ac:dyDescent="0.25">
      <x:c r="B92" s="1" t="s">
        <x:v>7</x:v>
      </x:c>
      <x:c r="C92" s="4">
        <x:v>2016</x:v>
      </x:c>
      <x:c r="D92" s="10">
        <x:f t="shared" si="29"/>
        <x:v>8.5</x:v>
      </x:c>
      <x:c r="E92" s="5">
        <x:v>40839335.18</x:v>
      </x:c>
      <x:c r="H92" s="5">
        <x:f t="shared" si="30"/>
        <x:v>40839335.18</x:v>
      </x:c>
      <x:c r="J92" s="5">
        <x:v>60</x:v>
      </x:c>
      <x:c r="K92" s="5">
        <x:v>53.814774999999997</x:v>
      </x:c>
      <x:c r="L92" s="6">
        <x:v>-0.45</x:v>
      </x:c>
      <x:c r="M92" s="5">
        <x:f t="shared" si="34"/>
        <x:v>6104511.5260189604</x:v>
      </x:c>
      <x:c r="N92" s="5">
        <x:v>1.187150241151725</x:v>
      </x:c>
      <x:c r="O92" s="5">
        <x:f t="shared" si="35"/>
        <x:v>7246972.3302268935</x:v>
      </x:c>
      <x:c r="Q92" s="5">
        <x:f t="shared" si="36"/>
        <x:v>7246972.3302268935</x:v>
      </x:c>
    </x:row>
    <x:row r="93" spans="2:17" outlineLevel="2" x14ac:dyDescent="0.25">
      <x:c r="B93" s="1" t="s">
        <x:v>7</x:v>
      </x:c>
      <x:c r="C93" s="4">
        <x:v>2015</x:v>
      </x:c>
      <x:c r="D93" s="10">
        <x:f t="shared" si="29"/>
        <x:v>9.5</x:v>
      </x:c>
      <x:c r="E93" s="5">
        <x:v>5426596.6500000004</x:v>
      </x:c>
      <x:c r="H93" s="5">
        <x:f t="shared" si="30"/>
        <x:v>5426596.6500000004</x:v>
      </x:c>
      <x:c r="J93" s="5">
        <x:v>60</x:v>
      </x:c>
      <x:c r="K93" s="5">
        <x:v>53.103814</x:v>
      </x:c>
      <x:c r="L93" s="6">
        <x:v>-0.45</x:v>
      </x:c>
      <x:c r="M93" s="5">
        <x:f t="shared" si="34"/>
        <x:v>904384.81292994204</x:v>
      </x:c>
      <x:c r="N93" s="5">
        <x:v>1.187150241151725</x:v>
      </x:c>
      <x:c r="O93" s="5">
        <x:f t="shared" si="35"/>
        <x:v>1073640.6487637383</x:v>
      </x:c>
      <x:c r="Q93" s="5">
        <x:f t="shared" si="36"/>
        <x:v>1073640.6487637383</x:v>
      </x:c>
    </x:row>
    <x:row r="94" spans="2:17" outlineLevel="2" x14ac:dyDescent="0.25">
      <x:c r="B94" s="1" t="s">
        <x:v>7</x:v>
      </x:c>
      <x:c r="C94" s="4">
        <x:v>2014</x:v>
      </x:c>
      <x:c r="D94" s="10">
        <x:f t="shared" si="29"/>
        <x:v>10.5</x:v>
      </x:c>
      <x:c r="E94" s="5">
        <x:v>50439929.109999999</x:v>
      </x:c>
      <x:c r="H94" s="5">
        <x:f t="shared" si="30"/>
        <x:v>50439929.109999999</x:v>
      </x:c>
      <x:c r="J94" s="5">
        <x:v>60</x:v>
      </x:c>
      <x:c r="K94" s="5">
        <x:v>52.396182000000003</x:v>
      </x:c>
      <x:c r="L94" s="6">
        <x:v>-0.45</x:v>
      </x:c>
      <x:c r="M94" s="5">
        <x:f t="shared" si="34"/>
        <x:v>9268787.6547290944</x:v>
      </x:c>
      <x:c r="N94" s="5">
        <x:v>1.187150241151725</x:v>
      </x:c>
      <x:c r="O94" s="5">
        <x:f t="shared" si="35"/>
        <x:v>11003443.499495776</x:v>
      </x:c>
      <x:c r="Q94" s="5">
        <x:f t="shared" si="36"/>
        <x:v>11003443.499495776</x:v>
      </x:c>
    </x:row>
    <x:row r="95" spans="2:17" outlineLevel="2" x14ac:dyDescent="0.25">
      <x:c r="B95" s="1" t="s">
        <x:v>7</x:v>
      </x:c>
      <x:c r="C95" s="4">
        <x:v>2013</x:v>
      </x:c>
      <x:c r="D95" s="10">
        <x:f t="shared" si="29"/>
        <x:v>11.5</x:v>
      </x:c>
      <x:c r="E95" s="5">
        <x:v>267967912.07999998</x:v>
      </x:c>
      <x:c r="H95" s="5">
        <x:f t="shared" si="30"/>
        <x:v>267967912.07999998</x:v>
      </x:c>
      <x:c r="J95" s="5">
        <x:v>60</x:v>
      </x:c>
      <x:c r="K95" s="5">
        <x:v>51.691462999999999</x:v>
      </x:c>
      <x:c r="L95" s="6">
        <x:v>-0.45</x:v>
      </x:c>
      <x:c r="M95" s="5">
        <x:f t="shared" si="34"/>
        <x:v>53805181.714627802</x:v>
      </x:c>
      <x:c r="N95" s="5">
        <x:v>1.187150241151725</x:v>
      </x:c>
      <x:c r="O95" s="5">
        <x:f t="shared" si="35"/>
        <x:v>63874834.447732776</x:v>
      </x:c>
      <x:c r="Q95" s="5">
        <x:f t="shared" si="36"/>
        <x:v>63874834.447732776</x:v>
      </x:c>
    </x:row>
    <x:row r="96" spans="2:17" outlineLevel="2" x14ac:dyDescent="0.25">
      <x:c r="B96" s="1" t="s">
        <x:v>7</x:v>
      </x:c>
      <x:c r="C96" s="4">
        <x:v>2012</x:v>
      </x:c>
      <x:c r="D96" s="10">
        <x:f t="shared" si="29"/>
        <x:v>12.5</x:v>
      </x:c>
      <x:c r="E96" s="5">
        <x:v>7032678.6799999997</x:v>
      </x:c>
      <x:c r="H96" s="5">
        <x:f t="shared" si="30"/>
        <x:v>7032678.6799999997</x:v>
      </x:c>
      <x:c r="J96" s="5">
        <x:v>60</x:v>
      </x:c>
      <x:c r="K96" s="5">
        <x:v>50.989894</x:v>
      </x:c>
      <x:c r="L96" s="6">
        <x:v>-0.45</x:v>
      </x:c>
      <x:c r="M96" s="5">
        <x:f t="shared" si="34"/>
        <x:v>1531325.1922928847</x:v>
      </x:c>
      <x:c r="N96" s="5">
        <x:v>1.187150241151725</x:v>
      </x:c>
      <x:c r="O96" s="5">
        <x:f t="shared" si="35"/>
        <x:v>1817913.0713122096</x:v>
      </x:c>
      <x:c r="Q96" s="5">
        <x:f t="shared" si="36"/>
        <x:v>1817913.0713122096</x:v>
      </x:c>
    </x:row>
    <x:row r="97" spans="1:17" outlineLevel="2" x14ac:dyDescent="0.25">
      <x:c r="B97" s="1" t="s">
        <x:v>7</x:v>
      </x:c>
      <x:c r="C97" s="4">
        <x:v>2011</x:v>
      </x:c>
      <x:c r="D97" s="10">
        <x:f t="shared" si="29"/>
        <x:v>13.5</x:v>
      </x:c>
      <x:c r="E97" s="5">
        <x:v>21280.22</x:v>
      </x:c>
      <x:c r="H97" s="5">
        <x:f t="shared" si="30"/>
        <x:v>21280.22</x:v>
      </x:c>
      <x:c r="J97" s="5">
        <x:v>60</x:v>
      </x:c>
      <x:c r="K97" s="5">
        <x:v>50.291367000000001</x:v>
      </x:c>
      <x:c r="L97" s="6">
        <x:v>-0.45</x:v>
      </x:c>
      <x:c r="M97" s="5">
        <x:f t="shared" si="34"/>
        <x:v>4992.8779483654498</x:v>
      </x:c>
      <x:c r="N97" s="5">
        <x:v>1.187150241151725</x:v>
      </x:c>
      <x:c r="O97" s="5">
        <x:f t="shared" si="35"/>
        <x:v>5927.2962604431732</x:v>
      </x:c>
      <x:c r="Q97" s="5">
        <x:f t="shared" si="36"/>
        <x:v>5927.2962604431732</x:v>
      </x:c>
    </x:row>
    <x:row r="98" spans="1:17" outlineLevel="2" x14ac:dyDescent="0.25">
      <x:c r="B98" s="1" t="s">
        <x:v>7</x:v>
      </x:c>
      <x:c r="C98" s="4">
        <x:v>2010</x:v>
      </x:c>
      <x:c r="D98" s="10">
        <x:f t="shared" si="29"/>
        <x:v>14.5</x:v>
      </x:c>
      <x:c r="E98" s="5">
        <x:v>22256.36</x:v>
      </x:c>
      <x:c r="H98" s="5">
        <x:f t="shared" si="30"/>
        <x:v>22256.36</x:v>
      </x:c>
      <x:c r="J98" s="5">
        <x:v>60</x:v>
      </x:c>
      <x:c r="K98" s="5">
        <x:v>49.595475999999998</x:v>
      </x:c>
      <x:c r="L98" s="6">
        <x:v>-0.45</x:v>
      </x:c>
      <x:c r="M98" s="5">
        <x:f t="shared" si="34"/>
        <x:v>5596.1984345054689</x:v>
      </x:c>
      <x:c r="N98" s="5">
        <x:v>1.187150241151725</x:v>
      </x:c>
      <x:c r="O98" s="5">
        <x:f t="shared" si="35"/>
        <x:v>6643.5283210560729</x:v>
      </x:c>
      <x:c r="Q98" s="5">
        <x:f t="shared" si="36"/>
        <x:v>6643.5283210560729</x:v>
      </x:c>
    </x:row>
    <x:row r="99" spans="1:17" outlineLevel="2" x14ac:dyDescent="0.25">
      <x:c r="B99" s="1" t="s">
        <x:v>7</x:v>
      </x:c>
      <x:c r="C99" s="4">
        <x:v>2009</x:v>
      </x:c>
      <x:c r="D99" s="10">
        <x:f t="shared" si="29"/>
        <x:v>15.5</x:v>
      </x:c>
      <x:c r="E99" s="5">
        <x:v>33874.58</x:v>
      </x:c>
      <x:c r="H99" s="5">
        <x:f t="shared" si="30"/>
        <x:v>33874.58</x:v>
      </x:c>
      <x:c r="J99" s="5">
        <x:v>60</x:v>
      </x:c>
      <x:c r="K99" s="5">
        <x:v>48.902434999999997</x:v>
      </x:c>
      <x:c r="L99" s="6">
        <x:v>-0.45</x:v>
      </x:c>
      <x:c r="M99" s="5">
        <x:f t="shared" si="34"/>
        <x:v>9084.8627071110859</x:v>
      </x:c>
      <x:c r="N99" s="5">
        <x:v>1.187150241151725</x:v>
      </x:c>
      <x:c r="O99" s="5">
        <x:f t="shared" si="35"/>
        <x:v>10785.096953577238</x:v>
      </x:c>
      <x:c r="Q99" s="5">
        <x:f t="shared" si="36"/>
        <x:v>10785.096953577238</x:v>
      </x:c>
    </x:row>
    <x:row r="100" spans="1:17" outlineLevel="2" x14ac:dyDescent="0.25">
      <x:c r="B100" s="1" t="s">
        <x:v>7</x:v>
      </x:c>
      <x:c r="C100" s="4">
        <x:v>2008</x:v>
      </x:c>
      <x:c r="D100" s="10">
        <x:f t="shared" si="29"/>
        <x:v>16.5</x:v>
      </x:c>
      <x:c r="E100" s="5">
        <x:v>63238.93</x:v>
      </x:c>
      <x:c r="H100" s="5">
        <x:f t="shared" si="30"/>
        <x:v>63238.93</x:v>
      </x:c>
      <x:c r="J100" s="5">
        <x:v>60</x:v>
      </x:c>
      <x:c r="K100" s="5">
        <x:v>48.212128</x:v>
      </x:c>
      <x:c r="L100" s="6">
        <x:v>-0.45</x:v>
      </x:c>
      <x:c r="M100" s="5">
        <x:f t="shared" si="34"/>
        <x:v>18015.099962876535</x:v>
      </x:c>
      <x:c r="N100" s="5">
        <x:v>1.187150241151725</x:v>
      </x:c>
      <x:c r="O100" s="5">
        <x:f t="shared" si="35"/>
        <x:v>21386.630265301308</x:v>
      </x:c>
      <x:c r="Q100" s="5">
        <x:f t="shared" si="36"/>
        <x:v>21386.630265301308</x:v>
      </x:c>
    </x:row>
    <x:row r="101" spans="1:17" outlineLevel="2" x14ac:dyDescent="0.25">
      <x:c r="B101" s="1" t="s">
        <x:v>7</x:v>
      </x:c>
      <x:c r="C101" s="4">
        <x:v>2006</x:v>
      </x:c>
      <x:c r="D101" s="10">
        <x:f t="shared" si="29"/>
        <x:v>18.5</x:v>
      </x:c>
      <x:c r="E101" s="5">
        <x:v>61595.39</x:v>
      </x:c>
      <x:c r="H101" s="5">
        <x:f t="shared" si="30"/>
        <x:v>61595.39</x:v>
      </x:c>
      <x:c r="J101" s="5">
        <x:v>60</x:v>
      </x:c>
      <x:c r="K101" s="5">
        <x:v>46.838779000000002</x:v>
      </x:c>
      <x:c r="L101" s="6">
        <x:v>-0.45</x:v>
      </x:c>
      <x:c r="M101" s="5">
        <x:f t="shared" si="34"/>
        <x:v>19591.204725637086</x:v>
      </x:c>
      <x:c r="N101" s="5">
        <x:v>1.187150241151725</x:v>
      </x:c>
      <x:c r="O101" s="5">
        <x:f t="shared" si="35"/>
        <x:v>23257.70341449288</x:v>
      </x:c>
      <x:c r="Q101" s="5">
        <x:f t="shared" si="36"/>
        <x:v>23257.70341449288</x:v>
      </x:c>
    </x:row>
    <x:row r="102" spans="1:17" outlineLevel="2" x14ac:dyDescent="0.25">
      <x:c r="B102" s="1" t="s">
        <x:v>7</x:v>
      </x:c>
      <x:c r="C102" s="4">
        <x:v>2005</x:v>
      </x:c>
      <x:c r="D102" s="10">
        <x:f t="shared" si="29"/>
        <x:v>19.5</x:v>
      </x:c>
      <x:c r="E102" s="5">
        <x:v>12848.66</x:v>
      </x:c>
      <x:c r="H102" s="5">
        <x:f t="shared" si="30"/>
        <x:v>12848.66</x:v>
      </x:c>
      <x:c r="J102" s="5">
        <x:v>60</x:v>
      </x:c>
      <x:c r="K102" s="5">
        <x:v>46.155963999999997</x:v>
      </x:c>
      <x:c r="L102" s="6">
        <x:v>-0.45</x:v>
      </x:c>
      <x:c r="M102" s="5">
        <x:f t="shared" si="34"/>
        <x:v>4298.7016968008675</x:v>
      </x:c>
      <x:c r="N102" s="5">
        <x:v>1.187150241151725</x:v>
      </x:c>
      <x:c r="O102" s="5">
        <x:f t="shared" si="35"/>
        <x:v>5103.2047559964794</x:v>
      </x:c>
      <x:c r="Q102" s="5">
        <x:f t="shared" si="36"/>
        <x:v>5103.2047559964794</x:v>
      </x:c>
    </x:row>
    <x:row r="103" spans="1:17" outlineLevel="2" x14ac:dyDescent="0.25">
      <x:c r="B103" s="1" t="s">
        <x:v>7</x:v>
      </x:c>
      <x:c r="C103" s="4">
        <x:v>2004</x:v>
      </x:c>
      <x:c r="D103" s="10">
        <x:f t="shared" si="29"/>
        <x:v>20.5</x:v>
      </x:c>
      <x:c r="E103" s="5">
        <x:v>66845.709999999992</x:v>
      </x:c>
      <x:c r="H103" s="5">
        <x:f t="shared" si="30"/>
        <x:v>66845.709999999992</x:v>
      </x:c>
      <x:c r="J103" s="5">
        <x:v>60</x:v>
      </x:c>
      <x:c r="K103" s="5">
        <x:v>45.475470999999999</x:v>
      </x:c>
      <x:c r="L103" s="6">
        <x:v>-0.45</x:v>
      </x:c>
      <x:c r="M103" s="5">
        <x:f t="shared" si="34"/>
        <x:v>23463.475957664261</x:v>
      </x:c>
      <x:c r="N103" s="5">
        <x:v>1.187150241151725</x:v>
      </x:c>
      <x:c r="O103" s="5">
        <x:f t="shared" si="35"/>
        <x:v>27854.671141398827</x:v>
      </x:c>
      <x:c r="Q103" s="5">
        <x:f t="shared" si="36"/>
        <x:v>27854.671141398827</x:v>
      </x:c>
    </x:row>
    <x:row r="104" spans="1:17" outlineLevel="2" x14ac:dyDescent="0.25">
      <x:c r="B104" s="1" t="s">
        <x:v>7</x:v>
      </x:c>
      <x:c r="C104" s="4">
        <x:v>1996</x:v>
      </x:c>
      <x:c r="D104" s="10">
        <x:f t="shared" si="29"/>
        <x:v>28.5</x:v>
      </x:c>
      <x:c r="E104" s="5">
        <x:v>14043635.029999999</x:v>
      </x:c>
      <x:c r="H104" s="5">
        <x:f t="shared" si="30"/>
        <x:v>14043635.029999999</x:v>
      </x:c>
      <x:c r="J104" s="5">
        <x:v>60</x:v>
      </x:c>
      <x:c r="K104" s="5">
        <x:v>40.137059999999998</x:v>
      </x:c>
      <x:c r="L104" s="6">
        <x:v>-0.45</x:v>
      </x:c>
      <x:c r="M104" s="5">
        <x:f t="shared" si="34"/>
        <x:v>6741240.4329173816</x:v>
      </x:c>
      <x:c r="N104" s="5">
        <x:v>1.187150241151725</x:v>
      </x:c>
      <x:c r="O104" s="5">
        <x:f t="shared" si="35"/>
        <x:v>8002865.2055996284</x:v>
      </x:c>
      <x:c r="Q104" s="5">
        <x:f t="shared" si="36"/>
        <x:v>8002865.2055996284</x:v>
      </x:c>
    </x:row>
    <x:row r="105" spans="1:17" outlineLevel="2" x14ac:dyDescent="0.25">
      <x:c r="B105" s="1" t="s">
        <x:v>7</x:v>
      </x:c>
      <x:c r="C105" s="4">
        <x:v>1993</x:v>
      </x:c>
      <x:c r="D105" s="10">
        <x:f t="shared" si="29"/>
        <x:v>31.5</x:v>
      </x:c>
      <x:c r="E105" s="5">
        <x:v>71485.919999999998</x:v>
      </x:c>
      <x:c r="H105" s="5">
        <x:f t="shared" si="30"/>
        <x:v>71485.919999999998</x:v>
      </x:c>
      <x:c r="J105" s="5">
        <x:v>60</x:v>
      </x:c>
      <x:c r="K105" s="5">
        <x:v>38.193213</x:v>
      </x:c>
      <x:c r="L105" s="6">
        <x:v>-0.45</x:v>
      </x:c>
      <x:c r="M105" s="5">
        <x:f t="shared" si="34"/>
        <x:v>37672.89058102679</x:v>
      </x:c>
      <x:c r="N105" s="5">
        <x:v>1.187150241151725</x:v>
      </x:c>
      <x:c r="O105" s="5">
        <x:f t="shared" si="35"/>
        <x:v>44723.381138148499</x:v>
      </x:c>
      <x:c r="Q105" s="5">
        <x:f t="shared" si="36"/>
        <x:v>44723.381138148499</x:v>
      </x:c>
    </x:row>
    <x:row r="106" spans="1:17" outlineLevel="1" x14ac:dyDescent="0.25">
      <x:c r="B106" s="3" t="s">
        <x:v>21</x:v>
      </x:c>
      <x:c r="E106" s="5">
        <x:f>SUBTOTAL(9,E84:E105)</x:f>
        <x:v>439827963.12</x:v>
      </x:c>
      <x:c r="F106" s="5">
        <x:f>SUBTOTAL(9,F84:F105)</x:f>
        <x:v>0</x:v>
      </x:c>
      <x:c r="H106" s="5">
        <x:f>SUBTOTAL(9,H84:H105)</x:f>
        <x:v>439827963.12</x:v>
      </x:c>
      <x:c r="M106" s="5">
        <x:f>SUBTOTAL(9,M84:M105)</x:f>
        <x:v>85235975.629659235</x:v>
      </x:c>
      <x:c r="O106" s="5">
        <x:f>SUBTOTAL(9,O84:O105)</x:f>
        <x:v>99535833.882284313</x:v>
      </x:c>
      <x:c r="P106" s="5">
        <x:f>SUBTOTAL(9,P84:P105)</x:f>
        <x:v>0</x:v>
      </x:c>
      <x:c r="Q106" s="5">
        <x:f>SUBTOTAL(9,Q84:Q105)</x:f>
        <x:v>99535833.882284313</x:v>
      </x:c>
    </x:row>
    <x:row r="107" spans="1:17" x14ac:dyDescent="0.25">
      <x:c r="B107" s="3" t="s">
        <x:v>22</x:v>
      </x:c>
      <x:c r="E107" s="5">
        <x:f>SUBTOTAL(9,E3:E105)</x:f>
        <x:v>1622628598.4600008</x:v>
      </x:c>
      <x:c r="F107" s="5">
        <x:f>SUBTOTAL(9,F3:F105)</x:f>
        <x:v>0</x:v>
      </x:c>
      <x:c r="H107" s="5">
        <x:f>SUBTOTAL(9,H3:H105)</x:f>
        <x:v>1571957351.8300009</x:v>
      </x:c>
      <x:c r="M107" s="5">
        <x:f>SUBTOTAL(9,M3:M105)</x:f>
        <x:v>334462525.28640801</x:v>
      </x:c>
      <x:c r="O107" s="5">
        <x:f>SUBTOTAL(9,O3:O105)</x:f>
        <x:v>395353790.24999964</x:v>
      </x:c>
      <x:c r="P107" s="5">
        <x:f>SUBTOTAL(9,P3:P105)</x:f>
        <x:v>12813695.749952504</x:v>
      </x:c>
      <x:c r="Q107" s="5">
        <x:f>SUBTOTAL(9,Q3:Q105)</x:f>
        <x:v>382540094.50004721</x:v>
      </x:c>
    </x:row>
    <x:row r="109" spans="1:17" outlineLevel="1" x14ac:dyDescent="0.25">
      <x:c r="A109" s="2"/>
    </x:row>
    <x:row r="110" spans="1:17" x14ac:dyDescent="0.25">
      <x:c r="B110" s="1" t="s">
        <x:v>2</x:v>
      </x:c>
      <x:c r="C110" s="4">
        <x:v>2018</x:v>
      </x:c>
      <x:c r="D110" s="10">
        <x:f>2024.5-C110</x:f>
        <x:v>6.5</x:v>
      </x:c>
      <x:c r="E110" s="5">
        <x:v>7695877.1999999993</x:v>
      </x:c>
      <x:c r="H110" s="5">
        <x:f t="shared" ref="H110:H113" si="37">E110</x:f>
        <x:v>7695877.1999999993</x:v>
      </x:c>
      <x:c r="J110" s="5">
        <x:v>62</x:v>
      </x:c>
      <x:c r="K110" s="5">
        <x:v>55.510877999999998</x:v>
      </x:c>
      <x:c r="L110" s="6">
        <x:v>-0.47</x:v>
      </x:c>
      <x:c r="M110" s="5">
        <x:f t="shared" ref="M110:M113" si="38">(1-L110)*(1-K110/J110)*E110</x:f>
        <x:v>1184049.1046821461</x:v>
      </x:c>
      <x:c r="N110" s="5">
        <x:v>1.1109753284298269</x:v>
      </x:c>
      <x:c r="O110" s="5">
        <x:f t="shared" ref="O110" si="39">IF((E110*(1-L110)-M110*N110)&lt;0,E110*(1-L110),M110*N110)</x:f>
        <x:v>1315449.3429512898</x:v>
      </x:c>
      <x:c r="Q110" s="5">
        <x:f t="shared" ref="Q110" si="40">+H110/E110*O110</x:f>
        <x:v>1315449.3429512898</x:v>
      </x:c>
    </x:row>
    <x:row r="111" spans="1:17" x14ac:dyDescent="0.25">
      <x:c r="B111" s="3" t="s">
        <x:v>32</x:v>
      </x:c>
      <x:c r="D111" s="10" t="s">
        <x:v>23</x:v>
      </x:c>
      <x:c r="E111" s="5">
        <x:f>SUM(E110)</x:f>
        <x:v>7695877.1999999993</x:v>
      </x:c>
      <x:c r="M111" s="5">
        <x:f t="shared" ref="M111:Q111" si="41">SUM(M110)</x:f>
        <x:v>1184049.1046821461</x:v>
      </x:c>
      <x:c r="N111" s="5" t="s">
        <x:v>23</x:v>
      </x:c>
      <x:c r="O111" s="5">
        <x:f t="shared" si="41"/>
        <x:v>1315449.3429512898</x:v>
      </x:c>
      <x:c r="P111" s="5">
        <x:f t="shared" si="41"/>
        <x:v>0</x:v>
      </x:c>
      <x:c r="Q111" s="5">
        <x:f t="shared" si="41"/>
        <x:v>1315449.3429512898</x:v>
      </x:c>
    </x:row>
    <x:row r="112" spans="1:17" x14ac:dyDescent="0.25">
      <x:c r="B112" s="1" t="s">
        <x:v>4</x:v>
      </x:c>
      <x:c r="C112" s="4">
        <x:v>2024</x:v>
      </x:c>
      <x:c r="D112" s="10">
        <x:f>2024.5-C112</x:f>
        <x:v>0.5</x:v>
      </x:c>
      <x:c r="E112" s="5">
        <x:v>219386.40999999997</x:v>
      </x:c>
      <x:c r="H112" s="5">
        <x:f t="shared" si="37"/>
        <x:v>219386.40999999997</x:v>
      </x:c>
      <x:c r="J112" s="5">
        <x:v>30</x:v>
      </x:c>
      <x:c r="K112" s="5">
        <x:v>29.547744000000002</x:v>
      </x:c>
      <x:c r="L112" s="6">
        <x:v>-0.15</x:v>
      </x:c>
      <x:c r="M112" s="5">
        <x:f t="shared" si="38"/>
        <x:v>3803.3881092367878</x:v>
      </x:c>
      <x:c r="N112" s="5">
        <x:v>1.1109753284298269</x:v>
      </x:c>
      <x:c r="O112" s="5">
        <x:f t="shared" ref="O112:O113" si="42">IF((E112*(1-L112)-M112*N112)&lt;0,E112*(1-L112),M112*N112)</x:f>
        <x:v>4225.4703538054391</x:v>
      </x:c>
      <x:c r="Q112" s="5">
        <x:f t="shared" ref="Q112:Q113" si="43">+H112/E112*O112</x:f>
        <x:v>4225.4703538054391</x:v>
      </x:c>
    </x:row>
    <x:row r="113" spans="2:17" x14ac:dyDescent="0.25">
      <x:c r="B113" s="1" t="s">
        <x:v>4</x:v>
      </x:c>
      <x:c r="C113" s="4">
        <x:v>2018</x:v>
      </x:c>
      <x:c r="D113" s="10">
        <x:f>2024.5-C113</x:f>
        <x:v>6.5</x:v>
      </x:c>
      <x:c r="E113" s="5">
        <x:v>65358111.770000003</x:v>
      </x:c>
      <x:c r="H113" s="5">
        <x:f t="shared" si="37"/>
        <x:v>65358111.770000003</x:v>
      </x:c>
      <x:c r="J113" s="5">
        <x:v>30</x:v>
      </x:c>
      <x:c r="K113" s="5">
        <x:v>24.296032</x:v>
      </x:c>
      <x:c r="L113" s="6">
        <x:f>[2]Parameters!$K$47</x:f>
        <x:v>-0.2</x:v>
      </x:c>
      <x:c r="M113" s="5">
        <x:f t="shared" si="38"/>
        <x:v>14912023.12306013</x:v>
      </x:c>
      <x:c r="N113" s="5">
        <x:v>1.1109753284298269</x:v>
      </x:c>
      <x:c r="O113" s="5">
        <x:f t="shared" si="42"/>
        <x:v>16566889.786694901</x:v>
      </x:c>
      <x:c r="Q113" s="5">
        <x:f t="shared" si="43"/>
        <x:v>16566889.786694901</x:v>
      </x:c>
    </x:row>
    <x:row r="114" spans="2:17" x14ac:dyDescent="0.25">
      <x:c r="B114" s="3" t="s">
        <x:v>33</x:v>
      </x:c>
      <x:c r="E114" s="5">
        <x:f>SUM(E112:E113)</x:f>
        <x:v>65577498.18</x:v>
      </x:c>
      <x:c r="F114" s="5">
        <x:f t="shared" ref="F114:Q114" si="44">SUM(F112:F113)</x:f>
        <x:v>0</x:v>
      </x:c>
      <x:c r="G114" s="5">
        <x:f t="shared" si="44"/>
        <x:v>0</x:v>
      </x:c>
      <x:c r="H114" s="5">
        <x:f t="shared" si="44"/>
        <x:v>65577498.18</x:v>
      </x:c>
      <x:c r="I114" s="5" t="s">
        <x:v>23</x:v>
      </x:c>
      <x:c r="J114" s="5" t="s">
        <x:v>23</x:v>
      </x:c>
      <x:c r="K114" s="5" t="s">
        <x:v>23</x:v>
      </x:c>
      <x:c r="L114" s="5" t="s">
        <x:v>23</x:v>
      </x:c>
      <x:c r="M114" s="5">
        <x:f t="shared" si="44"/>
        <x:v>14915826.511169367</x:v>
      </x:c>
      <x:c r="N114" s="5" t="s">
        <x:v>23</x:v>
      </x:c>
      <x:c r="O114" s="5">
        <x:f t="shared" si="44"/>
        <x:v>16571115.257048706</x:v>
      </x:c>
      <x:c r="P114" s="5">
        <x:f t="shared" si="44"/>
        <x:v>0</x:v>
      </x:c>
      <x:c r="Q114" s="5">
        <x:f t="shared" si="44"/>
        <x:v>16571115.257048706</x:v>
      </x:c>
    </x:row>
    <x:row r="115" spans="2:17" x14ac:dyDescent="0.25">
      <x:c r="L115" s="5"/>
      <x:c r="N115" s="5" t="s">
        <x:v>23</x:v>
      </x:c>
    </x:row>
  </x:sheetData>
  <x:mergeCells count="2">
    <x:mergeCell ref="G1:H1"/>
    <x:mergeCell ref="P1:Q1"/>
  </x:mergeCells>
  <x:pageMargins left="0.75" right="0.75" top="1.5" bottom="1" header="0.3" footer="0.5"/>
  <x:pageSetup scale="44" fitToHeight="0" orientation="landscape" r:id="rId1"/>
  <x:headerFooter>
    <x:oddHeader>&amp;C
2025 RATE CASE
ONCOR ELECTRIC DELIVERY COMPANY LLC
II-B-5_2 NTUSU TRANSMISSION ALLOCATED DEPRECIATION
FOR THE TEST YEAR ENDED DECEMBER 31, 2024
SPONSOR: D. A. WATSON&amp;RWP/B-5/2 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2025-04-04T18:57:58.0000000Z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