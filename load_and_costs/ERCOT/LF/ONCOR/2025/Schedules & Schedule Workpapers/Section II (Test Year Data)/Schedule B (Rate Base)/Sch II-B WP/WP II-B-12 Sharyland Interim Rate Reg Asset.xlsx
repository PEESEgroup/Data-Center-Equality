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C3D540E4-8B8A-4E58-A3FF-8C33CF8F808D}" xr6:coauthVersionLast="47" xr6:coauthVersionMax="47" xr10:uidLastSave="{00000000-0000-0000-0000-000000000000}"/>
  <x:bookViews>
    <x:workbookView xWindow="-28920" yWindow="-120" windowWidth="29040" windowHeight="15720" xr2:uid="{9F433826-6E17-4319-866D-C74F52CC2160}"/>
  </x:bookViews>
  <x:sheets>
    <x:sheet name="WP Sharyland Int Rate Reg asset" sheetId="1" r:id="rId1"/>
  </x:sheets>
  <x:definedNames>
    <x:definedName name="ListofMgrs">#REF!</x:definedName>
    <x:definedName name="ListofMgrs2">#REF!</x:definedName>
    <x:definedName name="NvsAnswerCol">"'[AGRECV1.xls]BU Descriptions'!$A$5:$A$27"</x:definedName>
    <x:definedName name="NvsASD">"V2020-12-31"</x:definedName>
    <x:definedName name="NvsAutoDrillOk">"VN"</x:definedName>
    <x:definedName name="NvsElapsedTime">0.000347222223354038</x:definedName>
    <x:definedName name="NvsEndTime">43308.4355902778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ReqBU">"VX0001"</x:definedName>
    <x:definedName name="NvsReqBUOnly">"VN"</x:definedName>
    <x:definedName name="NvsTransLed">"VN"</x:definedName>
    <x:definedName name="NvsTreeASD">"V2020-12-31"</x:definedName>
    <x:definedName name="_xlnm.Print_Area" localSheetId="0">'WP Sharyland Int Rate Reg asset'!$A$1:$M$89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14" i="1" l="1"/>
  <x:c r="M14" i="1" l="1"/>
  <x:c r="D16" i="1"/>
  <x:c r="C20" i="1" l="1"/>
  <x:c r="C21" i="1" s="1"/>
  <x:c r="C22" i="1" s="1"/>
  <x:c r="C23" i="1" s="1"/>
  <x:c r="C24" i="1" s="1"/>
  <x:c r="C25" i="1" s="1"/>
  <x:c r="C26" i="1" s="1"/>
  <x:c r="C27" i="1" s="1"/>
  <x:c r="C19" i="1"/>
  <x:c r="D19" i="1"/>
  <x:c r="D20" i="1" s="1"/>
  <x:c r="D21" i="1" s="1"/>
  <x:c r="D22" i="1" s="1"/>
  <x:c r="D23" i="1" s="1"/>
  <x:c r="D24" i="1" s="1"/>
  <x:c r="D25" i="1" s="1"/>
  <x:c r="D26" i="1" s="1"/>
  <x:c r="D27" i="1" s="1"/>
  <x:c r="C28" i="1" l="1"/>
  <x:c r="J27" i="1"/>
  <x:c r="C29" i="1" l="1"/>
  <x:c r="J28" i="1"/>
  <x:c r="D28" i="1"/>
  <x:c r="D29" i="1" s="1"/>
  <x:c r="C30" i="1" l="1"/>
  <x:c r="J29" i="1"/>
  <x:c r="C31" i="1" l="1"/>
  <x:c r="J30" i="1"/>
  <x:c r="D30" i="1"/>
  <x:c r="D31" i="1" s="1"/>
  <x:c r="C32" i="1" l="1"/>
  <x:c r="J31" i="1"/>
  <x:c r="C33" i="1" l="1"/>
  <x:c r="J32" i="1"/>
  <x:c r="D32" i="1"/>
  <x:c r="D33" i="1" s="1"/>
  <x:c r="C34" i="1" l="1"/>
  <x:c r="J33" i="1"/>
  <x:c r="C35" i="1" l="1"/>
  <x:c r="J34" i="1"/>
  <x:c r="D34" i="1"/>
  <x:c r="D35" i="1" s="1"/>
  <x:c r="C36" i="1" l="1"/>
  <x:c r="J35" i="1"/>
  <x:c r="C37" i="1" l="1"/>
  <x:c r="J36" i="1"/>
  <x:c r="D36" i="1"/>
  <x:c r="D37" i="1" s="1"/>
  <x:c r="C38" i="1" l="1"/>
  <x:c r="J37" i="1"/>
  <x:c r="C39" i="1" l="1"/>
  <x:c r="C40" i="1" s="1"/>
  <x:c r="C41" i="1" s="1"/>
  <x:c r="C42" i="1" s="1"/>
  <x:c r="C43" i="1" s="1"/>
  <x:c r="C44" i="1" s="1"/>
  <x:c r="C45" i="1" s="1"/>
  <x:c r="C46" i="1" s="1"/>
  <x:c r="C47" i="1" s="1"/>
  <x:c r="C48" i="1" s="1"/>
  <x:c r="C49" i="1" s="1"/>
  <x:c r="C50" i="1" s="1"/>
  <x:c r="C51" i="1" s="1"/>
  <x:c r="C52" i="1" s="1"/>
  <x:c r="C53" i="1" s="1"/>
  <x:c r="C54" i="1" s="1"/>
  <x:c r="C55" i="1" s="1"/>
  <x:c r="C56" i="1" s="1"/>
  <x:c r="C57" i="1" s="1"/>
  <x:c r="C58" i="1" s="1"/>
  <x:c r="C59" i="1" s="1"/>
  <x:c r="C60" i="1" s="1"/>
  <x:c r="C61" i="1" s="1"/>
  <x:c r="C62" i="1" s="1"/>
  <x:c r="C63" i="1" s="1"/>
  <x:c r="C64" i="1" s="1"/>
  <x:c r="C65" i="1" s="1"/>
  <x:c r="C66" i="1" s="1"/>
  <x:c r="C67" i="1" s="1"/>
  <x:c r="C68" i="1" s="1"/>
  <x:c r="C69" i="1" s="1"/>
  <x:c r="C70" i="1" s="1"/>
  <x:c r="C71" i="1" s="1"/>
  <x:c r="C72" i="1" s="1"/>
  <x:c r="C73" i="1" s="1"/>
  <x:c r="C74" i="1" s="1"/>
  <x:c r="C75" i="1" s="1"/>
  <x:c r="C76" i="1" s="1"/>
  <x:c r="C77" i="1" s="1"/>
  <x:c r="C78" i="1" s="1"/>
  <x:c r="C79" i="1" s="1"/>
  <x:c r="C81" i="1" s="1"/>
  <x:c r="J38" i="1"/>
  <x:c r="J39" i="1" s="1"/>
  <x:c r="D38" i="1"/>
  <x:c r="D39" i="1" s="1"/>
  <x:c r="D40" i="1" s="1"/>
  <x:c r="D41" i="1" s="1"/>
  <x:c r="D42" i="1" s="1"/>
  <x:c r="D43" i="1" s="1"/>
  <x:c r="D44" i="1" s="1"/>
  <x:c r="D45" i="1" s="1"/>
  <x:c r="D46" i="1" s="1"/>
  <x:c r="D47" i="1" s="1"/>
  <x:c r="D48" i="1" s="1"/>
  <x:c r="D49" i="1" s="1"/>
  <x:c r="D50" i="1" s="1"/>
  <x:c r="D51" i="1" s="1"/>
  <x:c r="D52" i="1" s="1"/>
  <x:c r="D53" i="1" s="1"/>
  <x:c r="D54" i="1" s="1"/>
  <x:c r="D55" i="1" s="1"/>
  <x:c r="D56" i="1" s="1"/>
  <x:c r="D57" i="1" s="1"/>
  <x:c r="D58" i="1" s="1"/>
  <x:c r="D59" i="1" s="1"/>
  <x:c r="D60" i="1" s="1"/>
  <x:c r="D61" i="1" s="1"/>
  <x:c r="D62" i="1" s="1"/>
  <x:c r="D63" i="1" s="1"/>
  <x:c r="D64" i="1" s="1"/>
  <x:c r="D65" i="1" s="1"/>
  <x:c r="D66" i="1" s="1"/>
  <x:c r="D67" i="1" s="1"/>
  <x:c r="D68" i="1" s="1"/>
  <x:c r="D69" i="1" s="1"/>
  <x:c r="D70" i="1" s="1"/>
  <x:c r="D71" i="1" s="1"/>
  <x:c r="D72" i="1" s="1"/>
  <x:c r="D73" i="1" s="1"/>
  <x:c r="D74" i="1" s="1"/>
  <x:c r="D75" i="1" s="1"/>
  <x:c r="D76" i="1" s="1"/>
  <x:c r="D77" i="1" s="1"/>
  <x:c r="D78" i="1" s="1"/>
  <x:c r="D79" i="1" s="1"/>
</x:calcChain>
</file>

<file path=xl/sharedStrings.xml><?xml version="1.0" encoding="utf-8"?>
<sst xmlns="http://schemas.openxmlformats.org/spreadsheetml/2006/main" count="31" uniqueCount="31">
  <si>
    <t>Oncor Electric Delivery Company LLC</t>
  </si>
  <si>
    <t>Sponsor:  W. Alan Ledbetter</t>
  </si>
  <si>
    <t>10. The Commission approves Oncor's recovery of the interim rate regulatory asset related to</t>
  </si>
  <si>
    <t>Sharyland Utilities' residential interim rates approved in Docket No. 45414, but not until</t>
  </si>
  <si>
    <t>the Commission approves the manner in which it will be recovered in a future proceeding.</t>
  </si>
  <si>
    <t>Docket No. 45414-On July 28, 2017, SOAH issued Order No. 27, approving Sharyland's requested interim rates.</t>
  </si>
  <si>
    <t>September 2017</t>
  </si>
  <si>
    <t>October 2017</t>
  </si>
  <si>
    <t>November 2017</t>
  </si>
  <si>
    <t>Account 928</t>
  </si>
  <si>
    <t>December 2017</t>
  </si>
  <si>
    <t>Total</t>
  </si>
  <si>
    <t>2025 Rate Case</t>
  </si>
  <si>
    <t>Support for Sharyland Interim Rate Regulatory Asset (Account 1824400) Unamortized Balance Approved in Docket No. 53601 (2022 Rate Case)</t>
  </si>
  <si>
    <t>Test Year Ending December 31, 2024</t>
  </si>
  <si>
    <t>Approved recovery/annual amortization</t>
  </si>
  <si>
    <t xml:space="preserve">Amortization </t>
  </si>
  <si>
    <t>Monthly Amort Amount</t>
  </si>
  <si>
    <t>Balance</t>
  </si>
  <si>
    <t>Approved balance</t>
  </si>
  <si>
    <t>Docket No. 53601 rates effective May 1, 2023 (billing cycle 4)</t>
  </si>
  <si>
    <t>Docket No. 53601 approved unamortized balance at 12-31-2024</t>
  </si>
  <si>
    <t>Docket No. 53601 approved amount to be recovered/amortized over five-years</t>
  </si>
  <si>
    <t>2024 Test</t>
  </si>
  <si>
    <t>Year O&amp;M Amort</t>
  </si>
  <si>
    <t>Balance @ 12/31/2021 approved in Docket 53601 with five-year recovery/amortization</t>
  </si>
  <si>
    <t>Amounts Oncor reimbursed to Sharyland and deferred as a regulatory asset until customers were transitioned to Oncor (Sharyland billing months):</t>
  </si>
  <si>
    <t>Docket No. 47469 Order, Ordering Paragraph No. 10 on page 20:</t>
  </si>
  <si>
    <t>Docket history for Oncor's approved recovery prior to Docket No. 53601 (2022 rate case)</t>
  </si>
  <si>
    <t>Reference Sch II-E-4.1 Line No. 22 and II-E-4.1.1 Line No. 22 (Account 928)</t>
  </si>
  <si>
    <t>Approved in Docket No. 53601 Order on Rehearing pages 37 (Findings of Fact 167, 167A, &amp; 173) &amp; 60 (Finding of Fact 377 - other non-tax regulatory asset)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</si>
</sst>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1" fillId="0" borderId="0" xfId="1"/>
    <xf numFmtId="0" fontId="2" fillId="0" borderId="0" xfId="1" applyFont="1"/>
    <xf numFmtId="43" fontId="0" fillId="0" borderId="0" xfId="2" applyFont="1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17" fontId="1" fillId="0" borderId="0" xfId="1" quotePrefix="1" applyNumberFormat="1"/>
    <xf numFmtId="44" fontId="0" fillId="0" borderId="0" xfId="3" applyFont="1"/>
    <xf numFmtId="0" fontId="1" fillId="0" borderId="0" xfId="1" quotePrefix="1"/>
    <xf numFmtId="0" fontId="3" fillId="0" borderId="0" xfId="1" applyFont="1" applyAlignment="1">
      <alignment horizontal="center"/>
    </xf>
    <xf numFmtId="44" fontId="0" fillId="0" borderId="1" xfId="3" applyFont="1" applyBorder="1"/>
    <xf numFmtId="0" fontId="1" fillId="0" borderId="0" xfId="1" applyAlignment="1">
      <alignment horizontal="right"/>
    </xf>
    <xf numFmtId="44" fontId="1" fillId="0" borderId="0" xfId="1" applyNumberFormat="1"/>
    <xf numFmtId="0" fontId="1" fillId="0" borderId="0" xfId="4"/>
    <xf numFmtId="0" fontId="2" fillId="0" borderId="0" xfId="4" applyFont="1"/>
    <xf numFmtId="44" fontId="2" fillId="0" borderId="0" xfId="3" applyFont="1"/>
    <xf numFmtId="0" fontId="2" fillId="0" borderId="0" xfId="4" applyFont="1" applyAlignment="1">
      <alignment horizontal="center"/>
    </xf>
    <xf numFmtId="17" fontId="1" fillId="0" borderId="0" xfId="4" applyNumberFormat="1" applyAlignment="1">
      <alignment horizontal="left" indent="1"/>
    </xf>
    <xf numFmtId="44" fontId="1" fillId="0" borderId="0" xfId="3" applyFont="1" applyFill="1" applyAlignment="1">
      <alignment horizontal="left"/>
    </xf>
    <xf numFmtId="44" fontId="1" fillId="0" borderId="0" xfId="3" applyFont="1" applyFill="1"/>
    <xf numFmtId="10" fontId="2" fillId="0" borderId="0" xfId="4" applyNumberFormat="1" applyFont="1"/>
    <xf numFmtId="44" fontId="2" fillId="0" borderId="0" xfId="4" applyNumberFormat="1" applyFont="1"/>
    <xf numFmtId="44" fontId="1" fillId="0" borderId="0" xfId="4" applyNumberFormat="1"/>
    <xf numFmtId="44" fontId="2" fillId="0" borderId="0" xfId="3" applyFont="1" applyFill="1"/>
    <xf numFmtId="5" fontId="1" fillId="0" borderId="0" xfId="2" applyNumberFormat="1" applyFont="1"/>
    <xf numFmtId="10" fontId="1" fillId="0" borderId="0" xfId="4" applyNumberFormat="1" applyFont="1"/>
    <xf numFmtId="0" fontId="1" fillId="0" borderId="0" xfId="4" applyFont="1"/>
    <xf numFmtId="44" fontId="1" fillId="0" borderId="0" xfId="4" applyNumberFormat="1" applyFont="1"/>
    <xf numFmtId="0" fontId="1" fillId="2" borderId="0" xfId="4" applyFill="1"/>
    <xf numFmtId="44" fontId="1" fillId="2" borderId="0" xfId="3" applyFont="1" applyFill="1" applyAlignment="1">
      <alignment horizontal="left"/>
    </xf>
    <xf numFmtId="44" fontId="2" fillId="2" borderId="0" xfId="3" applyFont="1" applyFill="1"/>
    <xf numFmtId="0" fontId="1" fillId="2" borderId="0" xfId="1" applyFill="1"/>
    <xf numFmtId="44" fontId="1" fillId="0" borderId="1" xfId="3" applyFont="1" applyFill="1" applyBorder="1" applyAlignment="1">
      <alignment horizontal="left"/>
    </xf>
    <xf numFmtId="0" fontId="1" fillId="0" borderId="0" xfId="1" applyFill="1"/>
    <xf numFmtId="44" fontId="1" fillId="0" borderId="1" xfId="1" applyNumberFormat="1" applyFill="1" applyBorder="1"/>
    <xf numFmtId="0" fontId="2" fillId="0" borderId="1" xfId="4" applyFont="1" applyBorder="1" applyAlignment="1">
      <alignment horizontal="center"/>
    </xf>
    <xf numFmtId="44" fontId="2" fillId="0" borderId="1" xfId="3" applyFont="1" applyBorder="1" applyAlignment="1">
      <alignment horizontal="center"/>
    </xf>
    <xf numFmtId="17" fontId="2" fillId="2" borderId="0" xfId="4" applyNumberFormat="1" applyFont="1" applyFill="1" applyAlignment="1">
      <alignment horizontal="left" indent="1"/>
    </xf>
    <xf numFmtId="17" fontId="1" fillId="0" borderId="0" xfId="1" applyNumberFormat="1" applyAlignment="1">
      <alignment horizontal="left" indent="1"/>
    </xf>
    <xf numFmtId="44" fontId="2" fillId="0" borderId="1" xfId="3" applyFont="1" applyBorder="1" applyAlignment="1">
      <alignment horizontal="center" wrapText="1"/>
    </xf>
    <xf numFmtId="0" fontId="1" fillId="0" borderId="0" xfId="1" applyAlignment="1">
      <alignment horizontal="left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1" applyFont="1" applyAlignment="1">
      <alignment horizontal="left"/>
    </xf>
    <xf numFmtId="0" fontId="2" fillId="0" borderId="0" xfId="1" applyFont="1" applyFill="1" applyAlignment="1">
      <alignment horizontal="left"/>
    </xf>
  </cellXfs>
  <cellStyles count="5">
    <cellStyle name="Comma 2" xfId="2" xr:uid="{FE38C73A-5828-42B5-A338-3A1D4176E24C}"/>
    <cellStyle name="Currency 2" xfId="3" xr:uid="{5182024F-480C-4017-8643-366B6A813F76}"/>
    <cellStyle name="Normal" xfId="0" builtinId="0"/>
    <cellStyle name="Normal 2" xfId="1" xr:uid="{99A8A470-B822-4F90-96EA-F980D935714F}"/>
    <cellStyle name="Normal 2 2" xfId="4" xr:uid="{C825E869-A5AD-4FA0-A988-DDB7724BD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CDAB2A-8E51-4752-8DB4-3D2B36950236}" mc:Ignorable="x14ac xr xr2 xr3">
  <x:sheetPr>
    <x:pageSetUpPr fitToPage="1"/>
  </x:sheetPr>
  <x:dimension ref="A1:T145"/>
  <x:sheetViews>
    <x:sheetView tabSelected="1" view="pageBreakPreview" topLeftCell="A4" zoomScale="60" zoomScaleNormal="100" workbookViewId="0">
      <x:selection activeCell="B7" sqref="B7"/>
    </x:sheetView>
  </x:sheetViews>
  <x:sheetFormatPr defaultColWidth="9.1796875" defaultRowHeight="12.5" x14ac:dyDescent="0.25"/>
  <x:cols>
    <x:col min="1" max="1" width="9.1796875" style="1"/>
    <x:col min="2" max="3" width="14.453125" style="1" customWidth="1"/>
    <x:col min="4" max="4" width="17" style="1" customWidth="1"/>
    <x:col min="5" max="5" width="14.453125" style="1" customWidth="1"/>
    <x:col min="6" max="6" width="6.54296875" style="1" customWidth="1"/>
    <x:col min="7" max="9" width="14.453125" style="1" customWidth="1"/>
    <x:col min="10" max="10" width="16.81640625" style="1" customWidth="1"/>
    <x:col min="11" max="11" width="6.54296875" style="1" customWidth="1"/>
    <x:col min="12" max="15" width="14.453125" style="1" customWidth="1"/>
    <x:col min="16" max="16" width="6.54296875" style="1" customWidth="1"/>
    <x:col min="17" max="20" width="14.453125" style="1" customWidth="1"/>
    <x:col min="21" max="22" width="11.26953125" style="1" bestFit="1" customWidth="1"/>
    <x:col min="23" max="23" width="10.81640625" style="1" bestFit="1" customWidth="1"/>
    <x:col min="24" max="257" width="9.1796875" style="1"/>
    <x:col min="258" max="261" width="14.453125" style="1" customWidth="1"/>
    <x:col min="262" max="262" width="6.54296875" style="1" customWidth="1"/>
    <x:col min="263" max="266" width="14.453125" style="1" customWidth="1"/>
    <x:col min="267" max="267" width="6.54296875" style="1" customWidth="1"/>
    <x:col min="268" max="271" width="14.453125" style="1" customWidth="1"/>
    <x:col min="272" max="272" width="6.54296875" style="1" customWidth="1"/>
    <x:col min="273" max="276" width="14.453125" style="1" customWidth="1"/>
    <x:col min="277" max="278" width="11.26953125" style="1" bestFit="1" customWidth="1"/>
    <x:col min="279" max="279" width="10.81640625" style="1" bestFit="1" customWidth="1"/>
    <x:col min="280" max="513" width="9.1796875" style="1"/>
    <x:col min="514" max="517" width="14.453125" style="1" customWidth="1"/>
    <x:col min="518" max="518" width="6.54296875" style="1" customWidth="1"/>
    <x:col min="519" max="522" width="14.453125" style="1" customWidth="1"/>
    <x:col min="523" max="523" width="6.54296875" style="1" customWidth="1"/>
    <x:col min="524" max="527" width="14.453125" style="1" customWidth="1"/>
    <x:col min="528" max="528" width="6.54296875" style="1" customWidth="1"/>
    <x:col min="529" max="532" width="14.453125" style="1" customWidth="1"/>
    <x:col min="533" max="534" width="11.26953125" style="1" bestFit="1" customWidth="1"/>
    <x:col min="535" max="535" width="10.81640625" style="1" bestFit="1" customWidth="1"/>
    <x:col min="536" max="769" width="9.1796875" style="1"/>
    <x:col min="770" max="773" width="14.453125" style="1" customWidth="1"/>
    <x:col min="774" max="774" width="6.54296875" style="1" customWidth="1"/>
    <x:col min="775" max="778" width="14.453125" style="1" customWidth="1"/>
    <x:col min="779" max="779" width="6.54296875" style="1" customWidth="1"/>
    <x:col min="780" max="783" width="14.453125" style="1" customWidth="1"/>
    <x:col min="784" max="784" width="6.54296875" style="1" customWidth="1"/>
    <x:col min="785" max="788" width="14.453125" style="1" customWidth="1"/>
    <x:col min="789" max="790" width="11.26953125" style="1" bestFit="1" customWidth="1"/>
    <x:col min="791" max="791" width="10.81640625" style="1" bestFit="1" customWidth="1"/>
    <x:col min="792" max="1025" width="9.1796875" style="1"/>
    <x:col min="1026" max="1029" width="14.453125" style="1" customWidth="1"/>
    <x:col min="1030" max="1030" width="6.54296875" style="1" customWidth="1"/>
    <x:col min="1031" max="1034" width="14.453125" style="1" customWidth="1"/>
    <x:col min="1035" max="1035" width="6.54296875" style="1" customWidth="1"/>
    <x:col min="1036" max="1039" width="14.453125" style="1" customWidth="1"/>
    <x:col min="1040" max="1040" width="6.54296875" style="1" customWidth="1"/>
    <x:col min="1041" max="1044" width="14.453125" style="1" customWidth="1"/>
    <x:col min="1045" max="1046" width="11.26953125" style="1" bestFit="1" customWidth="1"/>
    <x:col min="1047" max="1047" width="10.81640625" style="1" bestFit="1" customWidth="1"/>
    <x:col min="1048" max="1281" width="9.1796875" style="1"/>
    <x:col min="1282" max="1285" width="14.453125" style="1" customWidth="1"/>
    <x:col min="1286" max="1286" width="6.54296875" style="1" customWidth="1"/>
    <x:col min="1287" max="1290" width="14.453125" style="1" customWidth="1"/>
    <x:col min="1291" max="1291" width="6.54296875" style="1" customWidth="1"/>
    <x:col min="1292" max="1295" width="14.453125" style="1" customWidth="1"/>
    <x:col min="1296" max="1296" width="6.54296875" style="1" customWidth="1"/>
    <x:col min="1297" max="1300" width="14.453125" style="1" customWidth="1"/>
    <x:col min="1301" max="1302" width="11.26953125" style="1" bestFit="1" customWidth="1"/>
    <x:col min="1303" max="1303" width="10.81640625" style="1" bestFit="1" customWidth="1"/>
    <x:col min="1304" max="1537" width="9.1796875" style="1"/>
    <x:col min="1538" max="1541" width="14.453125" style="1" customWidth="1"/>
    <x:col min="1542" max="1542" width="6.54296875" style="1" customWidth="1"/>
    <x:col min="1543" max="1546" width="14.453125" style="1" customWidth="1"/>
    <x:col min="1547" max="1547" width="6.54296875" style="1" customWidth="1"/>
    <x:col min="1548" max="1551" width="14.453125" style="1" customWidth="1"/>
    <x:col min="1552" max="1552" width="6.54296875" style="1" customWidth="1"/>
    <x:col min="1553" max="1556" width="14.453125" style="1" customWidth="1"/>
    <x:col min="1557" max="1558" width="11.26953125" style="1" bestFit="1" customWidth="1"/>
    <x:col min="1559" max="1559" width="10.81640625" style="1" bestFit="1" customWidth="1"/>
    <x:col min="1560" max="1793" width="9.1796875" style="1"/>
    <x:col min="1794" max="1797" width="14.453125" style="1" customWidth="1"/>
    <x:col min="1798" max="1798" width="6.54296875" style="1" customWidth="1"/>
    <x:col min="1799" max="1802" width="14.453125" style="1" customWidth="1"/>
    <x:col min="1803" max="1803" width="6.54296875" style="1" customWidth="1"/>
    <x:col min="1804" max="1807" width="14.453125" style="1" customWidth="1"/>
    <x:col min="1808" max="1808" width="6.54296875" style="1" customWidth="1"/>
    <x:col min="1809" max="1812" width="14.453125" style="1" customWidth="1"/>
    <x:col min="1813" max="1814" width="11.26953125" style="1" bestFit="1" customWidth="1"/>
    <x:col min="1815" max="1815" width="10.81640625" style="1" bestFit="1" customWidth="1"/>
    <x:col min="1816" max="2049" width="9.1796875" style="1"/>
    <x:col min="2050" max="2053" width="14.453125" style="1" customWidth="1"/>
    <x:col min="2054" max="2054" width="6.54296875" style="1" customWidth="1"/>
    <x:col min="2055" max="2058" width="14.453125" style="1" customWidth="1"/>
    <x:col min="2059" max="2059" width="6.54296875" style="1" customWidth="1"/>
    <x:col min="2060" max="2063" width="14.453125" style="1" customWidth="1"/>
    <x:col min="2064" max="2064" width="6.54296875" style="1" customWidth="1"/>
    <x:col min="2065" max="2068" width="14.453125" style="1" customWidth="1"/>
    <x:col min="2069" max="2070" width="11.26953125" style="1" bestFit="1" customWidth="1"/>
    <x:col min="2071" max="2071" width="10.81640625" style="1" bestFit="1" customWidth="1"/>
    <x:col min="2072" max="2305" width="9.1796875" style="1"/>
    <x:col min="2306" max="2309" width="14.453125" style="1" customWidth="1"/>
    <x:col min="2310" max="2310" width="6.54296875" style="1" customWidth="1"/>
    <x:col min="2311" max="2314" width="14.453125" style="1" customWidth="1"/>
    <x:col min="2315" max="2315" width="6.54296875" style="1" customWidth="1"/>
    <x:col min="2316" max="2319" width="14.453125" style="1" customWidth="1"/>
    <x:col min="2320" max="2320" width="6.54296875" style="1" customWidth="1"/>
    <x:col min="2321" max="2324" width="14.453125" style="1" customWidth="1"/>
    <x:col min="2325" max="2326" width="11.26953125" style="1" bestFit="1" customWidth="1"/>
    <x:col min="2327" max="2327" width="10.81640625" style="1" bestFit="1" customWidth="1"/>
    <x:col min="2328" max="2561" width="9.1796875" style="1"/>
    <x:col min="2562" max="2565" width="14.453125" style="1" customWidth="1"/>
    <x:col min="2566" max="2566" width="6.54296875" style="1" customWidth="1"/>
    <x:col min="2567" max="2570" width="14.453125" style="1" customWidth="1"/>
    <x:col min="2571" max="2571" width="6.54296875" style="1" customWidth="1"/>
    <x:col min="2572" max="2575" width="14.453125" style="1" customWidth="1"/>
    <x:col min="2576" max="2576" width="6.54296875" style="1" customWidth="1"/>
    <x:col min="2577" max="2580" width="14.453125" style="1" customWidth="1"/>
    <x:col min="2581" max="2582" width="11.26953125" style="1" bestFit="1" customWidth="1"/>
    <x:col min="2583" max="2583" width="10.81640625" style="1" bestFit="1" customWidth="1"/>
    <x:col min="2584" max="2817" width="9.1796875" style="1"/>
    <x:col min="2818" max="2821" width="14.453125" style="1" customWidth="1"/>
    <x:col min="2822" max="2822" width="6.54296875" style="1" customWidth="1"/>
    <x:col min="2823" max="2826" width="14.453125" style="1" customWidth="1"/>
    <x:col min="2827" max="2827" width="6.54296875" style="1" customWidth="1"/>
    <x:col min="2828" max="2831" width="14.453125" style="1" customWidth="1"/>
    <x:col min="2832" max="2832" width="6.54296875" style="1" customWidth="1"/>
    <x:col min="2833" max="2836" width="14.453125" style="1" customWidth="1"/>
    <x:col min="2837" max="2838" width="11.26953125" style="1" bestFit="1" customWidth="1"/>
    <x:col min="2839" max="2839" width="10.81640625" style="1" bestFit="1" customWidth="1"/>
    <x:col min="2840" max="3073" width="9.1796875" style="1"/>
    <x:col min="3074" max="3077" width="14.453125" style="1" customWidth="1"/>
    <x:col min="3078" max="3078" width="6.54296875" style="1" customWidth="1"/>
    <x:col min="3079" max="3082" width="14.453125" style="1" customWidth="1"/>
    <x:col min="3083" max="3083" width="6.54296875" style="1" customWidth="1"/>
    <x:col min="3084" max="3087" width="14.453125" style="1" customWidth="1"/>
    <x:col min="3088" max="3088" width="6.54296875" style="1" customWidth="1"/>
    <x:col min="3089" max="3092" width="14.453125" style="1" customWidth="1"/>
    <x:col min="3093" max="3094" width="11.26953125" style="1" bestFit="1" customWidth="1"/>
    <x:col min="3095" max="3095" width="10.81640625" style="1" bestFit="1" customWidth="1"/>
    <x:col min="3096" max="3329" width="9.1796875" style="1"/>
    <x:col min="3330" max="3333" width="14.453125" style="1" customWidth="1"/>
    <x:col min="3334" max="3334" width="6.54296875" style="1" customWidth="1"/>
    <x:col min="3335" max="3338" width="14.453125" style="1" customWidth="1"/>
    <x:col min="3339" max="3339" width="6.54296875" style="1" customWidth="1"/>
    <x:col min="3340" max="3343" width="14.453125" style="1" customWidth="1"/>
    <x:col min="3344" max="3344" width="6.54296875" style="1" customWidth="1"/>
    <x:col min="3345" max="3348" width="14.453125" style="1" customWidth="1"/>
    <x:col min="3349" max="3350" width="11.26953125" style="1" bestFit="1" customWidth="1"/>
    <x:col min="3351" max="3351" width="10.81640625" style="1" bestFit="1" customWidth="1"/>
    <x:col min="3352" max="3585" width="9.1796875" style="1"/>
    <x:col min="3586" max="3589" width="14.453125" style="1" customWidth="1"/>
    <x:col min="3590" max="3590" width="6.54296875" style="1" customWidth="1"/>
    <x:col min="3591" max="3594" width="14.453125" style="1" customWidth="1"/>
    <x:col min="3595" max="3595" width="6.54296875" style="1" customWidth="1"/>
    <x:col min="3596" max="3599" width="14.453125" style="1" customWidth="1"/>
    <x:col min="3600" max="3600" width="6.54296875" style="1" customWidth="1"/>
    <x:col min="3601" max="3604" width="14.453125" style="1" customWidth="1"/>
    <x:col min="3605" max="3606" width="11.26953125" style="1" bestFit="1" customWidth="1"/>
    <x:col min="3607" max="3607" width="10.81640625" style="1" bestFit="1" customWidth="1"/>
    <x:col min="3608" max="3841" width="9.1796875" style="1"/>
    <x:col min="3842" max="3845" width="14.453125" style="1" customWidth="1"/>
    <x:col min="3846" max="3846" width="6.54296875" style="1" customWidth="1"/>
    <x:col min="3847" max="3850" width="14.453125" style="1" customWidth="1"/>
    <x:col min="3851" max="3851" width="6.54296875" style="1" customWidth="1"/>
    <x:col min="3852" max="3855" width="14.453125" style="1" customWidth="1"/>
    <x:col min="3856" max="3856" width="6.54296875" style="1" customWidth="1"/>
    <x:col min="3857" max="3860" width="14.453125" style="1" customWidth="1"/>
    <x:col min="3861" max="3862" width="11.26953125" style="1" bestFit="1" customWidth="1"/>
    <x:col min="3863" max="3863" width="10.81640625" style="1" bestFit="1" customWidth="1"/>
    <x:col min="3864" max="4097" width="9.1796875" style="1"/>
    <x:col min="4098" max="4101" width="14.453125" style="1" customWidth="1"/>
    <x:col min="4102" max="4102" width="6.54296875" style="1" customWidth="1"/>
    <x:col min="4103" max="4106" width="14.453125" style="1" customWidth="1"/>
    <x:col min="4107" max="4107" width="6.54296875" style="1" customWidth="1"/>
    <x:col min="4108" max="4111" width="14.453125" style="1" customWidth="1"/>
    <x:col min="4112" max="4112" width="6.54296875" style="1" customWidth="1"/>
    <x:col min="4113" max="4116" width="14.453125" style="1" customWidth="1"/>
    <x:col min="4117" max="4118" width="11.26953125" style="1" bestFit="1" customWidth="1"/>
    <x:col min="4119" max="4119" width="10.81640625" style="1" bestFit="1" customWidth="1"/>
    <x:col min="4120" max="4353" width="9.1796875" style="1"/>
    <x:col min="4354" max="4357" width="14.453125" style="1" customWidth="1"/>
    <x:col min="4358" max="4358" width="6.54296875" style="1" customWidth="1"/>
    <x:col min="4359" max="4362" width="14.453125" style="1" customWidth="1"/>
    <x:col min="4363" max="4363" width="6.54296875" style="1" customWidth="1"/>
    <x:col min="4364" max="4367" width="14.453125" style="1" customWidth="1"/>
    <x:col min="4368" max="4368" width="6.54296875" style="1" customWidth="1"/>
    <x:col min="4369" max="4372" width="14.453125" style="1" customWidth="1"/>
    <x:col min="4373" max="4374" width="11.26953125" style="1" bestFit="1" customWidth="1"/>
    <x:col min="4375" max="4375" width="10.81640625" style="1" bestFit="1" customWidth="1"/>
    <x:col min="4376" max="4609" width="9.1796875" style="1"/>
    <x:col min="4610" max="4613" width="14.453125" style="1" customWidth="1"/>
    <x:col min="4614" max="4614" width="6.54296875" style="1" customWidth="1"/>
    <x:col min="4615" max="4618" width="14.453125" style="1" customWidth="1"/>
    <x:col min="4619" max="4619" width="6.54296875" style="1" customWidth="1"/>
    <x:col min="4620" max="4623" width="14.453125" style="1" customWidth="1"/>
    <x:col min="4624" max="4624" width="6.54296875" style="1" customWidth="1"/>
    <x:col min="4625" max="4628" width="14.453125" style="1" customWidth="1"/>
    <x:col min="4629" max="4630" width="11.26953125" style="1" bestFit="1" customWidth="1"/>
    <x:col min="4631" max="4631" width="10.81640625" style="1" bestFit="1" customWidth="1"/>
    <x:col min="4632" max="4865" width="9.1796875" style="1"/>
    <x:col min="4866" max="4869" width="14.453125" style="1" customWidth="1"/>
    <x:col min="4870" max="4870" width="6.54296875" style="1" customWidth="1"/>
    <x:col min="4871" max="4874" width="14.453125" style="1" customWidth="1"/>
    <x:col min="4875" max="4875" width="6.54296875" style="1" customWidth="1"/>
    <x:col min="4876" max="4879" width="14.453125" style="1" customWidth="1"/>
    <x:col min="4880" max="4880" width="6.54296875" style="1" customWidth="1"/>
    <x:col min="4881" max="4884" width="14.453125" style="1" customWidth="1"/>
    <x:col min="4885" max="4886" width="11.26953125" style="1" bestFit="1" customWidth="1"/>
    <x:col min="4887" max="4887" width="10.81640625" style="1" bestFit="1" customWidth="1"/>
    <x:col min="4888" max="5121" width="9.1796875" style="1"/>
    <x:col min="5122" max="5125" width="14.453125" style="1" customWidth="1"/>
    <x:col min="5126" max="5126" width="6.54296875" style="1" customWidth="1"/>
    <x:col min="5127" max="5130" width="14.453125" style="1" customWidth="1"/>
    <x:col min="5131" max="5131" width="6.54296875" style="1" customWidth="1"/>
    <x:col min="5132" max="5135" width="14.453125" style="1" customWidth="1"/>
    <x:col min="5136" max="5136" width="6.54296875" style="1" customWidth="1"/>
    <x:col min="5137" max="5140" width="14.453125" style="1" customWidth="1"/>
    <x:col min="5141" max="5142" width="11.26953125" style="1" bestFit="1" customWidth="1"/>
    <x:col min="5143" max="5143" width="10.81640625" style="1" bestFit="1" customWidth="1"/>
    <x:col min="5144" max="5377" width="9.1796875" style="1"/>
    <x:col min="5378" max="5381" width="14.453125" style="1" customWidth="1"/>
    <x:col min="5382" max="5382" width="6.54296875" style="1" customWidth="1"/>
    <x:col min="5383" max="5386" width="14.453125" style="1" customWidth="1"/>
    <x:col min="5387" max="5387" width="6.54296875" style="1" customWidth="1"/>
    <x:col min="5388" max="5391" width="14.453125" style="1" customWidth="1"/>
    <x:col min="5392" max="5392" width="6.54296875" style="1" customWidth="1"/>
    <x:col min="5393" max="5396" width="14.453125" style="1" customWidth="1"/>
    <x:col min="5397" max="5398" width="11.26953125" style="1" bestFit="1" customWidth="1"/>
    <x:col min="5399" max="5399" width="10.81640625" style="1" bestFit="1" customWidth="1"/>
    <x:col min="5400" max="5633" width="9.1796875" style="1"/>
    <x:col min="5634" max="5637" width="14.453125" style="1" customWidth="1"/>
    <x:col min="5638" max="5638" width="6.54296875" style="1" customWidth="1"/>
    <x:col min="5639" max="5642" width="14.453125" style="1" customWidth="1"/>
    <x:col min="5643" max="5643" width="6.54296875" style="1" customWidth="1"/>
    <x:col min="5644" max="5647" width="14.453125" style="1" customWidth="1"/>
    <x:col min="5648" max="5648" width="6.54296875" style="1" customWidth="1"/>
    <x:col min="5649" max="5652" width="14.453125" style="1" customWidth="1"/>
    <x:col min="5653" max="5654" width="11.26953125" style="1" bestFit="1" customWidth="1"/>
    <x:col min="5655" max="5655" width="10.81640625" style="1" bestFit="1" customWidth="1"/>
    <x:col min="5656" max="5889" width="9.1796875" style="1"/>
    <x:col min="5890" max="5893" width="14.453125" style="1" customWidth="1"/>
    <x:col min="5894" max="5894" width="6.54296875" style="1" customWidth="1"/>
    <x:col min="5895" max="5898" width="14.453125" style="1" customWidth="1"/>
    <x:col min="5899" max="5899" width="6.54296875" style="1" customWidth="1"/>
    <x:col min="5900" max="5903" width="14.453125" style="1" customWidth="1"/>
    <x:col min="5904" max="5904" width="6.54296875" style="1" customWidth="1"/>
    <x:col min="5905" max="5908" width="14.453125" style="1" customWidth="1"/>
    <x:col min="5909" max="5910" width="11.26953125" style="1" bestFit="1" customWidth="1"/>
    <x:col min="5911" max="5911" width="10.81640625" style="1" bestFit="1" customWidth="1"/>
    <x:col min="5912" max="6145" width="9.1796875" style="1"/>
    <x:col min="6146" max="6149" width="14.453125" style="1" customWidth="1"/>
    <x:col min="6150" max="6150" width="6.54296875" style="1" customWidth="1"/>
    <x:col min="6151" max="6154" width="14.453125" style="1" customWidth="1"/>
    <x:col min="6155" max="6155" width="6.54296875" style="1" customWidth="1"/>
    <x:col min="6156" max="6159" width="14.453125" style="1" customWidth="1"/>
    <x:col min="6160" max="6160" width="6.54296875" style="1" customWidth="1"/>
    <x:col min="6161" max="6164" width="14.453125" style="1" customWidth="1"/>
    <x:col min="6165" max="6166" width="11.26953125" style="1" bestFit="1" customWidth="1"/>
    <x:col min="6167" max="6167" width="10.81640625" style="1" bestFit="1" customWidth="1"/>
    <x:col min="6168" max="6401" width="9.1796875" style="1"/>
    <x:col min="6402" max="6405" width="14.453125" style="1" customWidth="1"/>
    <x:col min="6406" max="6406" width="6.54296875" style="1" customWidth="1"/>
    <x:col min="6407" max="6410" width="14.453125" style="1" customWidth="1"/>
    <x:col min="6411" max="6411" width="6.54296875" style="1" customWidth="1"/>
    <x:col min="6412" max="6415" width="14.453125" style="1" customWidth="1"/>
    <x:col min="6416" max="6416" width="6.54296875" style="1" customWidth="1"/>
    <x:col min="6417" max="6420" width="14.453125" style="1" customWidth="1"/>
    <x:col min="6421" max="6422" width="11.26953125" style="1" bestFit="1" customWidth="1"/>
    <x:col min="6423" max="6423" width="10.81640625" style="1" bestFit="1" customWidth="1"/>
    <x:col min="6424" max="6657" width="9.1796875" style="1"/>
    <x:col min="6658" max="6661" width="14.453125" style="1" customWidth="1"/>
    <x:col min="6662" max="6662" width="6.54296875" style="1" customWidth="1"/>
    <x:col min="6663" max="6666" width="14.453125" style="1" customWidth="1"/>
    <x:col min="6667" max="6667" width="6.54296875" style="1" customWidth="1"/>
    <x:col min="6668" max="6671" width="14.453125" style="1" customWidth="1"/>
    <x:col min="6672" max="6672" width="6.54296875" style="1" customWidth="1"/>
    <x:col min="6673" max="6676" width="14.453125" style="1" customWidth="1"/>
    <x:col min="6677" max="6678" width="11.26953125" style="1" bestFit="1" customWidth="1"/>
    <x:col min="6679" max="6679" width="10.81640625" style="1" bestFit="1" customWidth="1"/>
    <x:col min="6680" max="6913" width="9.1796875" style="1"/>
    <x:col min="6914" max="6917" width="14.453125" style="1" customWidth="1"/>
    <x:col min="6918" max="6918" width="6.54296875" style="1" customWidth="1"/>
    <x:col min="6919" max="6922" width="14.453125" style="1" customWidth="1"/>
    <x:col min="6923" max="6923" width="6.54296875" style="1" customWidth="1"/>
    <x:col min="6924" max="6927" width="14.453125" style="1" customWidth="1"/>
    <x:col min="6928" max="6928" width="6.54296875" style="1" customWidth="1"/>
    <x:col min="6929" max="6932" width="14.453125" style="1" customWidth="1"/>
    <x:col min="6933" max="6934" width="11.26953125" style="1" bestFit="1" customWidth="1"/>
    <x:col min="6935" max="6935" width="10.81640625" style="1" bestFit="1" customWidth="1"/>
    <x:col min="6936" max="7169" width="9.1796875" style="1"/>
    <x:col min="7170" max="7173" width="14.453125" style="1" customWidth="1"/>
    <x:col min="7174" max="7174" width="6.54296875" style="1" customWidth="1"/>
    <x:col min="7175" max="7178" width="14.453125" style="1" customWidth="1"/>
    <x:col min="7179" max="7179" width="6.54296875" style="1" customWidth="1"/>
    <x:col min="7180" max="7183" width="14.453125" style="1" customWidth="1"/>
    <x:col min="7184" max="7184" width="6.54296875" style="1" customWidth="1"/>
    <x:col min="7185" max="7188" width="14.453125" style="1" customWidth="1"/>
    <x:col min="7189" max="7190" width="11.26953125" style="1" bestFit="1" customWidth="1"/>
    <x:col min="7191" max="7191" width="10.81640625" style="1" bestFit="1" customWidth="1"/>
    <x:col min="7192" max="7425" width="9.1796875" style="1"/>
    <x:col min="7426" max="7429" width="14.453125" style="1" customWidth="1"/>
    <x:col min="7430" max="7430" width="6.54296875" style="1" customWidth="1"/>
    <x:col min="7431" max="7434" width="14.453125" style="1" customWidth="1"/>
    <x:col min="7435" max="7435" width="6.54296875" style="1" customWidth="1"/>
    <x:col min="7436" max="7439" width="14.453125" style="1" customWidth="1"/>
    <x:col min="7440" max="7440" width="6.54296875" style="1" customWidth="1"/>
    <x:col min="7441" max="7444" width="14.453125" style="1" customWidth="1"/>
    <x:col min="7445" max="7446" width="11.26953125" style="1" bestFit="1" customWidth="1"/>
    <x:col min="7447" max="7447" width="10.81640625" style="1" bestFit="1" customWidth="1"/>
    <x:col min="7448" max="7681" width="9.1796875" style="1"/>
    <x:col min="7682" max="7685" width="14.453125" style="1" customWidth="1"/>
    <x:col min="7686" max="7686" width="6.54296875" style="1" customWidth="1"/>
    <x:col min="7687" max="7690" width="14.453125" style="1" customWidth="1"/>
    <x:col min="7691" max="7691" width="6.54296875" style="1" customWidth="1"/>
    <x:col min="7692" max="7695" width="14.453125" style="1" customWidth="1"/>
    <x:col min="7696" max="7696" width="6.54296875" style="1" customWidth="1"/>
    <x:col min="7697" max="7700" width="14.453125" style="1" customWidth="1"/>
    <x:col min="7701" max="7702" width="11.26953125" style="1" bestFit="1" customWidth="1"/>
    <x:col min="7703" max="7703" width="10.81640625" style="1" bestFit="1" customWidth="1"/>
    <x:col min="7704" max="7937" width="9.1796875" style="1"/>
    <x:col min="7938" max="7941" width="14.453125" style="1" customWidth="1"/>
    <x:col min="7942" max="7942" width="6.54296875" style="1" customWidth="1"/>
    <x:col min="7943" max="7946" width="14.453125" style="1" customWidth="1"/>
    <x:col min="7947" max="7947" width="6.54296875" style="1" customWidth="1"/>
    <x:col min="7948" max="7951" width="14.453125" style="1" customWidth="1"/>
    <x:col min="7952" max="7952" width="6.54296875" style="1" customWidth="1"/>
    <x:col min="7953" max="7956" width="14.453125" style="1" customWidth="1"/>
    <x:col min="7957" max="7958" width="11.26953125" style="1" bestFit="1" customWidth="1"/>
    <x:col min="7959" max="7959" width="10.81640625" style="1" bestFit="1" customWidth="1"/>
    <x:col min="7960" max="8193" width="9.1796875" style="1"/>
    <x:col min="8194" max="8197" width="14.453125" style="1" customWidth="1"/>
    <x:col min="8198" max="8198" width="6.54296875" style="1" customWidth="1"/>
    <x:col min="8199" max="8202" width="14.453125" style="1" customWidth="1"/>
    <x:col min="8203" max="8203" width="6.54296875" style="1" customWidth="1"/>
    <x:col min="8204" max="8207" width="14.453125" style="1" customWidth="1"/>
    <x:col min="8208" max="8208" width="6.54296875" style="1" customWidth="1"/>
    <x:col min="8209" max="8212" width="14.453125" style="1" customWidth="1"/>
    <x:col min="8213" max="8214" width="11.26953125" style="1" bestFit="1" customWidth="1"/>
    <x:col min="8215" max="8215" width="10.81640625" style="1" bestFit="1" customWidth="1"/>
    <x:col min="8216" max="8449" width="9.1796875" style="1"/>
    <x:col min="8450" max="8453" width="14.453125" style="1" customWidth="1"/>
    <x:col min="8454" max="8454" width="6.54296875" style="1" customWidth="1"/>
    <x:col min="8455" max="8458" width="14.453125" style="1" customWidth="1"/>
    <x:col min="8459" max="8459" width="6.54296875" style="1" customWidth="1"/>
    <x:col min="8460" max="8463" width="14.453125" style="1" customWidth="1"/>
    <x:col min="8464" max="8464" width="6.54296875" style="1" customWidth="1"/>
    <x:col min="8465" max="8468" width="14.453125" style="1" customWidth="1"/>
    <x:col min="8469" max="8470" width="11.26953125" style="1" bestFit="1" customWidth="1"/>
    <x:col min="8471" max="8471" width="10.81640625" style="1" bestFit="1" customWidth="1"/>
    <x:col min="8472" max="8705" width="9.1796875" style="1"/>
    <x:col min="8706" max="8709" width="14.453125" style="1" customWidth="1"/>
    <x:col min="8710" max="8710" width="6.54296875" style="1" customWidth="1"/>
    <x:col min="8711" max="8714" width="14.453125" style="1" customWidth="1"/>
    <x:col min="8715" max="8715" width="6.54296875" style="1" customWidth="1"/>
    <x:col min="8716" max="8719" width="14.453125" style="1" customWidth="1"/>
    <x:col min="8720" max="8720" width="6.54296875" style="1" customWidth="1"/>
    <x:col min="8721" max="8724" width="14.453125" style="1" customWidth="1"/>
    <x:col min="8725" max="8726" width="11.26953125" style="1" bestFit="1" customWidth="1"/>
    <x:col min="8727" max="8727" width="10.81640625" style="1" bestFit="1" customWidth="1"/>
    <x:col min="8728" max="8961" width="9.1796875" style="1"/>
    <x:col min="8962" max="8965" width="14.453125" style="1" customWidth="1"/>
    <x:col min="8966" max="8966" width="6.54296875" style="1" customWidth="1"/>
    <x:col min="8967" max="8970" width="14.453125" style="1" customWidth="1"/>
    <x:col min="8971" max="8971" width="6.54296875" style="1" customWidth="1"/>
    <x:col min="8972" max="8975" width="14.453125" style="1" customWidth="1"/>
    <x:col min="8976" max="8976" width="6.54296875" style="1" customWidth="1"/>
    <x:col min="8977" max="8980" width="14.453125" style="1" customWidth="1"/>
    <x:col min="8981" max="8982" width="11.26953125" style="1" bestFit="1" customWidth="1"/>
    <x:col min="8983" max="8983" width="10.81640625" style="1" bestFit="1" customWidth="1"/>
    <x:col min="8984" max="9217" width="9.1796875" style="1"/>
    <x:col min="9218" max="9221" width="14.453125" style="1" customWidth="1"/>
    <x:col min="9222" max="9222" width="6.54296875" style="1" customWidth="1"/>
    <x:col min="9223" max="9226" width="14.453125" style="1" customWidth="1"/>
    <x:col min="9227" max="9227" width="6.54296875" style="1" customWidth="1"/>
    <x:col min="9228" max="9231" width="14.453125" style="1" customWidth="1"/>
    <x:col min="9232" max="9232" width="6.54296875" style="1" customWidth="1"/>
    <x:col min="9233" max="9236" width="14.453125" style="1" customWidth="1"/>
    <x:col min="9237" max="9238" width="11.26953125" style="1" bestFit="1" customWidth="1"/>
    <x:col min="9239" max="9239" width="10.81640625" style="1" bestFit="1" customWidth="1"/>
    <x:col min="9240" max="9473" width="9.1796875" style="1"/>
    <x:col min="9474" max="9477" width="14.453125" style="1" customWidth="1"/>
    <x:col min="9478" max="9478" width="6.54296875" style="1" customWidth="1"/>
    <x:col min="9479" max="9482" width="14.453125" style="1" customWidth="1"/>
    <x:col min="9483" max="9483" width="6.54296875" style="1" customWidth="1"/>
    <x:col min="9484" max="9487" width="14.453125" style="1" customWidth="1"/>
    <x:col min="9488" max="9488" width="6.54296875" style="1" customWidth="1"/>
    <x:col min="9489" max="9492" width="14.453125" style="1" customWidth="1"/>
    <x:col min="9493" max="9494" width="11.26953125" style="1" bestFit="1" customWidth="1"/>
    <x:col min="9495" max="9495" width="10.81640625" style="1" bestFit="1" customWidth="1"/>
    <x:col min="9496" max="9729" width="9.1796875" style="1"/>
    <x:col min="9730" max="9733" width="14.453125" style="1" customWidth="1"/>
    <x:col min="9734" max="9734" width="6.54296875" style="1" customWidth="1"/>
    <x:col min="9735" max="9738" width="14.453125" style="1" customWidth="1"/>
    <x:col min="9739" max="9739" width="6.54296875" style="1" customWidth="1"/>
    <x:col min="9740" max="9743" width="14.453125" style="1" customWidth="1"/>
    <x:col min="9744" max="9744" width="6.54296875" style="1" customWidth="1"/>
    <x:col min="9745" max="9748" width="14.453125" style="1" customWidth="1"/>
    <x:col min="9749" max="9750" width="11.26953125" style="1" bestFit="1" customWidth="1"/>
    <x:col min="9751" max="9751" width="10.81640625" style="1" bestFit="1" customWidth="1"/>
    <x:col min="9752" max="9985" width="9.1796875" style="1"/>
    <x:col min="9986" max="9989" width="14.453125" style="1" customWidth="1"/>
    <x:col min="9990" max="9990" width="6.54296875" style="1" customWidth="1"/>
    <x:col min="9991" max="9994" width="14.453125" style="1" customWidth="1"/>
    <x:col min="9995" max="9995" width="6.54296875" style="1" customWidth="1"/>
    <x:col min="9996" max="9999" width="14.453125" style="1" customWidth="1"/>
    <x:col min="10000" max="10000" width="6.54296875" style="1" customWidth="1"/>
    <x:col min="10001" max="10004" width="14.453125" style="1" customWidth="1"/>
    <x:col min="10005" max="10006" width="11.26953125" style="1" bestFit="1" customWidth="1"/>
    <x:col min="10007" max="10007" width="10.81640625" style="1" bestFit="1" customWidth="1"/>
    <x:col min="10008" max="10241" width="9.1796875" style="1"/>
    <x:col min="10242" max="10245" width="14.453125" style="1" customWidth="1"/>
    <x:col min="10246" max="10246" width="6.54296875" style="1" customWidth="1"/>
    <x:col min="10247" max="10250" width="14.453125" style="1" customWidth="1"/>
    <x:col min="10251" max="10251" width="6.54296875" style="1" customWidth="1"/>
    <x:col min="10252" max="10255" width="14.453125" style="1" customWidth="1"/>
    <x:col min="10256" max="10256" width="6.54296875" style="1" customWidth="1"/>
    <x:col min="10257" max="10260" width="14.453125" style="1" customWidth="1"/>
    <x:col min="10261" max="10262" width="11.26953125" style="1" bestFit="1" customWidth="1"/>
    <x:col min="10263" max="10263" width="10.81640625" style="1" bestFit="1" customWidth="1"/>
    <x:col min="10264" max="10497" width="9.1796875" style="1"/>
    <x:col min="10498" max="10501" width="14.453125" style="1" customWidth="1"/>
    <x:col min="10502" max="10502" width="6.54296875" style="1" customWidth="1"/>
    <x:col min="10503" max="10506" width="14.453125" style="1" customWidth="1"/>
    <x:col min="10507" max="10507" width="6.54296875" style="1" customWidth="1"/>
    <x:col min="10508" max="10511" width="14.453125" style="1" customWidth="1"/>
    <x:col min="10512" max="10512" width="6.54296875" style="1" customWidth="1"/>
    <x:col min="10513" max="10516" width="14.453125" style="1" customWidth="1"/>
    <x:col min="10517" max="10518" width="11.26953125" style="1" bestFit="1" customWidth="1"/>
    <x:col min="10519" max="10519" width="10.81640625" style="1" bestFit="1" customWidth="1"/>
    <x:col min="10520" max="10753" width="9.1796875" style="1"/>
    <x:col min="10754" max="10757" width="14.453125" style="1" customWidth="1"/>
    <x:col min="10758" max="10758" width="6.54296875" style="1" customWidth="1"/>
    <x:col min="10759" max="10762" width="14.453125" style="1" customWidth="1"/>
    <x:col min="10763" max="10763" width="6.54296875" style="1" customWidth="1"/>
    <x:col min="10764" max="10767" width="14.453125" style="1" customWidth="1"/>
    <x:col min="10768" max="10768" width="6.54296875" style="1" customWidth="1"/>
    <x:col min="10769" max="10772" width="14.453125" style="1" customWidth="1"/>
    <x:col min="10773" max="10774" width="11.26953125" style="1" bestFit="1" customWidth="1"/>
    <x:col min="10775" max="10775" width="10.81640625" style="1" bestFit="1" customWidth="1"/>
    <x:col min="10776" max="11009" width="9.1796875" style="1"/>
    <x:col min="11010" max="11013" width="14.453125" style="1" customWidth="1"/>
    <x:col min="11014" max="11014" width="6.54296875" style="1" customWidth="1"/>
    <x:col min="11015" max="11018" width="14.453125" style="1" customWidth="1"/>
    <x:col min="11019" max="11019" width="6.54296875" style="1" customWidth="1"/>
    <x:col min="11020" max="11023" width="14.453125" style="1" customWidth="1"/>
    <x:col min="11024" max="11024" width="6.54296875" style="1" customWidth="1"/>
    <x:col min="11025" max="11028" width="14.453125" style="1" customWidth="1"/>
    <x:col min="11029" max="11030" width="11.26953125" style="1" bestFit="1" customWidth="1"/>
    <x:col min="11031" max="11031" width="10.81640625" style="1" bestFit="1" customWidth="1"/>
    <x:col min="11032" max="11265" width="9.1796875" style="1"/>
    <x:col min="11266" max="11269" width="14.453125" style="1" customWidth="1"/>
    <x:col min="11270" max="11270" width="6.54296875" style="1" customWidth="1"/>
    <x:col min="11271" max="11274" width="14.453125" style="1" customWidth="1"/>
    <x:col min="11275" max="11275" width="6.54296875" style="1" customWidth="1"/>
    <x:col min="11276" max="11279" width="14.453125" style="1" customWidth="1"/>
    <x:col min="11280" max="11280" width="6.54296875" style="1" customWidth="1"/>
    <x:col min="11281" max="11284" width="14.453125" style="1" customWidth="1"/>
    <x:col min="11285" max="11286" width="11.26953125" style="1" bestFit="1" customWidth="1"/>
    <x:col min="11287" max="11287" width="10.81640625" style="1" bestFit="1" customWidth="1"/>
    <x:col min="11288" max="11521" width="9.1796875" style="1"/>
    <x:col min="11522" max="11525" width="14.453125" style="1" customWidth="1"/>
    <x:col min="11526" max="11526" width="6.54296875" style="1" customWidth="1"/>
    <x:col min="11527" max="11530" width="14.453125" style="1" customWidth="1"/>
    <x:col min="11531" max="11531" width="6.54296875" style="1" customWidth="1"/>
    <x:col min="11532" max="11535" width="14.453125" style="1" customWidth="1"/>
    <x:col min="11536" max="11536" width="6.54296875" style="1" customWidth="1"/>
    <x:col min="11537" max="11540" width="14.453125" style="1" customWidth="1"/>
    <x:col min="11541" max="11542" width="11.26953125" style="1" bestFit="1" customWidth="1"/>
    <x:col min="11543" max="11543" width="10.81640625" style="1" bestFit="1" customWidth="1"/>
    <x:col min="11544" max="11777" width="9.1796875" style="1"/>
    <x:col min="11778" max="11781" width="14.453125" style="1" customWidth="1"/>
    <x:col min="11782" max="11782" width="6.54296875" style="1" customWidth="1"/>
    <x:col min="11783" max="11786" width="14.453125" style="1" customWidth="1"/>
    <x:col min="11787" max="11787" width="6.54296875" style="1" customWidth="1"/>
    <x:col min="11788" max="11791" width="14.453125" style="1" customWidth="1"/>
    <x:col min="11792" max="11792" width="6.54296875" style="1" customWidth="1"/>
    <x:col min="11793" max="11796" width="14.453125" style="1" customWidth="1"/>
    <x:col min="11797" max="11798" width="11.26953125" style="1" bestFit="1" customWidth="1"/>
    <x:col min="11799" max="11799" width="10.81640625" style="1" bestFit="1" customWidth="1"/>
    <x:col min="11800" max="12033" width="9.1796875" style="1"/>
    <x:col min="12034" max="12037" width="14.453125" style="1" customWidth="1"/>
    <x:col min="12038" max="12038" width="6.54296875" style="1" customWidth="1"/>
    <x:col min="12039" max="12042" width="14.453125" style="1" customWidth="1"/>
    <x:col min="12043" max="12043" width="6.54296875" style="1" customWidth="1"/>
    <x:col min="12044" max="12047" width="14.453125" style="1" customWidth="1"/>
    <x:col min="12048" max="12048" width="6.54296875" style="1" customWidth="1"/>
    <x:col min="12049" max="12052" width="14.453125" style="1" customWidth="1"/>
    <x:col min="12053" max="12054" width="11.26953125" style="1" bestFit="1" customWidth="1"/>
    <x:col min="12055" max="12055" width="10.81640625" style="1" bestFit="1" customWidth="1"/>
    <x:col min="12056" max="12289" width="9.1796875" style="1"/>
    <x:col min="12290" max="12293" width="14.453125" style="1" customWidth="1"/>
    <x:col min="12294" max="12294" width="6.54296875" style="1" customWidth="1"/>
    <x:col min="12295" max="12298" width="14.453125" style="1" customWidth="1"/>
    <x:col min="12299" max="12299" width="6.54296875" style="1" customWidth="1"/>
    <x:col min="12300" max="12303" width="14.453125" style="1" customWidth="1"/>
    <x:col min="12304" max="12304" width="6.54296875" style="1" customWidth="1"/>
    <x:col min="12305" max="12308" width="14.453125" style="1" customWidth="1"/>
    <x:col min="12309" max="12310" width="11.26953125" style="1" bestFit="1" customWidth="1"/>
    <x:col min="12311" max="12311" width="10.81640625" style="1" bestFit="1" customWidth="1"/>
    <x:col min="12312" max="12545" width="9.1796875" style="1"/>
    <x:col min="12546" max="12549" width="14.453125" style="1" customWidth="1"/>
    <x:col min="12550" max="12550" width="6.54296875" style="1" customWidth="1"/>
    <x:col min="12551" max="12554" width="14.453125" style="1" customWidth="1"/>
    <x:col min="12555" max="12555" width="6.54296875" style="1" customWidth="1"/>
    <x:col min="12556" max="12559" width="14.453125" style="1" customWidth="1"/>
    <x:col min="12560" max="12560" width="6.54296875" style="1" customWidth="1"/>
    <x:col min="12561" max="12564" width="14.453125" style="1" customWidth="1"/>
    <x:col min="12565" max="12566" width="11.26953125" style="1" bestFit="1" customWidth="1"/>
    <x:col min="12567" max="12567" width="10.81640625" style="1" bestFit="1" customWidth="1"/>
    <x:col min="12568" max="12801" width="9.1796875" style="1"/>
    <x:col min="12802" max="12805" width="14.453125" style="1" customWidth="1"/>
    <x:col min="12806" max="12806" width="6.54296875" style="1" customWidth="1"/>
    <x:col min="12807" max="12810" width="14.453125" style="1" customWidth="1"/>
    <x:col min="12811" max="12811" width="6.54296875" style="1" customWidth="1"/>
    <x:col min="12812" max="12815" width="14.453125" style="1" customWidth="1"/>
    <x:col min="12816" max="12816" width="6.54296875" style="1" customWidth="1"/>
    <x:col min="12817" max="12820" width="14.453125" style="1" customWidth="1"/>
    <x:col min="12821" max="12822" width="11.26953125" style="1" bestFit="1" customWidth="1"/>
    <x:col min="12823" max="12823" width="10.81640625" style="1" bestFit="1" customWidth="1"/>
    <x:col min="12824" max="13057" width="9.1796875" style="1"/>
    <x:col min="13058" max="13061" width="14.453125" style="1" customWidth="1"/>
    <x:col min="13062" max="13062" width="6.54296875" style="1" customWidth="1"/>
    <x:col min="13063" max="13066" width="14.453125" style="1" customWidth="1"/>
    <x:col min="13067" max="13067" width="6.54296875" style="1" customWidth="1"/>
    <x:col min="13068" max="13071" width="14.453125" style="1" customWidth="1"/>
    <x:col min="13072" max="13072" width="6.54296875" style="1" customWidth="1"/>
    <x:col min="13073" max="13076" width="14.453125" style="1" customWidth="1"/>
    <x:col min="13077" max="13078" width="11.26953125" style="1" bestFit="1" customWidth="1"/>
    <x:col min="13079" max="13079" width="10.81640625" style="1" bestFit="1" customWidth="1"/>
    <x:col min="13080" max="13313" width="9.1796875" style="1"/>
    <x:col min="13314" max="13317" width="14.453125" style="1" customWidth="1"/>
    <x:col min="13318" max="13318" width="6.54296875" style="1" customWidth="1"/>
    <x:col min="13319" max="13322" width="14.453125" style="1" customWidth="1"/>
    <x:col min="13323" max="13323" width="6.54296875" style="1" customWidth="1"/>
    <x:col min="13324" max="13327" width="14.453125" style="1" customWidth="1"/>
    <x:col min="13328" max="13328" width="6.54296875" style="1" customWidth="1"/>
    <x:col min="13329" max="13332" width="14.453125" style="1" customWidth="1"/>
    <x:col min="13333" max="13334" width="11.26953125" style="1" bestFit="1" customWidth="1"/>
    <x:col min="13335" max="13335" width="10.81640625" style="1" bestFit="1" customWidth="1"/>
    <x:col min="13336" max="13569" width="9.1796875" style="1"/>
    <x:col min="13570" max="13573" width="14.453125" style="1" customWidth="1"/>
    <x:col min="13574" max="13574" width="6.54296875" style="1" customWidth="1"/>
    <x:col min="13575" max="13578" width="14.453125" style="1" customWidth="1"/>
    <x:col min="13579" max="13579" width="6.54296875" style="1" customWidth="1"/>
    <x:col min="13580" max="13583" width="14.453125" style="1" customWidth="1"/>
    <x:col min="13584" max="13584" width="6.54296875" style="1" customWidth="1"/>
    <x:col min="13585" max="13588" width="14.453125" style="1" customWidth="1"/>
    <x:col min="13589" max="13590" width="11.26953125" style="1" bestFit="1" customWidth="1"/>
    <x:col min="13591" max="13591" width="10.81640625" style="1" bestFit="1" customWidth="1"/>
    <x:col min="13592" max="13825" width="9.1796875" style="1"/>
    <x:col min="13826" max="13829" width="14.453125" style="1" customWidth="1"/>
    <x:col min="13830" max="13830" width="6.54296875" style="1" customWidth="1"/>
    <x:col min="13831" max="13834" width="14.453125" style="1" customWidth="1"/>
    <x:col min="13835" max="13835" width="6.54296875" style="1" customWidth="1"/>
    <x:col min="13836" max="13839" width="14.453125" style="1" customWidth="1"/>
    <x:col min="13840" max="13840" width="6.54296875" style="1" customWidth="1"/>
    <x:col min="13841" max="13844" width="14.453125" style="1" customWidth="1"/>
    <x:col min="13845" max="13846" width="11.26953125" style="1" bestFit="1" customWidth="1"/>
    <x:col min="13847" max="13847" width="10.81640625" style="1" bestFit="1" customWidth="1"/>
    <x:col min="13848" max="14081" width="9.1796875" style="1"/>
    <x:col min="14082" max="14085" width="14.453125" style="1" customWidth="1"/>
    <x:col min="14086" max="14086" width="6.54296875" style="1" customWidth="1"/>
    <x:col min="14087" max="14090" width="14.453125" style="1" customWidth="1"/>
    <x:col min="14091" max="14091" width="6.54296875" style="1" customWidth="1"/>
    <x:col min="14092" max="14095" width="14.453125" style="1" customWidth="1"/>
    <x:col min="14096" max="14096" width="6.54296875" style="1" customWidth="1"/>
    <x:col min="14097" max="14100" width="14.453125" style="1" customWidth="1"/>
    <x:col min="14101" max="14102" width="11.26953125" style="1" bestFit="1" customWidth="1"/>
    <x:col min="14103" max="14103" width="10.81640625" style="1" bestFit="1" customWidth="1"/>
    <x:col min="14104" max="14337" width="9.1796875" style="1"/>
    <x:col min="14338" max="14341" width="14.453125" style="1" customWidth="1"/>
    <x:col min="14342" max="14342" width="6.54296875" style="1" customWidth="1"/>
    <x:col min="14343" max="14346" width="14.453125" style="1" customWidth="1"/>
    <x:col min="14347" max="14347" width="6.54296875" style="1" customWidth="1"/>
    <x:col min="14348" max="14351" width="14.453125" style="1" customWidth="1"/>
    <x:col min="14352" max="14352" width="6.54296875" style="1" customWidth="1"/>
    <x:col min="14353" max="14356" width="14.453125" style="1" customWidth="1"/>
    <x:col min="14357" max="14358" width="11.26953125" style="1" bestFit="1" customWidth="1"/>
    <x:col min="14359" max="14359" width="10.81640625" style="1" bestFit="1" customWidth="1"/>
    <x:col min="14360" max="14593" width="9.1796875" style="1"/>
    <x:col min="14594" max="14597" width="14.453125" style="1" customWidth="1"/>
    <x:col min="14598" max="14598" width="6.54296875" style="1" customWidth="1"/>
    <x:col min="14599" max="14602" width="14.453125" style="1" customWidth="1"/>
    <x:col min="14603" max="14603" width="6.54296875" style="1" customWidth="1"/>
    <x:col min="14604" max="14607" width="14.453125" style="1" customWidth="1"/>
    <x:col min="14608" max="14608" width="6.54296875" style="1" customWidth="1"/>
    <x:col min="14609" max="14612" width="14.453125" style="1" customWidth="1"/>
    <x:col min="14613" max="14614" width="11.26953125" style="1" bestFit="1" customWidth="1"/>
    <x:col min="14615" max="14615" width="10.81640625" style="1" bestFit="1" customWidth="1"/>
    <x:col min="14616" max="14849" width="9.1796875" style="1"/>
    <x:col min="14850" max="14853" width="14.453125" style="1" customWidth="1"/>
    <x:col min="14854" max="14854" width="6.54296875" style="1" customWidth="1"/>
    <x:col min="14855" max="14858" width="14.453125" style="1" customWidth="1"/>
    <x:col min="14859" max="14859" width="6.54296875" style="1" customWidth="1"/>
    <x:col min="14860" max="14863" width="14.453125" style="1" customWidth="1"/>
    <x:col min="14864" max="14864" width="6.54296875" style="1" customWidth="1"/>
    <x:col min="14865" max="14868" width="14.453125" style="1" customWidth="1"/>
    <x:col min="14869" max="14870" width="11.26953125" style="1" bestFit="1" customWidth="1"/>
    <x:col min="14871" max="14871" width="10.81640625" style="1" bestFit="1" customWidth="1"/>
    <x:col min="14872" max="15105" width="9.1796875" style="1"/>
    <x:col min="15106" max="15109" width="14.453125" style="1" customWidth="1"/>
    <x:col min="15110" max="15110" width="6.54296875" style="1" customWidth="1"/>
    <x:col min="15111" max="15114" width="14.453125" style="1" customWidth="1"/>
    <x:col min="15115" max="15115" width="6.54296875" style="1" customWidth="1"/>
    <x:col min="15116" max="15119" width="14.453125" style="1" customWidth="1"/>
    <x:col min="15120" max="15120" width="6.54296875" style="1" customWidth="1"/>
    <x:col min="15121" max="15124" width="14.453125" style="1" customWidth="1"/>
    <x:col min="15125" max="15126" width="11.26953125" style="1" bestFit="1" customWidth="1"/>
    <x:col min="15127" max="15127" width="10.81640625" style="1" bestFit="1" customWidth="1"/>
    <x:col min="15128" max="15361" width="9.1796875" style="1"/>
    <x:col min="15362" max="15365" width="14.453125" style="1" customWidth="1"/>
    <x:col min="15366" max="15366" width="6.54296875" style="1" customWidth="1"/>
    <x:col min="15367" max="15370" width="14.453125" style="1" customWidth="1"/>
    <x:col min="15371" max="15371" width="6.54296875" style="1" customWidth="1"/>
    <x:col min="15372" max="15375" width="14.453125" style="1" customWidth="1"/>
    <x:col min="15376" max="15376" width="6.54296875" style="1" customWidth="1"/>
    <x:col min="15377" max="15380" width="14.453125" style="1" customWidth="1"/>
    <x:col min="15381" max="15382" width="11.26953125" style="1" bestFit="1" customWidth="1"/>
    <x:col min="15383" max="15383" width="10.81640625" style="1" bestFit="1" customWidth="1"/>
    <x:col min="15384" max="15617" width="9.1796875" style="1"/>
    <x:col min="15618" max="15621" width="14.453125" style="1" customWidth="1"/>
    <x:col min="15622" max="15622" width="6.54296875" style="1" customWidth="1"/>
    <x:col min="15623" max="15626" width="14.453125" style="1" customWidth="1"/>
    <x:col min="15627" max="15627" width="6.54296875" style="1" customWidth="1"/>
    <x:col min="15628" max="15631" width="14.453125" style="1" customWidth="1"/>
    <x:col min="15632" max="15632" width="6.54296875" style="1" customWidth="1"/>
    <x:col min="15633" max="15636" width="14.453125" style="1" customWidth="1"/>
    <x:col min="15637" max="15638" width="11.26953125" style="1" bestFit="1" customWidth="1"/>
    <x:col min="15639" max="15639" width="10.81640625" style="1" bestFit="1" customWidth="1"/>
    <x:col min="15640" max="15873" width="9.1796875" style="1"/>
    <x:col min="15874" max="15877" width="14.453125" style="1" customWidth="1"/>
    <x:col min="15878" max="15878" width="6.54296875" style="1" customWidth="1"/>
    <x:col min="15879" max="15882" width="14.453125" style="1" customWidth="1"/>
    <x:col min="15883" max="15883" width="6.54296875" style="1" customWidth="1"/>
    <x:col min="15884" max="15887" width="14.453125" style="1" customWidth="1"/>
    <x:col min="15888" max="15888" width="6.54296875" style="1" customWidth="1"/>
    <x:col min="15889" max="15892" width="14.453125" style="1" customWidth="1"/>
    <x:col min="15893" max="15894" width="11.26953125" style="1" bestFit="1" customWidth="1"/>
    <x:col min="15895" max="15895" width="10.81640625" style="1" bestFit="1" customWidth="1"/>
    <x:col min="15896" max="16129" width="9.1796875" style="1"/>
    <x:col min="16130" max="16133" width="14.453125" style="1" customWidth="1"/>
    <x:col min="16134" max="16134" width="6.54296875" style="1" customWidth="1"/>
    <x:col min="16135" max="16138" width="14.453125" style="1" customWidth="1"/>
    <x:col min="16139" max="16139" width="6.54296875" style="1" customWidth="1"/>
    <x:col min="16140" max="16143" width="14.453125" style="1" customWidth="1"/>
    <x:col min="16144" max="16144" width="6.54296875" style="1" customWidth="1"/>
    <x:col min="16145" max="16148" width="14.453125" style="1" customWidth="1"/>
    <x:col min="16149" max="16150" width="11.26953125" style="1" bestFit="1" customWidth="1"/>
    <x:col min="16151" max="16151" width="10.81640625" style="1" bestFit="1" customWidth="1"/>
    <x:col min="16152" max="16384" width="9.1796875" style="1"/>
  </x:cols>
  <x:sheetData>
    <x:row r="1" spans="1:20" ht="13" x14ac:dyDescent="0.3">
      <x:c r="A1" s="43" t="s">
        <x:v>12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</x:row>
    <x:row r="2" spans="1:20" ht="13" x14ac:dyDescent="0.3">
      <x:c r="A2" s="43" t="s">
        <x:v>0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</x:row>
    <x:row r="3" spans="1:20" ht="13" x14ac:dyDescent="0.3">
      <x:c r="A3" s="43" t="s">
        <x:v>13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</x:row>
    <x:row r="4" spans="1:20" ht="13" x14ac:dyDescent="0.3">
      <x:c r="A4" s="43" t="s">
        <x:v>14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</x:row>
    <x:row r="5" spans="1:20" s="33" customFormat="1" ht="13" x14ac:dyDescent="0.3">
      <x:c r="A5" s="44" t="s">
        <x:v>1</x:v>
      </x:c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</x:row>
    <x:row r="6" spans="1:20" ht="13" x14ac:dyDescent="0.3">
      <x:c r="A6" s="2"/>
    </x:row>
    <x:row r="7" spans="1:20" ht="13" x14ac:dyDescent="0.3">
      <x:c r="A7" s="2"/>
      <x:c r="B7" s="1" t="s">
        <x:v>30</x:v>
      </x:c>
    </x:row>
    <x:row r="9" spans="1:20" ht="14.5" x14ac:dyDescent="0.35">
      <x:c r="B9" s="42" t="s">
        <x:v>26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</x:row>
    <x:row r="10" spans="1:20" ht="14.5" x14ac:dyDescent="0.35">
      <x:c r="B10" s="6" t="s">
        <x:v>6</x:v>
      </x:c>
      <x:c r="C10" s="7">
        <x:v>124805.32999999964</x:v>
      </x:c>
      <x:c r="D10" s="8"/>
      <x:c r="E10" s="8"/>
      <x:c r="F10" s="8"/>
      <x:c r="G10" s="8"/>
      <x:c r="H10" s="8"/>
      <x:c r="I10" s="8"/>
    </x:row>
    <x:row r="11" spans="1:20" ht="14.5" x14ac:dyDescent="0.35">
      <x:c r="B11" s="6" t="s">
        <x:v>7</x:v>
      </x:c>
      <x:c r="C11" s="7">
        <x:v>233581.17000000118</x:v>
      </x:c>
    </x:row>
    <x:row r="12" spans="1:20" ht="14.5" x14ac:dyDescent="0.35">
      <x:c r="B12" s="6" t="s">
        <x:v>8</x:v>
      </x:c>
      <x:c r="C12" s="7">
        <x:v>241953.00740621481</x:v>
      </x:c>
      <x:c r="M12" s="9" t="s">
        <x:v>9</x:v>
      </x:c>
    </x:row>
    <x:row r="13" spans="1:20" ht="14.5" x14ac:dyDescent="0.35">
      <x:c r="B13" s="6" t="s">
        <x:v>10</x:v>
      </x:c>
      <x:c r="C13" s="10">
        <x:v>27023.477770286769</x:v>
      </x:c>
    </x:row>
    <x:row r="14" spans="1:20" ht="14.5" x14ac:dyDescent="0.35">
      <x:c r="B14" s="38" t="s">
        <x:v>11</x:v>
      </x:c>
      <x:c r="C14" s="7">
        <x:f>SUM(C10:C13)</x:f>
        <x:v>627362.98517650238</x:v>
      </x:c>
      <x:c r="D14" s="1" t="s">
        <x:v>25</x:v>
      </x:c>
      <x:c r="G14" s="11"/>
      <x:c r="J14" s="1" t="s">
        <x:v>15</x:v>
      </x:c>
      <x:c r="M14" s="12">
        <x:f>ROUND(C14/5,2)</x:f>
        <x:v>125472.6</x:v>
      </x:c>
    </x:row>
    <x:row r="15" spans="1:20" ht="14.5" x14ac:dyDescent="0.35">
      <x:c r="C15" s="3"/>
    </x:row>
    <x:row r="16" spans="1:20" ht="13" x14ac:dyDescent="0.3">
      <x:c r="A16" s="13"/>
      <x:c r="B16" s="14" t="s">
        <x:v>19</x:v>
      </x:c>
      <x:c r="C16" s="15"/>
      <x:c r="D16" s="15">
        <x:f>C14</x:f>
        <x:v>627362.98517650238</x:v>
      </x:c>
      <x:c r="E16" s="13"/>
      <x:c r="F16" s="13"/>
      <x:c r="G16" s="13"/>
      <x:c r="H16" s="13"/>
      <x:c r="I16" s="13"/>
    </x:row>
    <x:row r="17" spans="1:10" ht="13" x14ac:dyDescent="0.3">
      <x:c r="A17" s="13"/>
      <x:c r="B17" s="14"/>
      <x:c r="C17" s="15"/>
      <x:c r="D17" s="15"/>
      <x:c r="E17" s="13"/>
      <x:c r="F17" s="14"/>
      <x:c r="G17" s="14"/>
      <x:c r="H17" s="14"/>
      <x:c r="I17" s="14"/>
    </x:row>
    <x:row r="18" spans="1:10" ht="39" customHeight="1" x14ac:dyDescent="0.3">
      <x:c r="A18" s="13"/>
      <x:c r="B18" s="35" t="s">
        <x:v>16</x:v>
      </x:c>
      <x:c r="C18" s="39" t="s">
        <x:v>17</x:v>
      </x:c>
      <x:c r="D18" s="36" t="s">
        <x:v>18</x:v>
      </x:c>
      <x:c r="E18" s="13"/>
      <x:c r="F18" s="16"/>
      <x:c r="G18" s="16"/>
      <x:c r="H18" s="14"/>
      <x:c r="I18" s="14"/>
    </x:row>
    <x:row r="19" spans="1:10" x14ac:dyDescent="0.25">
      <x:c r="A19" s="13">
        <x:v>1</x:v>
      </x:c>
      <x:c r="B19" s="17">
        <x:v>45047</x:v>
      </x:c>
      <x:c r="C19" s="18">
        <x:f>D16/5/12*E19</x:f>
        <x:v>8965.0170581722195</x:v>
      </x:c>
      <x:c r="D19" s="19">
        <x:f>D16-C19</x:f>
        <x:v>618397.96811833011</x:v>
      </x:c>
      <x:c r="E19" s="25">
        <x:v>0.85740000000000005</x:v>
      </x:c>
      <x:c r="F19" s="26" t="s">
        <x:v>20</x:v>
      </x:c>
      <x:c r="G19" s="27"/>
      <x:c r="H19" s="27"/>
      <x:c r="I19" s="27"/>
    </x:row>
    <x:row r="20" spans="1:10" ht="13" x14ac:dyDescent="0.3">
      <x:c r="A20" s="13">
        <x:v>2</x:v>
      </x:c>
      <x:c r="B20" s="17">
        <x:v>45078</x:v>
      </x:c>
      <x:c r="C20" s="18">
        <x:f>D16/5/12</x:f>
        <x:v>10456.049752941706</x:v>
      </x:c>
      <x:c r="D20" s="19">
        <x:f>D19-C20</x:f>
        <x:v>607941.91836538841</x:v>
      </x:c>
      <x:c r="E20" s="13"/>
      <x:c r="F20" s="14"/>
      <x:c r="G20" s="14"/>
      <x:c r="H20" s="21"/>
      <x:c r="I20" s="21"/>
    </x:row>
    <x:row r="21" spans="1:10" x14ac:dyDescent="0.25">
      <x:c r="A21" s="13">
        <x:v>3</x:v>
      </x:c>
      <x:c r="B21" s="17">
        <x:v>45108</x:v>
      </x:c>
      <x:c r="C21" s="18">
        <x:f t="shared" ref="C21:C78" si="0">C20</x:f>
        <x:v>10456.049752941706</x:v>
      </x:c>
      <x:c r="D21" s="19">
        <x:f t="shared" ref="D21:D79" si="1">D20-C21</x:f>
        <x:v>597485.86861244671</x:v>
      </x:c>
      <x:c r="E21" s="13"/>
      <x:c r="F21" s="22"/>
      <x:c r="G21" s="22"/>
      <x:c r="H21" s="13"/>
      <x:c r="I21" s="13"/>
    </x:row>
    <x:row r="22" spans="1:10" x14ac:dyDescent="0.25">
      <x:c r="A22" s="13">
        <x:v>4</x:v>
      </x:c>
      <x:c r="B22" s="17">
        <x:v>45139</x:v>
      </x:c>
      <x:c r="C22" s="18">
        <x:f>C21</x:f>
        <x:v>10456.049752941706</x:v>
      </x:c>
      <x:c r="D22" s="19">
        <x:f t="shared" si="1"/>
        <x:v>587029.818859505</x:v>
      </x:c>
      <x:c r="E22" s="13"/>
      <x:c r="F22" s="13"/>
      <x:c r="G22" s="13"/>
      <x:c r="H22" s="13"/>
      <x:c r="I22" s="13"/>
    </x:row>
    <x:row r="23" spans="1:10" x14ac:dyDescent="0.25">
      <x:c r="A23" s="13">
        <x:v>5</x:v>
      </x:c>
      <x:c r="B23" s="17">
        <x:v>45170</x:v>
      </x:c>
      <x:c r="C23" s="18">
        <x:f>C22</x:f>
        <x:v>10456.049752941706</x:v>
      </x:c>
      <x:c r="D23" s="19">
        <x:f t="shared" si="1"/>
        <x:v>576573.7691065633</x:v>
      </x:c>
      <x:c r="E23" s="13"/>
      <x:c r="F23" s="13"/>
      <x:c r="G23" s="13"/>
      <x:c r="H23" s="13"/>
      <x:c r="I23" s="13"/>
    </x:row>
    <x:row r="24" spans="1:10" x14ac:dyDescent="0.25">
      <x:c r="A24" s="13">
        <x:v>6</x:v>
      </x:c>
      <x:c r="B24" s="17">
        <x:v>45200</x:v>
      </x:c>
      <x:c r="C24" s="18">
        <x:f t="shared" si="0"/>
        <x:v>10456.049752941706</x:v>
      </x:c>
      <x:c r="D24" s="19">
        <x:f t="shared" si="1"/>
        <x:v>566117.71935362159</x:v>
      </x:c>
      <x:c r="E24" s="13"/>
      <x:c r="F24" s="13"/>
      <x:c r="G24" s="13"/>
      <x:c r="H24" s="13"/>
      <x:c r="I24" s="13"/>
    </x:row>
    <x:row r="25" spans="1:10" x14ac:dyDescent="0.25">
      <x:c r="A25" s="13">
        <x:v>7</x:v>
      </x:c>
      <x:c r="B25" s="17">
        <x:v>45231</x:v>
      </x:c>
      <x:c r="C25" s="18">
        <x:f t="shared" si="0"/>
        <x:v>10456.049752941706</x:v>
      </x:c>
      <x:c r="D25" s="19">
        <x:f t="shared" si="1"/>
        <x:v>555661.66960067989</x:v>
      </x:c>
      <x:c r="E25" s="13"/>
      <x:c r="F25" s="13"/>
      <x:c r="G25" s="13"/>
      <x:c r="H25" s="13"/>
      <x:c r="I25" s="13"/>
      <x:c r="J25" s="5" t="s">
        <x:v>23</x:v>
      </x:c>
    </x:row>
    <x:row r="26" spans="1:10" x14ac:dyDescent="0.25">
      <x:c r="A26" s="13">
        <x:v>8</x:v>
      </x:c>
      <x:c r="B26" s="17">
        <x:v>45261</x:v>
      </x:c>
      <x:c r="C26" s="18">
        <x:f t="shared" si="0"/>
        <x:v>10456.049752941706</x:v>
      </x:c>
      <x:c r="D26" s="19">
        <x:f t="shared" si="1"/>
        <x:v>545205.61984773818</x:v>
      </x:c>
      <x:c r="E26" s="13"/>
      <x:c r="F26" s="13"/>
      <x:c r="G26" s="13"/>
      <x:c r="H26" s="13"/>
      <x:c r="I26" s="13"/>
      <x:c r="J26" s="4" t="s">
        <x:v>24</x:v>
      </x:c>
    </x:row>
    <x:row r="27" spans="1:10" x14ac:dyDescent="0.25">
      <x:c r="A27" s="13">
        <x:v>9</x:v>
      </x:c>
      <x:c r="B27" s="17">
        <x:v>45292</x:v>
      </x:c>
      <x:c r="C27" s="18">
        <x:f t="shared" si="0"/>
        <x:v>10456.049752941706</x:v>
      </x:c>
      <x:c r="D27" s="19">
        <x:f t="shared" si="1"/>
        <x:v>534749.57009479648</x:v>
      </x:c>
      <x:c r="E27" s="13"/>
      <x:c r="F27" s="13"/>
      <x:c r="G27" s="13"/>
      <x:c r="H27" s="13"/>
      <x:c r="I27" s="13"/>
      <x:c r="J27" s="12">
        <x:f>C27</x:f>
        <x:v>10456.049752941706</x:v>
      </x:c>
    </x:row>
    <x:row r="28" spans="1:10" x14ac:dyDescent="0.25">
      <x:c r="A28" s="13">
        <x:v>10</x:v>
      </x:c>
      <x:c r="B28" s="17">
        <x:v>45323</x:v>
      </x:c>
      <x:c r="C28" s="18">
        <x:f t="shared" si="0"/>
        <x:v>10456.049752941706</x:v>
      </x:c>
      <x:c r="D28" s="19">
        <x:f t="shared" si="1"/>
        <x:v>524293.52034185478</x:v>
      </x:c>
      <x:c r="E28" s="13"/>
      <x:c r="F28" s="13"/>
      <x:c r="G28" s="13"/>
      <x:c r="H28" s="13"/>
      <x:c r="I28" s="13"/>
      <x:c r="J28" s="12">
        <x:f t="shared" ref="J28:J38" si="2">C28</x:f>
        <x:v>10456.049752941706</x:v>
      </x:c>
    </x:row>
    <x:row r="29" spans="1:10" x14ac:dyDescent="0.25">
      <x:c r="A29" s="13">
        <x:v>11</x:v>
      </x:c>
      <x:c r="B29" s="17">
        <x:v>45352</x:v>
      </x:c>
      <x:c r="C29" s="18">
        <x:f t="shared" si="0"/>
        <x:v>10456.049752941706</x:v>
      </x:c>
      <x:c r="D29" s="19">
        <x:f t="shared" si="1"/>
        <x:v>513837.47058891307</x:v>
      </x:c>
      <x:c r="E29" s="13"/>
      <x:c r="F29" s="13"/>
      <x:c r="G29" s="13"/>
      <x:c r="H29" s="13"/>
      <x:c r="I29" s="13"/>
      <x:c r="J29" s="12">
        <x:f t="shared" si="2"/>
        <x:v>10456.049752941706</x:v>
      </x:c>
    </x:row>
    <x:row r="30" spans="1:10" x14ac:dyDescent="0.25">
      <x:c r="A30" s="13">
        <x:v>12</x:v>
      </x:c>
      <x:c r="B30" s="17">
        <x:v>45383</x:v>
      </x:c>
      <x:c r="C30" s="18">
        <x:f t="shared" si="0"/>
        <x:v>10456.049752941706</x:v>
      </x:c>
      <x:c r="D30" s="19">
        <x:f t="shared" si="1"/>
        <x:v>503381.42083597137</x:v>
      </x:c>
      <x:c r="E30" s="13"/>
      <x:c r="F30" s="13"/>
      <x:c r="G30" s="13"/>
      <x:c r="H30" s="13"/>
      <x:c r="I30" s="13"/>
      <x:c r="J30" s="12">
        <x:f t="shared" si="2"/>
        <x:v>10456.049752941706</x:v>
      </x:c>
    </x:row>
    <x:row r="31" spans="1:10" x14ac:dyDescent="0.25">
      <x:c r="A31" s="13">
        <x:v>13</x:v>
      </x:c>
      <x:c r="B31" s="17">
        <x:v>45413</x:v>
      </x:c>
      <x:c r="C31" s="18">
        <x:f t="shared" si="0"/>
        <x:v>10456.049752941706</x:v>
      </x:c>
      <x:c r="D31" s="19">
        <x:f t="shared" si="1"/>
        <x:v>492925.37108302966</x:v>
      </x:c>
      <x:c r="E31" s="13"/>
      <x:c r="F31" s="13"/>
      <x:c r="G31" s="13"/>
      <x:c r="H31" s="13"/>
      <x:c r="I31" s="13"/>
      <x:c r="J31" s="12">
        <x:f t="shared" si="2"/>
        <x:v>10456.049752941706</x:v>
      </x:c>
    </x:row>
    <x:row r="32" spans="1:10" x14ac:dyDescent="0.25">
      <x:c r="A32" s="13">
        <x:v>14</x:v>
      </x:c>
      <x:c r="B32" s="17">
        <x:v>45444</x:v>
      </x:c>
      <x:c r="C32" s="18">
        <x:f t="shared" si="0"/>
        <x:v>10456.049752941706</x:v>
      </x:c>
      <x:c r="D32" s="19">
        <x:f t="shared" si="1"/>
        <x:v>482469.32133008796</x:v>
      </x:c>
      <x:c r="E32" s="13"/>
      <x:c r="F32" s="13"/>
      <x:c r="G32" s="13"/>
      <x:c r="H32" s="13"/>
      <x:c r="I32" s="13"/>
      <x:c r="J32" s="12">
        <x:f t="shared" si="2"/>
        <x:v>10456.049752941706</x:v>
      </x:c>
    </x:row>
    <x:row r="33" spans="1:13" ht="13" x14ac:dyDescent="0.3">
      <x:c r="A33" s="13">
        <x:v>15</x:v>
      </x:c>
      <x:c r="B33" s="17">
        <x:v>45474</x:v>
      </x:c>
      <x:c r="C33" s="18">
        <x:f t="shared" si="0"/>
        <x:v>10456.049752941706</x:v>
      </x:c>
      <x:c r="D33" s="19">
        <x:f t="shared" si="1"/>
        <x:v>472013.27157714625</x:v>
      </x:c>
      <x:c r="E33" s="13"/>
      <x:c r="F33" s="23"/>
      <x:c r="G33" s="13"/>
      <x:c r="H33" s="13"/>
      <x:c r="I33" s="13"/>
      <x:c r="J33" s="12">
        <x:f t="shared" si="2"/>
        <x:v>10456.049752941706</x:v>
      </x:c>
    </x:row>
    <x:row r="34" spans="1:13" x14ac:dyDescent="0.25">
      <x:c r="A34" s="13">
        <x:v>16</x:v>
      </x:c>
      <x:c r="B34" s="17">
        <x:v>45505</x:v>
      </x:c>
      <x:c r="C34" s="18">
        <x:f t="shared" si="0"/>
        <x:v>10456.049752941706</x:v>
      </x:c>
      <x:c r="D34" s="19">
        <x:f t="shared" si="1"/>
        <x:v>461557.22182420455</x:v>
      </x:c>
      <x:c r="E34" s="13"/>
      <x:c r="F34" s="13"/>
      <x:c r="G34" s="13"/>
      <x:c r="H34" s="13"/>
      <x:c r="I34" s="13"/>
      <x:c r="J34" s="12">
        <x:f t="shared" si="2"/>
        <x:v>10456.049752941706</x:v>
      </x:c>
    </x:row>
    <x:row r="35" spans="1:13" x14ac:dyDescent="0.25">
      <x:c r="A35" s="13">
        <x:v>17</x:v>
      </x:c>
      <x:c r="B35" s="17">
        <x:v>45536</x:v>
      </x:c>
      <x:c r="C35" s="18">
        <x:f t="shared" si="0"/>
        <x:v>10456.049752941706</x:v>
      </x:c>
      <x:c r="D35" s="19">
        <x:f t="shared" si="1"/>
        <x:v>451101.17207126284</x:v>
      </x:c>
      <x:c r="E35" s="13"/>
      <x:c r="F35" s="13"/>
      <x:c r="G35" s="13"/>
      <x:c r="H35" s="13"/>
      <x:c r="I35" s="13"/>
      <x:c r="J35" s="12">
        <x:f t="shared" si="2"/>
        <x:v>10456.049752941706</x:v>
      </x:c>
    </x:row>
    <x:row r="36" spans="1:13" x14ac:dyDescent="0.25">
      <x:c r="A36" s="13">
        <x:v>18</x:v>
      </x:c>
      <x:c r="B36" s="17">
        <x:v>45566</x:v>
      </x:c>
      <x:c r="C36" s="18">
        <x:f t="shared" si="0"/>
        <x:v>10456.049752941706</x:v>
      </x:c>
      <x:c r="D36" s="19">
        <x:f t="shared" si="1"/>
        <x:v>440645.12231832114</x:v>
      </x:c>
      <x:c r="E36" s="13"/>
      <x:c r="F36" s="13"/>
      <x:c r="G36" s="13"/>
      <x:c r="H36" s="13"/>
      <x:c r="I36" s="13"/>
      <x:c r="J36" s="12">
        <x:f t="shared" si="2"/>
        <x:v>10456.049752941706</x:v>
      </x:c>
    </x:row>
    <x:row r="37" spans="1:13" x14ac:dyDescent="0.25">
      <x:c r="A37" s="13">
        <x:v>19</x:v>
      </x:c>
      <x:c r="B37" s="17">
        <x:v>45597</x:v>
      </x:c>
      <x:c r="C37" s="18">
        <x:f t="shared" si="0"/>
        <x:v>10456.049752941706</x:v>
      </x:c>
      <x:c r="D37" s="19">
        <x:f t="shared" si="1"/>
        <x:v>430189.07256537944</x:v>
      </x:c>
      <x:c r="E37" s="13"/>
      <x:c r="F37" s="13"/>
      <x:c r="G37" s="13"/>
      <x:c r="H37" s="13"/>
      <x:c r="I37" s="13"/>
      <x:c r="J37" s="12">
        <x:f t="shared" si="2"/>
        <x:v>10456.049752941706</x:v>
      </x:c>
    </x:row>
    <x:row r="38" spans="1:13" s="31" customFormat="1" ht="13" x14ac:dyDescent="0.3">
      <x:c r="A38" s="28">
        <x:v>20</x:v>
      </x:c>
      <x:c r="B38" s="37">
        <x:v>45627</x:v>
      </x:c>
      <x:c r="C38" s="29">
        <x:f t="shared" si="0"/>
        <x:v>10456.049752941706</x:v>
      </x:c>
      <x:c r="D38" s="30">
        <x:f t="shared" si="1"/>
        <x:v>419733.02281243773</x:v>
      </x:c>
      <x:c r="E38" s="28" t="s">
        <x:v>21</x:v>
      </x:c>
      <x:c r="F38" s="28"/>
      <x:c r="G38" s="28"/>
      <x:c r="H38" s="28"/>
      <x:c r="I38" s="28"/>
      <x:c r="J38" s="34">
        <x:f t="shared" si="2"/>
        <x:v>10456.049752941706</x:v>
      </x:c>
      <x:c r="K38" s="33"/>
      <x:c r="L38" s="33"/>
      <x:c r="M38" s="33"/>
    </x:row>
    <x:row r="39" spans="1:13" ht="13" x14ac:dyDescent="0.3">
      <x:c r="A39" s="13">
        <x:v>21</x:v>
      </x:c>
      <x:c r="B39" s="17">
        <x:v>45658</x:v>
      </x:c>
      <x:c r="C39" s="18">
        <x:f t="shared" si="0"/>
        <x:v>10456.049752941706</x:v>
      </x:c>
      <x:c r="D39" s="19">
        <x:f t="shared" si="1"/>
        <x:v>409276.97305949603</x:v>
      </x:c>
      <x:c r="E39" s="13"/>
      <x:c r="F39" s="23"/>
      <x:c r="G39" s="13"/>
      <x:c r="H39" s="13"/>
      <x:c r="I39" s="13"/>
      <x:c r="J39" s="12">
        <x:f>SUM(J27:J38)</x:f>
        <x:v>125472.59703530047</x:v>
      </x:c>
      <x:c r="K39" s="42" t="s">
        <x:v>29</x:v>
      </x:c>
      <x:c r="L39" s="41"/>
      <x:c r="M39" s="41"/>
    </x:row>
    <x:row r="40" spans="1:13" x14ac:dyDescent="0.25">
      <x:c r="A40" s="13">
        <x:v>22</x:v>
      </x:c>
      <x:c r="B40" s="17">
        <x:v>45689</x:v>
      </x:c>
      <x:c r="C40" s="18">
        <x:f t="shared" si="0"/>
        <x:v>10456.049752941706</x:v>
      </x:c>
      <x:c r="D40" s="19">
        <x:f t="shared" si="1"/>
        <x:v>398820.92330655432</x:v>
      </x:c>
      <x:c r="E40" s="13"/>
      <x:c r="F40" s="13"/>
      <x:c r="G40" s="13"/>
      <x:c r="H40" s="13"/>
      <x:c r="I40" s="13"/>
      <x:c r="K40" s="41"/>
      <x:c r="L40" s="41"/>
      <x:c r="M40" s="41"/>
    </x:row>
    <x:row r="41" spans="1:13" x14ac:dyDescent="0.25">
      <x:c r="A41" s="13">
        <x:v>23</x:v>
      </x:c>
      <x:c r="B41" s="17">
        <x:v>45717</x:v>
      </x:c>
      <x:c r="C41" s="18">
        <x:f t="shared" si="0"/>
        <x:v>10456.049752941706</x:v>
      </x:c>
      <x:c r="D41" s="19">
        <x:f t="shared" si="1"/>
        <x:v>388364.87355361262</x:v>
      </x:c>
      <x:c r="E41" s="13"/>
      <x:c r="F41" s="13"/>
      <x:c r="G41" s="13"/>
      <x:c r="H41" s="13"/>
      <x:c r="I41" s="13"/>
    </x:row>
    <x:row r="42" spans="1:13" x14ac:dyDescent="0.25">
      <x:c r="A42" s="13">
        <x:v>24</x:v>
      </x:c>
      <x:c r="B42" s="17">
        <x:v>45748</x:v>
      </x:c>
      <x:c r="C42" s="18">
        <x:f t="shared" si="0"/>
        <x:v>10456.049752941706</x:v>
      </x:c>
      <x:c r="D42" s="19">
        <x:f t="shared" si="1"/>
        <x:v>377908.82380067091</x:v>
      </x:c>
      <x:c r="E42" s="13"/>
      <x:c r="F42" s="13"/>
      <x:c r="G42" s="13"/>
      <x:c r="H42" s="13"/>
      <x:c r="I42" s="13"/>
    </x:row>
    <x:row r="43" spans="1:13" ht="13" x14ac:dyDescent="0.3">
      <x:c r="A43" s="13">
        <x:v>25</x:v>
      </x:c>
      <x:c r="B43" s="17">
        <x:v>45778</x:v>
      </x:c>
      <x:c r="C43" s="18">
        <x:f t="shared" si="0"/>
        <x:v>10456.049752941706</x:v>
      </x:c>
      <x:c r="D43" s="19">
        <x:f t="shared" si="1"/>
        <x:v>367452.77404772921</x:v>
      </x:c>
      <x:c r="E43" s="14"/>
      <x:c r="F43" s="14"/>
      <x:c r="G43" s="14"/>
      <x:c r="H43" s="14"/>
      <x:c r="I43" s="14"/>
    </x:row>
    <x:row r="44" spans="1:13" x14ac:dyDescent="0.25">
      <x:c r="A44" s="13">
        <x:v>26</x:v>
      </x:c>
      <x:c r="B44" s="17">
        <x:v>45809</x:v>
      </x:c>
      <x:c r="C44" s="18">
        <x:f t="shared" si="0"/>
        <x:v>10456.049752941706</x:v>
      </x:c>
      <x:c r="D44" s="19">
        <x:f t="shared" si="1"/>
        <x:v>356996.72429478751</x:v>
      </x:c>
      <x:c r="E44" s="13"/>
      <x:c r="F44" s="13"/>
      <x:c r="G44" s="13"/>
      <x:c r="H44" s="13"/>
      <x:c r="I44" s="13"/>
    </x:row>
    <x:row r="45" spans="1:13" x14ac:dyDescent="0.25">
      <x:c r="A45" s="13">
        <x:v>27</x:v>
      </x:c>
      <x:c r="B45" s="17">
        <x:v>45839</x:v>
      </x:c>
      <x:c r="C45" s="18">
        <x:f t="shared" si="0"/>
        <x:v>10456.049752941706</x:v>
      </x:c>
      <x:c r="D45" s="19">
        <x:f t="shared" si="1"/>
        <x:v>346540.6745418458</x:v>
      </x:c>
      <x:c r="E45" s="13"/>
      <x:c r="F45" s="13"/>
      <x:c r="G45" s="13"/>
      <x:c r="H45" s="13"/>
      <x:c r="I45" s="13"/>
    </x:row>
    <x:row r="46" spans="1:13" x14ac:dyDescent="0.25">
      <x:c r="A46" s="13">
        <x:v>28</x:v>
      </x:c>
      <x:c r="B46" s="17">
        <x:v>45870</x:v>
      </x:c>
      <x:c r="C46" s="18">
        <x:f t="shared" si="0"/>
        <x:v>10456.049752941706</x:v>
      </x:c>
      <x:c r="D46" s="19">
        <x:f t="shared" si="1"/>
        <x:v>336084.6247889041</x:v>
      </x:c>
      <x:c r="E46" s="13"/>
      <x:c r="F46" s="13"/>
      <x:c r="G46" s="13"/>
      <x:c r="H46" s="13"/>
      <x:c r="I46" s="13"/>
    </x:row>
    <x:row r="47" spans="1:13" x14ac:dyDescent="0.25">
      <x:c r="A47" s="13">
        <x:v>29</x:v>
      </x:c>
      <x:c r="B47" s="17">
        <x:v>45901</x:v>
      </x:c>
      <x:c r="C47" s="18">
        <x:f t="shared" si="0"/>
        <x:v>10456.049752941706</x:v>
      </x:c>
      <x:c r="D47" s="19">
        <x:f t="shared" si="1"/>
        <x:v>325628.57503596239</x:v>
      </x:c>
      <x:c r="E47" s="13"/>
      <x:c r="F47" s="13"/>
      <x:c r="G47" s="13"/>
      <x:c r="H47" s="13"/>
      <x:c r="I47" s="13"/>
    </x:row>
    <x:row r="48" spans="1:13" x14ac:dyDescent="0.25">
      <x:c r="A48" s="13">
        <x:v>30</x:v>
      </x:c>
      <x:c r="B48" s="17">
        <x:v>45931</x:v>
      </x:c>
      <x:c r="C48" s="18">
        <x:f t="shared" si="0"/>
        <x:v>10456.049752941706</x:v>
      </x:c>
      <x:c r="D48" s="19">
        <x:f t="shared" si="1"/>
        <x:v>315172.52528302069</x:v>
      </x:c>
      <x:c r="E48" s="13"/>
      <x:c r="F48" s="13"/>
      <x:c r="G48" s="13"/>
      <x:c r="H48" s="13"/>
      <x:c r="I48" s="13"/>
    </x:row>
    <x:row r="49" spans="1:9" x14ac:dyDescent="0.25">
      <x:c r="A49" s="13">
        <x:v>31</x:v>
      </x:c>
      <x:c r="B49" s="17">
        <x:v>45962</x:v>
      </x:c>
      <x:c r="C49" s="18">
        <x:f t="shared" si="0"/>
        <x:v>10456.049752941706</x:v>
      </x:c>
      <x:c r="D49" s="19">
        <x:f t="shared" si="1"/>
        <x:v>304716.47553007898</x:v>
      </x:c>
      <x:c r="E49" s="13"/>
      <x:c r="F49" s="13"/>
      <x:c r="G49" s="13"/>
      <x:c r="H49" s="13"/>
      <x:c r="I49" s="13"/>
    </x:row>
    <x:row r="50" spans="1:9" x14ac:dyDescent="0.25">
      <x:c r="A50" s="13">
        <x:v>32</x:v>
      </x:c>
      <x:c r="B50" s="17">
        <x:v>45992</x:v>
      </x:c>
      <x:c r="C50" s="18">
        <x:f t="shared" si="0"/>
        <x:v>10456.049752941706</x:v>
      </x:c>
      <x:c r="D50" s="19">
        <x:f t="shared" si="1"/>
        <x:v>294260.42577713728</x:v>
      </x:c>
      <x:c r="E50" s="13"/>
      <x:c r="F50" s="13"/>
      <x:c r="G50" s="13"/>
      <x:c r="H50" s="13"/>
      <x:c r="I50" s="13"/>
    </x:row>
    <x:row r="51" spans="1:9" x14ac:dyDescent="0.25">
      <x:c r="A51" s="13">
        <x:v>33</x:v>
      </x:c>
      <x:c r="B51" s="17">
        <x:v>46023</x:v>
      </x:c>
      <x:c r="C51" s="18">
        <x:f t="shared" si="0"/>
        <x:v>10456.049752941706</x:v>
      </x:c>
      <x:c r="D51" s="19">
        <x:f t="shared" si="1"/>
        <x:v>283804.37602419558</x:v>
      </x:c>
      <x:c r="E51" s="13"/>
      <x:c r="F51" s="13"/>
      <x:c r="G51" s="13"/>
      <x:c r="H51" s="13"/>
      <x:c r="I51" s="13"/>
    </x:row>
    <x:row r="52" spans="1:9" x14ac:dyDescent="0.25">
      <x:c r="A52" s="13">
        <x:v>34</x:v>
      </x:c>
      <x:c r="B52" s="17">
        <x:v>46054</x:v>
      </x:c>
      <x:c r="C52" s="18">
        <x:f t="shared" si="0"/>
        <x:v>10456.049752941706</x:v>
      </x:c>
      <x:c r="D52" s="19">
        <x:f t="shared" si="1"/>
        <x:v>273348.32627125387</x:v>
      </x:c>
      <x:c r="E52" s="13"/>
      <x:c r="F52" s="13"/>
      <x:c r="G52" s="13"/>
      <x:c r="H52" s="13"/>
      <x:c r="I52" s="13"/>
    </x:row>
    <x:row r="53" spans="1:9" ht="13" x14ac:dyDescent="0.3">
      <x:c r="A53" s="13">
        <x:v>35</x:v>
      </x:c>
      <x:c r="B53" s="17">
        <x:v>46082</x:v>
      </x:c>
      <x:c r="C53" s="18">
        <x:f t="shared" si="0"/>
        <x:v>10456.049752941706</x:v>
      </x:c>
      <x:c r="D53" s="19">
        <x:f t="shared" si="1"/>
        <x:v>262892.27651831217</x:v>
      </x:c>
      <x:c r="E53" s="14"/>
      <x:c r="F53" s="14"/>
      <x:c r="G53" s="14"/>
      <x:c r="H53" s="14"/>
      <x:c r="I53" s="14"/>
    </x:row>
    <x:row r="54" spans="1:9" ht="13" x14ac:dyDescent="0.3">
      <x:c r="A54" s="13">
        <x:v>36</x:v>
      </x:c>
      <x:c r="B54" s="17">
        <x:v>46113</x:v>
      </x:c>
      <x:c r="C54" s="18">
        <x:f t="shared" si="0"/>
        <x:v>10456.049752941706</x:v>
      </x:c>
      <x:c r="D54" s="19">
        <x:f t="shared" si="1"/>
        <x:v>252436.22676537046</x:v>
      </x:c>
      <x:c r="E54" s="14"/>
      <x:c r="F54" s="14"/>
      <x:c r="G54" s="14"/>
      <x:c r="H54" s="14"/>
      <x:c r="I54" s="14"/>
    </x:row>
    <x:row r="55" spans="1:9" ht="13" x14ac:dyDescent="0.3">
      <x:c r="A55" s="13">
        <x:v>37</x:v>
      </x:c>
      <x:c r="B55" s="17">
        <x:v>46143</x:v>
      </x:c>
      <x:c r="C55" s="18">
        <x:f t="shared" si="0"/>
        <x:v>10456.049752941706</x:v>
      </x:c>
      <x:c r="D55" s="19">
        <x:f t="shared" si="1"/>
        <x:v>241980.17701242876</x:v>
      </x:c>
      <x:c r="E55" s="14"/>
      <x:c r="F55" s="14"/>
      <x:c r="G55" s="14"/>
      <x:c r="H55" s="14"/>
      <x:c r="I55" s="14"/>
    </x:row>
    <x:row r="56" spans="1:9" ht="13" x14ac:dyDescent="0.3">
      <x:c r="A56" s="13">
        <x:v>38</x:v>
      </x:c>
      <x:c r="B56" s="17">
        <x:v>46174</x:v>
      </x:c>
      <x:c r="C56" s="18">
        <x:f t="shared" si="0"/>
        <x:v>10456.049752941706</x:v>
      </x:c>
      <x:c r="D56" s="19">
        <x:f t="shared" si="1"/>
        <x:v>231524.12725948705</x:v>
      </x:c>
      <x:c r="E56" s="14"/>
      <x:c r="F56" s="14"/>
      <x:c r="G56" s="14"/>
      <x:c r="H56" s="14"/>
      <x:c r="I56" s="14"/>
    </x:row>
    <x:row r="57" spans="1:9" ht="13" x14ac:dyDescent="0.3">
      <x:c r="A57" s="13">
        <x:v>39</x:v>
      </x:c>
      <x:c r="B57" s="17">
        <x:v>46204</x:v>
      </x:c>
      <x:c r="C57" s="18">
        <x:f t="shared" si="0"/>
        <x:v>10456.049752941706</x:v>
      </x:c>
      <x:c r="D57" s="19">
        <x:f t="shared" si="1"/>
        <x:v>221068.07750654535</x:v>
      </x:c>
      <x:c r="E57" s="14"/>
      <x:c r="F57" s="21"/>
      <x:c r="G57" s="14"/>
      <x:c r="H57" s="14"/>
      <x:c r="I57" s="14"/>
    </x:row>
    <x:row r="58" spans="1:9" ht="13" x14ac:dyDescent="0.3">
      <x:c r="A58" s="13">
        <x:v>40</x:v>
      </x:c>
      <x:c r="B58" s="17">
        <x:v>46235</x:v>
      </x:c>
      <x:c r="C58" s="18">
        <x:f t="shared" si="0"/>
        <x:v>10456.049752941706</x:v>
      </x:c>
      <x:c r="D58" s="19">
        <x:f t="shared" si="1"/>
        <x:v>210612.02775360364</x:v>
      </x:c>
      <x:c r="E58" s="14"/>
      <x:c r="F58" s="14"/>
      <x:c r="G58" s="14"/>
      <x:c r="H58" s="14"/>
      <x:c r="I58" s="14"/>
    </x:row>
    <x:row r="59" spans="1:9" ht="13" x14ac:dyDescent="0.3">
      <x:c r="A59" s="13">
        <x:v>41</x:v>
      </x:c>
      <x:c r="B59" s="17">
        <x:v>46266</x:v>
      </x:c>
      <x:c r="C59" s="18">
        <x:f t="shared" si="0"/>
        <x:v>10456.049752941706</x:v>
      </x:c>
      <x:c r="D59" s="19">
        <x:f t="shared" si="1"/>
        <x:v>200155.97800066194</x:v>
      </x:c>
      <x:c r="E59" s="14"/>
      <x:c r="F59" s="14"/>
      <x:c r="G59" s="14"/>
      <x:c r="H59" s="14"/>
      <x:c r="I59" s="14"/>
    </x:row>
    <x:row r="60" spans="1:9" ht="13" x14ac:dyDescent="0.3">
      <x:c r="A60" s="13">
        <x:v>42</x:v>
      </x:c>
      <x:c r="B60" s="17">
        <x:v>46296</x:v>
      </x:c>
      <x:c r="C60" s="18">
        <x:f t="shared" si="0"/>
        <x:v>10456.049752941706</x:v>
      </x:c>
      <x:c r="D60" s="19">
        <x:f t="shared" si="1"/>
        <x:v>189699.92824772024</x:v>
      </x:c>
      <x:c r="E60" s="14"/>
      <x:c r="F60" s="14"/>
      <x:c r="G60" s="14"/>
      <x:c r="H60" s="14"/>
      <x:c r="I60" s="14"/>
    </x:row>
    <x:row r="61" spans="1:9" ht="13" x14ac:dyDescent="0.3">
      <x:c r="A61" s="13">
        <x:v>43</x:v>
      </x:c>
      <x:c r="B61" s="17">
        <x:v>46327</x:v>
      </x:c>
      <x:c r="C61" s="18">
        <x:f t="shared" si="0"/>
        <x:v>10456.049752941706</x:v>
      </x:c>
      <x:c r="D61" s="19">
        <x:f t="shared" si="1"/>
        <x:v>179243.87849477853</x:v>
      </x:c>
      <x:c r="E61" s="14"/>
      <x:c r="F61" s="14"/>
      <x:c r="G61" s="14"/>
      <x:c r="H61" s="14"/>
      <x:c r="I61" s="14"/>
    </x:row>
    <x:row r="62" spans="1:9" ht="13" x14ac:dyDescent="0.3">
      <x:c r="A62" s="13">
        <x:v>44</x:v>
      </x:c>
      <x:c r="B62" s="17">
        <x:v>46357</x:v>
      </x:c>
      <x:c r="C62" s="18">
        <x:f t="shared" si="0"/>
        <x:v>10456.049752941706</x:v>
      </x:c>
      <x:c r="D62" s="19">
        <x:f t="shared" si="1"/>
        <x:v>168787.82874183683</x:v>
      </x:c>
      <x:c r="E62" s="14"/>
      <x:c r="F62" s="14"/>
      <x:c r="G62" s="14"/>
      <x:c r="H62" s="14"/>
      <x:c r="I62" s="14"/>
    </x:row>
    <x:row r="63" spans="1:9" ht="13" x14ac:dyDescent="0.3">
      <x:c r="A63" s="13">
        <x:v>45</x:v>
      </x:c>
      <x:c r="B63" s="17">
        <x:v>46388</x:v>
      </x:c>
      <x:c r="C63" s="18">
        <x:f t="shared" si="0"/>
        <x:v>10456.049752941706</x:v>
      </x:c>
      <x:c r="D63" s="19">
        <x:f t="shared" si="1"/>
        <x:v>158331.77898889512</x:v>
      </x:c>
      <x:c r="E63" s="14"/>
      <x:c r="F63" s="14"/>
      <x:c r="G63" s="14"/>
      <x:c r="H63" s="14"/>
      <x:c r="I63" s="14"/>
    </x:row>
    <x:row r="64" spans="1:9" ht="13" x14ac:dyDescent="0.3">
      <x:c r="A64" s="13">
        <x:v>46</x:v>
      </x:c>
      <x:c r="B64" s="17">
        <x:v>46419</x:v>
      </x:c>
      <x:c r="C64" s="18">
        <x:f t="shared" si="0"/>
        <x:v>10456.049752941706</x:v>
      </x:c>
      <x:c r="D64" s="19">
        <x:f t="shared" si="1"/>
        <x:v>147875.72923595342</x:v>
      </x:c>
      <x:c r="E64" s="14"/>
      <x:c r="F64" s="14"/>
      <x:c r="G64" s="14"/>
      <x:c r="H64" s="14"/>
      <x:c r="I64" s="14"/>
    </x:row>
    <x:row r="65" spans="1:9" ht="13" x14ac:dyDescent="0.3">
      <x:c r="A65" s="13">
        <x:v>47</x:v>
      </x:c>
      <x:c r="B65" s="17">
        <x:v>46447</x:v>
      </x:c>
      <x:c r="C65" s="18">
        <x:f t="shared" si="0"/>
        <x:v>10456.049752941706</x:v>
      </x:c>
      <x:c r="D65" s="19">
        <x:f t="shared" si="1"/>
        <x:v>137419.67948301171</x:v>
      </x:c>
      <x:c r="E65" s="14"/>
      <x:c r="F65" s="14"/>
      <x:c r="G65" s="14"/>
      <x:c r="H65" s="14"/>
      <x:c r="I65" s="14"/>
    </x:row>
    <x:row r="66" spans="1:9" x14ac:dyDescent="0.25">
      <x:c r="A66" s="13">
        <x:v>48</x:v>
      </x:c>
      <x:c r="B66" s="17">
        <x:v>46478</x:v>
      </x:c>
      <x:c r="C66" s="18">
        <x:f t="shared" si="0"/>
        <x:v>10456.049752941706</x:v>
      </x:c>
      <x:c r="D66" s="19">
        <x:f t="shared" si="1"/>
        <x:v>126963.62973007001</x:v>
      </x:c>
      <x:c r="E66" s="13"/>
      <x:c r="F66" s="24"/>
      <x:c r="G66" s="13"/>
      <x:c r="H66" s="13"/>
      <x:c r="I66" s="13"/>
    </x:row>
    <x:row r="67" spans="1:9" ht="13" x14ac:dyDescent="0.3">
      <x:c r="A67" s="13">
        <x:v>49</x:v>
      </x:c>
      <x:c r="B67" s="17">
        <x:v>46508</x:v>
      </x:c>
      <x:c r="C67" s="18">
        <x:f t="shared" si="0"/>
        <x:v>10456.049752941706</x:v>
      </x:c>
      <x:c r="D67" s="19">
        <x:f t="shared" si="1"/>
        <x:v>116507.57997712831</x:v>
      </x:c>
      <x:c r="E67" s="14"/>
      <x:c r="F67" s="14"/>
      <x:c r="G67" s="14"/>
      <x:c r="H67" s="14"/>
      <x:c r="I67" s="14"/>
    </x:row>
    <x:row r="68" spans="1:9" ht="13" x14ac:dyDescent="0.3">
      <x:c r="A68" s="13">
        <x:v>50</x:v>
      </x:c>
      <x:c r="B68" s="17">
        <x:v>46539</x:v>
      </x:c>
      <x:c r="C68" s="18">
        <x:f t="shared" si="0"/>
        <x:v>10456.049752941706</x:v>
      </x:c>
      <x:c r="D68" s="19">
        <x:f t="shared" si="1"/>
        <x:v>106051.5302241866</x:v>
      </x:c>
      <x:c r="E68" s="14"/>
      <x:c r="F68" s="14"/>
      <x:c r="G68" s="14"/>
      <x:c r="H68" s="14"/>
      <x:c r="I68" s="14"/>
    </x:row>
    <x:row r="69" spans="1:9" ht="13" x14ac:dyDescent="0.3">
      <x:c r="A69" s="13">
        <x:v>51</x:v>
      </x:c>
      <x:c r="B69" s="17">
        <x:v>46569</x:v>
      </x:c>
      <x:c r="C69" s="18">
        <x:f t="shared" si="0"/>
        <x:v>10456.049752941706</x:v>
      </x:c>
      <x:c r="D69" s="19">
        <x:f t="shared" si="1"/>
        <x:v>95595.480471244897</x:v>
      </x:c>
      <x:c r="E69" s="14"/>
      <x:c r="F69" s="14"/>
      <x:c r="G69" s="14"/>
      <x:c r="H69" s="14"/>
      <x:c r="I69" s="14"/>
    </x:row>
    <x:row r="70" spans="1:9" ht="13" x14ac:dyDescent="0.3">
      <x:c r="A70" s="13">
        <x:v>52</x:v>
      </x:c>
      <x:c r="B70" s="17">
        <x:v>46600</x:v>
      </x:c>
      <x:c r="C70" s="18">
        <x:f t="shared" si="0"/>
        <x:v>10456.049752941706</x:v>
      </x:c>
      <x:c r="D70" s="19">
        <x:f t="shared" si="1"/>
        <x:v>85139.430718303192</x:v>
      </x:c>
      <x:c r="E70" s="14"/>
      <x:c r="F70" s="14"/>
      <x:c r="G70" s="14"/>
      <x:c r="H70" s="14"/>
      <x:c r="I70" s="14"/>
    </x:row>
    <x:row r="71" spans="1:9" ht="13" x14ac:dyDescent="0.3">
      <x:c r="A71" s="13">
        <x:v>53</x:v>
      </x:c>
      <x:c r="B71" s="17">
        <x:v>46631</x:v>
      </x:c>
      <x:c r="C71" s="18">
        <x:f t="shared" si="0"/>
        <x:v>10456.049752941706</x:v>
      </x:c>
      <x:c r="D71" s="19">
        <x:f t="shared" si="1"/>
        <x:v>74683.380965361488</x:v>
      </x:c>
      <x:c r="E71" s="14"/>
      <x:c r="F71" s="14"/>
      <x:c r="G71" s="14"/>
      <x:c r="H71" s="14"/>
      <x:c r="I71" s="14"/>
    </x:row>
    <x:row r="72" spans="1:9" ht="13" x14ac:dyDescent="0.3">
      <x:c r="A72" s="13">
        <x:v>54</x:v>
      </x:c>
      <x:c r="B72" s="17">
        <x:v>46661</x:v>
      </x:c>
      <x:c r="C72" s="18">
        <x:f t="shared" si="0"/>
        <x:v>10456.049752941706</x:v>
      </x:c>
      <x:c r="D72" s="19">
        <x:f t="shared" si="1"/>
        <x:v>64227.331212419784</x:v>
      </x:c>
      <x:c r="E72" s="14"/>
      <x:c r="F72" s="14"/>
      <x:c r="G72" s="14"/>
      <x:c r="H72" s="14"/>
      <x:c r="I72" s="14"/>
    </x:row>
    <x:row r="73" spans="1:9" ht="13" x14ac:dyDescent="0.3">
      <x:c r="A73" s="13">
        <x:v>55</x:v>
      </x:c>
      <x:c r="B73" s="17">
        <x:v>46692</x:v>
      </x:c>
      <x:c r="C73" s="18">
        <x:f t="shared" si="0"/>
        <x:v>10456.049752941706</x:v>
      </x:c>
      <x:c r="D73" s="19">
        <x:f t="shared" si="1"/>
        <x:v>53771.281459478079</x:v>
      </x:c>
      <x:c r="E73" s="14"/>
      <x:c r="F73" s="14"/>
      <x:c r="G73" s="14"/>
      <x:c r="H73" s="14"/>
      <x:c r="I73" s="14"/>
    </x:row>
    <x:row r="74" spans="1:9" ht="13" x14ac:dyDescent="0.3">
      <x:c r="A74" s="13">
        <x:v>56</x:v>
      </x:c>
      <x:c r="B74" s="17">
        <x:v>46722</x:v>
      </x:c>
      <x:c r="C74" s="18">
        <x:f t="shared" si="0"/>
        <x:v>10456.049752941706</x:v>
      </x:c>
      <x:c r="D74" s="19">
        <x:f t="shared" si="1"/>
        <x:v>43315.231706536375</x:v>
      </x:c>
      <x:c r="E74" s="14"/>
      <x:c r="F74" s="14"/>
      <x:c r="G74" s="14"/>
      <x:c r="H74" s="14"/>
      <x:c r="I74" s="14"/>
    </x:row>
    <x:row r="75" spans="1:9" ht="13" x14ac:dyDescent="0.3">
      <x:c r="A75" s="13">
        <x:v>57</x:v>
      </x:c>
      <x:c r="B75" s="17">
        <x:v>46753</x:v>
      </x:c>
      <x:c r="C75" s="18">
        <x:f t="shared" si="0"/>
        <x:v>10456.049752941706</x:v>
      </x:c>
      <x:c r="D75" s="19">
        <x:f t="shared" si="1"/>
        <x:v>32859.181953594671</x:v>
      </x:c>
      <x:c r="E75" s="14"/>
      <x:c r="F75" s="14"/>
      <x:c r="G75" s="14"/>
      <x:c r="H75" s="14"/>
      <x:c r="I75" s="14"/>
    </x:row>
    <x:row r="76" spans="1:9" ht="13" x14ac:dyDescent="0.3">
      <x:c r="A76" s="13">
        <x:v>58</x:v>
      </x:c>
      <x:c r="B76" s="17">
        <x:v>46784</x:v>
      </x:c>
      <x:c r="C76" s="18">
        <x:f t="shared" si="0"/>
        <x:v>10456.049752941706</x:v>
      </x:c>
      <x:c r="D76" s="19">
        <x:f t="shared" si="1"/>
        <x:v>22403.132200652966</x:v>
      </x:c>
      <x:c r="E76" s="14"/>
      <x:c r="F76" s="14"/>
      <x:c r="G76" s="14"/>
      <x:c r="H76" s="14"/>
      <x:c r="I76" s="14"/>
    </x:row>
    <x:row r="77" spans="1:9" ht="13" x14ac:dyDescent="0.3">
      <x:c r="A77" s="13">
        <x:v>59</x:v>
      </x:c>
      <x:c r="B77" s="17">
        <x:v>46813</x:v>
      </x:c>
      <x:c r="C77" s="18">
        <x:f t="shared" si="0"/>
        <x:v>10456.049752941706</x:v>
      </x:c>
      <x:c r="D77" s="19">
        <x:f t="shared" si="1"/>
        <x:v>11947.08244771126</x:v>
      </x:c>
      <x:c r="E77" s="14"/>
      <x:c r="F77" s="20"/>
      <x:c r="G77" s="14"/>
      <x:c r="H77" s="14"/>
      <x:c r="I77" s="14"/>
    </x:row>
    <x:row r="78" spans="1:9" ht="13" x14ac:dyDescent="0.3">
      <x:c r="A78" s="13">
        <x:v>60</x:v>
      </x:c>
      <x:c r="B78" s="17">
        <x:v>46844</x:v>
      </x:c>
      <x:c r="C78" s="18">
        <x:f t="shared" si="0"/>
        <x:v>10456.049752941706</x:v>
      </x:c>
      <x:c r="D78" s="19">
        <x:f t="shared" si="1"/>
        <x:v>1491.0326947695539</x:v>
      </x:c>
      <x:c r="E78" s="14"/>
      <x:c r="F78" s="21"/>
      <x:c r="G78" s="14"/>
      <x:c r="H78" s="14"/>
      <x:c r="I78" s="14"/>
    </x:row>
    <x:row r="79" spans="1:9" ht="13" x14ac:dyDescent="0.3">
      <x:c r="A79" s="14">
        <x:v>61</x:v>
      </x:c>
      <x:c r="B79" s="17">
        <x:v>46874</x:v>
      </x:c>
      <x:c r="C79" s="32">
        <x:f>C78-C19</x:f>
        <x:v>1491.0326947694866</x:v>
      </x:c>
      <x:c r="D79" s="19">
        <x:f t="shared" si="1"/>
        <x:v>6.730260793119669E-11</x:v>
      </x:c>
      <x:c r="E79" s="14"/>
      <x:c r="F79" s="14"/>
      <x:c r="G79" s="14"/>
      <x:c r="H79" s="14"/>
      <x:c r="I79" s="14"/>
    </x:row>
    <x:row r="81" spans="1:20" x14ac:dyDescent="0.25">
      <x:c r="C81" s="12">
        <x:f>SUM(C19:C80)</x:f>
        <x:v>627362.98517650226</x:v>
      </x:c>
      <x:c r="D81" s="1" t="s">
        <x:v>22</x:v>
      </x:c>
    </x:row>
    <x:row r="82" spans="1:20" x14ac:dyDescent="0.25">
      <x:c r="T82" s="11"/>
    </x:row>
    <x:row r="83" spans="1:20" x14ac:dyDescent="0.25">
      <x:c r="A83" s="1" t="s">
        <x:v>28</x:v>
      </x:c>
      <x:c r="T83" s="11"/>
    </x:row>
    <x:row r="84" spans="1:20" x14ac:dyDescent="0.25">
      <x:c r="A84" s="1" t="s">
        <x:v>27</x:v>
      </x:c>
    </x:row>
    <x:row r="85" spans="1:20" x14ac:dyDescent="0.25">
      <x:c r="A85" s="1" t="s">
        <x:v>2</x:v>
      </x:c>
    </x:row>
    <x:row r="86" spans="1:20" x14ac:dyDescent="0.25">
      <x:c r="A86" s="1" t="s">
        <x:v>3</x:v>
      </x:c>
    </x:row>
    <x:row r="87" spans="1:20" x14ac:dyDescent="0.25">
      <x:c r="A87" s="1" t="s">
        <x:v>4</x:v>
      </x:c>
    </x:row>
    <x:row r="89" spans="1:20" ht="14.5" x14ac:dyDescent="0.35">
      <x:c r="A89" s="40" t="s">
        <x:v>5</x:v>
      </x:c>
      <x:c r="B89" s="41"/>
      <x:c r="C89" s="41"/>
      <x:c r="D89" s="41"/>
      <x:c r="E89" s="41"/>
      <x:c r="F89" s="41"/>
    </x:row>
    <x:row r="144" spans="20:20" x14ac:dyDescent="0.25">
      <x:c r="T144" s="11"/>
    </x:row>
    <x:row r="145" spans="20:20" x14ac:dyDescent="0.25">
      <x:c r="T145" s="11"/>
    </x:row>
  </x:sheetData>
  <x:mergeCells count="8">
    <x:mergeCell ref="A89:F89"/>
    <x:mergeCell ref="B9:M9"/>
    <x:mergeCell ref="A1:T1"/>
    <x:mergeCell ref="A2:T2"/>
    <x:mergeCell ref="A3:T3"/>
    <x:mergeCell ref="A4:T4"/>
    <x:mergeCell ref="A5:T5"/>
    <x:mergeCell ref="K39:M40"/>
  </x:mergeCells>
  <x:pageMargins left="0.25" right="0.25" top="1" bottom="0.5" header="1" footer="0.3"/>
  <x:pageSetup scale="58" orientation="portrait" r:id="rId1"/>
  <x:headerFooter>
    <x:oddHeader>&amp;R&amp;"Arial,Bold"WP/II-B-12 Interim Rate Reg Asset
Page &amp;P of &amp;N</x:oddHeader>
  </x:headerFooter>
  <x:rowBreaks count="2" manualBreakCount="2">
    <x:brk id="71" max="12" man="1"/>
    <x:brk id="142" max="16383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2025-05-01T17:55:16.0000000Z</dcterms:modified>
</coreProperties>
</file>