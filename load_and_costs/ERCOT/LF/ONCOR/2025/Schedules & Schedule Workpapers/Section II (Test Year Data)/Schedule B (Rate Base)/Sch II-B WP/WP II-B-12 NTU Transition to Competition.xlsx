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2"/>
  <x:workbookPr defaultThemeVersion="166925"/>
  <mc:AlternateContent xmlns:mc="http://schemas.openxmlformats.org/markup-compatibility/2006">
    <mc:Choice Requires="x15">
      <x15ac:absPath xmlns:x15ac="http://schemas.microsoft.com/office/spreadsheetml/2010/11/ac" url="N:\2025 Rate Case\Section II (Test Year Data)\Schedule B (Rate Base)\Sch II-B WP\"/>
    </mc:Choice>
  </mc:AlternateContent>
  <xr:revisionPtr revIDLastSave="0" documentId="13_ncr:1_{4D9A2CE9-1EC3-4177-B128-F086913CE1E6}" xr6:coauthVersionLast="47" xr6:coauthVersionMax="47" xr10:uidLastSave="{00000000-0000-0000-0000-000000000000}"/>
  <x:bookViews>
    <x:workbookView xWindow="-28920" yWindow="-120" windowWidth="29040" windowHeight="15720" xr2:uid="{7E309823-0458-44A4-8495-5A652C5613A9}"/>
  </x:bookViews>
  <x:sheets>
    <x:sheet name="WP II-B-12 NTU Trans to Comp" sheetId="1" r:id="rId1"/>
  </x:sheets>
  <x:definedNames>
    <x:definedName name="NvsAnswerCol">"'[ARLATENT.xls]BU Descriptions'!$A$5:$A$211"</x:definedName>
    <x:definedName name="NvsASD" localSheetId="0">"V2023-06-30"</x:definedName>
    <x:definedName name="NvsASD">"V2024-12-31"</x:definedName>
    <x:definedName name="NvsAutoDrillOk">"VN"</x:definedName>
    <x:definedName name="NvsElapsedTime" localSheetId="0">0.000173611115314998</x:definedName>
    <x:definedName name="NvsElapsedTime">0.000254629630944692</x:definedName>
    <x:definedName name="NvsEndTime">44512.4267939815</x:definedName>
    <x:definedName name="NvsInstLang">"VENG"</x:definedName>
    <x:definedName name="NvsInstSpec">"%"</x:definedName>
    <x:definedName name="NvsInstSpec1">","</x:definedName>
    <x:definedName name="NvsInstSpec2">","</x:definedName>
    <x:definedName name="NvsInstSpec3">","</x:definedName>
    <x:definedName name="NvsInstSpec4">","</x:definedName>
    <x:definedName name="NvsInstSpec5">","</x:definedName>
    <x:definedName name="NvsInstSpec6">","</x:definedName>
    <x:definedName name="NvsInstSpec7">","</x:definedName>
    <x:definedName name="NvsInstSpec8">","</x:definedName>
    <x:definedName name="NvsInstSpec9">","</x:definedName>
    <x:definedName name="NvsLayoutType">"M3"</x:definedName>
    <x:definedName name="NvsNplSpec">"%,X,RZF..nPloded,CZF.."</x:definedName>
    <x:definedName name="NvsPanelBusUnit">"V"</x:definedName>
    <x:definedName name="NvsPanelEffdt">"V2999-01-01"</x:definedName>
    <x:definedName name="NvsPanelSetid">"VSHARE"</x:definedName>
    <x:definedName name="NvsReqBU">"VX0001"</x:definedName>
    <x:definedName name="NvsReqBUOnly">"VN"</x:definedName>
    <x:definedName name="NvsTransLed">"VN"</x:definedName>
    <x:definedName name="NvsTreeASD" localSheetId="0">"V2023-06-30"</x:definedName>
    <x:definedName name="NvsTreeASD">"V2024-12-31"</x:definedName>
    <x:definedName name="_xlnm.Print_Area" localSheetId="0">'WP II-B-12 NTU Trans to Comp'!$A$1:$H$137</x:definedName>
    <x:definedName name="_xlnm.Print_Titles" localSheetId="0">'WP II-B-12 NTU Trans to Comp'!$1:$5</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G31" i="1" l="1"/>
  <x:c r="D22" i="1" l="1"/>
  <x:c r="C10" i="1"/>
  <x:c r="B10" i="1"/>
  <x:c r="D9" i="1"/>
  <x:c r="D8" i="1"/>
  <x:c r="D7" i="1"/>
  <x:c r="F12" i="1" l="1"/>
  <x:c r="F15" i="1"/>
  <x:c r="D10" i="1"/>
  <x:c r="D12" i="1" s="1"/>
  <x:c r="F13" i="1" l="1"/>
  <x:c r="D15" i="1"/>
  <x:c r="C77" i="1" s="1"/>
  <x:c r="G12" i="1"/>
  <x:c r="F16" i="1" l="1"/>
  <x:c r="G15" i="1"/>
  <x:c r="C78" i="1" l="1"/>
  <x:c r="C79" i="1" s="1"/>
  <x:c r="C80" i="1" s="1"/>
  <x:c r="C81" i="1" s="1"/>
  <x:c r="C82" i="1" s="1"/>
  <x:c r="C83" i="1" s="1"/>
  <x:c r="C84" i="1" s="1"/>
  <x:c r="C85" i="1" s="1"/>
  <x:c r="C31" i="1"/>
  <x:c r="C32" i="1" s="1"/>
  <x:c r="C33" i="1" s="1"/>
  <x:c r="C34" i="1" s="1"/>
  <x:c r="C35" i="1" s="1"/>
  <x:c r="C36" i="1" s="1"/>
  <x:c r="C37" i="1" s="1"/>
  <x:c r="C38" i="1" s="1"/>
  <x:c r="C39" i="1" s="1"/>
  <x:c r="C40" i="1" s="1"/>
  <x:c r="C41" i="1" s="1"/>
  <x:c r="C42" i="1" s="1"/>
  <x:c r="C43" i="1" s="1"/>
  <x:c r="C44" i="1" s="1"/>
  <x:c r="C45" i="1" s="1"/>
  <x:c r="C46" i="1" s="1"/>
  <x:c r="C47" i="1" s="1"/>
  <x:c r="C48" i="1" s="1"/>
  <x:c r="C49" i="1" s="1"/>
  <x:c r="C50" i="1" s="1"/>
  <x:c r="C51" i="1" s="1"/>
  <x:c r="C52" i="1" s="1"/>
  <x:c r="C53" i="1" s="1"/>
  <x:c r="C54" i="1" s="1"/>
  <x:c r="C55" i="1" s="1"/>
  <x:c r="C56" i="1" s="1"/>
  <x:c r="C57" i="1" s="1"/>
  <x:c r="C58" i="1" s="1"/>
  <x:c r="C59" i="1" s="1"/>
  <x:c r="C60" i="1" s="1"/>
  <x:c r="C61" i="1" s="1"/>
  <x:c r="D29" i="1"/>
  <x:c r="D30" i="1" s="1"/>
  <x:c r="C86" i="1" l="1"/>
  <x:c r="F85" i="1"/>
  <x:c r="D31" i="1"/>
  <x:c r="D32" i="1" s="1"/>
  <x:c r="D33" i="1" s="1"/>
  <x:c r="D34" i="1" s="1"/>
  <x:c r="D35" i="1" s="1"/>
  <x:c r="D36" i="1" s="1"/>
  <x:c r="D37" i="1" s="1"/>
  <x:c r="D38" i="1" s="1"/>
  <x:c r="D39" i="1" s="1"/>
  <x:c r="D40" i="1" s="1"/>
  <x:c r="D41" i="1" s="1"/>
  <x:c r="D42" i="1" s="1"/>
  <x:c r="D43" i="1" s="1"/>
  <x:c r="D44" i="1" s="1"/>
  <x:c r="D45" i="1" s="1"/>
  <x:c r="D46" i="1" s="1"/>
  <x:c r="D47" i="1" s="1"/>
  <x:c r="D48" i="1" s="1"/>
  <x:c r="D49" i="1" s="1"/>
  <x:c r="D50" i="1" s="1"/>
  <x:c r="D51" i="1" s="1"/>
  <x:c r="D52" i="1" s="1"/>
  <x:c r="D53" i="1" s="1"/>
  <x:c r="D54" i="1" s="1"/>
  <x:c r="D55" i="1" s="1"/>
  <x:c r="D56" i="1" s="1"/>
  <x:c r="D57" i="1" s="1"/>
  <x:c r="D58" i="1" s="1"/>
  <x:c r="D59" i="1" s="1"/>
  <x:c r="D60" i="1" s="1"/>
  <x:c r="D61" i="1" s="1"/>
  <x:c r="C62" i="1"/>
  <x:c r="C63" i="1" s="1"/>
  <x:c r="C64" i="1" s="1"/>
  <x:c r="C65" i="1" s="1"/>
  <x:c r="C66" i="1" s="1"/>
  <x:c r="C67" i="1" s="1"/>
  <x:c r="C68" i="1" s="1"/>
  <x:c r="C69" i="1" s="1"/>
  <x:c r="C70" i="1" s="1"/>
  <x:c r="C71" i="1" s="1"/>
  <x:c r="C72" i="1" s="1"/>
  <x:c r="C73" i="1" s="1"/>
  <x:c r="C74" i="1" s="1"/>
  <x:c r="C75" i="1" s="1"/>
  <x:c r="C76" i="1" s="1"/>
  <x:c r="C87" i="1" l="1"/>
  <x:c r="F86" i="1"/>
  <x:c r="D62" i="1"/>
  <x:c r="D63" i="1" s="1"/>
  <x:c r="D64" i="1" s="1"/>
  <x:c r="D65" i="1" s="1"/>
  <x:c r="D66" i="1" s="1"/>
  <x:c r="D67" i="1" s="1"/>
  <x:c r="D68" i="1" s="1"/>
  <x:c r="D69" i="1" s="1"/>
  <x:c r="D70" i="1" s="1"/>
  <x:c r="D71" i="1" s="1"/>
  <x:c r="D72" i="1" s="1"/>
  <x:c r="D73" i="1" s="1"/>
  <x:c r="D74" i="1" s="1"/>
  <x:c r="D75" i="1" s="1"/>
  <x:c r="D76" i="1" s="1"/>
  <x:c r="D77" i="1" s="1"/>
  <x:c r="D78" i="1" s="1"/>
  <x:c r="D79" i="1" s="1"/>
  <x:c r="D80" i="1" s="1"/>
  <x:c r="D81" i="1" s="1"/>
  <x:c r="D82" i="1" s="1"/>
  <x:c r="D83" i="1" s="1"/>
  <x:c r="D84" i="1" s="1"/>
  <x:c r="D85" i="1" s="1"/>
  <x:c r="D86" i="1" s="1"/>
  <x:c r="D87" i="1" s="1"/>
  <x:c r="F76" i="1"/>
  <x:c r="C88" i="1" l="1"/>
  <x:c r="F87" i="1"/>
  <x:c r="C89" i="1" l="1"/>
  <x:c r="F88" i="1"/>
  <x:c r="D88" i="1"/>
  <x:c r="D89" i="1" s="1"/>
  <x:c r="C90" i="1" l="1"/>
  <x:c r="F89" i="1"/>
  <x:c r="C91" i="1" l="1"/>
  <x:c r="F90" i="1"/>
  <x:c r="D90" i="1"/>
  <x:c r="D91" i="1" l="1"/>
  <x:c r="C92" i="1"/>
  <x:c r="F91" i="1"/>
  <x:c r="C93" i="1" l="1"/>
  <x:c r="F92" i="1"/>
  <x:c r="D92" i="1"/>
  <x:c r="D93" i="1" l="1"/>
  <x:c r="C94" i="1"/>
  <x:c r="F93" i="1"/>
  <x:c r="C95" i="1" l="1"/>
  <x:c r="F94" i="1"/>
  <x:c r="D94" i="1"/>
  <x:c r="D95" i="1" l="1"/>
  <x:c r="C96" i="1"/>
  <x:c r="F95" i="1"/>
  <x:c r="C97" i="1" l="1"/>
  <x:c r="C98" i="1" s="1"/>
  <x:c r="C99" i="1" s="1"/>
  <x:c r="C100" i="1" s="1"/>
  <x:c r="C101" i="1" s="1"/>
  <x:c r="C102" i="1" s="1"/>
  <x:c r="C103" i="1" s="1"/>
  <x:c r="C104" i="1" s="1"/>
  <x:c r="C105" i="1" s="1"/>
  <x:c r="C106" i="1" s="1"/>
  <x:c r="C107" i="1" s="1"/>
  <x:c r="C108" i="1" s="1"/>
  <x:c r="C109" i="1" s="1"/>
  <x:c r="C110" i="1" s="1"/>
  <x:c r="C111" i="1" s="1"/>
  <x:c r="C112" i="1" s="1"/>
  <x:c r="C113" i="1" s="1"/>
  <x:c r="C114" i="1" s="1"/>
  <x:c r="C115" i="1" s="1"/>
  <x:c r="C116" i="1" s="1"/>
  <x:c r="C117" i="1" s="1"/>
  <x:c r="C118" i="1" s="1"/>
  <x:c r="C119" i="1" s="1"/>
  <x:c r="C120" i="1" s="1"/>
  <x:c r="C121" i="1" s="1"/>
  <x:c r="C122" i="1" s="1"/>
  <x:c r="C123" i="1" s="1"/>
  <x:c r="C124" i="1" s="1"/>
  <x:c r="C125" i="1" s="1"/>
  <x:c r="C126" i="1" s="1"/>
  <x:c r="C127" i="1" s="1"/>
  <x:c r="C128" i="1" s="1"/>
  <x:c r="C129" i="1" s="1"/>
  <x:c r="C130" i="1" s="1"/>
  <x:c r="C131" i="1" s="1"/>
  <x:c r="C132" i="1" s="1"/>
  <x:c r="C133" i="1" s="1"/>
  <x:c r="C134" i="1" s="1"/>
  <x:c r="C135" i="1" s="1"/>
  <x:c r="C136" i="1" s="1"/>
  <x:c r="F96" i="1"/>
  <x:c r="F97" i="1" s="1"/>
  <x:c r="D96" i="1"/>
  <x:c r="D97" i="1" l="1"/>
  <x:c r="D98" i="1" s="1"/>
  <x:c r="D99" i="1" s="1"/>
  <x:c r="D100" i="1" s="1"/>
  <x:c r="D101" i="1" s="1"/>
  <x:c r="D102" i="1" s="1"/>
  <x:c r="D103" i="1" s="1"/>
  <x:c r="D104" i="1" s="1"/>
  <x:c r="D105" i="1" s="1"/>
  <x:c r="D106" i="1" s="1"/>
  <x:c r="D107" i="1" s="1"/>
  <x:c r="D108" i="1" s="1"/>
  <x:c r="D109" i="1" s="1"/>
  <x:c r="D110" i="1" s="1"/>
  <x:c r="D111" i="1" s="1"/>
  <x:c r="D112" i="1" s="1"/>
  <x:c r="D113" i="1" s="1"/>
  <x:c r="D114" i="1" s="1"/>
  <x:c r="D115" i="1" s="1"/>
  <x:c r="D116" i="1" s="1"/>
  <x:c r="D117" i="1" s="1"/>
  <x:c r="D118" i="1" s="1"/>
  <x:c r="D119" i="1" s="1"/>
  <x:c r="D120" i="1" s="1"/>
  <x:c r="D121" i="1" s="1"/>
  <x:c r="D122" i="1" s="1"/>
  <x:c r="D123" i="1" s="1"/>
  <x:c r="D124" i="1" s="1"/>
  <x:c r="D125" i="1" s="1"/>
  <x:c r="D126" i="1" s="1"/>
  <x:c r="D127" i="1" s="1"/>
  <x:c r="D128" i="1" s="1"/>
  <x:c r="D129" i="1" s="1"/>
  <x:c r="D130" i="1" s="1"/>
  <x:c r="D131" i="1" s="1"/>
  <x:c r="D132" i="1" s="1"/>
  <x:c r="D133" i="1" s="1"/>
  <x:c r="D134" i="1" s="1"/>
  <x:c r="D135" i="1" s="1"/>
  <x:c r="D136" i="1" s="1"/>
  <x:c r="G96" i="1"/>
  <x:c r="H96" i="1" s="1"/>
</x:calcChain>
</file>

<file path=xl/sharedStrings.xml><?xml version="1.0" encoding="utf-8"?>
<sst xmlns="http://schemas.openxmlformats.org/spreadsheetml/2006/main" count="51" uniqueCount="48">
  <si>
    <t>Monthly Amort Amount</t>
  </si>
  <si>
    <t>Balance</t>
  </si>
  <si>
    <t>Oncor Electric Delivery Company LLC</t>
  </si>
  <si>
    <t>Page 1 of 1</t>
  </si>
  <si>
    <t>Sponsor:  W. Alan Ledbetter</t>
  </si>
  <si>
    <t>Balance acquired at 5-16-2019</t>
  </si>
  <si>
    <t>Post-acquisition amortization *</t>
  </si>
  <si>
    <t>Balance at 12-31-2021</t>
  </si>
  <si>
    <t>Transmission Project</t>
  </si>
  <si>
    <t>See Note 1 below.</t>
  </si>
  <si>
    <t>Transition to Competition - SPS Settlement</t>
  </si>
  <si>
    <t>Transition to Competition</t>
  </si>
  <si>
    <t>Costs incurred for move from the SPP to ERCOT and to transition to retail competition.</t>
  </si>
  <si>
    <t>Total NTU regulatory asset</t>
  </si>
  <si>
    <t>NTU TRAN</t>
  </si>
  <si>
    <t>NTU DIST</t>
  </si>
  <si>
    <t>NTU T&amp;D</t>
  </si>
  <si>
    <t>Account 928</t>
  </si>
  <si>
    <t xml:space="preserve">Docket No. 47469 Joint Report and Application of Sharyland Utilities, L.P., Sharyland Distribution &amp; Transmission Services, L.L.C., and Oncor Electric Delivery Company LLC for Transfer of Facilities, Transfer of Rights Under and Amendment of </t>
  </si>
  <si>
    <t xml:space="preserve">                                  Certificates of Convenience and Necessity, and for Other Regulatory Approvals</t>
  </si>
  <si>
    <r>
      <t xml:space="preserve">Docket No. 48929 Joint Report and Application of Oncor Electric Delivery Company LLC, Sharyland Distribution &amp; Transmission Services L.L.C., Sharyland Utilities L.P., and Sempra Energy for Regulatory Approvals under PURA </t>
    </r>
    <r>
      <rPr>
        <sz val="11"/>
        <color theme="1"/>
        <rFont val="Calibri"/>
        <family val="2"/>
      </rPr>
      <t>§§</t>
    </r>
    <r>
      <rPr>
        <sz val="11"/>
        <color theme="1"/>
        <rFont val="Calibri"/>
        <family val="2"/>
        <scheme val="minor"/>
      </rPr>
      <t xml:space="preserve"> 14.101, 37.154, 39.262 and 39.915</t>
    </r>
  </si>
  <si>
    <t>Acquisition date was May 16, 2019.  Oncor NTU's WTS tariff effective May 17, 2019 (Docket No. 49519).</t>
  </si>
  <si>
    <t>* Oncor NTU's WTS tariff includes annual amortization for transition to competition regulatory asset of $166,775.52.</t>
  </si>
  <si>
    <t>2025 Rate Case</t>
  </si>
  <si>
    <t>For Test Year Ending December 31, 2024</t>
  </si>
  <si>
    <t>Total NTU regulatory asset for TRAN and DIST approved in Docket No. 53601</t>
  </si>
  <si>
    <t>Amortization from 1-1-22 thru 4-30-23 (i.e. amortization since 12-31-2021)</t>
  </si>
  <si>
    <t>Approved unamortized balance at 12-31-2024</t>
  </si>
  <si>
    <t>2024 Test Year Amortization</t>
  </si>
  <si>
    <t>Annual amount prior to Docket No. 53601</t>
  </si>
  <si>
    <t>Est. Balance May 16, 2019 (acquisition of NTU)</t>
  </si>
  <si>
    <t>Amortization  (Oncor NTU WTS Tariff recovery):</t>
  </si>
  <si>
    <t>to Bifurcation %</t>
  </si>
  <si>
    <t>Amortization Prior</t>
  </si>
  <si>
    <t xml:space="preserve">Costs incurred for move from the SPP to ERCOT and to transition to retail competition.  SPP charges for that SPS incurred to serve Sharyland's network load (transmission charges SPP billed to SPS after transition from SPP system).  </t>
  </si>
  <si>
    <t>Docket No. 53601 approved balance with five-year recovery/amortization</t>
  </si>
  <si>
    <t>NTU TRAN 12-31-2024 Approved Unamortized Balance</t>
  </si>
  <si>
    <t>Oncor NTU Regulatory Asset - Acquisition Regulatory Asset (Study Costs/Transition to Competition - Account 1824500) Approved in Docket No. 53601 with an Approved Five-Year Recovery/Amortization</t>
  </si>
  <si>
    <t>Docket No. 53601 approved recovery (amortization) over five years</t>
  </si>
  <si>
    <t>Monthly</t>
  </si>
  <si>
    <t>Docket 53601 approved amortization begins effective with Docket 53601 rates (May 1, 2023)</t>
  </si>
  <si>
    <t>Docket 53601 approved five-year amortization</t>
  </si>
  <si>
    <t>Docket 53601 approved five-year amortization ending April 2028</t>
  </si>
  <si>
    <t>April 2028 balance reflects the amortization recognized from 1-1-22 thru 4-30-23 (i.e. amortization since 12-31-2021 prior to Docket No. 53601 rates effective)</t>
  </si>
  <si>
    <t>PUC Docket History Prior to Approval in Docket No. 53601</t>
  </si>
  <si>
    <t>Docket No. 53601 Approved</t>
  </si>
  <si>
    <t>WP/II-B-12 NTU Transition to Competition</t>
  </si>
  <si>
    <t xml:space="preserve">Docket No. 53601 Order on Rehearing approved Oncor NTU's Acquisition Regulatory Asset (Study Costs/Transition to Competition - Account 1824500) and five-year recovery/amortization.  Reference pages 37 (Findings of Fact 167, 167A, &amp; 173) &amp; 60 (Finding of Fact 377) in that order.  Included in Acquisition Regulatory Assets shown in Docket No. 53601 Order on Rehearing.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</si>
</sst>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i/>
      <sz val="9"/>
      <name val="Arial"/>
      <family val="2"/>
    </font>
    <font>
      <u/>
      <sz val="11"/>
      <color theme="1"/>
      <name val="Calibri"/>
      <family val="2"/>
      <scheme val="minor"/>
    </font>
    <font>
      <sz val="11"/>
      <color theme="1"/>
      <name val="Calibri"/>
      <family val="2"/>
    </font>
    <font>
      <u/>
      <sz val="10"/>
      <name val="Arial"/>
      <family val="2"/>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6">
    <xf numFmtId="0" fontId="0"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4" fillId="0" borderId="0" xfId="1" applyFont="1"/>
    <xf numFmtId="44" fontId="0" fillId="0" borderId="0" xfId="2" applyFont="1"/>
    <xf numFmtId="0" fontId="3" fillId="0" borderId="0" xfId="1"/>
    <xf numFmtId="44" fontId="4" fillId="0" borderId="0" xfId="2" applyFont="1"/>
    <xf numFmtId="17" fontId="3" fillId="0" borderId="0" xfId="1" applyNumberFormat="1" applyAlignment="1">
      <alignment horizontal="left" indent="1"/>
    </xf>
    <xf numFmtId="44" fontId="3" fillId="0" borderId="0" xfId="2" applyFont="1" applyFill="1" applyAlignment="1">
      <alignment horizontal="left"/>
    </xf>
    <xf numFmtId="44" fontId="3" fillId="0" borderId="0" xfId="2" applyFont="1" applyFill="1"/>
    <xf numFmtId="44" fontId="3" fillId="0" borderId="0" xfId="1" applyNumberFormat="1"/>
    <xf numFmtId="44" fontId="3" fillId="0" borderId="0" xfId="2" applyFont="1"/>
    <xf numFmtId="44" fontId="0" fillId="0" borderId="0" xfId="2" applyFont="1" applyAlignment="1">
      <alignment horizontal="left"/>
    </xf>
    <xf numFmtId="17" fontId="4" fillId="0" borderId="0" xfId="1" applyNumberFormat="1" applyFont="1" applyAlignment="1">
      <alignment horizontal="left" indent="1"/>
    </xf>
    <xf numFmtId="44" fontId="4" fillId="0" borderId="0" xfId="2" applyFont="1" applyFill="1" applyAlignment="1">
      <alignment horizontal="left"/>
    </xf>
    <xf numFmtId="17" fontId="5" fillId="0" borderId="0" xfId="1" applyNumberFormat="1" applyFont="1" applyAlignment="1">
      <alignment horizontal="left" indent="1"/>
    </xf>
    <xf numFmtId="0" fontId="2" fillId="0" borderId="0" xfId="0" applyFont="1"/>
    <xf numFmtId="0" fontId="4" fillId="0" borderId="0" xfId="1" applyFont="1" applyAlignment="1">
      <alignment horizontal="right"/>
    </xf>
    <xf numFmtId="0" fontId="2" fillId="0" borderId="0" xfId="0" applyFont="1" applyAlignment="1">
      <alignment horizontal="left"/>
    </xf>
    <xf numFmtId="0" fontId="0" fillId="0" borderId="1" xfId="0" applyBorder="1" applyAlignment="1">
      <alignment horizontal="center"/>
    </xf>
    <xf numFmtId="0" fontId="0" fillId="0" borderId="1" xfId="0" applyBorder="1" applyAlignment="1">
      <alignment horizontal="center" wrapText="1"/>
    </xf>
    <xf numFmtId="44" fontId="0" fillId="0" borderId="0" xfId="4" applyFont="1"/>
    <xf numFmtId="0" fontId="0" fillId="0" borderId="0" xfId="0" applyAlignment="1">
      <alignment vertical="top"/>
    </xf>
    <xf numFmtId="44" fontId="0" fillId="0" borderId="0" xfId="4" applyFont="1" applyAlignment="1">
      <alignment vertical="top"/>
    </xf>
    <xf numFmtId="44" fontId="0" fillId="0" borderId="1" xfId="4" applyFont="1" applyBorder="1"/>
    <xf numFmtId="44" fontId="0" fillId="0" borderId="1" xfId="4" applyFont="1" applyFill="1" applyBorder="1"/>
    <xf numFmtId="0" fontId="0" fillId="0" borderId="0" xfId="0" applyAlignment="1">
      <alignment horizontal="left" indent="1"/>
    </xf>
    <xf numFmtId="44" fontId="0" fillId="0" borderId="0" xfId="4" applyFont="1" applyFill="1"/>
    <xf numFmtId="0" fontId="0" fillId="0" borderId="0" xfId="0" applyAlignment="1">
      <alignment horizontal="center"/>
    </xf>
    <xf numFmtId="44" fontId="0" fillId="0" borderId="0" xfId="0" applyNumberFormat="1" applyAlignment="1">
      <alignment horizontal="center"/>
    </xf>
    <xf numFmtId="44" fontId="0" fillId="0" borderId="0" xfId="0" applyNumberFormat="1"/>
    <xf numFmtId="44" fontId="0" fillId="0" borderId="0" xfId="4" applyFont="1" applyFill="1" applyAlignment="1">
      <alignment horizontal="center"/>
    </xf>
    <xf numFmtId="0" fontId="6" fillId="0" borderId="0" xfId="0" applyFont="1"/>
    <xf numFmtId="0" fontId="0" fillId="0" borderId="0" xfId="0" applyAlignment="1">
      <alignment vertical="top" wrapText="1"/>
    </xf>
    <xf numFmtId="0" fontId="2" fillId="2" borderId="0" xfId="0" applyFont="1" applyFill="1"/>
    <xf numFmtId="44" fontId="3" fillId="0" borderId="0" xfId="1" applyNumberFormat="1" applyFont="1"/>
    <xf numFmtId="0" fontId="3" fillId="0" borderId="0" xfId="1" applyFont="1"/>
    <xf numFmtId="17" fontId="3" fillId="0" borderId="0" xfId="1" applyNumberFormat="1" applyFill="1" applyAlignment="1">
      <alignment horizontal="left" indent="1"/>
    </xf>
    <xf numFmtId="0" fontId="3" fillId="0" borderId="0" xfId="1" applyFill="1"/>
    <xf numFmtId="0" fontId="3" fillId="0" borderId="0" xfId="1" applyFont="1" applyAlignment="1">
      <alignment horizontal="center"/>
    </xf>
    <xf numFmtId="0" fontId="8" fillId="0" borderId="0" xfId="1" applyFont="1" applyAlignment="1">
      <alignment horizontal="center"/>
    </xf>
    <xf numFmtId="44" fontId="3" fillId="0" borderId="1" xfId="1" applyNumberFormat="1" applyFont="1" applyBorder="1"/>
    <xf numFmtId="44" fontId="4" fillId="3" borderId="0" xfId="2" applyFont="1" applyFill="1"/>
    <xf numFmtId="0" fontId="4" fillId="3" borderId="0" xfId="1" applyFont="1" applyFill="1"/>
    <xf numFmtId="44" fontId="3" fillId="0" borderId="1" xfId="2" applyFont="1" applyBorder="1" applyAlignment="1">
      <alignment horizontal="center"/>
    </xf>
    <xf numFmtId="0" fontId="3" fillId="0" borderId="0" xfId="1" applyFont="1" applyFill="1"/>
    <xf numFmtId="0" fontId="0" fillId="0" borderId="0" xfId="0" applyFill="1" applyAlignment="1">
      <alignment horizontal="left" indent="1"/>
    </xf>
    <xf numFmtId="0" fontId="0" fillId="0" borderId="0" xfId="0" applyFill="1"/>
    <xf numFmtId="44" fontId="0" fillId="0" borderId="0" xfId="0" applyNumberFormat="1" applyFill="1"/>
    <xf numFmtId="44" fontId="0" fillId="0" borderId="0" xfId="0" applyNumberFormat="1" applyAlignment="1">
      <alignment vertical="top"/>
    </xf>
    <xf numFmtId="0" fontId="0" fillId="0" borderId="1" xfId="0" applyFill="1" applyBorder="1" applyAlignment="1">
      <alignment horizontal="center"/>
    </xf>
    <xf numFmtId="44" fontId="3" fillId="0" borderId="0" xfId="1" applyNumberFormat="1" applyFont="1" applyFill="1"/>
    <xf numFmtId="0" fontId="8" fillId="0" borderId="0" xfId="1" applyFont="1" applyAlignment="1">
      <alignment horizontal="right"/>
    </xf>
    <xf numFmtId="10" fontId="0" fillId="0" borderId="0" xfId="5" applyNumberFormat="1" applyFont="1" applyAlignment="1">
      <alignment horizontal="center"/>
    </xf>
    <xf numFmtId="0" fontId="3" fillId="0" borderId="0" xfId="1" applyFill="1" applyAlignment="1">
      <alignment horizontal="center"/>
    </xf>
    <xf numFmtId="0" fontId="3" fillId="0" borderId="1" xfId="1" applyFill="1" applyBorder="1" applyAlignment="1">
      <alignment horizontal="center"/>
    </xf>
    <xf numFmtId="44" fontId="3" fillId="0" borderId="0" xfId="1" applyNumberFormat="1" applyFill="1"/>
    <xf numFmtId="0" fontId="2" fillId="0" borderId="0" xfId="0" applyFont="1" applyFill="1" applyAlignment="1">
      <alignment horizontal="left"/>
    </xf>
    <xf numFmtId="0" fontId="2" fillId="0" borderId="0" xfId="0" applyFont="1" applyFill="1"/>
    <xf numFmtId="0" fontId="4" fillId="0" borderId="0" xfId="1" applyFont="1" applyFill="1" applyAlignment="1">
      <alignment horizontal="right"/>
    </xf>
    <xf numFmtId="0" fontId="3" fillId="0" borderId="0" xfId="1" applyAlignment="1">
      <alignment horizontal="center"/>
    </xf>
    <xf numFmtId="0" fontId="0" fillId="0" borderId="0" xfId="0" applyAlignment="1">
      <alignment vertical="top" wrapText="1"/>
    </xf>
    <xf numFmtId="0" fontId="2" fillId="0" borderId="0" xfId="0" applyFont="1" applyAlignment="1">
      <alignment wrapText="1"/>
    </xf>
    <xf numFmtId="0" fontId="0" fillId="0" borderId="0" xfId="0" applyAlignment="1">
      <alignment wrapText="1"/>
    </xf>
  </cellXfs>
  <cellStyles count="6">
    <cellStyle name="Comma 3" xfId="3" xr:uid="{FE2F1518-896A-481D-A3EA-F7F444F192CD}"/>
    <cellStyle name="Currency" xfId="4" builtinId="4"/>
    <cellStyle name="Currency 2" xfId="2" xr:uid="{FA92E600-007D-4F38-B813-65EC20F6316C}"/>
    <cellStyle name="Normal" xfId="0" builtinId="0"/>
    <cellStyle name="Normal 2 2" xfId="1" xr:uid="{DF80B948-2C24-4140-80EE-FF3871120ACE}"/>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30492B6-3646-4E0B-83B6-62CE4153DF35}" mc:Ignorable="x14ac xr xr2 xr3">
  <x:sheetPr codeName="Sheet6"/>
  <x:dimension ref="A1:W141"/>
  <x:sheetViews>
    <x:sheetView tabSelected="1" view="pageBreakPreview" topLeftCell="A40" zoomScale="60" zoomScaleNormal="100" workbookViewId="0">
      <x:selection activeCell="G55" sqref="G55"/>
    </x:sheetView>
  </x:sheetViews>
  <x:sheetFormatPr defaultColWidth="9.1796875" defaultRowHeight="12.5" x14ac:dyDescent="0.25"/>
  <x:cols>
    <x:col min="1" max="1" width="33.1796875" style="3" customWidth="1"/>
    <x:col min="2" max="2" width="59.54296875" style="3" bestFit="1" customWidth="1"/>
    <x:col min="3" max="3" width="23.26953125" style="3" bestFit="1" customWidth="1"/>
    <x:col min="4" max="4" width="18" style="3" customWidth="1"/>
    <x:col min="5" max="5" width="48.6328125" style="3" customWidth="1"/>
    <x:col min="6" max="6" width="16.54296875" style="3" bestFit="1" customWidth="1"/>
    <x:col min="7" max="7" width="58.26953125" style="3" bestFit="1" customWidth="1"/>
    <x:col min="8" max="8" width="13.08984375" style="3" customWidth="1"/>
    <x:col min="9" max="256" width="9.1796875" style="3"/>
    <x:col min="257" max="257" width="3" style="3" bestFit="1" customWidth="1"/>
    <x:col min="258" max="258" width="59.54296875" style="3" bestFit="1" customWidth="1"/>
    <x:col min="259" max="259" width="23.26953125" style="3" bestFit="1" customWidth="1"/>
    <x:col min="260" max="260" width="14" style="3" bestFit="1" customWidth="1"/>
    <x:col min="261" max="261" width="47" style="3" bestFit="1" customWidth="1"/>
    <x:col min="262" max="262" width="16.54296875" style="3" bestFit="1" customWidth="1"/>
    <x:col min="263" max="263" width="58.26953125" style="3" bestFit="1" customWidth="1"/>
    <x:col min="264" max="512" width="9.1796875" style="3"/>
    <x:col min="513" max="513" width="3" style="3" bestFit="1" customWidth="1"/>
    <x:col min="514" max="514" width="59.54296875" style="3" bestFit="1" customWidth="1"/>
    <x:col min="515" max="515" width="23.26953125" style="3" bestFit="1" customWidth="1"/>
    <x:col min="516" max="516" width="14" style="3" bestFit="1" customWidth="1"/>
    <x:col min="517" max="517" width="47" style="3" bestFit="1" customWidth="1"/>
    <x:col min="518" max="518" width="16.54296875" style="3" bestFit="1" customWidth="1"/>
    <x:col min="519" max="519" width="58.26953125" style="3" bestFit="1" customWidth="1"/>
    <x:col min="520" max="768" width="9.1796875" style="3"/>
    <x:col min="769" max="769" width="3" style="3" bestFit="1" customWidth="1"/>
    <x:col min="770" max="770" width="59.54296875" style="3" bestFit="1" customWidth="1"/>
    <x:col min="771" max="771" width="23.26953125" style="3" bestFit="1" customWidth="1"/>
    <x:col min="772" max="772" width="14" style="3" bestFit="1" customWidth="1"/>
    <x:col min="773" max="773" width="47" style="3" bestFit="1" customWidth="1"/>
    <x:col min="774" max="774" width="16.54296875" style="3" bestFit="1" customWidth="1"/>
    <x:col min="775" max="775" width="58.26953125" style="3" bestFit="1" customWidth="1"/>
    <x:col min="776" max="1024" width="9.1796875" style="3"/>
    <x:col min="1025" max="1025" width="3" style="3" bestFit="1" customWidth="1"/>
    <x:col min="1026" max="1026" width="59.54296875" style="3" bestFit="1" customWidth="1"/>
    <x:col min="1027" max="1027" width="23.26953125" style="3" bestFit="1" customWidth="1"/>
    <x:col min="1028" max="1028" width="14" style="3" bestFit="1" customWidth="1"/>
    <x:col min="1029" max="1029" width="47" style="3" bestFit="1" customWidth="1"/>
    <x:col min="1030" max="1030" width="16.54296875" style="3" bestFit="1" customWidth="1"/>
    <x:col min="1031" max="1031" width="58.26953125" style="3" bestFit="1" customWidth="1"/>
    <x:col min="1032" max="1280" width="9.1796875" style="3"/>
    <x:col min="1281" max="1281" width="3" style="3" bestFit="1" customWidth="1"/>
    <x:col min="1282" max="1282" width="59.54296875" style="3" bestFit="1" customWidth="1"/>
    <x:col min="1283" max="1283" width="23.26953125" style="3" bestFit="1" customWidth="1"/>
    <x:col min="1284" max="1284" width="14" style="3" bestFit="1" customWidth="1"/>
    <x:col min="1285" max="1285" width="47" style="3" bestFit="1" customWidth="1"/>
    <x:col min="1286" max="1286" width="16.54296875" style="3" bestFit="1" customWidth="1"/>
    <x:col min="1287" max="1287" width="58.26953125" style="3" bestFit="1" customWidth="1"/>
    <x:col min="1288" max="1536" width="9.1796875" style="3"/>
    <x:col min="1537" max="1537" width="3" style="3" bestFit="1" customWidth="1"/>
    <x:col min="1538" max="1538" width="59.54296875" style="3" bestFit="1" customWidth="1"/>
    <x:col min="1539" max="1539" width="23.26953125" style="3" bestFit="1" customWidth="1"/>
    <x:col min="1540" max="1540" width="14" style="3" bestFit="1" customWidth="1"/>
    <x:col min="1541" max="1541" width="47" style="3" bestFit="1" customWidth="1"/>
    <x:col min="1542" max="1542" width="16.54296875" style="3" bestFit="1" customWidth="1"/>
    <x:col min="1543" max="1543" width="58.26953125" style="3" bestFit="1" customWidth="1"/>
    <x:col min="1544" max="1792" width="9.1796875" style="3"/>
    <x:col min="1793" max="1793" width="3" style="3" bestFit="1" customWidth="1"/>
    <x:col min="1794" max="1794" width="59.54296875" style="3" bestFit="1" customWidth="1"/>
    <x:col min="1795" max="1795" width="23.26953125" style="3" bestFit="1" customWidth="1"/>
    <x:col min="1796" max="1796" width="14" style="3" bestFit="1" customWidth="1"/>
    <x:col min="1797" max="1797" width="47" style="3" bestFit="1" customWidth="1"/>
    <x:col min="1798" max="1798" width="16.54296875" style="3" bestFit="1" customWidth="1"/>
    <x:col min="1799" max="1799" width="58.26953125" style="3" bestFit="1" customWidth="1"/>
    <x:col min="1800" max="2048" width="9.1796875" style="3"/>
    <x:col min="2049" max="2049" width="3" style="3" bestFit="1" customWidth="1"/>
    <x:col min="2050" max="2050" width="59.54296875" style="3" bestFit="1" customWidth="1"/>
    <x:col min="2051" max="2051" width="23.26953125" style="3" bestFit="1" customWidth="1"/>
    <x:col min="2052" max="2052" width="14" style="3" bestFit="1" customWidth="1"/>
    <x:col min="2053" max="2053" width="47" style="3" bestFit="1" customWidth="1"/>
    <x:col min="2054" max="2054" width="16.54296875" style="3" bestFit="1" customWidth="1"/>
    <x:col min="2055" max="2055" width="58.26953125" style="3" bestFit="1" customWidth="1"/>
    <x:col min="2056" max="2304" width="9.1796875" style="3"/>
    <x:col min="2305" max="2305" width="3" style="3" bestFit="1" customWidth="1"/>
    <x:col min="2306" max="2306" width="59.54296875" style="3" bestFit="1" customWidth="1"/>
    <x:col min="2307" max="2307" width="23.26953125" style="3" bestFit="1" customWidth="1"/>
    <x:col min="2308" max="2308" width="14" style="3" bestFit="1" customWidth="1"/>
    <x:col min="2309" max="2309" width="47" style="3" bestFit="1" customWidth="1"/>
    <x:col min="2310" max="2310" width="16.54296875" style="3" bestFit="1" customWidth="1"/>
    <x:col min="2311" max="2311" width="58.26953125" style="3" bestFit="1" customWidth="1"/>
    <x:col min="2312" max="2560" width="9.1796875" style="3"/>
    <x:col min="2561" max="2561" width="3" style="3" bestFit="1" customWidth="1"/>
    <x:col min="2562" max="2562" width="59.54296875" style="3" bestFit="1" customWidth="1"/>
    <x:col min="2563" max="2563" width="23.26953125" style="3" bestFit="1" customWidth="1"/>
    <x:col min="2564" max="2564" width="14" style="3" bestFit="1" customWidth="1"/>
    <x:col min="2565" max="2565" width="47" style="3" bestFit="1" customWidth="1"/>
    <x:col min="2566" max="2566" width="16.54296875" style="3" bestFit="1" customWidth="1"/>
    <x:col min="2567" max="2567" width="58.26953125" style="3" bestFit="1" customWidth="1"/>
    <x:col min="2568" max="2816" width="9.1796875" style="3"/>
    <x:col min="2817" max="2817" width="3" style="3" bestFit="1" customWidth="1"/>
    <x:col min="2818" max="2818" width="59.54296875" style="3" bestFit="1" customWidth="1"/>
    <x:col min="2819" max="2819" width="23.26953125" style="3" bestFit="1" customWidth="1"/>
    <x:col min="2820" max="2820" width="14" style="3" bestFit="1" customWidth="1"/>
    <x:col min="2821" max="2821" width="47" style="3" bestFit="1" customWidth="1"/>
    <x:col min="2822" max="2822" width="16.54296875" style="3" bestFit="1" customWidth="1"/>
    <x:col min="2823" max="2823" width="58.26953125" style="3" bestFit="1" customWidth="1"/>
    <x:col min="2824" max="3072" width="9.1796875" style="3"/>
    <x:col min="3073" max="3073" width="3" style="3" bestFit="1" customWidth="1"/>
    <x:col min="3074" max="3074" width="59.54296875" style="3" bestFit="1" customWidth="1"/>
    <x:col min="3075" max="3075" width="23.26953125" style="3" bestFit="1" customWidth="1"/>
    <x:col min="3076" max="3076" width="14" style="3" bestFit="1" customWidth="1"/>
    <x:col min="3077" max="3077" width="47" style="3" bestFit="1" customWidth="1"/>
    <x:col min="3078" max="3078" width="16.54296875" style="3" bestFit="1" customWidth="1"/>
    <x:col min="3079" max="3079" width="58.26953125" style="3" bestFit="1" customWidth="1"/>
    <x:col min="3080" max="3328" width="9.1796875" style="3"/>
    <x:col min="3329" max="3329" width="3" style="3" bestFit="1" customWidth="1"/>
    <x:col min="3330" max="3330" width="59.54296875" style="3" bestFit="1" customWidth="1"/>
    <x:col min="3331" max="3331" width="23.26953125" style="3" bestFit="1" customWidth="1"/>
    <x:col min="3332" max="3332" width="14" style="3" bestFit="1" customWidth="1"/>
    <x:col min="3333" max="3333" width="47" style="3" bestFit="1" customWidth="1"/>
    <x:col min="3334" max="3334" width="16.54296875" style="3" bestFit="1" customWidth="1"/>
    <x:col min="3335" max="3335" width="58.26953125" style="3" bestFit="1" customWidth="1"/>
    <x:col min="3336" max="3584" width="9.1796875" style="3"/>
    <x:col min="3585" max="3585" width="3" style="3" bestFit="1" customWidth="1"/>
    <x:col min="3586" max="3586" width="59.54296875" style="3" bestFit="1" customWidth="1"/>
    <x:col min="3587" max="3587" width="23.26953125" style="3" bestFit="1" customWidth="1"/>
    <x:col min="3588" max="3588" width="14" style="3" bestFit="1" customWidth="1"/>
    <x:col min="3589" max="3589" width="47" style="3" bestFit="1" customWidth="1"/>
    <x:col min="3590" max="3590" width="16.54296875" style="3" bestFit="1" customWidth="1"/>
    <x:col min="3591" max="3591" width="58.26953125" style="3" bestFit="1" customWidth="1"/>
    <x:col min="3592" max="3840" width="9.1796875" style="3"/>
    <x:col min="3841" max="3841" width="3" style="3" bestFit="1" customWidth="1"/>
    <x:col min="3842" max="3842" width="59.54296875" style="3" bestFit="1" customWidth="1"/>
    <x:col min="3843" max="3843" width="23.26953125" style="3" bestFit="1" customWidth="1"/>
    <x:col min="3844" max="3844" width="14" style="3" bestFit="1" customWidth="1"/>
    <x:col min="3845" max="3845" width="47" style="3" bestFit="1" customWidth="1"/>
    <x:col min="3846" max="3846" width="16.54296875" style="3" bestFit="1" customWidth="1"/>
    <x:col min="3847" max="3847" width="58.26953125" style="3" bestFit="1" customWidth="1"/>
    <x:col min="3848" max="4096" width="9.1796875" style="3"/>
    <x:col min="4097" max="4097" width="3" style="3" bestFit="1" customWidth="1"/>
    <x:col min="4098" max="4098" width="59.54296875" style="3" bestFit="1" customWidth="1"/>
    <x:col min="4099" max="4099" width="23.26953125" style="3" bestFit="1" customWidth="1"/>
    <x:col min="4100" max="4100" width="14" style="3" bestFit="1" customWidth="1"/>
    <x:col min="4101" max="4101" width="47" style="3" bestFit="1" customWidth="1"/>
    <x:col min="4102" max="4102" width="16.54296875" style="3" bestFit="1" customWidth="1"/>
    <x:col min="4103" max="4103" width="58.26953125" style="3" bestFit="1" customWidth="1"/>
    <x:col min="4104" max="4352" width="9.1796875" style="3"/>
    <x:col min="4353" max="4353" width="3" style="3" bestFit="1" customWidth="1"/>
    <x:col min="4354" max="4354" width="59.54296875" style="3" bestFit="1" customWidth="1"/>
    <x:col min="4355" max="4355" width="23.26953125" style="3" bestFit="1" customWidth="1"/>
    <x:col min="4356" max="4356" width="14" style="3" bestFit="1" customWidth="1"/>
    <x:col min="4357" max="4357" width="47" style="3" bestFit="1" customWidth="1"/>
    <x:col min="4358" max="4358" width="16.54296875" style="3" bestFit="1" customWidth="1"/>
    <x:col min="4359" max="4359" width="58.26953125" style="3" bestFit="1" customWidth="1"/>
    <x:col min="4360" max="4608" width="9.1796875" style="3"/>
    <x:col min="4609" max="4609" width="3" style="3" bestFit="1" customWidth="1"/>
    <x:col min="4610" max="4610" width="59.54296875" style="3" bestFit="1" customWidth="1"/>
    <x:col min="4611" max="4611" width="23.26953125" style="3" bestFit="1" customWidth="1"/>
    <x:col min="4612" max="4612" width="14" style="3" bestFit="1" customWidth="1"/>
    <x:col min="4613" max="4613" width="47" style="3" bestFit="1" customWidth="1"/>
    <x:col min="4614" max="4614" width="16.54296875" style="3" bestFit="1" customWidth="1"/>
    <x:col min="4615" max="4615" width="58.26953125" style="3" bestFit="1" customWidth="1"/>
    <x:col min="4616" max="4864" width="9.1796875" style="3"/>
    <x:col min="4865" max="4865" width="3" style="3" bestFit="1" customWidth="1"/>
    <x:col min="4866" max="4866" width="59.54296875" style="3" bestFit="1" customWidth="1"/>
    <x:col min="4867" max="4867" width="23.26953125" style="3" bestFit="1" customWidth="1"/>
    <x:col min="4868" max="4868" width="14" style="3" bestFit="1" customWidth="1"/>
    <x:col min="4869" max="4869" width="47" style="3" bestFit="1" customWidth="1"/>
    <x:col min="4870" max="4870" width="16.54296875" style="3" bestFit="1" customWidth="1"/>
    <x:col min="4871" max="4871" width="58.26953125" style="3" bestFit="1" customWidth="1"/>
    <x:col min="4872" max="5120" width="9.1796875" style="3"/>
    <x:col min="5121" max="5121" width="3" style="3" bestFit="1" customWidth="1"/>
    <x:col min="5122" max="5122" width="59.54296875" style="3" bestFit="1" customWidth="1"/>
    <x:col min="5123" max="5123" width="23.26953125" style="3" bestFit="1" customWidth="1"/>
    <x:col min="5124" max="5124" width="14" style="3" bestFit="1" customWidth="1"/>
    <x:col min="5125" max="5125" width="47" style="3" bestFit="1" customWidth="1"/>
    <x:col min="5126" max="5126" width="16.54296875" style="3" bestFit="1" customWidth="1"/>
    <x:col min="5127" max="5127" width="58.26953125" style="3" bestFit="1" customWidth="1"/>
    <x:col min="5128" max="5376" width="9.1796875" style="3"/>
    <x:col min="5377" max="5377" width="3" style="3" bestFit="1" customWidth="1"/>
    <x:col min="5378" max="5378" width="59.54296875" style="3" bestFit="1" customWidth="1"/>
    <x:col min="5379" max="5379" width="23.26953125" style="3" bestFit="1" customWidth="1"/>
    <x:col min="5380" max="5380" width="14" style="3" bestFit="1" customWidth="1"/>
    <x:col min="5381" max="5381" width="47" style="3" bestFit="1" customWidth="1"/>
    <x:col min="5382" max="5382" width="16.54296875" style="3" bestFit="1" customWidth="1"/>
    <x:col min="5383" max="5383" width="58.26953125" style="3" bestFit="1" customWidth="1"/>
    <x:col min="5384" max="5632" width="9.1796875" style="3"/>
    <x:col min="5633" max="5633" width="3" style="3" bestFit="1" customWidth="1"/>
    <x:col min="5634" max="5634" width="59.54296875" style="3" bestFit="1" customWidth="1"/>
    <x:col min="5635" max="5635" width="23.26953125" style="3" bestFit="1" customWidth="1"/>
    <x:col min="5636" max="5636" width="14" style="3" bestFit="1" customWidth="1"/>
    <x:col min="5637" max="5637" width="47" style="3" bestFit="1" customWidth="1"/>
    <x:col min="5638" max="5638" width="16.54296875" style="3" bestFit="1" customWidth="1"/>
    <x:col min="5639" max="5639" width="58.26953125" style="3" bestFit="1" customWidth="1"/>
    <x:col min="5640" max="5888" width="9.1796875" style="3"/>
    <x:col min="5889" max="5889" width="3" style="3" bestFit="1" customWidth="1"/>
    <x:col min="5890" max="5890" width="59.54296875" style="3" bestFit="1" customWidth="1"/>
    <x:col min="5891" max="5891" width="23.26953125" style="3" bestFit="1" customWidth="1"/>
    <x:col min="5892" max="5892" width="14" style="3" bestFit="1" customWidth="1"/>
    <x:col min="5893" max="5893" width="47" style="3" bestFit="1" customWidth="1"/>
    <x:col min="5894" max="5894" width="16.54296875" style="3" bestFit="1" customWidth="1"/>
    <x:col min="5895" max="5895" width="58.26953125" style="3" bestFit="1" customWidth="1"/>
    <x:col min="5896" max="6144" width="9.1796875" style="3"/>
    <x:col min="6145" max="6145" width="3" style="3" bestFit="1" customWidth="1"/>
    <x:col min="6146" max="6146" width="59.54296875" style="3" bestFit="1" customWidth="1"/>
    <x:col min="6147" max="6147" width="23.26953125" style="3" bestFit="1" customWidth="1"/>
    <x:col min="6148" max="6148" width="14" style="3" bestFit="1" customWidth="1"/>
    <x:col min="6149" max="6149" width="47" style="3" bestFit="1" customWidth="1"/>
    <x:col min="6150" max="6150" width="16.54296875" style="3" bestFit="1" customWidth="1"/>
    <x:col min="6151" max="6151" width="58.26953125" style="3" bestFit="1" customWidth="1"/>
    <x:col min="6152" max="6400" width="9.1796875" style="3"/>
    <x:col min="6401" max="6401" width="3" style="3" bestFit="1" customWidth="1"/>
    <x:col min="6402" max="6402" width="59.54296875" style="3" bestFit="1" customWidth="1"/>
    <x:col min="6403" max="6403" width="23.26953125" style="3" bestFit="1" customWidth="1"/>
    <x:col min="6404" max="6404" width="14" style="3" bestFit="1" customWidth="1"/>
    <x:col min="6405" max="6405" width="47" style="3" bestFit="1" customWidth="1"/>
    <x:col min="6406" max="6406" width="16.54296875" style="3" bestFit="1" customWidth="1"/>
    <x:col min="6407" max="6407" width="58.26953125" style="3" bestFit="1" customWidth="1"/>
    <x:col min="6408" max="6656" width="9.1796875" style="3"/>
    <x:col min="6657" max="6657" width="3" style="3" bestFit="1" customWidth="1"/>
    <x:col min="6658" max="6658" width="59.54296875" style="3" bestFit="1" customWidth="1"/>
    <x:col min="6659" max="6659" width="23.26953125" style="3" bestFit="1" customWidth="1"/>
    <x:col min="6660" max="6660" width="14" style="3" bestFit="1" customWidth="1"/>
    <x:col min="6661" max="6661" width="47" style="3" bestFit="1" customWidth="1"/>
    <x:col min="6662" max="6662" width="16.54296875" style="3" bestFit="1" customWidth="1"/>
    <x:col min="6663" max="6663" width="58.26953125" style="3" bestFit="1" customWidth="1"/>
    <x:col min="6664" max="6912" width="9.1796875" style="3"/>
    <x:col min="6913" max="6913" width="3" style="3" bestFit="1" customWidth="1"/>
    <x:col min="6914" max="6914" width="59.54296875" style="3" bestFit="1" customWidth="1"/>
    <x:col min="6915" max="6915" width="23.26953125" style="3" bestFit="1" customWidth="1"/>
    <x:col min="6916" max="6916" width="14" style="3" bestFit="1" customWidth="1"/>
    <x:col min="6917" max="6917" width="47" style="3" bestFit="1" customWidth="1"/>
    <x:col min="6918" max="6918" width="16.54296875" style="3" bestFit="1" customWidth="1"/>
    <x:col min="6919" max="6919" width="58.26953125" style="3" bestFit="1" customWidth="1"/>
    <x:col min="6920" max="7168" width="9.1796875" style="3"/>
    <x:col min="7169" max="7169" width="3" style="3" bestFit="1" customWidth="1"/>
    <x:col min="7170" max="7170" width="59.54296875" style="3" bestFit="1" customWidth="1"/>
    <x:col min="7171" max="7171" width="23.26953125" style="3" bestFit="1" customWidth="1"/>
    <x:col min="7172" max="7172" width="14" style="3" bestFit="1" customWidth="1"/>
    <x:col min="7173" max="7173" width="47" style="3" bestFit="1" customWidth="1"/>
    <x:col min="7174" max="7174" width="16.54296875" style="3" bestFit="1" customWidth="1"/>
    <x:col min="7175" max="7175" width="58.26953125" style="3" bestFit="1" customWidth="1"/>
    <x:col min="7176" max="7424" width="9.1796875" style="3"/>
    <x:col min="7425" max="7425" width="3" style="3" bestFit="1" customWidth="1"/>
    <x:col min="7426" max="7426" width="59.54296875" style="3" bestFit="1" customWidth="1"/>
    <x:col min="7427" max="7427" width="23.26953125" style="3" bestFit="1" customWidth="1"/>
    <x:col min="7428" max="7428" width="14" style="3" bestFit="1" customWidth="1"/>
    <x:col min="7429" max="7429" width="47" style="3" bestFit="1" customWidth="1"/>
    <x:col min="7430" max="7430" width="16.54296875" style="3" bestFit="1" customWidth="1"/>
    <x:col min="7431" max="7431" width="58.26953125" style="3" bestFit="1" customWidth="1"/>
    <x:col min="7432" max="7680" width="9.1796875" style="3"/>
    <x:col min="7681" max="7681" width="3" style="3" bestFit="1" customWidth="1"/>
    <x:col min="7682" max="7682" width="59.54296875" style="3" bestFit="1" customWidth="1"/>
    <x:col min="7683" max="7683" width="23.26953125" style="3" bestFit="1" customWidth="1"/>
    <x:col min="7684" max="7684" width="14" style="3" bestFit="1" customWidth="1"/>
    <x:col min="7685" max="7685" width="47" style="3" bestFit="1" customWidth="1"/>
    <x:col min="7686" max="7686" width="16.54296875" style="3" bestFit="1" customWidth="1"/>
    <x:col min="7687" max="7687" width="58.26953125" style="3" bestFit="1" customWidth="1"/>
    <x:col min="7688" max="7936" width="9.1796875" style="3"/>
    <x:col min="7937" max="7937" width="3" style="3" bestFit="1" customWidth="1"/>
    <x:col min="7938" max="7938" width="59.54296875" style="3" bestFit="1" customWidth="1"/>
    <x:col min="7939" max="7939" width="23.26953125" style="3" bestFit="1" customWidth="1"/>
    <x:col min="7940" max="7940" width="14" style="3" bestFit="1" customWidth="1"/>
    <x:col min="7941" max="7941" width="47" style="3" bestFit="1" customWidth="1"/>
    <x:col min="7942" max="7942" width="16.54296875" style="3" bestFit="1" customWidth="1"/>
    <x:col min="7943" max="7943" width="58.26953125" style="3" bestFit="1" customWidth="1"/>
    <x:col min="7944" max="8192" width="9.1796875" style="3"/>
    <x:col min="8193" max="8193" width="3" style="3" bestFit="1" customWidth="1"/>
    <x:col min="8194" max="8194" width="59.54296875" style="3" bestFit="1" customWidth="1"/>
    <x:col min="8195" max="8195" width="23.26953125" style="3" bestFit="1" customWidth="1"/>
    <x:col min="8196" max="8196" width="14" style="3" bestFit="1" customWidth="1"/>
    <x:col min="8197" max="8197" width="47" style="3" bestFit="1" customWidth="1"/>
    <x:col min="8198" max="8198" width="16.54296875" style="3" bestFit="1" customWidth="1"/>
    <x:col min="8199" max="8199" width="58.26953125" style="3" bestFit="1" customWidth="1"/>
    <x:col min="8200" max="8448" width="9.1796875" style="3"/>
    <x:col min="8449" max="8449" width="3" style="3" bestFit="1" customWidth="1"/>
    <x:col min="8450" max="8450" width="59.54296875" style="3" bestFit="1" customWidth="1"/>
    <x:col min="8451" max="8451" width="23.26953125" style="3" bestFit="1" customWidth="1"/>
    <x:col min="8452" max="8452" width="14" style="3" bestFit="1" customWidth="1"/>
    <x:col min="8453" max="8453" width="47" style="3" bestFit="1" customWidth="1"/>
    <x:col min="8454" max="8454" width="16.54296875" style="3" bestFit="1" customWidth="1"/>
    <x:col min="8455" max="8455" width="58.26953125" style="3" bestFit="1" customWidth="1"/>
    <x:col min="8456" max="8704" width="9.1796875" style="3"/>
    <x:col min="8705" max="8705" width="3" style="3" bestFit="1" customWidth="1"/>
    <x:col min="8706" max="8706" width="59.54296875" style="3" bestFit="1" customWidth="1"/>
    <x:col min="8707" max="8707" width="23.26953125" style="3" bestFit="1" customWidth="1"/>
    <x:col min="8708" max="8708" width="14" style="3" bestFit="1" customWidth="1"/>
    <x:col min="8709" max="8709" width="47" style="3" bestFit="1" customWidth="1"/>
    <x:col min="8710" max="8710" width="16.54296875" style="3" bestFit="1" customWidth="1"/>
    <x:col min="8711" max="8711" width="58.26953125" style="3" bestFit="1" customWidth="1"/>
    <x:col min="8712" max="8960" width="9.1796875" style="3"/>
    <x:col min="8961" max="8961" width="3" style="3" bestFit="1" customWidth="1"/>
    <x:col min="8962" max="8962" width="59.54296875" style="3" bestFit="1" customWidth="1"/>
    <x:col min="8963" max="8963" width="23.26953125" style="3" bestFit="1" customWidth="1"/>
    <x:col min="8964" max="8964" width="14" style="3" bestFit="1" customWidth="1"/>
    <x:col min="8965" max="8965" width="47" style="3" bestFit="1" customWidth="1"/>
    <x:col min="8966" max="8966" width="16.54296875" style="3" bestFit="1" customWidth="1"/>
    <x:col min="8967" max="8967" width="58.26953125" style="3" bestFit="1" customWidth="1"/>
    <x:col min="8968" max="9216" width="9.1796875" style="3"/>
    <x:col min="9217" max="9217" width="3" style="3" bestFit="1" customWidth="1"/>
    <x:col min="9218" max="9218" width="59.54296875" style="3" bestFit="1" customWidth="1"/>
    <x:col min="9219" max="9219" width="23.26953125" style="3" bestFit="1" customWidth="1"/>
    <x:col min="9220" max="9220" width="14" style="3" bestFit="1" customWidth="1"/>
    <x:col min="9221" max="9221" width="47" style="3" bestFit="1" customWidth="1"/>
    <x:col min="9222" max="9222" width="16.54296875" style="3" bestFit="1" customWidth="1"/>
    <x:col min="9223" max="9223" width="58.26953125" style="3" bestFit="1" customWidth="1"/>
    <x:col min="9224" max="9472" width="9.1796875" style="3"/>
    <x:col min="9473" max="9473" width="3" style="3" bestFit="1" customWidth="1"/>
    <x:col min="9474" max="9474" width="59.54296875" style="3" bestFit="1" customWidth="1"/>
    <x:col min="9475" max="9475" width="23.26953125" style="3" bestFit="1" customWidth="1"/>
    <x:col min="9476" max="9476" width="14" style="3" bestFit="1" customWidth="1"/>
    <x:col min="9477" max="9477" width="47" style="3" bestFit="1" customWidth="1"/>
    <x:col min="9478" max="9478" width="16.54296875" style="3" bestFit="1" customWidth="1"/>
    <x:col min="9479" max="9479" width="58.26953125" style="3" bestFit="1" customWidth="1"/>
    <x:col min="9480" max="9728" width="9.1796875" style="3"/>
    <x:col min="9729" max="9729" width="3" style="3" bestFit="1" customWidth="1"/>
    <x:col min="9730" max="9730" width="59.54296875" style="3" bestFit="1" customWidth="1"/>
    <x:col min="9731" max="9731" width="23.26953125" style="3" bestFit="1" customWidth="1"/>
    <x:col min="9732" max="9732" width="14" style="3" bestFit="1" customWidth="1"/>
    <x:col min="9733" max="9733" width="47" style="3" bestFit="1" customWidth="1"/>
    <x:col min="9734" max="9734" width="16.54296875" style="3" bestFit="1" customWidth="1"/>
    <x:col min="9735" max="9735" width="58.26953125" style="3" bestFit="1" customWidth="1"/>
    <x:col min="9736" max="9984" width="9.1796875" style="3"/>
    <x:col min="9985" max="9985" width="3" style="3" bestFit="1" customWidth="1"/>
    <x:col min="9986" max="9986" width="59.54296875" style="3" bestFit="1" customWidth="1"/>
    <x:col min="9987" max="9987" width="23.26953125" style="3" bestFit="1" customWidth="1"/>
    <x:col min="9988" max="9988" width="14" style="3" bestFit="1" customWidth="1"/>
    <x:col min="9989" max="9989" width="47" style="3" bestFit="1" customWidth="1"/>
    <x:col min="9990" max="9990" width="16.54296875" style="3" bestFit="1" customWidth="1"/>
    <x:col min="9991" max="9991" width="58.26953125" style="3" bestFit="1" customWidth="1"/>
    <x:col min="9992" max="10240" width="9.1796875" style="3"/>
    <x:col min="10241" max="10241" width="3" style="3" bestFit="1" customWidth="1"/>
    <x:col min="10242" max="10242" width="59.54296875" style="3" bestFit="1" customWidth="1"/>
    <x:col min="10243" max="10243" width="23.26953125" style="3" bestFit="1" customWidth="1"/>
    <x:col min="10244" max="10244" width="14" style="3" bestFit="1" customWidth="1"/>
    <x:col min="10245" max="10245" width="47" style="3" bestFit="1" customWidth="1"/>
    <x:col min="10246" max="10246" width="16.54296875" style="3" bestFit="1" customWidth="1"/>
    <x:col min="10247" max="10247" width="58.26953125" style="3" bestFit="1" customWidth="1"/>
    <x:col min="10248" max="10496" width="9.1796875" style="3"/>
    <x:col min="10497" max="10497" width="3" style="3" bestFit="1" customWidth="1"/>
    <x:col min="10498" max="10498" width="59.54296875" style="3" bestFit="1" customWidth="1"/>
    <x:col min="10499" max="10499" width="23.26953125" style="3" bestFit="1" customWidth="1"/>
    <x:col min="10500" max="10500" width="14" style="3" bestFit="1" customWidth="1"/>
    <x:col min="10501" max="10501" width="47" style="3" bestFit="1" customWidth="1"/>
    <x:col min="10502" max="10502" width="16.54296875" style="3" bestFit="1" customWidth="1"/>
    <x:col min="10503" max="10503" width="58.26953125" style="3" bestFit="1" customWidth="1"/>
    <x:col min="10504" max="10752" width="9.1796875" style="3"/>
    <x:col min="10753" max="10753" width="3" style="3" bestFit="1" customWidth="1"/>
    <x:col min="10754" max="10754" width="59.54296875" style="3" bestFit="1" customWidth="1"/>
    <x:col min="10755" max="10755" width="23.26953125" style="3" bestFit="1" customWidth="1"/>
    <x:col min="10756" max="10756" width="14" style="3" bestFit="1" customWidth="1"/>
    <x:col min="10757" max="10757" width="47" style="3" bestFit="1" customWidth="1"/>
    <x:col min="10758" max="10758" width="16.54296875" style="3" bestFit="1" customWidth="1"/>
    <x:col min="10759" max="10759" width="58.26953125" style="3" bestFit="1" customWidth="1"/>
    <x:col min="10760" max="11008" width="9.1796875" style="3"/>
    <x:col min="11009" max="11009" width="3" style="3" bestFit="1" customWidth="1"/>
    <x:col min="11010" max="11010" width="59.54296875" style="3" bestFit="1" customWidth="1"/>
    <x:col min="11011" max="11011" width="23.26953125" style="3" bestFit="1" customWidth="1"/>
    <x:col min="11012" max="11012" width="14" style="3" bestFit="1" customWidth="1"/>
    <x:col min="11013" max="11013" width="47" style="3" bestFit="1" customWidth="1"/>
    <x:col min="11014" max="11014" width="16.54296875" style="3" bestFit="1" customWidth="1"/>
    <x:col min="11015" max="11015" width="58.26953125" style="3" bestFit="1" customWidth="1"/>
    <x:col min="11016" max="11264" width="9.1796875" style="3"/>
    <x:col min="11265" max="11265" width="3" style="3" bestFit="1" customWidth="1"/>
    <x:col min="11266" max="11266" width="59.54296875" style="3" bestFit="1" customWidth="1"/>
    <x:col min="11267" max="11267" width="23.26953125" style="3" bestFit="1" customWidth="1"/>
    <x:col min="11268" max="11268" width="14" style="3" bestFit="1" customWidth="1"/>
    <x:col min="11269" max="11269" width="47" style="3" bestFit="1" customWidth="1"/>
    <x:col min="11270" max="11270" width="16.54296875" style="3" bestFit="1" customWidth="1"/>
    <x:col min="11271" max="11271" width="58.26953125" style="3" bestFit="1" customWidth="1"/>
    <x:col min="11272" max="11520" width="9.1796875" style="3"/>
    <x:col min="11521" max="11521" width="3" style="3" bestFit="1" customWidth="1"/>
    <x:col min="11522" max="11522" width="59.54296875" style="3" bestFit="1" customWidth="1"/>
    <x:col min="11523" max="11523" width="23.26953125" style="3" bestFit="1" customWidth="1"/>
    <x:col min="11524" max="11524" width="14" style="3" bestFit="1" customWidth="1"/>
    <x:col min="11525" max="11525" width="47" style="3" bestFit="1" customWidth="1"/>
    <x:col min="11526" max="11526" width="16.54296875" style="3" bestFit="1" customWidth="1"/>
    <x:col min="11527" max="11527" width="58.26953125" style="3" bestFit="1" customWidth="1"/>
    <x:col min="11528" max="11776" width="9.1796875" style="3"/>
    <x:col min="11777" max="11777" width="3" style="3" bestFit="1" customWidth="1"/>
    <x:col min="11778" max="11778" width="59.54296875" style="3" bestFit="1" customWidth="1"/>
    <x:col min="11779" max="11779" width="23.26953125" style="3" bestFit="1" customWidth="1"/>
    <x:col min="11780" max="11780" width="14" style="3" bestFit="1" customWidth="1"/>
    <x:col min="11781" max="11781" width="47" style="3" bestFit="1" customWidth="1"/>
    <x:col min="11782" max="11782" width="16.54296875" style="3" bestFit="1" customWidth="1"/>
    <x:col min="11783" max="11783" width="58.26953125" style="3" bestFit="1" customWidth="1"/>
    <x:col min="11784" max="12032" width="9.1796875" style="3"/>
    <x:col min="12033" max="12033" width="3" style="3" bestFit="1" customWidth="1"/>
    <x:col min="12034" max="12034" width="59.54296875" style="3" bestFit="1" customWidth="1"/>
    <x:col min="12035" max="12035" width="23.26953125" style="3" bestFit="1" customWidth="1"/>
    <x:col min="12036" max="12036" width="14" style="3" bestFit="1" customWidth="1"/>
    <x:col min="12037" max="12037" width="47" style="3" bestFit="1" customWidth="1"/>
    <x:col min="12038" max="12038" width="16.54296875" style="3" bestFit="1" customWidth="1"/>
    <x:col min="12039" max="12039" width="58.26953125" style="3" bestFit="1" customWidth="1"/>
    <x:col min="12040" max="12288" width="9.1796875" style="3"/>
    <x:col min="12289" max="12289" width="3" style="3" bestFit="1" customWidth="1"/>
    <x:col min="12290" max="12290" width="59.54296875" style="3" bestFit="1" customWidth="1"/>
    <x:col min="12291" max="12291" width="23.26953125" style="3" bestFit="1" customWidth="1"/>
    <x:col min="12292" max="12292" width="14" style="3" bestFit="1" customWidth="1"/>
    <x:col min="12293" max="12293" width="47" style="3" bestFit="1" customWidth="1"/>
    <x:col min="12294" max="12294" width="16.54296875" style="3" bestFit="1" customWidth="1"/>
    <x:col min="12295" max="12295" width="58.26953125" style="3" bestFit="1" customWidth="1"/>
    <x:col min="12296" max="12544" width="9.1796875" style="3"/>
    <x:col min="12545" max="12545" width="3" style="3" bestFit="1" customWidth="1"/>
    <x:col min="12546" max="12546" width="59.54296875" style="3" bestFit="1" customWidth="1"/>
    <x:col min="12547" max="12547" width="23.26953125" style="3" bestFit="1" customWidth="1"/>
    <x:col min="12548" max="12548" width="14" style="3" bestFit="1" customWidth="1"/>
    <x:col min="12549" max="12549" width="47" style="3" bestFit="1" customWidth="1"/>
    <x:col min="12550" max="12550" width="16.54296875" style="3" bestFit="1" customWidth="1"/>
    <x:col min="12551" max="12551" width="58.26953125" style="3" bestFit="1" customWidth="1"/>
    <x:col min="12552" max="12800" width="9.1796875" style="3"/>
    <x:col min="12801" max="12801" width="3" style="3" bestFit="1" customWidth="1"/>
    <x:col min="12802" max="12802" width="59.54296875" style="3" bestFit="1" customWidth="1"/>
    <x:col min="12803" max="12803" width="23.26953125" style="3" bestFit="1" customWidth="1"/>
    <x:col min="12804" max="12804" width="14" style="3" bestFit="1" customWidth="1"/>
    <x:col min="12805" max="12805" width="47" style="3" bestFit="1" customWidth="1"/>
    <x:col min="12806" max="12806" width="16.54296875" style="3" bestFit="1" customWidth="1"/>
    <x:col min="12807" max="12807" width="58.26953125" style="3" bestFit="1" customWidth="1"/>
    <x:col min="12808" max="13056" width="9.1796875" style="3"/>
    <x:col min="13057" max="13057" width="3" style="3" bestFit="1" customWidth="1"/>
    <x:col min="13058" max="13058" width="59.54296875" style="3" bestFit="1" customWidth="1"/>
    <x:col min="13059" max="13059" width="23.26953125" style="3" bestFit="1" customWidth="1"/>
    <x:col min="13060" max="13060" width="14" style="3" bestFit="1" customWidth="1"/>
    <x:col min="13061" max="13061" width="47" style="3" bestFit="1" customWidth="1"/>
    <x:col min="13062" max="13062" width="16.54296875" style="3" bestFit="1" customWidth="1"/>
    <x:col min="13063" max="13063" width="58.26953125" style="3" bestFit="1" customWidth="1"/>
    <x:col min="13064" max="13312" width="9.1796875" style="3"/>
    <x:col min="13313" max="13313" width="3" style="3" bestFit="1" customWidth="1"/>
    <x:col min="13314" max="13314" width="59.54296875" style="3" bestFit="1" customWidth="1"/>
    <x:col min="13315" max="13315" width="23.26953125" style="3" bestFit="1" customWidth="1"/>
    <x:col min="13316" max="13316" width="14" style="3" bestFit="1" customWidth="1"/>
    <x:col min="13317" max="13317" width="47" style="3" bestFit="1" customWidth="1"/>
    <x:col min="13318" max="13318" width="16.54296875" style="3" bestFit="1" customWidth="1"/>
    <x:col min="13319" max="13319" width="58.26953125" style="3" bestFit="1" customWidth="1"/>
    <x:col min="13320" max="13568" width="9.1796875" style="3"/>
    <x:col min="13569" max="13569" width="3" style="3" bestFit="1" customWidth="1"/>
    <x:col min="13570" max="13570" width="59.54296875" style="3" bestFit="1" customWidth="1"/>
    <x:col min="13571" max="13571" width="23.26953125" style="3" bestFit="1" customWidth="1"/>
    <x:col min="13572" max="13572" width="14" style="3" bestFit="1" customWidth="1"/>
    <x:col min="13573" max="13573" width="47" style="3" bestFit="1" customWidth="1"/>
    <x:col min="13574" max="13574" width="16.54296875" style="3" bestFit="1" customWidth="1"/>
    <x:col min="13575" max="13575" width="58.26953125" style="3" bestFit="1" customWidth="1"/>
    <x:col min="13576" max="13824" width="9.1796875" style="3"/>
    <x:col min="13825" max="13825" width="3" style="3" bestFit="1" customWidth="1"/>
    <x:col min="13826" max="13826" width="59.54296875" style="3" bestFit="1" customWidth="1"/>
    <x:col min="13827" max="13827" width="23.26953125" style="3" bestFit="1" customWidth="1"/>
    <x:col min="13828" max="13828" width="14" style="3" bestFit="1" customWidth="1"/>
    <x:col min="13829" max="13829" width="47" style="3" bestFit="1" customWidth="1"/>
    <x:col min="13830" max="13830" width="16.54296875" style="3" bestFit="1" customWidth="1"/>
    <x:col min="13831" max="13831" width="58.26953125" style="3" bestFit="1" customWidth="1"/>
    <x:col min="13832" max="14080" width="9.1796875" style="3"/>
    <x:col min="14081" max="14081" width="3" style="3" bestFit="1" customWidth="1"/>
    <x:col min="14082" max="14082" width="59.54296875" style="3" bestFit="1" customWidth="1"/>
    <x:col min="14083" max="14083" width="23.26953125" style="3" bestFit="1" customWidth="1"/>
    <x:col min="14084" max="14084" width="14" style="3" bestFit="1" customWidth="1"/>
    <x:col min="14085" max="14085" width="47" style="3" bestFit="1" customWidth="1"/>
    <x:col min="14086" max="14086" width="16.54296875" style="3" bestFit="1" customWidth="1"/>
    <x:col min="14087" max="14087" width="58.26953125" style="3" bestFit="1" customWidth="1"/>
    <x:col min="14088" max="14336" width="9.1796875" style="3"/>
    <x:col min="14337" max="14337" width="3" style="3" bestFit="1" customWidth="1"/>
    <x:col min="14338" max="14338" width="59.54296875" style="3" bestFit="1" customWidth="1"/>
    <x:col min="14339" max="14339" width="23.26953125" style="3" bestFit="1" customWidth="1"/>
    <x:col min="14340" max="14340" width="14" style="3" bestFit="1" customWidth="1"/>
    <x:col min="14341" max="14341" width="47" style="3" bestFit="1" customWidth="1"/>
    <x:col min="14342" max="14342" width="16.54296875" style="3" bestFit="1" customWidth="1"/>
    <x:col min="14343" max="14343" width="58.26953125" style="3" bestFit="1" customWidth="1"/>
    <x:col min="14344" max="14592" width="9.1796875" style="3"/>
    <x:col min="14593" max="14593" width="3" style="3" bestFit="1" customWidth="1"/>
    <x:col min="14594" max="14594" width="59.54296875" style="3" bestFit="1" customWidth="1"/>
    <x:col min="14595" max="14595" width="23.26953125" style="3" bestFit="1" customWidth="1"/>
    <x:col min="14596" max="14596" width="14" style="3" bestFit="1" customWidth="1"/>
    <x:col min="14597" max="14597" width="47" style="3" bestFit="1" customWidth="1"/>
    <x:col min="14598" max="14598" width="16.54296875" style="3" bestFit="1" customWidth="1"/>
    <x:col min="14599" max="14599" width="58.26953125" style="3" bestFit="1" customWidth="1"/>
    <x:col min="14600" max="14848" width="9.1796875" style="3"/>
    <x:col min="14849" max="14849" width="3" style="3" bestFit="1" customWidth="1"/>
    <x:col min="14850" max="14850" width="59.54296875" style="3" bestFit="1" customWidth="1"/>
    <x:col min="14851" max="14851" width="23.26953125" style="3" bestFit="1" customWidth="1"/>
    <x:col min="14852" max="14852" width="14" style="3" bestFit="1" customWidth="1"/>
    <x:col min="14853" max="14853" width="47" style="3" bestFit="1" customWidth="1"/>
    <x:col min="14854" max="14854" width="16.54296875" style="3" bestFit="1" customWidth="1"/>
    <x:col min="14855" max="14855" width="58.26953125" style="3" bestFit="1" customWidth="1"/>
    <x:col min="14856" max="15104" width="9.1796875" style="3"/>
    <x:col min="15105" max="15105" width="3" style="3" bestFit="1" customWidth="1"/>
    <x:col min="15106" max="15106" width="59.54296875" style="3" bestFit="1" customWidth="1"/>
    <x:col min="15107" max="15107" width="23.26953125" style="3" bestFit="1" customWidth="1"/>
    <x:col min="15108" max="15108" width="14" style="3" bestFit="1" customWidth="1"/>
    <x:col min="15109" max="15109" width="47" style="3" bestFit="1" customWidth="1"/>
    <x:col min="15110" max="15110" width="16.54296875" style="3" bestFit="1" customWidth="1"/>
    <x:col min="15111" max="15111" width="58.26953125" style="3" bestFit="1" customWidth="1"/>
    <x:col min="15112" max="15360" width="9.1796875" style="3"/>
    <x:col min="15361" max="15361" width="3" style="3" bestFit="1" customWidth="1"/>
    <x:col min="15362" max="15362" width="59.54296875" style="3" bestFit="1" customWidth="1"/>
    <x:col min="15363" max="15363" width="23.26953125" style="3" bestFit="1" customWidth="1"/>
    <x:col min="15364" max="15364" width="14" style="3" bestFit="1" customWidth="1"/>
    <x:col min="15365" max="15365" width="47" style="3" bestFit="1" customWidth="1"/>
    <x:col min="15366" max="15366" width="16.54296875" style="3" bestFit="1" customWidth="1"/>
    <x:col min="15367" max="15367" width="58.26953125" style="3" bestFit="1" customWidth="1"/>
    <x:col min="15368" max="15616" width="9.1796875" style="3"/>
    <x:col min="15617" max="15617" width="3" style="3" bestFit="1" customWidth="1"/>
    <x:col min="15618" max="15618" width="59.54296875" style="3" bestFit="1" customWidth="1"/>
    <x:col min="15619" max="15619" width="23.26953125" style="3" bestFit="1" customWidth="1"/>
    <x:col min="15620" max="15620" width="14" style="3" bestFit="1" customWidth="1"/>
    <x:col min="15621" max="15621" width="47" style="3" bestFit="1" customWidth="1"/>
    <x:col min="15622" max="15622" width="16.54296875" style="3" bestFit="1" customWidth="1"/>
    <x:col min="15623" max="15623" width="58.26953125" style="3" bestFit="1" customWidth="1"/>
    <x:col min="15624" max="15872" width="9.1796875" style="3"/>
    <x:col min="15873" max="15873" width="3" style="3" bestFit="1" customWidth="1"/>
    <x:col min="15874" max="15874" width="59.54296875" style="3" bestFit="1" customWidth="1"/>
    <x:col min="15875" max="15875" width="23.26953125" style="3" bestFit="1" customWidth="1"/>
    <x:col min="15876" max="15876" width="14" style="3" bestFit="1" customWidth="1"/>
    <x:col min="15877" max="15877" width="47" style="3" bestFit="1" customWidth="1"/>
    <x:col min="15878" max="15878" width="16.54296875" style="3" bestFit="1" customWidth="1"/>
    <x:col min="15879" max="15879" width="58.26953125" style="3" bestFit="1" customWidth="1"/>
    <x:col min="15880" max="16128" width="9.1796875" style="3"/>
    <x:col min="16129" max="16129" width="3" style="3" bestFit="1" customWidth="1"/>
    <x:col min="16130" max="16130" width="59.54296875" style="3" bestFit="1" customWidth="1"/>
    <x:col min="16131" max="16131" width="23.26953125" style="3" bestFit="1" customWidth="1"/>
    <x:col min="16132" max="16132" width="14" style="3" bestFit="1" customWidth="1"/>
    <x:col min="16133" max="16133" width="47" style="3" bestFit="1" customWidth="1"/>
    <x:col min="16134" max="16134" width="16.54296875" style="3" bestFit="1" customWidth="1"/>
    <x:col min="16135" max="16135" width="58.26953125" style="3" bestFit="1" customWidth="1"/>
    <x:col min="16136" max="16384" width="9.1796875" style="3"/>
  </x:cols>
  <x:sheetData>
    <x:row r="1" spans="1:23" ht="14.5" x14ac:dyDescent="0.35">
      <x:c r="A1" s="14" t="s">
        <x:v>23</x:v>
      </x:c>
      <x:c r="B1" s="14"/>
      <x:c r="C1" s="14"/>
      <x:c r="D1" s="14"/>
      <x:c r="E1" s="14"/>
      <x:c r="F1" s="14"/>
      <x:c r="G1" s="57"/>
      <x:c r="H1" s="57" t="s">
        <x:v>46</x:v>
      </x:c>
      <x:c r="I1" s="14"/>
      <x:c r="J1" s="14"/>
      <x:c r="K1" s="32"/>
      <x:c r="L1" s="32"/>
      <x:c r="M1" s="32"/>
      <x:c r="N1" s="32"/>
      <x:c r="O1" s="32"/>
      <x:c r="Q1" s="14"/>
      <x:c r="R1" s="14"/>
      <x:c r="S1" s="14"/>
      <x:c r="T1" s="14"/>
      <x:c r="U1" s="14"/>
      <x:c r="V1" s="14"/>
      <x:c r="W1" s="14"/>
    </x:row>
    <x:row r="2" spans="1:23" ht="14.5" x14ac:dyDescent="0.35">
      <x:c r="A2" s="16" t="s">
        <x:v>2</x:v>
      </x:c>
      <x:c r="B2" s="14"/>
      <x:c r="C2" s="14"/>
      <x:c r="D2" s="14"/>
      <x:c r="E2" s="14"/>
      <x:c r="F2" s="14"/>
      <x:c r="G2" s="15"/>
      <x:c r="H2" s="15" t="s">
        <x:v>3</x:v>
      </x:c>
      <x:c r="I2" s="14"/>
      <x:c r="J2" s="14"/>
      <x:c r="K2" s="14"/>
      <x:c r="L2" s="14"/>
      <x:c r="M2" s="14"/>
      <x:c r="N2" s="14"/>
      <x:c r="O2" s="14"/>
      <x:c r="Q2" s="14"/>
      <x:c r="R2" s="14"/>
      <x:c r="S2" s="14"/>
      <x:c r="T2" s="14"/>
      <x:c r="U2" s="14"/>
      <x:c r="V2" s="14"/>
      <x:c r="W2" s="14"/>
    </x:row>
    <x:row r="3" spans="1:23" ht="14.5" x14ac:dyDescent="0.35">
      <x:c r="A3" s="16" t="s">
        <x:v>37</x:v>
      </x:c>
      <x:c r="B3" s="14"/>
      <x:c r="C3" s="14"/>
      <x:c r="D3" s="14"/>
      <x:c r="E3" s="14"/>
      <x:c r="F3" s="14"/>
      <x:c r="G3" s="14"/>
      <x:c r="H3" s="14"/>
      <x:c r="I3" s="14"/>
      <x:c r="J3" s="14"/>
      <x:c r="K3" s="14"/>
      <x:c r="L3" s="14"/>
      <x:c r="M3" s="14"/>
      <x:c r="N3" s="14"/>
      <x:c r="O3" s="14"/>
      <x:c r="P3" s="14"/>
      <x:c r="Q3" s="14"/>
      <x:c r="R3" s="14"/>
      <x:c r="S3" s="14"/>
      <x:c r="T3" s="14"/>
      <x:c r="U3" s="14"/>
      <x:c r="V3" s="14"/>
      <x:c r="W3" s="14"/>
    </x:row>
    <x:row r="4" spans="1:23" ht="14.5" x14ac:dyDescent="0.35">
      <x:c r="A4" s="16" t="s">
        <x:v>24</x:v>
      </x:c>
      <x:c r="B4" s="14"/>
      <x:c r="C4" s="14"/>
      <x:c r="D4" s="14"/>
      <x:c r="E4" s="14"/>
      <x:c r="F4" s="14"/>
      <x:c r="G4" s="14"/>
      <x:c r="H4" s="14"/>
      <x:c r="I4" s="14"/>
      <x:c r="J4" s="14"/>
      <x:c r="K4" s="14"/>
      <x:c r="L4" s="14"/>
      <x:c r="M4" s="14"/>
      <x:c r="N4" s="14"/>
      <x:c r="O4" s="14"/>
      <x:c r="P4" s="14"/>
      <x:c r="Q4" s="14"/>
      <x:c r="R4" s="14"/>
      <x:c r="S4" s="14"/>
      <x:c r="T4" s="14"/>
      <x:c r="U4" s="14"/>
      <x:c r="V4" s="14"/>
      <x:c r="W4" s="15"/>
    </x:row>
    <x:row r="5" spans="1:23" ht="14.5" x14ac:dyDescent="0.35">
      <x:c r="A5" s="55" t="s">
        <x:v>4</x:v>
      </x:c>
      <x:c r="B5" s="56"/>
      <x:c r="C5" s="14"/>
      <x:c r="D5" s="14"/>
      <x:c r="E5" s="14"/>
      <x:c r="F5" s="14"/>
      <x:c r="G5" s="14"/>
      <x:c r="H5" s="14"/>
      <x:c r="I5" s="14"/>
      <x:c r="J5" s="14"/>
      <x:c r="K5" s="14"/>
      <x:c r="L5" s="14"/>
      <x:c r="M5" s="14"/>
      <x:c r="N5" s="14"/>
      <x:c r="O5" s="14"/>
      <x:c r="P5" s="14"/>
      <x:c r="Q5" s="14"/>
      <x:c r="R5" s="14"/>
      <x:c r="S5" s="14"/>
      <x:c r="T5" s="14"/>
      <x:c r="U5" s="14"/>
      <x:c r="V5" s="14"/>
      <x:c r="W5" s="14"/>
    </x:row>
    <x:row r="6" spans="1:23" ht="29" x14ac:dyDescent="0.35">
      <x:c r="A6"/>
      <x:c r="B6" s="17" t="s">
        <x:v>5</x:v>
      </x:c>
      <x:c r="C6" s="18" t="s">
        <x:v>6</x:v>
      </x:c>
      <x:c r="D6" s="18" t="s">
        <x:v>7</x:v>
      </x:c>
      <x:c r="E6"/>
      <x:c r="F6"/>
      <x:c r="G6"/>
      <x:c r="H6"/>
      <x:c r="I6"/>
      <x:c r="J6"/>
      <x:c r="K6"/>
      <x:c r="L6"/>
      <x:c r="M6"/>
      <x:c r="N6"/>
      <x:c r="O6"/>
      <x:c r="P6"/>
      <x:c r="Q6"/>
      <x:c r="R6"/>
      <x:c r="S6"/>
      <x:c r="T6"/>
      <x:c r="U6"/>
      <x:c r="V6"/>
      <x:c r="W6"/>
    </x:row>
    <x:row r="7" spans="1:23" ht="14.5" x14ac:dyDescent="0.35">
      <x:c r="A7" t="s">
        <x:v>8</x:v>
      </x:c>
      <x:c r="B7" s="19">
        <x:v>1049228</x:v>
      </x:c>
      <x:c r="C7" s="19"/>
      <x:c r="D7" s="19">
        <x:f>SUM(B7:C7)</x:f>
        <x:v>1049228</x:v>
      </x:c>
      <x:c r="E7" s="28"/>
      <x:c r="F7" t="s">
        <x:v>9</x:v>
      </x:c>
      <x:c r="G7"/>
      <x:c r="H7"/>
      <x:c r="I7"/>
      <x:c r="J7"/>
      <x:c r="K7"/>
      <x:c r="L7"/>
      <x:c r="M7"/>
      <x:c r="N7"/>
      <x:c r="O7"/>
      <x:c r="P7"/>
      <x:c r="Q7"/>
      <x:c r="R7"/>
      <x:c r="S7"/>
      <x:c r="T7"/>
      <x:c r="U7"/>
      <x:c r="V7"/>
      <x:c r="W7"/>
    </x:row>
    <x:row r="8" spans="1:23" ht="42.5" customHeight="1" x14ac:dyDescent="0.25">
      <x:c r="A8" s="31" t="s">
        <x:v>10</x:v>
      </x:c>
      <x:c r="B8" s="21">
        <x:v>325044</x:v>
      </x:c>
      <x:c r="C8" s="21"/>
      <x:c r="D8" s="21">
        <x:f t="shared" ref="D8:D9" si="0">SUM(B8:C8)</x:f>
        <x:v>325044</x:v>
      </x:c>
      <x:c r="E8" s="47"/>
      <x:c r="F8" s="59" t="s">
        <x:v>34</x:v>
      </x:c>
      <x:c r="G8" s="59"/>
      <x:c r="H8" s="20"/>
      <x:c r="I8" s="20"/>
      <x:c r="J8" s="20"/>
      <x:c r="K8" s="20"/>
      <x:c r="L8" s="20"/>
      <x:c r="M8" s="20"/>
      <x:c r="N8" s="20"/>
      <x:c r="O8" s="20"/>
      <x:c r="P8" s="20"/>
      <x:c r="Q8" s="20"/>
      <x:c r="R8" s="20"/>
      <x:c r="S8" s="20"/>
      <x:c r="T8" s="20"/>
      <x:c r="U8" s="20"/>
      <x:c r="V8" s="20"/>
      <x:c r="W8" s="20"/>
    </x:row>
    <x:row r="9" spans="1:23" ht="14.5" x14ac:dyDescent="0.35">
      <x:c r="A9" t="s">
        <x:v>11</x:v>
      </x:c>
      <x:c r="B9" s="22">
        <x:v>1666137</x:v>
      </x:c>
      <x:c r="C9" s="23">
        <x:v>-437561.58000000013</x:v>
      </x:c>
      <x:c r="D9" s="22">
        <x:f t="shared" si="0"/>
        <x:v>1228575.42</x:v>
      </x:c>
      <x:c r="E9"/>
      <x:c r="F9" t="s">
        <x:v>12</x:v>
      </x:c>
      <x:c r="G9"/>
      <x:c r="H9"/>
      <x:c r="I9"/>
      <x:c r="J9"/>
      <x:c r="K9"/>
      <x:c r="L9"/>
      <x:c r="M9"/>
      <x:c r="N9"/>
      <x:c r="O9"/>
      <x:c r="P9"/>
      <x:c r="Q9"/>
      <x:c r="R9"/>
      <x:c r="S9"/>
      <x:c r="T9"/>
      <x:c r="U9"/>
      <x:c r="V9"/>
      <x:c r="W9"/>
    </x:row>
    <x:row r="10" spans="1:23" ht="14.5" x14ac:dyDescent="0.35">
      <x:c r="A10" s="24" t="s">
        <x:v>13</x:v>
      </x:c>
      <x:c r="B10" s="19">
        <x:f>SUM(B7:B9)</x:f>
        <x:v>3040409</x:v>
      </x:c>
      <x:c r="C10" s="19">
        <x:f t="shared" ref="C10:D10" si="1">SUM(C7:C9)</x:f>
        <x:v>-437561.58000000013</x:v>
      </x:c>
      <x:c r="D10" s="25">
        <x:f t="shared" si="1"/>
        <x:v>2602847.42</x:v>
      </x:c>
      <x:c r="E10"/>
      <x:c r="F10"/>
      <x:c r="G10"/>
      <x:c r="H10"/>
      <x:c r="I10"/>
      <x:c r="J10"/>
      <x:c r="K10"/>
      <x:c r="L10"/>
      <x:c r="M10"/>
      <x:c r="N10"/>
      <x:c r="O10"/>
      <x:c r="P10"/>
      <x:c r="Q10"/>
      <x:c r="R10"/>
      <x:c r="S10"/>
      <x:c r="T10"/>
      <x:c r="U10"/>
      <x:c r="V10"/>
      <x:c r="W10"/>
    </x:row>
    <x:row r="11" spans="1:23" ht="14.5" x14ac:dyDescent="0.35">
      <x:c r="A11"/>
      <x:c r="B11"/>
      <x:c r="C11"/>
      <x:c r="D11" s="26"/>
      <x:c r="E11"/>
      <x:c r="F11" s="48" t="s">
        <x:v>14</x:v>
      </x:c>
      <x:c r="G11" s="48" t="s">
        <x:v>15</x:v>
      </x:c>
      <x:c r="H11"/>
      <x:c r="I11"/>
      <x:c r="J11"/>
      <x:c r="K11"/>
      <x:c r="L11"/>
      <x:c r="M11"/>
      <x:c r="N11"/>
      <x:c r="O11"/>
      <x:c r="P11"/>
      <x:c r="Q11"/>
      <x:c r="R11"/>
      <x:c r="S11"/>
      <x:c r="T11"/>
      <x:c r="U11"/>
      <x:c r="V11"/>
      <x:c r="W11"/>
    </x:row>
    <x:row r="12" spans="1:23" ht="14.5" x14ac:dyDescent="0.35">
      <x:c r="A12" t="s">
        <x:v>25</x:v>
      </x:c>
      <x:c r="B12"/>
      <x:c r="C12"/>
      <x:c r="D12" s="27">
        <x:f>D10</x:f>
        <x:v>2602847.42</x:v>
      </x:c>
      <x:c r="E12"/>
      <x:c r="F12" s="46">
        <x:f>D7</x:f>
        <x:v>1049228</x:v>
      </x:c>
      <x:c r="G12" s="46">
        <x:f>D10-F12</x:f>
        <x:v>1553619.42</x:v>
      </x:c>
      <x:c r="H12"/>
      <x:c r="I12"/>
      <x:c r="J12"/>
      <x:c r="K12"/>
      <x:c r="L12"/>
      <x:c r="M12"/>
      <x:c r="N12"/>
      <x:c r="O12"/>
      <x:c r="P12"/>
      <x:c r="Q12"/>
      <x:c r="R12"/>
      <x:c r="S12"/>
      <x:c r="T12"/>
      <x:c r="U12"/>
      <x:c r="V12"/>
      <x:c r="W12"/>
    </x:row>
    <x:row r="13" spans="1:23" ht="14.5" x14ac:dyDescent="0.35">
      <x:c r="A13"/>
      <x:c r="B13"/>
      <x:c r="C13"/>
      <x:c r="D13" s="26"/>
      <x:c r="E13" s="28"/>
      <x:c r="F13" s="51">
        <x:f>F12/D10</x:f>
        <x:v>0.40310776265171933</x:v>
      </x:c>
      <x:c r="G13" s="45"/>
      <x:c r="H13"/>
      <x:c r="I13"/>
      <x:c r="J13"/>
      <x:c r="K13"/>
      <x:c r="L13"/>
      <x:c r="M13"/>
      <x:c r="N13"/>
      <x:c r="O13"/>
      <x:c r="P13"/>
      <x:c r="Q13"/>
      <x:c r="R13"/>
      <x:c r="S13"/>
      <x:c r="T13"/>
      <x:c r="U13"/>
      <x:c r="V13"/>
      <x:c r="W13"/>
    </x:row>
    <x:row r="14" spans="1:23" ht="14.5" x14ac:dyDescent="0.35">
      <x:c r="A14"/>
      <x:c r="B14"/>
      <x:c r="C14"/>
      <x:c r="D14" s="17" t="s">
        <x:v>16</x:v>
      </x:c>
      <x:c r="E14" s="28"/>
      <x:c r="F14" s="48" t="s">
        <x:v>14</x:v>
      </x:c>
      <x:c r="G14" s="48" t="s">
        <x:v>15</x:v>
      </x:c>
      <x:c r="H14"/>
      <x:c r="I14"/>
      <x:c r="J14"/>
      <x:c r="K14"/>
      <x:c r="L14"/>
      <x:c r="M14"/>
      <x:c r="N14"/>
      <x:c r="O14"/>
      <x:c r="P14"/>
      <x:c r="Q14"/>
      <x:c r="R14"/>
      <x:c r="S14"/>
      <x:c r="T14"/>
      <x:c r="U14"/>
      <x:c r="V14"/>
      <x:c r="W14"/>
    </x:row>
    <x:row r="15" spans="1:23" ht="14.5" x14ac:dyDescent="0.35">
      <x:c r="A15" t="s">
        <x:v>38</x:v>
      </x:c>
      <x:c r="B15"/>
      <x:c r="C15"/>
      <x:c r="D15" s="29">
        <x:f>ROUND(D10/5,2)</x:f>
        <x:v>520569.48</x:v>
      </x:c>
      <x:c r="E15"/>
      <x:c r="F15" s="25">
        <x:f>ROUND(D7/5,2)</x:f>
        <x:v>209845.6</x:v>
      </x:c>
      <x:c r="G15" s="25">
        <x:f>D15-F15</x:f>
        <x:v>310723.88</x:v>
      </x:c>
      <x:c r="H15"/>
      <x:c r="I15"/>
      <x:c r="J15"/>
      <x:c r="K15"/>
      <x:c r="L15"/>
      <x:c r="M15"/>
      <x:c r="N15"/>
      <x:c r="O15"/>
      <x:c r="P15"/>
      <x:c r="Q15"/>
      <x:c r="R15"/>
      <x:c r="S15"/>
      <x:c r="T15"/>
      <x:c r="U15"/>
      <x:c r="V15"/>
      <x:c r="W15"/>
    </x:row>
    <x:row r="16" spans="1:23" ht="14.5" x14ac:dyDescent="0.35">
      <x:c r="A16"/>
      <x:c r="B16"/>
      <x:c r="C16"/>
      <x:c r="D16" s="26"/>
      <x:c r="E16"/>
      <x:c r="F16" s="51">
        <x:f>F15/D15</x:f>
        <x:v>0.40310776574915613</x:v>
      </x:c>
      <x:c r="G16" s="28"/>
      <x:c r="H16"/>
      <x:c r="I16"/>
      <x:c r="J16"/>
      <x:c r="K16"/>
      <x:c r="L16"/>
      <x:c r="M16"/>
      <x:c r="N16"/>
      <x:c r="O16"/>
      <x:c r="P16"/>
      <x:c r="Q16"/>
      <x:c r="R16"/>
      <x:c r="S16"/>
      <x:c r="T16"/>
      <x:c r="U16"/>
      <x:c r="V16"/>
      <x:c r="W16"/>
    </x:row>
    <x:row r="17" spans="1:23" ht="14.5" x14ac:dyDescent="0.35">
      <x:c r="A17" s="30" t="s">
        <x:v>44</x:v>
      </x:c>
      <x:c r="B17"/>
      <x:c r="C17"/>
      <x:c r="D17"/>
      <x:c r="E17"/>
      <x:c r="F17" s="28"/>
      <x:c r="G17" s="28"/>
      <x:c r="H17"/>
      <x:c r="I17"/>
      <x:c r="J17"/>
      <x:c r="K17"/>
      <x:c r="L17"/>
      <x:c r="M17"/>
      <x:c r="N17"/>
      <x:c r="O17"/>
      <x:c r="P17"/>
      <x:c r="Q17"/>
      <x:c r="R17"/>
      <x:c r="S17"/>
      <x:c r="T17"/>
      <x:c r="U17"/>
      <x:c r="V17"/>
      <x:c r="W17"/>
    </x:row>
    <x:row r="18" spans="1:23" ht="14.5" x14ac:dyDescent="0.35">
      <x:c r="A18" t="s">
        <x:v>18</x:v>
      </x:c>
      <x:c r="B18"/>
      <x:c r="C18"/>
      <x:c r="D18"/>
      <x:c r="E18"/>
      <x:c r="F18"/>
      <x:c r="G18"/>
      <x:c r="H18"/>
      <x:c r="I18"/>
      <x:c r="J18"/>
      <x:c r="K18"/>
      <x:c r="L18"/>
      <x:c r="M18"/>
      <x:c r="N18"/>
      <x:c r="O18"/>
      <x:c r="P18"/>
      <x:c r="Q18"/>
      <x:c r="R18"/>
      <x:c r="S18"/>
      <x:c r="T18"/>
      <x:c r="U18"/>
      <x:c r="V18"/>
      <x:c r="W18"/>
    </x:row>
    <x:row r="19" spans="1:23" ht="14.5" x14ac:dyDescent="0.35">
      <x:c r="A19" t="s">
        <x:v>19</x:v>
      </x:c>
      <x:c r="B19"/>
      <x:c r="C19"/>
      <x:c r="D19"/>
      <x:c r="E19"/>
      <x:c r="F19"/>
      <x:c r="G19"/>
      <x:c r="H19"/>
      <x:c r="I19"/>
      <x:c r="J19"/>
      <x:c r="K19"/>
      <x:c r="L19"/>
      <x:c r="M19"/>
      <x:c r="N19"/>
      <x:c r="O19"/>
      <x:c r="P19"/>
      <x:c r="Q19"/>
      <x:c r="R19"/>
      <x:c r="S19"/>
      <x:c r="T19"/>
      <x:c r="U19"/>
      <x:c r="V19"/>
      <x:c r="W19"/>
    </x:row>
    <x:row r="20" spans="1:23" ht="14.5" x14ac:dyDescent="0.35">
      <x:c r="A20" t="s">
        <x:v>20</x:v>
      </x:c>
      <x:c r="B20"/>
      <x:c r="C20"/>
      <x:c r="D20"/>
      <x:c r="E20"/>
      <x:c r="F20"/>
      <x:c r="G20"/>
      <x:c r="H20"/>
      <x:c r="I20"/>
      <x:c r="J20"/>
      <x:c r="K20"/>
      <x:c r="L20"/>
      <x:c r="M20"/>
      <x:c r="N20"/>
      <x:c r="O20"/>
      <x:c r="P20"/>
      <x:c r="Q20"/>
      <x:c r="R20"/>
      <x:c r="S20"/>
      <x:c r="T20"/>
      <x:c r="U20"/>
      <x:c r="V20"/>
      <x:c r="W20"/>
    </x:row>
    <x:row r="21" spans="1:23" ht="14.5" x14ac:dyDescent="0.35">
      <x:c r="A21" s="24" t="s">
        <x:v>21</x:v>
      </x:c>
      <x:c r="B21"/>
      <x:c r="C21"/>
      <x:c r="D21"/>
      <x:c r="E21"/>
      <x:c r="F21"/>
      <x:c r="G21"/>
      <x:c r="H21"/>
      <x:c r="I21"/>
      <x:c r="J21"/>
      <x:c r="K21"/>
      <x:c r="L21"/>
      <x:c r="M21"/>
      <x:c r="N21"/>
      <x:c r="O21"/>
      <x:c r="P21"/>
      <x:c r="Q21"/>
      <x:c r="R21"/>
      <x:c r="S21"/>
      <x:c r="T21"/>
      <x:c r="U21"/>
      <x:c r="V21"/>
      <x:c r="W21"/>
    </x:row>
    <x:row r="22" spans="1:23" s="36" customFormat="1" ht="14.5" x14ac:dyDescent="0.35">
      <x:c r="A22" s="44" t="s">
        <x:v>22</x:v>
      </x:c>
      <x:c r="B22" s="45"/>
      <x:c r="C22" s="45"/>
      <x:c r="D22" s="46">
        <x:f>-C30*12</x:f>
        <x:v>166775.51999999999</x:v>
      </x:c>
      <x:c r="E22" s="45"/>
      <x:c r="F22" s="45"/>
      <x:c r="G22" s="45"/>
      <x:c r="H22" s="45"/>
      <x:c r="I22" s="45"/>
      <x:c r="J22" s="45"/>
      <x:c r="K22" s="45"/>
      <x:c r="L22" s="45"/>
      <x:c r="M22" s="45"/>
      <x:c r="N22" s="45"/>
      <x:c r="O22" s="45"/>
      <x:c r="P22" s="45"/>
      <x:c r="Q22" s="45"/>
      <x:c r="R22" s="45"/>
      <x:c r="S22" s="45"/>
      <x:c r="T22" s="45"/>
      <x:c r="U22" s="45"/>
      <x:c r="V22" s="45"/>
      <x:c r="W22" s="45"/>
    </x:row>
    <x:row r="23" spans="1:23" ht="14.5" x14ac:dyDescent="0.35">
      <x:c r="A23"/>
      <x:c r="B23"/>
      <x:c r="C23"/>
      <x:c r="D23"/>
      <x:c r="E23"/>
      <x:c r="F23"/>
      <x:c r="G23"/>
      <x:c r="H23"/>
      <x:c r="I23"/>
      <x:c r="J23"/>
      <x:c r="K23"/>
      <x:c r="L23"/>
      <x:c r="M23"/>
      <x:c r="N23"/>
      <x:c r="O23"/>
      <x:c r="P23"/>
      <x:c r="Q23"/>
      <x:c r="R23"/>
      <x:c r="S23"/>
      <x:c r="T23"/>
      <x:c r="U23"/>
      <x:c r="V23"/>
      <x:c r="W23"/>
    </x:row>
    <x:row r="24" spans="1:23" ht="28" customHeight="1" x14ac:dyDescent="0.35">
      <x:c r="A24" s="60" t="s">
        <x:v>47</x:v>
      </x:c>
      <x:c r="B24" s="61"/>
      <x:c r="C24" s="61"/>
      <x:c r="D24" s="61"/>
      <x:c r="E24" s="61"/>
      <x:c r="F24" s="61"/>
      <x:c r="G24" s="61"/>
      <x:c r="H24" s="61"/>
    </x:row>
    <x:row r="25" spans="1:23" ht="14.5" x14ac:dyDescent="0.35">
      <x:c r="C25" s="2"/>
      <x:c r="D25" s="2"/>
    </x:row>
    <x:row r="26" spans="1:23" ht="14.5" x14ac:dyDescent="0.35">
      <x:c r="B26" s="3" t="s">
        <x:v>30</x:v>
      </x:c>
      <x:c r="C26" s="2"/>
      <x:c r="D26" s="2">
        <x:v>3040409.4407526888</x:v>
      </x:c>
      <x:c r="F26" s="58" t="s">
        <x:v>39</x:v>
      </x:c>
    </x:row>
    <x:row r="27" spans="1:23" ht="14.5" x14ac:dyDescent="0.35">
      <x:c r="C27" s="2"/>
      <x:c r="D27" s="2"/>
      <x:c r="F27" s="52" t="s">
        <x:v>33</x:v>
      </x:c>
      <x:c r="G27" s="36"/>
    </x:row>
    <x:row r="28" spans="1:23" x14ac:dyDescent="0.25">
      <x:c r="B28" s="3" t="s">
        <x:v>31</x:v>
      </x:c>
      <x:c r="C28" s="42" t="s">
        <x:v>0</x:v>
      </x:c>
      <x:c r="D28" s="42" t="s">
        <x:v>1</x:v>
      </x:c>
      <x:c r="F28" s="53" t="s">
        <x:v>32</x:v>
      </x:c>
      <x:c r="G28" s="53" t="s">
        <x:v>29</x:v>
      </x:c>
    </x:row>
    <x:row r="29" spans="1:23" x14ac:dyDescent="0.25">
      <x:c r="B29" s="5">
        <x:v>43586</x:v>
      </x:c>
      <x:c r="C29" s="6">
        <x:v>-6724.8193548387098</x:v>
      </x:c>
      <x:c r="D29" s="7">
        <x:f>D26+C29</x:f>
        <x:v>3033684.6213978501</x:v>
      </x:c>
      <x:c r="F29" s="54"/>
      <x:c r="G29" s="54"/>
      <x:c r="H29" s="8"/>
    </x:row>
    <x:row r="30" spans="1:23" x14ac:dyDescent="0.25">
      <x:c r="B30" s="5">
        <x:v>43617</x:v>
      </x:c>
      <x:c r="C30" s="6">
        <x:v>-13897.96</x:v>
      </x:c>
      <x:c r="D30" s="7">
        <x:f>D29+C30</x:f>
        <x:v>3019786.6613978501</x:v>
      </x:c>
      <x:c r="F30" s="36"/>
      <x:c r="G30" s="36"/>
    </x:row>
    <x:row r="31" spans="1:23" ht="14.5" x14ac:dyDescent="0.35">
      <x:c r="B31" s="5">
        <x:v>43647</x:v>
      </x:c>
      <x:c r="C31" s="6">
        <x:f>C30</x:f>
        <x:v>-13897.96</x:v>
      </x:c>
      <x:c r="D31" s="2">
        <x:f t="shared" ref="D31:D83" si="2">D30+C31</x:f>
        <x:v>3005888.7013978502</x:v>
      </x:c>
      <x:c r="F31" s="54">
        <x:v>-16173.583149074828</x:v>
      </x:c>
      <x:c r="G31" s="54">
        <x:f>F31*12</x:f>
        <x:v>-194082.99778889795</x:v>
      </x:c>
    </x:row>
    <x:row r="32" spans="1:23" x14ac:dyDescent="0.25">
      <x:c r="B32" s="5">
        <x:v>43678</x:v>
      </x:c>
      <x:c r="C32" s="6">
        <x:f t="shared" ref="C32:C95" si="3">C31</x:f>
        <x:v>-13897.96</x:v>
      </x:c>
      <x:c r="D32" s="7">
        <x:f t="shared" si="2"/>
        <x:v>2991990.7413978502</x:v>
      </x:c>
    </x:row>
    <x:row r="33" spans="1:4" x14ac:dyDescent="0.25">
      <x:c r="A33" s="34"/>
      <x:c r="B33" s="5">
        <x:v>43709</x:v>
      </x:c>
      <x:c r="C33" s="6">
        <x:f t="shared" si="3"/>
        <x:v>-13897.96</x:v>
      </x:c>
      <x:c r="D33" s="7">
        <x:f t="shared" si="2"/>
        <x:v>2978092.7813978503</x:v>
      </x:c>
    </x:row>
    <x:row r="34" spans="1:4" ht="14.5" x14ac:dyDescent="0.35">
      <x:c r="A34" s="34"/>
      <x:c r="B34" s="5">
        <x:v>43739</x:v>
      </x:c>
      <x:c r="C34" s="6">
        <x:f t="shared" si="3"/>
        <x:v>-13897.96</x:v>
      </x:c>
      <x:c r="D34" s="2">
        <x:f t="shared" si="2"/>
        <x:v>2964194.8213978503</x:v>
      </x:c>
    </x:row>
    <x:row r="35" spans="1:4" ht="14.5" x14ac:dyDescent="0.35">
      <x:c r="A35" s="34"/>
      <x:c r="B35" s="5">
        <x:v>43770</x:v>
      </x:c>
      <x:c r="C35" s="6">
        <x:f t="shared" si="3"/>
        <x:v>-13897.96</x:v>
      </x:c>
      <x:c r="D35" s="2">
        <x:f t="shared" si="2"/>
        <x:v>2950296.8613978503</x:v>
      </x:c>
    </x:row>
    <x:row r="36" spans="1:4" x14ac:dyDescent="0.25">
      <x:c r="A36" s="34"/>
      <x:c r="B36" s="5">
        <x:v>43800</x:v>
      </x:c>
      <x:c r="C36" s="6">
        <x:f t="shared" si="3"/>
        <x:v>-13897.96</x:v>
      </x:c>
      <x:c r="D36" s="9">
        <x:f t="shared" si="2"/>
        <x:v>2936398.9013978504</x:v>
      </x:c>
    </x:row>
    <x:row r="37" spans="1:4" x14ac:dyDescent="0.25">
      <x:c r="A37" s="34"/>
      <x:c r="B37" s="5">
        <x:v>43831</x:v>
      </x:c>
      <x:c r="C37" s="6">
        <x:f t="shared" si="3"/>
        <x:v>-13897.96</x:v>
      </x:c>
      <x:c r="D37" s="7">
        <x:f t="shared" si="2"/>
        <x:v>2922500.9413978504</x:v>
      </x:c>
    </x:row>
    <x:row r="38" spans="1:4" x14ac:dyDescent="0.25">
      <x:c r="A38" s="34"/>
      <x:c r="B38" s="5">
        <x:v>43862</x:v>
      </x:c>
      <x:c r="C38" s="6">
        <x:f t="shared" si="3"/>
        <x:v>-13897.96</x:v>
      </x:c>
      <x:c r="D38" s="7">
        <x:f t="shared" si="2"/>
        <x:v>2908602.9813978504</x:v>
      </x:c>
    </x:row>
    <x:row r="39" spans="1:4" ht="14.5" x14ac:dyDescent="0.35">
      <x:c r="A39" s="34"/>
      <x:c r="B39" s="5">
        <x:v>43891</x:v>
      </x:c>
      <x:c r="C39" s="6">
        <x:f t="shared" si="3"/>
        <x:v>-13897.96</x:v>
      </x:c>
      <x:c r="D39" s="2">
        <x:f t="shared" si="2"/>
        <x:v>2894705.0213978505</x:v>
      </x:c>
    </x:row>
    <x:row r="40" spans="1:4" x14ac:dyDescent="0.25">
      <x:c r="A40" s="34"/>
      <x:c r="B40" s="5">
        <x:v>43922</x:v>
      </x:c>
      <x:c r="C40" s="6">
        <x:f t="shared" si="3"/>
        <x:v>-13897.96</x:v>
      </x:c>
      <x:c r="D40" s="7">
        <x:f t="shared" si="2"/>
        <x:v>2880807.0613978505</x:v>
      </x:c>
    </x:row>
    <x:row r="41" spans="1:4" x14ac:dyDescent="0.25">
      <x:c r="A41" s="34"/>
      <x:c r="B41" s="5">
        <x:v>43952</x:v>
      </x:c>
      <x:c r="C41" s="6">
        <x:f t="shared" si="3"/>
        <x:v>-13897.96</x:v>
      </x:c>
      <x:c r="D41" s="7">
        <x:f t="shared" si="2"/>
        <x:v>2866909.1013978506</x:v>
      </x:c>
    </x:row>
    <x:row r="42" spans="1:4" x14ac:dyDescent="0.25">
      <x:c r="A42" s="34"/>
      <x:c r="B42" s="5">
        <x:v>43983</x:v>
      </x:c>
      <x:c r="C42" s="6">
        <x:f t="shared" si="3"/>
        <x:v>-13897.96</x:v>
      </x:c>
      <x:c r="D42" s="9">
        <x:f t="shared" si="2"/>
        <x:v>2853011.1413978506</x:v>
      </x:c>
    </x:row>
    <x:row r="43" spans="1:4" x14ac:dyDescent="0.25">
      <x:c r="A43" s="34"/>
      <x:c r="B43" s="5">
        <x:v>44013</x:v>
      </x:c>
      <x:c r="C43" s="6">
        <x:f t="shared" si="3"/>
        <x:v>-13897.96</x:v>
      </x:c>
      <x:c r="D43" s="7">
        <x:f t="shared" si="2"/>
        <x:v>2839113.1813978506</x:v>
      </x:c>
    </x:row>
    <x:row r="44" spans="1:4" x14ac:dyDescent="0.25">
      <x:c r="A44" s="34"/>
      <x:c r="B44" s="5">
        <x:v>44044</x:v>
      </x:c>
      <x:c r="C44" s="6">
        <x:f t="shared" si="3"/>
        <x:v>-13897.96</x:v>
      </x:c>
      <x:c r="D44" s="7">
        <x:f t="shared" si="2"/>
        <x:v>2825215.2213978507</x:v>
      </x:c>
    </x:row>
    <x:row r="45" spans="1:4" ht="14.5" x14ac:dyDescent="0.35">
      <x:c r="A45" s="34"/>
      <x:c r="B45" s="5">
        <x:v>44075</x:v>
      </x:c>
      <x:c r="C45" s="10">
        <x:f t="shared" si="3"/>
        <x:v>-13897.96</x:v>
      </x:c>
      <x:c r="D45" s="2">
        <x:f t="shared" si="2"/>
        <x:v>2811317.2613978507</x:v>
      </x:c>
    </x:row>
    <x:row r="46" spans="1:4" x14ac:dyDescent="0.25">
      <x:c r="A46" s="34"/>
      <x:c r="B46" s="5">
        <x:v>44105</x:v>
      </x:c>
      <x:c r="C46" s="6">
        <x:f t="shared" si="3"/>
        <x:v>-13897.96</x:v>
      </x:c>
      <x:c r="D46" s="7">
        <x:f t="shared" si="2"/>
        <x:v>2797419.3013978507</x:v>
      </x:c>
    </x:row>
    <x:row r="47" spans="1:4" x14ac:dyDescent="0.25">
      <x:c r="A47" s="34"/>
      <x:c r="B47" s="5">
        <x:v>44136</x:v>
      </x:c>
      <x:c r="C47" s="6">
        <x:f t="shared" si="3"/>
        <x:v>-13897.96</x:v>
      </x:c>
      <x:c r="D47" s="7">
        <x:f t="shared" si="2"/>
        <x:v>2783521.3413978508</x:v>
      </x:c>
    </x:row>
    <x:row r="48" spans="1:4" x14ac:dyDescent="0.25">
      <x:c r="A48" s="34"/>
      <x:c r="B48" s="5">
        <x:v>44166</x:v>
      </x:c>
      <x:c r="C48" s="6">
        <x:f t="shared" si="3"/>
        <x:v>-13897.96</x:v>
      </x:c>
      <x:c r="D48" s="7">
        <x:f t="shared" si="2"/>
        <x:v>2769623.3813978508</x:v>
      </x:c>
    </x:row>
    <x:row r="49" spans="1:8" x14ac:dyDescent="0.25">
      <x:c r="A49" s="34"/>
      <x:c r="B49" s="5">
        <x:v>44197</x:v>
      </x:c>
      <x:c r="C49" s="6">
        <x:f t="shared" si="3"/>
        <x:v>-13897.96</x:v>
      </x:c>
      <x:c r="D49" s="7">
        <x:f t="shared" si="2"/>
        <x:v>2755725.4213978508</x:v>
      </x:c>
    </x:row>
    <x:row r="50" spans="1:8" x14ac:dyDescent="0.25">
      <x:c r="A50" s="34"/>
      <x:c r="B50" s="5">
        <x:v>44228</x:v>
      </x:c>
      <x:c r="C50" s="6">
        <x:f t="shared" si="3"/>
        <x:v>-13897.96</x:v>
      </x:c>
      <x:c r="D50" s="7">
        <x:f t="shared" si="2"/>
        <x:v>2741827.4613978509</x:v>
      </x:c>
    </x:row>
    <x:row r="51" spans="1:8" x14ac:dyDescent="0.25">
      <x:c r="A51" s="34"/>
      <x:c r="B51" s="5">
        <x:v>44256</x:v>
      </x:c>
      <x:c r="C51" s="6">
        <x:f t="shared" si="3"/>
        <x:v>-13897.96</x:v>
      </x:c>
      <x:c r="D51" s="7">
        <x:f t="shared" si="2"/>
        <x:v>2727929.5013978509</x:v>
      </x:c>
    </x:row>
    <x:row r="52" spans="1:8" x14ac:dyDescent="0.25">
      <x:c r="A52" s="34"/>
      <x:c r="B52" s="5">
        <x:v>44287</x:v>
      </x:c>
      <x:c r="C52" s="6">
        <x:f t="shared" si="3"/>
        <x:v>-13897.96</x:v>
      </x:c>
      <x:c r="D52" s="7">
        <x:f t="shared" si="2"/>
        <x:v>2714031.541397851</x:v>
      </x:c>
    </x:row>
    <x:row r="53" spans="1:8" ht="13" x14ac:dyDescent="0.3">
      <x:c r="A53" s="34"/>
      <x:c r="B53" s="5">
        <x:v>44317</x:v>
      </x:c>
      <x:c r="C53" s="6">
        <x:f t="shared" si="3"/>
        <x:v>-13897.96</x:v>
      </x:c>
      <x:c r="D53" s="9">
        <x:f t="shared" si="2"/>
        <x:v>2700133.581397851</x:v>
      </x:c>
      <x:c r="E53" s="1"/>
      <x:c r="F53" s="1"/>
      <x:c r="G53" s="1"/>
      <x:c r="H53" s="1"/>
    </x:row>
    <x:row r="54" spans="1:8" x14ac:dyDescent="0.25">
      <x:c r="A54" s="34"/>
      <x:c r="B54" s="5">
        <x:v>44348</x:v>
      </x:c>
      <x:c r="C54" s="6">
        <x:f t="shared" si="3"/>
        <x:v>-13897.96</x:v>
      </x:c>
      <x:c r="D54" s="7">
        <x:f t="shared" si="2"/>
        <x:v>2686235.621397851</x:v>
      </x:c>
    </x:row>
    <x:row r="55" spans="1:8" x14ac:dyDescent="0.25">
      <x:c r="A55" s="34"/>
      <x:c r="B55" s="5">
        <x:v>44378</x:v>
      </x:c>
      <x:c r="C55" s="6">
        <x:f t="shared" si="3"/>
        <x:v>-13897.96</x:v>
      </x:c>
      <x:c r="D55" s="7">
        <x:f t="shared" si="2"/>
        <x:v>2672337.6613978511</x:v>
      </x:c>
    </x:row>
    <x:row r="56" spans="1:8" x14ac:dyDescent="0.25">
      <x:c r="A56" s="34"/>
      <x:c r="B56" s="5">
        <x:v>44409</x:v>
      </x:c>
      <x:c r="C56" s="6">
        <x:f t="shared" si="3"/>
        <x:v>-13897.96</x:v>
      </x:c>
      <x:c r="D56" s="7">
        <x:f t="shared" si="2"/>
        <x:v>2658439.7013978511</x:v>
      </x:c>
    </x:row>
    <x:row r="57" spans="1:8" x14ac:dyDescent="0.25">
      <x:c r="A57" s="34"/>
      <x:c r="B57" s="5">
        <x:v>44440</x:v>
      </x:c>
      <x:c r="C57" s="6">
        <x:f t="shared" si="3"/>
        <x:v>-13897.96</x:v>
      </x:c>
      <x:c r="D57" s="7">
        <x:f t="shared" si="2"/>
        <x:v>2644541.7413978511</x:v>
      </x:c>
    </x:row>
    <x:row r="58" spans="1:8" x14ac:dyDescent="0.25">
      <x:c r="A58" s="34"/>
      <x:c r="B58" s="5">
        <x:v>44470</x:v>
      </x:c>
      <x:c r="C58" s="6">
        <x:f t="shared" si="3"/>
        <x:v>-13897.96</x:v>
      </x:c>
      <x:c r="D58" s="7">
        <x:f t="shared" si="2"/>
        <x:v>2630643.7813978512</x:v>
      </x:c>
    </x:row>
    <x:row r="59" spans="1:8" x14ac:dyDescent="0.25">
      <x:c r="A59" s="34"/>
      <x:c r="B59" s="5">
        <x:v>44501</x:v>
      </x:c>
      <x:c r="C59" s="6">
        <x:f t="shared" si="3"/>
        <x:v>-13897.96</x:v>
      </x:c>
      <x:c r="D59" s="7">
        <x:f t="shared" si="2"/>
        <x:v>2616745.8213978512</x:v>
      </x:c>
    </x:row>
    <x:row r="60" spans="1:8" x14ac:dyDescent="0.25">
      <x:c r="A60" s="34"/>
      <x:c r="B60" s="5">
        <x:v>44531</x:v>
      </x:c>
      <x:c r="C60" s="6">
        <x:f t="shared" si="3"/>
        <x:v>-13897.96</x:v>
      </x:c>
      <x:c r="D60" s="7">
        <x:f t="shared" si="2"/>
        <x:v>2602847.8613978513</x:v>
      </x:c>
      <x:c r="E60" s="3" t="s">
        <x:v>35</x:v>
      </x:c>
    </x:row>
    <x:row r="61" spans="1:8" x14ac:dyDescent="0.25">
      <x:c r="A61" s="34"/>
      <x:c r="B61" s="5">
        <x:v>44562</x:v>
      </x:c>
      <x:c r="C61" s="6">
        <x:f>C60</x:f>
        <x:v>-13897.96</x:v>
      </x:c>
      <x:c r="D61" s="7">
        <x:f>D60+C61</x:f>
        <x:v>2588949.9013978513</x:v>
      </x:c>
    </x:row>
    <x:row r="62" spans="1:8" x14ac:dyDescent="0.25">
      <x:c r="A62" s="34"/>
      <x:c r="B62" s="5">
        <x:v>44593</x:v>
      </x:c>
      <x:c r="C62" s="6">
        <x:f t="shared" si="3"/>
        <x:v>-13897.96</x:v>
      </x:c>
      <x:c r="D62" s="7">
        <x:f t="shared" si="2"/>
        <x:v>2575051.9413978513</x:v>
      </x:c>
    </x:row>
    <x:row r="63" spans="1:8" ht="13" x14ac:dyDescent="0.3">
      <x:c r="A63" s="34"/>
      <x:c r="B63" s="5">
        <x:v>44621</x:v>
      </x:c>
      <x:c r="C63" s="6">
        <x:f t="shared" si="3"/>
        <x:v>-13897.96</x:v>
      </x:c>
      <x:c r="D63" s="9">
        <x:f t="shared" si="2"/>
        <x:v>2561153.9813978514</x:v>
      </x:c>
      <x:c r="E63" s="1"/>
      <x:c r="F63" s="1"/>
      <x:c r="G63" s="1"/>
      <x:c r="H63" s="1"/>
    </x:row>
    <x:row r="64" spans="1:8" ht="13" x14ac:dyDescent="0.3">
      <x:c r="A64" s="34"/>
      <x:c r="B64" s="5">
        <x:v>44652</x:v>
      </x:c>
      <x:c r="C64" s="6">
        <x:f t="shared" si="3"/>
        <x:v>-13897.96</x:v>
      </x:c>
      <x:c r="D64" s="9">
        <x:f t="shared" si="2"/>
        <x:v>2547256.0213978514</x:v>
      </x:c>
      <x:c r="E64" s="1"/>
      <x:c r="F64" s="1"/>
      <x:c r="G64" s="1"/>
      <x:c r="H64" s="1"/>
    </x:row>
    <x:row r="65" spans="1:8" ht="13" x14ac:dyDescent="0.3">
      <x:c r="A65" s="34"/>
      <x:c r="B65" s="5">
        <x:v>44682</x:v>
      </x:c>
      <x:c r="C65" s="6">
        <x:f t="shared" si="3"/>
        <x:v>-13897.96</x:v>
      </x:c>
      <x:c r="D65" s="9">
        <x:f t="shared" si="2"/>
        <x:v>2533358.0613978514</x:v>
      </x:c>
      <x:c r="E65" s="1"/>
      <x:c r="F65" s="1"/>
      <x:c r="G65" s="1"/>
      <x:c r="H65" s="1"/>
    </x:row>
    <x:row r="66" spans="1:8" ht="13" x14ac:dyDescent="0.3">
      <x:c r="A66" s="34"/>
      <x:c r="B66" s="5">
        <x:v>44713</x:v>
      </x:c>
      <x:c r="C66" s="6">
        <x:f t="shared" si="3"/>
        <x:v>-13897.96</x:v>
      </x:c>
      <x:c r="D66" s="9">
        <x:f t="shared" si="2"/>
        <x:v>2519460.1013978515</x:v>
      </x:c>
      <x:c r="E66" s="1"/>
      <x:c r="F66" s="1"/>
      <x:c r="G66" s="1"/>
      <x:c r="H66" s="1"/>
    </x:row>
    <x:row r="67" spans="1:8" ht="13" x14ac:dyDescent="0.3">
      <x:c r="A67" s="34"/>
      <x:c r="B67" s="5">
        <x:v>44743</x:v>
      </x:c>
      <x:c r="C67" s="6">
        <x:f t="shared" si="3"/>
        <x:v>-13897.96</x:v>
      </x:c>
      <x:c r="D67" s="9">
        <x:f t="shared" si="2"/>
        <x:v>2505562.1413978515</x:v>
      </x:c>
      <x:c r="E67" s="1"/>
      <x:c r="H67" s="1"/>
    </x:row>
    <x:row r="68" spans="1:8" ht="13" x14ac:dyDescent="0.3">
      <x:c r="A68" s="34"/>
      <x:c r="B68" s="5">
        <x:v>44774</x:v>
      </x:c>
      <x:c r="C68" s="6">
        <x:f t="shared" si="3"/>
        <x:v>-13897.96</x:v>
      </x:c>
      <x:c r="D68" s="9">
        <x:f t="shared" si="2"/>
        <x:v>2491664.1813978516</x:v>
      </x:c>
      <x:c r="E68" s="1"/>
      <x:c r="F68" s="1"/>
      <x:c r="G68" s="1"/>
      <x:c r="H68" s="1"/>
    </x:row>
    <x:row r="69" spans="1:8" ht="13" x14ac:dyDescent="0.3">
      <x:c r="A69" s="34"/>
      <x:c r="B69" s="5">
        <x:v>44805</x:v>
      </x:c>
      <x:c r="C69" s="6">
        <x:f t="shared" si="3"/>
        <x:v>-13897.96</x:v>
      </x:c>
      <x:c r="D69" s="9">
        <x:f t="shared" si="2"/>
        <x:v>2477766.2213978516</x:v>
      </x:c>
      <x:c r="E69" s="1"/>
      <x:c r="F69" s="1"/>
      <x:c r="G69" s="1"/>
      <x:c r="H69" s="1"/>
    </x:row>
    <x:row r="70" spans="1:8" ht="13" x14ac:dyDescent="0.3">
      <x:c r="A70" s="34"/>
      <x:c r="B70" s="5">
        <x:v>44835</x:v>
      </x:c>
      <x:c r="C70" s="6">
        <x:f t="shared" si="3"/>
        <x:v>-13897.96</x:v>
      </x:c>
      <x:c r="D70" s="9">
        <x:f t="shared" si="2"/>
        <x:v>2463868.2613978516</x:v>
      </x:c>
      <x:c r="E70" s="1"/>
      <x:c r="F70" s="1"/>
      <x:c r="G70" s="1"/>
      <x:c r="H70" s="1"/>
    </x:row>
    <x:row r="71" spans="1:8" ht="13" x14ac:dyDescent="0.3">
      <x:c r="A71" s="34"/>
      <x:c r="B71" s="5">
        <x:v>44866</x:v>
      </x:c>
      <x:c r="C71" s="6">
        <x:f t="shared" si="3"/>
        <x:v>-13897.96</x:v>
      </x:c>
      <x:c r="D71" s="9">
        <x:f t="shared" si="2"/>
        <x:v>2449970.3013978517</x:v>
      </x:c>
      <x:c r="E71" s="1"/>
      <x:c r="F71" s="1"/>
      <x:c r="G71" s="1"/>
      <x:c r="H71" s="1"/>
    </x:row>
    <x:row r="72" spans="1:8" ht="13" x14ac:dyDescent="0.3">
      <x:c r="A72" s="34"/>
      <x:c r="B72" s="5">
        <x:v>44896</x:v>
      </x:c>
      <x:c r="C72" s="6">
        <x:f t="shared" si="3"/>
        <x:v>-13897.96</x:v>
      </x:c>
      <x:c r="D72" s="9">
        <x:f t="shared" si="2"/>
        <x:v>2436072.3413978517</x:v>
      </x:c>
      <x:c r="E72" s="1"/>
      <x:c r="F72" s="1"/>
      <x:c r="G72" s="1"/>
      <x:c r="H72" s="1"/>
    </x:row>
    <x:row r="73" spans="1:8" ht="13" x14ac:dyDescent="0.3">
      <x:c r="A73" s="34"/>
      <x:c r="B73" s="5">
        <x:v>44927</x:v>
      </x:c>
      <x:c r="C73" s="6">
        <x:f t="shared" si="3"/>
        <x:v>-13897.96</x:v>
      </x:c>
      <x:c r="D73" s="7">
        <x:f t="shared" si="2"/>
        <x:v>2422174.3813978517</x:v>
      </x:c>
      <x:c r="E73" s="1"/>
      <x:c r="F73" s="1"/>
      <x:c r="G73" s="1"/>
      <x:c r="H73" s="1"/>
    </x:row>
    <x:row r="74" spans="1:8" ht="13" x14ac:dyDescent="0.3">
      <x:c r="A74" s="34"/>
      <x:c r="B74" s="5">
        <x:v>44958</x:v>
      </x:c>
      <x:c r="C74" s="6">
        <x:f t="shared" si="3"/>
        <x:v>-13897.96</x:v>
      </x:c>
      <x:c r="D74" s="7">
        <x:f t="shared" si="2"/>
        <x:v>2408276.4213978518</x:v>
      </x:c>
      <x:c r="E74" s="1"/>
      <x:c r="F74" s="1"/>
      <x:c r="G74" s="1"/>
      <x:c r="H74" s="1"/>
    </x:row>
    <x:row r="75" spans="1:8" ht="13" x14ac:dyDescent="0.3">
      <x:c r="A75" s="34"/>
      <x:c r="B75" s="5">
        <x:v>44986</x:v>
      </x:c>
      <x:c r="C75" s="6">
        <x:f t="shared" si="3"/>
        <x:v>-13897.96</x:v>
      </x:c>
      <x:c r="D75" s="7">
        <x:f t="shared" si="2"/>
        <x:v>2394378.4613978518</x:v>
      </x:c>
      <x:c r="E75" s="1"/>
      <x:c r="F75" s="1"/>
      <x:c r="G75" s="1"/>
      <x:c r="H75" s="1"/>
    </x:row>
    <x:row r="76" spans="1:8" x14ac:dyDescent="0.25">
      <x:c r="A76" s="34"/>
      <x:c r="B76" s="5">
        <x:v>45017</x:v>
      </x:c>
      <x:c r="C76" s="6">
        <x:f t="shared" si="3"/>
        <x:v>-13897.96</x:v>
      </x:c>
      <x:c r="D76" s="7">
        <x:f t="shared" si="2"/>
        <x:v>2380480.5013978519</x:v>
      </x:c>
      <x:c r="F76" s="33">
        <x:f>SUM(C61:C76)</x:f>
        <x:v>-222367.3599999999</x:v>
      </x:c>
      <x:c r="G76" s="34" t="s">
        <x:v>26</x:v>
      </x:c>
    </x:row>
    <x:row r="77" spans="1:8" ht="13" x14ac:dyDescent="0.3">
      <x:c r="A77" s="34">
        <x:v>1</x:v>
      </x:c>
      <x:c r="B77" s="5">
        <x:v>45047</x:v>
      </x:c>
      <x:c r="C77" s="6">
        <x:f>-ROUND(D15/12,2)</x:f>
        <x:v>-43380.79</x:v>
      </x:c>
      <x:c r="D77" s="7">
        <x:f>D76+C77-0.44</x:f>
        <x:v>2337099.2713978519</x:v>
      </x:c>
      <x:c r="E77" s="34" t="s">
        <x:v>40</x:v>
      </x:c>
      <x:c r="F77" s="1"/>
      <x:c r="G77" s="1"/>
      <x:c r="H77" s="1"/>
    </x:row>
    <x:row r="78" spans="1:8" ht="13" x14ac:dyDescent="0.3">
      <x:c r="A78" s="34">
        <x:v>2</x:v>
      </x:c>
      <x:c r="B78" s="5">
        <x:v>45078</x:v>
      </x:c>
      <x:c r="C78" s="6">
        <x:f t="shared" si="3"/>
        <x:v>-43380.79</x:v>
      </x:c>
      <x:c r="D78" s="7">
        <x:f t="shared" si="2"/>
        <x:v>2293718.4813978518</x:v>
      </x:c>
      <x:c r="E78" s="1"/>
      <x:c r="F78" s="1"/>
      <x:c r="G78" s="1"/>
      <x:c r="H78" s="1"/>
    </x:row>
    <x:row r="79" spans="1:8" ht="13" x14ac:dyDescent="0.3">
      <x:c r="A79" s="34">
        <x:v>3</x:v>
      </x:c>
      <x:c r="B79" s="5">
        <x:v>45108</x:v>
      </x:c>
      <x:c r="C79" s="6">
        <x:f t="shared" si="3"/>
        <x:v>-43380.79</x:v>
      </x:c>
      <x:c r="D79" s="7">
        <x:f t="shared" si="2"/>
        <x:v>2250337.6913978518</x:v>
      </x:c>
      <x:c r="E79" s="1"/>
      <x:c r="F79" s="1"/>
      <x:c r="G79" s="1"/>
      <x:c r="H79" s="1"/>
    </x:row>
    <x:row r="80" spans="1:8" ht="13" x14ac:dyDescent="0.3">
      <x:c r="A80" s="34">
        <x:v>4</x:v>
      </x:c>
      <x:c r="B80" s="5">
        <x:v>45139</x:v>
      </x:c>
      <x:c r="C80" s="6">
        <x:f t="shared" si="3"/>
        <x:v>-43380.79</x:v>
      </x:c>
      <x:c r="D80" s="7">
        <x:f t="shared" si="2"/>
        <x:v>2206956.9013978518</x:v>
      </x:c>
      <x:c r="E80" s="1"/>
      <x:c r="F80" s="1"/>
      <x:c r="G80" s="1"/>
      <x:c r="H80" s="1"/>
    </x:row>
    <x:row r="81" spans="1:8" ht="12" customHeight="1" x14ac:dyDescent="0.3">
      <x:c r="A81" s="34">
        <x:v>5</x:v>
      </x:c>
      <x:c r="B81" s="5">
        <x:v>45170</x:v>
      </x:c>
      <x:c r="C81" s="6">
        <x:f>C80</x:f>
        <x:v>-43380.79</x:v>
      </x:c>
      <x:c r="D81" s="7">
        <x:f t="shared" si="2"/>
        <x:v>2163576.1113978517</x:v>
      </x:c>
      <x:c r="E81" s="1"/>
      <x:c r="F81" s="1"/>
      <x:c r="G81" s="1"/>
      <x:c r="H81" s="1"/>
    </x:row>
    <x:row r="82" spans="1:8" ht="13" x14ac:dyDescent="0.3">
      <x:c r="A82" s="34">
        <x:v>6</x:v>
      </x:c>
      <x:c r="B82" s="5">
        <x:v>45200</x:v>
      </x:c>
      <x:c r="C82" s="6">
        <x:f t="shared" si="3"/>
        <x:v>-43380.79</x:v>
      </x:c>
      <x:c r="D82" s="7">
        <x:f t="shared" si="2"/>
        <x:v>2120195.3213978517</x:v>
      </x:c>
      <x:c r="E82" s="1"/>
      <x:c r="F82" s="37" t="s">
        <x:v>17</x:v>
      </x:c>
      <x:c r="G82" s="1"/>
      <x:c r="H82" s="1"/>
    </x:row>
    <x:row r="83" spans="1:8" ht="13" x14ac:dyDescent="0.3">
      <x:c r="A83" s="34">
        <x:v>7</x:v>
      </x:c>
      <x:c r="B83" s="5">
        <x:v>45231</x:v>
      </x:c>
      <x:c r="C83" s="6">
        <x:f t="shared" si="3"/>
        <x:v>-43380.79</x:v>
      </x:c>
      <x:c r="D83" s="7">
        <x:f t="shared" si="2"/>
        <x:v>2076814.5313978516</x:v>
      </x:c>
      <x:c r="E83" s="1"/>
      <x:c r="F83" s="37" t="s">
        <x:v>45</x:v>
      </x:c>
      <x:c r="G83" s="1"/>
      <x:c r="H83" s="1"/>
    </x:row>
    <x:row r="84" spans="1:8" ht="13" x14ac:dyDescent="0.3">
      <x:c r="A84" s="34">
        <x:v>8</x:v>
      </x:c>
      <x:c r="B84" s="5">
        <x:v>45261</x:v>
      </x:c>
      <x:c r="C84" s="6">
        <x:f t="shared" si="3"/>
        <x:v>-43380.79</x:v>
      </x:c>
      <x:c r="D84" s="7">
        <x:f>D83+C84</x:f>
        <x:v>2033433.7413978516</x:v>
      </x:c>
      <x:c r="E84" s="1"/>
      <x:c r="F84" s="38" t="s">
        <x:v>28</x:v>
      </x:c>
      <x:c r="G84" s="1"/>
      <x:c r="H84" s="1"/>
    </x:row>
    <x:row r="85" spans="1:8" ht="13" x14ac:dyDescent="0.3">
      <x:c r="A85" s="34">
        <x:v>9</x:v>
      </x:c>
      <x:c r="B85" s="5">
        <x:v>45292</x:v>
      </x:c>
      <x:c r="C85" s="6">
        <x:f t="shared" si="3"/>
        <x:v>-43380.79</x:v>
      </x:c>
      <x:c r="D85" s="7">
        <x:f t="shared" ref="D85:D136" si="4">D84+C85</x:f>
        <x:v>1990052.9513978516</x:v>
      </x:c>
      <x:c r="E85" s="1"/>
      <x:c r="F85" s="33">
        <x:f>-C85</x:f>
        <x:v>43380.79</x:v>
      </x:c>
      <x:c r="G85" s="1"/>
      <x:c r="H85" s="1"/>
    </x:row>
    <x:row r="86" spans="1:8" ht="13" x14ac:dyDescent="0.3">
      <x:c r="A86" s="34">
        <x:v>10</x:v>
      </x:c>
      <x:c r="B86" s="5">
        <x:v>45323</x:v>
      </x:c>
      <x:c r="C86" s="6">
        <x:f t="shared" si="3"/>
        <x:v>-43380.79</x:v>
      </x:c>
      <x:c r="D86" s="7">
        <x:f t="shared" si="4"/>
        <x:v>1946672.1613978515</x:v>
      </x:c>
      <x:c r="E86" s="1"/>
      <x:c r="F86" s="33">
        <x:f t="shared" ref="F86:F96" si="5">-C86</x:f>
        <x:v>43380.79</x:v>
      </x:c>
      <x:c r="G86" s="1"/>
      <x:c r="H86" s="1"/>
    </x:row>
    <x:row r="87" spans="1:8" ht="13" x14ac:dyDescent="0.3">
      <x:c r="A87" s="34">
        <x:v>11</x:v>
      </x:c>
      <x:c r="B87" s="5">
        <x:v>45352</x:v>
      </x:c>
      <x:c r="C87" s="6">
        <x:f t="shared" si="3"/>
        <x:v>-43380.79</x:v>
      </x:c>
      <x:c r="D87" s="7">
        <x:f t="shared" si="4"/>
        <x:v>1903291.3713978515</x:v>
      </x:c>
      <x:c r="E87" s="1"/>
      <x:c r="F87" s="33">
        <x:f t="shared" si="5"/>
        <x:v>43380.79</x:v>
      </x:c>
      <x:c r="G87" s="1"/>
      <x:c r="H87" s="1"/>
    </x:row>
    <x:row r="88" spans="1:8" ht="13" x14ac:dyDescent="0.3">
      <x:c r="A88" s="34">
        <x:v>12</x:v>
      </x:c>
      <x:c r="B88" s="5">
        <x:v>45383</x:v>
      </x:c>
      <x:c r="C88" s="6">
        <x:f t="shared" si="3"/>
        <x:v>-43380.79</x:v>
      </x:c>
      <x:c r="D88" s="7">
        <x:f t="shared" si="4"/>
        <x:v>1859910.5813978515</x:v>
      </x:c>
      <x:c r="E88" s="1"/>
      <x:c r="F88" s="33">
        <x:f t="shared" si="5"/>
        <x:v>43380.79</x:v>
      </x:c>
      <x:c r="G88" s="1"/>
      <x:c r="H88" s="1"/>
    </x:row>
    <x:row r="89" spans="1:8" ht="13" x14ac:dyDescent="0.3">
      <x:c r="A89" s="34">
        <x:v>13</x:v>
      </x:c>
      <x:c r="B89" s="5">
        <x:v>45413</x:v>
      </x:c>
      <x:c r="C89" s="6">
        <x:f t="shared" si="3"/>
        <x:v>-43380.79</x:v>
      </x:c>
      <x:c r="D89" s="7">
        <x:f t="shared" si="4"/>
        <x:v>1816529.7913978514</x:v>
      </x:c>
      <x:c r="E89" s="1"/>
      <x:c r="F89" s="33">
        <x:f t="shared" si="5"/>
        <x:v>43380.79</x:v>
      </x:c>
      <x:c r="G89" s="1"/>
      <x:c r="H89" s="1"/>
    </x:row>
    <x:row r="90" spans="1:8" ht="13" x14ac:dyDescent="0.3">
      <x:c r="A90" s="34">
        <x:v>14</x:v>
      </x:c>
      <x:c r="B90" s="5">
        <x:v>45444</x:v>
      </x:c>
      <x:c r="C90" s="6">
        <x:f t="shared" si="3"/>
        <x:v>-43380.79</x:v>
      </x:c>
      <x:c r="D90" s="7">
        <x:f t="shared" si="4"/>
        <x:v>1773149.0013978514</x:v>
      </x:c>
      <x:c r="E90" s="1"/>
      <x:c r="F90" s="33">
        <x:f t="shared" si="5"/>
        <x:v>43380.79</x:v>
      </x:c>
      <x:c r="G90" s="1"/>
      <x:c r="H90" s="1"/>
    </x:row>
    <x:row r="91" spans="1:8" ht="13" x14ac:dyDescent="0.3">
      <x:c r="A91" s="34">
        <x:v>15</x:v>
      </x:c>
      <x:c r="B91" s="5">
        <x:v>45474</x:v>
      </x:c>
      <x:c r="C91" s="6">
        <x:f t="shared" si="3"/>
        <x:v>-43380.79</x:v>
      </x:c>
      <x:c r="D91" s="7">
        <x:f t="shared" si="4"/>
        <x:v>1729768.2113978514</x:v>
      </x:c>
      <x:c r="E91" s="1"/>
      <x:c r="F91" s="33">
        <x:f t="shared" si="5"/>
        <x:v>43380.79</x:v>
      </x:c>
      <x:c r="G91" s="1"/>
      <x:c r="H91" s="1"/>
    </x:row>
    <x:row r="92" spans="1:8" ht="13" x14ac:dyDescent="0.3">
      <x:c r="A92" s="34">
        <x:v>16</x:v>
      </x:c>
      <x:c r="B92" s="5">
        <x:v>45505</x:v>
      </x:c>
      <x:c r="C92" s="6">
        <x:f t="shared" si="3"/>
        <x:v>-43380.79</x:v>
      </x:c>
      <x:c r="D92" s="7">
        <x:f t="shared" si="4"/>
        <x:v>1686387.4213978513</x:v>
      </x:c>
      <x:c r="E92" s="1"/>
      <x:c r="F92" s="33">
        <x:f t="shared" si="5"/>
        <x:v>43380.79</x:v>
      </x:c>
      <x:c r="G92" s="1"/>
      <x:c r="H92" s="1"/>
    </x:row>
    <x:row r="93" spans="1:8" ht="13" x14ac:dyDescent="0.3">
      <x:c r="A93" s="34">
        <x:v>17</x:v>
      </x:c>
      <x:c r="B93" s="5">
        <x:v>45536</x:v>
      </x:c>
      <x:c r="C93" s="6">
        <x:f t="shared" si="3"/>
        <x:v>-43380.79</x:v>
      </x:c>
      <x:c r="D93" s="7">
        <x:f t="shared" si="4"/>
        <x:v>1643006.6313978513</x:v>
      </x:c>
      <x:c r="E93" s="1"/>
      <x:c r="F93" s="33">
        <x:f t="shared" si="5"/>
        <x:v>43380.79</x:v>
      </x:c>
      <x:c r="G93" s="1"/>
      <x:c r="H93" s="1"/>
    </x:row>
    <x:row r="94" spans="1:8" ht="13" x14ac:dyDescent="0.3">
      <x:c r="A94" s="34">
        <x:v>18</x:v>
      </x:c>
      <x:c r="B94" s="5">
        <x:v>45566</x:v>
      </x:c>
      <x:c r="C94" s="6">
        <x:f t="shared" si="3"/>
        <x:v>-43380.79</x:v>
      </x:c>
      <x:c r="D94" s="7">
        <x:f t="shared" si="4"/>
        <x:v>1599625.8413978512</x:v>
      </x:c>
      <x:c r="E94" s="1"/>
      <x:c r="F94" s="33">
        <x:f t="shared" si="5"/>
        <x:v>43380.79</x:v>
      </x:c>
      <x:c r="G94" s="1"/>
      <x:c r="H94" s="1"/>
    </x:row>
    <x:row r="95" spans="1:8" ht="13" x14ac:dyDescent="0.3">
      <x:c r="A95" s="34">
        <x:v>19</x:v>
      </x:c>
      <x:c r="B95" s="5">
        <x:v>45597</x:v>
      </x:c>
      <x:c r="C95" s="6">
        <x:f t="shared" si="3"/>
        <x:v>-43380.79</x:v>
      </x:c>
      <x:c r="D95" s="7">
        <x:f t="shared" si="4"/>
        <x:v>1556245.0513978512</x:v>
      </x:c>
      <x:c r="E95" s="1"/>
      <x:c r="F95" s="33">
        <x:f t="shared" si="5"/>
        <x:v>43380.79</x:v>
      </x:c>
      <x:c r="G95" s="50" t="s">
        <x:v>36</x:v>
      </x:c>
      <x:c r="H95" s="38" t="s">
        <x:v>15</x:v>
      </x:c>
    </x:row>
    <x:row r="96" spans="1:8" s="36" customFormat="1" ht="13" x14ac:dyDescent="0.3">
      <x:c r="A96" s="43">
        <x:v>20</x:v>
      </x:c>
      <x:c r="B96" s="35">
        <x:v>45627</x:v>
      </x:c>
      <x:c r="C96" s="6">
        <x:f t="shared" ref="C96:C135" si="6">C95</x:f>
        <x:v>-43380.79</x:v>
      </x:c>
      <x:c r="D96" s="40">
        <x:f t="shared" si="4"/>
        <x:v>1512864.2613978512</x:v>
      </x:c>
      <x:c r="E96" s="41" t="s">
        <x:v>27</x:v>
      </x:c>
      <x:c r="F96" s="39">
        <x:f t="shared" si="5"/>
        <x:v>43380.79</x:v>
      </x:c>
      <x:c r="G96" s="49">
        <x:f>ROUND(D96*F13,2)</x:f>
        <x:v>609847.32999999996</x:v>
      </x:c>
      <x:c r="H96" s="49">
        <x:f>D96-G96</x:f>
        <x:v>903016.93139785121</x:v>
      </x:c>
    </x:row>
    <x:row r="97" spans="1:8" ht="13" x14ac:dyDescent="0.3">
      <x:c r="A97" s="34">
        <x:v>21</x:v>
      </x:c>
      <x:c r="B97" s="5">
        <x:v>45658</x:v>
      </x:c>
      <x:c r="C97" s="6">
        <x:f t="shared" si="6"/>
        <x:v>-43380.79</x:v>
      </x:c>
      <x:c r="D97" s="7">
        <x:f t="shared" si="4"/>
        <x:v>1469483.4713978511</x:v>
      </x:c>
      <x:c r="E97" s="1"/>
      <x:c r="F97" s="33">
        <x:f>SUM(F85:F96)</x:f>
        <x:v>520569.47999999992</x:v>
      </x:c>
      <x:c r="G97" s="1"/>
      <x:c r="H97" s="1"/>
    </x:row>
    <x:row r="98" spans="1:8" ht="13" x14ac:dyDescent="0.3">
      <x:c r="A98" s="34">
        <x:v>22</x:v>
      </x:c>
      <x:c r="B98" s="5">
        <x:v>45689</x:v>
      </x:c>
      <x:c r="C98" s="6">
        <x:f t="shared" si="6"/>
        <x:v>-43380.79</x:v>
      </x:c>
      <x:c r="D98" s="7">
        <x:f t="shared" si="4"/>
        <x:v>1426102.6813978511</x:v>
      </x:c>
      <x:c r="E98" s="1"/>
      <x:c r="F98" s="1"/>
      <x:c r="G98" s="1"/>
      <x:c r="H98" s="1"/>
    </x:row>
    <x:row r="99" spans="1:8" ht="13" x14ac:dyDescent="0.3">
      <x:c r="A99" s="34">
        <x:v>23</x:v>
      </x:c>
      <x:c r="B99" s="5">
        <x:v>45717</x:v>
      </x:c>
      <x:c r="C99" s="6">
        <x:f t="shared" si="6"/>
        <x:v>-43380.79</x:v>
      </x:c>
      <x:c r="D99" s="7">
        <x:f t="shared" si="4"/>
        <x:v>1382721.8913978511</x:v>
      </x:c>
      <x:c r="E99" s="1"/>
      <x:c r="F99" s="1"/>
      <x:c r="G99" s="1"/>
      <x:c r="H99" s="1"/>
    </x:row>
    <x:row r="100" spans="1:8" ht="13" x14ac:dyDescent="0.3">
      <x:c r="A100" s="34">
        <x:v>24</x:v>
      </x:c>
      <x:c r="B100" s="5">
        <x:v>45748</x:v>
      </x:c>
      <x:c r="C100" s="6">
        <x:f t="shared" si="6"/>
        <x:v>-43380.79</x:v>
      </x:c>
      <x:c r="D100" s="7">
        <x:f t="shared" si="4"/>
        <x:v>1339341.101397851</x:v>
      </x:c>
      <x:c r="E100" s="1"/>
      <x:c r="F100" s="1"/>
      <x:c r="G100" s="1"/>
      <x:c r="H100" s="1"/>
    </x:row>
    <x:row r="101" spans="1:8" ht="13" x14ac:dyDescent="0.3">
      <x:c r="A101" s="34">
        <x:v>25</x:v>
      </x:c>
      <x:c r="B101" s="5">
        <x:v>45778</x:v>
      </x:c>
      <x:c r="C101" s="6">
        <x:f t="shared" si="6"/>
        <x:v>-43380.79</x:v>
      </x:c>
      <x:c r="D101" s="7">
        <x:f t="shared" si="4"/>
        <x:v>1295960.311397851</x:v>
      </x:c>
      <x:c r="E101" s="1"/>
      <x:c r="F101" s="1"/>
      <x:c r="G101" s="1"/>
      <x:c r="H101" s="1"/>
    </x:row>
    <x:row r="102" spans="1:8" ht="13" x14ac:dyDescent="0.3">
      <x:c r="A102" s="34">
        <x:v>26</x:v>
      </x:c>
      <x:c r="B102" s="5">
        <x:v>45809</x:v>
      </x:c>
      <x:c r="C102" s="6">
        <x:f t="shared" si="6"/>
        <x:v>-43380.79</x:v>
      </x:c>
      <x:c r="D102" s="7">
        <x:f t="shared" si="4"/>
        <x:v>1252579.5213978509</x:v>
      </x:c>
      <x:c r="E102" s="1"/>
      <x:c r="F102" s="1"/>
      <x:c r="G102" s="1"/>
      <x:c r="H102" s="1"/>
    </x:row>
    <x:row r="103" spans="1:8" ht="13" x14ac:dyDescent="0.3">
      <x:c r="A103" s="34">
        <x:v>27</x:v>
      </x:c>
      <x:c r="B103" s="5">
        <x:v>45839</x:v>
      </x:c>
      <x:c r="C103" s="6">
        <x:f t="shared" si="6"/>
        <x:v>-43380.79</x:v>
      </x:c>
      <x:c r="D103" s="7">
        <x:f t="shared" si="4"/>
        <x:v>1209198.7313978509</x:v>
      </x:c>
      <x:c r="E103" s="1"/>
      <x:c r="F103" s="1"/>
      <x:c r="G103" s="1"/>
      <x:c r="H103" s="1"/>
    </x:row>
    <x:row r="104" spans="1:8" ht="13" x14ac:dyDescent="0.3">
      <x:c r="A104" s="34">
        <x:v>28</x:v>
      </x:c>
      <x:c r="B104" s="5">
        <x:v>45870</x:v>
      </x:c>
      <x:c r="C104" s="6">
        <x:f t="shared" si="6"/>
        <x:v>-43380.79</x:v>
      </x:c>
      <x:c r="D104" s="7">
        <x:f t="shared" si="4"/>
        <x:v>1165817.9413978509</x:v>
      </x:c>
      <x:c r="E104" s="1"/>
      <x:c r="F104" s="1"/>
      <x:c r="G104" s="1"/>
      <x:c r="H104" s="1"/>
    </x:row>
    <x:row r="105" spans="1:8" ht="13" x14ac:dyDescent="0.3">
      <x:c r="A105" s="34">
        <x:v>29</x:v>
      </x:c>
      <x:c r="B105" s="5">
        <x:v>45901</x:v>
      </x:c>
      <x:c r="C105" s="6">
        <x:f t="shared" si="6"/>
        <x:v>-43380.79</x:v>
      </x:c>
      <x:c r="D105" s="7">
        <x:f t="shared" si="4"/>
        <x:v>1122437.1513978508</x:v>
      </x:c>
      <x:c r="E105" s="1"/>
      <x:c r="F105" s="1"/>
      <x:c r="G105" s="1"/>
      <x:c r="H105" s="1"/>
    </x:row>
    <x:row r="106" spans="1:8" ht="13" x14ac:dyDescent="0.3">
      <x:c r="A106" s="34">
        <x:v>30</x:v>
      </x:c>
      <x:c r="B106" s="5">
        <x:v>45931</x:v>
      </x:c>
      <x:c r="C106" s="6">
        <x:f t="shared" si="6"/>
        <x:v>-43380.79</x:v>
      </x:c>
      <x:c r="D106" s="7">
        <x:f t="shared" si="4"/>
        <x:v>1079056.3613978508</x:v>
      </x:c>
      <x:c r="E106" s="1"/>
      <x:c r="F106" s="1"/>
      <x:c r="G106" s="1"/>
      <x:c r="H106" s="1"/>
    </x:row>
    <x:row r="107" spans="1:8" ht="13" x14ac:dyDescent="0.3">
      <x:c r="A107" s="34">
        <x:v>31</x:v>
      </x:c>
      <x:c r="B107" s="5">
        <x:v>45962</x:v>
      </x:c>
      <x:c r="C107" s="6">
        <x:f t="shared" si="6"/>
        <x:v>-43380.79</x:v>
      </x:c>
      <x:c r="D107" s="7">
        <x:f t="shared" si="4"/>
        <x:v>1035675.5713978508</x:v>
      </x:c>
      <x:c r="E107" s="1"/>
      <x:c r="F107" s="1"/>
      <x:c r="G107" s="1"/>
      <x:c r="H107" s="1"/>
    </x:row>
    <x:row r="108" spans="1:8" ht="13" x14ac:dyDescent="0.3">
      <x:c r="A108" s="34">
        <x:v>32</x:v>
      </x:c>
      <x:c r="B108" s="5">
        <x:v>45992</x:v>
      </x:c>
      <x:c r="C108" s="6">
        <x:f t="shared" si="6"/>
        <x:v>-43380.79</x:v>
      </x:c>
      <x:c r="D108" s="7">
        <x:f t="shared" si="4"/>
        <x:v>992294.78139785072</x:v>
      </x:c>
      <x:c r="E108" s="1"/>
      <x:c r="F108" s="1"/>
      <x:c r="G108" s="1"/>
      <x:c r="H108" s="1"/>
    </x:row>
    <x:row r="109" spans="1:8" ht="13" x14ac:dyDescent="0.3">
      <x:c r="A109" s="34">
        <x:v>33</x:v>
      </x:c>
      <x:c r="B109" s="5">
        <x:v>46023</x:v>
      </x:c>
      <x:c r="C109" s="6">
        <x:f t="shared" si="6"/>
        <x:v>-43380.79</x:v>
      </x:c>
      <x:c r="D109" s="7">
        <x:f t="shared" si="4"/>
        <x:v>948913.99139785068</x:v>
      </x:c>
      <x:c r="E109" s="1"/>
      <x:c r="F109" s="1"/>
      <x:c r="G109" s="1"/>
      <x:c r="H109" s="1"/>
    </x:row>
    <x:row r="110" spans="1:8" ht="13" x14ac:dyDescent="0.3">
      <x:c r="A110" s="34">
        <x:v>34</x:v>
      </x:c>
      <x:c r="B110" s="5">
        <x:v>46054</x:v>
      </x:c>
      <x:c r="C110" s="6">
        <x:f t="shared" si="6"/>
        <x:v>-43380.79</x:v>
      </x:c>
      <x:c r="D110" s="7">
        <x:f t="shared" si="4"/>
        <x:v>905533.20139785064</x:v>
      </x:c>
      <x:c r="E110" s="1"/>
      <x:c r="F110" s="1"/>
      <x:c r="G110" s="1"/>
      <x:c r="H110" s="1"/>
    </x:row>
    <x:row r="111" spans="1:8" ht="13" x14ac:dyDescent="0.3">
      <x:c r="A111" s="34">
        <x:v>35</x:v>
      </x:c>
      <x:c r="B111" s="5">
        <x:v>46082</x:v>
      </x:c>
      <x:c r="C111" s="6">
        <x:f t="shared" si="6"/>
        <x:v>-43380.79</x:v>
      </x:c>
      <x:c r="D111" s="7">
        <x:f t="shared" si="4"/>
        <x:v>862152.41139785061</x:v>
      </x:c>
      <x:c r="E111" s="1"/>
      <x:c r="F111" s="1"/>
      <x:c r="G111" s="1"/>
      <x:c r="H111" s="1"/>
    </x:row>
    <x:row r="112" spans="1:8" ht="13" x14ac:dyDescent="0.3">
      <x:c r="A112" s="34">
        <x:v>36</x:v>
      </x:c>
      <x:c r="B112" s="5">
        <x:v>46113</x:v>
      </x:c>
      <x:c r="C112" s="6">
        <x:f t="shared" si="6"/>
        <x:v>-43380.79</x:v>
      </x:c>
      <x:c r="D112" s="7">
        <x:f t="shared" si="4"/>
        <x:v>818771.62139785057</x:v>
      </x:c>
      <x:c r="E112" s="1"/>
      <x:c r="F112" s="1"/>
      <x:c r="G112" s="1"/>
      <x:c r="H112" s="1"/>
    </x:row>
    <x:row r="113" spans="1:8" ht="13" x14ac:dyDescent="0.3">
      <x:c r="A113" s="34">
        <x:v>37</x:v>
      </x:c>
      <x:c r="B113" s="5">
        <x:v>46143</x:v>
      </x:c>
      <x:c r="C113" s="6">
        <x:f t="shared" si="6"/>
        <x:v>-43380.79</x:v>
      </x:c>
      <x:c r="D113" s="7">
        <x:f t="shared" si="4"/>
        <x:v>775390.83139785053</x:v>
      </x:c>
      <x:c r="E113" s="1"/>
      <x:c r="F113" s="1"/>
      <x:c r="G113" s="1"/>
      <x:c r="H113" s="1"/>
    </x:row>
    <x:row r="114" spans="1:8" ht="13" x14ac:dyDescent="0.3">
      <x:c r="A114" s="34">
        <x:v>38</x:v>
      </x:c>
      <x:c r="B114" s="5">
        <x:v>46174</x:v>
      </x:c>
      <x:c r="C114" s="6">
        <x:f t="shared" si="6"/>
        <x:v>-43380.79</x:v>
      </x:c>
      <x:c r="D114" s="7">
        <x:f t="shared" si="4"/>
        <x:v>732010.04139785049</x:v>
      </x:c>
      <x:c r="E114" s="1"/>
      <x:c r="F114" s="1"/>
      <x:c r="G114" s="1"/>
      <x:c r="H114" s="1"/>
    </x:row>
    <x:row r="115" spans="1:8" ht="13" x14ac:dyDescent="0.3">
      <x:c r="A115" s="34">
        <x:v>39</x:v>
      </x:c>
      <x:c r="B115" s="5">
        <x:v>46204</x:v>
      </x:c>
      <x:c r="C115" s="6">
        <x:f t="shared" si="6"/>
        <x:v>-43380.79</x:v>
      </x:c>
      <x:c r="D115" s="7">
        <x:f t="shared" si="4"/>
        <x:v>688629.25139785046</x:v>
      </x:c>
      <x:c r="E115" s="1"/>
      <x:c r="F115" s="1"/>
      <x:c r="G115" s="1"/>
      <x:c r="H115" s="1"/>
    </x:row>
    <x:row r="116" spans="1:8" ht="13" x14ac:dyDescent="0.3">
      <x:c r="A116" s="34">
        <x:v>40</x:v>
      </x:c>
      <x:c r="B116" s="5">
        <x:v>46235</x:v>
      </x:c>
      <x:c r="C116" s="6">
        <x:f t="shared" si="6"/>
        <x:v>-43380.79</x:v>
      </x:c>
      <x:c r="D116" s="7">
        <x:f t="shared" si="4"/>
        <x:v>645248.46139785042</x:v>
      </x:c>
      <x:c r="E116" s="1"/>
      <x:c r="F116" s="1"/>
      <x:c r="G116" s="1"/>
      <x:c r="H116" s="1"/>
    </x:row>
    <x:row r="117" spans="1:8" ht="13" x14ac:dyDescent="0.3">
      <x:c r="A117" s="34">
        <x:v>41</x:v>
      </x:c>
      <x:c r="B117" s="5">
        <x:v>46266</x:v>
      </x:c>
      <x:c r="C117" s="6">
        <x:f t="shared" si="6"/>
        <x:v>-43380.79</x:v>
      </x:c>
      <x:c r="D117" s="7">
        <x:f t="shared" si="4"/>
        <x:v>601867.67139785038</x:v>
      </x:c>
      <x:c r="E117" s="1"/>
      <x:c r="F117" s="1"/>
      <x:c r="G117" s="1"/>
      <x:c r="H117" s="1"/>
    </x:row>
    <x:row r="118" spans="1:8" ht="13" x14ac:dyDescent="0.3">
      <x:c r="A118" s="34">
        <x:v>42</x:v>
      </x:c>
      <x:c r="B118" s="5">
        <x:v>46296</x:v>
      </x:c>
      <x:c r="C118" s="6">
        <x:f t="shared" si="6"/>
        <x:v>-43380.79</x:v>
      </x:c>
      <x:c r="D118" s="7">
        <x:f t="shared" si="4"/>
        <x:v>558486.88139785035</x:v>
      </x:c>
      <x:c r="E118" s="1"/>
      <x:c r="F118" s="1"/>
      <x:c r="G118" s="1"/>
      <x:c r="H118" s="1"/>
    </x:row>
    <x:row r="119" spans="1:8" ht="13" x14ac:dyDescent="0.3">
      <x:c r="A119" s="34">
        <x:v>43</x:v>
      </x:c>
      <x:c r="B119" s="5">
        <x:v>46327</x:v>
      </x:c>
      <x:c r="C119" s="6">
        <x:f t="shared" si="6"/>
        <x:v>-43380.79</x:v>
      </x:c>
      <x:c r="D119" s="7">
        <x:f t="shared" si="4"/>
        <x:v>515106.09139785037</x:v>
      </x:c>
      <x:c r="E119" s="1"/>
      <x:c r="F119" s="1"/>
      <x:c r="G119" s="1"/>
      <x:c r="H119" s="1"/>
    </x:row>
    <x:row r="120" spans="1:8" ht="13" x14ac:dyDescent="0.3">
      <x:c r="A120" s="34">
        <x:v>44</x:v>
      </x:c>
      <x:c r="B120" s="5">
        <x:v>46357</x:v>
      </x:c>
      <x:c r="C120" s="6">
        <x:f t="shared" si="6"/>
        <x:v>-43380.79</x:v>
      </x:c>
      <x:c r="D120" s="7">
        <x:f t="shared" si="4"/>
        <x:v>471725.30139785039</x:v>
      </x:c>
      <x:c r="E120" s="1"/>
      <x:c r="F120" s="1"/>
      <x:c r="G120" s="1"/>
      <x:c r="H120" s="1"/>
    </x:row>
    <x:row r="121" spans="1:8" ht="13" x14ac:dyDescent="0.3">
      <x:c r="A121" s="34">
        <x:v>45</x:v>
      </x:c>
      <x:c r="B121" s="5">
        <x:v>46388</x:v>
      </x:c>
      <x:c r="C121" s="6">
        <x:f t="shared" si="6"/>
        <x:v>-43380.79</x:v>
      </x:c>
      <x:c r="D121" s="7">
        <x:f t="shared" si="4"/>
        <x:v>428344.51139785041</x:v>
      </x:c>
      <x:c r="E121" s="1"/>
      <x:c r="F121" s="1"/>
      <x:c r="G121" s="1"/>
      <x:c r="H121" s="1"/>
    </x:row>
    <x:row r="122" spans="1:8" ht="13" x14ac:dyDescent="0.3">
      <x:c r="A122" s="34">
        <x:v>46</x:v>
      </x:c>
      <x:c r="B122" s="5">
        <x:v>46419</x:v>
      </x:c>
      <x:c r="C122" s="6">
        <x:f t="shared" si="6"/>
        <x:v>-43380.79</x:v>
      </x:c>
      <x:c r="D122" s="7">
        <x:f t="shared" si="4"/>
        <x:v>384963.72139785043</x:v>
      </x:c>
      <x:c r="E122" s="1"/>
      <x:c r="F122" s="1"/>
      <x:c r="G122" s="1"/>
      <x:c r="H122" s="1"/>
    </x:row>
    <x:row r="123" spans="1:8" ht="13" x14ac:dyDescent="0.3">
      <x:c r="A123" s="34">
        <x:v>47</x:v>
      </x:c>
      <x:c r="B123" s="5">
        <x:v>46447</x:v>
      </x:c>
      <x:c r="C123" s="6">
        <x:f t="shared" si="6"/>
        <x:v>-43380.79</x:v>
      </x:c>
      <x:c r="D123" s="7">
        <x:f t="shared" si="4"/>
        <x:v>341582.93139785045</x:v>
      </x:c>
      <x:c r="E123" s="1"/>
      <x:c r="F123" s="1"/>
      <x:c r="G123" s="1"/>
      <x:c r="H123" s="1"/>
    </x:row>
    <x:row r="124" spans="1:8" ht="13" x14ac:dyDescent="0.3">
      <x:c r="A124" s="34">
        <x:v>48</x:v>
      </x:c>
      <x:c r="B124" s="5">
        <x:v>46478</x:v>
      </x:c>
      <x:c r="C124" s="6">
        <x:f t="shared" si="6"/>
        <x:v>-43380.79</x:v>
      </x:c>
      <x:c r="D124" s="7">
        <x:f t="shared" si="4"/>
        <x:v>298202.14139785047</x:v>
      </x:c>
      <x:c r="E124" s="1"/>
      <x:c r="F124" s="1"/>
      <x:c r="G124" s="1"/>
      <x:c r="H124" s="1"/>
    </x:row>
    <x:row r="125" spans="1:8" ht="13" x14ac:dyDescent="0.3">
      <x:c r="A125" s="34">
        <x:v>49</x:v>
      </x:c>
      <x:c r="B125" s="5">
        <x:v>46508</x:v>
      </x:c>
      <x:c r="C125" s="6">
        <x:f t="shared" si="6"/>
        <x:v>-43380.79</x:v>
      </x:c>
      <x:c r="D125" s="7">
        <x:f t="shared" si="4"/>
        <x:v>254821.35139785046</x:v>
      </x:c>
      <x:c r="E125" s="1"/>
      <x:c r="F125" s="1"/>
      <x:c r="G125" s="1"/>
      <x:c r="H125" s="1"/>
    </x:row>
    <x:row r="126" spans="1:8" ht="13" x14ac:dyDescent="0.3">
      <x:c r="A126" s="34">
        <x:v>50</x:v>
      </x:c>
      <x:c r="B126" s="5">
        <x:v>46539</x:v>
      </x:c>
      <x:c r="C126" s="6">
        <x:f t="shared" si="6"/>
        <x:v>-43380.79</x:v>
      </x:c>
      <x:c r="D126" s="7">
        <x:f t="shared" si="4"/>
        <x:v>211440.56139785046</x:v>
      </x:c>
      <x:c r="E126" s="1"/>
      <x:c r="F126" s="1"/>
      <x:c r="G126" s="1"/>
      <x:c r="H126" s="1"/>
    </x:row>
    <x:row r="127" spans="1:8" ht="13" x14ac:dyDescent="0.3">
      <x:c r="A127" s="34">
        <x:v>51</x:v>
      </x:c>
      <x:c r="B127" s="5">
        <x:v>46569</x:v>
      </x:c>
      <x:c r="C127" s="6">
        <x:f t="shared" si="6"/>
        <x:v>-43380.79</x:v>
      </x:c>
      <x:c r="D127" s="7">
        <x:f t="shared" si="4"/>
        <x:v>168059.77139785045</x:v>
      </x:c>
      <x:c r="E127" s="1"/>
      <x:c r="F127" s="1"/>
      <x:c r="G127" s="1"/>
      <x:c r="H127" s="1"/>
    </x:row>
    <x:row r="128" spans="1:8" ht="13" x14ac:dyDescent="0.3">
      <x:c r="A128" s="34">
        <x:v>52</x:v>
      </x:c>
      <x:c r="B128" s="5">
        <x:v>46600</x:v>
      </x:c>
      <x:c r="C128" s="6">
        <x:f t="shared" si="6"/>
        <x:v>-43380.79</x:v>
      </x:c>
      <x:c r="D128" s="7">
        <x:f t="shared" si="4"/>
        <x:v>124678.98139785044</x:v>
      </x:c>
      <x:c r="E128" s="1"/>
      <x:c r="F128" s="1"/>
      <x:c r="G128" s="1"/>
      <x:c r="H128" s="1"/>
    </x:row>
    <x:row r="129" spans="1:8" ht="13" x14ac:dyDescent="0.3">
      <x:c r="A129" s="34">
        <x:v>53</x:v>
      </x:c>
      <x:c r="B129" s="5">
        <x:v>46631</x:v>
      </x:c>
      <x:c r="C129" s="6">
        <x:f t="shared" si="6"/>
        <x:v>-43380.79</x:v>
      </x:c>
      <x:c r="D129" s="7">
        <x:f t="shared" si="4"/>
        <x:v>81298.191397850431</x:v>
      </x:c>
      <x:c r="E129" s="1"/>
      <x:c r="F129" s="1"/>
      <x:c r="G129" s="1"/>
      <x:c r="H129" s="1"/>
    </x:row>
    <x:row r="130" spans="1:8" ht="13" x14ac:dyDescent="0.3">
      <x:c r="A130" s="34">
        <x:v>54</x:v>
      </x:c>
      <x:c r="B130" s="5">
        <x:v>46661</x:v>
      </x:c>
      <x:c r="C130" s="6">
        <x:f t="shared" si="6"/>
        <x:v>-43380.79</x:v>
      </x:c>
      <x:c r="D130" s="7">
        <x:f t="shared" si="4"/>
        <x:v>37917.40139785043</x:v>
      </x:c>
      <x:c r="E130" s="1"/>
      <x:c r="F130" s="1"/>
      <x:c r="G130" s="1"/>
      <x:c r="H130" s="1"/>
    </x:row>
    <x:row r="131" spans="1:8" ht="13" x14ac:dyDescent="0.3">
      <x:c r="A131" s="34">
        <x:v>55</x:v>
      </x:c>
      <x:c r="B131" s="5">
        <x:v>46692</x:v>
      </x:c>
      <x:c r="C131" s="6">
        <x:f t="shared" si="6"/>
        <x:v>-43380.79</x:v>
      </x:c>
      <x:c r="D131" s="7">
        <x:f t="shared" si="4"/>
        <x:v>-5463.3886021495709</x:v>
      </x:c>
      <x:c r="E131" s="1"/>
      <x:c r="F131" s="1"/>
      <x:c r="G131" s="1"/>
      <x:c r="H131" s="1"/>
    </x:row>
    <x:row r="132" spans="1:8" ht="13" x14ac:dyDescent="0.3">
      <x:c r="A132" s="34">
        <x:v>56</x:v>
      </x:c>
      <x:c r="B132" s="5">
        <x:v>46722</x:v>
      </x:c>
      <x:c r="C132" s="6">
        <x:f t="shared" si="6"/>
        <x:v>-43380.79</x:v>
      </x:c>
      <x:c r="D132" s="7">
        <x:f t="shared" si="4"/>
        <x:v>-48844.178602149572</x:v>
      </x:c>
      <x:c r="E132" s="1"/>
      <x:c r="F132" s="1"/>
      <x:c r="G132" s="1"/>
      <x:c r="H132" s="1"/>
    </x:row>
    <x:row r="133" spans="1:8" ht="13" x14ac:dyDescent="0.3">
      <x:c r="A133" s="34">
        <x:v>57</x:v>
      </x:c>
      <x:c r="B133" s="5">
        <x:v>46753</x:v>
      </x:c>
      <x:c r="C133" s="6">
        <x:f t="shared" si="6"/>
        <x:v>-43380.79</x:v>
      </x:c>
      <x:c r="D133" s="7">
        <x:f t="shared" si="4"/>
        <x:v>-92224.968602149573</x:v>
      </x:c>
      <x:c r="E133" s="1"/>
      <x:c r="F133" s="1"/>
      <x:c r="G133" s="1"/>
      <x:c r="H133" s="1"/>
    </x:row>
    <x:row r="134" spans="1:8" ht="13" x14ac:dyDescent="0.3">
      <x:c r="A134" s="34">
        <x:v>58</x:v>
      </x:c>
      <x:c r="B134" s="5">
        <x:v>46784</x:v>
      </x:c>
      <x:c r="C134" s="6">
        <x:f t="shared" si="6"/>
        <x:v>-43380.79</x:v>
      </x:c>
      <x:c r="D134" s="7">
        <x:f t="shared" si="4"/>
        <x:v>-135605.75860214958</x:v>
      </x:c>
      <x:c r="E134" s="1"/>
      <x:c r="F134" s="1"/>
      <x:c r="G134" s="1"/>
      <x:c r="H134" s="1"/>
    </x:row>
    <x:row r="135" spans="1:8" ht="13" x14ac:dyDescent="0.3">
      <x:c r="A135" s="34">
        <x:v>59</x:v>
      </x:c>
      <x:c r="B135" s="5">
        <x:v>46813</x:v>
      </x:c>
      <x:c r="C135" s="6">
        <x:f t="shared" si="6"/>
        <x:v>-43380.79</x:v>
      </x:c>
      <x:c r="D135" s="7">
        <x:f t="shared" si="4"/>
        <x:v>-178986.54860214959</x:v>
      </x:c>
      <x:c r="E135" s="1"/>
      <x:c r="F135" s="1"/>
      <x:c r="G135" s="1"/>
      <x:c r="H135" s="1"/>
    </x:row>
    <x:row r="136" spans="1:8" ht="13" x14ac:dyDescent="0.3">
      <x:c r="A136" s="34">
        <x:v>60</x:v>
      </x:c>
      <x:c r="B136" s="5">
        <x:v>46844</x:v>
      </x:c>
      <x:c r="C136" s="6">
        <x:f>C135-0.02</x:f>
        <x:v>-43380.81</x:v>
      </x:c>
      <x:c r="D136" s="7">
        <x:f t="shared" si="4"/>
        <x:v>-222367.35860214959</x:v>
      </x:c>
      <x:c r="E136" s="34" t="s">
        <x:v>42</x:v>
      </x:c>
      <x:c r="F136" s="1"/>
      <x:c r="G136" s="1"/>
      <x:c r="H136" s="1"/>
    </x:row>
    <x:row r="137" spans="1:8" ht="13" x14ac:dyDescent="0.3">
      <x:c r="A137" s="34" t="s">
        <x:v>41</x:v>
      </x:c>
      <x:c r="B137" s="11"/>
      <x:c r="C137" s="12"/>
      <x:c r="D137" s="4"/>
      <x:c r="E137" s="34" t="s">
        <x:v>43</x:v>
      </x:c>
      <x:c r="F137" s="1"/>
      <x:c r="G137" s="1"/>
      <x:c r="H137" s="1"/>
    </x:row>
    <x:row r="138" spans="1:8" ht="13" x14ac:dyDescent="0.3">
      <x:c r="A138" s="1"/>
      <x:c r="B138" s="11"/>
      <x:c r="C138" s="12"/>
      <x:c r="D138" s="4"/>
      <x:c r="E138" s="1"/>
      <x:c r="F138" s="1"/>
      <x:c r="G138" s="1"/>
      <x:c r="H138" s="1"/>
    </x:row>
    <x:row r="139" spans="1:8" ht="13" x14ac:dyDescent="0.3">
      <x:c r="A139" s="1"/>
      <x:c r="B139" s="11"/>
      <x:c r="C139" s="12"/>
      <x:c r="D139" s="4"/>
      <x:c r="E139" s="1"/>
      <x:c r="F139" s="1"/>
      <x:c r="G139" s="1"/>
      <x:c r="H139" s="1"/>
    </x:row>
    <x:row r="140" spans="1:8" ht="14.5" x14ac:dyDescent="0.35">
      <x:c r="B140" s="13"/>
      <x:c r="C140" s="10"/>
      <x:c r="D140" s="2"/>
    </x:row>
    <x:row r="141" spans="1:8" ht="14.5" x14ac:dyDescent="0.35">
      <x:c r="B141" s="5"/>
      <x:c r="C141" s="10"/>
      <x:c r="D141" s="2"/>
    </x:row>
  </x:sheetData>
  <x:mergeCells count="2">
    <x:mergeCell ref="F8:G8"/>
    <x:mergeCell ref="A24:H24"/>
  </x:mergeCells>
  <x:printOptions horizontalCentered="1" verticalCentered="1"/>
  <x:pageMargins left="0.2" right="0" top="0.25" bottom="0" header="0.3" footer="0.3"/>
  <x:pageSetup scale="33" fitToHeight="2" orientation="portrait" r:id="rId1"/>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2025-05-01T17:46:38.0000000Z</dcterms:modified>
</coreProperties>
</file>