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3BF05BC5-7A6C-40D6-9B71-02DA0FE76303}" xr6:coauthVersionLast="47" xr6:coauthVersionMax="47" xr10:uidLastSave="{00000000-0000-0000-0000-000000000000}"/>
  <x:bookViews>
    <x:workbookView xWindow="25974" yWindow="-109" windowWidth="26301" windowHeight="14169" xr2:uid="{94E4F289-CC22-422A-A8A5-5F0E6FFDA287}"/>
  </x:bookViews>
  <x:sheets>
    <x:sheet name="WP B-5_08" sheetId="1" r:id="rId1"/>
  </x:sheets>
  <x:definedNames>
    <x:definedName name="_xlnm.Print_Area" localSheetId="0">'WP B-5_08'!$A$8:$J$41</x:definedName>
    <x:definedName name="_xlnm.Print_Titles" localSheetId="0">'WP B-5_08'!$1:$7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J38" i="1" l="1"/>
  <x:c r="J31" i="1"/>
  <x:c r="J29" i="1"/>
  <x:c r="J22" i="1"/>
  <x:c r="J18" i="1"/>
  <x:c r="J12" i="1"/>
  <x:c r="J10" i="1"/>
  <x:c r="D38" i="1"/>
  <x:c r="D29" i="1"/>
  <x:c r="D22" i="1"/>
  <x:c r="D18" i="1"/>
  <x:c r="D12" i="1"/>
  <x:c r="D40" i="1"/>
  <x:c r="I39" i="1"/>
  <x:c r="I40" i="1" s="1"/>
  <x:c r="C39" i="1"/>
  <x:c r="H39" i="1" s="1"/>
  <x:c r="I23" i="1"/>
  <x:c r="H40" i="1" l="1"/>
  <x:c r="J39" i="1"/>
  <x:c r="J40" i="1" s="1"/>
  <x:c r="C30" i="1"/>
  <x:c r="H30" i="1"/>
  <x:c r="D31" i="1"/>
  <x:c r="H31" i="1"/>
  <x:c r="I31" i="1"/>
  <x:c r="C37" i="1"/>
  <x:c r="F37" i="1" s="1"/>
  <x:c r="H37" i="1" s="1"/>
  <x:c r="J37" i="1" s="1"/>
  <x:c r="C35" i="1"/>
  <x:c r="F35" i="1" s="1"/>
  <x:c r="H35" i="1" s="1"/>
  <x:c r="J35" i="1" s="1"/>
  <x:c r="C34" i="1"/>
  <x:c r="F34" i="1" s="1"/>
  <x:c r="H34" i="1" s="1"/>
  <x:c r="J34" i="1" s="1"/>
  <x:c r="C32" i="1"/>
  <x:c r="F32" i="1" s="1"/>
  <x:c r="C28" i="1"/>
  <x:c r="C27" i="1"/>
  <x:c r="C26" i="1"/>
  <x:c r="C25" i="1"/>
  <x:c r="C23" i="1"/>
  <x:c r="F23" i="1" s="1"/>
  <x:c r="H23" i="1" s="1"/>
  <x:c r="H24" i="1" s="1"/>
  <x:c r="C21" i="1"/>
  <x:c r="F21" i="1" s="1"/>
  <x:c r="H21" i="1" s="1"/>
  <x:c r="J21" i="1" s="1"/>
  <x:c r="C20" i="1"/>
  <x:c r="F20" i="1" s="1"/>
  <x:c r="H20" i="1" s="1"/>
  <x:c r="J20" i="1" s="1"/>
  <x:c r="C19" i="1"/>
  <x:c r="F19" i="1" s="1"/>
  <x:c r="H19" i="1" s="1"/>
  <x:c r="J19" i="1" s="1"/>
  <x:c r="C17" i="1"/>
  <x:c r="F17" i="1" s="1"/>
  <x:c r="H17" i="1" s="1"/>
  <x:c r="J17" i="1" s="1"/>
  <x:c r="C16" i="1"/>
  <x:c r="F16" i="1" s="1"/>
  <x:c r="H16" i="1" s="1"/>
  <x:c r="J16" i="1" s="1"/>
  <x:c r="C15" i="1"/>
  <x:c r="F15" i="1" s="1"/>
  <x:c r="H15" i="1" s="1"/>
  <x:c r="J15" i="1" s="1"/>
  <x:c r="C14" i="1"/>
  <x:c r="F14" i="1" s="1"/>
  <x:c r="H14" i="1" s="1"/>
  <x:c r="J14" i="1" s="1"/>
  <x:c r="C13" i="1"/>
  <x:c r="C11" i="1"/>
  <x:c r="C10" i="1"/>
  <x:c r="C9" i="1"/>
  <x:c r="C8" i="1"/>
  <x:c r="I37" i="1"/>
  <x:c r="I35" i="1"/>
  <x:c r="I34" i="1"/>
  <x:c r="I32" i="1"/>
  <x:c r="I28" i="1"/>
  <x:c r="I27" i="1"/>
  <x:c r="I26" i="1"/>
  <x:c r="I25" i="1"/>
  <x:c r="I24" i="1"/>
  <x:c r="I21" i="1"/>
  <x:c r="I20" i="1"/>
  <x:c r="I19" i="1"/>
  <x:c r="I17" i="1"/>
  <x:c r="I16" i="1"/>
  <x:c r="I15" i="1"/>
  <x:c r="I14" i="1"/>
  <x:c r="I13" i="1"/>
  <x:c r="D36" i="1"/>
  <x:c r="D33" i="1"/>
  <x:c r="D24" i="1"/>
  <x:c r="H10" i="1"/>
  <x:c r="H9" i="1"/>
  <x:c r="J9" i="1" s="1"/>
  <x:c r="H8" i="1"/>
  <x:c r="F27" i="1"/>
  <x:c r="H27" i="1" s="1"/>
  <x:c r="J27" i="1" s="1"/>
  <x:c r="F28" i="1"/>
  <x:c r="H28" i="1" s="1"/>
  <x:c r="J28" i="1" s="1"/>
  <x:c r="F25" i="1"/>
  <x:c r="H25" i="1" s="1"/>
  <x:c r="J25" i="1" s="1"/>
  <x:c r="F26" i="1"/>
  <x:c r="H26" i="1" s="1"/>
  <x:c r="J26" i="1" s="1"/>
  <x:c r="F13" i="1"/>
  <x:c r="H13" i="1" s="1"/>
  <x:c r="J13" i="1" s="1"/>
  <x:c r="H11" i="1"/>
  <x:c r="J11" i="1" s="1"/>
  <x:c r="H32" i="1" l="1"/>
  <x:c r="J32" i="1" s="1"/>
  <x:c r="J33" i="1" s="1"/>
  <x:c r="D41" i="1"/>
  <x:c r="J8" i="1"/>
  <x:c r="I38" i="1"/>
  <x:c r="J36" i="1"/>
  <x:c r="I18" i="1"/>
  <x:c r="I22" i="1"/>
  <x:c r="I29" i="1"/>
  <x:c r="I33" i="1"/>
  <x:c r="I36" i="1"/>
  <x:c r="I12" i="1"/>
  <x:c r="J24" i="1"/>
  <x:c r="H36" i="1"/>
  <x:c r="H38" i="1"/>
  <x:c r="H29" i="1"/>
  <x:c r="H18" i="1"/>
  <x:c r="H22" i="1"/>
  <x:c r="H12" i="1"/>
  <x:c r="H33" i="1"/>
  <x:c r="H41" i="1" l="1"/>
  <x:c r="J41" i="1"/>
  <x:c r="I41" i="1"/>
</x:calcChain>
</file>

<file path=xl/sharedStrings.xml><?xml version="1.0" encoding="utf-8"?>
<sst xmlns="http://schemas.openxmlformats.org/spreadsheetml/2006/main" count="43" uniqueCount="34">
  <si>
    <t>Plant Acct</t>
  </si>
  <si>
    <t>Vntg Yr</t>
  </si>
  <si>
    <t>Investment</t>
  </si>
  <si>
    <t>391 Computer</t>
  </si>
  <si>
    <t>392 Light Trucks</t>
  </si>
  <si>
    <t>392 Trailer</t>
  </si>
  <si>
    <t>Age</t>
  </si>
  <si>
    <t>ASL</t>
  </si>
  <si>
    <t>RL</t>
  </si>
  <si>
    <t>Net Salvage</t>
  </si>
  <si>
    <t>Theo Res</t>
  </si>
  <si>
    <t>390 Total</t>
  </si>
  <si>
    <t>391 Total</t>
  </si>
  <si>
    <t>396 Total</t>
  </si>
  <si>
    <t>397 Total</t>
  </si>
  <si>
    <t>398 Total</t>
  </si>
  <si>
    <t>391 Computer Total</t>
  </si>
  <si>
    <t>392 Light Trucks Total</t>
  </si>
  <si>
    <t>392 Trailer Total</t>
  </si>
  <si>
    <t>Grand Total</t>
  </si>
  <si>
    <t>ONCOR ELECTRIC DELIVERY  LLC</t>
  </si>
  <si>
    <t>NTUSU TRN</t>
  </si>
  <si>
    <t>CALCULATION OF GENERAL PLANT- NTUSU</t>
  </si>
  <si>
    <t>SPONSOR D. A. WATSON</t>
  </si>
  <si>
    <t>Plant</t>
  </si>
  <si>
    <t>Reserve</t>
  </si>
  <si>
    <t>2025 RATE CASE</t>
  </si>
  <si>
    <t>FOR THE TEST YEAR ENDING  DECEMBER 31, 2024</t>
  </si>
  <si>
    <t xml:space="preserve"> </t>
  </si>
  <si>
    <t xml:space="preserve">  </t>
  </si>
  <si>
    <t>394 Small Tools</t>
  </si>
  <si>
    <t>394 Small Tools Total</t>
  </si>
  <si>
    <t>392 Other</t>
  </si>
  <si>
    <t>392 Other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</si>
</sst>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Fill="1" applyAlignment="1">
      <alignment horizontal="left"/>
    </xf>
    <xf numFmtId="0" fontId="3" fillId="0" borderId="0" xfId="0" applyFont="1" applyFill="1"/>
    <xf numFmtId="43" fontId="3" fillId="0" borderId="0" xfId="1" applyFont="1" applyFill="1"/>
    <xf numFmtId="10" fontId="3" fillId="0" borderId="0" xfId="0" applyNumberFormat="1" applyFont="1" applyFill="1"/>
    <xf numFmtId="43" fontId="3" fillId="0" borderId="0" xfId="0" applyNumberFormat="1" applyFont="1" applyFill="1"/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43" fontId="2" fillId="0" borderId="0" xfId="1" applyFont="1" applyFill="1"/>
    <xf numFmtId="10" fontId="2" fillId="0" borderId="0" xfId="0" applyNumberFormat="1" applyFont="1" applyFill="1"/>
    <xf numFmtId="43" fontId="4" fillId="0" borderId="0" xfId="1" applyFont="1" applyFill="1"/>
    <xf numFmtId="0" fontId="2" fillId="0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5E4122E-F15F-4FC3-89EF-CEE1A123A25F}" mc:Ignorable="x14ac xr xr2 xr3">
  <x:sheetPr>
    <x:pageSetUpPr fitToPage="1"/>
  </x:sheetPr>
  <x:dimension ref="A1:M52"/>
  <x:sheetViews>
    <x:sheetView tabSelected="1" workbookViewId="0">
      <x:pane xSplit="1" ySplit="7" topLeftCell="B8" activePane="bottomRight" state="frozen"/>
      <x:selection pane="topRight" activeCell="B1" sqref="B1"/>
      <x:selection pane="bottomLeft" activeCell="A8" sqref="A8"/>
      <x:selection pane="bottomRight" activeCell="B8" sqref="B8"/>
    </x:sheetView>
  </x:sheetViews>
  <x:sheetFormatPr defaultColWidth="9.125" defaultRowHeight="15.65" outlineLevelRow="2" x14ac:dyDescent="0.25"/>
  <x:cols>
    <x:col min="1" max="1" width="26" style="4" bestFit="1" customWidth="1"/>
    <x:col min="2" max="2" width="9.25" style="4" bestFit="1" customWidth="1"/>
    <x:col min="3" max="3" width="14" style="4" customWidth="1"/>
    <x:col min="4" max="4" width="16.125" style="5" bestFit="1" customWidth="1"/>
    <x:col min="5" max="6" width="8.375" style="5" bestFit="1" customWidth="1"/>
    <x:col min="7" max="7" width="14.375" style="6" bestFit="1" customWidth="1"/>
    <x:col min="8" max="8" width="16.125" style="5" bestFit="1" customWidth="1"/>
    <x:col min="9" max="10" width="16.375" style="4" bestFit="1" customWidth="1"/>
    <x:col min="11" max="12" width="9.125" style="2"/>
    <x:col min="13" max="13" width="12.875" style="2" bestFit="1" customWidth="1"/>
    <x:col min="14" max="16384" width="9.125" style="2"/>
  </x:cols>
  <x:sheetData>
    <x:row r="1" spans="1:10" s="1" customFormat="1" x14ac:dyDescent="0.25">
      <x:c r="A1" s="14" t="s">
        <x:v>26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 spans="1:10" s="1" customFormat="1" x14ac:dyDescent="0.25">
      <x:c r="A2" s="14" t="s">
        <x:v>20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3" spans="1:10" s="1" customFormat="1" x14ac:dyDescent="0.25">
      <x:c r="A3" s="14" t="s">
        <x:v>22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4" spans="1:10" s="1" customFormat="1" x14ac:dyDescent="0.25">
      <x:c r="A4" s="14" t="s">
        <x:v>27</x:v>
      </x:c>
      <x:c r="B4" s="14"/>
      <x:c r="C4" s="14"/>
      <x:c r="D4" s="14"/>
      <x:c r="E4" s="14"/>
      <x:c r="F4" s="14"/>
      <x:c r="G4" s="14"/>
      <x:c r="H4" s="14"/>
      <x:c r="I4" s="14"/>
      <x:c r="J4" s="14"/>
    </x:row>
    <x:row r="5" spans="1:10" s="1" customFormat="1" x14ac:dyDescent="0.25">
      <x:c r="A5" s="14" t="s">
        <x:v>23</x:v>
      </x:c>
      <x:c r="B5" s="14"/>
      <x:c r="C5" s="14"/>
      <x:c r="D5" s="14"/>
      <x:c r="E5" s="14"/>
      <x:c r="F5" s="14"/>
      <x:c r="G5" s="14"/>
      <x:c r="H5" s="14"/>
      <x:c r="I5" s="14"/>
      <x:c r="J5" s="14"/>
    </x:row>
    <x:row r="6" spans="1:10" s="1" customFormat="1" x14ac:dyDescent="0.25">
      <x:c r="A6" s="10"/>
      <x:c r="B6" s="10"/>
      <x:c r="C6" s="10"/>
      <x:c r="D6" s="11"/>
      <x:c r="E6" s="11"/>
      <x:c r="F6" s="11"/>
      <x:c r="G6" s="12"/>
      <x:c r="H6" s="11"/>
      <x:c r="I6" s="10" t="s">
        <x:v>24</x:v>
      </x:c>
      <x:c r="J6" s="10" t="s">
        <x:v>25</x:v>
      </x:c>
    </x:row>
    <x:row r="7" spans="1:10" s="1" customFormat="1" x14ac:dyDescent="0.25">
      <x:c r="A7" s="10" t="s">
        <x:v>0</x:v>
      </x:c>
      <x:c r="B7" s="10" t="s">
        <x:v>1</x:v>
      </x:c>
      <x:c r="C7" s="10" t="s">
        <x:v>6</x:v>
      </x:c>
      <x:c r="D7" s="11" t="s">
        <x:v>2</x:v>
      </x:c>
      <x:c r="E7" s="11" t="s">
        <x:v>7</x:v>
      </x:c>
      <x:c r="F7" s="11" t="s">
        <x:v>8</x:v>
      </x:c>
      <x:c r="G7" s="12" t="s">
        <x:v>9</x:v>
      </x:c>
      <x:c r="H7" s="11" t="s">
        <x:v>10</x:v>
      </x:c>
      <x:c r="I7" s="11" t="s">
        <x:v>21</x:v>
      </x:c>
      <x:c r="J7" s="11" t="s">
        <x:v>21</x:v>
      </x:c>
    </x:row>
    <x:row r="8" spans="1:10" outlineLevel="2" x14ac:dyDescent="0.25">
      <x:c r="A8" s="3">
        <x:v>390</x:v>
      </x:c>
      <x:c r="B8" s="4">
        <x:v>2020</x:v>
      </x:c>
      <x:c r="C8" s="4">
        <x:f>2024.5-B8</x:f>
        <x:v>4.5</x:v>
      </x:c>
      <x:c r="D8" s="5">
        <x:v>1146038.81</x:v>
      </x:c>
      <x:c r="E8" s="5">
        <x:v>55</x:v>
      </x:c>
      <x:c r="F8" s="5">
        <x:v>51.696072999999998</x:v>
      </x:c>
      <x:c r="G8" s="6">
        <x:v>-0.05</x:v>
      </x:c>
      <x:c r="H8" s="5">
        <x:f>+D8*(1-G8)*(1-F8/E8)</x:f>
        <x:v>72286.363559585705</x:v>
      </x:c>
      <x:c r="I8" s="7">
        <x:v>1146038.81</x:v>
      </x:c>
      <x:c r="J8" s="7">
        <x:f>+H8</x:f>
        <x:v>72286.363559585705</x:v>
      </x:c>
    </x:row>
    <x:row r="9" spans="1:10" outlineLevel="2" x14ac:dyDescent="0.25">
      <x:c r="A9" s="3">
        <x:v>390</x:v>
      </x:c>
      <x:c r="B9" s="4">
        <x:v>2018</x:v>
      </x:c>
      <x:c r="C9" s="4">
        <x:f>2024.5-B9</x:f>
        <x:v>6.5</x:v>
      </x:c>
      <x:c r="D9" s="5">
        <x:v>23641.81</x:v>
      </x:c>
      <x:c r="E9" s="5">
        <x:v>55</x:v>
      </x:c>
      <x:c r="F9" s="5">
        <x:v>50.253726</x:v>
      </x:c>
      <x:c r="G9" s="6">
        <x:v>-0.05</x:v>
      </x:c>
      <x:c r="H9" s="5">
        <x:f>+D9*(1-G9)*(1-F9/E9)</x:f>
        <x:v>2142.2006094861285</x:v>
      </x:c>
      <x:c r="I9" s="7">
        <x:v>23641.81</x:v>
      </x:c>
      <x:c r="J9" s="7">
        <x:f>+H9</x:f>
        <x:v>2142.2006094861285</x:v>
      </x:c>
    </x:row>
    <x:row r="10" spans="1:10" outlineLevel="2" x14ac:dyDescent="0.25">
      <x:c r="A10" s="3">
        <x:v>390</x:v>
      </x:c>
      <x:c r="B10" s="4">
        <x:v>2017</x:v>
      </x:c>
      <x:c r="C10" s="4">
        <x:f>2024.5-B10</x:f>
        <x:v>7.5</x:v>
      </x:c>
      <x:c r="D10" s="5">
        <x:v>40000</x:v>
      </x:c>
      <x:c r="E10" s="5">
        <x:v>55</x:v>
      </x:c>
      <x:c r="F10" s="5">
        <x:v>49.538302999999999</x:v>
      </x:c>
      <x:c r="G10" s="6">
        <x:v>-0.05</x:v>
      </x:c>
      <x:c r="H10" s="5">
        <x:f>+D10*(1-G10)*(1-F10/E10)</x:f>
        <x:v>4170.750436363639</x:v>
      </x:c>
      <x:c r="I10" s="7">
        <x:v>40000</x:v>
      </x:c>
      <x:c r="J10" s="7">
        <x:f>+H10</x:f>
        <x:v>4170.750436363639</x:v>
      </x:c>
    </x:row>
    <x:row r="11" spans="1:10" outlineLevel="2" x14ac:dyDescent="0.25">
      <x:c r="A11" s="3">
        <x:v>390</x:v>
      </x:c>
      <x:c r="B11" s="4">
        <x:v>2015</x:v>
      </x:c>
      <x:c r="C11" s="4">
        <x:f>2024.5-B11</x:f>
        <x:v>9.5</x:v>
      </x:c>
      <x:c r="D11" s="5">
        <x:v>233716.43</x:v>
      </x:c>
      <x:c r="E11" s="5">
        <x:v>55</x:v>
      </x:c>
      <x:c r="F11" s="5">
        <x:v>48.118098000000003</x:v>
      </x:c>
      <x:c r="G11" s="6">
        <x:v>-0.05</x:v>
      </x:c>
      <x:c r="H11" s="5">
        <x:f>+D11*(1-G11)*(1-F11/E11)</x:f>
        <x:v>30706.077189133681</x:v>
      </x:c>
      <x:c r="I11" s="7">
        <x:v>233716.43</x:v>
      </x:c>
      <x:c r="J11" s="7">
        <x:f>+H11</x:f>
        <x:v>30706.077189133681</x:v>
      </x:c>
    </x:row>
    <x:row r="12" spans="1:10" outlineLevel="1" x14ac:dyDescent="0.25">
      <x:c r="A12" s="8" t="s">
        <x:v>11</x:v>
      </x:c>
      <x:c r="C12" s="4" t="s">
        <x:v>28</x:v>
      </x:c>
      <x:c r="D12" s="5">
        <x:f>SUBTOTAL(9,D8:D11)</x:f>
        <x:v>1443397.05</x:v>
      </x:c>
      <x:c r="H12" s="5">
        <x:f>SUBTOTAL(9,H8:H11)</x:f>
        <x:v>109305.39179456915</x:v>
      </x:c>
      <x:c r="I12" s="5">
        <x:f>SUBTOTAL(9,I8:I11)</x:f>
        <x:v>1443397.05</x:v>
      </x:c>
      <x:c r="J12" s="5">
        <x:f>SUBTOTAL(9,J8:J11)</x:f>
        <x:v>109305.39179456915</x:v>
      </x:c>
    </x:row>
    <x:row r="13" spans="1:10" outlineLevel="2" x14ac:dyDescent="0.25">
      <x:c r="A13" s="3">
        <x:v>391</x:v>
      </x:c>
      <x:c r="B13" s="4">
        <x:v>2020</x:v>
      </x:c>
      <x:c r="C13" s="4">
        <x:f>2024.5-B13</x:f>
        <x:v>4.5</x:v>
      </x:c>
      <x:c r="D13" s="5">
        <x:v>15293.54</x:v>
      </x:c>
      <x:c r="E13" s="5">
        <x:v>20</x:v>
      </x:c>
      <x:c r="F13" s="5">
        <x:f>+E13-C13</x:f>
        <x:v>15.5</x:v>
      </x:c>
      <x:c r="G13" s="6">
        <x:v>0</x:v>
      </x:c>
      <x:c r="H13" s="5">
        <x:f>+D13*(1-G13)*(1-F13/E13)</x:f>
        <x:v>3441.0464999999999</x:v>
      </x:c>
      <x:c r="I13" s="7">
        <x:f>+D13</x:f>
        <x:v>15293.54</x:v>
      </x:c>
      <x:c r="J13" s="7">
        <x:f>+H13</x:f>
        <x:v>3441.0464999999999</x:v>
      </x:c>
    </x:row>
    <x:row r="14" spans="1:10" outlineLevel="2" x14ac:dyDescent="0.25">
      <x:c r="A14" s="3">
        <x:v>391</x:v>
      </x:c>
      <x:c r="B14" s="4">
        <x:v>2017</x:v>
      </x:c>
      <x:c r="C14" s="4">
        <x:f>2024.5-B14</x:f>
        <x:v>7.5</x:v>
      </x:c>
      <x:c r="D14" s="5">
        <x:v>37096.339999999997</x:v>
      </x:c>
      <x:c r="E14" s="5">
        <x:v>20</x:v>
      </x:c>
      <x:c r="F14" s="5">
        <x:f>+E14-C14</x:f>
        <x:v>12.5</x:v>
      </x:c>
      <x:c r="G14" s="6">
        <x:v>0</x:v>
      </x:c>
      <x:c r="H14" s="5">
        <x:f>+D14*(1-G14)*(1-F14/E14)</x:f>
        <x:v>13911.127499999999</x:v>
      </x:c>
      <x:c r="I14" s="7">
        <x:f>+D14</x:f>
        <x:v>37096.339999999997</x:v>
      </x:c>
      <x:c r="J14" s="7">
        <x:f>+H14</x:f>
        <x:v>13911.127499999999</x:v>
      </x:c>
    </x:row>
    <x:row r="15" spans="1:10" outlineLevel="2" x14ac:dyDescent="0.25">
      <x:c r="A15" s="3">
        <x:v>391</x:v>
      </x:c>
      <x:c r="B15" s="4">
        <x:v>2016</x:v>
      </x:c>
      <x:c r="C15" s="4">
        <x:f>2024.5-B15</x:f>
        <x:v>8.5</x:v>
      </x:c>
      <x:c r="D15" s="5">
        <x:v>185850.28</x:v>
      </x:c>
      <x:c r="E15" s="5">
        <x:v>20</x:v>
      </x:c>
      <x:c r="F15" s="5">
        <x:f>+E15-C15</x:f>
        <x:v>11.5</x:v>
      </x:c>
      <x:c r="G15" s="6">
        <x:v>0</x:v>
      </x:c>
      <x:c r="H15" s="5">
        <x:f>+D15*(1-G15)*(1-F15/E15)</x:f>
        <x:v>78986.369000000006</x:v>
      </x:c>
      <x:c r="I15" s="7">
        <x:f>+D15</x:f>
        <x:v>185850.28</x:v>
      </x:c>
      <x:c r="J15" s="7">
        <x:f>+H15</x:f>
        <x:v>78986.369000000006</x:v>
      </x:c>
    </x:row>
    <x:row r="16" spans="1:10" outlineLevel="2" x14ac:dyDescent="0.25">
      <x:c r="A16" s="3">
        <x:v>391</x:v>
      </x:c>
      <x:c r="B16" s="4">
        <x:v>2015</x:v>
      </x:c>
      <x:c r="C16" s="4">
        <x:f>2024.5-B16</x:f>
        <x:v>9.5</x:v>
      </x:c>
      <x:c r="D16" s="5">
        <x:v>724385.34</x:v>
      </x:c>
      <x:c r="E16" s="5">
        <x:v>20</x:v>
      </x:c>
      <x:c r="F16" s="5">
        <x:f>+E16-C16</x:f>
        <x:v>10.5</x:v>
      </x:c>
      <x:c r="G16" s="6">
        <x:v>0</x:v>
      </x:c>
      <x:c r="H16" s="5">
        <x:f>+D16*(1-G16)*(1-F16/E16)</x:f>
        <x:v>344083.03649999999</x:v>
      </x:c>
      <x:c r="I16" s="7">
        <x:f>+D16</x:f>
        <x:v>724385.34</x:v>
      </x:c>
      <x:c r="J16" s="7">
        <x:f>+H16</x:f>
        <x:v>344083.03649999999</x:v>
      </x:c>
    </x:row>
    <x:row r="17" spans="1:10" outlineLevel="2" x14ac:dyDescent="0.25">
      <x:c r="A17" s="3">
        <x:v>391</x:v>
      </x:c>
      <x:c r="B17" s="4">
        <x:v>2013</x:v>
      </x:c>
      <x:c r="C17" s="4">
        <x:f>2024.5-B17</x:f>
        <x:v>11.5</x:v>
      </x:c>
      <x:c r="D17" s="5">
        <x:v>1171775.04</x:v>
      </x:c>
      <x:c r="E17" s="5">
        <x:v>20</x:v>
      </x:c>
      <x:c r="F17" s="5">
        <x:f>+E17-C17</x:f>
        <x:v>8.5</x:v>
      </x:c>
      <x:c r="G17" s="6">
        <x:v>0</x:v>
      </x:c>
      <x:c r="H17" s="5">
        <x:f>+D17*(1-G17)*(1-F17/E17)</x:f>
        <x:v>673770.64799999993</x:v>
      </x:c>
      <x:c r="I17" s="7">
        <x:f>+D17</x:f>
        <x:v>1171775.04</x:v>
      </x:c>
      <x:c r="J17" s="7">
        <x:f>+H17</x:f>
        <x:v>673770.64799999993</x:v>
      </x:c>
    </x:row>
    <x:row r="18" spans="1:10" outlineLevel="1" x14ac:dyDescent="0.25">
      <x:c r="A18" s="8" t="s">
        <x:v>12</x:v>
      </x:c>
      <x:c r="C18" s="4" t="s">
        <x:v>28</x:v>
      </x:c>
      <x:c r="D18" s="5">
        <x:f>SUBTOTAL(9,D13:D17)</x:f>
        <x:v>2134400.54</x:v>
      </x:c>
      <x:c r="H18" s="5">
        <x:f>SUBTOTAL(9,H13:H17)</x:f>
        <x:v>1114192.2275</x:v>
      </x:c>
      <x:c r="I18" s="5">
        <x:f>SUBTOTAL(9,I13:I17)</x:f>
        <x:v>2134400.54</x:v>
      </x:c>
      <x:c r="J18" s="5">
        <x:f>SUBTOTAL(9,J13:J17)</x:f>
        <x:v>1114192.2275</x:v>
      </x:c>
    </x:row>
    <x:row r="19" spans="1:10" outlineLevel="2" x14ac:dyDescent="0.25">
      <x:c r="A19" s="3">
        <x:v>396</x:v>
      </x:c>
      <x:c r="B19" s="4">
        <x:v>2017</x:v>
      </x:c>
      <x:c r="C19" s="4">
        <x:f>2024.5-B19</x:f>
        <x:v>7.5</x:v>
      </x:c>
      <x:c r="D19" s="5">
        <x:v>152570.76</x:v>
      </x:c>
      <x:c r="E19" s="5">
        <x:v>15</x:v>
      </x:c>
      <x:c r="F19" s="5">
        <x:f>+E19-C19</x:f>
        <x:v>7.5</x:v>
      </x:c>
      <x:c r="G19" s="6">
        <x:v>0.1</x:v>
      </x:c>
      <x:c r="H19" s="5">
        <x:f>+D19*(1-G19)*(1-F19/E19)</x:f>
        <x:v>68656.842000000004</x:v>
      </x:c>
      <x:c r="I19" s="7">
        <x:f>+D19</x:f>
        <x:v>152570.76</x:v>
      </x:c>
      <x:c r="J19" s="7">
        <x:f>+H19</x:f>
        <x:v>68656.842000000004</x:v>
      </x:c>
    </x:row>
    <x:row r="20" spans="1:10" outlineLevel="2" x14ac:dyDescent="0.25">
      <x:c r="A20" s="3">
        <x:v>396</x:v>
      </x:c>
      <x:c r="B20" s="4">
        <x:v>2016</x:v>
      </x:c>
      <x:c r="C20" s="4">
        <x:f>2024.5-B20</x:f>
        <x:v>8.5</x:v>
      </x:c>
      <x:c r="D20" s="5">
        <x:v>38897.71</x:v>
      </x:c>
      <x:c r="E20" s="5">
        <x:v>15</x:v>
      </x:c>
      <x:c r="F20" s="5">
        <x:f>+E20-C20</x:f>
        <x:v>6.5</x:v>
      </x:c>
      <x:c r="G20" s="6">
        <x:v>0.1</x:v>
      </x:c>
      <x:c r="H20" s="5">
        <x:f>+D20*(1-G20)*(1-F20/E20)</x:f>
        <x:v>19837.8321</x:v>
      </x:c>
      <x:c r="I20" s="7">
        <x:f>+D20</x:f>
        <x:v>38897.71</x:v>
      </x:c>
      <x:c r="J20" s="7">
        <x:f>+H20</x:f>
        <x:v>19837.8321</x:v>
      </x:c>
    </x:row>
    <x:row r="21" spans="1:10" outlineLevel="2" x14ac:dyDescent="0.25">
      <x:c r="A21" s="3">
        <x:v>396</x:v>
      </x:c>
      <x:c r="B21" s="4">
        <x:v>2015</x:v>
      </x:c>
      <x:c r="C21" s="4">
        <x:f>2024.5-B21</x:f>
        <x:v>9.5</x:v>
      </x:c>
      <x:c r="D21" s="5">
        <x:v>166971.18</x:v>
      </x:c>
      <x:c r="E21" s="5">
        <x:v>15</x:v>
      </x:c>
      <x:c r="F21" s="5">
        <x:f>+E21-C21</x:f>
        <x:v>5.5</x:v>
      </x:c>
      <x:c r="G21" s="6">
        <x:v>0.1</x:v>
      </x:c>
      <x:c r="H21" s="5">
        <x:f>+D21*(1-G21)*(1-F21/E21)</x:f>
        <x:v>95173.5726</x:v>
      </x:c>
      <x:c r="I21" s="7">
        <x:f>+D21</x:f>
        <x:v>166971.18</x:v>
      </x:c>
      <x:c r="J21" s="7">
        <x:f>+H21</x:f>
        <x:v>95173.5726</x:v>
      </x:c>
    </x:row>
    <x:row r="22" spans="1:10" outlineLevel="1" x14ac:dyDescent="0.25">
      <x:c r="A22" s="8" t="s">
        <x:v>13</x:v>
      </x:c>
      <x:c r="C22" s="4" t="s">
        <x:v>28</x:v>
      </x:c>
      <x:c r="D22" s="5">
        <x:f>SUBTOTAL(9,D19:D21)</x:f>
        <x:v>358439.65</x:v>
      </x:c>
      <x:c r="H22" s="5">
        <x:f>SUBTOTAL(9,H19:H21)</x:f>
        <x:v>183668.24670000002</x:v>
      </x:c>
      <x:c r="I22" s="5">
        <x:f>SUBTOTAL(9,I19:I21)</x:f>
        <x:v>358439.65</x:v>
      </x:c>
      <x:c r="J22" s="5">
        <x:f>SUBTOTAL(9,J19:J21)</x:f>
        <x:v>183668.24670000002</x:v>
      </x:c>
    </x:row>
    <x:row r="23" spans="1:10" s="4" customFormat="1" outlineLevel="2" x14ac:dyDescent="0.25">
      <x:c r="A23" s="3">
        <x:v>397</x:v>
      </x:c>
      <x:c r="B23" s="4">
        <x:v>2014</x:v>
      </x:c>
      <x:c r="C23" s="4">
        <x:f>2024.5-B23</x:f>
        <x:v>10.5</x:v>
      </x:c>
      <x:c r="D23" s="5">
        <x:v>16570.82</x:v>
      </x:c>
      <x:c r="E23" s="5">
        <x:v>15</x:v>
      </x:c>
      <x:c r="F23" s="5">
        <x:f>+E23-C23</x:f>
        <x:v>4.5</x:v>
      </x:c>
      <x:c r="G23" s="6">
        <x:v>0</x:v>
      </x:c>
      <x:c r="H23" s="5">
        <x:f>+D23*(1-G23)*(1-F23/E23)</x:f>
        <x:v>11599.573999999999</x:v>
      </x:c>
      <x:c r="I23" s="7">
        <x:f>+D23</x:f>
        <x:v>16570.82</x:v>
      </x:c>
      <x:c r="J23" s="7">
        <x:v>-65537.778412820509</x:v>
      </x:c>
    </x:row>
    <x:row r="24" spans="1:10" s="4" customFormat="1" outlineLevel="1" x14ac:dyDescent="0.25">
      <x:c r="A24" s="8" t="s">
        <x:v>14</x:v>
      </x:c>
      <x:c r="C24" s="4" t="s">
        <x:v>28</x:v>
      </x:c>
      <x:c r="D24" s="5">
        <x:f>SUBTOTAL(9,D23:D23)</x:f>
        <x:v>16570.82</x:v>
      </x:c>
      <x:c r="E24" s="5"/>
      <x:c r="F24" s="5"/>
      <x:c r="G24" s="6"/>
      <x:c r="H24" s="5">
        <x:f>SUBTOTAL(9,H23:H23)</x:f>
        <x:v>11599.573999999999</x:v>
      </x:c>
      <x:c r="I24" s="5">
        <x:f>SUBTOTAL(9,I23:I23)</x:f>
        <x:v>16570.82</x:v>
      </x:c>
      <x:c r="J24" s="5">
        <x:f>SUBTOTAL(9,J23:J23)</x:f>
        <x:v>-65537.778412820509</x:v>
      </x:c>
    </x:row>
    <x:row r="25" spans="1:10" s="4" customFormat="1" outlineLevel="2" x14ac:dyDescent="0.25">
      <x:c r="A25" s="3">
        <x:v>398</x:v>
      </x:c>
      <x:c r="B25" s="4">
        <x:v>2020</x:v>
      </x:c>
      <x:c r="C25" s="4">
        <x:f>2024.5-B25</x:f>
        <x:v>4.5</x:v>
      </x:c>
      <x:c r="D25" s="5">
        <x:v>8215.5300000000007</x:v>
      </x:c>
      <x:c r="E25" s="5">
        <x:v>22</x:v>
      </x:c>
      <x:c r="F25" s="5">
        <x:f>+E25-C25</x:f>
        <x:v>17.5</x:v>
      </x:c>
      <x:c r="G25" s="6">
        <x:v>0</x:v>
      </x:c>
      <x:c r="H25" s="5">
        <x:f>+D25*(1-G25)*(1-F25/E25)</x:f>
        <x:v>1680.4493181818186</x:v>
      </x:c>
      <x:c r="I25" s="7">
        <x:f>+D25</x:f>
        <x:v>8215.5300000000007</x:v>
      </x:c>
      <x:c r="J25" s="7">
        <x:f>+H25</x:f>
        <x:v>1680.4493181818186</x:v>
      </x:c>
    </x:row>
    <x:row r="26" spans="1:10" s="4" customFormat="1" outlineLevel="2" x14ac:dyDescent="0.25">
      <x:c r="A26" s="3">
        <x:v>398</x:v>
      </x:c>
      <x:c r="B26" s="4">
        <x:v>2017</x:v>
      </x:c>
      <x:c r="C26" s="4">
        <x:f>2024.5-B26</x:f>
        <x:v>7.5</x:v>
      </x:c>
      <x:c r="D26" s="5">
        <x:v>16150.36</x:v>
      </x:c>
      <x:c r="E26" s="5">
        <x:v>22</x:v>
      </x:c>
      <x:c r="F26" s="5">
        <x:f>+E26-C26</x:f>
        <x:v>14.5</x:v>
      </x:c>
      <x:c r="G26" s="6">
        <x:v>0</x:v>
      </x:c>
      <x:c r="H26" s="5">
        <x:f>+D26*(1-G26)*(1-F26/E26)</x:f>
        <x:v>5505.8045454545463</x:v>
      </x:c>
      <x:c r="I26" s="7">
        <x:f>+D26</x:f>
        <x:v>16150.36</x:v>
      </x:c>
      <x:c r="J26" s="7">
        <x:f>+H26</x:f>
        <x:v>5505.8045454545463</x:v>
      </x:c>
    </x:row>
    <x:row r="27" spans="1:10" s="4" customFormat="1" outlineLevel="2" x14ac:dyDescent="0.25">
      <x:c r="A27" s="3">
        <x:v>398</x:v>
      </x:c>
      <x:c r="B27" s="4">
        <x:v>2014</x:v>
      </x:c>
      <x:c r="C27" s="4">
        <x:f>2024.5-B27</x:f>
        <x:v>10.5</x:v>
      </x:c>
      <x:c r="D27" s="5">
        <x:v>3118.58</x:v>
      </x:c>
      <x:c r="E27" s="5">
        <x:v>22</x:v>
      </x:c>
      <x:c r="F27" s="5">
        <x:f>+E27-C27</x:f>
        <x:v>11.5</x:v>
      </x:c>
      <x:c r="G27" s="6">
        <x:v>0</x:v>
      </x:c>
      <x:c r="H27" s="5">
        <x:f>+D27*(1-G27)*(1-F27/E27)</x:f>
        <x:v>1488.4131818181818</x:v>
      </x:c>
      <x:c r="I27" s="7">
        <x:f>+D27</x:f>
        <x:v>3118.58</x:v>
      </x:c>
      <x:c r="J27" s="7">
        <x:f>+H27</x:f>
        <x:v>1488.4131818181818</x:v>
      </x:c>
    </x:row>
    <x:row r="28" spans="1:10" s="4" customFormat="1" outlineLevel="2" x14ac:dyDescent="0.25">
      <x:c r="A28" s="3">
        <x:v>398</x:v>
      </x:c>
      <x:c r="B28" s="4">
        <x:v>2012</x:v>
      </x:c>
      <x:c r="C28" s="4">
        <x:f>2024.5-B28</x:f>
        <x:v>12.5</x:v>
      </x:c>
      <x:c r="D28" s="5">
        <x:v>3882.45</x:v>
      </x:c>
      <x:c r="E28" s="5">
        <x:v>22</x:v>
      </x:c>
      <x:c r="F28" s="5">
        <x:f>+E28-C28</x:f>
        <x:v>9.5</x:v>
      </x:c>
      <x:c r="G28" s="6">
        <x:v>0</x:v>
      </x:c>
      <x:c r="H28" s="5">
        <x:f>+D28*(1-G28)*(1-F28/E28)</x:f>
        <x:v>2205.9374999999995</x:v>
      </x:c>
      <x:c r="I28" s="7">
        <x:f>+D28</x:f>
        <x:v>3882.45</x:v>
      </x:c>
      <x:c r="J28" s="7">
        <x:f>+H28</x:f>
        <x:v>2205.9374999999995</x:v>
      </x:c>
    </x:row>
    <x:row r="29" spans="1:10" s="4" customFormat="1" outlineLevel="1" x14ac:dyDescent="0.25">
      <x:c r="A29" s="8" t="s">
        <x:v>15</x:v>
      </x:c>
      <x:c r="C29" s="4" t="s">
        <x:v>29</x:v>
      </x:c>
      <x:c r="D29" s="5">
        <x:f>SUBTOTAL(9,D25:D28)</x:f>
        <x:v>31366.920000000002</x:v>
      </x:c>
      <x:c r="E29" s="5"/>
      <x:c r="F29" s="5"/>
      <x:c r="G29" s="6"/>
      <x:c r="H29" s="5">
        <x:f>SUBTOTAL(9,H25:H28)</x:f>
        <x:v>10880.604545454547</x:v>
      </x:c>
      <x:c r="I29" s="5">
        <x:f>SUBTOTAL(9,I25:I28)</x:f>
        <x:v>31366.920000000002</x:v>
      </x:c>
      <x:c r="J29" s="5">
        <x:f>SUBTOTAL(9,J25:J28)</x:f>
        <x:v>10880.604545454547</x:v>
      </x:c>
    </x:row>
    <x:row r="30" spans="1:10" s="4" customFormat="1" outlineLevel="2" x14ac:dyDescent="0.25">
      <x:c r="A30" s="3" t="s">
        <x:v>3</x:v>
      </x:c>
      <x:c r="B30" s="4">
        <x:v>2018</x:v>
      </x:c>
      <x:c r="C30" s="4">
        <x:f>2024.5-B30</x:f>
        <x:v>6.5</x:v>
      </x:c>
      <x:c r="D30" s="5">
        <x:v>14047.69</x:v>
      </x:c>
      <x:c r="E30" s="5">
        <x:v>5</x:v>
      </x:c>
      <x:c r="F30" s="5">
        <x:v>0</x:v>
      </x:c>
      <x:c r="G30" s="6">
        <x:v>0</x:v>
      </x:c>
      <x:c r="H30" s="5">
        <x:f>+D30*(1-G30)*(1-F30/E30)</x:f>
        <x:v>14047.69</x:v>
      </x:c>
      <x:c r="I30" s="7">
        <x:v>14047.69</x:v>
      </x:c>
      <x:c r="J30" s="7">
        <x:v>-58279.192286208316</x:v>
      </x:c>
    </x:row>
    <x:row r="31" spans="1:10" s="4" customFormat="1" outlineLevel="1" x14ac:dyDescent="0.25">
      <x:c r="A31" s="8" t="s">
        <x:v>16</x:v>
      </x:c>
      <x:c r="C31" s="4" t="s">
        <x:v>28</x:v>
      </x:c>
      <x:c r="D31" s="5">
        <x:f>SUBTOTAL(9,D30:D30)</x:f>
        <x:v>14047.69</x:v>
      </x:c>
      <x:c r="E31" s="5"/>
      <x:c r="F31" s="5"/>
      <x:c r="G31" s="6"/>
      <x:c r="H31" s="5">
        <x:f>SUBTOTAL(9,H30:H30)</x:f>
        <x:v>14047.69</x:v>
      </x:c>
      <x:c r="I31" s="5">
        <x:f t="shared" ref="I31" si="0">SUBTOTAL(9,I30:I30)</x:f>
        <x:v>14047.69</x:v>
      </x:c>
      <x:c r="J31" s="5">
        <x:f>SUBTOTAL(9,J30:J30)</x:f>
        <x:v>-58279.192286208316</x:v>
      </x:c>
    </x:row>
    <x:row r="32" spans="1:10" s="4" customFormat="1" outlineLevel="2" x14ac:dyDescent="0.25">
      <x:c r="A32" s="3" t="s">
        <x:v>4</x:v>
      </x:c>
      <x:c r="B32" s="4">
        <x:v>2018</x:v>
      </x:c>
      <x:c r="C32" s="4">
        <x:f>2024.5-B32</x:f>
        <x:v>6.5</x:v>
      </x:c>
      <x:c r="D32" s="5">
        <x:v>56654.06</x:v>
      </x:c>
      <x:c r="E32" s="5">
        <x:v>7</x:v>
      </x:c>
      <x:c r="F32" s="5">
        <x:f>+E32-C32</x:f>
        <x:v>0.5</x:v>
      </x:c>
      <x:c r="G32" s="6">
        <x:v>0.1</x:v>
      </x:c>
      <x:c r="H32" s="5">
        <x:f>+D32*(1-G32)*(1-F32/E32)+7491.01</x:f>
        <x:v>54837.617285714288</x:v>
      </x:c>
      <x:c r="I32" s="7">
        <x:f t="shared" ref="I32" si="1">+D32</x:f>
        <x:v>56654.06</x:v>
      </x:c>
      <x:c r="J32" s="7">
        <x:f t="shared" ref="J32" si="2">+H32</x:f>
        <x:v>54837.617285714288</x:v>
      </x:c>
    </x:row>
    <x:row r="33" spans="1:13" s="4" customFormat="1" outlineLevel="1" x14ac:dyDescent="0.25">
      <x:c r="A33" s="8" t="s">
        <x:v>17</x:v>
      </x:c>
      <x:c r="C33" s="4" t="s">
        <x:v>28</x:v>
      </x:c>
      <x:c r="D33" s="5">
        <x:f>SUBTOTAL(9,D32:D32)</x:f>
        <x:v>56654.06</x:v>
      </x:c>
      <x:c r="E33" s="5"/>
      <x:c r="F33" s="5"/>
      <x:c r="G33" s="6"/>
      <x:c r="H33" s="5">
        <x:f>SUBTOTAL(9,H32:H32)</x:f>
        <x:v>54837.617285714288</x:v>
      </x:c>
      <x:c r="I33" s="5">
        <x:f>SUBTOTAL(9,I32:I32)</x:f>
        <x:v>56654.06</x:v>
      </x:c>
      <x:c r="J33" s="5">
        <x:f>SUBTOTAL(9,J32:J32)</x:f>
        <x:v>54837.617285714288</x:v>
      </x:c>
    </x:row>
    <x:row r="34" spans="1:13" s="4" customFormat="1" outlineLevel="2" x14ac:dyDescent="0.25">
      <x:c r="A34" s="3" t="s">
        <x:v>5</x:v>
      </x:c>
      <x:c r="B34" s="4">
        <x:v>2020</x:v>
      </x:c>
      <x:c r="C34" s="4">
        <x:f>2024.5-B34</x:f>
        <x:v>4.5</x:v>
      </x:c>
      <x:c r="D34" s="5">
        <x:v>52908.959999999999</x:v>
      </x:c>
      <x:c r="E34" s="5">
        <x:v>15</x:v>
      </x:c>
      <x:c r="F34" s="5">
        <x:f>+E34-C34</x:f>
        <x:v>10.5</x:v>
      </x:c>
      <x:c r="G34" s="6">
        <x:v>0.1</x:v>
      </x:c>
      <x:c r="H34" s="5">
        <x:f>+D34*(1-G34)*(1-F34/E34)</x:f>
        <x:v>14285.419200000002</x:v>
      </x:c>
      <x:c r="I34" s="7">
        <x:f>+D34</x:f>
        <x:v>52908.959999999999</x:v>
      </x:c>
      <x:c r="J34" s="7">
        <x:f>+H34</x:f>
        <x:v>14285.419200000002</x:v>
      </x:c>
    </x:row>
    <x:row r="35" spans="1:13" s="4" customFormat="1" outlineLevel="2" x14ac:dyDescent="0.25">
      <x:c r="A35" s="3" t="s">
        <x:v>5</x:v>
      </x:c>
      <x:c r="B35" s="4">
        <x:v>2013</x:v>
      </x:c>
      <x:c r="C35" s="4">
        <x:f>2024.5-B35</x:f>
        <x:v>11.5</x:v>
      </x:c>
      <x:c r="D35" s="5">
        <x:v>12816.19</x:v>
      </x:c>
      <x:c r="E35" s="5">
        <x:v>15</x:v>
      </x:c>
      <x:c r="F35" s="5">
        <x:f>+E35-C35</x:f>
        <x:v>3.5</x:v>
      </x:c>
      <x:c r="G35" s="6">
        <x:v>0.1</x:v>
      </x:c>
      <x:c r="H35" s="5">
        <x:f>+D35*(1-G35)*(1-F35/E35)</x:f>
        <x:v>8843.1710999999996</x:v>
      </x:c>
      <x:c r="I35" s="7">
        <x:f>+D35</x:f>
        <x:v>12816.19</x:v>
      </x:c>
      <x:c r="J35" s="7">
        <x:f>+H35</x:f>
        <x:v>8843.1710999999996</x:v>
      </x:c>
    </x:row>
    <x:row r="36" spans="1:13" s="4" customFormat="1" outlineLevel="1" x14ac:dyDescent="0.25">
      <x:c r="A36" s="8" t="s">
        <x:v>18</x:v>
      </x:c>
      <x:c r="C36" s="4" t="s">
        <x:v>28</x:v>
      </x:c>
      <x:c r="D36" s="13">
        <x:f>SUBTOTAL(9,D34:D35)</x:f>
        <x:v>65725.149999999994</x:v>
      </x:c>
      <x:c r="E36" s="5"/>
      <x:c r="F36" s="5"/>
      <x:c r="G36" s="6"/>
      <x:c r="H36" s="5">
        <x:f>SUBTOTAL(9,H34:H35)</x:f>
        <x:v>23128.590300000003</x:v>
      </x:c>
      <x:c r="I36" s="5">
        <x:f>SUBTOTAL(9,I34:I35)</x:f>
        <x:v>65725.149999999994</x:v>
      </x:c>
      <x:c r="J36" s="5">
        <x:f>SUBTOTAL(9,J34:J35)</x:f>
        <x:v>23128.590300000003</x:v>
      </x:c>
    </x:row>
    <x:row r="37" spans="1:13" s="4" customFormat="1" outlineLevel="2" x14ac:dyDescent="0.25">
      <x:c r="A37" s="3" t="s">
        <x:v>30</x:v>
      </x:c>
      <x:c r="B37" s="4">
        <x:v>2016</x:v>
      </x:c>
      <x:c r="C37" s="4">
        <x:f>2024.5-B37</x:f>
        <x:v>8.5</x:v>
      </x:c>
      <x:c r="D37" s="5">
        <x:v>25308.44</x:v>
      </x:c>
      <x:c r="E37" s="5">
        <x:v>10</x:v>
      </x:c>
      <x:c r="F37" s="5">
        <x:f>+E37-C37</x:f>
        <x:v>1.5</x:v>
      </x:c>
      <x:c r="G37" s="6">
        <x:v>0</x:v>
      </x:c>
      <x:c r="H37" s="5">
        <x:f>+D37*(1-G37)*(1-F37/E37)</x:f>
        <x:v>21512.173999999999</x:v>
      </x:c>
      <x:c r="I37" s="7">
        <x:f>+D37</x:f>
        <x:v>25308.44</x:v>
      </x:c>
      <x:c r="J37" s="7">
        <x:f>+H37</x:f>
        <x:v>21512.173999999999</x:v>
      </x:c>
    </x:row>
    <x:row r="38" spans="1:13" s="4" customFormat="1" outlineLevel="2" x14ac:dyDescent="0.25">
      <x:c r="A38" s="8" t="s">
        <x:v>31</x:v>
      </x:c>
      <x:c r="D38" s="5">
        <x:f>SUBTOTAL(9,D37:D37)</x:f>
        <x:v>25308.44</x:v>
      </x:c>
      <x:c r="E38" s="5"/>
      <x:c r="F38" s="5"/>
      <x:c r="G38" s="6"/>
      <x:c r="H38" s="5">
        <x:f>SUBTOTAL(9,H37:H37)</x:f>
        <x:v>21512.173999999999</x:v>
      </x:c>
      <x:c r="I38" s="5">
        <x:f>SUBTOTAL(9,I37:I37)</x:f>
        <x:v>25308.44</x:v>
      </x:c>
      <x:c r="J38" s="5">
        <x:f>SUBTOTAL(9,J37:J37)</x:f>
        <x:v>21512.173999999999</x:v>
      </x:c>
    </x:row>
    <x:row r="39" spans="1:13" s="4" customFormat="1" outlineLevel="2" x14ac:dyDescent="0.25">
      <x:c r="A39" s="3" t="s">
        <x:v>32</x:v>
      </x:c>
      <x:c r="B39" s="4">
        <x:v>2020</x:v>
      </x:c>
      <x:c r="C39" s="4">
        <x:f t="shared" ref="C39" si="3">2024.5-B39</x:f>
        <x:v>4.5</x:v>
      </x:c>
      <x:c r="D39" s="5">
        <x:v>55488.85</x:v>
      </x:c>
      <x:c r="E39" s="5">
        <x:v>15</x:v>
      </x:c>
      <x:c r="F39" s="5">
        <x:v>10.5</x:v>
      </x:c>
      <x:c r="G39" s="6">
        <x:v>0.1</x:v>
      </x:c>
      <x:c r="H39" s="5">
        <x:f t="shared" ref="H39" si="4">+D39*(1-G39)*(1-F39/E39)</x:f>
        <x:v>14981.989500000001</x:v>
      </x:c>
      <x:c r="I39" s="7">
        <x:f t="shared" ref="I39" si="5">+D39</x:f>
        <x:v>55488.85</x:v>
      </x:c>
      <x:c r="J39" s="7">
        <x:f t="shared" ref="J39" si="6">+H39</x:f>
        <x:v>14981.989500000001</x:v>
      </x:c>
    </x:row>
    <x:row r="40" spans="1:13" s="4" customFormat="1" outlineLevel="2" x14ac:dyDescent="0.25">
      <x:c r="A40" s="8" t="s">
        <x:v>33</x:v>
      </x:c>
      <x:c r="C40" s="4" t="s">
        <x:v>28</x:v>
      </x:c>
      <x:c r="D40" s="5">
        <x:f>SUBTOTAL(9,D39:D39)</x:f>
        <x:v>55488.85</x:v>
      </x:c>
      <x:c r="E40" s="5"/>
      <x:c r="F40" s="5"/>
      <x:c r="G40" s="6"/>
      <x:c r="H40" s="5">
        <x:f>SUBTOTAL(9,H39:H39)</x:f>
        <x:v>14981.989500000001</x:v>
      </x:c>
      <x:c r="I40" s="5">
        <x:f>SUBTOTAL(9,I39:I39)</x:f>
        <x:v>55488.85</x:v>
      </x:c>
      <x:c r="J40" s="5">
        <x:f>SUBTOTAL(9,J39:J39)</x:f>
        <x:v>14981.989500000001</x:v>
      </x:c>
    </x:row>
    <x:row r="41" spans="1:13" s="4" customFormat="1" x14ac:dyDescent="0.25">
      <x:c r="A41" s="9" t="s">
        <x:v>19</x:v>
      </x:c>
      <x:c r="D41" s="5">
        <x:f>+D40+D38+D36+D33+D29+D22+D18+D12+D31+D24</x:f>
        <x:v>4201399.17</x:v>
      </x:c>
      <x:c r="E41" s="5"/>
      <x:c r="F41" s="5"/>
      <x:c r="G41" s="6"/>
      <x:c r="H41" s="5">
        <x:f t="shared" ref="H41:J41" si="7">+H40+H38+H36+H33+H29+H22+H18+H12+H31+H24</x:f>
        <x:v>1558154.1056257379</x:v>
      </x:c>
      <x:c r="I41" s="5">
        <x:f t="shared" si="7"/>
        <x:v>4201399.17</x:v>
      </x:c>
      <x:c r="J41" s="5">
        <x:f t="shared" si="7"/>
        <x:v>1408689.8709267091</x:v>
      </x:c>
    </x:row>
    <x:row r="42" spans="1:13" s="4" customFormat="1" x14ac:dyDescent="0.25">
      <x:c r="D42" s="5"/>
      <x:c r="E42" s="5"/>
      <x:c r="F42" s="5"/>
      <x:c r="G42" s="6"/>
      <x:c r="H42" s="5"/>
      <x:c r="J42" s="7"/>
      <x:c r="M42" s="7"/>
    </x:row>
    <x:row r="43" spans="1:13" s="4" customFormat="1" x14ac:dyDescent="0.25">
      <x:c r="D43" s="5"/>
      <x:c r="E43" s="5"/>
      <x:c r="F43" s="5"/>
      <x:c r="G43" s="6"/>
      <x:c r="H43" s="5"/>
    </x:row>
    <x:row r="44" spans="1:13" s="4" customFormat="1" x14ac:dyDescent="0.25">
      <x:c r="D44" s="5"/>
      <x:c r="E44" s="5"/>
      <x:c r="F44" s="5"/>
      <x:c r="G44" s="6"/>
      <x:c r="H44" s="5"/>
    </x:row>
    <x:row r="45" spans="1:13" s="4" customFormat="1" x14ac:dyDescent="0.25">
      <x:c r="D45" s="5"/>
      <x:c r="E45" s="5"/>
      <x:c r="F45" s="5"/>
      <x:c r="G45" s="6"/>
      <x:c r="H45" s="5"/>
      <x:c r="J45" s="7"/>
    </x:row>
    <x:row r="46" spans="1:13" s="4" customFormat="1" x14ac:dyDescent="0.25">
      <x:c r="D46" s="5"/>
      <x:c r="E46" s="5"/>
      <x:c r="F46" s="5"/>
      <x:c r="G46" s="6"/>
      <x:c r="H46" s="5"/>
    </x:row>
    <x:row r="47" spans="1:13" s="4" customFormat="1" x14ac:dyDescent="0.25">
      <x:c r="D47" s="5"/>
      <x:c r="F47" s="5"/>
      <x:c r="G47" s="6"/>
      <x:c r="H47" s="5"/>
    </x:row>
    <x:row r="48" spans="1:13" s="4" customFormat="1" x14ac:dyDescent="0.25">
      <x:c r="D48" s="5"/>
      <x:c r="E48" s="5"/>
      <x:c r="F48" s="5"/>
      <x:c r="G48" s="6"/>
      <x:c r="H48" s="5"/>
      <x:c r="I48" s="5"/>
      <x:c r="J48" s="5"/>
    </x:row>
    <x:row r="49" spans="4:10" s="4" customFormat="1" x14ac:dyDescent="0.25">
      <x:c r="D49" s="5"/>
      <x:c r="E49" s="5"/>
      <x:c r="F49" s="5"/>
      <x:c r="G49" s="6"/>
      <x:c r="H49" s="5"/>
    </x:row>
    <x:row r="52" spans="4:10" x14ac:dyDescent="0.25">
      <x:c r="I52" s="5"/>
      <x:c r="J52" s="5"/>
    </x:row>
  </x:sheetData>
  <x:sortState xmlns:xlrd2="http://schemas.microsoft.com/office/spreadsheetml/2017/richdata2" ref="A8:G37">
    <x:sortCondition ref="A8:A37"/>
    <x:sortCondition ref="C8:C37"/>
  </x:sortState>
  <x:mergeCells count="5">
    <x:mergeCell ref="A1:J1"/>
    <x:mergeCell ref="A2:J2"/>
    <x:mergeCell ref="A3:J3"/>
    <x:mergeCell ref="A4:J4"/>
    <x:mergeCell ref="A5:J5"/>
  </x:mergeCells>
  <x:pageMargins left="0.75" right="0.75" top="2" bottom="1" header="0.75" footer="0.3"/>
  <x:pageSetup scale="83" fitToHeight="0" orientation="landscape" r:id="rId1"/>
  <x:headerFooter>
    <x:oddHeader>&amp;RWP/B-5/8
Page 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2025-04-04T19:07:49.0000000Z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