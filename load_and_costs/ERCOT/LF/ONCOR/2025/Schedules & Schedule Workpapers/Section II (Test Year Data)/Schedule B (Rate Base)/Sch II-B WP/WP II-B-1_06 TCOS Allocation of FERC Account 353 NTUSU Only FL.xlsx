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15BD24CE-4455-4C97-B9A4-FEA9544DCB35}" xr6:coauthVersionLast="47" xr6:coauthVersionMax="47" xr10:uidLastSave="{00000000-0000-0000-0000-000000000000}"/>
  <x:bookViews>
    <x:workbookView xWindow="-26192" yWindow="-109" windowWidth="26301" windowHeight="14169" xr2:uid="{00000000-000D-0000-FFFF-FFFF00000000}"/>
  </x:bookViews>
  <x:sheets>
    <x:sheet name="WP II-B-1_06 TCOS - 353 NTU" sheetId="2" r:id="rId1"/>
  </x:sheets>
  <x:definedNames>
    <x:definedName name="_xlnm._FilterDatabase" localSheetId="0" hidden="1">'WP II-B-1_06 TCOS - 353 NTU'!$A$1:$N$30</x:definedName>
    <x:definedName name="_xlnm.Print_Titles" localSheetId="0">'WP II-B-1_06 TCOS - 353 NTU'!$1:$1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J31" i="2" l="1"/>
  <x:c r="H33" i="2"/>
  <x:c r="C31" i="2"/>
  <x:c r="K31" i="2" l="1"/>
  <x:c r="L31" i="2"/>
  <x:c r="M31" i="2"/>
  <x:c r="D31" i="2"/>
  <x:c r="E31" i="2"/>
  <x:c r="F31" i="2"/>
  <x:c r="G31" i="2"/>
  <x:c r="I33" i="2" l="1"/>
</x:calcChain>
</file>

<file path=xl/sharedStrings.xml><?xml version="1.0" encoding="utf-8"?>
<sst xmlns="http://schemas.openxmlformats.org/spreadsheetml/2006/main" count="70" uniqueCount="70">
  <si>
    <t>Location</t>
  </si>
  <si>
    <t>Location Name</t>
  </si>
  <si>
    <t>(C)         Common Investment Based on Property Unit</t>
  </si>
  <si>
    <t>(D)                 DIST Investment Based on Property Unit</t>
  </si>
  <si>
    <t>(E)          TCOS % Based on Property Unit                  (T / (D + T))</t>
  </si>
  <si>
    <t>(D + T)              DIST &amp; TCOS Investment Total Only</t>
  </si>
  <si>
    <t>(G)               TCOS % of Common Investment          (C * E)</t>
  </si>
  <si>
    <t>(H)               DIST % of Common Investment         (C - G)</t>
  </si>
  <si>
    <t>Total TCOS of 353                           (T +G)</t>
  </si>
  <si>
    <t>Total DIST of 353                           (D +H)</t>
  </si>
  <si>
    <t>(T)                   TCOS Investment Based on Property Unit</t>
  </si>
  <si>
    <t>Total 353</t>
  </si>
  <si>
    <t xml:space="preserve">Investment to Allocate to TCOS or DIST                 </t>
  </si>
  <si>
    <t>(F)             DIST % Based on Property Unit              (1 - E)</t>
  </si>
  <si>
    <t>Koch Tap</t>
  </si>
  <si>
    <t>Clearfork 345KV</t>
  </si>
  <si>
    <t>Tule Canyon 345KV</t>
  </si>
  <si>
    <t>Vealmoor 345 kV Station</t>
  </si>
  <si>
    <t>Windmill 345KV</t>
  </si>
  <si>
    <t>Pronghorn 138 - 25KV</t>
  </si>
  <si>
    <t>Roughneck Tap</t>
  </si>
  <si>
    <t>Blue Acres 138 - 25KV</t>
  </si>
  <si>
    <t>Buffalo 138 - 25KV</t>
  </si>
  <si>
    <t>Bulldog 138 - 12.5KV</t>
  </si>
  <si>
    <t>Eiland 138 - 25KV</t>
  </si>
  <si>
    <t>Einstein 345 - 138 - 25KV</t>
  </si>
  <si>
    <t>Pemkiff 138KV</t>
  </si>
  <si>
    <t>Rocky Road 138 - 25KV</t>
  </si>
  <si>
    <t>Sale Ranch 138 - 25KV</t>
  </si>
  <si>
    <t>Skywest 138KV</t>
  </si>
  <si>
    <t>South Midland 138 - 25KV</t>
  </si>
  <si>
    <t>Stiles 138 - 25KV</t>
  </si>
  <si>
    <t>Tall City 138 - 25KV</t>
  </si>
  <si>
    <t>Telephone Road 345 kV Station</t>
  </si>
  <si>
    <t>Alibates 345KV</t>
  </si>
  <si>
    <t>Ogallala 345KV</t>
  </si>
  <si>
    <t>AJ Swope 345 KV</t>
  </si>
  <si>
    <t>Farmland 345 KV</t>
  </si>
  <si>
    <t>White River 345KV</t>
  </si>
  <si>
    <t>N006340</t>
  </si>
  <si>
    <t>N006390</t>
  </si>
  <si>
    <t>N006520</t>
  </si>
  <si>
    <t>N006130</t>
  </si>
  <si>
    <t>N006280</t>
  </si>
  <si>
    <t>N006370</t>
  </si>
  <si>
    <t>N006300</t>
  </si>
  <si>
    <t>N006120</t>
  </si>
  <si>
    <t>N006040</t>
  </si>
  <si>
    <t>N006050</t>
  </si>
  <si>
    <t>N006330</t>
  </si>
  <si>
    <t>N006410</t>
  </si>
  <si>
    <t>N006450</t>
  </si>
  <si>
    <t>N006570</t>
  </si>
  <si>
    <t>N006660</t>
  </si>
  <si>
    <t>N006440</t>
  </si>
  <si>
    <t>N006080</t>
  </si>
  <si>
    <t>N006380</t>
  </si>
  <si>
    <t>N006650</t>
  </si>
  <si>
    <t>N006020</t>
  </si>
  <si>
    <t>N006240</t>
  </si>
  <si>
    <t>N006250</t>
  </si>
  <si>
    <t>N006430</t>
  </si>
  <si>
    <t>N006290</t>
  </si>
  <si>
    <t>N006460</t>
  </si>
  <si>
    <t>N006510</t>
  </si>
  <si>
    <t>N006640</t>
  </si>
  <si>
    <t>N006630</t>
  </si>
  <si>
    <t>Abernathy 345KV</t>
  </si>
  <si>
    <t>Alibates Synchronous Condenser</t>
  </si>
  <si>
    <t>Tule Canyon Synchronous Conden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</si>
</sst>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_);[Red]\(#,##0.00000000\)"/>
    <numFmt numFmtId="165" formatCode="#,##0.0000000_);[Red]\(#,##0.0000000\)"/>
  </numFmts>
  <fonts count="5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10"/>
      <name val="Arial Unicode MS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165" fontId="1" fillId="0" borderId="0" xfId="1" applyNumberFormat="1" applyFont="1" applyFill="1"/>
    <xf numFmtId="0" fontId="2" fillId="0" borderId="1" xfId="0" applyFont="1" applyFill="1" applyBorder="1" applyAlignment="1">
      <alignment horizontal="center" vertical="center" wrapText="1"/>
    </xf>
    <xf numFmtId="40" fontId="2" fillId="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/>
    <xf numFmtId="40" fontId="1" fillId="0" borderId="0" xfId="0" applyNumberFormat="1" applyFont="1" applyFill="1"/>
    <xf numFmtId="165" fontId="1" fillId="0" borderId="0" xfId="0" applyNumberFormat="1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39" fontId="1" fillId="0" borderId="0" xfId="0" applyNumberFormat="1" applyFont="1" applyFill="1"/>
    <xf numFmtId="39" fontId="1" fillId="0" borderId="0" xfId="1" applyNumberFormat="1" applyFont="1" applyFill="1"/>
    <xf numFmtId="39" fontId="1" fillId="0" borderId="2" xfId="0" applyNumberFormat="1" applyFont="1" applyFill="1" applyBorder="1"/>
    <xf numFmtId="40" fontId="4" fillId="0" borderId="3" xfId="1" applyNumberFormat="1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/>
    </xf>
    <xf numFmtId="165" fontId="4" fillId="0" borderId="5" xfId="1" applyNumberFormat="1" applyFont="1" applyFill="1" applyBorder="1" applyAlignment="1">
      <alignment horizontal="center"/>
    </xf>
    <xf numFmtId="39" fontId="1" fillId="0" borderId="0" xfId="0" applyNumberFormat="1" applyFont="1" applyBorder="1"/>
    <xf numFmtId="40" fontId="1" fillId="0" borderId="0" xfId="0" applyNumberFormat="1" applyFont="1" applyBorder="1"/>
    <xf numFmtId="165" fontId="1" fillId="0" borderId="0" xfId="0" applyNumberFormat="1" applyFont="1" applyBorder="1"/>
    <xf numFmtId="40" fontId="1" fillId="0" borderId="0" xfId="0" applyNumberFormat="1" applyFont="1" applyFill="1" applyBorder="1"/>
    <xf numFmtId="165" fontId="1" fillId="0" borderId="0" xfId="0" applyNumberFormat="1" applyFont="1" applyFill="1" applyBorder="1"/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M37"/>
  <x:sheetViews>
    <x:sheetView tabSelected="1" zoomScale="78" zoomScaleNormal="78" workbookViewId="0">
      <x:pane ySplit="1" topLeftCell="A2" activePane="bottomLeft" state="frozen"/>
      <x:selection pane="bottomLeft" activeCell="M31" sqref="M31"/>
    </x:sheetView>
  </x:sheetViews>
  <x:sheetFormatPr defaultColWidth="9.125" defaultRowHeight="15.65" x14ac:dyDescent="0.25"/>
  <x:cols>
    <x:col min="1" max="1" width="13.625" style="9" customWidth="1"/>
    <x:col min="2" max="2" width="46.875" style="6" customWidth="1"/>
    <x:col min="3" max="4" width="18.375" style="7" customWidth="1"/>
    <x:col min="5" max="7" width="20.125" style="7" customWidth="1"/>
    <x:col min="8" max="8" width="13.625" style="7" customWidth="1"/>
    <x:col min="9" max="9" width="15.5" style="8" bestFit="1" customWidth="1"/>
    <x:col min="10" max="10" width="18.375" style="8" customWidth="1"/>
    <x:col min="11" max="11" width="16.875" style="7" customWidth="1"/>
    <x:col min="12" max="12" width="20.125" style="7" customWidth="1"/>
    <x:col min="13" max="13" width="18.375" style="7" customWidth="1"/>
    <x:col min="14" max="16384" width="9.125" style="5"/>
  </x:cols>
  <x:sheetData>
    <x:row r="1" spans="1:13" ht="93.75" x14ac:dyDescent="0.25">
      <x:c r="A1" s="2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10</x:v>
      </x:c>
      <x:c r="F1" s="3" t="s">
        <x:v>12</x:v>
      </x:c>
      <x:c r="G1" s="3" t="s">
        <x:v>5</x:v>
      </x:c>
      <x:c r="H1" s="4" t="s">
        <x:v>4</x:v>
      </x:c>
      <x:c r="I1" s="4" t="s">
        <x:v>13</x:v>
      </x:c>
      <x:c r="J1" s="3" t="s">
        <x:v>6</x:v>
      </x:c>
      <x:c r="K1" s="3" t="s">
        <x:v>7</x:v>
      </x:c>
      <x:c r="L1" s="3" t="s">
        <x:v>8</x:v>
      </x:c>
      <x:c r="M1" s="3" t="s">
        <x:v>9</x:v>
      </x:c>
    </x:row>
    <x:row r="2" spans="1:13" x14ac:dyDescent="0.25">
      <x:c r="A2" s="9" t="s">
        <x:v>39</x:v>
      </x:c>
      <x:c r="B2" s="10" t="s">
        <x:v>30</x:v>
      </x:c>
      <x:c r="C2" s="11">
        <x:v>672168.02</x:v>
      </x:c>
      <x:c r="D2" s="11">
        <x:v>1547474</x:v>
      </x:c>
      <x:c r="E2" s="11">
        <x:v>400494.5</x:v>
      </x:c>
      <x:c r="F2" s="11">
        <x:v>2620136.52</x:v>
      </x:c>
      <x:c r="G2" s="12">
        <x:v>1947968.5</x:v>
      </x:c>
      <x:c r="H2" s="1">
        <x:v>0.20559598371328899</x:v>
      </x:c>
      <x:c r="I2" s="1">
        <x:v>0.79440401628671098</x:v>
      </x:c>
      <x:c r="J2" s="12">
        <x:v>138195.04999999999</x:v>
      </x:c>
      <x:c r="K2" s="12">
        <x:v>533972.97</x:v>
      </x:c>
      <x:c r="L2" s="12">
        <x:v>538689.55000000005</x:v>
      </x:c>
      <x:c r="M2" s="12">
        <x:v>2081446.97</x:v>
      </x:c>
    </x:row>
    <x:row r="3" spans="1:13" x14ac:dyDescent="0.25">
      <x:c r="A3" s="9" t="s">
        <x:v>44</x:v>
      </x:c>
      <x:c r="B3" s="10" t="s">
        <x:v>31</x:v>
      </x:c>
      <x:c r="C3" s="11">
        <x:v>754449.97</x:v>
      </x:c>
      <x:c r="D3" s="11">
        <x:v>4873835.6900000004</x:v>
      </x:c>
      <x:c r="E3" s="11">
        <x:v>3897574.74</x:v>
      </x:c>
      <x:c r="F3" s="11">
        <x:v>9525860.4000000004</x:v>
      </x:c>
      <x:c r="G3" s="12">
        <x:v>8771410.4299999997</x:v>
      </x:c>
      <x:c r="H3" s="1">
        <x:v>0.44434983074894152</x:v>
      </x:c>
      <x:c r="I3" s="1">
        <x:v>0.55565016925105848</x:v>
      </x:c>
      <x:c r="J3" s="12">
        <x:v>335239.71999999997</x:v>
      </x:c>
      <x:c r="K3" s="12">
        <x:v>419210.25</x:v>
      </x:c>
      <x:c r="L3" s="12">
        <x:v>4232814.46</x:v>
      </x:c>
      <x:c r="M3" s="12">
        <x:v>5293045.9400000004</x:v>
      </x:c>
    </x:row>
    <x:row r="4" spans="1:13" x14ac:dyDescent="0.25">
      <x:c r="A4" s="9" t="s">
        <x:v>40</x:v>
      </x:c>
      <x:c r="B4" s="10" t="s">
        <x:v>33</x:v>
      </x:c>
      <x:c r="C4" s="11">
        <x:v>2372154.92</x:v>
      </x:c>
      <x:c r="D4" s="11">
        <x:v>5505929.1799999997</x:v>
      </x:c>
      <x:c r="E4" s="11">
        <x:v>22062286.309999999</x:v>
      </x:c>
      <x:c r="F4" s="11">
        <x:v>29940370.409999996</x:v>
      </x:c>
      <x:c r="G4" s="12">
        <x:v>27568215.489999998</x:v>
      </x:c>
      <x:c r="H4" s="1">
        <x:v>0.80027981201767662</x:v>
      </x:c>
      <x:c r="I4" s="1">
        <x:v>0.19972018798232338</x:v>
      </x:c>
      <x:c r="J4" s="12">
        <x:v>1898387.69</x:v>
      </x:c>
      <x:c r="K4" s="12">
        <x:v>473767.23</x:v>
      </x:c>
      <x:c r="L4" s="12">
        <x:v>23960674</x:v>
      </x:c>
      <x:c r="M4" s="12">
        <x:v>5979696.4100000001</x:v>
      </x:c>
    </x:row>
    <x:row r="5" spans="1:13" x14ac:dyDescent="0.25">
      <x:c r="A5" s="9" t="s">
        <x:v>41</x:v>
      </x:c>
      <x:c r="B5" s="10" t="s">
        <x:v>14</x:v>
      </x:c>
      <x:c r="C5" s="11">
        <x:v>3302438.91</x:v>
      </x:c>
      <x:c r="D5" s="11">
        <x:v>7271924.1699999999</x:v>
      </x:c>
      <x:c r="E5" s="11">
        <x:v>561652.18000000005</x:v>
      </x:c>
      <x:c r="F5" s="11">
        <x:v>11136015.26</x:v>
      </x:c>
      <x:c r="G5" s="12">
        <x:v>7833576.3499999996</x:v>
      </x:c>
      <x:c r="H5" s="1">
        <x:v>7.169805398015941E-2</x:v>
      </x:c>
      <x:c r="I5" s="1">
        <x:v>0.92830194601984062</x:v>
      </x:c>
      <x:c r="J5" s="12">
        <x:v>236778.44</x:v>
      </x:c>
      <x:c r="K5" s="12">
        <x:v>3065660.47</x:v>
      </x:c>
      <x:c r="L5" s="12">
        <x:v>798430.62000000011</x:v>
      </x:c>
      <x:c r="M5" s="12">
        <x:v>10337584.640000001</x:v>
      </x:c>
    </x:row>
    <x:row r="6" spans="1:13" x14ac:dyDescent="0.25">
      <x:c r="A6" s="9" t="s">
        <x:v>42</x:v>
      </x:c>
      <x:c r="B6" s="10" t="s">
        <x:v>25</x:v>
      </x:c>
      <x:c r="C6" s="11">
        <x:v>306806.64</x:v>
      </x:c>
      <x:c r="D6" s="11">
        <x:v>2382394.9300000002</x:v>
      </x:c>
      <x:c r="E6" s="11">
        <x:v>12819643.83</x:v>
      </x:c>
      <x:c r="F6" s="11">
        <x:v>15508845.4</x:v>
      </x:c>
      <x:c r="G6" s="12">
        <x:v>15202038.76</x:v>
      </x:c>
      <x:c r="H6" s="1">
        <x:v>0.84328451153087314</x:v>
      </x:c>
      <x:c r="I6" s="1">
        <x:v>0.15671548846912686</x:v>
      </x:c>
      <x:c r="J6" s="12">
        <x:v>258725.29</x:v>
      </x:c>
      <x:c r="K6" s="12">
        <x:v>48081.350000000006</x:v>
      </x:c>
      <x:c r="L6" s="12">
        <x:v>13078369.119999999</x:v>
      </x:c>
      <x:c r="M6" s="12">
        <x:v>2430476.2800000003</x:v>
      </x:c>
    </x:row>
    <x:row r="7" spans="1:13" x14ac:dyDescent="0.25">
      <x:c r="A7" s="9" t="s">
        <x:v>43</x:v>
      </x:c>
      <x:c r="B7" s="10" t="s">
        <x:v>27</x:v>
      </x:c>
      <x:c r="C7" s="11">
        <x:v>159064.88</x:v>
      </x:c>
      <x:c r="D7" s="11">
        <x:v>2188584.73</x:v>
      </x:c>
      <x:c r="E7" s="11">
        <x:v>1976891.12</x:v>
      </x:c>
      <x:c r="F7" s="11">
        <x:v>4324540.7300000004</x:v>
      </x:c>
      <x:c r="G7" s="12">
        <x:v>4165475.85</x:v>
      </x:c>
      <x:c r="H7" s="1">
        <x:v>0.47458950458205157</x:v>
      </x:c>
      <x:c r="I7" s="1">
        <x:v>0.52541049541794838</x:v>
      </x:c>
      <x:c r="J7" s="12">
        <x:v>75490.52</x:v>
      </x:c>
      <x:c r="K7" s="12">
        <x:v>83574.36</x:v>
      </x:c>
      <x:c r="L7" s="12">
        <x:v>2052381.6400000001</x:v>
      </x:c>
      <x:c r="M7" s="12">
        <x:v>2272159.09</x:v>
      </x:c>
    </x:row>
    <x:row r="8" spans="1:13" x14ac:dyDescent="0.25">
      <x:c r="A8" s="9" t="s">
        <x:v>45</x:v>
      </x:c>
      <x:c r="B8" s="10" t="s">
        <x:v>28</x:v>
      </x:c>
      <x:c r="C8" s="11">
        <x:v>247968.58</x:v>
      </x:c>
      <x:c r="D8" s="11">
        <x:v>1998046.21</x:v>
      </x:c>
      <x:c r="E8" s="11">
        <x:v>3699961.12</x:v>
      </x:c>
      <x:c r="F8" s="11">
        <x:v>5945975.9100000001</x:v>
      </x:c>
      <x:c r="G8" s="12">
        <x:v>5698007.3300000001</x:v>
      </x:c>
      <x:c r="H8" s="1">
        <x:v>0.64934299057842737</x:v>
      </x:c>
      <x:c r="I8" s="1">
        <x:v>0.35065700942157263</x:v>
      </x:c>
      <x:c r="J8" s="12">
        <x:v>161016.66</x:v>
      </x:c>
      <x:c r="K8" s="12">
        <x:v>86951.919999999984</x:v>
      </x:c>
      <x:c r="L8" s="12">
        <x:v>3860977.7800000003</x:v>
      </x:c>
      <x:c r="M8" s="12">
        <x:v>2084998.13</x:v>
      </x:c>
    </x:row>
    <x:row r="9" spans="1:13" x14ac:dyDescent="0.25">
      <x:c r="A9" s="9" t="s">
        <x:v>55</x:v>
      </x:c>
      <x:c r="B9" s="10" t="s">
        <x:v>15</x:v>
      </x:c>
      <x:c r="C9" s="11">
        <x:v>399026.59</x:v>
      </x:c>
      <x:c r="D9" s="11">
        <x:v>0</x:v>
      </x:c>
      <x:c r="E9" s="11">
        <x:v>2660691.37</x:v>
      </x:c>
      <x:c r="F9" s="11">
        <x:v>3059717.96</x:v>
      </x:c>
      <x:c r="G9" s="12">
        <x:v>2660691.37</x:v>
      </x:c>
      <x:c r="H9" s="1">
        <x:v>1</x:v>
      </x:c>
      <x:c r="I9" s="1">
        <x:v>0</x:v>
      </x:c>
      <x:c r="J9" s="12">
        <x:v>399026.59</x:v>
      </x:c>
      <x:c r="K9" s="12">
        <x:v>0</x:v>
      </x:c>
      <x:c r="L9" s="12">
        <x:v>3059717.96</x:v>
      </x:c>
      <x:c r="M9" s="12">
        <x:v>0</x:v>
      </x:c>
    </x:row>
    <x:row r="10" spans="1:13" x14ac:dyDescent="0.25">
      <x:c r="A10" s="9" t="s">
        <x:v>46</x:v>
      </x:c>
      <x:c r="B10" s="10" t="s">
        <x:v>24</x:v>
      </x:c>
      <x:c r="C10" s="11">
        <x:v>1048646.3700000001</x:v>
      </x:c>
      <x:c r="D10" s="11">
        <x:v>2258866.7400000002</x:v>
      </x:c>
      <x:c r="E10" s="11">
        <x:v>2473124.31</x:v>
      </x:c>
      <x:c r="F10" s="11">
        <x:v>5780637.4199999999</x:v>
      </x:c>
      <x:c r="G10" s="12">
        <x:v>4731991.0500000007</x:v>
      </x:c>
      <x:c r="H10" s="1">
        <x:v>0.52263926196563704</x:v>
      </x:c>
      <x:c r="I10" s="1">
        <x:v>0.47736073803436296</x:v>
      </x:c>
      <x:c r="J10" s="12">
        <x:v>548063.76</x:v>
      </x:c>
      <x:c r="K10" s="12">
        <x:v>500582.6100000001</x:v>
      </x:c>
      <x:c r="L10" s="12">
        <x:v>3021188.0700000003</x:v>
      </x:c>
      <x:c r="M10" s="12">
        <x:v>2759449.3500000006</x:v>
      </x:c>
    </x:row>
    <x:row r="11" spans="1:13" x14ac:dyDescent="0.25">
      <x:c r="A11" s="9" t="s">
        <x:v>47</x:v>
      </x:c>
      <x:c r="B11" s="10" t="s">
        <x:v>22</x:v>
      </x:c>
      <x:c r="C11" s="11">
        <x:v>629808.26</x:v>
      </x:c>
      <x:c r="D11" s="11">
        <x:v>500581.69</x:v>
      </x:c>
      <x:c r="E11" s="11">
        <x:v>1954443.77</x:v>
      </x:c>
      <x:c r="F11" s="11">
        <x:v>3084833.7199999997</x:v>
      </x:c>
      <x:c r="G11" s="12">
        <x:v>2455025.46</x:v>
      </x:c>
      <x:c r="H11" s="1">
        <x:v>0.79609918587157957</x:v>
      </x:c>
      <x:c r="I11" s="1">
        <x:v>0.20390081412842043</x:v>
      </x:c>
      <x:c r="J11" s="12">
        <x:v>501389.84</x:v>
      </x:c>
      <x:c r="K11" s="12">
        <x:v>128418.41999999998</x:v>
      </x:c>
      <x:c r="L11" s="12">
        <x:v>2455833.61</x:v>
      </x:c>
      <x:c r="M11" s="12">
        <x:v>629000.11</x:v>
      </x:c>
    </x:row>
    <x:row r="12" spans="1:13" x14ac:dyDescent="0.25">
      <x:c r="A12" s="9" t="s">
        <x:v>48</x:v>
      </x:c>
      <x:c r="B12" s="10" t="s">
        <x:v>23</x:v>
      </x:c>
      <x:c r="C12" s="11">
        <x:v>422963.97</x:v>
      </x:c>
      <x:c r="D12" s="11">
        <x:v>2065914.8</x:v>
      </x:c>
      <x:c r="E12" s="11">
        <x:v>4063275.91</x:v>
      </x:c>
      <x:c r="F12" s="11">
        <x:v>6552154.6799999997</x:v>
      </x:c>
      <x:c r="G12" s="12">
        <x:v>6129190.71</x:v>
      </x:c>
      <x:c r="H12" s="1">
        <x:v>0.66293840447330443</x:v>
      </x:c>
      <x:c r="I12" s="1">
        <x:v>0.33706159552669557</x:v>
      </x:c>
      <x:c r="J12" s="12">
        <x:v>280399.06</x:v>
      </x:c>
      <x:c r="K12" s="12">
        <x:v>142564.90999999997</x:v>
      </x:c>
      <x:c r="L12" s="12">
        <x:v>4343674.97</x:v>
      </x:c>
      <x:c r="M12" s="12">
        <x:v>2208479.71</x:v>
      </x:c>
    </x:row>
    <x:row r="13" spans="1:13" x14ac:dyDescent="0.25">
      <x:c r="A13" s="9" t="s">
        <x:v>49</x:v>
      </x:c>
      <x:c r="B13" s="10" t="s">
        <x:v>29</x:v>
      </x:c>
      <x:c r="C13" s="11">
        <x:v>271085.65999999997</x:v>
      </x:c>
      <x:c r="D13" s="11">
        <x:v>252172</x:v>
      </x:c>
      <x:c r="E13" s="11">
        <x:v>1320016.24</x:v>
      </x:c>
      <x:c r="F13" s="11">
        <x:v>1843273.9</x:v>
      </x:c>
      <x:c r="G13" s="12">
        <x:v>1572188.24</x:v>
      </x:c>
      <x:c r="H13" s="1">
        <x:v>0.83960444838335646</x:v>
      </x:c>
      <x:c r="I13" s="1">
        <x:v>0.16039555161664354</x:v>
      </x:c>
      <x:c r="J13" s="12">
        <x:v>227604.73</x:v>
      </x:c>
      <x:c r="K13" s="12">
        <x:v>43480.929999999964</x:v>
      </x:c>
      <x:c r="L13" s="12">
        <x:v>1547620.97</x:v>
      </x:c>
      <x:c r="M13" s="12">
        <x:v>295652.92999999993</x:v>
      </x:c>
    </x:row>
    <x:row r="14" spans="1:13" x14ac:dyDescent="0.25">
      <x:c r="A14" s="9" t="s">
        <x:v>50</x:v>
      </x:c>
      <x:c r="B14" s="10" t="s">
        <x:v>17</x:v>
      </x:c>
      <x:c r="C14" s="11">
        <x:v>180626.36</x:v>
      </x:c>
      <x:c r="D14" s="11">
        <x:v>287012.84999999998</x:v>
      </x:c>
      <x:c r="E14" s="11">
        <x:v>9596749.8800000008</x:v>
      </x:c>
      <x:c r="F14" s="11">
        <x:v>10064389.09</x:v>
      </x:c>
      <x:c r="G14" s="12">
        <x:v>9883762.7300000004</x:v>
      </x:c>
      <x:c r="H14" s="1">
        <x:v>0.97096117563315898</x:v>
      </x:c>
      <x:c r="I14" s="1">
        <x:v>2.9038824366841021E-2</x:v>
      </x:c>
      <x:c r="J14" s="12">
        <x:v>175381.18</x:v>
      </x:c>
      <x:c r="K14" s="12">
        <x:v>5245.179999999993</x:v>
      </x:c>
      <x:c r="L14" s="12">
        <x:v>9772131.0600000005</x:v>
      </x:c>
      <x:c r="M14" s="12">
        <x:v>292258.02999999997</x:v>
      </x:c>
    </x:row>
    <x:row r="15" spans="1:13" x14ac:dyDescent="0.25">
      <x:c r="A15" s="9" t="s">
        <x:v>51</x:v>
      </x:c>
      <x:c r="B15" s="10" t="s">
        <x:v>34</x:v>
      </x:c>
      <x:c r="C15" s="11">
        <x:v>891070.18</x:v>
      </x:c>
      <x:c r="D15" s="11">
        <x:v>627710.71</x:v>
      </x:c>
      <x:c r="E15" s="11">
        <x:v>22165535.25</x:v>
      </x:c>
      <x:c r="F15" s="11">
        <x:v>23684316.140000001</x:v>
      </x:c>
      <x:c r="G15" s="12">
        <x:v>22793245.960000001</x:v>
      </x:c>
      <x:c r="H15" s="1">
        <x:v>0.97246067053803686</x:v>
      </x:c>
      <x:c r="I15" s="1">
        <x:v>2.7539329461963136E-2</x:v>
      </x:c>
      <x:c r="J15" s="12">
        <x:v>866530.7</x:v>
      </x:c>
      <x:c r="K15" s="12">
        <x:v>24539.480000000098</x:v>
      </x:c>
      <x:c r="L15" s="12">
        <x:v>23032065.949999999</x:v>
      </x:c>
      <x:c r="M15" s="12">
        <x:v>652250.19000000006</x:v>
      </x:c>
    </x:row>
    <x:row r="16" spans="1:13" x14ac:dyDescent="0.25">
      <x:c r="A16" s="9" t="s">
        <x:v>52</x:v>
      </x:c>
      <x:c r="B16" s="10" t="s">
        <x:v>35</x:v>
      </x:c>
      <x:c r="C16" s="11">
        <x:v>1227984.7</x:v>
      </x:c>
      <x:c r="D16" s="11">
        <x:v>416321.45</x:v>
      </x:c>
      <x:c r="E16" s="11">
        <x:v>19649454.280000001</x:v>
      </x:c>
      <x:c r="F16" s="11">
        <x:v>21293760.43</x:v>
      </x:c>
      <x:c r="G16" s="12">
        <x:v>20065775.73</x:v>
      </x:c>
      <x:c r="H16" s="1">
        <x:v>0.97925216270719284</x:v>
      </x:c>
      <x:c r="I16" s="1">
        <x:v>2.0747837292807159E-2</x:v>
      </x:c>
      <x:c r="J16" s="12">
        <x:v>1202506.67</x:v>
      </x:c>
      <x:c r="K16" s="12">
        <x:v>25478.030000000028</x:v>
      </x:c>
      <x:c r="L16" s="12">
        <x:v>20851960.950000003</x:v>
      </x:c>
      <x:c r="M16" s="12">
        <x:v>441799.48000000004</x:v>
      </x:c>
    </x:row>
    <x:row r="17" spans="1:13" x14ac:dyDescent="0.25">
      <x:c r="A17" s="9" t="s">
        <x:v>66</x:v>
      </x:c>
      <x:c r="B17" s="10" t="s">
        <x:v>16</x:v>
      </x:c>
      <x:c r="C17" s="11">
        <x:v>1916772.09</x:v>
      </x:c>
      <x:c r="D17" s="11">
        <x:v>706102.99</x:v>
      </x:c>
      <x:c r="E17" s="11">
        <x:v>29915856.649999999</x:v>
      </x:c>
      <x:c r="F17" s="11">
        <x:v>32538731.729999997</x:v>
      </x:c>
      <x:c r="G17" s="12">
        <x:v>30621959.639999997</x:v>
      </x:c>
      <x:c r="H17" s="1">
        <x:v>0.97694128663543633</x:v>
      </x:c>
      <x:c r="I17" s="1">
        <x:v>2.3058713364563665E-2</x:v>
      </x:c>
      <x:c r="J17" s="12">
        <x:v>1872573.79</x:v>
      </x:c>
      <x:c r="K17" s="12">
        <x:v>44198.300000000047</x:v>
      </x:c>
      <x:c r="L17" s="12">
        <x:v>31788430.439999998</x:v>
      </x:c>
      <x:c r="M17" s="12">
        <x:v>750301.29</x:v>
      </x:c>
    </x:row>
    <x:row r="18" spans="1:13" x14ac:dyDescent="0.25">
      <x:c r="A18" s="9" t="s">
        <x:v>53</x:v>
      </x:c>
      <x:c r="B18" s="10" t="s">
        <x:v>18</x:v>
      </x:c>
      <x:c r="C18" s="11">
        <x:v>1676514.68</x:v>
      </x:c>
      <x:c r="D18" s="11">
        <x:v>776653.05</x:v>
      </x:c>
      <x:c r="E18" s="11">
        <x:v>27096470.629999999</x:v>
      </x:c>
      <x:c r="F18" s="11">
        <x:v>29549638.359999999</x:v>
      </x:c>
      <x:c r="G18" s="12">
        <x:v>27873123.68</x:v>
      </x:c>
      <x:c r="H18" s="1">
        <x:v>0.97213613160417756</x:v>
      </x:c>
      <x:c r="I18" s="1">
        <x:v>2.7863868395822444E-2</x:v>
      </x:c>
      <x:c r="J18" s="12">
        <x:v>1629800.5</x:v>
      </x:c>
      <x:c r="K18" s="12">
        <x:v>46714.179999999935</x:v>
      </x:c>
      <x:c r="L18" s="12">
        <x:v>28726271.129999999</x:v>
      </x:c>
      <x:c r="M18" s="12">
        <x:v>823367.23</x:v>
      </x:c>
    </x:row>
    <x:row r="19" spans="1:13" x14ac:dyDescent="0.25">
      <x:c r="A19" s="9" t="s">
        <x:v>54</x:v>
      </x:c>
      <x:c r="B19" s="10" t="s">
        <x:v>36</x:v>
      </x:c>
      <x:c r="C19" s="11">
        <x:v>1354486.56</x:v>
      </x:c>
      <x:c r="D19" s="11">
        <x:v>601881.64</x:v>
      </x:c>
      <x:c r="E19" s="11">
        <x:v>18815030.91</x:v>
      </x:c>
      <x:c r="F19" s="11">
        <x:v>20771399.109999999</x:v>
      </x:c>
      <x:c r="G19" s="12">
        <x:v>19416912.550000001</x:v>
      </x:c>
      <x:c r="H19" s="1">
        <x:v>0.96900219648978125</x:v>
      </x:c>
      <x:c r="I19" s="1">
        <x:v>3.0997803510218747E-2</x:v>
      </x:c>
      <x:c r="J19" s="12">
        <x:v>1312500.45</x:v>
      </x:c>
      <x:c r="K19" s="12">
        <x:v>41986.110000000102</x:v>
      </x:c>
      <x:c r="L19" s="12">
        <x:v>20127531.359999999</x:v>
      </x:c>
      <x:c r="M19" s="12">
        <x:v>643867.75000000012</x:v>
      </x:c>
    </x:row>
    <x:row r="20" spans="1:13" x14ac:dyDescent="0.25">
      <x:c r="A20" s="9" t="s">
        <x:v>56</x:v>
      </x:c>
      <x:c r="B20" s="10" t="s">
        <x:v>32</x:v>
      </x:c>
      <x:c r="C20" s="11">
        <x:v>874626.76</x:v>
      </x:c>
      <x:c r="D20" s="11">
        <x:v>1600465.87</x:v>
      </x:c>
      <x:c r="E20" s="11">
        <x:v>2619670.5499999998</x:v>
      </x:c>
      <x:c r="F20" s="11">
        <x:v>5094763.18</x:v>
      </x:c>
      <x:c r="G20" s="12">
        <x:v>4220136.42</x:v>
      </x:c>
      <x:c r="H20" s="1">
        <x:v>0.62075494469441816</x:v>
      </x:c>
      <x:c r="I20" s="1">
        <x:v>0.37924505530558184</x:v>
      </x:c>
      <x:c r="J20" s="12">
        <x:v>542928.89</x:v>
      </x:c>
      <x:c r="K20" s="12">
        <x:v>331697.87</x:v>
      </x:c>
      <x:c r="L20" s="12">
        <x:v>3162599.44</x:v>
      </x:c>
      <x:c r="M20" s="12">
        <x:v>1932163.7400000002</x:v>
      </x:c>
    </x:row>
    <x:row r="21" spans="1:13" x14ac:dyDescent="0.25">
      <x:c r="A21" s="9" t="s">
        <x:v>57</x:v>
      </x:c>
      <x:c r="B21" s="10" t="s">
        <x:v>38</x:v>
      </x:c>
      <x:c r="C21" s="11">
        <x:v>3949209.03</x:v>
      </x:c>
      <x:c r="D21" s="11">
        <x:v>0</x:v>
      </x:c>
      <x:c r="E21" s="11">
        <x:v>16852907.289999999</x:v>
      </x:c>
      <x:c r="F21" s="11">
        <x:v>20802116.32</x:v>
      </x:c>
      <x:c r="G21" s="12">
        <x:v>16852907.289999999</x:v>
      </x:c>
      <x:c r="H21" s="1">
        <x:v>1</x:v>
      </x:c>
      <x:c r="I21" s="1">
        <x:v>0</x:v>
      </x:c>
      <x:c r="J21" s="12">
        <x:v>3949209.03</x:v>
      </x:c>
      <x:c r="K21" s="12">
        <x:v>0</x:v>
      </x:c>
      <x:c r="L21" s="12">
        <x:v>20802116.32</x:v>
      </x:c>
      <x:c r="M21" s="12">
        <x:v>0</x:v>
      </x:c>
    </x:row>
    <x:row r="22" spans="1:13" x14ac:dyDescent="0.25">
      <x:c r="A22" s="9" t="s">
        <x:v>58</x:v>
      </x:c>
      <x:c r="B22" s="10" t="s">
        <x:v>21</x:v>
      </x:c>
      <x:c r="C22" s="11">
        <x:v>241133.53</x:v>
      </x:c>
      <x:c r="D22" s="11">
        <x:v>3754641.92</x:v>
      </x:c>
      <x:c r="E22" s="11">
        <x:v>2357987.7400000002</x:v>
      </x:c>
      <x:c r="F22" s="11">
        <x:v>6353763.1899999995</x:v>
      </x:c>
      <x:c r="G22" s="12">
        <x:v>6112629.6600000001</x:v>
      </x:c>
      <x:c r="H22" s="1">
        <x:v>0.38575668266478952</x:v>
      </x:c>
      <x:c r="I22" s="1">
        <x:v>0.61424331733521043</x:v>
      </x:c>
      <x:c r="J22" s="12">
        <x:v>93018.87</x:v>
      </x:c>
      <x:c r="K22" s="12">
        <x:v>148114.66</x:v>
      </x:c>
      <x:c r="L22" s="12">
        <x:v>2451006.6100000003</x:v>
      </x:c>
      <x:c r="M22" s="12">
        <x:v>3902756.58</x:v>
      </x:c>
    </x:row>
    <x:row r="23" spans="1:13" x14ac:dyDescent="0.25">
      <x:c r="A23" s="9" t="s">
        <x:v>59</x:v>
      </x:c>
      <x:c r="B23" s="10" t="s">
        <x:v>26</x:v>
      </x:c>
      <x:c r="C23" s="11">
        <x:v>122908.19</x:v>
      </x:c>
      <x:c r="D23" s="11">
        <x:v>0</x:v>
      </x:c>
      <x:c r="E23" s="11">
        <x:v>2755266.38</x:v>
      </x:c>
      <x:c r="F23" s="11">
        <x:v>2878174.57</x:v>
      </x:c>
      <x:c r="G23" s="12">
        <x:v>2755266.38</x:v>
      </x:c>
      <x:c r="H23" s="1">
        <x:v>1</x:v>
      </x:c>
      <x:c r="I23" s="1">
        <x:v>0</x:v>
      </x:c>
      <x:c r="J23" s="12">
        <x:v>122908.19</x:v>
      </x:c>
      <x:c r="K23" s="12">
        <x:v>0</x:v>
      </x:c>
      <x:c r="L23" s="12">
        <x:v>2878174.57</x:v>
      </x:c>
      <x:c r="M23" s="12">
        <x:v>0</x:v>
      </x:c>
    </x:row>
    <x:row r="24" spans="1:13" x14ac:dyDescent="0.25">
      <x:c r="A24" s="9" t="s">
        <x:v>60</x:v>
      </x:c>
      <x:c r="B24" s="10" t="s">
        <x:v>19</x:v>
      </x:c>
      <x:c r="C24" s="11">
        <x:v>1008955.57</x:v>
      </x:c>
      <x:c r="D24" s="11">
        <x:v>4066815.99</x:v>
      </x:c>
      <x:c r="E24" s="11">
        <x:v>1103092.92</x:v>
      </x:c>
      <x:c r="F24" s="11">
        <x:v>6178864.4800000004</x:v>
      </x:c>
      <x:c r="G24" s="12">
        <x:v>5169908.91</x:v>
      </x:c>
      <x:c r="H24" s="1">
        <x:v>0.21336796048114509</x:v>
      </x:c>
      <x:c r="I24" s="1">
        <x:v>0.78663203951885485</x:v>
      </x:c>
      <x:c r="J24" s="12">
        <x:v>215278.79</x:v>
      </x:c>
      <x:c r="K24" s="12">
        <x:v>793676.77999999991</x:v>
      </x:c>
      <x:c r="L24" s="12">
        <x:v>1318371.71</x:v>
      </x:c>
      <x:c r="M24" s="12">
        <x:v>4860492.7700000005</x:v>
      </x:c>
    </x:row>
    <x:row r="25" spans="1:13" x14ac:dyDescent="0.25">
      <x:c r="A25" s="9" t="s">
        <x:v>62</x:v>
      </x:c>
      <x:c r="B25" s="10" t="s">
        <x:v>20</x:v>
      </x:c>
      <x:c r="C25" s="11">
        <x:v>1023.09</x:v>
      </x:c>
      <x:c r="D25" s="11">
        <x:v>0</x:v>
      </x:c>
      <x:c r="E25" s="11">
        <x:v>532687.22</x:v>
      </x:c>
      <x:c r="F25" s="11">
        <x:v>533710.30999999994</x:v>
      </x:c>
      <x:c r="G25" s="12">
        <x:v>532687.22</x:v>
      </x:c>
      <x:c r="H25" s="1">
        <x:v>1</x:v>
      </x:c>
      <x:c r="I25" s="1">
        <x:v>0</x:v>
      </x:c>
      <x:c r="J25" s="12">
        <x:v>1023.09</x:v>
      </x:c>
      <x:c r="K25" s="12">
        <x:v>0</x:v>
      </x:c>
      <x:c r="L25" s="12">
        <x:v>533710.30999999994</x:v>
      </x:c>
      <x:c r="M25" s="12">
        <x:v>0</x:v>
      </x:c>
    </x:row>
    <x:row r="26" spans="1:13" x14ac:dyDescent="0.25">
      <x:c r="A26" s="9" t="s">
        <x:v>61</x:v>
      </x:c>
      <x:c r="B26" s="10" t="s">
        <x:v>67</x:v>
      </x:c>
      <x:c r="C26" s="11">
        <x:v>0</x:v>
      </x:c>
      <x:c r="D26" s="11">
        <x:v>0</x:v>
      </x:c>
      <x:c r="E26" s="11">
        <x:v>253422.57</x:v>
      </x:c>
      <x:c r="F26" s="11">
        <x:v>253422.57</x:v>
      </x:c>
      <x:c r="G26" s="12">
        <x:v>253422.57</x:v>
      </x:c>
      <x:c r="H26" s="1">
        <x:v>1</x:v>
      </x:c>
      <x:c r="I26" s="1">
        <x:v>0</x:v>
      </x:c>
      <x:c r="J26" s="12">
        <x:v>0</x:v>
      </x:c>
      <x:c r="K26" s="12">
        <x:v>0</x:v>
      </x:c>
      <x:c r="L26" s="12">
        <x:v>253422.57</x:v>
      </x:c>
      <x:c r="M26" s="12">
        <x:v>0</x:v>
      </x:c>
    </x:row>
    <x:row r="27" spans="1:13" x14ac:dyDescent="0.25">
      <x:c r="A27" s="9" t="s">
        <x:v>63</x:v>
      </x:c>
      <x:c r="B27" s="10" t="s">
        <x:v>68</x:v>
      </x:c>
      <x:c r="C27" s="11">
        <x:v>15054835.07</x:v>
      </x:c>
      <x:c r="D27" s="11">
        <x:v>0</x:v>
      </x:c>
      <x:c r="E27" s="11">
        <x:v>17946289.210000001</x:v>
      </x:c>
      <x:c r="F27" s="11">
        <x:v>33001124.280000001</x:v>
      </x:c>
      <x:c r="G27" s="12">
        <x:v>17946289.210000001</x:v>
      </x:c>
      <x:c r="H27" s="1">
        <x:v>1</x:v>
      </x:c>
      <x:c r="I27" s="1">
        <x:v>0</x:v>
      </x:c>
      <x:c r="J27" s="12">
        <x:v>15054835.07</x:v>
      </x:c>
      <x:c r="K27" s="12">
        <x:v>0</x:v>
      </x:c>
      <x:c r="L27" s="12">
        <x:v>33001124.280000001</x:v>
      </x:c>
      <x:c r="M27" s="12">
        <x:v>0</x:v>
      </x:c>
    </x:row>
    <x:row r="28" spans="1:13" x14ac:dyDescent="0.25">
      <x:c r="A28" s="9" t="s">
        <x:v>64</x:v>
      </x:c>
      <x:c r="B28" s="10" t="s">
        <x:v>37</x:v>
      </x:c>
      <x:c r="C28" s="11">
        <x:v>205223.91</x:v>
      </x:c>
      <x:c r="D28" s="11">
        <x:v>0</x:v>
      </x:c>
      <x:c r="E28" s="11">
        <x:v>3259402.76</x:v>
      </x:c>
      <x:c r="F28" s="11">
        <x:v>3464626.67</x:v>
      </x:c>
      <x:c r="G28" s="12">
        <x:v>3259402.76</x:v>
      </x:c>
      <x:c r="H28" s="1">
        <x:v>1</x:v>
      </x:c>
      <x:c r="I28" s="1">
        <x:v>0</x:v>
      </x:c>
      <x:c r="J28" s="12">
        <x:v>205223.91</x:v>
      </x:c>
      <x:c r="K28" s="12">
        <x:v>0</x:v>
      </x:c>
      <x:c r="L28" s="12">
        <x:v>3464626.67</x:v>
      </x:c>
      <x:c r="M28" s="12">
        <x:v>0</x:v>
      </x:c>
    </x:row>
    <x:row r="29" spans="1:13" x14ac:dyDescent="0.25">
      <x:c r="A29" s="9" t="s">
        <x:v>65</x:v>
      </x:c>
      <x:c r="B29" s="10" t="s">
        <x:v>69</x:v>
      </x:c>
      <x:c r="C29" s="11">
        <x:v>15098710.220000001</x:v>
      </x:c>
      <x:c r="D29" s="11">
        <x:v>0</x:v>
      </x:c>
      <x:c r="E29" s="11">
        <x:v>17553664.559999999</x:v>
      </x:c>
      <x:c r="F29" s="11">
        <x:v>32652374.780000001</x:v>
      </x:c>
      <x:c r="G29" s="12">
        <x:v>17553664.559999999</x:v>
      </x:c>
      <x:c r="H29" s="1">
        <x:v>1</x:v>
      </x:c>
      <x:c r="I29" s="1">
        <x:v>0</x:v>
      </x:c>
      <x:c r="J29" s="12">
        <x:v>15098710.220000001</x:v>
      </x:c>
      <x:c r="K29" s="12">
        <x:v>0</x:v>
      </x:c>
      <x:c r="L29" s="12">
        <x:v>32652374.780000001</x:v>
      </x:c>
      <x:c r="M29" s="12">
        <x:v>0</x:v>
      </x:c>
    </x:row>
    <x:row r="30" spans="1:13" x14ac:dyDescent="0.25">
      <x:c r="B30" s="10"/>
      <x:c r="C30" s="11"/>
      <x:c r="D30" s="11"/>
      <x:c r="E30" s="11"/>
      <x:c r="F30" s="11"/>
      <x:c r="G30" s="12"/>
      <x:c r="H30" s="1"/>
      <x:c r="I30" s="1"/>
      <x:c r="J30" s="12"/>
      <x:c r="K30" s="12"/>
      <x:c r="L30" s="12"/>
      <x:c r="M30" s="12"/>
    </x:row>
    <x:row r="31" spans="1:13" ht="16.3" thickBot="1" x14ac:dyDescent="0.3">
      <x:c r="C31" s="13">
        <x:f>SUM(C2:C30)</x:f>
        <x:v>54390662.709999993</x:v>
      </x:c>
      <x:c r="D31" s="13">
        <x:f>SUM(D2:D30)</x:f>
        <x:v>43683330.609999999</x:v>
      </x:c>
      <x:c r="E31" s="13">
        <x:f>SUM(E2:E30)</x:f>
        <x:v>250363544.19999999</x:v>
      </x:c>
      <x:c r="F31" s="13">
        <x:f>SUM(F2:F30)</x:f>
        <x:v>348437537.5200001</x:v>
      </x:c>
      <x:c r="G31" s="13">
        <x:f>SUM(G2:G30)</x:f>
        <x:v>294046874.80999994</x:v>
      </x:c>
      <x:c r="J31" s="13">
        <x:f>SUM(J2:J30)</x:f>
        <x:v>47402746.699999996</x:v>
      </x:c>
      <x:c r="K31" s="13">
        <x:f>SUM(K2:K30)</x:f>
        <x:v>6987916.0100000007</x:v>
      </x:c>
      <x:c r="L31" s="13">
        <x:f>SUM(L2:L30)</x:f>
        <x:v>297766290.89999998</x:v>
      </x:c>
      <x:c r="M31" s="13">
        <x:f>SUM(M2:M30)</x:f>
        <x:v>50671246.619999997</x:v>
      </x:c>
    </x:row>
    <x:row r="32" spans="1:13" ht="17" thickTop="1" thickBot="1" x14ac:dyDescent="0.3"/>
    <x:row r="33" spans="3:13" ht="16.3" thickBot="1" x14ac:dyDescent="0.3">
      <x:c r="G33" s="14" t="s">
        <x:v>11</x:v>
      </x:c>
      <x:c r="H33" s="15">
        <x:f>E31/G31</x:f>
        <x:v>0.85144092880352429</x:v>
      </x:c>
      <x:c r="I33" s="16">
        <x:f>1-H33</x:f>
        <x:v>0.14855907119647571</x:v>
      </x:c>
    </x:row>
    <x:row r="35" spans="3:13" x14ac:dyDescent="0.25">
      <x:c r="C35" s="17"/>
      <x:c r="D35" s="17"/>
      <x:c r="E35" s="17"/>
      <x:c r="F35" s="17"/>
      <x:c r="G35" s="17"/>
      <x:c r="H35" s="18"/>
      <x:c r="I35" s="19"/>
      <x:c r="J35" s="17"/>
      <x:c r="K35" s="17"/>
      <x:c r="L35" s="17"/>
      <x:c r="M35" s="17"/>
    </x:row>
    <x:row r="36" spans="3:13" x14ac:dyDescent="0.25">
      <x:c r="C36" s="20"/>
      <x:c r="D36" s="20"/>
      <x:c r="E36" s="20"/>
      <x:c r="F36" s="20"/>
      <x:c r="G36" s="20"/>
      <x:c r="H36" s="20"/>
      <x:c r="I36" s="21"/>
      <x:c r="J36" s="21"/>
      <x:c r="K36" s="20"/>
      <x:c r="L36" s="20"/>
      <x:c r="M36" s="20"/>
    </x:row>
    <x:row r="37" spans="3:13" x14ac:dyDescent="0.25">
      <x:c r="I37" s="7"/>
      <x:c r="J37" s="7"/>
    </x:row>
  </x:sheetData>
  <x:pageMargins left="0.7" right="0.7" top="2.5" bottom="0.75" header="1.5" footer="0.3"/>
  <x:pageSetup scale="48" fitToHeight="0" orientation="landscape" r:id="rId1"/>
  <x:headerFooter>
    <x:oddHeader>&amp;C
&amp;"Arial,Bold"&amp;12 2025 RATE CASE
ONCOR ELECTRIC DELIVERY COMPANY LLC
TCOS ALLOCATION OF FERC ACCOUNT 353 NTUSU ONLY
FOR THE TEST YEAR ENDING DECEMBER 31, 2024
SPONSOR: W. A. LEDBETTER&amp;R&amp;"Arial,Bold"&amp;12WP/II-B-1/06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2025-03-31T22:01:06.0000000Z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