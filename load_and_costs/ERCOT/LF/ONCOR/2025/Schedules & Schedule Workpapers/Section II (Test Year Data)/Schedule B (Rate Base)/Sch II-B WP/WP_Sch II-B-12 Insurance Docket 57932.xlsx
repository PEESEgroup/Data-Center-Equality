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B (Rate Base)\Sch II-B WP\"/>
    </mc:Choice>
  </mc:AlternateContent>
  <xr:revisionPtr revIDLastSave="0" documentId="8_{B616D2DB-3FFC-4FFE-839B-4B45920B2B46}" xr6:coauthVersionLast="47" xr6:coauthVersionMax="47" xr10:uidLastSave="{00000000-0000-0000-0000-000000000000}"/>
  <x:bookViews>
    <x:workbookView xWindow="-28920" yWindow="-120" windowWidth="29040" windowHeight="15720" xr2:uid="{00000000-000D-0000-FFFF-FFFF00000000}"/>
  </x:bookViews>
  <x:sheets>
    <x:sheet name="Insurance Order" sheetId="1" r:id="rId1"/>
  </x:sheets>
  <x:definedNames>
    <x:definedName name="_xlnm.Print_Area" localSheetId="0">'Insurance Order'!$A$6:$L$80</x:definedName>
    <x:definedName name="_xlnm.Print_Titles" localSheetId="0">'Insurance Order'!$A:$A,'Insurance Order'!$6:$8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J39" i="1" l="1"/>
  <x:c r="L39" i="1" s="1"/>
  <x:c r="J40" i="1"/>
  <x:c r="J41" i="1" s="1"/>
  <x:c r="B41" i="1"/>
  <x:c r="C41" i="1"/>
  <x:c r="D41" i="1"/>
  <x:c r="E41" i="1"/>
  <x:c r="E48" i="1" s="1"/>
  <x:c r="F41" i="1"/>
  <x:c r="G41" i="1"/>
  <x:c r="H41" i="1"/>
  <x:c r="I41" i="1"/>
  <x:c r="K41" i="1"/>
  <x:c r="J44" i="1"/>
  <x:c r="L44" i="1" s="1"/>
  <x:c r="J45" i="1"/>
  <x:c r="L45" i="1" s="1"/>
  <x:c r="B46" i="1"/>
  <x:c r="C46" i="1"/>
  <x:c r="D46" i="1"/>
  <x:c r="E46" i="1"/>
  <x:c r="F46" i="1"/>
  <x:c r="G46" i="1"/>
  <x:c r="H46" i="1"/>
  <x:c r="I46" i="1"/>
  <x:c r="K46" i="1"/>
  <x:c r="K18" i="1"/>
  <x:c r="I18" i="1"/>
  <x:c r="H18" i="1"/>
  <x:c r="G18" i="1"/>
  <x:c r="F18" i="1"/>
  <x:c r="E18" i="1"/>
  <x:c r="D18" i="1"/>
  <x:c r="C18" i="1"/>
  <x:c r="B18" i="1"/>
  <x:c r="J17" i="1"/>
  <x:c r="L17" i="1" s="1"/>
  <x:c r="J16" i="1"/>
  <x:c r="K48" i="1" l="1"/>
  <x:c r="C48" i="1"/>
  <x:c r="D48" i="1"/>
  <x:c r="B48" i="1"/>
  <x:c r="I48" i="1"/>
  <x:c r="H48" i="1"/>
  <x:c r="G48" i="1"/>
  <x:c r="F48" i="1"/>
  <x:c r="J46" i="1"/>
  <x:c r="L46" i="1" s="1"/>
  <x:c r="L40" i="1"/>
  <x:c r="L41" i="1"/>
  <x:c r="J48" i="1"/>
  <x:c r="J18" i="1"/>
  <x:c r="L18" i="1" s="1"/>
  <x:c r="L16" i="1"/>
  <x:c r="J68" i="1"/>
  <x:c r="J53" i="1"/>
  <x:c r="J54" i="1"/>
  <x:c r="J55" i="1"/>
  <x:c r="J56" i="1"/>
  <x:c r="J57" i="1"/>
  <x:c r="J58" i="1"/>
  <x:c r="J59" i="1"/>
  <x:c r="J60" i="1"/>
  <x:c r="J61" i="1"/>
  <x:c r="J62" i="1"/>
  <x:c r="J63" i="1"/>
  <x:c r="J64" i="1"/>
  <x:c r="J65" i="1"/>
  <x:c r="J66" i="1"/>
  <x:c r="J67" i="1"/>
  <x:c r="J52" i="1"/>
  <x:c r="J31" i="1"/>
  <x:c r="J30" i="1"/>
  <x:c r="J26" i="1"/>
  <x:c r="J25" i="1"/>
  <x:c r="J12" i="1"/>
  <x:c r="J11" i="1"/>
  <x:c r="L48" i="1" l="1"/>
  <x:c r="I13" i="1"/>
  <x:c r="I20" i="1" s="1"/>
  <x:c r="I27" i="1"/>
  <x:c r="I32" i="1"/>
  <x:c r="I69" i="1"/>
  <x:c r="I34" i="1" l="1"/>
  <x:c r="K69" i="1"/>
  <x:c r="J69" i="1"/>
  <x:c r="H69" i="1"/>
  <x:c r="G69" i="1"/>
  <x:c r="F69" i="1"/>
  <x:c r="E69" i="1"/>
  <x:c r="D69" i="1"/>
  <x:c r="C69" i="1"/>
  <x:c r="B69" i="1"/>
  <x:c r="L68" i="1"/>
  <x:c r="L67" i="1"/>
  <x:c r="L66" i="1"/>
  <x:c r="L65" i="1"/>
  <x:c r="L64" i="1"/>
  <x:c r="L63" i="1"/>
  <x:c r="L62" i="1"/>
  <x:c r="L61" i="1"/>
  <x:c r="L60" i="1"/>
  <x:c r="L59" i="1"/>
  <x:c r="L58" i="1"/>
  <x:c r="L57" i="1"/>
  <x:c r="L56" i="1"/>
  <x:c r="L55" i="1"/>
  <x:c r="L54" i="1"/>
  <x:c r="L53" i="1"/>
  <x:c r="L52" i="1"/>
  <x:c r="K32" i="1"/>
  <x:c r="J32" i="1"/>
  <x:c r="H32" i="1"/>
  <x:c r="G32" i="1"/>
  <x:c r="F32" i="1"/>
  <x:c r="E32" i="1"/>
  <x:c r="D32" i="1"/>
  <x:c r="C32" i="1"/>
  <x:c r="B32" i="1"/>
  <x:c r="L31" i="1"/>
  <x:c r="L30" i="1"/>
  <x:c r="K27" i="1"/>
  <x:c r="J27" i="1"/>
  <x:c r="H27" i="1"/>
  <x:c r="G27" i="1"/>
  <x:c r="F27" i="1"/>
  <x:c r="E27" i="1"/>
  <x:c r="D27" i="1"/>
  <x:c r="C27" i="1"/>
  <x:c r="B27" i="1"/>
  <x:c r="L26" i="1"/>
  <x:c r="L25" i="1"/>
  <x:c r="K13" i="1"/>
  <x:c r="K20" i="1" s="1"/>
  <x:c r="J13" i="1"/>
  <x:c r="J20" i="1" s="1"/>
  <x:c r="H13" i="1"/>
  <x:c r="H20" i="1" s="1"/>
  <x:c r="G13" i="1"/>
  <x:c r="G20" i="1" s="1"/>
  <x:c r="F13" i="1"/>
  <x:c r="F20" i="1" s="1"/>
  <x:c r="E13" i="1"/>
  <x:c r="E20" i="1" s="1"/>
  <x:c r="D13" i="1"/>
  <x:c r="D20" i="1" s="1"/>
  <x:c r="C13" i="1"/>
  <x:c r="C20" i="1" s="1"/>
  <x:c r="B13" i="1"/>
  <x:c r="B20" i="1" s="1"/>
  <x:c r="L12" i="1"/>
  <x:c r="L11" i="1"/>
  <x:c r="I71" i="1" l="1"/>
  <x:c r="L32" i="1"/>
  <x:c r="L69" i="1"/>
  <x:c r="C34" i="1"/>
  <x:c r="D34" i="1"/>
  <x:c r="H34" i="1"/>
  <x:c r="G34" i="1"/>
  <x:c r="J34" i="1"/>
  <x:c r="B34" i="1"/>
  <x:c r="F34" i="1"/>
  <x:c r="L27" i="1"/>
  <x:c r="E34" i="1"/>
  <x:c r="L13" i="1"/>
  <x:c r="L20" i="1" s="1"/>
  <x:c r="K34" i="1"/>
  <x:c r="L34" i="1" l="1"/>
  <x:c r="C71" i="1"/>
  <x:c r="G71" i="1"/>
  <x:c r="G75" i="1" s="1"/>
  <x:c r="H71" i="1"/>
  <x:c r="H75" i="1" s="1"/>
  <x:c r="K71" i="1"/>
  <x:c r="D71" i="1"/>
  <x:c r="F71" i="1"/>
  <x:c r="B71" i="1"/>
  <x:c r="F73" i="1" s="1"/>
  <x:c r="E71" i="1"/>
  <x:c r="J71" i="1"/>
  <x:c r="J75" i="1" l="1"/>
  <x:c r="J76" i="1" s="1"/>
  <x:c r="J79" i="1" s="1"/>
  <x:c r="L71" i="1"/>
</x:calcChain>
</file>

<file path=xl/sharedStrings.xml><?xml version="1.0" encoding="utf-8"?>
<sst xmlns="http://schemas.openxmlformats.org/spreadsheetml/2006/main" count="88" uniqueCount="68">
  <si>
    <t>Incurred</t>
  </si>
  <si>
    <t>But Not</t>
  </si>
  <si>
    <t>To Date</t>
  </si>
  <si>
    <t>Paid</t>
  </si>
  <si>
    <t>Expenses</t>
  </si>
  <si>
    <t>Consultants</t>
  </si>
  <si>
    <t xml:space="preserve">     Professional Fees</t>
  </si>
  <si>
    <t xml:space="preserve">     Expenses</t>
  </si>
  <si>
    <t xml:space="preserve">     Total Charges</t>
  </si>
  <si>
    <t>Total Consultants</t>
  </si>
  <si>
    <t>Legal Counsel</t>
  </si>
  <si>
    <t>Regulatory Counsel</t>
  </si>
  <si>
    <t>Total Legal Counsel</t>
  </si>
  <si>
    <t>Cities</t>
  </si>
  <si>
    <t>Cities Expenses</t>
  </si>
  <si>
    <t>Total Cities</t>
  </si>
  <si>
    <t>Miscellaneous Expenses</t>
  </si>
  <si>
    <t>Employee and Other Expenses</t>
  </si>
  <si>
    <t xml:space="preserve">     Airfare</t>
  </si>
  <si>
    <t xml:space="preserve">     Airfare- Service Fees</t>
  </si>
  <si>
    <t xml:space="preserve">     Car Rental</t>
  </si>
  <si>
    <t xml:space="preserve">     Car Rental- Gas</t>
  </si>
  <si>
    <t xml:space="preserve">     Equipment Rental</t>
  </si>
  <si>
    <t xml:space="preserve">     Hotel</t>
  </si>
  <si>
    <t xml:space="preserve">     Postage</t>
  </si>
  <si>
    <t xml:space="preserve">     Meals</t>
  </si>
  <si>
    <t xml:space="preserve">     Notice</t>
  </si>
  <si>
    <t xml:space="preserve">     Office Supplies</t>
  </si>
  <si>
    <t xml:space="preserve">     Overtime Payroll</t>
  </si>
  <si>
    <t xml:space="preserve">     Parking</t>
  </si>
  <si>
    <t xml:space="preserve">     Personal Car Mileage</t>
  </si>
  <si>
    <t xml:space="preserve">     Printing</t>
  </si>
  <si>
    <t xml:space="preserve">     Taxi/Bus/Other</t>
  </si>
  <si>
    <t xml:space="preserve">     Temporary Employee</t>
  </si>
  <si>
    <t>Total Miscellaneous</t>
  </si>
  <si>
    <t>Alliance of Oncor Cities (AOC)</t>
  </si>
  <si>
    <t>Vinson &amp; Elkins</t>
  </si>
  <si>
    <t>ONCOR ELECTRIC DELIVERY COMPANY LLC</t>
  </si>
  <si>
    <t xml:space="preserve">     Transcripts of Hearings</t>
  </si>
  <si>
    <t>Hunton Andrews Kurth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</si>
  <si>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</si>
  <si>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</si>
  <si>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</si>
  <si>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</si>
  <si>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</si>
  <si>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</si>
  <si>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</si>
  <si>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</si>
  <si>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McGriff Insurance Services</t>
  </si>
  <si>
    <t>Other Consultant</t>
  </si>
  <si>
    <t>2025 RATE CASE</t>
  </si>
  <si>
    <t>Total</t>
  </si>
  <si>
    <t>Steering Committee of Cities (OCSC)</t>
  </si>
  <si>
    <t>DOCKET NO. 57932 INSURANCE ORDER</t>
  </si>
  <si>
    <t>SPONSOR:  CHRISTINE M. SANDERS, W. ALAN LEDBETTER, &amp; R. PRACHYL</t>
  </si>
  <si>
    <t>TOTAL EXPENSES - DOCKET NO. 57932</t>
  </si>
  <si>
    <t>Also shown in Sch II-E-4.1.1 on Line No 59 and Sch II-E-4.4 on Line No. 7</t>
  </si>
  <si>
    <t>Docket No. 57932 Expenses at 12-31-2024 in Sch II-B-12 on Line No 39, Column (d) and (f)</t>
  </si>
  <si>
    <t>Requesting five-year recovery (amortization) of Docket No. 57932 Insurance Order expenses through Feb 2025</t>
  </si>
  <si>
    <t>Sch II-B-12 K&amp;M Adjustment Line No 39, Column (g)</t>
  </si>
  <si>
    <t>Sch II-B-12 Docket No. 57932 Expenses Line No 39, Column (h)</t>
  </si>
  <si>
    <t>MONTHLY INSURANCE CASE EXPENSES</t>
  </si>
  <si>
    <t>Annual amortization in Sch II-E-4.1 on Line No. 59 included in K&amp;M O&amp;M Adjustment #29 for Deferred PUCT Docket Costs (FERC Account 928)</t>
  </si>
  <si>
    <t>Column (g)</t>
  </si>
  <si>
    <t>Column (h)</t>
  </si>
  <si>
    <t>Sch II-B-12, Line No 39</t>
  </si>
  <si>
    <t>Balance @ 12-31-2024</t>
  </si>
  <si>
    <t>Total Insurance Case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</si>
</sst>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 yyyy;@"/>
    <numFmt numFmtId="165" formatCode="&quot;$&quot;#,##0.00_);\(&quot;$&quot;#,##0.00\);\-??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  <font>
      <u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0" fontId="3" fillId="0" borderId="1" xfId="1" applyFont="1" applyBorder="1"/>
    <xf numFmtId="0" fontId="3" fillId="0" borderId="0" xfId="1" applyFont="1"/>
    <xf numFmtId="44" fontId="2" fillId="0" borderId="0" xfId="1" applyNumberFormat="1" applyFont="1"/>
    <xf numFmtId="0" fontId="3" fillId="0" borderId="0" xfId="1" applyFont="1" applyAlignment="1">
      <alignment horizontal="centerContinuous"/>
    </xf>
    <xf numFmtId="0" fontId="2" fillId="0" borderId="0" xfId="1" applyFont="1" applyAlignment="1">
      <alignment horizontal="centerContinuous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164" fontId="3" fillId="0" borderId="1" xfId="1" quotePrefix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4" fillId="0" borderId="0" xfId="1" applyFont="1" applyAlignment="1">
      <alignment horizontal="left"/>
    </xf>
    <xf numFmtId="0" fontId="3" fillId="0" borderId="2" xfId="1" applyFont="1" applyBorder="1"/>
    <xf numFmtId="165" fontId="3" fillId="0" borderId="2" xfId="1" applyNumberFormat="1" applyFont="1" applyBorder="1"/>
    <xf numFmtId="0" fontId="3" fillId="0" borderId="3" xfId="1" applyFont="1" applyBorder="1" applyAlignment="1">
      <alignment vertical="center"/>
    </xf>
    <xf numFmtId="165" fontId="3" fillId="0" borderId="3" xfId="1" applyNumberFormat="1" applyFont="1" applyBorder="1" applyAlignment="1">
      <alignment vertical="center"/>
    </xf>
    <xf numFmtId="10" fontId="2" fillId="0" borderId="0" xfId="1" applyNumberFormat="1" applyFont="1" applyAlignment="1">
      <alignment horizontal="center"/>
    </xf>
    <xf numFmtId="44" fontId="3" fillId="0" borderId="0" xfId="1" applyNumberFormat="1" applyFont="1"/>
    <xf numFmtId="165" fontId="2" fillId="0" borderId="0" xfId="1" applyNumberFormat="1" applyFont="1"/>
    <xf numFmtId="165" fontId="3" fillId="0" borderId="0" xfId="1" applyNumberFormat="1" applyFont="1"/>
    <xf numFmtId="165" fontId="2" fillId="0" borderId="1" xfId="1" applyNumberFormat="1" applyFont="1" applyBorder="1"/>
    <xf numFmtId="165" fontId="3" fillId="0" borderId="1" xfId="1" applyNumberFormat="1" applyFont="1" applyBorder="1"/>
    <xf numFmtId="0" fontId="2" fillId="0" borderId="0" xfId="0" applyFont="1"/>
    <xf numFmtId="43" fontId="2" fillId="0" borderId="0" xfId="2" applyFont="1"/>
    <xf numFmtId="43" fontId="2" fillId="0" borderId="0" xfId="0" applyNumberFormat="1" applyFont="1"/>
    <xf numFmtId="165" fontId="2" fillId="0" borderId="0" xfId="0" applyNumberFormat="1" applyFont="1"/>
    <xf numFmtId="0" fontId="3" fillId="0" borderId="0" xfId="0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horizontal="right"/>
    </xf>
    <xf numFmtId="165" fontId="2" fillId="0" borderId="1" xfId="0" applyNumberFormat="1" applyFont="1" applyBorder="1"/>
    <xf numFmtId="44" fontId="2" fillId="0" borderId="0" xfId="3" applyFont="1"/>
    <xf numFmtId="0" fontId="2" fillId="0" borderId="0" xfId="0" applyFont="1" applyAlignment="1">
      <alignment horizontal="left" indent="1"/>
    </xf>
    <xf numFmtId="166" fontId="2" fillId="0" borderId="0" xfId="2" applyNumberFormat="1" applyFont="1"/>
    <xf numFmtId="0" fontId="2" fillId="0" borderId="0" xfId="0" applyFont="1" applyAlignment="1">
      <alignment horizontal="right"/>
    </xf>
  </cellXfs>
  <cellStyles count="4">
    <cellStyle name="Comma" xfId="2" builtinId="3"/>
    <cellStyle name="Currency" xfId="3" builtinId="4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T80"/>
  <x:sheetViews>
    <x:sheetView tabSelected="1" zoomScale="70" zoomScaleNormal="70" workbookViewId="0">
      <x:pane xSplit="1" ySplit="9" topLeftCell="B49" activePane="bottomRight" state="frozen"/>
      <x:selection pane="topRight" activeCell="C1" sqref="C1"/>
      <x:selection pane="bottomLeft" activeCell="A11" sqref="A11"/>
      <x:selection pane="bottomRight" activeCell="A5" sqref="A5"/>
    </x:sheetView>
  </x:sheetViews>
  <x:sheetFormatPr defaultColWidth="9.1796875" defaultRowHeight="15.5" x14ac:dyDescent="0.35"/>
  <x:cols>
    <x:col min="1" max="1" width="49.26953125" style="23" bestFit="1" customWidth="1"/>
    <x:col min="2" max="5" width="13.7265625" style="23" customWidth="1"/>
    <x:col min="6" max="6" width="15.7265625" style="23" bestFit="1" customWidth="1"/>
    <x:col min="7" max="9" width="13.7265625" style="23" customWidth="1"/>
    <x:col min="10" max="10" width="23.81640625" style="23" bestFit="1" customWidth="1"/>
    <x:col min="11" max="11" width="10.54296875" style="23" bestFit="1" customWidth="1"/>
    <x:col min="12" max="12" width="14.81640625" style="28" bestFit="1" customWidth="1"/>
    <x:col min="13" max="15" width="15.7265625" style="23" customWidth="1"/>
    <x:col min="16" max="16384" width="9.1796875" style="23"/>
  </x:cols>
  <x:sheetData>
    <x:row r="1" spans="1:12" x14ac:dyDescent="0.35">
      <x:c r="A1" s="8" t="s">
        <x:v>50</x:v>
      </x:c>
      <x:c r="B1" s="6"/>
      <x:c r="C1" s="7"/>
      <x:c r="D1" s="7"/>
      <x:c r="E1" s="7"/>
      <x:c r="F1" s="7"/>
      <x:c r="G1" s="7"/>
      <x:c r="H1" s="7"/>
      <x:c r="I1" s="7"/>
      <x:c r="J1" s="7"/>
      <x:c r="K1" s="7"/>
      <x:c r="L1" s="6"/>
    </x:row>
    <x:row r="2" spans="1:12" x14ac:dyDescent="0.35">
      <x:c r="A2" s="8" t="s">
        <x:v>37</x:v>
      </x:c>
      <x:c r="B2" s="6"/>
      <x:c r="C2" s="7"/>
      <x:c r="D2" s="7"/>
      <x:c r="E2" s="7"/>
      <x:c r="F2" s="7"/>
      <x:c r="G2" s="7"/>
      <x:c r="H2" s="7"/>
      <x:c r="I2" s="7"/>
      <x:c r="J2" s="7"/>
      <x:c r="K2" s="7"/>
      <x:c r="L2" s="6"/>
    </x:row>
    <x:row r="3" spans="1:12" x14ac:dyDescent="0.35">
      <x:c r="A3" s="8" t="s">
        <x:v>61</x:v>
      </x:c>
      <x:c r="B3" s="6"/>
      <x:c r="C3" s="7"/>
      <x:c r="D3" s="7"/>
      <x:c r="E3" s="7"/>
      <x:c r="F3" s="7"/>
      <x:c r="G3" s="7"/>
      <x:c r="H3" s="7"/>
      <x:c r="I3" s="7"/>
      <x:c r="J3" s="7"/>
      <x:c r="K3" s="7"/>
      <x:c r="L3" s="6"/>
    </x:row>
    <x:row r="4" spans="1:12" x14ac:dyDescent="0.35">
      <x:c r="A4" s="8" t="s">
        <x:v>53</x:v>
      </x:c>
      <x:c r="B4" s="6"/>
      <x:c r="C4" s="7"/>
      <x:c r="D4" s="7"/>
      <x:c r="E4" s="7"/>
      <x:c r="F4" s="7"/>
      <x:c r="G4" s="7"/>
      <x:c r="H4" s="7"/>
      <x:c r="I4" s="7"/>
      <x:c r="J4" s="7"/>
      <x:c r="K4" s="7"/>
      <x:c r="L4" s="6"/>
    </x:row>
    <x:row r="5" spans="1:12" x14ac:dyDescent="0.35">
      <x:c r="A5" s="8" t="s">
        <x:v>54</x:v>
      </x:c>
      <x:c r="B5" s="6"/>
      <x:c r="C5" s="7"/>
      <x:c r="D5" s="7"/>
      <x:c r="E5" s="7"/>
      <x:c r="F5" s="7"/>
      <x:c r="G5" s="7"/>
      <x:c r="H5" s="7"/>
      <x:c r="I5" s="7"/>
      <x:c r="J5" s="7"/>
      <x:c r="K5" s="7"/>
      <x:c r="L5" s="6"/>
    </x:row>
    <x:row r="6" spans="1:12" x14ac:dyDescent="0.35">
      <x:c r="A6" s="1"/>
      <x:c r="B6" s="9"/>
      <x:c r="C6" s="9"/>
      <x:c r="D6" s="9"/>
      <x:c r="E6" s="9"/>
      <x:c r="F6" s="9"/>
      <x:c r="G6" s="9"/>
      <x:c r="H6" s="9"/>
      <x:c r="I6" s="9"/>
      <x:c r="J6" s="9" t="s">
        <x:v>4</x:v>
      </x:c>
      <x:c r="K6" s="9" t="s">
        <x:v>0</x:v>
      </x:c>
      <x:c r="L6" s="9" t="s">
        <x:v>51</x:v>
      </x:c>
    </x:row>
    <x:row r="7" spans="1:12" x14ac:dyDescent="0.35">
      <x:c r="A7" s="1"/>
      <x:c r="B7" s="9"/>
      <x:c r="C7" s="9"/>
      <x:c r="D7" s="9"/>
      <x:c r="E7" s="9"/>
      <x:c r="F7" s="9"/>
      <x:c r="G7" s="9"/>
      <x:c r="H7" s="9"/>
      <x:c r="I7" s="9"/>
      <x:c r="J7" s="9" t="s">
        <x:v>3</x:v>
      </x:c>
      <x:c r="K7" s="9" t="s">
        <x:v>1</x:v>
      </x:c>
      <x:c r="L7" s="9" t="s">
        <x:v>4</x:v>
      </x:c>
    </x:row>
    <x:row r="8" spans="1:12" x14ac:dyDescent="0.35">
      <x:c r="A8" s="1"/>
      <x:c r="B8" s="10" t="s">
        <x:v>40</x:v>
      </x:c>
      <x:c r="C8" s="10" t="s">
        <x:v>41</x:v>
      </x:c>
      <x:c r="D8" s="10" t="s">
        <x:v>42</x:v>
      </x:c>
      <x:c r="E8" s="10" t="s">
        <x:v>43</x:v>
      </x:c>
      <x:c r="F8" s="10" t="s">
        <x:v>44</x:v>
      </x:c>
      <x:c r="G8" s="10" t="s">
        <x:v>45</x:v>
      </x:c>
      <x:c r="H8" s="10" t="s">
        <x:v>46</x:v>
      </x:c>
      <x:c r="I8" s="10" t="s">
        <x:v>47</x:v>
      </x:c>
      <x:c r="J8" s="11" t="s">
        <x:v>2</x:v>
      </x:c>
      <x:c r="K8" s="11" t="s">
        <x:v>3</x:v>
      </x:c>
      <x:c r="L8" s="11" t="s">
        <x:v>2</x:v>
      </x:c>
    </x:row>
    <x:row r="9" spans="1:12" x14ac:dyDescent="0.35">
      <x:c r="A9" s="3" t="s">
        <x:v>5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4"/>
    </x:row>
    <x:row r="10" spans="1:12" x14ac:dyDescent="0.35">
      <x:c r="A10" s="12" t="s">
        <x:v>48</x:v>
      </x:c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18"/>
    </x:row>
    <x:row r="11" spans="1:12" x14ac:dyDescent="0.35">
      <x:c r="A11" s="1" t="s">
        <x:v>6</x:v>
      </x:c>
      <x:c r="B11" s="19">
        <x:v>0</x:v>
      </x:c>
      <x:c r="C11" s="19">
        <x:v>0</x:v>
      </x:c>
      <x:c r="D11" s="19">
        <x:v>20000</x:v>
      </x:c>
      <x:c r="E11" s="19">
        <x:v>0</x:v>
      </x:c>
      <x:c r="F11" s="19">
        <x:v>0</x:v>
      </x:c>
      <x:c r="G11" s="19">
        <x:v>0</x:v>
      </x:c>
      <x:c r="H11" s="19">
        <x:v>0</x:v>
      </x:c>
      <x:c r="I11" s="19">
        <x:v>0</x:v>
      </x:c>
      <x:c r="J11" s="19">
        <x:f>SUM(B11:I11)</x:f>
        <x:v>20000</x:v>
      </x:c>
      <x:c r="K11" s="19">
        <x:v>0</x:v>
      </x:c>
      <x:c r="L11" s="20">
        <x:f t="shared" ref="L11:L13" si="0">+J11+K11</x:f>
        <x:v>20000</x:v>
      </x:c>
    </x:row>
    <x:row r="12" spans="1:12" x14ac:dyDescent="0.35">
      <x:c r="A12" s="1" t="s">
        <x:v>7</x:v>
      </x:c>
      <x:c r="B12" s="21">
        <x:v>0</x:v>
      </x:c>
      <x:c r="C12" s="21">
        <x:v>0</x:v>
      </x:c>
      <x:c r="D12" s="21">
        <x:v>0</x:v>
      </x:c>
      <x:c r="E12" s="21">
        <x:v>0</x:v>
      </x:c>
      <x:c r="F12" s="21">
        <x:v>0</x:v>
      </x:c>
      <x:c r="G12" s="21">
        <x:v>0</x:v>
      </x:c>
      <x:c r="H12" s="21">
        <x:v>0</x:v>
      </x:c>
      <x:c r="I12" s="21">
        <x:v>0</x:v>
      </x:c>
      <x:c r="J12" s="21">
        <x:f>SUM(B12:I12)</x:f>
        <x:v>0</x:v>
      </x:c>
      <x:c r="K12" s="21">
        <x:v>0</x:v>
      </x:c>
      <x:c r="L12" s="22">
        <x:f t="shared" si="0"/>
        <x:v>0</x:v>
      </x:c>
    </x:row>
    <x:row r="13" spans="1:12" x14ac:dyDescent="0.35">
      <x:c r="A13" s="1" t="s">
        <x:v>8</x:v>
      </x:c>
      <x:c r="B13" s="19">
        <x:f t="shared" ref="B13:K13" si="1">SUM(B11:B12)</x:f>
        <x:v>0</x:v>
      </x:c>
      <x:c r="C13" s="19">
        <x:f t="shared" si="1"/>
        <x:v>0</x:v>
      </x:c>
      <x:c r="D13" s="19">
        <x:f t="shared" si="1"/>
        <x:v>20000</x:v>
      </x:c>
      <x:c r="E13" s="19">
        <x:f t="shared" si="1"/>
        <x:v>0</x:v>
      </x:c>
      <x:c r="F13" s="19">
        <x:f t="shared" si="1"/>
        <x:v>0</x:v>
      </x:c>
      <x:c r="G13" s="19">
        <x:f t="shared" si="1"/>
        <x:v>0</x:v>
      </x:c>
      <x:c r="H13" s="19">
        <x:f t="shared" si="1"/>
        <x:v>0</x:v>
      </x:c>
      <x:c r="I13" s="19">
        <x:f t="shared" ref="I13" si="2">SUM(I11:I12)</x:f>
        <x:v>0</x:v>
      </x:c>
      <x:c r="J13" s="19">
        <x:f t="shared" si="1"/>
        <x:v>20000</x:v>
      </x:c>
      <x:c r="K13" s="19">
        <x:f t="shared" si="1"/>
        <x:v>0</x:v>
      </x:c>
      <x:c r="L13" s="20">
        <x:f t="shared" si="0"/>
        <x:v>20000</x:v>
      </x:c>
    </x:row>
    <x:row r="14" spans="1:12" x14ac:dyDescent="0.35">
      <x:c r="A14" s="2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20"/>
    </x:row>
    <x:row r="15" spans="1:12" x14ac:dyDescent="0.35">
      <x:c r="A15" s="12" t="s">
        <x:v>49</x:v>
      </x:c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20"/>
    </x:row>
    <x:row r="16" spans="1:12" x14ac:dyDescent="0.35">
      <x:c r="A16" s="1" t="s">
        <x:v>6</x:v>
      </x:c>
      <x:c r="B16" s="19">
        <x:v>0</x:v>
      </x:c>
      <x:c r="C16" s="19">
        <x:v>0</x:v>
      </x:c>
      <x:c r="D16" s="19">
        <x:v>0</x:v>
      </x:c>
      <x:c r="E16" s="19">
        <x:v>0</x:v>
      </x:c>
      <x:c r="F16" s="19">
        <x:v>0</x:v>
      </x:c>
      <x:c r="G16" s="19">
        <x:v>0</x:v>
      </x:c>
      <x:c r="H16" s="19">
        <x:v>0</x:v>
      </x:c>
      <x:c r="I16" s="19">
        <x:v>0</x:v>
      </x:c>
      <x:c r="J16" s="19">
        <x:f>SUM(B16:I16)</x:f>
        <x:v>0</x:v>
      </x:c>
      <x:c r="K16" s="19">
        <x:v>0</x:v>
      </x:c>
      <x:c r="L16" s="20">
        <x:f>+J16+K16</x:f>
        <x:v>0</x:v>
      </x:c>
    </x:row>
    <x:row r="17" spans="1:12" x14ac:dyDescent="0.35">
      <x:c r="A17" s="1" t="s">
        <x:v>7</x:v>
      </x:c>
      <x:c r="B17" s="21">
        <x:v>0</x:v>
      </x:c>
      <x:c r="C17" s="21">
        <x:v>0</x:v>
      </x:c>
      <x:c r="D17" s="21">
        <x:v>0</x:v>
      </x:c>
      <x:c r="E17" s="21">
        <x:v>0</x:v>
      </x:c>
      <x:c r="F17" s="21">
        <x:v>0</x:v>
      </x:c>
      <x:c r="G17" s="21">
        <x:v>0</x:v>
      </x:c>
      <x:c r="H17" s="21">
        <x:v>0</x:v>
      </x:c>
      <x:c r="I17" s="21">
        <x:v>0</x:v>
      </x:c>
      <x:c r="J17" s="21">
        <x:f>SUM(B17:I17)</x:f>
        <x:v>0</x:v>
      </x:c>
      <x:c r="K17" s="21">
        <x:v>0</x:v>
      </x:c>
      <x:c r="L17" s="22">
        <x:f t="shared" ref="L17:L18" si="3">+J17+K17</x:f>
        <x:v>0</x:v>
      </x:c>
    </x:row>
    <x:row r="18" spans="1:12" x14ac:dyDescent="0.35">
      <x:c r="A18" s="1" t="s">
        <x:v>8</x:v>
      </x:c>
      <x:c r="B18" s="19">
        <x:f t="shared" ref="B18:K18" si="4">SUM(B16:B17)</x:f>
        <x:v>0</x:v>
      </x:c>
      <x:c r="C18" s="19">
        <x:f t="shared" si="4"/>
        <x:v>0</x:v>
      </x:c>
      <x:c r="D18" s="19">
        <x:f t="shared" si="4"/>
        <x:v>0</x:v>
      </x:c>
      <x:c r="E18" s="19">
        <x:f t="shared" si="4"/>
        <x:v>0</x:v>
      </x:c>
      <x:c r="F18" s="19">
        <x:f t="shared" si="4"/>
        <x:v>0</x:v>
      </x:c>
      <x:c r="G18" s="19">
        <x:f t="shared" si="4"/>
        <x:v>0</x:v>
      </x:c>
      <x:c r="H18" s="19">
        <x:f t="shared" si="4"/>
        <x:v>0</x:v>
      </x:c>
      <x:c r="I18" s="19">
        <x:f t="shared" si="4"/>
        <x:v>0</x:v>
      </x:c>
      <x:c r="J18" s="19">
        <x:f t="shared" si="4"/>
        <x:v>0</x:v>
      </x:c>
      <x:c r="K18" s="19">
        <x:f t="shared" si="4"/>
        <x:v>0</x:v>
      </x:c>
      <x:c r="L18" s="20">
        <x:f t="shared" si="3"/>
        <x:v>0</x:v>
      </x:c>
    </x:row>
    <x:row r="19" spans="1:12" x14ac:dyDescent="0.35">
      <x:c r="A19" s="1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20"/>
    </x:row>
    <x:row r="20" spans="1:12" x14ac:dyDescent="0.35">
      <x:c r="A20" s="13" t="s">
        <x:v>9</x:v>
      </x:c>
      <x:c r="B20" s="14">
        <x:f>B13+B18</x:f>
        <x:v>0</x:v>
      </x:c>
      <x:c r="C20" s="14">
        <x:f t="shared" ref="C20:L20" si="5">C13+C18</x:f>
        <x:v>0</x:v>
      </x:c>
      <x:c r="D20" s="14">
        <x:f t="shared" si="5"/>
        <x:v>20000</x:v>
      </x:c>
      <x:c r="E20" s="14">
        <x:f t="shared" si="5"/>
        <x:v>0</x:v>
      </x:c>
      <x:c r="F20" s="14">
        <x:f t="shared" si="5"/>
        <x:v>0</x:v>
      </x:c>
      <x:c r="G20" s="14">
        <x:f t="shared" si="5"/>
        <x:v>0</x:v>
      </x:c>
      <x:c r="H20" s="14">
        <x:f t="shared" si="5"/>
        <x:v>0</x:v>
      </x:c>
      <x:c r="I20" s="14">
        <x:f t="shared" si="5"/>
        <x:v>0</x:v>
      </x:c>
      <x:c r="J20" s="14">
        <x:f t="shared" si="5"/>
        <x:v>20000</x:v>
      </x:c>
      <x:c r="K20" s="14">
        <x:f t="shared" si="5"/>
        <x:v>0</x:v>
      </x:c>
      <x:c r="L20" s="14">
        <x:f t="shared" si="5"/>
        <x:v>20000</x:v>
      </x:c>
    </x:row>
    <x:row r="21" spans="1:12" x14ac:dyDescent="0.35">
      <x:c r="A21" s="1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20"/>
    </x:row>
    <x:row r="22" spans="1:12" x14ac:dyDescent="0.35">
      <x:c r="A22" s="3" t="s">
        <x:v>10</x:v>
      </x:c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20"/>
    </x:row>
    <x:row r="23" spans="1:12" x14ac:dyDescent="0.35">
      <x:c r="A23" s="12" t="s">
        <x:v>36</x:v>
      </x:c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20"/>
    </x:row>
    <x:row r="24" spans="1:12" x14ac:dyDescent="0.35">
      <x:c r="A24" s="1" t="s">
        <x:v>11</x:v>
      </x:c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20"/>
    </x:row>
    <x:row r="25" spans="1:12" x14ac:dyDescent="0.35">
      <x:c r="A25" s="1" t="s">
        <x:v>6</x:v>
      </x:c>
      <x:c r="B25" s="19">
        <x:v>0</x:v>
      </x:c>
      <x:c r="C25" s="19">
        <x:v>0</x:v>
      </x:c>
      <x:c r="D25" s="19">
        <x:v>0</x:v>
      </x:c>
      <x:c r="E25" s="19">
        <x:v>0</x:v>
      </x:c>
      <x:c r="F25" s="19">
        <x:v>0</x:v>
      </x:c>
      <x:c r="G25" s="19">
        <x:v>0</x:v>
      </x:c>
      <x:c r="H25" s="19">
        <x:v>0</x:v>
      </x:c>
      <x:c r="I25" s="19">
        <x:v>0</x:v>
      </x:c>
      <x:c r="J25" s="19">
        <x:f>SUM(B25:I25)</x:f>
        <x:v>0</x:v>
      </x:c>
      <x:c r="K25" s="19">
        <x:v>0</x:v>
      </x:c>
      <x:c r="L25" s="20">
        <x:f t="shared" ref="L25:L27" si="6">+J25+K25</x:f>
        <x:v>0</x:v>
      </x:c>
    </x:row>
    <x:row r="26" spans="1:12" x14ac:dyDescent="0.35">
      <x:c r="A26" s="1" t="s">
        <x:v>7</x:v>
      </x:c>
      <x:c r="B26" s="21">
        <x:v>0</x:v>
      </x:c>
      <x:c r="C26" s="21">
        <x:v>0</x:v>
      </x:c>
      <x:c r="D26" s="21">
        <x:v>0</x:v>
      </x:c>
      <x:c r="E26" s="21">
        <x:v>0</x:v>
      </x:c>
      <x:c r="F26" s="21">
        <x:v>0</x:v>
      </x:c>
      <x:c r="G26" s="21">
        <x:v>0</x:v>
      </x:c>
      <x:c r="H26" s="21">
        <x:v>0</x:v>
      </x:c>
      <x:c r="I26" s="21">
        <x:v>0</x:v>
      </x:c>
      <x:c r="J26" s="21">
        <x:f>SUM(B26:I26)</x:f>
        <x:v>0</x:v>
      </x:c>
      <x:c r="K26" s="21">
        <x:v>0</x:v>
      </x:c>
      <x:c r="L26" s="22">
        <x:f t="shared" si="6"/>
        <x:v>0</x:v>
      </x:c>
    </x:row>
    <x:row r="27" spans="1:12" x14ac:dyDescent="0.35">
      <x:c r="A27" s="1" t="s">
        <x:v>8</x:v>
      </x:c>
      <x:c r="B27" s="19">
        <x:f t="shared" ref="B27:K27" si="7">SUM(B25:B26)</x:f>
        <x:v>0</x:v>
      </x:c>
      <x:c r="C27" s="19">
        <x:f t="shared" si="7"/>
        <x:v>0</x:v>
      </x:c>
      <x:c r="D27" s="19">
        <x:f t="shared" si="7"/>
        <x:v>0</x:v>
      </x:c>
      <x:c r="E27" s="19">
        <x:f t="shared" si="7"/>
        <x:v>0</x:v>
      </x:c>
      <x:c r="F27" s="19">
        <x:f t="shared" si="7"/>
        <x:v>0</x:v>
      </x:c>
      <x:c r="G27" s="19">
        <x:f t="shared" si="7"/>
        <x:v>0</x:v>
      </x:c>
      <x:c r="H27" s="19">
        <x:f t="shared" si="7"/>
        <x:v>0</x:v>
      </x:c>
      <x:c r="I27" s="19">
        <x:f t="shared" ref="I27" si="8">SUM(I25:I26)</x:f>
        <x:v>0</x:v>
      </x:c>
      <x:c r="J27" s="19">
        <x:f t="shared" si="7"/>
        <x:v>0</x:v>
      </x:c>
      <x:c r="K27" s="19">
        <x:f t="shared" si="7"/>
        <x:v>0</x:v>
      </x:c>
      <x:c r="L27" s="20">
        <x:f t="shared" si="6"/>
        <x:v>0</x:v>
      </x:c>
    </x:row>
    <x:row r="28" spans="1:12" x14ac:dyDescent="0.35">
      <x:c r="A28" s="12" t="s">
        <x:v>39</x:v>
      </x:c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20"/>
    </x:row>
    <x:row r="29" spans="1:12" x14ac:dyDescent="0.35">
      <x:c r="A29" s="1" t="s">
        <x:v>11</x:v>
      </x:c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20"/>
    </x:row>
    <x:row r="30" spans="1:12" x14ac:dyDescent="0.35">
      <x:c r="A30" s="1" t="s">
        <x:v>6</x:v>
      </x:c>
      <x:c r="B30" s="19">
        <x:v>438</x:v>
      </x:c>
      <x:c r="C30" s="19">
        <x:v>36633.5</x:v>
      </x:c>
      <x:c r="D30" s="19">
        <x:v>74794.5</x:v>
      </x:c>
      <x:c r="E30" s="19">
        <x:v>9297.5</x:v>
      </x:c>
      <x:c r="F30" s="19">
        <x:v>123</x:v>
      </x:c>
      <x:c r="G30" s="19">
        <x:v>241.6</x:v>
      </x:c>
      <x:c r="H30" s="19">
        <x:v>4798.6000000000004</x:v>
      </x:c>
      <x:c r="I30" s="19">
        <x:v>0</x:v>
      </x:c>
      <x:c r="J30" s="19">
        <x:f>SUM(B30:I30)</x:f>
        <x:v>126326.70000000001</x:v>
      </x:c>
      <x:c r="K30" s="19">
        <x:v>0</x:v>
      </x:c>
      <x:c r="L30" s="20">
        <x:f t="shared" ref="L30:L32" si="9">+J30+K30</x:f>
        <x:v>126326.70000000001</x:v>
      </x:c>
    </x:row>
    <x:row r="31" spans="1:12" x14ac:dyDescent="0.35">
      <x:c r="A31" s="1" t="s">
        <x:v>7</x:v>
      </x:c>
      <x:c r="B31" s="21">
        <x:v>0</x:v>
      </x:c>
      <x:c r="C31" s="21">
        <x:v>0</x:v>
      </x:c>
      <x:c r="D31" s="21">
        <x:v>172.85</x:v>
      </x:c>
      <x:c r="E31" s="21">
        <x:v>0</x:v>
      </x:c>
      <x:c r="F31" s="21">
        <x:v>0</x:v>
      </x:c>
      <x:c r="G31" s="21">
        <x:v>0</x:v>
      </x:c>
      <x:c r="H31" s="21">
        <x:v>0</x:v>
      </x:c>
      <x:c r="I31" s="21">
        <x:v>0</x:v>
      </x:c>
      <x:c r="J31" s="21">
        <x:f>SUM(B31:I31)</x:f>
        <x:v>172.85</x:v>
      </x:c>
      <x:c r="K31" s="21">
        <x:v>0</x:v>
      </x:c>
      <x:c r="L31" s="22">
        <x:f t="shared" si="9"/>
        <x:v>172.85</x:v>
      </x:c>
    </x:row>
    <x:row r="32" spans="1:12" x14ac:dyDescent="0.35">
      <x:c r="A32" s="1" t="s">
        <x:v>8</x:v>
      </x:c>
      <x:c r="B32" s="19">
        <x:f t="shared" ref="B32:K32" si="10">SUM(B30:B31)</x:f>
        <x:v>438</x:v>
      </x:c>
      <x:c r="C32" s="19">
        <x:f t="shared" si="10"/>
        <x:v>36633.5</x:v>
      </x:c>
      <x:c r="D32" s="19">
        <x:f t="shared" si="10"/>
        <x:v>74967.350000000006</x:v>
      </x:c>
      <x:c r="E32" s="19">
        <x:f t="shared" si="10"/>
        <x:v>9297.5</x:v>
      </x:c>
      <x:c r="F32" s="19">
        <x:f t="shared" si="10"/>
        <x:v>123</x:v>
      </x:c>
      <x:c r="G32" s="19">
        <x:f t="shared" si="10"/>
        <x:v>241.6</x:v>
      </x:c>
      <x:c r="H32" s="19">
        <x:f t="shared" si="10"/>
        <x:v>4798.6000000000004</x:v>
      </x:c>
      <x:c r="I32" s="19">
        <x:f t="shared" ref="I32" si="11">SUM(I30:I31)</x:f>
        <x:v>0</x:v>
      </x:c>
      <x:c r="J32" s="19">
        <x:f t="shared" si="10"/>
        <x:v>126499.55000000002</x:v>
      </x:c>
      <x:c r="K32" s="19">
        <x:f t="shared" si="10"/>
        <x:v>0</x:v>
      </x:c>
      <x:c r="L32" s="20">
        <x:f t="shared" si="9"/>
        <x:v>126499.55000000002</x:v>
      </x:c>
    </x:row>
    <x:row r="33" spans="1:14" x14ac:dyDescent="0.35">
      <x:c r="A33" s="1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20"/>
    </x:row>
    <x:row r="34" spans="1:14" x14ac:dyDescent="0.35">
      <x:c r="A34" s="13" t="s">
        <x:v>12</x:v>
      </x:c>
      <x:c r="B34" s="14">
        <x:f t="shared" ref="B34:L34" si="12">+B27+B32</x:f>
        <x:v>438</x:v>
      </x:c>
      <x:c r="C34" s="14">
        <x:f t="shared" si="12"/>
        <x:v>36633.5</x:v>
      </x:c>
      <x:c r="D34" s="14">
        <x:f t="shared" si="12"/>
        <x:v>74967.350000000006</x:v>
      </x:c>
      <x:c r="E34" s="14">
        <x:f t="shared" si="12"/>
        <x:v>9297.5</x:v>
      </x:c>
      <x:c r="F34" s="14">
        <x:f t="shared" si="12"/>
        <x:v>123</x:v>
      </x:c>
      <x:c r="G34" s="14">
        <x:f t="shared" si="12"/>
        <x:v>241.6</x:v>
      </x:c>
      <x:c r="H34" s="14">
        <x:f t="shared" si="12"/>
        <x:v>4798.6000000000004</x:v>
      </x:c>
      <x:c r="I34" s="14">
        <x:f t="shared" si="12"/>
        <x:v>0</x:v>
      </x:c>
      <x:c r="J34" s="14">
        <x:f t="shared" si="12"/>
        <x:v>126499.55000000002</x:v>
      </x:c>
      <x:c r="K34" s="14">
        <x:f t="shared" si="12"/>
        <x:v>0</x:v>
      </x:c>
      <x:c r="L34" s="14">
        <x:f t="shared" si="12"/>
        <x:v>126499.55000000002</x:v>
      </x:c>
    </x:row>
    <x:row r="35" spans="1:14" x14ac:dyDescent="0.35">
      <x:c r="A35" s="1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20"/>
    </x:row>
    <x:row r="36" spans="1:14" x14ac:dyDescent="0.35">
      <x:c r="A36" s="3" t="s">
        <x:v>13</x:v>
      </x:c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20"/>
    </x:row>
    <x:row r="37" spans="1:14" x14ac:dyDescent="0.35">
      <x:c r="A37" s="12" t="s">
        <x:v>52</x:v>
      </x:c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20"/>
    </x:row>
    <x:row r="38" spans="1:14" x14ac:dyDescent="0.35">
      <x:c r="A38" s="1" t="s">
        <x:v>14</x:v>
      </x:c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20"/>
      <x:c r="N38" s="24"/>
    </x:row>
    <x:row r="39" spans="1:14" x14ac:dyDescent="0.35">
      <x:c r="A39" s="1" t="s">
        <x:v>6</x:v>
      </x:c>
      <x:c r="B39" s="19">
        <x:v>0</x:v>
      </x:c>
      <x:c r="C39" s="19"/>
      <x:c r="D39" s="19"/>
      <x:c r="E39" s="19"/>
      <x:c r="F39" s="19">
        <x:v>0</x:v>
      </x:c>
      <x:c r="G39" s="19">
        <x:v>0</x:v>
      </x:c>
      <x:c r="H39" s="19">
        <x:v>0</x:v>
      </x:c>
      <x:c r="I39" s="19">
        <x:v>0</x:v>
      </x:c>
      <x:c r="J39" s="19">
        <x:f>SUM(B39:I39)</x:f>
        <x:v>0</x:v>
      </x:c>
      <x:c r="K39" s="19">
        <x:v>0</x:v>
      </x:c>
      <x:c r="L39" s="20">
        <x:f t="shared" ref="L39:L41" si="13">+J39+K39</x:f>
        <x:v>0</x:v>
      </x:c>
      <x:c r="N39" s="24"/>
    </x:row>
    <x:row r="40" spans="1:14" x14ac:dyDescent="0.35">
      <x:c r="A40" s="1" t="s">
        <x:v>7</x:v>
      </x:c>
      <x:c r="B40" s="21">
        <x:v>0</x:v>
      </x:c>
      <x:c r="C40" s="21">
        <x:v>0</x:v>
      </x:c>
      <x:c r="D40" s="21">
        <x:v>0</x:v>
      </x:c>
      <x:c r="E40" s="21">
        <x:v>0</x:v>
      </x:c>
      <x:c r="F40" s="21">
        <x:v>0</x:v>
      </x:c>
      <x:c r="G40" s="21">
        <x:v>0</x:v>
      </x:c>
      <x:c r="H40" s="21">
        <x:v>0</x:v>
      </x:c>
      <x:c r="I40" s="21">
        <x:v>0</x:v>
      </x:c>
      <x:c r="J40" s="21">
        <x:f>SUM(B40:I40)</x:f>
        <x:v>0</x:v>
      </x:c>
      <x:c r="K40" s="21">
        <x:v>0</x:v>
      </x:c>
      <x:c r="L40" s="22">
        <x:f t="shared" si="13"/>
        <x:v>0</x:v>
      </x:c>
      <x:c r="N40" s="25"/>
    </x:row>
    <x:row r="41" spans="1:14" x14ac:dyDescent="0.35">
      <x:c r="A41" s="1" t="s">
        <x:v>8</x:v>
      </x:c>
      <x:c r="B41" s="19">
        <x:f t="shared" ref="B41:K41" si="14">SUM(B39:B40)</x:f>
        <x:v>0</x:v>
      </x:c>
      <x:c r="C41" s="19">
        <x:f t="shared" si="14"/>
        <x:v>0</x:v>
      </x:c>
      <x:c r="D41" s="19">
        <x:f t="shared" si="14"/>
        <x:v>0</x:v>
      </x:c>
      <x:c r="E41" s="19">
        <x:f t="shared" si="14"/>
        <x:v>0</x:v>
      </x:c>
      <x:c r="F41" s="19">
        <x:f t="shared" si="14"/>
        <x:v>0</x:v>
      </x:c>
      <x:c r="G41" s="19">
        <x:f t="shared" si="14"/>
        <x:v>0</x:v>
      </x:c>
      <x:c r="H41" s="19">
        <x:f t="shared" si="14"/>
        <x:v>0</x:v>
      </x:c>
      <x:c r="I41" s="19">
        <x:f t="shared" ref="I41" si="15">SUM(I39:I40)</x:f>
        <x:v>0</x:v>
      </x:c>
      <x:c r="J41" s="19">
        <x:f t="shared" si="14"/>
        <x:v>0</x:v>
      </x:c>
      <x:c r="K41" s="19">
        <x:f t="shared" si="14"/>
        <x:v>0</x:v>
      </x:c>
      <x:c r="L41" s="20">
        <x:f t="shared" si="13"/>
        <x:v>0</x:v>
      </x:c>
    </x:row>
    <x:row r="42" spans="1:14" x14ac:dyDescent="0.35">
      <x:c r="A42" s="12" t="s">
        <x:v>35</x:v>
      </x:c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20"/>
    </x:row>
    <x:row r="43" spans="1:14" x14ac:dyDescent="0.35">
      <x:c r="A43" s="1" t="s">
        <x:v>14</x:v>
      </x:c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20"/>
    </x:row>
    <x:row r="44" spans="1:14" x14ac:dyDescent="0.35">
      <x:c r="A44" s="1" t="s">
        <x:v>6</x:v>
      </x:c>
      <x:c r="B44" s="19">
        <x:v>0</x:v>
      </x:c>
      <x:c r="C44" s="19"/>
      <x:c r="D44" s="19"/>
      <x:c r="E44" s="19">
        <x:v>0</x:v>
      </x:c>
      <x:c r="F44" s="19">
        <x:v>0</x:v>
      </x:c>
      <x:c r="G44" s="19">
        <x:v>0</x:v>
      </x:c>
      <x:c r="H44" s="19">
        <x:v>0</x:v>
      </x:c>
      <x:c r="I44" s="19">
        <x:v>0</x:v>
      </x:c>
      <x:c r="J44" s="19">
        <x:f>SUM(B44:I44)</x:f>
        <x:v>0</x:v>
      </x:c>
      <x:c r="K44" s="19">
        <x:v>0</x:v>
      </x:c>
      <x:c r="L44" s="20">
        <x:f t="shared" ref="L44:L45" si="16">+J44+K44</x:f>
        <x:v>0</x:v>
      </x:c>
    </x:row>
    <x:row r="45" spans="1:14" x14ac:dyDescent="0.35">
      <x:c r="A45" s="1" t="s">
        <x:v>7</x:v>
      </x:c>
      <x:c r="B45" s="21">
        <x:v>0</x:v>
      </x:c>
      <x:c r="C45" s="21">
        <x:v>0</x:v>
      </x:c>
      <x:c r="D45" s="21">
        <x:v>0</x:v>
      </x:c>
      <x:c r="E45" s="21">
        <x:v>0</x:v>
      </x:c>
      <x:c r="F45" s="21">
        <x:v>0</x:v>
      </x:c>
      <x:c r="G45" s="21"/>
      <x:c r="H45" s="21">
        <x:v>0</x:v>
      </x:c>
      <x:c r="I45" s="21">
        <x:v>0</x:v>
      </x:c>
      <x:c r="J45" s="21">
        <x:f>SUM(B45:I45)</x:f>
        <x:v>0</x:v>
      </x:c>
      <x:c r="K45" s="21">
        <x:v>0</x:v>
      </x:c>
      <x:c r="L45" s="22">
        <x:f t="shared" si="16"/>
        <x:v>0</x:v>
      </x:c>
    </x:row>
    <x:row r="46" spans="1:14" x14ac:dyDescent="0.35">
      <x:c r="A46" s="1" t="s">
        <x:v>8</x:v>
      </x:c>
      <x:c r="B46" s="19">
        <x:f t="shared" ref="B46:K46" si="17">SUM(B44:B45)</x:f>
        <x:v>0</x:v>
      </x:c>
      <x:c r="C46" s="19">
        <x:f t="shared" si="17"/>
        <x:v>0</x:v>
      </x:c>
      <x:c r="D46" s="19">
        <x:f t="shared" si="17"/>
        <x:v>0</x:v>
      </x:c>
      <x:c r="E46" s="19">
        <x:f t="shared" si="17"/>
        <x:v>0</x:v>
      </x:c>
      <x:c r="F46" s="19">
        <x:f t="shared" si="17"/>
        <x:v>0</x:v>
      </x:c>
      <x:c r="G46" s="19">
        <x:f t="shared" si="17"/>
        <x:v>0</x:v>
      </x:c>
      <x:c r="H46" s="19">
        <x:f t="shared" si="17"/>
        <x:v>0</x:v>
      </x:c>
      <x:c r="I46" s="19">
        <x:f t="shared" ref="I46" si="18">SUM(I44:I45)</x:f>
        <x:v>0</x:v>
      </x:c>
      <x:c r="J46" s="19">
        <x:f t="shared" si="17"/>
        <x:v>0</x:v>
      </x:c>
      <x:c r="K46" s="19">
        <x:f t="shared" si="17"/>
        <x:v>0</x:v>
      </x:c>
      <x:c r="L46" s="20">
        <x:f t="shared" ref="L46" si="19">+J46+K46</x:f>
        <x:v>0</x:v>
      </x:c>
    </x:row>
    <x:row r="47" spans="1:14" x14ac:dyDescent="0.35">
      <x:c r="A47" s="1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20"/>
    </x:row>
    <x:row r="48" spans="1:14" x14ac:dyDescent="0.35">
      <x:c r="A48" s="13" t="s">
        <x:v>15</x:v>
      </x:c>
      <x:c r="B48" s="14">
        <x:f t="shared" ref="B48:L48" si="20">+B41+B46</x:f>
        <x:v>0</x:v>
      </x:c>
      <x:c r="C48" s="14">
        <x:f t="shared" si="20"/>
        <x:v>0</x:v>
      </x:c>
      <x:c r="D48" s="14">
        <x:f t="shared" si="20"/>
        <x:v>0</x:v>
      </x:c>
      <x:c r="E48" s="14">
        <x:f t="shared" si="20"/>
        <x:v>0</x:v>
      </x:c>
      <x:c r="F48" s="14">
        <x:f t="shared" si="20"/>
        <x:v>0</x:v>
      </x:c>
      <x:c r="G48" s="14">
        <x:f t="shared" si="20"/>
        <x:v>0</x:v>
      </x:c>
      <x:c r="H48" s="14">
        <x:f t="shared" si="20"/>
        <x:v>0</x:v>
      </x:c>
      <x:c r="I48" s="14">
        <x:f t="shared" si="20"/>
        <x:v>0</x:v>
      </x:c>
      <x:c r="J48" s="14">
        <x:f t="shared" si="20"/>
        <x:v>0</x:v>
      </x:c>
      <x:c r="K48" s="14">
        <x:f t="shared" si="20"/>
        <x:v>0</x:v>
      </x:c>
      <x:c r="L48" s="14">
        <x:f t="shared" si="20"/>
        <x:v>0</x:v>
      </x:c>
    </x:row>
    <x:row r="49" spans="1:12" x14ac:dyDescent="0.35">
      <x:c r="A49" s="1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20"/>
    </x:row>
    <x:row r="50" spans="1:12" x14ac:dyDescent="0.35">
      <x:c r="A50" s="3" t="s">
        <x:v>16</x:v>
      </x:c>
      <x:c r="B50" s="19"/>
      <x:c r="C50" s="19"/>
      <x:c r="D50" s="19"/>
      <x:c r="E50" s="19"/>
      <x:c r="F50" s="19"/>
      <x:c r="G50" s="26"/>
      <x:c r="H50" s="19"/>
      <x:c r="I50" s="19"/>
      <x:c r="J50" s="19"/>
      <x:c r="K50" s="19"/>
      <x:c r="L50" s="20"/>
    </x:row>
    <x:row r="51" spans="1:12" x14ac:dyDescent="0.35">
      <x:c r="A51" s="1" t="s">
        <x:v>17</x:v>
      </x:c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20"/>
    </x:row>
    <x:row r="52" spans="1:12" x14ac:dyDescent="0.35">
      <x:c r="A52" s="1" t="s">
        <x:v>18</x:v>
      </x:c>
      <x:c r="B52" s="19">
        <x:v>0</x:v>
      </x:c>
      <x:c r="C52" s="19">
        <x:v>0</x:v>
      </x:c>
      <x:c r="D52" s="19">
        <x:v>0</x:v>
      </x:c>
      <x:c r="E52" s="19">
        <x:v>0</x:v>
      </x:c>
      <x:c r="F52" s="19">
        <x:v>0</x:v>
      </x:c>
      <x:c r="G52" s="19">
        <x:v>0</x:v>
      </x:c>
      <x:c r="H52" s="19">
        <x:v>0</x:v>
      </x:c>
      <x:c r="I52" s="19">
        <x:v>0</x:v>
      </x:c>
      <x:c r="J52" s="19">
        <x:f t="shared" ref="J52:J68" si="21">SUM(B52:I52)</x:f>
        <x:v>0</x:v>
      </x:c>
      <x:c r="K52" s="19">
        <x:v>0</x:v>
      </x:c>
      <x:c r="L52" s="20">
        <x:f>+J52+K52</x:f>
        <x:v>0</x:v>
      </x:c>
    </x:row>
    <x:row r="53" spans="1:12" x14ac:dyDescent="0.35">
      <x:c r="A53" s="1" t="s">
        <x:v>19</x:v>
      </x:c>
      <x:c r="B53" s="19">
        <x:v>0</x:v>
      </x:c>
      <x:c r="C53" s="19">
        <x:v>0</x:v>
      </x:c>
      <x:c r="D53" s="19">
        <x:v>0</x:v>
      </x:c>
      <x:c r="E53" s="19">
        <x:v>0</x:v>
      </x:c>
      <x:c r="F53" s="19">
        <x:v>0</x:v>
      </x:c>
      <x:c r="G53" s="19">
        <x:v>0</x:v>
      </x:c>
      <x:c r="H53" s="19">
        <x:v>0</x:v>
      </x:c>
      <x:c r="I53" s="19">
        <x:v>0</x:v>
      </x:c>
      <x:c r="J53" s="19">
        <x:f t="shared" si="21"/>
        <x:v>0</x:v>
      </x:c>
      <x:c r="K53" s="19">
        <x:v>0</x:v>
      </x:c>
      <x:c r="L53" s="20">
        <x:f t="shared" ref="L53:L71" si="22">+J53+K53</x:f>
        <x:v>0</x:v>
      </x:c>
    </x:row>
    <x:row r="54" spans="1:12" x14ac:dyDescent="0.35">
      <x:c r="A54" s="1" t="s">
        <x:v>20</x:v>
      </x:c>
      <x:c r="B54" s="19">
        <x:v>0</x:v>
      </x:c>
      <x:c r="C54" s="19">
        <x:v>0</x:v>
      </x:c>
      <x:c r="D54" s="19">
        <x:v>0</x:v>
      </x:c>
      <x:c r="E54" s="19">
        <x:v>0</x:v>
      </x:c>
      <x:c r="F54" s="19">
        <x:v>0</x:v>
      </x:c>
      <x:c r="G54" s="19">
        <x:v>0</x:v>
      </x:c>
      <x:c r="H54" s="19">
        <x:v>0</x:v>
      </x:c>
      <x:c r="I54" s="19">
        <x:v>0</x:v>
      </x:c>
      <x:c r="J54" s="19">
        <x:f t="shared" si="21"/>
        <x:v>0</x:v>
      </x:c>
      <x:c r="K54" s="19">
        <x:v>0</x:v>
      </x:c>
      <x:c r="L54" s="20">
        <x:f t="shared" si="22"/>
        <x:v>0</x:v>
      </x:c>
    </x:row>
    <x:row r="55" spans="1:12" x14ac:dyDescent="0.35">
      <x:c r="A55" s="1" t="s">
        <x:v>21</x:v>
      </x:c>
      <x:c r="B55" s="19">
        <x:v>0</x:v>
      </x:c>
      <x:c r="C55" s="19">
        <x:v>0</x:v>
      </x:c>
      <x:c r="D55" s="19">
        <x:v>0</x:v>
      </x:c>
      <x:c r="E55" s="19">
        <x:v>0</x:v>
      </x:c>
      <x:c r="F55" s="19">
        <x:v>0</x:v>
      </x:c>
      <x:c r="G55" s="19">
        <x:v>0</x:v>
      </x:c>
      <x:c r="H55" s="19">
        <x:v>0</x:v>
      </x:c>
      <x:c r="I55" s="19">
        <x:v>0</x:v>
      </x:c>
      <x:c r="J55" s="19">
        <x:f t="shared" si="21"/>
        <x:v>0</x:v>
      </x:c>
      <x:c r="K55" s="19">
        <x:v>0</x:v>
      </x:c>
      <x:c r="L55" s="20">
        <x:f t="shared" si="22"/>
        <x:v>0</x:v>
      </x:c>
    </x:row>
    <x:row r="56" spans="1:12" x14ac:dyDescent="0.35">
      <x:c r="A56" s="1" t="s">
        <x:v>22</x:v>
      </x:c>
      <x:c r="B56" s="19">
        <x:v>0</x:v>
      </x:c>
      <x:c r="C56" s="19">
        <x:v>0</x:v>
      </x:c>
      <x:c r="D56" s="19">
        <x:v>0</x:v>
      </x:c>
      <x:c r="E56" s="19">
        <x:v>0</x:v>
      </x:c>
      <x:c r="F56" s="19">
        <x:v>0</x:v>
      </x:c>
      <x:c r="G56" s="19">
        <x:v>0</x:v>
      </x:c>
      <x:c r="H56" s="19">
        <x:v>0</x:v>
      </x:c>
      <x:c r="I56" s="19">
        <x:v>0</x:v>
      </x:c>
      <x:c r="J56" s="19">
        <x:f t="shared" si="21"/>
        <x:v>0</x:v>
      </x:c>
      <x:c r="K56" s="19">
        <x:v>0</x:v>
      </x:c>
      <x:c r="L56" s="20">
        <x:f t="shared" si="22"/>
        <x:v>0</x:v>
      </x:c>
    </x:row>
    <x:row r="57" spans="1:12" x14ac:dyDescent="0.35">
      <x:c r="A57" s="1" t="s">
        <x:v>23</x:v>
      </x:c>
      <x:c r="B57" s="19">
        <x:v>0</x:v>
      </x:c>
      <x:c r="C57" s="19">
        <x:v>0</x:v>
      </x:c>
      <x:c r="D57" s="19">
        <x:v>0</x:v>
      </x:c>
      <x:c r="E57" s="19">
        <x:v>0</x:v>
      </x:c>
      <x:c r="F57" s="19">
        <x:v>0</x:v>
      </x:c>
      <x:c r="G57" s="19">
        <x:v>0</x:v>
      </x:c>
      <x:c r="H57" s="19">
        <x:v>0</x:v>
      </x:c>
      <x:c r="I57" s="19">
        <x:v>0</x:v>
      </x:c>
      <x:c r="J57" s="19">
        <x:f t="shared" si="21"/>
        <x:v>0</x:v>
      </x:c>
      <x:c r="K57" s="19">
        <x:v>0</x:v>
      </x:c>
      <x:c r="L57" s="20">
        <x:f t="shared" si="22"/>
        <x:v>0</x:v>
      </x:c>
    </x:row>
    <x:row r="58" spans="1:12" x14ac:dyDescent="0.35">
      <x:c r="A58" s="1" t="s">
        <x:v>24</x:v>
      </x:c>
      <x:c r="B58" s="19">
        <x:v>0</x:v>
      </x:c>
      <x:c r="C58" s="19">
        <x:v>0</x:v>
      </x:c>
      <x:c r="D58" s="19">
        <x:v>0</x:v>
      </x:c>
      <x:c r="E58" s="19">
        <x:v>0</x:v>
      </x:c>
      <x:c r="F58" s="19">
        <x:v>0</x:v>
      </x:c>
      <x:c r="G58" s="19">
        <x:v>0</x:v>
      </x:c>
      <x:c r="H58" s="19">
        <x:v>0</x:v>
      </x:c>
      <x:c r="I58" s="19">
        <x:v>0</x:v>
      </x:c>
      <x:c r="J58" s="19">
        <x:f t="shared" si="21"/>
        <x:v>0</x:v>
      </x:c>
      <x:c r="K58" s="19">
        <x:v>0</x:v>
      </x:c>
      <x:c r="L58" s="20">
        <x:f t="shared" si="22"/>
        <x:v>0</x:v>
      </x:c>
    </x:row>
    <x:row r="59" spans="1:12" x14ac:dyDescent="0.35">
      <x:c r="A59" s="1" t="s">
        <x:v>25</x:v>
      </x:c>
      <x:c r="B59" s="19">
        <x:v>0</x:v>
      </x:c>
      <x:c r="C59" s="19">
        <x:v>0</x:v>
      </x:c>
      <x:c r="D59" s="19">
        <x:v>0</x:v>
      </x:c>
      <x:c r="E59" s="19">
        <x:v>0</x:v>
      </x:c>
      <x:c r="F59" s="19">
        <x:v>0</x:v>
      </x:c>
      <x:c r="G59" s="19">
        <x:v>0</x:v>
      </x:c>
      <x:c r="H59" s="19">
        <x:v>0</x:v>
      </x:c>
      <x:c r="I59" s="19">
        <x:v>0</x:v>
      </x:c>
      <x:c r="J59" s="19">
        <x:f t="shared" si="21"/>
        <x:v>0</x:v>
      </x:c>
      <x:c r="K59" s="19">
        <x:v>0</x:v>
      </x:c>
      <x:c r="L59" s="20">
        <x:f t="shared" si="22"/>
        <x:v>0</x:v>
      </x:c>
    </x:row>
    <x:row r="60" spans="1:12" x14ac:dyDescent="0.35">
      <x:c r="A60" s="1" t="s">
        <x:v>26</x:v>
      </x:c>
      <x:c r="B60" s="19">
        <x:v>0</x:v>
      </x:c>
      <x:c r="C60" s="19">
        <x:v>0</x:v>
      </x:c>
      <x:c r="D60" s="19">
        <x:v>0</x:v>
      </x:c>
      <x:c r="E60" s="19">
        <x:v>0</x:v>
      </x:c>
      <x:c r="F60" s="19">
        <x:v>0</x:v>
      </x:c>
      <x:c r="G60" s="19">
        <x:v>0</x:v>
      </x:c>
      <x:c r="H60" s="19">
        <x:v>0</x:v>
      </x:c>
      <x:c r="I60" s="19">
        <x:v>0</x:v>
      </x:c>
      <x:c r="J60" s="19">
        <x:f t="shared" si="21"/>
        <x:v>0</x:v>
      </x:c>
      <x:c r="K60" s="19">
        <x:v>0</x:v>
      </x:c>
      <x:c r="L60" s="20">
        <x:f t="shared" si="22"/>
        <x:v>0</x:v>
      </x:c>
    </x:row>
    <x:row r="61" spans="1:12" x14ac:dyDescent="0.35">
      <x:c r="A61" s="1" t="s">
        <x:v>27</x:v>
      </x:c>
      <x:c r="B61" s="19">
        <x:v>0</x:v>
      </x:c>
      <x:c r="C61" s="19">
        <x:v>0</x:v>
      </x:c>
      <x:c r="D61" s="19">
        <x:v>0</x:v>
      </x:c>
      <x:c r="E61" s="19">
        <x:v>0</x:v>
      </x:c>
      <x:c r="F61" s="19">
        <x:v>0</x:v>
      </x:c>
      <x:c r="G61" s="19">
        <x:v>0</x:v>
      </x:c>
      <x:c r="H61" s="19">
        <x:v>0</x:v>
      </x:c>
      <x:c r="I61" s="19">
        <x:v>0</x:v>
      </x:c>
      <x:c r="J61" s="19">
        <x:f t="shared" si="21"/>
        <x:v>0</x:v>
      </x:c>
      <x:c r="K61" s="19">
        <x:v>0</x:v>
      </x:c>
      <x:c r="L61" s="20">
        <x:f t="shared" si="22"/>
        <x:v>0</x:v>
      </x:c>
    </x:row>
    <x:row r="62" spans="1:12" x14ac:dyDescent="0.35">
      <x:c r="A62" s="1" t="s">
        <x:v>28</x:v>
      </x:c>
      <x:c r="B62" s="19">
        <x:v>0</x:v>
      </x:c>
      <x:c r="C62" s="19">
        <x:v>0</x:v>
      </x:c>
      <x:c r="D62" s="19">
        <x:v>0</x:v>
      </x:c>
      <x:c r="E62" s="19">
        <x:v>0</x:v>
      </x:c>
      <x:c r="F62" s="19">
        <x:v>0</x:v>
      </x:c>
      <x:c r="G62" s="19">
        <x:v>0</x:v>
      </x:c>
      <x:c r="H62" s="19">
        <x:v>0</x:v>
      </x:c>
      <x:c r="I62" s="19">
        <x:v>0</x:v>
      </x:c>
      <x:c r="J62" s="19">
        <x:f t="shared" si="21"/>
        <x:v>0</x:v>
      </x:c>
      <x:c r="K62" s="19">
        <x:v>0</x:v>
      </x:c>
      <x:c r="L62" s="20">
        <x:f t="shared" si="22"/>
        <x:v>0</x:v>
      </x:c>
    </x:row>
    <x:row r="63" spans="1:12" x14ac:dyDescent="0.35">
      <x:c r="A63" s="1" t="s">
        <x:v>29</x:v>
      </x:c>
      <x:c r="B63" s="19">
        <x:v>0</x:v>
      </x:c>
      <x:c r="C63" s="19">
        <x:v>0</x:v>
      </x:c>
      <x:c r="D63" s="19">
        <x:v>0</x:v>
      </x:c>
      <x:c r="E63" s="19">
        <x:v>0</x:v>
      </x:c>
      <x:c r="F63" s="19">
        <x:v>0</x:v>
      </x:c>
      <x:c r="G63" s="19">
        <x:v>0</x:v>
      </x:c>
      <x:c r="H63" s="19">
        <x:v>0</x:v>
      </x:c>
      <x:c r="I63" s="19">
        <x:v>0</x:v>
      </x:c>
      <x:c r="J63" s="19">
        <x:f t="shared" si="21"/>
        <x:v>0</x:v>
      </x:c>
      <x:c r="K63" s="19">
        <x:v>0</x:v>
      </x:c>
      <x:c r="L63" s="20">
        <x:f t="shared" si="22"/>
        <x:v>0</x:v>
      </x:c>
    </x:row>
    <x:row r="64" spans="1:12" x14ac:dyDescent="0.35">
      <x:c r="A64" s="1" t="s">
        <x:v>30</x:v>
      </x:c>
      <x:c r="B64" s="19">
        <x:v>0</x:v>
      </x:c>
      <x:c r="C64" s="19">
        <x:v>0</x:v>
      </x:c>
      <x:c r="D64" s="19">
        <x:v>0</x:v>
      </x:c>
      <x:c r="E64" s="19">
        <x:v>0</x:v>
      </x:c>
      <x:c r="F64" s="19">
        <x:v>0</x:v>
      </x:c>
      <x:c r="G64" s="19">
        <x:v>0</x:v>
      </x:c>
      <x:c r="H64" s="19">
        <x:v>0</x:v>
      </x:c>
      <x:c r="I64" s="19">
        <x:v>0</x:v>
      </x:c>
      <x:c r="J64" s="19">
        <x:f t="shared" si="21"/>
        <x:v>0</x:v>
      </x:c>
      <x:c r="K64" s="19">
        <x:v>0</x:v>
      </x:c>
      <x:c r="L64" s="20">
        <x:f t="shared" si="22"/>
        <x:v>0</x:v>
      </x:c>
    </x:row>
    <x:row r="65" spans="1:20" x14ac:dyDescent="0.35">
      <x:c r="A65" s="1" t="s">
        <x:v>31</x:v>
      </x:c>
      <x:c r="B65" s="19">
        <x:v>0</x:v>
      </x:c>
      <x:c r="C65" s="19">
        <x:v>0</x:v>
      </x:c>
      <x:c r="D65" s="19">
        <x:v>0</x:v>
      </x:c>
      <x:c r="E65" s="19">
        <x:v>0</x:v>
      </x:c>
      <x:c r="F65" s="19">
        <x:v>0</x:v>
      </x:c>
      <x:c r="G65" s="19">
        <x:v>0</x:v>
      </x:c>
      <x:c r="H65" s="19">
        <x:v>0</x:v>
      </x:c>
      <x:c r="I65" s="19">
        <x:v>0</x:v>
      </x:c>
      <x:c r="J65" s="19">
        <x:f t="shared" si="21"/>
        <x:v>0</x:v>
      </x:c>
      <x:c r="K65" s="19">
        <x:v>0</x:v>
      </x:c>
      <x:c r="L65" s="20">
        <x:f t="shared" si="22"/>
        <x:v>0</x:v>
      </x:c>
    </x:row>
    <x:row r="66" spans="1:20" x14ac:dyDescent="0.35">
      <x:c r="A66" s="1" t="s">
        <x:v>32</x:v>
      </x:c>
      <x:c r="B66" s="19">
        <x:v>0</x:v>
      </x:c>
      <x:c r="C66" s="19">
        <x:v>0</x:v>
      </x:c>
      <x:c r="D66" s="19">
        <x:v>0</x:v>
      </x:c>
      <x:c r="E66" s="19">
        <x:v>0</x:v>
      </x:c>
      <x:c r="F66" s="19">
        <x:v>0</x:v>
      </x:c>
      <x:c r="G66" s="19">
        <x:v>0</x:v>
      </x:c>
      <x:c r="H66" s="19">
        <x:v>0</x:v>
      </x:c>
      <x:c r="I66" s="19">
        <x:v>0</x:v>
      </x:c>
      <x:c r="J66" s="19">
        <x:f t="shared" si="21"/>
        <x:v>0</x:v>
      </x:c>
      <x:c r="K66" s="19">
        <x:v>0</x:v>
      </x:c>
      <x:c r="L66" s="20">
        <x:f t="shared" si="22"/>
        <x:v>0</x:v>
      </x:c>
    </x:row>
    <x:row r="67" spans="1:20" x14ac:dyDescent="0.35">
      <x:c r="A67" s="1" t="s">
        <x:v>38</x:v>
      </x:c>
      <x:c r="B67" s="19">
        <x:v>0</x:v>
      </x:c>
      <x:c r="C67" s="19">
        <x:v>0</x:v>
      </x:c>
      <x:c r="D67" s="19">
        <x:v>0</x:v>
      </x:c>
      <x:c r="E67" s="19">
        <x:v>0</x:v>
      </x:c>
      <x:c r="F67" s="19">
        <x:v>0</x:v>
      </x:c>
      <x:c r="G67" s="19">
        <x:v>0</x:v>
      </x:c>
      <x:c r="H67" s="19">
        <x:v>0</x:v>
      </x:c>
      <x:c r="I67" s="19">
        <x:v>0</x:v>
      </x:c>
      <x:c r="J67" s="19">
        <x:f t="shared" si="21"/>
        <x:v>0</x:v>
      </x:c>
      <x:c r="K67" s="19">
        <x:v>0</x:v>
      </x:c>
      <x:c r="L67" s="20">
        <x:f t="shared" si="22"/>
        <x:v>0</x:v>
      </x:c>
    </x:row>
    <x:row r="68" spans="1:20" x14ac:dyDescent="0.35">
      <x:c r="A68" s="1" t="s">
        <x:v>33</x:v>
      </x:c>
      <x:c r="B68" s="21">
        <x:v>0</x:v>
      </x:c>
      <x:c r="C68" s="21">
        <x:v>0</x:v>
      </x:c>
      <x:c r="D68" s="21">
        <x:v>0</x:v>
      </x:c>
      <x:c r="E68" s="21">
        <x:v>0</x:v>
      </x:c>
      <x:c r="F68" s="21">
        <x:v>0</x:v>
      </x:c>
      <x:c r="G68" s="21">
        <x:v>0</x:v>
      </x:c>
      <x:c r="H68" s="21">
        <x:v>0</x:v>
      </x:c>
      <x:c r="I68" s="21">
        <x:v>0</x:v>
      </x:c>
      <x:c r="J68" s="21">
        <x:f t="shared" si="21"/>
        <x:v>0</x:v>
      </x:c>
      <x:c r="K68" s="21">
        <x:v>0</x:v>
      </x:c>
      <x:c r="L68" s="22">
        <x:f t="shared" si="22"/>
        <x:v>0</x:v>
      </x:c>
    </x:row>
    <x:row r="69" spans="1:20" x14ac:dyDescent="0.35">
      <x:c r="A69" s="13" t="s">
        <x:v>34</x:v>
      </x:c>
      <x:c r="B69" s="14">
        <x:f t="shared" ref="B69:K69" si="23">SUM(B52:B68)</x:f>
        <x:v>0</x:v>
      </x:c>
      <x:c r="C69" s="14">
        <x:f t="shared" si="23"/>
        <x:v>0</x:v>
      </x:c>
      <x:c r="D69" s="14">
        <x:f t="shared" si="23"/>
        <x:v>0</x:v>
      </x:c>
      <x:c r="E69" s="14">
        <x:f t="shared" si="23"/>
        <x:v>0</x:v>
      </x:c>
      <x:c r="F69" s="14">
        <x:f t="shared" si="23"/>
        <x:v>0</x:v>
      </x:c>
      <x:c r="G69" s="14">
        <x:f t="shared" si="23"/>
        <x:v>0</x:v>
      </x:c>
      <x:c r="H69" s="14">
        <x:f t="shared" si="23"/>
        <x:v>0</x:v>
      </x:c>
      <x:c r="I69" s="14">
        <x:f t="shared" ref="I69" si="24">SUM(I52:I68)</x:f>
        <x:v>0</x:v>
      </x:c>
      <x:c r="J69" s="14">
        <x:f t="shared" si="23"/>
        <x:v>0</x:v>
      </x:c>
      <x:c r="K69" s="14">
        <x:f t="shared" si="23"/>
        <x:v>0</x:v>
      </x:c>
      <x:c r="L69" s="14">
        <x:f t="shared" si="22"/>
        <x:v>0</x:v>
      </x:c>
    </x:row>
    <x:row r="70" spans="1:20" x14ac:dyDescent="0.35">
      <x:c r="A70" s="1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20"/>
    </x:row>
    <x:row r="71" spans="1:20" s="27" customFormat="1" ht="20.5" customHeight="1" thickBot="1" x14ac:dyDescent="0.4">
      <x:c r="A71" s="15" t="s">
        <x:v>55</x:v>
      </x:c>
      <x:c r="B71" s="16">
        <x:f t="shared" ref="B71:K71" si="25">+B20+B34+B48+B69</x:f>
        <x:v>438</x:v>
      </x:c>
      <x:c r="C71" s="16">
        <x:f t="shared" si="25"/>
        <x:v>36633.5</x:v>
      </x:c>
      <x:c r="D71" s="16">
        <x:f t="shared" si="25"/>
        <x:v>94967.35</x:v>
      </x:c>
      <x:c r="E71" s="16">
        <x:f t="shared" si="25"/>
        <x:v>9297.5</x:v>
      </x:c>
      <x:c r="F71" s="16">
        <x:f t="shared" si="25"/>
        <x:v>123</x:v>
      </x:c>
      <x:c r="G71" s="16">
        <x:f t="shared" si="25"/>
        <x:v>241.6</x:v>
      </x:c>
      <x:c r="H71" s="16">
        <x:f t="shared" si="25"/>
        <x:v>4798.6000000000004</x:v>
      </x:c>
      <x:c r="I71" s="16">
        <x:f t="shared" si="25"/>
        <x:v>0</x:v>
      </x:c>
      <x:c r="J71" s="16">
        <x:f t="shared" si="25"/>
        <x:v>146499.55000000002</x:v>
      </x:c>
      <x:c r="K71" s="16">
        <x:f t="shared" si="25"/>
        <x:v>0</x:v>
      </x:c>
      <x:c r="L71" s="16">
        <x:f t="shared" si="22"/>
        <x:v>146499.55000000002</x:v>
      </x:c>
      <x:c r="M71" s="17"/>
      <x:c r="N71" s="17"/>
      <x:c r="O71" s="17"/>
      <x:c r="P71" s="17"/>
      <x:c r="Q71" s="17"/>
      <x:c r="R71" s="17"/>
      <x:c r="S71" s="17"/>
      <x:c r="T71" s="17"/>
    </x:row>
    <x:row r="72" spans="1:20" ht="16" thickTop="1" x14ac:dyDescent="0.35"/>
    <x:row r="73" spans="1:20" x14ac:dyDescent="0.35">
      <x:c r="A73" s="23" t="s">
        <x:v>57</x:v>
      </x:c>
      <x:c r="F73" s="26">
        <x:f>SUM(B71:F71)</x:f>
        <x:v>141459.35</x:v>
      </x:c>
      <x:c r="G73" s="23" t="s">
        <x:v>66</x:v>
      </x:c>
      <x:c r="L73" s="23"/>
    </x:row>
    <x:row r="74" spans="1:20" x14ac:dyDescent="0.35">
      <x:c r="J74" s="29" t="s">
        <x:v>65</x:v>
      </x:c>
      <x:c r="L74" s="23"/>
    </x:row>
    <x:row r="75" spans="1:20" x14ac:dyDescent="0.35">
      <x:c r="A75" s="23" t="s">
        <x:v>59</x:v>
      </x:c>
      <x:c r="G75" s="26">
        <x:f>G71</x:f>
        <x:v>241.6</x:v>
      </x:c>
      <x:c r="H75" s="26">
        <x:f>H71</x:f>
        <x:v>4798.6000000000004</x:v>
      </x:c>
      <x:c r="I75" s="31">
        <x:v>0</x:v>
      </x:c>
      <x:c r="J75" s="30">
        <x:f>SUM(G75:I75)</x:f>
        <x:v>5040.2000000000007</x:v>
      </x:c>
      <x:c r="K75" s="23" t="s">
        <x:v>63</x:v>
      </x:c>
      <x:c r="L75" s="23"/>
    </x:row>
    <x:row r="76" spans="1:20" x14ac:dyDescent="0.35">
      <x:c r="A76" s="23" t="s">
        <x:v>60</x:v>
      </x:c>
      <x:c r="G76" s="26"/>
      <x:c r="H76" s="26"/>
      <x:c r="I76" s="34" t="s">
        <x:v>67</x:v>
      </x:c>
      <x:c r="J76" s="26">
        <x:f>F73+J75</x:f>
        <x:v>146499.55000000002</x:v>
      </x:c>
      <x:c r="K76" s="23" t="s">
        <x:v>64</x:v>
      </x:c>
      <x:c r="L76" s="23"/>
    </x:row>
    <x:row r="77" spans="1:20" x14ac:dyDescent="0.35">
      <x:c r="L77" s="23"/>
    </x:row>
    <x:row r="78" spans="1:20" x14ac:dyDescent="0.35">
      <x:c r="A78" s="23" t="s">
        <x:v>58</x:v>
      </x:c>
      <x:c r="J78" s="33">
        <x:v>5</x:v>
      </x:c>
      <x:c r="L78" s="23"/>
    </x:row>
    <x:row r="79" spans="1:20" x14ac:dyDescent="0.35">
      <x:c r="A79" s="23" t="s">
        <x:v>62</x:v>
      </x:c>
      <x:c r="J79" s="31">
        <x:f>ROUND(J76/J78,2)</x:f>
        <x:v>29299.91</x:v>
      </x:c>
      <x:c r="L79" s="23"/>
    </x:row>
    <x:row r="80" spans="1:20" x14ac:dyDescent="0.35">
      <x:c r="A80" s="32" t="s">
        <x:v>56</x:v>
      </x:c>
      <x:c r="L80" s="23"/>
    </x:row>
  </x:sheetData>
  <x:printOptions horizontalCentered="1"/>
  <x:pageMargins left="0.35" right="0.35" top="2.25" bottom="0.5" header="1.5" footer="0"/>
  <x:pageSetup scale="55" pageOrder="overThenDown" orientation="landscape" horizontalDpi="360" verticalDpi="360" r:id="rId1"/>
  <x:headerFooter alignWithMargins="0">
    <x:oddHeader>&amp;C&amp;"Arial,Bold"&amp;12
2025 RATE CASE
ONCOR ELECTRIC DELIVERY COMPANY LLC
MONTHLY EXPENSES
DOCKET 57932 INSURANCE
SPONSOR: CHRISTINE M. SANDERS, W. ALAN LEDBETTER, &amp; R. PRACHYL&amp;R&amp;"Arial,Bold"&amp;12WP/Sch II-B-12 INSURANCE DOCKET 57932 
Page &amp;P of &amp;N</x:oddHeader>
  </x:headerFooter>
  <x:rowBreaks count="1" manualBreakCount="1">
    <x:brk id="48" max="11" man="1"/>
  </x:rowBreaks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2025-04-30T18:17:36.0000000Z</dcterms:modified>
</coreProperties>
</file>