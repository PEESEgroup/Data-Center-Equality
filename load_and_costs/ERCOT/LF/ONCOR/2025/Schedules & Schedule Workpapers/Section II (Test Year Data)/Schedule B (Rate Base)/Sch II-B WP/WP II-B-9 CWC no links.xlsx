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fileSharing readOnlyRecommended="1"/>
  <x: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R:\LESN\2025 Rate Case\Lead_Lag CWC\Workpapers\"/>
    </mc:Choice>
  </mc:AlternateContent>
  <xr:revisionPtr revIDLastSave="0" documentId="8_{2D1E1E65-0497-4E6D-A92E-4C104D75E398}" xr6:coauthVersionLast="47" xr6:coauthVersionMax="47" xr10:uidLastSave="{00000000-0000-0000-0000-000000000000}"/>
  <x:bookViews>
    <x:workbookView xWindow="-104" yWindow="-104" windowWidth="22326" windowHeight="11947" tabRatio="862" xr2:uid="{00000000-000D-0000-FFFF-FFFF00000000}"/>
  </x:bookViews>
  <x:sheets>
    <x:sheet name=" " sheetId="1" r:id="rId1"/>
    <x:sheet name="1" sheetId="148" r:id="rId2"/>
    <x:sheet name="1-1" sheetId="296" r:id="rId3"/>
    <x:sheet name="1-1-2" sheetId="291" r:id="rId4"/>
    <x:sheet name="1-1-2-1" sheetId="297" r:id="rId5"/>
    <x:sheet name="1-1-3" sheetId="149" r:id="rId6"/>
    <x:sheet name="1-1-3-1" sheetId="298" r:id="rId7"/>
    <x:sheet name="1-1-3-1-1" sheetId="268" r:id="rId8"/>
    <x:sheet name="2" sheetId="169" r:id="rId9"/>
    <x:sheet name="2-1" sheetId="170" r:id="rId10"/>
    <x:sheet name="2-2" sheetId="249" r:id="rId11"/>
    <x:sheet name="2-2-1" sheetId="350" r:id="rId12"/>
    <x:sheet name="2-3" sheetId="171" r:id="rId13"/>
    <x:sheet name="2-3-1" sheetId="172" r:id="rId14"/>
    <x:sheet name="2-4" sheetId="173" r:id="rId15"/>
    <x:sheet name="2-5" sheetId="266" r:id="rId16"/>
    <x:sheet name="2-6" sheetId="195" r:id="rId17"/>
    <x:sheet name="3" sheetId="176" r:id="rId18"/>
    <x:sheet name="3-1" sheetId="177" r:id="rId19"/>
    <x:sheet name="3-2" sheetId="290" r:id="rId20"/>
    <x:sheet name="4" sheetId="181" r:id="rId21"/>
    <x:sheet name="5" sheetId="312" r:id="rId22"/>
    <x:sheet name="6" sheetId="186" r:id="rId23"/>
    <x:sheet name="6-1" sheetId="303" r:id="rId24"/>
    <x:sheet name="6-1-1" sheetId="301" r:id="rId25"/>
    <x:sheet name="6-1-2" sheetId="302" r:id="rId26"/>
    <x:sheet name="6-1-3" sheetId="270" r:id="rId27"/>
    <x:sheet name="6-2" sheetId="304" r:id="rId28"/>
    <x:sheet name="6-2-1" sheetId="305" r:id="rId29"/>
    <x:sheet name="6-2-2" sheetId="306" r:id="rId30"/>
    <x:sheet name="6-2-3" sheetId="307" r:id="rId31"/>
    <x:sheet name="6-3" sheetId="309" r:id="rId32"/>
    <x:sheet name="6-4" sheetId="348" r:id="rId33"/>
    <x:sheet name="6-5" sheetId="349" r:id="rId34"/>
    <x:sheet name="7" sheetId="23" r:id="rId35"/>
    <x:sheet name="8" sheetId="24" r:id="rId36"/>
    <x:sheet name="8-1" sheetId="250" r:id="rId37"/>
    <x:sheet name="8-1-2" sheetId="25" r:id="rId38"/>
    <x:sheet name="8-2" sheetId="289" r:id="rId39"/>
    <x:sheet name="8-2-1" sheetId="26" r:id="rId40"/>
    <x:sheet name="9" sheetId="29" r:id="rId41"/>
    <x:sheet name="10" sheetId="213" r:id="rId42"/>
    <x:sheet name="11" sheetId="31" r:id="rId43"/>
    <x:sheet name="12" sheetId="200" r:id="rId44"/>
    <x:sheet name="13" sheetId="121" r:id="rId45"/>
    <x:sheet name="13-1" sheetId="122" r:id="rId46"/>
    <x:sheet name="13-1-1" sheetId="124" r:id="rId47"/>
    <x:sheet name="13-1-2" sheetId="123" r:id="rId48"/>
    <x:sheet name="13-1-3" sheetId="125" r:id="rId49"/>
    <x:sheet name="13-1-4" sheetId="126" r:id="rId50"/>
    <x:sheet name="13-1-5" sheetId="128" r:id="rId51"/>
    <x:sheet name="13-1-6" sheetId="127" r:id="rId52"/>
    <x:sheet name="13-2" sheetId="328" r:id="rId53"/>
    <x:sheet name="13-2-1" sheetId="329" r:id="rId54"/>
    <x:sheet name="13-2-2" sheetId="330" r:id="rId55"/>
    <x:sheet name="13-2-3" sheetId="331" r:id="rId56"/>
    <x:sheet name="13-3" sheetId="332" r:id="rId57"/>
    <x:sheet name="13-3-1" sheetId="333" r:id="rId58"/>
    <x:sheet name="13-3-1-1" sheetId="334" r:id="rId59"/>
    <x:sheet name="13-3-1-2" sheetId="335" r:id="rId60"/>
    <x:sheet name="13-3-2" sheetId="336" r:id="rId61"/>
    <x:sheet name="13-3-2-1" sheetId="337" r:id="rId62"/>
    <x:sheet name="13-3-2-2" sheetId="338" r:id="rId63"/>
    <x:sheet name="13-4" sheetId="339" r:id="rId64"/>
    <x:sheet name="13-5" sheetId="340" r:id="rId65"/>
    <x:sheet name="13-5-1" sheetId="341" r:id="rId66"/>
    <x:sheet name="13-5-2" sheetId="342" r:id="rId67"/>
    <x:sheet name="14" sheetId="199" r:id="rId68"/>
    <x:sheet name="15" sheetId="222" r:id="rId69"/>
  </x:sheets>
  <x:externalReferences>
    <x:externalReference r:id="rId70"/>
    <x:externalReference r:id="rId71"/>
    <x:externalReference r:id="rId72"/>
    <x:externalReference r:id="rId73"/>
    <x:externalReference r:id="rId74"/>
    <x:externalReference r:id="rId75"/>
    <x:externalReference r:id="rId76"/>
  </x:externalReferences>
  <x:definedNames>
    <x:definedName name="\M">#REF!</x:definedName>
    <x:definedName name="_asd2">'[1]O &amp; M'!$T$5</x:definedName>
    <x:definedName name="_M">#REF!</x:definedName>
    <x:definedName name="Account">[2]Source!#REF!</x:definedName>
    <x:definedName name="Account2">[2]Source!#REF!</x:definedName>
    <x:definedName name="AccountDescr">[2]Source!#REF!</x:definedName>
    <x:definedName name="AccountDescr2">[2]Source!#REF!</x:definedName>
    <x:definedName name="Activity">[2]Source!#REF!</x:definedName>
    <x:definedName name="Activity2">[2]Source!#REF!</x:definedName>
    <x:definedName name="ActivityDescr">[2]Source!#REF!</x:definedName>
    <x:definedName name="ActivityDescr2">[2]Source!#REF!</x:definedName>
    <x:definedName name="Affiliate">[2]Source!#REF!</x:definedName>
    <x:definedName name="Affiliate2">[2]Source!#REF!</x:definedName>
    <x:definedName name="AffiliateDescr">[2]Source!#REF!</x:definedName>
    <x:definedName name="ASD">'[3]O &amp; M'!$T$5</x:definedName>
    <x:definedName name="Completed">'[4]FIT Paid - Combined'!$AO$5</x:definedName>
    <x:definedName name="completed2">'[5]FIT Paid - Combined'!$AO$5</x:definedName>
    <x:definedName name="Credit">[6]JOURNAL!#REF!</x:definedName>
    <x:definedName name="Debit">[6]JOURNAL!#REF!</x:definedName>
    <x:definedName name="DeptDescr">[2]Source!#REF!</x:definedName>
    <x:definedName name="DeptDescr2">[2]Source!#REF!</x:definedName>
    <x:definedName name="DeptID">[2]Source!#REF!</x:definedName>
    <x:definedName name="DeptID2">[2]Source!#REF!</x:definedName>
    <x:definedName name="EC">[2]Source!#REF!</x:definedName>
    <x:definedName name="ECDescr">[2]Source!#REF!</x:definedName>
    <x:definedName name="ECDescr2">[2]Source!#REF!</x:definedName>
    <x:definedName name="ECID">[2]Source!#REF!</x:definedName>
    <x:definedName name="Elapsed">'[4]FIT Paid - Combined'!$AO$4</x:definedName>
    <x:definedName name="entry">[6]JOURNAL!$B$9:$R$353,[6]JOURNAL!$I$3,[6]JOURNAL!$G$3,[6]JOURNAL!$E$3,[6]JOURNAL!$B$7,[6]JOURNAL!$B$3</x:definedName>
    <x:definedName name="EntryFields">[6]JOURNAL!$B$9:$R$353,[6]JOURNAL!$I$3,[6]JOURNAL!$G$3,[6]JOURNAL!$E$3,[6]JOURNAL!$B$7,[6]JOURNAL!$B$3</x:definedName>
    <x:definedName name="FFT">#REF!</x:definedName>
    <x:definedName name="KeyControlFigure">'[4]FIT Paid - Combined'!$T$399</x:definedName>
    <x:definedName name="Lines">[6]JOURNAL!#REF!</x:definedName>
    <x:definedName name="Location">[2]Source!#REF!</x:definedName>
    <x:definedName name="Location2">[2]Source!#REF!</x:definedName>
    <x:definedName name="LocationDescr">[2]Source!#REF!</x:definedName>
    <x:definedName name="LocationDescr2">[2]Source!#REF!</x:definedName>
    <x:definedName name="MENU">#REF!</x:definedName>
    <x:definedName name="NvsASD">"V2000-12-31"</x:definedName>
    <x:definedName name="NvsAutoDrillOk">"VN"</x:definedName>
    <x:definedName name="NvsElapsedTime" localSheetId="59">0.000582986111112405</x:definedName>
    <x:definedName name="NvsElapsedTime">0.000689467597112525</x:definedName>
    <x:definedName name="NvsEndTime" localSheetId="59">36257.3051395833</x:definedName>
    <x:definedName name="NvsEndTime">36923.3059673611</x:definedName>
    <x:definedName name="NvsInstSpec">"%"</x:definedName>
    <x:definedName name="NvsLayoutType">"M3"</x:definedName>
    <x:definedName name="NvsNplSpec">"%,X,RZF..nPlosion,CZF.."</x:definedName>
    <x:definedName name="NvsPanelEffdt">"V1998-01-01"</x:definedName>
    <x:definedName name="NvsPanelSetid">"VSHARE"</x:definedName>
    <x:definedName name="NvsParentRef">[7]Sheet1!$T$303</x:definedName>
    <x:definedName name="NvsReqBU" localSheetId="59">"VGEN"</x:definedName>
    <x:definedName name="NvsReqBU">"VLSGD"</x:definedName>
    <x:definedName name="NvsReqBUOnly">"VY"</x:definedName>
    <x:definedName name="NvsTransLed">"VN"</x:definedName>
    <x:definedName name="NvsTreeASD">"V2000-12-31"</x:definedName>
    <x:definedName name="NvsValTbl.ACCOUNT">"GL_ACCOUNT_TBL"</x:definedName>
    <x:definedName name="NvsValTbl.AFFILIATE">"BUS_UNIT_TBL_FS"</x:definedName>
    <x:definedName name="NvsValTbl.CURRENCY_CD">"CURRENCY_CD_TBL"</x:definedName>
    <x:definedName name="NvsValTbl.DEPTID">"DEPARTMENT_TBL"</x:definedName>
    <x:definedName name="NvsValTbl.TU_LOCATION">"TU_LOC_TBL"</x:definedName>
    <x:definedName name="PAGE1">#REF!</x:definedName>
    <x:definedName name="PAGE2">#REF!</x:definedName>
    <x:definedName name="PAGE3">#REF!</x:definedName>
    <x:definedName name="_xlnm.Print_Area" localSheetId="0">' '!$A$1:$E$48</x:definedName>
    <x:definedName name="_xlnm.Print_Area" localSheetId="1">'1'!$A$1:$K$17</x:definedName>
    <x:definedName name="_xlnm.Print_Area" localSheetId="41">'10'!$A$1:$G$53</x:definedName>
    <x:definedName name="_xlnm.Print_Area" localSheetId="2">'1-1'!$A$1:$J$22</x:definedName>
    <x:definedName name="_xlnm.Print_Area" localSheetId="4">'1-1-2-1'!$A$1:$I$136</x:definedName>
    <x:definedName name="_xlnm.Print_Area" localSheetId="55">'13-2-3'!$A$1:$J$29</x:definedName>
    <x:definedName name="_xlnm.Print_Area" localSheetId="65">'13-5-1'!$A$1:$L$36</x:definedName>
    <x:definedName name="_xlnm.Print_Area" localSheetId="12">'2-3'!$A$1:$E$11</x:definedName>
    <x:definedName name="_xlnm.Print_Area" localSheetId="20">'4'!$A$1:$K$30</x:definedName>
    <x:definedName name="_xlnm.Print_Area" localSheetId="21">'5'!$A$1:$E$16</x:definedName>
    <x:definedName name="_xlnm.Print_Area" localSheetId="24">'6-1-1'!$A$12:$H$45</x:definedName>
    <x:definedName name="_xlnm.Print_Area" localSheetId="25">'6-1-2'!$A$12:$H$34</x:definedName>
    <x:definedName name="_xlnm.Print_Area" localSheetId="26">'6-1-3'!$A$12:$H$91</x:definedName>
    <x:definedName name="_xlnm.Print_Area" localSheetId="28">'6-2-1'!$A$12:$H$50</x:definedName>
    <x:definedName name="_xlnm.Print_Area" localSheetId="29">'6-2-2'!$A$12:$H$41</x:definedName>
    <x:definedName name="_xlnm.Print_Area" localSheetId="30">'6-2-3'!$A$12:$H$148</x:definedName>
    <x:definedName name="_xlnm.Print_Area" localSheetId="31">'6-3'!$A$12:$H$39</x:definedName>
    <x:definedName name="_xlnm.Print_Area" localSheetId="39">'8-2-1'!$A$1:$L$51</x:definedName>
    <x:definedName name="_xlnm.Print_Titles" localSheetId="41">'10'!$1:$10</x:definedName>
    <x:definedName name="_xlnm.Print_Titles" localSheetId="4">'1-1-2-1'!$1:$9</x:definedName>
    <x:definedName name="_xlnm.Print_Titles" localSheetId="7">'1-1-3-1-1'!$1:$6</x:definedName>
    <x:definedName name="_xlnm.Print_Titles" localSheetId="46">'13-1-1'!$1:$9</x:definedName>
    <x:definedName name="_xlnm.Print_Titles" localSheetId="47">'13-1-2'!$1:$9</x:definedName>
    <x:definedName name="_xlnm.Print_Titles" localSheetId="48">'13-1-3'!$1:$9</x:definedName>
    <x:definedName name="_xlnm.Print_Titles" localSheetId="49">'13-1-4'!$1:$9</x:definedName>
    <x:definedName name="_xlnm.Print_Titles" localSheetId="50">'13-1-5'!$1:$9</x:definedName>
    <x:definedName name="_xlnm.Print_Titles" localSheetId="51">'13-1-6'!$1:$9</x:definedName>
    <x:definedName name="_xlnm.Print_Titles" localSheetId="12">'2-3'!$1:$8</x:definedName>
    <x:definedName name="_xlnm.Print_Titles" localSheetId="24">'6-1-1'!$1:$10</x:definedName>
    <x:definedName name="_xlnm.Print_Titles" localSheetId="25">'6-1-2'!$1:$10</x:definedName>
    <x:definedName name="_xlnm.Print_Titles" localSheetId="26">'6-1-3'!$1:$10</x:definedName>
    <x:definedName name="_xlnm.Print_Titles" localSheetId="28">'6-2-1'!$1:$10</x:definedName>
    <x:definedName name="_xlnm.Print_Titles" localSheetId="29">'6-2-2'!$1:$10</x:definedName>
    <x:definedName name="_xlnm.Print_Titles" localSheetId="30">'6-2-3'!$1:$10</x:definedName>
    <x:definedName name="_xlnm.Print_Titles" localSheetId="31">'6-3'!$1:$10</x:definedName>
    <x:definedName name="_xlnm.Print_Titles" localSheetId="32">'6-4'!$1:$9</x:definedName>
    <x:definedName name="_xlnm.Print_Titles" localSheetId="36">'8-1'!$1:$10</x:definedName>
    <x:definedName name="_xlnm.Print_Titles" localSheetId="37">'8-1-2'!$1:$10</x:definedName>
    <x:definedName name="_xlnm.Print_Titles" localSheetId="38">'8-2'!$1:$10</x:definedName>
    <x:definedName name="_xlnm.Print_Titles" localSheetId="39">'8-2-1'!$1:$9</x:definedName>
    <x:definedName name="SECT1">#REF!</x:definedName>
    <x:definedName name="SECT2">#REF!</x:definedName>
    <x:definedName name="Task">[2]Source!#REF!</x:definedName>
    <x:definedName name="Task2">[2]Source!#REF!</x:definedName>
    <x:definedName name="TaskDescr">[2]Source!#REF!</x:definedName>
    <x:definedName name="Year">'2-3'!#REF!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149" i="307" l="1"/>
  <x:c r="A150" i="307"/>
  <x:c r="A82" i="250"/>
  <x:c r="A83" i="250" s="1"/>
  <x:c r="A84" i="250" s="1"/>
  <x:c r="A85" i="250" s="1"/>
  <x:c r="A86" i="250" s="1"/>
  <x:c r="A87" i="250" s="1"/>
  <x:c r="A88" i="250" s="1"/>
  <x:c r="A89" i="250" s="1"/>
  <x:c r="A90" i="250" s="1"/>
  <x:c r="A91" i="250" s="1"/>
  <x:c r="A92" i="250" s="1"/>
  <x:c r="H23" i="200" l="1"/>
  <x:c r="J23" i="200" s="1"/>
  <x:c r="H19" i="200"/>
  <x:c r="J19" i="200" s="1"/>
  <x:c r="H12" i="200"/>
  <x:c r="J12" i="200" s="1"/>
  <x:c r="H20" i="200"/>
  <x:c r="J20" i="200" s="1"/>
  <x:c r="H22" i="200"/>
  <x:c r="J22" i="200" s="1"/>
  <x:c r="H15" i="200"/>
  <x:c r="J15" i="200" s="1"/>
  <x:c r="H13" i="200"/>
  <x:c r="J13" i="200" s="1"/>
  <x:c r="H16" i="200"/>
  <x:c r="J16" i="200" s="1"/>
  <x:c r="H14" i="200"/>
  <x:c r="J14" i="200" s="1"/>
  <x:c r="H17" i="200"/>
  <x:c r="J17" i="200" s="1"/>
  <x:c r="H21" i="200"/>
  <x:c r="J21" i="200" s="1"/>
  <x:c r="H18" i="200"/>
  <x:c r="J18" i="200" s="1"/>
  <x:c r="H24" i="200" l="1"/>
  <x:c r="E24" i="341" l="1"/>
  <x:c r="H29" i="348" l="1"/>
  <x:c r="H28" i="348"/>
  <x:c r="I28" i="348" s="1"/>
  <x:c r="J28" i="348" s="1"/>
  <x:c r="E28" i="348"/>
  <x:c r="A64" i="127" l="1"/>
  <x:c r="A65" i="127"/>
  <x:c r="A66" i="127" s="1"/>
  <x:c r="A67" i="127" s="1"/>
  <x:c r="A68" i="127" s="1"/>
  <x:c r="A69" i="127" s="1"/>
  <x:c r="A70" i="127" s="1"/>
  <x:c r="A71" i="127" s="1"/>
  <x:c r="A72" i="127" s="1"/>
  <x:c r="A73" i="127" s="1"/>
  <x:c r="A74" i="127" s="1"/>
  <x:c r="A75" i="127" s="1"/>
  <x:c r="A76" i="127" s="1"/>
  <x:c r="A77" i="127" s="1"/>
  <x:c r="A78" i="127" s="1"/>
  <x:c r="A79" i="127" s="1"/>
  <x:c r="A80" i="127" s="1"/>
  <x:c r="A81" i="127" s="1"/>
  <x:c r="A82" i="127" s="1"/>
  <x:c r="A83" i="127" s="1"/>
  <x:c r="A84" i="127" s="1"/>
  <x:c r="A85" i="127" s="1"/>
  <x:c r="A86" i="127" s="1"/>
  <x:c r="E64" i="127"/>
  <x:c r="F64" i="127" s="1"/>
  <x:c r="E65" i="127"/>
  <x:c r="F65" i="127" s="1"/>
  <x:c r="E67" i="127"/>
  <x:c r="F67" i="127" s="1"/>
  <x:c r="E68" i="127"/>
  <x:c r="F68" i="127" s="1"/>
  <x:c r="E69" i="127"/>
  <x:c r="F69" i="127" s="1"/>
  <x:c r="E70" i="127"/>
  <x:c r="F70" i="127" s="1"/>
  <x:c r="E71" i="127"/>
  <x:c r="F71" i="127" s="1"/>
  <x:c r="E72" i="127"/>
  <x:c r="F72" i="127" s="1"/>
  <x:c r="E73" i="127"/>
  <x:c r="F73" i="127" s="1"/>
  <x:c r="E74" i="127"/>
  <x:c r="F74" i="127" s="1"/>
  <x:c r="E75" i="127"/>
  <x:c r="F75" i="127"/>
  <x:c r="E76" i="127"/>
  <x:c r="F76" i="127" s="1"/>
  <x:c r="E77" i="127"/>
  <x:c r="F77" i="127" s="1"/>
  <x:c r="C78" i="127"/>
  <x:c r="E35" i="128"/>
  <x:c r="F35" i="128"/>
  <x:c r="E36" i="128"/>
  <x:c r="F36" i="128"/>
  <x:c r="E37" i="128"/>
  <x:c r="F37" i="128" s="1"/>
  <x:c r="E50" i="128"/>
  <x:c r="F50" i="128" s="1"/>
  <x:c r="E56" i="128"/>
  <x:c r="F56" i="128" s="1"/>
  <x:c r="E62" i="128"/>
  <x:c r="F62" i="128" s="1"/>
  <x:c r="E38" i="128"/>
  <x:c r="F38" i="128" s="1"/>
  <x:c r="E39" i="128"/>
  <x:c r="F39" i="128" s="1"/>
  <x:c r="E40" i="128"/>
  <x:c r="F40" i="128" s="1"/>
  <x:c r="E41" i="128"/>
  <x:c r="F41" i="128" s="1"/>
  <x:c r="E42" i="128"/>
  <x:c r="F42" i="128" s="1"/>
  <x:c r="E44" i="128"/>
  <x:c r="F44" i="128" s="1"/>
  <x:c r="E45" i="128"/>
  <x:c r="F45" i="128" s="1"/>
  <x:c r="E46" i="128"/>
  <x:c r="F46" i="128" s="1"/>
  <x:c r="E48" i="128"/>
  <x:c r="F48" i="128" s="1"/>
  <x:c r="E51" i="128"/>
  <x:c r="F51" i="128" s="1"/>
  <x:c r="E52" i="128"/>
  <x:c r="F52" i="128" s="1"/>
  <x:c r="E54" i="128"/>
  <x:c r="F54" i="128" s="1"/>
  <x:c r="E57" i="128"/>
  <x:c r="F57" i="128" s="1"/>
  <x:c r="E58" i="128"/>
  <x:c r="F58" i="128" s="1"/>
  <x:c r="E60" i="128"/>
  <x:c r="F60" i="128" s="1"/>
  <x:c r="E63" i="128"/>
  <x:c r="F63" i="128" s="1"/>
  <x:c r="C64" i="128"/>
  <x:c r="E67" i="128" s="1"/>
  <x:c r="E59" i="128"/>
  <x:c r="F59" i="128" s="1"/>
  <x:c r="E61" i="128"/>
  <x:c r="F61" i="128" s="1"/>
  <x:c r="E43" i="128"/>
  <x:c r="F43" i="128" s="1"/>
  <x:c r="E47" i="128"/>
  <x:c r="F47" i="128" s="1"/>
  <x:c r="E49" i="128"/>
  <x:c r="F49" i="128" s="1"/>
  <x:c r="E53" i="128"/>
  <x:c r="F53" i="128" s="1"/>
  <x:c r="E55" i="128"/>
  <x:c r="F55" i="128" s="1"/>
  <x:c r="E66" i="127" l="1"/>
  <x:c r="F66" i="127" s="1"/>
  <x:c r="D11" i="195" l="1"/>
  <x:c r="D25" i="338" l="1"/>
  <x:c r="C25" i="249" l="1"/>
  <x:c r="H12" i="349" l="1"/>
  <x:c r="H11" i="349"/>
  <x:c r="H10" i="349"/>
  <x:c r="G42" i="350" l="1"/>
  <x:c r="G12" i="350"/>
  <x:c r="G13" i="350"/>
  <x:c r="G14" i="350"/>
  <x:c r="G15" i="350"/>
  <x:c r="G16" i="350"/>
  <x:c r="G17" i="350"/>
  <x:c r="G18" i="350"/>
  <x:c r="G19" i="350"/>
  <x:c r="G20" i="350"/>
  <x:c r="G21" i="350"/>
  <x:c r="G22" i="350"/>
  <x:c r="G23" i="350"/>
  <x:c r="G24" i="350"/>
  <x:c r="G25" i="350"/>
  <x:c r="G26" i="350"/>
  <x:c r="G27" i="350"/>
  <x:c r="G28" i="350"/>
  <x:c r="G29" i="350"/>
  <x:c r="G30" i="350"/>
  <x:c r="G31" i="350"/>
  <x:c r="G32" i="350"/>
  <x:c r="E50" i="124" l="1"/>
  <x:c r="F50" i="124" s="1"/>
  <x:c r="A49" i="124"/>
  <x:c r="A50" i="124"/>
  <x:c r="A51" i="124"/>
  <x:c r="A52" i="124"/>
  <x:c r="A53" i="124" s="1"/>
  <x:c r="A54" i="124" s="1"/>
  <x:c r="A55" i="124" s="1"/>
  <x:c r="A56" i="124" s="1"/>
  <x:c r="A57" i="124" s="1"/>
  <x:c r="A58" i="124" s="1"/>
  <x:c r="A59" i="124" s="1"/>
  <x:c r="A60" i="124" s="1"/>
  <x:c r="A61" i="124" s="1"/>
  <x:c r="E51" i="124" l="1"/>
  <x:c r="E49" i="124"/>
  <x:c r="F49" i="124" s="1"/>
  <x:c r="F51" i="124"/>
  <x:c r="C15" i="186"/>
  <x:c r="A27" i="302"/>
  <x:c r="A28" i="302" s="1"/>
  <x:c r="A29" i="302" s="1"/>
  <x:c r="A30" i="302" s="1"/>
  <x:c r="A31" i="302" s="1"/>
  <x:c r="A32" i="302" s="1"/>
  <x:c r="A33" i="302" s="1"/>
  <x:c r="A34" i="302" s="1"/>
  <x:c r="H87" i="270"/>
  <x:c r="G87" i="270"/>
  <x:c r="G86" i="270"/>
  <x:c r="H86" i="270" s="1"/>
  <x:c r="H85" i="270"/>
  <x:c r="G85" i="270"/>
  <x:c r="G84" i="270"/>
  <x:c r="H84" i="270" s="1"/>
  <x:c r="H83" i="270"/>
  <x:c r="G83" i="270"/>
  <x:c r="G82" i="270"/>
  <x:c r="H82" i="270" s="1"/>
  <x:c r="H81" i="270"/>
  <x:c r="G81" i="270"/>
  <x:c r="G80" i="270"/>
  <x:c r="H80" i="270" s="1"/>
  <x:c r="H79" i="270"/>
  <x:c r="G79" i="270"/>
  <x:c r="G78" i="270"/>
  <x:c r="H78" i="270" s="1"/>
  <x:c r="H77" i="270"/>
  <x:c r="G77" i="270"/>
  <x:c r="G76" i="270"/>
  <x:c r="H76" i="270" s="1"/>
  <x:c r="H75" i="270"/>
  <x:c r="G75" i="270"/>
  <x:c r="G74" i="270"/>
  <x:c r="H74" i="270" s="1"/>
  <x:c r="H73" i="270"/>
  <x:c r="G73" i="270"/>
  <x:c r="G72" i="270"/>
  <x:c r="H72" i="270" s="1"/>
  <x:c r="H71" i="270"/>
  <x:c r="G71" i="270"/>
  <x:c r="G70" i="270"/>
  <x:c r="H70" i="270" s="1"/>
  <x:c r="H69" i="270"/>
  <x:c r="G69" i="270"/>
  <x:c r="G68" i="270"/>
  <x:c r="H68" i="270" s="1"/>
  <x:c r="H67" i="270"/>
  <x:c r="G67" i="270"/>
  <x:c r="G66" i="270"/>
  <x:c r="H66" i="270" s="1"/>
  <x:c r="H65" i="270"/>
  <x:c r="G65" i="270"/>
  <x:c r="G64" i="270"/>
  <x:c r="H64" i="270" s="1"/>
  <x:c r="H63" i="270"/>
  <x:c r="G63" i="270"/>
  <x:c r="A63" i="270"/>
  <x:c r="A64" i="270"/>
  <x:c r="A65" i="270" s="1"/>
  <x:c r="A66" i="270" s="1"/>
  <x:c r="A67" i="270" s="1"/>
  <x:c r="A68" i="270" s="1"/>
  <x:c r="A69" i="270" s="1"/>
  <x:c r="A70" i="270" s="1"/>
  <x:c r="A71" i="270" s="1"/>
  <x:c r="A72" i="270" s="1"/>
  <x:c r="A73" i="270" s="1"/>
  <x:c r="A74" i="270" s="1"/>
  <x:c r="A75" i="270" s="1"/>
  <x:c r="A76" i="270" s="1"/>
  <x:c r="A77" i="270" s="1"/>
  <x:c r="A78" i="270" s="1"/>
  <x:c r="A79" i="270" s="1"/>
  <x:c r="A80" i="270" s="1"/>
  <x:c r="A81" i="270" s="1"/>
  <x:c r="A82" i="270" s="1"/>
  <x:c r="A83" i="270" s="1"/>
  <x:c r="A84" i="270" s="1"/>
  <x:c r="A85" i="270" s="1"/>
  <x:c r="A86" i="270" s="1"/>
  <x:c r="A87" i="270" s="1"/>
  <x:c r="A88" i="270" s="1"/>
  <x:c r="A89" i="270" s="1"/>
  <x:c r="A90" i="270" s="1"/>
  <x:c r="A91" i="270" s="1"/>
  <x:c r="H43" i="305" l="1"/>
  <x:c r="G43" i="305"/>
  <x:c r="G42" i="305"/>
  <x:c r="H42" i="305" s="1"/>
  <x:c r="G41" i="305"/>
  <x:c r="H41" i="305" s="1"/>
  <x:c r="G40" i="305"/>
  <x:c r="H40" i="305" s="1"/>
  <x:c r="H39" i="305"/>
  <x:c r="G39" i="305"/>
  <x:c r="G38" i="305"/>
  <x:c r="H38" i="305" s="1"/>
  <x:c r="G37" i="305"/>
  <x:c r="H37" i="305" s="1"/>
  <x:c r="G36" i="305"/>
  <x:c r="H36" i="305" s="1"/>
  <x:c r="H35" i="305"/>
  <x:c r="G35" i="305"/>
  <x:c r="G34" i="305"/>
  <x:c r="H34" i="305" s="1"/>
  <x:c r="G33" i="305"/>
  <x:c r="H33" i="305" s="1"/>
  <x:c r="G32" i="305"/>
  <x:c r="H32" i="305" s="1"/>
  <x:c r="H31" i="305"/>
  <x:c r="G31" i="305"/>
  <x:c r="G30" i="305"/>
  <x:c r="H30" i="305" s="1"/>
  <x:c r="G29" i="305"/>
  <x:c r="H29" i="305" s="1"/>
  <x:c r="G28" i="305"/>
  <x:c r="H28" i="305" s="1"/>
  <x:c r="G34" i="306"/>
  <x:c r="H34" i="306" s="1"/>
  <x:c r="G33" i="306"/>
  <x:c r="H33" i="306" s="1"/>
  <x:c r="G32" i="306"/>
  <x:c r="H32" i="306" s="1"/>
  <x:c r="G31" i="306"/>
  <x:c r="H31" i="306" s="1"/>
  <x:c r="G30" i="306"/>
  <x:c r="H30" i="306" s="1"/>
  <x:c r="G29" i="306"/>
  <x:c r="H29" i="306" s="1"/>
  <x:c r="G28" i="306"/>
  <x:c r="H28" i="306" s="1"/>
  <x:c r="G27" i="306"/>
  <x:c r="H27" i="306" s="1"/>
  <x:c r="G26" i="306"/>
  <x:c r="H26" i="306" s="1"/>
  <x:c r="G25" i="306"/>
  <x:c r="H25" i="306" s="1"/>
  <x:c r="G24" i="306"/>
  <x:c r="H24" i="306" s="1"/>
  <x:c r="G23" i="306"/>
  <x:c r="H23" i="306" s="1"/>
  <x:c r="G22" i="306"/>
  <x:c r="H22" i="306" s="1"/>
  <x:c r="G21" i="306"/>
  <x:c r="H21" i="306" s="1"/>
  <x:c r="G20" i="306"/>
  <x:c r="H20" i="306" s="1"/>
  <x:c r="G19" i="306"/>
  <x:c r="H19" i="306" s="1"/>
  <x:c r="G18" i="306"/>
  <x:c r="H18" i="306" s="1"/>
  <x:c r="G17" i="306"/>
  <x:c r="H17" i="306" s="1"/>
  <x:c r="G16" i="306"/>
  <x:c r="H16" i="306" s="1"/>
  <x:c r="G15" i="306"/>
  <x:c r="H15" i="306" s="1"/>
  <x:c r="G14" i="306"/>
  <x:c r="H14" i="306" s="1"/>
  <x:c r="G141" i="307"/>
  <x:c r="H141" i="307" s="1"/>
  <x:c r="G140" i="307"/>
  <x:c r="H140" i="307" s="1"/>
  <x:c r="G139" i="307"/>
  <x:c r="H139" i="307" s="1"/>
  <x:c r="G138" i="307"/>
  <x:c r="H138" i="307" s="1"/>
  <x:c r="G137" i="307"/>
  <x:c r="H137" i="307" s="1"/>
  <x:c r="G136" i="307"/>
  <x:c r="H136" i="307" s="1"/>
  <x:c r="G135" i="307"/>
  <x:c r="H135" i="307" s="1"/>
  <x:c r="G134" i="307"/>
  <x:c r="H134" i="307" s="1"/>
  <x:c r="G133" i="307"/>
  <x:c r="H133" i="307" s="1"/>
  <x:c r="G132" i="307"/>
  <x:c r="H132" i="307" s="1"/>
  <x:c r="G131" i="307"/>
  <x:c r="H131" i="307" s="1"/>
  <x:c r="G130" i="307"/>
  <x:c r="H130" i="307" s="1"/>
  <x:c r="G129" i="307"/>
  <x:c r="H129" i="307" s="1"/>
  <x:c r="G128" i="307"/>
  <x:c r="H128" i="307" s="1"/>
  <x:c r="G127" i="307"/>
  <x:c r="H127" i="307" s="1"/>
  <x:c r="G126" i="307"/>
  <x:c r="H126" i="307" s="1"/>
  <x:c r="G125" i="307"/>
  <x:c r="H125" i="307" s="1"/>
  <x:c r="G124" i="307"/>
  <x:c r="H124" i="307" s="1"/>
  <x:c r="G123" i="307"/>
  <x:c r="H123" i="307" s="1"/>
  <x:c r="G122" i="307"/>
  <x:c r="H122" i="307" s="1"/>
  <x:c r="G121" i="307"/>
  <x:c r="H121" i="307" s="1"/>
  <x:c r="G120" i="307"/>
  <x:c r="H120" i="307" s="1"/>
  <x:c r="G119" i="307"/>
  <x:c r="H119" i="307" s="1"/>
  <x:c r="G118" i="307"/>
  <x:c r="H118" i="307" s="1"/>
  <x:c r="G117" i="307"/>
  <x:c r="H117" i="307" s="1"/>
  <x:c r="G116" i="307"/>
  <x:c r="H116" i="307" s="1"/>
  <x:c r="G115" i="307"/>
  <x:c r="H115" i="307" s="1"/>
  <x:c r="G114" i="307"/>
  <x:c r="H114" i="307" s="1"/>
  <x:c r="G113" i="307"/>
  <x:c r="H113" i="307" s="1"/>
  <x:c r="G112" i="307"/>
  <x:c r="H112" i="307" s="1"/>
  <x:c r="G111" i="307"/>
  <x:c r="H111" i="307" s="1"/>
  <x:c r="G110" i="307"/>
  <x:c r="H110" i="307" s="1"/>
  <x:c r="G109" i="307"/>
  <x:c r="H109" i="307" s="1"/>
  <x:c r="G108" i="307"/>
  <x:c r="H108" i="307" s="1"/>
  <x:c r="G107" i="307"/>
  <x:c r="H107" i="307" s="1"/>
  <x:c r="G106" i="307"/>
  <x:c r="H106" i="307" s="1"/>
  <x:c r="G105" i="307"/>
  <x:c r="H105" i="307" s="1"/>
  <x:c r="G104" i="307"/>
  <x:c r="H104" i="307" s="1"/>
  <x:c r="G103" i="307"/>
  <x:c r="H103" i="307" s="1"/>
  <x:c r="G102" i="307"/>
  <x:c r="H102" i="307" s="1"/>
  <x:c r="G101" i="307"/>
  <x:c r="H101" i="307" s="1"/>
  <x:c r="G100" i="307"/>
  <x:c r="H100" i="307" s="1"/>
  <x:c r="G99" i="307"/>
  <x:c r="H99" i="307" s="1"/>
  <x:c r="G98" i="307"/>
  <x:c r="H98" i="307" s="1"/>
  <x:c r="G97" i="307"/>
  <x:c r="H97" i="307" s="1"/>
  <x:c r="G96" i="307"/>
  <x:c r="H96" i="307" s="1"/>
  <x:c r="G95" i="307"/>
  <x:c r="H95" i="307" s="1"/>
  <x:c r="G94" i="307"/>
  <x:c r="H94" i="307" s="1"/>
  <x:c r="G93" i="307"/>
  <x:c r="H93" i="307" s="1"/>
  <x:c r="G92" i="307"/>
  <x:c r="H92" i="307" s="1"/>
  <x:c r="G91" i="307"/>
  <x:c r="H91" i="307" s="1"/>
  <x:c r="G90" i="307"/>
  <x:c r="H90" i="307" s="1"/>
  <x:c r="G89" i="307"/>
  <x:c r="H89" i="307" s="1"/>
  <x:c r="G88" i="307"/>
  <x:c r="H88" i="307" s="1"/>
  <x:c r="G87" i="307"/>
  <x:c r="H87" i="307" s="1"/>
  <x:c r="G86" i="307"/>
  <x:c r="H86" i="307" s="1"/>
  <x:c r="G85" i="307"/>
  <x:c r="H85" i="307" s="1"/>
  <x:c r="G84" i="307"/>
  <x:c r="H84" i="307" s="1"/>
  <x:c r="G83" i="307"/>
  <x:c r="H83" i="307" s="1"/>
  <x:c r="G82" i="307"/>
  <x:c r="H82" i="307" s="1"/>
  <x:c r="G81" i="307"/>
  <x:c r="H81" i="307" s="1"/>
  <x:c r="G80" i="307"/>
  <x:c r="H80" i="307" s="1"/>
  <x:c r="G79" i="307"/>
  <x:c r="H79" i="307" s="1"/>
  <x:c r="G78" i="307"/>
  <x:c r="H78" i="307" s="1"/>
  <x:c r="G77" i="307"/>
  <x:c r="H77" i="307" s="1"/>
  <x:c r="G76" i="307"/>
  <x:c r="H76" i="307" s="1"/>
  <x:c r="G75" i="307"/>
  <x:c r="H75" i="307" s="1"/>
  <x:c r="G74" i="307"/>
  <x:c r="H74" i="307" s="1"/>
  <x:c r="G73" i="307"/>
  <x:c r="H73" i="307" s="1"/>
  <x:c r="G72" i="307"/>
  <x:c r="H72" i="307" s="1"/>
  <x:c r="G71" i="307"/>
  <x:c r="H71" i="307" s="1"/>
  <x:c r="G70" i="307"/>
  <x:c r="H70" i="307" s="1"/>
  <x:c r="G69" i="307"/>
  <x:c r="H69" i="307" s="1"/>
  <x:c r="G68" i="307"/>
  <x:c r="H68" i="307" s="1"/>
  <x:c r="G67" i="307"/>
  <x:c r="H67" i="307" s="1"/>
  <x:c r="G66" i="307"/>
  <x:c r="H66" i="307" s="1"/>
  <x:c r="G65" i="307"/>
  <x:c r="H65" i="307" s="1"/>
  <x:c r="G64" i="307"/>
  <x:c r="H64" i="307" s="1"/>
  <x:c r="G63" i="307"/>
  <x:c r="H63" i="307" s="1"/>
  <x:c r="G62" i="307"/>
  <x:c r="H62" i="307" s="1"/>
  <x:c r="G61" i="307"/>
  <x:c r="H61" i="307" s="1"/>
  <x:c r="G60" i="307"/>
  <x:c r="H60" i="307" s="1"/>
  <x:c r="G59" i="307"/>
  <x:c r="H59" i="307" s="1"/>
  <x:c r="G58" i="307"/>
  <x:c r="H58" i="307" s="1"/>
  <x:c r="E141" i="307"/>
  <x:c r="E140" i="307"/>
  <x:c r="E139" i="307"/>
  <x:c r="E138" i="307"/>
  <x:c r="E137" i="307"/>
  <x:c r="E136" i="307"/>
  <x:c r="E135" i="307"/>
  <x:c r="E134" i="307"/>
  <x:c r="E133" i="307"/>
  <x:c r="E132" i="307"/>
  <x:c r="E131" i="307"/>
  <x:c r="E130" i="307"/>
  <x:c r="E129" i="307"/>
  <x:c r="E128" i="307"/>
  <x:c r="E127" i="307"/>
  <x:c r="E126" i="307"/>
  <x:c r="E125" i="307"/>
  <x:c r="E124" i="307"/>
  <x:c r="E123" i="307"/>
  <x:c r="E122" i="307"/>
  <x:c r="E121" i="307"/>
  <x:c r="E120" i="307"/>
  <x:c r="E119" i="307"/>
  <x:c r="E118" i="307"/>
  <x:c r="E117" i="307"/>
  <x:c r="E116" i="307"/>
  <x:c r="E115" i="307"/>
  <x:c r="E114" i="307"/>
  <x:c r="E113" i="307"/>
  <x:c r="E112" i="307"/>
  <x:c r="E111" i="307"/>
  <x:c r="E110" i="307"/>
  <x:c r="E109" i="307"/>
  <x:c r="E108" i="307"/>
  <x:c r="E107" i="307"/>
  <x:c r="E106" i="307"/>
  <x:c r="E105" i="307"/>
  <x:c r="E104" i="307"/>
  <x:c r="E103" i="307"/>
  <x:c r="E102" i="307"/>
  <x:c r="E101" i="307"/>
  <x:c r="E100" i="307"/>
  <x:c r="E99" i="307"/>
  <x:c r="E98" i="307"/>
  <x:c r="E97" i="307"/>
  <x:c r="E96" i="307"/>
  <x:c r="E95" i="307"/>
  <x:c r="E94" i="307"/>
  <x:c r="E93" i="307"/>
  <x:c r="E92" i="307"/>
  <x:c r="E91" i="307"/>
  <x:c r="E90" i="307"/>
  <x:c r="E89" i="307"/>
  <x:c r="E88" i="307"/>
  <x:c r="E87" i="307"/>
  <x:c r="E86" i="307"/>
  <x:c r="E85" i="307"/>
  <x:c r="E84" i="307"/>
  <x:c r="E83" i="307"/>
  <x:c r="E82" i="307"/>
  <x:c r="E81" i="307"/>
  <x:c r="E80" i="307"/>
  <x:c r="E79" i="307"/>
  <x:c r="E78" i="307"/>
  <x:c r="E77" i="307"/>
  <x:c r="E76" i="307"/>
  <x:c r="E75" i="307"/>
  <x:c r="E74" i="307"/>
  <x:c r="E73" i="307"/>
  <x:c r="E72" i="307"/>
  <x:c r="E71" i="307"/>
  <x:c r="E70" i="307"/>
  <x:c r="E69" i="307"/>
  <x:c r="E68" i="307"/>
  <x:c r="E67" i="307"/>
  <x:c r="E66" i="307"/>
  <x:c r="E65" i="307"/>
  <x:c r="E64" i="307"/>
  <x:c r="E63" i="307"/>
  <x:c r="E62" i="307"/>
  <x:c r="E61" i="307"/>
  <x:c r="E60" i="307"/>
  <x:c r="E59" i="307"/>
  <x:c r="E58" i="307"/>
  <x:c r="E57" i="307"/>
  <x:c r="E56" i="307"/>
  <x:c r="E55" i="307"/>
  <x:c r="E54" i="307"/>
  <x:c r="E53" i="307"/>
  <x:c r="E52" i="307"/>
  <x:c r="E51" i="307"/>
  <x:c r="E50" i="307"/>
  <x:c r="E49" i="307"/>
  <x:c r="E48" i="307"/>
  <x:c r="E47" i="307"/>
  <x:c r="E46" i="307"/>
  <x:c r="E45" i="307"/>
  <x:c r="E44" i="307"/>
  <x:c r="E43" i="307"/>
  <x:c r="E42" i="307"/>
  <x:c r="E41" i="307"/>
  <x:c r="E40" i="307"/>
  <x:c r="E39" i="307"/>
  <x:c r="E38" i="307"/>
  <x:c r="E37" i="307"/>
  <x:c r="E36" i="307"/>
  <x:c r="E35" i="307"/>
  <x:c r="E34" i="307"/>
  <x:c r="E33" i="307"/>
  <x:c r="E32" i="307"/>
  <x:c r="E31" i="307"/>
  <x:c r="E30" i="307"/>
  <x:c r="E29" i="307"/>
  <x:c r="E28" i="307"/>
  <x:c r="E27" i="307"/>
  <x:c r="E26" i="307"/>
  <x:c r="E25" i="307"/>
  <x:c r="E24" i="307"/>
  <x:c r="E23" i="307"/>
  <x:c r="E22" i="307"/>
  <x:c r="E21" i="307"/>
  <x:c r="E20" i="307"/>
  <x:c r="E19" i="307"/>
  <x:c r="E18" i="307"/>
  <x:c r="E17" i="307"/>
  <x:c r="E16" i="307"/>
  <x:c r="E15" i="307"/>
  <x:c r="E14" i="307"/>
  <x:c r="E13" i="307"/>
  <x:c r="E12" i="307"/>
  <x:c r="A106" i="307"/>
  <x:c r="A107" i="307" s="1"/>
  <x:c r="A108" i="307" s="1"/>
  <x:c r="A109" i="307" s="1"/>
  <x:c r="A110" i="307" s="1"/>
  <x:c r="A111" i="307" s="1"/>
  <x:c r="A112" i="307" s="1"/>
  <x:c r="A113" i="307" s="1"/>
  <x:c r="A114" i="307" s="1"/>
  <x:c r="A115" i="307" s="1"/>
  <x:c r="A116" i="307" s="1"/>
  <x:c r="A117" i="307" s="1"/>
  <x:c r="A118" i="307" s="1"/>
  <x:c r="A119" i="307" s="1"/>
  <x:c r="A120" i="307" s="1"/>
  <x:c r="A121" i="307" s="1"/>
  <x:c r="A122" i="307" s="1"/>
  <x:c r="A123" i="307" s="1"/>
  <x:c r="A124" i="307" s="1"/>
  <x:c r="A125" i="307" s="1"/>
  <x:c r="A126" i="307" s="1"/>
  <x:c r="A127" i="307" s="1"/>
  <x:c r="A128" i="307" s="1"/>
  <x:c r="A129" i="307" s="1"/>
  <x:c r="A130" i="307" s="1"/>
  <x:c r="A131" i="307" s="1"/>
  <x:c r="A132" i="307" s="1"/>
  <x:c r="A133" i="307" s="1"/>
  <x:c r="A134" i="307" s="1"/>
  <x:c r="A135" i="307" s="1"/>
  <x:c r="A136" i="307" s="1"/>
  <x:c r="A137" i="307" s="1"/>
  <x:c r="A138" i="307" s="1"/>
  <x:c r="A139" i="307" s="1"/>
  <x:c r="A140" i="307" s="1"/>
  <x:c r="A141" i="307" s="1"/>
  <x:c r="A142" i="307" s="1"/>
  <x:c r="A143" i="307" s="1"/>
  <x:c r="A144" i="307" s="1"/>
  <x:c r="A145" i="307" s="1"/>
  <x:c r="A146" i="307" s="1"/>
  <x:c r="A147" i="307" s="1"/>
  <x:c r="A148" i="307" s="1"/>
  <x:c r="G29" i="309" l="1"/>
  <x:c r="H29" i="309" s="1"/>
  <x:c r="G28" i="309"/>
  <x:c r="H28" i="309" s="1"/>
  <x:c r="A30" i="309" l="1"/>
  <x:c r="A31" i="309" s="1"/>
  <x:c r="A32" i="309" s="1"/>
  <x:c r="A33" i="309" s="1"/>
  <x:c r="A34" i="309" s="1"/>
  <x:c r="A35" i="309" s="1"/>
  <x:c r="A36" i="309" s="1"/>
  <x:c r="A37" i="309" s="1"/>
  <x:c r="A38" i="309" s="1"/>
  <x:c r="A39" i="309" s="1"/>
  <x:c r="G34" i="309"/>
  <x:c r="H34" i="309" s="1"/>
  <x:c r="G33" i="309"/>
  <x:c r="H33" i="309" s="1"/>
  <x:c r="G32" i="309"/>
  <x:c r="H32" i="309" s="1"/>
  <x:c r="G31" i="309"/>
  <x:c r="H31" i="309" s="1"/>
  <x:c r="G30" i="309"/>
  <x:c r="H30" i="309" s="1"/>
  <x:c r="G27" i="309"/>
  <x:c r="H27" i="309" s="1"/>
  <x:c r="G26" i="309"/>
  <x:c r="H26" i="309" s="1"/>
  <x:c r="G25" i="309"/>
  <x:c r="H25" i="309" s="1"/>
  <x:c r="G24" i="309"/>
  <x:c r="H24" i="309" s="1"/>
  <x:c r="G23" i="309"/>
  <x:c r="H23" i="309" s="1"/>
  <x:c r="G22" i="309"/>
  <x:c r="H22" i="309" s="1"/>
  <x:c r="G21" i="309"/>
  <x:c r="H21" i="309" s="1"/>
  <x:c r="G20" i="309"/>
  <x:c r="H20" i="309" s="1"/>
  <x:c r="G19" i="309"/>
  <x:c r="H19" i="309" s="1"/>
  <x:c r="G18" i="309"/>
  <x:c r="H18" i="309" s="1"/>
  <x:c r="G17" i="309"/>
  <x:c r="H17" i="309" s="1"/>
  <x:c r="G16" i="309"/>
  <x:c r="H16" i="309" s="1"/>
  <x:c r="G15" i="309"/>
  <x:c r="H15" i="309" s="1"/>
  <x:c r="I18" i="26"/>
  <x:c r="E15" i="26"/>
  <x:c r="E21" i="26"/>
  <x:c r="E23" i="26"/>
  <x:c r="E24" i="26"/>
  <x:c r="E30" i="26"/>
  <x:c r="E35" i="26"/>
  <x:c r="E42" i="26"/>
  <x:c r="I44" i="26"/>
  <x:c r="I43" i="26"/>
  <x:c r="I42" i="26"/>
  <x:c r="I41" i="26"/>
  <x:c r="I40" i="26"/>
  <x:c r="I39" i="26"/>
  <x:c r="I38" i="26"/>
  <x:c r="I37" i="26"/>
  <x:c r="I36" i="26"/>
  <x:c r="I35" i="26"/>
  <x:c r="I34" i="26"/>
  <x:c r="I33" i="26"/>
  <x:c r="I32" i="26"/>
  <x:c r="I31" i="26"/>
  <x:c r="I30" i="26"/>
  <x:c r="I29" i="26"/>
  <x:c r="I28" i="26"/>
  <x:c r="I27" i="26"/>
  <x:c r="I26" i="26"/>
  <x:c r="I25" i="26"/>
  <x:c r="I24" i="26"/>
  <x:c r="I23" i="26"/>
  <x:c r="I22" i="26"/>
  <x:c r="I21" i="26"/>
  <x:c r="I20" i="26"/>
  <x:c r="I17" i="26"/>
  <x:c r="I16" i="26"/>
  <x:c r="I15" i="26"/>
  <x:c r="I14" i="26"/>
  <x:c r="I13" i="26"/>
  <x:c r="I12" i="26"/>
  <x:c r="I11" i="26"/>
  <x:c r="I68" i="289"/>
  <x:c r="I67" i="289"/>
  <x:c r="I66" i="289"/>
  <x:c r="I65" i="289"/>
  <x:c r="I64" i="289"/>
  <x:c r="I63" i="289"/>
  <x:c r="I62" i="289"/>
  <x:c r="I61" i="289"/>
  <x:c r="I60" i="289"/>
  <x:c r="I59" i="289"/>
  <x:c r="I58" i="289"/>
  <x:c r="I57" i="289"/>
  <x:c r="I56" i="289"/>
  <x:c r="I55" i="289"/>
  <x:c r="I54" i="289"/>
  <x:c r="I53" i="289"/>
  <x:c r="I52" i="289"/>
  <x:c r="I51" i="289"/>
  <x:c r="I50" i="289"/>
  <x:c r="I49" i="289"/>
  <x:c r="I48" i="289"/>
  <x:c r="I47" i="289"/>
  <x:c r="I46" i="289"/>
  <x:c r="I45" i="289"/>
  <x:c r="I44" i="289"/>
  <x:c r="I43" i="289"/>
  <x:c r="I42" i="289"/>
  <x:c r="I41" i="289"/>
  <x:c r="I40" i="289"/>
  <x:c r="I39" i="289"/>
  <x:c r="I38" i="289"/>
  <x:c r="I37" i="289"/>
  <x:c r="I36" i="289"/>
  <x:c r="I35" i="289"/>
  <x:c r="I34" i="289"/>
  <x:c r="I33" i="289"/>
  <x:c r="I32" i="289"/>
  <x:c r="I31" i="289"/>
  <x:c r="I30" i="289"/>
  <x:c r="I28" i="289"/>
  <x:c r="I27" i="289"/>
  <x:c r="I26" i="289"/>
  <x:c r="I25" i="289"/>
  <x:c r="I24" i="289"/>
  <x:c r="I23" i="289"/>
  <x:c r="I22" i="289"/>
  <x:c r="I21" i="289"/>
  <x:c r="I20" i="289"/>
  <x:c r="I19" i="289"/>
  <x:c r="I18" i="289"/>
  <x:c r="I17" i="289"/>
  <x:c r="I16" i="289"/>
  <x:c r="I15" i="289"/>
  <x:c r="I14" i="289"/>
  <x:c r="I13" i="289"/>
  <x:c r="I12" i="289"/>
  <x:c r="A69" i="289"/>
  <x:c r="A70" i="289" s="1"/>
  <x:c r="A71" i="289" s="1"/>
  <x:c r="A72" i="289" s="1"/>
  <x:c r="A73" i="289" s="1"/>
  <x:c r="A74" i="289" s="1"/>
  <x:c r="A75" i="289" s="1"/>
  <x:c r="A76" i="289" s="1"/>
  <x:c r="A77" i="289" s="1"/>
  <x:c r="A78" i="289" s="1"/>
  <x:c r="A79" i="289" s="1"/>
  <x:c r="E17" i="289"/>
  <x:c r="E23" i="289"/>
  <x:c r="E54" i="289"/>
  <x:c r="A50" i="25"/>
  <x:c r="A51" i="25"/>
  <x:c r="A52" i="25"/>
  <x:c r="A53" i="25"/>
  <x:c r="A54" i="25" s="1"/>
  <x:c r="A55" i="25" s="1"/>
  <x:c r="A56" i="25" s="1"/>
  <x:c r="A57" i="25" s="1"/>
  <x:c r="A58" i="25" s="1"/>
  <x:c r="A59" i="25" s="1"/>
  <x:c r="E18" i="26" l="1"/>
  <x:c r="E42" i="289"/>
  <x:c r="E20" i="289"/>
  <x:c r="E50" i="25"/>
  <x:c r="E43" i="26"/>
  <x:c r="E40" i="26"/>
  <x:c r="E37" i="26"/>
  <x:c r="E28" i="26"/>
  <x:c r="E25" i="26"/>
  <x:c r="E19" i="26"/>
  <x:c r="E39" i="289"/>
  <x:c r="E67" i="289"/>
  <x:c r="E49" i="289"/>
  <x:c r="E46" i="289"/>
  <x:c r="E43" i="289"/>
  <x:c r="E12" i="26"/>
  <x:c r="E29" i="26"/>
  <x:c r="E65" i="289"/>
  <x:c r="E59" i="289"/>
  <x:c r="E56" i="289"/>
  <x:c r="E53" i="289"/>
  <x:c r="E47" i="289"/>
  <x:c r="E44" i="289"/>
  <x:c r="E41" i="289"/>
  <x:c r="E29" i="289"/>
  <x:c r="E34" i="26"/>
  <x:c r="E54" i="25"/>
  <x:c r="F54" i="25" s="1"/>
  <x:c r="E64" i="289"/>
  <x:c r="E61" i="289"/>
  <x:c r="E58" i="289"/>
  <x:c r="E37" i="289"/>
  <x:c r="E34" i="289"/>
  <x:c r="E28" i="289"/>
  <x:c r="E18" i="289"/>
  <x:c r="E15" i="289"/>
  <x:c r="E12" i="289"/>
  <x:c r="E44" i="26"/>
  <x:c r="E20" i="26"/>
  <x:c r="E52" i="25"/>
  <x:c r="F52" i="25" s="1"/>
  <x:c r="E66" i="289"/>
  <x:c r="E57" i="289"/>
  <x:c r="E31" i="289"/>
  <x:c r="E51" i="289"/>
  <x:c r="E16" i="289"/>
  <x:c r="E13" i="289"/>
  <x:c r="E39" i="26"/>
  <x:c r="E33" i="289"/>
  <x:c r="E48" i="289"/>
  <x:c r="E22" i="289"/>
  <x:c r="E17" i="26"/>
  <x:c r="E31" i="26"/>
  <x:c r="E22" i="26"/>
  <x:c r="E16" i="26"/>
  <x:c r="E13" i="26"/>
  <x:c r="E32" i="26"/>
  <x:c r="E51" i="25"/>
  <x:c r="F51" i="25" s="1"/>
  <x:c r="E26" i="26"/>
  <x:c r="E25" i="289"/>
  <x:c r="E30" i="289"/>
  <x:c r="E52" i="289"/>
  <x:c r="E41" i="26"/>
  <x:c r="E27" i="26"/>
  <x:c r="E63" i="289"/>
  <x:c r="E40" i="289"/>
  <x:c r="E27" i="289"/>
  <x:c r="E33" i="26"/>
  <x:c r="E68" i="289"/>
  <x:c r="E55" i="289"/>
  <x:c r="E32" i="289"/>
  <x:c r="E19" i="289"/>
  <x:c r="E38" i="26"/>
  <x:c r="E36" i="26"/>
  <x:c r="E14" i="26"/>
  <x:c r="E35" i="289"/>
  <x:c r="E53" i="25"/>
  <x:c r="F53" i="25" s="1"/>
  <x:c r="F50" i="25"/>
  <x:c r="E55" i="25"/>
  <x:c r="F55" i="25" s="1"/>
  <x:c r="E21" i="289"/>
  <x:c r="E60" i="289"/>
  <x:c r="E50" i="289"/>
  <x:c r="E62" i="289"/>
  <x:c r="E26" i="289"/>
  <x:c r="E36" i="289"/>
  <x:c r="E38" i="289"/>
  <x:c r="E14" i="289"/>
  <x:c r="E24" i="289"/>
  <x:c r="E45" i="289"/>
  <x:c r="E16" i="213" l="1"/>
  <x:c r="G16" i="213"/>
  <x:c r="E20" i="213"/>
  <x:c r="E22" i="213"/>
  <x:c r="E23" i="213"/>
  <x:c r="E33" i="213"/>
  <x:c r="E35" i="213"/>
  <x:c r="E28" i="213" l="1"/>
  <x:c r="E32" i="213"/>
  <x:c r="E21" i="213"/>
  <x:c r="E25" i="213"/>
  <x:c r="G25" i="213" s="1"/>
  <x:c r="E13" i="213"/>
  <x:c r="E34" i="213"/>
  <x:c r="G32" i="213"/>
  <x:c r="E24" i="213"/>
  <x:c r="G24" i="213" s="1"/>
  <x:c r="G20" i="213"/>
  <x:c r="G22" i="213"/>
  <x:c r="G34" i="213"/>
  <x:c r="E15" i="213"/>
  <x:c r="G15" i="213" s="1"/>
  <x:c r="E27" i="213"/>
  <x:c r="G27" i="213" s="1"/>
  <x:c r="E18" i="213"/>
  <x:c r="G18" i="213" s="1"/>
  <x:c r="G23" i="213"/>
  <x:c r="E26" i="213"/>
  <x:c r="G26" i="213" s="1"/>
  <x:c r="E30" i="213"/>
  <x:c r="G30" i="213" s="1"/>
  <x:c r="E19" i="213"/>
  <x:c r="G19" i="213" s="1"/>
  <x:c r="G33" i="213"/>
  <x:c r="G13" i="213"/>
  <x:c r="E29" i="213"/>
  <x:c r="G29" i="213" s="1"/>
  <x:c r="G35" i="213"/>
  <x:c r="G28" i="213"/>
  <x:c r="E12" i="213"/>
  <x:c r="G12" i="213" s="1"/>
  <x:c r="E31" i="213"/>
  <x:c r="G31" i="213" s="1"/>
  <x:c r="E14" i="213"/>
  <x:c r="G14" i="213" s="1"/>
  <x:c r="E17" i="213"/>
  <x:c r="G17" i="213" s="1"/>
  <x:c r="G21" i="213"/>
  <x:c r="I133" i="297" l="1"/>
  <x:c r="I131" i="297"/>
  <x:c r="I129" i="297"/>
  <x:c r="I128" i="297"/>
  <x:c r="I127" i="297"/>
  <x:c r="I126" i="297"/>
  <x:c r="I125" i="297"/>
  <x:c r="I124" i="297"/>
  <x:c r="D45" i="1" l="1"/>
  <x:c r="D44" i="1"/>
  <x:c r="F25" i="199" l="1"/>
  <x:c r="G33" i="350" l="1"/>
  <x:c r="H27" i="348" l="1"/>
  <x:c r="I27" i="348" s="1"/>
  <x:c r="J27" i="348" s="1"/>
  <x:c r="G25" i="305" l="1"/>
  <x:c r="H25" i="305" s="1"/>
  <x:c r="G23" i="305"/>
  <x:c r="H23" i="305" s="1"/>
  <x:c r="G22" i="305"/>
  <x:c r="H22" i="305" s="1"/>
  <x:c r="G24" i="305"/>
  <x:c r="H24" i="305" s="1"/>
  <x:c r="G55" i="270" l="1"/>
  <x:c r="C89" i="270"/>
  <x:c r="C70" i="289" l="1"/>
  <x:c r="K44" i="26"/>
  <x:c r="L44" i="26" l="1"/>
  <x:c r="D46" i="26"/>
  <x:c r="C46" i="26"/>
  <x:c r="E111" i="268" l="1"/>
  <x:c r="F15" i="199" l="1"/>
  <x:c r="F11" i="341" l="1"/>
  <x:c r="G62" i="270" l="1"/>
  <x:c r="G61" i="270"/>
  <x:c r="G60" i="270"/>
  <x:c r="G59" i="270"/>
  <x:c r="G58" i="270"/>
  <x:c r="G57" i="270"/>
  <x:c r="G56" i="270"/>
  <x:c r="H55" i="270"/>
  <x:c r="H58" i="270" l="1"/>
  <x:c r="H61" i="270"/>
  <x:c r="H62" i="270"/>
  <x:c r="H56" i="270"/>
  <x:c r="H60" i="270"/>
  <x:c r="H57" i="270"/>
  <x:c r="H59" i="270"/>
  <x:c r="H16" i="348"/>
  <x:c r="I16" i="348" s="1"/>
  <x:c r="J16" i="348" s="1"/>
  <x:c r="H14" i="348"/>
  <x:c r="I14" i="348" s="1"/>
  <x:c r="J14" i="348" s="1"/>
  <x:c r="H12" i="348"/>
  <x:c r="I12" i="348" s="1"/>
  <x:c r="J12" i="348" s="1"/>
  <x:c r="H11" i="348"/>
  <x:c r="I11" i="348" s="1"/>
  <x:c r="J11" i="348" s="1"/>
  <x:c r="H20" i="348" l="1"/>
  <x:c r="I20" i="348" s="1"/>
  <x:c r="H19" i="348"/>
  <x:c r="I19" i="348" s="1"/>
  <x:c r="H18" i="348"/>
  <x:c r="I18" i="348" s="1"/>
  <x:c r="H17" i="348"/>
  <x:c r="I17" i="348" s="1"/>
  <x:c r="H15" i="348"/>
  <x:c r="I15" i="348" s="1"/>
  <x:c r="H13" i="348"/>
  <x:c r="I13" i="348" s="1"/>
  <x:c r="H10" i="348"/>
  <x:c r="I10" i="348" s="1"/>
  <x:c r="H9" i="348"/>
  <x:c r="I9" i="348" s="1"/>
  <x:c r="J20" i="348" l="1"/>
  <x:c r="J9" i="348"/>
  <x:c r="J10" i="348"/>
  <x:c r="J18" i="348"/>
  <x:c r="J15" i="348"/>
  <x:c r="J19" i="348"/>
  <x:c r="D22" i="348"/>
  <x:c r="J17" i="348"/>
  <x:c r="J13" i="348"/>
  <x:c r="E14" i="348" l="1"/>
  <x:c r="E16" i="348"/>
  <x:c r="E12" i="348"/>
  <x:c r="E11" i="348"/>
  <x:c r="J22" i="348"/>
  <x:c r="I23" i="348" s="1"/>
  <x:c r="E18" i="348"/>
  <x:c r="E10" i="348"/>
  <x:c r="E13" i="348"/>
  <x:c r="E9" i="348"/>
  <x:c r="E20" i="348"/>
  <x:c r="E19" i="348"/>
  <x:c r="E17" i="348"/>
  <x:c r="E15" i="348"/>
  <x:c r="E22" i="348" l="1"/>
  <x:c r="D31" i="348"/>
  <x:c r="E27" i="348" s="1"/>
  <x:c r="D35" i="348" l="1"/>
  <x:c r="E11" i="312" l="1"/>
  <x:c r="E13" i="266" l="1"/>
  <x:c r="E62" i="123" l="1"/>
  <x:c r="F62" i="123" s="1"/>
  <x:c r="E48" i="124" l="1"/>
  <x:c r="F48" i="124" s="1"/>
  <x:c r="E25" i="124"/>
  <x:c r="E19" i="123"/>
  <x:c r="E30" i="123"/>
  <x:c r="F30" i="123" s="1"/>
  <x:c r="C79" i="123"/>
  <x:c r="E81" i="123" s="1"/>
  <x:c r="E66" i="123"/>
  <x:c r="F66" i="123" s="1"/>
  <x:c r="E74" i="123"/>
  <x:c r="F74" i="123" s="1"/>
  <x:c r="E22" i="123"/>
  <x:c r="F22" i="123" s="1"/>
  <x:c r="E26" i="123"/>
  <x:c r="F26" i="123" s="1"/>
  <x:c r="E46" i="123"/>
  <x:c r="F46" i="123" s="1"/>
  <x:c r="E23" i="124"/>
  <x:c r="F23" i="124" s="1"/>
  <x:c r="E29" i="124"/>
  <x:c r="F29" i="124" s="1"/>
  <x:c r="E41" i="124"/>
  <x:c r="F41" i="124" s="1"/>
  <x:c r="E14" i="123"/>
  <x:c r="F14" i="123" s="1"/>
  <x:c r="E18" i="123"/>
  <x:c r="F18" i="123" s="1"/>
  <x:c r="E38" i="123"/>
  <x:c r="F38" i="123" s="1"/>
  <x:c r="E39" i="124"/>
  <x:c r="F39" i="124" s="1"/>
  <x:c r="E34" i="123"/>
  <x:c r="F34" i="123" s="1"/>
  <x:c r="E51" i="123"/>
  <x:c r="F51" i="123" s="1"/>
  <x:c r="E54" i="123"/>
  <x:c r="F54" i="123" s="1"/>
  <x:c r="E58" i="123"/>
  <x:c r="F58" i="123" s="1"/>
  <x:c r="E16" i="124"/>
  <x:c r="F16" i="124" s="1"/>
  <x:c r="E20" i="124"/>
  <x:c r="F20" i="124" s="1"/>
  <x:c r="E35" i="123"/>
  <x:c r="F35" i="123" s="1"/>
  <x:c r="E42" i="123"/>
  <x:c r="F42" i="123" s="1"/>
  <x:c r="E45" i="124"/>
  <x:c r="F45" i="124" s="1"/>
  <x:c r="E50" i="123"/>
  <x:c r="F50" i="123" s="1"/>
  <x:c r="E67" i="123"/>
  <x:c r="F67" i="123" s="1"/>
  <x:c r="E70" i="123"/>
  <x:c r="F70" i="123" s="1"/>
  <x:c r="E13" i="124"/>
  <x:c r="F13" i="124" s="1"/>
  <x:c r="E32" i="124"/>
  <x:c r="F32" i="124" s="1"/>
  <x:c r="E36" i="124"/>
  <x:c r="F36" i="124" s="1"/>
  <x:c r="E11" i="124"/>
  <x:c r="F11" i="124" s="1"/>
  <x:c r="E27" i="124"/>
  <x:c r="F27" i="124" s="1"/>
  <x:c r="E43" i="124"/>
  <x:c r="F43" i="124" s="1"/>
  <x:c r="E15" i="124"/>
  <x:c r="F15" i="124" s="1"/>
  <x:c r="E17" i="124"/>
  <x:c r="F17" i="124" s="1"/>
  <x:c r="E24" i="124"/>
  <x:c r="F24" i="124" s="1"/>
  <x:c r="F25" i="124"/>
  <x:c r="E31" i="124"/>
  <x:c r="F31" i="124" s="1"/>
  <x:c r="E33" i="124"/>
  <x:c r="F33" i="124" s="1"/>
  <x:c r="E40" i="124"/>
  <x:c r="F40" i="124" s="1"/>
  <x:c r="E47" i="124"/>
  <x:c r="F47" i="124" s="1"/>
  <x:c r="E12" i="124"/>
  <x:c r="F12" i="124" s="1"/>
  <x:c r="E19" i="124"/>
  <x:c r="F19" i="124" s="1"/>
  <x:c r="E21" i="124"/>
  <x:c r="F21" i="124" s="1"/>
  <x:c r="E28" i="124"/>
  <x:c r="F28" i="124" s="1"/>
  <x:c r="E35" i="124"/>
  <x:c r="F35" i="124" s="1"/>
  <x:c r="E37" i="124"/>
  <x:c r="F37" i="124" s="1"/>
  <x:c r="E44" i="124"/>
  <x:c r="F44" i="124" s="1"/>
  <x:c r="E14" i="124"/>
  <x:c r="F14" i="124" s="1"/>
  <x:c r="E18" i="124"/>
  <x:c r="F18" i="124" s="1"/>
  <x:c r="E22" i="124"/>
  <x:c r="F22" i="124" s="1"/>
  <x:c r="E26" i="124"/>
  <x:c r="F26" i="124" s="1"/>
  <x:c r="E30" i="124"/>
  <x:c r="F30" i="124" s="1"/>
  <x:c r="E34" i="124"/>
  <x:c r="F34" i="124" s="1"/>
  <x:c r="E38" i="124"/>
  <x:c r="F38" i="124" s="1"/>
  <x:c r="E42" i="124"/>
  <x:c r="F42" i="124" s="1"/>
  <x:c r="E46" i="124"/>
  <x:c r="F46" i="124" s="1"/>
  <x:c r="E69" i="123"/>
  <x:c r="F69" i="123" s="1"/>
  <x:c r="E11" i="123"/>
  <x:c r="F11" i="123" s="1"/>
  <x:c r="E27" i="123"/>
  <x:c r="F27" i="123" s="1"/>
  <x:c r="E43" i="123"/>
  <x:c r="F43" i="123" s="1"/>
  <x:c r="E59" i="123"/>
  <x:c r="F59" i="123" s="1"/>
  <x:c r="E71" i="123"/>
  <x:c r="F71" i="123" s="1"/>
  <x:c r="E23" i="123"/>
  <x:c r="F23" i="123" s="1"/>
  <x:c r="E39" i="123"/>
  <x:c r="F39" i="123" s="1"/>
  <x:c r="E55" i="123"/>
  <x:c r="F55" i="123" s="1"/>
  <x:c r="E15" i="123"/>
  <x:c r="F15" i="123" s="1"/>
  <x:c r="F19" i="123"/>
  <x:c r="E31" i="123"/>
  <x:c r="F31" i="123" s="1"/>
  <x:c r="E47" i="123"/>
  <x:c r="F47" i="123" s="1"/>
  <x:c r="E63" i="123"/>
  <x:c r="F63" i="123" s="1"/>
  <x:c r="E75" i="123"/>
  <x:c r="F75" i="123" s="1"/>
  <x:c r="E28" i="123"/>
  <x:c r="F28" i="123" s="1"/>
  <x:c r="E44" i="123"/>
  <x:c r="F44" i="123" s="1"/>
  <x:c r="E68" i="123"/>
  <x:c r="F68" i="123" s="1"/>
  <x:c r="E76" i="123"/>
  <x:c r="F76" i="123" s="1"/>
  <x:c r="E17" i="123"/>
  <x:c r="F17" i="123" s="1"/>
  <x:c r="E25" i="123"/>
  <x:c r="F25" i="123" s="1"/>
  <x:c r="E33" i="123"/>
  <x:c r="F33" i="123" s="1"/>
  <x:c r="E41" i="123"/>
  <x:c r="F41" i="123" s="1"/>
  <x:c r="E49" i="123"/>
  <x:c r="F49" i="123" s="1"/>
  <x:c r="E73" i="123"/>
  <x:c r="F73" i="123" s="1"/>
  <x:c r="E16" i="123"/>
  <x:c r="F16" i="123" s="1"/>
  <x:c r="E24" i="123"/>
  <x:c r="F24" i="123" s="1"/>
  <x:c r="E32" i="123"/>
  <x:c r="F32" i="123" s="1"/>
  <x:c r="E40" i="123"/>
  <x:c r="F40" i="123" s="1"/>
  <x:c r="E48" i="123"/>
  <x:c r="F48" i="123" s="1"/>
  <x:c r="E56" i="123"/>
  <x:c r="F56" i="123" s="1"/>
  <x:c r="E64" i="123"/>
  <x:c r="F64" i="123" s="1"/>
  <x:c r="E72" i="123"/>
  <x:c r="F72" i="123" s="1"/>
  <x:c r="E12" i="123"/>
  <x:c r="F12" i="123" s="1"/>
  <x:c r="E20" i="123"/>
  <x:c r="F20" i="123" s="1"/>
  <x:c r="E36" i="123"/>
  <x:c r="F36" i="123" s="1"/>
  <x:c r="E52" i="123"/>
  <x:c r="F52" i="123" s="1"/>
  <x:c r="E60" i="123"/>
  <x:c r="F60" i="123" s="1"/>
  <x:c r="E57" i="123"/>
  <x:c r="F57" i="123" s="1"/>
  <x:c r="E65" i="123"/>
  <x:c r="F65" i="123" s="1"/>
  <x:c r="E13" i="123"/>
  <x:c r="F13" i="123" s="1"/>
  <x:c r="E21" i="123"/>
  <x:c r="F21" i="123" s="1"/>
  <x:c r="E29" i="123"/>
  <x:c r="F29" i="123" s="1"/>
  <x:c r="E37" i="123"/>
  <x:c r="F37" i="123" s="1"/>
  <x:c r="E45" i="123"/>
  <x:c r="F45" i="123" s="1"/>
  <x:c r="E53" i="123"/>
  <x:c r="F53" i="123" s="1"/>
  <x:c r="E61" i="123"/>
  <x:c r="F61" i="123" s="1"/>
  <x:c r="E77" i="123"/>
  <x:c r="F77" i="123" s="1"/>
  <x:c r="C52" i="125" l="1"/>
  <x:c r="E54" i="125" s="1"/>
  <x:c r="E45" i="125"/>
  <x:c r="F45" i="125" s="1"/>
  <x:c r="E49" i="125"/>
  <x:c r="F49" i="125" s="1"/>
  <x:c r="E43" i="125"/>
  <x:c r="F43" i="125" s="1"/>
  <x:c r="E47" i="125"/>
  <x:c r="F47" i="125" s="1"/>
  <x:c r="E44" i="125"/>
  <x:c r="F44" i="125" s="1"/>
  <x:c r="E46" i="125"/>
  <x:c r="F46" i="125" s="1"/>
  <x:c r="E48" i="125"/>
  <x:c r="F48" i="125" s="1"/>
  <x:c r="E50" i="125"/>
  <x:c r="F50" i="125" s="1"/>
  <x:c r="C69" i="126" l="1"/>
  <x:c r="E71" i="126" s="1"/>
  <x:c r="E11" i="213" l="1"/>
  <x:c r="D37" i="213"/>
  <x:c r="I29" i="348" l="1"/>
  <x:c r="J29" i="348" s="1"/>
  <x:c r="H21" i="349" l="1"/>
  <x:c r="H20" i="349"/>
  <x:c r="H19" i="349"/>
  <x:c r="H18" i="349"/>
  <x:c r="H17" i="349"/>
  <x:c r="H16" i="349"/>
  <x:c r="H15" i="349"/>
  <x:c r="H14" i="349"/>
  <x:c r="H13" i="349"/>
  <x:c r="D22" i="349"/>
  <x:c r="E12" i="349" l="1"/>
  <x:c r="E16" i="349"/>
  <x:c r="E20" i="349"/>
  <x:c r="E13" i="349"/>
  <x:c r="E17" i="349"/>
  <x:c r="E21" i="349"/>
  <x:c r="E18" i="349"/>
  <x:c r="I11" i="349"/>
  <x:c r="J11" i="349" s="1"/>
  <x:c r="I15" i="349"/>
  <x:c r="J15" i="349" s="1"/>
  <x:c r="I21" i="349"/>
  <x:c r="J21" i="349" s="1"/>
  <x:c r="I18" i="349"/>
  <x:c r="J18" i="349" s="1"/>
  <x:c r="E11" i="349"/>
  <x:c r="E15" i="349"/>
  <x:c r="I19" i="349"/>
  <x:c r="J19" i="349" s="1"/>
  <x:c r="I20" i="349"/>
  <x:c r="J20" i="349" s="1"/>
  <x:c r="I13" i="349"/>
  <x:c r="J13" i="349" s="1"/>
  <x:c r="E14" i="349"/>
  <x:c r="I12" i="349"/>
  <x:c r="J12" i="349" s="1"/>
  <x:c r="I14" i="349"/>
  <x:c r="J14" i="349" s="1"/>
  <x:c r="I16" i="349"/>
  <x:c r="J16" i="349" s="1"/>
  <x:c r="E19" i="349"/>
  <x:c r="I17" i="349"/>
  <x:c r="J17" i="349" s="1"/>
  <x:c r="K43" i="26" l="1"/>
  <x:c r="K42" i="26"/>
  <x:c r="K41" i="26"/>
  <x:c r="K40" i="26"/>
  <x:c r="K39" i="26"/>
  <x:c r="K38" i="26"/>
  <x:c r="K37" i="26"/>
  <x:c r="K36" i="26"/>
  <x:c r="E11" i="289" l="1"/>
  <x:c r="L43" i="26"/>
  <x:c r="L42" i="26"/>
  <x:c r="E47" i="25"/>
  <x:c r="F47" i="25" s="1"/>
  <x:c r="L36" i="26"/>
  <x:c r="L40" i="26"/>
  <x:c r="E49" i="25"/>
  <x:c r="F49" i="25" s="1"/>
  <x:c r="E46" i="25"/>
  <x:c r="F46" i="25" s="1"/>
  <x:c r="E45" i="25"/>
  <x:c r="F45" i="25" s="1"/>
  <x:c r="E44" i="25"/>
  <x:c r="F44" i="25" s="1"/>
  <x:c r="E48" i="25"/>
  <x:c r="F48" i="25" s="1"/>
  <x:c r="L37" i="26"/>
  <x:c r="L41" i="26"/>
  <x:c r="L38" i="26"/>
  <x:c r="L39" i="26"/>
  <x:c r="E18" i="177" l="1"/>
  <x:c r="E20" i="177" s="1"/>
  <x:c r="E22" i="177" s="1"/>
  <x:c r="E24" i="177" s="1"/>
  <x:c r="E26" i="177" s="1"/>
  <x:c r="E28" i="177" s="1"/>
  <x:c r="E30" i="177" s="1"/>
  <x:c r="E32" i="177" s="1"/>
  <x:c r="E14" i="177"/>
  <x:c r="E12" i="177"/>
  <x:c r="C12" i="177"/>
  <x:c r="C14" i="177" s="1"/>
  <x:c r="C16" i="177" s="1"/>
  <x:c r="C22" i="177" s="1"/>
  <x:c r="C24" i="177" s="1"/>
  <x:c r="C26" i="177" s="1"/>
  <x:c r="C28" i="177" s="1"/>
  <x:c r="C30" i="177" s="1"/>
  <x:c r="C32" i="177" s="1"/>
  <x:c r="B12" i="177"/>
  <x:c r="B14" i="177" s="1"/>
  <x:c r="B16" i="177" s="1"/>
  <x:c r="B18" i="177" s="1"/>
  <x:c r="B20" i="177" s="1"/>
  <x:c r="B22" i="177" s="1"/>
  <x:c r="B24" i="177" s="1"/>
  <x:c r="B26" i="177" s="1"/>
  <x:c r="B28" i="177" s="1"/>
  <x:c r="B30" i="177" s="1"/>
  <x:c r="B32" i="177" s="1"/>
  <x:c r="J24" i="200" l="1"/>
  <x:c r="J26" i="200" s="1"/>
  <x:c r="D41" i="1" s="1"/>
  <x:c r="E80" i="127"/>
  <x:c r="G25" i="338" l="1"/>
  <x:c r="H11" i="339"/>
  <x:c r="E11" i="339"/>
  <x:c r="F12" i="341"/>
  <x:c r="F13" i="341" s="1"/>
  <x:c r="F14" i="341" s="1"/>
  <x:c r="F15" i="341" s="1"/>
  <x:c r="F16" i="341" s="1"/>
  <x:c r="F17" i="341" s="1"/>
  <x:c r="F18" i="341" s="1"/>
  <x:c r="F19" i="341" s="1"/>
  <x:c r="F20" i="341" s="1"/>
  <x:c r="F21" i="341" s="1"/>
  <x:c r="F22" i="341" s="1"/>
  <x:c r="F23" i="341" s="1"/>
  <x:c r="F11" i="342"/>
  <x:c r="E12" i="339" l="1"/>
  <x:c r="E13" i="339" s="1"/>
  <x:c r="E14" i="339" s="1"/>
  <x:c r="E15" i="339" s="1"/>
  <x:c r="E16" i="339" s="1"/>
  <x:c r="E17" i="339" s="1"/>
  <x:c r="E18" i="339" s="1"/>
  <x:c r="E19" i="339" s="1"/>
  <x:c r="E20" i="339" s="1"/>
  <x:c r="E21" i="339" s="1"/>
  <x:c r="E22" i="339" s="1"/>
  <x:c r="E23" i="339" s="1"/>
  <x:c r="J11" i="339"/>
  <x:c r="I74" i="297" l="1"/>
  <x:c r="I70" i="297"/>
  <x:c r="I66" i="297"/>
  <x:c r="I123" i="297"/>
  <x:c r="I122" i="297"/>
  <x:c r="I121" i="297"/>
  <x:c r="I120" i="297"/>
  <x:c r="I119" i="297"/>
  <x:c r="I118" i="297"/>
  <x:c r="I117" i="297"/>
  <x:c r="I116" i="297"/>
  <x:c r="I115" i="297"/>
  <x:c r="I114" i="297"/>
  <x:c r="I113" i="297"/>
  <x:c r="I112" i="297"/>
  <x:c r="I111" i="297"/>
  <x:c r="I98" i="297"/>
  <x:c r="I97" i="297"/>
  <x:c r="I96" i="297"/>
  <x:c r="I95" i="297"/>
  <x:c r="I94" i="297"/>
  <x:c r="I93" i="297"/>
  <x:c r="I92" i="297"/>
  <x:c r="I59" i="297"/>
  <x:c r="I55" i="297"/>
  <x:c r="I47" i="297"/>
  <x:c r="I43" i="297"/>
  <x:c r="I39" i="297"/>
  <x:c r="I35" i="297"/>
  <x:c r="I31" i="297"/>
  <x:c r="I27" i="297"/>
  <x:c r="I23" i="297"/>
  <x:c r="I19" i="297"/>
  <x:c r="I15" i="297"/>
  <x:c r="I11" i="297"/>
  <x:c r="I22" i="297"/>
  <x:c r="I18" i="297"/>
  <x:c r="I14" i="297"/>
  <x:c r="I24" i="297"/>
  <x:c r="I62" i="297"/>
  <x:c r="I58" i="297"/>
  <x:c r="I52" i="297"/>
  <x:c r="I44" i="297"/>
  <x:c r="I32" i="297"/>
  <x:c r="I16" i="297"/>
  <x:c r="I63" i="297"/>
  <x:c r="I89" i="297"/>
  <x:c r="I88" i="297"/>
  <x:c r="I87" i="297"/>
  <x:c r="I85" i="297"/>
  <x:c r="I84" i="297"/>
  <x:c r="I83" i="297"/>
  <x:c r="I81" i="297"/>
  <x:c r="I80" i="297"/>
  <x:c r="I79" i="297"/>
  <x:c r="I77" i="297"/>
  <x:c r="I76" i="297"/>
  <x:c r="I54" i="297"/>
  <x:c r="I46" i="297"/>
  <x:c r="I38" i="297"/>
  <x:c r="I34" i="297"/>
  <x:c r="I26" i="297"/>
  <x:c r="I56" i="297"/>
  <x:c r="I48" i="297"/>
  <x:c r="I40" i="297"/>
  <x:c r="I28" i="297"/>
  <x:c r="I20" i="297"/>
  <x:c r="I12" i="297"/>
  <x:c r="I50" i="297"/>
  <x:c r="I42" i="297"/>
  <x:c r="I30" i="297"/>
  <x:c r="I51" i="297"/>
  <x:c r="I90" i="297"/>
  <x:c r="I86" i="297"/>
  <x:c r="I82" i="297"/>
  <x:c r="I78" i="297"/>
  <x:c r="I75" i="297"/>
  <x:c r="I73" i="297"/>
  <x:c r="I72" i="297"/>
  <x:c r="I71" i="297"/>
  <x:c r="I69" i="297"/>
  <x:c r="I68" i="297"/>
  <x:c r="I67" i="297"/>
  <x:c r="I65" i="297"/>
  <x:c r="I64" i="297"/>
  <x:c r="I91" i="297"/>
  <x:c r="I61" i="297"/>
  <x:c r="I57" i="297"/>
  <x:c r="I53" i="297"/>
  <x:c r="I49" i="297"/>
  <x:c r="I45" i="297"/>
  <x:c r="I41" i="297"/>
  <x:c r="I37" i="297"/>
  <x:c r="I33" i="297"/>
  <x:c r="I29" i="297"/>
  <x:c r="I25" i="297"/>
  <x:c r="I21" i="297"/>
  <x:c r="I17" i="297"/>
  <x:c r="I13" i="297"/>
  <x:c r="I60" i="297"/>
  <x:c r="I36" i="297"/>
  <x:c r="D17" i="291" l="1"/>
  <x:c r="A11" i="291"/>
  <x:c r="A12" i="291" s="1"/>
  <x:c r="A13" i="291" s="1"/>
  <x:c r="A14" i="291" s="1"/>
  <x:c r="A15" i="291" s="1"/>
  <x:c r="A16" i="291" s="1"/>
  <x:c r="A17" i="291" s="1"/>
  <x:c r="A18" i="291" s="1"/>
  <x:c r="A19" i="291" s="1"/>
  <x:c r="A20" i="291" s="1"/>
  <x:c r="K13" i="26" l="1"/>
  <x:c r="K14" i="26"/>
  <x:c r="K15" i="26"/>
  <x:c r="K16" i="26"/>
  <x:c r="K17" i="26"/>
  <x:c r="K18" i="26"/>
  <x:c r="I19" i="26"/>
  <x:c r="K19" i="26" s="1"/>
  <x:c r="K21" i="26"/>
  <x:c r="K22" i="26"/>
  <x:c r="K23" i="26"/>
  <x:c r="K24" i="26"/>
  <x:c r="K25" i="26"/>
  <x:c r="K26" i="26"/>
  <x:c r="K27" i="26"/>
  <x:c r="K28" i="26"/>
  <x:c r="K29" i="26"/>
  <x:c r="K30" i="26"/>
  <x:c r="K31" i="26"/>
  <x:c r="K32" i="26"/>
  <x:c r="K33" i="26"/>
  <x:c r="K34" i="26"/>
  <x:c r="K35" i="26"/>
  <x:c r="K11" i="26"/>
  <x:c r="K12" i="26"/>
  <x:c r="K20" i="26"/>
  <x:c r="K25" i="289" l="1"/>
  <x:c r="K26" i="289"/>
  <x:c r="K28" i="289"/>
  <x:c r="I29" i="289"/>
  <x:c r="K29" i="289" s="1"/>
  <x:c r="K30" i="289"/>
  <x:c r="K31" i="289"/>
  <x:c r="K32" i="289"/>
  <x:c r="K33" i="289"/>
  <x:c r="K34" i="289"/>
  <x:c r="K35" i="289"/>
  <x:c r="K36" i="289"/>
  <x:c r="K37" i="289"/>
  <x:c r="K38" i="289"/>
  <x:c r="K39" i="289"/>
  <x:c r="K40" i="289"/>
  <x:c r="K41" i="289"/>
  <x:c r="K42" i="289"/>
  <x:c r="K43" i="289"/>
  <x:c r="K44" i="289"/>
  <x:c r="K45" i="289"/>
  <x:c r="K46" i="289"/>
  <x:c r="K47" i="289"/>
  <x:c r="K48" i="289"/>
  <x:c r="K49" i="289"/>
  <x:c r="K50" i="289"/>
  <x:c r="K51" i="289"/>
  <x:c r="K52" i="289"/>
  <x:c r="K53" i="289"/>
  <x:c r="K54" i="289"/>
  <x:c r="K55" i="289"/>
  <x:c r="K56" i="289"/>
  <x:c r="K57" i="289"/>
  <x:c r="K58" i="289"/>
  <x:c r="K59" i="289"/>
  <x:c r="K60" i="289"/>
  <x:c r="K61" i="289"/>
  <x:c r="K62" i="289"/>
  <x:c r="K63" i="289"/>
  <x:c r="K64" i="289"/>
  <x:c r="K65" i="289"/>
  <x:c r="K66" i="289"/>
  <x:c r="K67" i="289"/>
  <x:c r="K68" i="289"/>
  <x:c r="K24" i="289"/>
  <x:c r="K27" i="289"/>
  <x:c r="K12" i="289"/>
  <x:c r="K13" i="289"/>
  <x:c r="K14" i="289"/>
  <x:c r="K15" i="289"/>
  <x:c r="K16" i="289"/>
  <x:c r="K17" i="289"/>
  <x:c r="K18" i="289"/>
  <x:c r="K19" i="289"/>
  <x:c r="K20" i="289"/>
  <x:c r="K21" i="289"/>
  <x:c r="K22" i="289"/>
  <x:c r="K23" i="289"/>
  <x:c r="I11" i="289"/>
  <x:c r="K11" i="289" s="1"/>
  <x:c r="H11" i="296" l="1"/>
  <x:c r="E11" i="296"/>
  <x:c r="G53" i="270" l="1"/>
  <x:c r="H53" i="270" s="1"/>
  <x:c r="G54" i="270"/>
  <x:c r="H54" i="270" s="1"/>
  <x:c r="E63" i="126" l="1"/>
  <x:c r="F63" i="126" s="1"/>
  <x:c r="E59" i="126"/>
  <x:c r="F59" i="126" s="1"/>
  <x:c r="E51" i="126"/>
  <x:c r="F51" i="126" s="1"/>
  <x:c r="E43" i="126"/>
  <x:c r="F43" i="126" s="1"/>
  <x:c r="E39" i="126"/>
  <x:c r="F39" i="126" s="1"/>
  <x:c r="E31" i="126"/>
  <x:c r="F31" i="126" s="1"/>
  <x:c r="E27" i="126"/>
  <x:c r="F27" i="126" s="1"/>
  <x:c r="E15" i="126"/>
  <x:c r="F15" i="126" s="1"/>
  <x:c r="E11" i="126"/>
  <x:c r="E66" i="126"/>
  <x:c r="F66" i="126" s="1"/>
  <x:c r="E62" i="126"/>
  <x:c r="F62" i="126" s="1"/>
  <x:c r="E58" i="126"/>
  <x:c r="F58" i="126" s="1"/>
  <x:c r="E54" i="126"/>
  <x:c r="F54" i="126" s="1"/>
  <x:c r="E50" i="126"/>
  <x:c r="F50" i="126" s="1"/>
  <x:c r="E46" i="126"/>
  <x:c r="F46" i="126" s="1"/>
  <x:c r="E42" i="126"/>
  <x:c r="F42" i="126" s="1"/>
  <x:c r="E38" i="126"/>
  <x:c r="F38" i="126" s="1"/>
  <x:c r="E34" i="126"/>
  <x:c r="F34" i="126" s="1"/>
  <x:c r="E30" i="126"/>
  <x:c r="F30" i="126" s="1"/>
  <x:c r="E26" i="126"/>
  <x:c r="F26" i="126" s="1"/>
  <x:c r="E22" i="126"/>
  <x:c r="F22" i="126" s="1"/>
  <x:c r="E18" i="126"/>
  <x:c r="F18" i="126" s="1"/>
  <x:c r="E14" i="126"/>
  <x:c r="F14" i="126" s="1"/>
  <x:c r="E65" i="126"/>
  <x:c r="F65" i="126" s="1"/>
  <x:c r="E61" i="126"/>
  <x:c r="F61" i="126" s="1"/>
  <x:c r="E57" i="126"/>
  <x:c r="F57" i="126" s="1"/>
  <x:c r="E53" i="126"/>
  <x:c r="F53" i="126" s="1"/>
  <x:c r="E49" i="126"/>
  <x:c r="F49" i="126" s="1"/>
  <x:c r="E45" i="126"/>
  <x:c r="F45" i="126" s="1"/>
  <x:c r="E41" i="126"/>
  <x:c r="F41" i="126" s="1"/>
  <x:c r="E37" i="126"/>
  <x:c r="F37" i="126" s="1"/>
  <x:c r="E33" i="126"/>
  <x:c r="F33" i="126" s="1"/>
  <x:c r="E29" i="126"/>
  <x:c r="F29" i="126" s="1"/>
  <x:c r="E25" i="126"/>
  <x:c r="F25" i="126" s="1"/>
  <x:c r="E21" i="126"/>
  <x:c r="F21" i="126" s="1"/>
  <x:c r="E17" i="126"/>
  <x:c r="F17" i="126" s="1"/>
  <x:c r="E13" i="126"/>
  <x:c r="F13" i="126" s="1"/>
  <x:c r="E67" i="126"/>
  <x:c r="F67" i="126" s="1"/>
  <x:c r="E55" i="126"/>
  <x:c r="F55" i="126" s="1"/>
  <x:c r="E47" i="126"/>
  <x:c r="F47" i="126" s="1"/>
  <x:c r="E35" i="126"/>
  <x:c r="F35" i="126" s="1"/>
  <x:c r="E23" i="126"/>
  <x:c r="F23" i="126" s="1"/>
  <x:c r="E19" i="126"/>
  <x:c r="F19" i="126" s="1"/>
  <x:c r="E64" i="126"/>
  <x:c r="F64" i="126" s="1"/>
  <x:c r="E60" i="126"/>
  <x:c r="F60" i="126" s="1"/>
  <x:c r="E56" i="126"/>
  <x:c r="F56" i="126" s="1"/>
  <x:c r="E52" i="126"/>
  <x:c r="F52" i="126" s="1"/>
  <x:c r="E48" i="126"/>
  <x:c r="F48" i="126" s="1"/>
  <x:c r="E44" i="126"/>
  <x:c r="F44" i="126" s="1"/>
  <x:c r="E40" i="126"/>
  <x:c r="F40" i="126" s="1"/>
  <x:c r="E36" i="126"/>
  <x:c r="F36" i="126" s="1"/>
  <x:c r="E32" i="126"/>
  <x:c r="F32" i="126" s="1"/>
  <x:c r="E28" i="126"/>
  <x:c r="F28" i="126" s="1"/>
  <x:c r="E24" i="126"/>
  <x:c r="F24" i="126" s="1"/>
  <x:c r="E20" i="126"/>
  <x:c r="F20" i="126" s="1"/>
  <x:c r="E16" i="126"/>
  <x:c r="F16" i="126" s="1"/>
  <x:c r="E12" i="126"/>
  <x:c r="F12" i="126" s="1"/>
  <x:c r="E34" i="128" l="1"/>
  <x:c r="F34" i="128" s="1"/>
  <x:c r="E63" i="127" l="1"/>
  <x:c r="F63" i="127" s="1"/>
  <x:c r="E60" i="127" l="1"/>
  <x:c r="F60" i="127" s="1"/>
  <x:c r="E61" i="127"/>
  <x:c r="F61" i="127" s="1"/>
  <x:c r="E58" i="127"/>
  <x:c r="F58" i="127" s="1"/>
  <x:c r="E59" i="127" l="1"/>
  <x:c r="F59" i="127" s="1"/>
  <x:c r="E62" i="127"/>
  <x:c r="F62" i="127" s="1"/>
  <x:c r="G24" i="342" l="1"/>
  <x:c r="D25" i="335"/>
  <x:c r="E24" i="342"/>
  <x:c r="F12" i="342"/>
  <x:c r="F13" i="342" s="1"/>
  <x:c r="F14" i="342" s="1"/>
  <x:c r="F15" i="342" s="1"/>
  <x:c r="F16" i="342" s="1"/>
  <x:c r="F17" i="342" s="1"/>
  <x:c r="F18" i="342" s="1"/>
  <x:c r="F19" i="342" s="1"/>
  <x:c r="F20" i="342" s="1"/>
  <x:c r="F21" i="342" s="1"/>
  <x:c r="F22" i="342" s="1"/>
  <x:c r="F23" i="342" s="1"/>
  <x:c r="G24" i="341"/>
  <x:c r="B11" i="268" l="1"/>
  <x:c r="B12" i="268" s="1"/>
  <x:c r="B13" i="268" s="1"/>
  <x:c r="B14" i="268" s="1"/>
  <x:c r="B15" i="268" s="1"/>
  <x:c r="B16" i="268" s="1"/>
  <x:c r="B17" i="268" s="1"/>
  <x:c r="B18" i="268" s="1"/>
  <x:c r="B19" i="268" s="1"/>
  <x:c r="B20" i="268" s="1"/>
  <x:c r="B21" i="268" s="1"/>
  <x:c r="B22" i="268" s="1"/>
  <x:c r="B23" i="268" s="1"/>
  <x:c r="B24" i="268" s="1"/>
  <x:c r="B25" i="268" s="1"/>
  <x:c r="B26" i="268" s="1"/>
  <x:c r="B27" i="268" s="1"/>
  <x:c r="B28" i="268" s="1"/>
  <x:c r="B29" i="268" s="1"/>
  <x:c r="B30" i="268" s="1"/>
  <x:c r="B31" i="268" s="1"/>
  <x:c r="B32" i="268" s="1"/>
  <x:c r="B33" i="268" s="1"/>
  <x:c r="B34" i="268" s="1"/>
  <x:c r="B35" i="268" s="1"/>
  <x:c r="B36" i="268" s="1"/>
  <x:c r="B37" i="268" s="1"/>
  <x:c r="B38" i="268" s="1"/>
  <x:c r="B39" i="268" s="1"/>
  <x:c r="B40" i="268" s="1"/>
  <x:c r="C20" i="266" l="1"/>
  <x:c r="C23" i="266" s="1"/>
  <x:c r="A44" i="307" l="1"/>
  <x:c r="A45" i="307" s="1"/>
  <x:c r="A46" i="307" s="1"/>
  <x:c r="A47" i="307" s="1"/>
  <x:c r="A48" i="307" s="1"/>
  <x:c r="A49" i="307" s="1"/>
  <x:c r="A50" i="307" s="1"/>
  <x:c r="A51" i="307" s="1"/>
  <x:c r="A52" i="307" s="1"/>
  <x:c r="A53" i="307" s="1"/>
  <x:c r="A54" i="307" s="1"/>
  <x:c r="A55" i="307" s="1"/>
  <x:c r="A56" i="307" s="1"/>
  <x:c r="A57" i="307" s="1"/>
  <x:c r="A58" i="307" s="1"/>
  <x:c r="A59" i="307" s="1"/>
  <x:c r="A60" i="307" s="1"/>
  <x:c r="A61" i="307" s="1"/>
  <x:c r="A62" i="307" s="1"/>
  <x:c r="A63" i="307" s="1"/>
  <x:c r="A64" i="307" s="1"/>
  <x:c r="A65" i="307" s="1"/>
  <x:c r="A66" i="307" s="1"/>
  <x:c r="A67" i="307" s="1"/>
  <x:c r="A68" i="307" s="1"/>
  <x:c r="A69" i="307" s="1"/>
  <x:c r="A70" i="307" s="1"/>
  <x:c r="A71" i="307" s="1"/>
  <x:c r="A72" i="307" s="1"/>
  <x:c r="A73" i="307" s="1"/>
  <x:c r="A74" i="307" s="1"/>
  <x:c r="A75" i="307" s="1"/>
  <x:c r="A76" i="307" s="1"/>
  <x:c r="A77" i="307" s="1"/>
  <x:c r="A78" i="307" s="1"/>
  <x:c r="A79" i="307" s="1"/>
  <x:c r="A80" i="307" s="1"/>
  <x:c r="A81" i="307" s="1"/>
  <x:c r="A82" i="307" s="1"/>
  <x:c r="A83" i="307" s="1"/>
  <x:c r="A84" i="307" s="1"/>
  <x:c r="A85" i="307" s="1"/>
  <x:c r="A86" i="307" s="1"/>
  <x:c r="A87" i="307" s="1"/>
  <x:c r="A88" i="307" s="1"/>
  <x:c r="A89" i="307" s="1"/>
  <x:c r="A90" i="307" s="1"/>
  <x:c r="A91" i="307" s="1"/>
  <x:c r="A92" i="307" s="1"/>
  <x:c r="A93" i="307" s="1"/>
  <x:c r="A94" i="307" s="1"/>
  <x:c r="A95" i="307" s="1"/>
  <x:c r="A96" i="307" s="1"/>
  <x:c r="A97" i="307" s="1"/>
  <x:c r="A98" i="307" s="1"/>
  <x:c r="A99" i="307" s="1"/>
  <x:c r="A100" i="307" s="1"/>
  <x:c r="A101" i="307" s="1"/>
  <x:c r="A102" i="307" s="1"/>
  <x:c r="A103" i="307" s="1"/>
  <x:c r="A104" i="307" s="1"/>
  <x:c r="A105" i="307" s="1"/>
  <x:c r="A13" i="306"/>
  <x:c r="G24" i="307"/>
  <x:c r="G30" i="307"/>
  <x:c r="G32" i="307"/>
  <x:c r="G34" i="307"/>
  <x:c r="G40" i="307"/>
  <x:c r="G42" i="307"/>
  <x:c r="G44" i="307"/>
  <x:c r="G48" i="307"/>
  <x:c r="G50" i="307"/>
  <x:c r="G56" i="307"/>
  <x:c r="G13" i="305"/>
  <x:c r="G17" i="305"/>
  <x:c r="G21" i="305"/>
  <x:c r="A13" i="200"/>
  <x:c r="A14" i="200" s="1"/>
  <x:c r="A15" i="200" s="1"/>
  <x:c r="A16" i="200" s="1"/>
  <x:c r="A17" i="200" s="1"/>
  <x:c r="A18" i="200" s="1"/>
  <x:c r="A19" i="200" s="1"/>
  <x:c r="A20" i="200" s="1"/>
  <x:c r="A21" i="200" s="1"/>
  <x:c r="A22" i="200" s="1"/>
  <x:c r="A23" i="200" s="1"/>
  <x:c r="A24" i="200" s="1"/>
  <x:c r="A25" i="200" s="1"/>
  <x:c r="A26" i="200" s="1"/>
  <x:c r="A27" i="200" s="1"/>
  <x:c r="A28" i="200" s="1"/>
  <x:c r="A29" i="200" s="1"/>
  <x:c r="A13" i="23"/>
  <x:c r="A14" i="23" s="1"/>
  <x:c r="A15" i="23" s="1"/>
  <x:c r="A16" i="23" s="1"/>
  <x:c r="A17" i="23" s="1"/>
  <x:c r="A18" i="23" s="1"/>
  <x:c r="A19" i="23" s="1"/>
  <x:c r="A20" i="23" s="1"/>
  <x:c r="A21" i="23" s="1"/>
  <x:c r="A22" i="23" s="1"/>
  <x:c r="A23" i="23" s="1"/>
  <x:c r="A24" i="23" s="1"/>
  <x:c r="A11" i="349"/>
  <x:c r="A12" i="349" s="1"/>
  <x:c r="A13" i="349" s="1"/>
  <x:c r="A14" i="349" s="1"/>
  <x:c r="A15" i="349" s="1"/>
  <x:c r="A16" i="349" s="1"/>
  <x:c r="A17" i="349" s="1"/>
  <x:c r="A18" i="349" s="1"/>
  <x:c r="A19" i="349" s="1"/>
  <x:c r="A20" i="349" s="1"/>
  <x:c r="A21" i="349" s="1"/>
  <x:c r="A22" i="349" s="1"/>
  <x:c r="A23" i="349" s="1"/>
  <x:c r="A24" i="349" s="1"/>
  <x:c r="A25" i="349" s="1"/>
  <x:c r="A13" i="309"/>
  <x:c r="A14" i="309" s="1"/>
  <x:c r="A15" i="309" s="1"/>
  <x:c r="A16" i="309" s="1"/>
  <x:c r="A17" i="309" s="1"/>
  <x:c r="A18" i="309" s="1"/>
  <x:c r="A19" i="309" s="1"/>
  <x:c r="A20" i="309" s="1"/>
  <x:c r="A21" i="309" s="1"/>
  <x:c r="A22" i="309" s="1"/>
  <x:c r="A23" i="309" s="1"/>
  <x:c r="A24" i="309" s="1"/>
  <x:c r="A25" i="309" s="1"/>
  <x:c r="A26" i="309" s="1"/>
  <x:c r="A27" i="309" s="1"/>
  <x:c r="A28" i="309" s="1"/>
  <x:c r="A29" i="309" s="1"/>
  <x:c r="A14" i="304"/>
  <x:c r="A15" i="304" s="1"/>
  <x:c r="A16" i="304" s="1"/>
  <x:c r="A17" i="304" s="1"/>
  <x:c r="A18" i="304" s="1"/>
  <x:c r="A19" i="304" s="1"/>
  <x:c r="A20" i="304" s="1"/>
  <x:c r="A21" i="304" s="1"/>
  <x:c r="A13" i="302"/>
  <x:c r="A14" i="302" s="1"/>
  <x:c r="A15" i="302" s="1"/>
  <x:c r="A16" i="302" s="1"/>
  <x:c r="A17" i="302" s="1"/>
  <x:c r="A18" i="302" s="1"/>
  <x:c r="A19" i="302" s="1"/>
  <x:c r="A20" i="302" s="1"/>
  <x:c r="A21" i="302" s="1"/>
  <x:c r="A22" i="302" s="1"/>
  <x:c r="A23" i="302" s="1"/>
  <x:c r="A24" i="302" s="1"/>
  <x:c r="A25" i="302" s="1"/>
  <x:c r="A26" i="302" s="1"/>
  <x:c r="A13" i="301"/>
  <x:c r="A14" i="301" s="1"/>
  <x:c r="A15" i="301" s="1"/>
  <x:c r="A16" i="301" s="1"/>
  <x:c r="A17" i="301" s="1"/>
  <x:c r="A18" i="301" s="1"/>
  <x:c r="A19" i="301" s="1"/>
  <x:c r="A20" i="301" s="1"/>
  <x:c r="A21" i="301" s="1"/>
  <x:c r="A22" i="301" s="1"/>
  <x:c r="A23" i="301" s="1"/>
  <x:c r="A24" i="301" s="1"/>
  <x:c r="A25" i="301" s="1"/>
  <x:c r="A26" i="301" s="1"/>
  <x:c r="A27" i="301" s="1"/>
  <x:c r="A28" i="301" s="1"/>
  <x:c r="A29" i="301" s="1"/>
  <x:c r="A30" i="301" s="1"/>
  <x:c r="A31" i="301" s="1"/>
  <x:c r="A32" i="301" s="1"/>
  <x:c r="A33" i="301" s="1"/>
  <x:c r="A34" i="301" s="1"/>
  <x:c r="A35" i="301" s="1"/>
  <x:c r="A36" i="301" s="1"/>
  <x:c r="A37" i="301" s="1"/>
  <x:c r="A38" i="301" s="1"/>
  <x:c r="A39" i="301" s="1"/>
  <x:c r="A40" i="301" s="1"/>
  <x:c r="A41" i="301" s="1"/>
  <x:c r="A42" i="301" s="1"/>
  <x:c r="A43" i="301" s="1"/>
  <x:c r="A44" i="301" s="1"/>
  <x:c r="A45" i="301" s="1"/>
  <x:c r="A14" i="303"/>
  <x:c r="A15" i="303" s="1"/>
  <x:c r="A16" i="303" s="1"/>
  <x:c r="A17" i="303" s="1"/>
  <x:c r="A18" i="303" s="1"/>
  <x:c r="A19" i="303" s="1"/>
  <x:c r="A20" i="303" s="1"/>
  <x:c r="A21" i="303" s="1"/>
  <x:c r="A14" i="186"/>
  <x:c r="A12" i="181"/>
  <x:c r="A13" i="181" s="1"/>
  <x:c r="A14" i="181" s="1"/>
  <x:c r="A15" i="181" s="1"/>
  <x:c r="A16" i="181" s="1"/>
  <x:c r="A17" i="181" s="1"/>
  <x:c r="A18" i="181" s="1"/>
  <x:c r="A19" i="181" s="1"/>
  <x:c r="A20" i="181" s="1"/>
  <x:c r="A21" i="181" s="1"/>
  <x:c r="A22" i="181" s="1"/>
  <x:c r="A23" i="181" s="1"/>
  <x:c r="A24" i="181" s="1"/>
  <x:c r="A25" i="181" s="1"/>
  <x:c r="A26" i="181" s="1"/>
  <x:c r="A27" i="181" s="1"/>
  <x:c r="E11" i="195"/>
  <x:c r="D15" i="169" s="1"/>
  <x:c r="D18" i="169" s="1"/>
  <x:c r="E17" i="25"/>
  <x:c r="F17" i="25" s="1"/>
  <x:c r="E21" i="25"/>
  <x:c r="F21" i="25" s="1"/>
  <x:c r="E26" i="25"/>
  <x:c r="F26" i="25" s="1"/>
  <x:c r="E29" i="25"/>
  <x:c r="F29" i="25" s="1"/>
  <x:c r="E33" i="25"/>
  <x:c r="F33" i="25" s="1"/>
  <x:c r="E12" i="170"/>
  <x:c r="H26" i="348"/>
  <x:c r="I26" i="348" s="1"/>
  <x:c r="J26" i="348" s="1"/>
  <x:c r="J31" i="348" s="1"/>
  <x:c r="J35" i="348" s="1"/>
  <x:c r="I36" i="348" s="1"/>
  <x:c r="D24" i="1" s="1"/>
  <x:c r="G11" i="350"/>
  <x:c r="G34" i="350"/>
  <x:c r="G35" i="350"/>
  <x:c r="G36" i="350"/>
  <x:c r="G37" i="350"/>
  <x:c r="G38" i="350"/>
  <x:c r="C39" i="350"/>
  <x:c r="E39" i="350"/>
  <x:c r="A2" i="199"/>
  <x:c r="F12" i="169"/>
  <x:c r="D10" i="177"/>
  <x:c r="F10" i="177" s="1"/>
  <x:c r="D12" i="177"/>
  <x:c r="A11" i="176"/>
  <x:c r="A12" i="176" s="1"/>
  <x:c r="A14" i="176" s="1"/>
  <x:c r="A15" i="176" s="1"/>
  <x:c r="A16" i="176" s="1"/>
  <x:c r="A17" i="176" s="1"/>
  <x:c r="A18" i="176" s="1"/>
  <x:c r="A19" i="176" s="1"/>
  <x:c r="A20" i="176" s="1"/>
  <x:c r="D11" i="336"/>
  <x:c r="D13" i="336"/>
  <x:c r="D14" i="336"/>
  <x:c r="D15" i="336"/>
  <x:c r="D16" i="336"/>
  <x:c r="D17" i="336"/>
  <x:c r="D18" i="336"/>
  <x:c r="D19" i="336"/>
  <x:c r="D20" i="336"/>
  <x:c r="D21" i="336"/>
  <x:c r="D22" i="336"/>
  <x:c r="D23" i="336"/>
  <x:c r="D24" i="336"/>
  <x:c r="J11" i="338"/>
  <x:c r="G11" i="336" s="1"/>
  <x:c r="E13" i="338"/>
  <x:c r="E14" i="338" s="1"/>
  <x:c r="H13" i="338"/>
  <x:c r="H14" i="338" s="1"/>
  <x:c r="A12" i="337"/>
  <x:c r="A13" i="337" s="1"/>
  <x:c r="A14" i="337" s="1"/>
  <x:c r="A15" i="337" s="1"/>
  <x:c r="A16" i="337" s="1"/>
  <x:c r="A17" i="337" s="1"/>
  <x:c r="A18" i="337" s="1"/>
  <x:c r="A19" i="337" s="1"/>
  <x:c r="A20" i="337" s="1"/>
  <x:c r="A21" i="337" s="1"/>
  <x:c r="A22" i="337" s="1"/>
  <x:c r="A23" i="337" s="1"/>
  <x:c r="A24" i="337" s="1"/>
  <x:c r="A25" i="337" s="1"/>
  <x:c r="A26" i="337" s="1"/>
  <x:c r="A27" i="337" s="1"/>
  <x:c r="A28" i="337" s="1"/>
  <x:c r="A29" i="337" s="1"/>
  <x:c r="A30" i="337" s="1"/>
  <x:c r="D12" i="333"/>
  <x:c r="D13" i="333"/>
  <x:c r="D14" i="333"/>
  <x:c r="D15" i="333"/>
  <x:c r="D16" i="333"/>
  <x:c r="D17" i="333"/>
  <x:c r="D18" i="333"/>
  <x:c r="D19" i="333"/>
  <x:c r="D20" i="333"/>
  <x:c r="D21" i="333"/>
  <x:c r="D22" i="333"/>
  <x:c r="D23" i="333"/>
  <x:c r="K11" i="335"/>
  <x:c r="G10" i="333" s="1"/>
  <x:c r="E13" i="335"/>
  <x:c r="E14" i="335" s="1"/>
  <x:c r="E15" i="335" s="1"/>
  <x:c r="E16" i="335" s="1"/>
  <x:c r="H13" i="335"/>
  <x:c r="H14" i="335" s="1"/>
  <x:c r="A12" i="334"/>
  <x:c r="A13" i="334" s="1"/>
  <x:c r="A14" i="334" s="1"/>
  <x:c r="A15" i="334" s="1"/>
  <x:c r="A16" i="334" s="1"/>
  <x:c r="A17" i="334" s="1"/>
  <x:c r="A18" i="334" s="1"/>
  <x:c r="A19" i="334" s="1"/>
  <x:c r="A20" i="334" s="1"/>
  <x:c r="A21" i="334" s="1"/>
  <x:c r="A22" i="334" s="1"/>
  <x:c r="A23" i="334" s="1"/>
  <x:c r="A24" i="334" s="1"/>
  <x:c r="A25" i="334" s="1"/>
  <x:c r="A26" i="334" s="1"/>
  <x:c r="A27" i="334" s="1"/>
  <x:c r="A28" i="334" s="1"/>
  <x:c r="A29" i="334" s="1"/>
  <x:c r="A30" i="334" s="1"/>
  <x:c r="D70" i="289"/>
  <x:c r="E14" i="222"/>
  <x:c r="D46" i="1" s="1"/>
  <x:c r="F20" i="199"/>
  <x:c r="A11" i="222"/>
  <x:c r="A12" i="222" s="1"/>
  <x:c r="A13" i="222" s="1"/>
  <x:c r="A14" i="222" s="1"/>
  <x:c r="A15" i="222" s="1"/>
  <x:c r="A16" i="222" s="1"/>
  <x:c r="A17" i="222" s="1"/>
  <x:c r="A11" i="199"/>
  <x:c r="A12" i="199" s="1"/>
  <x:c r="A13" i="199" s="1"/>
  <x:c r="A14" i="199" s="1"/>
  <x:c r="A15" i="199" s="1"/>
  <x:c r="A16" i="199" s="1"/>
  <x:c r="A17" i="199" s="1"/>
  <x:c r="A18" i="199" s="1"/>
  <x:c r="A19" i="199" s="1"/>
  <x:c r="A20" i="199" s="1"/>
  <x:c r="A21" i="199" s="1"/>
  <x:c r="A22" i="199" s="1"/>
  <x:c r="A23" i="199" s="1"/>
  <x:c r="A24" i="199" s="1"/>
  <x:c r="A25" i="199" s="1"/>
  <x:c r="A26" i="199" s="1"/>
  <x:c r="A27" i="199" s="1"/>
  <x:c r="A28" i="199" s="1"/>
  <x:c r="A29" i="199" s="1"/>
  <x:c r="A30" i="199" s="1"/>
  <x:c r="A31" i="199" s="1"/>
  <x:c r="A32" i="199" s="1"/>
  <x:c r="A33" i="199" s="1"/>
  <x:c r="D11" i="342"/>
  <x:c r="D12" i="342" s="1"/>
  <x:c r="H11" i="342"/>
  <x:c r="H12" i="342" s="1"/>
  <x:c r="H13" i="342" s="1"/>
  <x:c r="H14" i="342" s="1"/>
  <x:c r="H15" i="342" s="1"/>
  <x:c r="H16" i="342" s="1"/>
  <x:c r="H17" i="342" s="1"/>
  <x:c r="H18" i="342" s="1"/>
  <x:c r="H19" i="342" s="1"/>
  <x:c r="H20" i="342" s="1"/>
  <x:c r="H21" i="342" s="1"/>
  <x:c r="H22" i="342" s="1"/>
  <x:c r="H23" i="342" s="1"/>
  <x:c r="A12" i="342"/>
  <x:c r="A13" i="342" s="1"/>
  <x:c r="A14" i="342" s="1"/>
  <x:c r="A15" i="342" s="1"/>
  <x:c r="A16" i="342" s="1"/>
  <x:c r="A17" i="342" s="1"/>
  <x:c r="A18" i="342" s="1"/>
  <x:c r="A19" i="342" s="1"/>
  <x:c r="A20" i="342" s="1"/>
  <x:c r="A21" i="342" s="1"/>
  <x:c r="A22" i="342" s="1"/>
  <x:c r="A23" i="342" s="1"/>
  <x:c r="A24" i="342" s="1"/>
  <x:c r="A25" i="342" s="1"/>
  <x:c r="A26" i="342" s="1"/>
  <x:c r="A27" i="342" s="1"/>
  <x:c r="A28" i="342" s="1"/>
  <x:c r="A29" i="342" s="1"/>
  <x:c r="A30" i="342" s="1"/>
  <x:c r="A31" i="342" s="1"/>
  <x:c r="A32" i="342" s="1"/>
  <x:c r="A33" i="342" s="1"/>
  <x:c r="A34" i="342" s="1"/>
  <x:c r="A35" i="342" s="1"/>
  <x:c r="C24" i="342"/>
  <x:c r="F25" i="342"/>
  <x:c r="F26" i="342" s="1"/>
  <x:c r="J25" i="342"/>
  <x:c r="J26" i="342" s="1"/>
  <x:c r="D11" i="341"/>
  <x:c r="D12" i="341" s="1"/>
  <x:c r="H11" i="341"/>
  <x:c r="H12" i="341" s="1"/>
  <x:c r="H13" i="341" s="1"/>
  <x:c r="H14" i="341" s="1"/>
  <x:c r="H15" i="341" s="1"/>
  <x:c r="A12" i="341"/>
  <x:c r="A13" i="341" s="1"/>
  <x:c r="A14" i="341" s="1"/>
  <x:c r="A15" i="341" s="1"/>
  <x:c r="A16" i="341" s="1"/>
  <x:c r="A17" i="341" s="1"/>
  <x:c r="A18" i="341" s="1"/>
  <x:c r="A19" i="341" s="1"/>
  <x:c r="A20" i="341" s="1"/>
  <x:c r="A21" i="341" s="1"/>
  <x:c r="A22" i="341" s="1"/>
  <x:c r="A23" i="341" s="1"/>
  <x:c r="A24" i="341" s="1"/>
  <x:c r="A25" i="341" s="1"/>
  <x:c r="A26" i="341" s="1"/>
  <x:c r="A27" i="341" s="1"/>
  <x:c r="A28" i="341" s="1"/>
  <x:c r="A29" i="341" s="1"/>
  <x:c r="A30" i="341" s="1"/>
  <x:c r="A31" i="341" s="1"/>
  <x:c r="A32" i="341" s="1"/>
  <x:c r="A33" i="341" s="1"/>
  <x:c r="A34" i="341" s="1"/>
  <x:c r="A35" i="341" s="1"/>
  <x:c r="C24" i="341"/>
  <x:c r="F25" i="341"/>
  <x:c r="F26" i="341" s="1"/>
  <x:c r="J25" i="341"/>
  <x:c r="J26" i="341" s="1"/>
  <x:c r="A12" i="340"/>
  <x:c r="A12" i="339"/>
  <x:c r="A13" i="339" s="1"/>
  <x:c r="A14" i="339" s="1"/>
  <x:c r="A15" i="339" s="1"/>
  <x:c r="A16" i="339" s="1"/>
  <x:c r="A17" i="339" s="1"/>
  <x:c r="A18" i="339" s="1"/>
  <x:c r="A19" i="339" s="1"/>
  <x:c r="A20" i="339" s="1"/>
  <x:c r="A21" i="339" s="1"/>
  <x:c r="A22" i="339" s="1"/>
  <x:c r="A23" i="339" s="1"/>
  <x:c r="A24" i="339" s="1"/>
  <x:c r="A25" i="339" s="1"/>
  <x:c r="A26" i="339" s="1"/>
  <x:c r="A27" i="339" s="1"/>
  <x:c r="A28" i="339" s="1"/>
  <x:c r="A29" i="339" s="1"/>
  <x:c r="A30" i="339" s="1"/>
  <x:c r="D24" i="339"/>
  <x:c r="G24" i="339"/>
  <x:c r="A12" i="338"/>
  <x:c r="A13" i="338" s="1"/>
  <x:c r="A14" i="338" s="1"/>
  <x:c r="A15" i="338" s="1"/>
  <x:c r="A16" i="338" s="1"/>
  <x:c r="A17" i="338" s="1"/>
  <x:c r="A18" i="338" s="1"/>
  <x:c r="A19" i="338" s="1"/>
  <x:c r="A20" i="338" s="1"/>
  <x:c r="A21" i="338" s="1"/>
  <x:c r="A22" i="338" s="1"/>
  <x:c r="A23" i="338" s="1"/>
  <x:c r="A24" i="338" s="1"/>
  <x:c r="A25" i="338" s="1"/>
  <x:c r="A26" i="338" s="1"/>
  <x:c r="A27" i="338" s="1"/>
  <x:c r="A28" i="338" s="1"/>
  <x:c r="A29" i="338" s="1"/>
  <x:c r="A30" i="338" s="1"/>
  <x:c r="A31" i="338" s="1"/>
  <x:c r="A32" i="338" s="1"/>
  <x:c r="A12" i="336"/>
  <x:c r="A13" i="336" s="1"/>
  <x:c r="A14" i="336" s="1"/>
  <x:c r="A15" i="336" s="1"/>
  <x:c r="A16" i="336" s="1"/>
  <x:c r="A17" i="336" s="1"/>
  <x:c r="A18" i="336" s="1"/>
  <x:c r="A19" i="336" s="1"/>
  <x:c r="A20" i="336" s="1"/>
  <x:c r="A21" i="336" s="1"/>
  <x:c r="A22" i="336" s="1"/>
  <x:c r="A23" i="336" s="1"/>
  <x:c r="A24" i="336" s="1"/>
  <x:c r="A25" i="336" s="1"/>
  <x:c r="A26" i="336" s="1"/>
  <x:c r="A27" i="336" s="1"/>
  <x:c r="A28" i="336" s="1"/>
  <x:c r="A29" i="336" s="1"/>
  <x:c r="A30" i="336" s="1"/>
  <x:c r="A12" i="335"/>
  <x:c r="A13" i="335" s="1"/>
  <x:c r="A14" i="335" s="1"/>
  <x:c r="A15" i="335" s="1"/>
  <x:c r="A16" i="335" s="1"/>
  <x:c r="A17" i="335" s="1"/>
  <x:c r="A18" i="335" s="1"/>
  <x:c r="A19" i="335" s="1"/>
  <x:c r="A20" i="335" s="1"/>
  <x:c r="A21" i="335" s="1"/>
  <x:c r="A22" i="335" s="1"/>
  <x:c r="A23" i="335" s="1"/>
  <x:c r="A24" i="335" s="1"/>
  <x:c r="A25" i="335" s="1"/>
  <x:c r="A26" i="335" s="1"/>
  <x:c r="A27" i="335" s="1"/>
  <x:c r="A28" i="335" s="1"/>
  <x:c r="A29" i="335" s="1"/>
  <x:c r="A30" i="335" s="1"/>
  <x:c r="A31" i="335" s="1"/>
  <x:c r="A32" i="335" s="1"/>
  <x:c r="A11" i="333"/>
  <x:c r="A12" i="333" s="1"/>
  <x:c r="A13" i="333" s="1"/>
  <x:c r="A14" i="333" s="1"/>
  <x:c r="A15" i="333" s="1"/>
  <x:c r="A16" i="333" s="1"/>
  <x:c r="A17" i="333" s="1"/>
  <x:c r="A18" i="333" s="1"/>
  <x:c r="A19" i="333" s="1"/>
  <x:c r="A20" i="333" s="1"/>
  <x:c r="A21" i="333" s="1"/>
  <x:c r="A22" i="333" s="1"/>
  <x:c r="A23" i="333" s="1"/>
  <x:c r="A24" i="333" s="1"/>
  <x:c r="A25" i="333" s="1"/>
  <x:c r="A26" i="333" s="1"/>
  <x:c r="A27" i="333" s="1"/>
  <x:c r="A28" i="333" s="1"/>
  <x:c r="A29" i="333" s="1"/>
  <x:c r="A13" i="332"/>
  <x:c r="A14" i="332" s="1"/>
  <x:c r="A12" i="331"/>
  <x:c r="A13" i="331" s="1"/>
  <x:c r="A14" i="331" s="1"/>
  <x:c r="A15" i="331" s="1"/>
  <x:c r="A16" i="331" s="1"/>
  <x:c r="A17" i="331" s="1"/>
  <x:c r="A18" i="331" s="1"/>
  <x:c r="A19" i="331" s="1"/>
  <x:c r="A20" i="331" s="1"/>
  <x:c r="A21" i="331" s="1"/>
  <x:c r="A22" i="331" s="1"/>
  <x:c r="A23" i="331" s="1"/>
  <x:c r="A24" i="331" s="1"/>
  <x:c r="A25" i="331" s="1"/>
  <x:c r="A26" i="331" s="1"/>
  <x:c r="A27" i="331" s="1"/>
  <x:c r="A28" i="331" s="1"/>
  <x:c r="A29" i="331" s="1"/>
  <x:c r="A30" i="331" s="1"/>
  <x:c r="D13" i="331"/>
  <x:c r="D14" i="331" s="1"/>
  <x:c r="D15" i="331" s="1"/>
  <x:c r="D16" i="331" s="1"/>
  <x:c r="D17" i="331" s="1"/>
  <x:c r="D18" i="331" s="1"/>
  <x:c r="G13" i="331"/>
  <x:c r="G14" i="331" s="1"/>
  <x:c r="G15" i="331" s="1"/>
  <x:c r="G16" i="331" s="1"/>
  <x:c r="G17" i="331" s="1"/>
  <x:c r="G18" i="331" s="1"/>
  <x:c r="G19" i="331" s="1"/>
  <x:c r="G20" i="331" s="1"/>
  <x:c r="G21" i="331" s="1"/>
  <x:c r="G22" i="331" s="1"/>
  <x:c r="G23" i="331" s="1"/>
  <x:c r="J14" i="331"/>
  <x:c r="J15" i="331" s="1"/>
  <x:c r="J16" i="331" s="1"/>
  <x:c r="J17" i="331" s="1"/>
  <x:c r="J18" i="331" s="1"/>
  <x:c r="J19" i="331" s="1"/>
  <x:c r="J20" i="331" s="1"/>
  <x:c r="J21" i="331" s="1"/>
  <x:c r="J22" i="331" s="1"/>
  <x:c r="J23" i="331" s="1"/>
  <x:c r="J24" i="331" s="1"/>
  <x:c r="A12" i="330"/>
  <x:c r="A13" i="330" s="1"/>
  <x:c r="A14" i="330" s="1"/>
  <x:c r="A15" i="330" s="1"/>
  <x:c r="A16" i="330" s="1"/>
  <x:c r="A17" i="330" s="1"/>
  <x:c r="A18" i="330" s="1"/>
  <x:c r="A19" i="330" s="1"/>
  <x:c r="A20" i="330" s="1"/>
  <x:c r="A21" i="330" s="1"/>
  <x:c r="A22" i="330" s="1"/>
  <x:c r="A23" i="330" s="1"/>
  <x:c r="A24" i="330" s="1"/>
  <x:c r="A25" i="330" s="1"/>
  <x:c r="A26" i="330" s="1"/>
  <x:c r="A27" i="330" s="1"/>
  <x:c r="A28" i="330" s="1"/>
  <x:c r="A29" i="330" s="1"/>
  <x:c r="A30" i="330" s="1"/>
  <x:c r="D13" i="330"/>
  <x:c r="D14" i="330" s="1"/>
  <x:c r="D15" i="330" s="1"/>
  <x:c r="D16" i="330" s="1"/>
  <x:c r="D17" i="330" s="1"/>
  <x:c r="D18" i="330" s="1"/>
  <x:c r="D19" i="330" s="1"/>
  <x:c r="D20" i="330" s="1"/>
  <x:c r="D21" i="330" s="1"/>
  <x:c r="D22" i="330" s="1"/>
  <x:c r="D23" i="330" s="1"/>
  <x:c r="D24" i="330" s="1"/>
  <x:c r="G13" i="330"/>
  <x:c r="G14" i="330" s="1"/>
  <x:c r="G15" i="330" s="1"/>
  <x:c r="G16" i="330" s="1"/>
  <x:c r="G17" i="330" s="1"/>
  <x:c r="G18" i="330" s="1"/>
  <x:c r="J13" i="330"/>
  <x:c r="J14" i="330" s="1"/>
  <x:c r="J15" i="330" s="1"/>
  <x:c r="J16" i="330" s="1"/>
  <x:c r="J17" i="330" s="1"/>
  <x:c r="J18" i="330" s="1"/>
  <x:c r="J19" i="330" s="1"/>
  <x:c r="J20" i="330" s="1"/>
  <x:c r="J21" i="330" s="1"/>
  <x:c r="J22" i="330" s="1"/>
  <x:c r="J23" i="330" s="1"/>
  <x:c r="J24" i="330" s="1"/>
  <x:c r="A12" i="329"/>
  <x:c r="A13" i="329" s="1"/>
  <x:c r="A14" i="329" s="1"/>
  <x:c r="A15" i="329" s="1"/>
  <x:c r="A16" i="329" s="1"/>
  <x:c r="A17" i="329" s="1"/>
  <x:c r="A18" i="329" s="1"/>
  <x:c r="A19" i="329" s="1"/>
  <x:c r="A20" i="329" s="1"/>
  <x:c r="A21" i="329" s="1"/>
  <x:c r="A22" i="329" s="1"/>
  <x:c r="A23" i="329" s="1"/>
  <x:c r="A24" i="329" s="1"/>
  <x:c r="A25" i="329" s="1"/>
  <x:c r="A26" i="329" s="1"/>
  <x:c r="A27" i="329" s="1"/>
  <x:c r="A28" i="329" s="1"/>
  <x:c r="A29" i="329" s="1"/>
  <x:c r="A30" i="329" s="1"/>
  <x:c r="A31" i="329" s="1"/>
  <x:c r="A32" i="329" s="1"/>
  <x:c r="D13" i="329"/>
  <x:c r="D14" i="329" s="1"/>
  <x:c r="D15" i="329" s="1"/>
  <x:c r="D16" i="329" s="1"/>
  <x:c r="D17" i="329" s="1"/>
  <x:c r="D18" i="329" s="1"/>
  <x:c r="G13" i="329"/>
  <x:c r="G14" i="329" s="1"/>
  <x:c r="G15" i="329" s="1"/>
  <x:c r="G16" i="329" s="1"/>
  <x:c r="G17" i="329" s="1"/>
  <x:c r="G18" i="329" s="1"/>
  <x:c r="G19" i="329" s="1"/>
  <x:c r="G20" i="329" s="1"/>
  <x:c r="G21" i="329" s="1"/>
  <x:c r="G22" i="329" s="1"/>
  <x:c r="G23" i="329" s="1"/>
  <x:c r="G24" i="329" s="1"/>
  <x:c r="J13" i="329"/>
  <x:c r="J14" i="329" s="1"/>
  <x:c r="J15" i="329" s="1"/>
  <x:c r="J16" i="329" s="1"/>
  <x:c r="J17" i="329" s="1"/>
  <x:c r="J18" i="329" s="1"/>
  <x:c r="J19" i="329" s="1"/>
  <x:c r="J20" i="329" s="1"/>
  <x:c r="J21" i="329" s="1"/>
  <x:c r="J22" i="329" s="1"/>
  <x:c r="J23" i="329" s="1"/>
  <x:c r="J24" i="329" s="1"/>
  <x:c r="E10" i="127"/>
  <x:c r="A11" i="127"/>
  <x:c r="A12" i="127" s="1"/>
  <x:c r="A13" i="127" s="1"/>
  <x:c r="A14" i="127" s="1"/>
  <x:c r="A15" i="127" s="1"/>
  <x:c r="A16" i="127" s="1"/>
  <x:c r="A17" i="127" s="1"/>
  <x:c r="A18" i="127" s="1"/>
  <x:c r="A19" i="127" s="1"/>
  <x:c r="A20" i="127" s="1"/>
  <x:c r="A21" i="127" s="1"/>
  <x:c r="A22" i="127" s="1"/>
  <x:c r="A23" i="127" s="1"/>
  <x:c r="A24" i="127" s="1"/>
  <x:c r="A25" i="127" s="1"/>
  <x:c r="A26" i="127" s="1"/>
  <x:c r="A27" i="127" s="1"/>
  <x:c r="A28" i="127" s="1"/>
  <x:c r="A29" i="127" s="1"/>
  <x:c r="A30" i="127" s="1"/>
  <x:c r="A31" i="127" s="1"/>
  <x:c r="A32" i="127" s="1"/>
  <x:c r="A33" i="127" s="1"/>
  <x:c r="A34" i="127" s="1"/>
  <x:c r="A35" i="127" s="1"/>
  <x:c r="A36" i="127" s="1"/>
  <x:c r="A37" i="127" s="1"/>
  <x:c r="A38" i="127" s="1"/>
  <x:c r="A39" i="127" s="1"/>
  <x:c r="A40" i="127" s="1"/>
  <x:c r="A41" i="127" s="1"/>
  <x:c r="A42" i="127" s="1"/>
  <x:c r="A43" i="127" s="1"/>
  <x:c r="A44" i="127" s="1"/>
  <x:c r="A45" i="127" s="1"/>
  <x:c r="A46" i="127" s="1"/>
  <x:c r="A47" i="127" s="1"/>
  <x:c r="A48" i="127" s="1"/>
  <x:c r="A49" i="127" s="1"/>
  <x:c r="A50" i="127" s="1"/>
  <x:c r="A51" i="127" s="1"/>
  <x:c r="A52" i="127" s="1"/>
  <x:c r="A53" i="127" s="1"/>
  <x:c r="A54" i="127" s="1"/>
  <x:c r="A55" i="127" s="1"/>
  <x:c r="A56" i="127" s="1"/>
  <x:c r="A57" i="127" s="1"/>
  <x:c r="A58" i="127" s="1"/>
  <x:c r="A59" i="127" s="1"/>
  <x:c r="A60" i="127" s="1"/>
  <x:c r="A61" i="127" s="1"/>
  <x:c r="A62" i="127" s="1"/>
  <x:c r="A63" i="127" s="1"/>
  <x:c r="E38" i="127"/>
  <x:c r="E42" i="127"/>
  <x:c r="E46" i="127"/>
  <x:c r="F46" i="127" s="1"/>
  <x:c r="E25" i="125"/>
  <x:c r="F25" i="125" s="1"/>
  <x:c r="E26" i="125"/>
  <x:c r="F26" i="125" s="1"/>
  <x:c r="E27" i="125"/>
  <x:c r="F27" i="125" s="1"/>
  <x:c r="E28" i="125"/>
  <x:c r="E30" i="125"/>
  <x:c r="F30" i="125" s="1"/>
  <x:c r="E36" i="125"/>
  <x:c r="F36" i="125" s="1"/>
  <x:c r="A37" i="125"/>
  <x:c r="A38" i="125" s="1"/>
  <x:c r="A39" i="125" s="1"/>
  <x:c r="A40" i="125" s="1"/>
  <x:c r="A41" i="125" s="1"/>
  <x:c r="A42" i="125" s="1"/>
  <x:c r="A43" i="125" s="1"/>
  <x:c r="A44" i="125" s="1"/>
  <x:c r="A45" i="125" s="1"/>
  <x:c r="A46" i="125" s="1"/>
  <x:c r="A47" i="125" s="1"/>
  <x:c r="A48" i="125" s="1"/>
  <x:c r="A49" i="125" s="1"/>
  <x:c r="A50" i="125" s="1"/>
  <x:c r="A51" i="125" s="1"/>
  <x:c r="A52" i="125" s="1"/>
  <x:c r="A53" i="125" s="1"/>
  <x:c r="A54" i="125" s="1"/>
  <x:c r="A55" i="125" s="1"/>
  <x:c r="A56" i="125" s="1"/>
  <x:c r="A57" i="125" s="1"/>
  <x:c r="A58" i="125" s="1"/>
  <x:c r="A59" i="125" s="1"/>
  <x:c r="A60" i="125" s="1"/>
  <x:c r="E37" i="125"/>
  <x:c r="F37" i="125" s="1"/>
  <x:c r="E39" i="125"/>
  <x:c r="F39" i="125" s="1"/>
  <x:c r="E40" i="125"/>
  <x:c r="F40" i="125" s="1"/>
  <x:c r="E42" i="125"/>
  <x:c r="F42" i="125" s="1"/>
  <x:c r="A11" i="124"/>
  <x:c r="A12" i="124" s="1"/>
  <x:c r="A13" i="124" s="1"/>
  <x:c r="A14" i="124" s="1"/>
  <x:c r="A15" i="124" s="1"/>
  <x:c r="A16" i="124" s="1"/>
  <x:c r="A17" i="124" s="1"/>
  <x:c r="A18" i="124" s="1"/>
  <x:c r="A19" i="124" s="1"/>
  <x:c r="A20" i="124" s="1"/>
  <x:c r="A21" i="124" s="1"/>
  <x:c r="A22" i="124" s="1"/>
  <x:c r="A23" i="124" s="1"/>
  <x:c r="A24" i="124" s="1"/>
  <x:c r="A25" i="124" s="1"/>
  <x:c r="A26" i="124" s="1"/>
  <x:c r="A27" i="124" s="1"/>
  <x:c r="A28" i="124" s="1"/>
  <x:c r="A29" i="124" s="1"/>
  <x:c r="A30" i="124" s="1"/>
  <x:c r="A31" i="124" s="1"/>
  <x:c r="A32" i="124" s="1"/>
  <x:c r="A33" i="124" s="1"/>
  <x:c r="A34" i="124" s="1"/>
  <x:c r="A35" i="124" s="1"/>
  <x:c r="A36" i="124" s="1"/>
  <x:c r="A37" i="124" s="1"/>
  <x:c r="A38" i="124" s="1"/>
  <x:c r="A39" i="124" s="1"/>
  <x:c r="A40" i="124" s="1"/>
  <x:c r="A41" i="124" s="1"/>
  <x:c r="A42" i="124" s="1"/>
  <x:c r="A43" i="124" s="1"/>
  <x:c r="A44" i="124" s="1"/>
  <x:c r="A45" i="124" s="1"/>
  <x:c r="A46" i="124" s="1"/>
  <x:c r="A47" i="124" s="1"/>
  <x:c r="A48" i="124" s="1"/>
  <x:c r="A12" i="31"/>
  <x:c r="A13" i="31" s="1"/>
  <x:c r="A14" i="31" s="1"/>
  <x:c r="A15" i="31" s="1"/>
  <x:c r="A16" i="31" s="1"/>
  <x:c r="A17" i="31" s="1"/>
  <x:c r="A18" i="31" s="1"/>
  <x:c r="A19" i="31" s="1"/>
  <x:c r="A20" i="31" s="1"/>
  <x:c r="A21" i="31" s="1"/>
  <x:c r="A22" i="31" s="1"/>
  <x:c r="A23" i="31" s="1"/>
  <x:c r="A24" i="31" s="1"/>
  <x:c r="A25" i="31" s="1"/>
  <x:c r="A26" i="31" s="1"/>
  <x:c r="A27" i="31" s="1"/>
  <x:c r="A28" i="31" s="1"/>
  <x:c r="A29" i="31" s="1"/>
  <x:c r="A30" i="31" s="1"/>
  <x:c r="A31" i="31" s="1"/>
  <x:c r="A32" i="31" s="1"/>
  <x:c r="A33" i="31" s="1"/>
  <x:c r="A34" i="31" s="1"/>
  <x:c r="A35" i="31" s="1"/>
  <x:c r="A36" i="31" s="1"/>
  <x:c r="A37" i="31" s="1"/>
  <x:c r="A38" i="31" s="1"/>
  <x:c r="A39" i="31" s="1"/>
  <x:c r="A40" i="31" s="1"/>
  <x:c r="A41" i="31" s="1"/>
  <x:c r="A12" i="213"/>
  <x:c r="A13" i="213" s="1"/>
  <x:c r="A14" i="213" s="1"/>
  <x:c r="A15" i="213" s="1"/>
  <x:c r="A16" i="213" s="1"/>
  <x:c r="A17" i="213" s="1"/>
  <x:c r="A18" i="213" s="1"/>
  <x:c r="A19" i="213" s="1"/>
  <x:c r="A20" i="213" s="1"/>
  <x:c r="A21" i="213" s="1"/>
  <x:c r="A22" i="213" s="1"/>
  <x:c r="A23" i="213" s="1"/>
  <x:c r="A24" i="213" s="1"/>
  <x:c r="A25" i="213" s="1"/>
  <x:c r="A26" i="213" s="1"/>
  <x:c r="A27" i="213" s="1"/>
  <x:c r="A28" i="213" s="1"/>
  <x:c r="A29" i="213" s="1"/>
  <x:c r="A30" i="213" s="1"/>
  <x:c r="A31" i="213" s="1"/>
  <x:c r="A32" i="213" s="1"/>
  <x:c r="A33" i="213" s="1"/>
  <x:c r="A34" i="213" s="1"/>
  <x:c r="A35" i="213" s="1"/>
  <x:c r="A36" i="213" s="1"/>
  <x:c r="A37" i="213" s="1"/>
  <x:c r="A38" i="213" s="1"/>
  <x:c r="A39" i="213" s="1"/>
  <x:c r="A40" i="213" s="1"/>
  <x:c r="A41" i="213" s="1"/>
  <x:c r="A42" i="213" s="1"/>
  <x:c r="A43" i="213" s="1"/>
  <x:c r="A44" i="213" s="1"/>
  <x:c r="A45" i="213" s="1"/>
  <x:c r="A46" i="213" s="1"/>
  <x:c r="A47" i="213" s="1"/>
  <x:c r="A48" i="213" s="1"/>
  <x:c r="A49" i="213" s="1"/>
  <x:c r="A50" i="213" s="1"/>
  <x:c r="A51" i="213" s="1"/>
  <x:c r="A52" i="213" s="1"/>
  <x:c r="A53" i="213" s="1"/>
  <x:c r="D10" i="29"/>
  <x:c r="F10" i="29" s="1"/>
  <x:c r="B11" i="29"/>
  <x:c r="A12" i="26"/>
  <x:c r="A13" i="26" s="1"/>
  <x:c r="A14" i="26" s="1"/>
  <x:c r="A15" i="26" s="1"/>
  <x:c r="A16" i="26" s="1"/>
  <x:c r="A17" i="26" s="1"/>
  <x:c r="A18" i="26" s="1"/>
  <x:c r="A19" i="26" s="1"/>
  <x:c r="A20" i="26" s="1"/>
  <x:c r="A21" i="26" s="1"/>
  <x:c r="A22" i="26" s="1"/>
  <x:c r="A23" i="26" s="1"/>
  <x:c r="A24" i="26" s="1"/>
  <x:c r="A25" i="26" s="1"/>
  <x:c r="A26" i="26" s="1"/>
  <x:c r="A27" i="26" s="1"/>
  <x:c r="A28" i="26" s="1"/>
  <x:c r="A29" i="26" s="1"/>
  <x:c r="A30" i="26" s="1"/>
  <x:c r="A31" i="26" s="1"/>
  <x:c r="A32" i="26" s="1"/>
  <x:c r="A33" i="26" s="1"/>
  <x:c r="A34" i="26" s="1"/>
  <x:c r="A35" i="26" s="1"/>
  <x:c r="A36" i="26" s="1"/>
  <x:c r="A37" i="26" s="1"/>
  <x:c r="A38" i="26" s="1"/>
  <x:c r="A39" i="26" s="1"/>
  <x:c r="A40" i="26" s="1"/>
  <x:c r="A41" i="26" s="1"/>
  <x:c r="A42" i="26" s="1"/>
  <x:c r="A43" i="26" s="1"/>
  <x:c r="A44" i="26" s="1"/>
  <x:c r="A45" i="26" s="1"/>
  <x:c r="A46" i="26" s="1"/>
  <x:c r="A47" i="26" s="1"/>
  <x:c r="A48" i="26" s="1"/>
  <x:c r="A49" i="26" s="1"/>
  <x:c r="A12" i="289"/>
  <x:c r="A13" i="289" s="1"/>
  <x:c r="A14" i="289" s="1"/>
  <x:c r="A15" i="289" s="1"/>
  <x:c r="A16" i="289" s="1"/>
  <x:c r="A17" i="289" s="1"/>
  <x:c r="A18" i="289" s="1"/>
  <x:c r="A19" i="289" s="1"/>
  <x:c r="A20" i="289" s="1"/>
  <x:c r="A21" i="289" s="1"/>
  <x:c r="A22" i="289" s="1"/>
  <x:c r="A23" i="289" s="1"/>
  <x:c r="A24" i="289" s="1"/>
  <x:c r="A25" i="289" s="1"/>
  <x:c r="A26" i="289" s="1"/>
  <x:c r="A27" i="289" s="1"/>
  <x:c r="A28" i="289" s="1"/>
  <x:c r="A29" i="289" s="1"/>
  <x:c r="A30" i="289" s="1"/>
  <x:c r="A31" i="289" s="1"/>
  <x:c r="A32" i="289" s="1"/>
  <x:c r="A33" i="289" s="1"/>
  <x:c r="A34" i="289" s="1"/>
  <x:c r="A35" i="289" s="1"/>
  <x:c r="A36" i="289" s="1"/>
  <x:c r="A37" i="289" s="1"/>
  <x:c r="A38" i="289" s="1"/>
  <x:c r="A39" i="289" s="1"/>
  <x:c r="A40" i="289" s="1"/>
  <x:c r="A41" i="289" s="1"/>
  <x:c r="A42" i="289" s="1"/>
  <x:c r="A43" i="289" s="1"/>
  <x:c r="A44" i="289" s="1"/>
  <x:c r="A45" i="289" s="1"/>
  <x:c r="A46" i="289" s="1"/>
  <x:c r="A47" i="289" s="1"/>
  <x:c r="A48" i="289" s="1"/>
  <x:c r="A49" i="289" s="1"/>
  <x:c r="A50" i="289" s="1"/>
  <x:c r="A51" i="289" s="1"/>
  <x:c r="A52" i="289" s="1"/>
  <x:c r="A53" i="289" s="1"/>
  <x:c r="A54" i="289" s="1"/>
  <x:c r="A55" i="289" s="1"/>
  <x:c r="A56" i="289" s="1"/>
  <x:c r="A57" i="289" s="1"/>
  <x:c r="A58" i="289" s="1"/>
  <x:c r="A59" i="289" s="1"/>
  <x:c r="A60" i="289" s="1"/>
  <x:c r="A61" i="289" s="1"/>
  <x:c r="A62" i="289" s="1"/>
  <x:c r="A63" i="289" s="1"/>
  <x:c r="A64" i="289" s="1"/>
  <x:c r="A65" i="289" s="1"/>
  <x:c r="A66" i="289" s="1"/>
  <x:c r="A67" i="289" s="1"/>
  <x:c r="A68" i="289" s="1"/>
  <x:c r="A12" i="25"/>
  <x:c r="A13" i="25" s="1"/>
  <x:c r="A14" i="25" s="1"/>
  <x:c r="A15" i="25" s="1"/>
  <x:c r="A16" i="25" s="1"/>
  <x:c r="A17" i="25" s="1"/>
  <x:c r="A18" i="25" s="1"/>
  <x:c r="A19" i="25" s="1"/>
  <x:c r="A20" i="25" s="1"/>
  <x:c r="A21" i="25" s="1"/>
  <x:c r="A22" i="25" s="1"/>
  <x:c r="A23" i="25" s="1"/>
  <x:c r="A24" i="25" s="1"/>
  <x:c r="A25" i="25" s="1"/>
  <x:c r="A26" i="25" s="1"/>
  <x:c r="A27" i="25" s="1"/>
  <x:c r="A28" i="25" s="1"/>
  <x:c r="A29" i="25" s="1"/>
  <x:c r="A30" i="25" s="1"/>
  <x:c r="A31" i="25" s="1"/>
  <x:c r="A32" i="25" s="1"/>
  <x:c r="A33" i="25" s="1"/>
  <x:c r="A34" i="25" s="1"/>
  <x:c r="A35" i="25" s="1"/>
  <x:c r="A36" i="25" s="1"/>
  <x:c r="A37" i="25" s="1"/>
  <x:c r="A38" i="25" s="1"/>
  <x:c r="A39" i="25" s="1"/>
  <x:c r="A40" i="25" s="1"/>
  <x:c r="A41" i="25" s="1"/>
  <x:c r="A42" i="25" s="1"/>
  <x:c r="A43" i="25" s="1"/>
  <x:c r="A44" i="25" s="1"/>
  <x:c r="A45" i="25" s="1"/>
  <x:c r="A46" i="25" s="1"/>
  <x:c r="A47" i="25" s="1"/>
  <x:c r="A48" i="25" s="1"/>
  <x:c r="A49" i="25" s="1"/>
  <x:c r="A12" i="250"/>
  <x:c r="A13" i="250" s="1"/>
  <x:c r="A14" i="250" s="1"/>
  <x:c r="A15" i="250" s="1"/>
  <x:c r="A16" i="250" s="1"/>
  <x:c r="A17" i="250" s="1"/>
  <x:c r="A18" i="250" s="1"/>
  <x:c r="A19" i="250" s="1"/>
  <x:c r="A20" i="250" s="1"/>
  <x:c r="A21" i="250" s="1"/>
  <x:c r="A22" i="250" s="1"/>
  <x:c r="A23" i="250" s="1"/>
  <x:c r="A24" i="250" s="1"/>
  <x:c r="A25" i="250" s="1"/>
  <x:c r="A26" i="250" s="1"/>
  <x:c r="A27" i="250" s="1"/>
  <x:c r="A28" i="250" s="1"/>
  <x:c r="A29" i="250" s="1"/>
  <x:c r="A30" i="250" s="1"/>
  <x:c r="A31" i="250" s="1"/>
  <x:c r="A32" i="250" s="1"/>
  <x:c r="A33" i="250" s="1"/>
  <x:c r="A34" i="250" s="1"/>
  <x:c r="A35" i="250" s="1"/>
  <x:c r="A36" i="250" s="1"/>
  <x:c r="A37" i="250" s="1"/>
  <x:c r="A38" i="250" s="1"/>
  <x:c r="A39" i="250" s="1"/>
  <x:c r="A40" i="250" s="1"/>
  <x:c r="A41" i="250" s="1"/>
  <x:c r="A42" i="250" s="1"/>
  <x:c r="A43" i="250" s="1"/>
  <x:c r="A44" i="250" s="1"/>
  <x:c r="A45" i="250" s="1"/>
  <x:c r="A46" i="250" s="1"/>
  <x:c r="A47" i="250" s="1"/>
  <x:c r="A48" i="250" s="1"/>
  <x:c r="A49" i="250" s="1"/>
  <x:c r="A50" i="250" s="1"/>
  <x:c r="A51" i="250" s="1"/>
  <x:c r="A52" i="250" s="1"/>
  <x:c r="A53" i="250" s="1"/>
  <x:c r="A54" i="250" s="1"/>
  <x:c r="A55" i="250" s="1"/>
  <x:c r="A56" i="250" s="1"/>
  <x:c r="A57" i="250" s="1"/>
  <x:c r="A58" i="250" s="1"/>
  <x:c r="A59" i="250" s="1"/>
  <x:c r="A60" i="250" s="1"/>
  <x:c r="A61" i="250" s="1"/>
  <x:c r="A62" i="250" s="1"/>
  <x:c r="A63" i="250" s="1"/>
  <x:c r="A64" i="250" s="1"/>
  <x:c r="A65" i="250" s="1"/>
  <x:c r="A66" i="250" s="1"/>
  <x:c r="A67" i="250" s="1"/>
  <x:c r="A68" i="250" s="1"/>
  <x:c r="A69" i="250" s="1"/>
  <x:c r="A70" i="250" s="1"/>
  <x:c r="A71" i="250" s="1"/>
  <x:c r="A72" i="250" s="1"/>
  <x:c r="A73" i="250" s="1"/>
  <x:c r="A74" i="250" s="1"/>
  <x:c r="A75" i="250" s="1"/>
  <x:c r="A76" i="250" s="1"/>
  <x:c r="A77" i="250" s="1"/>
  <x:c r="A78" i="250" s="1"/>
  <x:c r="A79" i="250" s="1"/>
  <x:c r="A80" i="250" s="1"/>
  <x:c r="A81" i="250" s="1"/>
  <x:c r="A13" i="24"/>
  <x:c r="A14" i="24" s="1"/>
  <x:c r="A15" i="24" s="1"/>
  <x:c r="A16" i="24" s="1"/>
  <x:c r="G12" i="270"/>
  <x:c r="H12" i="270" s="1"/>
  <x:c r="A13" i="270"/>
  <x:c r="A14" i="270" s="1"/>
  <x:c r="A15" i="270" s="1"/>
  <x:c r="A16" i="270" s="1"/>
  <x:c r="A17" i="270" s="1"/>
  <x:c r="A18" i="270" s="1"/>
  <x:c r="A19" i="270" s="1"/>
  <x:c r="A20" i="270" s="1"/>
  <x:c r="A21" i="270" s="1"/>
  <x:c r="A22" i="270" s="1"/>
  <x:c r="A23" i="270" s="1"/>
  <x:c r="A24" i="270" s="1"/>
  <x:c r="A25" i="270" s="1"/>
  <x:c r="A26" i="270" s="1"/>
  <x:c r="A27" i="270" s="1"/>
  <x:c r="A28" i="270" s="1"/>
  <x:c r="A29" i="270" s="1"/>
  <x:c r="A30" i="270" s="1"/>
  <x:c r="A31" i="270" s="1"/>
  <x:c r="A32" i="270" s="1"/>
  <x:c r="A33" i="270" s="1"/>
  <x:c r="A34" i="270" s="1"/>
  <x:c r="A35" i="270" s="1"/>
  <x:c r="A36" i="270" s="1"/>
  <x:c r="A37" i="270" s="1"/>
  <x:c r="A38" i="270" s="1"/>
  <x:c r="A39" i="270" s="1"/>
  <x:c r="A40" i="270" s="1"/>
  <x:c r="A41" i="270" s="1"/>
  <x:c r="A42" i="270" s="1"/>
  <x:c r="A43" i="270" s="1"/>
  <x:c r="A44" i="270" s="1"/>
  <x:c r="A45" i="270" s="1"/>
  <x:c r="A46" i="270" s="1"/>
  <x:c r="A47" i="270" s="1"/>
  <x:c r="A48" i="270" s="1"/>
  <x:c r="A49" i="270" s="1"/>
  <x:c r="A50" i="270" s="1"/>
  <x:c r="A51" i="270" s="1"/>
  <x:c r="A52" i="270" s="1"/>
  <x:c r="A53" i="270" s="1"/>
  <x:c r="A54" i="270" s="1"/>
  <x:c r="A55" i="270" s="1"/>
  <x:c r="A56" i="270" s="1"/>
  <x:c r="A57" i="270" s="1"/>
  <x:c r="A58" i="270" s="1"/>
  <x:c r="A59" i="270" s="1"/>
  <x:c r="A60" i="270" s="1"/>
  <x:c r="A61" i="270" s="1"/>
  <x:c r="A62" i="270" s="1"/>
  <x:c r="G34" i="270"/>
  <x:c r="H34" i="270" s="1"/>
  <x:c r="A11" i="312"/>
  <x:c r="A12" i="312" s="1"/>
  <x:c r="A13" i="312" s="1"/>
  <x:c r="A14" i="312" s="1"/>
  <x:c r="A15" i="312" s="1"/>
  <x:c r="A16" i="312" s="1"/>
  <x:c r="E16" i="312"/>
  <x:c r="D21" i="1" s="1"/>
  <x:c r="E11" i="181"/>
  <x:c r="F11" i="181" s="1"/>
  <x:c r="I11" i="181"/>
  <x:c r="J11" i="181" s="1"/>
  <x:c r="N11" i="181"/>
  <x:c r="E12" i="181"/>
  <x:c r="F12" i="181" s="1"/>
  <x:c r="I12" i="181"/>
  <x:c r="J12" i="181" s="1"/>
  <x:c r="N12" i="181"/>
  <x:c r="E13" i="181"/>
  <x:c r="F13" i="181" s="1"/>
  <x:c r="I13" i="181"/>
  <x:c r="J13" i="181" s="1"/>
  <x:c r="N13" i="181"/>
  <x:c r="E14" i="181"/>
  <x:c r="F14" i="181" s="1"/>
  <x:c r="I14" i="181"/>
  <x:c r="J14" i="181" s="1"/>
  <x:c r="N14" i="181"/>
  <x:c r="E15" i="181"/>
  <x:c r="F15" i="181" s="1"/>
  <x:c r="I15" i="181"/>
  <x:c r="J15" i="181" s="1"/>
  <x:c r="N15" i="181"/>
  <x:c r="E16" i="181"/>
  <x:c r="F16" i="181" s="1"/>
  <x:c r="I16" i="181"/>
  <x:c r="J16" i="181" s="1"/>
  <x:c r="N16" i="181"/>
  <x:c r="E17" i="181"/>
  <x:c r="F17" i="181" s="1"/>
  <x:c r="I17" i="181"/>
  <x:c r="J17" i="181" s="1"/>
  <x:c r="N17" i="181"/>
  <x:c r="E18" i="181"/>
  <x:c r="F18" i="181" s="1"/>
  <x:c r="I18" i="181"/>
  <x:c r="J18" i="181" s="1"/>
  <x:c r="N18" i="181"/>
  <x:c r="E19" i="181"/>
  <x:c r="F19" i="181" s="1"/>
  <x:c r="I19" i="181"/>
  <x:c r="J19" i="181" s="1"/>
  <x:c r="N19" i="181"/>
  <x:c r="E20" i="181"/>
  <x:c r="F20" i="181" s="1"/>
  <x:c r="I20" i="181"/>
  <x:c r="J20" i="181" s="1"/>
  <x:c r="N20" i="181"/>
  <x:c r="E21" i="181"/>
  <x:c r="F21" i="181" s="1"/>
  <x:c r="I21" i="181"/>
  <x:c r="J21" i="181" s="1"/>
  <x:c r="N21" i="181"/>
  <x:c r="E22" i="181"/>
  <x:c r="F22" i="181" s="1"/>
  <x:c r="I22" i="181"/>
  <x:c r="J22" i="181" s="1"/>
  <x:c r="N22" i="181"/>
  <x:c r="F18" i="266"/>
  <x:c r="F19" i="266"/>
  <x:c r="A11" i="170"/>
  <x:c r="A12" i="170" s="1"/>
  <x:c r="A13" i="170" s="1"/>
  <x:c r="A14" i="170" s="1"/>
  <x:c r="A15" i="170" s="1"/>
  <x:c r="A16" i="170" s="1"/>
  <x:c r="A17" i="170" s="1"/>
  <x:c r="A18" i="170" s="1"/>
  <x:c r="A19" i="170" s="1"/>
  <x:c r="A20" i="170" s="1"/>
  <x:c r="A21" i="170" s="1"/>
  <x:c r="A22" i="170" s="1"/>
  <x:c r="A23" i="170" s="1"/>
  <x:c r="A24" i="170" s="1"/>
  <x:c r="A25" i="170" s="1"/>
  <x:c r="D10" i="268"/>
  <x:c r="D11" i="268" s="1"/>
  <x:c r="D12" i="268" s="1"/>
  <x:c r="D13" i="268" s="1"/>
  <x:c r="D14" i="268" s="1"/>
  <x:c r="D15" i="268" s="1"/>
  <x:c r="D16" i="268" s="1"/>
  <x:c r="D17" i="268" s="1"/>
  <x:c r="D18" i="268" s="1"/>
  <x:c r="D19" i="268" s="1"/>
  <x:c r="D20" i="268" s="1"/>
  <x:c r="D21" i="268" s="1"/>
  <x:c r="D22" i="268" s="1"/>
  <x:c r="D23" i="268" s="1"/>
  <x:c r="D24" i="268" s="1"/>
  <x:c r="D25" i="268" s="1"/>
  <x:c r="D26" i="268" s="1"/>
  <x:c r="D27" i="268" s="1"/>
  <x:c r="D28" i="268" s="1"/>
  <x:c r="D29" i="268" s="1"/>
  <x:c r="D30" i="268" s="1"/>
  <x:c r="D31" i="268" s="1"/>
  <x:c r="D32" i="268" s="1"/>
  <x:c r="D33" i="268" s="1"/>
  <x:c r="D34" i="268" s="1"/>
  <x:c r="D35" i="268" s="1"/>
  <x:c r="D36" i="268" s="1"/>
  <x:c r="D37" i="268" s="1"/>
  <x:c r="D38" i="268" s="1"/>
  <x:c r="D39" i="268" s="1"/>
  <x:c r="A11" i="268"/>
  <x:c r="A12" i="268" s="1"/>
  <x:c r="A13" i="268" s="1"/>
  <x:c r="A14" i="268" s="1"/>
  <x:c r="A15" i="268" s="1"/>
  <x:c r="A16" i="268" s="1"/>
  <x:c r="A17" i="268" s="1"/>
  <x:c r="A18" i="268" s="1"/>
  <x:c r="A19" i="268" s="1"/>
  <x:c r="A20" i="268" s="1"/>
  <x:c r="A21" i="268" s="1"/>
  <x:c r="A22" i="268" s="1"/>
  <x:c r="A23" i="268" s="1"/>
  <x:c r="A24" i="268" s="1"/>
  <x:c r="A25" i="268" s="1"/>
  <x:c r="A26" i="268" s="1"/>
  <x:c r="A27" i="268" s="1"/>
  <x:c r="A28" i="268" s="1"/>
  <x:c r="A29" i="268" s="1"/>
  <x:c r="A30" i="268" s="1"/>
  <x:c r="A31" i="268" s="1"/>
  <x:c r="A32" i="268" s="1"/>
  <x:c r="A33" i="268" s="1"/>
  <x:c r="A34" i="268" s="1"/>
  <x:c r="A35" i="268" s="1"/>
  <x:c r="A36" i="268" s="1"/>
  <x:c r="A37" i="268" s="1"/>
  <x:c r="A38" i="268" s="1"/>
  <x:c r="A39" i="268" s="1"/>
  <x:c r="A40" i="268" s="1"/>
  <x:c r="A41" i="268" s="1"/>
  <x:c r="A45" i="268" s="1"/>
  <x:c r="A46" i="268" s="1"/>
  <x:c r="A47" i="268" s="1"/>
  <x:c r="A48" i="268" s="1"/>
  <x:c r="A49" i="268" s="1"/>
  <x:c r="A50" i="268" s="1"/>
  <x:c r="A51" i="268" s="1"/>
  <x:c r="A52" i="268" s="1"/>
  <x:c r="A53" i="268" s="1"/>
  <x:c r="A54" i="268" s="1"/>
  <x:c r="A55" i="268" s="1"/>
  <x:c r="A56" i="268" s="1"/>
  <x:c r="A57" i="268" s="1"/>
  <x:c r="A58" i="268" s="1"/>
  <x:c r="A59" i="268" s="1"/>
  <x:c r="A60" i="268" s="1"/>
  <x:c r="A61" i="268" s="1"/>
  <x:c r="A62" i="268" s="1"/>
  <x:c r="A63" i="268" s="1"/>
  <x:c r="A64" i="268" s="1"/>
  <x:c r="A65" i="268" s="1"/>
  <x:c r="A66" i="268" s="1"/>
  <x:c r="A67" i="268" s="1"/>
  <x:c r="A68" i="268" s="1"/>
  <x:c r="A69" i="268" s="1"/>
  <x:c r="A70" i="268" s="1"/>
  <x:c r="A71" i="268" s="1"/>
  <x:c r="A72" i="268" s="1"/>
  <x:c r="A73" i="268" s="1"/>
  <x:c r="A74" i="268" s="1"/>
  <x:c r="A75" i="268" s="1"/>
  <x:c r="A76" i="268" s="1"/>
  <x:c r="A80" i="268" s="1"/>
  <x:c r="A81" i="268" s="1"/>
  <x:c r="A82" i="268" s="1"/>
  <x:c r="A83" i="268" s="1"/>
  <x:c r="A84" i="268" s="1"/>
  <x:c r="A85" i="268" s="1"/>
  <x:c r="A86" i="268" s="1"/>
  <x:c r="A87" i="268" s="1"/>
  <x:c r="A88" i="268" s="1"/>
  <x:c r="A89" i="268" s="1"/>
  <x:c r="A90" i="268" s="1"/>
  <x:c r="A91" i="268" s="1"/>
  <x:c r="A92" i="268" s="1"/>
  <x:c r="A93" i="268" s="1"/>
  <x:c r="A94" i="268" s="1"/>
  <x:c r="A95" i="268" s="1"/>
  <x:c r="A96" i="268" s="1"/>
  <x:c r="A97" i="268" s="1"/>
  <x:c r="A98" i="268" s="1"/>
  <x:c r="A99" i="268" s="1"/>
  <x:c r="A100" i="268" s="1"/>
  <x:c r="A101" i="268" s="1"/>
  <x:c r="A102" i="268" s="1"/>
  <x:c r="A103" i="268" s="1"/>
  <x:c r="A104" i="268" s="1"/>
  <x:c r="A105" i="268" s="1"/>
  <x:c r="A106" i="268" s="1"/>
  <x:c r="A107" i="268" s="1"/>
  <x:c r="A108" i="268" s="1"/>
  <x:c r="A109" i="268" s="1"/>
  <x:c r="A110" i="268" s="1"/>
  <x:c r="A111" i="268" s="1"/>
  <x:c r="A115" i="268" s="1"/>
  <x:c r="A116" i="268" s="1"/>
  <x:c r="A117" i="268" s="1"/>
  <x:c r="A118" i="268" s="1"/>
  <x:c r="A119" i="268" s="1"/>
  <x:c r="A120" i="268" s="1"/>
  <x:c r="A121" i="268" s="1"/>
  <x:c r="A122" i="268" s="1"/>
  <x:c r="A123" i="268" s="1"/>
  <x:c r="A124" i="268" s="1"/>
  <x:c r="A125" i="268" s="1"/>
  <x:c r="A126" i="268" s="1"/>
  <x:c r="A127" i="268" s="1"/>
  <x:c r="A128" i="268" s="1"/>
  <x:c r="A129" i="268" s="1"/>
  <x:c r="A130" i="268" s="1"/>
  <x:c r="A131" i="268" s="1"/>
  <x:c r="A132" i="268" s="1"/>
  <x:c r="A11" i="296"/>
  <x:c r="A12" i="296" s="1"/>
  <x:c r="A13" i="296" s="1"/>
  <x:c r="A14" i="296" s="1"/>
  <x:c r="A15" i="296" s="1"/>
  <x:c r="A16" i="296" s="1"/>
  <x:c r="A17" i="296" s="1"/>
  <x:c r="A18" i="296" s="1"/>
  <x:c r="A19" i="296" s="1"/>
  <x:c r="A20" i="296" s="1"/>
  <x:c r="A21" i="296" s="1"/>
  <x:c r="A22" i="296" s="1"/>
  <x:c r="A12" i="1"/>
  <x:c r="A13" i="1"/>
  <x:c r="A14" i="1" s="1"/>
  <x:c r="A15" i="1" s="1"/>
  <x:c r="A16" i="1" s="1"/>
  <x:c r="A17" i="1" s="1"/>
  <x:c r="A18" i="1" s="1"/>
  <x:c r="A19" i="1" s="1"/>
  <x:c r="A20" i="1" s="1"/>
  <x:c r="A21" i="1" s="1"/>
  <x:c r="A22" i="1" s="1"/>
  <x:c r="A23" i="1" s="1"/>
  <x:c r="A24" i="1" s="1"/>
  <x:c r="A25" i="1" s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A40" i="1" s="1"/>
  <x:c r="A41" i="1" s="1"/>
  <x:c r="A42" i="1" s="1"/>
  <x:c r="A43" i="1" s="1"/>
  <x:c r="A44" i="1" s="1"/>
  <x:c r="A45" i="1" s="1"/>
  <x:c r="A46" i="1" s="1"/>
  <x:c r="A47" i="1" s="1"/>
  <x:c r="A48" i="1" s="1"/>
  <x:c r="H12" i="339"/>
  <x:c r="G38" i="270"/>
  <x:c r="H38" i="270" s="1"/>
  <x:c r="D12" i="29"/>
  <x:c r="E14" i="148"/>
  <x:c r="D25" i="337"/>
  <x:c r="D27" i="337" s="1"/>
  <x:c r="C14" i="173"/>
  <x:c r="G31" i="270"/>
  <x:c r="H31" i="270" s="1"/>
  <x:c r="G25" i="270"/>
  <x:c r="H25" i="270" s="1"/>
  <x:c r="G24" i="270"/>
  <x:c r="H24" i="270" s="1"/>
  <x:c r="G20" i="270"/>
  <x:c r="H20" i="270" s="1"/>
  <x:c r="G16" i="270"/>
  <x:c r="H16" i="270" s="1"/>
  <x:c r="G38" i="301"/>
  <x:c r="G25" i="301"/>
  <x:c r="H25" i="301" s="1"/>
  <x:c r="G24" i="301"/>
  <x:c r="H24" i="301" s="1"/>
  <x:c r="G22" i="301"/>
  <x:c r="H22" i="301" s="1"/>
  <x:c r="E12" i="125"/>
  <x:c r="F12" i="125" s="1"/>
  <x:c r="E28" i="128"/>
  <x:c r="E15" i="128"/>
  <x:c r="F15" i="128" s="1"/>
  <x:c r="E11" i="173"/>
  <x:c r="I109" i="297"/>
  <x:c r="C111" i="268"/>
  <x:c r="D18" i="298" s="1"/>
  <x:c r="E42" i="25"/>
  <x:c r="F42" i="25" s="1"/>
  <x:c r="E38" i="25"/>
  <x:c r="F38" i="25" s="1"/>
  <x:c r="E34" i="25"/>
  <x:c r="F34" i="25" s="1"/>
  <x:c r="E25" i="25"/>
  <x:c r="F25" i="25" s="1"/>
  <x:c r="E48" i="250"/>
  <x:c r="F48" i="250" s="1"/>
  <x:c r="G146" i="268"/>
  <x:c r="D23" i="298" s="1"/>
  <x:c r="L32" i="26"/>
  <x:c r="L20" i="26"/>
  <x:c r="E13" i="25"/>
  <x:c r="F13" i="25" s="1"/>
  <x:c r="E53" i="250"/>
  <x:c r="F53" i="250" s="1"/>
  <x:c r="E12" i="250"/>
  <x:c r="F12" i="250" s="1"/>
  <x:c r="E10" i="123"/>
  <x:c r="F10" i="123" s="1"/>
  <x:c r="F79" i="123" s="1"/>
  <x:c r="E32" i="128"/>
  <x:c r="F32" i="128" s="1"/>
  <x:c r="E31" i="128"/>
  <x:c r="F31" i="128" s="1"/>
  <x:c r="E29" i="128"/>
  <x:c r="F29" i="128" s="1"/>
  <x:c r="E27" i="128"/>
  <x:c r="I110" i="297"/>
  <x:c r="I108" i="297"/>
  <x:c r="L45" i="289"/>
  <x:c r="E37" i="250"/>
  <x:c r="F37" i="250" s="1"/>
  <x:c r="E33" i="250"/>
  <x:c r="F33" i="250" s="1"/>
  <x:c r="E24" i="250"/>
  <x:c r="F24" i="250" s="1"/>
  <x:c r="E21" i="250"/>
  <x:c r="F21" i="250" s="1"/>
  <x:c r="E20" i="250"/>
  <x:c r="F20" i="250" s="1"/>
  <x:c r="G29" i="301"/>
  <x:c r="H29" i="301" s="1"/>
  <x:c r="G27" i="301"/>
  <x:c r="H27" i="301" s="1"/>
  <x:c r="G14" i="301"/>
  <x:c r="H14" i="301" s="1"/>
  <x:c r="G20" i="302"/>
  <x:c r="H20" i="302" s="1"/>
  <x:c r="G18" i="302"/>
  <x:c r="H18" i="302" s="1"/>
  <x:c r="G16" i="302"/>
  <x:c r="H16" i="302" s="1"/>
  <x:c r="G14" i="302"/>
  <x:c r="H14" i="302" s="1"/>
  <x:c r="G12" i="302"/>
  <x:c r="H12" i="302" s="1"/>
  <x:c r="G36" i="270"/>
  <x:c r="H36" i="270" s="1"/>
  <x:c r="G28" i="270"/>
  <x:c r="H28" i="270" s="1"/>
  <x:c r="E19" i="125"/>
  <x:c r="F19" i="125" s="1"/>
  <x:c r="E11" i="125"/>
  <x:c r="F11" i="125" s="1"/>
  <x:c r="C53" i="124"/>
  <x:c r="E55" i="124" s="1"/>
  <x:c r="E15" i="127"/>
  <x:c r="F15" i="127" s="1"/>
  <x:c r="G40" i="301"/>
  <x:c r="H40" i="301" s="1"/>
  <x:c r="G39" i="301"/>
  <x:c r="H39" i="301" s="1"/>
  <x:c r="G37" i="301"/>
  <x:c r="H37" i="301" s="1"/>
  <x:c r="G17" i="302"/>
  <x:c r="H17" i="302" s="1"/>
  <x:c r="G15" i="302"/>
  <x:c r="H15" i="302" s="1"/>
  <x:c r="G13" i="302"/>
  <x:c r="H13" i="302" s="1"/>
  <x:c r="G49" i="270"/>
  <x:c r="H49" i="270" s="1"/>
  <x:c r="G41" i="270"/>
  <x:c r="H41" i="270" s="1"/>
  <x:c r="G29" i="270"/>
  <x:c r="H29" i="270" s="1"/>
  <x:c r="G22" i="270"/>
  <x:c r="H22" i="270" s="1"/>
  <x:c r="G18" i="270"/>
  <x:c r="H18" i="270" s="1"/>
  <x:c r="G14" i="270"/>
  <x:c r="H14" i="270" s="1"/>
  <x:c r="G27" i="305"/>
  <x:c r="H27" i="305" s="1"/>
  <x:c r="E34" i="125"/>
  <x:c r="F34" i="125" s="1"/>
  <x:c r="E21" i="125"/>
  <x:c r="F21" i="125" s="1"/>
  <x:c r="F11" i="126"/>
  <x:c r="E30" i="128"/>
  <x:c r="F30" i="128" s="1"/>
  <x:c r="E26" i="128"/>
  <x:c r="F26" i="128" s="1"/>
  <x:c r="E17" i="128"/>
  <x:c r="E11" i="128"/>
  <x:c r="F11" i="128" s="1"/>
  <x:c r="E38" i="125"/>
  <x:c r="F38" i="125" s="1"/>
  <x:c r="E13" i="125"/>
  <x:c r="F13" i="125" s="1"/>
  <x:c r="E10" i="125"/>
  <x:c r="F10" i="125" s="1"/>
  <x:c r="E24" i="128"/>
  <x:c r="F24" i="128" s="1"/>
  <x:c r="E26" i="127"/>
  <x:c r="F26" i="127" s="1"/>
  <x:c r="E29" i="125"/>
  <x:c r="F29" i="125" s="1"/>
  <x:c r="E12" i="173"/>
  <x:c r="I105" i="297"/>
  <x:c r="I103" i="297"/>
  <x:c r="I101" i="297"/>
  <x:c r="C41" i="268"/>
  <x:c r="D12" i="298" s="1"/>
  <x:c r="L63" i="289"/>
  <x:c r="L50" i="289"/>
  <x:c r="L37" i="289"/>
  <x:c r="L26" i="26"/>
  <x:c r="E43" i="25"/>
  <x:c r="F43" i="25" s="1"/>
  <x:c r="E36" i="25"/>
  <x:c r="F36" i="25" s="1"/>
  <x:c r="E22" i="25"/>
  <x:c r="F22" i="25" s="1"/>
  <x:c r="E15" i="25"/>
  <x:c r="F15" i="25" s="1"/>
  <x:c r="E14" i="25"/>
  <x:c r="F14" i="25" s="1"/>
  <x:c r="E49" i="250"/>
  <x:c r="F49" i="250" s="1"/>
  <x:c r="E41" i="250"/>
  <x:c r="F41" i="250" s="1"/>
  <x:c r="E25" i="250"/>
  <x:c r="F25" i="250" s="1"/>
  <x:c r="E22" i="250"/>
  <x:c r="F22" i="250" s="1"/>
  <x:c r="D20" i="266"/>
  <x:c r="D23" i="266" s="1"/>
  <x:c r="E30" i="25"/>
  <x:c r="F30" i="25" s="1"/>
  <x:c r="E57" i="250"/>
  <x:c r="F57" i="250" s="1"/>
  <x:c r="E45" i="250"/>
  <x:c r="F45" i="250" s="1"/>
  <x:c r="E29" i="250"/>
  <x:c r="F29" i="250" s="1"/>
  <x:c r="I106" i="297"/>
  <x:c r="I102" i="297"/>
  <x:c r="I100" i="297"/>
  <x:c r="I10" i="297"/>
  <x:c r="E146" i="268"/>
  <x:c r="D22" i="298" s="1"/>
  <x:c r="L68" i="289"/>
  <x:c r="L26" i="289"/>
  <x:c r="L23" i="289"/>
  <x:c r="L22" i="289"/>
  <x:c r="L20" i="289"/>
  <x:c r="L12" i="26"/>
  <x:c r="C57" i="25"/>
  <x:c r="C84" i="250" s="1"/>
  <x:c r="E64" i="250"/>
  <x:c r="F64" i="250" s="1"/>
  <x:c r="E61" i="250"/>
  <x:c r="F61" i="250" s="1"/>
  <x:c r="E60" i="250"/>
  <x:c r="F60" i="250" s="1"/>
  <x:c r="E46" i="250"/>
  <x:c r="F46" i="250" s="1"/>
  <x:c r="E32" i="250"/>
  <x:c r="F32" i="250" s="1"/>
  <x:c r="E30" i="250"/>
  <x:c r="F30" i="250" s="1"/>
  <x:c r="E19" i="250"/>
  <x:c r="F19" i="250" s="1"/>
  <x:c r="E17" i="250"/>
  <x:c r="F17" i="250" s="1"/>
  <x:c r="C17" i="303"/>
  <x:c r="C13" i="186" s="1"/>
  <x:c r="G33" i="301"/>
  <x:c r="H33" i="301" s="1"/>
  <x:c r="G31" i="301"/>
  <x:c r="H31" i="301" s="1"/>
  <x:c r="G26" i="301"/>
  <x:c r="H26" i="301" s="1"/>
  <x:c r="G51" i="270"/>
  <x:c r="H51" i="270" s="1"/>
  <x:c r="G47" i="270"/>
  <x:c r="H47" i="270" s="1"/>
  <x:c r="G39" i="270"/>
  <x:c r="H39" i="270" s="1"/>
  <x:c r="G33" i="270"/>
  <x:c r="H33" i="270" s="1"/>
  <x:c r="G30" i="270"/>
  <x:c r="H30" i="270" s="1"/>
  <x:c r="G19" i="305"/>
  <x:c r="H19" i="305" s="1"/>
  <x:c r="G35" i="270"/>
  <x:c r="H35" i="270" s="1"/>
  <x:c r="G32" i="270"/>
  <x:c r="H32" i="270" s="1"/>
  <x:c r="G27" i="270"/>
  <x:c r="H27" i="270" s="1"/>
  <x:c r="G16" i="301"/>
  <x:c r="H16" i="301" s="1"/>
  <x:c r="G13" i="301"/>
  <x:c r="H13" i="301" s="1"/>
  <x:c r="C17" i="304"/>
  <x:c r="C14" i="186" s="1"/>
  <x:c r="C37" i="213"/>
  <x:c r="G36" i="301"/>
  <x:c r="H36" i="301" s="1"/>
  <x:c r="G35" i="301"/>
  <x:c r="H35" i="301" s="1"/>
  <x:c r="G23" i="301"/>
  <x:c r="H23" i="301" s="1"/>
  <x:c r="G12" i="301"/>
  <x:c r="H12" i="301" s="1"/>
  <x:c r="G30" i="302"/>
  <x:c r="H30" i="302" s="1"/>
  <x:c r="G25" i="302"/>
  <x:c r="H25" i="302" s="1"/>
  <x:c r="G24" i="302"/>
  <x:c r="H24" i="302" s="1"/>
  <x:c r="G21" i="302"/>
  <x:c r="H21" i="302" s="1"/>
  <x:c r="G19" i="302"/>
  <x:c r="H19" i="302" s="1"/>
  <x:c r="G52" i="270"/>
  <x:c r="H52" i="270" s="1"/>
  <x:c r="G48" i="270"/>
  <x:c r="H48" i="270" s="1"/>
  <x:c r="G44" i="270"/>
  <x:c r="H44" i="270" s="1"/>
  <x:c r="G40" i="270"/>
  <x:c r="H40" i="270" s="1"/>
  <x:c r="G26" i="270"/>
  <x:c r="H26" i="270" s="1"/>
  <x:c r="G23" i="270"/>
  <x:c r="H23" i="270" s="1"/>
  <x:c r="G21" i="270"/>
  <x:c r="H21" i="270" s="1"/>
  <x:c r="G19" i="270"/>
  <x:c r="H19" i="270" s="1"/>
  <x:c r="G17" i="270"/>
  <x:c r="H17" i="270" s="1"/>
  <x:c r="G15" i="270"/>
  <x:c r="H15" i="270" s="1"/>
  <x:c r="G13" i="270"/>
  <x:c r="H13" i="270" s="1"/>
  <x:c r="G15" i="305"/>
  <x:c r="H15" i="305" s="1"/>
  <x:c r="E10" i="124"/>
  <x:c r="F10" i="124" s="1"/>
  <x:c r="E41" i="125"/>
  <x:c r="F41" i="125" s="1"/>
  <x:c r="E32" i="125"/>
  <x:c r="F32" i="125" s="1"/>
  <x:c r="E24" i="125"/>
  <x:c r="F24" i="125" s="1"/>
  <x:c r="E16" i="125"/>
  <x:c r="F16" i="125" s="1"/>
  <x:c r="E19" i="128"/>
  <x:c r="F19" i="128" s="1"/>
  <x:c r="E22" i="127"/>
  <x:c r="F22" i="127" s="1"/>
  <x:c r="D10" i="333"/>
  <x:c r="D25" i="334"/>
  <x:c r="D27" i="334" s="1"/>
  <x:c r="G11" i="213"/>
  <x:c r="E33" i="128"/>
  <x:c r="F33" i="128" s="1"/>
  <x:c r="E18" i="128"/>
  <x:c r="E16" i="128"/>
  <x:c r="F16" i="128" s="1"/>
  <x:c r="D37" i="31"/>
  <x:c r="E21" i="127"/>
  <x:c r="F21" i="127" s="1"/>
  <x:c r="D14" i="177"/>
  <x:c r="F14" i="177" s="1"/>
  <x:c r="L46" i="289"/>
  <x:c r="D13" i="266"/>
  <x:c r="E11" i="170"/>
  <x:c r="G41" i="268"/>
  <x:c r="D14" i="298" s="1"/>
  <x:c r="L58" i="289"/>
  <x:c r="L49" i="289"/>
  <x:c r="L48" i="289"/>
  <x:c r="L39" i="289"/>
  <x:c r="L32" i="289"/>
  <x:c r="L31" i="289"/>
  <x:c r="L15" i="26"/>
  <x:c r="E16" i="25"/>
  <x:c r="F16" i="25" s="1"/>
  <x:c r="E80" i="250"/>
  <x:c r="F80" i="250" s="1"/>
  <x:c r="E76" i="250"/>
  <x:c r="F76" i="250" s="1"/>
  <x:c r="E72" i="250"/>
  <x:c r="F72" i="250" s="1"/>
  <x:c r="E54" i="250"/>
  <x:c r="F54" i="250" s="1"/>
  <x:c r="E47" i="250"/>
  <x:c r="F47" i="250" s="1"/>
  <x:c r="E44" i="250"/>
  <x:c r="F44" i="250" s="1"/>
  <x:c r="E40" i="250"/>
  <x:c r="F40" i="250" s="1"/>
  <x:c r="E38" i="250"/>
  <x:c r="F38" i="250" s="1"/>
  <x:c r="E28" i="250"/>
  <x:c r="F28" i="250" s="1"/>
  <x:c r="E16" i="250"/>
  <x:c r="F16" i="250" s="1"/>
  <x:c r="E32" i="25"/>
  <x:c r="F32" i="25" s="1"/>
  <x:c r="E31" i="25"/>
  <x:c r="F31" i="25" s="1"/>
  <x:c r="E24" i="25"/>
  <x:c r="F24" i="25" s="1"/>
  <x:c r="E23" i="25"/>
  <x:c r="F23" i="25" s="1"/>
  <x:c r="E68" i="250"/>
  <x:c r="F68" i="250" s="1"/>
  <x:c r="E52" i="250"/>
  <x:c r="F52" i="250" s="1"/>
  <x:c r="E36" i="250"/>
  <x:c r="F36" i="250" s="1"/>
  <x:c r="E23" i="250"/>
  <x:c r="F23" i="250" s="1"/>
  <x:c r="E14" i="250"/>
  <x:c r="F14" i="250" s="1"/>
  <x:c r="L16" i="26"/>
  <x:c r="E28" i="25"/>
  <x:c r="F28" i="25" s="1"/>
  <x:c r="E20" i="25"/>
  <x:c r="F20" i="25" s="1"/>
  <x:c r="E78" i="250"/>
  <x:c r="F78" i="250" s="1"/>
  <x:c r="E74" i="250"/>
  <x:c r="F74" i="250" s="1"/>
  <x:c r="E70" i="250"/>
  <x:c r="F70" i="250" s="1"/>
  <x:c r="E69" i="250"/>
  <x:c r="F69" i="250" s="1"/>
  <x:c r="E50" i="250"/>
  <x:c r="F50" i="250" s="1"/>
  <x:c r="E34" i="250"/>
  <x:c r="F34" i="250" s="1"/>
  <x:c r="E13" i="250"/>
  <x:c r="F13" i="250" s="1"/>
  <x:c r="D13" i="29"/>
  <x:c r="F13" i="29" s="1"/>
  <x:c r="C37" i="309"/>
  <x:c r="C13" i="266"/>
  <x:c r="F11" i="266"/>
  <x:c r="D18" i="170"/>
  <x:c r="E16" i="170"/>
  <x:c r="C146" i="268"/>
  <x:c r="D21" i="298" s="1"/>
  <x:c r="E10" i="126"/>
  <x:c r="F10" i="126" s="1"/>
  <x:c r="E14" i="127"/>
  <x:c r="F14" i="127" s="1"/>
  <x:c r="E13" i="127"/>
  <x:c r="F13" i="127" s="1"/>
  <x:c r="E11" i="127"/>
  <x:c r="F12" i="266"/>
  <x:c r="L24" i="289"/>
  <x:c r="C18" i="170"/>
  <x:c r="G111" i="268"/>
  <x:c r="D20" i="298" s="1"/>
  <x:c r="G76" i="268"/>
  <x:c r="D17" i="298" s="1"/>
  <x:c r="C76" i="268"/>
  <x:c r="D15" i="298" s="1"/>
  <x:c r="L51" i="289"/>
  <x:c r="L44" i="289"/>
  <x:c r="E41" i="25"/>
  <x:c r="F41" i="25" s="1"/>
  <x:c r="D19" i="298"/>
  <x:c r="E76" i="268"/>
  <x:c r="D16" i="298" s="1"/>
  <x:c r="E41" i="268"/>
  <x:c r="D13" i="298" s="1"/>
  <x:c r="L43" i="289"/>
  <x:c r="L27" i="289"/>
  <x:c r="L15" i="289"/>
  <x:c r="E63" i="250"/>
  <x:c r="F63" i="250" s="1"/>
  <x:c r="L14" i="289"/>
  <x:c r="L34" i="26"/>
  <x:c r="L29" i="26"/>
  <x:c r="E35" i="25"/>
  <x:c r="F35" i="25" s="1"/>
  <x:c r="E27" i="25"/>
  <x:c r="F27" i="25" s="1"/>
  <x:c r="E19" i="25"/>
  <x:c r="F19" i="25" s="1"/>
  <x:c r="E56" i="250"/>
  <x:c r="F56" i="250" s="1"/>
  <x:c r="E11" i="26"/>
  <x:c r="E46" i="26" s="1"/>
  <x:c r="E31" i="250"/>
  <x:c r="F31" i="250" s="1"/>
  <x:c r="C82" i="250"/>
  <x:c r="L22" i="26"/>
  <x:c r="L14" i="26"/>
  <x:c r="E39" i="25"/>
  <x:c r="F39" i="25" s="1"/>
  <x:c r="E12" i="25"/>
  <x:c r="F12" i="25" s="1"/>
  <x:c r="E58" i="250"/>
  <x:c r="F58" i="250" s="1"/>
  <x:c r="E55" i="250"/>
  <x:c r="F55" i="250" s="1"/>
  <x:c r="E81" i="250"/>
  <x:c r="F81" i="250" s="1"/>
  <x:c r="E77" i="250"/>
  <x:c r="F77" i="250" s="1"/>
  <x:c r="E73" i="250"/>
  <x:c r="F73" i="250" s="1"/>
  <x:c r="E42" i="250"/>
  <x:c r="F42" i="250" s="1"/>
  <x:c r="E39" i="250"/>
  <x:c r="F39" i="250" s="1"/>
  <x:c r="E75" i="250"/>
  <x:c r="F75" i="250" s="1"/>
  <x:c r="E79" i="250"/>
  <x:c r="F79" i="250" s="1"/>
  <x:c r="E71" i="250"/>
  <x:c r="F71" i="250" s="1"/>
  <x:c r="E18" i="250"/>
  <x:c r="F18" i="250" s="1"/>
  <x:c r="E15" i="250"/>
  <x:c r="F15" i="250" s="1"/>
  <x:c r="E11" i="250"/>
  <x:c r="F11" i="250" s="1"/>
  <x:c r="E67" i="250"/>
  <x:c r="F67" i="250" s="1"/>
  <x:c r="E59" i="250"/>
  <x:c r="F59" i="250" s="1"/>
  <x:c r="E51" i="250"/>
  <x:c r="F51" i="250" s="1"/>
  <x:c r="E43" i="250"/>
  <x:c r="F43" i="250" s="1"/>
  <x:c r="E35" i="250"/>
  <x:c r="F35" i="250" s="1"/>
  <x:c r="E27" i="250"/>
  <x:c r="F27" i="250" s="1"/>
  <x:c r="D16" i="177"/>
  <x:c r="F16" i="177" s="1"/>
  <x:c r="D14" i="29"/>
  <x:c r="F14" i="29" s="1"/>
  <x:c r="D18" i="177"/>
  <x:c r="F18" i="177" s="1"/>
  <x:c r="D20" i="177"/>
  <x:c r="F20" i="177" s="1"/>
  <x:c r="D22" i="177"/>
  <x:c r="F22" i="177" s="1"/>
  <x:c r="F11" i="195" l="1"/>
  <x:c r="G28" i="31"/>
  <x:c r="H28" i="31" s="1"/>
  <x:c r="J12" i="169"/>
  <x:c r="A133" i="268"/>
  <x:c r="A134" i="268" s="1"/>
  <x:c r="A135" i="268" s="1"/>
  <x:c r="A136" i="268" s="1"/>
  <x:c r="A137" i="268" s="1"/>
  <x:c r="A138" i="268" s="1"/>
  <x:c r="A139" i="268" s="1"/>
  <x:c r="A140" i="268" s="1"/>
  <x:c r="A141" i="268" s="1"/>
  <x:c r="A142" i="268" s="1"/>
  <x:c r="A143" i="268" s="1"/>
  <x:c r="A144" i="268" s="1"/>
  <x:c r="A145" i="268" s="1"/>
  <x:c r="A146" i="268" s="1"/>
  <x:c r="A15" i="186"/>
  <x:c r="A16" i="186" s="1"/>
  <x:c r="A17" i="186" s="1"/>
  <x:c r="A18" i="186" s="1"/>
  <x:c r="A19" i="186" s="1"/>
  <x:c r="A20" i="186" s="1"/>
  <x:c r="G13" i="306"/>
  <x:c r="H13" i="306" s="1"/>
  <x:c r="G54" i="307"/>
  <x:c r="H54" i="307" s="1"/>
  <x:c r="G52" i="307"/>
  <x:c r="H52" i="307" s="1"/>
  <x:c r="G39" i="350"/>
  <x:c r="G43" i="350" s="1"/>
  <x:c r="E14" i="173"/>
  <x:c r="D14" i="173" s="1"/>
  <x:c r="E29" i="348"/>
  <x:c r="F12" i="29"/>
  <x:c r="A2" i="298"/>
  <x:c r="G24" i="331"/>
  <x:c r="G26" i="331" s="1"/>
  <x:c r="G27" i="331" s="1"/>
  <x:c r="F13" i="169"/>
  <x:c r="H13" i="339"/>
  <x:c r="J12" i="339"/>
  <x:c r="G12" i="305"/>
  <x:c r="H12" i="305" s="1"/>
  <x:c r="L11" i="26"/>
  <x:c r="G30" i="31"/>
  <x:c r="H30" i="31" s="1"/>
  <x:c r="G26" i="31"/>
  <x:c r="H26" i="31" s="1"/>
  <x:c r="G14" i="31"/>
  <x:c r="H14" i="31" s="1"/>
  <x:c r="G23" i="31"/>
  <x:c r="H23" i="31" s="1"/>
  <x:c r="G11" i="31"/>
  <x:c r="H11" i="31" s="1"/>
  <x:c r="G25" i="31"/>
  <x:c r="H25" i="31" s="1"/>
  <x:c r="G17" i="31"/>
  <x:c r="H17" i="31" s="1"/>
  <x:c r="G32" i="31"/>
  <x:c r="H32" i="31" s="1"/>
  <x:c r="G24" i="31"/>
  <x:c r="H24" i="31" s="1"/>
  <x:c r="G35" i="31"/>
  <x:c r="H35" i="31" s="1"/>
  <x:c r="G27" i="31"/>
  <x:c r="H27" i="31" s="1"/>
  <x:c r="G19" i="31"/>
  <x:c r="H19" i="31" s="1"/>
  <x:c r="A2" i="331"/>
  <x:c r="A2" i="334"/>
  <x:c r="A2" i="297"/>
  <x:c r="A2" i="350"/>
  <x:c r="A2" i="339"/>
  <x:c r="A2" i="333"/>
  <x:c r="A2" i="332"/>
  <x:c r="A2" i="291"/>
  <x:c r="A2" i="249"/>
  <x:c r="A2" i="290"/>
  <x:c r="A2" i="312"/>
  <x:c r="A2" i="303"/>
  <x:c r="A2" i="304"/>
  <x:c r="A2" i="148"/>
  <x:c r="A2" i="268" s="1"/>
  <x:c r="A2" i="301" s="1"/>
  <x:c r="A2" i="289"/>
  <x:c r="A2" i="200"/>
  <x:c r="A2" i="122"/>
  <x:c r="A2" i="124"/>
  <x:c r="A2" i="125"/>
  <x:c r="A2" i="171"/>
  <x:c r="A2" i="266"/>
  <x:c r="A2" i="123"/>
  <x:c r="A2" i="126"/>
  <x:c r="A2" i="340"/>
  <x:c r="A2" i="336"/>
  <x:c r="A2" i="342"/>
  <x:c r="A2" i="149"/>
  <x:c r="A2" i="169"/>
  <x:c r="A2" i="172"/>
  <x:c r="A2" i="195"/>
  <x:c r="A2" i="25"/>
  <x:c r="A2" i="213"/>
  <x:c r="A2" i="328"/>
  <x:c r="A2" i="330"/>
  <x:c r="A2" i="173"/>
  <x:c r="A2" i="176"/>
  <x:c r="A2" i="24"/>
  <x:c r="A2" i="26"/>
  <x:c r="A2" i="329"/>
  <x:c r="A2" i="127"/>
  <x:c r="A2" i="222"/>
  <x:c r="A2" i="335"/>
  <x:c r="A2" i="128"/>
  <x:c r="A2" i="296"/>
  <x:c r="A2" i="170"/>
  <x:c r="A2" i="177"/>
  <x:c r="A2" i="181"/>
  <x:c r="A2" i="186"/>
  <x:c r="A2" i="23"/>
  <x:c r="A2" i="250"/>
  <x:c r="A2" i="29"/>
  <x:c r="A2" i="31"/>
  <x:c r="A2" i="121"/>
  <x:c r="D19" i="329"/>
  <x:c r="D20" i="329" s="1"/>
  <x:c r="D21" i="329" s="1"/>
  <x:c r="D22" i="329" s="1"/>
  <x:c r="D23" i="329" s="1"/>
  <x:c r="D24" i="329" s="1"/>
  <x:c r="D19" i="331"/>
  <x:c r="D20" i="331" s="1"/>
  <x:c r="D21" i="331" s="1"/>
  <x:c r="D22" i="331" s="1"/>
  <x:c r="D23" i="331" s="1"/>
  <x:c r="D24" i="331" s="1"/>
  <x:c r="J26" i="330"/>
  <x:c r="J27" i="330" s="1"/>
  <x:c r="G19" i="330"/>
  <x:c r="G20" i="330" s="1"/>
  <x:c r="G21" i="330" s="1"/>
  <x:c r="G22" i="330" s="1"/>
  <x:c r="G23" i="330" s="1"/>
  <x:c r="G24" i="330" s="1"/>
  <x:c r="G26" i="329"/>
  <x:c r="G27" i="329" s="1"/>
  <x:c r="D26" i="330"/>
  <x:c r="D27" i="330" s="1"/>
  <x:c r="J26" i="329"/>
  <x:c r="J27" i="329" s="1"/>
  <x:c r="C17" i="186"/>
  <x:c r="J26" i="331"/>
  <x:c r="J27" i="331" s="1"/>
  <x:c r="D11" i="29"/>
  <x:c r="F11" i="29" s="1"/>
  <x:c r="B12" i="29"/>
  <x:c r="B13" i="29" s="1"/>
  <x:c r="B14" i="29" s="1"/>
  <x:c r="B15" i="29" s="1"/>
  <x:c r="B16" i="29" s="1"/>
  <x:c r="B17" i="29" s="1"/>
  <x:c r="B18" i="29" s="1"/>
  <x:c r="B19" i="29" s="1"/>
  <x:c r="B20" i="29" s="1"/>
  <x:c r="F10" i="268"/>
  <x:c r="F11" i="268" s="1"/>
  <x:c r="F12" i="268" s="1"/>
  <x:c r="F13" i="268" s="1"/>
  <x:c r="F14" i="268" s="1"/>
  <x:c r="F15" i="268" s="1"/>
  <x:c r="F16" i="268" s="1"/>
  <x:c r="F17" i="268" s="1"/>
  <x:c r="F18" i="268" s="1"/>
  <x:c r="F19" i="268" s="1"/>
  <x:c r="F20" i="268" s="1"/>
  <x:c r="F21" i="268" s="1"/>
  <x:c r="F22" i="268" s="1"/>
  <x:c r="F23" i="268" s="1"/>
  <x:c r="F24" i="268" s="1"/>
  <x:c r="F25" i="268" s="1"/>
  <x:c r="F26" i="268" s="1"/>
  <x:c r="F27" i="268" s="1"/>
  <x:c r="F28" i="268" s="1"/>
  <x:c r="F29" i="268" s="1"/>
  <x:c r="F30" i="268" s="1"/>
  <x:c r="F31" i="268" s="1"/>
  <x:c r="F32" i="268" s="1"/>
  <x:c r="F33" i="268" s="1"/>
  <x:c r="F34" i="268" s="1"/>
  <x:c r="F35" i="268" s="1"/>
  <x:c r="F36" i="268" s="1"/>
  <x:c r="F37" i="268" s="1"/>
  <x:c r="F38" i="268" s="1"/>
  <x:c r="F39" i="268" s="1"/>
  <x:c r="G28" i="307"/>
  <x:c r="H28" i="307" s="1"/>
  <x:c r="G26" i="307"/>
  <x:c r="H26" i="307" s="1"/>
  <x:c r="G22" i="307"/>
  <x:c r="H22" i="307" s="1"/>
  <x:c r="H14" i="307"/>
  <x:c r="G16" i="31"/>
  <x:c r="H16" i="31" s="1"/>
  <x:c r="G20" i="31"/>
  <x:c r="H20" i="31" s="1"/>
  <x:c r="G12" i="31"/>
  <x:c r="H12" i="31" s="1"/>
  <x:c r="G21" i="31"/>
  <x:c r="H21" i="31" s="1"/>
  <x:c r="G13" i="31"/>
  <x:c r="H13" i="31" s="1"/>
  <x:c r="G18" i="31"/>
  <x:c r="H18" i="31" s="1"/>
  <x:c r="G22" i="31"/>
  <x:c r="H22" i="31" s="1"/>
  <x:c r="G34" i="31"/>
  <x:c r="H34" i="31" s="1"/>
  <x:c r="G15" i="31"/>
  <x:c r="H15" i="31" s="1"/>
  <x:c r="D12" i="23"/>
  <x:c r="F12" i="23" s="1"/>
  <x:c r="G23" i="307"/>
  <x:c r="H23" i="307" s="1"/>
  <x:c r="K13" i="335"/>
  <x:c r="G12" i="333" s="1"/>
  <x:c r="J12" i="333" s="1"/>
  <x:c r="H32" i="307"/>
  <x:c r="H24" i="307"/>
  <x:c r="H50" i="307"/>
  <x:c r="H44" i="307"/>
  <x:c r="H40" i="307"/>
  <x:c r="G14" i="305"/>
  <x:c r="H14" i="305" s="1"/>
  <x:c r="G15" i="307"/>
  <x:c r="H15" i="307" s="1"/>
  <x:c r="A2" i="337"/>
  <x:c r="G26" i="305"/>
  <x:c r="H26" i="305" s="1"/>
  <x:c r="H21" i="305"/>
  <x:c r="H13" i="305"/>
  <x:c r="K11" i="341"/>
  <x:c r="K11" i="342"/>
  <x:c r="H48" i="307"/>
  <x:c r="H42" i="307"/>
  <x:c r="G57" i="307"/>
  <x:c r="H57" i="307" s="1"/>
  <x:c r="G33" i="307"/>
  <x:c r="H33" i="307" s="1"/>
  <x:c r="G13" i="307"/>
  <x:c r="H13" i="307" s="1"/>
  <x:c r="G12" i="306"/>
  <x:c r="H12" i="306" s="1"/>
  <x:c r="H17" i="305"/>
  <x:c r="G20" i="305"/>
  <x:c r="H20" i="305" s="1"/>
  <x:c r="G16" i="305"/>
  <x:c r="H16" i="305" s="1"/>
  <x:c r="G12" i="307"/>
  <x:c r="H12" i="307" s="1"/>
  <x:c r="G55" i="307"/>
  <x:c r="H55" i="307" s="1"/>
  <x:c r="G53" i="307"/>
  <x:c r="H53" i="307" s="1"/>
  <x:c r="G51" i="307"/>
  <x:c r="H51" i="307" s="1"/>
  <x:c r="G49" i="307"/>
  <x:c r="H49" i="307" s="1"/>
  <x:c r="G43" i="307"/>
  <x:c r="H43" i="307" s="1"/>
  <x:c r="G41" i="307"/>
  <x:c r="H41" i="307" s="1"/>
  <x:c r="G39" i="307"/>
  <x:c r="H39" i="307" s="1"/>
  <x:c r="G31" i="307"/>
  <x:c r="H31" i="307" s="1"/>
  <x:c r="G29" i="307"/>
  <x:c r="H29" i="307" s="1"/>
  <x:c r="G27" i="307"/>
  <x:c r="H27" i="307" s="1"/>
  <x:c r="G25" i="307"/>
  <x:c r="H25" i="307" s="1"/>
  <x:c r="G18" i="305"/>
  <x:c r="H18" i="305" s="1"/>
  <x:c r="G19" i="307"/>
  <x:c r="H19" i="307" s="1"/>
  <x:c r="G38" i="307"/>
  <x:c r="H38" i="307" s="1"/>
  <x:c r="G36" i="307"/>
  <x:c r="H36" i="307" s="1"/>
  <x:c r="A2" i="338"/>
  <x:c r="A2" i="341"/>
  <x:c r="C45" i="305"/>
  <x:c r="C36" i="306"/>
  <x:c r="C143" i="307"/>
  <x:c r="H34" i="307"/>
  <x:c r="H56" i="307"/>
  <x:c r="H30" i="307"/>
  <x:c r="L64" i="289"/>
  <x:c r="L21" i="289"/>
  <x:c r="C86" i="250"/>
  <x:c r="C90" i="250" s="1"/>
  <x:c r="C12" i="24" s="1"/>
  <x:c r="E37" i="25"/>
  <x:c r="F37" i="25" s="1"/>
  <x:c r="F18" i="128"/>
  <x:c r="F27" i="128"/>
  <x:c r="F28" i="128"/>
  <x:c r="F17" i="128"/>
  <x:c r="E13" i="128"/>
  <x:c r="F13" i="128" s="1"/>
  <x:c r="E16" i="127"/>
  <x:c r="F16" i="127" s="1"/>
  <x:c r="E12" i="127"/>
  <x:c r="F12" i="127" s="1"/>
  <x:c r="F10" i="127"/>
  <x:c r="E23" i="127"/>
  <x:c r="F23" i="127" s="1"/>
  <x:c r="F11" i="127"/>
  <x:c r="L19" i="26"/>
  <x:c r="L18" i="26"/>
  <x:c r="E26" i="250"/>
  <x:c r="F26" i="250" s="1"/>
  <x:c r="L25" i="26"/>
  <x:c r="L21" i="26"/>
  <x:c r="E62" i="250"/>
  <x:c r="F62" i="250" s="1"/>
  <x:c r="L42" i="289"/>
  <x:c r="G45" i="270"/>
  <x:c r="H45" i="270" s="1"/>
  <x:c r="G43" i="270"/>
  <x:c r="H43" i="270" s="1"/>
  <x:c r="E35" i="127"/>
  <x:c r="F35" i="127" s="1"/>
  <x:c r="E29" i="127"/>
  <x:c r="F29" i="127" s="1"/>
  <x:c r="L56" i="289"/>
  <x:c r="L17" i="26"/>
  <x:c r="E66" i="250"/>
  <x:c r="F66" i="250" s="1"/>
  <x:c r="G15" i="301"/>
  <x:c r="H15" i="301" s="1"/>
  <x:c r="L60" i="289"/>
  <x:c r="L33" i="289"/>
  <x:c r="K14" i="335"/>
  <x:c r="G13" i="333" s="1"/>
  <x:c r="J13" i="333" s="1"/>
  <x:c r="H15" i="335"/>
  <x:c r="E17" i="335"/>
  <x:c r="J10" i="333"/>
  <x:c r="J13" i="338"/>
  <x:c r="G13" i="336" s="1"/>
  <x:c r="J13" i="336" s="1"/>
  <x:c r="H15" i="338"/>
  <x:c r="H16" i="338" s="1"/>
  <x:c r="H17" i="338" s="1"/>
  <x:c r="H18" i="338" s="1"/>
  <x:c r="H19" i="338" s="1"/>
  <x:c r="H20" i="338" s="1"/>
  <x:c r="H21" i="338" s="1"/>
  <x:c r="H22" i="338" s="1"/>
  <x:c r="H23" i="338" s="1"/>
  <x:c r="H24" i="338" s="1"/>
  <x:c r="J14" i="338"/>
  <x:c r="E15" i="338"/>
  <x:c r="J11" i="336"/>
  <x:c r="H16" i="341"/>
  <x:c r="H17" i="341" s="1"/>
  <x:c r="H18" i="341" s="1"/>
  <x:c r="H19" i="341" s="1"/>
  <x:c r="H20" i="341" s="1"/>
  <x:c r="H21" i="341" s="1"/>
  <x:c r="H22" i="341" s="1"/>
  <x:c r="H23" i="341" s="1"/>
  <x:c r="K12" i="341"/>
  <x:c r="D13" i="341"/>
  <x:c r="H25" i="342"/>
  <x:c r="H26" i="342" s="1"/>
  <x:c r="K12" i="342"/>
  <x:c r="D13" i="342"/>
  <x:c r="D16" i="29"/>
  <x:c r="F16" i="29" s="1"/>
  <x:c r="D15" i="29"/>
  <x:c r="F15" i="29" s="1"/>
  <x:c r="G148" i="268"/>
  <x:c r="F13" i="266"/>
  <x:c r="L13" i="26"/>
  <x:c r="G34" i="301"/>
  <x:c r="H34" i="301" s="1"/>
  <x:c r="G30" i="301"/>
  <x:c r="H30" i="301" s="1"/>
  <x:c r="G17" i="301"/>
  <x:c r="H17" i="301" s="1"/>
  <x:c r="E23" i="125"/>
  <x:c r="F23" i="125" s="1"/>
  <x:c r="E15" i="125"/>
  <x:c r="F15" i="125" s="1"/>
  <x:c r="E57" i="127"/>
  <x:c r="F57" i="127" s="1"/>
  <x:c r="E51" i="127"/>
  <x:c r="F51" i="127" s="1"/>
  <x:c r="E49" i="127"/>
  <x:c r="F49" i="127" s="1"/>
  <x:c r="E45" i="127"/>
  <x:c r="F45" i="127" s="1"/>
  <x:c r="E35" i="125"/>
  <x:c r="F35" i="125" s="1"/>
  <x:c r="D26" i="336"/>
  <x:c r="D27" i="336" s="1"/>
  <x:c r="L62" i="289"/>
  <x:c r="L25" i="289"/>
  <x:c r="L12" i="289"/>
  <x:c r="L35" i="26"/>
  <x:c r="L31" i="26"/>
  <x:c r="G47" i="307"/>
  <x:c r="H47" i="307" s="1"/>
  <x:c r="L47" i="289"/>
  <x:c r="L28" i="289"/>
  <x:c r="E65" i="250"/>
  <x:c r="F65" i="250" s="1"/>
  <x:c r="E14" i="125"/>
  <x:c r="F14" i="125" s="1"/>
  <x:c r="L38" i="289"/>
  <x:c r="G27" i="302"/>
  <x:c r="H27" i="302" s="1"/>
  <x:c r="G50" i="270"/>
  <x:c r="H50" i="270" s="1"/>
  <x:c r="G46" i="270"/>
  <x:c r="H46" i="270" s="1"/>
  <x:c r="G42" i="270"/>
  <x:c r="H42" i="270" s="1"/>
  <x:c r="E25" i="128"/>
  <x:c r="F25" i="128" s="1"/>
  <x:c r="E14" i="128"/>
  <x:c r="F14" i="128" s="1"/>
  <x:c r="E56" i="127"/>
  <x:c r="F56" i="127" s="1"/>
  <x:c r="E54" i="127"/>
  <x:c r="F54" i="127" s="1"/>
  <x:c r="E44" i="127"/>
  <x:c r="F44" i="127" s="1"/>
  <x:c r="E34" i="127"/>
  <x:c r="F34" i="127" s="1"/>
  <x:c r="E32" i="127"/>
  <x:c r="F32" i="127" s="1"/>
  <x:c r="E30" i="127"/>
  <x:c r="F30" i="127" s="1"/>
  <x:c r="E17" i="127"/>
  <x:c r="F17" i="127" s="1"/>
  <x:c r="L57" i="289"/>
  <x:c r="L11" i="289"/>
  <x:c r="L30" i="26"/>
  <x:c r="G18" i="307"/>
  <x:c r="H18" i="307" s="1"/>
  <x:c r="G35" i="307"/>
  <x:c r="H35" i="307" s="1"/>
  <x:c r="L23" i="26"/>
  <x:c r="L24" i="26"/>
  <x:c r="L54" i="289"/>
  <x:c r="L16" i="289"/>
  <x:c r="L33" i="26"/>
  <x:c r="L59" i="289"/>
  <x:c r="G32" i="301"/>
  <x:c r="H32" i="301" s="1"/>
  <x:c r="G20" i="301"/>
  <x:c r="H20" i="301" s="1"/>
  <x:c r="G18" i="301"/>
  <x:c r="H18" i="301" s="1"/>
  <x:c r="G23" i="302"/>
  <x:c r="H23" i="302" s="1"/>
  <x:c r="E33" i="125"/>
  <x:c r="F33" i="125" s="1"/>
  <x:c r="E22" i="125"/>
  <x:c r="F22" i="125" s="1"/>
  <x:c r="E18" i="125"/>
  <x:c r="F18" i="125" s="1"/>
  <x:c r="E52" i="127"/>
  <x:c r="F52" i="127" s="1"/>
  <x:c r="E50" i="127"/>
  <x:c r="F50" i="127" s="1"/>
  <x:c r="E39" i="127"/>
  <x:c r="F39" i="127" s="1"/>
  <x:c r="E33" i="127"/>
  <x:c r="F33" i="127" s="1"/>
  <x:c r="E24" i="127"/>
  <x:c r="F24" i="127" s="1"/>
  <x:c r="E18" i="127"/>
  <x:c r="F18" i="127" s="1"/>
  <x:c r="C25" i="337"/>
  <x:c r="C26" i="337" s="1"/>
  <x:c r="I99" i="297"/>
  <x:c r="L67" i="289"/>
  <x:c r="L34" i="289"/>
  <x:c r="L28" i="26"/>
  <x:c r="G20" i="307"/>
  <x:c r="H20" i="307" s="1"/>
  <x:c r="G16" i="307"/>
  <x:c r="H16" i="307" s="1"/>
  <x:c r="G22" i="302"/>
  <x:c r="H22" i="302" s="1"/>
  <x:c r="E53" i="127"/>
  <x:c r="F53" i="127" s="1"/>
  <x:c r="E28" i="127"/>
  <x:c r="F28" i="127" s="1"/>
  <x:c r="C25" i="334"/>
  <x:c r="C26" i="334" s="1"/>
  <x:c r="L18" i="289"/>
  <x:c r="G21" i="307"/>
  <x:c r="H21" i="307" s="1"/>
  <x:c r="G46" i="307"/>
  <x:c r="H46" i="307" s="1"/>
  <x:c r="G19" i="301"/>
  <x:c r="H19" i="301" s="1"/>
  <x:c r="E18" i="25"/>
  <x:c r="F18" i="25" s="1"/>
  <x:c r="K22" i="181"/>
  <x:c r="K21" i="181"/>
  <x:c r="K20" i="181"/>
  <x:c r="K19" i="181"/>
  <x:c r="K18" i="181"/>
  <x:c r="K17" i="181"/>
  <x:c r="K16" i="181"/>
  <x:c r="K14" i="181"/>
  <x:c r="K13" i="181"/>
  <x:c r="K12" i="181"/>
  <x:c r="K15" i="181"/>
  <x:c r="K11" i="181"/>
  <x:c r="F12" i="177"/>
  <x:c r="D24" i="177"/>
  <x:c r="F24" i="177" s="1"/>
  <x:c r="G33" i="31"/>
  <x:c r="H33" i="31" s="1"/>
  <x:c r="G31" i="31"/>
  <x:c r="H31" i="31" s="1"/>
  <x:c r="G29" i="31"/>
  <x:c r="H29" i="31" s="1"/>
  <x:c r="L19" i="289"/>
  <x:c r="D25" i="298"/>
  <x:c r="D11" i="149" s="1"/>
  <x:c r="E14" i="149" s="1"/>
  <x:c r="E15" i="296" s="1"/>
  <x:c r="G28" i="301"/>
  <x:c r="H28" i="301" s="1"/>
  <x:c r="G28" i="302"/>
  <x:c r="H28" i="302" s="1"/>
  <x:c r="G26" i="302"/>
  <x:c r="H26" i="302" s="1"/>
  <x:c r="L27" i="26"/>
  <x:c r="C32" i="302"/>
  <x:c r="F20" i="266"/>
  <x:c r="G41" i="301"/>
  <x:c r="H41" i="301" s="1"/>
  <x:c r="H38" i="301"/>
  <x:c r="G21" i="301"/>
  <x:c r="H21" i="301" s="1"/>
  <x:c r="G37" i="270"/>
  <x:c r="H37" i="270" s="1"/>
  <x:c r="E20" i="125"/>
  <x:c r="F20" i="125" s="1"/>
  <x:c r="E23" i="128"/>
  <x:c r="F23" i="128" s="1"/>
  <x:c r="E21" i="128"/>
  <x:c r="F21" i="128" s="1"/>
  <x:c r="E10" i="128"/>
  <x:c r="F10" i="128" s="1"/>
  <x:c r="E55" i="127"/>
  <x:c r="F55" i="127" s="1"/>
  <x:c r="E48" i="127"/>
  <x:c r="F48" i="127" s="1"/>
  <x:c r="E43" i="127"/>
  <x:c r="F43" i="127" s="1"/>
  <x:c r="E41" i="127"/>
  <x:c r="F41" i="127" s="1"/>
  <x:c r="E37" i="127"/>
  <x:c r="F37" i="127" s="1"/>
  <x:c r="E31" i="127"/>
  <x:c r="F31" i="127" s="1"/>
  <x:c r="E20" i="127"/>
  <x:c r="F20" i="127" s="1"/>
  <x:c r="I104" i="297"/>
  <x:c r="L66" i="289"/>
  <x:c r="L52" i="289"/>
  <x:c r="L29" i="289"/>
  <x:c r="E40" i="25"/>
  <x:c r="F40" i="25" s="1"/>
  <x:c r="E11" i="25"/>
  <x:c r="F11" i="25" s="1"/>
  <x:c r="F23" i="266"/>
  <x:c r="C24" i="266" s="1"/>
  <x:c r="G17" i="307"/>
  <x:c r="H17" i="307" s="1"/>
  <x:c r="G37" i="307"/>
  <x:c r="H37" i="307" s="1"/>
  <x:c r="G45" i="307"/>
  <x:c r="H45" i="307" s="1"/>
  <x:c r="E12" i="128"/>
  <x:c r="F12" i="128" s="1"/>
  <x:c r="F42" i="127"/>
  <x:c r="F38" i="127"/>
  <x:c r="E31" i="125"/>
  <x:c r="F31" i="125" s="1"/>
  <x:c r="E17" i="125"/>
  <x:c r="F17" i="125" s="1"/>
  <x:c r="E15" i="170"/>
  <x:c r="E18" i="170" s="1"/>
  <x:c r="I107" i="297"/>
  <x:c r="L65" i="289"/>
  <x:c r="L55" i="289"/>
  <x:c r="L40" i="289"/>
  <x:c r="L36" i="289"/>
  <x:c r="L13" i="289"/>
  <x:c r="E20" i="128"/>
  <x:c r="F20" i="128" s="1"/>
  <x:c r="E47" i="127"/>
  <x:c r="F47" i="127" s="1"/>
  <x:c r="E40" i="127"/>
  <x:c r="F40" i="127" s="1"/>
  <x:c r="E36" i="127"/>
  <x:c r="F36" i="127" s="1"/>
  <x:c r="E27" i="127"/>
  <x:c r="F27" i="127" s="1"/>
  <x:c r="E19" i="127"/>
  <x:c r="F19" i="127" s="1"/>
  <x:c r="L41" i="289"/>
  <x:c r="L35" i="289"/>
  <x:c r="E26" i="348"/>
  <x:c r="E10" i="349"/>
  <x:c r="E22" i="349" s="1"/>
  <x:c r="I10" i="349"/>
  <x:c r="J10" i="349" s="1"/>
  <x:c r="J22" i="349" s="1"/>
  <x:c r="D25" i="333"/>
  <x:c r="D26" i="333" s="1"/>
  <x:c r="L61" i="289"/>
  <x:c r="C43" i="301"/>
  <x:c r="G29" i="302"/>
  <x:c r="H29" i="302" s="1"/>
  <x:c r="E22" i="128"/>
  <x:c r="F22" i="128" s="1"/>
  <x:c r="F28" i="125"/>
  <x:c r="E25" i="127"/>
  <x:c r="F25" i="127" s="1"/>
  <x:c r="H16" i="176" l="1"/>
  <x:c r="H13" i="169"/>
  <x:c r="F64" i="128"/>
  <x:c r="E64" i="128" s="1"/>
  <x:c r="E69" i="128" s="1"/>
  <x:c r="F78" i="127"/>
  <x:c r="D26" i="331"/>
  <x:c r="D27" i="331" s="1"/>
  <x:c r="H36" i="306"/>
  <x:c r="G36" i="306" s="1"/>
  <x:c r="D14" i="304" s="1"/>
  <x:c r="F14" i="304" s="1"/>
  <x:c r="F52" i="125"/>
  <x:c r="E52" i="125" s="1"/>
  <x:c r="E56" i="125" s="1"/>
  <x:c r="E58" i="125" s="1"/>
  <x:c r="D14" i="266"/>
  <x:c r="E14" i="266"/>
  <x:c r="A2" i="270"/>
  <x:c r="E71" i="128"/>
  <x:c r="A2" i="305"/>
  <x:c r="A2" i="306"/>
  <x:c r="J29" i="331"/>
  <x:c r="C12" i="328" s="1"/>
  <x:c r="L46" i="26"/>
  <x:c r="A2" i="302"/>
  <x:c r="H14" i="339"/>
  <x:c r="J13" i="339"/>
  <x:c r="A2" i="309"/>
  <x:c r="A2" i="307"/>
  <x:c r="C16" i="23"/>
  <x:c r="D14" i="23"/>
  <x:c r="F14" i="23" s="1"/>
  <x:c r="G26" i="330"/>
  <x:c r="G27" i="330" s="1"/>
  <x:c r="J29" i="330" s="1"/>
  <x:c r="C11" i="328" s="1"/>
  <x:c r="F40" i="268"/>
  <x:c r="B45" i="268" s="1"/>
  <x:c r="B46" i="268" s="1"/>
  <x:c r="B47" i="268" s="1"/>
  <x:c r="B48" i="268" s="1"/>
  <x:c r="B49" i="268" s="1"/>
  <x:c r="B50" i="268" s="1"/>
  <x:c r="B51" i="268" s="1"/>
  <x:c r="B52" i="268" s="1"/>
  <x:c r="B53" i="268" s="1"/>
  <x:c r="B54" i="268" s="1"/>
  <x:c r="B55" i="268" s="1"/>
  <x:c r="B56" i="268" s="1"/>
  <x:c r="B57" i="268" s="1"/>
  <x:c r="B58" i="268" s="1"/>
  <x:c r="B59" i="268" s="1"/>
  <x:c r="B60" i="268" s="1"/>
  <x:c r="B61" i="268" s="1"/>
  <x:c r="B62" i="268" s="1"/>
  <x:c r="B63" i="268" s="1"/>
  <x:c r="B64" i="268" s="1"/>
  <x:c r="B65" i="268" s="1"/>
  <x:c r="B66" i="268" s="1"/>
  <x:c r="B67" i="268" s="1"/>
  <x:c r="B68" i="268" s="1"/>
  <x:c r="B69" i="268" s="1"/>
  <x:c r="B70" i="268" s="1"/>
  <x:c r="B71" i="268" s="1"/>
  <x:c r="B72" i="268" s="1"/>
  <x:c r="B73" i="268" s="1"/>
  <x:c r="B74" i="268" s="1"/>
  <x:c r="B75" i="268" s="1"/>
  <x:c r="D45" i="268" s="1"/>
  <x:c r="D46" i="268" s="1"/>
  <x:c r="D47" i="268" s="1"/>
  <x:c r="D48" i="268" s="1"/>
  <x:c r="D49" i="268" s="1"/>
  <x:c r="D50" i="268" s="1"/>
  <x:c r="D51" i="268" s="1"/>
  <x:c r="D52" i="268" s="1"/>
  <x:c r="D53" i="268" s="1"/>
  <x:c r="D54" i="268" s="1"/>
  <x:c r="D55" i="268" s="1"/>
  <x:c r="D56" i="268" s="1"/>
  <x:c r="D57" i="268" s="1"/>
  <x:c r="D58" i="268" s="1"/>
  <x:c r="D59" i="268" s="1"/>
  <x:c r="D60" i="268" s="1"/>
  <x:c r="D61" i="268" s="1"/>
  <x:c r="D62" i="268" s="1"/>
  <x:c r="D63" i="268" s="1"/>
  <x:c r="D64" i="268" s="1"/>
  <x:c r="D65" i="268" s="1"/>
  <x:c r="D66" i="268" s="1"/>
  <x:c r="D67" i="268" s="1"/>
  <x:c r="D68" i="268" s="1"/>
  <x:c r="D69" i="268" s="1"/>
  <x:c r="D70" i="268" s="1"/>
  <x:c r="D71" i="268" s="1"/>
  <x:c r="D72" i="268" s="1"/>
  <x:c r="D73" i="268" s="1"/>
  <x:c r="D26" i="329"/>
  <x:c r="D27" i="329" s="1"/>
  <x:c r="J29" i="329" s="1"/>
  <x:c r="C10" i="328" s="1"/>
  <x:c r="H45" i="305"/>
  <x:c r="G45" i="305" s="1"/>
  <x:c r="D13" i="304" s="1"/>
  <x:c r="F13" i="304" s="1"/>
  <x:c r="H43" i="301"/>
  <x:c r="G43" i="301" s="1"/>
  <x:c r="D13" i="303" s="1"/>
  <x:c r="F13" i="303" s="1"/>
  <x:c r="L53" i="289"/>
  <x:c r="F82" i="250"/>
  <x:c r="E82" i="250" s="1"/>
  <x:c r="F53" i="124"/>
  <x:c r="E53" i="124" s="1"/>
  <x:c r="E57" i="124" s="1"/>
  <x:c r="E59" i="124" s="1"/>
  <x:c r="E78" i="127"/>
  <x:c r="E82" i="127" s="1"/>
  <x:c r="E84" i="127" s="1"/>
  <x:c r="F14" i="266"/>
  <x:c r="C14" i="266"/>
  <x:c r="H16" i="335"/>
  <x:c r="K15" i="335"/>
  <x:c r="G14" i="333" s="1"/>
  <x:c r="J14" i="333" s="1"/>
  <x:c r="E18" i="335"/>
  <x:c r="H26" i="338"/>
  <x:c r="H27" i="338" s="1"/>
  <x:c r="E16" i="338"/>
  <x:c r="J15" i="338"/>
  <x:c r="G15" i="336" s="1"/>
  <x:c r="J15" i="336" s="1"/>
  <x:c r="G14" i="336"/>
  <x:c r="H25" i="341"/>
  <x:c r="H26" i="341" s="1"/>
  <x:c r="D14" i="341"/>
  <x:c r="K13" i="341"/>
  <x:c r="K13" i="342"/>
  <x:c r="D14" i="342"/>
  <x:c r="E37" i="213"/>
  <x:c r="G37" i="213"/>
  <x:c r="D17" i="29"/>
  <x:c r="F17" i="29" s="1"/>
  <x:c r="E79" i="123"/>
  <x:c r="E83" i="123" s="1"/>
  <x:c r="E85" i="123" s="1"/>
  <x:c r="F69" i="126"/>
  <x:c r="E69" i="126" s="1"/>
  <x:c r="E73" i="126" s="1"/>
  <x:c r="E75" i="126" s="1"/>
  <x:c r="H32" i="302"/>
  <x:c r="G32" i="302" s="1"/>
  <x:c r="D14" i="303" s="1"/>
  <x:c r="F14" i="303" s="1"/>
  <x:c r="F57" i="25"/>
  <x:c r="E57" i="25" s="1"/>
  <x:c r="H89" i="270"/>
  <x:c r="G89" i="270" s="1"/>
  <x:c r="D15" i="303" s="1"/>
  <x:c r="F15" i="303" s="1"/>
  <x:c r="L30" i="289"/>
  <x:c r="E73" i="289"/>
  <x:c r="K24" i="181"/>
  <x:c r="D17" i="1" s="1"/>
  <x:c r="H37" i="31"/>
  <x:c r="G37" i="31" s="1"/>
  <x:c r="D35" i="1" s="1"/>
  <x:c r="D24" i="266"/>
  <x:c r="F24" i="266"/>
  <x:c r="F18" i="170"/>
  <x:c r="D12" i="169" s="1"/>
  <x:c r="G18" i="170"/>
  <x:c r="D13" i="169" s="1"/>
  <x:c r="C21" i="266"/>
  <x:c r="F21" i="266"/>
  <x:c r="D21" i="266"/>
  <x:c r="L17" i="289"/>
  <x:c r="E70" i="289"/>
  <x:c r="E31" i="348"/>
  <x:c r="I23" i="349"/>
  <x:c r="D25" i="1" s="1"/>
  <x:c r="J13" i="169" l="1"/>
  <x:c r="C14" i="328"/>
  <x:c r="C11" i="121" s="1"/>
  <x:c r="H15" i="339"/>
  <x:c r="J14" i="339"/>
  <x:c r="F45" i="268"/>
  <x:c r="F46" i="268" s="1"/>
  <x:c r="F47" i="268" s="1"/>
  <x:c r="F48" i="268" s="1"/>
  <x:c r="F49" i="268" s="1"/>
  <x:c r="F50" i="268" s="1"/>
  <x:c r="F51" i="268" s="1"/>
  <x:c r="F52" i="268" s="1"/>
  <x:c r="F53" i="268" s="1"/>
  <x:c r="F54" i="268" s="1"/>
  <x:c r="F55" i="268" s="1"/>
  <x:c r="F56" i="268" s="1"/>
  <x:c r="F57" i="268" s="1"/>
  <x:c r="F58" i="268" s="1"/>
  <x:c r="F59" i="268" s="1"/>
  <x:c r="F60" i="268" s="1"/>
  <x:c r="F61" i="268" s="1"/>
  <x:c r="F62" i="268" s="1"/>
  <x:c r="F63" i="268" s="1"/>
  <x:c r="F64" i="268" s="1"/>
  <x:c r="F65" i="268" s="1"/>
  <x:c r="F66" i="268" s="1"/>
  <x:c r="F67" i="268" s="1"/>
  <x:c r="F68" i="268" s="1"/>
  <x:c r="F69" i="268" s="1"/>
  <x:c r="F70" i="268" s="1"/>
  <x:c r="F71" i="268" s="1"/>
  <x:c r="F72" i="268" s="1"/>
  <x:c r="F73" i="268" s="1"/>
  <x:c r="F74" i="268" s="1"/>
  <x:c r="F75" i="268" s="1"/>
  <x:c r="B80" i="268" s="1"/>
  <x:c r="B81" i="268" s="1"/>
  <x:c r="B82" i="268" s="1"/>
  <x:c r="B83" i="268" s="1"/>
  <x:c r="B84" i="268" s="1"/>
  <x:c r="B85" i="268" s="1"/>
  <x:c r="B86" i="268" s="1"/>
  <x:c r="B87" i="268" s="1"/>
  <x:c r="B88" i="268" s="1"/>
  <x:c r="B89" i="268" s="1"/>
  <x:c r="B90" i="268" s="1"/>
  <x:c r="B91" i="268" s="1"/>
  <x:c r="B92" i="268" s="1"/>
  <x:c r="B93" i="268" s="1"/>
  <x:c r="B94" i="268" s="1"/>
  <x:c r="B95" i="268" s="1"/>
  <x:c r="B96" i="268" s="1"/>
  <x:c r="B97" i="268" s="1"/>
  <x:c r="B98" i="268" s="1"/>
  <x:c r="B99" i="268" s="1"/>
  <x:c r="B100" i="268" s="1"/>
  <x:c r="B101" i="268" s="1"/>
  <x:c r="B102" i="268" s="1"/>
  <x:c r="B103" i="268" s="1"/>
  <x:c r="B104" i="268" s="1"/>
  <x:c r="B105" i="268" s="1"/>
  <x:c r="B106" i="268" s="1"/>
  <x:c r="B107" i="268" s="1"/>
  <x:c r="B108" i="268" s="1"/>
  <x:c r="B109" i="268" s="1"/>
  <x:c r="D12" i="291"/>
  <x:c r="D20" i="291" s="1"/>
  <x:c r="H13" i="296" s="1"/>
  <x:c r="H20" i="296" s="1"/>
  <x:c r="H12" i="148" s="1"/>
  <x:c r="D16" i="23"/>
  <x:c r="F16" i="23" s="1"/>
  <x:c r="C18" i="23"/>
  <x:c r="D18" i="23" s="1"/>
  <x:c r="F18" i="23" s="1"/>
  <x:c r="I32" i="348"/>
  <x:c r="L70" i="289"/>
  <x:c r="K70" i="289" s="1"/>
  <x:c r="E76" i="289"/>
  <x:c r="C14" i="24" s="1"/>
  <x:c r="C16" i="24" s="1"/>
  <x:c r="L73" i="289"/>
  <x:c r="C10" i="122"/>
  <x:c r="C11" i="122"/>
  <x:c r="C12" i="122"/>
  <x:c r="H17" i="335"/>
  <x:c r="K16" i="335"/>
  <x:c r="G15" i="333" s="1"/>
  <x:c r="J15" i="333" s="1"/>
  <x:c r="E19" i="335"/>
  <x:c r="J14" i="336"/>
  <x:c r="J16" i="338"/>
  <x:c r="E17" i="338"/>
  <x:c r="D15" i="341"/>
  <x:c r="K14" i="341"/>
  <x:c r="D15" i="342"/>
  <x:c r="K14" i="342"/>
  <x:c r="F37" i="213"/>
  <x:c r="D34" i="1" s="1"/>
  <x:c r="D18" i="29"/>
  <x:c r="F18" i="29" s="1"/>
  <x:c r="F84" i="250"/>
  <x:c r="D26" i="177"/>
  <x:c r="F26" i="177" s="1"/>
  <x:c r="F17" i="303"/>
  <x:c r="D17" i="303" s="1"/>
  <x:c r="D13" i="186" s="1"/>
  <x:c r="D15" i="176"/>
  <x:c r="D16" i="176"/>
  <x:c r="F13" i="186" l="1"/>
  <x:c r="J12" i="148"/>
  <x:c r="H16" i="339"/>
  <x:c r="J15" i="339"/>
  <x:c r="E13" i="296"/>
  <x:c r="E20" i="296" s="1"/>
  <x:c r="H10" i="148" s="1"/>
  <x:c r="D80" i="268"/>
  <x:c r="D81" i="268" s="1"/>
  <x:c r="D82" i="268" s="1"/>
  <x:c r="D83" i="268" s="1"/>
  <x:c r="D84" i="268" s="1"/>
  <x:c r="D85" i="268" s="1"/>
  <x:c r="D86" i="268" s="1"/>
  <x:c r="D87" i="268" s="1"/>
  <x:c r="D88" i="268" s="1"/>
  <x:c r="D89" i="268" s="1"/>
  <x:c r="D90" i="268" s="1"/>
  <x:c r="D91" i="268" s="1"/>
  <x:c r="D92" i="268" s="1"/>
  <x:c r="D93" i="268" s="1"/>
  <x:c r="D94" i="268" s="1"/>
  <x:c r="D95" i="268" s="1"/>
  <x:c r="D96" i="268" s="1"/>
  <x:c r="D97" i="268" s="1"/>
  <x:c r="D98" i="268" s="1"/>
  <x:c r="D99" i="268" s="1"/>
  <x:c r="D100" i="268" s="1"/>
  <x:c r="D101" i="268" s="1"/>
  <x:c r="D102" i="268" s="1"/>
  <x:c r="D103" i="268" s="1"/>
  <x:c r="D104" i="268" s="1"/>
  <x:c r="D105" i="268" s="1"/>
  <x:c r="D106" i="268" s="1"/>
  <x:c r="D107" i="268" s="1"/>
  <x:c r="F20" i="23"/>
  <x:c r="D28" i="1" s="1"/>
  <x:c r="K73" i="289"/>
  <x:c r="L76" i="289"/>
  <x:c r="K46" i="26"/>
  <x:c r="C14" i="122"/>
  <x:c r="C10" i="121" s="1"/>
  <x:c r="H18" i="335"/>
  <x:c r="K17" i="335"/>
  <x:c r="G16" i="333" s="1"/>
  <x:c r="J16" i="333" s="1"/>
  <x:c r="E20" i="335"/>
  <x:c r="E18" i="338"/>
  <x:c r="J17" i="338"/>
  <x:c r="G17" i="336" s="1"/>
  <x:c r="J17" i="336" s="1"/>
  <x:c r="G16" i="336"/>
  <x:c r="D16" i="341"/>
  <x:c r="K15" i="341"/>
  <x:c r="D16" i="342"/>
  <x:c r="K15" i="342"/>
  <x:c r="D19" i="29"/>
  <x:c r="F19" i="29" s="1"/>
  <x:c r="E84" i="250"/>
  <x:c r="F86" i="250"/>
  <x:c r="E86" i="250" s="1"/>
  <x:c r="D28" i="177"/>
  <x:c r="F28" i="177" s="1"/>
  <x:c r="J10" i="148" l="1"/>
  <x:c r="J14" i="148" s="1"/>
  <x:c r="H14" i="148" s="1"/>
  <x:c r="C13" i="1" s="1"/>
  <x:c r="H17" i="339"/>
  <x:c r="J16" i="339"/>
  <x:c r="D108" i="268"/>
  <x:c r="D109" i="268" s="1"/>
  <x:c r="D110" i="268" s="1"/>
  <x:c r="F80" i="268" s="1"/>
  <x:c r="F81" i="268" s="1"/>
  <x:c r="F82" i="268" s="1"/>
  <x:c r="F83" i="268" s="1"/>
  <x:c r="F84" i="268" s="1"/>
  <x:c r="F85" i="268" s="1"/>
  <x:c r="F86" i="268" s="1"/>
  <x:c r="F87" i="268" s="1"/>
  <x:c r="F88" i="268" s="1"/>
  <x:c r="F89" i="268" s="1"/>
  <x:c r="F90" i="268" s="1"/>
  <x:c r="F91" i="268" s="1"/>
  <x:c r="F92" i="268" s="1"/>
  <x:c r="F93" i="268" s="1"/>
  <x:c r="F94" i="268" s="1"/>
  <x:c r="F95" i="268" s="1"/>
  <x:c r="F96" i="268" s="1"/>
  <x:c r="F97" i="268" s="1"/>
  <x:c r="F98" i="268" s="1"/>
  <x:c r="F99" i="268" s="1"/>
  <x:c r="F100" i="268" s="1"/>
  <x:c r="F101" i="268" s="1"/>
  <x:c r="F102" i="268" s="1"/>
  <x:c r="F103" i="268" s="1"/>
  <x:c r="F104" i="268" s="1"/>
  <x:c r="F105" i="268" s="1"/>
  <x:c r="F106" i="268" s="1"/>
  <x:c r="F107" i="268" s="1"/>
  <x:c r="F108" i="268" s="1"/>
  <x:c r="F109" i="268" s="1"/>
  <x:c r="K76" i="289"/>
  <x:c r="D14" i="24" s="1"/>
  <x:c r="E14" i="24"/>
  <x:c r="H19" i="335"/>
  <x:c r="K18" i="335"/>
  <x:c r="G17" i="333" s="1"/>
  <x:c r="J17" i="333" s="1"/>
  <x:c r="E21" i="335"/>
  <x:c r="J16" i="336"/>
  <x:c r="E19" i="338"/>
  <x:c r="J18" i="338"/>
  <x:c r="G18" i="336" s="1"/>
  <x:c r="J18" i="336" s="1"/>
  <x:c r="D17" i="341"/>
  <x:c r="K16" i="341"/>
  <x:c r="D17" i="342"/>
  <x:c r="K16" i="342"/>
  <x:c r="B21" i="29"/>
  <x:c r="D21" i="29" s="1"/>
  <x:c r="F21" i="29" s="1"/>
  <x:c r="D20" i="29"/>
  <x:c r="F20" i="29" s="1"/>
  <x:c r="D30" i="177"/>
  <x:c r="F30" i="177" s="1"/>
  <x:c r="C28" i="1" l="1"/>
  <x:c r="C18" i="1"/>
  <x:c r="C21" i="1"/>
  <x:c r="C14" i="1"/>
  <x:c r="C34" i="1"/>
  <x:c r="C33" i="1"/>
  <x:c r="C25" i="1"/>
  <x:c r="C24" i="1"/>
  <x:c r="C17" i="1"/>
  <x:c r="C32" i="1"/>
  <x:c r="C23" i="1"/>
  <x:c r="C35" i="1"/>
  <x:c r="H18" i="339"/>
  <x:c r="J17" i="339"/>
  <x:c r="B115" i="268"/>
  <x:c r="B116" i="268" s="1"/>
  <x:c r="B117" i="268" s="1"/>
  <x:c r="B118" i="268" s="1"/>
  <x:c r="B119" i="268" s="1"/>
  <x:c r="B120" i="268" s="1"/>
  <x:c r="B121" i="268" s="1"/>
  <x:c r="B122" i="268" s="1"/>
  <x:c r="B123" i="268" s="1"/>
  <x:c r="B124" i="268" s="1"/>
  <x:c r="B125" i="268" s="1"/>
  <x:c r="B126" i="268" s="1"/>
  <x:c r="B127" i="268" s="1"/>
  <x:c r="B128" i="268" s="1"/>
  <x:c r="B129" i="268" s="1"/>
  <x:c r="B130" i="268" s="1"/>
  <x:c r="B131" i="268" s="1"/>
  <x:c r="B132" i="268" s="1"/>
  <x:c r="B133" i="268" s="1"/>
  <x:c r="B134" i="268" s="1"/>
  <x:c r="B135" i="268" s="1"/>
  <x:c r="B136" i="268" s="1"/>
  <x:c r="B137" i="268" s="1"/>
  <x:c r="B138" i="268" s="1"/>
  <x:c r="B139" i="268" s="1"/>
  <x:c r="B140" i="268" s="1"/>
  <x:c r="B141" i="268" s="1"/>
  <x:c r="B142" i="268" s="1"/>
  <x:c r="B143" i="268" s="1"/>
  <x:c r="B144" i="268" s="1"/>
  <x:c r="H20" i="335"/>
  <x:c r="K19" i="335"/>
  <x:c r="G18" i="333" s="1"/>
  <x:c r="J18" i="333" s="1"/>
  <x:c r="E22" i="335"/>
  <x:c r="E20" i="338"/>
  <x:c r="J19" i="338"/>
  <x:c r="G19" i="336" s="1"/>
  <x:c r="J19" i="336" s="1"/>
  <x:c r="D18" i="341"/>
  <x:c r="K17" i="341"/>
  <x:c r="K17" i="342"/>
  <x:c r="D18" i="342"/>
  <x:c r="F23" i="29"/>
  <x:c r="D33" i="1" s="1"/>
  <x:c r="D32" i="177"/>
  <x:c r="F32" i="177" s="1"/>
  <x:c r="F34" i="177" s="1"/>
  <x:c r="F15" i="176" l="1"/>
  <x:c r="F16" i="176" s="1"/>
  <x:c r="J16" i="176" s="1"/>
  <x:c r="H19" i="339"/>
  <x:c r="J18" i="339"/>
  <x:c r="B145" i="268"/>
  <x:c r="D115" i="268" s="1"/>
  <x:c r="D116" i="268" s="1"/>
  <x:c r="D117" i="268" s="1"/>
  <x:c r="D118" i="268" s="1"/>
  <x:c r="D119" i="268" s="1"/>
  <x:c r="D120" i="268" s="1"/>
  <x:c r="D121" i="268" s="1"/>
  <x:c r="D122" i="268" s="1"/>
  <x:c r="D123" i="268" s="1"/>
  <x:c r="D124" i="268" s="1"/>
  <x:c r="D125" i="268" s="1"/>
  <x:c r="D126" i="268" s="1"/>
  <x:c r="D127" i="268" s="1"/>
  <x:c r="D128" i="268" s="1"/>
  <x:c r="D129" i="268" s="1"/>
  <x:c r="D130" i="268" s="1"/>
  <x:c r="D131" i="268" s="1"/>
  <x:c r="D132" i="268" s="1"/>
  <x:c r="D133" i="268" s="1"/>
  <x:c r="D134" i="268" s="1"/>
  <x:c r="D135" i="268" s="1"/>
  <x:c r="D136" i="268" s="1"/>
  <x:c r="D137" i="268" s="1"/>
  <x:c r="D138" i="268" s="1"/>
  <x:c r="D139" i="268" s="1"/>
  <x:c r="D140" i="268" s="1"/>
  <x:c r="D141" i="268" s="1"/>
  <x:c r="D142" i="268" s="1"/>
  <x:c r="D143" i="268" s="1"/>
  <x:c r="D144" i="268" s="1"/>
  <x:c r="D145" i="268" s="1"/>
  <x:c r="F115" i="268" s="1"/>
  <x:c r="F116" i="268" s="1"/>
  <x:c r="F117" i="268" s="1"/>
  <x:c r="F118" i="268" s="1"/>
  <x:c r="F119" i="268" s="1"/>
  <x:c r="F120" i="268" s="1"/>
  <x:c r="F121" i="268" s="1"/>
  <x:c r="F122" i="268" s="1"/>
  <x:c r="F123" i="268" s="1"/>
  <x:c r="F124" i="268" s="1"/>
  <x:c r="F125" i="268" s="1"/>
  <x:c r="F126" i="268" s="1"/>
  <x:c r="F127" i="268" s="1"/>
  <x:c r="F128" i="268" s="1"/>
  <x:c r="F129" i="268" s="1"/>
  <x:c r="F130" i="268" s="1"/>
  <x:c r="F131" i="268" s="1"/>
  <x:c r="F132" i="268" s="1"/>
  <x:c r="F133" i="268" s="1"/>
  <x:c r="F134" i="268" s="1"/>
  <x:c r="F135" i="268" s="1"/>
  <x:c r="F136" i="268" s="1"/>
  <x:c r="F137" i="268" s="1"/>
  <x:c r="F138" i="268" s="1"/>
  <x:c r="F139" i="268" s="1"/>
  <x:c r="F140" i="268" s="1"/>
  <x:c r="F141" i="268" s="1"/>
  <x:c r="F142" i="268" s="1"/>
  <x:c r="F143" i="268" s="1"/>
  <x:c r="F144" i="268" s="1"/>
  <x:c r="H21" i="335"/>
  <x:c r="K20" i="335"/>
  <x:c r="G19" i="333" s="1"/>
  <x:c r="J19" i="333" s="1"/>
  <x:c r="E23" i="335"/>
  <x:c r="E21" i="338"/>
  <x:c r="J20" i="338"/>
  <x:c r="K18" i="341"/>
  <x:c r="D19" i="341"/>
  <x:c r="D19" i="342"/>
  <x:c r="K18" i="342"/>
  <x:c r="J15" i="176" l="1"/>
  <x:c r="H20" i="339"/>
  <x:c r="J19" i="339"/>
  <x:c r="H22" i="335"/>
  <x:c r="K21" i="335"/>
  <x:c r="G20" i="333" s="1"/>
  <x:c r="J20" i="333" s="1"/>
  <x:c r="E24" i="335"/>
  <x:c r="G20" i="336"/>
  <x:c r="E22" i="338"/>
  <x:c r="J21" i="338"/>
  <x:c r="G21" i="336" s="1"/>
  <x:c r="J21" i="336" s="1"/>
  <x:c r="D20" i="341"/>
  <x:c r="K19" i="341"/>
  <x:c r="D20" i="342"/>
  <x:c r="K19" i="342"/>
  <x:c r="H21" i="339" l="1"/>
  <x:c r="J20" i="339"/>
  <x:c r="H23" i="335"/>
  <x:c r="K22" i="335"/>
  <x:c r="G21" i="333" s="1"/>
  <x:c r="J21" i="333" s="1"/>
  <x:c r="E26" i="335"/>
  <x:c r="E27" i="335" s="1"/>
  <x:c r="J22" i="338"/>
  <x:c r="G22" i="336" s="1"/>
  <x:c r="J22" i="336" s="1"/>
  <x:c r="E23" i="338"/>
  <x:c r="J20" i="336"/>
  <x:c r="K20" i="341"/>
  <x:c r="D21" i="341"/>
  <x:c r="D21" i="342"/>
  <x:c r="K20" i="342"/>
  <x:c r="H22" i="339" l="1"/>
  <x:c r="J21" i="339"/>
  <x:c r="H24" i="335"/>
  <x:c r="K23" i="335"/>
  <x:c r="G22" i="333" s="1"/>
  <x:c r="J22" i="333" s="1"/>
  <x:c r="E24" i="338"/>
  <x:c r="J23" i="338"/>
  <x:c r="G23" i="336" s="1"/>
  <x:c r="J23" i="336" s="1"/>
  <x:c r="K21" i="341"/>
  <x:c r="D22" i="341"/>
  <x:c r="K21" i="342"/>
  <x:c r="D22" i="342"/>
  <x:c r="H23" i="339" l="1"/>
  <x:c r="J23" i="339" s="1"/>
  <x:c r="J22" i="339"/>
  <x:c r="H26" i="335"/>
  <x:c r="H27" i="335" s="1"/>
  <x:c r="K24" i="335"/>
  <x:c r="J24" i="338"/>
  <x:c r="E26" i="338"/>
  <x:c r="E27" i="338" s="1"/>
  <x:c r="K22" i="341"/>
  <x:c r="D23" i="341"/>
  <x:c r="D23" i="342"/>
  <x:c r="K22" i="342"/>
  <x:c r="H25" i="339" l="1"/>
  <x:c r="H26" i="339" s="1"/>
  <x:c r="K26" i="335"/>
  <x:c r="K27" i="335" s="1"/>
  <x:c r="G23" i="333"/>
  <x:c r="G24" i="336"/>
  <x:c r="J26" i="338"/>
  <x:c r="J27" i="338" s="1"/>
  <x:c r="J25" i="339"/>
  <x:c r="J26" i="339" s="1"/>
  <x:c r="C13" i="121" s="1"/>
  <x:c r="E25" i="339"/>
  <x:c r="E26" i="339" s="1"/>
  <x:c r="K23" i="341"/>
  <x:c r="D25" i="341"/>
  <x:c r="K23" i="342"/>
  <x:c r="D25" i="342"/>
  <x:c r="G25" i="333" l="1"/>
  <x:c r="G26" i="333" s="1"/>
  <x:c r="J23" i="333"/>
  <x:c r="J25" i="333" s="1"/>
  <x:c r="J24" i="336"/>
  <x:c r="J26" i="336" s="1"/>
  <x:c r="G26" i="336"/>
  <x:c r="G27" i="336" s="1"/>
  <x:c r="J27" i="336" s="1"/>
  <x:c r="D12" i="332" s="1"/>
  <x:c r="D26" i="341"/>
  <x:c r="K25" i="341"/>
  <x:c r="K26" i="341" s="1"/>
  <x:c r="C10" i="340" s="1"/>
  <x:c r="D26" i="342"/>
  <x:c r="K25" i="342"/>
  <x:c r="K26" i="342" s="1"/>
  <x:c r="C11" i="340" s="1"/>
  <x:c r="J26" i="333" l="1"/>
  <x:c r="D11" i="332" s="1"/>
  <x:c r="D14" i="332" s="1"/>
  <x:c r="C12" i="121" s="1"/>
  <x:c r="C12" i="340"/>
  <x:c r="C14" i="121" s="1"/>
  <x:c r="C16" i="121" l="1"/>
  <x:c r="D42" i="1" s="1"/>
  <x:c r="G35" i="309" l="1"/>
  <x:c r="H35" i="309" s="1"/>
  <x:c r="G14" i="309"/>
  <x:c r="H14" i="309" s="1"/>
  <x:c r="G13" i="309"/>
  <x:c r="H13" i="309" s="1"/>
  <x:c r="G12" i="309"/>
  <x:c r="H12" i="309" s="1"/>
  <x:c r="H37" i="309" l="1"/>
  <x:c r="G37" i="309" s="1"/>
  <x:c r="D15" i="186" s="1"/>
  <x:c r="F15" i="186" s="1"/>
  <x:c r="H143" i="307" l="1"/>
  <x:c r="G143" i="307" s="1"/>
  <x:c r="D15" i="304" s="1"/>
  <x:c r="F15" i="304" s="1"/>
  <x:c r="F17" i="304" s="1"/>
  <x:c r="D17" i="304" s="1"/>
  <x:c r="D14" i="186" s="1"/>
  <x:c r="F14" i="186" l="1"/>
  <x:c r="F17" i="186" s="1"/>
  <x:c r="D17" i="186" s="1"/>
  <x:c r="D23" i="1" l="1"/>
  <x:c r="D18" i="1"/>
  <x:c r="F27" i="199" l="1"/>
  <x:c r="C10" i="176" l="1"/>
  <x:c r="C17" i="176"/>
  <x:c r="C16" i="176" l="1"/>
  <x:c r="K16" i="176" s="1"/>
  <x:c r="C15" i="176"/>
  <x:c r="K15" i="176" s="1"/>
  <x:c r="K17" i="176" l="1"/>
  <x:c r="J17" i="176" s="1"/>
  <x:c r="D14" i="1" s="1"/>
  <x:c r="C15" i="169" l="1"/>
  <x:c r="C12" i="169" l="1"/>
  <x:c r="K12" i="169" s="1"/>
  <x:c r="F18" i="169"/>
  <x:c r="E88" i="250" s="1"/>
  <x:c r="E90" i="250" s="1"/>
  <x:c r="C13" i="169"/>
  <x:c r="K13" i="169" s="1"/>
  <x:c r="K15" i="169" s="1"/>
  <x:c r="K18" i="169" l="1"/>
  <x:c r="J18" i="169" s="1"/>
  <x:c r="D13" i="1" s="1"/>
  <x:c r="J15" i="169"/>
  <x:c r="D12" i="24"/>
  <x:c r="F90" i="250"/>
  <x:c r="E12" i="24" s="1"/>
  <x:c r="E16" i="24" s="1"/>
  <x:c r="D16" i="24" s="1"/>
  <x:c r="D32" i="1" s="1"/>
</x:calcChain>
</file>

<file path=xl/sharedStrings.xml><?xml version="1.0" encoding="utf-8"?>
<sst xmlns="http://schemas.openxmlformats.org/spreadsheetml/2006/main" count="3186" uniqueCount="1205">
  <si>
    <t>FERC Account No.</t>
  </si>
  <si>
    <t>Twelve-Month Amortization</t>
  </si>
  <si>
    <t>Insurance</t>
  </si>
  <si>
    <t>Membership Dues</t>
  </si>
  <si>
    <t>Total Distribution</t>
  </si>
  <si>
    <t>MISCELLANEOUS WORKING FUNDS SUMMARY</t>
  </si>
  <si>
    <t>SUMMARY OF EMPLOYEE ACCOUNT RECEIVABLE</t>
  </si>
  <si>
    <t>HOME PURCHASE PLAN</t>
  </si>
  <si>
    <t>Transmission Division</t>
  </si>
  <si>
    <t>Average service period</t>
  </si>
  <si>
    <t>Revenue Type</t>
  </si>
  <si>
    <t>Revenues</t>
  </si>
  <si>
    <t>Revenue Lag Days</t>
  </si>
  <si>
    <t>Wtd Dollar Days</t>
  </si>
  <si>
    <t>FIM</t>
  </si>
  <si>
    <t>Expense</t>
  </si>
  <si>
    <t>From</t>
  </si>
  <si>
    <t>Total Days</t>
  </si>
  <si>
    <t>Mid-Point</t>
  </si>
  <si>
    <t>Working Funds and Other</t>
  </si>
  <si>
    <t>Federal Income Taxes</t>
  </si>
  <si>
    <t>Taxes Other Than Income Taxes</t>
  </si>
  <si>
    <t>Average Daily Bank Balances</t>
  </si>
  <si>
    <t>Description</t>
  </si>
  <si>
    <t>Amount</t>
  </si>
  <si>
    <t>Reference</t>
  </si>
  <si>
    <t>Total</t>
  </si>
  <si>
    <t>13 Month Average</t>
  </si>
  <si>
    <t>1st Pay Period</t>
  </si>
  <si>
    <t>2nd Pay Period</t>
  </si>
  <si>
    <t>Days Payday Moved Up</t>
  </si>
  <si>
    <t>Check Float</t>
  </si>
  <si>
    <t xml:space="preserve">     Direct Deposit</t>
  </si>
  <si>
    <t xml:space="preserve">     Manual</t>
  </si>
  <si>
    <t>Payroll</t>
  </si>
  <si>
    <t>Line</t>
  </si>
  <si>
    <t>No.</t>
  </si>
  <si>
    <t>Direct Deposit</t>
  </si>
  <si>
    <t>Weighted Dollar Days</t>
  </si>
  <si>
    <t>Net Amount</t>
  </si>
  <si>
    <t>Line No.</t>
  </si>
  <si>
    <t>(Lead)/Lag</t>
  </si>
  <si>
    <t>Total (Lead)/Lag</t>
  </si>
  <si>
    <t>To</t>
  </si>
  <si>
    <t>(Lead)/Lag Days</t>
  </si>
  <si>
    <t>Lead Days</t>
  </si>
  <si>
    <t>Revenue</t>
  </si>
  <si>
    <t>Semi-Monthly</t>
  </si>
  <si>
    <t>Return</t>
  </si>
  <si>
    <t>Depreciation Expense</t>
  </si>
  <si>
    <t>(a)</t>
  </si>
  <si>
    <t>(b)</t>
  </si>
  <si>
    <t>(d)</t>
  </si>
  <si>
    <t>(e)</t>
  </si>
  <si>
    <t>(f)</t>
  </si>
  <si>
    <t>(g)</t>
  </si>
  <si>
    <t>Month/
Year</t>
  </si>
  <si>
    <t>(c)</t>
  </si>
  <si>
    <t>(h)</t>
  </si>
  <si>
    <t>(i)</t>
  </si>
  <si>
    <t>Note:</t>
  </si>
  <si>
    <t>Total Payments</t>
  </si>
  <si>
    <t>Days in Period:</t>
  </si>
  <si>
    <t>Month/Year</t>
  </si>
  <si>
    <t>Payroll Lead Formula:</t>
  </si>
  <si>
    <t xml:space="preserve">Line No. </t>
  </si>
  <si>
    <t>Percent</t>
  </si>
  <si>
    <t>(j)</t>
  </si>
  <si>
    <t>Dollar</t>
  </si>
  <si>
    <t>FICA</t>
  </si>
  <si>
    <t>Deposit</t>
  </si>
  <si>
    <t>Check Date</t>
  </si>
  <si>
    <t>Dollar Days</t>
  </si>
  <si>
    <t>FUTA</t>
  </si>
  <si>
    <t>SUTA</t>
  </si>
  <si>
    <t>Payment</t>
  </si>
  <si>
    <t>Month</t>
  </si>
  <si>
    <t>Total T&amp;D</t>
  </si>
  <si>
    <t>Federal &amp; State Unemployment</t>
  </si>
  <si>
    <t>Period</t>
  </si>
  <si>
    <t>Manual Checks</t>
  </si>
  <si>
    <t>Total - Direct Deposit and Manual Checks</t>
  </si>
  <si>
    <t>Percent Paid via Direct Deposit</t>
  </si>
  <si>
    <t>Percent Paid via Manual Check</t>
  </si>
  <si>
    <t>(2)</t>
  </si>
  <si>
    <t>(1)</t>
  </si>
  <si>
    <t>Accrual Date</t>
  </si>
  <si>
    <t>Mid Month</t>
  </si>
  <si>
    <t>Payout Date</t>
  </si>
  <si>
    <t>AVERAGE DAILY BANK BALANCES</t>
  </si>
  <si>
    <t>WORKING FUNDS AND OTHER</t>
  </si>
  <si>
    <t>Statutory %</t>
  </si>
  <si>
    <t>of Total</t>
  </si>
  <si>
    <t>Weighted</t>
  </si>
  <si>
    <t>Date</t>
  </si>
  <si>
    <t>Mid-Year</t>
  </si>
  <si>
    <t>Taxes for Year</t>
  </si>
  <si>
    <t>Days</t>
  </si>
  <si>
    <t xml:space="preserve">Weighted </t>
  </si>
  <si>
    <t>Days Paid</t>
  </si>
  <si>
    <t>After EOM</t>
  </si>
  <si>
    <t>Collection Lag</t>
  </si>
  <si>
    <t>Operating Revenues Lag Days</t>
  </si>
  <si>
    <t xml:space="preserve">FICA </t>
  </si>
  <si>
    <t>Operation &amp; Maintenance Expenses</t>
  </si>
  <si>
    <t>Total Payroll</t>
  </si>
  <si>
    <t>Lag Days*</t>
  </si>
  <si>
    <t>N/A</t>
  </si>
  <si>
    <t xml:space="preserve">(c) </t>
  </si>
  <si>
    <t>PAYROLL LEAD - DIRECT DEPOSIT CALCULATION</t>
  </si>
  <si>
    <t xml:space="preserve">   Transmission</t>
  </si>
  <si>
    <t xml:space="preserve">   Distribution</t>
  </si>
  <si>
    <t>Difference</t>
  </si>
  <si>
    <t>Transmission</t>
  </si>
  <si>
    <t>Distribution</t>
  </si>
  <si>
    <t xml:space="preserve">    Total </t>
  </si>
  <si>
    <t>Corporate</t>
  </si>
  <si>
    <t>JPMorgan Chase Bank</t>
  </si>
  <si>
    <t>Relocation Advances</t>
  </si>
  <si>
    <t>Travel Advances</t>
  </si>
  <si>
    <t>Working Funds - Petty Cash</t>
  </si>
  <si>
    <t>Beginning Balance</t>
  </si>
  <si>
    <t>Ending Balance at…</t>
  </si>
  <si>
    <t>GL Activity</t>
  </si>
  <si>
    <t>13 Month Total</t>
  </si>
  <si>
    <t xml:space="preserve">Deferred </t>
  </si>
  <si>
    <t>Deferred</t>
  </si>
  <si>
    <t>Debits</t>
  </si>
  <si>
    <t>Ref</t>
  </si>
  <si>
    <t xml:space="preserve"> Credits</t>
  </si>
  <si>
    <t>Job Orders</t>
  </si>
  <si>
    <t>1862700</t>
  </si>
  <si>
    <t>Beg Bal</t>
  </si>
  <si>
    <t>IBNR  Medical and Dental</t>
  </si>
  <si>
    <t>253.1000</t>
  </si>
  <si>
    <t>253.1010</t>
  </si>
  <si>
    <t>2531000 - This is an estimated liability (IBNR) for medical and dental claims incurred by employees but not submitted for processing.</t>
  </si>
  <si>
    <t xml:space="preserve">2531010 – This is an estimated liability (IBNR) for personal injury and property damage claims outstanding.  </t>
  </si>
  <si>
    <t>Beg Bal.</t>
  </si>
  <si>
    <t>13 Month Avg.</t>
  </si>
  <si>
    <t xml:space="preserve">13 Month Avg. </t>
  </si>
  <si>
    <t>Energy Cons.</t>
  </si>
  <si>
    <t>Appliances</t>
  </si>
  <si>
    <t>Payroll Adv.</t>
  </si>
  <si>
    <t xml:space="preserve">Loans to employees to purchase qualifying "energy efficient" items.  The Company pays 90% of the total cost and an amount </t>
  </si>
  <si>
    <t xml:space="preserve">   is deducted from the employee's check.</t>
  </si>
  <si>
    <t>Includes temporary advances to employees for emergency purposes, EXPAT, overtime not paid correctly, etc.</t>
  </si>
  <si>
    <t xml:space="preserve">    Misc. Funds</t>
  </si>
  <si>
    <t>FICA Taxes</t>
  </si>
  <si>
    <t>Federal Income Tax Withholding</t>
  </si>
  <si>
    <t>Thrift Plan Withholding</t>
  </si>
  <si>
    <t>Total Payroll Withholding</t>
  </si>
  <si>
    <t>Payroll Check Date</t>
  </si>
  <si>
    <t>FICA Amount</t>
  </si>
  <si>
    <t>Deposit Date</t>
  </si>
  <si>
    <t>FIT Withholding Amount</t>
  </si>
  <si>
    <t>Payroll Period Check Date</t>
  </si>
  <si>
    <t>Distribution Division</t>
  </si>
  <si>
    <t>COLLECTION LAG</t>
  </si>
  <si>
    <t>AD VALOREM TAXES</t>
  </si>
  <si>
    <t>PAYROLL WITHHOLDING - DISTRIBUTION</t>
  </si>
  <si>
    <t>PAYROLL WITHHOLDING - TRANSMISSION</t>
  </si>
  <si>
    <t>FEDERAL INCOME TAX WITHHOLDING - TRANSMISSION</t>
  </si>
  <si>
    <t>FEDERAL INCOME TAX WITHHOLDING - DISTRIBUTION</t>
  </si>
  <si>
    <t>THRIFT PLAN WITHHOLDING - DISTRIBUTION</t>
  </si>
  <si>
    <t>THRIFT PLAN WITHHOLDING - TRANSMISSION</t>
  </si>
  <si>
    <t>MISCELLANEOUS WORKING FUNDS - CORPORATE</t>
  </si>
  <si>
    <t>MISCELLANEOUS WORKING FUNDS - TRANSMISSION</t>
  </si>
  <si>
    <t>MISCELLANEOUS WORKING FUNDS - DISTRIBUTION</t>
  </si>
  <si>
    <t>DEFERRED DEBITS/CREDITS - TRANSMISSION</t>
  </si>
  <si>
    <t>DEFERRED DEBITS/CREDITS - DISTRIBUTION</t>
  </si>
  <si>
    <t>DEFERRED DEBITS - TRANSMISSION</t>
  </si>
  <si>
    <t>DEFERRED DEBITS - DISTRIBUTION</t>
  </si>
  <si>
    <t>DEFERRED CREDITS - TRANSMISSION</t>
  </si>
  <si>
    <t>DEFERRED CREDITS - DISTRIBUTION</t>
  </si>
  <si>
    <t>*  WP/II-B-9/1</t>
  </si>
  <si>
    <t>WP/II-B-9/2</t>
  </si>
  <si>
    <t>WP/II-B-9/3</t>
  </si>
  <si>
    <t>WP/II-B-9/4</t>
  </si>
  <si>
    <t>WP/II-B-9/5</t>
  </si>
  <si>
    <t>WP/II-B-9/6</t>
  </si>
  <si>
    <t>WP/II-B-9/7</t>
  </si>
  <si>
    <t>WP/II-B-9/8</t>
  </si>
  <si>
    <t>WP/II-B-9/1-1</t>
  </si>
  <si>
    <t>WP/II-B-9/2-2</t>
  </si>
  <si>
    <t>WP/II-B-9/2-1</t>
  </si>
  <si>
    <t>Total of Daily Balances</t>
  </si>
  <si>
    <t>City</t>
  </si>
  <si>
    <t>PREPAID TAX AMORTIZATION</t>
  </si>
  <si>
    <t>Local Gross Receipt Tax Amortization</t>
  </si>
  <si>
    <t>Business Unit</t>
  </si>
  <si>
    <t>Bi-Weekly</t>
  </si>
  <si>
    <t>Conditions:</t>
  </si>
  <si>
    <t>Pay Periods cover 14 days.</t>
  </si>
  <si>
    <t>Start on Monday and end on the second following Sunday.</t>
  </si>
  <si>
    <t>Payroll Expense</t>
  </si>
  <si>
    <t xml:space="preserve">Receipt of funds lag </t>
  </si>
  <si>
    <t xml:space="preserve">Line </t>
  </si>
  <si>
    <t xml:space="preserve">No. </t>
  </si>
  <si>
    <t xml:space="preserve">Total Bi-Weekly Pay </t>
  </si>
  <si>
    <t xml:space="preserve">Billing Process Lag  </t>
  </si>
  <si>
    <t>First Cycle</t>
  </si>
  <si>
    <t>Second Cycle</t>
  </si>
  <si>
    <t>CUSTOMER INFORMATION SYSTEM DAILY ACCOUNTS RECEIVABLE</t>
  </si>
  <si>
    <t>Later of Due Date</t>
  </si>
  <si>
    <t>Check Cleared</t>
  </si>
  <si>
    <t>or Check Clear</t>
  </si>
  <si>
    <t>Weighted Dollar</t>
  </si>
  <si>
    <t>Voucher</t>
  </si>
  <si>
    <t>Lag/Lead</t>
  </si>
  <si>
    <t>(1)  The calculation is Col (b) Ln 9 divided by Col (d) Ln 9.</t>
  </si>
  <si>
    <t>(2)  The calculation is Col (c) Ln 9 divided by Col (d) Ln 9.</t>
  </si>
  <si>
    <t>Labor</t>
  </si>
  <si>
    <t>Non-Labor</t>
  </si>
  <si>
    <t>Payroll Taxes</t>
  </si>
  <si>
    <t>State Gross Margin Taxes</t>
  </si>
  <si>
    <t>Local Franchise Taxes</t>
  </si>
  <si>
    <t>Ad Valorem Taxes</t>
  </si>
  <si>
    <t>Current</t>
  </si>
  <si>
    <t>WP/II-B-9/9</t>
  </si>
  <si>
    <t>WP/II-B-9/10</t>
  </si>
  <si>
    <t>WP/II-B-9/11</t>
  </si>
  <si>
    <t>WP/II-B-9/12</t>
  </si>
  <si>
    <t>WP/II-B-9/13</t>
  </si>
  <si>
    <t>WP/II-B-9/14</t>
  </si>
  <si>
    <t>Average</t>
  </si>
  <si>
    <t>WP/II-B-9/3-1</t>
  </si>
  <si>
    <t>WP/II-B-9/2-6</t>
  </si>
  <si>
    <t>WP/II-B-9/2-4</t>
  </si>
  <si>
    <t>Total Lead Days</t>
  </si>
  <si>
    <t>Source:</t>
  </si>
  <si>
    <t>Paid</t>
  </si>
  <si>
    <t>Due</t>
  </si>
  <si>
    <t>Later of Paid</t>
  </si>
  <si>
    <t>Prepaid</t>
  </si>
  <si>
    <t>Prepaid Local Franchise Tax</t>
  </si>
  <si>
    <t>Prepaid Non-labor (Third Party) O&amp;M</t>
  </si>
  <si>
    <t>Lead Days from Midpoint to Payroll Payment Date</t>
  </si>
  <si>
    <t>Due Date</t>
  </si>
  <si>
    <t>IBNR Per Injury Prop Damage</t>
  </si>
  <si>
    <t>A/R Balance</t>
  </si>
  <si>
    <t>Total Transmission &amp; Distribution</t>
  </si>
  <si>
    <t>Payroll Type</t>
  </si>
  <si>
    <t>Period/Business Unit</t>
  </si>
  <si>
    <t>Withholding Amount</t>
  </si>
  <si>
    <t>PAYROLL LEAD - BI-WEEKLY PAYROLL CALCULATION</t>
  </si>
  <si>
    <t>PAYROLL LEAD - SEMI-MONTHLY PAYROLL CALCULATION</t>
  </si>
  <si>
    <t>PAYROLL LEAD - PAY CYCLE CALCULATION</t>
  </si>
  <si>
    <t>PAYROLL LEAD - CHECK FLOAT CALCULATION</t>
  </si>
  <si>
    <t>LABOR - PAYROLL LEAD DAYS</t>
  </si>
  <si>
    <t>FEDERAL INCOME TAX LEAD DAYS</t>
  </si>
  <si>
    <t>PAYROLL TAXES - FEDERAL AND STATE UNEMPLOYMENT TAX LEAD DAY CALCULATION - DISTRIBUTION</t>
  </si>
  <si>
    <t>PAYROLL TAXES - FICA TAX LEAD DAY CALCULATION - TRANSMISSION</t>
  </si>
  <si>
    <t>PAYROLL TAXES - FICA TAX LEAD DAY CALCULATION - DISTRIBUTION</t>
  </si>
  <si>
    <t>PAYROLL TAXES - FEDERAL AND STATE UNEMPLOYMENT TAX LEAD DAY CALCULATION - TRANSMISSION</t>
  </si>
  <si>
    <t>PAYROLL TAX LEAD DAY CALCULATION</t>
  </si>
  <si>
    <t>PAYROLL WITHHOLDING BALANCES</t>
  </si>
  <si>
    <t>DEFERRED DEBITS/CREDITS SUMMARY</t>
  </si>
  <si>
    <t>EMPLOYEE ACCOUNT RECEIVABLE - TRANSMISSION</t>
  </si>
  <si>
    <t>PREPAID O&amp;M AMORTIZATION</t>
  </si>
  <si>
    <t>Total Payroll Related Taxes</t>
  </si>
  <si>
    <t>Misc. Working Funds</t>
  </si>
  <si>
    <t>Misc. Deferred Debits &amp; Credits</t>
  </si>
  <si>
    <t>Home Purchase Plan</t>
  </si>
  <si>
    <t>Other Accounts Receivables</t>
  </si>
  <si>
    <t>LABOR - INCENTIVE PAY LEAD DAYS</t>
  </si>
  <si>
    <t>Incentive Pay</t>
  </si>
  <si>
    <t>METER READER INCENTIVE LEAD DAYS - PAYMENT CALCULATION</t>
  </si>
  <si>
    <t>Employee loan used for the purchase of appliances.</t>
  </si>
  <si>
    <t>Sources:</t>
  </si>
  <si>
    <t>BILLING LAG</t>
  </si>
  <si>
    <t>Hours</t>
  </si>
  <si>
    <t>Period from Meter Reading Date to Invoice Date:</t>
  </si>
  <si>
    <t>Calculated from invoice sample</t>
  </si>
  <si>
    <t>Total Billing Lag Days</t>
  </si>
  <si>
    <t>Amort of</t>
  </si>
  <si>
    <t>Accrued</t>
  </si>
  <si>
    <t>Portion</t>
  </si>
  <si>
    <t>Schedule II-D-3 *</t>
  </si>
  <si>
    <t>*Net of Incentive Pay</t>
  </si>
  <si>
    <t>PAYROLL LEAD - BI-WEEKLY/SEMI-MONTHLY PAY CALCULATION</t>
  </si>
  <si>
    <t>Monthly Total</t>
  </si>
  <si>
    <t>Total Accounts Receivable</t>
  </si>
  <si>
    <t>Subtotal</t>
  </si>
  <si>
    <t>14 days.   Midpoint = 7</t>
  </si>
  <si>
    <t>REVENUE LAG BY REVENUE TYPE</t>
  </si>
  <si>
    <t>OVERALL REVENUE LAG</t>
  </si>
  <si>
    <t>WP/II-B-9/1-1-2</t>
  </si>
  <si>
    <t>WP/II-B-9/1-1-3</t>
  </si>
  <si>
    <t>Invoice Number</t>
  </si>
  <si>
    <t>Meter Read Date</t>
  </si>
  <si>
    <t>Invoice Date</t>
  </si>
  <si>
    <t>Lag Days from Meter Read to Invoice</t>
  </si>
  <si>
    <t>Meter Read Day of Week</t>
  </si>
  <si>
    <t>REVENUE LAG - CALCULATION OF LAG DAYS FROM METER READ TO INVOICE (INVOICE SAMPLE RESULTS)</t>
  </si>
  <si>
    <t>WP/II-B-9/1-1-2-1</t>
  </si>
  <si>
    <t>CALCULATION OF COLLECTION LAG</t>
  </si>
  <si>
    <t>Collection Lag Days</t>
  </si>
  <si>
    <t>WP/II-B-9/1-1-3-1</t>
  </si>
  <si>
    <t>Source: WP/II-B-9/1-1-3-1-1</t>
  </si>
  <si>
    <t>Begin</t>
  </si>
  <si>
    <t>Type of</t>
  </si>
  <si>
    <t>Begin Date</t>
  </si>
  <si>
    <t>NON-LABOR O&amp;M - THIRD PARTY O&amp;M - TRANSMISSION</t>
  </si>
  <si>
    <t>Strata</t>
  </si>
  <si>
    <t>Population</t>
  </si>
  <si>
    <t>Item Amount_&gt;= $10,000 and &lt;= $25,000</t>
  </si>
  <si>
    <t>Item Amount &lt; $10,000</t>
  </si>
  <si>
    <t>Item Amount &gt; $25,000</t>
  </si>
  <si>
    <t>NON-LABOR O&amp;M - THIRD PARTY O&amp;M SAMPLE - TRANSMISSION (STRATA 1: &lt;$10,000)</t>
  </si>
  <si>
    <t>NON-LABOR O&amp;M - THIRD PARTY O&amp;M SAMPLE - TRANSMISSION (STRATA 3: &gt;$25,000)</t>
  </si>
  <si>
    <t>NON-LABOR O&amp;M - THIRD PARTY O&amp;M SAMPLE - TRANSMISSION (STRATA 2: &gt;=$10,000 AND &lt;=$25,000)</t>
  </si>
  <si>
    <t>NON-LABOR O&amp;M - THIRD PARTY O&amp;M - DISTRIBUTION</t>
  </si>
  <si>
    <t>NON-LABOR O&amp;M - THIRD PARTY O&amp;M SAMPLE - DISTRIBUTION (STRATA 1: &lt;$10,000)</t>
  </si>
  <si>
    <t>NON-LABOR O&amp;M - THIRD PARTY O&amp;M SAMPLE - DISTRIBUTION (STRATA 2: &gt;=$10,000 AND &lt;=$25,000)</t>
  </si>
  <si>
    <t>NON-LABOR O&amp;M - THIRD PARTY O&amp;M SAMPLE - DISTRIBUTION (STRATA 3: &gt;$25,000)</t>
  </si>
  <si>
    <t>NON-LABOR O&amp;M - THIRD PARTY O&amp;M SAMPLE - CORPORATE (DETAIL)</t>
  </si>
  <si>
    <t>County</t>
  </si>
  <si>
    <t>Collector</t>
  </si>
  <si>
    <t>Collection Lag (Line 1/Line 2)</t>
  </si>
  <si>
    <t>STATE GROSS MARGIN TAX</t>
  </si>
  <si>
    <t>Local Gross Receipt Taxes are either prepaid from account 165.9000 or in arrears from Account 236.2410</t>
  </si>
  <si>
    <t>Discretionary Charges are all paid from account 236.2415 and were paid by check.</t>
  </si>
  <si>
    <t>* Twenty five largest tax payments were used.  Top Twenty five = 69% of payments for local gross receipts</t>
  </si>
  <si>
    <t>Amortized O&amp;M Expenses</t>
  </si>
  <si>
    <t>WP/II-B-9/13-1</t>
  </si>
  <si>
    <t>WP/II-B-9/13-2</t>
  </si>
  <si>
    <t>WP/II-B-9/13-3</t>
  </si>
  <si>
    <t>WP/II-B-9/13-4</t>
  </si>
  <si>
    <t>WP/II-B-9/13-5</t>
  </si>
  <si>
    <t>WP/II-B-9/13-1-1 AND WP/II-B-9/13-1-2</t>
  </si>
  <si>
    <t>WP/II-B-9/13-1-3 AND WP/II-B-9/13-1-4</t>
  </si>
  <si>
    <t>WP/II-B-9/13-1-5 AND WP/II-B-9/13-1-6</t>
  </si>
  <si>
    <t>WP/II-B-9/13-2-1</t>
  </si>
  <si>
    <t>WP/II-B-9/13-2-2</t>
  </si>
  <si>
    <t>WP/II-B-9/13-2-3</t>
  </si>
  <si>
    <t>WP/II-B-9/13-3-1</t>
  </si>
  <si>
    <t>WP/II-B-9/13-3-2</t>
  </si>
  <si>
    <t>WP/II-B-9/13-3-1-1</t>
  </si>
  <si>
    <t>WP/II-B-9/13-3-1-2</t>
  </si>
  <si>
    <t>WP/II-B-9/13-3-2-1</t>
  </si>
  <si>
    <t>WP/II-B-9/13-3-2-2</t>
  </si>
  <si>
    <t>WP/II-B-9/13-5-1</t>
  </si>
  <si>
    <t>WP/II-B-9/13-5-2</t>
  </si>
  <si>
    <t>WP/II-B-9/15</t>
  </si>
  <si>
    <t>WP/II-B-9/6-1</t>
  </si>
  <si>
    <t>WP/II-B-9/6-2</t>
  </si>
  <si>
    <t>WP/II-B-9/6-3</t>
  </si>
  <si>
    <t>WP/II-B-9/6-1-1</t>
  </si>
  <si>
    <t>WP/II-B-9/6-1-2</t>
  </si>
  <si>
    <t>WP/II-B-9/6-1-3</t>
  </si>
  <si>
    <t>WP/II-B-9/6-2-1</t>
  </si>
  <si>
    <t>WP/II-B-9/6-2-2</t>
  </si>
  <si>
    <t>WP/II-B-9/6-2-3</t>
  </si>
  <si>
    <t>WP/II-B-9/8-1</t>
  </si>
  <si>
    <t>WP/II-B-9/8-2</t>
  </si>
  <si>
    <t>Transmission (WP/II-B-9/8-1-2)</t>
  </si>
  <si>
    <t>NON-LABOR O&amp;M - OTHER THIRD PARTY O&amp;M</t>
  </si>
  <si>
    <t>TCOS - NON-ONCOR</t>
  </si>
  <si>
    <t>Scheduled Payday</t>
  </si>
  <si>
    <t>Actual Payday</t>
  </si>
  <si>
    <t>Days from end of Service Period to Payment</t>
  </si>
  <si>
    <t>TCOS</t>
  </si>
  <si>
    <t>Oncor</t>
  </si>
  <si>
    <t>Non-Oncor</t>
  </si>
  <si>
    <t>Payroll Withholdings</t>
  </si>
  <si>
    <t>LEAD-LAG STUDY RESULTS</t>
  </si>
  <si>
    <t>WP/II-B-9/6-4</t>
  </si>
  <si>
    <t xml:space="preserve">      Other O&amp;M</t>
  </si>
  <si>
    <t>Source - Trial Balance - TRN</t>
  </si>
  <si>
    <t>Source - Trial Balance - ESD</t>
  </si>
  <si>
    <t>Source - Trial Balance - TRNDS</t>
  </si>
  <si>
    <t>Source - Tabs 13-3-1-1 &amp; 13-3-1-2-TRN</t>
  </si>
  <si>
    <t>Source - Tabs 13-3-2-1 &amp; 13-3-2-2-ESD</t>
  </si>
  <si>
    <t>Transmission Activity</t>
  </si>
  <si>
    <t>Distribution Activity</t>
  </si>
  <si>
    <t>174.6000</t>
  </si>
  <si>
    <t>Energy Cons. Activity</t>
  </si>
  <si>
    <t>Appliances Activity</t>
  </si>
  <si>
    <t>Payroll Adv. Activity</t>
  </si>
  <si>
    <t>EMPLOYEE ACCOUNT RECEIVABLE - DISTRIBUTION</t>
  </si>
  <si>
    <t>Third Cycle</t>
  </si>
  <si>
    <t>Current Software Services &amp; Maintenance</t>
  </si>
  <si>
    <t>% of Total</t>
  </si>
  <si>
    <t>Payment Date</t>
  </si>
  <si>
    <t>Dollars</t>
  </si>
  <si>
    <t xml:space="preserve">Dollars </t>
  </si>
  <si>
    <t xml:space="preserve">Source:   </t>
  </si>
  <si>
    <t>FIT Payment Dates.pdf</t>
  </si>
  <si>
    <t>ONCOR ELECTRIC DELIVERY COMPANY LLC</t>
  </si>
  <si>
    <t>O&amp;M EXPENDITURES - PENSION BENEFITS</t>
  </si>
  <si>
    <t>Payment Type</t>
  </si>
  <si>
    <t>Payment Amount</t>
  </si>
  <si>
    <t xml:space="preserve">      Pension &amp; Supplemental Retirement Benefits </t>
  </si>
  <si>
    <t xml:space="preserve">      Other Post-Employment Benefits </t>
  </si>
  <si>
    <t>WP/II-B-9/6-5</t>
  </si>
  <si>
    <t>Adjusted</t>
  </si>
  <si>
    <t>Qtr-Ending Average</t>
  </si>
  <si>
    <t>1862700 – Job Orders are set up to accumulate job costs and are subsequently cleared to O&amp;M, Capital,</t>
  </si>
  <si>
    <t>or Regulatory Assets upon completion</t>
  </si>
  <si>
    <t>Adjusted Total</t>
  </si>
  <si>
    <t>Adjusted Average</t>
  </si>
  <si>
    <t>Monthly/Quarter Total</t>
  </si>
  <si>
    <t>Loans to employees to purchase qualifying "energy efficient" items.  The Company pays 90% of the total cost and</t>
  </si>
  <si>
    <t xml:space="preserve">   an amount is deducted from the employee's check.</t>
  </si>
  <si>
    <t>Test Year Incentive</t>
  </si>
  <si>
    <t>Total Adjusted Incentive</t>
  </si>
  <si>
    <t>Biweekly</t>
  </si>
  <si>
    <t>PEP AWARD LEAD PAYMENT CALCULATION</t>
  </si>
  <si>
    <t xml:space="preserve">Total </t>
  </si>
  <si>
    <t>PAYROLL LEAD - HOLIDAY/WEEKEND FACTOR CALCULATION - SEMI MONTHLY</t>
  </si>
  <si>
    <t>Average of Lead Days Before Payment</t>
  </si>
  <si>
    <t>PAYROLL LEAD - HOLIDAY/WEEKEND FACTOR CALCULATION - BI-WEEKLY</t>
  </si>
  <si>
    <t>Normal Payment Lead Days</t>
  </si>
  <si>
    <t>Lead Days Reflecting Holiday Adjustments</t>
  </si>
  <si>
    <t>Number of Annual Payroll Cycles</t>
  </si>
  <si>
    <t xml:space="preserve">  (If the scheduled pay date is a holiday, payment is made on the preceding work day.  During</t>
  </si>
  <si>
    <t>Payment Checks or Direct Deposits typically are made on Friday, five days after end of pay period.</t>
  </si>
  <si>
    <t>Benefit Period Dates</t>
  </si>
  <si>
    <t>Beginning</t>
  </si>
  <si>
    <t>Ending</t>
  </si>
  <si>
    <t>Benefit Period Mid-Point</t>
  </si>
  <si>
    <t>(h) = (g) - (a)</t>
  </si>
  <si>
    <t>(i) = (c) * (h)</t>
  </si>
  <si>
    <t>Total Payments and Weighted Dollar Days</t>
  </si>
  <si>
    <t>Payment (Lead)/Lag</t>
  </si>
  <si>
    <t>O&amp;M EXPENDITURES - OTHER POST-EMPLOYMENT BENEFITS</t>
  </si>
  <si>
    <t>Pension and OPEB Funding.xlsx</t>
  </si>
  <si>
    <t>Payroll semi-monthly &amp; bi-weekly.xlsx</t>
  </si>
  <si>
    <t>Payroll manual check sample.xlsx</t>
  </si>
  <si>
    <t>Payroll pay cycles.xlsx</t>
  </si>
  <si>
    <t>Holidays.xlsx</t>
  </si>
  <si>
    <t>Payroll direct deposit.xlsx</t>
  </si>
  <si>
    <t>Payroll Account</t>
  </si>
  <si>
    <t>Amortization of prepaids - Local Gross Receipts tax.xlsx</t>
  </si>
  <si>
    <t>Daily Receivable Backup.xlsx</t>
  </si>
  <si>
    <t>Revenue billing sample.xlsx</t>
  </si>
  <si>
    <t>FIM Revenue.xlsx</t>
  </si>
  <si>
    <t xml:space="preserve">  No Longer have Meter Readers thus no incentive effective 1/13.</t>
  </si>
  <si>
    <t>Taxes other than income - Local Gross Receipts.xlsx</t>
  </si>
  <si>
    <t>Tax other than income - Ad Valorem.xlsx</t>
  </si>
  <si>
    <t>Payroll Deduction - Other</t>
  </si>
  <si>
    <t>Payroll Deduction - Other Activity</t>
  </si>
  <si>
    <t>Misc items - ESD.xlsx</t>
  </si>
  <si>
    <t>Misc items - TRN.xlsx</t>
  </si>
  <si>
    <t>Outstanding balances of employee miscellaneous receivables.</t>
  </si>
  <si>
    <t>Thrift.xlsx</t>
  </si>
  <si>
    <t>Taxes Other Than Income - Payroll Taxes.xlsx</t>
  </si>
  <si>
    <t>Tax Other Than Income - Payroll Taxes.xlsx</t>
  </si>
  <si>
    <t>Amortization of Prepaids.xlsx</t>
  </si>
  <si>
    <t xml:space="preserve">  the test period, with the exception of one instance, all paydays fell on the regularly scheduled Friday.) </t>
  </si>
  <si>
    <t>or Due Date</t>
  </si>
  <si>
    <t>(365.25 days/12 months)/2</t>
  </si>
  <si>
    <t>(j) = (h) - (i)</t>
  </si>
  <si>
    <t>(k) = (d) * (j)</t>
  </si>
  <si>
    <t>Service Period</t>
  </si>
  <si>
    <t>Statutory Payment</t>
  </si>
  <si>
    <t>Invoicing Period</t>
  </si>
  <si>
    <t>Total Distrib.</t>
  </si>
  <si>
    <t>Retirement Payments and Weighted Dollar Days</t>
  </si>
  <si>
    <t>Adjustment Needed</t>
  </si>
  <si>
    <t>Adjusted Incentive</t>
  </si>
  <si>
    <t>Source 1</t>
  </si>
  <si>
    <t xml:space="preserve">Source 1: </t>
  </si>
  <si>
    <t xml:space="preserve"> </t>
  </si>
  <si>
    <t>Misc. items - TRN.xlsx</t>
  </si>
  <si>
    <t>Depository Bank Accounts</t>
  </si>
  <si>
    <t>BNY Mellon</t>
  </si>
  <si>
    <t>Miscellaneous Rcpts Acct</t>
  </si>
  <si>
    <t>Rep Receipt Account</t>
  </si>
  <si>
    <t>Cash Concentration Acct</t>
  </si>
  <si>
    <t>OPEB-FAS 106</t>
  </si>
  <si>
    <t>NON-LABOR O&amp;M  -  ONCOR ELECTRIC DELIVERY COMPANY LLC AND OTHER AFFILIATES</t>
  </si>
  <si>
    <t>Weighted Average Payment Lead =  Column (i), Line 13 divided by Column (c), Line 13</t>
  </si>
  <si>
    <t>BU</t>
  </si>
  <si>
    <t>TRNDS</t>
  </si>
  <si>
    <t>Retirement Plan</t>
  </si>
  <si>
    <t>Weighted Average Payment Lead =  Column (i), Line 31 divided by Column (c), Line 31</t>
  </si>
  <si>
    <t>Supplemental Retirement Plan</t>
  </si>
  <si>
    <t>Suppl. Payments and Weighted Dollar Days</t>
  </si>
  <si>
    <t>Weighted Average Payment Lead =  Column (i), Line 27 divided by Column (c), Line 27</t>
  </si>
  <si>
    <t>Weighted Average Payment Lead =  Column (i), Line 18 divided by Column (c), Line 18</t>
  </si>
  <si>
    <t>3rd party O&amp;M - ESD sample.XLSX</t>
  </si>
  <si>
    <t>3rd party O&amp;M - ESD sample.xlsx</t>
  </si>
  <si>
    <t>Lead Lag Sample.xlsx</t>
  </si>
  <si>
    <t>Lead Lag Samples</t>
  </si>
  <si>
    <t>SPONSOR:  A. THENMADATHIL</t>
  </si>
  <si>
    <t>( e )</t>
  </si>
  <si>
    <t>CC&amp;B</t>
  </si>
  <si>
    <t>CC&amp;B Revenue.xlsx</t>
  </si>
  <si>
    <t>Sum of CC&amp;B Daily A/R Balances</t>
  </si>
  <si>
    <t>Average Daily Amount (Col (b) Ln 29 divided by 365.25)</t>
  </si>
  <si>
    <t>(Lead)/Lag Days Total (Col (d) Ln 29)</t>
  </si>
  <si>
    <t>Total Withholding (Col (d)  Ln 31 times Ln 33)</t>
  </si>
  <si>
    <t>Average Daily Amount (Col (b) Ln 41 divided by 365.25):</t>
  </si>
  <si>
    <t>(Lead)/Lag Days Total (Col (d) Ln 41)</t>
  </si>
  <si>
    <t>Total Withholding (Col (d)  Ln 43 times Ln 45)</t>
  </si>
  <si>
    <t>Average Daily Amount (Col (b) Ln 85 divided by 365.25):</t>
  </si>
  <si>
    <t>(Lead)/Lag Days Total (Col (d) Ln 85)</t>
  </si>
  <si>
    <t>Total Withholding (Col (d)  Ln 87 times Ln 89)</t>
  </si>
  <si>
    <t>Average Daily Amount (Col (b) Ln 43 divided by 365.25)</t>
  </si>
  <si>
    <t>(Lead)/Lag Days Total (Col (d) Ln 43)</t>
  </si>
  <si>
    <t>Total Withholding (Col (d)  Ln 45 times Ln 47)</t>
  </si>
  <si>
    <t>Average Daily Amount (Col (b) Ln 81 divided by 365.25)</t>
  </si>
  <si>
    <t>(Lead)/Lag Days Total (Col (d) Ln 81)</t>
  </si>
  <si>
    <t>Total Withholding (Col (d)  Ln 83 times Ln 85)</t>
  </si>
  <si>
    <t>Average Daily Amount (Col (b) Ln 55 divided by 365.25)</t>
  </si>
  <si>
    <t>(Lead)/Lag Days Total (Col (d) Ln 55)</t>
  </si>
  <si>
    <t>Total Withholding (Col (d)  Ln 57 times Ln 59)</t>
  </si>
  <si>
    <t>SATURDAY</t>
  </si>
  <si>
    <t>TUESDAY</t>
  </si>
  <si>
    <t>SUNDAY</t>
  </si>
  <si>
    <t>WEDNESDAY</t>
  </si>
  <si>
    <t>MONDAY</t>
  </si>
  <si>
    <t>FRIDAY</t>
  </si>
  <si>
    <t>THURSDAY</t>
  </si>
  <si>
    <t>Lead Lag Samples.xlsx</t>
  </si>
  <si>
    <t>LOCAL GROSS RECEIPTS TAXES</t>
  </si>
  <si>
    <t>Iteration "Adjusted Test Year Amount"</t>
  </si>
  <si>
    <t>Affiliate Charges - Sempra</t>
  </si>
  <si>
    <t>Affiliate Charges - Other</t>
  </si>
  <si>
    <t>Prepaid Affiliate Charges - Other</t>
  </si>
  <si>
    <t>FOR THE TEST-YEAR ENDING DECEMBER 31, 2024</t>
  </si>
  <si>
    <t>2025 RATE CASE</t>
  </si>
  <si>
    <t>FOR THE LEAD-LAG STUDY-PERIOD ENDING SEPTEMBER 30, 2024</t>
  </si>
  <si>
    <t>`</t>
  </si>
  <si>
    <t>October 2023</t>
  </si>
  <si>
    <t>September 2024</t>
  </si>
  <si>
    <t>8100043205069255144Z12</t>
  </si>
  <si>
    <t>8100062363011579138Z11</t>
  </si>
  <si>
    <t>8100024471742069054Z10</t>
  </si>
  <si>
    <t>8100032714029819322Z11</t>
  </si>
  <si>
    <t>8100074884162602514Z12</t>
  </si>
  <si>
    <t>8100057637848476372Z11</t>
  </si>
  <si>
    <t>8100058052947228795Z11</t>
  </si>
  <si>
    <t>8100087036466151487Z10</t>
  </si>
  <si>
    <t>8100018086801149832Z11</t>
  </si>
  <si>
    <t>8100089945249242888Z12</t>
  </si>
  <si>
    <t>8100002485754879007Z11</t>
  </si>
  <si>
    <t>8100090319583189668Z12</t>
  </si>
  <si>
    <t>8100092342136560681Z11</t>
  </si>
  <si>
    <t>8100082155293894078Z11</t>
  </si>
  <si>
    <t>8100053875574226041Z13</t>
  </si>
  <si>
    <t>8100050924268218545Z11</t>
  </si>
  <si>
    <t>8100043615210854516Z11</t>
  </si>
  <si>
    <t>8100022225180837304Z05</t>
  </si>
  <si>
    <t>8100090071288860509Z11</t>
  </si>
  <si>
    <t>8100066387480133267Z13</t>
  </si>
  <si>
    <t>8100056436599526970Z11</t>
  </si>
  <si>
    <t>8100037725576231212Z11</t>
  </si>
  <si>
    <t>8100096552461714932Z11</t>
  </si>
  <si>
    <t>8100001288607314639Z12</t>
  </si>
  <si>
    <t>8100092093860966458Z11</t>
  </si>
  <si>
    <t>8100000586956864062Z11</t>
  </si>
  <si>
    <t>8100005530542510792Z11</t>
  </si>
  <si>
    <t>8100040798703277964Z12</t>
  </si>
  <si>
    <t>8100077072634351164Z11</t>
  </si>
  <si>
    <t>8100014079546076380Z11</t>
  </si>
  <si>
    <t>8100007779437836958Z11</t>
  </si>
  <si>
    <t>8100073028696886557Z05</t>
  </si>
  <si>
    <t>8100025644979920552Z11</t>
  </si>
  <si>
    <t>8100051589772293998Z11</t>
  </si>
  <si>
    <t>8100016881023429006Z11</t>
  </si>
  <si>
    <t>8100088765246455789Z11</t>
  </si>
  <si>
    <t>8100054758347430700Z11</t>
  </si>
  <si>
    <t>8100091330842027047Z11</t>
  </si>
  <si>
    <t>8100091819315385358Z11</t>
  </si>
  <si>
    <t>8100082972680083555Z11</t>
  </si>
  <si>
    <t>8100087358589128015Z11</t>
  </si>
  <si>
    <t>8100002238367916746Z11</t>
  </si>
  <si>
    <t>8100069495239997167Z11</t>
  </si>
  <si>
    <t>8100047600077036216Z11</t>
  </si>
  <si>
    <t>8100026539546951769Z11</t>
  </si>
  <si>
    <t>8100084004456060328Z10</t>
  </si>
  <si>
    <t>8100075375326049907Z11</t>
  </si>
  <si>
    <t>8100013435558281738Z11</t>
  </si>
  <si>
    <t>8100091703695307856Z12</t>
  </si>
  <si>
    <t>8100082224352340218Z11</t>
  </si>
  <si>
    <t>8100038327290000838Z05</t>
  </si>
  <si>
    <t>8100086201710417834Z12</t>
  </si>
  <si>
    <t>8100029792612429310Z11</t>
  </si>
  <si>
    <t>8100007777908045567Z05</t>
  </si>
  <si>
    <t>8100097479000265950Z11</t>
  </si>
  <si>
    <t>8100068324839832605Z11</t>
  </si>
  <si>
    <t>8100017793986410315Z12</t>
  </si>
  <si>
    <t>8100000414027041284Z07</t>
  </si>
  <si>
    <t>8100019868538780544Z10</t>
  </si>
  <si>
    <t>8100081828083614030Z08</t>
  </si>
  <si>
    <t>8100039750103138505Z11</t>
  </si>
  <si>
    <t>8100026693798919156Z11</t>
  </si>
  <si>
    <t>8100021702585502938Z11</t>
  </si>
  <si>
    <t>8100009209342235686Z12</t>
  </si>
  <si>
    <t>8100005027852429921Z11</t>
  </si>
  <si>
    <t>8100038737190882115Z11</t>
  </si>
  <si>
    <t>8100045030662040437Z11</t>
  </si>
  <si>
    <t>8100006736181063122Z07</t>
  </si>
  <si>
    <t>8100065636111817067Z11</t>
  </si>
  <si>
    <t>8100075164424652349Z11</t>
  </si>
  <si>
    <t>8100046244081417199Z10</t>
  </si>
  <si>
    <t>8100001877948906166Z10</t>
  </si>
  <si>
    <t>8100081890753134690Z06</t>
  </si>
  <si>
    <t>8100048037109376878Z10</t>
  </si>
  <si>
    <t>8100052897015441674Z11</t>
  </si>
  <si>
    <t>8100084958223497273Z11</t>
  </si>
  <si>
    <t>8100053899608114435Z12</t>
  </si>
  <si>
    <t>8100062846398870373Z11</t>
  </si>
  <si>
    <t>8100063098183880841Z11</t>
  </si>
  <si>
    <t>8100031565471514674Z10</t>
  </si>
  <si>
    <t>8100060657419736984Z12</t>
  </si>
  <si>
    <t>8100094961950058845Z05</t>
  </si>
  <si>
    <t>8100066101272509970Z11</t>
  </si>
  <si>
    <t>8100016543373551891Z12</t>
  </si>
  <si>
    <t>8100096889462304624Z13</t>
  </si>
  <si>
    <t>8100040685609881394Z10</t>
  </si>
  <si>
    <t>8100061718801338923Z10</t>
  </si>
  <si>
    <t>8100083479614667886Z12</t>
  </si>
  <si>
    <t>8100091340621807608Z11</t>
  </si>
  <si>
    <t>8100041095517395571Z11</t>
  </si>
  <si>
    <t>8100032297961500068Z11</t>
  </si>
  <si>
    <t>8100049660294138398Z09</t>
  </si>
  <si>
    <t>8100088791919948179Z11</t>
  </si>
  <si>
    <t>8100016729102017483Z11</t>
  </si>
  <si>
    <t>8100034979172093642Z11</t>
  </si>
  <si>
    <t>8100032024401860214Z11</t>
  </si>
  <si>
    <t>8100058005994290849Z11</t>
  </si>
  <si>
    <t>8100099590936744859Z11</t>
  </si>
  <si>
    <t>8100095337589100029Z11</t>
  </si>
  <si>
    <t>8100012547749528330Z12</t>
  </si>
  <si>
    <t>8100099921368457964Z11</t>
  </si>
  <si>
    <t>8100004047814875022Z10</t>
  </si>
  <si>
    <t>8100080807428123505Z11</t>
  </si>
  <si>
    <t>8100040913758922293Z11</t>
  </si>
  <si>
    <t>8100053188373889997Z11</t>
  </si>
  <si>
    <t>8100070377629926612Z11</t>
  </si>
  <si>
    <t>8100032705317671989Z12</t>
  </si>
  <si>
    <t>8100076460462881548Z11</t>
  </si>
  <si>
    <t>8100015966691362909Z11</t>
  </si>
  <si>
    <t>8100004264451865677Z10</t>
  </si>
  <si>
    <t>8100021832475522826Z11</t>
  </si>
  <si>
    <t>8100020041843511648Z11</t>
  </si>
  <si>
    <t>8100099211042169380Z12</t>
  </si>
  <si>
    <t>8100084688489351683Z12</t>
  </si>
  <si>
    <t>8100090557848830104Z11</t>
  </si>
  <si>
    <t>8100080256467457225Z12</t>
  </si>
  <si>
    <t>8100034916190230487Z11</t>
  </si>
  <si>
    <t>8100067255441066594Z11</t>
  </si>
  <si>
    <t>8100030745467722075Z12</t>
  </si>
  <si>
    <t>8100035760543093937Z11</t>
  </si>
  <si>
    <t>Affiliate Payment Dates 12ME 9.30.24</t>
  </si>
  <si>
    <t>00661289</t>
  </si>
  <si>
    <t>00689575</t>
  </si>
  <si>
    <t>00682342</t>
  </si>
  <si>
    <t>00648259</t>
  </si>
  <si>
    <t>00641206</t>
  </si>
  <si>
    <t>00675620</t>
  </si>
  <si>
    <t>00687978</t>
  </si>
  <si>
    <t>00648299</t>
  </si>
  <si>
    <t>00678815</t>
  </si>
  <si>
    <t>00685941</t>
  </si>
  <si>
    <t>00671306</t>
  </si>
  <si>
    <t>00662095</t>
  </si>
  <si>
    <t>00676589</t>
  </si>
  <si>
    <t>00654323</t>
  </si>
  <si>
    <t>00686251</t>
  </si>
  <si>
    <t>00689869</t>
  </si>
  <si>
    <t>00657961</t>
  </si>
  <si>
    <t>00674827</t>
  </si>
  <si>
    <t>00685960</t>
  </si>
  <si>
    <t>00643464</t>
  </si>
  <si>
    <t>00661133</t>
  </si>
  <si>
    <t>00646991</t>
  </si>
  <si>
    <t>00652152</t>
  </si>
  <si>
    <t>00652159</t>
  </si>
  <si>
    <t>Midpoint of Benefit Period</t>
  </si>
  <si>
    <t xml:space="preserve">3rd party O&amp;M - Corp sample </t>
  </si>
  <si>
    <t>NTUSU</t>
  </si>
  <si>
    <t>M1527463</t>
  </si>
  <si>
    <t>00671243</t>
  </si>
  <si>
    <t>M1631302</t>
  </si>
  <si>
    <t>M1577956</t>
  </si>
  <si>
    <t>M1610171</t>
  </si>
  <si>
    <t>M1588622</t>
  </si>
  <si>
    <t>M1567767</t>
  </si>
  <si>
    <t>M1428240</t>
  </si>
  <si>
    <t>M1428557</t>
  </si>
  <si>
    <t>M1608283</t>
  </si>
  <si>
    <t>M1613231</t>
  </si>
  <si>
    <t>M1562816</t>
  </si>
  <si>
    <t>M1437562</t>
  </si>
  <si>
    <t>M1617758</t>
  </si>
  <si>
    <t>M1634739</t>
  </si>
  <si>
    <t>M1486903</t>
  </si>
  <si>
    <t>M1611407</t>
  </si>
  <si>
    <t>M1492692</t>
  </si>
  <si>
    <t>M1496504</t>
  </si>
  <si>
    <t>M1467328</t>
  </si>
  <si>
    <t>M1604157</t>
  </si>
  <si>
    <t>M1654726</t>
  </si>
  <si>
    <t>M1548444</t>
  </si>
  <si>
    <t>00653782</t>
  </si>
  <si>
    <t>M1635719</t>
  </si>
  <si>
    <t>M1617781</t>
  </si>
  <si>
    <t>M1584103</t>
  </si>
  <si>
    <t>M1573996</t>
  </si>
  <si>
    <t>00690100</t>
  </si>
  <si>
    <t>M1654067</t>
  </si>
  <si>
    <t>M1506044</t>
  </si>
  <si>
    <t>M1630821</t>
  </si>
  <si>
    <t>00660121</t>
  </si>
  <si>
    <t>M1613473</t>
  </si>
  <si>
    <t>M1471291</t>
  </si>
  <si>
    <t>00645533</t>
  </si>
  <si>
    <t>M1522004</t>
  </si>
  <si>
    <t>M1631101</t>
  </si>
  <si>
    <t>00675203</t>
  </si>
  <si>
    <t>M1612543</t>
  </si>
  <si>
    <t>00661611</t>
  </si>
  <si>
    <t>M1540814</t>
  </si>
  <si>
    <t>M1614413</t>
  </si>
  <si>
    <t>M1498160</t>
  </si>
  <si>
    <t>M1555668</t>
  </si>
  <si>
    <t>M1645912</t>
  </si>
  <si>
    <t>M1544170</t>
  </si>
  <si>
    <t>M1648890</t>
  </si>
  <si>
    <t>M1590380</t>
  </si>
  <si>
    <t>00686666</t>
  </si>
  <si>
    <t>00673878</t>
  </si>
  <si>
    <t>M1548445</t>
  </si>
  <si>
    <t>M1459724</t>
  </si>
  <si>
    <t>M1593073</t>
  </si>
  <si>
    <t>M1607026</t>
  </si>
  <si>
    <t>00681607</t>
  </si>
  <si>
    <t>00666685</t>
  </si>
  <si>
    <t>00640804</t>
  </si>
  <si>
    <t>M1495112</t>
  </si>
  <si>
    <t>00650859</t>
  </si>
  <si>
    <t>M1587046</t>
  </si>
  <si>
    <t>M1496488</t>
  </si>
  <si>
    <t>M1631298</t>
  </si>
  <si>
    <t>M1499549</t>
  </si>
  <si>
    <t>M1439684</t>
  </si>
  <si>
    <t>M1598188</t>
  </si>
  <si>
    <t>M1629458</t>
  </si>
  <si>
    <t>00652607</t>
  </si>
  <si>
    <t>M1638164</t>
  </si>
  <si>
    <t>M1428549</t>
  </si>
  <si>
    <t>M1610016</t>
  </si>
  <si>
    <t>M1510573</t>
  </si>
  <si>
    <t>M1573495</t>
  </si>
  <si>
    <t>M1633495</t>
  </si>
  <si>
    <t>M1593082</t>
  </si>
  <si>
    <t>M1623269</t>
  </si>
  <si>
    <t>M1622887</t>
  </si>
  <si>
    <t>M1586021</t>
  </si>
  <si>
    <t>M1582612</t>
  </si>
  <si>
    <t>M1457232</t>
  </si>
  <si>
    <t>M1442563</t>
  </si>
  <si>
    <t>00663937</t>
  </si>
  <si>
    <t>M1474113</t>
  </si>
  <si>
    <t>M1631175</t>
  </si>
  <si>
    <t>00690519</t>
  </si>
  <si>
    <t>M1641221</t>
  </si>
  <si>
    <t>M1607539</t>
  </si>
  <si>
    <t>M1464621</t>
  </si>
  <si>
    <t>M1551139</t>
  </si>
  <si>
    <t>M1583465</t>
  </si>
  <si>
    <t>M1486901</t>
  </si>
  <si>
    <t>M1587684</t>
  </si>
  <si>
    <t>M1561639</t>
  </si>
  <si>
    <t>M1588565</t>
  </si>
  <si>
    <t>M1425476</t>
  </si>
  <si>
    <t>M1592670</t>
  </si>
  <si>
    <t>00672107</t>
  </si>
  <si>
    <t>M1552138</t>
  </si>
  <si>
    <t>M1616874</t>
  </si>
  <si>
    <t>M1606949</t>
  </si>
  <si>
    <t>00679177</t>
  </si>
  <si>
    <t>M1615279</t>
  </si>
  <si>
    <t>00661685</t>
  </si>
  <si>
    <t>00665787</t>
  </si>
  <si>
    <t>M1624497</t>
  </si>
  <si>
    <t>M1581814</t>
  </si>
  <si>
    <t>M1625626</t>
  </si>
  <si>
    <t>M1521507</t>
  </si>
  <si>
    <t>M1514095</t>
  </si>
  <si>
    <t>M1616258</t>
  </si>
  <si>
    <t>M1542167</t>
  </si>
  <si>
    <t>M1632073</t>
  </si>
  <si>
    <t>M1593287</t>
  </si>
  <si>
    <t>00678135</t>
  </si>
  <si>
    <t>00676661</t>
  </si>
  <si>
    <t>00671298</t>
  </si>
  <si>
    <t>M1556356</t>
  </si>
  <si>
    <t>00657123</t>
  </si>
  <si>
    <t>M1630759</t>
  </si>
  <si>
    <t>M1643437</t>
  </si>
  <si>
    <t>M1631282</t>
  </si>
  <si>
    <t>M1600465</t>
  </si>
  <si>
    <t>M1593087</t>
  </si>
  <si>
    <t>M1480531</t>
  </si>
  <si>
    <t>00681618</t>
  </si>
  <si>
    <t>00640499</t>
  </si>
  <si>
    <t>M1430163</t>
  </si>
  <si>
    <t>M1593281</t>
  </si>
  <si>
    <t>M1617216</t>
  </si>
  <si>
    <t>M1587051</t>
  </si>
  <si>
    <t>M1629327</t>
  </si>
  <si>
    <t>00650921</t>
  </si>
  <si>
    <t>M1537037</t>
  </si>
  <si>
    <t>M1613573</t>
  </si>
  <si>
    <t>M1597087</t>
  </si>
  <si>
    <t>00653476</t>
  </si>
  <si>
    <t>M1607797</t>
  </si>
  <si>
    <t>M1597781</t>
  </si>
  <si>
    <t>M1550804</t>
  </si>
  <si>
    <t>M1507747</t>
  </si>
  <si>
    <t>00665903</t>
  </si>
  <si>
    <t>00683506</t>
  </si>
  <si>
    <t>M1491151</t>
  </si>
  <si>
    <t>M1590982</t>
  </si>
  <si>
    <t>00686259</t>
  </si>
  <si>
    <t>M1625744</t>
  </si>
  <si>
    <t>00667771</t>
  </si>
  <si>
    <t>M1535404</t>
  </si>
  <si>
    <t>M1639927</t>
  </si>
  <si>
    <t>00673572</t>
  </si>
  <si>
    <t>00654994</t>
  </si>
  <si>
    <t>M1490377</t>
  </si>
  <si>
    <t>M1574169</t>
  </si>
  <si>
    <t>not included in study due to voucher being cancelled and no payment needed</t>
  </si>
  <si>
    <t>M1569542</t>
  </si>
  <si>
    <t>00640508</t>
  </si>
  <si>
    <t>M1574543</t>
  </si>
  <si>
    <t>M1490747</t>
  </si>
  <si>
    <t>M1447965</t>
  </si>
  <si>
    <t>M1649606</t>
  </si>
  <si>
    <t>M1619079</t>
  </si>
  <si>
    <t>M1621645</t>
  </si>
  <si>
    <t>M1459434</t>
  </si>
  <si>
    <t>M1429477</t>
  </si>
  <si>
    <t>M1603287</t>
  </si>
  <si>
    <t>M1414566</t>
  </si>
  <si>
    <t>M1646218</t>
  </si>
  <si>
    <t>M1451219</t>
  </si>
  <si>
    <t>00689522</t>
  </si>
  <si>
    <t>M1530750</t>
  </si>
  <si>
    <t>00649637</t>
  </si>
  <si>
    <t>M1534994</t>
  </si>
  <si>
    <t>M1625911</t>
  </si>
  <si>
    <t>M1594569</t>
  </si>
  <si>
    <t>M1454896</t>
  </si>
  <si>
    <t>00667206</t>
  </si>
  <si>
    <t>M1542876</t>
  </si>
  <si>
    <t>M1439417</t>
  </si>
  <si>
    <t>00646759</t>
  </si>
  <si>
    <t>M1584108</t>
  </si>
  <si>
    <t>M1609964</t>
  </si>
  <si>
    <t>M1527824</t>
  </si>
  <si>
    <t>M1452610</t>
  </si>
  <si>
    <t>M1487943</t>
  </si>
  <si>
    <t>M1558404</t>
  </si>
  <si>
    <t>M1432060</t>
  </si>
  <si>
    <t>M1494216</t>
  </si>
  <si>
    <t>M1470433</t>
  </si>
  <si>
    <t>00681620</t>
  </si>
  <si>
    <t>M1468738</t>
  </si>
  <si>
    <t>M1613724</t>
  </si>
  <si>
    <t>00653111</t>
  </si>
  <si>
    <t>M1442179</t>
  </si>
  <si>
    <t>M1634300</t>
  </si>
  <si>
    <t>00651339</t>
  </si>
  <si>
    <t>M1515075</t>
  </si>
  <si>
    <t>M1436330</t>
  </si>
  <si>
    <t>M1529360</t>
  </si>
  <si>
    <t>M1446368</t>
  </si>
  <si>
    <t>00684183</t>
  </si>
  <si>
    <t>M1439547</t>
  </si>
  <si>
    <t>M1439548</t>
  </si>
  <si>
    <t>00647837</t>
  </si>
  <si>
    <t>M1452618</t>
  </si>
  <si>
    <t>M1434388</t>
  </si>
  <si>
    <t>M1490389</t>
  </si>
  <si>
    <t>M1531048</t>
  </si>
  <si>
    <t>M1475240</t>
  </si>
  <si>
    <t>M1632118</t>
  </si>
  <si>
    <t>M1654081</t>
  </si>
  <si>
    <t>M1472905</t>
  </si>
  <si>
    <t>M1644341</t>
  </si>
  <si>
    <t>00641525</t>
  </si>
  <si>
    <t>00649379</t>
  </si>
  <si>
    <t>00658838</t>
  </si>
  <si>
    <t>M1478464</t>
  </si>
  <si>
    <t>M1614739</t>
  </si>
  <si>
    <t>M1451715</t>
  </si>
  <si>
    <t>M1468531</t>
  </si>
  <si>
    <t>M1531747</t>
  </si>
  <si>
    <t>M1583099</t>
  </si>
  <si>
    <t>00667715</t>
  </si>
  <si>
    <t>M1581564</t>
  </si>
  <si>
    <t>M1488208</t>
  </si>
  <si>
    <t>M1476258</t>
  </si>
  <si>
    <t>00686861</t>
  </si>
  <si>
    <t>M1493490</t>
  </si>
  <si>
    <t>M1422086</t>
  </si>
  <si>
    <t>M1480568</t>
  </si>
  <si>
    <t>M1496866</t>
  </si>
  <si>
    <t>M1634922</t>
  </si>
  <si>
    <t>M1534539</t>
  </si>
  <si>
    <t>00650282</t>
  </si>
  <si>
    <t>M1550937</t>
  </si>
  <si>
    <t>M1513495</t>
  </si>
  <si>
    <t>00688996</t>
  </si>
  <si>
    <t>00679286</t>
  </si>
  <si>
    <t>M1591223</t>
  </si>
  <si>
    <t>M1561203</t>
  </si>
  <si>
    <t>M1529214</t>
  </si>
  <si>
    <t>M1511784</t>
  </si>
  <si>
    <t>M1550917</t>
  </si>
  <si>
    <t>M1553548</t>
  </si>
  <si>
    <t>00688939</t>
  </si>
  <si>
    <t>M1634351</t>
  </si>
  <si>
    <t>00683872</t>
  </si>
  <si>
    <t>M1478438</t>
  </si>
  <si>
    <t>M1448167</t>
  </si>
  <si>
    <t>M1475098</t>
  </si>
  <si>
    <t>M1533744</t>
  </si>
  <si>
    <t>M1435503</t>
  </si>
  <si>
    <t>M1612149</t>
  </si>
  <si>
    <t>M1480576</t>
  </si>
  <si>
    <t>00672730</t>
  </si>
  <si>
    <t>00677994</t>
  </si>
  <si>
    <t>M1605543</t>
  </si>
  <si>
    <t>00676628</t>
  </si>
  <si>
    <t>M1444168</t>
  </si>
  <si>
    <t>M1561847</t>
  </si>
  <si>
    <t>00648284</t>
  </si>
  <si>
    <t>M1531023</t>
  </si>
  <si>
    <t>M1559268</t>
  </si>
  <si>
    <t>00670503</t>
  </si>
  <si>
    <t>M1612862</t>
  </si>
  <si>
    <t>00688536</t>
  </si>
  <si>
    <t>M1465781</t>
  </si>
  <si>
    <t>M1476286</t>
  </si>
  <si>
    <t>M1506590</t>
  </si>
  <si>
    <t>M1534532</t>
  </si>
  <si>
    <t>M1548821</t>
  </si>
  <si>
    <t>M1596171</t>
  </si>
  <si>
    <t>M1581601</t>
  </si>
  <si>
    <t>00683036</t>
  </si>
  <si>
    <t>M1476247</t>
  </si>
  <si>
    <t>M1514394</t>
  </si>
  <si>
    <t>M1597802</t>
  </si>
  <si>
    <t>00684875</t>
  </si>
  <si>
    <t>M1461117</t>
  </si>
  <si>
    <t>00684359</t>
  </si>
  <si>
    <t>removed from sample</t>
  </si>
  <si>
    <t>3rd party O&amp;M - TRN sample.xlsx</t>
  </si>
  <si>
    <t>3rd party O&amp;M - TRN sample .xlsx</t>
  </si>
  <si>
    <t>00660495</t>
  </si>
  <si>
    <t>M1615722</t>
  </si>
  <si>
    <t>00686901</t>
  </si>
  <si>
    <t>M1593450</t>
  </si>
  <si>
    <t>M1536247</t>
  </si>
  <si>
    <t>M1524717</t>
  </si>
  <si>
    <t>00684805</t>
  </si>
  <si>
    <t>00674222</t>
  </si>
  <si>
    <t>00677265</t>
  </si>
  <si>
    <t>00648261</t>
  </si>
  <si>
    <t>M1569770</t>
  </si>
  <si>
    <t>00641806</t>
  </si>
  <si>
    <t>00684977</t>
  </si>
  <si>
    <t>M1493256</t>
  </si>
  <si>
    <t>00667991</t>
  </si>
  <si>
    <t>00660676</t>
  </si>
  <si>
    <t>00651954</t>
  </si>
  <si>
    <t>00683366</t>
  </si>
  <si>
    <t>00683761</t>
  </si>
  <si>
    <t>M1471310</t>
  </si>
  <si>
    <t>00690017</t>
  </si>
  <si>
    <t>00663002</t>
  </si>
  <si>
    <t>M1441920</t>
  </si>
  <si>
    <t>00669578</t>
  </si>
  <si>
    <t>M1504623</t>
  </si>
  <si>
    <t>M1367539</t>
  </si>
  <si>
    <t>00676892</t>
  </si>
  <si>
    <t>00677442</t>
  </si>
  <si>
    <t>00687597</t>
  </si>
  <si>
    <r>
      <rPr>
        <sz val="12"/>
        <rFont val="Arial"/>
        <family val="2"/>
      </rPr>
      <t xml:space="preserve"> </t>
    </r>
    <r>
      <rPr>
        <sz val="10"/>
        <rFont val="Arial"/>
        <family val="2"/>
      </rPr>
      <t xml:space="preserve"> Source:   </t>
    </r>
  </si>
  <si>
    <t xml:space="preserve">Corporate 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</si>
  <si>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</si>
  <si>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</si>
  <si>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</si>
  <si>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</si>
  <si>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</si>
  <si>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</si>
  <si>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</si>
  <si>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</si>
  <si>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</si>
  <si>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</si>
  <si>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</si>
  <si>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</si>
  <si>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</si>
  <si>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</si>
  <si>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</si>
  <si>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</si>
  <si>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</si>
  <si>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</si>
  <si>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</si>
  <si>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</si>
  <si>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</si>
  <si>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</si>
  <si>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</si>
  <si>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</si>
  <si>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</si>
  <si>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</si>
  <si>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</si>
  <si>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</si>
  <si>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</si>
  <si>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</si>
  <si>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</si>
  <si>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</si>
  <si>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</si>
  <si>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</si>
  <si>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</si>
  <si>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</si>
  <si>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</si>
  <si>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</si>
  <si>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</si>
  <si>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</si>
  <si>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</si>
  <si>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</si>
  <si>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</si>
  <si>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</si>
  <si>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</si>
  <si>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</si>
  <si>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</si>
  <si>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</si>
  <si>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</si>
  <si>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</si>
  <si>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</si>
  <si>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</si>
  <si>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</si>
  <si>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</si>
  <si>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</si>
  <si>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</si>
  <si>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</si>
  <si>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</si>
  <si>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</si>
  <si>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</si>
  <si>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</si>
  <si>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</si>
  <si>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</si>
  <si>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</si>
  <si>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</si>
  <si>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</si>
  <si>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</si>
  <si>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</si>
  <si>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</si>
  <si>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</si>
  <si>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</si>
  <si>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</si>
  <si>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</si>
  <si>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</si>
  <si>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</si>
  <si>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</si>
  <si>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</si>
  <si>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</si>
  <si>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Bi-Weekly Payroll Calendar 2023.xlsx</t>
  </si>
  <si>
    <t>Bi-Weekly Payroll Calendar 2024.xlsx</t>
  </si>
  <si>
    <t>(7 days) + (5 days) =</t>
  </si>
  <si>
    <t>G/L Balance @ 12/31/24</t>
  </si>
  <si>
    <t>Start at midnight and end at 6 p.m.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</si>
  <si>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</si>
  <si>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</si>
  <si>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</si>
  <si>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</si>
  <si>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</si>
  <si>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</si>
  <si>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</si>
  <si>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</si>
  <si>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</si>
  <si>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</si>
  <si>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</si>
  <si>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</si>
  <si>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</si>
  <si>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</si>
  <si>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</si>
  <si>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</si>
  <si>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</si>
  <si>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</si>
  <si>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</si>
  <si>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</si>
  <si>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</si>
  <si>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</si>
  <si>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</si>
  <si>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</si>
  <si>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</si>
  <si>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</si>
  <si>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</si>
  <si>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</si>
  <si>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</si>
  <si>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</si>
  <si>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</si>
  <si>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</si>
  <si>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</si>
  <si>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</si>
  <si>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</si>
  <si>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</si>
  <si>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</si>
  <si>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</si>
  <si>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</si>
  <si>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</si>
  <si>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</si>
  <si>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</si>
  <si>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</si>
  <si>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</si>
  <si>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</si>
  <si>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</si>
  <si>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</si>
  <si>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</si>
  <si>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</si>
  <si>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Note:  Top 25 payments to collectors represent approximately 71% of total payments.</t>
  </si>
  <si>
    <t>Citibank</t>
  </si>
  <si>
    <t>Credit Card Portal Payments</t>
  </si>
  <si>
    <t>As of the first pay date of January 2024 Oncor moved entire payroll to bi-weekly</t>
  </si>
  <si>
    <t xml:space="preserve">2531010 – This is an estimated liability (IBNR) for personal injury and property damage claims outstanding adjusted for self insurance and 3rd party insurance claims.  </t>
  </si>
  <si>
    <t>Retirement  Plan  (Pro Forma 2024)</t>
  </si>
  <si>
    <t>Bank balances 12.31.24.xlsx</t>
  </si>
  <si>
    <t>Total Monthly</t>
  </si>
  <si>
    <t>Daily Average Balances</t>
  </si>
  <si>
    <t>Avg Bank Bal - Col (i) Ln 13 divided by</t>
  </si>
  <si>
    <t>DALLAS</t>
  </si>
  <si>
    <t>FORT WORTH</t>
  </si>
  <si>
    <t>ARLINGTON</t>
  </si>
  <si>
    <t>PLANO</t>
  </si>
  <si>
    <t>IRVING</t>
  </si>
  <si>
    <t>RICHARDSON</t>
  </si>
  <si>
    <t>GRAND PRAIRIE</t>
  </si>
  <si>
    <t>WACO</t>
  </si>
  <si>
    <t>CARROLLTON</t>
  </si>
  <si>
    <t>MIDLAND</t>
  </si>
  <si>
    <t>TYLER</t>
  </si>
  <si>
    <t>TEMPLE</t>
  </si>
  <si>
    <t>KILLEEN</t>
  </si>
  <si>
    <t>ROUND ROCK</t>
  </si>
  <si>
    <t>MESQUITE</t>
  </si>
  <si>
    <t>ODESSA</t>
  </si>
  <si>
    <t>MCKINNEY</t>
  </si>
  <si>
    <t>GRAPEVINE</t>
  </si>
  <si>
    <t>WICHITA FALLS</t>
  </si>
  <si>
    <t>MIDLOTHIAN</t>
  </si>
  <si>
    <t>ALLEN</t>
  </si>
  <si>
    <t>COPPELL</t>
  </si>
  <si>
    <t>NORTH RICHLAND HILLS</t>
  </si>
  <si>
    <t>WAXAHACHIE</t>
  </si>
  <si>
    <t>FRISCO</t>
  </si>
  <si>
    <t>Dallas</t>
  </si>
  <si>
    <t>DALLAS COUNTY TAX OFFICE</t>
  </si>
  <si>
    <t>Tarrant</t>
  </si>
  <si>
    <t>TARRANT COUNTY</t>
  </si>
  <si>
    <t>Collin</t>
  </si>
  <si>
    <t>COLLIN COUNTY</t>
  </si>
  <si>
    <t>Bell</t>
  </si>
  <si>
    <t>BELL COUNTY TAX APPRAISAL DIST</t>
  </si>
  <si>
    <t>Denton</t>
  </si>
  <si>
    <t>MICHELLE FRENCH, TAX A/C</t>
  </si>
  <si>
    <t>Williamson</t>
  </si>
  <si>
    <t>WILLIAMSON COUNTY</t>
  </si>
  <si>
    <t>Ector</t>
  </si>
  <si>
    <t>ECTOR CAD</t>
  </si>
  <si>
    <t>Midland</t>
  </si>
  <si>
    <t>MIDLAND CAD</t>
  </si>
  <si>
    <t>Ellis</t>
  </si>
  <si>
    <t>ELLIS COUNTY</t>
  </si>
  <si>
    <t>McClennan</t>
  </si>
  <si>
    <t>MCLENNAN COUNTY</t>
  </si>
  <si>
    <t>Smith</t>
  </si>
  <si>
    <t>SMITH COUNTY TAX OFFICE</t>
  </si>
  <si>
    <t>Grayson</t>
  </si>
  <si>
    <t>GRAYSON COUNTY</t>
  </si>
  <si>
    <t>Reeves</t>
  </si>
  <si>
    <t>REEVES COUNTY</t>
  </si>
  <si>
    <t>Kaufman</t>
  </si>
  <si>
    <t>KAUFMAN COUNTY</t>
  </si>
  <si>
    <t>Andrews</t>
  </si>
  <si>
    <t>WARD COUNTY</t>
  </si>
  <si>
    <t>Wichita</t>
  </si>
  <si>
    <t>WICHITA COUNTY</t>
  </si>
  <si>
    <t>Johnson</t>
  </si>
  <si>
    <t>JOHNSON COUNTY</t>
  </si>
  <si>
    <t>Rockwall</t>
  </si>
  <si>
    <t>ROCKWALL CAD</t>
  </si>
  <si>
    <t>ANDREWS ISD TAX OFFICE</t>
  </si>
  <si>
    <t>Parker</t>
  </si>
  <si>
    <t>PARKER CAD</t>
  </si>
  <si>
    <t>Scurry</t>
  </si>
  <si>
    <t>SCURRY COUNTY</t>
  </si>
  <si>
    <t>Angelina</t>
  </si>
  <si>
    <t>ANGELINA COUNTY TAX OFFICE</t>
  </si>
  <si>
    <t>Howard</t>
  </si>
  <si>
    <t>HOWARD COUNTY</t>
  </si>
  <si>
    <t>Travis</t>
  </si>
  <si>
    <t>TRAVIS COUNTY</t>
  </si>
  <si>
    <t>Henderson</t>
  </si>
  <si>
    <t>HENDERSON COUNTY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</si>
</sst>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00_);[Red]\(#,##0.000\)"/>
    <numFmt numFmtId="166" formatCode="mm/dd/yy"/>
    <numFmt numFmtId="167" formatCode="#,##0.000_);\(#,##0.000\)"/>
    <numFmt numFmtId="168" formatCode="_(* #,##0_);_(* \(#,##0\);_(* &quot;-&quot;??_);_(@_)"/>
    <numFmt numFmtId="169" formatCode="0.00_);\(0.00\)"/>
    <numFmt numFmtId="170" formatCode="_(&quot;$&quot;* #,##0_);_(&quot;$&quot;* \(#,##0\);_(&quot;$&quot;* &quot;-&quot;??_);_(@_)"/>
    <numFmt numFmtId="171" formatCode="mmmm\-yy"/>
    <numFmt numFmtId="172" formatCode="_(* #,##0.000_);_(* \(#,##0.000\);_(* &quot;-&quot;??_);_(@_)"/>
    <numFmt numFmtId="173" formatCode="[$-F800]dddd\,\ mmmm\ dd\,\ yyyy"/>
    <numFmt numFmtId="174" formatCode="[$-409]d\-mmm\-yy;@"/>
    <numFmt numFmtId="175" formatCode="0.00_);[Red]\(0.00\)"/>
    <numFmt numFmtId="176" formatCode="0.0%"/>
    <numFmt numFmtId="177" formatCode="&quot;$&quot;#,##0.00"/>
    <numFmt numFmtId="178" formatCode="0.000%"/>
    <numFmt numFmtId="179" formatCode="#,##0.0_);\(#,##0.0\)"/>
    <numFmt numFmtId="180" formatCode="mmmm\-yyyy"/>
    <numFmt numFmtId="181" formatCode="[$-409]mmmm\-yy;@"/>
    <numFmt numFmtId="182" formatCode="m/d/yyyy;@"/>
  </numFmts>
  <fonts count="5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 val="double"/>
      <sz val="10"/>
      <name val="Arial"/>
      <family val="2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62"/>
      <name val="Arial"/>
      <family val="2"/>
    </font>
    <font>
      <sz val="12"/>
      <color indexed="20"/>
      <name val="Arial"/>
      <family val="2"/>
    </font>
    <font>
      <b/>
      <sz val="10"/>
      <name val="Times New Roman"/>
      <family val="1"/>
    </font>
    <font>
      <b/>
      <u/>
      <sz val="10"/>
      <name val="Arial"/>
      <family val="2"/>
    </font>
    <font>
      <sz val="8.0500000000000007"/>
      <color indexed="8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8"/>
      <name val="Helv"/>
    </font>
    <font>
      <b/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10"/>
      <color indexed="3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8"/>
      <name val="Arial"/>
      <family val="2"/>
    </font>
    <font>
      <b/>
      <u/>
      <sz val="10"/>
      <color indexed="8"/>
      <name val="Arial"/>
      <family val="2"/>
    </font>
    <font>
      <u/>
      <sz val="11"/>
      <color indexed="8"/>
      <name val="Calibri"/>
      <family val="2"/>
    </font>
    <font>
      <u val="double"/>
      <sz val="11"/>
      <color indexed="8"/>
      <name val="Calibri"/>
      <family val="2"/>
    </font>
    <font>
      <u val="double"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sz val="10"/>
      <color rgb="FF040C28"/>
      <name val="Roboto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5" borderId="0" applyNumberFormat="0" applyBorder="0" applyAlignment="0" applyProtection="0"/>
    <xf numFmtId="0" fontId="32" fillId="8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5" fillId="20" borderId="1" applyNumberFormat="0" applyAlignment="0" applyProtection="0"/>
    <xf numFmtId="0" fontId="36" fillId="21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NumberFormat="0" applyFill="0" applyBorder="0" applyAlignment="0" applyProtection="0"/>
    <xf numFmtId="40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0" borderId="3" applyNumberFormat="0" applyFill="0" applyAlignment="0" applyProtection="0"/>
    <xf numFmtId="0" fontId="40" fillId="0" borderId="4" applyNumberFormat="0" applyFill="0" applyAlignment="0" applyProtection="0"/>
    <xf numFmtId="0" fontId="41" fillId="0" borderId="5" applyNumberFormat="0" applyFill="0" applyAlignment="0" applyProtection="0"/>
    <xf numFmtId="0" fontId="4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42" fillId="7" borderId="1" applyNumberFormat="0" applyAlignment="0" applyProtection="0"/>
    <xf numFmtId="41" fontId="13" fillId="0" borderId="0">
      <alignment horizontal="left"/>
    </xf>
    <xf numFmtId="0" fontId="43" fillId="0" borderId="6" applyNumberFormat="0" applyFill="0" applyAlignment="0" applyProtection="0"/>
    <xf numFmtId="0" fontId="44" fillId="22" borderId="0" applyNumberFormat="0" applyBorder="0" applyAlignment="0" applyProtection="0"/>
    <xf numFmtId="0" fontId="20" fillId="0" borderId="0"/>
    <xf numFmtId="0" fontId="32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32" fillId="23" borderId="7" applyNumberFormat="0" applyFont="0" applyAlignment="0" applyProtection="0"/>
    <xf numFmtId="43" fontId="14" fillId="0" borderId="0"/>
    <xf numFmtId="0" fontId="45" fillId="20" borderId="8" applyNumberFormat="0" applyAlignment="0" applyProtection="0"/>
    <xf numFmtId="9" fontId="1" fillId="0" borderId="0" applyFont="0" applyFill="0" applyBorder="0" applyAlignment="0" applyProtection="0"/>
    <xf numFmtId="0" fontId="20" fillId="0" borderId="0" applyNumberFormat="0" applyFont="0" applyFill="0" applyBorder="0" applyAlignment="0" applyProtection="0">
      <alignment horizontal="left"/>
    </xf>
    <xf numFmtId="15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21" fillId="0" borderId="9">
      <alignment horizontal="center"/>
    </xf>
    <xf numFmtId="3" fontId="20" fillId="0" borderId="0" applyFont="0" applyFill="0" applyBorder="0" applyAlignment="0" applyProtection="0"/>
    <xf numFmtId="0" fontId="20" fillId="24" borderId="0" applyNumberFormat="0" applyFont="0" applyBorder="0" applyAlignment="0" applyProtection="0"/>
    <xf numFmtId="0" fontId="46" fillId="0" borderId="0" applyNumberFormat="0" applyFill="0" applyBorder="0" applyAlignment="0" applyProtection="0"/>
    <xf numFmtId="0" fontId="47" fillId="0" borderId="10" applyNumberFormat="0" applyFill="0" applyAlignment="0" applyProtection="0"/>
    <xf numFmtId="0" fontId="48" fillId="0" borderId="0" applyNumberFormat="0" applyFill="0" applyBorder="0" applyAlignment="0" applyProtection="0"/>
    <xf numFmtId="0" fontId="1" fillId="0" borderId="0"/>
  </cellStyleXfs>
  <cellXfs count="8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0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40" fontId="4" fillId="0" borderId="0" xfId="0" applyNumberFormat="1" applyFont="1" applyProtection="1">
      <protection locked="0"/>
    </xf>
    <xf numFmtId="165" fontId="2" fillId="0" borderId="0" xfId="0" applyNumberFormat="1" applyFont="1"/>
    <xf numFmtId="14" fontId="2" fillId="0" borderId="0" xfId="0" applyNumberFormat="1" applyFont="1"/>
    <xf numFmtId="8" fontId="2" fillId="0" borderId="0" xfId="0" applyNumberFormat="1" applyFont="1"/>
    <xf numFmtId="0" fontId="2" fillId="0" borderId="0" xfId="0" applyFont="1" applyAlignment="1">
      <alignment horizontal="left"/>
    </xf>
    <xf numFmtId="38" fontId="2" fillId="0" borderId="0" xfId="0" applyNumberFormat="1" applyFont="1"/>
    <xf numFmtId="0" fontId="8" fillId="0" borderId="0" xfId="0" applyFont="1" applyAlignment="1" applyProtection="1">
      <alignment horizontal="center"/>
      <protection locked="0"/>
    </xf>
    <xf numFmtId="0" fontId="8" fillId="0" borderId="0" xfId="0" applyFont="1"/>
    <xf numFmtId="0" fontId="2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67" fontId="2" fillId="0" borderId="0" xfId="0" applyNumberFormat="1" applyFont="1"/>
    <xf numFmtId="17" fontId="2" fillId="0" borderId="0" xfId="0" applyNumberFormat="1" applyFont="1" applyAlignment="1">
      <alignment horizontal="center"/>
    </xf>
    <xf numFmtId="0" fontId="6" fillId="0" borderId="0" xfId="0" applyFont="1" applyBorder="1"/>
    <xf numFmtId="0" fontId="2" fillId="0" borderId="0" xfId="0" applyFont="1" applyBorder="1"/>
    <xf numFmtId="40" fontId="6" fillId="0" borderId="0" xfId="0" applyNumberFormat="1" applyFont="1" applyBorder="1" applyAlignment="1">
      <alignment horizontal="center"/>
    </xf>
    <xf numFmtId="39" fontId="0" fillId="0" borderId="0" xfId="0" applyNumberFormat="1"/>
    <xf numFmtId="168" fontId="2" fillId="0" borderId="0" xfId="28" applyNumberFormat="1" applyFont="1"/>
    <xf numFmtId="171" fontId="2" fillId="0" borderId="0" xfId="0" applyNumberFormat="1" applyFont="1" applyAlignment="1">
      <alignment horizontal="left"/>
    </xf>
    <xf numFmtId="0" fontId="2" fillId="0" borderId="0" xfId="0" applyFont="1" applyFill="1"/>
    <xf numFmtId="0" fontId="6" fillId="0" borderId="11" xfId="0" applyFont="1" applyBorder="1" applyAlignment="1">
      <alignment horizontal="center" wrapText="1"/>
    </xf>
    <xf numFmtId="43" fontId="6" fillId="0" borderId="11" xfId="28" applyFont="1" applyBorder="1" applyAlignment="1">
      <alignment horizontal="center" wrapText="1"/>
    </xf>
    <xf numFmtId="0" fontId="10" fillId="0" borderId="0" xfId="0" applyFont="1" applyBorder="1"/>
    <xf numFmtId="167" fontId="2" fillId="0" borderId="0" xfId="0" applyNumberFormat="1" applyFont="1" applyAlignment="1">
      <alignment horizontal="center"/>
    </xf>
    <xf numFmtId="44" fontId="2" fillId="0" borderId="0" xfId="31" applyFont="1" applyFill="1"/>
    <xf numFmtId="39" fontId="2" fillId="0" borderId="0" xfId="0" applyNumberFormat="1" applyFont="1" applyFill="1"/>
    <xf numFmtId="0" fontId="6" fillId="0" borderId="0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43" fontId="2" fillId="0" borderId="0" xfId="28" applyFont="1"/>
    <xf numFmtId="44" fontId="2" fillId="0" borderId="0" xfId="0" applyNumberFormat="1" applyFont="1"/>
    <xf numFmtId="43" fontId="2" fillId="0" borderId="0" xfId="28" applyFont="1" applyFill="1"/>
    <xf numFmtId="0" fontId="6" fillId="0" borderId="0" xfId="0" applyFont="1" applyBorder="1" applyAlignment="1">
      <alignment wrapText="1"/>
    </xf>
    <xf numFmtId="39" fontId="2" fillId="0" borderId="0" xfId="0" applyNumberFormat="1" applyFont="1"/>
    <xf numFmtId="0" fontId="8" fillId="0" borderId="0" xfId="0" applyFont="1" applyFill="1"/>
    <xf numFmtId="44" fontId="2" fillId="0" borderId="0" xfId="0" applyNumberFormat="1" applyFont="1" applyProtection="1"/>
    <xf numFmtId="0" fontId="2" fillId="0" borderId="0" xfId="0" quotePrefix="1" applyFont="1" applyAlignment="1">
      <alignment horizontal="right"/>
    </xf>
    <xf numFmtId="37" fontId="2" fillId="0" borderId="0" xfId="0" applyNumberFormat="1" applyFont="1"/>
    <xf numFmtId="40" fontId="11" fillId="0" borderId="11" xfId="0" applyNumberFormat="1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44" fontId="2" fillId="0" borderId="0" xfId="31" applyFont="1" applyFill="1" applyProtection="1"/>
    <xf numFmtId="0" fontId="8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>
      <alignment horizontal="center"/>
    </xf>
    <xf numFmtId="40" fontId="9" fillId="0" borderId="0" xfId="0" applyNumberFormat="1" applyFont="1" applyFill="1" applyProtection="1"/>
    <xf numFmtId="0" fontId="6" fillId="0" borderId="11" xfId="0" applyFont="1" applyBorder="1" applyAlignment="1">
      <alignment horizontal="center"/>
    </xf>
    <xf numFmtId="0" fontId="6" fillId="0" borderId="0" xfId="0" applyFont="1" applyFill="1"/>
    <xf numFmtId="14" fontId="15" fillId="0" borderId="0" xfId="0" applyNumberFormat="1" applyFont="1" applyAlignment="1">
      <alignment horizontal="center"/>
    </xf>
    <xf numFmtId="14" fontId="15" fillId="0" borderId="0" xfId="0" applyNumberFormat="1" applyFont="1"/>
    <xf numFmtId="14" fontId="9" fillId="0" borderId="0" xfId="0" applyNumberFormat="1" applyFont="1" applyAlignment="1">
      <alignment horizontal="center"/>
    </xf>
    <xf numFmtId="0" fontId="6" fillId="0" borderId="11" xfId="0" applyFont="1" applyBorder="1"/>
    <xf numFmtId="40" fontId="6" fillId="0" borderId="1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39" fontId="2" fillId="0" borderId="0" xfId="0" applyNumberFormat="1" applyFont="1" applyAlignment="1">
      <alignment horizontal="center"/>
    </xf>
    <xf numFmtId="0" fontId="0" fillId="0" borderId="0" xfId="0" applyBorder="1"/>
    <xf numFmtId="43" fontId="0" fillId="0" borderId="0" xfId="0" applyNumberFormat="1"/>
    <xf numFmtId="0" fontId="6" fillId="0" borderId="11" xfId="0" applyFont="1" applyBorder="1" applyAlignment="1">
      <alignment horizontal="right"/>
    </xf>
    <xf numFmtId="17" fontId="2" fillId="0" borderId="0" xfId="0" applyNumberFormat="1" applyFont="1"/>
    <xf numFmtId="14" fontId="0" fillId="0" borderId="0" xfId="0" applyNumberFormat="1"/>
    <xf numFmtId="164" fontId="2" fillId="0" borderId="0" xfId="0" applyNumberFormat="1" applyFont="1" applyAlignment="1">
      <alignment horizontal="center"/>
    </xf>
    <xf numFmtId="166" fontId="1" fillId="0" borderId="0" xfId="28" applyNumberFormat="1"/>
    <xf numFmtId="43" fontId="1" fillId="0" borderId="0" xfId="28"/>
    <xf numFmtId="170" fontId="2" fillId="0" borderId="0" xfId="31" applyNumberFormat="1" applyFont="1"/>
    <xf numFmtId="0" fontId="2" fillId="0" borderId="11" xfId="0" applyFont="1" applyBorder="1"/>
    <xf numFmtId="167" fontId="6" fillId="0" borderId="11" xfId="0" applyNumberFormat="1" applyFont="1" applyBorder="1"/>
    <xf numFmtId="0" fontId="0" fillId="0" borderId="0" xfId="0" applyAlignment="1">
      <alignment horizontal="centerContinuous"/>
    </xf>
    <xf numFmtId="167" fontId="2" fillId="0" borderId="0" xfId="0" applyNumberFormat="1" applyFont="1" applyBorder="1"/>
    <xf numFmtId="0" fontId="0" fillId="0" borderId="0" xfId="0" quotePrefix="1"/>
    <xf numFmtId="0" fontId="2" fillId="0" borderId="0" xfId="0" applyFont="1" applyAlignment="1" applyProtection="1">
      <alignment horizontal="center"/>
      <protection locked="0"/>
    </xf>
    <xf numFmtId="167" fontId="6" fillId="0" borderId="11" xfId="0" applyNumberFormat="1" applyFont="1" applyBorder="1" applyAlignment="1">
      <alignment horizontal="center"/>
    </xf>
    <xf numFmtId="14" fontId="2" fillId="0" borderId="0" xfId="0" applyNumberFormat="1" applyFont="1" applyProtection="1">
      <protection locked="0"/>
    </xf>
    <xf numFmtId="169" fontId="2" fillId="0" borderId="0" xfId="0" applyNumberFormat="1" applyFont="1"/>
    <xf numFmtId="168" fontId="2" fillId="0" borderId="0" xfId="0" applyNumberFormat="1" applyFont="1"/>
    <xf numFmtId="43" fontId="2" fillId="0" borderId="0" xfId="0" applyNumberFormat="1" applyFont="1"/>
    <xf numFmtId="14" fontId="2" fillId="0" borderId="0" xfId="0" quotePrefix="1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9" fontId="2" fillId="0" borderId="0" xfId="0" applyNumberFormat="1" applyFont="1" applyFill="1"/>
    <xf numFmtId="0" fontId="2" fillId="0" borderId="0" xfId="0" quotePrefix="1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170" fontId="1" fillId="0" borderId="0" xfId="31" applyNumberFormat="1"/>
    <xf numFmtId="14" fontId="2" fillId="0" borderId="0" xfId="0" applyNumberFormat="1" applyFont="1" applyAlignment="1">
      <alignment horizontal="center"/>
    </xf>
    <xf numFmtId="44" fontId="0" fillId="0" borderId="0" xfId="0" applyNumberFormat="1"/>
    <xf numFmtId="0" fontId="6" fillId="0" borderId="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17" fontId="0" fillId="0" borderId="0" xfId="0" applyNumberFormat="1"/>
    <xf numFmtId="4" fontId="0" fillId="0" borderId="0" xfId="0" applyNumberFormat="1"/>
    <xf numFmtId="0" fontId="18" fillId="0" borderId="0" xfId="0" applyFont="1" applyAlignment="1">
      <alignment vertical="center"/>
    </xf>
    <xf numFmtId="4" fontId="18" fillId="0" borderId="0" xfId="0" applyNumberFormat="1" applyFont="1" applyAlignment="1">
      <alignment vertical="center"/>
    </xf>
    <xf numFmtId="0" fontId="2" fillId="0" borderId="0" xfId="48" applyFont="1"/>
    <xf numFmtId="0" fontId="6" fillId="0" borderId="0" xfId="48" applyFont="1"/>
    <xf numFmtId="0" fontId="3" fillId="0" borderId="0" xfId="48" applyFont="1"/>
    <xf numFmtId="0" fontId="10" fillId="0" borderId="0" xfId="48" applyFont="1"/>
    <xf numFmtId="0" fontId="2" fillId="0" borderId="0" xfId="48" applyFont="1" applyBorder="1"/>
    <xf numFmtId="0" fontId="2" fillId="0" borderId="0" xfId="48" applyFont="1" applyBorder="1" applyAlignment="1">
      <alignment wrapText="1"/>
    </xf>
    <xf numFmtId="0" fontId="6" fillId="0" borderId="0" xfId="48" applyFont="1" applyBorder="1" applyAlignment="1">
      <alignment horizontal="center" wrapText="1"/>
    </xf>
    <xf numFmtId="0" fontId="2" fillId="0" borderId="0" xfId="48" applyFont="1" applyAlignment="1">
      <alignment wrapText="1"/>
    </xf>
    <xf numFmtId="0" fontId="6" fillId="0" borderId="0" xfId="48" applyFont="1" applyBorder="1" applyAlignment="1">
      <alignment horizontal="center"/>
    </xf>
    <xf numFmtId="0" fontId="2" fillId="0" borderId="0" xfId="48" applyFont="1" applyFill="1" applyBorder="1" applyAlignment="1">
      <alignment horizontal="left"/>
    </xf>
    <xf numFmtId="43" fontId="2" fillId="0" borderId="0" xfId="28" applyFont="1" applyFill="1" applyBorder="1" applyAlignment="1"/>
    <xf numFmtId="0" fontId="2" fillId="0" borderId="0" xfId="48" applyFont="1" applyFill="1" applyBorder="1"/>
    <xf numFmtId="43" fontId="2" fillId="0" borderId="0" xfId="28" applyFont="1" applyBorder="1"/>
    <xf numFmtId="43" fontId="2" fillId="0" borderId="0" xfId="28" applyFont="1" applyFill="1" applyBorder="1"/>
    <xf numFmtId="43" fontId="2" fillId="0" borderId="0" xfId="48" applyNumberFormat="1" applyFont="1" applyBorder="1"/>
    <xf numFmtId="43" fontId="2" fillId="0" borderId="0" xfId="28" quotePrefix="1" applyFont="1" applyFill="1" applyBorder="1"/>
    <xf numFmtId="0" fontId="2" fillId="0" borderId="0" xfId="48" quotePrefix="1" applyFont="1"/>
    <xf numFmtId="0" fontId="6" fillId="0" borderId="0" xfId="48" applyFont="1" applyBorder="1"/>
    <xf numFmtId="0" fontId="2" fillId="0" borderId="0" xfId="47" applyFont="1"/>
    <xf numFmtId="0" fontId="2" fillId="0" borderId="0" xfId="47" applyFont="1" applyBorder="1"/>
    <xf numFmtId="0" fontId="2" fillId="0" borderId="0" xfId="47" applyFont="1" applyBorder="1" applyAlignment="1">
      <alignment horizontal="center"/>
    </xf>
    <xf numFmtId="0" fontId="2" fillId="0" borderId="0" xfId="47" applyFont="1" applyAlignment="1">
      <alignment horizontal="center"/>
    </xf>
    <xf numFmtId="0" fontId="2" fillId="0" borderId="0" xfId="47" applyFont="1" applyAlignment="1">
      <alignment wrapText="1"/>
    </xf>
    <xf numFmtId="0" fontId="6" fillId="0" borderId="0" xfId="47" applyFont="1" applyBorder="1" applyAlignment="1">
      <alignment horizontal="center"/>
    </xf>
    <xf numFmtId="0" fontId="2" fillId="0" borderId="0" xfId="47" applyFont="1" applyFill="1" applyBorder="1"/>
    <xf numFmtId="43" fontId="2" fillId="0" borderId="0" xfId="28" applyFont="1" applyFill="1" applyBorder="1" applyAlignment="1">
      <alignment horizontal="center"/>
    </xf>
    <xf numFmtId="43" fontId="6" fillId="0" borderId="0" xfId="28" applyFont="1" applyFill="1" applyBorder="1" applyAlignment="1">
      <alignment horizontal="left"/>
    </xf>
    <xf numFmtId="0" fontId="2" fillId="0" borderId="0" xfId="46" applyFont="1" applyFill="1" applyBorder="1"/>
    <xf numFmtId="168" fontId="2" fillId="0" borderId="0" xfId="47" applyNumberFormat="1" applyFont="1" applyBorder="1"/>
    <xf numFmtId="43" fontId="2" fillId="0" borderId="0" xfId="47" applyNumberFormat="1" applyFont="1" applyBorder="1"/>
    <xf numFmtId="43" fontId="6" fillId="0" borderId="0" xfId="28" applyFont="1" applyBorder="1" applyAlignment="1">
      <alignment horizontal="left"/>
    </xf>
    <xf numFmtId="38" fontId="2" fillId="0" borderId="0" xfId="28" applyNumberFormat="1" applyFont="1" applyFill="1" applyBorder="1" applyAlignment="1"/>
    <xf numFmtId="43" fontId="6" fillId="0" borderId="0" xfId="28" applyFont="1" applyFill="1" applyBorder="1" applyAlignment="1">
      <alignment horizontal="center"/>
    </xf>
    <xf numFmtId="0" fontId="6" fillId="0" borderId="0" xfId="47" applyFont="1" applyBorder="1"/>
    <xf numFmtId="38" fontId="2" fillId="0" borderId="0" xfId="47" applyNumberFormat="1" applyFont="1" applyFill="1" applyBorder="1"/>
    <xf numFmtId="0" fontId="2" fillId="0" borderId="0" xfId="46" applyFont="1"/>
    <xf numFmtId="0" fontId="2" fillId="0" borderId="0" xfId="46" applyFont="1" applyAlignment="1">
      <alignment wrapText="1"/>
    </xf>
    <xf numFmtId="0" fontId="2" fillId="0" borderId="0" xfId="46" applyFont="1" applyAlignment="1">
      <alignment horizontal="center"/>
    </xf>
    <xf numFmtId="17" fontId="2" fillId="0" borderId="0" xfId="46" applyNumberFormat="1" applyFont="1" applyAlignment="1">
      <alignment horizontal="center"/>
    </xf>
    <xf numFmtId="49" fontId="2" fillId="0" borderId="0" xfId="47" applyNumberFormat="1" applyFont="1"/>
    <xf numFmtId="49" fontId="6" fillId="0" borderId="0" xfId="47" quotePrefix="1" applyNumberFormat="1" applyFont="1" applyBorder="1" applyAlignment="1">
      <alignment horizontal="center"/>
    </xf>
    <xf numFmtId="43" fontId="2" fillId="0" borderId="0" xfId="47" applyNumberFormat="1" applyFont="1" applyFill="1" applyBorder="1"/>
    <xf numFmtId="0" fontId="6" fillId="0" borderId="0" xfId="47" applyFont="1" applyAlignment="1">
      <alignment horizontal="right"/>
    </xf>
    <xf numFmtId="0" fontId="2" fillId="0" borderId="0" xfId="43" applyFont="1"/>
    <xf numFmtId="0" fontId="6" fillId="0" borderId="0" xfId="43" applyFont="1"/>
    <xf numFmtId="0" fontId="2" fillId="0" borderId="0" xfId="43" applyFont="1" applyBorder="1"/>
    <xf numFmtId="0" fontId="6" fillId="0" borderId="0" xfId="43" applyFont="1" applyBorder="1"/>
    <xf numFmtId="0" fontId="6" fillId="0" borderId="0" xfId="43" applyFont="1" applyBorder="1" applyAlignment="1">
      <alignment horizontal="center"/>
    </xf>
    <xf numFmtId="0" fontId="6" fillId="0" borderId="0" xfId="43" applyFont="1" applyFill="1" applyBorder="1" applyAlignment="1">
      <alignment horizontal="center"/>
    </xf>
    <xf numFmtId="0" fontId="2" fillId="0" borderId="0" xfId="43" applyFont="1" applyAlignment="1">
      <alignment horizontal="center"/>
    </xf>
    <xf numFmtId="40" fontId="6" fillId="0" borderId="0" xfId="43" applyNumberFormat="1" applyFont="1" applyBorder="1"/>
    <xf numFmtId="0" fontId="6" fillId="0" borderId="0" xfId="43" applyFont="1" applyFill="1" applyBorder="1" applyAlignment="1">
      <alignment wrapText="1"/>
    </xf>
    <xf numFmtId="0" fontId="6" fillId="0" borderId="0" xfId="43" applyFont="1" applyAlignment="1">
      <alignment wrapText="1"/>
    </xf>
    <xf numFmtId="40" fontId="6" fillId="0" borderId="0" xfId="43" applyNumberFormat="1" applyFont="1"/>
    <xf numFmtId="40" fontId="2" fillId="0" borderId="0" xfId="30" applyFont="1" applyBorder="1" applyAlignment="1">
      <alignment horizontal="right"/>
    </xf>
    <xf numFmtId="0" fontId="2" fillId="0" borderId="0" xfId="43" applyFont="1" applyBorder="1" applyAlignment="1">
      <alignment horizontal="left"/>
    </xf>
    <xf numFmtId="40" fontId="2" fillId="0" borderId="0" xfId="30" applyFont="1" applyAlignment="1">
      <alignment horizontal="center"/>
    </xf>
    <xf numFmtId="40" fontId="2" fillId="0" borderId="0" xfId="30" applyFont="1"/>
    <xf numFmtId="0" fontId="22" fillId="0" borderId="0" xfId="0" applyFont="1"/>
    <xf numFmtId="0" fontId="6" fillId="0" borderId="0" xfId="0" applyFont="1" applyBorder="1" applyAlignment="1">
      <alignment horizontal="right"/>
    </xf>
    <xf numFmtId="40" fontId="6" fillId="0" borderId="11" xfId="0" applyNumberFormat="1" applyFont="1" applyBorder="1" applyAlignment="1">
      <alignment horizontal="center" wrapText="1"/>
    </xf>
    <xf numFmtId="39" fontId="2" fillId="0" borderId="0" xfId="0" applyNumberFormat="1" applyFont="1" applyAlignment="1">
      <alignment horizontal="right"/>
    </xf>
    <xf numFmtId="44" fontId="2" fillId="0" borderId="0" xfId="31" applyFont="1" applyAlignment="1">
      <alignment horizontal="right"/>
    </xf>
    <xf numFmtId="39" fontId="6" fillId="0" borderId="0" xfId="0" applyNumberFormat="1" applyFont="1" applyBorder="1" applyAlignment="1">
      <alignment horizontal="center"/>
    </xf>
    <xf numFmtId="0" fontId="1" fillId="0" borderId="0" xfId="45"/>
    <xf numFmtId="169" fontId="1" fillId="0" borderId="0" xfId="45" applyNumberFormat="1"/>
    <xf numFmtId="0" fontId="25" fillId="0" borderId="0" xfId="45" applyFont="1"/>
    <xf numFmtId="0" fontId="17" fillId="0" borderId="0" xfId="45" applyFont="1" applyAlignment="1">
      <alignment horizontal="center"/>
    </xf>
    <xf numFmtId="0" fontId="1" fillId="0" borderId="0" xfId="45" applyFont="1"/>
    <xf numFmtId="0" fontId="1" fillId="0" borderId="0" xfId="45" applyFill="1"/>
    <xf numFmtId="3" fontId="0" fillId="0" borderId="0" xfId="0" applyNumberFormat="1"/>
    <xf numFmtId="39" fontId="2" fillId="0" borderId="0" xfId="28" applyNumberFormat="1" applyFont="1"/>
    <xf numFmtId="0" fontId="26" fillId="0" borderId="0" xfId="0" applyFont="1"/>
    <xf numFmtId="44" fontId="9" fillId="0" borderId="0" xfId="0" applyNumberFormat="1" applyFont="1"/>
    <xf numFmtId="44" fontId="9" fillId="0" borderId="0" xfId="0" applyNumberFormat="1" applyFont="1" applyAlignment="1">
      <alignment horizontal="center"/>
    </xf>
    <xf numFmtId="44" fontId="0" fillId="0" borderId="0" xfId="31" applyFont="1"/>
    <xf numFmtId="44" fontId="6" fillId="0" borderId="0" xfId="31" applyFont="1" applyAlignment="1">
      <alignment horizontal="center"/>
    </xf>
    <xf numFmtId="44" fontId="6" fillId="0" borderId="11" xfId="31" applyFont="1" applyBorder="1" applyAlignment="1">
      <alignment horizontal="center"/>
    </xf>
    <xf numFmtId="170" fontId="2" fillId="0" borderId="0" xfId="31" applyNumberFormat="1" applyFont="1" applyFill="1"/>
    <xf numFmtId="0" fontId="10" fillId="0" borderId="0" xfId="0" applyFont="1" applyAlignment="1">
      <alignment horizontal="left"/>
    </xf>
    <xf numFmtId="43" fontId="6" fillId="0" borderId="0" xfId="28" applyFont="1" applyAlignment="1">
      <alignment horizontal="left"/>
    </xf>
    <xf numFmtId="0" fontId="16" fillId="0" borderId="0" xfId="0" applyFont="1"/>
    <xf numFmtId="43" fontId="6" fillId="0" borderId="0" xfId="28" applyFont="1" applyAlignment="1"/>
    <xf numFmtId="43" fontId="6" fillId="0" borderId="0" xfId="28" applyFont="1" applyFill="1" applyAlignment="1">
      <alignment horizontal="left"/>
    </xf>
    <xf numFmtId="0" fontId="2" fillId="0" borderId="0" xfId="43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16" fontId="8" fillId="0" borderId="0" xfId="0" applyNumberFormat="1" applyFont="1" applyAlignment="1" applyProtection="1">
      <alignment horizontal="center"/>
      <protection locked="0"/>
    </xf>
    <xf numFmtId="0" fontId="2" fillId="0" borderId="0" xfId="0" applyFont="1" applyFill="1" applyBorder="1"/>
    <xf numFmtId="0" fontId="2" fillId="0" borderId="0" xfId="0" applyFont="1" applyFill="1" applyAlignment="1">
      <alignment horizontal="left"/>
    </xf>
    <xf numFmtId="0" fontId="6" fillId="0" borderId="11" xfId="0" applyFont="1" applyFill="1" applyBorder="1" applyAlignment="1">
      <alignment horizontal="center" wrapText="1"/>
    </xf>
    <xf numFmtId="8" fontId="7" fillId="0" borderId="0" xfId="0" applyNumberFormat="1" applyFont="1" applyFill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2" fillId="0" borderId="0" xfId="0" quotePrefix="1" applyFont="1" applyFill="1" applyAlignment="1">
      <alignment horizontal="center"/>
    </xf>
    <xf numFmtId="8" fontId="2" fillId="0" borderId="0" xfId="0" applyNumberFormat="1" applyFont="1" applyFill="1"/>
    <xf numFmtId="165" fontId="1" fillId="0" borderId="0" xfId="45" applyNumberFormat="1"/>
    <xf numFmtId="165" fontId="25" fillId="0" borderId="0" xfId="45" applyNumberFormat="1" applyFont="1"/>
    <xf numFmtId="0" fontId="17" fillId="0" borderId="0" xfId="0" applyFont="1" applyAlignment="1">
      <alignment horizontal="left"/>
    </xf>
    <xf numFmtId="0" fontId="6" fillId="0" borderId="9" xfId="43" applyFont="1" applyFill="1" applyBorder="1" applyAlignment="1">
      <alignment horizontal="center" wrapText="1"/>
    </xf>
    <xf numFmtId="0" fontId="6" fillId="0" borderId="0" xfId="43" applyFont="1" applyFill="1" applyBorder="1" applyAlignment="1">
      <alignment horizontal="center" wrapText="1"/>
    </xf>
    <xf numFmtId="0" fontId="6" fillId="0" borderId="11" xfId="43" applyFont="1" applyFill="1" applyBorder="1" applyAlignment="1">
      <alignment horizontal="center" wrapText="1"/>
    </xf>
    <xf numFmtId="0" fontId="6" fillId="0" borderId="11" xfId="48" applyFont="1" applyBorder="1" applyAlignment="1">
      <alignment horizontal="center"/>
    </xf>
    <xf numFmtId="0" fontId="2" fillId="0" borderId="0" xfId="43" applyFont="1" applyBorder="1" applyAlignment="1">
      <alignment horizontal="center"/>
    </xf>
    <xf numFmtId="0" fontId="2" fillId="0" borderId="0" xfId="48" applyFont="1" applyAlignment="1">
      <alignment horizontal="center"/>
    </xf>
    <xf numFmtId="0" fontId="6" fillId="0" borderId="11" xfId="45" applyFont="1" applyBorder="1"/>
    <xf numFmtId="0" fontId="1" fillId="0" borderId="0" xfId="45" applyAlignment="1">
      <alignment horizontal="center"/>
    </xf>
    <xf numFmtId="0" fontId="25" fillId="0" borderId="11" xfId="45" applyFont="1" applyBorder="1"/>
    <xf numFmtId="0" fontId="0" fillId="0" borderId="0" xfId="0" applyBorder="1" applyAlignment="1">
      <alignment horizontal="center"/>
    </xf>
    <xf numFmtId="0" fontId="6" fillId="0" borderId="0" xfId="45" applyFont="1" applyBorder="1"/>
    <xf numFmtId="0" fontId="25" fillId="0" borderId="0" xfId="45" applyFont="1" applyBorder="1"/>
    <xf numFmtId="16" fontId="0" fillId="0" borderId="0" xfId="0" applyNumberFormat="1" applyAlignment="1">
      <alignment horizontal="left"/>
    </xf>
    <xf numFmtId="43" fontId="6" fillId="0" borderId="0" xfId="28" applyFont="1" applyBorder="1" applyAlignment="1">
      <alignment horizontal="center" wrapText="1"/>
    </xf>
    <xf numFmtId="173" fontId="2" fillId="0" borderId="0" xfId="0" applyNumberFormat="1" applyFont="1" applyAlignment="1">
      <alignment horizontal="center"/>
    </xf>
    <xf numFmtId="0" fontId="2" fillId="0" borderId="0" xfId="46" applyFont="1" applyFill="1"/>
    <xf numFmtId="0" fontId="2" fillId="0" borderId="0" xfId="46" applyFont="1" applyFill="1" applyAlignment="1">
      <alignment horizontal="left"/>
    </xf>
    <xf numFmtId="0" fontId="6" fillId="0" borderId="9" xfId="46" applyFont="1" applyFill="1" applyBorder="1" applyAlignment="1">
      <alignment horizontal="center"/>
    </xf>
    <xf numFmtId="0" fontId="6" fillId="0" borderId="0" xfId="46" applyFont="1" applyFill="1" applyBorder="1" applyAlignment="1">
      <alignment horizontal="center"/>
    </xf>
    <xf numFmtId="49" fontId="6" fillId="0" borderId="0" xfId="47" quotePrefix="1" applyNumberFormat="1" applyFont="1" applyFill="1" applyBorder="1" applyAlignment="1">
      <alignment horizontal="center"/>
    </xf>
    <xf numFmtId="0" fontId="2" fillId="0" borderId="0" xfId="43" applyFont="1" applyFill="1" applyAlignment="1">
      <alignment horizontal="center"/>
    </xf>
    <xf numFmtId="0" fontId="2" fillId="0" borderId="0" xfId="46" applyFont="1" applyFill="1" applyAlignment="1">
      <alignment horizontal="center"/>
    </xf>
    <xf numFmtId="17" fontId="2" fillId="0" borderId="0" xfId="46" applyNumberFormat="1" applyFont="1" applyFill="1"/>
    <xf numFmtId="43" fontId="6" fillId="0" borderId="0" xfId="28" applyFont="1" applyFill="1" applyAlignment="1">
      <alignment horizontal="center"/>
    </xf>
    <xf numFmtId="0" fontId="6" fillId="0" borderId="0" xfId="46" applyFont="1" applyFill="1" applyAlignment="1">
      <alignment horizontal="center"/>
    </xf>
    <xf numFmtId="170" fontId="0" fillId="0" borderId="0" xfId="31" applyNumberFormat="1" applyFont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1" xfId="0" applyFill="1" applyBorder="1"/>
    <xf numFmtId="165" fontId="5" fillId="0" borderId="0" xfId="0" applyNumberFormat="1" applyFont="1" applyFill="1" applyAlignment="1">
      <alignment horizontal="right"/>
    </xf>
    <xf numFmtId="0" fontId="6" fillId="0" borderId="0" xfId="0" applyFont="1" applyBorder="1" applyAlignment="1">
      <alignment horizontal="left"/>
    </xf>
    <xf numFmtId="43" fontId="6" fillId="0" borderId="0" xfId="28" applyFont="1" applyBorder="1" applyAlignment="1"/>
    <xf numFmtId="0" fontId="6" fillId="0" borderId="0" xfId="0" quotePrefix="1" applyFont="1" applyBorder="1"/>
    <xf numFmtId="169" fontId="6" fillId="0" borderId="0" xfId="0" applyNumberFormat="1" applyFont="1" applyBorder="1"/>
    <xf numFmtId="10" fontId="2" fillId="0" borderId="0" xfId="52" applyNumberFormat="1" applyFont="1" applyProtection="1">
      <protection locked="0"/>
    </xf>
    <xf numFmtId="0" fontId="2" fillId="0" borderId="0" xfId="0" applyFont="1" applyProtection="1">
      <protection locked="0"/>
    </xf>
    <xf numFmtId="169" fontId="2" fillId="0" borderId="0" xfId="0" applyNumberFormat="1" applyFont="1" applyProtection="1"/>
    <xf numFmtId="7" fontId="2" fillId="0" borderId="0" xfId="0" applyNumberFormat="1" applyFont="1"/>
    <xf numFmtId="7" fontId="6" fillId="0" borderId="0" xfId="0" applyNumberFormat="1" applyFont="1" applyBorder="1" applyAlignment="1">
      <alignment horizontal="center"/>
    </xf>
    <xf numFmtId="7" fontId="6" fillId="0" borderId="11" xfId="0" applyNumberFormat="1" applyFont="1" applyBorder="1" applyAlignment="1">
      <alignment horizontal="center"/>
    </xf>
    <xf numFmtId="170" fontId="2" fillId="0" borderId="0" xfId="0" applyNumberFormat="1" applyFont="1"/>
    <xf numFmtId="0" fontId="6" fillId="0" borderId="0" xfId="48" applyFont="1" applyFill="1" applyAlignment="1">
      <alignment horizontal="left"/>
    </xf>
    <xf numFmtId="0" fontId="2" fillId="0" borderId="0" xfId="47" applyFont="1" applyFill="1"/>
    <xf numFmtId="0" fontId="2" fillId="0" borderId="0" xfId="47" applyFont="1" applyFill="1" applyAlignment="1">
      <alignment horizontal="center"/>
    </xf>
    <xf numFmtId="168" fontId="2" fillId="0" borderId="0" xfId="28" applyNumberFormat="1" applyFont="1" applyFill="1"/>
    <xf numFmtId="168" fontId="2" fillId="0" borderId="0" xfId="47" applyNumberFormat="1" applyFont="1" applyFill="1" applyBorder="1"/>
    <xf numFmtId="0" fontId="5" fillId="0" borderId="0" xfId="0" applyFont="1" applyFill="1"/>
    <xf numFmtId="43" fontId="2" fillId="0" borderId="0" xfId="28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8" fillId="0" borderId="0" xfId="0" applyFont="1" applyBorder="1"/>
    <xf numFmtId="0" fontId="27" fillId="0" borderId="0" xfId="0" applyFont="1" applyFill="1" applyBorder="1" applyAlignment="1">
      <alignment horizontal="center"/>
    </xf>
    <xf numFmtId="16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/>
    <xf numFmtId="10" fontId="1" fillId="0" borderId="0" xfId="31" applyNumberFormat="1"/>
    <xf numFmtId="10" fontId="1" fillId="0" borderId="0" xfId="31" applyNumberFormat="1" applyFont="1"/>
    <xf numFmtId="43" fontId="6" fillId="0" borderId="0" xfId="0" applyNumberFormat="1" applyFont="1" applyAlignment="1"/>
    <xf numFmtId="174" fontId="0" fillId="0" borderId="0" xfId="0" quotePrefix="1" applyNumberFormat="1"/>
    <xf numFmtId="174" fontId="0" fillId="0" borderId="0" xfId="0" applyNumberFormat="1"/>
    <xf numFmtId="175" fontId="0" fillId="0" borderId="0" xfId="0" applyNumberFormat="1"/>
    <xf numFmtId="44" fontId="6" fillId="0" borderId="0" xfId="0" applyNumberFormat="1" applyFont="1" applyAlignment="1">
      <alignment horizontal="center"/>
    </xf>
    <xf numFmtId="175" fontId="6" fillId="0" borderId="0" xfId="0" applyNumberFormat="1" applyFont="1" applyAlignment="1">
      <alignment horizontal="center"/>
    </xf>
    <xf numFmtId="175" fontId="6" fillId="0" borderId="11" xfId="0" applyNumberFormat="1" applyFont="1" applyBorder="1" applyAlignment="1">
      <alignment horizontal="center"/>
    </xf>
    <xf numFmtId="174" fontId="0" fillId="0" borderId="0" xfId="0" applyNumberFormat="1" applyAlignment="1">
      <alignment horizontal="right"/>
    </xf>
    <xf numFmtId="43" fontId="6" fillId="0" borderId="0" xfId="28" applyFont="1" applyAlignment="1">
      <alignment horizontal="center"/>
    </xf>
    <xf numFmtId="0" fontId="6" fillId="0" borderId="0" xfId="48" applyFont="1" applyFill="1"/>
    <xf numFmtId="168" fontId="2" fillId="0" borderId="0" xfId="47" applyNumberFormat="1" applyFont="1" applyFill="1"/>
    <xf numFmtId="44" fontId="6" fillId="0" borderId="11" xfId="31" applyFont="1" applyBorder="1" applyAlignment="1">
      <alignment horizontal="left"/>
    </xf>
    <xf numFmtId="40" fontId="0" fillId="0" borderId="0" xfId="0" applyNumberFormat="1"/>
    <xf numFmtId="165" fontId="1" fillId="0" borderId="0" xfId="29" applyNumberFormat="1"/>
    <xf numFmtId="165" fontId="6" fillId="0" borderId="11" xfId="29" applyNumberFormat="1" applyFont="1" applyBorder="1" applyAlignment="1">
      <alignment horizontal="center"/>
    </xf>
    <xf numFmtId="165" fontId="2" fillId="0" borderId="0" xfId="0" applyNumberFormat="1" applyFont="1" applyBorder="1"/>
    <xf numFmtId="165" fontId="2" fillId="0" borderId="0" xfId="28" applyNumberFormat="1" applyFont="1"/>
    <xf numFmtId="38" fontId="2" fillId="0" borderId="0" xfId="0" applyNumberFormat="1" applyFont="1" applyFill="1" applyProtection="1">
      <protection locked="0"/>
    </xf>
    <xf numFmtId="38" fontId="2" fillId="0" borderId="0" xfId="31" applyNumberFormat="1" applyFont="1" applyFill="1" applyProtection="1">
      <protection locked="0"/>
    </xf>
    <xf numFmtId="38" fontId="2" fillId="0" borderId="11" xfId="28" applyNumberFormat="1" applyFont="1" applyFill="1" applyBorder="1" applyProtection="1">
      <protection locked="0"/>
    </xf>
    <xf numFmtId="10" fontId="2" fillId="0" borderId="0" xfId="0" applyNumberFormat="1" applyFont="1" applyFill="1" applyAlignment="1">
      <alignment horizontal="left"/>
    </xf>
    <xf numFmtId="10" fontId="6" fillId="0" borderId="11" xfId="0" applyNumberFormat="1" applyFont="1" applyFill="1" applyBorder="1" applyAlignment="1">
      <alignment horizontal="center" wrapText="1"/>
    </xf>
    <xf numFmtId="10" fontId="2" fillId="0" borderId="0" xfId="0" applyNumberFormat="1" applyFont="1" applyFill="1" applyBorder="1" applyAlignment="1">
      <alignment horizontal="center" wrapText="1"/>
    </xf>
    <xf numFmtId="10" fontId="2" fillId="0" borderId="0" xfId="0" applyNumberFormat="1" applyFont="1" applyFill="1"/>
    <xf numFmtId="10" fontId="2" fillId="0" borderId="0" xfId="0" applyNumberFormat="1" applyFont="1" applyFill="1" applyAlignment="1">
      <alignment horizontal="center"/>
    </xf>
    <xf numFmtId="10" fontId="2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39" fontId="2" fillId="0" borderId="0" xfId="0" applyNumberFormat="1" applyFont="1" applyBorder="1"/>
    <xf numFmtId="0" fontId="2" fillId="0" borderId="0" xfId="0" applyFont="1" applyFill="1" applyAlignment="1">
      <alignment horizontal="right"/>
    </xf>
    <xf numFmtId="43" fontId="15" fillId="0" borderId="0" xfId="28" applyFont="1" applyProtection="1"/>
    <xf numFmtId="0" fontId="29" fillId="0" borderId="0" xfId="0" applyFont="1" applyAlignment="1">
      <alignment horizontal="left" vertical="center"/>
    </xf>
    <xf numFmtId="0" fontId="12" fillId="0" borderId="0" xfId="38" applyAlignment="1" applyProtection="1"/>
    <xf numFmtId="173" fontId="2" fillId="0" borderId="0" xfId="0" applyNumberFormat="1" applyFont="1"/>
    <xf numFmtId="43" fontId="0" fillId="0" borderId="0" xfId="28" applyFont="1"/>
    <xf numFmtId="43" fontId="6" fillId="0" borderId="0" xfId="28" applyFont="1" applyBorder="1" applyAlignment="1">
      <alignment horizontal="center"/>
    </xf>
    <xf numFmtId="43" fontId="6" fillId="0" borderId="11" xfId="28" applyFont="1" applyBorder="1" applyAlignment="1">
      <alignment horizontal="center"/>
    </xf>
    <xf numFmtId="43" fontId="2" fillId="0" borderId="0" xfId="28" quotePrefix="1" applyFont="1" applyAlignment="1">
      <alignment horizontal="center"/>
    </xf>
    <xf numFmtId="43" fontId="6" fillId="0" borderId="0" xfId="28" applyFont="1"/>
    <xf numFmtId="43" fontId="2" fillId="0" borderId="0" xfId="28" applyFont="1" applyAlignment="1">
      <alignment horizontal="center"/>
    </xf>
    <xf numFmtId="43" fontId="2" fillId="0" borderId="0" xfId="28" applyFont="1" applyAlignment="1">
      <alignment horizontal="left"/>
    </xf>
    <xf numFmtId="43" fontId="0" fillId="0" borderId="0" xfId="28" applyFont="1" applyAlignment="1">
      <alignment horizontal="fill"/>
    </xf>
    <xf numFmtId="43" fontId="0" fillId="0" borderId="0" xfId="28" applyFont="1" applyAlignment="1">
      <alignment horizontal="centerContinuous"/>
    </xf>
    <xf numFmtId="43" fontId="2" fillId="0" borderId="0" xfId="28" applyFont="1" applyAlignment="1"/>
    <xf numFmtId="0" fontId="2" fillId="0" borderId="11" xfId="45" applyFont="1" applyBorder="1"/>
    <xf numFmtId="0" fontId="6" fillId="0" borderId="11" xfId="45" applyFont="1" applyBorder="1" applyAlignment="1">
      <alignment horizontal="center"/>
    </xf>
    <xf numFmtId="165" fontId="6" fillId="0" borderId="11" xfId="45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67" fontId="6" fillId="0" borderId="0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44" fontId="2" fillId="0" borderId="0" xfId="0" applyNumberFormat="1" applyFont="1" applyBorder="1" applyAlignment="1">
      <alignment horizontal="center"/>
    </xf>
    <xf numFmtId="175" fontId="2" fillId="0" borderId="0" xfId="0" applyNumberFormat="1" applyFont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44" fontId="6" fillId="0" borderId="11" xfId="0" applyNumberFormat="1" applyFont="1" applyBorder="1" applyAlignment="1">
      <alignment horizontal="center"/>
    </xf>
    <xf numFmtId="44" fontId="0" fillId="0" borderId="0" xfId="31" applyFont="1" applyAlignment="1">
      <alignment horizontal="center"/>
    </xf>
    <xf numFmtId="43" fontId="0" fillId="0" borderId="0" xfId="28" applyFont="1" applyAlignment="1">
      <alignment horizontal="center"/>
    </xf>
    <xf numFmtId="165" fontId="6" fillId="0" borderId="0" xfId="29" applyNumberFormat="1" applyFont="1" applyBorder="1" applyAlignment="1">
      <alignment horizontal="center"/>
    </xf>
    <xf numFmtId="0" fontId="2" fillId="0" borderId="0" xfId="47" applyFont="1" applyBorder="1" applyAlignment="1">
      <alignment wrapText="1"/>
    </xf>
    <xf numFmtId="0" fontId="6" fillId="0" borderId="0" xfId="47" applyFont="1" applyBorder="1" applyAlignment="1">
      <alignment horizontal="center" wrapText="1"/>
    </xf>
    <xf numFmtId="49" fontId="6" fillId="0" borderId="0" xfId="47" applyNumberFormat="1" applyFont="1" applyBorder="1" applyAlignment="1">
      <alignment horizontal="center"/>
    </xf>
    <xf numFmtId="0" fontId="2" fillId="0" borderId="0" xfId="47" applyFont="1" applyBorder="1" applyAlignment="1">
      <alignment horizontal="center" wrapText="1"/>
    </xf>
    <xf numFmtId="0" fontId="6" fillId="0" borderId="11" xfId="47" applyFont="1" applyBorder="1" applyAlignment="1">
      <alignment horizontal="center"/>
    </xf>
    <xf numFmtId="0" fontId="2" fillId="0" borderId="11" xfId="47" applyFont="1" applyBorder="1"/>
    <xf numFmtId="0" fontId="6" fillId="0" borderId="11" xfId="47" applyFont="1" applyBorder="1" applyAlignment="1">
      <alignment horizontal="center" wrapText="1"/>
    </xf>
    <xf numFmtId="0" fontId="2" fillId="0" borderId="0" xfId="46" applyFont="1" applyBorder="1" applyAlignment="1">
      <alignment horizontal="center" wrapText="1"/>
    </xf>
    <xf numFmtId="0" fontId="6" fillId="0" borderId="0" xfId="46" applyFont="1" applyBorder="1" applyAlignment="1">
      <alignment horizontal="center" wrapText="1"/>
    </xf>
    <xf numFmtId="0" fontId="6" fillId="0" borderId="11" xfId="46" applyFont="1" applyBorder="1" applyAlignment="1">
      <alignment horizontal="center"/>
    </xf>
    <xf numFmtId="49" fontId="6" fillId="0" borderId="11" xfId="47" applyNumberFormat="1" applyFont="1" applyBorder="1" applyAlignment="1">
      <alignment horizontal="center"/>
    </xf>
    <xf numFmtId="49" fontId="2" fillId="0" borderId="11" xfId="47" applyNumberFormat="1" applyFont="1" applyBorder="1"/>
    <xf numFmtId="49" fontId="2" fillId="0" borderId="11" xfId="47" applyNumberFormat="1" applyFont="1" applyBorder="1" applyAlignment="1">
      <alignment horizontal="center"/>
    </xf>
    <xf numFmtId="49" fontId="6" fillId="0" borderId="11" xfId="50" quotePrefix="1" applyNumberFormat="1" applyFont="1" applyBorder="1" applyAlignment="1">
      <alignment horizontal="center"/>
    </xf>
    <xf numFmtId="0" fontId="2" fillId="0" borderId="0" xfId="46" applyFont="1" applyFill="1" applyBorder="1" applyAlignment="1">
      <alignment horizontal="center"/>
    </xf>
    <xf numFmtId="0" fontId="6" fillId="0" borderId="0" xfId="43" applyFont="1" applyBorder="1" applyAlignment="1">
      <alignment wrapText="1"/>
    </xf>
    <xf numFmtId="0" fontId="6" fillId="0" borderId="11" xfId="43" applyFont="1" applyFill="1" applyBorder="1" applyAlignment="1">
      <alignment horizontal="center"/>
    </xf>
    <xf numFmtId="168" fontId="1" fillId="0" borderId="11" xfId="28" applyNumberFormat="1" applyBorder="1"/>
    <xf numFmtId="168" fontId="0" fillId="0" borderId="11" xfId="28" applyNumberFormat="1" applyFont="1" applyFill="1" applyBorder="1"/>
    <xf numFmtId="43" fontId="0" fillId="0" borderId="0" xfId="28" applyFont="1" applyFill="1"/>
    <xf numFmtId="168" fontId="0" fillId="0" borderId="11" xfId="28" applyNumberFormat="1" applyFont="1" applyBorder="1"/>
    <xf numFmtId="168" fontId="0" fillId="0" borderId="0" xfId="28" applyNumberFormat="1" applyFont="1"/>
    <xf numFmtId="168" fontId="6" fillId="0" borderId="11" xfId="0" applyNumberFormat="1" applyFont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8" fontId="0" fillId="0" borderId="0" xfId="0" applyNumberFormat="1"/>
    <xf numFmtId="170" fontId="0" fillId="0" borderId="14" xfId="31" applyNumberFormat="1" applyFont="1" applyBorder="1"/>
    <xf numFmtId="170" fontId="0" fillId="0" borderId="12" xfId="31" applyNumberFormat="1" applyFont="1" applyBorder="1"/>
    <xf numFmtId="39" fontId="2" fillId="0" borderId="0" xfId="0" applyNumberFormat="1" applyFont="1" applyFill="1" applyAlignment="1">
      <alignment horizontal="center"/>
    </xf>
    <xf numFmtId="39" fontId="2" fillId="0" borderId="11" xfId="0" applyNumberFormat="1" applyFont="1" applyFill="1" applyBorder="1" applyAlignment="1">
      <alignment horizontal="center"/>
    </xf>
    <xf numFmtId="39" fontId="2" fillId="0" borderId="0" xfId="0" applyNumberFormat="1" applyFont="1" applyFill="1" applyBorder="1" applyAlignment="1">
      <alignment horizontal="center"/>
    </xf>
    <xf numFmtId="37" fontId="2" fillId="0" borderId="11" xfId="0" applyNumberFormat="1" applyFont="1" applyBorder="1"/>
    <xf numFmtId="170" fontId="2" fillId="0" borderId="15" xfId="31" applyNumberFormat="1" applyFont="1" applyBorder="1"/>
    <xf numFmtId="170" fontId="2" fillId="0" borderId="12" xfId="31" applyNumberFormat="1" applyFont="1" applyBorder="1"/>
    <xf numFmtId="170" fontId="2" fillId="0" borderId="0" xfId="31" applyNumberFormat="1" applyFont="1" applyFill="1" applyProtection="1"/>
    <xf numFmtId="170" fontId="2" fillId="0" borderId="0" xfId="0" applyNumberFormat="1" applyFont="1" applyProtection="1"/>
    <xf numFmtId="168" fontId="2" fillId="0" borderId="0" xfId="28" applyNumberFormat="1" applyFont="1" applyFill="1" applyProtection="1"/>
    <xf numFmtId="168" fontId="2" fillId="0" borderId="0" xfId="28" applyNumberFormat="1" applyFont="1" applyProtection="1"/>
    <xf numFmtId="168" fontId="2" fillId="0" borderId="0" xfId="28" applyNumberFormat="1" applyFont="1" applyFill="1" applyProtection="1">
      <protection locked="0"/>
    </xf>
    <xf numFmtId="168" fontId="4" fillId="0" borderId="0" xfId="28" applyNumberFormat="1" applyFont="1" applyProtection="1">
      <protection locked="0"/>
    </xf>
    <xf numFmtId="168" fontId="2" fillId="0" borderId="11" xfId="28" applyNumberFormat="1" applyFont="1" applyFill="1" applyBorder="1" applyProtection="1"/>
    <xf numFmtId="168" fontId="2" fillId="0" borderId="11" xfId="28" applyNumberFormat="1" applyFont="1" applyBorder="1" applyProtection="1"/>
    <xf numFmtId="170" fontId="8" fillId="0" borderId="12" xfId="31" applyNumberFormat="1" applyFont="1" applyBorder="1" applyProtection="1"/>
    <xf numFmtId="44" fontId="0" fillId="0" borderId="12" xfId="0" applyNumberFormat="1" applyBorder="1"/>
    <xf numFmtId="44" fontId="1" fillId="0" borderId="12" xfId="31" applyNumberFormat="1" applyBorder="1"/>
    <xf numFmtId="10" fontId="1" fillId="0" borderId="16" xfId="31" applyNumberFormat="1" applyBorder="1"/>
    <xf numFmtId="10" fontId="0" fillId="0" borderId="12" xfId="52" applyNumberFormat="1" applyFont="1" applyFill="1" applyBorder="1"/>
    <xf numFmtId="10" fontId="0" fillId="0" borderId="12" xfId="0" applyNumberFormat="1" applyFill="1" applyBorder="1"/>
    <xf numFmtId="170" fontId="0" fillId="0" borderId="12" xfId="0" applyNumberFormat="1" applyBorder="1"/>
    <xf numFmtId="170" fontId="0" fillId="0" borderId="12" xfId="0" applyNumberFormat="1" applyFill="1" applyBorder="1"/>
    <xf numFmtId="170" fontId="1" fillId="0" borderId="12" xfId="31" applyNumberFormat="1" applyBorder="1"/>
    <xf numFmtId="164" fontId="2" fillId="0" borderId="0" xfId="0" applyNumberFormat="1" applyFont="1"/>
    <xf numFmtId="39" fontId="2" fillId="0" borderId="14" xfId="28" applyNumberFormat="1" applyFont="1" applyBorder="1"/>
    <xf numFmtId="39" fontId="8" fillId="0" borderId="0" xfId="0" applyNumberFormat="1" applyFont="1" applyProtection="1"/>
    <xf numFmtId="39" fontId="8" fillId="0" borderId="11" xfId="0" applyNumberFormat="1" applyFont="1" applyBorder="1" applyProtection="1"/>
    <xf numFmtId="39" fontId="8" fillId="0" borderId="12" xfId="0" applyNumberFormat="1" applyFont="1" applyBorder="1" applyProtection="1"/>
    <xf numFmtId="169" fontId="2" fillId="0" borderId="0" xfId="0" applyNumberFormat="1" applyFont="1" applyAlignment="1">
      <alignment horizontal="right"/>
    </xf>
    <xf numFmtId="169" fontId="2" fillId="0" borderId="11" xfId="0" applyNumberFormat="1" applyFont="1" applyBorder="1" applyAlignment="1">
      <alignment horizontal="right"/>
    </xf>
    <xf numFmtId="169" fontId="2" fillId="0" borderId="12" xfId="0" applyNumberFormat="1" applyFont="1" applyBorder="1" applyAlignment="1">
      <alignment horizontal="right"/>
    </xf>
    <xf numFmtId="170" fontId="2" fillId="0" borderId="0" xfId="31" applyNumberFormat="1" applyFont="1" applyFill="1" applyProtection="1">
      <protection locked="0"/>
    </xf>
    <xf numFmtId="170" fontId="2" fillId="0" borderId="0" xfId="31" applyNumberFormat="1" applyFont="1" applyFill="1" applyBorder="1" applyProtection="1">
      <protection locked="0"/>
    </xf>
    <xf numFmtId="170" fontId="2" fillId="0" borderId="12" xfId="31" applyNumberFormat="1" applyFont="1" applyFill="1" applyBorder="1" applyProtection="1">
      <protection locked="0"/>
    </xf>
    <xf numFmtId="168" fontId="2" fillId="0" borderId="0" xfId="28" applyNumberFormat="1" applyFont="1" applyAlignment="1">
      <alignment horizontal="right"/>
    </xf>
    <xf numFmtId="170" fontId="5" fillId="0" borderId="0" xfId="31" applyNumberFormat="1" applyFont="1" applyAlignment="1">
      <alignment horizontal="center"/>
    </xf>
    <xf numFmtId="170" fontId="8" fillId="0" borderId="0" xfId="31" applyNumberFormat="1" applyFont="1" applyAlignment="1" applyProtection="1">
      <alignment horizontal="center"/>
      <protection locked="0"/>
    </xf>
    <xf numFmtId="40" fontId="2" fillId="0" borderId="11" xfId="0" applyNumberFormat="1" applyFont="1" applyBorder="1" applyAlignment="1">
      <alignment horizontal="right"/>
    </xf>
    <xf numFmtId="40" fontId="2" fillId="0" borderId="0" xfId="0" applyNumberFormat="1" applyFont="1" applyAlignment="1">
      <alignment horizontal="right"/>
    </xf>
    <xf numFmtId="40" fontId="2" fillId="0" borderId="11" xfId="0" applyNumberFormat="1" applyFont="1" applyFill="1" applyBorder="1" applyAlignment="1">
      <alignment horizontal="right"/>
    </xf>
    <xf numFmtId="40" fontId="2" fillId="0" borderId="12" xfId="0" applyNumberFormat="1" applyFont="1" applyBorder="1" applyAlignment="1">
      <alignment horizontal="right"/>
    </xf>
    <xf numFmtId="170" fontId="2" fillId="0" borderId="0" xfId="31" applyNumberFormat="1" applyFont="1" applyBorder="1"/>
    <xf numFmtId="40" fontId="2" fillId="0" borderId="0" xfId="0" applyNumberFormat="1" applyFont="1" applyBorder="1" applyAlignment="1">
      <alignment horizontal="right"/>
    </xf>
    <xf numFmtId="168" fontId="2" fillId="0" borderId="11" xfId="28" applyNumberFormat="1" applyFont="1" applyBorder="1"/>
    <xf numFmtId="170" fontId="2" fillId="0" borderId="14" xfId="31" applyNumberFormat="1" applyFont="1" applyBorder="1"/>
    <xf numFmtId="40" fontId="2" fillId="0" borderId="14" xfId="0" applyNumberFormat="1" applyFont="1" applyBorder="1" applyAlignment="1">
      <alignment horizontal="right"/>
    </xf>
    <xf numFmtId="168" fontId="2" fillId="0" borderId="0" xfId="28" applyNumberFormat="1" applyFont="1" applyBorder="1"/>
    <xf numFmtId="40" fontId="2" fillId="0" borderId="14" xfId="0" applyNumberFormat="1" applyFont="1" applyBorder="1"/>
    <xf numFmtId="4" fontId="2" fillId="0" borderId="0" xfId="0" applyNumberFormat="1" applyFont="1"/>
    <xf numFmtId="43" fontId="30" fillId="0" borderId="0" xfId="28" applyFont="1" applyAlignment="1"/>
    <xf numFmtId="39" fontId="2" fillId="0" borderId="11" xfId="0" applyNumberFormat="1" applyFont="1" applyFill="1" applyBorder="1"/>
    <xf numFmtId="168" fontId="2" fillId="0" borderId="11" xfId="28" applyNumberFormat="1" applyFont="1" applyFill="1" applyBorder="1"/>
    <xf numFmtId="39" fontId="2" fillId="0" borderId="12" xfId="0" applyNumberFormat="1" applyFont="1" applyFill="1" applyBorder="1"/>
    <xf numFmtId="174" fontId="0" fillId="0" borderId="0" xfId="0" applyNumberFormat="1" applyFill="1"/>
    <xf numFmtId="168" fontId="2" fillId="0" borderId="11" xfId="28" quotePrefix="1" applyNumberFormat="1" applyFont="1" applyFill="1" applyBorder="1"/>
    <xf numFmtId="168" fontId="2" fillId="0" borderId="0" xfId="28" applyNumberFormat="1" applyFont="1" applyAlignment="1">
      <alignment horizontal="center"/>
    </xf>
    <xf numFmtId="170" fontId="2" fillId="0" borderId="14" xfId="31" applyNumberFormat="1" applyFont="1" applyFill="1" applyBorder="1"/>
    <xf numFmtId="43" fontId="2" fillId="0" borderId="14" xfId="28" applyFont="1" applyBorder="1" applyAlignment="1">
      <alignment horizontal="center"/>
    </xf>
    <xf numFmtId="170" fontId="2" fillId="0" borderId="0" xfId="31" applyNumberFormat="1" applyFont="1" applyAlignment="1">
      <alignment horizontal="right"/>
    </xf>
    <xf numFmtId="170" fontId="2" fillId="0" borderId="12" xfId="31" applyNumberFormat="1" applyFont="1" applyBorder="1" applyAlignment="1">
      <alignment horizontal="right"/>
    </xf>
    <xf numFmtId="0" fontId="12" fillId="0" borderId="0" xfId="38" applyFill="1" applyAlignment="1" applyProtection="1"/>
    <xf numFmtId="14" fontId="2" fillId="0" borderId="0" xfId="48" applyNumberFormat="1" applyFont="1" applyFill="1" applyAlignment="1">
      <alignment horizontal="left"/>
    </xf>
    <xf numFmtId="170" fontId="2" fillId="0" borderId="0" xfId="31" applyNumberFormat="1" applyFont="1" applyFill="1" applyBorder="1" applyAlignment="1"/>
    <xf numFmtId="168" fontId="2" fillId="0" borderId="0" xfId="28" applyNumberFormat="1" applyFont="1" applyFill="1" applyBorder="1" applyAlignment="1">
      <alignment horizontal="center"/>
    </xf>
    <xf numFmtId="168" fontId="2" fillId="0" borderId="0" xfId="28" applyNumberFormat="1" applyFont="1" applyFill="1" applyBorder="1"/>
    <xf numFmtId="0" fontId="2" fillId="0" borderId="11" xfId="48" applyFont="1" applyBorder="1"/>
    <xf numFmtId="0" fontId="2" fillId="0" borderId="0" xfId="48" applyFont="1" applyBorder="1" applyAlignment="1">
      <alignment horizontal="center"/>
    </xf>
    <xf numFmtId="170" fontId="2" fillId="0" borderId="0" xfId="31" applyNumberFormat="1" applyFont="1" applyAlignment="1">
      <alignment horizontal="center"/>
    </xf>
    <xf numFmtId="170" fontId="2" fillId="0" borderId="0" xfId="31" applyNumberFormat="1" applyFont="1" applyFill="1" applyBorder="1"/>
    <xf numFmtId="170" fontId="2" fillId="0" borderId="15" xfId="31" applyNumberFormat="1" applyFont="1" applyFill="1" applyBorder="1"/>
    <xf numFmtId="170" fontId="6" fillId="0" borderId="15" xfId="31" applyNumberFormat="1" applyFont="1" applyFill="1" applyBorder="1" applyAlignment="1">
      <alignment horizontal="center"/>
    </xf>
    <xf numFmtId="170" fontId="6" fillId="0" borderId="14" xfId="31" applyNumberFormat="1" applyFont="1" applyFill="1" applyBorder="1" applyAlignment="1">
      <alignment horizontal="center"/>
    </xf>
    <xf numFmtId="170" fontId="2" fillId="0" borderId="0" xfId="31" applyNumberFormat="1" applyFont="1" applyFill="1" applyBorder="1" applyAlignment="1">
      <alignment horizontal="center"/>
    </xf>
    <xf numFmtId="168" fontId="2" fillId="0" borderId="0" xfId="28" applyNumberFormat="1" applyFont="1" applyBorder="1" applyAlignment="1">
      <alignment horizontal="right"/>
    </xf>
    <xf numFmtId="168" fontId="2" fillId="0" borderId="0" xfId="28" applyNumberFormat="1" applyFont="1" applyBorder="1" applyAlignment="1">
      <alignment horizontal="center"/>
    </xf>
    <xf numFmtId="170" fontId="2" fillId="0" borderId="0" xfId="31" applyNumberFormat="1" applyFont="1" applyBorder="1" applyAlignment="1">
      <alignment horizontal="right"/>
    </xf>
    <xf numFmtId="0" fontId="2" fillId="0" borderId="0" xfId="46" applyFont="1" applyBorder="1"/>
    <xf numFmtId="168" fontId="2" fillId="0" borderId="0" xfId="28" applyNumberFormat="1" applyFont="1" applyFill="1" applyBorder="1" applyAlignment="1"/>
    <xf numFmtId="0" fontId="2" fillId="0" borderId="14" xfId="47" applyFont="1" applyFill="1" applyBorder="1"/>
    <xf numFmtId="43" fontId="2" fillId="0" borderId="14" xfId="47" applyNumberFormat="1" applyFont="1" applyFill="1" applyBorder="1"/>
    <xf numFmtId="170" fontId="2" fillId="0" borderId="17" xfId="31" applyNumberFormat="1" applyFont="1" applyFill="1" applyBorder="1"/>
    <xf numFmtId="170" fontId="2" fillId="0" borderId="0" xfId="31" applyNumberFormat="1" applyFont="1" applyFill="1" applyAlignment="1">
      <alignment horizontal="center"/>
    </xf>
    <xf numFmtId="168" fontId="2" fillId="0" borderId="0" xfId="28" applyNumberFormat="1" applyFont="1" applyFill="1" applyAlignment="1">
      <alignment horizontal="center"/>
    </xf>
    <xf numFmtId="0" fontId="2" fillId="0" borderId="0" xfId="43" applyFont="1" applyBorder="1" applyAlignment="1"/>
    <xf numFmtId="168" fontId="1" fillId="0" borderId="0" xfId="28" applyNumberFormat="1" applyFill="1" applyAlignment="1">
      <alignment horizontal="center"/>
    </xf>
    <xf numFmtId="170" fontId="1" fillId="0" borderId="0" xfId="31" applyNumberFormat="1" applyFill="1" applyAlignment="1">
      <alignment horizontal="center"/>
    </xf>
    <xf numFmtId="0" fontId="2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3"/>
    </xf>
    <xf numFmtId="170" fontId="2" fillId="0" borderId="12" xfId="31" applyNumberFormat="1" applyFont="1" applyFill="1" applyBorder="1"/>
    <xf numFmtId="0" fontId="2" fillId="0" borderId="0" xfId="0" applyFont="1" applyAlignment="1">
      <alignment horizontal="left" indent="3"/>
    </xf>
    <xf numFmtId="10" fontId="2" fillId="0" borderId="0" xfId="52" applyNumberFormat="1" applyFont="1" applyFill="1" applyAlignment="1">
      <alignment horizontal="center"/>
    </xf>
    <xf numFmtId="10" fontId="2" fillId="0" borderId="12" xfId="52" applyNumberFormat="1" applyFont="1" applyBorder="1"/>
    <xf numFmtId="174" fontId="2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174" fontId="2" fillId="0" borderId="0" xfId="0" applyNumberFormat="1" applyFont="1"/>
    <xf numFmtId="174" fontId="2" fillId="0" borderId="0" xfId="0" applyNumberFormat="1" applyFont="1" applyProtection="1"/>
    <xf numFmtId="174" fontId="2" fillId="0" borderId="0" xfId="0" applyNumberFormat="1" applyFont="1" applyFill="1" applyAlignment="1">
      <alignment horizontal="center"/>
    </xf>
    <xf numFmtId="43" fontId="0" fillId="0" borderId="11" xfId="28" applyFont="1" applyFill="1" applyBorder="1"/>
    <xf numFmtId="170" fontId="1" fillId="0" borderId="11" xfId="31" applyNumberFormat="1" applyFill="1" applyBorder="1" applyAlignment="1">
      <alignment horizontal="center"/>
    </xf>
    <xf numFmtId="170" fontId="2" fillId="0" borderId="12" xfId="0" applyNumberFormat="1" applyFont="1" applyBorder="1"/>
    <xf numFmtId="0" fontId="17" fillId="0" borderId="0" xfId="0" applyFont="1" applyFill="1"/>
    <xf numFmtId="0" fontId="2" fillId="0" borderId="0" xfId="0" applyFont="1" applyBorder="1" applyAlignment="1">
      <alignment horizontal="left"/>
    </xf>
    <xf numFmtId="43" fontId="2" fillId="0" borderId="11" xfId="28" applyFont="1" applyBorder="1" applyAlignment="1">
      <alignment horizontal="right"/>
    </xf>
    <xf numFmtId="40" fontId="8" fillId="0" borderId="0" xfId="0" applyNumberFormat="1" applyFont="1"/>
    <xf numFmtId="8" fontId="8" fillId="0" borderId="0" xfId="0" applyNumberFormat="1" applyFont="1"/>
    <xf numFmtId="170" fontId="8" fillId="0" borderId="0" xfId="31" applyNumberFormat="1" applyFont="1"/>
    <xf numFmtId="168" fontId="8" fillId="0" borderId="0" xfId="28" applyNumberFormat="1" applyFont="1"/>
    <xf numFmtId="170" fontId="8" fillId="0" borderId="0" xfId="31" applyNumberFormat="1" applyFont="1" applyFill="1"/>
    <xf numFmtId="40" fontId="8" fillId="0" borderId="0" xfId="28" applyNumberFormat="1" applyFont="1"/>
    <xf numFmtId="165" fontId="0" fillId="0" borderId="12" xfId="0" applyNumberFormat="1" applyFill="1" applyBorder="1"/>
    <xf numFmtId="0" fontId="2" fillId="0" borderId="0" xfId="0" applyFont="1" applyAlignment="1">
      <alignment horizontal="left" indent="4"/>
    </xf>
    <xf numFmtId="0" fontId="1" fillId="0" borderId="0" xfId="45" applyFill="1" applyAlignment="1">
      <alignment horizontal="center"/>
    </xf>
    <xf numFmtId="0" fontId="1" fillId="0" borderId="0" xfId="45" applyFont="1" applyFill="1"/>
    <xf numFmtId="170" fontId="1" fillId="0" borderId="0" xfId="31" applyNumberFormat="1" applyFill="1"/>
    <xf numFmtId="165" fontId="1" fillId="0" borderId="0" xfId="45" applyNumberFormat="1" applyFill="1"/>
    <xf numFmtId="0" fontId="1" fillId="0" borderId="0" xfId="45" quotePrefix="1" applyFont="1" applyFill="1"/>
    <xf numFmtId="40" fontId="1" fillId="0" borderId="0" xfId="45" applyNumberFormat="1" applyFill="1"/>
    <xf numFmtId="168" fontId="1" fillId="0" borderId="11" xfId="28" applyNumberFormat="1" applyFill="1" applyBorder="1"/>
    <xf numFmtId="168" fontId="0" fillId="0" borderId="0" xfId="28" quotePrefix="1" applyNumberFormat="1" applyFont="1" applyFill="1" applyAlignment="1">
      <alignment horizontal="center"/>
    </xf>
    <xf numFmtId="170" fontId="1" fillId="0" borderId="12" xfId="45" applyNumberFormat="1" applyFill="1" applyBorder="1"/>
    <xf numFmtId="0" fontId="1" fillId="0" borderId="0" xfId="45" quotePrefix="1" applyFont="1" applyFill="1" applyAlignment="1">
      <alignment horizontal="center"/>
    </xf>
    <xf numFmtId="10" fontId="2" fillId="0" borderId="0" xfId="52" applyNumberFormat="1" applyFont="1"/>
    <xf numFmtId="14" fontId="2" fillId="0" borderId="0" xfId="0" applyNumberFormat="1" applyFont="1" applyFill="1" applyBorder="1" applyAlignment="1">
      <alignment horizontal="center"/>
    </xf>
    <xf numFmtId="37" fontId="0" fillId="0" borderId="11" xfId="0" applyNumberFormat="1" applyFill="1" applyBorder="1"/>
    <xf numFmtId="0" fontId="2" fillId="0" borderId="0" xfId="0" applyFont="1" applyFill="1" applyAlignment="1" applyProtection="1">
      <alignment horizontal="center"/>
      <protection locked="0"/>
    </xf>
    <xf numFmtId="173" fontId="0" fillId="0" borderId="0" xfId="0" applyNumberFormat="1"/>
    <xf numFmtId="9" fontId="0" fillId="0" borderId="0" xfId="52" applyFont="1"/>
    <xf numFmtId="43" fontId="1" fillId="0" borderId="0" xfId="28" applyFill="1"/>
    <xf numFmtId="40" fontId="1" fillId="0" borderId="11" xfId="45" applyNumberFormat="1" applyFill="1" applyBorder="1"/>
    <xf numFmtId="165" fontId="1" fillId="0" borderId="12" xfId="45" applyNumberFormat="1" applyFill="1" applyBorder="1"/>
    <xf numFmtId="165" fontId="6" fillId="0" borderId="0" xfId="45" applyNumberFormat="1" applyFont="1" applyFill="1" applyAlignment="1">
      <alignment horizontal="center"/>
    </xf>
    <xf numFmtId="165" fontId="6" fillId="0" borderId="11" xfId="45" applyNumberFormat="1" applyFont="1" applyFill="1" applyBorder="1" applyAlignment="1">
      <alignment horizontal="center"/>
    </xf>
    <xf numFmtId="43" fontId="6" fillId="0" borderId="0" xfId="28" applyFont="1" applyFill="1" applyAlignment="1" applyProtection="1">
      <alignment horizontal="left"/>
      <protection locked="0"/>
    </xf>
    <xf numFmtId="16" fontId="0" fillId="0" borderId="0" xfId="0" quotePrefix="1" applyNumberFormat="1" applyAlignment="1">
      <alignment horizontal="center"/>
    </xf>
    <xf numFmtId="168" fontId="1" fillId="0" borderId="0" xfId="28" quotePrefix="1" applyNumberFormat="1" applyFont="1" applyAlignment="1">
      <alignment horizontal="center"/>
    </xf>
    <xf numFmtId="165" fontId="1" fillId="0" borderId="0" xfId="45" applyNumberFormat="1" applyFill="1" applyBorder="1"/>
    <xf numFmtId="0" fontId="6" fillId="0" borderId="11" xfId="45" applyFont="1" applyBorder="1" applyAlignment="1">
      <alignment wrapText="1"/>
    </xf>
    <xf numFmtId="0" fontId="25" fillId="0" borderId="11" xfId="45" applyFont="1" applyBorder="1" applyAlignment="1">
      <alignment wrapText="1"/>
    </xf>
    <xf numFmtId="0" fontId="25" fillId="0" borderId="11" xfId="45" applyFont="1" applyBorder="1" applyAlignment="1">
      <alignment horizontal="center" wrapText="1"/>
    </xf>
    <xf numFmtId="165" fontId="6" fillId="0" borderId="11" xfId="45" applyNumberFormat="1" applyFont="1" applyBorder="1" applyAlignment="1">
      <alignment horizontal="center" wrapText="1"/>
    </xf>
    <xf numFmtId="0" fontId="6" fillId="0" borderId="11" xfId="45" applyFont="1" applyBorder="1" applyAlignment="1">
      <alignment horizontal="center" wrapText="1"/>
    </xf>
    <xf numFmtId="0" fontId="0" fillId="0" borderId="0" xfId="0" applyAlignment="1">
      <alignment wrapText="1"/>
    </xf>
    <xf numFmtId="0" fontId="25" fillId="0" borderId="0" xfId="45" applyFont="1" applyAlignment="1">
      <alignment wrapText="1"/>
    </xf>
    <xf numFmtId="0" fontId="1" fillId="0" borderId="0" xfId="45" applyAlignment="1">
      <alignment wrapText="1"/>
    </xf>
    <xf numFmtId="174" fontId="0" fillId="0" borderId="0" xfId="0" applyNumberFormat="1" applyAlignment="1">
      <alignment horizontal="center"/>
    </xf>
    <xf numFmtId="168" fontId="0" fillId="0" borderId="0" xfId="28" applyNumberFormat="1" applyFont="1" applyAlignment="1">
      <alignment horizontal="center"/>
    </xf>
    <xf numFmtId="0" fontId="1" fillId="0" borderId="0" xfId="45" applyFont="1" applyAlignment="1">
      <alignment horizontal="center"/>
    </xf>
    <xf numFmtId="43" fontId="1" fillId="0" borderId="0" xfId="28" applyFont="1" applyFill="1"/>
    <xf numFmtId="170" fontId="1" fillId="25" borderId="0" xfId="31" applyNumberFormat="1" applyFill="1"/>
    <xf numFmtId="168" fontId="1" fillId="0" borderId="0" xfId="28" applyNumberFormat="1" applyFill="1"/>
    <xf numFmtId="44" fontId="1" fillId="0" borderId="12" xfId="31" applyBorder="1"/>
    <xf numFmtId="44" fontId="0" fillId="0" borderId="0" xfId="0" applyNumberFormat="1" applyBorder="1"/>
    <xf numFmtId="39" fontId="2" fillId="0" borderId="0" xfId="0" applyNumberFormat="1" applyFont="1" applyFill="1" applyBorder="1"/>
    <xf numFmtId="174" fontId="0" fillId="0" borderId="0" xfId="0" applyNumberFormat="1" applyBorder="1" applyAlignment="1">
      <alignment horizontal="right"/>
    </xf>
    <xf numFmtId="174" fontId="0" fillId="0" borderId="0" xfId="0" applyNumberFormat="1" applyBorder="1" applyAlignment="1">
      <alignment horizontal="center"/>
    </xf>
    <xf numFmtId="43" fontId="0" fillId="0" borderId="0" xfId="28" applyFont="1" applyBorder="1"/>
    <xf numFmtId="0" fontId="0" fillId="0" borderId="0" xfId="0" applyAlignment="1">
      <alignment horizontal="right"/>
    </xf>
    <xf numFmtId="37" fontId="0" fillId="0" borderId="0" xfId="0" applyNumberFormat="1" applyFill="1"/>
    <xf numFmtId="44" fontId="1" fillId="0" borderId="0" xfId="31"/>
    <xf numFmtId="43" fontId="2" fillId="0" borderId="11" xfId="28" applyFont="1" applyBorder="1"/>
    <xf numFmtId="43" fontId="1" fillId="0" borderId="11" xfId="28" applyFill="1" applyBorder="1"/>
    <xf numFmtId="43" fontId="1" fillId="0" borderId="0" xfId="28" applyAlignment="1">
      <alignment horizontal="center"/>
    </xf>
    <xf numFmtId="44" fontId="0" fillId="0" borderId="0" xfId="0" applyNumberFormat="1" applyFill="1"/>
    <xf numFmtId="44" fontId="6" fillId="0" borderId="0" xfId="31" applyFont="1" applyFill="1" applyBorder="1" applyAlignment="1">
      <alignment horizontal="center"/>
    </xf>
    <xf numFmtId="0" fontId="2" fillId="0" borderId="0" xfId="48" applyFont="1" applyFill="1"/>
    <xf numFmtId="165" fontId="1" fillId="0" borderId="0" xfId="31" applyNumberFormat="1"/>
    <xf numFmtId="44" fontId="2" fillId="0" borderId="0" xfId="31" applyFont="1" applyFill="1" applyBorder="1"/>
    <xf numFmtId="176" fontId="0" fillId="0" borderId="0" xfId="52" applyNumberFormat="1" applyFont="1"/>
    <xf numFmtId="39" fontId="2" fillId="0" borderId="12" xfId="0" applyNumberFormat="1" applyFont="1" applyFill="1" applyBorder="1" applyAlignment="1">
      <alignment horizontal="center"/>
    </xf>
    <xf numFmtId="10" fontId="6" fillId="0" borderId="0" xfId="0" applyNumberFormat="1" applyFont="1" applyFill="1"/>
    <xf numFmtId="39" fontId="0" fillId="0" borderId="0" xfId="0" applyNumberFormat="1" applyFill="1"/>
    <xf numFmtId="170" fontId="1" fillId="0" borderId="12" xfId="31" applyNumberFormat="1" applyFill="1" applyBorder="1"/>
    <xf numFmtId="0" fontId="25" fillId="0" borderId="11" xfId="45" applyFont="1" applyBorder="1" applyAlignment="1">
      <alignment horizontal="center"/>
    </xf>
    <xf numFmtId="168" fontId="8" fillId="0" borderId="0" xfId="28" applyNumberFormat="1" applyFont="1" applyFill="1"/>
    <xf numFmtId="165" fontId="0" fillId="0" borderId="0" xfId="0" applyNumberFormat="1"/>
    <xf numFmtId="165" fontId="0" fillId="0" borderId="0" xfId="0" applyNumberFormat="1" applyAlignment="1">
      <alignment horizontal="center"/>
    </xf>
    <xf numFmtId="172" fontId="2" fillId="0" borderId="0" xfId="28" applyNumberFormat="1" applyFont="1" applyBorder="1"/>
    <xf numFmtId="172" fontId="2" fillId="0" borderId="11" xfId="28" applyNumberFormat="1" applyFont="1" applyBorder="1"/>
    <xf numFmtId="172" fontId="2" fillId="0" borderId="12" xfId="28" applyNumberFormat="1" applyFont="1" applyBorder="1"/>
    <xf numFmtId="43" fontId="10" fillId="0" borderId="0" xfId="28" applyFont="1" applyAlignment="1">
      <alignment horizontal="left"/>
    </xf>
    <xf numFmtId="43" fontId="3" fillId="0" borderId="0" xfId="28" applyFont="1"/>
    <xf numFmtId="43" fontId="10" fillId="0" borderId="0" xfId="28" applyFont="1" applyAlignment="1"/>
    <xf numFmtId="43" fontId="10" fillId="0" borderId="11" xfId="28" applyFont="1" applyBorder="1" applyAlignment="1">
      <alignment horizontal="center" wrapText="1"/>
    </xf>
    <xf numFmtId="43" fontId="10" fillId="0" borderId="11" xfId="28" applyFont="1" applyBorder="1" applyAlignment="1">
      <alignment horizontal="centerContinuous" wrapText="1"/>
    </xf>
    <xf numFmtId="0" fontId="3" fillId="0" borderId="11" xfId="0" applyFont="1" applyBorder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173" fontId="2" fillId="0" borderId="0" xfId="0" applyNumberFormat="1" applyFont="1" applyFill="1"/>
    <xf numFmtId="173" fontId="2" fillId="0" borderId="0" xfId="0" applyNumberFormat="1" applyFont="1" applyFill="1" applyAlignment="1">
      <alignment horizontal="center"/>
    </xf>
    <xf numFmtId="0" fontId="4" fillId="0" borderId="0" xfId="48" applyFont="1"/>
    <xf numFmtId="0" fontId="4" fillId="0" borderId="0" xfId="47" applyFont="1"/>
    <xf numFmtId="43" fontId="1" fillId="0" borderId="0" xfId="28" applyNumberFormat="1"/>
    <xf numFmtId="168" fontId="2" fillId="0" borderId="0" xfId="28" applyNumberFormat="1" applyFont="1" applyFill="1" applyBorder="1" applyAlignment="1">
      <alignment horizontal="right"/>
    </xf>
    <xf numFmtId="43" fontId="6" fillId="0" borderId="0" xfId="28" applyNumberFormat="1" applyFont="1" applyFill="1" applyAlignment="1">
      <alignment horizontal="center"/>
    </xf>
    <xf numFmtId="0" fontId="4" fillId="0" borderId="0" xfId="47" applyFont="1" applyBorder="1"/>
    <xf numFmtId="44" fontId="2" fillId="0" borderId="0" xfId="31" applyNumberFormat="1" applyFont="1" applyFill="1" applyBorder="1" applyAlignment="1"/>
    <xf numFmtId="0" fontId="6" fillId="0" borderId="9" xfId="46" applyFont="1" applyFill="1" applyBorder="1" applyAlignment="1">
      <alignment horizontal="center" wrapText="1"/>
    </xf>
    <xf numFmtId="0" fontId="6" fillId="0" borderId="0" xfId="46" quotePrefix="1" applyFont="1" applyFill="1" applyBorder="1" applyAlignment="1">
      <alignment horizontal="center"/>
    </xf>
    <xf numFmtId="44" fontId="2" fillId="0" borderId="0" xfId="46" applyNumberFormat="1" applyFont="1" applyFill="1"/>
    <xf numFmtId="0" fontId="4" fillId="0" borderId="0" xfId="46" applyFont="1" applyFill="1"/>
    <xf numFmtId="44" fontId="2" fillId="0" borderId="0" xfId="31" applyFont="1" applyFill="1" applyBorder="1" applyAlignment="1"/>
    <xf numFmtId="41" fontId="2" fillId="0" borderId="0" xfId="28" applyNumberFormat="1" applyFont="1" applyFill="1" applyBorder="1" applyAlignment="1"/>
    <xf numFmtId="0" fontId="2" fillId="0" borderId="0" xfId="43" applyFont="1" applyFill="1"/>
    <xf numFmtId="44" fontId="2" fillId="0" borderId="15" xfId="31" applyFont="1" applyBorder="1" applyAlignment="1"/>
    <xf numFmtId="44" fontId="2" fillId="0" borderId="14" xfId="31" applyFont="1" applyBorder="1" applyAlignment="1"/>
    <xf numFmtId="40" fontId="6" fillId="0" borderId="0" xfId="43" applyNumberFormat="1" applyFont="1" applyFill="1"/>
    <xf numFmtId="0" fontId="2" fillId="0" borderId="15" xfId="43" applyFont="1" applyBorder="1" applyAlignment="1"/>
    <xf numFmtId="0" fontId="2" fillId="0" borderId="14" xfId="43" applyFont="1" applyBorder="1" applyAlignment="1"/>
    <xf numFmtId="170" fontId="2" fillId="0" borderId="11" xfId="31" applyNumberFormat="1" applyFont="1" applyBorder="1"/>
    <xf numFmtId="0" fontId="5" fillId="0" borderId="0" xfId="0" applyFont="1" applyFill="1" applyAlignment="1"/>
    <xf numFmtId="170" fontId="2" fillId="0" borderId="11" xfId="31" applyNumberFormat="1" applyFont="1" applyFill="1" applyBorder="1" applyProtection="1">
      <protection locked="0"/>
    </xf>
    <xf numFmtId="7" fontId="31" fillId="0" borderId="0" xfId="31" applyNumberFormat="1" applyFont="1"/>
    <xf numFmtId="177" fontId="31" fillId="0" borderId="0" xfId="0" applyNumberFormat="1" applyFont="1" applyFill="1"/>
    <xf numFmtId="0" fontId="31" fillId="0" borderId="0" xfId="0" applyFont="1" applyFill="1" applyAlignment="1">
      <alignment horizontal="left"/>
    </xf>
    <xf numFmtId="0" fontId="8" fillId="0" borderId="0" xfId="44" applyFont="1"/>
    <xf numFmtId="0" fontId="8" fillId="0" borderId="0" xfId="44" applyFont="1" applyAlignment="1">
      <alignment horizontal="center"/>
    </xf>
    <xf numFmtId="14" fontId="8" fillId="0" borderId="0" xfId="44" applyNumberFormat="1" applyFont="1" applyAlignment="1">
      <alignment horizontal="center"/>
    </xf>
    <xf numFmtId="14" fontId="8" fillId="0" borderId="0" xfId="44" applyNumberFormat="1" applyFont="1"/>
    <xf numFmtId="37" fontId="8" fillId="0" borderId="0" xfId="44" applyNumberFormat="1" applyFont="1"/>
    <xf numFmtId="39" fontId="8" fillId="0" borderId="0" xfId="44" applyNumberFormat="1" applyFont="1"/>
    <xf numFmtId="167" fontId="8" fillId="0" borderId="0" xfId="44" applyNumberFormat="1" applyFont="1"/>
    <xf numFmtId="37" fontId="49" fillId="0" borderId="0" xfId="44" applyNumberFormat="1" applyFont="1"/>
    <xf numFmtId="0" fontId="11" fillId="0" borderId="0" xfId="44" applyFont="1"/>
    <xf numFmtId="0" fontId="50" fillId="0" borderId="0" xfId="44" applyFont="1" applyAlignment="1">
      <alignment horizontal="center" wrapText="1"/>
    </xf>
    <xf numFmtId="10" fontId="11" fillId="0" borderId="0" xfId="44" applyNumberFormat="1" applyFont="1"/>
    <xf numFmtId="10" fontId="50" fillId="0" borderId="0" xfId="44" applyNumberFormat="1" applyFont="1" applyAlignment="1">
      <alignment horizontal="center" wrapText="1"/>
    </xf>
    <xf numFmtId="10" fontId="8" fillId="0" borderId="0" xfId="44" applyNumberFormat="1" applyFont="1" applyAlignment="1">
      <alignment horizontal="center"/>
    </xf>
    <xf numFmtId="10" fontId="8" fillId="0" borderId="0" xfId="52" applyNumberFormat="1" applyFont="1"/>
    <xf numFmtId="10" fontId="8" fillId="0" borderId="0" xfId="44" applyNumberFormat="1" applyFont="1"/>
    <xf numFmtId="170" fontId="2" fillId="0" borderId="18" xfId="31" applyNumberFormat="1" applyFont="1" applyBorder="1"/>
    <xf numFmtId="10" fontId="6" fillId="0" borderId="19" xfId="0" applyNumberFormat="1" applyFont="1" applyBorder="1" applyAlignment="1">
      <alignment horizontal="center"/>
    </xf>
    <xf numFmtId="0" fontId="17" fillId="0" borderId="0" xfId="0" applyFont="1"/>
    <xf numFmtId="40" fontId="2" fillId="0" borderId="0" xfId="0" applyNumberFormat="1" applyFont="1" applyBorder="1" applyAlignment="1">
      <alignment horizontal="center"/>
    </xf>
    <xf numFmtId="0" fontId="12" fillId="0" borderId="0" xfId="38" applyAlignment="1" applyProtection="1">
      <alignment horizontal="center"/>
    </xf>
    <xf numFmtId="0" fontId="2" fillId="0" borderId="15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6" fillId="0" borderId="0" xfId="28" applyFont="1" applyAlignment="1">
      <alignment horizontal="centerContinuous"/>
    </xf>
    <xf numFmtId="173" fontId="8" fillId="0" borderId="0" xfId="0" applyNumberFormat="1" applyFont="1" applyAlignment="1">
      <alignment horizontal="center"/>
    </xf>
    <xf numFmtId="170" fontId="52" fillId="0" borderId="0" xfId="31" applyNumberFormat="1" applyFont="1"/>
    <xf numFmtId="178" fontId="52" fillId="0" borderId="0" xfId="0" applyNumberFormat="1" applyFont="1"/>
    <xf numFmtId="14" fontId="0" fillId="0" borderId="0" xfId="0" applyNumberFormat="1" applyAlignment="1">
      <alignment horizontal="center"/>
    </xf>
    <xf numFmtId="39" fontId="0" fillId="0" borderId="0" xfId="0" applyNumberFormat="1" applyAlignment="1">
      <alignment horizontal="center"/>
    </xf>
    <xf numFmtId="0" fontId="51" fillId="0" borderId="0" xfId="0" applyFont="1" applyAlignment="1">
      <alignment horizontal="center" wrapText="1"/>
    </xf>
    <xf numFmtId="14" fontId="0" fillId="0" borderId="0" xfId="52" applyNumberFormat="1" applyFont="1" applyAlignment="1">
      <alignment horizontal="center"/>
    </xf>
    <xf numFmtId="37" fontId="0" fillId="0" borderId="0" xfId="0" applyNumberFormat="1" applyAlignment="1">
      <alignment horizontal="right"/>
    </xf>
    <xf numFmtId="179" fontId="0" fillId="0" borderId="0" xfId="0" applyNumberFormat="1" applyAlignment="1">
      <alignment horizontal="center"/>
    </xf>
    <xf numFmtId="179" fontId="0" fillId="0" borderId="0" xfId="0" applyNumberFormat="1"/>
    <xf numFmtId="37" fontId="0" fillId="0" borderId="0" xfId="0" applyNumberFormat="1"/>
    <xf numFmtId="14" fontId="0" fillId="0" borderId="0" xfId="52" applyNumberFormat="1" applyFont="1"/>
    <xf numFmtId="175" fontId="17" fillId="0" borderId="0" xfId="0" applyNumberFormat="1" applyFont="1" applyAlignment="1">
      <alignment horizontal="center" wrapText="1"/>
    </xf>
    <xf numFmtId="0" fontId="1" fillId="0" borderId="0" xfId="45" quotePrefix="1" applyFont="1" applyAlignment="1">
      <alignment horizontal="right"/>
    </xf>
    <xf numFmtId="43" fontId="11" fillId="0" borderId="0" xfId="28" applyFont="1"/>
    <xf numFmtId="39" fontId="8" fillId="0" borderId="0" xfId="0" applyNumberFormat="1" applyFont="1"/>
    <xf numFmtId="170" fontId="53" fillId="0" borderId="0" xfId="31" applyNumberFormat="1" applyFont="1"/>
    <xf numFmtId="178" fontId="53" fillId="0" borderId="0" xfId="0" applyNumberFormat="1" applyFont="1"/>
    <xf numFmtId="39" fontId="2" fillId="0" borderId="0" xfId="28" applyNumberFormat="1" applyFont="1" applyProtection="1">
      <protection locked="0"/>
    </xf>
    <xf numFmtId="39" fontId="2" fillId="0" borderId="11" xfId="28" applyNumberFormat="1" applyFont="1" applyBorder="1"/>
    <xf numFmtId="39" fontId="2" fillId="0" borderId="12" xfId="28" applyNumberFormat="1" applyFont="1" applyBorder="1"/>
    <xf numFmtId="174" fontId="54" fillId="0" borderId="0" xfId="0" applyNumberFormat="1" applyFont="1" applyAlignment="1">
      <alignment horizontal="center"/>
    </xf>
    <xf numFmtId="170" fontId="54" fillId="0" borderId="0" xfId="31" applyNumberFormat="1" applyFont="1"/>
    <xf numFmtId="39" fontId="1" fillId="0" borderId="0" xfId="28" applyNumberFormat="1"/>
    <xf numFmtId="39" fontId="1" fillId="0" borderId="0" xfId="29" applyNumberFormat="1"/>
    <xf numFmtId="39" fontId="1" fillId="0" borderId="11" xfId="29" applyNumberFormat="1" applyBorder="1"/>
    <xf numFmtId="39" fontId="2" fillId="0" borderId="12" xfId="29" applyNumberFormat="1" applyFont="1" applyBorder="1"/>
    <xf numFmtId="37" fontId="2" fillId="0" borderId="0" xfId="47" applyNumberFormat="1" applyFont="1" applyFill="1"/>
    <xf numFmtId="39" fontId="0" fillId="0" borderId="11" xfId="0" applyNumberFormat="1" applyBorder="1"/>
    <xf numFmtId="39" fontId="0" fillId="0" borderId="12" xfId="0" applyNumberFormat="1" applyBorder="1"/>
    <xf numFmtId="39" fontId="1" fillId="0" borderId="0" xfId="45" applyNumberFormat="1"/>
    <xf numFmtId="39" fontId="1" fillId="0" borderId="0" xfId="45" applyNumberFormat="1" applyFill="1"/>
    <xf numFmtId="39" fontId="1" fillId="0" borderId="11" xfId="45" applyNumberFormat="1" applyFill="1" applyBorder="1"/>
    <xf numFmtId="39" fontId="1" fillId="0" borderId="12" xfId="45" applyNumberFormat="1" applyFill="1" applyBorder="1"/>
    <xf numFmtId="168" fontId="8" fillId="0" borderId="0" xfId="28" applyNumberFormat="1" applyFont="1" applyAlignment="1">
      <alignment horizontal="center"/>
    </xf>
    <xf numFmtId="168" fontId="8" fillId="0" borderId="11" xfId="28" applyNumberFormat="1" applyFont="1" applyBorder="1" applyAlignment="1">
      <alignment horizontal="center"/>
    </xf>
    <xf numFmtId="37" fontId="0" fillId="0" borderId="11" xfId="0" applyNumberFormat="1" applyBorder="1" applyAlignment="1">
      <alignment horizontal="right"/>
    </xf>
    <xf numFmtId="180" fontId="2" fillId="0" borderId="0" xfId="0" applyNumberFormat="1" applyFont="1" applyAlignment="1">
      <alignment horizontal="left"/>
    </xf>
    <xf numFmtId="39" fontId="8" fillId="0" borderId="0" xfId="0" applyNumberFormat="1" applyFont="1" applyBorder="1" applyProtection="1"/>
    <xf numFmtId="17" fontId="2" fillId="0" borderId="0" xfId="0" applyNumberFormat="1" applyFont="1" applyAlignment="1">
      <alignment horizontal="left"/>
    </xf>
    <xf numFmtId="39" fontId="1" fillId="0" borderId="12" xfId="28" applyNumberFormat="1" applyBorder="1"/>
    <xf numFmtId="39" fontId="1" fillId="0" borderId="0" xfId="28" applyNumberFormat="1" applyBorder="1"/>
    <xf numFmtId="43" fontId="2" fillId="0" borderId="14" xfId="28" applyNumberFormat="1" applyFont="1" applyBorder="1" applyAlignment="1">
      <alignment horizontal="right"/>
    </xf>
    <xf numFmtId="43" fontId="2" fillId="0" borderId="11" xfId="28" applyFont="1" applyFill="1" applyBorder="1" applyAlignment="1">
      <alignment horizontal="center"/>
    </xf>
    <xf numFmtId="181" fontId="1" fillId="0" borderId="0" xfId="28" applyNumberFormat="1" applyFont="1" applyFill="1" applyAlignment="1">
      <alignment horizontal="left" indent="2"/>
    </xf>
    <xf numFmtId="0" fontId="1" fillId="0" borderId="0" xfId="0" applyFont="1" applyBorder="1"/>
    <xf numFmtId="0" fontId="6" fillId="0" borderId="11" xfId="0" applyFont="1" applyBorder="1" applyAlignment="1">
      <alignment horizontal="center"/>
    </xf>
    <xf numFmtId="0" fontId="1" fillId="0" borderId="0" xfId="47" applyFont="1" applyFill="1" applyBorder="1"/>
    <xf numFmtId="17" fontId="1" fillId="0" borderId="0" xfId="43" applyNumberFormat="1" applyFont="1" applyBorder="1"/>
    <xf numFmtId="170" fontId="2" fillId="0" borderId="0" xfId="46" applyNumberFormat="1" applyFont="1" applyFill="1"/>
    <xf numFmtId="170" fontId="2" fillId="0" borderId="0" xfId="43" applyNumberFormat="1" applyFont="1" applyBorder="1"/>
    <xf numFmtId="0" fontId="2" fillId="0" borderId="0" xfId="43" applyFont="1" applyAlignment="1">
      <alignment horizontal="left"/>
    </xf>
    <xf numFmtId="170" fontId="2" fillId="0" borderId="0" xfId="28" applyNumberFormat="1" applyFont="1" applyFill="1" applyBorder="1"/>
    <xf numFmtId="0" fontId="6" fillId="0" borderId="11" xfId="0" applyFont="1" applyBorder="1" applyAlignment="1">
      <alignment horizont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quotePrefix="1" applyFont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0" fontId="2" fillId="0" borderId="0" xfId="0" applyNumberFormat="1" applyFont="1" applyBorder="1"/>
    <xf numFmtId="170" fontId="0" fillId="0" borderId="0" xfId="31" applyNumberFormat="1" applyFont="1" applyAlignment="1">
      <alignment horizontal="right"/>
    </xf>
    <xf numFmtId="10" fontId="8" fillId="0" borderId="11" xfId="52" applyNumberFormat="1" applyFont="1" applyBorder="1"/>
    <xf numFmtId="170" fontId="0" fillId="0" borderId="0" xfId="0" applyNumberFormat="1"/>
    <xf numFmtId="2" fontId="2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4" fontId="2" fillId="0" borderId="0" xfId="31" applyNumberFormat="1" applyFont="1" applyFill="1"/>
    <xf numFmtId="44" fontId="2" fillId="0" borderId="0" xfId="28" applyNumberFormat="1" applyFont="1" applyFill="1"/>
    <xf numFmtId="44" fontId="2" fillId="0" borderId="11" xfId="28" applyNumberFormat="1" applyFont="1" applyFill="1" applyBorder="1"/>
    <xf numFmtId="7" fontId="1" fillId="0" borderId="0" xfId="28" applyNumberFormat="1"/>
    <xf numFmtId="7" fontId="1" fillId="0" borderId="12" xfId="31" applyNumberFormat="1" applyBorder="1"/>
    <xf numFmtId="44" fontId="2" fillId="0" borderId="0" xfId="28" applyNumberFormat="1" applyFont="1" applyFill="1" applyBorder="1"/>
    <xf numFmtId="44" fontId="2" fillId="0" borderId="0" xfId="31" applyNumberFormat="1" applyFont="1" applyFill="1" applyBorder="1"/>
    <xf numFmtId="7" fontId="0" fillId="0" borderId="0" xfId="0" applyNumberFormat="1" applyBorder="1"/>
    <xf numFmtId="7" fontId="0" fillId="0" borderId="12" xfId="0" applyNumberFormat="1" applyBorder="1"/>
    <xf numFmtId="172" fontId="1" fillId="0" borderId="12" xfId="28" applyNumberFormat="1" applyBorder="1"/>
    <xf numFmtId="171" fontId="1" fillId="0" borderId="0" xfId="48" applyNumberFormat="1" applyFont="1" applyFill="1" applyBorder="1" applyAlignment="1">
      <alignment horizontal="right"/>
    </xf>
    <xf numFmtId="170" fontId="1" fillId="0" borderId="0" xfId="31" applyNumberFormat="1" applyFont="1" applyFill="1"/>
    <xf numFmtId="168" fontId="1" fillId="0" borderId="0" xfId="28" applyNumberFormat="1" applyFont="1" applyFill="1"/>
    <xf numFmtId="168" fontId="1" fillId="0" borderId="0" xfId="28" applyNumberFormat="1" applyFont="1" applyFill="1" applyBorder="1"/>
    <xf numFmtId="168" fontId="1" fillId="0" borderId="0" xfId="28" applyNumberFormat="1" applyFont="1" applyFill="1" applyBorder="1" applyAlignment="1"/>
    <xf numFmtId="44" fontId="2" fillId="0" borderId="14" xfId="31" applyNumberFormat="1" applyFont="1" applyFill="1" applyBorder="1"/>
    <xf numFmtId="0" fontId="6" fillId="0" borderId="20" xfId="0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6" fillId="0" borderId="21" xfId="0" applyFont="1" applyBorder="1" applyAlignment="1">
      <alignment horizontal="center"/>
    </xf>
    <xf numFmtId="0" fontId="55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24" xfId="0" applyBorder="1"/>
    <xf numFmtId="0" fontId="6" fillId="0" borderId="18" xfId="0" applyFont="1" applyBorder="1" applyAlignment="1">
      <alignment horizontal="center"/>
    </xf>
    <xf numFmtId="170" fontId="1" fillId="0" borderId="0" xfId="31" applyNumberFormat="1" applyFont="1"/>
    <xf numFmtId="170" fontId="1" fillId="0" borderId="12" xfId="31" applyNumberFormat="1" applyFont="1" applyBorder="1"/>
    <xf numFmtId="170" fontId="1" fillId="0" borderId="0" xfId="31" applyNumberFormat="1" applyFont="1" applyBorder="1"/>
    <xf numFmtId="17" fontId="1" fillId="0" borderId="0" xfId="0" applyNumberFormat="1" applyFont="1"/>
    <xf numFmtId="174" fontId="1" fillId="0" borderId="0" xfId="0" applyNumberFormat="1" applyFont="1" applyProtection="1">
      <protection locked="0"/>
    </xf>
    <xf numFmtId="17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14" fontId="2" fillId="0" borderId="0" xfId="0" applyNumberFormat="1" applyFont="1" applyFill="1"/>
    <xf numFmtId="10" fontId="6" fillId="26" borderId="13" xfId="0" applyNumberFormat="1" applyFont="1" applyFill="1" applyBorder="1" applyAlignment="1">
      <alignment horizontal="center"/>
    </xf>
    <xf numFmtId="39" fontId="2" fillId="26" borderId="0" xfId="0" applyNumberFormat="1" applyFont="1" applyFill="1" applyAlignment="1">
      <alignment horizontal="center"/>
    </xf>
    <xf numFmtId="168" fontId="0" fillId="0" borderId="0" xfId="28" applyNumberFormat="1" applyFont="1" applyBorder="1" applyAlignment="1">
      <alignment horizontal="center"/>
    </xf>
    <xf numFmtId="49" fontId="0" fillId="0" borderId="0" xfId="0" applyNumberFormat="1"/>
    <xf numFmtId="0" fontId="31" fillId="0" borderId="0" xfId="62" applyFont="1"/>
    <xf numFmtId="174" fontId="1" fillId="0" borderId="0" xfId="62" applyNumberFormat="1" applyBorder="1" applyAlignment="1">
      <alignment horizontal="center"/>
    </xf>
    <xf numFmtId="174" fontId="1" fillId="0" borderId="0" xfId="0" applyNumberFormat="1" applyFont="1"/>
    <xf numFmtId="43" fontId="6" fillId="0" borderId="0" xfId="28" applyFont="1" applyAlignment="1">
      <alignment horizontal="left"/>
    </xf>
    <xf numFmtId="41" fontId="8" fillId="0" borderId="0" xfId="44" applyNumberFormat="1" applyFont="1" applyAlignment="1">
      <alignment horizontal="center"/>
    </xf>
    <xf numFmtId="41" fontId="8" fillId="0" borderId="11" xfId="44" applyNumberFormat="1" applyFont="1" applyBorder="1" applyAlignment="1">
      <alignment horizontal="center"/>
    </xf>
    <xf numFmtId="10" fontId="8" fillId="0" borderId="11" xfId="44" applyNumberFormat="1" applyFont="1" applyBorder="1" applyAlignment="1">
      <alignment horizontal="center"/>
    </xf>
    <xf numFmtId="182" fontId="8" fillId="0" borderId="0" xfId="44" applyNumberFormat="1" applyFont="1" applyAlignment="1">
      <alignment horizontal="center"/>
    </xf>
    <xf numFmtId="170" fontId="0" fillId="0" borderId="11" xfId="31" applyNumberFormat="1" applyFont="1" applyBorder="1" applyAlignment="1">
      <alignment horizontal="right"/>
    </xf>
    <xf numFmtId="170" fontId="0" fillId="0" borderId="12" xfId="0" applyNumberFormat="1" applyBorder="1" applyAlignment="1">
      <alignment horizontal="center"/>
    </xf>
    <xf numFmtId="10" fontId="8" fillId="0" borderId="12" xfId="44" applyNumberFormat="1" applyFont="1" applyBorder="1" applyAlignment="1">
      <alignment horizontal="center"/>
    </xf>
    <xf numFmtId="170" fontId="8" fillId="0" borderId="12" xfId="31" applyNumberFormat="1" applyFont="1" applyBorder="1" applyAlignment="1">
      <alignment horizontal="center"/>
    </xf>
    <xf numFmtId="0" fontId="6" fillId="26" borderId="0" xfId="44" applyFont="1" applyFill="1"/>
    <xf numFmtId="10" fontId="11" fillId="26" borderId="0" xfId="44" applyNumberFormat="1" applyFont="1" applyFill="1"/>
    <xf numFmtId="0" fontId="0" fillId="26" borderId="0" xfId="0" applyFill="1"/>
    <xf numFmtId="43" fontId="0" fillId="0" borderId="0" xfId="0" applyNumberFormat="1" applyAlignment="1">
      <alignment horizontal="center"/>
    </xf>
    <xf numFmtId="49" fontId="1" fillId="0" borderId="0" xfId="0" applyNumberFormat="1" applyFont="1"/>
    <xf numFmtId="44" fontId="2" fillId="0" borderId="11" xfId="31" applyFont="1" applyFill="1" applyBorder="1"/>
    <xf numFmtId="168" fontId="1" fillId="0" borderId="11" xfId="28" applyNumberFormat="1" applyFont="1" applyFill="1" applyBorder="1"/>
    <xf numFmtId="0" fontId="6" fillId="26" borderId="0" xfId="0" applyFont="1" applyFill="1" applyAlignment="1">
      <alignment horizontal="center"/>
    </xf>
    <xf numFmtId="168" fontId="1" fillId="26" borderId="11" xfId="28" applyNumberFormat="1" applyFill="1" applyBorder="1"/>
    <xf numFmtId="170" fontId="1" fillId="26" borderId="0" xfId="0" applyNumberFormat="1" applyFont="1" applyFill="1" applyBorder="1"/>
    <xf numFmtId="14" fontId="1" fillId="0" borderId="0" xfId="52" applyNumberFormat="1" applyFont="1"/>
    <xf numFmtId="14" fontId="0" fillId="0" borderId="11" xfId="0" applyNumberFormat="1" applyBorder="1" applyAlignment="1">
      <alignment horizontal="center"/>
    </xf>
    <xf numFmtId="14" fontId="0" fillId="0" borderId="11" xfId="52" applyNumberFormat="1" applyFont="1" applyBorder="1" applyAlignment="1">
      <alignment horizontal="center"/>
    </xf>
    <xf numFmtId="39" fontId="0" fillId="0" borderId="11" xfId="0" applyNumberFormat="1" applyBorder="1" applyAlignment="1">
      <alignment horizontal="center"/>
    </xf>
    <xf numFmtId="49" fontId="0" fillId="26" borderId="0" xfId="0" applyNumberFormat="1" applyFill="1"/>
    <xf numFmtId="14" fontId="0" fillId="26" borderId="0" xfId="0" applyNumberFormat="1" applyFill="1"/>
    <xf numFmtId="165" fontId="1" fillId="26" borderId="0" xfId="45" applyNumberFormat="1" applyFill="1"/>
    <xf numFmtId="40" fontId="1" fillId="26" borderId="0" xfId="45" applyNumberFormat="1" applyFill="1"/>
    <xf numFmtId="40" fontId="1" fillId="26" borderId="11" xfId="45" applyNumberFormat="1" applyFill="1" applyBorder="1"/>
    <xf numFmtId="40" fontId="1" fillId="26" borderId="12" xfId="28" applyNumberFormat="1" applyFill="1" applyBorder="1"/>
    <xf numFmtId="43" fontId="0" fillId="0" borderId="11" xfId="28" applyFont="1" applyBorder="1"/>
    <xf numFmtId="170" fontId="1" fillId="0" borderId="0" xfId="31" applyNumberFormat="1" applyFont="1" applyFill="1" applyBorder="1" applyAlignment="1"/>
    <xf numFmtId="170" fontId="1" fillId="0" borderId="0" xfId="31" applyNumberFormat="1" applyFont="1" applyBorder="1" applyAlignment="1">
      <alignment horizontal="right"/>
    </xf>
    <xf numFmtId="168" fontId="2" fillId="26" borderId="0" xfId="28" applyNumberFormat="1" applyFont="1" applyFill="1"/>
    <xf numFmtId="168" fontId="2" fillId="26" borderId="11" xfId="28" applyNumberFormat="1" applyFont="1" applyFill="1" applyBorder="1"/>
    <xf numFmtId="0" fontId="0" fillId="26" borderId="0" xfId="0" applyFill="1" applyAlignment="1">
      <alignment horizontal="center"/>
    </xf>
    <xf numFmtId="43" fontId="0" fillId="26" borderId="0" xfId="28" applyFont="1" applyFill="1"/>
    <xf numFmtId="174" fontId="0" fillId="26" borderId="0" xfId="0" applyNumberFormat="1" applyFill="1" applyAlignment="1">
      <alignment horizontal="right"/>
    </xf>
    <xf numFmtId="174" fontId="0" fillId="26" borderId="0" xfId="0" applyNumberFormat="1" applyFill="1" applyAlignment="1">
      <alignment horizontal="center"/>
    </xf>
    <xf numFmtId="39" fontId="2" fillId="26" borderId="0" xfId="0" applyNumberFormat="1" applyFont="1" applyFill="1"/>
    <xf numFmtId="43" fontId="2" fillId="26" borderId="0" xfId="28" applyFont="1" applyFill="1"/>
    <xf numFmtId="44" fontId="0" fillId="26" borderId="0" xfId="0" applyNumberFormat="1" applyFill="1"/>
    <xf numFmtId="174" fontId="0" fillId="26" borderId="0" xfId="0" applyNumberFormat="1" applyFill="1"/>
    <xf numFmtId="39" fontId="2" fillId="26" borderId="11" xfId="0" applyNumberFormat="1" applyFont="1" applyFill="1" applyBorder="1"/>
    <xf numFmtId="39" fontId="2" fillId="26" borderId="12" xfId="0" applyNumberFormat="1" applyFont="1" applyFill="1" applyBorder="1"/>
    <xf numFmtId="0" fontId="8" fillId="26" borderId="0" xfId="44" applyFont="1" applyFill="1" applyAlignment="1">
      <alignment horizontal="center"/>
    </xf>
    <xf numFmtId="0" fontId="50" fillId="26" borderId="0" xfId="44" applyFont="1" applyFill="1"/>
    <xf numFmtId="0" fontId="8" fillId="26" borderId="0" xfId="44" applyFont="1" applyFill="1"/>
    <xf numFmtId="10" fontId="8" fillId="26" borderId="0" xfId="44" applyNumberFormat="1" applyFont="1" applyFill="1"/>
    <xf numFmtId="14" fontId="0" fillId="26" borderId="0" xfId="0" applyNumberFormat="1" applyFill="1" applyAlignment="1">
      <alignment horizontal="center"/>
    </xf>
    <xf numFmtId="39" fontId="0" fillId="26" borderId="0" xfId="0" applyNumberFormat="1" applyFill="1" applyAlignment="1">
      <alignment horizontal="center"/>
    </xf>
    <xf numFmtId="0" fontId="1" fillId="26" borderId="0" xfId="0" applyFont="1" applyFill="1"/>
    <xf numFmtId="14" fontId="8" fillId="26" borderId="0" xfId="44" applyNumberFormat="1" applyFont="1" applyFill="1" applyAlignment="1">
      <alignment horizontal="center"/>
    </xf>
    <xf numFmtId="170" fontId="8" fillId="26" borderId="0" xfId="31" applyNumberFormat="1" applyFont="1" applyFill="1" applyAlignment="1">
      <alignment horizontal="center"/>
    </xf>
    <xf numFmtId="10" fontId="8" fillId="26" borderId="0" xfId="52" applyNumberFormat="1" applyFont="1" applyFill="1"/>
    <xf numFmtId="14" fontId="0" fillId="26" borderId="0" xfId="52" applyNumberFormat="1" applyFont="1" applyFill="1" applyAlignment="1">
      <alignment horizontal="center"/>
    </xf>
    <xf numFmtId="170" fontId="0" fillId="26" borderId="0" xfId="31" applyNumberFormat="1" applyFont="1" applyFill="1" applyAlignment="1">
      <alignment horizontal="right"/>
    </xf>
    <xf numFmtId="168" fontId="8" fillId="26" borderId="0" xfId="28" applyNumberFormat="1" applyFont="1" applyFill="1" applyAlignment="1">
      <alignment horizontal="center"/>
    </xf>
    <xf numFmtId="168" fontId="8" fillId="26" borderId="11" xfId="28" applyNumberFormat="1" applyFont="1" applyFill="1" applyBorder="1" applyAlignment="1">
      <alignment horizontal="center"/>
    </xf>
    <xf numFmtId="170" fontId="0" fillId="26" borderId="11" xfId="31" applyNumberFormat="1" applyFont="1" applyFill="1" applyBorder="1" applyAlignment="1">
      <alignment horizontal="right"/>
    </xf>
    <xf numFmtId="168" fontId="8" fillId="26" borderId="0" xfId="28" applyNumberFormat="1" applyFont="1" applyFill="1" applyBorder="1" applyAlignment="1">
      <alignment horizontal="center"/>
    </xf>
    <xf numFmtId="10" fontId="49" fillId="26" borderId="0" xfId="52" applyNumberFormat="1" applyFont="1" applyFill="1"/>
    <xf numFmtId="37" fontId="0" fillId="26" borderId="0" xfId="0" applyNumberFormat="1" applyFill="1" applyBorder="1" applyAlignment="1">
      <alignment horizontal="right"/>
    </xf>
    <xf numFmtId="170" fontId="53" fillId="26" borderId="0" xfId="31" applyNumberFormat="1" applyFont="1" applyFill="1"/>
    <xf numFmtId="10" fontId="53" fillId="26" borderId="0" xfId="52" applyNumberFormat="1" applyFont="1" applyFill="1"/>
    <xf numFmtId="14" fontId="7" fillId="26" borderId="0" xfId="0" applyNumberFormat="1" applyFont="1" applyFill="1" applyAlignment="1">
      <alignment horizontal="center"/>
    </xf>
    <xf numFmtId="14" fontId="7" fillId="26" borderId="0" xfId="52" applyNumberFormat="1" applyFont="1" applyFill="1" applyAlignment="1">
      <alignment horizontal="center"/>
    </xf>
    <xf numFmtId="39" fontId="7" fillId="26" borderId="0" xfId="0" applyNumberFormat="1" applyFont="1" applyFill="1" applyAlignment="1">
      <alignment horizontal="center"/>
    </xf>
    <xf numFmtId="170" fontId="53" fillId="26" borderId="0" xfId="31" applyNumberFormat="1" applyFont="1" applyFill="1" applyAlignment="1">
      <alignment horizontal="right"/>
    </xf>
    <xf numFmtId="174" fontId="1" fillId="26" borderId="0" xfId="62" applyNumberFormat="1" applyFill="1" applyBorder="1" applyAlignment="1">
      <alignment horizontal="center"/>
    </xf>
    <xf numFmtId="0" fontId="31" fillId="26" borderId="0" xfId="62" applyFont="1" applyFill="1"/>
    <xf numFmtId="174" fontId="1" fillId="26" borderId="0" xfId="0" applyNumberFormat="1" applyFont="1" applyFill="1"/>
    <xf numFmtId="0" fontId="1" fillId="26" borderId="0" xfId="62" applyFill="1"/>
    <xf numFmtId="44" fontId="2" fillId="26" borderId="0" xfId="0" applyNumberFormat="1" applyFont="1" applyFill="1"/>
    <xf numFmtId="39" fontId="0" fillId="26" borderId="0" xfId="0" applyNumberFormat="1" applyFill="1"/>
    <xf numFmtId="170" fontId="1" fillId="26" borderId="0" xfId="31" applyNumberFormat="1" applyFont="1" applyFill="1"/>
    <xf numFmtId="37" fontId="1" fillId="26" borderId="11" xfId="0" applyNumberFormat="1" applyFont="1" applyFill="1" applyBorder="1"/>
    <xf numFmtId="170" fontId="2" fillId="26" borderId="0" xfId="31" applyNumberFormat="1" applyFont="1" applyFill="1"/>
    <xf numFmtId="0" fontId="2" fillId="26" borderId="0" xfId="0" applyFont="1" applyFill="1"/>
    <xf numFmtId="170" fontId="0" fillId="0" borderId="11" xfId="0" applyNumberFormat="1" applyBorder="1"/>
    <xf numFmtId="0" fontId="1" fillId="0" borderId="0" xfId="0" applyFont="1" applyAlignment="1">
      <alignment horizontal="left" indent="2"/>
    </xf>
    <xf numFmtId="43" fontId="6" fillId="0" borderId="0" xfId="28" applyFont="1" applyAlignment="1">
      <alignment horizontal="left"/>
    </xf>
    <xf numFmtId="43" fontId="6" fillId="0" borderId="0" xfId="28" applyFont="1" applyAlignment="1">
      <alignment horizontal="left"/>
    </xf>
    <xf numFmtId="43" fontId="1" fillId="0" borderId="0" xfId="28" applyFont="1" applyAlignment="1">
      <alignment horizontal="left"/>
    </xf>
    <xf numFmtId="0" fontId="1" fillId="0" borderId="0" xfId="0" applyFont="1" applyFill="1" applyAlignment="1">
      <alignment horizontal="left" indent="1"/>
    </xf>
    <xf numFmtId="0" fontId="1" fillId="0" borderId="0" xfId="0" applyFont="1" applyFill="1" applyAlignment="1"/>
    <xf numFmtId="43" fontId="1" fillId="0" borderId="0" xfId="28" applyFont="1"/>
    <xf numFmtId="0" fontId="1" fillId="0" borderId="0" xfId="0" quotePrefix="1" applyFont="1" applyBorder="1" applyAlignment="1">
      <alignment horizontal="center"/>
    </xf>
    <xf numFmtId="0" fontId="56" fillId="0" borderId="0" xfId="0" applyFont="1"/>
    <xf numFmtId="0" fontId="0" fillId="27" borderId="0" xfId="0" applyFill="1"/>
    <xf numFmtId="49" fontId="1" fillId="0" borderId="0" xfId="0" applyNumberFormat="1" applyFont="1" applyAlignment="1">
      <alignment horizontal="center"/>
    </xf>
    <xf numFmtId="43" fontId="0" fillId="26" borderId="11" xfId="28" applyFont="1" applyFill="1" applyBorder="1"/>
    <xf numFmtId="49" fontId="0" fillId="27" borderId="0" xfId="0" applyNumberFormat="1" applyFill="1"/>
    <xf numFmtId="43" fontId="0" fillId="27" borderId="0" xfId="28" applyFont="1" applyFill="1"/>
    <xf numFmtId="0" fontId="31" fillId="0" borderId="26" xfId="0" applyFont="1" applyBorder="1"/>
    <xf numFmtId="0" fontId="31" fillId="0" borderId="0" xfId="0" applyFont="1"/>
    <xf numFmtId="0" fontId="31" fillId="26" borderId="0" xfId="0" applyFont="1" applyFill="1"/>
    <xf numFmtId="0" fontId="31" fillId="27" borderId="0" xfId="0" applyFont="1" applyFill="1"/>
    <xf numFmtId="174" fontId="0" fillId="27" borderId="0" xfId="0" applyNumberFormat="1" applyFill="1" applyAlignment="1">
      <alignment horizontal="right"/>
    </xf>
    <xf numFmtId="39" fontId="2" fillId="27" borderId="0" xfId="0" applyNumberFormat="1" applyFont="1" applyFill="1"/>
    <xf numFmtId="44" fontId="2" fillId="27" borderId="0" xfId="28" applyNumberFormat="1" applyFont="1" applyFill="1"/>
    <xf numFmtId="44" fontId="0" fillId="27" borderId="0" xfId="0" applyNumberFormat="1" applyFill="1"/>
    <xf numFmtId="44" fontId="0" fillId="0" borderId="11" xfId="31" applyFont="1" applyBorder="1"/>
    <xf numFmtId="174" fontId="6" fillId="0" borderId="27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" fillId="0" borderId="0" xfId="0" applyNumberFormat="1" applyFont="1" applyFill="1" applyProtection="1">
      <protection locked="0"/>
    </xf>
    <xf numFmtId="174" fontId="1" fillId="0" borderId="0" xfId="0" quotePrefix="1" applyNumberFormat="1" applyFont="1" applyFill="1" applyBorder="1" applyAlignment="1">
      <alignment horizontal="center"/>
    </xf>
    <xf numFmtId="174" fontId="2" fillId="0" borderId="0" xfId="0" applyNumberFormat="1" applyFont="1" applyFill="1" applyBorder="1" applyAlignment="1">
      <alignment horizontal="center"/>
    </xf>
    <xf numFmtId="16" fontId="2" fillId="0" borderId="0" xfId="0" applyNumberFormat="1" applyFont="1"/>
    <xf numFmtId="44" fontId="2" fillId="0" borderId="0" xfId="0" applyNumberFormat="1" applyFont="1" applyFill="1"/>
    <xf numFmtId="43" fontId="2" fillId="0" borderId="0" xfId="28" applyNumberFormat="1" applyFont="1" applyBorder="1" applyAlignment="1">
      <alignment horizontal="right"/>
    </xf>
    <xf numFmtId="0" fontId="1" fillId="0" borderId="0" xfId="0" quotePrefix="1" applyFont="1" applyBorder="1" applyAlignment="1">
      <alignment horizontal="center" wrapText="1"/>
    </xf>
    <xf numFmtId="0" fontId="1" fillId="0" borderId="0" xfId="45" quotePrefix="1" applyAlignment="1">
      <alignment horizontal="center"/>
    </xf>
    <xf numFmtId="10" fontId="1" fillId="0" borderId="0" xfId="31" applyNumberFormat="1" applyFill="1"/>
    <xf numFmtId="10" fontId="1" fillId="0" borderId="0" xfId="52" applyNumberFormat="1" applyFill="1"/>
    <xf numFmtId="174" fontId="54" fillId="0" borderId="0" xfId="0" applyNumberFormat="1" applyFont="1" applyFill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1" xfId="62" applyFont="1" applyBorder="1" applyAlignment="1">
      <alignment horizontal="center"/>
    </xf>
    <xf numFmtId="0" fontId="3" fillId="0" borderId="0" xfId="0" applyFont="1" applyFill="1"/>
    <xf numFmtId="0" fontId="0" fillId="0" borderId="0" xfId="0" quotePrefix="1" applyAlignment="1">
      <alignment horizontal="center"/>
    </xf>
    <xf numFmtId="14" fontId="57" fillId="0" borderId="0" xfId="0" applyNumberFormat="1" applyFont="1"/>
    <xf numFmtId="170" fontId="2" fillId="26" borderId="0" xfId="31" applyNumberFormat="1" applyFont="1" applyFill="1" applyBorder="1"/>
    <xf numFmtId="170" fontId="1" fillId="26" borderId="0" xfId="31" applyNumberFormat="1" applyFont="1" applyFill="1" applyBorder="1"/>
    <xf numFmtId="0" fontId="6" fillId="0" borderId="23" xfId="62" applyFont="1" applyBorder="1" applyAlignment="1">
      <alignment horizontal="center"/>
    </xf>
    <xf numFmtId="168" fontId="6" fillId="0" borderId="23" xfId="28" applyNumberFormat="1" applyFont="1" applyBorder="1" applyAlignment="1">
      <alignment horizontal="center"/>
    </xf>
    <xf numFmtId="168" fontId="6" fillId="0" borderId="25" xfId="28" applyNumberFormat="1" applyFont="1" applyBorder="1" applyAlignment="1">
      <alignment horizontal="center"/>
    </xf>
    <xf numFmtId="168" fontId="1" fillId="0" borderId="0" xfId="28" applyNumberFormat="1" applyFont="1" applyBorder="1" applyAlignment="1">
      <alignment horizontal="center" wrapText="1"/>
    </xf>
    <xf numFmtId="168" fontId="2" fillId="0" borderId="0" xfId="28" applyNumberFormat="1" applyFont="1" applyBorder="1" applyAlignment="1">
      <alignment horizontal="center" wrapText="1"/>
    </xf>
    <xf numFmtId="168" fontId="1" fillId="0" borderId="0" xfId="28" applyNumberFormat="1" applyFont="1" applyBorder="1"/>
    <xf numFmtId="168" fontId="18" fillId="0" borderId="0" xfId="28" applyNumberFormat="1" applyFont="1" applyAlignment="1">
      <alignment vertical="center"/>
    </xf>
    <xf numFmtId="170" fontId="1" fillId="0" borderId="11" xfId="31" applyNumberFormat="1" applyFont="1" applyBorder="1"/>
    <xf numFmtId="168" fontId="1" fillId="0" borderId="11" xfId="28" applyNumberFormat="1" applyFont="1" applyBorder="1"/>
    <xf numFmtId="4" fontId="18" fillId="0" borderId="15" xfId="0" applyNumberFormat="1" applyFont="1" applyBorder="1" applyAlignment="1">
      <alignment vertical="center"/>
    </xf>
    <xf numFmtId="170" fontId="0" fillId="0" borderId="11" xfId="31" applyNumberFormat="1" applyFont="1" applyBorder="1"/>
    <xf numFmtId="0" fontId="0" fillId="0" borderId="20" xfId="0" applyBorder="1" applyAlignment="1">
      <alignment horizontal="centerContinuous"/>
    </xf>
    <xf numFmtId="168" fontId="0" fillId="0" borderId="15" xfId="28" applyNumberFormat="1" applyFont="1" applyBorder="1" applyAlignment="1">
      <alignment horizontal="centerContinuous"/>
    </xf>
    <xf numFmtId="0" fontId="0" fillId="0" borderId="28" xfId="0" applyBorder="1" applyAlignment="1">
      <alignment horizontal="left"/>
    </xf>
    <xf numFmtId="0" fontId="56" fillId="26" borderId="0" xfId="0" applyFont="1" applyFill="1"/>
    <xf numFmtId="170" fontId="6" fillId="26" borderId="12" xfId="31" applyNumberFormat="1" applyFont="1" applyFill="1" applyBorder="1"/>
    <xf numFmtId="0" fontId="1" fillId="26" borderId="0" xfId="0" applyFont="1" applyFill="1" applyAlignment="1">
      <alignment horizontal="center"/>
    </xf>
    <xf numFmtId="170" fontId="2" fillId="0" borderId="11" xfId="31" applyNumberFormat="1" applyFont="1" applyFill="1" applyBorder="1"/>
    <xf numFmtId="0" fontId="6" fillId="26" borderId="0" xfId="0" applyFont="1" applyFill="1"/>
    <xf numFmtId="0" fontId="58" fillId="26" borderId="0" xfId="0" applyFont="1" applyFill="1"/>
    <xf numFmtId="44" fontId="58" fillId="26" borderId="0" xfId="31" applyFont="1" applyFill="1"/>
    <xf numFmtId="43" fontId="58" fillId="26" borderId="0" xfId="28" applyFont="1" applyFill="1"/>
    <xf numFmtId="0" fontId="6" fillId="0" borderId="11" xfId="0" applyFont="1" applyBorder="1" applyAlignment="1">
      <alignment horizontal="center"/>
    </xf>
    <xf numFmtId="43" fontId="6" fillId="0" borderId="0" xfId="28" applyFont="1" applyAlignment="1">
      <alignment horizontal="left"/>
    </xf>
    <xf numFmtId="40" fontId="6" fillId="0" borderId="0" xfId="28" applyNumberFormat="1" applyFont="1" applyAlignment="1">
      <alignment horizontal="left"/>
    </xf>
    <xf numFmtId="0" fontId="6" fillId="0" borderId="11" xfId="48" applyFont="1" applyBorder="1" applyAlignment="1">
      <alignment horizontal="center" wrapText="1"/>
    </xf>
    <xf numFmtId="0" fontId="6" fillId="0" borderId="11" xfId="48" applyFont="1" applyBorder="1" applyAlignment="1">
      <alignment horizontal="center"/>
    </xf>
    <xf numFmtId="0" fontId="6" fillId="0" borderId="15" xfId="48" applyFont="1" applyBorder="1" applyAlignment="1">
      <alignment horizontal="center"/>
    </xf>
    <xf numFmtId="0" fontId="6" fillId="0" borderId="11" xfId="47" applyFont="1" applyBorder="1" applyAlignment="1">
      <alignment horizontal="center" wrapText="1"/>
    </xf>
    <xf numFmtId="49" fontId="6" fillId="0" borderId="11" xfId="47" applyNumberFormat="1" applyFont="1" applyBorder="1" applyAlignment="1">
      <alignment horizontal="center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_2006 - Ad Valorem - Lead Lag Study" xfId="29" xr:uid="{00000000-0005-0000-0000-00001C000000}"/>
    <cellStyle name="Comma_EmployeeAR" xfId="30" xr:uid="{00000000-0005-0000-0000-00001D000000}"/>
    <cellStyle name="Currency" xfId="31" builtinId="4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Hyperlink" xfId="38" builtinId="8"/>
    <cellStyle name="Input" xfId="39" builtinId="20" customBuiltin="1"/>
    <cellStyle name="kirkdollars" xfId="40" xr:uid="{00000000-0005-0000-0000-000027000000}"/>
    <cellStyle name="Linked Cell" xfId="41" builtinId="24" customBuiltin="1"/>
    <cellStyle name="Neutral" xfId="42" builtinId="28" customBuiltin="1"/>
    <cellStyle name="Normal" xfId="0" builtinId="0"/>
    <cellStyle name="Normal 2" xfId="62" xr:uid="{00000000-0005-0000-0000-00002B000000}"/>
    <cellStyle name="Normal_EmployeeAR" xfId="43" xr:uid="{00000000-0005-0000-0000-00002C000000}"/>
    <cellStyle name="Normal_Final Funding Summary (TY ended 06-30-2010)" xfId="44" xr:uid="{00000000-0005-0000-0000-00002D000000}"/>
    <cellStyle name="Normal_Sched E-4 Pg 2" xfId="45" xr:uid="{00000000-0005-0000-0000-00002E000000}"/>
    <cellStyle name="Normal_TXUED Misc. Funds 12ME 06-04" xfId="46" xr:uid="{00000000-0005-0000-0000-00002F000000}"/>
    <cellStyle name="Normal_TxueDefCr" xfId="47" xr:uid="{00000000-0005-0000-0000-000030000000}"/>
    <cellStyle name="Normal_WorkingFunds" xfId="48" xr:uid="{00000000-0005-0000-0000-000031000000}"/>
    <cellStyle name="Note" xfId="49" builtinId="10" customBuiltin="1"/>
    <cellStyle name="nPlosion" xfId="50" xr:uid="{00000000-0005-0000-0000-000033000000}"/>
    <cellStyle name="Output" xfId="51" builtinId="21" customBuiltin="1"/>
    <cellStyle name="Percent" xfId="52" builtinId="5"/>
    <cellStyle name="PSChar" xfId="53" xr:uid="{00000000-0005-0000-0000-000036000000}"/>
    <cellStyle name="PSDate" xfId="54" xr:uid="{00000000-0005-0000-0000-000037000000}"/>
    <cellStyle name="PSDec" xfId="55" xr:uid="{00000000-0005-0000-0000-000038000000}"/>
    <cellStyle name="PSHeading" xfId="56" xr:uid="{00000000-0005-0000-0000-000039000000}"/>
    <cellStyle name="PSInt" xfId="57" xr:uid="{00000000-0005-0000-0000-00003A000000}"/>
    <cellStyle name="PSSpacer" xfId="58" xr:uid="{00000000-0005-0000-0000-00003B000000}"/>
    <cellStyle name="Title" xfId="59" builtinId="15" customBuiltin="1"/>
    <cellStyle name="Total" xfId="60" builtinId="25" customBuiltin="1"/>
    <cellStyle name="Warning Text" xfId="6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1.xml"/><Relationship Id="rId75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4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716280</xdr:colOff>
      <xdr:row>28</xdr:row>
      <xdr:rowOff>0</xdr:rowOff>
    </xdr:from>
    <xdr:to>
      <xdr:col>1</xdr:col>
      <xdr:colOff>792480</xdr:colOff>
      <xdr:row>29</xdr:row>
      <xdr:rowOff>30480</xdr:rowOff>
    </xdr:to>
    <xdr:sp macro="" textlink="">
      <xdr:nvSpPr>
        <xdr:cNvPr id="43025" name="Text Box 1" descr="" title="">
          <a:extLst>
            <a:ext uri="{FF2B5EF4-FFF2-40B4-BE49-F238E27FC236}">
              <a16:creationId xmlns:a16="http://schemas.microsoft.com/office/drawing/2014/main" id="{00000000-0008-0000-3700-000011A80000}"/>
            </a:ext>
          </a:extLst>
        </xdr:cNvPr>
        <xdr:cNvSpPr txBox="1">
          <a:spLocks noChangeArrowheads="1"/>
        </xdr:cNvSpPr>
      </xdr:nvSpPr>
      <xdr:spPr bwMode="auto">
        <a:xfrm>
          <a:off x="1341120" y="484632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3</xdr:col>
      <xdr:colOff>0</xdr:colOff>
      <xdr:row>30</xdr:row>
      <xdr:rowOff>0</xdr:rowOff>
    </xdr:from>
    <xdr:to>
      <xdr:col>3</xdr:col>
      <xdr:colOff>76200</xdr:colOff>
      <xdr:row>31</xdr:row>
      <xdr:rowOff>38100</xdr:rowOff>
    </xdr:to>
    <xdr:sp macro="" textlink="">
      <xdr:nvSpPr>
        <xdr:cNvPr id="45073" name="Text Box 1" descr="" title="">
          <a:extLst>
            <a:ext uri="{FF2B5EF4-FFF2-40B4-BE49-F238E27FC236}">
              <a16:creationId xmlns:a16="http://schemas.microsoft.com/office/drawing/2014/main" id="{00000000-0008-0000-3B00-000011B00000}"/>
            </a:ext>
          </a:extLst>
        </xdr:cNvPr>
        <xdr:cNvSpPr txBox="1">
          <a:spLocks noChangeArrowheads="1"/>
        </xdr:cNvSpPr>
      </xdr:nvSpPr>
      <xdr:spPr bwMode="auto">
        <a:xfrm>
          <a:off x="2087880" y="521970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76200</xdr:colOff>
      <xdr:row>29</xdr:row>
      <xdr:rowOff>38100</xdr:rowOff>
    </xdr:to>
    <xdr:sp macro="" textlink="">
      <xdr:nvSpPr>
        <xdr:cNvPr id="46100" name="Text Box 1" descr="" title="">
          <a:extLst>
            <a:ext uri="{FF2B5EF4-FFF2-40B4-BE49-F238E27FC236}">
              <a16:creationId xmlns:a16="http://schemas.microsoft.com/office/drawing/2014/main" id="{00000000-0008-0000-3D00-000014B40000}"/>
            </a:ext>
          </a:extLst>
        </xdr:cNvPr>
        <xdr:cNvSpPr txBox="1">
          <a:spLocks noChangeArrowheads="1"/>
        </xdr:cNvSpPr>
      </xdr:nvSpPr>
      <xdr:spPr bwMode="auto">
        <a:xfrm>
          <a:off x="640080" y="522732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76200</xdr:colOff>
      <xdr:row>29</xdr:row>
      <xdr:rowOff>38100</xdr:rowOff>
    </xdr:to>
    <xdr:sp macro="" textlink="">
      <xdr:nvSpPr>
        <xdr:cNvPr id="46101" name="Text Box 1" descr="" title="">
          <a:extLst>
            <a:ext uri="{FF2B5EF4-FFF2-40B4-BE49-F238E27FC236}">
              <a16:creationId xmlns:a16="http://schemas.microsoft.com/office/drawing/2014/main" id="{00000000-0008-0000-3D00-000015B40000}"/>
            </a:ext>
          </a:extLst>
        </xdr:cNvPr>
        <xdr:cNvSpPr txBox="1">
          <a:spLocks noChangeArrowheads="1"/>
        </xdr:cNvSpPr>
      </xdr:nvSpPr>
      <xdr:spPr bwMode="auto">
        <a:xfrm>
          <a:off x="2179320" y="522732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3</xdr:col>
      <xdr:colOff>0</xdr:colOff>
      <xdr:row>30</xdr:row>
      <xdr:rowOff>0</xdr:rowOff>
    </xdr:from>
    <xdr:to>
      <xdr:col>3</xdr:col>
      <xdr:colOff>76200</xdr:colOff>
      <xdr:row>31</xdr:row>
      <xdr:rowOff>38100</xdr:rowOff>
    </xdr:to>
    <xdr:sp macro="" textlink="">
      <xdr:nvSpPr>
        <xdr:cNvPr id="47121" name="Text Box 1" descr="" title="">
          <a:extLst>
            <a:ext uri="{FF2B5EF4-FFF2-40B4-BE49-F238E27FC236}">
              <a16:creationId xmlns:a16="http://schemas.microsoft.com/office/drawing/2014/main" id="{00000000-0008-0000-3E00-000011B80000}"/>
            </a:ext>
          </a:extLst>
        </xdr:cNvPr>
        <xdr:cNvSpPr txBox="1">
          <a:spLocks noChangeArrowheads="1"/>
        </xdr:cNvSpPr>
      </xdr:nvSpPr>
      <xdr:spPr bwMode="auto">
        <a:xfrm>
          <a:off x="2133600" y="520446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3</xdr:col>
      <xdr:colOff>0</xdr:colOff>
      <xdr:row>28</xdr:row>
      <xdr:rowOff>0</xdr:rowOff>
    </xdr:from>
    <xdr:to>
      <xdr:col>3</xdr:col>
      <xdr:colOff>76200</xdr:colOff>
      <xdr:row>29</xdr:row>
      <xdr:rowOff>38100</xdr:rowOff>
    </xdr:to>
    <xdr:sp macro="" textlink="">
      <xdr:nvSpPr>
        <xdr:cNvPr id="48161" name="Text Box 1" descr="" title="">
          <a:extLst>
            <a:ext uri="{FF2B5EF4-FFF2-40B4-BE49-F238E27FC236}">
              <a16:creationId xmlns:a16="http://schemas.microsoft.com/office/drawing/2014/main" id="{00000000-0008-0000-3F00-000021BC0000}"/>
            </a:ext>
          </a:extLst>
        </xdr:cNvPr>
        <xdr:cNvSpPr txBox="1">
          <a:spLocks noChangeArrowheads="1"/>
        </xdr:cNvSpPr>
      </xdr:nvSpPr>
      <xdr:spPr bwMode="auto">
        <a:xfrm>
          <a:off x="2202180" y="502158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22860</xdr:colOff>
      <xdr:row>27</xdr:row>
      <xdr:rowOff>0</xdr:rowOff>
    </xdr:from>
    <xdr:to>
      <xdr:col>3</xdr:col>
      <xdr:colOff>99060</xdr:colOff>
      <xdr:row>28</xdr:row>
      <xdr:rowOff>38100</xdr:rowOff>
    </xdr:to>
    <xdr:sp macro="" textlink="">
      <xdr:nvSpPr>
        <xdr:cNvPr id="48162" name="Text Box 2" descr="" title="">
          <a:extLst>
            <a:ext uri="{FF2B5EF4-FFF2-40B4-BE49-F238E27FC236}">
              <a16:creationId xmlns:a16="http://schemas.microsoft.com/office/drawing/2014/main" id="{00000000-0008-0000-3F00-000022BC0000}"/>
            </a:ext>
          </a:extLst>
        </xdr:cNvPr>
        <xdr:cNvSpPr txBox="1">
          <a:spLocks noChangeArrowheads="1"/>
        </xdr:cNvSpPr>
      </xdr:nvSpPr>
      <xdr:spPr bwMode="auto">
        <a:xfrm>
          <a:off x="2225040" y="485394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2</xdr:col>
      <xdr:colOff>76200</xdr:colOff>
      <xdr:row>32</xdr:row>
      <xdr:rowOff>38100</xdr:rowOff>
    </xdr:to>
    <xdr:sp macro="" textlink="">
      <xdr:nvSpPr>
        <xdr:cNvPr id="49169" name="Text Box 1" descr="" title="">
          <a:extLst>
            <a:ext uri="{FF2B5EF4-FFF2-40B4-BE49-F238E27FC236}">
              <a16:creationId xmlns:a16="http://schemas.microsoft.com/office/drawing/2014/main" id="{00000000-0008-0000-4100-000011C00000}"/>
            </a:ext>
          </a:extLst>
        </xdr:cNvPr>
        <xdr:cNvSpPr txBox="1">
          <a:spLocks noChangeArrowheads="1"/>
        </xdr:cNvSpPr>
      </xdr:nvSpPr>
      <xdr:spPr bwMode="auto">
        <a:xfrm>
          <a:off x="2080260" y="5379720"/>
          <a:ext cx="762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2</xdr:col>
      <xdr:colOff>7620</xdr:colOff>
      <xdr:row>33</xdr:row>
      <xdr:rowOff>0</xdr:rowOff>
    </xdr:from>
    <xdr:to>
      <xdr:col>2</xdr:col>
      <xdr:colOff>91440</xdr:colOff>
      <xdr:row>34</xdr:row>
      <xdr:rowOff>38100</xdr:rowOff>
    </xdr:to>
    <xdr:sp macro="" textlink="">
      <xdr:nvSpPr>
        <xdr:cNvPr id="50193" name="Text Box 1" descr="" title="">
          <a:extLst>
            <a:ext uri="{FF2B5EF4-FFF2-40B4-BE49-F238E27FC236}">
              <a16:creationId xmlns:a16="http://schemas.microsoft.com/office/drawing/2014/main" id="{00000000-0008-0000-4200-000011C40000}"/>
            </a:ext>
          </a:extLst>
        </xdr:cNvPr>
        <xdr:cNvSpPr txBox="1">
          <a:spLocks noChangeArrowheads="1"/>
        </xdr:cNvSpPr>
      </xdr:nvSpPr>
      <xdr:spPr bwMode="auto">
        <a:xfrm>
          <a:off x="2103120" y="5897880"/>
          <a:ext cx="8382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2003%20Rate%20Cases\TXU%20Lone%20Star%20Pipeline\E\E-08%20Relied%20Upons\VLSG%20O&amp;M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Lead%20Lag%202002\Distribution\Tax%20Support\2002%20Local%20Gross%20Receipts%20Drill%20C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s%20Filed\TXU%20Lone%20Star%20Pipeline\E\E-08%20Relied%20Upons\VLSG%20O&amp;M%20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s%20Filed\TXU%20Lone%20Star%20Pipeline\E\E-08%20Relied%20Upons\RU_WP%20C\FIT%20Suppo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2003%20Rate%20Cases\TXU%20Lone%20Star%20Pipeline\E\E-08%20Relied%20Upons\RU_WP%20C\FIT%20Suppo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cshrnasp03\u_eratefp\My%20Documents\Leadlag\JE_2003-08-31_000031638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cprdnas01\U_RegFin\Utility\Distribution\2002\Dec\Trial%20Balance\LSGD%20Trial%20Balance%20Dec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&amp; E"/>
      <sheetName val="O &amp; M"/>
    </sheetNames>
    <sheetDataSet>
      <sheetData sheetId="0"/>
      <sheetData sheetId="1">
        <row r="5">
          <cell r="T5" t="str">
            <v>2000-12-31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Total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&amp; E"/>
      <sheetName val="O &amp; M"/>
    </sheetNames>
    <sheetDataSet>
      <sheetData sheetId="0"/>
      <sheetData sheetId="1">
        <row r="5">
          <cell r="T5" t="str">
            <v>2000-12-31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T Paid - Combined"/>
      <sheetName val="FIT Paid - LSP"/>
      <sheetName val="FIT Paid - TPSRV"/>
      <sheetName val="FIT Paid - COREP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T Paid - Combined"/>
      <sheetName val="FIT Paid - LSP"/>
      <sheetName val="FIT Paid - TPSRV"/>
      <sheetName val="FIT Paid - COREP"/>
      <sheetName val="FIT Support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chedule (allco curr mo sales)"/>
      <sheetName val="Discount"/>
      <sheetName val="Previous Month's Schedule"/>
      <sheetName val="DA"/>
      <sheetName val="Setup"/>
    </sheetNames>
    <sheetDataSet>
      <sheetData sheetId="0" refreshError="1">
        <row r="3">
          <cell r="B3" t="str">
            <v>LSP</v>
          </cell>
          <cell r="E3" t="str">
            <v>Date</v>
          </cell>
          <cell r="I3" t="str">
            <v>Document</v>
          </cell>
        </row>
        <row r="7">
          <cell r="B7" t="str">
            <v>To transfer receivables related to Citigroup Receivable Program</v>
          </cell>
        </row>
        <row r="9">
          <cell r="B9" t="str">
            <v>LSP</v>
          </cell>
          <cell r="C9" t="str">
            <v>101090</v>
          </cell>
          <cell r="D9">
            <v>1430100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0</v>
          </cell>
          <cell r="L9" t="str">
            <v>Reverse Discount DA</v>
          </cell>
          <cell r="M9" t="str">
            <v>USD</v>
          </cell>
          <cell r="N9" t="str">
            <v>CRRNT</v>
          </cell>
          <cell r="O9">
            <v>1</v>
          </cell>
          <cell r="P9">
            <v>0</v>
          </cell>
        </row>
        <row r="10">
          <cell r="B10" t="str">
            <v>LSP</v>
          </cell>
          <cell r="C10" t="str">
            <v>101090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0</v>
          </cell>
          <cell r="L10" t="str">
            <v>Reverse Discount DA</v>
          </cell>
          <cell r="M10" t="str">
            <v>USD</v>
          </cell>
          <cell r="N10" t="str">
            <v>CRRNT</v>
          </cell>
          <cell r="O10">
            <v>1</v>
          </cell>
          <cell r="P10">
            <v>0</v>
          </cell>
        </row>
        <row r="11">
          <cell r="B11" t="str">
            <v>LSGD</v>
          </cell>
          <cell r="C11" t="str">
            <v>140090</v>
          </cell>
          <cell r="D11">
            <v>1869000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0</v>
          </cell>
          <cell r="L11" t="str">
            <v>Reverse Discount DA</v>
          </cell>
          <cell r="M11" t="str">
            <v>USD</v>
          </cell>
          <cell r="N11" t="str">
            <v>CRRNT</v>
          </cell>
          <cell r="O11">
            <v>1</v>
          </cell>
          <cell r="P11">
            <v>0</v>
          </cell>
        </row>
        <row r="12">
          <cell r="B12" t="str">
            <v>LSGD</v>
          </cell>
          <cell r="C12" t="str">
            <v>140090</v>
          </cell>
          <cell r="D12">
            <v>1868900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0</v>
          </cell>
          <cell r="L12" t="str">
            <v>Reverse Discount DA</v>
          </cell>
          <cell r="M12" t="str">
            <v>USD</v>
          </cell>
          <cell r="N12" t="str">
            <v>CRRNT</v>
          </cell>
          <cell r="O12">
            <v>1</v>
          </cell>
          <cell r="P12">
            <v>0</v>
          </cell>
        </row>
        <row r="13">
          <cell r="B13" t="str">
            <v>ELREP</v>
          </cell>
          <cell r="C13" t="str">
            <v>288000</v>
          </cell>
          <cell r="D13">
            <v>1868000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-680000</v>
          </cell>
          <cell r="L13" t="str">
            <v>Reverse Discount DA</v>
          </cell>
          <cell r="M13" t="str">
            <v>USD</v>
          </cell>
          <cell r="N13" t="str">
            <v>CRRNT</v>
          </cell>
          <cell r="O13">
            <v>1</v>
          </cell>
          <cell r="P13">
            <v>-680000</v>
          </cell>
        </row>
        <row r="14">
          <cell r="B14" t="str">
            <v>ELREP</v>
          </cell>
          <cell r="C14">
            <v>288000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680000</v>
          </cell>
          <cell r="L14" t="str">
            <v>Reverse Discount DA</v>
          </cell>
          <cell r="M14" t="str">
            <v>USD</v>
          </cell>
          <cell r="N14" t="str">
            <v>CRRNT</v>
          </cell>
          <cell r="O14">
            <v>1</v>
          </cell>
          <cell r="P14">
            <v>680000</v>
          </cell>
        </row>
        <row r="15">
          <cell r="B15" t="str">
            <v>ESD</v>
          </cell>
          <cell r="C15" t="str">
            <v>521900</v>
          </cell>
          <cell r="D15">
            <v>1430100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0</v>
          </cell>
          <cell r="L15" t="str">
            <v>Reverse Discount DA</v>
          </cell>
          <cell r="M15" t="str">
            <v>USD</v>
          </cell>
          <cell r="N15" t="str">
            <v>CRRNT</v>
          </cell>
          <cell r="O15">
            <v>1</v>
          </cell>
          <cell r="P15">
            <v>0</v>
          </cell>
        </row>
        <row r="16">
          <cell r="B16" t="str">
            <v>ESD</v>
          </cell>
          <cell r="C16" t="str">
            <v>521900</v>
          </cell>
          <cell r="D16">
            <v>1868900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J16">
            <v>0</v>
          </cell>
          <cell r="L16" t="str">
            <v>Reverse Discount DA</v>
          </cell>
          <cell r="M16" t="str">
            <v>USD</v>
          </cell>
          <cell r="N16" t="str">
            <v>CRRNT</v>
          </cell>
          <cell r="O16">
            <v>1</v>
          </cell>
          <cell r="P16">
            <v>0</v>
          </cell>
        </row>
        <row r="17">
          <cell r="B17" t="str">
            <v>SESRP</v>
          </cell>
          <cell r="C17" t="str">
            <v>297000</v>
          </cell>
          <cell r="D17">
            <v>1869000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J17">
            <v>-1019.65</v>
          </cell>
          <cell r="L17" t="str">
            <v>Reverse Discount DA</v>
          </cell>
          <cell r="M17" t="str">
            <v>USD</v>
          </cell>
          <cell r="N17" t="str">
            <v>CRRNT</v>
          </cell>
          <cell r="O17">
            <v>1</v>
          </cell>
          <cell r="P17">
            <v>-1019.65</v>
          </cell>
        </row>
        <row r="18">
          <cell r="B18" t="str">
            <v>SESRP</v>
          </cell>
          <cell r="C18" t="str">
            <v>297000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1019.65</v>
          </cell>
          <cell r="L18" t="str">
            <v>Reverse Discount DA</v>
          </cell>
          <cell r="M18" t="str">
            <v>USD</v>
          </cell>
          <cell r="N18" t="str">
            <v>CRRNT</v>
          </cell>
          <cell r="O18">
            <v>1</v>
          </cell>
          <cell r="P18">
            <v>1019.65</v>
          </cell>
        </row>
        <row r="19">
          <cell r="B19" t="str">
            <v>TRN</v>
          </cell>
          <cell r="C19" t="str">
            <v>571900</v>
          </cell>
          <cell r="D19">
            <v>1430100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L19" t="str">
            <v>Reverse Discount DA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TRN</v>
          </cell>
          <cell r="C20" t="str">
            <v>571900</v>
          </cell>
          <cell r="D20">
            <v>1868900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J20">
            <v>0</v>
          </cell>
          <cell r="L20" t="str">
            <v>Reverse Discount DA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LSP</v>
          </cell>
          <cell r="C21" t="str">
            <v>101090</v>
          </cell>
          <cell r="D21">
            <v>9030001</v>
          </cell>
          <cell r="E21" t="str">
            <v>056</v>
          </cell>
          <cell r="F21" t="str">
            <v>ARFEELSP</v>
          </cell>
          <cell r="G21" t="str">
            <v>0000</v>
          </cell>
          <cell r="H21" t="str">
            <v>0000</v>
          </cell>
          <cell r="I21" t="str">
            <v>ERINC</v>
          </cell>
          <cell r="J21">
            <v>0</v>
          </cell>
          <cell r="L21" t="str">
            <v>Record Current Month SAR</v>
          </cell>
          <cell r="M21" t="str">
            <v>USD</v>
          </cell>
          <cell r="N21" t="str">
            <v>CRRNT</v>
          </cell>
          <cell r="O21">
            <v>1</v>
          </cell>
          <cell r="P21">
            <v>0</v>
          </cell>
        </row>
        <row r="22">
          <cell r="B22" t="str">
            <v>LSP</v>
          </cell>
          <cell r="C22" t="str">
            <v>101090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2945715.64</v>
          </cell>
          <cell r="L22" t="str">
            <v>Record Current Month SAR</v>
          </cell>
          <cell r="M22" t="str">
            <v>USD</v>
          </cell>
          <cell r="N22" t="str">
            <v>CRRNT</v>
          </cell>
          <cell r="O22">
            <v>1</v>
          </cell>
          <cell r="P22">
            <v>2945715.64</v>
          </cell>
        </row>
        <row r="23">
          <cell r="B23" t="str">
            <v>LSP</v>
          </cell>
          <cell r="C23" t="str">
            <v>101090</v>
          </cell>
          <cell r="D23">
            <v>1433001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I23" t="str">
            <v>ERINC</v>
          </cell>
          <cell r="J23">
            <v>4549284.3599999994</v>
          </cell>
          <cell r="L23" t="str">
            <v>Record Current Month SAR</v>
          </cell>
          <cell r="M23" t="str">
            <v>USD</v>
          </cell>
          <cell r="N23" t="str">
            <v>CRRNT</v>
          </cell>
          <cell r="O23">
            <v>1</v>
          </cell>
          <cell r="P23">
            <v>4549284.3600000003</v>
          </cell>
        </row>
        <row r="24">
          <cell r="B24" t="str">
            <v>LSP</v>
          </cell>
          <cell r="C24" t="str">
            <v>101090</v>
          </cell>
          <cell r="D24">
            <v>1433000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3000</v>
          </cell>
          <cell r="I24" t="str">
            <v>ERINC</v>
          </cell>
          <cell r="J24">
            <v>-7495000</v>
          </cell>
          <cell r="L24" t="str">
            <v>Record Current Month SAR</v>
          </cell>
          <cell r="M24" t="str">
            <v>USD</v>
          </cell>
          <cell r="N24" t="str">
            <v>CRRNT</v>
          </cell>
          <cell r="O24">
            <v>1</v>
          </cell>
          <cell r="P24">
            <v>-7495000</v>
          </cell>
        </row>
        <row r="25">
          <cell r="B25" t="str">
            <v>ERINC</v>
          </cell>
          <cell r="C25" t="str">
            <v>478000</v>
          </cell>
          <cell r="D25">
            <v>1420000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LSP</v>
          </cell>
          <cell r="J25">
            <v>7495000</v>
          </cell>
          <cell r="L25" t="str">
            <v>Record Current Month SAR</v>
          </cell>
          <cell r="M25" t="str">
            <v>USD</v>
          </cell>
          <cell r="N25" t="str">
            <v>CRRNT</v>
          </cell>
          <cell r="O25">
            <v>1</v>
          </cell>
          <cell r="P25">
            <v>7495000</v>
          </cell>
        </row>
        <row r="26">
          <cell r="B26" t="str">
            <v>ERINC</v>
          </cell>
          <cell r="C26" t="str">
            <v>478000</v>
          </cell>
          <cell r="D26">
            <v>2320700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I26" t="str">
            <v>LSP</v>
          </cell>
          <cell r="J26">
            <v>-4549284.3599999994</v>
          </cell>
          <cell r="L26" t="str">
            <v>Record Current Month SAR</v>
          </cell>
          <cell r="M26" t="str">
            <v>USD</v>
          </cell>
          <cell r="N26" t="str">
            <v>CRRNT</v>
          </cell>
          <cell r="O26">
            <v>1</v>
          </cell>
          <cell r="P26">
            <v>-4549284.3600000003</v>
          </cell>
        </row>
        <row r="27">
          <cell r="B27" t="str">
            <v>ERINC</v>
          </cell>
          <cell r="C27" t="str">
            <v>478000</v>
          </cell>
          <cell r="D27">
            <v>2539000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0</v>
          </cell>
          <cell r="L27" t="str">
            <v>Record Current Month SAR</v>
          </cell>
          <cell r="M27" t="str">
            <v>USD</v>
          </cell>
          <cell r="N27" t="str">
            <v>CRRNT</v>
          </cell>
          <cell r="O27">
            <v>1</v>
          </cell>
          <cell r="P27">
            <v>0</v>
          </cell>
        </row>
        <row r="28">
          <cell r="B28" t="str">
            <v>ERINC</v>
          </cell>
          <cell r="C28" t="str">
            <v>478000</v>
          </cell>
          <cell r="D28">
            <v>4570001</v>
          </cell>
          <cell r="E28" t="str">
            <v>046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LSP</v>
          </cell>
          <cell r="J28">
            <v>0</v>
          </cell>
          <cell r="L28" t="str">
            <v>Record Current Month SAR</v>
          </cell>
          <cell r="M28" t="str">
            <v>USD</v>
          </cell>
          <cell r="N28" t="str">
            <v>CRRNT</v>
          </cell>
          <cell r="O28">
            <v>1</v>
          </cell>
          <cell r="P28">
            <v>0</v>
          </cell>
        </row>
        <row r="29">
          <cell r="B29" t="str">
            <v>LSGD</v>
          </cell>
          <cell r="C29" t="str">
            <v>140090</v>
          </cell>
          <cell r="D29">
            <v>9030001</v>
          </cell>
          <cell r="E29" t="str">
            <v>056</v>
          </cell>
          <cell r="F29" t="str">
            <v>Z0000995</v>
          </cell>
          <cell r="G29" t="str">
            <v>0000</v>
          </cell>
          <cell r="H29" t="str">
            <v>0000</v>
          </cell>
          <cell r="I29" t="str">
            <v>ERINC</v>
          </cell>
          <cell r="J29">
            <v>0</v>
          </cell>
          <cell r="L29" t="str">
            <v>Record Current Month SAR</v>
          </cell>
          <cell r="M29" t="str">
            <v>USD</v>
          </cell>
          <cell r="N29" t="str">
            <v>CRRNT</v>
          </cell>
          <cell r="O29">
            <v>1</v>
          </cell>
          <cell r="P29">
            <v>0</v>
          </cell>
        </row>
        <row r="30">
          <cell r="B30" t="str">
            <v>LSGD</v>
          </cell>
          <cell r="C30" t="str">
            <v>140090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26547599</v>
          </cell>
          <cell r="L30" t="str">
            <v>Record Current Month SAR</v>
          </cell>
          <cell r="M30" t="str">
            <v>USD</v>
          </cell>
          <cell r="N30" t="str">
            <v>CRRNT</v>
          </cell>
          <cell r="O30">
            <v>1</v>
          </cell>
          <cell r="P30">
            <v>26547599</v>
          </cell>
        </row>
        <row r="31">
          <cell r="B31" t="str">
            <v>LSGD</v>
          </cell>
          <cell r="C31" t="str">
            <v>140090</v>
          </cell>
          <cell r="D31">
            <v>1423200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I31" t="str">
            <v>ERINC</v>
          </cell>
          <cell r="J31">
            <v>40999401</v>
          </cell>
          <cell r="L31" t="str">
            <v>Record Current Month SAR</v>
          </cell>
          <cell r="M31" t="str">
            <v>USD</v>
          </cell>
          <cell r="N31" t="str">
            <v>CRRNT</v>
          </cell>
          <cell r="O31">
            <v>1</v>
          </cell>
          <cell r="P31">
            <v>40999401</v>
          </cell>
        </row>
        <row r="32">
          <cell r="B32" t="str">
            <v>LSGD</v>
          </cell>
          <cell r="C32" t="str">
            <v>140090</v>
          </cell>
          <cell r="D32">
            <v>1423100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ERINC</v>
          </cell>
          <cell r="J32">
            <v>-67547000</v>
          </cell>
          <cell r="L32" t="str">
            <v>Record Current Month SAR</v>
          </cell>
          <cell r="M32" t="str">
            <v>USD</v>
          </cell>
          <cell r="N32" t="str">
            <v>CRRNT</v>
          </cell>
          <cell r="O32">
            <v>1</v>
          </cell>
          <cell r="P32">
            <v>-67547000</v>
          </cell>
        </row>
        <row r="33">
          <cell r="B33" t="str">
            <v>ERINC</v>
          </cell>
          <cell r="C33" t="str">
            <v>478000</v>
          </cell>
          <cell r="D33">
            <v>1420000</v>
          </cell>
          <cell r="E33" t="str">
            <v>000</v>
          </cell>
          <cell r="F33" t="str">
            <v>00000000</v>
          </cell>
          <cell r="G33" t="str">
            <v>0000</v>
          </cell>
          <cell r="H33" t="str">
            <v>0000</v>
          </cell>
          <cell r="I33" t="str">
            <v>LSGD</v>
          </cell>
          <cell r="J33">
            <v>67547000</v>
          </cell>
          <cell r="L33" t="str">
            <v>Record Current Month SAR</v>
          </cell>
          <cell r="M33" t="str">
            <v>USD</v>
          </cell>
          <cell r="N33" t="str">
            <v>CRRNT</v>
          </cell>
          <cell r="O33">
            <v>1</v>
          </cell>
          <cell r="P33">
            <v>67547000</v>
          </cell>
        </row>
        <row r="34">
          <cell r="B34" t="str">
            <v>ERINC</v>
          </cell>
          <cell r="C34" t="str">
            <v>478000</v>
          </cell>
          <cell r="D34">
            <v>2320700</v>
          </cell>
          <cell r="E34" t="str">
            <v>000</v>
          </cell>
          <cell r="F34" t="str">
            <v>00000000</v>
          </cell>
          <cell r="G34" t="str">
            <v>0000</v>
          </cell>
          <cell r="H34" t="str">
            <v>0000</v>
          </cell>
          <cell r="I34" t="str">
            <v>LSGD</v>
          </cell>
          <cell r="J34">
            <v>-40999401</v>
          </cell>
          <cell r="L34" t="str">
            <v>Record Current Month SAR</v>
          </cell>
          <cell r="M34" t="str">
            <v>USD</v>
          </cell>
          <cell r="N34" t="str">
            <v>CRRNT</v>
          </cell>
          <cell r="O34">
            <v>1</v>
          </cell>
          <cell r="P34">
            <v>-40999401</v>
          </cell>
        </row>
        <row r="35">
          <cell r="B35" t="str">
            <v>ERINC</v>
          </cell>
          <cell r="C35" t="str">
            <v>478000</v>
          </cell>
          <cell r="D35">
            <v>2539000</v>
          </cell>
          <cell r="E35" t="str">
            <v>000</v>
          </cell>
          <cell r="F35" t="str">
            <v>00000000</v>
          </cell>
          <cell r="G35" t="str">
            <v>0000</v>
          </cell>
          <cell r="H35" t="str">
            <v>0000</v>
          </cell>
          <cell r="J35">
            <v>0</v>
          </cell>
          <cell r="L35" t="str">
            <v>Record Current Month SAR</v>
          </cell>
          <cell r="M35" t="str">
            <v>USD</v>
          </cell>
          <cell r="N35" t="str">
            <v>CRRNT</v>
          </cell>
          <cell r="O35">
            <v>1</v>
          </cell>
          <cell r="P35">
            <v>0</v>
          </cell>
        </row>
        <row r="36">
          <cell r="B36" t="str">
            <v>ERINC</v>
          </cell>
          <cell r="C36" t="str">
            <v>478000</v>
          </cell>
          <cell r="D36">
            <v>4570001</v>
          </cell>
          <cell r="E36" t="str">
            <v>046</v>
          </cell>
          <cell r="F36" t="str">
            <v>00000000</v>
          </cell>
          <cell r="G36" t="str">
            <v>0000</v>
          </cell>
          <cell r="H36" t="str">
            <v>0000</v>
          </cell>
          <cell r="I36" t="str">
            <v>LSGD</v>
          </cell>
          <cell r="J36">
            <v>0</v>
          </cell>
          <cell r="L36" t="str">
            <v>Record Current Month SAR</v>
          </cell>
          <cell r="M36" t="str">
            <v>USD</v>
          </cell>
          <cell r="N36" t="str">
            <v>CRRNT</v>
          </cell>
          <cell r="O36">
            <v>1</v>
          </cell>
          <cell r="P36">
            <v>0</v>
          </cell>
        </row>
        <row r="37">
          <cell r="B37" t="str">
            <v>ELREP</v>
          </cell>
          <cell r="C37" t="str">
            <v>288999</v>
          </cell>
          <cell r="D37" t="str">
            <v>9030001</v>
          </cell>
          <cell r="E37" t="str">
            <v>056</v>
          </cell>
          <cell r="F37" t="str">
            <v>ARFEERET</v>
          </cell>
          <cell r="G37" t="str">
            <v>0000</v>
          </cell>
          <cell r="H37" t="str">
            <v>0000</v>
          </cell>
          <cell r="I37" t="str">
            <v>ERINC</v>
          </cell>
          <cell r="J37" t="e">
            <v>#REF!</v>
          </cell>
          <cell r="L37" t="str">
            <v>Record Current Month SAR</v>
          </cell>
          <cell r="M37" t="str">
            <v>USD</v>
          </cell>
          <cell r="N37" t="str">
            <v>CRRNT</v>
          </cell>
          <cell r="O37">
            <v>1</v>
          </cell>
          <cell r="P37">
            <v>680000</v>
          </cell>
        </row>
        <row r="38">
          <cell r="B38" t="str">
            <v>ELREP</v>
          </cell>
          <cell r="C38" t="str">
            <v>288000</v>
          </cell>
          <cell r="D38">
            <v>1868900</v>
          </cell>
          <cell r="E38" t="str">
            <v>000</v>
          </cell>
          <cell r="F38" t="str">
            <v>00000000</v>
          </cell>
          <cell r="G38" t="str">
            <v>0000</v>
          </cell>
          <cell r="H38" t="str">
            <v>0000</v>
          </cell>
          <cell r="J38" t="e">
            <v>#REF!</v>
          </cell>
          <cell r="L38" t="str">
            <v>Record Current Month SAR</v>
          </cell>
          <cell r="M38" t="str">
            <v>USD</v>
          </cell>
          <cell r="N38" t="str">
            <v>CRRNT</v>
          </cell>
          <cell r="O38">
            <v>1</v>
          </cell>
          <cell r="P38">
            <v>476606504.01999998</v>
          </cell>
        </row>
        <row r="39">
          <cell r="B39" t="str">
            <v>ELREP</v>
          </cell>
          <cell r="C39" t="str">
            <v>288000</v>
          </cell>
          <cell r="D39">
            <v>1423200</v>
          </cell>
          <cell r="E39" t="str">
            <v>000</v>
          </cell>
          <cell r="F39" t="str">
            <v>00000000</v>
          </cell>
          <cell r="G39" t="str">
            <v>0000</v>
          </cell>
          <cell r="H39" t="str">
            <v>0000</v>
          </cell>
          <cell r="I39" t="str">
            <v>ERINC</v>
          </cell>
          <cell r="J39" t="e">
            <v>#REF!</v>
          </cell>
          <cell r="L39" t="str">
            <v>Record Current Month SAR</v>
          </cell>
          <cell r="M39" t="str">
            <v>USD</v>
          </cell>
          <cell r="N39" t="str">
            <v>CRRNT</v>
          </cell>
          <cell r="O39">
            <v>1</v>
          </cell>
          <cell r="P39">
            <v>737108495.98000002</v>
          </cell>
        </row>
        <row r="40">
          <cell r="B40" t="str">
            <v>ELREP</v>
          </cell>
          <cell r="C40" t="str">
            <v>288000</v>
          </cell>
          <cell r="D40">
            <v>1423000</v>
          </cell>
          <cell r="E40" t="str">
            <v>000</v>
          </cell>
          <cell r="F40" t="str">
            <v>00000000</v>
          </cell>
          <cell r="G40" t="str">
            <v>0000</v>
          </cell>
          <cell r="H40" t="str">
            <v>0000</v>
          </cell>
          <cell r="I40" t="str">
            <v>ERINC</v>
          </cell>
          <cell r="J40">
            <v>-1214395000</v>
          </cell>
          <cell r="L40" t="str">
            <v>Record Current Month SAR</v>
          </cell>
          <cell r="M40" t="str">
            <v>USD</v>
          </cell>
          <cell r="N40" t="str">
            <v>CRRNT</v>
          </cell>
          <cell r="O40">
            <v>1</v>
          </cell>
          <cell r="P40">
            <v>-1214395000</v>
          </cell>
        </row>
        <row r="41">
          <cell r="B41" t="str">
            <v>ERINC</v>
          </cell>
          <cell r="C41" t="str">
            <v>478000</v>
          </cell>
          <cell r="D41">
            <v>1420000</v>
          </cell>
          <cell r="E41" t="str">
            <v>000</v>
          </cell>
          <cell r="F41" t="str">
            <v>00000000</v>
          </cell>
          <cell r="G41" t="str">
            <v>0000</v>
          </cell>
          <cell r="H41" t="str">
            <v>0000</v>
          </cell>
          <cell r="I41" t="str">
            <v>ELREP</v>
          </cell>
          <cell r="J41">
            <v>1214395000</v>
          </cell>
          <cell r="L41" t="str">
            <v>Record Current Month SAR</v>
          </cell>
          <cell r="M41" t="str">
            <v>USD</v>
          </cell>
          <cell r="N41" t="str">
            <v>CRRNT</v>
          </cell>
          <cell r="O41">
            <v>1</v>
          </cell>
          <cell r="P41">
            <v>1214395000</v>
          </cell>
        </row>
        <row r="42">
          <cell r="B42" t="str">
            <v>ERINC</v>
          </cell>
          <cell r="C42" t="str">
            <v>478000</v>
          </cell>
          <cell r="D42">
            <v>2320700</v>
          </cell>
          <cell r="E42" t="str">
            <v>000</v>
          </cell>
          <cell r="F42" t="str">
            <v>00000000</v>
          </cell>
          <cell r="G42" t="str">
            <v>0000</v>
          </cell>
          <cell r="H42" t="str">
            <v>0000</v>
          </cell>
          <cell r="I42" t="str">
            <v>ELREP</v>
          </cell>
          <cell r="J42" t="e">
            <v>#REF!</v>
          </cell>
          <cell r="L42" t="str">
            <v>Record Current Month SAR</v>
          </cell>
          <cell r="M42" t="str">
            <v>USD</v>
          </cell>
          <cell r="N42" t="str">
            <v>CRRNT</v>
          </cell>
          <cell r="O42">
            <v>1</v>
          </cell>
          <cell r="P42">
            <v>-737108495.98000002</v>
          </cell>
        </row>
        <row r="43">
          <cell r="B43" t="str">
            <v>ERINC</v>
          </cell>
          <cell r="C43" t="str">
            <v>478000</v>
          </cell>
          <cell r="D43">
            <v>2539000</v>
          </cell>
          <cell r="E43" t="str">
            <v>000</v>
          </cell>
          <cell r="F43" t="str">
            <v>00000000</v>
          </cell>
          <cell r="G43" t="str">
            <v>0000</v>
          </cell>
          <cell r="H43" t="str">
            <v>0000</v>
          </cell>
          <cell r="J43" t="e">
            <v>#REF!</v>
          </cell>
          <cell r="L43" t="str">
            <v>Record Current Month SAR</v>
          </cell>
          <cell r="M43" t="str">
            <v>USD</v>
          </cell>
          <cell r="N43" t="str">
            <v>CRRNT</v>
          </cell>
          <cell r="O43">
            <v>1</v>
          </cell>
          <cell r="P43">
            <v>680000</v>
          </cell>
        </row>
        <row r="44">
          <cell r="B44" t="str">
            <v>ERINC</v>
          </cell>
          <cell r="C44" t="str">
            <v>478000</v>
          </cell>
          <cell r="D44">
            <v>4570001</v>
          </cell>
          <cell r="E44" t="str">
            <v>046</v>
          </cell>
          <cell r="F44" t="str">
            <v>00000000</v>
          </cell>
          <cell r="G44" t="str">
            <v>0000</v>
          </cell>
          <cell r="H44" t="str">
            <v>0000</v>
          </cell>
          <cell r="I44" t="str">
            <v>ELREP</v>
          </cell>
          <cell r="J44" t="e">
            <v>#REF!</v>
          </cell>
          <cell r="L44" t="str">
            <v>Record Current Month SAR</v>
          </cell>
          <cell r="M44" t="str">
            <v>USD</v>
          </cell>
          <cell r="N44" t="str">
            <v>CRRNT</v>
          </cell>
          <cell r="O44">
            <v>1</v>
          </cell>
          <cell r="P44">
            <v>-680000</v>
          </cell>
        </row>
        <row r="45">
          <cell r="B45" t="str">
            <v>ESD</v>
          </cell>
          <cell r="C45" t="str">
            <v>521900</v>
          </cell>
          <cell r="D45" t="str">
            <v>9030001</v>
          </cell>
          <cell r="E45" t="str">
            <v>056</v>
          </cell>
          <cell r="F45" t="str">
            <v>00002800</v>
          </cell>
          <cell r="G45" t="str">
            <v>0000</v>
          </cell>
          <cell r="H45" t="str">
            <v>2800</v>
          </cell>
          <cell r="I45" t="str">
            <v>ERINC</v>
          </cell>
          <cell r="J45">
            <v>0</v>
          </cell>
          <cell r="L45" t="str">
            <v>Record Current Month SAR</v>
          </cell>
          <cell r="M45" t="str">
            <v>USD</v>
          </cell>
          <cell r="N45" t="str">
            <v>CRRNT</v>
          </cell>
          <cell r="O45">
            <v>1</v>
          </cell>
          <cell r="P45">
            <v>0</v>
          </cell>
        </row>
        <row r="46">
          <cell r="B46" t="str">
            <v>ESD</v>
          </cell>
          <cell r="C46" t="str">
            <v>521900</v>
          </cell>
          <cell r="D46">
            <v>1868900</v>
          </cell>
          <cell r="E46" t="str">
            <v>000</v>
          </cell>
          <cell r="F46" t="str">
            <v>00000000</v>
          </cell>
          <cell r="G46" t="str">
            <v>0000</v>
          </cell>
          <cell r="H46" t="str">
            <v>0000</v>
          </cell>
          <cell r="J46">
            <v>25815002.07</v>
          </cell>
          <cell r="K46" t="str">
            <v xml:space="preserve">   </v>
          </cell>
          <cell r="L46" t="str">
            <v>Record Current Month SAR</v>
          </cell>
          <cell r="M46" t="str">
            <v>USD</v>
          </cell>
          <cell r="N46" t="str">
            <v>CRRNT</v>
          </cell>
          <cell r="O46">
            <v>1</v>
          </cell>
          <cell r="P46">
            <v>25815002.07</v>
          </cell>
        </row>
        <row r="47">
          <cell r="B47" t="str">
            <v>ESD</v>
          </cell>
          <cell r="C47" t="str">
            <v>521900</v>
          </cell>
          <cell r="D47">
            <v>1423200</v>
          </cell>
          <cell r="E47" t="str">
            <v>000</v>
          </cell>
          <cell r="F47" t="str">
            <v>00000000</v>
          </cell>
          <cell r="G47" t="str">
            <v>0000</v>
          </cell>
          <cell r="H47" t="str">
            <v>0000</v>
          </cell>
          <cell r="I47" t="str">
            <v>ERINC</v>
          </cell>
          <cell r="J47">
            <v>39867997.93</v>
          </cell>
          <cell r="K47" t="str">
            <v xml:space="preserve">   </v>
          </cell>
          <cell r="L47" t="str">
            <v>Record Current Month SAR</v>
          </cell>
          <cell r="M47" t="str">
            <v>USD</v>
          </cell>
          <cell r="N47" t="str">
            <v>CRRNT</v>
          </cell>
          <cell r="O47">
            <v>1</v>
          </cell>
          <cell r="P47">
            <v>39867997.93</v>
          </cell>
        </row>
        <row r="48">
          <cell r="B48" t="str">
            <v>ESD</v>
          </cell>
          <cell r="C48" t="str">
            <v>521900</v>
          </cell>
          <cell r="D48">
            <v>1423000</v>
          </cell>
          <cell r="E48" t="str">
            <v>000</v>
          </cell>
          <cell r="F48" t="str">
            <v>00000000</v>
          </cell>
          <cell r="G48" t="str">
            <v>0000</v>
          </cell>
          <cell r="H48" t="str">
            <v>0000</v>
          </cell>
          <cell r="I48" t="str">
            <v>ERINC</v>
          </cell>
          <cell r="J48">
            <v>-65683000</v>
          </cell>
          <cell r="K48" t="str">
            <v xml:space="preserve">   </v>
          </cell>
          <cell r="L48" t="str">
            <v>Record Current Month SAR</v>
          </cell>
          <cell r="M48" t="str">
            <v>USD</v>
          </cell>
          <cell r="N48" t="str">
            <v>CRRNT</v>
          </cell>
          <cell r="O48">
            <v>1</v>
          </cell>
          <cell r="P48">
            <v>-65683000</v>
          </cell>
        </row>
        <row r="49">
          <cell r="B49" t="str">
            <v>ERINC</v>
          </cell>
          <cell r="C49" t="str">
            <v>478000</v>
          </cell>
          <cell r="D49">
            <v>1420000</v>
          </cell>
          <cell r="E49" t="str">
            <v>000</v>
          </cell>
          <cell r="F49" t="str">
            <v>00000000</v>
          </cell>
          <cell r="G49" t="str">
            <v>0000</v>
          </cell>
          <cell r="H49" t="str">
            <v>0000</v>
          </cell>
          <cell r="I49" t="str">
            <v>ESD</v>
          </cell>
          <cell r="J49">
            <v>65683000</v>
          </cell>
          <cell r="K49" t="str">
            <v xml:space="preserve">   </v>
          </cell>
          <cell r="L49" t="str">
            <v>Record Current Month SAR</v>
          </cell>
          <cell r="M49" t="str">
            <v>USD</v>
          </cell>
          <cell r="N49" t="str">
            <v>CRRNT</v>
          </cell>
          <cell r="O49">
            <v>1</v>
          </cell>
          <cell r="P49">
            <v>65683000</v>
          </cell>
        </row>
        <row r="50">
          <cell r="B50" t="str">
            <v>ERINC</v>
          </cell>
          <cell r="C50" t="str">
            <v>478000</v>
          </cell>
          <cell r="D50">
            <v>2320700</v>
          </cell>
          <cell r="E50" t="str">
            <v>000</v>
          </cell>
          <cell r="F50" t="str">
            <v>00000000</v>
          </cell>
          <cell r="G50" t="str">
            <v>0000</v>
          </cell>
          <cell r="H50" t="str">
            <v>0000</v>
          </cell>
          <cell r="I50" t="str">
            <v>ESD</v>
          </cell>
          <cell r="J50">
            <v>-39867997.93</v>
          </cell>
          <cell r="K50" t="str">
            <v xml:space="preserve">   </v>
          </cell>
          <cell r="L50" t="str">
            <v>Record Current Month SAR</v>
          </cell>
          <cell r="M50" t="str">
            <v>USD</v>
          </cell>
          <cell r="N50" t="str">
            <v>CRRNT</v>
          </cell>
          <cell r="O50">
            <v>1</v>
          </cell>
          <cell r="P50">
            <v>-39867997.93</v>
          </cell>
        </row>
        <row r="51">
          <cell r="B51" t="str">
            <v>ERINC</v>
          </cell>
          <cell r="C51" t="str">
            <v>478000</v>
          </cell>
          <cell r="D51">
            <v>2539000</v>
          </cell>
          <cell r="E51" t="str">
            <v>000</v>
          </cell>
          <cell r="F51" t="str">
            <v>00000000</v>
          </cell>
          <cell r="G51" t="str">
            <v>0000</v>
          </cell>
          <cell r="H51" t="str">
            <v>0000</v>
          </cell>
          <cell r="J51">
            <v>0</v>
          </cell>
          <cell r="K51" t="str">
            <v xml:space="preserve">   </v>
          </cell>
          <cell r="L51" t="str">
            <v>Record Current Month SAR</v>
          </cell>
          <cell r="M51" t="str">
            <v>USD</v>
          </cell>
          <cell r="N51" t="str">
            <v>CRRNT</v>
          </cell>
          <cell r="O51">
            <v>1</v>
          </cell>
          <cell r="P51">
            <v>0</v>
          </cell>
        </row>
        <row r="52">
          <cell r="B52" t="str">
            <v>ERINC</v>
          </cell>
          <cell r="C52" t="str">
            <v>478000</v>
          </cell>
          <cell r="D52">
            <v>4570001</v>
          </cell>
          <cell r="E52" t="str">
            <v>046</v>
          </cell>
          <cell r="F52" t="str">
            <v>00000000</v>
          </cell>
          <cell r="G52" t="str">
            <v>0000</v>
          </cell>
          <cell r="H52" t="str">
            <v>0000</v>
          </cell>
          <cell r="I52" t="str">
            <v>ESD</v>
          </cell>
          <cell r="J52">
            <v>0</v>
          </cell>
          <cell r="K52" t="str">
            <v xml:space="preserve">   </v>
          </cell>
          <cell r="L52" t="str">
            <v>Record Current Month SAR</v>
          </cell>
          <cell r="M52" t="str">
            <v>USD</v>
          </cell>
          <cell r="N52" t="str">
            <v>CRRNT</v>
          </cell>
          <cell r="O52">
            <v>1</v>
          </cell>
          <cell r="P52">
            <v>0</v>
          </cell>
        </row>
        <row r="53">
          <cell r="B53" t="str">
            <v>SESRP</v>
          </cell>
          <cell r="C53" t="str">
            <v>297000</v>
          </cell>
          <cell r="D53" t="str">
            <v>9030001</v>
          </cell>
          <cell r="E53" t="str">
            <v>056</v>
          </cell>
          <cell r="F53" t="str">
            <v>ARFEERET</v>
          </cell>
          <cell r="G53" t="str">
            <v>0000</v>
          </cell>
          <cell r="H53" t="str">
            <v>2800</v>
          </cell>
          <cell r="I53" t="str">
            <v>ERINC</v>
          </cell>
          <cell r="J53" t="e">
            <v>#REF!</v>
          </cell>
          <cell r="L53" t="str">
            <v>Record Current Month SAR</v>
          </cell>
          <cell r="M53" t="str">
            <v>USD</v>
          </cell>
          <cell r="N53" t="str">
            <v>CRRNT</v>
          </cell>
          <cell r="O53">
            <v>1</v>
          </cell>
          <cell r="P53">
            <v>1019.65</v>
          </cell>
        </row>
        <row r="54">
          <cell r="B54" t="str">
            <v>SESRP</v>
          </cell>
          <cell r="C54" t="str">
            <v>297000</v>
          </cell>
          <cell r="D54">
            <v>1868900</v>
          </cell>
          <cell r="E54" t="str">
            <v>000</v>
          </cell>
          <cell r="F54" t="str">
            <v>00000000</v>
          </cell>
          <cell r="G54" t="str">
            <v>0000</v>
          </cell>
          <cell r="H54" t="str">
            <v>0000</v>
          </cell>
          <cell r="J54" t="e">
            <v>#REF!</v>
          </cell>
          <cell r="L54" t="str">
            <v>Record Current Month SAR</v>
          </cell>
          <cell r="M54" t="str">
            <v>USD</v>
          </cell>
          <cell r="N54" t="str">
            <v>CRRNT</v>
          </cell>
          <cell r="O54">
            <v>1</v>
          </cell>
          <cell r="P54">
            <v>4005468.04</v>
          </cell>
        </row>
        <row r="55">
          <cell r="B55" t="str">
            <v>SESRP</v>
          </cell>
          <cell r="C55" t="str">
            <v>297000</v>
          </cell>
          <cell r="D55">
            <v>1423200</v>
          </cell>
          <cell r="E55" t="str">
            <v>000</v>
          </cell>
          <cell r="F55" t="str">
            <v>00000000</v>
          </cell>
          <cell r="G55" t="str">
            <v>0000</v>
          </cell>
          <cell r="H55" t="str">
            <v>0000</v>
          </cell>
          <cell r="I55" t="str">
            <v>ERINC</v>
          </cell>
          <cell r="J55" t="e">
            <v>#REF!</v>
          </cell>
          <cell r="L55" t="str">
            <v>Record Current Month SAR</v>
          </cell>
          <cell r="M55" t="str">
            <v>USD</v>
          </cell>
          <cell r="N55" t="str">
            <v>CRRNT</v>
          </cell>
          <cell r="O55">
            <v>1</v>
          </cell>
          <cell r="P55">
            <v>6187512.3099999996</v>
          </cell>
        </row>
        <row r="56">
          <cell r="B56" t="str">
            <v>SESRP</v>
          </cell>
          <cell r="C56" t="str">
            <v>297000</v>
          </cell>
          <cell r="D56">
            <v>1423000</v>
          </cell>
          <cell r="E56" t="str">
            <v>000</v>
          </cell>
          <cell r="F56" t="str">
            <v>00000000</v>
          </cell>
          <cell r="G56" t="str">
            <v>0000</v>
          </cell>
          <cell r="H56" t="str">
            <v>0000</v>
          </cell>
          <cell r="I56" t="str">
            <v>ERINC</v>
          </cell>
          <cell r="J56">
            <v>-10194000</v>
          </cell>
          <cell r="L56" t="str">
            <v>Record Current Month SAR</v>
          </cell>
          <cell r="M56" t="str">
            <v>USD</v>
          </cell>
          <cell r="N56" t="str">
            <v>CRRNT</v>
          </cell>
          <cell r="O56">
            <v>1</v>
          </cell>
          <cell r="P56">
            <v>-10194000</v>
          </cell>
        </row>
        <row r="57">
          <cell r="B57" t="str">
            <v>ERINC</v>
          </cell>
          <cell r="C57" t="str">
            <v>478000</v>
          </cell>
          <cell r="D57">
            <v>1420000</v>
          </cell>
          <cell r="E57" t="str">
            <v>000</v>
          </cell>
          <cell r="F57" t="str">
            <v>00000000</v>
          </cell>
          <cell r="G57" t="str">
            <v>0000</v>
          </cell>
          <cell r="H57" t="str">
            <v>0000</v>
          </cell>
          <cell r="I57" t="str">
            <v>SESRP</v>
          </cell>
          <cell r="J57">
            <v>10194000</v>
          </cell>
          <cell r="L57" t="str">
            <v>Record Current Month SAR</v>
          </cell>
          <cell r="M57" t="str">
            <v>USD</v>
          </cell>
          <cell r="N57" t="str">
            <v>CRRNT</v>
          </cell>
          <cell r="O57">
            <v>1</v>
          </cell>
          <cell r="P57">
            <v>10194000</v>
          </cell>
        </row>
        <row r="58">
          <cell r="B58" t="str">
            <v>ERINC</v>
          </cell>
          <cell r="C58" t="str">
            <v>478000</v>
          </cell>
          <cell r="D58">
            <v>2320700</v>
          </cell>
          <cell r="E58" t="str">
            <v>000</v>
          </cell>
          <cell r="F58" t="str">
            <v>00000000</v>
          </cell>
          <cell r="G58" t="str">
            <v>0000</v>
          </cell>
          <cell r="H58" t="str">
            <v>0000</v>
          </cell>
          <cell r="I58" t="str">
            <v>SESRP</v>
          </cell>
          <cell r="J58" t="e">
            <v>#REF!</v>
          </cell>
          <cell r="L58" t="str">
            <v>Record Current Month SAR</v>
          </cell>
          <cell r="M58" t="str">
            <v>USD</v>
          </cell>
          <cell r="N58" t="str">
            <v>CRRNT</v>
          </cell>
          <cell r="O58">
            <v>1</v>
          </cell>
          <cell r="P58">
            <v>-6187512.3099999996</v>
          </cell>
        </row>
        <row r="59">
          <cell r="B59" t="str">
            <v>ERINC</v>
          </cell>
          <cell r="C59" t="str">
            <v>478000</v>
          </cell>
          <cell r="D59">
            <v>2539000</v>
          </cell>
          <cell r="E59" t="str">
            <v>000</v>
          </cell>
          <cell r="F59" t="str">
            <v>00000000</v>
          </cell>
          <cell r="G59" t="str">
            <v>0000</v>
          </cell>
          <cell r="H59" t="str">
            <v>0000</v>
          </cell>
          <cell r="J59" t="e">
            <v>#REF!</v>
          </cell>
          <cell r="L59" t="str">
            <v>Record Current Month SAR</v>
          </cell>
          <cell r="M59" t="str">
            <v>USD</v>
          </cell>
          <cell r="N59" t="str">
            <v>CRRNT</v>
          </cell>
          <cell r="O59">
            <v>1</v>
          </cell>
          <cell r="P59">
            <v>1019.65</v>
          </cell>
        </row>
        <row r="60">
          <cell r="B60" t="str">
            <v>ERINC</v>
          </cell>
          <cell r="C60" t="str">
            <v>478000</v>
          </cell>
          <cell r="D60">
            <v>4570001</v>
          </cell>
          <cell r="E60" t="str">
            <v>046</v>
          </cell>
          <cell r="F60" t="str">
            <v>00000000</v>
          </cell>
          <cell r="G60" t="str">
            <v>0000</v>
          </cell>
          <cell r="H60" t="str">
            <v>0000</v>
          </cell>
          <cell r="I60" t="str">
            <v>SESRP</v>
          </cell>
          <cell r="J60" t="e">
            <v>#REF!</v>
          </cell>
          <cell r="L60" t="str">
            <v>Record Current Month SAR</v>
          </cell>
          <cell r="M60" t="str">
            <v>USD</v>
          </cell>
          <cell r="N60" t="str">
            <v>CRRNT</v>
          </cell>
          <cell r="O60">
            <v>1</v>
          </cell>
          <cell r="P60">
            <v>-1019.65</v>
          </cell>
        </row>
        <row r="61">
          <cell r="B61" t="str">
            <v>TRN</v>
          </cell>
          <cell r="C61" t="str">
            <v>571900</v>
          </cell>
          <cell r="D61">
            <v>9030001</v>
          </cell>
          <cell r="E61" t="str">
            <v>056</v>
          </cell>
          <cell r="F61" t="str">
            <v>ARFEETRN</v>
          </cell>
          <cell r="G61" t="str">
            <v>0000</v>
          </cell>
          <cell r="H61" t="str">
            <v>9010</v>
          </cell>
          <cell r="I61" t="str">
            <v>ERINC</v>
          </cell>
          <cell r="J61">
            <v>0</v>
          </cell>
          <cell r="K61" t="str">
            <v xml:space="preserve">   </v>
          </cell>
          <cell r="L61" t="str">
            <v>Record Current Month SAR</v>
          </cell>
          <cell r="M61" t="str">
            <v>USD</v>
          </cell>
          <cell r="N61" t="str">
            <v>CRRNT</v>
          </cell>
          <cell r="O61">
            <v>1</v>
          </cell>
          <cell r="P61">
            <v>0</v>
          </cell>
        </row>
        <row r="62">
          <cell r="B62" t="str">
            <v>TRN</v>
          </cell>
          <cell r="C62" t="str">
            <v>571900</v>
          </cell>
          <cell r="D62">
            <v>1868900</v>
          </cell>
          <cell r="E62" t="str">
            <v>000</v>
          </cell>
          <cell r="F62" t="str">
            <v>00000000</v>
          </cell>
          <cell r="G62" t="str">
            <v>0000</v>
          </cell>
          <cell r="H62" t="str">
            <v>0000</v>
          </cell>
          <cell r="J62">
            <v>3645691.57</v>
          </cell>
          <cell r="K62" t="str">
            <v xml:space="preserve">   </v>
          </cell>
          <cell r="L62" t="str">
            <v>Record Current Month SAR</v>
          </cell>
          <cell r="M62" t="str">
            <v>USD</v>
          </cell>
          <cell r="N62" t="str">
            <v>CRRNT</v>
          </cell>
          <cell r="O62">
            <v>1</v>
          </cell>
          <cell r="P62">
            <v>3645691.57</v>
          </cell>
        </row>
        <row r="63">
          <cell r="B63" t="str">
            <v>TRN</v>
          </cell>
          <cell r="C63" t="str">
            <v>571900</v>
          </cell>
          <cell r="D63">
            <v>1423200</v>
          </cell>
          <cell r="E63" t="str">
            <v>000</v>
          </cell>
          <cell r="F63" t="str">
            <v>00000000</v>
          </cell>
          <cell r="G63" t="str">
            <v>0000</v>
          </cell>
          <cell r="H63" t="str">
            <v>0000</v>
          </cell>
          <cell r="I63" t="str">
            <v>ERINC</v>
          </cell>
          <cell r="J63">
            <v>5630308.4299999997</v>
          </cell>
          <cell r="K63" t="str">
            <v xml:space="preserve">   </v>
          </cell>
          <cell r="L63" t="str">
            <v>Record Current Month SAR</v>
          </cell>
          <cell r="M63" t="str">
            <v>USD</v>
          </cell>
          <cell r="N63" t="str">
            <v>CRRNT</v>
          </cell>
          <cell r="O63">
            <v>1</v>
          </cell>
          <cell r="P63">
            <v>5630308.4299999997</v>
          </cell>
        </row>
        <row r="64">
          <cell r="B64" t="str">
            <v>TRN</v>
          </cell>
          <cell r="C64" t="str">
            <v>571900</v>
          </cell>
          <cell r="D64">
            <v>1423000</v>
          </cell>
          <cell r="E64" t="str">
            <v>000</v>
          </cell>
          <cell r="F64" t="str">
            <v>00000000</v>
          </cell>
          <cell r="G64" t="str">
            <v>0000</v>
          </cell>
          <cell r="H64" t="str">
            <v>0000</v>
          </cell>
          <cell r="I64" t="str">
            <v>ERINC</v>
          </cell>
          <cell r="J64">
            <v>-9276000</v>
          </cell>
          <cell r="K64" t="str">
            <v xml:space="preserve">   </v>
          </cell>
          <cell r="L64" t="str">
            <v>Record Current Month SAR</v>
          </cell>
          <cell r="M64" t="str">
            <v>USD</v>
          </cell>
          <cell r="N64" t="str">
            <v>CRRNT</v>
          </cell>
          <cell r="O64">
            <v>1</v>
          </cell>
          <cell r="P64">
            <v>-9276000</v>
          </cell>
        </row>
        <row r="65">
          <cell r="B65" t="str">
            <v>ERINC</v>
          </cell>
          <cell r="C65" t="str">
            <v>478000</v>
          </cell>
          <cell r="D65">
            <v>1420000</v>
          </cell>
          <cell r="E65" t="str">
            <v>000</v>
          </cell>
          <cell r="F65" t="str">
            <v>00000000</v>
          </cell>
          <cell r="G65" t="str">
            <v>0000</v>
          </cell>
          <cell r="H65" t="str">
            <v>0000</v>
          </cell>
          <cell r="I65" t="str">
            <v>TRN</v>
          </cell>
          <cell r="J65">
            <v>9276000</v>
          </cell>
          <cell r="K65" t="str">
            <v xml:space="preserve">   </v>
          </cell>
          <cell r="L65" t="str">
            <v>Record Current Month SAR</v>
          </cell>
          <cell r="M65" t="str">
            <v>USD</v>
          </cell>
          <cell r="N65" t="str">
            <v>CRRNT</v>
          </cell>
          <cell r="O65">
            <v>1</v>
          </cell>
          <cell r="P65">
            <v>9276000</v>
          </cell>
        </row>
        <row r="66">
          <cell r="B66" t="str">
            <v>ERINC</v>
          </cell>
          <cell r="C66" t="str">
            <v>478000</v>
          </cell>
          <cell r="D66">
            <v>2320700</v>
          </cell>
          <cell r="E66" t="str">
            <v>000</v>
          </cell>
          <cell r="F66" t="str">
            <v>00000000</v>
          </cell>
          <cell r="G66" t="str">
            <v>0000</v>
          </cell>
          <cell r="H66" t="str">
            <v>0000</v>
          </cell>
          <cell r="I66" t="str">
            <v>TRN</v>
          </cell>
          <cell r="J66">
            <v>-5630308.4299999997</v>
          </cell>
          <cell r="K66" t="str">
            <v xml:space="preserve">   </v>
          </cell>
          <cell r="L66" t="str">
            <v>Record Current Month SAR</v>
          </cell>
          <cell r="M66" t="str">
            <v>USD</v>
          </cell>
          <cell r="N66" t="str">
            <v>CRRNT</v>
          </cell>
          <cell r="O66">
            <v>1</v>
          </cell>
          <cell r="P66">
            <v>-5630308.4299999997</v>
          </cell>
        </row>
        <row r="67">
          <cell r="B67" t="str">
            <v>ERINC</v>
          </cell>
          <cell r="C67" t="str">
            <v>478000</v>
          </cell>
          <cell r="D67">
            <v>2539000</v>
          </cell>
          <cell r="E67" t="str">
            <v>000</v>
          </cell>
          <cell r="F67" t="str">
            <v>00000000</v>
          </cell>
          <cell r="G67" t="str">
            <v>0000</v>
          </cell>
          <cell r="H67" t="str">
            <v>0000</v>
          </cell>
          <cell r="J67">
            <v>0</v>
          </cell>
          <cell r="K67" t="str">
            <v xml:space="preserve">   </v>
          </cell>
          <cell r="L67" t="str">
            <v>Record Current Month SAR</v>
          </cell>
          <cell r="M67" t="str">
            <v>USD</v>
          </cell>
          <cell r="N67" t="str">
            <v>CRRNT</v>
          </cell>
          <cell r="O67">
            <v>1</v>
          </cell>
          <cell r="P67">
            <v>0</v>
          </cell>
        </row>
        <row r="68">
          <cell r="B68" t="str">
            <v>ERINC</v>
          </cell>
          <cell r="C68" t="str">
            <v>478000</v>
          </cell>
          <cell r="D68">
            <v>4570001</v>
          </cell>
          <cell r="E68" t="str">
            <v>046</v>
          </cell>
          <cell r="F68" t="str">
            <v>00000000</v>
          </cell>
          <cell r="G68" t="str">
            <v>0000</v>
          </cell>
          <cell r="H68" t="str">
            <v>0000</v>
          </cell>
          <cell r="I68" t="str">
            <v>TRN</v>
          </cell>
          <cell r="J68">
            <v>0</v>
          </cell>
          <cell r="K68" t="str">
            <v xml:space="preserve">   </v>
          </cell>
          <cell r="L68" t="str">
            <v>Record Current Month SAR</v>
          </cell>
          <cell r="M68" t="str">
            <v>USD</v>
          </cell>
          <cell r="N68" t="str">
            <v>CRRNT</v>
          </cell>
          <cell r="O68">
            <v>1</v>
          </cell>
          <cell r="P68">
            <v>0</v>
          </cell>
        </row>
        <row r="69">
          <cell r="B69" t="str">
            <v>LSGD</v>
          </cell>
          <cell r="C69" t="str">
            <v>140090</v>
          </cell>
          <cell r="D69">
            <v>1868900</v>
          </cell>
          <cell r="E69" t="str">
            <v>000</v>
          </cell>
          <cell r="F69" t="str">
            <v>00000000</v>
          </cell>
          <cell r="G69" t="str">
            <v>0000</v>
          </cell>
          <cell r="H69" t="str">
            <v>0000</v>
          </cell>
          <cell r="J69">
            <v>-35984774.740000002</v>
          </cell>
          <cell r="L69" t="str">
            <v>Collection of Prior Month's AR</v>
          </cell>
          <cell r="M69" t="str">
            <v>USD</v>
          </cell>
          <cell r="N69" t="str">
            <v>CRRNT</v>
          </cell>
          <cell r="O69">
            <v>1</v>
          </cell>
          <cell r="P69">
            <v>-35984774.740000002</v>
          </cell>
        </row>
        <row r="70">
          <cell r="B70" t="str">
            <v>LSGD</v>
          </cell>
          <cell r="C70" t="str">
            <v>140090</v>
          </cell>
          <cell r="D70">
            <v>1423200</v>
          </cell>
          <cell r="E70" t="str">
            <v>000</v>
          </cell>
          <cell r="F70" t="str">
            <v>00000000</v>
          </cell>
          <cell r="G70" t="str">
            <v>0000</v>
          </cell>
          <cell r="H70" t="str">
            <v>0000</v>
          </cell>
          <cell r="I70" t="str">
            <v>ERINC</v>
          </cell>
          <cell r="J70">
            <v>-51218225.259999998</v>
          </cell>
          <cell r="L70" t="str">
            <v>Collection of Prior Month's AR</v>
          </cell>
          <cell r="M70" t="str">
            <v>USD</v>
          </cell>
          <cell r="N70" t="str">
            <v>CRRNT</v>
          </cell>
          <cell r="O70">
            <v>1</v>
          </cell>
          <cell r="P70">
            <v>-51218225.259999998</v>
          </cell>
        </row>
        <row r="71">
          <cell r="B71" t="str">
            <v>LSGD</v>
          </cell>
          <cell r="C71" t="str">
            <v>140090</v>
          </cell>
          <cell r="D71">
            <v>1423100</v>
          </cell>
          <cell r="E71" t="str">
            <v>000</v>
          </cell>
          <cell r="F71" t="str">
            <v>00000000</v>
          </cell>
          <cell r="G71" t="str">
            <v>0000</v>
          </cell>
          <cell r="H71" t="str">
            <v>0000</v>
          </cell>
          <cell r="I71" t="str">
            <v>ERINC</v>
          </cell>
          <cell r="J71">
            <v>87203000</v>
          </cell>
          <cell r="L71" t="str">
            <v>Collection of Prior Month's AR</v>
          </cell>
          <cell r="M71" t="str">
            <v>USD</v>
          </cell>
          <cell r="N71" t="str">
            <v>CRRNT</v>
          </cell>
          <cell r="O71">
            <v>1</v>
          </cell>
          <cell r="P71">
            <v>87203000</v>
          </cell>
        </row>
        <row r="72">
          <cell r="B72" t="str">
            <v>ERINC</v>
          </cell>
          <cell r="C72" t="str">
            <v>478000</v>
          </cell>
          <cell r="D72">
            <v>1420000</v>
          </cell>
          <cell r="E72" t="str">
            <v>000</v>
          </cell>
          <cell r="F72" t="str">
            <v>00000000</v>
          </cell>
          <cell r="G72" t="str">
            <v>0000</v>
          </cell>
          <cell r="H72" t="str">
            <v>0000</v>
          </cell>
          <cell r="I72" t="str">
            <v>LSGD</v>
          </cell>
          <cell r="J72">
            <v>-87203000</v>
          </cell>
          <cell r="L72" t="str">
            <v>Collection of Prior Month's AR</v>
          </cell>
          <cell r="M72" t="str">
            <v>USD</v>
          </cell>
          <cell r="N72" t="str">
            <v>CRRNT</v>
          </cell>
          <cell r="O72">
            <v>1</v>
          </cell>
          <cell r="P72">
            <v>-87203000</v>
          </cell>
        </row>
        <row r="73">
          <cell r="B73" t="str">
            <v>ERINC</v>
          </cell>
          <cell r="C73" t="str">
            <v>478000</v>
          </cell>
          <cell r="D73">
            <v>2320700</v>
          </cell>
          <cell r="E73" t="str">
            <v>000</v>
          </cell>
          <cell r="F73" t="str">
            <v>00000000</v>
          </cell>
          <cell r="G73" t="str">
            <v>0000</v>
          </cell>
          <cell r="H73" t="str">
            <v>0000</v>
          </cell>
          <cell r="I73" t="str">
            <v>LSGD</v>
          </cell>
          <cell r="J73">
            <v>51218225.259999998</v>
          </cell>
          <cell r="L73" t="str">
            <v>Collection of Prior Month's AR</v>
          </cell>
          <cell r="M73" t="str">
            <v>USD</v>
          </cell>
          <cell r="N73" t="str">
            <v>CRRNT</v>
          </cell>
          <cell r="O73">
            <v>1</v>
          </cell>
          <cell r="P73">
            <v>51218225.259999998</v>
          </cell>
        </row>
        <row r="74">
          <cell r="B74" t="str">
            <v>LSP</v>
          </cell>
          <cell r="C74" t="str">
            <v>101090</v>
          </cell>
          <cell r="D74">
            <v>1868900</v>
          </cell>
          <cell r="E74" t="str">
            <v>000</v>
          </cell>
          <cell r="F74" t="str">
            <v>00000000</v>
          </cell>
          <cell r="G74" t="str">
            <v>0000</v>
          </cell>
          <cell r="H74" t="str">
            <v>0000</v>
          </cell>
          <cell r="J74">
            <v>-2714033.5</v>
          </cell>
          <cell r="L74" t="str">
            <v>Collection of Prior Month's AR</v>
          </cell>
          <cell r="M74" t="str">
            <v>USD</v>
          </cell>
          <cell r="N74" t="str">
            <v>CRRNT</v>
          </cell>
          <cell r="O74">
            <v>1</v>
          </cell>
          <cell r="P74">
            <v>-2714033.5</v>
          </cell>
        </row>
        <row r="75">
          <cell r="B75" t="str">
            <v>LSP</v>
          </cell>
          <cell r="C75" t="str">
            <v>101090</v>
          </cell>
          <cell r="D75">
            <v>1433001</v>
          </cell>
          <cell r="E75" t="str">
            <v>000</v>
          </cell>
          <cell r="F75" t="str">
            <v>00000000</v>
          </cell>
          <cell r="G75" t="str">
            <v>0000</v>
          </cell>
          <cell r="H75" t="str">
            <v>0000</v>
          </cell>
          <cell r="I75" t="str">
            <v>ERINC</v>
          </cell>
          <cell r="J75">
            <v>-3862966.5</v>
          </cell>
          <cell r="L75" t="str">
            <v>Collection of Prior Month's AR</v>
          </cell>
          <cell r="M75" t="str">
            <v>USD</v>
          </cell>
          <cell r="N75" t="str">
            <v>CRRNT</v>
          </cell>
          <cell r="O75">
            <v>1</v>
          </cell>
          <cell r="P75">
            <v>-3862966.5</v>
          </cell>
        </row>
        <row r="76">
          <cell r="B76" t="str">
            <v>LSP</v>
          </cell>
          <cell r="C76" t="str">
            <v>101090</v>
          </cell>
          <cell r="D76">
            <v>1433000</v>
          </cell>
          <cell r="E76" t="str">
            <v>000</v>
          </cell>
          <cell r="F76" t="str">
            <v>00000000</v>
          </cell>
          <cell r="G76" t="str">
            <v>0000</v>
          </cell>
          <cell r="H76" t="str">
            <v>3000</v>
          </cell>
          <cell r="I76" t="str">
            <v>ERINC</v>
          </cell>
          <cell r="J76">
            <v>6577000</v>
          </cell>
          <cell r="L76" t="str">
            <v>Collection of Prior Month's AR</v>
          </cell>
          <cell r="M76" t="str">
            <v>USD</v>
          </cell>
          <cell r="N76" t="str">
            <v>CRRNT</v>
          </cell>
          <cell r="O76">
            <v>1</v>
          </cell>
          <cell r="P76">
            <v>6577000</v>
          </cell>
        </row>
        <row r="77">
          <cell r="B77" t="str">
            <v>ERINC</v>
          </cell>
          <cell r="C77" t="str">
            <v>478000</v>
          </cell>
          <cell r="D77">
            <v>1420000</v>
          </cell>
          <cell r="E77" t="str">
            <v>000</v>
          </cell>
          <cell r="F77" t="str">
            <v>00000000</v>
          </cell>
          <cell r="G77" t="str">
            <v>0000</v>
          </cell>
          <cell r="H77" t="str">
            <v>0000</v>
          </cell>
          <cell r="I77" t="str">
            <v>LSP</v>
          </cell>
          <cell r="J77">
            <v>-6577000</v>
          </cell>
          <cell r="L77" t="str">
            <v>Collection of Prior Month's AR</v>
          </cell>
          <cell r="M77" t="str">
            <v>USD</v>
          </cell>
          <cell r="N77" t="str">
            <v>CRRNT</v>
          </cell>
          <cell r="O77">
            <v>1</v>
          </cell>
          <cell r="P77">
            <v>-6577000</v>
          </cell>
        </row>
        <row r="78">
          <cell r="B78" t="str">
            <v>ERINC</v>
          </cell>
          <cell r="C78" t="str">
            <v>478000</v>
          </cell>
          <cell r="D78">
            <v>2320700</v>
          </cell>
          <cell r="E78" t="str">
            <v>000</v>
          </cell>
          <cell r="F78" t="str">
            <v>00000000</v>
          </cell>
          <cell r="G78" t="str">
            <v>0000</v>
          </cell>
          <cell r="H78" t="str">
            <v>0000</v>
          </cell>
          <cell r="I78" t="str">
            <v>LSP</v>
          </cell>
          <cell r="J78">
            <v>3862966.5</v>
          </cell>
          <cell r="L78" t="str">
            <v>Collection of Prior Month's AR</v>
          </cell>
          <cell r="M78" t="str">
            <v>USD</v>
          </cell>
          <cell r="N78" t="str">
            <v>CRRNT</v>
          </cell>
          <cell r="O78">
            <v>1</v>
          </cell>
          <cell r="P78">
            <v>3862966.5</v>
          </cell>
        </row>
        <row r="79">
          <cell r="B79" t="str">
            <v>ELREP</v>
          </cell>
          <cell r="C79" t="str">
            <v>288000</v>
          </cell>
          <cell r="D79">
            <v>1868900</v>
          </cell>
          <cell r="E79" t="str">
            <v>000</v>
          </cell>
          <cell r="F79" t="str">
            <v>00000000</v>
          </cell>
          <cell r="G79" t="str">
            <v>0000</v>
          </cell>
          <cell r="H79" t="str">
            <v>0000</v>
          </cell>
          <cell r="J79">
            <v>-467661356.23000002</v>
          </cell>
          <cell r="K79" t="str">
            <v xml:space="preserve">   </v>
          </cell>
          <cell r="L79" t="str">
            <v>Collection of Prior Month's AR</v>
          </cell>
          <cell r="M79" t="str">
            <v>USD</v>
          </cell>
          <cell r="N79" t="str">
            <v>CRRNT</v>
          </cell>
          <cell r="O79">
            <v>1</v>
          </cell>
          <cell r="P79">
            <v>-467661356.23000002</v>
          </cell>
        </row>
        <row r="80">
          <cell r="B80" t="str">
            <v>ELREP</v>
          </cell>
          <cell r="C80" t="str">
            <v>288000</v>
          </cell>
          <cell r="D80">
            <v>1423200</v>
          </cell>
          <cell r="E80" t="str">
            <v>000</v>
          </cell>
          <cell r="F80" t="str">
            <v>00000000</v>
          </cell>
          <cell r="G80" t="str">
            <v>0000</v>
          </cell>
          <cell r="H80" t="str">
            <v>0000</v>
          </cell>
          <cell r="I80" t="str">
            <v>ERINC</v>
          </cell>
          <cell r="J80">
            <v>-665636643.76999998</v>
          </cell>
          <cell r="L80" t="str">
            <v>Collection of Prior Month's AR</v>
          </cell>
          <cell r="M80" t="str">
            <v>USD</v>
          </cell>
          <cell r="N80" t="str">
            <v>CRRNT</v>
          </cell>
          <cell r="O80">
            <v>1</v>
          </cell>
          <cell r="P80">
            <v>-665636643.76999998</v>
          </cell>
        </row>
        <row r="81">
          <cell r="B81" t="str">
            <v>ELREP</v>
          </cell>
          <cell r="C81" t="str">
            <v>288000</v>
          </cell>
          <cell r="D81">
            <v>1423000</v>
          </cell>
          <cell r="E81" t="str">
            <v>000</v>
          </cell>
          <cell r="F81" t="str">
            <v>00000000</v>
          </cell>
          <cell r="G81" t="str">
            <v>0000</v>
          </cell>
          <cell r="H81" t="str">
            <v>0000</v>
          </cell>
          <cell r="I81" t="str">
            <v>ERINC</v>
          </cell>
          <cell r="J81">
            <v>1133298000</v>
          </cell>
          <cell r="K81" t="str">
            <v xml:space="preserve">   </v>
          </cell>
          <cell r="L81" t="str">
            <v>Collection of Prior Month's AR</v>
          </cell>
          <cell r="M81" t="str">
            <v>USD</v>
          </cell>
          <cell r="N81" t="str">
            <v>CRRNT</v>
          </cell>
          <cell r="O81">
            <v>1</v>
          </cell>
          <cell r="P81">
            <v>1133298000</v>
          </cell>
        </row>
        <row r="82">
          <cell r="B82" t="str">
            <v>ERINC</v>
          </cell>
          <cell r="C82" t="str">
            <v>478000</v>
          </cell>
          <cell r="D82">
            <v>1420000</v>
          </cell>
          <cell r="E82" t="str">
            <v>000</v>
          </cell>
          <cell r="F82" t="str">
            <v>00000000</v>
          </cell>
          <cell r="G82" t="str">
            <v>0000</v>
          </cell>
          <cell r="H82" t="str">
            <v>0000</v>
          </cell>
          <cell r="I82" t="str">
            <v>ELREP</v>
          </cell>
          <cell r="J82">
            <v>-1133298000</v>
          </cell>
          <cell r="K82" t="str">
            <v xml:space="preserve">   </v>
          </cell>
          <cell r="L82" t="str">
            <v>Collection of Prior Month's AR</v>
          </cell>
          <cell r="M82" t="str">
            <v>USD</v>
          </cell>
          <cell r="N82" t="str">
            <v>CRRNT</v>
          </cell>
          <cell r="O82">
            <v>1</v>
          </cell>
          <cell r="P82">
            <v>-1133298000</v>
          </cell>
        </row>
        <row r="83">
          <cell r="B83" t="str">
            <v>ERINC</v>
          </cell>
          <cell r="C83" t="str">
            <v>478000</v>
          </cell>
          <cell r="D83">
            <v>2320700</v>
          </cell>
          <cell r="E83" t="str">
            <v>000</v>
          </cell>
          <cell r="F83" t="str">
            <v>00000000</v>
          </cell>
          <cell r="G83" t="str">
            <v>0000</v>
          </cell>
          <cell r="H83" t="str">
            <v>0000</v>
          </cell>
          <cell r="I83" t="str">
            <v>ELREP</v>
          </cell>
          <cell r="J83">
            <v>665636643.76999998</v>
          </cell>
          <cell r="L83" t="str">
            <v>Collection of Prior Month's AR</v>
          </cell>
          <cell r="M83" t="str">
            <v>USD</v>
          </cell>
          <cell r="N83" t="str">
            <v>CRRNT</v>
          </cell>
          <cell r="O83">
            <v>1</v>
          </cell>
          <cell r="P83">
            <v>665636643.76999998</v>
          </cell>
        </row>
        <row r="84">
          <cell r="B84" t="str">
            <v>ESD</v>
          </cell>
          <cell r="C84" t="str">
            <v>521900</v>
          </cell>
          <cell r="D84">
            <v>1868900</v>
          </cell>
          <cell r="E84" t="str">
            <v>000</v>
          </cell>
          <cell r="F84" t="str">
            <v>00000000</v>
          </cell>
          <cell r="G84" t="str">
            <v>0000</v>
          </cell>
          <cell r="H84" t="str">
            <v>0000</v>
          </cell>
          <cell r="J84">
            <v>-25878847.960000001</v>
          </cell>
          <cell r="K84" t="str">
            <v xml:space="preserve">   </v>
          </cell>
          <cell r="L84" t="str">
            <v>Collection of Prior Month's AR</v>
          </cell>
          <cell r="M84" t="str">
            <v>USD</v>
          </cell>
          <cell r="N84" t="str">
            <v>CRRNT</v>
          </cell>
          <cell r="O84">
            <v>1</v>
          </cell>
          <cell r="P84">
            <v>-25878847.960000001</v>
          </cell>
        </row>
        <row r="85">
          <cell r="B85" t="str">
            <v>ESD</v>
          </cell>
          <cell r="C85" t="str">
            <v>521900</v>
          </cell>
          <cell r="D85">
            <v>1423200</v>
          </cell>
          <cell r="E85" t="str">
            <v>000</v>
          </cell>
          <cell r="F85" t="str">
            <v>00000000</v>
          </cell>
          <cell r="G85" t="str">
            <v>0000</v>
          </cell>
          <cell r="H85" t="str">
            <v>0000</v>
          </cell>
          <cell r="I85" t="str">
            <v>ERINC</v>
          </cell>
          <cell r="J85">
            <v>-36834152.039999999</v>
          </cell>
          <cell r="L85" t="str">
            <v>Collection of Prior Month's AR</v>
          </cell>
          <cell r="M85" t="str">
            <v>USD</v>
          </cell>
          <cell r="N85" t="str">
            <v>CRRNT</v>
          </cell>
          <cell r="O85">
            <v>1</v>
          </cell>
          <cell r="P85">
            <v>-36834152.039999999</v>
          </cell>
        </row>
        <row r="86">
          <cell r="B86" t="str">
            <v>ESD</v>
          </cell>
          <cell r="C86" t="str">
            <v>521900</v>
          </cell>
          <cell r="D86">
            <v>1423000</v>
          </cell>
          <cell r="E86" t="str">
            <v>000</v>
          </cell>
          <cell r="F86" t="str">
            <v>00000000</v>
          </cell>
          <cell r="G86" t="str">
            <v>0000</v>
          </cell>
          <cell r="H86" t="str">
            <v>0000</v>
          </cell>
          <cell r="I86" t="str">
            <v>ERINC</v>
          </cell>
          <cell r="J86">
            <v>62713000</v>
          </cell>
          <cell r="K86" t="str">
            <v xml:space="preserve">   </v>
          </cell>
          <cell r="L86" t="str">
            <v>Collection of Prior Month's AR</v>
          </cell>
          <cell r="M86" t="str">
            <v>USD</v>
          </cell>
          <cell r="N86" t="str">
            <v>CRRNT</v>
          </cell>
          <cell r="O86">
            <v>1</v>
          </cell>
          <cell r="P86">
            <v>62713000</v>
          </cell>
        </row>
        <row r="87">
          <cell r="B87" t="str">
            <v>ERINC</v>
          </cell>
          <cell r="C87" t="str">
            <v>478000</v>
          </cell>
          <cell r="D87">
            <v>1420000</v>
          </cell>
          <cell r="E87" t="str">
            <v>000</v>
          </cell>
          <cell r="F87" t="str">
            <v>00000000</v>
          </cell>
          <cell r="G87" t="str">
            <v>0000</v>
          </cell>
          <cell r="H87" t="str">
            <v>0000</v>
          </cell>
          <cell r="I87" t="str">
            <v>ESD</v>
          </cell>
          <cell r="J87">
            <v>-62713000</v>
          </cell>
          <cell r="K87" t="str">
            <v xml:space="preserve">   </v>
          </cell>
          <cell r="L87" t="str">
            <v>Collection of Prior Month's AR</v>
          </cell>
          <cell r="M87" t="str">
            <v>USD</v>
          </cell>
          <cell r="N87" t="str">
            <v>CRRNT</v>
          </cell>
          <cell r="O87">
            <v>1</v>
          </cell>
          <cell r="P87">
            <v>-62713000</v>
          </cell>
        </row>
        <row r="88">
          <cell r="B88" t="str">
            <v>ERINC</v>
          </cell>
          <cell r="C88" t="str">
            <v>478000</v>
          </cell>
          <cell r="D88">
            <v>2320700</v>
          </cell>
          <cell r="E88" t="str">
            <v>000</v>
          </cell>
          <cell r="F88" t="str">
            <v>00000000</v>
          </cell>
          <cell r="G88" t="str">
            <v>0000</v>
          </cell>
          <cell r="H88" t="str">
            <v>0000</v>
          </cell>
          <cell r="I88" t="str">
            <v>ESD</v>
          </cell>
          <cell r="J88">
            <v>36834152.039999999</v>
          </cell>
          <cell r="L88" t="str">
            <v>Collection of Prior Month's AR</v>
          </cell>
          <cell r="M88" t="str">
            <v>USD</v>
          </cell>
          <cell r="N88" t="str">
            <v>CRRNT</v>
          </cell>
          <cell r="O88">
            <v>1</v>
          </cell>
          <cell r="P88">
            <v>36834152.039999999</v>
          </cell>
        </row>
        <row r="89">
          <cell r="B89" t="str">
            <v>SESRP</v>
          </cell>
          <cell r="C89" t="str">
            <v>297000</v>
          </cell>
          <cell r="D89">
            <v>1868900</v>
          </cell>
          <cell r="E89" t="str">
            <v>000</v>
          </cell>
          <cell r="F89" t="str">
            <v>00000000</v>
          </cell>
          <cell r="G89" t="str">
            <v>0000</v>
          </cell>
          <cell r="H89" t="str">
            <v>0000</v>
          </cell>
          <cell r="J89">
            <v>-3615685.2</v>
          </cell>
          <cell r="L89" t="str">
            <v>Collection of Prior Month's AR</v>
          </cell>
          <cell r="M89" t="str">
            <v>USD</v>
          </cell>
          <cell r="N89" t="str">
            <v>CRRNT</v>
          </cell>
          <cell r="O89">
            <v>1</v>
          </cell>
          <cell r="P89">
            <v>-3615685.2</v>
          </cell>
        </row>
        <row r="90">
          <cell r="B90" t="str">
            <v>SESRP</v>
          </cell>
          <cell r="C90" t="str">
            <v>297000</v>
          </cell>
          <cell r="D90">
            <v>1423200</v>
          </cell>
          <cell r="E90" t="str">
            <v>000</v>
          </cell>
          <cell r="F90" t="str">
            <v>00000000</v>
          </cell>
          <cell r="G90" t="str">
            <v>0000</v>
          </cell>
          <cell r="H90" t="str">
            <v>0000</v>
          </cell>
          <cell r="I90" t="str">
            <v>ERINC</v>
          </cell>
          <cell r="J90">
            <v>-5146314.8</v>
          </cell>
          <cell r="L90" t="str">
            <v>Collection of Prior Month's AR</v>
          </cell>
          <cell r="M90" t="str">
            <v>USD</v>
          </cell>
          <cell r="N90" t="str">
            <v>CRRNT</v>
          </cell>
          <cell r="O90">
            <v>1</v>
          </cell>
          <cell r="P90">
            <v>-5146314.8</v>
          </cell>
        </row>
        <row r="91">
          <cell r="B91" t="str">
            <v>SESRP</v>
          </cell>
          <cell r="C91" t="str">
            <v>297000</v>
          </cell>
          <cell r="D91">
            <v>1423000</v>
          </cell>
          <cell r="E91" t="str">
            <v>000</v>
          </cell>
          <cell r="F91" t="str">
            <v>00000000</v>
          </cell>
          <cell r="G91" t="str">
            <v>0000</v>
          </cell>
          <cell r="H91" t="str">
            <v>0000</v>
          </cell>
          <cell r="I91" t="str">
            <v>ERINC</v>
          </cell>
          <cell r="J91">
            <v>8762000</v>
          </cell>
          <cell r="L91" t="str">
            <v>Collection of Prior Month's AR</v>
          </cell>
          <cell r="M91" t="str">
            <v>USD</v>
          </cell>
          <cell r="N91" t="str">
            <v>CRRNT</v>
          </cell>
          <cell r="O91">
            <v>1</v>
          </cell>
          <cell r="P91">
            <v>8762000</v>
          </cell>
        </row>
        <row r="92">
          <cell r="B92" t="str">
            <v>ERINC</v>
          </cell>
          <cell r="C92" t="str">
            <v>478000</v>
          </cell>
          <cell r="D92">
            <v>1420000</v>
          </cell>
          <cell r="E92" t="str">
            <v>000</v>
          </cell>
          <cell r="F92" t="str">
            <v>00000000</v>
          </cell>
          <cell r="G92" t="str">
            <v>0000</v>
          </cell>
          <cell r="H92" t="str">
            <v>0000</v>
          </cell>
          <cell r="I92" t="str">
            <v>SESRP</v>
          </cell>
          <cell r="J92">
            <v>-8762000</v>
          </cell>
          <cell r="L92" t="str">
            <v>Collection of Prior Month's AR</v>
          </cell>
          <cell r="M92" t="str">
            <v>USD</v>
          </cell>
          <cell r="N92" t="str">
            <v>CRRNT</v>
          </cell>
          <cell r="O92">
            <v>1</v>
          </cell>
          <cell r="P92">
            <v>-8762000</v>
          </cell>
        </row>
        <row r="93">
          <cell r="B93" t="str">
            <v>ERINC</v>
          </cell>
          <cell r="C93" t="str">
            <v>478000</v>
          </cell>
          <cell r="D93">
            <v>2320700</v>
          </cell>
          <cell r="E93" t="str">
            <v>000</v>
          </cell>
          <cell r="F93" t="str">
            <v>00000000</v>
          </cell>
          <cell r="G93" t="str">
            <v>0000</v>
          </cell>
          <cell r="H93" t="str">
            <v>0000</v>
          </cell>
          <cell r="I93" t="str">
            <v>SESRP</v>
          </cell>
          <cell r="J93">
            <v>5146314.8</v>
          </cell>
          <cell r="L93" t="str">
            <v>Collection of Prior Month's AR</v>
          </cell>
          <cell r="M93" t="str">
            <v>USD</v>
          </cell>
          <cell r="N93" t="str">
            <v>CRRNT</v>
          </cell>
          <cell r="O93">
            <v>1</v>
          </cell>
          <cell r="P93">
            <v>5146314.8</v>
          </cell>
        </row>
        <row r="94">
          <cell r="B94" t="str">
            <v>TRN</v>
          </cell>
          <cell r="C94" t="str">
            <v>571900</v>
          </cell>
          <cell r="D94">
            <v>1868900</v>
          </cell>
          <cell r="E94" t="str">
            <v>000</v>
          </cell>
          <cell r="F94" t="str">
            <v>00000000</v>
          </cell>
          <cell r="G94" t="str">
            <v>0000</v>
          </cell>
          <cell r="H94" t="str">
            <v>0000</v>
          </cell>
          <cell r="J94">
            <v>-4392302.3600000003</v>
          </cell>
          <cell r="K94" t="str">
            <v xml:space="preserve">   </v>
          </cell>
          <cell r="L94" t="str">
            <v>Collection of Prior Month's AR</v>
          </cell>
          <cell r="M94" t="str">
            <v>USD</v>
          </cell>
          <cell r="N94" t="str">
            <v>CRRNT</v>
          </cell>
          <cell r="O94">
            <v>1</v>
          </cell>
          <cell r="P94">
            <v>-4392302.3600000003</v>
          </cell>
        </row>
        <row r="95">
          <cell r="B95" t="str">
            <v>TRN</v>
          </cell>
          <cell r="C95" t="str">
            <v>571900</v>
          </cell>
          <cell r="D95">
            <v>1423200</v>
          </cell>
          <cell r="E95" t="str">
            <v>000</v>
          </cell>
          <cell r="F95" t="str">
            <v>00000000</v>
          </cell>
          <cell r="G95" t="str">
            <v>0000</v>
          </cell>
          <cell r="H95" t="str">
            <v>0000</v>
          </cell>
          <cell r="I95" t="str">
            <v>ERINC</v>
          </cell>
          <cell r="J95">
            <v>-6251697.6399999997</v>
          </cell>
          <cell r="L95" t="str">
            <v>Collection of Prior Month's AR</v>
          </cell>
          <cell r="M95" t="str">
            <v>USD</v>
          </cell>
          <cell r="N95" t="str">
            <v>CRRNT</v>
          </cell>
          <cell r="O95">
            <v>1</v>
          </cell>
          <cell r="P95">
            <v>-6251697.6399999997</v>
          </cell>
        </row>
        <row r="96">
          <cell r="B96" t="str">
            <v>TRN</v>
          </cell>
          <cell r="C96" t="str">
            <v>571900</v>
          </cell>
          <cell r="D96">
            <v>1423000</v>
          </cell>
          <cell r="E96" t="str">
            <v>000</v>
          </cell>
          <cell r="F96" t="str">
            <v>00000000</v>
          </cell>
          <cell r="G96" t="str">
            <v>0000</v>
          </cell>
          <cell r="H96" t="str">
            <v>0000</v>
          </cell>
          <cell r="I96" t="str">
            <v>ERINC</v>
          </cell>
          <cell r="J96">
            <v>10644000</v>
          </cell>
          <cell r="K96" t="str">
            <v xml:space="preserve">   </v>
          </cell>
          <cell r="L96" t="str">
            <v>Collection of Prior Month's AR</v>
          </cell>
          <cell r="M96" t="str">
            <v>USD</v>
          </cell>
          <cell r="N96" t="str">
            <v>CRRNT</v>
          </cell>
          <cell r="O96">
            <v>1</v>
          </cell>
          <cell r="P96">
            <v>10644000</v>
          </cell>
        </row>
        <row r="97">
          <cell r="B97" t="str">
            <v>ERINC</v>
          </cell>
          <cell r="C97" t="str">
            <v>478000</v>
          </cell>
          <cell r="D97">
            <v>1420000</v>
          </cell>
          <cell r="E97" t="str">
            <v>000</v>
          </cell>
          <cell r="F97" t="str">
            <v>00000000</v>
          </cell>
          <cell r="G97" t="str">
            <v>0000</v>
          </cell>
          <cell r="H97" t="str">
            <v>0000</v>
          </cell>
          <cell r="I97" t="str">
            <v>TRN</v>
          </cell>
          <cell r="J97">
            <v>-10644000</v>
          </cell>
          <cell r="K97" t="str">
            <v xml:space="preserve">   </v>
          </cell>
          <cell r="L97" t="str">
            <v>Collection of Prior Month's AR</v>
          </cell>
          <cell r="M97" t="str">
            <v>USD</v>
          </cell>
          <cell r="N97" t="str">
            <v>CRRNT</v>
          </cell>
          <cell r="O97">
            <v>1</v>
          </cell>
          <cell r="P97">
            <v>-10644000</v>
          </cell>
        </row>
        <row r="98">
          <cell r="B98" t="str">
            <v>ERINC</v>
          </cell>
          <cell r="C98" t="str">
            <v>478000</v>
          </cell>
          <cell r="D98">
            <v>2320700</v>
          </cell>
          <cell r="E98" t="str">
            <v>000</v>
          </cell>
          <cell r="F98" t="str">
            <v>00000000</v>
          </cell>
          <cell r="G98" t="str">
            <v>0000</v>
          </cell>
          <cell r="H98" t="str">
            <v>0000</v>
          </cell>
          <cell r="I98" t="str">
            <v>TRN</v>
          </cell>
          <cell r="J98">
            <v>6251697.6399999997</v>
          </cell>
          <cell r="L98" t="str">
            <v>Collection of Prior Month's AR</v>
          </cell>
          <cell r="M98" t="str">
            <v>USD</v>
          </cell>
          <cell r="N98" t="str">
            <v>CRRNT</v>
          </cell>
          <cell r="O98">
            <v>1</v>
          </cell>
          <cell r="P98">
            <v>6251697.6399999997</v>
          </cell>
        </row>
        <row r="99">
          <cell r="F99" t="str">
            <v xml:space="preserve"> Please make sure there are no Journal Lines below this End of File Marker</v>
          </cell>
        </row>
        <row r="103">
          <cell r="J103" t="e">
            <v>#REF!</v>
          </cell>
        </row>
        <row r="124">
          <cell r="F124" t="str">
            <v xml:space="preserve"> </v>
          </cell>
        </row>
        <row r="125">
          <cell r="M125" t="str">
            <v>USD</v>
          </cell>
          <cell r="N125" t="str">
            <v>CRRNT</v>
          </cell>
          <cell r="O125">
            <v>1</v>
          </cell>
          <cell r="P125">
            <v>230</v>
          </cell>
        </row>
        <row r="126">
          <cell r="M126" t="str">
            <v>USD</v>
          </cell>
          <cell r="N126" t="str">
            <v>CRRNT</v>
          </cell>
          <cell r="O126">
            <v>1</v>
          </cell>
          <cell r="P126">
            <v>-230</v>
          </cell>
        </row>
        <row r="127">
          <cell r="M127" t="str">
            <v>USD</v>
          </cell>
          <cell r="N127" t="str">
            <v>CRRNT</v>
          </cell>
          <cell r="O127">
            <v>1</v>
          </cell>
          <cell r="P127">
            <v>200</v>
          </cell>
        </row>
        <row r="128">
          <cell r="M128" t="str">
            <v>USD</v>
          </cell>
          <cell r="N128" t="str">
            <v>CRRNT</v>
          </cell>
          <cell r="O128">
            <v>1</v>
          </cell>
          <cell r="P128">
            <v>-200</v>
          </cell>
        </row>
        <row r="129">
          <cell r="M129" t="str">
            <v>USD</v>
          </cell>
          <cell r="N129" t="str">
            <v>CRRNT</v>
          </cell>
          <cell r="O129">
            <v>1</v>
          </cell>
          <cell r="P129">
            <v>400</v>
          </cell>
        </row>
        <row r="130">
          <cell r="F130" t="str">
            <v xml:space="preserve"> </v>
          </cell>
        </row>
        <row r="131">
          <cell r="M131" t="str">
            <v>USD</v>
          </cell>
          <cell r="N131" t="str">
            <v>CRRNT</v>
          </cell>
          <cell r="O131">
            <v>1</v>
          </cell>
          <cell r="P131">
            <v>-400</v>
          </cell>
        </row>
        <row r="132">
          <cell r="M132" t="str">
            <v>USD</v>
          </cell>
          <cell r="N132" t="str">
            <v>CRRNT</v>
          </cell>
          <cell r="O132">
            <v>1</v>
          </cell>
          <cell r="P132">
            <v>150</v>
          </cell>
        </row>
        <row r="133">
          <cell r="M133" t="str">
            <v>USD</v>
          </cell>
          <cell r="N133" t="str">
            <v>CRRNT</v>
          </cell>
          <cell r="O133">
            <v>1</v>
          </cell>
          <cell r="P133">
            <v>-150</v>
          </cell>
        </row>
        <row r="134">
          <cell r="F134" t="str">
            <v xml:space="preserve"> </v>
          </cell>
        </row>
        <row r="135">
          <cell r="F135" t="str">
            <v xml:space="preserve"> </v>
          </cell>
        </row>
        <row r="136">
          <cell r="F136" t="str">
            <v xml:space="preserve"> </v>
          </cell>
        </row>
        <row r="137">
          <cell r="F137" t="str">
            <v xml:space="preserve"> </v>
          </cell>
        </row>
        <row r="138">
          <cell r="F138" t="str">
            <v xml:space="preserve"> </v>
          </cell>
        </row>
        <row r="139">
          <cell r="K139" t="str">
            <v xml:space="preserve">   </v>
          </cell>
        </row>
        <row r="140">
          <cell r="K140" t="str">
            <v xml:space="preserve">   </v>
          </cell>
        </row>
        <row r="141">
          <cell r="K141" t="str">
            <v xml:space="preserve">   </v>
          </cell>
        </row>
        <row r="142">
          <cell r="K142" t="str">
            <v xml:space="preserve">   </v>
          </cell>
        </row>
        <row r="143">
          <cell r="K143" t="str">
            <v xml:space="preserve">   </v>
          </cell>
        </row>
        <row r="144">
          <cell r="K144" t="str">
            <v xml:space="preserve">   </v>
          </cell>
        </row>
        <row r="145">
          <cell r="K145" t="str">
            <v xml:space="preserve">   </v>
          </cell>
        </row>
        <row r="146">
          <cell r="K146" t="str">
            <v xml:space="preserve">   </v>
          </cell>
        </row>
        <row r="147">
          <cell r="K147" t="str">
            <v xml:space="preserve">   </v>
          </cell>
        </row>
        <row r="148">
          <cell r="K148" t="str">
            <v xml:space="preserve">   </v>
          </cell>
        </row>
        <row r="149">
          <cell r="K149" t="str">
            <v xml:space="preserve">   </v>
          </cell>
        </row>
        <row r="150">
          <cell r="K150" t="str">
            <v xml:space="preserve">   </v>
          </cell>
        </row>
        <row r="151">
          <cell r="K151" t="str">
            <v xml:space="preserve">   </v>
          </cell>
        </row>
        <row r="152">
          <cell r="K152" t="str">
            <v xml:space="preserve">   </v>
          </cell>
        </row>
        <row r="153">
          <cell r="K153" t="str">
            <v xml:space="preserve">   </v>
          </cell>
        </row>
        <row r="154">
          <cell r="K154" t="str">
            <v xml:space="preserve">   </v>
          </cell>
        </row>
        <row r="155">
          <cell r="K155" t="str">
            <v xml:space="preserve">   </v>
          </cell>
        </row>
        <row r="156">
          <cell r="K156" t="str">
            <v xml:space="preserve">   </v>
          </cell>
        </row>
        <row r="157">
          <cell r="K157" t="str">
            <v xml:space="preserve">   </v>
          </cell>
        </row>
        <row r="158">
          <cell r="K158" t="str">
            <v xml:space="preserve">   </v>
          </cell>
        </row>
        <row r="159">
          <cell r="K159" t="str">
            <v xml:space="preserve">   </v>
          </cell>
        </row>
        <row r="160">
          <cell r="K160" t="str">
            <v xml:space="preserve">   </v>
          </cell>
        </row>
        <row r="161">
          <cell r="K161" t="str">
            <v xml:space="preserve">   </v>
          </cell>
        </row>
        <row r="162">
          <cell r="K162" t="str">
            <v xml:space="preserve">   </v>
          </cell>
        </row>
        <row r="163">
          <cell r="K163" t="str">
            <v xml:space="preserve">   </v>
          </cell>
        </row>
        <row r="164">
          <cell r="K164" t="str">
            <v xml:space="preserve">   </v>
          </cell>
        </row>
        <row r="165">
          <cell r="K165" t="str">
            <v xml:space="preserve">   </v>
          </cell>
        </row>
        <row r="166">
          <cell r="K166" t="str">
            <v xml:space="preserve">   </v>
          </cell>
        </row>
        <row r="167">
          <cell r="K167" t="str">
            <v xml:space="preserve">   </v>
          </cell>
        </row>
        <row r="168">
          <cell r="K168" t="str">
            <v xml:space="preserve">   </v>
          </cell>
        </row>
        <row r="169">
          <cell r="K169" t="str">
            <v xml:space="preserve">   </v>
          </cell>
        </row>
        <row r="170">
          <cell r="K170" t="str">
            <v xml:space="preserve">   </v>
          </cell>
        </row>
        <row r="171">
          <cell r="K171" t="str">
            <v xml:space="preserve">   </v>
          </cell>
        </row>
        <row r="172">
          <cell r="K172" t="str">
            <v xml:space="preserve">   </v>
          </cell>
        </row>
        <row r="173">
          <cell r="K173" t="str">
            <v xml:space="preserve">   </v>
          </cell>
        </row>
        <row r="174">
          <cell r="K174" t="str">
            <v xml:space="preserve">   </v>
          </cell>
        </row>
        <row r="175">
          <cell r="K175" t="str">
            <v xml:space="preserve">   </v>
          </cell>
        </row>
        <row r="176">
          <cell r="K176" t="str">
            <v xml:space="preserve">   </v>
          </cell>
        </row>
        <row r="177">
          <cell r="K177" t="str">
            <v xml:space="preserve">   </v>
          </cell>
        </row>
        <row r="178">
          <cell r="K178" t="str">
            <v xml:space="preserve">   </v>
          </cell>
        </row>
        <row r="179">
          <cell r="K179" t="str">
            <v xml:space="preserve">   </v>
          </cell>
        </row>
        <row r="181">
          <cell r="K181" t="str">
            <v xml:space="preserve"> </v>
          </cell>
        </row>
        <row r="182">
          <cell r="K182" t="str">
            <v xml:space="preserve"> </v>
          </cell>
        </row>
        <row r="183">
          <cell r="K183" t="str">
            <v xml:space="preserve"> </v>
          </cell>
        </row>
        <row r="184">
          <cell r="K184" t="str">
            <v xml:space="preserve"> </v>
          </cell>
        </row>
        <row r="185">
          <cell r="K185" t="str">
            <v xml:space="preserve"> </v>
          </cell>
        </row>
        <row r="186">
          <cell r="K186" t="str">
            <v xml:space="preserve"> </v>
          </cell>
        </row>
        <row r="187">
          <cell r="K187" t="str">
            <v xml:space="preserve"> </v>
          </cell>
        </row>
        <row r="188">
          <cell r="K188" t="str">
            <v xml:space="preserve"> </v>
          </cell>
        </row>
        <row r="189">
          <cell r="K189" t="str">
            <v xml:space="preserve"> </v>
          </cell>
        </row>
        <row r="190">
          <cell r="K190" t="str">
            <v xml:space="preserve"> </v>
          </cell>
        </row>
        <row r="191">
          <cell r="K191" t="str">
            <v xml:space="preserve"> </v>
          </cell>
        </row>
        <row r="192">
          <cell r="K192" t="str">
            <v xml:space="preserve"> </v>
          </cell>
        </row>
        <row r="193">
          <cell r="K193" t="str">
            <v xml:space="preserve"> </v>
          </cell>
        </row>
        <row r="194">
          <cell r="K194" t="str">
            <v xml:space="preserve"> </v>
          </cell>
        </row>
        <row r="195">
          <cell r="K195" t="str">
            <v xml:space="preserve"> </v>
          </cell>
        </row>
        <row r="196">
          <cell r="K196" t="str">
            <v xml:space="preserve"> </v>
          </cell>
        </row>
        <row r="197">
          <cell r="K197" t="str">
            <v xml:space="preserve">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</row>
        <row r="217">
          <cell r="K217" t="str">
            <v xml:space="preserve"> </v>
          </cell>
          <cell r="N217" t="str">
            <v xml:space="preserve">     </v>
          </cell>
        </row>
        <row r="218">
          <cell r="K218" t="str">
            <v xml:space="preserve"> </v>
          </cell>
          <cell r="N218" t="str">
            <v xml:space="preserve">     </v>
          </cell>
        </row>
        <row r="219">
          <cell r="K219" t="str">
            <v xml:space="preserve"> </v>
          </cell>
          <cell r="N219" t="str">
            <v xml:space="preserve">     </v>
          </cell>
        </row>
        <row r="220">
          <cell r="K220" t="str">
            <v xml:space="preserve"> </v>
          </cell>
          <cell r="N220" t="str">
            <v xml:space="preserve">     </v>
          </cell>
        </row>
        <row r="221">
          <cell r="K221" t="str">
            <v xml:space="preserve"> </v>
          </cell>
          <cell r="N221" t="str">
            <v xml:space="preserve">     </v>
          </cell>
        </row>
        <row r="222">
          <cell r="K222" t="str">
            <v xml:space="preserve"> </v>
          </cell>
          <cell r="N222" t="str">
            <v xml:space="preserve">     </v>
          </cell>
        </row>
        <row r="223">
          <cell r="K223" t="str">
            <v xml:space="preserve"> </v>
          </cell>
          <cell r="N223" t="str">
            <v xml:space="preserve">     </v>
          </cell>
        </row>
        <row r="224">
          <cell r="K224" t="str">
            <v xml:space="preserve"> </v>
          </cell>
          <cell r="N224" t="str">
            <v xml:space="preserve">     </v>
          </cell>
        </row>
        <row r="225">
          <cell r="K225" t="str">
            <v xml:space="preserve"> </v>
          </cell>
          <cell r="N225" t="str">
            <v xml:space="preserve">     </v>
          </cell>
        </row>
        <row r="226">
          <cell r="K226" t="str">
            <v xml:space="preserve"> </v>
          </cell>
          <cell r="N226" t="str">
            <v xml:space="preserve">     </v>
          </cell>
        </row>
        <row r="227">
          <cell r="K227" t="str">
            <v xml:space="preserve"> </v>
          </cell>
          <cell r="N227" t="str">
            <v xml:space="preserve">     </v>
          </cell>
        </row>
        <row r="228">
          <cell r="K228" t="str">
            <v xml:space="preserve"> </v>
          </cell>
          <cell r="N228" t="str">
            <v xml:space="preserve">     </v>
          </cell>
        </row>
        <row r="229">
          <cell r="K229" t="str">
            <v xml:space="preserve"> </v>
          </cell>
          <cell r="N229" t="str">
            <v xml:space="preserve">     </v>
          </cell>
        </row>
        <row r="230">
          <cell r="K230" t="str">
            <v xml:space="preserve"> </v>
          </cell>
          <cell r="N230" t="str">
            <v xml:space="preserve">     </v>
          </cell>
        </row>
        <row r="231">
          <cell r="K231" t="str">
            <v xml:space="preserve"> </v>
          </cell>
          <cell r="N231" t="str">
            <v xml:space="preserve">     </v>
          </cell>
        </row>
        <row r="232">
          <cell r="K232" t="str">
            <v xml:space="preserve"> </v>
          </cell>
          <cell r="N232" t="str">
            <v xml:space="preserve">     </v>
          </cell>
        </row>
        <row r="233">
          <cell r="K233" t="str">
            <v xml:space="preserve"> </v>
          </cell>
          <cell r="N233" t="str">
            <v xml:space="preserve">     </v>
          </cell>
        </row>
        <row r="234">
          <cell r="K234" t="str">
            <v xml:space="preserve"> </v>
          </cell>
          <cell r="N234" t="str">
            <v xml:space="preserve">     </v>
          </cell>
        </row>
        <row r="235">
          <cell r="K235" t="str">
            <v xml:space="preserve"> </v>
          </cell>
          <cell r="N235" t="str">
            <v xml:space="preserve">     </v>
          </cell>
        </row>
        <row r="236">
          <cell r="K236" t="str">
            <v xml:space="preserve"> </v>
          </cell>
          <cell r="N236" t="str">
            <v xml:space="preserve">     </v>
          </cell>
        </row>
        <row r="237">
          <cell r="K237" t="str">
            <v xml:space="preserve"> </v>
          </cell>
          <cell r="N237" t="str">
            <v xml:space="preserve">     </v>
          </cell>
        </row>
        <row r="238">
          <cell r="K238" t="str">
            <v xml:space="preserve"> </v>
          </cell>
          <cell r="N238" t="str">
            <v xml:space="preserve">     </v>
          </cell>
        </row>
        <row r="239">
          <cell r="K239" t="str">
            <v xml:space="preserve"> </v>
          </cell>
          <cell r="N239" t="str">
            <v xml:space="preserve">     </v>
          </cell>
        </row>
        <row r="240">
          <cell r="K240" t="str">
            <v xml:space="preserve"> </v>
          </cell>
          <cell r="N240" t="str">
            <v xml:space="preserve">     </v>
          </cell>
        </row>
        <row r="241">
          <cell r="K241" t="str">
            <v xml:space="preserve"> </v>
          </cell>
          <cell r="N241" t="str">
            <v xml:space="preserve">     </v>
          </cell>
        </row>
        <row r="242">
          <cell r="K242" t="str">
            <v xml:space="preserve"> </v>
          </cell>
          <cell r="N242" t="str">
            <v xml:space="preserve">     </v>
          </cell>
        </row>
        <row r="243">
          <cell r="K243" t="str">
            <v xml:space="preserve"> </v>
          </cell>
          <cell r="N243" t="str">
            <v xml:space="preserve">     </v>
          </cell>
        </row>
        <row r="244">
          <cell r="K244" t="str">
            <v xml:space="preserve"> </v>
          </cell>
          <cell r="N244" t="str">
            <v xml:space="preserve">     </v>
          </cell>
        </row>
        <row r="245">
          <cell r="K245" t="str">
            <v xml:space="preserve"> </v>
          </cell>
          <cell r="N245" t="str">
            <v xml:space="preserve">     </v>
          </cell>
        </row>
        <row r="246">
          <cell r="K246" t="str">
            <v xml:space="preserve"> </v>
          </cell>
          <cell r="N246" t="str">
            <v xml:space="preserve">     </v>
          </cell>
        </row>
        <row r="247">
          <cell r="K247" t="str">
            <v xml:space="preserve"> </v>
          </cell>
          <cell r="N247" t="str">
            <v xml:space="preserve">     </v>
          </cell>
        </row>
        <row r="248">
          <cell r="K248" t="str">
            <v xml:space="preserve"> </v>
          </cell>
          <cell r="N248" t="str">
            <v xml:space="preserve">     </v>
          </cell>
        </row>
        <row r="249">
          <cell r="K249" t="str">
            <v xml:space="preserve"> </v>
          </cell>
          <cell r="N249" t="str">
            <v xml:space="preserve">     </v>
          </cell>
        </row>
        <row r="250">
          <cell r="K250" t="str">
            <v xml:space="preserve"> </v>
          </cell>
          <cell r="N250" t="str">
            <v xml:space="preserve">     </v>
          </cell>
        </row>
        <row r="251">
          <cell r="K251" t="str">
            <v xml:space="preserve"> </v>
          </cell>
          <cell r="N251" t="str">
            <v xml:space="preserve">     </v>
          </cell>
        </row>
        <row r="252">
          <cell r="K252" t="str">
            <v xml:space="preserve"> </v>
          </cell>
          <cell r="N252" t="str">
            <v xml:space="preserve">     </v>
          </cell>
        </row>
        <row r="253">
          <cell r="K253" t="str">
            <v xml:space="preserve"> </v>
          </cell>
          <cell r="N253" t="str">
            <v xml:space="preserve">     </v>
          </cell>
        </row>
        <row r="254">
          <cell r="K254" t="str">
            <v xml:space="preserve"> </v>
          </cell>
          <cell r="N254" t="str">
            <v xml:space="preserve">     </v>
          </cell>
        </row>
        <row r="255">
          <cell r="K255" t="str">
            <v xml:space="preserve"> </v>
          </cell>
          <cell r="N255" t="str">
            <v xml:space="preserve">     </v>
          </cell>
        </row>
        <row r="256">
          <cell r="K256" t="str">
            <v xml:space="preserve"> </v>
          </cell>
          <cell r="N256" t="str">
            <v xml:space="preserve">     </v>
          </cell>
        </row>
        <row r="257">
          <cell r="K257" t="str">
            <v xml:space="preserve"> </v>
          </cell>
          <cell r="N257" t="str">
            <v xml:space="preserve">     </v>
          </cell>
        </row>
        <row r="258">
          <cell r="K258" t="str">
            <v xml:space="preserve"> </v>
          </cell>
          <cell r="N258" t="str">
            <v xml:space="preserve">     </v>
          </cell>
        </row>
        <row r="259">
          <cell r="K259" t="str">
            <v xml:space="preserve"> </v>
          </cell>
          <cell r="N259" t="str">
            <v xml:space="preserve">     </v>
          </cell>
        </row>
        <row r="260">
          <cell r="K260" t="str">
            <v xml:space="preserve"> </v>
          </cell>
          <cell r="N260" t="str">
            <v xml:space="preserve">     </v>
          </cell>
        </row>
        <row r="261">
          <cell r="K261" t="str">
            <v xml:space="preserve"> </v>
          </cell>
          <cell r="N261" t="str">
            <v xml:space="preserve">     </v>
          </cell>
        </row>
        <row r="262">
          <cell r="K262" t="str">
            <v xml:space="preserve"> </v>
          </cell>
          <cell r="N262" t="str">
            <v xml:space="preserve">     </v>
          </cell>
        </row>
        <row r="263">
          <cell r="K263" t="str">
            <v xml:space="preserve"> </v>
          </cell>
          <cell r="N263" t="str">
            <v xml:space="preserve">     </v>
          </cell>
        </row>
        <row r="264">
          <cell r="K264" t="str">
            <v xml:space="preserve"> </v>
          </cell>
          <cell r="N264" t="str">
            <v xml:space="preserve">     </v>
          </cell>
        </row>
        <row r="265">
          <cell r="K265" t="str">
            <v xml:space="preserve"> </v>
          </cell>
          <cell r="N265" t="str">
            <v xml:space="preserve">     </v>
          </cell>
        </row>
        <row r="266">
          <cell r="K266" t="str">
            <v xml:space="preserve"> </v>
          </cell>
          <cell r="N266" t="str">
            <v xml:space="preserve">     </v>
          </cell>
        </row>
        <row r="267">
          <cell r="K267" t="str">
            <v xml:space="preserve"> </v>
          </cell>
          <cell r="N267" t="str">
            <v xml:space="preserve">     </v>
          </cell>
        </row>
        <row r="268">
          <cell r="K268" t="str">
            <v xml:space="preserve"> </v>
          </cell>
          <cell r="N268" t="str">
            <v xml:space="preserve">     </v>
          </cell>
        </row>
        <row r="269">
          <cell r="K269" t="str">
            <v xml:space="preserve"> </v>
          </cell>
          <cell r="N269" t="str">
            <v xml:space="preserve">     </v>
          </cell>
        </row>
        <row r="270">
          <cell r="K270" t="str">
            <v xml:space="preserve"> </v>
          </cell>
          <cell r="N270" t="str">
            <v xml:space="preserve">     </v>
          </cell>
        </row>
        <row r="271">
          <cell r="K271" t="str">
            <v xml:space="preserve"> </v>
          </cell>
          <cell r="N271" t="str">
            <v xml:space="preserve">     </v>
          </cell>
        </row>
        <row r="272">
          <cell r="K272" t="str">
            <v xml:space="preserve"> </v>
          </cell>
          <cell r="N272" t="str">
            <v xml:space="preserve">     </v>
          </cell>
        </row>
        <row r="273">
          <cell r="K273" t="str">
            <v xml:space="preserve"> </v>
          </cell>
          <cell r="N273" t="str">
            <v xml:space="preserve">     </v>
          </cell>
        </row>
        <row r="274">
          <cell r="K274" t="str">
            <v xml:space="preserve"> </v>
          </cell>
          <cell r="N274" t="str">
            <v xml:space="preserve">     </v>
          </cell>
        </row>
        <row r="275">
          <cell r="K275" t="str">
            <v xml:space="preserve"> </v>
          </cell>
          <cell r="N275" t="str">
            <v xml:space="preserve">     </v>
          </cell>
        </row>
        <row r="276">
          <cell r="K276" t="str">
            <v xml:space="preserve"> </v>
          </cell>
          <cell r="N276" t="str">
            <v xml:space="preserve">     </v>
          </cell>
        </row>
        <row r="277">
          <cell r="K277" t="str">
            <v xml:space="preserve"> </v>
          </cell>
          <cell r="N277" t="str">
            <v xml:space="preserve">     </v>
          </cell>
        </row>
        <row r="278">
          <cell r="K278" t="str">
            <v xml:space="preserve"> </v>
          </cell>
          <cell r="N278" t="str">
            <v xml:space="preserve">     </v>
          </cell>
        </row>
        <row r="279">
          <cell r="K279" t="str">
            <v xml:space="preserve"> </v>
          </cell>
          <cell r="N279" t="str">
            <v xml:space="preserve">     </v>
          </cell>
        </row>
        <row r="280">
          <cell r="K280" t="str">
            <v xml:space="preserve"> </v>
          </cell>
          <cell r="N280" t="str">
            <v xml:space="preserve">     </v>
          </cell>
        </row>
        <row r="281">
          <cell r="K281" t="str">
            <v xml:space="preserve"> </v>
          </cell>
          <cell r="N281" t="str">
            <v xml:space="preserve">     </v>
          </cell>
        </row>
        <row r="282">
          <cell r="K282" t="str">
            <v xml:space="preserve"> </v>
          </cell>
          <cell r="N282" t="str">
            <v xml:space="preserve">     </v>
          </cell>
        </row>
        <row r="283">
          <cell r="K283" t="str">
            <v xml:space="preserve"> </v>
          </cell>
          <cell r="N283" t="str">
            <v xml:space="preserve">     </v>
          </cell>
        </row>
        <row r="284">
          <cell r="K284" t="str">
            <v xml:space="preserve"> </v>
          </cell>
          <cell r="N284" t="str">
            <v xml:space="preserve">     </v>
          </cell>
        </row>
        <row r="285">
          <cell r="K285" t="str">
            <v xml:space="preserve"> </v>
          </cell>
          <cell r="N285" t="str">
            <v xml:space="preserve">     </v>
          </cell>
        </row>
        <row r="286">
          <cell r="K286" t="str">
            <v xml:space="preserve"> </v>
          </cell>
          <cell r="N286" t="str">
            <v xml:space="preserve">     </v>
          </cell>
        </row>
        <row r="287">
          <cell r="K287" t="str">
            <v xml:space="preserve"> </v>
          </cell>
          <cell r="N287" t="str">
            <v xml:space="preserve">     </v>
          </cell>
        </row>
        <row r="288">
          <cell r="K288" t="str">
            <v xml:space="preserve"> </v>
          </cell>
          <cell r="N288" t="str">
            <v xml:space="preserve">     </v>
          </cell>
        </row>
        <row r="289">
          <cell r="K289" t="str">
            <v xml:space="preserve"> </v>
          </cell>
          <cell r="N289" t="str">
            <v xml:space="preserve">     </v>
          </cell>
        </row>
        <row r="290">
          <cell r="K290" t="str">
            <v xml:space="preserve"> </v>
          </cell>
          <cell r="N290" t="str">
            <v xml:space="preserve">     </v>
          </cell>
        </row>
        <row r="291">
          <cell r="K291" t="str">
            <v xml:space="preserve"> </v>
          </cell>
          <cell r="N291" t="str">
            <v xml:space="preserve">     </v>
          </cell>
        </row>
        <row r="292">
          <cell r="K292" t="str">
            <v xml:space="preserve"> </v>
          </cell>
          <cell r="N292" t="str">
            <v xml:space="preserve">     </v>
          </cell>
        </row>
        <row r="293">
          <cell r="K293" t="str">
            <v xml:space="preserve"> </v>
          </cell>
          <cell r="N293" t="str">
            <v xml:space="preserve">     </v>
          </cell>
        </row>
        <row r="294">
          <cell r="K294" t="str">
            <v xml:space="preserve"> </v>
          </cell>
          <cell r="N294" t="str">
            <v xml:space="preserve">     </v>
          </cell>
        </row>
        <row r="295">
          <cell r="K295" t="str">
            <v xml:space="preserve"> </v>
          </cell>
          <cell r="N295" t="str">
            <v xml:space="preserve">     </v>
          </cell>
        </row>
        <row r="296">
          <cell r="K296" t="str">
            <v xml:space="preserve"> </v>
          </cell>
          <cell r="N296" t="str">
            <v xml:space="preserve">     </v>
          </cell>
        </row>
        <row r="297">
          <cell r="K297" t="str">
            <v xml:space="preserve"> </v>
          </cell>
          <cell r="N297" t="str">
            <v xml:space="preserve">     </v>
          </cell>
        </row>
        <row r="298">
          <cell r="K298" t="str">
            <v xml:space="preserve"> </v>
          </cell>
          <cell r="N298" t="str">
            <v xml:space="preserve">     </v>
          </cell>
        </row>
        <row r="299">
          <cell r="K299" t="str">
            <v xml:space="preserve"> </v>
          </cell>
          <cell r="N299" t="str">
            <v xml:space="preserve">     </v>
          </cell>
        </row>
        <row r="300">
          <cell r="K300" t="str">
            <v xml:space="preserve"> </v>
          </cell>
          <cell r="N300" t="str">
            <v xml:space="preserve">     </v>
          </cell>
        </row>
        <row r="301">
          <cell r="K301" t="str">
            <v xml:space="preserve"> </v>
          </cell>
          <cell r="N301" t="str">
            <v xml:space="preserve">     </v>
          </cell>
        </row>
        <row r="302">
          <cell r="K302" t="str">
            <v xml:space="preserve"> </v>
          </cell>
          <cell r="N302" t="str">
            <v xml:space="preserve">     </v>
          </cell>
        </row>
        <row r="303">
          <cell r="K303" t="str">
            <v xml:space="preserve"> </v>
          </cell>
          <cell r="N303" t="str">
            <v xml:space="preserve">     </v>
          </cell>
        </row>
        <row r="304">
          <cell r="K304" t="str">
            <v xml:space="preserve"> </v>
          </cell>
          <cell r="N304" t="str">
            <v xml:space="preserve">     </v>
          </cell>
        </row>
        <row r="305">
          <cell r="K305" t="str">
            <v xml:space="preserve"> </v>
          </cell>
          <cell r="N305" t="str">
            <v xml:space="preserve">     </v>
          </cell>
        </row>
        <row r="306">
          <cell r="K306" t="str">
            <v xml:space="preserve"> </v>
          </cell>
          <cell r="N306" t="str">
            <v xml:space="preserve">     </v>
          </cell>
        </row>
        <row r="307">
          <cell r="K307" t="str">
            <v xml:space="preserve"> </v>
          </cell>
          <cell r="N307" t="str">
            <v xml:space="preserve">     </v>
          </cell>
        </row>
        <row r="308">
          <cell r="K308" t="str">
            <v xml:space="preserve"> </v>
          </cell>
          <cell r="N308" t="str">
            <v xml:space="preserve">     </v>
          </cell>
        </row>
        <row r="309">
          <cell r="K309" t="str">
            <v xml:space="preserve"> </v>
          </cell>
          <cell r="N309" t="str">
            <v xml:space="preserve">     </v>
          </cell>
        </row>
        <row r="310">
          <cell r="K310" t="str">
            <v xml:space="preserve"> </v>
          </cell>
          <cell r="N310" t="str">
            <v xml:space="preserve">     </v>
          </cell>
        </row>
        <row r="311">
          <cell r="K311" t="str">
            <v xml:space="preserve"> </v>
          </cell>
          <cell r="N311" t="str">
            <v xml:space="preserve">     </v>
          </cell>
        </row>
        <row r="312">
          <cell r="K312" t="str">
            <v xml:space="preserve"> </v>
          </cell>
          <cell r="N312" t="str">
            <v xml:space="preserve">     </v>
          </cell>
        </row>
        <row r="313">
          <cell r="K313" t="str">
            <v xml:space="preserve"> </v>
          </cell>
          <cell r="N313" t="str">
            <v xml:space="preserve">     </v>
          </cell>
        </row>
        <row r="314">
          <cell r="K314" t="str">
            <v xml:space="preserve"> </v>
          </cell>
          <cell r="N314" t="str">
            <v xml:space="preserve">     </v>
          </cell>
        </row>
        <row r="315">
          <cell r="K315" t="str">
            <v xml:space="preserve"> </v>
          </cell>
          <cell r="N315" t="str">
            <v xml:space="preserve">     </v>
          </cell>
        </row>
        <row r="316">
          <cell r="K316" t="str">
            <v xml:space="preserve"> </v>
          </cell>
          <cell r="N316" t="str">
            <v xml:space="preserve">     </v>
          </cell>
        </row>
        <row r="317">
          <cell r="K317" t="str">
            <v xml:space="preserve"> </v>
          </cell>
          <cell r="N317" t="str">
            <v xml:space="preserve">     </v>
          </cell>
        </row>
        <row r="318">
          <cell r="K318" t="str">
            <v xml:space="preserve"> </v>
          </cell>
          <cell r="N318" t="str">
            <v xml:space="preserve">     </v>
          </cell>
        </row>
        <row r="319">
          <cell r="K319" t="str">
            <v xml:space="preserve"> </v>
          </cell>
          <cell r="N319" t="str">
            <v xml:space="preserve">     </v>
          </cell>
        </row>
        <row r="320">
          <cell r="K320" t="str">
            <v xml:space="preserve"> </v>
          </cell>
          <cell r="N320" t="str">
            <v xml:space="preserve">     </v>
          </cell>
        </row>
        <row r="321">
          <cell r="K321" t="str">
            <v xml:space="preserve"> </v>
          </cell>
          <cell r="N321" t="str">
            <v xml:space="preserve">     </v>
          </cell>
        </row>
        <row r="322">
          <cell r="K322" t="str">
            <v xml:space="preserve"> </v>
          </cell>
          <cell r="N322" t="str">
            <v xml:space="preserve">     </v>
          </cell>
        </row>
        <row r="323">
          <cell r="K323" t="str">
            <v xml:space="preserve"> </v>
          </cell>
          <cell r="N323" t="str">
            <v xml:space="preserve">     </v>
          </cell>
        </row>
        <row r="324">
          <cell r="K324" t="str">
            <v xml:space="preserve"> </v>
          </cell>
          <cell r="N324" t="str">
            <v xml:space="preserve">     </v>
          </cell>
        </row>
        <row r="325">
          <cell r="K325" t="str">
            <v xml:space="preserve"> </v>
          </cell>
          <cell r="N325" t="str">
            <v xml:space="preserve">     </v>
          </cell>
        </row>
        <row r="326">
          <cell r="K326" t="str">
            <v xml:space="preserve"> </v>
          </cell>
          <cell r="N326" t="str">
            <v xml:space="preserve">     </v>
          </cell>
        </row>
        <row r="327">
          <cell r="K327" t="str">
            <v xml:space="preserve"> </v>
          </cell>
          <cell r="N327" t="str">
            <v xml:space="preserve">     </v>
          </cell>
        </row>
        <row r="328">
          <cell r="K328" t="str">
            <v xml:space="preserve"> </v>
          </cell>
          <cell r="N328" t="str">
            <v xml:space="preserve">     </v>
          </cell>
        </row>
        <row r="329">
          <cell r="K329" t="str">
            <v xml:space="preserve"> </v>
          </cell>
          <cell r="N329" t="str">
            <v xml:space="preserve">     </v>
          </cell>
        </row>
        <row r="330">
          <cell r="K330" t="str">
            <v xml:space="preserve"> </v>
          </cell>
          <cell r="N330" t="str">
            <v xml:space="preserve">     </v>
          </cell>
        </row>
        <row r="331">
          <cell r="K331" t="str">
            <v xml:space="preserve"> </v>
          </cell>
          <cell r="N331" t="str">
            <v xml:space="preserve">     </v>
          </cell>
        </row>
        <row r="332">
          <cell r="K332" t="str">
            <v xml:space="preserve"> </v>
          </cell>
          <cell r="N332" t="str">
            <v xml:space="preserve">     </v>
          </cell>
        </row>
        <row r="333">
          <cell r="K333" t="str">
            <v xml:space="preserve"> </v>
          </cell>
          <cell r="N333" t="str">
            <v xml:space="preserve">     </v>
          </cell>
        </row>
        <row r="334">
          <cell r="K334" t="str">
            <v xml:space="preserve"> </v>
          </cell>
          <cell r="N334" t="str">
            <v xml:space="preserve">     </v>
          </cell>
        </row>
        <row r="335">
          <cell r="K335" t="str">
            <v xml:space="preserve"> </v>
          </cell>
          <cell r="N335" t="str">
            <v xml:space="preserve">     </v>
          </cell>
        </row>
        <row r="336">
          <cell r="K336" t="str">
            <v xml:space="preserve"> </v>
          </cell>
          <cell r="N336" t="str">
            <v xml:space="preserve">     </v>
          </cell>
        </row>
        <row r="337">
          <cell r="K337" t="str">
            <v xml:space="preserve"> </v>
          </cell>
          <cell r="N337" t="str">
            <v xml:space="preserve">     </v>
          </cell>
        </row>
        <row r="338">
          <cell r="K338" t="str">
            <v xml:space="preserve"> </v>
          </cell>
          <cell r="N338" t="str">
            <v xml:space="preserve">     </v>
          </cell>
        </row>
        <row r="339">
          <cell r="K339" t="str">
            <v xml:space="preserve"> </v>
          </cell>
          <cell r="N339" t="str">
            <v xml:space="preserve">     </v>
          </cell>
        </row>
        <row r="340">
          <cell r="K340" t="str">
            <v xml:space="preserve"> </v>
          </cell>
          <cell r="N340" t="str">
            <v xml:space="preserve">     </v>
          </cell>
        </row>
        <row r="341">
          <cell r="K341" t="str">
            <v xml:space="preserve"> </v>
          </cell>
          <cell r="N341" t="str">
            <v xml:space="preserve">     </v>
          </cell>
        </row>
        <row r="342">
          <cell r="K342" t="str">
            <v xml:space="preserve"> </v>
          </cell>
          <cell r="N342" t="str">
            <v xml:space="preserve">     </v>
          </cell>
        </row>
        <row r="343">
          <cell r="K343" t="str">
            <v xml:space="preserve"> </v>
          </cell>
          <cell r="N343" t="str">
            <v xml:space="preserve">     </v>
          </cell>
        </row>
        <row r="344">
          <cell r="K344" t="str">
            <v xml:space="preserve"> </v>
          </cell>
          <cell r="N344" t="str">
            <v xml:space="preserve">     </v>
          </cell>
        </row>
        <row r="345">
          <cell r="K345" t="str">
            <v xml:space="preserve"> </v>
          </cell>
          <cell r="N345" t="str">
            <v xml:space="preserve">     </v>
          </cell>
        </row>
        <row r="346">
          <cell r="K346" t="str">
            <v xml:space="preserve"> </v>
          </cell>
          <cell r="N346" t="str">
            <v xml:space="preserve">     </v>
          </cell>
        </row>
        <row r="347">
          <cell r="K347" t="str">
            <v xml:space="preserve"> </v>
          </cell>
          <cell r="N347" t="str">
            <v xml:space="preserve">     </v>
          </cell>
        </row>
        <row r="348">
          <cell r="K348" t="str">
            <v xml:space="preserve"> </v>
          </cell>
          <cell r="N348" t="str">
            <v xml:space="preserve">     </v>
          </cell>
        </row>
        <row r="349">
          <cell r="K349" t="str">
            <v xml:space="preserve"> </v>
          </cell>
          <cell r="N349" t="str">
            <v xml:space="preserve">     </v>
          </cell>
        </row>
        <row r="350">
          <cell r="K350" t="str">
            <v xml:space="preserve"> </v>
          </cell>
          <cell r="N350" t="str">
            <v xml:space="preserve">     </v>
          </cell>
        </row>
        <row r="351">
          <cell r="K351" t="str">
            <v xml:space="preserve"> </v>
          </cell>
          <cell r="N351" t="str">
            <v xml:space="preserve">     </v>
          </cell>
        </row>
        <row r="352">
          <cell r="K352" t="str">
            <v xml:space="preserve"> </v>
          </cell>
          <cell r="N352" t="str">
            <v xml:space="preserve">     </v>
          </cell>
        </row>
        <row r="353">
          <cell r="K353" t="str">
            <v xml:space="preserve"> </v>
          </cell>
          <cell r="N353" t="str">
            <v xml:space="preserve">     </v>
          </cell>
          <cell r="R353">
            <v>-580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03">
          <cell r="T303">
            <v>33771791.829999998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file:///C:\Documents%20and%20Settings\e5wn\Application%20Data\2007%20Rate%20Case\2007%20Lead%20Lag%20Study\Revision\TCC-TNC-PSO%20Prepaid%20Taxes%20TYE%2006-30-2006.xls" TargetMode="External" Id="rId2" /><Relationship Type="http://schemas.openxmlformats.org/officeDocument/2006/relationships/hyperlink" Target="file:///C:\Documents%20and%20Settings\e5wn\Application%20Data\2007%20Rate%20Case\2007%20Lead%20Lag%20Study\Revision\TNC%20Prepaids%20TYE%2006-30-2006.xls" TargetMode="Externa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..\Raw%20Data\FIM%20Revenue_DLS_XFMR_NTS_Oct23-Sep24.xlsx" TargetMode="External" Id="rId2" /><Relationship Type="http://schemas.openxmlformats.org/officeDocument/2006/relationships/hyperlink" Target="..\Raw%20Data\CCB%20Revenue%2012ME93024.xlsx" TargetMode="Externa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..\Raw%20Data\FIM%20Revenue_DLS_XFMR_NTS_Oct23-Sep24.xlsx" TargetMode="External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..\Raw%20Data\Lag%20Loss%20Sample%20-%202024.xlsx" TargetMode="External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..\Raw%20Data\CCB%20Revenue%2012ME93024.xlsx" TargetMode="External" Id="rI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..\Raw%20Data\Daily%20Receivable%20Report%209.30.2024.xlsx" TargetMode="External" Id="rI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..\Raw%20Data\Net%20Pay%20by%20Direct%20Deposit%20and%20Check%20for%20Oct%202023%20and%20Sept%202024.xlsx" TargetMode="External" Id="rI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..\Raw%20Data\2023%20BW%20Excel%20Payroll%20Schedule.xlsx" TargetMode="External" Id="rId3" /><Relationship Type="http://schemas.openxmlformats.org/officeDocument/2006/relationships/hyperlink" Target="..\Raw%20Data\2024%20BW%20Excel%20Payroll%20Schedule.xlsx" TargetMode="External" Id="rId2" /><Relationship Type="http://schemas.openxmlformats.org/officeDocument/2006/relationships/hyperlink" Target="..\Raw%20Data\Holidays.xlsx" TargetMode="External" Id="rI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..\Raw%20Data\2024%20BW%20Excel%20Payroll%20Schedule.xlsx" TargetMode="External" Id="rId3" /><Relationship Type="http://schemas.openxmlformats.org/officeDocument/2006/relationships/hyperlink" Target="..\Raw%20Data\2023%20BW%20Excel%20Payroll%20Schedule.xlsx" TargetMode="External" Id="rId2" /><Relationship Type="http://schemas.openxmlformats.org/officeDocument/2006/relationships/hyperlink" Target="..\Raw%20Data\Holidays.xlsx" TargetMode="External" Id="rI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..\Raw%20Data\Net%20Pay%20for%20Manual%20Check%20Samples%20Oct%202023%20thru%20Sept%202024.xlsx" TargetMode="External" Id="rId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hyperlink" Target="..\Raw%20Data\Gross%20Pay%20by%20Pay%20Cycle%20%20for%20Oct%202023%20and%20Sept%202024.xlsx" TargetMode="External" Id="rId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hyperlink" Target="..\Raw%20Data\Gross%20Pay%20by%20Paygroup%20Oct%202023%20to%20Sept%2030%202024.xlsx" TargetMode="External" Id="rId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hyperlink" Target="..\Raw%20Data\Affiliate%20Payment%20Dates%2012ME%209.30.24.xlsx" TargetMode="External" Id="rId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hyperlink" Target="..\Sample%20Data\Lead%20Lag%20Sample%20Details%2011-21-2024.xlsx" TargetMode="External" Id="rId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hyperlink" Target="..\Sample%20Data\Lead%20Lag%20Sample%20Details%2011-21-2024.xlsx" TargetMode="External" Id="rId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TRN%20sample%2012ME%2093024.xlsx" TargetMode="External" Id="rId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TRN%20sample%2012ME%2093024.xlsx" TargetMode="External" Id="rId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TRN%20sample%2012ME%2093024.xlsx" TargetMode="External" Id="rId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hyperlink" Target="..\Sample%20Data\Lead%20Lag%20Sample%20Details%2011-21-2024.xlsx" TargetMode="External" Id="rId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ESD%20sample%2012ME%2093024.xlsx" TargetMode="External" Id="rId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ESD%20sample%2012ME%2093024.xlsx" TargetMode="External" Id="rId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ESD%20sample%2012ME%2093024.xlsx" TargetMode="External" Id="rId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hyperlink" Target="..\Sample%20Data\3rd%20Party%20O&amp;M%20-%20COPR%20sample%2012ME93024.xlsx" TargetMode="External" Id="rId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hyperlink" Target="..\Raw%20Data\Pensions%20OPEBs\Summary%20Pension%20and%20OPEBS%20info.xlsx" TargetMode="External" Id="rId1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hyperlink" Target="..\Raw%20Data\Pensions%20OPEBs\Summary%20Pension%20and%20OPEBS%20info.xlsx" TargetMode="External" Id="rId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hyperlink" Target="..\Raw%20Data\FIT%20Payment%20Dates.pdf" TargetMode="External" Id="rId1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Local%20Gross%20Receipts%2012MOE%20Sept%202024%2012.17.24.xlsx" TargetMode="External" Id="rId1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-Ad%20Valorem%2012ME%2009.30.24.xlsx" TargetMode="External" Id="rId1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hyperlink" Target="..\Raw%20Data\Bank%20Balances%20-%202024_WF.xlsx" TargetMode="External" Id="rId1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hyperlink" Target="..\Raw%20Data\Taxes%20Other%20than%20Income%20-%20Payroll%20TME%20093024.xlsx" TargetMode="External" Id="rId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hyperlink" Target="..\Raw%20Data\Thrift-UVLR_TME%20093024%20MW.xlsx" TargetMode="External" Id="rId1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hyperlink" Target="..\Raw%20Data\Thrift-UVLR_TME%20093024%20MW.xlsx" TargetMode="External" Id="rId1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hyperlink" Target="..\Raw%20Data\Misc%20Items%20-%20TRN%20TME%20123124%20updated.xls" TargetMode="External" Id="rId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../drawings/drawing2.xml" Id="rId3" /><Relationship Type="http://schemas.openxmlformats.org/officeDocument/2006/relationships/hyperlink" Target="..\Raw%20Data\Misc%20Items%20-%20TRN%20TME%20123124%20updated.xls" TargetMode="External" Id="rId1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../drawings/drawing3.xml" Id="rId3" /><Relationship Type="http://schemas.openxmlformats.org/officeDocument/2006/relationships/hyperlink" Target="..\Raw%20Data\Misc%20Items%20-%20ESD%20TME%20123124.xlsx" TargetMode="External" Id="rId1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../drawings/drawing4.xml" Id="rId3" /><Relationship Type="http://schemas.openxmlformats.org/officeDocument/2006/relationships/hyperlink" Target="..\Raw%20Data\Misc%20Items%20-%20ESD%20TME%20123124%20updated.xls" TargetMode="External" Id="rId1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hyperlink" Target="..\Raw%20Data\Misc%20Items%20-%20TRN%20TME%20123124%20updated.xls" TargetMode="External" Id="rId2" /><Relationship Type="http://schemas.openxmlformats.org/officeDocument/2006/relationships/hyperlink" Target="..\Raw%20Data\Misc%20Items%20-%20ESD%20TME%20123124%20updated.xls" TargetMode="External" Id="rId1" /><Relationship Type="http://schemas.openxmlformats.org/officeDocument/2006/relationships/drawing" Target="../drawings/drawing5.xml" Id="rId4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../drawings/drawing6.xml" Id="rId3" /><Relationship Type="http://schemas.openxmlformats.org/officeDocument/2006/relationships/hyperlink" Target="..\Raw%20Data\Misc%20Items%20-%20TRN%20TME%20123124%20updated.xls" TargetMode="External" Id="rId1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../drawings/drawing7.xml" Id="rId3" /><Relationship Type="http://schemas.openxmlformats.org/officeDocument/2006/relationships/hyperlink" Target="..\Raw%20Data\Misc%20Items%20-%20ESD%20TME%20123124%20updated.xls" TargetMode="External" Id="rId1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hyperlink" Target="..\Raw%20Data\Amortization%20of%20Prepaids%20123124.xlsx" TargetMode="External" Id="rId1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hyperlink" Target="..\Raw%20Data\Amortization%20of%20Prepaids%20_%20Local%20Gross%20ReceiptsTax_%2012%20MOE%20Dec%2031%202024.xlsx" TargetMode="External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tabColor rgb="FF92D050"/>
    <x:pageSetUpPr fitToPage="1"/>
  </x:sheetPr>
  <x:dimension ref="A1:H49"/>
  <x:sheetViews>
    <x:sheetView showGridLines="0" tabSelected="1" zoomScaleNormal="100" workbookViewId="0">
      <x:selection activeCell="G37" sqref="G37"/>
    </x:sheetView>
  </x:sheetViews>
  <x:sheetFormatPr defaultColWidth="9.109375" defaultRowHeight="12.7" x14ac:dyDescent="0.25"/>
  <x:cols>
    <x:col min="1" max="1" width="5.5546875" style="1" customWidth="1"/>
    <x:col min="2" max="2" width="41.5546875" style="1" customWidth="1"/>
    <x:col min="3" max="3" width="16" style="1" bestFit="1" customWidth="1"/>
    <x:col min="4" max="4" width="15" style="1" bestFit="1" customWidth="1"/>
    <x:col min="5" max="5" width="13.44140625" style="3" customWidth="1"/>
    <x:col min="6" max="6" width="9.109375" style="1"/>
    <x:col min="7" max="7" width="9.44140625" style="1" bestFit="1" customWidth="1"/>
    <x:col min="8" max="8" width="15" style="1" bestFit="1" customWidth="1"/>
    <x:col min="9" max="16384" width="9.109375" style="1"/>
  </x:cols>
  <x:sheetData>
    <x:row r="1" spans="1:8" s="41" customFormat="1" x14ac:dyDescent="0.25">
      <x:c r="A1" s="476" t="s">
        <x:v>523</x:v>
      </x:c>
      <x:c r="B1" s="476"/>
      <x:c r="C1" s="476"/>
      <x:c r="D1" s="476"/>
      <x:c r="E1" s="476"/>
    </x:row>
    <x:row r="2" spans="1:8" s="41" customFormat="1" x14ac:dyDescent="0.25">
      <x:c r="A2" s="476" t="s">
        <x:v>389</x:v>
      </x:c>
      <x:c r="B2" s="476"/>
      <x:c r="C2" s="476"/>
      <x:c r="D2" s="476"/>
      <x:c r="E2" s="476"/>
    </x:row>
    <x:row r="3" spans="1:8" s="41" customFormat="1" x14ac:dyDescent="0.25">
      <x:c r="A3" s="183" t="s">
        <x:v>366</x:v>
      </x:c>
      <x:c r="B3" s="183"/>
      <x:c r="C3" s="183"/>
      <x:c r="D3" s="183"/>
      <x:c r="E3" s="183"/>
      <x:c r="H3" s="772" t="s">
        <x:v>464</x:v>
      </x:c>
    </x:row>
    <x:row r="4" spans="1:8" s="41" customFormat="1" x14ac:dyDescent="0.25">
      <x:c r="A4" s="767" t="s">
        <x:v>522</x:v>
      </x:c>
      <x:c r="B4" s="476"/>
      <x:c r="C4" s="476"/>
      <x:c r="D4" s="476"/>
      <x:c r="E4" s="476"/>
    </x:row>
    <x:row r="5" spans="1:8" s="41" customFormat="1" x14ac:dyDescent="0.25">
      <x:c r="A5" s="183" t="s">
        <x:v>486</x:v>
      </x:c>
      <x:c r="B5" s="183"/>
      <x:c r="C5" s="183"/>
      <x:c r="D5" s="183"/>
      <x:c r="E5" s="183"/>
      <x:c r="H5" s="772" t="s">
        <x:v>464</x:v>
      </x:c>
    </x:row>
    <x:row r="6" spans="1:8" x14ac:dyDescent="0.25">
      <x:c r="A6" s="187"/>
      <x:c r="B6" s="187"/>
      <x:c r="C6" s="26"/>
      <x:c r="D6" s="26"/>
      <x:c r="E6" s="20"/>
    </x:row>
    <x:row r="7" spans="1:8" x14ac:dyDescent="0.25">
      <x:c r="A7" s="22" t="s">
        <x:v>35</x:v>
      </x:c>
      <x:c r="B7" s="25"/>
      <x:c r="C7" s="22" t="s">
        <x:v>46</x:v>
      </x:c>
      <x:c r="D7" s="22" t="s">
        <x:v>15</x:v>
      </x:c>
      <x:c r="E7" s="22"/>
    </x:row>
    <x:row r="8" spans="1:8" x14ac:dyDescent="0.25">
      <x:c r="A8" s="56" t="s">
        <x:v>36</x:v>
      </x:c>
      <x:c r="B8" s="56" t="s">
        <x:v>23</x:v>
      </x:c>
      <x:c r="C8" s="56" t="s">
        <x:v>106</x:v>
      </x:c>
      <x:c r="D8" s="56" t="s">
        <x:v>45</x:v>
      </x:c>
      <x:c r="E8" s="56" t="s">
        <x:v>25</x:v>
      </x:c>
    </x:row>
    <x:row r="9" spans="1:8" x14ac:dyDescent="0.25">
      <x:c r="A9" s="20"/>
      <x:c r="B9" s="20" t="s">
        <x:v>50</x:v>
      </x:c>
      <x:c r="C9" s="89" t="s">
        <x:v>51</x:v>
      </x:c>
      <x:c r="D9" s="89" t="s">
        <x:v>108</x:v>
      </x:c>
      <x:c r="E9" s="773" t="s">
        <x:v>525</x:v>
      </x:c>
    </x:row>
    <x:row r="10" spans="1:8" x14ac:dyDescent="0.25">
      <x:c r="A10" s="20"/>
      <x:c r="B10" s="20"/>
      <x:c r="C10" s="89"/>
      <x:c r="D10" s="89"/>
      <x:c r="E10" s="89"/>
    </x:row>
    <x:row r="11" spans="1:8" x14ac:dyDescent="0.25">
      <x:c r="A11" s="3">
        <x:v>1</x:v>
      </x:c>
      <x:c r="B11" s="1" t="s">
        <x:v>104</x:v>
      </x:c>
      <x:c r="D11" s="13"/>
      <x:c r="G11" s="13"/>
    </x:row>
    <x:row r="12" spans="1:8" x14ac:dyDescent="0.25">
      <x:c r="A12" s="3">
        <x:f>A11+1</x:f>
        <x:v>2</x:v>
      </x:c>
      <x:c r="B12" s="285" t="s">
        <x:v>212</x:v>
      </x:c>
      <x:c r="C12" s="274"/>
      <x:c r="D12" s="13"/>
      <x:c r="G12" s="13"/>
    </x:row>
    <x:row r="13" spans="1:8" x14ac:dyDescent="0.25">
      <x:c r="A13" s="3">
        <x:f t="shared" ref="A13:A48" si="0">A12+1</x:f>
        <x:v>3</x:v>
      </x:c>
      <x:c r="B13" s="284" t="s">
        <x:v>34</x:v>
      </x:c>
      <x:c r="C13" s="452">
        <x:f>+'1'!H14</x:f>
        <x:v>53.27</x:v>
      </x:c>
      <x:c r="D13" s="596">
        <x:f>+'2'!J18</x:f>
        <x:v>-12</x:v>
      </x:c>
      <x:c r="E13" s="3" t="s">
        <x:v>176</x:v>
      </x:c>
      <x:c r="G13" s="41"/>
      <x:c r="H13" s="41"/>
    </x:row>
    <x:row r="14" spans="1:8" x14ac:dyDescent="0.25">
      <x:c r="A14" s="3">
        <x:f t="shared" si="0"/>
        <x:v>4</x:v>
      </x:c>
      <x:c r="B14" s="284" t="s">
        <x:v>266</x:v>
      </x:c>
      <x:c r="C14" s="452">
        <x:f>+$C$13</x:f>
        <x:v>53.27</x:v>
      </x:c>
      <x:c r="D14" s="596">
        <x:f>'3'!J17</x:f>
        <x:v>-255.74549000000002</x:v>
      </x:c>
      <x:c r="E14" s="3" t="s">
        <x:v>177</x:v>
      </x:c>
      <x:c r="G14" s="41"/>
      <x:c r="H14" s="41"/>
    </x:row>
    <x:row r="15" spans="1:8" x14ac:dyDescent="0.25">
      <x:c r="A15" s="3">
        <x:f>A14+1</x:f>
        <x:v>5</x:v>
      </x:c>
      <x:c r="B15" s="187"/>
      <x:c r="C15" s="452"/>
      <x:c r="D15" s="596"/>
      <x:c r="G15" s="41"/>
      <x:c r="H15" s="41"/>
    </x:row>
    <x:row r="16" spans="1:8" x14ac:dyDescent="0.25">
      <x:c r="A16" s="3">
        <x:f t="shared" si="0"/>
        <x:v>6</x:v>
      </x:c>
      <x:c r="B16" s="285" t="s">
        <x:v>213</x:v>
      </x:c>
      <x:c r="C16" s="452"/>
      <x:c r="D16" s="596"/>
      <x:c r="G16" s="41"/>
      <x:c r="H16" s="41"/>
    </x:row>
    <x:row r="17" spans="1:8" x14ac:dyDescent="0.25">
      <x:c r="A17" s="3">
        <x:f t="shared" si="0"/>
        <x:v>7</x:v>
      </x:c>
      <x:c r="B17" s="766" t="s">
        <x:v>519</x:v>
      </x:c>
      <x:c r="C17" s="452">
        <x:f>+$C$13</x:f>
        <x:v>53.27</x:v>
      </x:c>
      <x:c r="D17" s="596">
        <x:f>+'4'!K24</x:f>
        <x:v>-45.17</x:v>
      </x:c>
      <x:c r="E17" s="3" t="s">
        <x:v>178</x:v>
      </x:c>
      <x:c r="G17" s="41"/>
      <x:c r="H17" s="41"/>
    </x:row>
    <x:row r="18" spans="1:8" x14ac:dyDescent="0.25">
      <x:c r="A18" s="3">
        <x:f t="shared" si="0"/>
        <x:v>8</x:v>
      </x:c>
      <x:c r="B18" s="766" t="s">
        <x:v>520</x:v>
      </x:c>
      <x:c r="C18" s="452">
        <x:f>+$C$13</x:f>
        <x:v>53.27</x:v>
      </x:c>
      <x:c r="D18" s="596">
        <x:f>+'6'!D17</x:f>
        <x:v>-48.81</x:v>
      </x:c>
      <x:c r="E18" s="3" t="s">
        <x:v>180</x:v>
      </x:c>
      <x:c r="G18" s="41"/>
      <x:c r="H18" s="41"/>
    </x:row>
    <x:row r="19" spans="1:8" x14ac:dyDescent="0.25">
      <x:c r="A19" s="3">
        <x:f t="shared" si="0"/>
        <x:v>9</x:v>
      </x:c>
      <x:c r="B19" s="284" t="s">
        <x:v>362</x:v>
      </x:c>
      <x:c r="C19" s="452"/>
      <x:c r="D19" s="596"/>
      <x:c r="G19" s="41"/>
      <x:c r="H19" s="41"/>
    </x:row>
    <x:row r="20" spans="1:8" x14ac:dyDescent="0.25">
      <x:c r="A20" s="3">
        <x:f t="shared" si="0"/>
        <x:v>10</x:v>
      </x:c>
      <x:c r="B20" s="454" t="s">
        <x:v>363</x:v>
      </x:c>
      <x:c r="C20" s="452">
        <x:v>0</x:v>
      </x:c>
      <x:c r="D20" s="596">
        <x:v>0</x:v>
      </x:c>
      <x:c r="E20" s="3" t="s">
        <x:v>107</x:v>
      </x:c>
      <x:c r="G20" s="41"/>
      <x:c r="H20" s="41"/>
    </x:row>
    <x:row r="21" spans="1:8" x14ac:dyDescent="0.25">
      <x:c r="A21" s="3">
        <x:f t="shared" si="0"/>
        <x:v>11</x:v>
      </x:c>
      <x:c r="B21" s="454" t="s">
        <x:v>364</x:v>
      </x:c>
      <x:c r="C21" s="452">
        <x:f>+$C$13</x:f>
        <x:v>53.27</x:v>
      </x:c>
      <x:c r="D21" s="596">
        <x:f>'5'!E16</x:f>
        <x:v>-50.22</x:v>
      </x:c>
      <x:c r="E21" s="3" t="s">
        <x:v>179</x:v>
      </x:c>
      <x:c r="G21" s="41"/>
      <x:c r="H21" s="41"/>
    </x:row>
    <x:row r="22" spans="1:8" x14ac:dyDescent="0.25">
      <x:c r="A22" s="3">
        <x:f t="shared" si="0"/>
        <x:v>12</x:v>
      </x:c>
      <x:c r="B22" s="284" t="s">
        <x:v>324</x:v>
      </x:c>
      <x:c r="C22" s="452">
        <x:v>0</x:v>
      </x:c>
      <x:c r="D22" s="596">
        <x:v>0</x:v>
      </x:c>
      <x:c r="E22" s="3" t="s">
        <x:v>107</x:v>
      </x:c>
      <x:c r="G22" s="41"/>
      <x:c r="H22" s="41"/>
    </x:row>
    <x:row r="23" spans="1:8" x14ac:dyDescent="0.25">
      <x:c r="A23" s="3">
        <x:f t="shared" si="0"/>
        <x:v>13</x:v>
      </x:c>
      <x:c r="B23" s="1" t="s">
        <x:v>368</x:v>
      </x:c>
      <x:c r="C23" s="452">
        <x:f>+$C$13</x:f>
        <x:v>53.27</x:v>
      </x:c>
      <x:c r="D23" s="596">
        <x:f>'6'!D17</x:f>
        <x:v>-48.81</x:v>
      </x:c>
      <x:c r="E23" s="3" t="s">
        <x:v>180</x:v>
      </x:c>
      <x:c r="G23" s="41"/>
      <x:c r="H23" s="41"/>
    </x:row>
    <x:row r="24" spans="1:8" x14ac:dyDescent="0.25">
      <x:c r="A24" s="3">
        <x:f t="shared" si="0"/>
        <x:v>14</x:v>
      </x:c>
      <x:c r="B24" s="1" t="s">
        <x:v>393</x:v>
      </x:c>
      <x:c r="C24" s="452">
        <x:f>+$C$13</x:f>
        <x:v>53.27</x:v>
      </x:c>
      <x:c r="D24" s="596">
        <x:f>+'6-4'!I36</x:f>
        <x:v>-57.434985016657521</x:v>
      </x:c>
      <x:c r="E24" s="3" t="s">
        <x:v>367</x:v>
      </x:c>
      <x:c r="G24" s="41"/>
      <x:c r="H24" s="41"/>
    </x:row>
    <x:row r="25" spans="1:8" x14ac:dyDescent="0.25">
      <x:c r="A25" s="3">
        <x:f t="shared" si="0"/>
        <x:v>15</x:v>
      </x:c>
      <x:c r="B25" s="1" t="s">
        <x:v>394</x:v>
      </x:c>
      <x:c r="C25" s="452">
        <x:f>+$C$13</x:f>
        <x:v>53.27</x:v>
      </x:c>
      <x:c r="D25" s="596">
        <x:f>'6-5'!I23</x:f>
        <x:v>10.665187892404685</x:v>
      </x:c>
      <x:c r="E25" s="3" t="s">
        <x:v>395</x:v>
      </x:c>
      <x:c r="G25" s="41"/>
      <x:c r="H25" s="41"/>
    </x:row>
    <x:row r="26" spans="1:8" x14ac:dyDescent="0.25">
      <x:c r="A26" s="3">
        <x:f t="shared" si="0"/>
        <x:v>16</x:v>
      </x:c>
      <x:c r="B26" s="454"/>
      <x:c r="C26" s="452"/>
      <x:c r="D26" s="596"/>
      <x:c r="G26" s="41"/>
      <x:c r="H26" s="41"/>
    </x:row>
    <x:row r="27" spans="1:8" x14ac:dyDescent="0.25">
      <x:c r="A27" s="3">
        <x:f t="shared" si="0"/>
        <x:v>17</x:v>
      </x:c>
      <x:c r="B27" s="1" t="s">
        <x:v>20</x:v>
      </x:c>
      <x:c r="C27" s="452"/>
      <x:c r="D27" s="596"/>
      <x:c r="G27" s="41"/>
      <x:c r="H27" s="41"/>
    </x:row>
    <x:row r="28" spans="1:8" x14ac:dyDescent="0.25">
      <x:c r="A28" s="3">
        <x:f t="shared" si="0"/>
        <x:v>18</x:v>
      </x:c>
      <x:c r="B28" s="284" t="s">
        <x:v>218</x:v>
      </x:c>
      <x:c r="C28" s="452">
        <x:f>+$C$13</x:f>
        <x:v>53.27</x:v>
      </x:c>
      <x:c r="D28" s="596">
        <x:f>+'7'!F20</x:f>
        <x:v>-37.5</x:v>
      </x:c>
      <x:c r="E28" s="3" t="s">
        <x:v>181</x:v>
      </x:c>
      <x:c r="G28" s="41"/>
      <x:c r="H28" s="41"/>
    </x:row>
    <x:row r="29" spans="1:8" x14ac:dyDescent="0.25">
      <x:c r="A29" s="3">
        <x:f t="shared" si="0"/>
        <x:v>19</x:v>
      </x:c>
      <x:c r="B29" s="284" t="s">
        <x:v>126</x:v>
      </x:c>
      <x:c r="C29" s="447">
        <x:v>0</x:v>
      </x:c>
      <x:c r="D29" s="596">
        <x:v>0</x:v>
      </x:c>
      <x:c r="E29" s="3" t="s">
        <x:v>107</x:v>
      </x:c>
      <x:c r="G29" s="41"/>
      <x:c r="H29" s="41"/>
    </x:row>
    <x:row r="30" spans="1:8" x14ac:dyDescent="0.25">
      <x:c r="A30" s="3">
        <x:f t="shared" si="0"/>
        <x:v>20</x:v>
      </x:c>
      <x:c r="C30" s="452"/>
      <x:c r="D30" s="596"/>
      <x:c r="G30" s="41"/>
      <x:c r="H30" s="41"/>
    </x:row>
    <x:row r="31" spans="1:8" x14ac:dyDescent="0.25">
      <x:c r="A31" s="3">
        <x:f t="shared" si="0"/>
        <x:v>21</x:v>
      </x:c>
      <x:c r="B31" s="1" t="s">
        <x:v>21</x:v>
      </x:c>
      <x:c r="C31" s="452"/>
      <x:c r="D31" s="596"/>
      <x:c r="G31" s="41"/>
      <x:c r="H31" s="41"/>
    </x:row>
    <x:row r="32" spans="1:8" x14ac:dyDescent="0.25">
      <x:c r="A32" s="3">
        <x:f t="shared" si="0"/>
        <x:v>22</x:v>
      </x:c>
      <x:c r="B32" s="284" t="s">
        <x:v>214</x:v>
      </x:c>
      <x:c r="C32" s="452">
        <x:f>+$C$13</x:f>
        <x:v>53.27</x:v>
      </x:c>
      <x:c r="D32" s="596">
        <x:f>+'8'!D16</x:f>
        <x:v>-11.47</x:v>
      </x:c>
      <x:c r="E32" s="3" t="s">
        <x:v>182</x:v>
      </x:c>
      <x:c r="G32" s="41"/>
      <x:c r="H32" s="41"/>
    </x:row>
    <x:row r="33" spans="1:8" x14ac:dyDescent="0.25">
      <x:c r="A33" s="3">
        <x:f t="shared" si="0"/>
        <x:v>23</x:v>
      </x:c>
      <x:c r="B33" s="284" t="s">
        <x:v>215</x:v>
      </x:c>
      <x:c r="C33" s="452">
        <x:f>+$C$13</x:f>
        <x:v>53.27</x:v>
      </x:c>
      <x:c r="D33" s="596">
        <x:f>+'9'!F23</x:f>
        <x:v>46.25</x:v>
      </x:c>
      <x:c r="E33" s="3" t="s">
        <x:v>219</x:v>
      </x:c>
      <x:c r="G33" s="41"/>
      <x:c r="H33" s="41"/>
    </x:row>
    <x:row r="34" spans="1:8" x14ac:dyDescent="0.25">
      <x:c r="A34" s="3">
        <x:f t="shared" si="0"/>
        <x:v>24</x:v>
      </x:c>
      <x:c r="B34" s="284" t="s">
        <x:v>216</x:v>
      </x:c>
      <x:c r="C34" s="452">
        <x:f>+$C$13</x:f>
        <x:v>53.27</x:v>
      </x:c>
      <x:c r="D34" s="596">
        <x:f>'10'!F37</x:f>
        <x:v>-58.48</x:v>
      </x:c>
      <x:c r="E34" s="3" t="s">
        <x:v>220</x:v>
      </x:c>
      <x:c r="G34" s="41"/>
      <x:c r="H34" s="41"/>
    </x:row>
    <x:row r="35" spans="1:8" x14ac:dyDescent="0.25">
      <x:c r="A35" s="3">
        <x:f t="shared" si="0"/>
        <x:v>25</x:v>
      </x:c>
      <x:c r="B35" s="284" t="s">
        <x:v>217</x:v>
      </x:c>
      <x:c r="C35" s="452">
        <x:f>+$C$13</x:f>
        <x:v>53.27</x:v>
      </x:c>
      <x:c r="D35" s="596">
        <x:f>+'11'!G37</x:f>
        <x:v>-212.48</x:v>
      </x:c>
      <x:c r="E35" s="3" t="s">
        <x:v>221</x:v>
      </x:c>
      <x:c r="G35" s="41"/>
      <x:c r="H35" s="41"/>
    </x:row>
    <x:row r="36" spans="1:8" x14ac:dyDescent="0.25">
      <x:c r="A36" s="3">
        <x:f t="shared" si="0"/>
        <x:v>26</x:v>
      </x:c>
      <x:c r="C36" s="452"/>
      <x:c r="D36" s="447"/>
      <x:c r="G36" s="41"/>
      <x:c r="H36" s="41"/>
    </x:row>
    <x:row r="37" spans="1:8" x14ac:dyDescent="0.25">
      <x:c r="A37" s="3">
        <x:f t="shared" si="0"/>
        <x:v>27</x:v>
      </x:c>
      <x:c r="B37" s="1" t="s">
        <x:v>49</x:v>
      </x:c>
      <x:c r="C37" s="447">
        <x:v>0</x:v>
      </x:c>
      <x:c r="D37" s="596">
        <x:v>0</x:v>
      </x:c>
      <x:c r="E37" s="3" t="s">
        <x:v>107</x:v>
      </x:c>
      <x:c r="G37" s="41"/>
      <x:c r="H37" s="41"/>
    </x:row>
    <x:row r="38" spans="1:8" x14ac:dyDescent="0.25">
      <x:c r="A38" s="3">
        <x:f t="shared" si="0"/>
        <x:v>28</x:v>
      </x:c>
      <x:c r="C38" s="452"/>
      <x:c r="D38" s="596"/>
      <x:c r="E38" s="18"/>
      <x:c r="G38" s="41"/>
      <x:c r="H38" s="41"/>
    </x:row>
    <x:row r="39" spans="1:8" x14ac:dyDescent="0.25">
      <x:c r="A39" s="3">
        <x:f t="shared" si="0"/>
        <x:v>29</x:v>
      </x:c>
      <x:c r="B39" s="1" t="s">
        <x:v>48</x:v>
      </x:c>
      <x:c r="C39" s="447">
        <x:v>0</x:v>
      </x:c>
      <x:c r="D39" s="596">
        <x:v>0</x:v>
      </x:c>
      <x:c r="E39" s="3" t="s">
        <x:v>107</x:v>
      </x:c>
      <x:c r="G39" s="41"/>
      <x:c r="H39" s="41"/>
    </x:row>
    <x:row r="40" spans="1:8" x14ac:dyDescent="0.25">
      <x:c r="A40" s="3">
        <x:f t="shared" si="0"/>
        <x:v>30</x:v>
      </x:c>
      <x:c r="C40" s="19"/>
      <x:c r="D40" s="448"/>
      <x:c r="E40" s="18"/>
      <x:c r="G40" s="41"/>
      <x:c r="H40" s="41"/>
    </x:row>
    <x:row r="41" spans="1:8" x14ac:dyDescent="0.25">
      <x:c r="A41" s="3">
        <x:f t="shared" si="0"/>
        <x:v>31</x:v>
      </x:c>
      <x:c r="B41" s="1" t="s">
        <x:v>22</x:v>
      </x:c>
      <x:c r="C41" s="19"/>
      <x:c r="D41" s="449">
        <x:f>+'12'!J26</x:f>
        <x:v>2149754</x:v>
      </x:c>
      <x:c r="E41" s="3" t="s">
        <x:v>222</x:v>
      </x:c>
      <x:c r="G41" s="41"/>
      <x:c r="H41" s="41"/>
    </x:row>
    <x:row r="42" spans="1:8" x14ac:dyDescent="0.25">
      <x:c r="A42" s="3">
        <x:f t="shared" si="0"/>
        <x:v>32</x:v>
      </x:c>
      <x:c r="B42" s="31" t="s">
        <x:v>19</x:v>
      </x:c>
      <x:c r="C42" s="46"/>
      <x:c r="D42" s="517">
        <x:f>'13'!C16</x:f>
        <x:v>-3435810</x:v>
      </x:c>
      <x:c r="E42" s="3" t="s">
        <x:v>223</x:v>
      </x:c>
      <x:c r="G42" s="41"/>
      <x:c r="H42" s="41"/>
    </x:row>
    <x:row r="43" spans="1:8" x14ac:dyDescent="0.25">
      <x:c r="A43" s="3">
        <x:f t="shared" si="0"/>
        <x:v>33</x:v>
      </x:c>
      <x:c r="B43" s="31"/>
      <x:c r="C43" s="46"/>
      <x:c r="D43" s="46"/>
      <x:c r="E43" s="1"/>
      <x:c r="G43" s="41"/>
      <x:c r="H43" s="41"/>
    </x:row>
    <x:row r="44" spans="1:8" x14ac:dyDescent="0.25">
      <x:c r="A44" s="3">
        <x:f t="shared" si="0"/>
        <x:v>34</x:v>
      </x:c>
      <x:c r="B44" s="636" t="s">
        <x:v>521</x:v>
      </x:c>
      <x:c r="C44" s="46"/>
      <x:c r="D44" s="451">
        <x:f>+'14'!F29</x:f>
        <x:v>117329.1</x:v>
      </x:c>
      <x:c r="E44" s="3" t="s">
        <x:v>224</x:v>
      </x:c>
      <x:c r="G44" s="41"/>
      <x:c r="H44" s="41"/>
    </x:row>
    <x:row r="45" spans="1:8" x14ac:dyDescent="0.25">
      <x:c r="A45" s="3">
        <x:f t="shared" si="0"/>
        <x:v>35</x:v>
      </x:c>
      <x:c r="B45" s="1" t="s">
        <x:v>236</x:v>
      </x:c>
      <x:c r="C45" s="19"/>
      <x:c r="D45" s="517">
        <x:f>+'14'!F30</x:f>
        <x:v>77154333.970000044</x:v>
      </x:c>
      <x:c r="E45" s="3" t="s">
        <x:v>224</x:v>
      </x:c>
      <x:c r="G45" s="41"/>
      <x:c r="H45" s="41"/>
    </x:row>
    <x:row r="46" spans="1:8" x14ac:dyDescent="0.25">
      <x:c r="A46" s="3">
        <x:f t="shared" si="0"/>
        <x:v>36</x:v>
      </x:c>
      <x:c r="B46" s="1" t="s">
        <x:v>235</x:v>
      </x:c>
      <x:c r="C46" s="19"/>
      <x:c r="D46" s="450">
        <x:f>+'15'!E14</x:f>
        <x:v>217503701</x:v>
      </x:c>
      <x:c r="E46" s="3" t="s">
        <x:v>344</x:v>
      </x:c>
      <x:c r="G46" s="41"/>
      <x:c r="H46" s="41"/>
    </x:row>
    <x:row r="47" spans="1:8" x14ac:dyDescent="0.25">
      <x:c r="A47" s="3">
        <x:f t="shared" si="0"/>
        <x:v>37</x:v>
      </x:c>
    </x:row>
    <x:row r="48" spans="1:8" x14ac:dyDescent="0.25">
      <x:c r="A48" s="3">
        <x:f t="shared" si="0"/>
        <x:v>38</x:v>
      </x:c>
      <x:c r="B48" s="7" t="s">
        <x:v>175</x:v>
      </x:c>
    </x:row>
    <x:row r="49" spans="3:5" x14ac:dyDescent="0.25">
      <x:c r="C49" s="193"/>
      <x:c r="D49" s="193"/>
      <x:c r="E49" s="192"/>
    </x:row>
  </x:sheetData>
  <x:phoneticPr fontId="0" type="noConversion"/>
  <x:hyperlinks>
    <x:hyperlink ref="D47" r:id="rId1" display="TNC Prepaids TYE 06-30-2006.xls" xr:uid="{00000000-0004-0000-0000-000000000000}"/>
    <x:hyperlink ref="D48" r:id="rId2" display="TCC-TNC-PSO Prepaid Taxes TYE 06-30-2006.xls" xr:uid="{00000000-0004-0000-0000-000001000000}"/>
  </x:hyperlinks>
  <x:printOptions horizontalCentered="1"/>
  <x:pageMargins left="0.5" right="0.5" top="1.5" bottom="0.5" header="1" footer="0.5"/>
  <x:pageSetup scale="79" orientation="landscape" r:id="rId3"/>
  <x:headerFooter alignWithMargins="0">
    <x:oddHeader>&amp;RWP/II-B-9/&amp;A
Page &amp;P of &amp;N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tabColor rgb="FF92D050"/>
    <x:pageSetUpPr fitToPage="1"/>
  </x:sheetPr>
  <x:dimension ref="A1:O23"/>
  <x:sheetViews>
    <x:sheetView zoomScaleNormal="100" workbookViewId="0">
      <x:selection activeCell="D37" sqref="D37"/>
    </x:sheetView>
  </x:sheetViews>
  <x:sheetFormatPr defaultColWidth="8" defaultRowHeight="12.7" x14ac:dyDescent="0.25"/>
  <x:cols>
    <x:col min="1" max="1" width="9.109375" style="164" customWidth="1"/>
    <x:col min="2" max="2" width="2.5546875" style="164" customWidth="1"/>
    <x:col min="3" max="3" width="30.88671875" style="164" bestFit="1" customWidth="1"/>
    <x:col min="4" max="4" width="5.88671875" style="164" customWidth="1"/>
    <x:col min="5" max="5" width="18" style="164" customWidth="1"/>
    <x:col min="6" max="6" width="14.5546875" style="164" customWidth="1"/>
    <x:col min="7" max="7" width="2.5546875" style="164" customWidth="1"/>
    <x:col min="8" max="8" width="19.5546875" style="197" bestFit="1" customWidth="1"/>
    <x:col min="9" max="9" width="12.44140625" style="164" customWidth="1"/>
    <x:col min="10" max="10" width="20.5546875" style="164" customWidth="1"/>
    <x:col min="11" max="11" width="3.5546875" style="164" customWidth="1"/>
    <x:col min="12" max="12" width="11.109375" style="165" bestFit="1" customWidth="1"/>
    <x:col min="13" max="13" width="1.5546875" style="164" customWidth="1"/>
    <x:col min="14" max="14" width="10.44140625" style="164" customWidth="1"/>
    <x:col min="15" max="22" width="8" style="164" customWidth="1"/>
    <x:col min="23" max="23" width="14.44140625" style="164" customWidth="1"/>
    <x:col min="24" max="16384" width="8" style="164"/>
  </x:cols>
  <x:sheetData>
    <x:row r="1" spans="1:15" s="73" customFormat="1" x14ac:dyDescent="0.25">
      <x:c r="A1" s="180" t="s">
        <x:v>523</x:v>
      </x:c>
      <x:c r="C1" s="180"/>
      <x:c r="D1" s="180"/>
      <x:c r="E1" s="183"/>
      <x:c r="F1" s="183"/>
      <x:c r="G1" s="471"/>
      <x:c r="H1" s="471"/>
    </x:row>
    <x:row r="2" spans="1:15" s="73" customFormat="1" x14ac:dyDescent="0.25">
      <x:c r="A2" s="180" t="str">
        <x:f>' '!A2</x:f>
        <x:v>ONCOR ELECTRIC DELIVERY COMPANY LLC</x:v>
      </x:c>
      <x:c r="C2" s="180"/>
      <x:c r="D2" s="180"/>
      <x:c r="E2" s="183"/>
      <x:c r="F2" s="183"/>
      <x:c r="G2" s="471"/>
      <x:c r="H2" s="471"/>
    </x:row>
    <x:row r="3" spans="1:15" s="73" customFormat="1" x14ac:dyDescent="0.25">
      <x:c r="A3" s="180" t="s">
        <x:v>286</x:v>
      </x:c>
      <x:c r="C3" s="180"/>
      <x:c r="D3" s="180"/>
      <x:c r="E3" s="183"/>
      <x:c r="F3" s="183"/>
      <x:c r="G3" s="471"/>
      <x:c r="H3" s="471"/>
    </x:row>
    <x:row r="4" spans="1:15" s="73" customFormat="1" x14ac:dyDescent="0.25">
      <x:c r="A4" s="180" t="s">
        <x:v>524</x:v>
      </x:c>
      <x:c r="C4" s="180"/>
      <x:c r="D4" s="180"/>
      <x:c r="E4" s="180"/>
      <x:c r="F4" s="180"/>
    </x:row>
    <x:row r="5" spans="1:15" s="73" customFormat="1" x14ac:dyDescent="0.25">
      <x:c r="A5" s="180" t="s">
        <x:v>486</x:v>
      </x:c>
      <x:c r="C5" s="180"/>
      <x:c r="D5" s="180"/>
      <x:c r="E5" s="180"/>
      <x:c r="F5" s="180"/>
      <x:c r="H5" s="73" t="s">
        <x:v>464</x:v>
      </x:c>
    </x:row>
    <x:row r="6" spans="1:15" x14ac:dyDescent="0.25">
      <x:c r="B6" s="166"/>
      <x:c r="C6" s="166"/>
      <x:c r="D6" s="166"/>
      <x:c r="E6" s="166"/>
      <x:c r="F6" s="166"/>
      <x:c r="G6" s="166"/>
      <x:c r="H6" s="198"/>
      <x:c r="I6" s="166"/>
      <x:c r="J6"/>
      <x:c r="K6"/>
      <x:c r="L6"/>
      <x:c r="M6"/>
      <x:c r="N6"/>
      <x:c r="O6" s="166"/>
    </x:row>
    <x:row r="7" spans="1:15" x14ac:dyDescent="0.25">
      <x:c r="A7" s="206" t="s">
        <x:v>40</x:v>
      </x:c>
      <x:c r="B7" s="302"/>
      <x:c r="C7" s="303" t="s">
        <x:v>10</x:v>
      </x:c>
      <x:c r="D7" s="303"/>
      <x:c r="E7" s="303" t="s">
        <x:v>11</x:v>
      </x:c>
      <x:c r="F7" s="303" t="s">
        <x:v>128</x:v>
      </x:c>
      <x:c r="G7" s="303"/>
      <x:c r="H7" s="475" t="s">
        <x:v>12</x:v>
      </x:c>
      <x:c r="I7" s="303" t="s">
        <x:v>128</x:v>
      </x:c>
      <x:c r="J7" s="303" t="s">
        <x:v>13</x:v>
      </x:c>
      <x:c r="N7" s="169"/>
    </x:row>
    <x:row r="8" spans="1:15" x14ac:dyDescent="0.25">
      <x:c r="A8" s="207"/>
      <x:c r="C8" s="20" t="s">
        <x:v>50</x:v>
      </x:c>
      <x:c r="D8" s="167"/>
      <x:c r="E8" s="20" t="s">
        <x:v>51</x:v>
      </x:c>
      <x:c r="F8" s="20" t="s">
        <x:v>57</x:v>
      </x:c>
      <x:c r="G8" s="167"/>
      <x:c r="H8" s="226" t="s">
        <x:v>52</x:v>
      </x:c>
      <x:c r="I8" s="20" t="s">
        <x:v>53</x:v>
      </x:c>
      <x:c r="J8" s="20" t="s">
        <x:v>54</x:v>
      </x:c>
      <x:c r="N8" s="169"/>
    </x:row>
    <x:row r="9" spans="1:15" x14ac:dyDescent="0.25">
      <x:c r="A9" s="207"/>
      <x:c r="H9" s="458"/>
      <x:c r="N9" s="169"/>
    </x:row>
    <x:row r="10" spans="1:15" x14ac:dyDescent="0.25">
      <x:c r="A10" s="455">
        <x:v>1</x:v>
      </x:c>
      <x:c r="B10" s="169"/>
      <x:c r="C10" s="456" t="s">
        <x:v>488</x:v>
      </x:c>
      <x:c r="D10" s="169"/>
      <x:c r="E10" s="457">
        <x:v>4954556306.6599998</x:v>
      </x:c>
      <x:c r="F10" s="462" t="s">
        <x:v>85</x:v>
      </x:c>
      <x:c r="G10" s="169"/>
      <x:c r="H10" s="713">
        <x:f>+'1-1'!E20</x:f>
        <x:v>53.14</x:v>
      </x:c>
      <x:c r="I10" s="185" t="s">
        <x:v>183</x:v>
      </x:c>
      <x:c r="J10" s="457">
        <x:f>H10*E10</x:f>
        <x:v>263285122135.91238</x:v>
      </x:c>
      <x:c r="N10" s="169"/>
    </x:row>
    <x:row r="11" spans="1:15" x14ac:dyDescent="0.25">
      <x:c r="A11" s="455">
        <x:v>2</x:v>
      </x:c>
      <x:c r="B11" s="169"/>
      <x:c r="C11" s="459"/>
      <x:c r="D11" s="169"/>
      <x:c r="E11" s="169"/>
      <x:c r="F11" s="169"/>
      <x:c r="G11" s="169"/>
      <x:c r="H11" s="713"/>
      <x:c r="I11" s="169"/>
      <x:c r="J11" s="169"/>
      <x:c r="N11" s="169"/>
    </x:row>
    <x:row r="12" spans="1:15" x14ac:dyDescent="0.25">
      <x:c r="A12" s="455">
        <x:v>3</x:v>
      </x:c>
      <x:c r="B12" s="169"/>
      <x:c r="C12" s="456" t="s">
        <x:v>14</x:v>
      </x:c>
      <x:c r="D12" s="169"/>
      <x:c r="E12" s="704">
        <x:v>438588163.78000033</x:v>
      </x:c>
      <x:c r="F12" s="462" t="s">
        <x:v>84</x:v>
      </x:c>
      <x:c r="G12" s="169"/>
      <x:c r="H12" s="714">
        <x:f>+'1-1'!H20</x:f>
        <x:v>54.782666854935869</x:v>
      </x:c>
      <x:c r="I12" s="185" t="s">
        <x:v>183</x:v>
      </x:c>
      <x:c r="J12" s="461">
        <x:f>+H12*E12</x:f>
        <x:v>24027029262.877808</x:v>
      </x:c>
      <x:c r="N12" s="169"/>
    </x:row>
    <x:row r="13" spans="1:15" x14ac:dyDescent="0.25">
      <x:c r="A13" s="455">
        <x:v>4</x:v>
      </x:c>
      <x:c r="B13" s="169"/>
      <x:c r="C13" s="169"/>
      <x:c r="D13" s="169"/>
      <x:c r="E13" s="169"/>
      <x:c r="F13" s="169"/>
      <x:c r="G13" s="169"/>
      <x:c r="H13" s="713"/>
      <x:c r="I13" s="169"/>
      <x:c r="J13" s="169"/>
      <x:c r="N13" s="169"/>
    </x:row>
    <x:row r="14" spans="1:15" ht="13.25" thickBot="1" x14ac:dyDescent="0.3">
      <x:c r="A14" s="455">
        <x:v>5</x:v>
      </x:c>
      <x:c r="B14" s="169"/>
      <x:c r="C14" s="456" t="s">
        <x:v>26</x:v>
      </x:c>
      <x:c r="D14" s="169"/>
      <x:c r="E14" s="463">
        <x:f>SUM(E10:E12)</x:f>
        <x:v>5393144470.4400005</x:v>
      </x:c>
      <x:c r="F14" s="169"/>
      <x:c r="G14" s="169"/>
      <x:c r="H14" s="715">
        <x:f>ROUND(J14/E14,2)</x:f>
        <x:v>53.27</x:v>
      </x:c>
      <x:c r="I14" s="169"/>
      <x:c r="J14" s="463">
        <x:f>SUM(J10:J12)</x:f>
        <x:v>287312151398.79016</x:v>
      </x:c>
    </x:row>
    <x:row r="15" spans="1:15" ht="13.25" thickTop="1" x14ac:dyDescent="0.25">
      <x:c r="A15" s="455">
        <x:v>6</x:v>
      </x:c>
      <x:c r="B15" s="169"/>
      <x:c r="C15" s="169"/>
      <x:c r="D15" s="169"/>
      <x:c r="E15" s="169"/>
      <x:c r="F15" s="169"/>
      <x:c r="G15" s="169"/>
      <x:c r="H15" s="458"/>
      <x:c r="I15" s="169"/>
      <x:c r="J15" s="169"/>
    </x:row>
    <x:row r="16" spans="1:15" x14ac:dyDescent="0.25">
      <x:c r="A16" s="455">
        <x:v>7</x:v>
      </x:c>
      <x:c r="B16" s="169"/>
      <x:c r="C16" s="456" t="s">
        <x:v>269</x:v>
      </x:c>
      <x:c r="D16" s="464" t="s">
        <x:v>85</x:v>
      </x:c>
      <x:c r="E16" s="290" t="s">
        <x:v>489</x:v>
      </x:c>
      <x:c r="F16" s="169"/>
      <x:c r="G16" s="169"/>
      <x:c r="H16" s="458"/>
      <x:c r="I16" s="169"/>
      <x:c r="J16" s="169"/>
    </x:row>
    <x:row r="17" spans="1:10" x14ac:dyDescent="0.25">
      <x:c r="A17" s="455">
        <x:v>8</x:v>
      </x:c>
      <x:c r="B17" s="169"/>
      <x:c r="C17" s="169"/>
      <x:c r="D17" s="464" t="s">
        <x:v>84</x:v>
      </x:c>
      <x:c r="E17" s="290" t="s">
        <x:v>437</x:v>
      </x:c>
      <x:c r="F17" s="169"/>
      <x:c r="G17" s="169"/>
      <x:c r="H17" s="458"/>
      <x:c r="I17" s="169"/>
      <x:c r="J17" s="169"/>
    </x:row>
    <x:row r="18" spans="1:10" x14ac:dyDescent="0.25">
      <x:c r="C18" s="169"/>
      <x:c r="D18" s="228"/>
      <x:c r="E18" s="228"/>
      <x:c r="F18" s="228"/>
    </x:row>
    <x:row r="19" spans="1:10" x14ac:dyDescent="0.25">
      <x:c r="C19" s="169"/>
      <x:c r="D19" s="228"/>
      <x:c r="E19" s="228"/>
      <x:c r="F19" s="228"/>
    </x:row>
    <x:row r="20" spans="1:10" x14ac:dyDescent="0.25">
      <x:c r="C20" s="169"/>
      <x:c r="D20" s="169"/>
      <x:c r="E20" s="169"/>
      <x:c r="F20" s="169"/>
    </x:row>
    <x:row r="21" spans="1:10" x14ac:dyDescent="0.25">
      <x:c r="C21" s="169"/>
      <x:c r="D21" s="169"/>
      <x:c r="E21" s="169"/>
      <x:c r="F21" s="169"/>
    </x:row>
    <x:row r="22" spans="1:10" x14ac:dyDescent="0.25">
      <x:c r="C22" s="169"/>
      <x:c r="D22" s="169"/>
      <x:c r="E22" s="169"/>
      <x:c r="F22" s="169"/>
    </x:row>
    <x:row r="23" spans="1:10" x14ac:dyDescent="0.25">
      <x:c r="C23" s="169"/>
      <x:c r="D23" s="169"/>
      <x:c r="E23" s="169"/>
      <x:c r="F23" s="169"/>
    </x:row>
  </x:sheetData>
  <x:phoneticPr fontId="24" type="noConversion"/>
  <x:hyperlinks>
    <x:hyperlink ref="E16" r:id="rId1" xr:uid="{00000000-0004-0000-0100-000000000000}"/>
    <x:hyperlink ref="E17" r:id="rId2" xr:uid="{00000000-0004-0000-0100-000001000000}"/>
  </x:hyperlinks>
  <x:printOptions horizontalCentered="1"/>
  <x:pageMargins left="0.5" right="0.5" top="1.5" bottom="0.5" header="1" footer="0.5"/>
  <x:pageSetup scale="93" orientation="landscape" r:id="rId3"/>
  <x:headerFooter alignWithMargins="0">
    <x:oddHeader>&amp;RWP/II-B-9/&amp;A
Page &amp;P of &amp;N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6">
    <x:tabColor rgb="FF92D050"/>
    <x:pageSetUpPr fitToPage="1"/>
  </x:sheetPr>
  <x:dimension ref="A1:N24"/>
  <x:sheetViews>
    <x:sheetView zoomScaleNormal="100" workbookViewId="0">
      <x:selection activeCell="D37" sqref="D37"/>
    </x:sheetView>
  </x:sheetViews>
  <x:sheetFormatPr defaultColWidth="8" defaultRowHeight="12.7" x14ac:dyDescent="0.25"/>
  <x:cols>
    <x:col min="1" max="1" width="5.109375" style="164" customWidth="1"/>
    <x:col min="2" max="2" width="3.88671875" style="164" customWidth="1"/>
    <x:col min="3" max="3" width="30.88671875" style="164" bestFit="1" customWidth="1"/>
    <x:col min="4" max="4" width="5.88671875" style="164" customWidth="1"/>
    <x:col min="5" max="5" width="18" style="164" customWidth="1"/>
    <x:col min="6" max="6" width="14.5546875" style="164" customWidth="1"/>
    <x:col min="7" max="7" width="3.5546875" style="164" customWidth="1"/>
    <x:col min="8" max="8" width="15.88671875" style="197" customWidth="1"/>
    <x:col min="9" max="9" width="19.109375" style="164" customWidth="1"/>
    <x:col min="10" max="10" width="3.5546875" style="164" customWidth="1"/>
    <x:col min="11" max="11" width="11.109375" style="165" bestFit="1" customWidth="1"/>
    <x:col min="12" max="12" width="1.5546875" style="164" customWidth="1"/>
    <x:col min="13" max="13" width="10.44140625" style="164" customWidth="1"/>
    <x:col min="14" max="21" width="8" style="164" customWidth="1"/>
    <x:col min="22" max="22" width="14.44140625" style="164" customWidth="1"/>
    <x:col min="23" max="16384" width="8" style="164"/>
  </x:cols>
  <x:sheetData>
    <x:row r="1" spans="1:14" s="73" customFormat="1" x14ac:dyDescent="0.25">
      <x:c r="A1" s="180" t="s">
        <x:v>523</x:v>
      </x:c>
      <x:c r="C1" s="180"/>
      <x:c r="D1" s="180"/>
      <x:c r="E1" s="183"/>
      <x:c r="F1" s="183"/>
      <x:c r="G1" s="471"/>
      <x:c r="H1" s="471"/>
    </x:row>
    <x:row r="2" spans="1:14" s="73" customFormat="1" x14ac:dyDescent="0.25">
      <x:c r="A2" s="180" t="str">
        <x:f>' '!A2</x:f>
        <x:v>ONCOR ELECTRIC DELIVERY COMPANY LLC</x:v>
      </x:c>
      <x:c r="C2" s="180"/>
      <x:c r="D2" s="180"/>
      <x:c r="E2" s="183"/>
      <x:c r="F2" s="183"/>
      <x:c r="G2" s="471"/>
      <x:c r="H2" s="471"/>
    </x:row>
    <x:row r="3" spans="1:14" s="73" customFormat="1" x14ac:dyDescent="0.25">
      <x:c r="A3" s="180" t="s">
        <x:v>285</x:v>
      </x:c>
      <x:c r="C3" s="180"/>
      <x:c r="D3" s="180"/>
      <x:c r="E3" s="183"/>
      <x:c r="F3" s="183"/>
      <x:c r="G3" s="471"/>
      <x:c r="H3" s="471"/>
    </x:row>
    <x:row r="4" spans="1:14" s="73" customFormat="1" x14ac:dyDescent="0.25">
      <x:c r="A4" s="767" t="s">
        <x:v>524</x:v>
      </x:c>
      <x:c r="C4" s="180"/>
      <x:c r="D4" s="180"/>
      <x:c r="E4" s="180"/>
      <x:c r="F4" s="180"/>
    </x:row>
    <x:row r="5" spans="1:14" s="73" customFormat="1" x14ac:dyDescent="0.25">
      <x:c r="A5" s="180" t="s">
        <x:v>486</x:v>
      </x:c>
      <x:c r="C5" s="180"/>
      <x:c r="D5" s="180"/>
      <x:c r="E5" s="180"/>
      <x:c r="F5" s="180"/>
      <x:c r="H5" s="73" t="s">
        <x:v>464</x:v>
      </x:c>
    </x:row>
    <x:row r="6" spans="1:14" x14ac:dyDescent="0.25">
      <x:c r="B6" s="166"/>
      <x:c r="C6" s="166"/>
      <x:c r="D6" s="166"/>
      <x:c r="E6" s="198"/>
      <x:c r="F6" s="166"/>
      <x:c r="G6" s="166"/>
      <x:c r="I6"/>
      <x:c r="J6"/>
      <x:c r="K6"/>
      <x:c r="L6"/>
      <x:c r="M6"/>
      <x:c r="N6" s="166"/>
    </x:row>
    <x:row r="7" spans="1:14" x14ac:dyDescent="0.25">
      <x:c r="A7" s="206" t="s">
        <x:v>40</x:v>
      </x:c>
      <x:c r="B7" s="208"/>
      <x:c r="C7" s="516" t="s">
        <x:v>23</x:v>
      </x:c>
      <x:c r="D7" s="208"/>
      <x:c r="E7" s="304" t="s">
        <x:v>488</x:v>
      </x:c>
      <x:c r="F7" s="303" t="s">
        <x:v>25</x:v>
      </x:c>
      <x:c r="G7" s="208"/>
      <x:c r="H7" s="304" t="s">
        <x:v>14</x:v>
      </x:c>
      <x:c r="I7" s="303" t="s">
        <x:v>25</x:v>
      </x:c>
      <x:c r="J7"/>
      <x:c r="K7"/>
      <x:c r="L7"/>
      <x:c r="M7"/>
      <x:c r="N7" s="166"/>
    </x:row>
    <x:row r="8" spans="1:14" x14ac:dyDescent="0.25">
      <x:c r="A8" s="210"/>
      <x:c r="B8" s="211"/>
      <x:c r="C8" s="20" t="s">
        <x:v>50</x:v>
      </x:c>
      <x:c r="D8" s="211"/>
      <x:c r="E8" s="20" t="s">
        <x:v>51</x:v>
      </x:c>
      <x:c r="F8" s="20" t="s">
        <x:v>57</x:v>
      </x:c>
      <x:c r="G8" s="211"/>
      <x:c r="H8" s="20" t="s">
        <x:v>52</x:v>
      </x:c>
      <x:c r="I8" s="20" t="s">
        <x:v>53</x:v>
      </x:c>
      <x:c r="J8"/>
      <x:c r="K8"/>
      <x:c r="L8"/>
      <x:c r="M8"/>
      <x:c r="N8" s="166"/>
    </x:row>
    <x:row r="9" spans="1:14" x14ac:dyDescent="0.25">
      <x:c r="A9" s="210"/>
      <x:c r="B9" s="211"/>
      <x:c r="C9" s="20"/>
      <x:c r="D9" s="211"/>
      <x:c r="E9" s="20"/>
      <x:c r="F9" s="20"/>
      <x:c r="G9" s="211"/>
      <x:c r="H9" s="20"/>
      <x:c r="I9" s="20"/>
      <x:c r="J9"/>
      <x:c r="K9"/>
      <x:c r="L9"/>
      <x:c r="M9"/>
      <x:c r="N9" s="166"/>
    </x:row>
    <x:row r="10" spans="1:14" x14ac:dyDescent="0.25">
      <x:c r="A10" s="207">
        <x:v>1</x:v>
      </x:c>
      <x:c r="C10" s="164" t="s">
        <x:v>9</x:v>
      </x:c>
      <x:c r="E10" s="197"/>
      <x:c r="F10"/>
      <x:c r="I10"/>
      <x:c r="J10"/>
      <x:c r="K10"/>
      <x:c r="L10"/>
      <x:c r="M10"/>
    </x:row>
    <x:row r="11" spans="1:14" x14ac:dyDescent="0.25">
      <x:c r="A11" s="207">
        <x:f t="shared" ref="A11:A22" si="0">A10+1</x:f>
        <x:v>2</x:v>
      </x:c>
      <x:c r="C11" s="168" t="s">
        <x:v>452</x:v>
      </x:c>
      <x:c r="E11" s="458">
        <x:f>ROUND(365.25/12/2,3)</x:f>
        <x:v>15.218999999999999</x:v>
      </x:c>
      <x:c r="F11" s="518"/>
      <x:c r="G11" s="197"/>
      <x:c r="H11" s="197">
        <x:f>ROUND(365.25/12/2,3)</x:f>
        <x:v>15.218999999999999</x:v>
      </x:c>
      <x:c r="I11"/>
      <x:c r="J11"/>
      <x:c r="K11"/>
      <x:c r="L11"/>
      <x:c r="M11"/>
    </x:row>
    <x:row r="12" spans="1:14" x14ac:dyDescent="0.25">
      <x:c r="A12" s="207">
        <x:f t="shared" si="0"/>
        <x:v>3</x:v>
      </x:c>
      <x:c r="E12" s="458"/>
      <x:c r="F12" s="518"/>
      <x:c r="G12" s="197"/>
      <x:c r="H12" s="458"/>
      <x:c r="I12"/>
      <x:c r="J12"/>
      <x:c r="K12"/>
      <x:c r="L12"/>
      <x:c r="M12"/>
    </x:row>
    <x:row r="13" spans="1:14" x14ac:dyDescent="0.25">
      <x:c r="A13" s="207">
        <x:f t="shared" si="0"/>
        <x:v>4</x:v>
      </x:c>
      <x:c r="C13" s="168" t="s">
        <x:v>200</x:v>
      </x:c>
      <x:c r="E13" s="712">
        <x:f>+'1-1-2'!D20</x:f>
        <x:v>3</x:v>
      </x:c>
      <x:c r="F13" s="519" t="s">
        <x:v>287</x:v>
      </x:c>
      <x:c r="G13" s="197"/>
      <x:c r="H13" s="712">
        <x:f>+'1-1-2'!D20</x:f>
        <x:v>3</x:v>
      </x:c>
      <x:c r="I13" s="185" t="s">
        <x:v>287</x:v>
      </x:c>
      <x:c r="J13"/>
      <x:c r="K13"/>
      <x:c r="L13"/>
      <x:c r="M13"/>
    </x:row>
    <x:row r="14" spans="1:14" x14ac:dyDescent="0.25">
      <x:c r="A14" s="207">
        <x:f t="shared" si="0"/>
        <x:v>5</x:v>
      </x:c>
      <x:c r="E14" s="458"/>
      <x:c r="F14" s="518"/>
      <x:c r="G14" s="197"/>
      <x:c r="H14" s="458"/>
      <x:c r="I14"/>
      <x:c r="J14"/>
      <x:c r="K14"/>
      <x:c r="L14"/>
      <x:c r="M14"/>
    </x:row>
    <x:row r="15" spans="1:14" x14ac:dyDescent="0.25">
      <x:c r="A15" s="207">
        <x:f t="shared" si="0"/>
        <x:v>6</x:v>
      </x:c>
      <x:c r="C15" s="164" t="s">
        <x:v>101</x:v>
      </x:c>
      <x:c r="E15" s="458">
        <x:f>+'1-1-3'!E14</x:f>
        <x:v>34.920999999999999</x:v>
      </x:c>
      <x:c r="F15" s="519" t="s">
        <x:v>288</x:v>
      </x:c>
      <x:c r="G15" s="197"/>
      <x:c r="H15" s="479">
        <x:v>36.563666854935867</x:v>
      </x:c>
      <x:c r="I15" s="477" t="s">
        <x:v>85</x:v>
      </x:c>
      <x:c r="J15"/>
      <x:c r="K15"/>
      <x:c r="L15"/>
      <x:c r="M15"/>
    </x:row>
    <x:row r="16" spans="1:14" x14ac:dyDescent="0.25">
      <x:c r="A16" s="207">
        <x:f t="shared" si="0"/>
        <x:v>7</x:v>
      </x:c>
      <x:c r="E16" s="458"/>
      <x:c r="F16" s="518"/>
      <x:c r="G16" s="197"/>
      <x:c r="H16" s="458"/>
      <x:c r="I16"/>
      <x:c r="J16"/>
      <x:c r="K16"/>
      <x:c r="L16"/>
      <x:c r="M16"/>
    </x:row>
    <x:row r="17" spans="1:13" x14ac:dyDescent="0.25">
      <x:c r="A17" s="207">
        <x:f t="shared" si="0"/>
        <x:v>8</x:v>
      </x:c>
      <x:c r="C17" s="168" t="s">
        <x:v>196</x:v>
      </x:c>
      <x:c r="E17" s="458">
        <x:v>0</x:v>
      </x:c>
      <x:c r="F17" s="518"/>
      <x:c r="G17" s="197"/>
      <x:c r="H17" s="458">
        <x:v>0</x:v>
      </x:c>
      <x:c r="I17"/>
      <x:c r="J17"/>
      <x:c r="K17"/>
      <x:c r="L17"/>
      <x:c r="M17"/>
    </x:row>
    <x:row r="18" spans="1:13" x14ac:dyDescent="0.25">
      <x:c r="A18" s="207">
        <x:f t="shared" si="0"/>
        <x:v>9</x:v>
      </x:c>
      <x:c r="E18" s="472"/>
      <x:c r="F18"/>
      <x:c r="H18" s="472"/>
      <x:c r="I18"/>
      <x:c r="J18"/>
      <x:c r="K18"/>
      <x:c r="L18"/>
      <x:c r="M18"/>
    </x:row>
    <x:row r="19" spans="1:13" x14ac:dyDescent="0.25">
      <x:c r="A19" s="207">
        <x:f t="shared" si="0"/>
        <x:v>10</x:v>
      </x:c>
      <x:c r="E19" s="460"/>
      <x:c r="F19"/>
      <x:c r="H19" s="460"/>
      <x:c r="I19"/>
      <x:c r="J19"/>
      <x:c r="K19"/>
      <x:c r="L19"/>
      <x:c r="M19"/>
    </x:row>
    <x:row r="20" spans="1:13" ht="13.25" thickBot="1" x14ac:dyDescent="0.3">
      <x:c r="A20" s="207">
        <x:f t="shared" si="0"/>
        <x:v>11</x:v>
      </x:c>
      <x:c r="C20" s="164" t="s">
        <x:v>102</x:v>
      </x:c>
      <x:c r="E20" s="473">
        <x:f>SUM(E11:E18)</x:f>
        <x:v>53.14</x:v>
      </x:c>
      <x:c r="F20"/>
      <x:c r="H20" s="473">
        <x:f>SUM(H11:H18)</x:f>
        <x:v>54.782666854935869</x:v>
      </x:c>
      <x:c r="I20"/>
      <x:c r="J20"/>
      <x:c r="K20"/>
      <x:c r="L20"/>
      <x:c r="M20"/>
    </x:row>
    <x:row r="21" spans="1:13" ht="13.25" thickTop="1" x14ac:dyDescent="0.25">
      <x:c r="A21" s="207">
        <x:f t="shared" si="0"/>
        <x:v>12</x:v>
      </x:c>
      <x:c r="H21" s="474"/>
      <x:c r="I21"/>
      <x:c r="J21"/>
      <x:c r="K21"/>
      <x:c r="L21"/>
      <x:c r="M21"/>
    </x:row>
    <x:row r="22" spans="1:13" x14ac:dyDescent="0.25">
      <x:c r="A22" s="207">
        <x:f t="shared" si="0"/>
        <x:v>13</x:v>
      </x:c>
      <x:c r="C22" s="168" t="s">
        <x:v>230</x:v>
      </x:c>
      <x:c r="D22" s="478" t="s">
        <x:v>85</x:v>
      </x:c>
      <x:c r="E22" s="290" t="s">
        <x:v>437</x:v>
      </x:c>
      <x:c r="H22" s="458"/>
      <x:c r="M22" s="169"/>
    </x:row>
    <x:row r="23" spans="1:13" x14ac:dyDescent="0.25">
      <x:c r="D23"/>
      <x:c r="E23"/>
      <x:c r="F23"/>
    </x:row>
    <x:row r="24" spans="1:13" x14ac:dyDescent="0.25">
      <x:c r="D24"/>
      <x:c r="E24"/>
      <x:c r="F24"/>
    </x:row>
  </x:sheetData>
  <x:phoneticPr fontId="24" type="noConversion"/>
  <x:hyperlinks>
    <x:hyperlink ref="E22" r:id="rId1" xr:uid="{00000000-0004-0000-02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56">
    <x:tabColor rgb="FF92D050"/>
    <x:pageSetUpPr fitToPage="1"/>
  </x:sheetPr>
  <x:dimension ref="A1:J24"/>
  <x:sheetViews>
    <x:sheetView showGridLines="0" zoomScaleNormal="100" workbookViewId="0">
      <x:selection activeCell="D37" sqref="D37"/>
    </x:sheetView>
  </x:sheetViews>
  <x:sheetFormatPr defaultColWidth="9.109375" defaultRowHeight="12.7" x14ac:dyDescent="0.25"/>
  <x:cols>
    <x:col min="1" max="1" width="6" style="1" customWidth="1"/>
    <x:col min="2" max="2" width="53.44140625" style="1" customWidth="1"/>
    <x:col min="3" max="3" width="13.109375" style="3" customWidth="1"/>
    <x:col min="4" max="4" width="14.109375" style="1" customWidth="1"/>
    <x:col min="5" max="5" width="28.44140625" style="1" customWidth="1"/>
    <x:col min="6" max="6" width="23.88671875" style="1" customWidth="1"/>
    <x:col min="7" max="16384" width="9.109375" style="1"/>
  </x:cols>
  <x:sheetData>
    <x:row r="1" spans="1:10" s="41" customFormat="1" x14ac:dyDescent="0.25">
      <x:c r="A1" s="130" t="s">
        <x:v>523</x:v>
      </x:c>
      <x:c r="B1" s="130"/>
      <x:c r="C1" s="293"/>
      <x:c r="D1" s="130"/>
      <x:c r="E1" s="180"/>
      <x:c r="F1" s="180"/>
    </x:row>
    <x:row r="2" spans="1:10" s="41" customFormat="1" x14ac:dyDescent="0.25">
      <x:c r="A2" s="130" t="str">
        <x:f>' '!A2</x:f>
        <x:v>ONCOR ELECTRIC DELIVERY COMPANY LLC</x:v>
      </x:c>
      <x:c r="B2" s="130"/>
      <x:c r="C2" s="293"/>
      <x:c r="D2" s="130"/>
      <x:c r="E2" s="180"/>
      <x:c r="F2" s="180"/>
    </x:row>
    <x:row r="3" spans="1:10" s="41" customFormat="1" x14ac:dyDescent="0.25">
      <x:c r="A3" s="233" t="s">
        <x:v>270</x:v>
      </x:c>
      <x:c r="B3" s="233"/>
      <x:c r="C3" s="293"/>
      <x:c r="D3" s="233"/>
      <x:c r="E3" s="182"/>
      <x:c r="F3" s="182"/>
    </x:row>
    <x:row r="4" spans="1:10" s="41" customFormat="1" x14ac:dyDescent="0.25">
      <x:c r="A4" s="767" t="s">
        <x:v>524</x:v>
      </x:c>
      <x:c r="B4" s="130"/>
      <x:c r="C4" s="293"/>
      <x:c r="D4" s="130"/>
      <x:c r="E4" s="180"/>
      <x:c r="F4" s="180"/>
    </x:row>
    <x:row r="5" spans="1:10" s="41" customFormat="1" x14ac:dyDescent="0.25">
      <x:c r="A5" s="130" t="s">
        <x:v>486</x:v>
      </x:c>
      <x:c r="B5" s="130"/>
      <x:c r="C5" s="293"/>
      <x:c r="D5" s="130"/>
      <x:c r="E5" s="180"/>
      <x:c r="F5" s="180"/>
      <x:c r="H5" s="41" t="s">
        <x:v>464</x:v>
      </x:c>
    </x:row>
    <x:row r="6" spans="1:10" x14ac:dyDescent="0.25">
      <x:c r="A6" s="26"/>
      <x:c r="B6" s="26"/>
      <x:c r="C6" s="20"/>
      <x:c r="D6" s="26"/>
    </x:row>
    <x:row r="7" spans="1:10" s="26" customFormat="1" ht="25.35" x14ac:dyDescent="0.25">
      <x:c r="A7" s="33" t="s">
        <x:v>40</x:v>
      </x:c>
      <x:c r="B7" s="56" t="s">
        <x:v>23</x:v>
      </x:c>
      <x:c r="C7" s="639" t="s">
        <x:v>271</x:v>
      </x:c>
      <x:c r="D7" s="33" t="s">
        <x:v>97</x:v>
      </x:c>
      <x:c r="E7" s="33" t="s">
        <x:v>25</x:v>
      </x:c>
      <x:c r="F7" s="213"/>
    </x:row>
    <x:row r="8" spans="1:10" x14ac:dyDescent="0.25">
      <x:c r="A8" s="20"/>
      <x:c r="B8" s="40" t="s">
        <x:v>50</x:v>
      </x:c>
      <x:c r="C8" s="40" t="s">
        <x:v>51</x:v>
      </x:c>
      <x:c r="D8" s="226" t="s">
        <x:v>57</x:v>
      </x:c>
      <x:c r="E8" s="226" t="s">
        <x:v>52</x:v>
      </x:c>
      <x:c r="F8" s="3"/>
    </x:row>
    <x:row r="9" spans="1:10" x14ac:dyDescent="0.25">
      <x:c r="A9" s="20"/>
      <x:c r="B9" s="26"/>
      <x:c r="C9" s="20"/>
      <x:c r="D9" s="26"/>
      <x:c r="F9" s="158"/>
      <x:c r="G9" s="158"/>
      <x:c r="H9" s="158"/>
      <x:c r="I9" s="158"/>
      <x:c r="J9" s="158"/>
    </x:row>
    <x:row r="10" spans="1:10" x14ac:dyDescent="0.25">
      <x:c r="A10" s="20">
        <x:v>1</x:v>
      </x:c>
      <x:c r="B10" s="5" t="s">
        <x:v>272</x:v>
      </x:c>
      <x:c r="C10" s="22"/>
      <x:c r="D10" s="520"/>
      <x:c r="E10" s="158"/>
      <x:c r="G10" s="158"/>
      <x:c r="H10" s="158"/>
      <x:c r="I10" s="158"/>
      <x:c r="J10" s="158"/>
    </x:row>
    <x:row r="11" spans="1:10" x14ac:dyDescent="0.25">
      <x:c r="A11" s="20">
        <x:f>+A10+1</x:f>
        <x:v>2</x:v>
      </x:c>
      <x:c r="B11" s="26"/>
      <x:c r="C11" s="20"/>
      <x:c r="D11" s="520"/>
      <x:c r="E11" s="185"/>
      <x:c r="G11" s="158"/>
      <x:c r="H11" s="158"/>
      <x:c r="I11" s="158"/>
      <x:c r="J11" s="158"/>
    </x:row>
    <x:row r="12" spans="1:10" x14ac:dyDescent="0.25">
      <x:c r="A12" s="20">
        <x:f t="shared" ref="A12:A20" si="0">+A11+1</x:f>
        <x:v>3</x:v>
      </x:c>
      <x:c r="B12" s="26" t="s">
        <x:v>273</x:v>
      </x:c>
      <x:c r="C12" s="20"/>
      <x:c r="D12" s="520">
        <x:f>+'1-1-2-1'!I133</x:f>
        <x:v>2.25</x:v>
      </x:c>
      <x:c r="E12" s="185" t="s">
        <x:v>295</x:v>
      </x:c>
      <x:c r="G12" s="158"/>
      <x:c r="H12" s="158"/>
      <x:c r="I12" s="158"/>
      <x:c r="J12" s="158"/>
    </x:row>
    <x:row r="13" spans="1:10" x14ac:dyDescent="0.25">
      <x:c r="A13" s="20">
        <x:f t="shared" si="0"/>
        <x:v>4</x:v>
      </x:c>
      <x:c r="B13" s="26"/>
      <x:c r="C13" s="20"/>
      <x:c r="D13" s="520"/>
      <x:c r="E13" s="185"/>
      <x:c r="G13" s="158"/>
      <x:c r="H13" s="158"/>
      <x:c r="I13" s="158"/>
      <x:c r="J13" s="158"/>
    </x:row>
    <x:row r="14" spans="1:10" x14ac:dyDescent="0.25">
      <x:c r="A14" s="20">
        <x:f t="shared" si="0"/>
        <x:v>5</x:v>
      </x:c>
      <x:c r="B14" s="26"/>
      <x:c r="C14" s="20"/>
      <x:c r="D14" s="520"/>
      <x:c r="E14" s="185"/>
      <x:c r="G14" s="158"/>
      <x:c r="H14" s="158"/>
      <x:c r="I14" s="158"/>
      <x:c r="J14" s="158"/>
    </x:row>
    <x:row r="15" spans="1:10" x14ac:dyDescent="0.25">
      <x:c r="A15" s="20">
        <x:f t="shared" si="0"/>
        <x:v>6</x:v>
      </x:c>
      <x:c r="B15" s="25" t="s">
        <x:v>457</x:v>
      </x:c>
      <x:c r="C15" s="20"/>
      <x:c r="D15" s="520"/>
      <x:c r="E15" s="185"/>
      <x:c r="G15" s="158"/>
      <x:c r="H15" s="158"/>
      <x:c r="I15" s="158"/>
      <x:c r="J15" s="158"/>
    </x:row>
    <x:row r="16" spans="1:10" x14ac:dyDescent="0.25">
      <x:c r="A16" s="20">
        <x:f t="shared" si="0"/>
        <x:v>7</x:v>
      </x:c>
      <x:c r="B16" s="26"/>
      <x:c r="C16" s="20"/>
      <x:c r="D16" s="520"/>
      <x:c r="E16" s="185"/>
      <x:c r="G16" s="158"/>
      <x:c r="H16" s="158"/>
      <x:c r="I16" s="158"/>
      <x:c r="J16" s="158"/>
    </x:row>
    <x:row r="17" spans="1:10" x14ac:dyDescent="0.25">
      <x:c r="A17" s="20">
        <x:f t="shared" si="0"/>
        <x:v>8</x:v>
      </x:c>
      <x:c r="B17" s="626" t="s">
        <x:v>1071</x:v>
      </x:c>
      <x:c r="C17" s="646">
        <x:v>18</x:v>
      </x:c>
      <x:c r="D17" s="521">
        <x:f>+C17/24</x:f>
        <x:v>0.75</x:v>
      </x:c>
      <x:c r="E17" s="185"/>
      <x:c r="G17" s="158"/>
      <x:c r="H17" s="158"/>
      <x:c r="I17" s="158"/>
      <x:c r="J17" s="158"/>
    </x:row>
    <x:row r="18" spans="1:10" x14ac:dyDescent="0.25">
      <x:c r="A18" s="20">
        <x:f t="shared" si="0"/>
        <x:v>9</x:v>
      </x:c>
      <x:c r="B18" s="26"/>
      <x:c r="C18" s="20"/>
      <x:c r="D18" s="520"/>
      <x:c r="E18" s="185"/>
      <x:c r="G18" s="158"/>
      <x:c r="H18" s="158"/>
      <x:c r="I18" s="158"/>
      <x:c r="J18" s="158"/>
    </x:row>
    <x:row r="19" spans="1:10" x14ac:dyDescent="0.25">
      <x:c r="A19" s="20">
        <x:f t="shared" si="0"/>
        <x:v>10</x:v>
      </x:c>
      <x:c r="B19" s="26"/>
      <x:c r="C19" s="20"/>
      <x:c r="D19" s="520"/>
      <x:c r="E19" s="158"/>
      <x:c r="G19" s="158"/>
      <x:c r="H19" s="158"/>
      <x:c r="I19" s="158"/>
      <x:c r="J19" s="158"/>
    </x:row>
    <x:row r="20" spans="1:10" ht="13.25" thickBot="1" x14ac:dyDescent="0.3">
      <x:c r="A20" s="20">
        <x:f t="shared" si="0"/>
        <x:v>11</x:v>
      </x:c>
      <x:c r="B20" s="445" t="s">
        <x:v>274</x:v>
      </x:c>
      <x:c r="C20" s="20"/>
      <x:c r="D20" s="522">
        <x:f>SUM(D10:D17)</x:f>
        <x:v>3</x:v>
      </x:c>
      <x:c r="E20" s="158"/>
      <x:c r="G20" s="158"/>
      <x:c r="H20" s="158"/>
      <x:c r="I20" s="158"/>
      <x:c r="J20" s="158"/>
    </x:row>
    <x:row r="21" spans="1:10" ht="13.25" thickTop="1" x14ac:dyDescent="0.25">
      <x:c r="A21" s="26"/>
      <x:c r="B21" s="26"/>
      <x:c r="C21" s="20"/>
      <x:c r="D21" s="26"/>
    </x:row>
    <x:row r="24" spans="1:10" x14ac:dyDescent="0.25">
      <x:c r="B24" s="737"/>
      <x:c r="C24" s="826"/>
      <x:c r="D24" s="764"/>
      <x:c r="E24" s="764"/>
      <x:c r="F24" s="764"/>
    </x:row>
  </x:sheetData>
  <x:phoneticPr fontId="23" type="noConversion"/>
  <x:printOptions horizontalCentered="1"/>
  <x:pageMargins left="0.5" right="0.5" top="1.5" bottom="0.5" header="1" footer="0.5"/>
  <x:pageSetup scale="82" orientation="landscape" r:id="rId1"/>
  <x:headerFooter alignWithMargins="0">
    <x:oddHeader>&amp;RWP/II-B-9/&amp;A
Page &amp;P of &amp;N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7">
    <x:tabColor rgb="FF92D050"/>
  </x:sheetPr>
  <x:dimension ref="A1:K137"/>
  <x:sheetViews>
    <x:sheetView zoomScaleNormal="100" zoomScaleSheetLayoutView="100" workbookViewId="0">
      <x:selection activeCell="D37" sqref="D37"/>
    </x:sheetView>
  </x:sheetViews>
  <x:sheetFormatPr defaultColWidth="8" defaultRowHeight="12.7" x14ac:dyDescent="0.25"/>
  <x:cols>
    <x:col min="1" max="1" width="5.109375" style="164" customWidth="1"/>
    <x:col min="2" max="2" width="3.88671875" style="164" customWidth="1"/>
    <x:col min="3" max="3" width="30.88671875" style="164" bestFit="1" customWidth="1"/>
    <x:col min="4" max="4" width="3" style="164" customWidth="1"/>
    <x:col min="5" max="5" width="23" style="164" bestFit="1" customWidth="1"/>
    <x:col min="6" max="6" width="12.88671875" style="164" bestFit="1" customWidth="1"/>
    <x:col min="7" max="7" width="18.109375" style="164" bestFit="1" customWidth="1"/>
    <x:col min="8" max="8" width="3.5546875" style="164" customWidth="1"/>
    <x:col min="9" max="9" width="14" style="197" customWidth="1"/>
    <x:col min="10" max="10" width="1.5546875" style="164" customWidth="1"/>
    <x:col min="11" max="18" width="8" style="164" customWidth="1"/>
    <x:col min="19" max="19" width="14.44140625" style="164" customWidth="1"/>
    <x:col min="20" max="16384" width="8" style="164"/>
  </x:cols>
  <x:sheetData>
    <x:row r="1" spans="1:11" s="73" customFormat="1" x14ac:dyDescent="0.25">
      <x:c r="A1" s="180" t="s">
        <x:v>523</x:v>
      </x:c>
      <x:c r="C1" s="180"/>
      <x:c r="D1" s="180"/>
      <x:c r="E1" s="183"/>
      <x:c r="F1" s="183"/>
      <x:c r="G1" s="183"/>
      <x:c r="H1" s="471"/>
      <x:c r="I1" s="471"/>
    </x:row>
    <x:row r="2" spans="1:11" s="73" customFormat="1" x14ac:dyDescent="0.25">
      <x:c r="A2" s="180" t="str">
        <x:f>' '!A2</x:f>
        <x:v>ONCOR ELECTRIC DELIVERY COMPANY LLC</x:v>
      </x:c>
      <x:c r="C2" s="180"/>
      <x:c r="D2" s="180"/>
      <x:c r="E2" s="183"/>
      <x:c r="F2" s="183"/>
      <x:c r="G2" s="183"/>
      <x:c r="H2" s="471"/>
      <x:c r="I2" s="471"/>
    </x:row>
    <x:row r="3" spans="1:11" s="73" customFormat="1" x14ac:dyDescent="0.25">
      <x:c r="A3" s="180" t="s">
        <x:v>294</x:v>
      </x:c>
      <x:c r="C3" s="180"/>
      <x:c r="D3" s="180"/>
      <x:c r="E3" s="183"/>
      <x:c r="F3" s="183"/>
      <x:c r="G3" s="183"/>
      <x:c r="H3" s="471"/>
      <x:c r="I3" s="471"/>
    </x:row>
    <x:row r="4" spans="1:11" s="73" customFormat="1" x14ac:dyDescent="0.25">
      <x:c r="A4" s="767" t="s">
        <x:v>524</x:v>
      </x:c>
      <x:c r="C4" s="180"/>
      <x:c r="D4" s="180"/>
      <x:c r="E4" s="180"/>
      <x:c r="F4" s="180"/>
      <x:c r="G4" s="180"/>
    </x:row>
    <x:row r="5" spans="1:11" s="73" customFormat="1" x14ac:dyDescent="0.25">
      <x:c r="A5" s="180" t="s">
        <x:v>486</x:v>
      </x:c>
      <x:c r="C5" s="180"/>
      <x:c r="D5" s="180"/>
      <x:c r="E5" s="180"/>
      <x:c r="F5" s="180"/>
      <x:c r="G5" s="180"/>
      <x:c r="H5" s="73" t="s">
        <x:v>464</x:v>
      </x:c>
    </x:row>
    <x:row r="6" spans="1:11" x14ac:dyDescent="0.25">
      <x:c r="B6" s="166"/>
      <x:c r="C6" s="166"/>
      <x:c r="D6" s="166"/>
      <x:c r="E6" s="198"/>
      <x:c r="F6" s="198"/>
      <x:c r="G6" s="166"/>
      <x:c r="H6" s="166"/>
      <x:c r="J6"/>
      <x:c r="K6" s="166"/>
    </x:row>
    <x:row r="7" spans="1:11" s="487" customFormat="1" ht="38.049999999999997" x14ac:dyDescent="0.25">
      <x:c r="A7" s="480" t="s">
        <x:v>40</x:v>
      </x:c>
      <x:c r="B7" s="481"/>
      <x:c r="C7" s="482" t="s">
        <x:v>289</x:v>
      </x:c>
      <x:c r="D7" s="481"/>
      <x:c r="E7" s="483" t="s">
        <x:v>290</x:v>
      </x:c>
      <x:c r="F7" s="483" t="s">
        <x:v>293</x:v>
      </x:c>
      <x:c r="G7" s="484" t="s">
        <x:v>291</x:v>
      </x:c>
      <x:c r="H7" s="481"/>
      <x:c r="I7" s="483" t="s">
        <x:v>292</x:v>
      </x:c>
      <x:c r="J7" s="485"/>
      <x:c r="K7" s="486"/>
    </x:row>
    <x:row r="8" spans="1:11" x14ac:dyDescent="0.25">
      <x:c r="A8" s="210"/>
      <x:c r="B8" s="211"/>
      <x:c r="C8" s="20" t="s">
        <x:v>50</x:v>
      </x:c>
      <x:c r="D8" s="211"/>
      <x:c r="E8" s="20" t="s">
        <x:v>51</x:v>
      </x:c>
      <x:c r="F8" s="20" t="s">
        <x:v>57</x:v>
      </x:c>
      <x:c r="G8" s="20" t="s">
        <x:v>52</x:v>
      </x:c>
      <x:c r="H8" s="211"/>
      <x:c r="I8" s="20" t="s">
        <x:v>53</x:v>
      </x:c>
      <x:c r="J8"/>
      <x:c r="K8" s="166"/>
    </x:row>
    <x:row r="9" spans="1:11" x14ac:dyDescent="0.25">
      <x:c r="A9" s="210"/>
      <x:c r="B9" s="211"/>
      <x:c r="C9" s="20"/>
      <x:c r="D9" s="211"/>
      <x:c r="E9" s="20"/>
      <x:c r="F9" s="20"/>
      <x:c r="G9" s="20"/>
      <x:c r="H9" s="211"/>
      <x:c r="I9" s="20"/>
      <x:c r="J9"/>
      <x:c r="K9" s="166"/>
    </x:row>
    <x:row r="10" spans="1:11" x14ac:dyDescent="0.25">
      <x:c r="A10" s="798" t="s">
        <x:v>1002</x:v>
      </x:c>
      <x:c r="C10" s="710" t="s">
        <x:v>528</x:v>
      </x:c>
      <x:c r="D10"/>
      <x:c r="E10" s="711">
        <x:v>45549</x:v>
      </x:c>
      <x:c r="F10" s="710" t="s">
        <x:v>509</x:v>
      </x:c>
      <x:c r="G10" s="711">
        <x:v>45551</x:v>
      </x:c>
      <x:c r="H10"/>
      <x:c r="I10" s="489">
        <x:f t="shared" ref="I10:I70" si="0">+G10-E10</x:f>
        <x:v>2</x:v>
      </x:c>
      <x:c r="J10"/>
    </x:row>
    <x:row r="11" spans="1:11" x14ac:dyDescent="0.25">
      <x:c r="A11" s="798" t="s">
        <x:v>1003</x:v>
      </x:c>
      <x:c r="C11" s="710" t="s">
        <x:v>529</x:v>
      </x:c>
      <x:c r="D11"/>
      <x:c r="E11" s="711">
        <x:v>45440</x:v>
      </x:c>
      <x:c r="F11" s="710" t="s">
        <x:v>510</x:v>
      </x:c>
      <x:c r="G11" s="711">
        <x:v>45441</x:v>
      </x:c>
      <x:c r="H11"/>
      <x:c r="I11" s="489">
        <x:f t="shared" si="0"/>
        <x:v>1</x:v>
      </x:c>
      <x:c r="J11"/>
    </x:row>
    <x:row r="12" spans="1:11" x14ac:dyDescent="0.25">
      <x:c r="A12" s="798" t="s">
        <x:v>1004</x:v>
      </x:c>
      <x:c r="C12" s="710" t="s">
        <x:v>530</x:v>
      </x:c>
      <x:c r="D12"/>
      <x:c r="E12" s="711">
        <x:v>45199</x:v>
      </x:c>
      <x:c r="F12" s="710" t="s">
        <x:v>509</x:v>
      </x:c>
      <x:c r="G12" s="711">
        <x:v>45201</x:v>
      </x:c>
      <x:c r="H12"/>
      <x:c r="I12" s="489">
        <x:f t="shared" si="0"/>
        <x:v>2</x:v>
      </x:c>
      <x:c r="J12"/>
    </x:row>
    <x:row r="13" spans="1:11" x14ac:dyDescent="0.25">
      <x:c r="A13" s="798" t="s">
        <x:v>1005</x:v>
      </x:c>
      <x:c r="C13" s="710" t="s">
        <x:v>531</x:v>
      </x:c>
      <x:c r="D13"/>
      <x:c r="E13" s="711">
        <x:v>45507</x:v>
      </x:c>
      <x:c r="F13" s="710" t="s">
        <x:v>509</x:v>
      </x:c>
      <x:c r="G13" s="711">
        <x:v>45509</x:v>
      </x:c>
      <x:c r="H13"/>
      <x:c r="I13" s="489">
        <x:f t="shared" si="0"/>
        <x:v>2</x:v>
      </x:c>
      <x:c r="J13"/>
    </x:row>
    <x:row r="14" spans="1:11" x14ac:dyDescent="0.25">
      <x:c r="A14" s="798" t="s">
        <x:v>1006</x:v>
      </x:c>
      <x:c r="C14" s="710" t="s">
        <x:v>532</x:v>
      </x:c>
      <x:c r="D14"/>
      <x:c r="E14" s="711">
        <x:v>45278</x:v>
      </x:c>
      <x:c r="F14" s="710" t="s">
        <x:v>513</x:v>
      </x:c>
      <x:c r="G14" s="711">
        <x:v>45279</x:v>
      </x:c>
      <x:c r="H14"/>
      <x:c r="I14" s="489">
        <x:f t="shared" si="0"/>
        <x:v>1</x:v>
      </x:c>
      <x:c r="J14"/>
    </x:row>
    <x:row r="15" spans="1:11" x14ac:dyDescent="0.25">
      <x:c r="A15" s="798" t="s">
        <x:v>1007</x:v>
      </x:c>
      <x:c r="C15" s="710" t="s">
        <x:v>533</x:v>
      </x:c>
      <x:c r="D15"/>
      <x:c r="E15" s="711">
        <x:v>45396</x:v>
      </x:c>
      <x:c r="F15" s="710" t="s">
        <x:v>511</x:v>
      </x:c>
      <x:c r="G15" s="711">
        <x:v>45397</x:v>
      </x:c>
      <x:c r="H15"/>
      <x:c r="I15" s="489">
        <x:f t="shared" si="0"/>
        <x:v>1</x:v>
      </x:c>
      <x:c r="J15"/>
    </x:row>
    <x:row r="16" spans="1:11" x14ac:dyDescent="0.25">
      <x:c r="A16" s="798" t="s">
        <x:v>1008</x:v>
      </x:c>
      <x:c r="C16" s="710" t="s">
        <x:v>534</x:v>
      </x:c>
      <x:c r="D16"/>
      <x:c r="E16" s="711">
        <x:v>45445</x:v>
      </x:c>
      <x:c r="F16" s="710" t="s">
        <x:v>511</x:v>
      </x:c>
      <x:c r="G16" s="711">
        <x:v>45446</x:v>
      </x:c>
      <x:c r="H16"/>
      <x:c r="I16" s="489">
        <x:f t="shared" si="0"/>
        <x:v>1</x:v>
      </x:c>
      <x:c r="J16"/>
    </x:row>
    <x:row r="17" spans="1:10" x14ac:dyDescent="0.25">
      <x:c r="A17" s="798" t="s">
        <x:v>1009</x:v>
      </x:c>
      <x:c r="C17" s="710" t="s">
        <x:v>535</x:v>
      </x:c>
      <x:c r="D17"/>
      <x:c r="E17" s="711">
        <x:v>45248</x:v>
      </x:c>
      <x:c r="F17" s="710" t="s">
        <x:v>509</x:v>
      </x:c>
      <x:c r="G17" s="711">
        <x:v>45250</x:v>
      </x:c>
      <x:c r="H17"/>
      <x:c r="I17" s="489">
        <x:f t="shared" si="0"/>
        <x:v>2</x:v>
      </x:c>
      <x:c r="J17"/>
    </x:row>
    <x:row r="18" spans="1:10" x14ac:dyDescent="0.25">
      <x:c r="A18" s="798" t="s">
        <x:v>1010</x:v>
      </x:c>
      <x:c r="C18" s="710" t="s">
        <x:v>536</x:v>
      </x:c>
      <x:c r="D18"/>
      <x:c r="E18" s="711">
        <x:v>45395</x:v>
      </x:c>
      <x:c r="F18" s="710" t="s">
        <x:v>509</x:v>
      </x:c>
      <x:c r="G18" s="711">
        <x:v>45397</x:v>
      </x:c>
      <x:c r="H18"/>
      <x:c r="I18" s="489">
        <x:f t="shared" si="0"/>
        <x:v>2</x:v>
      </x:c>
      <x:c r="J18"/>
    </x:row>
    <x:row r="19" spans="1:10" x14ac:dyDescent="0.25">
      <x:c r="A19" s="798" t="s">
        <x:v>1011</x:v>
      </x:c>
      <x:c r="C19" s="710" t="s">
        <x:v>537</x:v>
      </x:c>
      <x:c r="D19"/>
      <x:c r="E19" s="711">
        <x:v>45481</x:v>
      </x:c>
      <x:c r="F19" s="710" t="s">
        <x:v>513</x:v>
      </x:c>
      <x:c r="G19" s="711">
        <x:v>45482</x:v>
      </x:c>
      <x:c r="H19"/>
      <x:c r="I19" s="489">
        <x:f t="shared" si="0"/>
        <x:v>1</x:v>
      </x:c>
      <x:c r="J19"/>
    </x:row>
    <x:row r="20" spans="1:10" x14ac:dyDescent="0.25">
      <x:c r="A20" s="798" t="s">
        <x:v>1012</x:v>
      </x:c>
      <x:c r="C20" s="710" t="s">
        <x:v>538</x:v>
      </x:c>
      <x:c r="D20"/>
      <x:c r="E20" s="711">
        <x:v>45213</x:v>
      </x:c>
      <x:c r="F20" s="710" t="s">
        <x:v>509</x:v>
      </x:c>
      <x:c r="G20" s="711">
        <x:v>45215</x:v>
      </x:c>
      <x:c r="H20"/>
      <x:c r="I20" s="489">
        <x:f t="shared" si="0"/>
        <x:v>2</x:v>
      </x:c>
      <x:c r="J20"/>
    </x:row>
    <x:row r="21" spans="1:10" x14ac:dyDescent="0.25">
      <x:c r="A21" s="798" t="s">
        <x:v>1013</x:v>
      </x:c>
      <x:c r="C21" s="710" t="s">
        <x:v>539</x:v>
      </x:c>
      <x:c r="D21"/>
      <x:c r="E21" s="711">
        <x:v>45409</x:v>
      </x:c>
      <x:c r="F21" s="710" t="s">
        <x:v>509</x:v>
      </x:c>
      <x:c r="G21" s="711">
        <x:v>45411</x:v>
      </x:c>
      <x:c r="H21"/>
      <x:c r="I21" s="489">
        <x:f t="shared" si="0"/>
        <x:v>2</x:v>
      </x:c>
      <x:c r="J21"/>
    </x:row>
    <x:row r="22" spans="1:10" x14ac:dyDescent="0.25">
      <x:c r="A22" s="798" t="s">
        <x:v>1014</x:v>
      </x:c>
      <x:c r="C22" s="710" t="s">
        <x:v>540</x:v>
      </x:c>
      <x:c r="D22"/>
      <x:c r="E22" s="711">
        <x:v>45229</x:v>
      </x:c>
      <x:c r="F22" s="710" t="s">
        <x:v>513</x:v>
      </x:c>
      <x:c r="G22" s="711">
        <x:v>45230</x:v>
      </x:c>
      <x:c r="H22"/>
      <x:c r="I22" s="489">
        <x:f t="shared" si="0"/>
        <x:v>1</x:v>
      </x:c>
      <x:c r="J22"/>
    </x:row>
    <x:row r="23" spans="1:10" x14ac:dyDescent="0.25">
      <x:c r="A23" s="798" t="s">
        <x:v>1015</x:v>
      </x:c>
      <x:c r="C23" s="710" t="s">
        <x:v>541</x:v>
      </x:c>
      <x:c r="D23"/>
      <x:c r="E23" s="711">
        <x:v>45300</x:v>
      </x:c>
      <x:c r="F23" s="710" t="s">
        <x:v>510</x:v>
      </x:c>
      <x:c r="G23" s="711">
        <x:v>45301</x:v>
      </x:c>
      <x:c r="H23"/>
      <x:c r="I23" s="489">
        <x:f t="shared" si="0"/>
        <x:v>1</x:v>
      </x:c>
      <x:c r="J23"/>
    </x:row>
    <x:row r="24" spans="1:10" x14ac:dyDescent="0.25">
      <x:c r="A24" s="798" t="s">
        <x:v>1016</x:v>
      </x:c>
      <x:c r="C24" s="710" t="s">
        <x:v>542</x:v>
      </x:c>
      <x:c r="D24"/>
      <x:c r="E24" s="711">
        <x:v>45272</x:v>
      </x:c>
      <x:c r="F24" s="710" t="s">
        <x:v>510</x:v>
      </x:c>
      <x:c r="G24" s="711">
        <x:v>45274</x:v>
      </x:c>
      <x:c r="H24"/>
      <x:c r="I24" s="489">
        <x:f t="shared" si="0"/>
        <x:v>2</x:v>
      </x:c>
      <x:c r="J24"/>
    </x:row>
    <x:row r="25" spans="1:10" x14ac:dyDescent="0.25">
      <x:c r="A25" s="798" t="s">
        <x:v>1017</x:v>
      </x:c>
      <x:c r="C25" s="710" t="s">
        <x:v>543</x:v>
      </x:c>
      <x:c r="D25"/>
      <x:c r="E25" s="711">
        <x:v>45467</x:v>
      </x:c>
      <x:c r="F25" s="710" t="s">
        <x:v>513</x:v>
      </x:c>
      <x:c r="G25" s="711">
        <x:v>45468</x:v>
      </x:c>
      <x:c r="H25"/>
      <x:c r="I25" s="489">
        <x:f t="shared" si="0"/>
        <x:v>1</x:v>
      </x:c>
      <x:c r="J25"/>
    </x:row>
    <x:row r="26" spans="1:10" x14ac:dyDescent="0.25">
      <x:c r="A26" s="798" t="s">
        <x:v>1018</x:v>
      </x:c>
      <x:c r="C26" s="710" t="s">
        <x:v>544</x:v>
      </x:c>
      <x:c r="D26"/>
      <x:c r="E26" s="711">
        <x:v>45375</x:v>
      </x:c>
      <x:c r="F26" s="710" t="s">
        <x:v>511</x:v>
      </x:c>
      <x:c r="G26" s="711">
        <x:v>45376</x:v>
      </x:c>
      <x:c r="H26"/>
      <x:c r="I26" s="489">
        <x:f t="shared" si="0"/>
        <x:v>1</x:v>
      </x:c>
      <x:c r="J26"/>
    </x:row>
    <x:row r="27" spans="1:10" x14ac:dyDescent="0.25">
      <x:c r="A27" s="798" t="s">
        <x:v>1019</x:v>
      </x:c>
      <x:c r="C27" s="710" t="s">
        <x:v>545</x:v>
      </x:c>
      <x:c r="D27"/>
      <x:c r="E27" s="711">
        <x:v>45289</x:v>
      </x:c>
      <x:c r="F27" s="710" t="s">
        <x:v>514</x:v>
      </x:c>
      <x:c r="G27" s="711">
        <x:v>45293</x:v>
      </x:c>
      <x:c r="H27"/>
      <x:c r="I27" s="489">
        <x:f t="shared" si="0"/>
        <x:v>4</x:v>
      </x:c>
      <x:c r="J27"/>
    </x:row>
    <x:row r="28" spans="1:10" x14ac:dyDescent="0.25">
      <x:c r="A28" s="798" t="s">
        <x:v>1020</x:v>
      </x:c>
      <x:c r="C28" s="710" t="s">
        <x:v>546</x:v>
      </x:c>
      <x:c r="D28"/>
      <x:c r="E28" s="711">
        <x:v>45204</x:v>
      </x:c>
      <x:c r="F28" s="710" t="s">
        <x:v>515</x:v>
      </x:c>
      <x:c r="G28" s="711">
        <x:v>45205</x:v>
      </x:c>
      <x:c r="H28"/>
      <x:c r="I28" s="489">
        <x:f t="shared" si="0"/>
        <x:v>1</x:v>
      </x:c>
      <x:c r="J28"/>
    </x:row>
    <x:row r="29" spans="1:10" x14ac:dyDescent="0.25">
      <x:c r="A29" s="798" t="s">
        <x:v>1021</x:v>
      </x:c>
      <x:c r="C29" s="710" t="s">
        <x:v>547</x:v>
      </x:c>
      <x:c r="D29"/>
      <x:c r="E29" s="711">
        <x:v>45406</x:v>
      </x:c>
      <x:c r="F29" s="710" t="s">
        <x:v>512</x:v>
      </x:c>
      <x:c r="G29" s="711">
        <x:v>45407</x:v>
      </x:c>
      <x:c r="H29"/>
      <x:c r="I29" s="489">
        <x:f t="shared" si="0"/>
        <x:v>1</x:v>
      </x:c>
      <x:c r="J29"/>
    </x:row>
    <x:row r="30" spans="1:10" x14ac:dyDescent="0.25">
      <x:c r="A30" s="798" t="s">
        <x:v>1022</x:v>
      </x:c>
      <x:c r="C30" s="710" t="s">
        <x:v>548</x:v>
      </x:c>
      <x:c r="D30"/>
      <x:c r="E30" s="711">
        <x:v>45245</x:v>
      </x:c>
      <x:c r="F30" s="710" t="s">
        <x:v>512</x:v>
      </x:c>
      <x:c r="G30" s="711">
        <x:v>45246</x:v>
      </x:c>
      <x:c r="H30"/>
      <x:c r="I30" s="489">
        <x:f t="shared" si="0"/>
        <x:v>1</x:v>
      </x:c>
      <x:c r="J30"/>
    </x:row>
    <x:row r="31" spans="1:10" x14ac:dyDescent="0.25">
      <x:c r="A31" s="798" t="s">
        <x:v>1023</x:v>
      </x:c>
      <x:c r="C31" s="710" t="s">
        <x:v>549</x:v>
      </x:c>
      <x:c r="D31"/>
      <x:c r="E31" s="711">
        <x:v>45481</x:v>
      </x:c>
      <x:c r="F31" s="710" t="s">
        <x:v>513</x:v>
      </x:c>
      <x:c r="G31" s="711">
        <x:v>45483</x:v>
      </x:c>
      <x:c r="H31"/>
      <x:c r="I31" s="489">
        <x:f t="shared" si="0"/>
        <x:v>2</x:v>
      </x:c>
      <x:c r="J31"/>
    </x:row>
    <x:row r="32" spans="1:10" x14ac:dyDescent="0.25">
      <x:c r="A32" s="798" t="s">
        <x:v>1024</x:v>
      </x:c>
      <x:c r="C32" s="710" t="s">
        <x:v>550</x:v>
      </x:c>
      <x:c r="D32"/>
      <x:c r="E32" s="711">
        <x:v>45296</x:v>
      </x:c>
      <x:c r="F32" s="710" t="s">
        <x:v>514</x:v>
      </x:c>
      <x:c r="G32" s="711">
        <x:v>45297</x:v>
      </x:c>
      <x:c r="H32"/>
      <x:c r="I32" s="489">
        <x:f t="shared" si="0"/>
        <x:v>1</x:v>
      </x:c>
      <x:c r="J32"/>
    </x:row>
    <x:row r="33" spans="1:10" x14ac:dyDescent="0.25">
      <x:c r="A33" s="798" t="s">
        <x:v>1025</x:v>
      </x:c>
      <x:c r="C33" s="710" t="s">
        <x:v>551</x:v>
      </x:c>
      <x:c r="D33"/>
      <x:c r="E33" s="711">
        <x:v>45556</x:v>
      </x:c>
      <x:c r="F33" s="710" t="s">
        <x:v>509</x:v>
      </x:c>
      <x:c r="G33" s="711">
        <x:v>45558</x:v>
      </x:c>
      <x:c r="H33"/>
      <x:c r="I33" s="489">
        <x:f t="shared" si="0"/>
        <x:v>2</x:v>
      </x:c>
      <x:c r="J33"/>
    </x:row>
    <x:row r="34" spans="1:10" x14ac:dyDescent="0.25">
      <x:c r="A34" s="798" t="s">
        <x:v>1026</x:v>
      </x:c>
      <x:c r="C34" s="710" t="s">
        <x:v>552</x:v>
      </x:c>
      <x:c r="D34"/>
      <x:c r="E34" s="711">
        <x:v>45440</x:v>
      </x:c>
      <x:c r="F34" s="710" t="s">
        <x:v>510</x:v>
      </x:c>
      <x:c r="G34" s="711">
        <x:v>45441</x:v>
      </x:c>
      <x:c r="H34"/>
      <x:c r="I34" s="489">
        <x:f t="shared" si="0"/>
        <x:v>1</x:v>
      </x:c>
      <x:c r="J34"/>
    </x:row>
    <x:row r="35" spans="1:10" x14ac:dyDescent="0.25">
      <x:c r="A35" s="798" t="s">
        <x:v>1027</x:v>
      </x:c>
      <x:c r="C35" s="710" t="s">
        <x:v>553</x:v>
      </x:c>
      <x:c r="D35"/>
      <x:c r="E35" s="711">
        <x:v>45399</x:v>
      </x:c>
      <x:c r="F35" s="710" t="s">
        <x:v>512</x:v>
      </x:c>
      <x:c r="G35" s="711">
        <x:v>45400</x:v>
      </x:c>
      <x:c r="H35"/>
      <x:c r="I35" s="489">
        <x:f t="shared" si="0"/>
        <x:v>1</x:v>
      </x:c>
      <x:c r="J35"/>
    </x:row>
    <x:row r="36" spans="1:10" x14ac:dyDescent="0.25">
      <x:c r="A36" s="798" t="s">
        <x:v>1028</x:v>
      </x:c>
      <x:c r="C36" s="710" t="s">
        <x:v>554</x:v>
      </x:c>
      <x:c r="D36"/>
      <x:c r="E36" s="711">
        <x:v>45381</x:v>
      </x:c>
      <x:c r="F36" s="710" t="s">
        <x:v>509</x:v>
      </x:c>
      <x:c r="G36" s="711">
        <x:v>45383</x:v>
      </x:c>
      <x:c r="H36"/>
      <x:c r="I36" s="489">
        <x:f t="shared" si="0"/>
        <x:v>2</x:v>
      </x:c>
      <x:c r="J36"/>
    </x:row>
    <x:row r="37" spans="1:10" x14ac:dyDescent="0.25">
      <x:c r="A37" s="798" t="s">
        <x:v>1029</x:v>
      </x:c>
      <x:c r="C37" s="710" t="s">
        <x:v>555</x:v>
      </x:c>
      <x:c r="D37"/>
      <x:c r="E37" s="711">
        <x:v>45533</x:v>
      </x:c>
      <x:c r="F37" s="710" t="s">
        <x:v>515</x:v>
      </x:c>
      <x:c r="G37" s="711">
        <x:v>45534</x:v>
      </x:c>
      <x:c r="H37"/>
      <x:c r="I37" s="489">
        <x:f t="shared" si="0"/>
        <x:v>1</x:v>
      </x:c>
      <x:c r="J37"/>
    </x:row>
    <x:row r="38" spans="1:10" x14ac:dyDescent="0.25">
      <x:c r="A38" s="798" t="s">
        <x:v>1030</x:v>
      </x:c>
      <x:c r="C38" s="710" t="s">
        <x:v>556</x:v>
      </x:c>
      <x:c r="D38"/>
      <x:c r="E38" s="711">
        <x:v>45360</x:v>
      </x:c>
      <x:c r="F38" s="710" t="s">
        <x:v>509</x:v>
      </x:c>
      <x:c r="G38" s="711">
        <x:v>45362</x:v>
      </x:c>
      <x:c r="H38"/>
      <x:c r="I38" s="489">
        <x:f t="shared" si="0"/>
        <x:v>2</x:v>
      </x:c>
      <x:c r="J38"/>
    </x:row>
    <x:row r="39" spans="1:10" x14ac:dyDescent="0.25">
      <x:c r="A39" s="798" t="s">
        <x:v>1031</x:v>
      </x:c>
      <x:c r="C39" s="710" t="s">
        <x:v>557</x:v>
      </x:c>
      <x:c r="D39"/>
      <x:c r="E39" s="711">
        <x:v>45250</x:v>
      </x:c>
      <x:c r="F39" s="710" t="s">
        <x:v>513</x:v>
      </x:c>
      <x:c r="G39" s="711">
        <x:v>45251</x:v>
      </x:c>
      <x:c r="H39"/>
      <x:c r="I39" s="489">
        <x:f t="shared" si="0"/>
        <x:v>1</x:v>
      </x:c>
      <x:c r="J39"/>
    </x:row>
    <x:row r="40" spans="1:10" x14ac:dyDescent="0.25">
      <x:c r="A40" s="798" t="s">
        <x:v>1032</x:v>
      </x:c>
      <x:c r="C40" s="710" t="s">
        <x:v>558</x:v>
      </x:c>
      <x:c r="D40"/>
      <x:c r="E40" s="711">
        <x:v>45362</x:v>
      </x:c>
      <x:c r="F40" s="710" t="s">
        <x:v>513</x:v>
      </x:c>
      <x:c r="G40" s="711">
        <x:v>45363</x:v>
      </x:c>
      <x:c r="H40"/>
      <x:c r="I40" s="489">
        <x:f t="shared" si="0"/>
        <x:v>1</x:v>
      </x:c>
      <x:c r="J40"/>
    </x:row>
    <x:row r="41" spans="1:10" x14ac:dyDescent="0.25">
      <x:c r="A41" s="798" t="s">
        <x:v>1033</x:v>
      </x:c>
      <x:c r="C41" s="710" t="s">
        <x:v>559</x:v>
      </x:c>
      <x:c r="D41"/>
      <x:c r="E41" s="711">
        <x:v>45341</x:v>
      </x:c>
      <x:c r="F41" s="710" t="s">
        <x:v>513</x:v>
      </x:c>
      <x:c r="G41" s="711">
        <x:v>45343</x:v>
      </x:c>
      <x:c r="H41"/>
      <x:c r="I41" s="489">
        <x:f t="shared" si="0"/>
        <x:v>2</x:v>
      </x:c>
      <x:c r="J41"/>
    </x:row>
    <x:row r="42" spans="1:10" x14ac:dyDescent="0.25">
      <x:c r="A42" s="798" t="s">
        <x:v>1034</x:v>
      </x:c>
      <x:c r="C42" s="710" t="s">
        <x:v>560</x:v>
      </x:c>
      <x:c r="D42"/>
      <x:c r="E42" s="711">
        <x:v>45339</x:v>
      </x:c>
      <x:c r="F42" s="710" t="s">
        <x:v>509</x:v>
      </x:c>
      <x:c r="G42" s="711">
        <x:v>45341</x:v>
      </x:c>
      <x:c r="H42"/>
      <x:c r="I42" s="489">
        <x:f t="shared" si="0"/>
        <x:v>2</x:v>
      </x:c>
      <x:c r="J42"/>
    </x:row>
    <x:row r="43" spans="1:10" x14ac:dyDescent="0.25">
      <x:c r="A43" s="798" t="s">
        <x:v>1035</x:v>
      </x:c>
      <x:c r="C43" s="710" t="s">
        <x:v>561</x:v>
      </x:c>
      <x:c r="D43"/>
      <x:c r="E43" s="711">
        <x:v>45199</x:v>
      </x:c>
      <x:c r="F43" s="710" t="s">
        <x:v>509</x:v>
      </x:c>
      <x:c r="G43" s="711">
        <x:v>45201</x:v>
      </x:c>
      <x:c r="H43"/>
      <x:c r="I43" s="489">
        <x:f t="shared" si="0"/>
        <x:v>2</x:v>
      </x:c>
      <x:c r="J43"/>
    </x:row>
    <x:row r="44" spans="1:10" x14ac:dyDescent="0.25">
      <x:c r="A44" s="798" t="s">
        <x:v>1036</x:v>
      </x:c>
      <x:c r="C44" s="710" t="s">
        <x:v>562</x:v>
      </x:c>
      <x:c r="D44"/>
      <x:c r="E44" s="711">
        <x:v>45444</x:v>
      </x:c>
      <x:c r="F44" s="710" t="s">
        <x:v>509</x:v>
      </x:c>
      <x:c r="G44" s="711">
        <x:v>45446</x:v>
      </x:c>
      <x:c r="H44"/>
      <x:c r="I44" s="489">
        <x:f t="shared" si="0"/>
        <x:v>2</x:v>
      </x:c>
      <x:c r="J44"/>
    </x:row>
    <x:row r="45" spans="1:10" x14ac:dyDescent="0.25">
      <x:c r="A45" s="798" t="s">
        <x:v>1037</x:v>
      </x:c>
      <x:c r="C45" s="710" t="s">
        <x:v>563</x:v>
      </x:c>
      <x:c r="D45"/>
      <x:c r="E45" s="711">
        <x:v>45228</x:v>
      </x:c>
      <x:c r="F45" s="710" t="s">
        <x:v>511</x:v>
      </x:c>
      <x:c r="G45" s="711">
        <x:v>45230</x:v>
      </x:c>
      <x:c r="H45"/>
      <x:c r="I45" s="489">
        <x:f t="shared" si="0"/>
        <x:v>2</x:v>
      </x:c>
      <x:c r="J45"/>
    </x:row>
    <x:row r="46" spans="1:10" x14ac:dyDescent="0.25">
      <x:c r="A46" s="798" t="s">
        <x:v>1038</x:v>
      </x:c>
      <x:c r="C46" s="710" t="s">
        <x:v>564</x:v>
      </x:c>
      <x:c r="D46"/>
      <x:c r="E46" s="711">
        <x:v>45336</x:v>
      </x:c>
      <x:c r="F46" s="710" t="s">
        <x:v>512</x:v>
      </x:c>
      <x:c r="G46" s="711">
        <x:v>45337</x:v>
      </x:c>
      <x:c r="H46"/>
      <x:c r="I46" s="489">
        <x:f t="shared" si="0"/>
        <x:v>1</x:v>
      </x:c>
      <x:c r="J46"/>
    </x:row>
    <x:row r="47" spans="1:10" x14ac:dyDescent="0.25">
      <x:c r="A47" s="798" t="s">
        <x:v>1039</x:v>
      </x:c>
      <x:c r="C47" s="710" t="s">
        <x:v>565</x:v>
      </x:c>
      <x:c r="D47"/>
      <x:c r="E47" s="711">
        <x:v>45493</x:v>
      </x:c>
      <x:c r="F47" s="710" t="s">
        <x:v>509</x:v>
      </x:c>
      <x:c r="G47" s="711">
        <x:v>45495</x:v>
      </x:c>
      <x:c r="H47"/>
      <x:c r="I47" s="489">
        <x:f t="shared" si="0"/>
        <x:v>2</x:v>
      </x:c>
      <x:c r="J47"/>
    </x:row>
    <x:row r="48" spans="1:10" x14ac:dyDescent="0.25">
      <x:c r="A48" s="798" t="s">
        <x:v>1040</x:v>
      </x:c>
      <x:c r="C48" s="710" t="s">
        <x:v>566</x:v>
      </x:c>
      <x:c r="D48"/>
      <x:c r="E48" s="711">
        <x:v>45335</x:v>
      </x:c>
      <x:c r="F48" s="710" t="s">
        <x:v>510</x:v>
      </x:c>
      <x:c r="G48" s="711">
        <x:v>45336</x:v>
      </x:c>
      <x:c r="H48"/>
      <x:c r="I48" s="489">
        <x:f t="shared" si="0"/>
        <x:v>1</x:v>
      </x:c>
      <x:c r="J48"/>
    </x:row>
    <x:row r="49" spans="1:10" x14ac:dyDescent="0.25">
      <x:c r="A49" s="798" t="s">
        <x:v>1041</x:v>
      </x:c>
      <x:c r="C49" s="710" t="s">
        <x:v>567</x:v>
      </x:c>
      <x:c r="D49"/>
      <x:c r="E49" s="711">
        <x:v>45206</x:v>
      </x:c>
      <x:c r="F49" s="710" t="s">
        <x:v>509</x:v>
      </x:c>
      <x:c r="G49" s="711">
        <x:v>45208</x:v>
      </x:c>
      <x:c r="H49"/>
      <x:c r="I49" s="489">
        <x:f t="shared" si="0"/>
        <x:v>2</x:v>
      </x:c>
      <x:c r="J49"/>
    </x:row>
    <x:row r="50" spans="1:10" x14ac:dyDescent="0.25">
      <x:c r="A50" s="798" t="s">
        <x:v>1042</x:v>
      </x:c>
      <x:c r="C50" s="710" t="s">
        <x:v>568</x:v>
      </x:c>
      <x:c r="D50"/>
      <x:c r="E50" s="711">
        <x:v>45312</x:v>
      </x:c>
      <x:c r="F50" s="710" t="s">
        <x:v>511</x:v>
      </x:c>
      <x:c r="G50" s="711">
        <x:v>45313</x:v>
      </x:c>
      <x:c r="H50"/>
      <x:c r="I50" s="489">
        <x:f t="shared" si="0"/>
        <x:v>1</x:v>
      </x:c>
      <x:c r="J50"/>
    </x:row>
    <x:row r="51" spans="1:10" x14ac:dyDescent="0.25">
      <x:c r="A51" s="798" t="s">
        <x:v>1043</x:v>
      </x:c>
      <x:c r="C51" s="710" t="s">
        <x:v>569</x:v>
      </x:c>
      <x:c r="D51"/>
      <x:c r="E51" s="711">
        <x:v>45458</x:v>
      </x:c>
      <x:c r="F51" s="710" t="s">
        <x:v>509</x:v>
      </x:c>
      <x:c r="G51" s="711">
        <x:v>45460</x:v>
      </x:c>
      <x:c r="H51"/>
      <x:c r="I51" s="489">
        <x:f t="shared" si="0"/>
        <x:v>2</x:v>
      </x:c>
      <x:c r="J51"/>
    </x:row>
    <x:row r="52" spans="1:10" x14ac:dyDescent="0.25">
      <x:c r="A52" s="798" t="s">
        <x:v>1044</x:v>
      </x:c>
      <x:c r="C52" s="710" t="s">
        <x:v>570</x:v>
      </x:c>
      <x:c r="D52"/>
      <x:c r="E52" s="711">
        <x:v>45442</x:v>
      </x:c>
      <x:c r="F52" s="710" t="s">
        <x:v>515</x:v>
      </x:c>
      <x:c r="G52" s="711">
        <x:v>45443</x:v>
      </x:c>
      <x:c r="H52"/>
      <x:c r="I52" s="489">
        <x:f t="shared" si="0"/>
        <x:v>1</x:v>
      </x:c>
      <x:c r="J52"/>
    </x:row>
    <x:row r="53" spans="1:10" x14ac:dyDescent="0.25">
      <x:c r="A53" s="798" t="s">
        <x:v>1045</x:v>
      </x:c>
      <x:c r="C53" s="710" t="s">
        <x:v>571</x:v>
      </x:c>
      <x:c r="D53"/>
      <x:c r="E53" s="711">
        <x:v>45465</x:v>
      </x:c>
      <x:c r="F53" s="710" t="s">
        <x:v>509</x:v>
      </x:c>
      <x:c r="G53" s="711">
        <x:v>45467</x:v>
      </x:c>
      <x:c r="H53"/>
      <x:c r="I53" s="489">
        <x:f t="shared" si="0"/>
        <x:v>2</x:v>
      </x:c>
      <x:c r="J53"/>
    </x:row>
    <x:row r="54" spans="1:10" x14ac:dyDescent="0.25">
      <x:c r="A54" s="798" t="s">
        <x:v>1046</x:v>
      </x:c>
      <x:c r="C54" s="710" t="s">
        <x:v>572</x:v>
      </x:c>
      <x:c r="D54"/>
      <x:c r="E54" s="711">
        <x:v>45204</x:v>
      </x:c>
      <x:c r="F54" s="710" t="s">
        <x:v>515</x:v>
      </x:c>
      <x:c r="G54" s="711">
        <x:v>45205</x:v>
      </x:c>
      <x:c r="H54"/>
      <x:c r="I54" s="489">
        <x:f t="shared" si="0"/>
        <x:v>1</x:v>
      </x:c>
      <x:c r="J54"/>
    </x:row>
    <x:row r="55" spans="1:10" x14ac:dyDescent="0.25">
      <x:c r="A55" s="798" t="s">
        <x:v>1047</x:v>
      </x:c>
      <x:c r="C55" s="710" t="s">
        <x:v>573</x:v>
      </x:c>
      <x:c r="D55"/>
      <x:c r="E55" s="711">
        <x:v>45430</x:v>
      </x:c>
      <x:c r="F55" s="710" t="s">
        <x:v>509</x:v>
      </x:c>
      <x:c r="G55" s="711">
        <x:v>45432</x:v>
      </x:c>
      <x:c r="H55"/>
      <x:c r="I55" s="489">
        <x:f t="shared" si="0"/>
        <x:v>2</x:v>
      </x:c>
      <x:c r="J55"/>
    </x:row>
    <x:row r="56" spans="1:10" x14ac:dyDescent="0.25">
      <x:c r="A56" s="798" t="s">
        <x:v>1048</x:v>
      </x:c>
      <x:c r="C56" s="710" t="s">
        <x:v>574</x:v>
      </x:c>
      <x:c r="D56"/>
      <x:c r="E56" s="711">
        <x:v>45315</x:v>
      </x:c>
      <x:c r="F56" s="710" t="s">
        <x:v>512</x:v>
      </x:c>
      <x:c r="G56" s="711">
        <x:v>45316</x:v>
      </x:c>
      <x:c r="H56"/>
      <x:c r="I56" s="489">
        <x:f t="shared" si="0"/>
        <x:v>1</x:v>
      </x:c>
      <x:c r="J56"/>
    </x:row>
    <x:row r="57" spans="1:10" x14ac:dyDescent="0.25">
      <x:c r="A57" s="798" t="s">
        <x:v>1049</x:v>
      </x:c>
      <x:c r="C57" s="710" t="s">
        <x:v>575</x:v>
      </x:c>
      <x:c r="D57"/>
      <x:c r="E57" s="711">
        <x:v>45374</x:v>
      </x:c>
      <x:c r="F57" s="710" t="s">
        <x:v>509</x:v>
      </x:c>
      <x:c r="G57" s="711">
        <x:v>45376</x:v>
      </x:c>
      <x:c r="H57"/>
      <x:c r="I57" s="489">
        <x:f t="shared" si="0"/>
        <x:v>2</x:v>
      </x:c>
      <x:c r="J57"/>
    </x:row>
    <x:row r="58" spans="1:10" x14ac:dyDescent="0.25">
      <x:c r="A58" s="798" t="s">
        <x:v>1050</x:v>
      </x:c>
      <x:c r="C58" s="710" t="s">
        <x:v>576</x:v>
      </x:c>
      <x:c r="D58"/>
      <x:c r="E58" s="711">
        <x:v>45554</x:v>
      </x:c>
      <x:c r="F58" s="710" t="s">
        <x:v>515</x:v>
      </x:c>
      <x:c r="G58" s="711">
        <x:v>45555</x:v>
      </x:c>
      <x:c r="H58"/>
      <x:c r="I58" s="489">
        <x:f t="shared" si="0"/>
        <x:v>1</x:v>
      </x:c>
      <x:c r="J58"/>
    </x:row>
    <x:row r="59" spans="1:10" x14ac:dyDescent="0.25">
      <x:c r="A59" s="798" t="s">
        <x:v>1051</x:v>
      </x:c>
      <x:c r="C59" s="710" t="s">
        <x:v>577</x:v>
      </x:c>
      <x:c r="D59"/>
      <x:c r="E59" s="711">
        <x:v>45210</x:v>
      </x:c>
      <x:c r="F59" s="710" t="s">
        <x:v>512</x:v>
      </x:c>
      <x:c r="G59" s="711">
        <x:v>45211</x:v>
      </x:c>
      <x:c r="H59"/>
      <x:c r="I59" s="489">
        <x:f t="shared" si="0"/>
        <x:v>1</x:v>
      </x:c>
      <x:c r="J59"/>
    </x:row>
    <x:row r="60" spans="1:10" x14ac:dyDescent="0.25">
      <x:c r="A60" s="798" t="s">
        <x:v>1052</x:v>
      </x:c>
      <x:c r="C60" s="710" t="s">
        <x:v>578</x:v>
      </x:c>
      <x:c r="D60"/>
      <x:c r="E60" s="711">
        <x:v>45418</x:v>
      </x:c>
      <x:c r="F60" s="710" t="s">
        <x:v>513</x:v>
      </x:c>
      <x:c r="G60" s="711">
        <x:v>45420</x:v>
      </x:c>
      <x:c r="H60"/>
      <x:c r="I60" s="489">
        <x:f t="shared" si="0"/>
        <x:v>2</x:v>
      </x:c>
      <x:c r="J60"/>
    </x:row>
    <x:row r="61" spans="1:10" x14ac:dyDescent="0.25">
      <x:c r="A61" s="798" t="s">
        <x:v>1053</x:v>
      </x:c>
      <x:c r="C61" s="710" t="s">
        <x:v>579</x:v>
      </x:c>
      <x:c r="D61"/>
      <x:c r="E61" s="711">
        <x:v>45208</x:v>
      </x:c>
      <x:c r="F61" s="710" t="s">
        <x:v>513</x:v>
      </x:c>
      <x:c r="G61" s="711">
        <x:v>45209</x:v>
      </x:c>
      <x:c r="H61"/>
      <x:c r="I61" s="489">
        <x:f t="shared" si="0"/>
        <x:v>1</x:v>
      </x:c>
      <x:c r="J61"/>
    </x:row>
    <x:row r="62" spans="1:10" x14ac:dyDescent="0.25">
      <x:c r="A62" s="798" t="s">
        <x:v>1054</x:v>
      </x:c>
      <x:c r="C62" s="710" t="s">
        <x:v>580</x:v>
      </x:c>
      <x:c r="D62"/>
      <x:c r="E62" s="711">
        <x:v>45352</x:v>
      </x:c>
      <x:c r="F62" s="710" t="s">
        <x:v>514</x:v>
      </x:c>
      <x:c r="G62" s="711">
        <x:v>45356</x:v>
      </x:c>
      <x:c r="H62"/>
      <x:c r="I62" s="682">
        <x:f t="shared" si="0"/>
        <x:v>4</x:v>
      </x:c>
      <x:c r="J62"/>
    </x:row>
    <x:row r="63" spans="1:10" x14ac:dyDescent="0.25">
      <x:c r="A63" s="798" t="s">
        <x:v>1055</x:v>
      </x:c>
      <x:c r="C63" s="710" t="s">
        <x:v>581</x:v>
      </x:c>
      <x:c r="D63"/>
      <x:c r="E63" s="711">
        <x:v>45482</x:v>
      </x:c>
      <x:c r="F63" s="710" t="s">
        <x:v>510</x:v>
      </x:c>
      <x:c r="G63" s="711">
        <x:v>45484</x:v>
      </x:c>
      <x:c r="H63"/>
      <x:c r="I63" s="489">
        <x:f t="shared" si="0"/>
        <x:v>2</x:v>
      </x:c>
      <x:c r="J63"/>
    </x:row>
    <x:row r="64" spans="1:10" x14ac:dyDescent="0.25">
      <x:c r="A64" s="798" t="s">
        <x:v>1056</x:v>
      </x:c>
      <x:c r="C64" s="710" t="s">
        <x:v>582</x:v>
      </x:c>
      <x:c r="D64"/>
      <x:c r="E64" s="711">
        <x:v>45524</x:v>
      </x:c>
      <x:c r="F64" s="710" t="s">
        <x:v>510</x:v>
      </x:c>
      <x:c r="G64" s="711">
        <x:v>45525</x:v>
      </x:c>
      <x:c r="H64"/>
      <x:c r="I64" s="489">
        <x:f t="shared" si="0"/>
        <x:v>1</x:v>
      </x:c>
      <x:c r="J64"/>
    </x:row>
    <x:row r="65" spans="1:10" x14ac:dyDescent="0.25">
      <x:c r="A65" s="798" t="s">
        <x:v>1057</x:v>
      </x:c>
      <x:c r="C65" s="710" t="s">
        <x:v>583</x:v>
      </x:c>
      <x:c r="D65"/>
      <x:c r="E65" s="711">
        <x:v>45360</x:v>
      </x:c>
      <x:c r="F65" s="710" t="s">
        <x:v>509</x:v>
      </x:c>
      <x:c r="G65" s="711">
        <x:v>45362</x:v>
      </x:c>
      <x:c r="H65"/>
      <x:c r="I65" s="489">
        <x:f t="shared" si="0"/>
        <x:v>2</x:v>
      </x:c>
      <x:c r="J65"/>
    </x:row>
    <x:row r="66" spans="1:10" x14ac:dyDescent="0.25">
      <x:c r="A66" s="798" t="s">
        <x:v>1058</x:v>
      </x:c>
      <x:c r="C66" s="710" t="s">
        <x:v>584</x:v>
      </x:c>
      <x:c r="D66"/>
      <x:c r="E66" s="711">
        <x:v>45558</x:v>
      </x:c>
      <x:c r="F66" s="710" t="s">
        <x:v>513</x:v>
      </x:c>
      <x:c r="G66" s="711">
        <x:v>45559</x:v>
      </x:c>
      <x:c r="H66"/>
      <x:c r="I66" s="489">
        <x:f t="shared" si="0"/>
        <x:v>1</x:v>
      </x:c>
      <x:c r="J66"/>
    </x:row>
    <x:row r="67" spans="1:10" x14ac:dyDescent="0.25">
      <x:c r="A67" s="798" t="s">
        <x:v>1059</x:v>
      </x:c>
      <x:c r="C67" s="710" t="s">
        <x:v>585</x:v>
      </x:c>
      <x:c r="D67"/>
      <x:c r="E67" s="711">
        <x:v>45498</x:v>
      </x:c>
      <x:c r="F67" s="710" t="s">
        <x:v>515</x:v>
      </x:c>
      <x:c r="G67" s="711">
        <x:v>45551</x:v>
      </x:c>
      <x:c r="H67"/>
      <x:c r="I67" s="489">
        <x:f t="shared" si="0"/>
        <x:v>53</x:v>
      </x:c>
      <x:c r="J67"/>
    </x:row>
    <x:row r="68" spans="1:10" x14ac:dyDescent="0.25">
      <x:c r="A68" s="798" t="s">
        <x:v>1060</x:v>
      </x:c>
      <x:c r="C68" s="710" t="s">
        <x:v>586</x:v>
      </x:c>
      <x:c r="D68"/>
      <x:c r="E68" s="711">
        <x:v>45561</x:v>
      </x:c>
      <x:c r="F68" s="710" t="s">
        <x:v>515</x:v>
      </x:c>
      <x:c r="G68" s="711">
        <x:v>45562</x:v>
      </x:c>
      <x:c r="H68"/>
      <x:c r="I68" s="489">
        <x:f t="shared" si="0"/>
        <x:v>1</x:v>
      </x:c>
      <x:c r="J68"/>
    </x:row>
    <x:row r="69" spans="1:10" x14ac:dyDescent="0.25">
      <x:c r="A69" s="798" t="s">
        <x:v>1061</x:v>
      </x:c>
      <x:c r="C69" s="710" t="s">
        <x:v>587</x:v>
      </x:c>
      <x:c r="D69"/>
      <x:c r="E69" s="711">
        <x:v>45481</x:v>
      </x:c>
      <x:c r="F69" s="710" t="s">
        <x:v>513</x:v>
      </x:c>
      <x:c r="G69" s="711">
        <x:v>45482</x:v>
      </x:c>
      <x:c r="H69"/>
      <x:c r="I69" s="489">
        <x:f t="shared" si="0"/>
        <x:v>1</x:v>
      </x:c>
      <x:c r="J69"/>
    </x:row>
    <x:row r="70" spans="1:10" x14ac:dyDescent="0.25">
      <x:c r="A70" s="798" t="s">
        <x:v>1062</x:v>
      </x:c>
      <x:c r="C70" s="710" t="s">
        <x:v>588</x:v>
      </x:c>
      <x:c r="D70"/>
      <x:c r="E70" s="711">
        <x:v>45451</x:v>
      </x:c>
      <x:c r="F70" s="710" t="s">
        <x:v>509</x:v>
      </x:c>
      <x:c r="G70" s="711">
        <x:v>45453</x:v>
      </x:c>
      <x:c r="H70"/>
      <x:c r="I70" s="489">
        <x:f t="shared" si="0"/>
        <x:v>2</x:v>
      </x:c>
      <x:c r="J70"/>
    </x:row>
    <x:row r="71" spans="1:10" x14ac:dyDescent="0.25">
      <x:c r="A71" s="798" t="s">
        <x:v>1063</x:v>
      </x:c>
      <x:c r="C71" s="710" t="s">
        <x:v>589</x:v>
      </x:c>
      <x:c r="D71"/>
      <x:c r="E71" s="711">
        <x:v>45435</x:v>
      </x:c>
      <x:c r="F71" s="710" t="s">
        <x:v>515</x:v>
      </x:c>
      <x:c r="G71" s="711">
        <x:v>45436</x:v>
      </x:c>
      <x:c r="H71"/>
      <x:c r="I71" s="489">
        <x:f t="shared" ref="I71:I98" si="1">+G71-E71</x:f>
        <x:v>1</x:v>
      </x:c>
      <x:c r="J71"/>
    </x:row>
    <x:row r="72" spans="1:10" x14ac:dyDescent="0.25">
      <x:c r="A72" s="798" t="s">
        <x:v>1064</x:v>
      </x:c>
      <x:c r="C72" s="710" t="s">
        <x:v>590</x:v>
      </x:c>
      <x:c r="D72"/>
      <x:c r="E72" s="711">
        <x:v>45227</x:v>
      </x:c>
      <x:c r="F72" s="710" t="s">
        <x:v>509</x:v>
      </x:c>
      <x:c r="G72" s="711">
        <x:v>45229</x:v>
      </x:c>
      <x:c r="H72"/>
      <x:c r="I72" s="489">
        <x:f t="shared" si="1"/>
        <x:v>2</x:v>
      </x:c>
      <x:c r="J72"/>
    </x:row>
    <x:row r="73" spans="1:10" x14ac:dyDescent="0.25">
      <x:c r="A73" s="798" t="s">
        <x:v>1065</x:v>
      </x:c>
      <x:c r="C73" s="710" t="s">
        <x:v>591</x:v>
      </x:c>
      <x:c r="D73"/>
      <x:c r="E73" s="711">
        <x:v>45467</x:v>
      </x:c>
      <x:c r="F73" s="710" t="s">
        <x:v>513</x:v>
      </x:c>
      <x:c r="G73" s="711">
        <x:v>45468</x:v>
      </x:c>
      <x:c r="H73"/>
      <x:c r="I73" s="489">
        <x:f t="shared" si="1"/>
        <x:v>1</x:v>
      </x:c>
      <x:c r="J73"/>
    </x:row>
    <x:row r="74" spans="1:10" x14ac:dyDescent="0.25">
      <x:c r="A74" s="798" t="s">
        <x:v>1066</x:v>
      </x:c>
      <x:c r="C74" s="710" t="s">
        <x:v>592</x:v>
      </x:c>
      <x:c r="D74"/>
      <x:c r="E74" s="711">
        <x:v>45421</x:v>
      </x:c>
      <x:c r="F74" s="710" t="s">
        <x:v>515</x:v>
      </x:c>
      <x:c r="G74" s="711">
        <x:v>45422</x:v>
      </x:c>
      <x:c r="H74"/>
      <x:c r="I74" s="489">
        <x:f t="shared" si="1"/>
        <x:v>1</x:v>
      </x:c>
      <x:c r="J74"/>
    </x:row>
    <x:row r="75" spans="1:10" x14ac:dyDescent="0.25">
      <x:c r="A75" s="798" t="s">
        <x:v>989</x:v>
      </x:c>
      <x:c r="C75" s="710" t="s">
        <x:v>593</x:v>
      </x:c>
      <x:c r="D75"/>
      <x:c r="E75" s="711">
        <x:v>45431</x:v>
      </x:c>
      <x:c r="F75" s="710" t="s">
        <x:v>511</x:v>
      </x:c>
      <x:c r="G75" s="711">
        <x:v>45433</x:v>
      </x:c>
      <x:c r="H75"/>
      <x:c r="I75" s="489">
        <x:f t="shared" si="1"/>
        <x:v>2</x:v>
      </x:c>
      <x:c r="J75"/>
    </x:row>
    <x:row r="76" spans="1:10" x14ac:dyDescent="0.25">
      <x:c r="A76" s="798" t="s">
        <x:v>990</x:v>
      </x:c>
      <x:c r="C76" s="710" t="s">
        <x:v>594</x:v>
      </x:c>
      <x:c r="D76"/>
      <x:c r="E76" s="711">
        <x:v>45223</x:v>
      </x:c>
      <x:c r="F76" s="710" t="s">
        <x:v>510</x:v>
      </x:c>
      <x:c r="G76" s="711">
        <x:v>45224</x:v>
      </x:c>
      <x:c r="H76"/>
      <x:c r="I76" s="489">
        <x:f t="shared" si="1"/>
        <x:v>1</x:v>
      </x:c>
      <x:c r="J76"/>
    </x:row>
    <x:row r="77" spans="1:10" x14ac:dyDescent="0.25">
      <x:c r="A77" s="798" t="s">
        <x:v>991</x:v>
      </x:c>
      <x:c r="C77" s="710" t="s">
        <x:v>595</x:v>
      </x:c>
      <x:c r="D77"/>
      <x:c r="E77" s="711">
        <x:v>45426</x:v>
      </x:c>
      <x:c r="F77" s="710" t="s">
        <x:v>510</x:v>
      </x:c>
      <x:c r="G77" s="711">
        <x:v>45433</x:v>
      </x:c>
      <x:c r="H77"/>
      <x:c r="I77" s="489">
        <x:f t="shared" si="1"/>
        <x:v>7</x:v>
      </x:c>
      <x:c r="J77"/>
    </x:row>
    <x:row r="78" spans="1:10" x14ac:dyDescent="0.25">
      <x:c r="A78" s="798" t="s">
        <x:v>992</x:v>
      </x:c>
      <x:c r="C78" s="710" t="s">
        <x:v>596</x:v>
      </x:c>
      <x:c r="D78"/>
      <x:c r="E78" s="711">
        <x:v>45204</x:v>
      </x:c>
      <x:c r="F78" s="710" t="s">
        <x:v>515</x:v>
      </x:c>
      <x:c r="G78" s="711">
        <x:v>45205</x:v>
      </x:c>
      <x:c r="H78"/>
      <x:c r="I78" s="489">
        <x:f t="shared" si="1"/>
        <x:v>1</x:v>
      </x:c>
      <x:c r="J78"/>
    </x:row>
    <x:row r="79" spans="1:10" x14ac:dyDescent="0.25">
      <x:c r="A79" s="798" t="s">
        <x:v>993</x:v>
      </x:c>
      <x:c r="C79" s="710" t="s">
        <x:v>597</x:v>
      </x:c>
      <x:c r="D79"/>
      <x:c r="E79" s="711">
        <x:v>45440</x:v>
      </x:c>
      <x:c r="F79" s="710" t="s">
        <x:v>510</x:v>
      </x:c>
      <x:c r="G79" s="711">
        <x:v>45441</x:v>
      </x:c>
      <x:c r="H79"/>
      <x:c r="I79" s="489">
        <x:f t="shared" si="1"/>
        <x:v>1</x:v>
      </x:c>
      <x:c r="J79"/>
    </x:row>
    <x:row r="80" spans="1:10" x14ac:dyDescent="0.25">
      <x:c r="A80" s="798" t="s">
        <x:v>994</x:v>
      </x:c>
      <x:c r="C80" s="710" t="s">
        <x:v>598</x:v>
      </x:c>
      <x:c r="D80"/>
      <x:c r="E80" s="711">
        <x:v>45360</x:v>
      </x:c>
      <x:c r="F80" s="710" t="s">
        <x:v>509</x:v>
      </x:c>
      <x:c r="G80" s="711">
        <x:v>45362</x:v>
      </x:c>
      <x:c r="H80"/>
      <x:c r="I80" s="489">
        <x:f t="shared" si="1"/>
        <x:v>2</x:v>
      </x:c>
      <x:c r="J80"/>
    </x:row>
    <x:row r="81" spans="1:10" x14ac:dyDescent="0.25">
      <x:c r="A81" s="798" t="s">
        <x:v>995</x:v>
      </x:c>
      <x:c r="C81" s="710" t="s">
        <x:v>599</x:v>
      </x:c>
      <x:c r="D81"/>
      <x:c r="E81" s="711">
        <x:v>45538</x:v>
      </x:c>
      <x:c r="F81" s="710" t="s">
        <x:v>510</x:v>
      </x:c>
      <x:c r="G81" s="711">
        <x:v>45544</x:v>
      </x:c>
      <x:c r="H81"/>
      <x:c r="I81" s="489">
        <x:f t="shared" si="1"/>
        <x:v>6</x:v>
      </x:c>
      <x:c r="J81"/>
    </x:row>
    <x:row r="82" spans="1:10" x14ac:dyDescent="0.25">
      <x:c r="A82" s="798" t="s">
        <x:v>996</x:v>
      </x:c>
      <x:c r="C82" s="710" t="s">
        <x:v>600</x:v>
      </x:c>
      <x:c r="D82"/>
      <x:c r="E82" s="711">
        <x:v>45274</x:v>
      </x:c>
      <x:c r="F82" s="710" t="s">
        <x:v>515</x:v>
      </x:c>
      <x:c r="G82" s="711">
        <x:v>45288</x:v>
      </x:c>
      <x:c r="H82"/>
      <x:c r="I82" s="489">
        <x:f t="shared" si="1"/>
        <x:v>14</x:v>
      </x:c>
      <x:c r="J82"/>
    </x:row>
    <x:row r="83" spans="1:10" x14ac:dyDescent="0.25">
      <x:c r="A83" s="798" t="s">
        <x:v>997</x:v>
      </x:c>
      <x:c r="C83" s="710" t="s">
        <x:v>601</x:v>
      </x:c>
      <x:c r="D83"/>
      <x:c r="E83" s="711">
        <x:v>45381</x:v>
      </x:c>
      <x:c r="F83" s="710" t="s">
        <x:v>509</x:v>
      </x:c>
      <x:c r="G83" s="711">
        <x:v>45383</x:v>
      </x:c>
      <x:c r="H83"/>
      <x:c r="I83" s="489">
        <x:f t="shared" si="1"/>
        <x:v>2</x:v>
      </x:c>
      <x:c r="J83"/>
    </x:row>
    <x:row r="84" spans="1:10" x14ac:dyDescent="0.25">
      <x:c r="A84" s="798" t="s">
        <x:v>998</x:v>
      </x:c>
      <x:c r="C84" s="710" t="s">
        <x:v>602</x:v>
      </x:c>
      <x:c r="D84"/>
      <x:c r="E84" s="711">
        <x:v>45369</x:v>
      </x:c>
      <x:c r="F84" s="710" t="s">
        <x:v>513</x:v>
      </x:c>
      <x:c r="G84" s="711">
        <x:v>45370</x:v>
      </x:c>
      <x:c r="H84"/>
      <x:c r="I84" s="489">
        <x:f t="shared" si="1"/>
        <x:v>1</x:v>
      </x:c>
      <x:c r="J84"/>
    </x:row>
    <x:row r="85" spans="1:10" x14ac:dyDescent="0.25">
      <x:c r="A85" s="798" t="s">
        <x:v>999</x:v>
      </x:c>
      <x:c r="C85" s="710" t="s">
        <x:v>603</x:v>
      </x:c>
      <x:c r="D85"/>
      <x:c r="E85" s="711">
        <x:v>45376</x:v>
      </x:c>
      <x:c r="F85" s="710" t="s">
        <x:v>513</x:v>
      </x:c>
      <x:c r="G85" s="711">
        <x:v>45377</x:v>
      </x:c>
      <x:c r="H85"/>
      <x:c r="I85" s="489">
        <x:f t="shared" si="1"/>
        <x:v>1</x:v>
      </x:c>
      <x:c r="J85"/>
    </x:row>
    <x:row r="86" spans="1:10" x14ac:dyDescent="0.25">
      <x:c r="A86" s="798" t="s">
        <x:v>1000</x:v>
      </x:c>
      <x:c r="C86" s="710" t="s">
        <x:v>604</x:v>
      </x:c>
      <x:c r="D86"/>
      <x:c r="E86" s="711">
        <x:v>45388</x:v>
      </x:c>
      <x:c r="F86" s="710" t="s">
        <x:v>509</x:v>
      </x:c>
      <x:c r="G86" s="711">
        <x:v>45390</x:v>
      </x:c>
      <x:c r="H86"/>
      <x:c r="I86" s="489">
        <x:f t="shared" si="1"/>
        <x:v>2</x:v>
      </x:c>
      <x:c r="J86"/>
    </x:row>
    <x:row r="87" spans="1:10" x14ac:dyDescent="0.25">
      <x:c r="A87" s="798" t="s">
        <x:v>1001</x:v>
      </x:c>
      <x:c r="C87" s="710" t="s">
        <x:v>605</x:v>
      </x:c>
      <x:c r="D87"/>
      <x:c r="E87" s="711">
        <x:v>45442</x:v>
      </x:c>
      <x:c r="F87" s="710" t="s">
        <x:v>515</x:v>
      </x:c>
      <x:c r="G87" s="711">
        <x:v>45443</x:v>
      </x:c>
      <x:c r="H87"/>
      <x:c r="I87" s="489">
        <x:f t="shared" si="1"/>
        <x:v>1</x:v>
      </x:c>
      <x:c r="J87"/>
    </x:row>
    <x:row r="88" spans="1:10" x14ac:dyDescent="0.25">
      <x:c r="A88" s="798" t="s">
        <x:v>1072</x:v>
      </x:c>
      <x:c r="C88" s="710" t="s">
        <x:v>606</x:v>
      </x:c>
      <x:c r="D88"/>
      <x:c r="E88" s="711">
        <x:v>45255</x:v>
      </x:c>
      <x:c r="F88" s="710" t="s">
        <x:v>509</x:v>
      </x:c>
      <x:c r="G88" s="711">
        <x:v>45257</x:v>
      </x:c>
      <x:c r="H88"/>
      <x:c r="I88" s="489">
        <x:f t="shared" si="1"/>
        <x:v>2</x:v>
      </x:c>
      <x:c r="J88"/>
    </x:row>
    <x:row r="89" spans="1:10" x14ac:dyDescent="0.25">
      <x:c r="A89" s="798" t="s">
        <x:v>1073</x:v>
      </x:c>
      <x:c r="C89" s="710" t="s">
        <x:v>607</x:v>
      </x:c>
      <x:c r="D89"/>
      <x:c r="E89" s="711">
        <x:v>45382</x:v>
      </x:c>
      <x:c r="F89" s="710" t="s">
        <x:v>511</x:v>
      </x:c>
      <x:c r="G89" s="711">
        <x:v>45383</x:v>
      </x:c>
      <x:c r="H89"/>
      <x:c r="I89" s="489">
        <x:f t="shared" si="1"/>
        <x:v>1</x:v>
      </x:c>
      <x:c r="J89"/>
    </x:row>
    <x:row r="90" spans="1:10" x14ac:dyDescent="0.25">
      <x:c r="A90" s="798" t="s">
        <x:v>1074</x:v>
      </x:c>
      <x:c r="C90" s="710" t="s">
        <x:v>608</x:v>
      </x:c>
      <x:c r="D90"/>
      <x:c r="E90" s="711">
        <x:v>45283</x:v>
      </x:c>
      <x:c r="F90" s="710" t="s">
        <x:v>509</x:v>
      </x:c>
      <x:c r="G90" s="711">
        <x:v>45286</x:v>
      </x:c>
      <x:c r="H90"/>
      <x:c r="I90" s="682">
        <x:f t="shared" si="1"/>
        <x:v>3</x:v>
      </x:c>
      <x:c r="J90"/>
    </x:row>
    <x:row r="91" spans="1:10" x14ac:dyDescent="0.25">
      <x:c r="A91" s="798" t="s">
        <x:v>1075</x:v>
      </x:c>
      <x:c r="C91" s="710" t="s">
        <x:v>609</x:v>
      </x:c>
      <x:c r="D91"/>
      <x:c r="E91" s="711">
        <x:v>45418</x:v>
      </x:c>
      <x:c r="F91" s="710" t="s">
        <x:v>513</x:v>
      </x:c>
      <x:c r="G91" s="711">
        <x:v>45420</x:v>
      </x:c>
      <x:c r="H91"/>
      <x:c r="I91" s="489">
        <x:f t="shared" si="1"/>
        <x:v>2</x:v>
      </x:c>
      <x:c r="J91"/>
    </x:row>
    <x:row r="92" spans="1:10" x14ac:dyDescent="0.25">
      <x:c r="A92" s="798" t="s">
        <x:v>1076</x:v>
      </x:c>
      <x:c r="C92" s="710" t="s">
        <x:v>610</x:v>
      </x:c>
      <x:c r="D92"/>
      <x:c r="E92" s="711">
        <x:v>45517</x:v>
      </x:c>
      <x:c r="F92" s="710" t="s">
        <x:v>510</x:v>
      </x:c>
      <x:c r="G92" s="711">
        <x:v>45518</x:v>
      </x:c>
      <x:c r="H92"/>
      <x:c r="I92" s="489">
        <x:f t="shared" si="1"/>
        <x:v>1</x:v>
      </x:c>
    </x:row>
    <x:row r="93" spans="1:10" x14ac:dyDescent="0.25">
      <x:c r="A93" s="798" t="s">
        <x:v>1077</x:v>
      </x:c>
      <x:c r="C93" s="710" t="s">
        <x:v>611</x:v>
      </x:c>
      <x:c r="D93"/>
      <x:c r="E93" s="711">
        <x:v>45267</x:v>
      </x:c>
      <x:c r="F93" s="710" t="s">
        <x:v>515</x:v>
      </x:c>
      <x:c r="G93" s="711">
        <x:v>45268</x:v>
      </x:c>
      <x:c r="H93"/>
      <x:c r="I93" s="489">
        <x:f t="shared" si="1"/>
        <x:v>1</x:v>
      </x:c>
    </x:row>
    <x:row r="94" spans="1:10" x14ac:dyDescent="0.25">
      <x:c r="A94" s="798" t="s">
        <x:v>1078</x:v>
      </x:c>
      <x:c r="C94" s="710" t="s">
        <x:v>612</x:v>
      </x:c>
      <x:c r="D94"/>
      <x:c r="E94" s="711">
        <x:v>45544</x:v>
      </x:c>
      <x:c r="F94" s="710" t="s">
        <x:v>513</x:v>
      </x:c>
      <x:c r="G94" s="711">
        <x:v>45558</x:v>
      </x:c>
      <x:c r="H94"/>
      <x:c r="I94" s="489">
        <x:f t="shared" si="1"/>
        <x:v>14</x:v>
      </x:c>
    </x:row>
    <x:row r="95" spans="1:10" x14ac:dyDescent="0.25">
      <x:c r="A95" s="798" t="s">
        <x:v>1079</x:v>
      </x:c>
      <x:c r="C95" s="710" t="s">
        <x:v>613</x:v>
      </x:c>
      <x:c r="D95"/>
      <x:c r="E95" s="711">
        <x:v>45255</x:v>
      </x:c>
      <x:c r="F95" s="710" t="s">
        <x:v>509</x:v>
      </x:c>
      <x:c r="G95" s="711">
        <x:v>45257</x:v>
      </x:c>
      <x:c r="H95"/>
      <x:c r="I95" s="489">
        <x:f t="shared" si="1"/>
        <x:v>2</x:v>
      </x:c>
    </x:row>
    <x:row r="96" spans="1:10" x14ac:dyDescent="0.25">
      <x:c r="A96" s="798" t="s">
        <x:v>1080</x:v>
      </x:c>
      <x:c r="C96" s="710" t="s">
        <x:v>614</x:v>
      </x:c>
      <x:c r="D96"/>
      <x:c r="E96" s="711">
        <x:v>45381</x:v>
      </x:c>
      <x:c r="F96" s="710" t="s">
        <x:v>509</x:v>
      </x:c>
      <x:c r="G96" s="711">
        <x:v>45383</x:v>
      </x:c>
      <x:c r="H96"/>
      <x:c r="I96" s="489">
        <x:f t="shared" si="1"/>
        <x:v>2</x:v>
      </x:c>
    </x:row>
    <x:row r="97" spans="1:9" x14ac:dyDescent="0.25">
      <x:c r="A97" s="798" t="s">
        <x:v>1081</x:v>
      </x:c>
      <x:c r="C97" s="710" t="s">
        <x:v>615</x:v>
      </x:c>
      <x:c r="D97"/>
      <x:c r="E97" s="711">
        <x:v>45481</x:v>
      </x:c>
      <x:c r="F97" s="710" t="s">
        <x:v>513</x:v>
      </x:c>
      <x:c r="G97" s="711">
        <x:v>45483</x:v>
      </x:c>
      <x:c r="H97"/>
      <x:c r="I97" s="489">
        <x:f t="shared" si="1"/>
        <x:v>2</x:v>
      </x:c>
    </x:row>
    <x:row r="98" spans="1:9" x14ac:dyDescent="0.25">
      <x:c r="A98" s="798" t="s">
        <x:v>1082</x:v>
      </x:c>
      <x:c r="C98" s="710" t="s">
        <x:v>616</x:v>
      </x:c>
      <x:c r="D98"/>
      <x:c r="E98" s="711">
        <x:v>45204</x:v>
      </x:c>
      <x:c r="F98" s="710" t="s">
        <x:v>515</x:v>
      </x:c>
      <x:c r="G98" s="711">
        <x:v>45205</x:v>
      </x:c>
      <x:c r="H98"/>
      <x:c r="I98" s="489">
        <x:f t="shared" si="1"/>
        <x:v>1</x:v>
      </x:c>
    </x:row>
    <x:row r="99" spans="1:9" x14ac:dyDescent="0.25">
      <x:c r="A99" s="798" t="s">
        <x:v>1083</x:v>
      </x:c>
      <x:c r="C99" s="710" t="s">
        <x:v>617</x:v>
      </x:c>
      <x:c r="D99"/>
      <x:c r="E99" s="711">
        <x:v>45439</x:v>
      </x:c>
      <x:c r="F99" s="710" t="s">
        <x:v>513</x:v>
      </x:c>
      <x:c r="G99" s="711">
        <x:v>45440</x:v>
      </x:c>
      <x:c r="H99"/>
      <x:c r="I99" s="489">
        <x:f t="shared" ref="I99:I129" si="2">+G99-E99</x:f>
        <x:v>1</x:v>
      </x:c>
    </x:row>
    <x:row r="100" spans="1:9" x14ac:dyDescent="0.25">
      <x:c r="A100" s="798" t="s">
        <x:v>1084</x:v>
      </x:c>
      <x:c r="C100" s="710" t="s">
        <x:v>618</x:v>
      </x:c>
      <x:c r="D100"/>
      <x:c r="E100" s="711">
        <x:v>45419</x:v>
      </x:c>
      <x:c r="F100" s="710" t="s">
        <x:v>510</x:v>
      </x:c>
      <x:c r="G100" s="711">
        <x:v>45420</x:v>
      </x:c>
      <x:c r="H100"/>
      <x:c r="I100" s="489">
        <x:f t="shared" si="2"/>
        <x:v>1</x:v>
      </x:c>
    </x:row>
    <x:row r="101" spans="1:9" x14ac:dyDescent="0.25">
      <x:c r="A101" s="798" t="s">
        <x:v>1085</x:v>
      </x:c>
      <x:c r="C101" s="710" t="s">
        <x:v>619</x:v>
      </x:c>
      <x:c r="D101"/>
      <x:c r="E101" s="711">
        <x:v>45213</x:v>
      </x:c>
      <x:c r="F101" s="710" t="s">
        <x:v>509</x:v>
      </x:c>
      <x:c r="G101" s="711">
        <x:v>45215</x:v>
      </x:c>
      <x:c r="H101"/>
      <x:c r="I101" s="489">
        <x:f t="shared" si="2"/>
        <x:v>2</x:v>
      </x:c>
    </x:row>
    <x:row r="102" spans="1:9" x14ac:dyDescent="0.25">
      <x:c r="A102" s="798" t="s">
        <x:v>1086</x:v>
      </x:c>
      <x:c r="C102" s="710" t="s">
        <x:v>620</x:v>
      </x:c>
      <x:c r="D102"/>
      <x:c r="E102" s="711">
        <x:v>45493</x:v>
      </x:c>
      <x:c r="F102" s="710" t="s">
        <x:v>509</x:v>
      </x:c>
      <x:c r="G102" s="711">
        <x:v>45495</x:v>
      </x:c>
      <x:c r="H102"/>
      <x:c r="I102" s="489">
        <x:f t="shared" si="2"/>
        <x:v>2</x:v>
      </x:c>
    </x:row>
    <x:row r="103" spans="1:9" x14ac:dyDescent="0.25">
      <x:c r="A103" s="798" t="s">
        <x:v>1087</x:v>
      </x:c>
      <x:c r="C103" s="710" t="s">
        <x:v>621</x:v>
      </x:c>
      <x:c r="D103"/>
      <x:c r="E103" s="711">
        <x:v>45523</x:v>
      </x:c>
      <x:c r="F103" s="710" t="s">
        <x:v>513</x:v>
      </x:c>
      <x:c r="G103" s="711">
        <x:v>45524</x:v>
      </x:c>
      <x:c r="H103"/>
      <x:c r="I103" s="489">
        <x:f t="shared" si="2"/>
        <x:v>1</x:v>
      </x:c>
    </x:row>
    <x:row r="104" spans="1:9" x14ac:dyDescent="0.25">
      <x:c r="A104" s="798" t="s">
        <x:v>1088</x:v>
      </x:c>
      <x:c r="C104" s="710" t="s">
        <x:v>622</x:v>
      </x:c>
      <x:c r="D104"/>
      <x:c r="E104" s="711">
        <x:v>45451</x:v>
      </x:c>
      <x:c r="F104" s="710" t="s">
        <x:v>509</x:v>
      </x:c>
      <x:c r="G104" s="711">
        <x:v>45453</x:v>
      </x:c>
      <x:c r="H104"/>
      <x:c r="I104" s="489">
        <x:f t="shared" si="2"/>
        <x:v>2</x:v>
      </x:c>
    </x:row>
    <x:row r="105" spans="1:9" x14ac:dyDescent="0.25">
      <x:c r="A105" s="798" t="s">
        <x:v>1089</x:v>
      </x:c>
      <x:c r="C105" s="710" t="s">
        <x:v>623</x:v>
      </x:c>
      <x:c r="D105"/>
      <x:c r="E105" s="711">
        <x:v>45220</x:v>
      </x:c>
      <x:c r="F105" s="710" t="s">
        <x:v>509</x:v>
      </x:c>
      <x:c r="G105" s="711">
        <x:v>45222</x:v>
      </x:c>
      <x:c r="H105"/>
      <x:c r="I105" s="489">
        <x:f t="shared" si="2"/>
        <x:v>2</x:v>
      </x:c>
    </x:row>
    <x:row r="106" spans="1:9" x14ac:dyDescent="0.25">
      <x:c r="A106" s="798" t="s">
        <x:v>1090</x:v>
      </x:c>
      <x:c r="C106" s="710" t="s">
        <x:v>624</x:v>
      </x:c>
      <x:c r="D106"/>
      <x:c r="E106" s="711">
        <x:v>45385</x:v>
      </x:c>
      <x:c r="F106" s="710" t="s">
        <x:v>512</x:v>
      </x:c>
      <x:c r="G106" s="711">
        <x:v>45386</x:v>
      </x:c>
      <x:c r="H106"/>
      <x:c r="I106" s="489">
        <x:f t="shared" si="2"/>
        <x:v>1</x:v>
      </x:c>
    </x:row>
    <x:row r="107" spans="1:9" x14ac:dyDescent="0.25">
      <x:c r="A107" s="798" t="s">
        <x:v>1091</x:v>
      </x:c>
      <x:c r="C107" s="710" t="s">
        <x:v>625</x:v>
      </x:c>
      <x:c r="D107"/>
      <x:c r="E107" s="711">
        <x:v>45515</x:v>
      </x:c>
      <x:c r="F107" s="710" t="s">
        <x:v>511</x:v>
      </x:c>
      <x:c r="G107" s="711">
        <x:v>45516</x:v>
      </x:c>
      <x:c r="H107"/>
      <x:c r="I107" s="489">
        <x:f t="shared" si="2"/>
        <x:v>1</x:v>
      </x:c>
    </x:row>
    <x:row r="108" spans="1:9" x14ac:dyDescent="0.25">
      <x:c r="A108" s="798" t="s">
        <x:v>1092</x:v>
      </x:c>
      <x:c r="C108" s="710" t="s">
        <x:v>626</x:v>
      </x:c>
      <x:c r="D108"/>
      <x:c r="E108" s="711">
        <x:v>45430</x:v>
      </x:c>
      <x:c r="F108" s="710" t="s">
        <x:v>509</x:v>
      </x:c>
      <x:c r="G108" s="711">
        <x:v>45432</x:v>
      </x:c>
      <x:c r="H108"/>
      <x:c r="I108" s="489">
        <x:f t="shared" si="2"/>
        <x:v>2</x:v>
      </x:c>
    </x:row>
    <x:row r="109" spans="1:9" x14ac:dyDescent="0.25">
      <x:c r="A109" s="798" t="s">
        <x:v>1093</x:v>
      </x:c>
      <x:c r="C109" s="710" t="s">
        <x:v>627</x:v>
      </x:c>
      <x:c r="D109"/>
      <x:c r="E109" s="711">
        <x:v>45549</x:v>
      </x:c>
      <x:c r="F109" s="710" t="s">
        <x:v>509</x:v>
      </x:c>
      <x:c r="G109" s="711">
        <x:v>45551</x:v>
      </x:c>
      <x:c r="H109"/>
      <x:c r="I109" s="489">
        <x:f t="shared" si="2"/>
        <x:v>2</x:v>
      </x:c>
    </x:row>
    <x:row r="110" spans="1:9" x14ac:dyDescent="0.25">
      <x:c r="A110" s="798" t="s">
        <x:v>1094</x:v>
      </x:c>
      <x:c r="C110" s="710" t="s">
        <x:v>628</x:v>
      </x:c>
      <x:c r="D110"/>
      <x:c r="E110" s="711">
        <x:v>45304</x:v>
      </x:c>
      <x:c r="F110" s="710" t="s">
        <x:v>509</x:v>
      </x:c>
      <x:c r="G110" s="711">
        <x:v>45307</x:v>
      </x:c>
      <x:c r="H110"/>
      <x:c r="I110" s="489">
        <x:f t="shared" si="2"/>
        <x:v>3</x:v>
      </x:c>
    </x:row>
    <x:row r="111" spans="1:9" x14ac:dyDescent="0.25">
      <x:c r="A111" s="798" t="s">
        <x:v>1095</x:v>
      </x:c>
      <x:c r="C111" s="710" t="s">
        <x:v>629</x:v>
      </x:c>
      <x:c r="D111"/>
      <x:c r="E111" s="711">
        <x:v>45290</x:v>
      </x:c>
      <x:c r="F111" s="710" t="s">
        <x:v>509</x:v>
      </x:c>
      <x:c r="G111" s="711">
        <x:v>45293</x:v>
      </x:c>
      <x:c r="H111"/>
      <x:c r="I111" s="489">
        <x:f t="shared" si="2"/>
        <x:v>3</x:v>
      </x:c>
    </x:row>
    <x:row r="112" spans="1:9" x14ac:dyDescent="0.25">
      <x:c r="A112" s="798" t="s">
        <x:v>1096</x:v>
      </x:c>
      <x:c r="C112" s="710" t="s">
        <x:v>630</x:v>
      </x:c>
      <x:c r="D112"/>
      <x:c r="E112" s="711">
        <x:v>45350</x:v>
      </x:c>
      <x:c r="F112" s="710" t="s">
        <x:v>512</x:v>
      </x:c>
      <x:c r="G112" s="711">
        <x:v>45351</x:v>
      </x:c>
      <x:c r="H112"/>
      <x:c r="I112" s="489">
        <x:f t="shared" si="2"/>
        <x:v>1</x:v>
      </x:c>
    </x:row>
    <x:row r="113" spans="1:9" x14ac:dyDescent="0.25">
      <x:c r="A113" s="798" t="s">
        <x:v>1097</x:v>
      </x:c>
      <x:c r="C113" s="710" t="s">
        <x:v>631</x:v>
      </x:c>
      <x:c r="D113"/>
      <x:c r="E113" s="711">
        <x:v>45204</x:v>
      </x:c>
      <x:c r="F113" s="710" t="s">
        <x:v>515</x:v>
      </x:c>
      <x:c r="G113" s="711">
        <x:v>45205</x:v>
      </x:c>
      <x:c r="H113"/>
      <x:c r="I113" s="489">
        <x:f t="shared" si="2"/>
        <x:v>1</x:v>
      </x:c>
    </x:row>
    <x:row r="114" spans="1:9" x14ac:dyDescent="0.25">
      <x:c r="A114" s="798" t="s">
        <x:v>1098</x:v>
      </x:c>
      <x:c r="C114" s="710" t="s">
        <x:v>632</x:v>
      </x:c>
      <x:c r="D114"/>
      <x:c r="E114" s="711">
        <x:v>45446</x:v>
      </x:c>
      <x:c r="F114" s="710" t="s">
        <x:v>513</x:v>
      </x:c>
      <x:c r="G114" s="711">
        <x:v>45447</x:v>
      </x:c>
      <x:c r="H114"/>
      <x:c r="I114" s="489">
        <x:f t="shared" si="2"/>
        <x:v>1</x:v>
      </x:c>
    </x:row>
    <x:row r="115" spans="1:9" x14ac:dyDescent="0.25">
      <x:c r="A115" s="798" t="s">
        <x:v>1099</x:v>
      </x:c>
      <x:c r="C115" s="710" t="s">
        <x:v>633</x:v>
      </x:c>
      <x:c r="D115"/>
      <x:c r="E115" s="711">
        <x:v>45390</x:v>
      </x:c>
      <x:c r="F115" s="710" t="s">
        <x:v>513</x:v>
      </x:c>
      <x:c r="G115" s="711">
        <x:v>45391</x:v>
      </x:c>
      <x:c r="H115"/>
      <x:c r="I115" s="489">
        <x:f t="shared" si="2"/>
        <x:v>1</x:v>
      </x:c>
    </x:row>
    <x:row r="116" spans="1:9" x14ac:dyDescent="0.25">
      <x:c r="A116" s="798" t="s">
        <x:v>1100</x:v>
      </x:c>
      <x:c r="C116" s="710" t="s">
        <x:v>634</x:v>
      </x:c>
      <x:c r="D116"/>
      <x:c r="E116" s="711">
        <x:v>45283</x:v>
      </x:c>
      <x:c r="F116" s="710" t="s">
        <x:v>509</x:v>
      </x:c>
      <x:c r="G116" s="711">
        <x:v>45286</x:v>
      </x:c>
      <x:c r="H116"/>
      <x:c r="I116" s="489">
        <x:f t="shared" si="2"/>
        <x:v>3</x:v>
      </x:c>
    </x:row>
    <x:row r="117" spans="1:9" x14ac:dyDescent="0.25">
      <x:c r="A117" s="798" t="s">
        <x:v>1101</x:v>
      </x:c>
      <x:c r="C117" s="710" t="s">
        <x:v>635</x:v>
      </x:c>
      <x:c r="D117"/>
      <x:c r="E117" s="711">
        <x:v>45420</x:v>
      </x:c>
      <x:c r="F117" s="710" t="s">
        <x:v>512</x:v>
      </x:c>
      <x:c r="G117" s="711">
        <x:v>45421</x:v>
      </x:c>
      <x:c r="H117"/>
      <x:c r="I117" s="489">
        <x:f t="shared" si="2"/>
        <x:v>1</x:v>
      </x:c>
    </x:row>
    <x:row r="118" spans="1:9" x14ac:dyDescent="0.25">
      <x:c r="A118" s="798" t="s">
        <x:v>1102</x:v>
      </x:c>
      <x:c r="C118" s="710" t="s">
        <x:v>636</x:v>
      </x:c>
      <x:c r="D118"/>
      <x:c r="E118" s="711">
        <x:v>45458</x:v>
      </x:c>
      <x:c r="F118" s="710" t="s">
        <x:v>509</x:v>
      </x:c>
      <x:c r="G118" s="711">
        <x:v>45460</x:v>
      </x:c>
      <x:c r="H118"/>
      <x:c r="I118" s="489">
        <x:f t="shared" si="2"/>
        <x:v>2</x:v>
      </x:c>
    </x:row>
    <x:row r="119" spans="1:9" x14ac:dyDescent="0.25">
      <x:c r="A119" s="798" t="s">
        <x:v>1103</x:v>
      </x:c>
      <x:c r="C119" s="710" t="s">
        <x:v>637</x:v>
      </x:c>
      <x:c r="D119"/>
      <x:c r="E119" s="711">
        <x:v>45315</x:v>
      </x:c>
      <x:c r="F119" s="710" t="s">
        <x:v>512</x:v>
      </x:c>
      <x:c r="G119" s="711">
        <x:v>45316</x:v>
      </x:c>
      <x:c r="H119"/>
      <x:c r="I119" s="489">
        <x:f t="shared" si="2"/>
        <x:v>1</x:v>
      </x:c>
    </x:row>
    <x:row r="120" spans="1:9" x14ac:dyDescent="0.25">
      <x:c r="A120" s="798" t="s">
        <x:v>1104</x:v>
      </x:c>
      <x:c r="C120" s="710" t="s">
        <x:v>638</x:v>
      </x:c>
      <x:c r="D120"/>
      <x:c r="E120" s="711">
        <x:v>45458</x:v>
      </x:c>
      <x:c r="F120" s="710" t="s">
        <x:v>509</x:v>
      </x:c>
      <x:c r="G120" s="711">
        <x:v>45460</x:v>
      </x:c>
      <x:c r="H120"/>
      <x:c r="I120" s="489">
        <x:f t="shared" si="2"/>
        <x:v>2</x:v>
      </x:c>
    </x:row>
    <x:row r="121" spans="1:9" x14ac:dyDescent="0.25">
      <x:c r="A121" s="798" t="s">
        <x:v>1105</x:v>
      </x:c>
      <x:c r="C121" s="710" t="s">
        <x:v>639</x:v>
      </x:c>
      <x:c r="D121"/>
      <x:c r="E121" s="711">
        <x:v>45439</x:v>
      </x:c>
      <x:c r="F121" s="710" t="s">
        <x:v>513</x:v>
      </x:c>
      <x:c r="G121" s="711">
        <x:v>45440</x:v>
      </x:c>
      <x:c r="H121"/>
      <x:c r="I121" s="489">
        <x:f t="shared" si="2"/>
        <x:v>1</x:v>
      </x:c>
    </x:row>
    <x:row r="122" spans="1:9" x14ac:dyDescent="0.25">
      <x:c r="A122" s="798" t="s">
        <x:v>1106</x:v>
      </x:c>
      <x:c r="C122" s="710" t="s">
        <x:v>640</x:v>
      </x:c>
      <x:c r="D122"/>
      <x:c r="E122" s="711">
        <x:v>45552</x:v>
      </x:c>
      <x:c r="F122" s="710" t="s">
        <x:v>510</x:v>
      </x:c>
      <x:c r="G122" s="711">
        <x:v>45553</x:v>
      </x:c>
      <x:c r="H122"/>
      <x:c r="I122" s="489">
        <x:f t="shared" si="2"/>
        <x:v>1</x:v>
      </x:c>
    </x:row>
    <x:row r="123" spans="1:9" x14ac:dyDescent="0.25">
      <x:c r="A123" s="798" t="s">
        <x:v>1107</x:v>
      </x:c>
      <x:c r="C123" s="710" t="s">
        <x:v>641</x:v>
      </x:c>
      <x:c r="D123"/>
      <x:c r="E123" s="711">
        <x:v>45556</x:v>
      </x:c>
      <x:c r="F123" s="710" t="s">
        <x:v>509</x:v>
      </x:c>
      <x:c r="G123" s="711">
        <x:v>45558</x:v>
      </x:c>
      <x:c r="H123"/>
      <x:c r="I123" s="489">
        <x:f t="shared" si="2"/>
        <x:v>2</x:v>
      </x:c>
    </x:row>
    <x:row r="124" spans="1:9" x14ac:dyDescent="0.25">
      <x:c r="A124" s="798" t="s">
        <x:v>1108</x:v>
      </x:c>
      <x:c r="C124" s="710" t="s">
        <x:v>642</x:v>
      </x:c>
      <x:c r="D124"/>
      <x:c r="E124" s="711">
        <x:v>45204</x:v>
      </x:c>
      <x:c r="F124" s="710" t="s">
        <x:v>515</x:v>
      </x:c>
      <x:c r="G124" s="711">
        <x:v>45205</x:v>
      </x:c>
      <x:c r="H124"/>
      <x:c r="I124" s="489">
        <x:f t="shared" si="2"/>
        <x:v>1</x:v>
      </x:c>
    </x:row>
    <x:row r="125" spans="1:9" x14ac:dyDescent="0.25">
      <x:c r="A125" s="798" t="s">
        <x:v>1109</x:v>
      </x:c>
      <x:c r="C125" s="710" t="s">
        <x:v>643</x:v>
      </x:c>
      <x:c r="D125"/>
      <x:c r="E125" s="711">
        <x:v>45490</x:v>
      </x:c>
      <x:c r="F125" s="710" t="s">
        <x:v>512</x:v>
      </x:c>
      <x:c r="G125" s="711">
        <x:v>45491</x:v>
      </x:c>
      <x:c r="H125"/>
      <x:c r="I125" s="489">
        <x:f t="shared" si="2"/>
        <x:v>1</x:v>
      </x:c>
    </x:row>
    <x:row r="126" spans="1:9" x14ac:dyDescent="0.25">
      <x:c r="A126" s="798" t="s">
        <x:v>1110</x:v>
      </x:c>
      <x:c r="C126" s="710" t="s">
        <x:v>644</x:v>
      </x:c>
      <x:c r="D126"/>
      <x:c r="E126" s="711">
        <x:v>45426</x:v>
      </x:c>
      <x:c r="F126" s="710" t="s">
        <x:v>510</x:v>
      </x:c>
      <x:c r="G126" s="711">
        <x:v>45427</x:v>
      </x:c>
      <x:c r="H126"/>
      <x:c r="I126" s="489">
        <x:f t="shared" si="2"/>
        <x:v>1</x:v>
      </x:c>
    </x:row>
    <x:row r="127" spans="1:9" x14ac:dyDescent="0.25">
      <x:c r="A127" s="798" t="s">
        <x:v>1111</x:v>
      </x:c>
      <x:c r="C127" s="710" t="s">
        <x:v>645</x:v>
      </x:c>
      <x:c r="D127"/>
      <x:c r="E127" s="711">
        <x:v>45308</x:v>
      </x:c>
      <x:c r="F127" s="710" t="s">
        <x:v>512</x:v>
      </x:c>
      <x:c r="G127" s="711">
        <x:v>45309</x:v>
      </x:c>
      <x:c r="H127"/>
      <x:c r="I127" s="489">
        <x:f t="shared" si="2"/>
        <x:v>1</x:v>
      </x:c>
    </x:row>
    <x:row r="128" spans="1:9" x14ac:dyDescent="0.25">
      <x:c r="A128" s="798" t="s">
        <x:v>1112</x:v>
      </x:c>
      <x:c r="C128" s="710" t="s">
        <x:v>646</x:v>
      </x:c>
      <x:c r="D128"/>
      <x:c r="E128" s="711">
        <x:v>45264</x:v>
      </x:c>
      <x:c r="F128" s="710" t="s">
        <x:v>513</x:v>
      </x:c>
      <x:c r="G128" s="711">
        <x:v>45265</x:v>
      </x:c>
      <x:c r="H128"/>
      <x:c r="I128" s="489">
        <x:f t="shared" si="2"/>
        <x:v>1</x:v>
      </x:c>
    </x:row>
    <x:row r="129" spans="1:9" x14ac:dyDescent="0.25">
      <x:c r="A129" s="798" t="s">
        <x:v>1113</x:v>
      </x:c>
      <x:c r="C129" s="710" t="s">
        <x:v>647</x:v>
      </x:c>
      <x:c r="D129"/>
      <x:c r="E129" s="711">
        <x:v>45199</x:v>
      </x:c>
      <x:c r="F129" s="710" t="s">
        <x:v>509</x:v>
      </x:c>
      <x:c r="G129" s="711">
        <x:v>45201</x:v>
      </x:c>
      <x:c r="H129"/>
      <x:c r="I129" s="489">
        <x:f t="shared" si="2"/>
        <x:v>2</x:v>
      </x:c>
    </x:row>
    <x:row r="130" spans="1:9" x14ac:dyDescent="0.25">
      <x:c r="A130" s="798" t="s">
        <x:v>1114</x:v>
      </x:c>
      <x:c r="C130" s="710"/>
      <x:c r="D130"/>
      <x:c r="E130" s="711"/>
      <x:c r="F130" s="710"/>
      <x:c r="G130" s="711"/>
      <x:c r="H130"/>
      <x:c r="I130" s="682"/>
    </x:row>
    <x:row r="131" spans="1:9" x14ac:dyDescent="0.25">
      <x:c r="A131" s="798" t="s">
        <x:v>1115</x:v>
      </x:c>
      <x:c r="C131" s="647" t="s">
        <x:v>26</x:v>
      </x:c>
      <x:c r="D131"/>
      <x:c r="E131" s="488"/>
      <x:c r="F131" s="488"/>
      <x:c r="G131" s="488"/>
      <x:c r="H131"/>
      <x:c r="I131" s="489">
        <x:f>SUM(I10:I129)</x:f>
        <x:v>270</x:v>
      </x:c>
    </x:row>
    <x:row r="132" spans="1:9" x14ac:dyDescent="0.25">
      <x:c r="A132" s="798" t="s">
        <x:v>1116</x:v>
      </x:c>
      <x:c r="C132" s="2"/>
      <x:c r="D132"/>
      <x:c r="E132" s="488"/>
      <x:c r="F132" s="488"/>
      <x:c r="G132" s="488"/>
      <x:c r="H132"/>
      <x:c r="I132" s="489"/>
    </x:row>
    <x:row r="133" spans="1:9" ht="13.25" thickBot="1" x14ac:dyDescent="0.3">
      <x:c r="A133" s="798" t="s">
        <x:v>1117</x:v>
      </x:c>
      <x:c r="C133" s="490" t="s">
        <x:v>225</x:v>
      </x:c>
      <x:c r="I133" s="657">
        <x:f>+I131/A129</x:f>
        <x:v>2.25</x:v>
      </x:c>
    </x:row>
    <x:row r="134" spans="1:9" ht="13.25" thickTop="1" x14ac:dyDescent="0.25">
      <x:c r="A134" s="798" t="s">
        <x:v>1118</x:v>
      </x:c>
      <x:c r="C134" s="2"/>
    </x:row>
    <x:row r="135" spans="1:9" x14ac:dyDescent="0.25">
      <x:c r="A135" s="798" t="s">
        <x:v>1119</x:v>
      </x:c>
    </x:row>
    <x:row r="136" spans="1:9" x14ac:dyDescent="0.25">
      <x:c r="A136" s="798" t="s">
        <x:v>1120</x:v>
      </x:c>
      <x:c r="C136" s="456" t="s">
        <x:v>230</x:v>
      </x:c>
      <x:c r="E136" s="290" t="s">
        <x:v>436</x:v>
      </x:c>
      <x:c r="F136" s="169"/>
      <x:c r="G136" s="169"/>
    </x:row>
    <x:row r="137" spans="1:9" x14ac:dyDescent="0.25">
      <x:c r="A137" s="207"/>
      <x:c r="C137" s="169"/>
      <x:c r="D137" s="169"/>
      <x:c r="E137" s="169"/>
      <x:c r="F137" s="169"/>
      <x:c r="G137" s="169"/>
    </x:row>
  </x:sheetData>
  <x:phoneticPr fontId="24" type="noConversion"/>
  <x:hyperlinks>
    <x:hyperlink ref="E136" r:id="rId1" xr:uid="{00000000-0004-0000-0400-000000000000}"/>
  </x:hyperlinks>
  <x:printOptions horizontalCentered="1"/>
  <x:pageMargins left="0.5" right="0.5" top="1.5" bottom="0.5" header="1" footer="0.5"/>
  <x:pageSetup fitToHeight="10" orientation="landscape" r:id="rId2"/>
  <x:headerFooter alignWithMargins="0">
    <x:oddHeader>&amp;RWP/II-B-9/&amp;A
Page &amp;P of &amp;N</x:oddHeader>
  </x:headerFooter>
  <x:rowBreaks count="5" manualBreakCount="5">
    <x:brk id="32" max="8" man="1"/>
    <x:brk id="57" max="8" man="1"/>
    <x:brk id="78" max="8" man="1"/>
    <x:brk id="99" max="8" man="1"/>
    <x:brk id="123" max="8" man="1"/>
  </x:rowBreak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3">
    <x:tabColor rgb="FF92D050"/>
    <x:pageSetUpPr fitToPage="1"/>
  </x:sheetPr>
  <x:dimension ref="A1:W17"/>
  <x:sheetViews>
    <x:sheetView zoomScaleNormal="100" workbookViewId="0">
      <x:selection activeCell="D37" sqref="D37"/>
    </x:sheetView>
  </x:sheetViews>
  <x:sheetFormatPr defaultRowHeight="12.7" x14ac:dyDescent="0.25"/>
  <x:cols>
    <x:col min="1" max="1" width="5.109375" customWidth="1"/>
    <x:col min="2" max="2" width="43.5546875" customWidth="1"/>
    <x:col min="3" max="3" width="20.44140625" customWidth="1"/>
    <x:col min="4" max="4" width="17.88671875" customWidth="1"/>
    <x:col min="5" max="5" width="16.88671875" customWidth="1"/>
    <x:col min="6" max="7" width="17" bestFit="1" customWidth="1"/>
    <x:col min="8" max="8" width="17.44140625" bestFit="1" customWidth="1"/>
    <x:col min="9" max="9" width="17" bestFit="1" customWidth="1"/>
    <x:col min="10" max="10" width="16.88671875" bestFit="1" customWidth="1"/>
    <x:col min="11" max="11" width="17" bestFit="1" customWidth="1"/>
    <x:col min="12" max="12" width="16.44140625" bestFit="1" customWidth="1"/>
    <x:col min="13" max="15" width="15" bestFit="1" customWidth="1"/>
    <x:col min="16" max="16" width="16" bestFit="1" customWidth="1"/>
  </x:cols>
  <x:sheetData>
    <x:row r="1" spans="1:23" s="292" customFormat="1" x14ac:dyDescent="0.25">
      <x:c r="A1" s="180" t="s">
        <x:v>523</x:v>
      </x:c>
      <x:c r="B1" s="180"/>
      <x:c r="C1" s="180"/>
      <x:c r="D1" s="180"/>
      <x:c r="E1" s="180"/>
    </x:row>
    <x:row r="2" spans="1:23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23" s="292" customFormat="1" x14ac:dyDescent="0.25">
      <x:c r="A3" s="180" t="s">
        <x:v>296</x:v>
      </x:c>
      <x:c r="B3" s="180"/>
      <x:c r="C3" s="180"/>
      <x:c r="D3" s="180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spans="1:23" s="292" customFormat="1" x14ac:dyDescent="0.25">
      <x:c r="A4" s="767" t="s">
        <x:v>524</x:v>
      </x:c>
      <x:c r="B4" s="180"/>
      <x:c r="C4" s="180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 spans="1:23" s="292" customFormat="1" x14ac:dyDescent="0.25">
      <x:c r="A5" s="180" t="s">
        <x:v>486</x:v>
      </x:c>
      <x:c r="B5" s="180"/>
      <x:c r="C5" s="180"/>
      <x:c r="E5"/>
      <x:c r="F5"/>
      <x:c r="G5"/>
      <x:c r="H5" t="s">
        <x:v>464</x:v>
      </x:c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 spans="1:23" s="292" customFormat="1" x14ac:dyDescent="0.25">
      <x:c r="A6" s="180"/>
      <x:c r="B6" s="180"/>
      <x:c r="C6" s="180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 spans="1:23" x14ac:dyDescent="0.25">
      <x:c r="A7" s="6" t="s">
        <x:v>35</x:v>
      </x:c>
    </x:row>
    <x:row r="8" spans="1:23" ht="25.35" x14ac:dyDescent="0.25">
      <x:c r="A8" s="56" t="s">
        <x:v>36</x:v>
      </x:c>
      <x:c r="B8" s="56" t="s">
        <x:v>23</x:v>
      </x:c>
      <x:c r="C8" s="56" t="s">
        <x:v>25</x:v>
      </x:c>
      <x:c r="D8" s="56" t="s">
        <x:v>24</x:v>
      </x:c>
      <x:c r="E8" s="32" t="s">
        <x:v>297</x:v>
      </x:c>
    </x:row>
    <x:row r="9" spans="1:23" x14ac:dyDescent="0.25">
      <x:c r="A9" s="227"/>
      <x:c r="B9" s="125" t="s">
        <x:v>50</x:v>
      </x:c>
      <x:c r="C9" s="226" t="s">
        <x:v>51</x:v>
      </x:c>
      <x:c r="D9" s="226" t="s">
        <x:v>57</x:v>
      </x:c>
      <x:c r="E9" s="226" t="s">
        <x:v>52</x:v>
      </x:c>
    </x:row>
    <x:row r="10" spans="1:23" x14ac:dyDescent="0.25">
      <x:c r="A10" s="229"/>
      <x:c r="B10" s="335"/>
      <x:c r="C10" s="228"/>
      <x:c r="D10" s="228"/>
      <x:c r="E10" s="228"/>
      <x:c r="F10" s="228"/>
      <x:c r="G10" s="228"/>
      <x:c r="H10" s="228"/>
      <x:c r="I10" s="228"/>
      <x:c r="J10" s="228"/>
      <x:c r="K10" s="228"/>
      <x:c r="L10" s="228"/>
      <x:c r="M10" s="228"/>
      <x:c r="N10" s="228"/>
      <x:c r="O10" s="228"/>
      <x:c r="P10" s="228"/>
      <x:c r="Q10" s="228"/>
      <x:c r="R10" s="228"/>
    </x:row>
    <x:row r="11" spans="1:23" x14ac:dyDescent="0.25">
      <x:c r="A11" s="229">
        <x:v>1</x:v>
      </x:c>
      <x:c r="B11" s="335" t="s">
        <x:v>282</x:v>
      </x:c>
      <x:c r="C11" s="185" t="s">
        <x:v>298</x:v>
      </x:c>
      <x:c r="D11" s="705">
        <x:f>+'1-1-3-1'!D25</x:f>
        <x:v>173020502869.11002</x:v>
      </x:c>
      <x:c r="E11" s="228"/>
      <x:c r="G11" s="228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228"/>
      <x:c r="R11" s="228"/>
    </x:row>
    <x:row r="12" spans="1:23" x14ac:dyDescent="0.25">
      <x:c r="A12" s="229">
        <x:v>2</x:v>
      </x:c>
      <x:c r="B12" s="335" t="s">
        <x:v>11</x:v>
      </x:c>
      <x:c r="C12" s="290" t="s">
        <x:v>489</x:v>
      </x:c>
      <x:c r="D12" s="334">
        <x:v>4954556306.6599998</x:v>
      </x:c>
      <x:c r="E12" s="230"/>
      <x:c r="G12" s="228"/>
      <x:c r="H12" s="228"/>
      <x:c r="I12" s="228"/>
      <x:c r="J12" s="228"/>
      <x:c r="K12" s="228"/>
      <x:c r="L12" s="228"/>
      <x:c r="M12" s="228"/>
      <x:c r="N12" s="228"/>
      <x:c r="O12" s="228"/>
      <x:c r="P12" s="228"/>
      <x:c r="Q12" s="228"/>
      <x:c r="R12" s="228"/>
    </x:row>
    <x:row r="13" spans="1:23" x14ac:dyDescent="0.25">
      <x:c r="A13" s="229">
        <x:v>3</x:v>
      </x:c>
      <x:c r="C13" s="228"/>
      <x:c r="D13" s="228"/>
      <x:c r="E13" s="228"/>
      <x:c r="G13" s="228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228"/>
      <x:c r="R13" s="228"/>
    </x:row>
    <x:row r="14" spans="1:23" ht="13.25" thickBot="1" x14ac:dyDescent="0.3">
      <x:c r="A14" s="229">
        <x:v>4</x:v>
      </x:c>
      <x:c r="B14" s="292" t="s">
        <x:v>319</x:v>
      </x:c>
      <x:c r="C14" s="228"/>
      <x:c r="D14" s="228"/>
      <x:c r="E14" s="453">
        <x:f>ROUND(D11/D12,3)</x:f>
        <x:v>34.920999999999999</x:v>
      </x:c>
      <x:c r="G14" s="228"/>
      <x:c r="H14" s="228"/>
      <x:c r="I14" s="228"/>
      <x:c r="J14" s="228"/>
      <x:c r="K14" s="228"/>
      <x:c r="L14" s="228"/>
      <x:c r="M14" s="228"/>
      <x:c r="N14" s="228"/>
      <x:c r="O14" s="228"/>
      <x:c r="P14" s="228"/>
      <x:c r="Q14" s="228"/>
      <x:c r="R14" s="228"/>
    </x:row>
    <x:row r="15" spans="1:23" ht="13.25" thickTop="1" x14ac:dyDescent="0.25"/>
    <x:row r="16" spans="1:23" x14ac:dyDescent="0.25">
      <x:c r="D16" s="170"/>
    </x:row>
    <x:row r="17" spans="4:4" x14ac:dyDescent="0.25">
      <x:c r="D17" s="170"/>
    </x:row>
  </x:sheetData>
  <x:phoneticPr fontId="23" type="noConversion"/>
  <x:hyperlinks>
    <x:hyperlink ref="C12" r:id="rId1" xr:uid="{00000000-0004-0000-0500-000000000000}"/>
  </x:hyperlinks>
  <x:printOptions horizontalCentered="1"/>
  <x:pageMargins left="0.5" right="0.5" top="1.5" bottom="0.5" header="1" footer="0.5"/>
  <x:pageSetup scale="83" orientation="landscape" r:id="rId2"/>
  <x:headerFooter alignWithMargins="0">
    <x:oddHeader>&amp;RWP/II-B-9/&amp;A
Page &amp;P of &amp;N</x:oddHead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5">
    <x:tabColor rgb="FF92D050"/>
    <x:pageSetUpPr fitToPage="1"/>
  </x:sheetPr>
  <x:dimension ref="A1:W27"/>
  <x:sheetViews>
    <x:sheetView topLeftCell="A4" zoomScaleNormal="100" workbookViewId="0">
      <x:selection activeCell="D37" sqref="D37"/>
    </x:sheetView>
  </x:sheetViews>
  <x:sheetFormatPr defaultRowHeight="12.7" x14ac:dyDescent="0.25"/>
  <x:cols>
    <x:col min="1" max="1" width="5.109375" customWidth="1"/>
    <x:col min="2" max="2" width="43.5546875" customWidth="1"/>
    <x:col min="3" max="3" width="2" customWidth="1"/>
    <x:col min="4" max="4" width="17.88671875" customWidth="1"/>
    <x:col min="5" max="5" width="16.88671875" customWidth="1"/>
    <x:col min="6" max="7" width="17" bestFit="1" customWidth="1"/>
    <x:col min="8" max="8" width="17.44140625" bestFit="1" customWidth="1"/>
    <x:col min="9" max="9" width="17" bestFit="1" customWidth="1"/>
    <x:col min="10" max="10" width="16.88671875" bestFit="1" customWidth="1"/>
    <x:col min="11" max="11" width="17" bestFit="1" customWidth="1"/>
    <x:col min="12" max="12" width="16.44140625" bestFit="1" customWidth="1"/>
    <x:col min="13" max="15" width="15" bestFit="1" customWidth="1"/>
    <x:col min="16" max="16" width="16" bestFit="1" customWidth="1"/>
  </x:cols>
  <x:sheetData>
    <x:row r="1" spans="1:23" s="73" customFormat="1" x14ac:dyDescent="0.25">
      <x:c r="A1" s="180" t="s">
        <x:v>523</x:v>
      </x:c>
      <x:c r="B1" s="180"/>
      <x:c r="C1" s="180"/>
      <x:c r="D1" s="180"/>
      <x:c r="E1" s="180"/>
    </x:row>
    <x:row r="2" spans="1:23" s="73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23" s="73" customFormat="1" x14ac:dyDescent="0.25">
      <x:c r="A3" s="180" t="s">
        <x:v>158</x:v>
      </x:c>
      <x:c r="B3" s="180"/>
      <x:c r="C3" s="180"/>
      <x:c r="D3" s="180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spans="1:23" s="73" customFormat="1" x14ac:dyDescent="0.25">
      <x:c r="A4" s="767" t="s">
        <x:v>524</x:v>
      </x:c>
      <x:c r="B4" s="180"/>
      <x:c r="C4" s="180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 spans="1:23" s="73" customFormat="1" x14ac:dyDescent="0.25">
      <x:c r="A5" s="180" t="s">
        <x:v>486</x:v>
      </x:c>
      <x:c r="B5" s="180"/>
      <x:c r="C5" s="180"/>
      <x:c r="E5"/>
      <x:c r="F5"/>
      <x:c r="G5"/>
      <x:c r="H5" t="s">
        <x:v>464</x:v>
      </x:c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 spans="1:23" s="73" customFormat="1" x14ac:dyDescent="0.25">
      <x:c r="A6" s="180"/>
      <x:c r="B6" s="180"/>
      <x:c r="C6" s="180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 spans="1:23" x14ac:dyDescent="0.25">
      <x:c r="A7" s="6" t="s">
        <x:v>35</x:v>
      </x:c>
    </x:row>
    <x:row r="8" spans="1:23" x14ac:dyDescent="0.25">
      <x:c r="A8" s="56" t="s">
        <x:v>36</x:v>
      </x:c>
      <x:c r="B8" s="56" t="s">
        <x:v>23</x:v>
      </x:c>
      <x:c r="C8" s="56"/>
      <x:c r="D8" s="56" t="s">
        <x:v>281</x:v>
      </x:c>
    </x:row>
    <x:row r="9" spans="1:23" x14ac:dyDescent="0.25">
      <x:c r="A9" s="227"/>
      <x:c r="B9" s="125" t="s">
        <x:v>50</x:v>
      </x:c>
      <x:c r="C9" s="227"/>
      <x:c r="D9" s="226" t="s">
        <x:v>51</x:v>
      </x:c>
    </x:row>
    <x:row r="10" spans="1:23" x14ac:dyDescent="0.25">
      <x:c r="A10" s="227"/>
      <x:c r="B10" s="125"/>
      <x:c r="C10" s="227"/>
      <x:c r="D10" s="226"/>
    </x:row>
    <x:row r="11" spans="1:23" s="492" customFormat="1" x14ac:dyDescent="0.25">
      <x:c r="A11" s="229">
        <x:v>1</x:v>
      </x:c>
      <x:c r="B11" s="491" t="s">
        <x:v>490</x:v>
      </x:c>
      <x:c r="C11" s="457"/>
      <x:c r="D11" s="457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 spans="1:23" s="492" customFormat="1" x14ac:dyDescent="0.25">
      <x:c r="A12" s="229">
        <x:v>2</x:v>
      </x:c>
      <x:c r="B12" s="625">
        <x:v>45200</x:v>
      </x:c>
      <x:c r="C12" s="457"/>
      <x:c r="D12" s="457">
        <x:f>+'1-1-3-1-1'!C41</x:f>
        <x:v>16587048750.659996</x:v>
      </x:c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 spans="1:23" s="492" customFormat="1" x14ac:dyDescent="0.25">
      <x:c r="A13" s="229">
        <x:v>3</x:v>
      </x:c>
      <x:c r="B13" s="625">
        <x:v>45231</x:v>
      </x:c>
      <x:c r="C13" s="457"/>
      <x:c r="D13" s="493">
        <x:f>+'1-1-3-1-1'!E41</x:f>
        <x:v>13500263121.989996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</x:row>
    <x:row r="14" spans="1:23" s="492" customFormat="1" x14ac:dyDescent="0.25">
      <x:c r="A14" s="229">
        <x:v>4</x:v>
      </x:c>
      <x:c r="B14" s="625">
        <x:v>45261</x:v>
      </x:c>
      <x:c r="C14" s="457"/>
      <x:c r="D14" s="493">
        <x:f>+'1-1-3-1-1'!G41</x:f>
        <x:v>12938963708.67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spans="1:23" s="492" customFormat="1" x14ac:dyDescent="0.25">
      <x:c r="A15" s="229">
        <x:v>5</x:v>
      </x:c>
      <x:c r="B15" s="625">
        <x:v>45292</x:v>
      </x:c>
      <x:c r="C15" s="457"/>
      <x:c r="D15" s="493">
        <x:f>+'1-1-3-1-1'!C76</x:f>
        <x:v>13699319532.960003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spans="1:23" s="492" customFormat="1" x14ac:dyDescent="0.25">
      <x:c r="A16" s="229">
        <x:v>6</x:v>
      </x:c>
      <x:c r="B16" s="625">
        <x:v>45323</x:v>
      </x:c>
      <x:c r="C16" s="457"/>
      <x:c r="D16" s="493">
        <x:f>+'1-1-3-1-1'!E76</x:f>
        <x:v>15108631360.57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 spans="1:18" s="492" customFormat="1" x14ac:dyDescent="0.25">
      <x:c r="A17" s="229">
        <x:v>7</x:v>
      </x:c>
      <x:c r="B17" s="625">
        <x:v>45352</x:v>
      </x:c>
      <x:c r="C17" s="457"/>
      <x:c r="D17" s="493">
        <x:f>+'1-1-3-1-1'!G76</x:f>
        <x:v>13348486148.609999</x:v>
      </x:c>
      <x:c r="E17"/>
      <x:c r="F17"/>
      <x:c r="G17"/>
      <x:c r="H17"/>
      <x:c r="I17"/>
      <x:c r="J17"/>
      <x:c r="K17" s="457"/>
      <x:c r="L17" s="457"/>
      <x:c r="M17" s="457"/>
      <x:c r="N17" s="457"/>
      <x:c r="O17" s="457"/>
      <x:c r="P17" s="457"/>
      <x:c r="Q17" s="457"/>
      <x:c r="R17" s="457"/>
    </x:row>
    <x:row r="18" spans="1:18" s="492" customFormat="1" x14ac:dyDescent="0.25">
      <x:c r="A18" s="229">
        <x:v>8</x:v>
      </x:c>
      <x:c r="B18" s="625">
        <x:v>45383</x:v>
      </x:c>
      <x:c r="C18" s="457"/>
      <x:c r="D18" s="493">
        <x:f>+'1-1-3-1-1'!C111</x:f>
        <x:v>11454090399.219997</x:v>
      </x:c>
      <x:c r="E18"/>
      <x:c r="F18"/>
      <x:c r="G18"/>
      <x:c r="H18"/>
      <x:c r="I18"/>
      <x:c r="J18"/>
      <x:c r="K18" s="457"/>
      <x:c r="L18" s="457"/>
      <x:c r="M18" s="457"/>
      <x:c r="N18" s="457"/>
      <x:c r="O18" s="457"/>
      <x:c r="P18" s="457"/>
      <x:c r="Q18" s="457"/>
      <x:c r="R18" s="457"/>
    </x:row>
    <x:row r="19" spans="1:18" s="492" customFormat="1" x14ac:dyDescent="0.25">
      <x:c r="A19" s="229">
        <x:v>9</x:v>
      </x:c>
      <x:c r="B19" s="625">
        <x:v>45413</x:v>
      </x:c>
      <x:c r="C19" s="457"/>
      <x:c r="D19" s="493">
        <x:f>+'1-1-3-1-1'!E111</x:f>
        <x:v>12366701032.230001</x:v>
      </x:c>
      <x:c r="E19"/>
      <x:c r="F19"/>
      <x:c r="G19"/>
      <x:c r="H19"/>
      <x:c r="I19"/>
      <x:c r="J19"/>
      <x:c r="K19" s="457"/>
      <x:c r="L19" s="457"/>
      <x:c r="M19" s="457"/>
      <x:c r="N19" s="457"/>
      <x:c r="O19" s="457"/>
      <x:c r="P19" s="457"/>
      <x:c r="Q19" s="457"/>
      <x:c r="R19" s="457"/>
    </x:row>
    <x:row r="20" spans="1:18" s="492" customFormat="1" x14ac:dyDescent="0.25">
      <x:c r="A20" s="229">
        <x:v>10</x:v>
      </x:c>
      <x:c r="B20" s="625">
        <x:v>45444</x:v>
      </x:c>
      <x:c r="C20" s="457"/>
      <x:c r="D20" s="493">
        <x:f>+'1-1-3-1-1'!G111</x:f>
        <x:v>13133130035.649998</x:v>
      </x:c>
      <x:c r="E20"/>
      <x:c r="F20"/>
      <x:c r="G20"/>
      <x:c r="H20"/>
      <x:c r="I20"/>
      <x:c r="J20"/>
      <x:c r="K20" s="457"/>
      <x:c r="L20" s="457"/>
      <x:c r="M20" s="457"/>
      <x:c r="N20" s="457"/>
      <x:c r="O20" s="457"/>
      <x:c r="P20" s="457"/>
      <x:c r="Q20" s="457"/>
      <x:c r="R20" s="457"/>
    </x:row>
    <x:row r="21" spans="1:18" s="492" customFormat="1" x14ac:dyDescent="0.25">
      <x:c r="A21" s="229">
        <x:v>11</x:v>
      </x:c>
      <x:c r="B21" s="625">
        <x:v>45474</x:v>
      </x:c>
      <x:c r="C21" s="457"/>
      <x:c r="D21" s="493">
        <x:f>+'1-1-3-1-1'!C146</x:f>
        <x:v>16062644872.759998</x:v>
      </x:c>
      <x:c r="E21"/>
      <x:c r="F21"/>
      <x:c r="G21"/>
      <x:c r="H21"/>
      <x:c r="I21"/>
      <x:c r="J21"/>
      <x:c r="K21" s="457"/>
      <x:c r="L21" s="457"/>
      <x:c r="M21" s="457"/>
      <x:c r="N21" s="457"/>
      <x:c r="O21" s="457"/>
      <x:c r="P21" s="457"/>
      <x:c r="Q21" s="457"/>
      <x:c r="R21" s="457"/>
    </x:row>
    <x:row r="22" spans="1:18" s="492" customFormat="1" x14ac:dyDescent="0.25">
      <x:c r="A22" s="229">
        <x:v>12</x:v>
      </x:c>
      <x:c r="B22" s="625">
        <x:v>45505</x:v>
      </x:c>
      <x:c r="C22" s="457"/>
      <x:c r="D22" s="493">
        <x:f>+'1-1-3-1-1'!E146</x:f>
        <x:v>17522718675.089996</x:v>
      </x:c>
      <x:c r="E22"/>
      <x:c r="F22"/>
      <x:c r="G22"/>
      <x:c r="H22"/>
      <x:c r="I22"/>
      <x:c r="J22"/>
      <x:c r="K22" s="457"/>
      <x:c r="L22" s="457"/>
      <x:c r="M22" s="457"/>
      <x:c r="N22" s="457"/>
      <x:c r="O22" s="457"/>
      <x:c r="P22" s="457"/>
      <x:c r="Q22" s="457"/>
      <x:c r="R22" s="457"/>
    </x:row>
    <x:row r="23" spans="1:18" s="492" customFormat="1" x14ac:dyDescent="0.25">
      <x:c r="A23" s="229">
        <x:v>13</x:v>
      </x:c>
      <x:c r="B23" s="625">
        <x:v>45536</x:v>
      </x:c>
      <x:c r="C23" s="457"/>
      <x:c r="D23" s="461">
        <x:f>+'1-1-3-1-1'!G146</x:f>
        <x:v>17298505230.700001</x:v>
      </x:c>
      <x:c r="E23"/>
      <x:c r="F23"/>
      <x:c r="G23"/>
      <x:c r="H23"/>
      <x:c r="I23"/>
      <x:c r="J23"/>
      <x:c r="K23" s="457"/>
      <x:c r="L23" s="457"/>
      <x:c r="M23" s="457"/>
      <x:c r="N23" s="457"/>
      <x:c r="O23" s="457"/>
      <x:c r="P23" s="457"/>
      <x:c r="Q23" s="457"/>
      <x:c r="R23" s="457"/>
    </x:row>
    <x:row r="24" spans="1:18" s="492" customFormat="1" x14ac:dyDescent="0.25">
      <x:c r="A24" s="229">
        <x:v>14</x:v>
      </x:c>
      <x:c r="B24" s="491"/>
      <x:c r="C24" s="457"/>
      <x:c r="D24" s="457"/>
      <x:c r="E24"/>
      <x:c r="F24"/>
      <x:c r="G24"/>
      <x:c r="H24"/>
      <x:c r="I24"/>
      <x:c r="J24"/>
      <x:c r="K24" s="457"/>
      <x:c r="L24" s="457"/>
      <x:c r="M24" s="457"/>
      <x:c r="N24" s="457"/>
      <x:c r="O24" s="457"/>
      <x:c r="P24" s="457"/>
      <x:c r="Q24" s="457"/>
      <x:c r="R24" s="457"/>
    </x:row>
    <x:row r="25" spans="1:18" s="492" customFormat="1" x14ac:dyDescent="0.25">
      <x:c r="A25" s="229">
        <x:v>15</x:v>
      </x:c>
      <x:c r="B25" s="491" t="s">
        <x:v>282</x:v>
      </x:c>
      <x:c r="C25" s="457"/>
      <x:c r="D25" s="457">
        <x:f>SUM(D12:D24)</x:f>
        <x:v>173020502869.11002</x:v>
      </x:c>
      <x:c r="E25"/>
      <x:c r="F25"/>
      <x:c r="G25"/>
      <x:c r="H25"/>
      <x:c r="I25"/>
      <x:c r="J25"/>
      <x:c r="K25" s="457"/>
      <x:c r="L25" s="457"/>
      <x:c r="M25" s="457"/>
      <x:c r="N25" s="457"/>
      <x:c r="O25" s="457"/>
      <x:c r="P25" s="457"/>
      <x:c r="Q25" s="457"/>
      <x:c r="R25" s="457"/>
    </x:row>
    <x:row r="26" spans="1:18" s="492" customFormat="1" x14ac:dyDescent="0.25">
      <x:c r="A26" s="229">
        <x:v>16</x:v>
      </x:c>
      <x:c r="B26" s="491"/>
      <x:c r="C26" s="457"/>
      <x:c r="D26" s="457"/>
      <x:c r="E26"/>
      <x:c r="F26"/>
      <x:c r="G26"/>
      <x:c r="H26"/>
      <x:c r="I26"/>
      <x:c r="J26"/>
      <x:c r="K26" s="457"/>
      <x:c r="L26" s="457"/>
      <x:c r="M26" s="457"/>
      <x:c r="N26" s="457"/>
      <x:c r="O26" s="457"/>
      <x:c r="P26" s="457"/>
      <x:c r="Q26" s="457"/>
      <x:c r="R26" s="457"/>
    </x:row>
    <x:row r="27" spans="1:18" x14ac:dyDescent="0.25">
      <x:c r="A27" s="229">
        <x:v>17</x:v>
      </x:c>
      <x:c r="B27" s="212" t="s">
        <x:v>299</x:v>
      </x:c>
    </x:row>
  </x:sheetData>
  <x:phoneticPr fontId="23" type="noConversion"/>
  <x:printOptions horizontalCentered="1"/>
  <x:pageMargins left="0.5" right="0.5" top="1.5" bottom="0.5" header="1" footer="0.5"/>
  <x:pageSetup scale="95" orientation="landscape" r:id="rId1"/>
  <x:headerFooter alignWithMargins="0">
    <x:oddHeader>&amp;RWP/II-B-9/&amp;A
Page &amp;P of &amp;N</x:oddHead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4">
    <x:tabColor rgb="FF92D050"/>
  </x:sheetPr>
  <x:dimension ref="A1:J149"/>
  <x:sheetViews>
    <x:sheetView topLeftCell="A140" zoomScale="85" zoomScaleNormal="85" zoomScaleSheetLayoutView="100" workbookViewId="0">
      <x:selection activeCell="D37" sqref="D37"/>
    </x:sheetView>
  </x:sheetViews>
  <x:sheetFormatPr defaultRowHeight="12.7" x14ac:dyDescent="0.25"/>
  <x:cols>
    <x:col min="2" max="2" width="10.44140625" customWidth="1"/>
    <x:col min="3" max="3" width="17.5546875" style="340" bestFit="1" customWidth="1"/>
    <x:col min="4" max="4" width="11.109375" bestFit="1" customWidth="1"/>
    <x:col min="5" max="5" width="16.5546875" style="340" bestFit="1" customWidth="1"/>
    <x:col min="6" max="6" width="11.44140625" bestFit="1" customWidth="1"/>
    <x:col min="7" max="7" width="17.5546875" style="340" bestFit="1" customWidth="1"/>
  </x:cols>
  <x:sheetData>
    <x:row r="1" spans="1:10" s="292" customFormat="1" x14ac:dyDescent="0.25">
      <x:c r="A1" s="296" t="s">
        <x:v>523</x:v>
      </x:c>
      <x:c r="C1" s="337"/>
      <x:c r="E1" s="337"/>
      <x:c r="G1" s="337"/>
    </x:row>
    <x:row r="2" spans="1:10" s="292" customFormat="1" x14ac:dyDescent="0.25">
      <x:c r="A2" s="296" t="str">
        <x:f>'1'!A2</x:f>
        <x:v>ONCOR ELECTRIC DELIVERY COMPANY LLC</x:v>
      </x:c>
      <x:c r="C2" s="337"/>
      <x:c r="E2" s="337"/>
      <x:c r="G2" s="337"/>
    </x:row>
    <x:row r="3" spans="1:10" s="292" customFormat="1" x14ac:dyDescent="0.25">
      <x:c r="A3" s="296" t="s">
        <x:v>203</x:v>
      </x:c>
      <x:c r="C3" s="337"/>
      <x:c r="E3" s="337"/>
      <x:c r="G3" s="337"/>
    </x:row>
    <x:row r="4" spans="1:10" s="292" customFormat="1" x14ac:dyDescent="0.25">
      <x:c r="A4" s="767" t="s">
        <x:v>524</x:v>
      </x:c>
      <x:c r="C4" s="337"/>
      <x:c r="E4" s="337"/>
      <x:c r="G4" s="337"/>
    </x:row>
    <x:row r="5" spans="1:10" s="292" customFormat="1" x14ac:dyDescent="0.25">
      <x:c r="A5" s="296" t="s">
        <x:v>486</x:v>
      </x:c>
      <x:c r="C5" s="337"/>
      <x:c r="E5" s="337"/>
      <x:c r="G5" s="337"/>
      <x:c r="H5" s="292" t="s">
        <x:v>464</x:v>
      </x:c>
    </x:row>
    <x:row r="7" spans="1:10" x14ac:dyDescent="0.25">
      <x:c r="A7" s="56" t="s">
        <x:v>40</x:v>
      </x:c>
      <x:c r="B7" s="56" t="s">
        <x:v>94</x:v>
      </x:c>
      <x:c r="C7" s="338" t="s">
        <x:v>240</x:v>
      </x:c>
      <x:c r="D7" s="56" t="s">
        <x:v>94</x:v>
      </x:c>
      <x:c r="E7" s="338" t="s">
        <x:v>240</x:v>
      </x:c>
      <x:c r="F7" s="56" t="s">
        <x:v>94</x:v>
      </x:c>
      <x:c r="G7" s="338" t="s">
        <x:v>240</x:v>
      </x:c>
    </x:row>
    <x:row r="8" spans="1:10" x14ac:dyDescent="0.25">
      <x:c r="B8" s="226" t="s">
        <x:v>50</x:v>
      </x:c>
      <x:c r="C8" s="339" t="s">
        <x:v>51</x:v>
      </x:c>
      <x:c r="D8" s="226" t="s">
        <x:v>57</x:v>
      </x:c>
      <x:c r="E8" s="339" t="s">
        <x:v>52</x:v>
      </x:c>
      <x:c r="F8" s="226" t="s">
        <x:v>53</x:v>
      </x:c>
      <x:c r="G8" s="339" t="s">
        <x:v>54</x:v>
      </x:c>
      <x:c r="H8" s="226"/>
      <x:c r="J8" s="226"/>
    </x:row>
    <x:row r="10" spans="1:10" x14ac:dyDescent="0.25">
      <x:c r="A10" s="2">
        <x:v>1</x:v>
      </x:c>
      <x:c r="B10" s="259">
        <x:v>45200</x:v>
      </x:c>
      <x:c r="C10" s="225">
        <x:v>582885590.70000005</x:v>
      </x:c>
      <x:c r="D10" s="259">
        <x:f>+B40+1</x:f>
        <x:v>45231</x:v>
      </x:c>
      <x:c r="E10" s="225">
        <x:v>499169603.51999998</x:v>
      </x:c>
      <x:c r="F10" s="259">
        <x:f>+D39+1</x:f>
        <x:v>45261</x:v>
      </x:c>
      <x:c r="G10" s="225">
        <x:v>389976680.51999998</x:v>
      </x:c>
    </x:row>
    <x:row r="11" spans="1:10" x14ac:dyDescent="0.25">
      <x:c r="A11" s="2">
        <x:f>A10+1</x:f>
        <x:v>2</x:v>
      </x:c>
      <x:c r="B11" s="259">
        <x:f>+B10+1</x:f>
        <x:v>45201</x:v>
      </x:c>
      <x:c r="C11" s="225">
        <x:v>582885590.70000005</x:v>
      </x:c>
      <x:c r="D11" s="259">
        <x:f>+D10+1</x:f>
        <x:v>45232</x:v>
      </x:c>
      <x:c r="E11" s="225">
        <x:v>485243530.64999998</x:v>
      </x:c>
      <x:c r="F11" s="259">
        <x:f>+F10+1</x:f>
        <x:v>45262</x:v>
      </x:c>
      <x:c r="G11" s="225">
        <x:v>409908100.77999997</x:v>
      </x:c>
    </x:row>
    <x:row r="12" spans="1:10" x14ac:dyDescent="0.25">
      <x:c r="A12" s="2">
        <x:f t="shared" ref="A12:A40" si="0">A11+1</x:f>
        <x:v>3</x:v>
      </x:c>
      <x:c r="B12" s="259">
        <x:f t="shared" ref="B12:B40" si="1">+B11+1</x:f>
        <x:v>45202</x:v>
      </x:c>
      <x:c r="C12" s="225">
        <x:v>588760552.46000004</x:v>
      </x:c>
      <x:c r="D12" s="259">
        <x:f t="shared" ref="D12:F40" si="2">+D11+1</x:f>
        <x:v>45233</x:v>
      </x:c>
      <x:c r="E12" s="225">
        <x:v>484315276.13999999</x:v>
      </x:c>
      <x:c r="F12" s="259">
        <x:f t="shared" si="2"/>
        <x:v>45263</x:v>
      </x:c>
      <x:c r="G12" s="225">
        <x:v>409908100.77999997</x:v>
      </x:c>
    </x:row>
    <x:row r="13" spans="1:10" x14ac:dyDescent="0.25">
      <x:c r="A13" s="2">
        <x:f t="shared" si="0"/>
        <x:v>4</x:v>
      </x:c>
      <x:c r="B13" s="259">
        <x:f t="shared" si="1"/>
        <x:v>45203</x:v>
      </x:c>
      <x:c r="C13" s="225">
        <x:v>587705220.73000002</x:v>
      </x:c>
      <x:c r="D13" s="259">
        <x:f t="shared" si="2"/>
        <x:v>45234</x:v>
      </x:c>
      <x:c r="E13" s="225">
        <x:v>484315276.13999999</x:v>
      </x:c>
      <x:c r="F13" s="259">
        <x:f t="shared" si="2"/>
        <x:v>45264</x:v>
      </x:c>
      <x:c r="G13" s="225">
        <x:v>410199365.73000002</x:v>
      </x:c>
    </x:row>
    <x:row r="14" spans="1:10" x14ac:dyDescent="0.25">
      <x:c r="A14" s="2">
        <x:f t="shared" si="0"/>
        <x:v>5</x:v>
      </x:c>
      <x:c r="B14" s="259">
        <x:f t="shared" si="1"/>
        <x:v>45204</x:v>
      </x:c>
      <x:c r="C14" s="225">
        <x:v>587705220.73000002</x:v>
      </x:c>
      <x:c r="D14" s="259">
        <x:f t="shared" si="2"/>
        <x:v>45235</x:v>
      </x:c>
      <x:c r="E14" s="225">
        <x:v>484315276.13999999</x:v>
      </x:c>
      <x:c r="F14" s="259">
        <x:f t="shared" si="2"/>
        <x:v>45265</x:v>
      </x:c>
      <x:c r="G14" s="225">
        <x:v>414446515.49000001</x:v>
      </x:c>
    </x:row>
    <x:row r="15" spans="1:10" x14ac:dyDescent="0.25">
      <x:c r="A15" s="2">
        <x:f t="shared" si="0"/>
        <x:v>6</x:v>
      </x:c>
      <x:c r="B15" s="259">
        <x:f t="shared" si="1"/>
        <x:v>45205</x:v>
      </x:c>
      <x:c r="C15" s="225">
        <x:v>556650509.57000005</x:v>
      </x:c>
      <x:c r="D15" s="259">
        <x:f t="shared" si="2"/>
        <x:v>45236</x:v>
      </x:c>
      <x:c r="E15" s="225">
        <x:v>474554290.38</x:v>
      </x:c>
      <x:c r="F15" s="259">
        <x:f t="shared" si="2"/>
        <x:v>45266</x:v>
      </x:c>
      <x:c r="G15" s="225">
        <x:v>412096593.00999999</x:v>
      </x:c>
    </x:row>
    <x:row r="16" spans="1:10" x14ac:dyDescent="0.25">
      <x:c r="A16" s="2">
        <x:f t="shared" si="0"/>
        <x:v>7</x:v>
      </x:c>
      <x:c r="B16" s="259">
        <x:f t="shared" si="1"/>
        <x:v>45206</x:v>
      </x:c>
      <x:c r="C16" s="225">
        <x:v>556650509.57000005</x:v>
      </x:c>
      <x:c r="D16" s="259">
        <x:f t="shared" si="2"/>
        <x:v>45237</x:v>
      </x:c>
      <x:c r="E16" s="225">
        <x:v>475952584.52999997</x:v>
      </x:c>
      <x:c r="F16" s="259">
        <x:f t="shared" si="2"/>
        <x:v>45267</x:v>
      </x:c>
      <x:c r="G16" s="225">
        <x:v>410806491.06</x:v>
      </x:c>
    </x:row>
    <x:row r="17" spans="1:7" x14ac:dyDescent="0.25">
      <x:c r="A17" s="2">
        <x:f t="shared" si="0"/>
        <x:v>8</x:v>
      </x:c>
      <x:c r="B17" s="259">
        <x:f t="shared" si="1"/>
        <x:v>45207</x:v>
      </x:c>
      <x:c r="C17" s="225">
        <x:v>556650509.57000005</x:v>
      </x:c>
      <x:c r="D17" s="259">
        <x:f t="shared" si="2"/>
        <x:v>45238</x:v>
      </x:c>
      <x:c r="E17" s="225">
        <x:v>469626881.16000003</x:v>
      </x:c>
      <x:c r="F17" s="259">
        <x:f t="shared" si="2"/>
        <x:v>45268</x:v>
      </x:c>
      <x:c r="G17" s="225">
        <x:v>411270553.79000002</x:v>
      </x:c>
    </x:row>
    <x:row r="18" spans="1:7" x14ac:dyDescent="0.25">
      <x:c r="A18" s="2">
        <x:f t="shared" si="0"/>
        <x:v>9</x:v>
      </x:c>
      <x:c r="B18" s="259">
        <x:f t="shared" si="1"/>
        <x:v>45208</x:v>
      </x:c>
      <x:c r="C18" s="225">
        <x:v>581712802.28999996</x:v>
      </x:c>
      <x:c r="D18" s="259">
        <x:f t="shared" si="2"/>
        <x:v>45239</x:v>
      </x:c>
      <x:c r="E18" s="225">
        <x:v>464087447.62</x:v>
      </x:c>
      <x:c r="F18" s="259">
        <x:f t="shared" si="2"/>
        <x:v>45269</x:v>
      </x:c>
      <x:c r="G18" s="225">
        <x:v>411270553.79000002</x:v>
      </x:c>
    </x:row>
    <x:row r="19" spans="1:7" x14ac:dyDescent="0.25">
      <x:c r="A19" s="2">
        <x:f t="shared" si="0"/>
        <x:v>10</x:v>
      </x:c>
      <x:c r="B19" s="259">
        <x:f t="shared" si="1"/>
        <x:v>45209</x:v>
      </x:c>
      <x:c r="C19" s="225">
        <x:v>573970554.50999999</x:v>
      </x:c>
      <x:c r="D19" s="259">
        <x:f t="shared" si="2"/>
        <x:v>45240</x:v>
      </x:c>
      <x:c r="E19" s="225">
        <x:v>467034725.56999999</x:v>
      </x:c>
      <x:c r="F19" s="259">
        <x:f t="shared" si="2"/>
        <x:v>45270</x:v>
      </x:c>
      <x:c r="G19" s="225">
        <x:v>411270553.79000002</x:v>
      </x:c>
    </x:row>
    <x:row r="20" spans="1:7" x14ac:dyDescent="0.25">
      <x:c r="A20" s="2">
        <x:f t="shared" si="0"/>
        <x:v>11</x:v>
      </x:c>
      <x:c r="B20" s="259">
        <x:f t="shared" si="1"/>
        <x:v>45210</x:v>
      </x:c>
      <x:c r="C20" s="225">
        <x:v>570627261.33000004</x:v>
      </x:c>
      <x:c r="D20" s="259">
        <x:f t="shared" si="2"/>
        <x:v>45241</x:v>
      </x:c>
      <x:c r="E20" s="225">
        <x:v>467034725.56999999</x:v>
      </x:c>
      <x:c r="F20" s="259">
        <x:f t="shared" si="2"/>
        <x:v>45271</x:v>
      </x:c>
      <x:c r="G20" s="225">
        <x:v>411787040.38999999</x:v>
      </x:c>
    </x:row>
    <x:row r="21" spans="1:7" x14ac:dyDescent="0.25">
      <x:c r="A21" s="2">
        <x:f t="shared" si="0"/>
        <x:v>12</x:v>
      </x:c>
      <x:c r="B21" s="259">
        <x:f t="shared" si="1"/>
        <x:v>45211</x:v>
      </x:c>
      <x:c r="C21" s="225">
        <x:v>557682898.39999998</x:v>
      </x:c>
      <x:c r="D21" s="259">
        <x:f t="shared" si="2"/>
        <x:v>45242</x:v>
      </x:c>
      <x:c r="E21" s="225">
        <x:v>467034725.56999999</x:v>
      </x:c>
      <x:c r="F21" s="259">
        <x:f t="shared" si="2"/>
        <x:v>45272</x:v>
      </x:c>
      <x:c r="G21" s="225">
        <x:v>412680559.85000002</x:v>
      </x:c>
    </x:row>
    <x:row r="22" spans="1:7" x14ac:dyDescent="0.25">
      <x:c r="A22" s="2">
        <x:f t="shared" si="0"/>
        <x:v>13</x:v>
      </x:c>
      <x:c r="B22" s="259">
        <x:f t="shared" si="1"/>
        <x:v>45212</x:v>
      </x:c>
      <x:c r="C22" s="225">
        <x:v>539477802.05999994</x:v>
      </x:c>
      <x:c r="D22" s="259">
        <x:f t="shared" si="2"/>
        <x:v>45243</x:v>
      </x:c>
      <x:c r="E22" s="225">
        <x:v>460324284.66000003</x:v>
      </x:c>
      <x:c r="F22" s="259">
        <x:f t="shared" si="2"/>
        <x:v>45273</x:v>
      </x:c>
      <x:c r="G22" s="225">
        <x:v>411132048.48000002</x:v>
      </x:c>
    </x:row>
    <x:row r="23" spans="1:7" x14ac:dyDescent="0.25">
      <x:c r="A23" s="2">
        <x:f t="shared" si="0"/>
        <x:v>14</x:v>
      </x:c>
      <x:c r="B23" s="259">
        <x:f t="shared" si="1"/>
        <x:v>45213</x:v>
      </x:c>
      <x:c r="C23" s="225">
        <x:v>539477802.05999994</x:v>
      </x:c>
      <x:c r="D23" s="259">
        <x:f t="shared" si="2"/>
        <x:v>45244</x:v>
      </x:c>
      <x:c r="E23" s="225">
        <x:v>455839990.24000001</x:v>
      </x:c>
      <x:c r="F23" s="259">
        <x:f t="shared" si="2"/>
        <x:v>45274</x:v>
      </x:c>
      <x:c r="G23" s="225">
        <x:v>403366923.5</x:v>
      </x:c>
    </x:row>
    <x:row r="24" spans="1:7" x14ac:dyDescent="0.25">
      <x:c r="A24" s="2">
        <x:f t="shared" si="0"/>
        <x:v>15</x:v>
      </x:c>
      <x:c r="B24" s="259">
        <x:f t="shared" si="1"/>
        <x:v>45214</x:v>
      </x:c>
      <x:c r="C24" s="225">
        <x:v>539477802.05999994</x:v>
      </x:c>
      <x:c r="D24" s="259">
        <x:f t="shared" si="2"/>
        <x:v>45245</x:v>
      </x:c>
      <x:c r="E24" s="225">
        <x:v>447414446.57999998</x:v>
      </x:c>
      <x:c r="F24" s="259">
        <x:f t="shared" si="2"/>
        <x:v>45275</x:v>
      </x:c>
      <x:c r="G24" s="225">
        <x:v>405126450.26999998</x:v>
      </x:c>
    </x:row>
    <x:row r="25" spans="1:7" x14ac:dyDescent="0.25">
      <x:c r="A25" s="2">
        <x:f t="shared" si="0"/>
        <x:v>16</x:v>
      </x:c>
      <x:c r="B25" s="259">
        <x:f t="shared" si="1"/>
        <x:v>45215</x:v>
      </x:c>
      <x:c r="C25" s="225">
        <x:v>531376868.38999999</x:v>
      </x:c>
      <x:c r="D25" s="259">
        <x:f t="shared" si="2"/>
        <x:v>45246</x:v>
      </x:c>
      <x:c r="E25" s="225">
        <x:v>444792597.13999999</x:v>
      </x:c>
      <x:c r="F25" s="259">
        <x:f t="shared" si="2"/>
        <x:v>45276</x:v>
      </x:c>
      <x:c r="G25" s="225">
        <x:v>421835525.85000002</x:v>
      </x:c>
    </x:row>
    <x:row r="26" spans="1:7" x14ac:dyDescent="0.25">
      <x:c r="A26" s="2">
        <x:f t="shared" si="0"/>
        <x:v>17</x:v>
      </x:c>
      <x:c r="B26" s="259">
        <x:f t="shared" si="1"/>
        <x:v>45216</x:v>
      </x:c>
      <x:c r="C26" s="225">
        <x:v>529218360.50999999</x:v>
      </x:c>
      <x:c r="D26" s="259">
        <x:f t="shared" si="2"/>
        <x:v>45247</x:v>
      </x:c>
      <x:c r="E26" s="225">
        <x:v>445654877.80000001</x:v>
      </x:c>
      <x:c r="F26" s="259">
        <x:f t="shared" si="2"/>
        <x:v>45277</x:v>
      </x:c>
      <x:c r="G26" s="225">
        <x:v>421835525.85000002</x:v>
      </x:c>
    </x:row>
    <x:row r="27" spans="1:7" x14ac:dyDescent="0.25">
      <x:c r="A27" s="2">
        <x:f t="shared" si="0"/>
        <x:v>18</x:v>
      </x:c>
      <x:c r="B27" s="259">
        <x:f t="shared" si="1"/>
        <x:v>45217</x:v>
      </x:c>
      <x:c r="C27" s="225">
        <x:v>525271434.19</x:v>
      </x:c>
      <x:c r="D27" s="259">
        <x:f t="shared" si="2"/>
        <x:v>45248</x:v>
      </x:c>
      <x:c r="E27" s="225">
        <x:v>445654877.80000001</x:v>
      </x:c>
      <x:c r="F27" s="259">
        <x:f t="shared" si="2"/>
        <x:v>45278</x:v>
      </x:c>
      <x:c r="G27" s="225">
        <x:v>422589162.12</x:v>
      </x:c>
    </x:row>
    <x:row r="28" spans="1:7" x14ac:dyDescent="0.25">
      <x:c r="A28" s="2">
        <x:f t="shared" si="0"/>
        <x:v>19</x:v>
      </x:c>
      <x:c r="B28" s="259">
        <x:f t="shared" si="1"/>
        <x:v>45218</x:v>
      </x:c>
      <x:c r="C28" s="225">
        <x:v>518649587.01999998</x:v>
      </x:c>
      <x:c r="D28" s="259">
        <x:f t="shared" si="2"/>
        <x:v>45249</x:v>
      </x:c>
      <x:c r="E28" s="225">
        <x:v>445654877.80000001</x:v>
      </x:c>
      <x:c r="F28" s="259">
        <x:f t="shared" si="2"/>
        <x:v>45279</x:v>
      </x:c>
      <x:c r="G28" s="225">
        <x:v>431174911.93000001</x:v>
      </x:c>
    </x:row>
    <x:row r="29" spans="1:7" x14ac:dyDescent="0.25">
      <x:c r="A29" s="2">
        <x:f t="shared" si="0"/>
        <x:v>20</x:v>
      </x:c>
      <x:c r="B29" s="259">
        <x:f t="shared" si="1"/>
        <x:v>45219</x:v>
      </x:c>
      <x:c r="C29" s="225">
        <x:v>512750070.48000002</x:v>
      </x:c>
      <x:c r="D29" s="259">
        <x:f t="shared" si="2"/>
        <x:v>45250</x:v>
      </x:c>
      <x:c r="E29" s="225">
        <x:v>442359631.32999998</x:v>
      </x:c>
      <x:c r="F29" s="259">
        <x:f t="shared" si="2"/>
        <x:v>45280</x:v>
      </x:c>
      <x:c r="G29" s="225">
        <x:v>434061436.74000001</x:v>
      </x:c>
    </x:row>
    <x:row r="30" spans="1:7" x14ac:dyDescent="0.25">
      <x:c r="A30" s="2">
        <x:f t="shared" si="0"/>
        <x:v>21</x:v>
      </x:c>
      <x:c r="B30" s="259">
        <x:f t="shared" si="1"/>
        <x:v>45220</x:v>
      </x:c>
      <x:c r="C30" s="225">
        <x:v>512750070.48000002</x:v>
      </x:c>
      <x:c r="D30" s="259">
        <x:f t="shared" si="2"/>
        <x:v>45251</x:v>
      </x:c>
      <x:c r="E30" s="225">
        <x:v>442771070.50999999</x:v>
      </x:c>
      <x:c r="F30" s="259">
        <x:f t="shared" si="2"/>
        <x:v>45281</x:v>
      </x:c>
      <x:c r="G30" s="225">
        <x:v>435949272.81</x:v>
      </x:c>
    </x:row>
    <x:row r="31" spans="1:7" x14ac:dyDescent="0.25">
      <x:c r="A31" s="2">
        <x:f t="shared" si="0"/>
        <x:v>22</x:v>
      </x:c>
      <x:c r="B31" s="259">
        <x:f t="shared" si="1"/>
        <x:v>45221</x:v>
      </x:c>
      <x:c r="C31" s="225">
        <x:v>512750070.48000002</x:v>
      </x:c>
      <x:c r="D31" s="259">
        <x:f t="shared" si="2"/>
        <x:v>45252</x:v>
      </x:c>
      <x:c r="E31" s="225">
        <x:v>434259784.22000003</x:v>
      </x:c>
      <x:c r="F31" s="259">
        <x:f t="shared" si="2"/>
        <x:v>45282</x:v>
      </x:c>
      <x:c r="G31" s="225">
        <x:v>435949272.81</x:v>
      </x:c>
    </x:row>
    <x:row r="32" spans="1:7" x14ac:dyDescent="0.25">
      <x:c r="A32" s="2">
        <x:f t="shared" si="0"/>
        <x:v>23</x:v>
      </x:c>
      <x:c r="B32" s="259">
        <x:f t="shared" si="1"/>
        <x:v>45222</x:v>
      </x:c>
      <x:c r="C32" s="225">
        <x:v>506927955.63999999</x:v>
      </x:c>
      <x:c r="D32" s="259">
        <x:f t="shared" si="2"/>
        <x:v>45253</x:v>
      </x:c>
      <x:c r="E32" s="225">
        <x:v>434259784.22000003</x:v>
      </x:c>
      <x:c r="F32" s="259">
        <x:f t="shared" si="2"/>
        <x:v>45283</x:v>
      </x:c>
      <x:c r="G32" s="225">
        <x:v>435949272.81</x:v>
      </x:c>
    </x:row>
    <x:row r="33" spans="1:7" x14ac:dyDescent="0.25">
      <x:c r="A33" s="2">
        <x:f t="shared" si="0"/>
        <x:v>24</x:v>
      </x:c>
      <x:c r="B33" s="259">
        <x:f t="shared" si="1"/>
        <x:v>45223</x:v>
      </x:c>
      <x:c r="C33" s="225">
        <x:v>505843789.31</x:v>
      </x:c>
      <x:c r="D33" s="259">
        <x:f t="shared" si="2"/>
        <x:v>45254</x:v>
      </x:c>
      <x:c r="E33" s="225">
        <x:v>434259784.22000003</x:v>
      </x:c>
      <x:c r="F33" s="259">
        <x:f t="shared" si="2"/>
        <x:v>45284</x:v>
      </x:c>
      <x:c r="G33" s="225">
        <x:v>435949272.81</x:v>
      </x:c>
    </x:row>
    <x:row r="34" spans="1:7" x14ac:dyDescent="0.25">
      <x:c r="A34" s="2">
        <x:f t="shared" si="0"/>
        <x:v>25</x:v>
      </x:c>
      <x:c r="B34" s="259">
        <x:f t="shared" si="1"/>
        <x:v>45224</x:v>
      </x:c>
      <x:c r="C34" s="225">
        <x:v>499925119.92000002</x:v>
      </x:c>
      <x:c r="D34" s="259">
        <x:f t="shared" si="2"/>
        <x:v>45255</x:v>
      </x:c>
      <x:c r="E34" s="225">
        <x:v>434259784.22000003</x:v>
      </x:c>
      <x:c r="F34" s="259">
        <x:f t="shared" si="2"/>
        <x:v>45285</x:v>
      </x:c>
      <x:c r="G34" s="225">
        <x:v>435949272.81</x:v>
      </x:c>
    </x:row>
    <x:row r="35" spans="1:7" x14ac:dyDescent="0.25">
      <x:c r="A35" s="2">
        <x:f t="shared" si="0"/>
        <x:v>26</x:v>
      </x:c>
      <x:c r="B35" s="259">
        <x:f t="shared" si="1"/>
        <x:v>45225</x:v>
      </x:c>
      <x:c r="C35" s="225">
        <x:v>493746670.94999999</x:v>
      </x:c>
      <x:c r="D35" s="259">
        <x:f t="shared" si="2"/>
        <x:v>45256</x:v>
      </x:c>
      <x:c r="E35" s="225">
        <x:v>434259784.22000003</x:v>
      </x:c>
      <x:c r="F35" s="259">
        <x:f t="shared" si="2"/>
        <x:v>45286</x:v>
      </x:c>
      <x:c r="G35" s="225">
        <x:v>404135477.89999998</x:v>
      </x:c>
    </x:row>
    <x:row r="36" spans="1:7" x14ac:dyDescent="0.25">
      <x:c r="A36" s="2">
        <x:f t="shared" si="0"/>
        <x:v>27</x:v>
      </x:c>
      <x:c r="B36" s="259">
        <x:f t="shared" si="1"/>
        <x:v>45226</x:v>
      </x:c>
      <x:c r="C36" s="225">
        <x:v>485832628.06</x:v>
      </x:c>
      <x:c r="D36" s="259">
        <x:f t="shared" si="2"/>
        <x:v>45257</x:v>
      </x:c>
      <x:c r="E36" s="225">
        <x:v>398547616.99000001</x:v>
      </x:c>
      <x:c r="F36" s="259">
        <x:f t="shared" si="2"/>
        <x:v>45287</x:v>
      </x:c>
      <x:c r="G36" s="225">
        <x:v>409952219.88</x:v>
      </x:c>
    </x:row>
    <x:row r="37" spans="1:7" x14ac:dyDescent="0.25">
      <x:c r="A37" s="2">
        <x:f t="shared" si="0"/>
        <x:v>28</x:v>
      </x:c>
      <x:c r="B37" s="259">
        <x:f t="shared" si="1"/>
        <x:v>45227</x:v>
      </x:c>
      <x:c r="C37" s="225">
        <x:v>485832628.06</x:v>
      </x:c>
      <x:c r="D37" s="259">
        <x:f t="shared" si="2"/>
        <x:v>45258</x:v>
      </x:c>
      <x:c r="E37" s="225">
        <x:v>403082201.67000002</x:v>
      </x:c>
      <x:c r="F37" s="259">
        <x:f t="shared" si="2"/>
        <x:v>45288</x:v>
      </x:c>
      <x:c r="G37" s="225">
        <x:v>415729820.58999997</x:v>
      </x:c>
    </x:row>
    <x:row r="38" spans="1:7" x14ac:dyDescent="0.25">
      <x:c r="A38" s="2">
        <x:f t="shared" si="0"/>
        <x:v>29</x:v>
      </x:c>
      <x:c r="B38" s="259">
        <x:f t="shared" si="1"/>
        <x:v>45228</x:v>
      </x:c>
      <x:c r="C38" s="225">
        <x:v>485832628.06</x:v>
      </x:c>
      <x:c r="D38" s="259">
        <x:f t="shared" si="2"/>
        <x:v>45259</x:v>
      </x:c>
      <x:c r="E38" s="225">
        <x:v>395545930.12</x:v>
      </x:c>
      <x:c r="F38" s="259">
        <x:f t="shared" si="2"/>
        <x:v>45289</x:v>
      </x:c>
      <x:c r="G38" s="225">
        <x:v>420885577.50999999</x:v>
      </x:c>
    </x:row>
    <x:row r="39" spans="1:7" x14ac:dyDescent="0.25">
      <x:c r="A39" s="2">
        <x:f t="shared" si="0"/>
        <x:v>30</x:v>
      </x:c>
      <x:c r="B39" s="259">
        <x:f t="shared" si="1"/>
        <x:v>45229</x:v>
      </x:c>
      <x:c r="C39" s="225">
        <x:v>481810892.06</x:v>
      </x:c>
      <x:c r="D39" s="259">
        <x:f t="shared" si="2"/>
        <x:v>45260</x:v>
      </x:c>
      <x:c r="E39" s="225">
        <x:v>378637455.25999999</x:v>
      </x:c>
      <x:c r="F39" s="259">
        <x:f t="shared" si="2"/>
        <x:v>45290</x:v>
      </x:c>
      <x:c r="G39" s="225">
        <x:v>420885577.50999999</x:v>
      </x:c>
    </x:row>
    <x:row r="40" spans="1:7" x14ac:dyDescent="0.25">
      <x:c r="A40" s="2">
        <x:f t="shared" si="0"/>
        <x:v>31</x:v>
      </x:c>
      <x:c r="B40" s="259">
        <x:f t="shared" si="1"/>
        <x:v>45230</x:v>
      </x:c>
      <x:c r="C40" s="225">
        <x:v>496209350.31</x:v>
      </x:c>
      <x:c r="D40" s="259"/>
      <x:c r="E40" s="337"/>
      <x:c r="F40" s="259">
        <x:f t="shared" si="2"/>
        <x:v>45291</x:v>
      </x:c>
      <x:c r="G40" s="225">
        <x:v>420885577.50999999</x:v>
      </x:c>
    </x:row>
    <x:row r="41" spans="1:7" ht="13.25" thickBot="1" x14ac:dyDescent="0.3">
      <x:c r="A41" s="2">
        <x:f>A40+1</x:f>
        <x:v>32</x:v>
      </x:c>
      <x:c r="C41" s="341">
        <x:f>SUM(C10:C40)</x:f>
        <x:v>16587048750.659996</x:v>
      </x:c>
      <x:c r="E41" s="341">
        <x:f>SUM(E10:E40)</x:f>
        <x:v>13500263121.989996</x:v>
      </x:c>
      <x:c r="G41" s="341">
        <x:f>SUM(G10:G40)</x:f>
        <x:v>12938963708.67</x:v>
      </x:c>
    </x:row>
    <x:row r="42" spans="1:7" ht="13.25" thickTop="1" x14ac:dyDescent="0.25">
      <x:c r="A42" s="56" t="s">
        <x:v>40</x:v>
      </x:c>
      <x:c r="B42" s="56" t="s">
        <x:v>94</x:v>
      </x:c>
      <x:c r="C42" s="338" t="s">
        <x:v>240</x:v>
      </x:c>
      <x:c r="D42" s="56" t="s">
        <x:v>94</x:v>
      </x:c>
      <x:c r="E42" s="338" t="s">
        <x:v>240</x:v>
      </x:c>
      <x:c r="F42" s="56" t="s">
        <x:v>94</x:v>
      </x:c>
      <x:c r="G42" s="338" t="s">
        <x:v>240</x:v>
      </x:c>
    </x:row>
    <x:row r="43" spans="1:7" x14ac:dyDescent="0.25">
      <x:c r="B43" s="226" t="s">
        <x:v>50</x:v>
      </x:c>
      <x:c r="C43" s="339" t="s">
        <x:v>51</x:v>
      </x:c>
      <x:c r="D43" s="226" t="s">
        <x:v>57</x:v>
      </x:c>
      <x:c r="E43" s="339" t="s">
        <x:v>52</x:v>
      </x:c>
      <x:c r="F43" s="226" t="s">
        <x:v>53</x:v>
      </x:c>
      <x:c r="G43" s="339" t="s">
        <x:v>54</x:v>
      </x:c>
    </x:row>
    <x:row r="44" spans="1:7" x14ac:dyDescent="0.25">
      <x:c r="A44" s="2"/>
    </x:row>
    <x:row r="45" spans="1:7" x14ac:dyDescent="0.25">
      <x:c r="A45" s="2">
        <x:f>A41+1</x:f>
        <x:v>33</x:v>
      </x:c>
      <x:c r="B45" s="259">
        <x:f>+F40+1</x:f>
        <x:v>45292</x:v>
      </x:c>
      <x:c r="C45" s="225">
        <x:v>420885577.50999999</x:v>
      </x:c>
      <x:c r="D45" s="259">
        <x:f>+B75+1</x:f>
        <x:v>45323</x:v>
      </x:c>
      <x:c r="E45" s="225">
        <x:v>497856399.05000001</x:v>
      </x:c>
      <x:c r="F45" s="259">
        <x:f>+D73+1</x:f>
        <x:v>45352</x:v>
      </x:c>
      <x:c r="G45" s="225">
        <x:v>480437345.35000002</x:v>
      </x:c>
    </x:row>
    <x:row r="46" spans="1:7" x14ac:dyDescent="0.25">
      <x:c r="A46" s="2">
        <x:f>A45+1</x:f>
        <x:v>34</x:v>
      </x:c>
      <x:c r="B46" s="259">
        <x:f>+B45+1</x:f>
        <x:v>45293</x:v>
      </x:c>
      <x:c r="C46" s="225">
        <x:v>430351461.38999999</x:v>
      </x:c>
      <x:c r="D46" s="259">
        <x:f>+D45+1</x:f>
        <x:v>45324</x:v>
      </x:c>
      <x:c r="E46" s="225">
        <x:v>511890520.13</x:v>
      </x:c>
      <x:c r="F46" s="259">
        <x:f>+F45+1</x:f>
        <x:v>45353</x:v>
      </x:c>
      <x:c r="G46" s="337">
        <x:v>480437345.35000002</x:v>
      </x:c>
    </x:row>
    <x:row r="47" spans="1:7" x14ac:dyDescent="0.25">
      <x:c r="A47" s="2">
        <x:f t="shared" ref="A47:A75" si="3">A46+1</x:f>
        <x:v>35</x:v>
      </x:c>
      <x:c r="B47" s="259">
        <x:f t="shared" ref="B47:B74" si="4">+B46+1</x:f>
        <x:v>45294</x:v>
      </x:c>
      <x:c r="C47" s="225">
        <x:v>434340878.25</x:v>
      </x:c>
      <x:c r="D47" s="259">
        <x:f t="shared" ref="D47:D73" si="5">+D46+1</x:f>
        <x:v>45325</x:v>
      </x:c>
      <x:c r="E47" s="225">
        <x:v>511890520.13</x:v>
      </x:c>
      <x:c r="F47" s="259">
        <x:f t="shared" ref="F47:F74" si="6">+F46+1</x:f>
        <x:v>45354</x:v>
      </x:c>
      <x:c r="G47" s="337">
        <x:v>480437345.35000002</x:v>
      </x:c>
    </x:row>
    <x:row r="48" spans="1:7" x14ac:dyDescent="0.25">
      <x:c r="A48" s="2">
        <x:f t="shared" si="3"/>
        <x:v>36</x:v>
      </x:c>
      <x:c r="B48" s="259">
        <x:f t="shared" si="4"/>
        <x:v>45295</x:v>
      </x:c>
      <x:c r="C48" s="225">
        <x:v>426757661.86000001</x:v>
      </x:c>
      <x:c r="D48" s="259">
        <x:f t="shared" si="5"/>
        <x:v>45326</x:v>
      </x:c>
      <x:c r="E48" s="225">
        <x:v>511890520.13</x:v>
      </x:c>
      <x:c r="F48" s="259">
        <x:f t="shared" si="6"/>
        <x:v>45355</x:v>
      </x:c>
      <x:c r="G48" s="337">
        <x:v>475892704.66000003</x:v>
      </x:c>
    </x:row>
    <x:row r="49" spans="1:7" x14ac:dyDescent="0.25">
      <x:c r="A49" s="2">
        <x:f t="shared" si="3"/>
        <x:v>37</x:v>
      </x:c>
      <x:c r="B49" s="259">
        <x:f t="shared" si="4"/>
        <x:v>45296</x:v>
      </x:c>
      <x:c r="C49" s="225">
        <x:v>427663237.79000002</x:v>
      </x:c>
      <x:c r="D49" s="259">
        <x:f t="shared" si="5"/>
        <x:v>45327</x:v>
      </x:c>
      <x:c r="E49" s="225">
        <x:v>516894724.85000002</x:v>
      </x:c>
      <x:c r="F49" s="259">
        <x:f t="shared" si="6"/>
        <x:v>45356</x:v>
      </x:c>
      <x:c r="G49" s="337">
        <x:v>475894262.10000002</x:v>
      </x:c>
    </x:row>
    <x:row r="50" spans="1:7" x14ac:dyDescent="0.25">
      <x:c r="A50" s="2">
        <x:f t="shared" si="3"/>
        <x:v>38</x:v>
      </x:c>
      <x:c r="B50" s="259">
        <x:f t="shared" si="4"/>
        <x:v>45297</x:v>
      </x:c>
      <x:c r="C50" s="225">
        <x:v>446074844.20999998</x:v>
      </x:c>
      <x:c r="D50" s="259">
        <x:f t="shared" si="5"/>
        <x:v>45328</x:v>
      </x:c>
      <x:c r="E50" s="225">
        <x:v>537477906.61000001</x:v>
      </x:c>
      <x:c r="F50" s="259">
        <x:f t="shared" si="6"/>
        <x:v>45357</x:v>
      </x:c>
      <x:c r="G50" s="337">
        <x:v>471402424.69999999</x:v>
      </x:c>
    </x:row>
    <x:row r="51" spans="1:7" x14ac:dyDescent="0.25">
      <x:c r="A51" s="2">
        <x:f t="shared" si="3"/>
        <x:v>39</x:v>
      </x:c>
      <x:c r="B51" s="259">
        <x:f t="shared" si="4"/>
        <x:v>45298</x:v>
      </x:c>
      <x:c r="C51" s="225">
        <x:v>446074844.20999998</x:v>
      </x:c>
      <x:c r="D51" s="259">
        <x:f t="shared" si="5"/>
        <x:v>45329</x:v>
      </x:c>
      <x:c r="E51" s="225">
        <x:v>537573155.13999999</x:v>
      </x:c>
      <x:c r="F51" s="259">
        <x:f t="shared" si="6"/>
        <x:v>45358</x:v>
      </x:c>
      <x:c r="G51" s="337">
        <x:v>460181722.02999997</x:v>
      </x:c>
    </x:row>
    <x:row r="52" spans="1:7" x14ac:dyDescent="0.25">
      <x:c r="A52" s="2">
        <x:f t="shared" si="3"/>
        <x:v>40</x:v>
      </x:c>
      <x:c r="B52" s="259">
        <x:f t="shared" si="4"/>
        <x:v>45299</x:v>
      </x:c>
      <x:c r="C52" s="225">
        <x:v>434293110.94</x:v>
      </x:c>
      <x:c r="D52" s="259">
        <x:f t="shared" si="5"/>
        <x:v>45330</x:v>
      </x:c>
      <x:c r="E52" s="225">
        <x:v>535641557.77999997</x:v>
      </x:c>
      <x:c r="F52" s="259">
        <x:f t="shared" si="6"/>
        <x:v>45359</x:v>
      </x:c>
      <x:c r="G52" s="337">
        <x:v>457996091.51999998</x:v>
      </x:c>
    </x:row>
    <x:row r="53" spans="1:7" x14ac:dyDescent="0.25">
      <x:c r="A53" s="2">
        <x:f t="shared" si="3"/>
        <x:v>41</x:v>
      </x:c>
      <x:c r="B53" s="259">
        <x:f t="shared" si="4"/>
        <x:v>45300</x:v>
      </x:c>
      <x:c r="C53" s="225">
        <x:v>437554107.45999998</x:v>
      </x:c>
      <x:c r="D53" s="259">
        <x:f t="shared" si="5"/>
        <x:v>45331</x:v>
      </x:c>
      <x:c r="E53" s="225">
        <x:v>534590633.29000002</x:v>
      </x:c>
      <x:c r="F53" s="259">
        <x:f t="shared" si="6"/>
        <x:v>45360</x:v>
      </x:c>
      <x:c r="G53" s="337">
        <x:v>457996091.51999998</x:v>
      </x:c>
    </x:row>
    <x:row r="54" spans="1:7" x14ac:dyDescent="0.25">
      <x:c r="A54" s="2">
        <x:f t="shared" si="3"/>
        <x:v>42</x:v>
      </x:c>
      <x:c r="B54" s="259">
        <x:f t="shared" si="4"/>
        <x:v>45301</x:v>
      </x:c>
      <x:c r="C54" s="225">
        <x:v>437037588.69999999</x:v>
      </x:c>
      <x:c r="D54" s="259">
        <x:f t="shared" si="5"/>
        <x:v>45332</x:v>
      </x:c>
      <x:c r="E54" s="225">
        <x:v>534590633.29000002</x:v>
      </x:c>
      <x:c r="F54" s="259">
        <x:f t="shared" si="6"/>
        <x:v>45361</x:v>
      </x:c>
      <x:c r="G54" s="337">
        <x:v>457996091.51999998</x:v>
      </x:c>
    </x:row>
    <x:row r="55" spans="1:7" x14ac:dyDescent="0.25">
      <x:c r="A55" s="2">
        <x:f t="shared" si="3"/>
        <x:v>43</x:v>
      </x:c>
      <x:c r="B55" s="259">
        <x:f t="shared" si="4"/>
        <x:v>45302</x:v>
      </x:c>
      <x:c r="C55" s="225">
        <x:v>437468949.13999999</x:v>
      </x:c>
      <x:c r="D55" s="259">
        <x:f t="shared" si="5"/>
        <x:v>45333</x:v>
      </x:c>
      <x:c r="E55" s="225">
        <x:v>534590633.29000002</x:v>
      </x:c>
      <x:c r="F55" s="259">
        <x:f t="shared" si="6"/>
        <x:v>45362</x:v>
      </x:c>
      <x:c r="G55" s="337">
        <x:v>447305928.55000001</x:v>
      </x:c>
    </x:row>
    <x:row r="56" spans="1:7" x14ac:dyDescent="0.25">
      <x:c r="A56" s="2">
        <x:f t="shared" si="3"/>
        <x:v>44</x:v>
      </x:c>
      <x:c r="B56" s="259">
        <x:f t="shared" si="4"/>
        <x:v>45303</x:v>
      </x:c>
      <x:c r="C56" s="225">
        <x:v>426301954.06999999</x:v>
      </x:c>
      <x:c r="D56" s="259">
        <x:f t="shared" si="5"/>
        <x:v>45334</x:v>
      </x:c>
      <x:c r="E56" s="225">
        <x:v>521938087.83999997</x:v>
      </x:c>
      <x:c r="F56" s="259">
        <x:f t="shared" si="6"/>
        <x:v>45363</x:v>
      </x:c>
      <x:c r="G56" s="337">
        <x:v>441370358.10000002</x:v>
      </x:c>
    </x:row>
    <x:row r="57" spans="1:7" x14ac:dyDescent="0.25">
      <x:c r="A57" s="2">
        <x:f t="shared" si="3"/>
        <x:v>45</x:v>
      </x:c>
      <x:c r="B57" s="259">
        <x:f t="shared" si="4"/>
        <x:v>45304</x:v>
      </x:c>
      <x:c r="C57" s="225">
        <x:v>426301954.06999999</x:v>
      </x:c>
      <x:c r="D57" s="259">
        <x:f t="shared" si="5"/>
        <x:v>45335</x:v>
      </x:c>
      <x:c r="E57" s="225">
        <x:v>524350031.24000001</x:v>
      </x:c>
      <x:c r="F57" s="259">
        <x:f t="shared" si="6"/>
        <x:v>45364</x:v>
      </x:c>
      <x:c r="G57" s="337">
        <x:v>433420424.37</x:v>
      </x:c>
    </x:row>
    <x:row r="58" spans="1:7" x14ac:dyDescent="0.25">
      <x:c r="A58" s="2">
        <x:f t="shared" si="3"/>
        <x:v>46</x:v>
      </x:c>
      <x:c r="B58" s="259">
        <x:f t="shared" si="4"/>
        <x:v>45305</x:v>
      </x:c>
      <x:c r="C58" s="225">
        <x:v>426301954.06999999</x:v>
      </x:c>
      <x:c r="D58" s="259">
        <x:f t="shared" si="5"/>
        <x:v>45336</x:v>
      </x:c>
      <x:c r="E58" s="225">
        <x:v>523433237.98000002</x:v>
      </x:c>
      <x:c r="F58" s="259">
        <x:f t="shared" si="6"/>
        <x:v>45365</x:v>
      </x:c>
      <x:c r="G58" s="337">
        <x:v>423485573.68000001</x:v>
      </x:c>
    </x:row>
    <x:row r="59" spans="1:7" x14ac:dyDescent="0.25">
      <x:c r="A59" s="2">
        <x:f t="shared" si="3"/>
        <x:v>47</x:v>
      </x:c>
      <x:c r="B59" s="259">
        <x:f t="shared" si="4"/>
        <x:v>45306</x:v>
      </x:c>
      <x:c r="C59" s="225">
        <x:v>426301954.06999999</x:v>
      </x:c>
      <x:c r="D59" s="259">
        <x:f t="shared" si="5"/>
        <x:v>45337</x:v>
      </x:c>
      <x:c r="E59" s="225">
        <x:v>522411489.44</x:v>
      </x:c>
      <x:c r="F59" s="259">
        <x:f t="shared" si="6"/>
        <x:v>45366</x:v>
      </x:c>
      <x:c r="G59" s="337">
        <x:v>419512103.69</x:v>
      </x:c>
    </x:row>
    <x:row r="60" spans="1:7" x14ac:dyDescent="0.25">
      <x:c r="A60" s="2">
        <x:f t="shared" si="3"/>
        <x:v>48</x:v>
      </x:c>
      <x:c r="B60" s="259">
        <x:f t="shared" si="4"/>
        <x:v>45307</x:v>
      </x:c>
      <x:c r="C60" s="225">
        <x:v>415732135.60000002</x:v>
      </x:c>
      <x:c r="D60" s="259">
        <x:f t="shared" si="5"/>
        <x:v>45338</x:v>
      </x:c>
      <x:c r="E60" s="225">
        <x:v>522243041.81999999</x:v>
      </x:c>
      <x:c r="F60" s="259">
        <x:f t="shared" si="6"/>
        <x:v>45367</x:v>
      </x:c>
      <x:c r="G60" s="337">
        <x:v>419512103.69</x:v>
      </x:c>
    </x:row>
    <x:row r="61" spans="1:7" x14ac:dyDescent="0.25">
      <x:c r="A61" s="2">
        <x:f t="shared" si="3"/>
        <x:v>49</x:v>
      </x:c>
      <x:c r="B61" s="259">
        <x:f t="shared" si="4"/>
        <x:v>45308</x:v>
      </x:c>
      <x:c r="C61" s="225">
        <x:v>419888249.42000002</x:v>
      </x:c>
      <x:c r="D61" s="259">
        <x:f t="shared" si="5"/>
        <x:v>45339</x:v>
      </x:c>
      <x:c r="E61" s="225">
        <x:v>522243041.81999999</x:v>
      </x:c>
      <x:c r="F61" s="259">
        <x:f t="shared" si="6"/>
        <x:v>45368</x:v>
      </x:c>
      <x:c r="G61" s="337">
        <x:v>419512103.69</x:v>
      </x:c>
    </x:row>
    <x:row r="62" spans="1:7" x14ac:dyDescent="0.25">
      <x:c r="A62" s="2">
        <x:f t="shared" si="3"/>
        <x:v>50</x:v>
      </x:c>
      <x:c r="B62" s="259">
        <x:f t="shared" si="4"/>
        <x:v>45309</x:v>
      </x:c>
      <x:c r="C62" s="225">
        <x:v>421791947.94</x:v>
      </x:c>
      <x:c r="D62" s="259">
        <x:f t="shared" si="5"/>
        <x:v>45340</x:v>
      </x:c>
      <x:c r="E62" s="225">
        <x:v>522243041.81999999</x:v>
      </x:c>
      <x:c r="F62" s="259">
        <x:f t="shared" si="6"/>
        <x:v>45369</x:v>
      </x:c>
      <x:c r="G62" s="337">
        <x:v>412448663.38</x:v>
      </x:c>
    </x:row>
    <x:row r="63" spans="1:7" x14ac:dyDescent="0.25">
      <x:c r="A63" s="2">
        <x:f t="shared" si="3"/>
        <x:v>51</x:v>
      </x:c>
      <x:c r="B63" s="259">
        <x:f t="shared" si="4"/>
        <x:v>45310</x:v>
      </x:c>
      <x:c r="C63" s="225">
        <x:v>428168406.43000001</x:v>
      </x:c>
      <x:c r="D63" s="259">
        <x:f t="shared" si="5"/>
        <x:v>45341</x:v>
      </x:c>
      <x:c r="E63" s="225">
        <x:v>541905930.11000001</x:v>
      </x:c>
      <x:c r="F63" s="259">
        <x:f t="shared" si="6"/>
        <x:v>45370</x:v>
      </x:c>
      <x:c r="G63" s="337">
        <x:v>413019041.74000001</x:v>
      </x:c>
    </x:row>
    <x:row r="64" spans="1:7" x14ac:dyDescent="0.25">
      <x:c r="A64" s="2">
        <x:f t="shared" si="3"/>
        <x:v>52</x:v>
      </x:c>
      <x:c r="B64" s="259">
        <x:f t="shared" si="4"/>
        <x:v>45311</x:v>
      </x:c>
      <x:c r="C64" s="225">
        <x:v>452618944.86000001</x:v>
      </x:c>
      <x:c r="D64" s="259">
        <x:f t="shared" si="5"/>
        <x:v>45342</x:v>
      </x:c>
      <x:c r="E64" s="225">
        <x:v>536847510.92000002</x:v>
      </x:c>
      <x:c r="F64" s="259">
        <x:f t="shared" si="6"/>
        <x:v>45371</x:v>
      </x:c>
      <x:c r="G64" s="337">
        <x:v>409660922.63999999</x:v>
      </x:c>
    </x:row>
    <x:row r="65" spans="1:7" x14ac:dyDescent="0.25">
      <x:c r="A65" s="2">
        <x:f t="shared" si="3"/>
        <x:v>53</x:v>
      </x:c>
      <x:c r="B65" s="259">
        <x:f t="shared" si="4"/>
        <x:v>45312</x:v>
      </x:c>
      <x:c r="C65" s="225">
        <x:v>452618944.86000001</x:v>
      </x:c>
      <x:c r="D65" s="259">
        <x:f t="shared" si="5"/>
        <x:v>45343</x:v>
      </x:c>
      <x:c r="E65" s="225">
        <x:v>531688991.00999999</x:v>
      </x:c>
      <x:c r="F65" s="259">
        <x:f t="shared" si="6"/>
        <x:v>45372</x:v>
      </x:c>
      <x:c r="G65" s="337">
        <x:v>409987818.18000001</x:v>
      </x:c>
    </x:row>
    <x:row r="66" spans="1:7" x14ac:dyDescent="0.25">
      <x:c r="A66" s="2">
        <x:f t="shared" si="3"/>
        <x:v>54</x:v>
      </x:c>
      <x:c r="B66" s="259">
        <x:f t="shared" si="4"/>
        <x:v>45313</x:v>
      </x:c>
      <x:c r="C66" s="225">
        <x:v>445210589.12</x:v>
      </x:c>
      <x:c r="D66" s="259">
        <x:f t="shared" si="5"/>
        <x:v>45344</x:v>
      </x:c>
      <x:c r="E66" s="225">
        <x:v>527862762.50999999</x:v>
      </x:c>
      <x:c r="F66" s="259">
        <x:f t="shared" si="6"/>
        <x:v>45373</x:v>
      </x:c>
      <x:c r="G66" s="337">
        <x:v>406776336.81</x:v>
      </x:c>
    </x:row>
    <x:row r="67" spans="1:7" x14ac:dyDescent="0.25">
      <x:c r="A67" s="2">
        <x:f t="shared" si="3"/>
        <x:v>55</x:v>
      </x:c>
      <x:c r="B67" s="259">
        <x:f t="shared" si="4"/>
        <x:v>45314</x:v>
      </x:c>
      <x:c r="C67" s="225">
        <x:v>449724963.44999999</x:v>
      </x:c>
      <x:c r="D67" s="259">
        <x:f t="shared" si="5"/>
        <x:v>45345</x:v>
      </x:c>
      <x:c r="E67" s="225">
        <x:v>523316928.63999999</x:v>
      </x:c>
      <x:c r="F67" s="259">
        <x:f t="shared" si="6"/>
        <x:v>45374</x:v>
      </x:c>
      <x:c r="G67" s="337">
        <x:v>406776336.81</x:v>
      </x:c>
    </x:row>
    <x:row r="68" spans="1:7" x14ac:dyDescent="0.25">
      <x:c r="A68" s="2">
        <x:f t="shared" si="3"/>
        <x:v>56</x:v>
      </x:c>
      <x:c r="B68" s="259">
        <x:f t="shared" si="4"/>
        <x:v>45315</x:v>
      </x:c>
      <x:c r="C68" s="225">
        <x:v>449724963.44999999</x:v>
      </x:c>
      <x:c r="D68" s="259">
        <x:f t="shared" si="5"/>
        <x:v>45346</x:v>
      </x:c>
      <x:c r="E68" s="225">
        <x:v>523316928.63999999</x:v>
      </x:c>
      <x:c r="F68" s="259">
        <x:f t="shared" si="6"/>
        <x:v>45375</x:v>
      </x:c>
      <x:c r="G68" s="337">
        <x:v>406776336.81</x:v>
      </x:c>
    </x:row>
    <x:row r="69" spans="1:7" x14ac:dyDescent="0.25">
      <x:c r="A69" s="2">
        <x:f t="shared" si="3"/>
        <x:v>57</x:v>
      </x:c>
      <x:c r="B69" s="259">
        <x:f t="shared" si="4"/>
        <x:v>45316</x:v>
      </x:c>
      <x:c r="C69" s="225">
        <x:v>447968317.69</x:v>
      </x:c>
      <x:c r="D69" s="259">
        <x:f t="shared" si="5"/>
        <x:v>45347</x:v>
      </x:c>
      <x:c r="E69" s="225">
        <x:v>523316928.63999999</x:v>
      </x:c>
      <x:c r="F69" s="259">
        <x:f t="shared" si="6"/>
        <x:v>45376</x:v>
      </x:c>
      <x:c r="G69" s="337">
        <x:v>403160662.26999998</x:v>
      </x:c>
    </x:row>
    <x:row r="70" spans="1:7" x14ac:dyDescent="0.25">
      <x:c r="A70" s="2">
        <x:f t="shared" si="3"/>
        <x:v>58</x:v>
      </x:c>
      <x:c r="B70" s="259">
        <x:f t="shared" si="4"/>
        <x:v>45317</x:v>
      </x:c>
      <x:c r="C70" s="225">
        <x:v>456935864.58999997</x:v>
      </x:c>
      <x:c r="D70" s="259">
        <x:f t="shared" si="5"/>
        <x:v>45348</x:v>
      </x:c>
      <x:c r="E70" s="225">
        <x:v>500575538.12</x:v>
      </x:c>
      <x:c r="F70" s="259">
        <x:f t="shared" si="6"/>
        <x:v>45377</x:v>
      </x:c>
      <x:c r="G70" s="337">
        <x:v>404783944.26999998</x:v>
      </x:c>
    </x:row>
    <x:row r="71" spans="1:7" x14ac:dyDescent="0.25">
      <x:c r="A71" s="2">
        <x:f t="shared" si="3"/>
        <x:v>59</x:v>
      </x:c>
      <x:c r="B71" s="259">
        <x:f t="shared" si="4"/>
        <x:v>45318</x:v>
      </x:c>
      <x:c r="C71" s="225">
        <x:v>456935864.58999997</x:v>
      </x:c>
      <x:c r="D71" s="259">
        <x:f t="shared" si="5"/>
        <x:v>45349</x:v>
      </x:c>
      <x:c r="E71" s="225">
        <x:v>498316236.67000002</x:v>
      </x:c>
      <x:c r="F71" s="259">
        <x:f t="shared" si="6"/>
        <x:v>45378</x:v>
      </x:c>
      <x:c r="G71" s="337">
        <x:v>397665794.19</x:v>
      </x:c>
    </x:row>
    <x:row r="72" spans="1:7" x14ac:dyDescent="0.25">
      <x:c r="A72" s="2">
        <x:f t="shared" si="3"/>
        <x:v>60</x:v>
      </x:c>
      <x:c r="B72" s="259">
        <x:f t="shared" si="4"/>
        <x:v>45319</x:v>
      </x:c>
      <x:c r="C72" s="225">
        <x:v>456935864.58999997</x:v>
      </x:c>
      <x:c r="D72" s="259">
        <x:f t="shared" si="5"/>
        <x:v>45350</x:v>
      </x:c>
      <x:c r="E72" s="225">
        <x:v>498316236.67000002</x:v>
      </x:c>
      <x:c r="F72" s="259">
        <x:f t="shared" si="6"/>
        <x:v>45379</x:v>
      </x:c>
      <x:c r="G72" s="337">
        <x:v>393660067.91000003</x:v>
      </x:c>
    </x:row>
    <x:row r="73" spans="1:7" x14ac:dyDescent="0.25">
      <x:c r="A73" s="2">
        <x:f t="shared" si="3"/>
        <x:v>61</x:v>
      </x:c>
      <x:c r="B73" s="259">
        <x:f t="shared" si="4"/>
        <x:v>45320</x:v>
      </x:c>
      <x:c r="C73" s="225">
        <x:v>471321564.38</x:v>
      </x:c>
      <x:c r="D73" s="259">
        <x:f t="shared" si="5"/>
        <x:v>45351</x:v>
      </x:c>
      <x:c r="E73" s="225">
        <x:v>479418192.99000001</x:v>
      </x:c>
      <x:c r="F73" s="259">
        <x:f t="shared" si="6"/>
        <x:v>45380</x:v>
      </x:c>
      <x:c r="G73" s="337">
        <x:v>393660067.91000003</x:v>
      </x:c>
    </x:row>
    <x:row r="74" spans="1:7" x14ac:dyDescent="0.25">
      <x:c r="A74" s="2">
        <x:f t="shared" si="3"/>
        <x:v>62</x:v>
      </x:c>
      <x:c r="B74" s="259">
        <x:f t="shared" si="4"/>
        <x:v>45321</x:v>
      </x:c>
      <x:c r="C74" s="225">
        <x:v>487259329.87</x:v>
      </x:c>
      <x:c r="D74" s="259"/>
      <x:c r="E74" s="337">
        <x:v>0</x:v>
      </x:c>
      <x:c r="F74" s="259">
        <x:f t="shared" si="6"/>
        <x:v>45381</x:v>
      </x:c>
      <x:c r="G74" s="337">
        <x:v>393660067.91000003</x:v>
      </x:c>
    </x:row>
    <x:row r="75" spans="1:7" x14ac:dyDescent="0.25">
      <x:c r="A75" s="2">
        <x:f t="shared" si="3"/>
        <x:v>63</x:v>
      </x:c>
      <x:c r="B75" s="259">
        <x:f>+B74+1</x:f>
        <x:v>45322</x:v>
      </x:c>
      <x:c r="C75" s="225">
        <x:v>502773504.38</x:v>
      </x:c>
      <x:c r="D75" s="259"/>
      <x:c r="E75" s="337">
        <x:v>0</x:v>
      </x:c>
      <x:c r="F75" s="259">
        <x:f>+F74+1</x:f>
        <x:v>45382</x:v>
      </x:c>
      <x:c r="G75" s="337">
        <x:v>393660067.91000003</x:v>
      </x:c>
    </x:row>
    <x:row r="76" spans="1:7" ht="13.25" thickBot="1" x14ac:dyDescent="0.3">
      <x:c r="A76" s="2">
        <x:f>A75+1</x:f>
        <x:v>64</x:v>
      </x:c>
      <x:c r="C76" s="341">
        <x:f>SUM(C45:C75)</x:f>
        <x:v>13699319532.960003</x:v>
      </x:c>
      <x:c r="E76" s="341">
        <x:f>SUM(E45:E75)</x:f>
        <x:v>15108631360.57</x:v>
      </x:c>
      <x:c r="G76" s="341">
        <x:f>SUM(G45:G75)</x:f>
        <x:v>13348486148.609999</x:v>
      </x:c>
    </x:row>
    <x:row r="77" spans="1:7" ht="13.25" thickTop="1" x14ac:dyDescent="0.25">
      <x:c r="A77" s="56" t="s">
        <x:v>40</x:v>
      </x:c>
      <x:c r="B77" s="56" t="s">
        <x:v>94</x:v>
      </x:c>
      <x:c r="C77" s="338" t="s">
        <x:v>240</x:v>
      </x:c>
      <x:c r="D77" s="56" t="s">
        <x:v>94</x:v>
      </x:c>
      <x:c r="E77" s="338" t="s">
        <x:v>240</x:v>
      </x:c>
      <x:c r="F77" s="56" t="s">
        <x:v>94</x:v>
      </x:c>
      <x:c r="G77" s="338" t="s">
        <x:v>240</x:v>
      </x:c>
    </x:row>
    <x:row r="78" spans="1:7" x14ac:dyDescent="0.25">
      <x:c r="B78" s="226" t="s">
        <x:v>50</x:v>
      </x:c>
      <x:c r="C78" s="339" t="s">
        <x:v>51</x:v>
      </x:c>
      <x:c r="D78" s="226" t="s">
        <x:v>57</x:v>
      </x:c>
      <x:c r="E78" s="339" t="s">
        <x:v>52</x:v>
      </x:c>
      <x:c r="F78" s="226" t="s">
        <x:v>53</x:v>
      </x:c>
      <x:c r="G78" s="339" t="s">
        <x:v>54</x:v>
      </x:c>
    </x:row>
    <x:row r="79" spans="1:7" x14ac:dyDescent="0.25">
      <x:c r="A79" s="2"/>
    </x:row>
    <x:row r="80" spans="1:7" x14ac:dyDescent="0.25">
      <x:c r="A80" s="2">
        <x:f>A76+1</x:f>
        <x:v>65</x:v>
      </x:c>
      <x:c r="B80" s="259">
        <x:f>+F75+1</x:f>
        <x:v>45383</x:v>
      </x:c>
      <x:c r="C80" s="225">
        <x:v>378916395.13</x:v>
      </x:c>
      <x:c r="D80" s="259">
        <x:f>+B109+1</x:f>
        <x:v>45413</x:v>
      </x:c>
      <x:c r="E80" s="225">
        <x:v>381890880.88999999</x:v>
      </x:c>
      <x:c r="F80" s="259">
        <x:f>+D110+1</x:f>
        <x:v>45444</x:v>
      </x:c>
      <x:c r="G80" s="225">
        <x:v>404124717.13999999</x:v>
      </x:c>
    </x:row>
    <x:row r="81" spans="1:7" x14ac:dyDescent="0.25">
      <x:c r="A81" s="2">
        <x:f>A80+1</x:f>
        <x:v>66</x:v>
      </x:c>
      <x:c r="B81" s="259">
        <x:f>+B80+1</x:f>
        <x:v>45384</x:v>
      </x:c>
      <x:c r="C81" s="225">
        <x:v>387791552.68000001</x:v>
      </x:c>
      <x:c r="D81" s="259">
        <x:f>+D80+1</x:f>
        <x:v>45414</x:v>
      </x:c>
      <x:c r="E81" s="225">
        <x:v>387507958.12</x:v>
      </x:c>
      <x:c r="F81" s="259">
        <x:f>+F80+1</x:f>
        <x:v>45445</x:v>
      </x:c>
      <x:c r="G81" s="225">
        <x:v>404124717.13999999</x:v>
      </x:c>
    </x:row>
    <x:row r="82" spans="1:7" x14ac:dyDescent="0.25">
      <x:c r="A82" s="2">
        <x:f t="shared" ref="A82:A110" si="7">A81+1</x:f>
        <x:v>67</x:v>
      </x:c>
      <x:c r="B82" s="259">
        <x:f t="shared" ref="B82:B109" si="8">+B81+1</x:f>
        <x:v>45385</x:v>
      </x:c>
      <x:c r="C82" s="225">
        <x:v>389379888.02999997</x:v>
      </x:c>
      <x:c r="D82" s="259">
        <x:f t="shared" ref="D82:D110" si="9">+D81+1</x:f>
        <x:v>45415</x:v>
      </x:c>
      <x:c r="E82" s="225">
        <x:v>384261047.50999999</x:v>
      </x:c>
      <x:c r="F82" s="259">
        <x:f t="shared" ref="F82:F109" si="10">+F81+1</x:f>
        <x:v>45446</x:v>
      </x:c>
      <x:c r="G82" s="225">
        <x:v>412297821.25999999</x:v>
      </x:c>
    </x:row>
    <x:row r="83" spans="1:7" x14ac:dyDescent="0.25">
      <x:c r="A83" s="2">
        <x:f t="shared" si="7"/>
        <x:v>68</x:v>
      </x:c>
      <x:c r="B83" s="259">
        <x:f t="shared" si="8"/>
        <x:v>45386</x:v>
      </x:c>
      <x:c r="C83" s="225">
        <x:v>395385108.43000001</x:v>
      </x:c>
      <x:c r="D83" s="259">
        <x:f t="shared" si="9"/>
        <x:v>45416</x:v>
      </x:c>
      <x:c r="E83" s="225">
        <x:v>384261047.50999999</x:v>
      </x:c>
      <x:c r="F83" s="259">
        <x:f t="shared" si="10"/>
        <x:v>45447</x:v>
      </x:c>
      <x:c r="G83" s="225">
        <x:v>416903103.60000002</x:v>
      </x:c>
    </x:row>
    <x:row r="84" spans="1:7" x14ac:dyDescent="0.25">
      <x:c r="A84" s="2">
        <x:f t="shared" si="7"/>
        <x:v>69</x:v>
      </x:c>
      <x:c r="B84" s="259">
        <x:f t="shared" si="8"/>
        <x:v>45387</x:v>
      </x:c>
      <x:c r="C84" s="225">
        <x:v>391832121.79000002</x:v>
      </x:c>
      <x:c r="D84" s="259">
        <x:f t="shared" si="9"/>
        <x:v>45417</x:v>
      </x:c>
      <x:c r="E84" s="225">
        <x:v>384261047.50999999</x:v>
      </x:c>
      <x:c r="F84" s="259">
        <x:f t="shared" si="10"/>
        <x:v>45448</x:v>
      </x:c>
      <x:c r="G84" s="225">
        <x:v>421954401.07999998</x:v>
      </x:c>
    </x:row>
    <x:row r="85" spans="1:7" x14ac:dyDescent="0.25">
      <x:c r="A85" s="2">
        <x:f t="shared" si="7"/>
        <x:v>70</x:v>
      </x:c>
      <x:c r="B85" s="259">
        <x:f t="shared" si="8"/>
        <x:v>45388</x:v>
      </x:c>
      <x:c r="C85" s="225">
        <x:v>391832121.79000002</x:v>
      </x:c>
      <x:c r="D85" s="259">
        <x:f t="shared" si="9"/>
        <x:v>45418</x:v>
      </x:c>
      <x:c r="E85" s="225">
        <x:v>395650397.27999997</x:v>
      </x:c>
      <x:c r="F85" s="259">
        <x:f t="shared" si="10"/>
        <x:v>45449</x:v>
      </x:c>
      <x:c r="G85" s="225">
        <x:v>420524636.70999998</x:v>
      </x:c>
    </x:row>
    <x:row r="86" spans="1:7" x14ac:dyDescent="0.25">
      <x:c r="A86" s="2">
        <x:f t="shared" si="7"/>
        <x:v>71</x:v>
      </x:c>
      <x:c r="B86" s="259">
        <x:f t="shared" si="8"/>
        <x:v>45389</x:v>
      </x:c>
      <x:c r="C86" s="225">
        <x:v>391832121.79000002</x:v>
      </x:c>
      <x:c r="D86" s="259">
        <x:f t="shared" si="9"/>
        <x:v>45419</x:v>
      </x:c>
      <x:c r="E86" s="225">
        <x:v>399688614.32999998</x:v>
      </x:c>
      <x:c r="F86" s="259">
        <x:f t="shared" si="10"/>
        <x:v>45450</x:v>
      </x:c>
      <x:c r="G86" s="225">
        <x:v>420634580.43000001</x:v>
      </x:c>
    </x:row>
    <x:row r="87" spans="1:7" x14ac:dyDescent="0.25">
      <x:c r="A87" s="2">
        <x:f t="shared" si="7"/>
        <x:v>72</x:v>
      </x:c>
      <x:c r="B87" s="259">
        <x:f t="shared" si="8"/>
        <x:v>45390</x:v>
      </x:c>
      <x:c r="C87" s="225">
        <x:v>386932902.13999999</x:v>
      </x:c>
      <x:c r="D87" s="259">
        <x:f t="shared" si="9"/>
        <x:v>45420</x:v>
      </x:c>
      <x:c r="E87" s="225">
        <x:v>400976589.94</x:v>
      </x:c>
      <x:c r="F87" s="259">
        <x:f t="shared" si="10"/>
        <x:v>45451</x:v>
      </x:c>
      <x:c r="G87" s="225">
        <x:v>420634580.43000001</x:v>
      </x:c>
    </x:row>
    <x:row r="88" spans="1:7" x14ac:dyDescent="0.25">
      <x:c r="A88" s="2">
        <x:f t="shared" si="7"/>
        <x:v>73</x:v>
      </x:c>
      <x:c r="B88" s="259">
        <x:f t="shared" si="8"/>
        <x:v>45391</x:v>
      </x:c>
      <x:c r="C88" s="225">
        <x:v>389683836.89999998</x:v>
      </x:c>
      <x:c r="D88" s="259">
        <x:f t="shared" si="9"/>
        <x:v>45421</x:v>
      </x:c>
      <x:c r="E88" s="225">
        <x:v>400738557.32999998</x:v>
      </x:c>
      <x:c r="F88" s="259">
        <x:f t="shared" si="10"/>
        <x:v>45452</x:v>
      </x:c>
      <x:c r="G88" s="225">
        <x:v>420634580.43000001</x:v>
      </x:c>
    </x:row>
    <x:row r="89" spans="1:7" x14ac:dyDescent="0.25">
      <x:c r="A89" s="2">
        <x:f t="shared" si="7"/>
        <x:v>74</x:v>
      </x:c>
      <x:c r="B89" s="259">
        <x:f t="shared" si="8"/>
        <x:v>45392</x:v>
      </x:c>
      <x:c r="C89" s="225">
        <x:v>387722716.31999999</x:v>
      </x:c>
      <x:c r="D89" s="259">
        <x:f t="shared" si="9"/>
        <x:v>45422</x:v>
      </x:c>
      <x:c r="E89" s="225">
        <x:v>399305524.81</x:v>
      </x:c>
      <x:c r="F89" s="259">
        <x:f t="shared" si="10"/>
        <x:v>45453</x:v>
      </x:c>
      <x:c r="G89" s="225">
        <x:v>425586021.5</x:v>
      </x:c>
    </x:row>
    <x:row r="90" spans="1:7" x14ac:dyDescent="0.25">
      <x:c r="A90" s="2">
        <x:f t="shared" si="7"/>
        <x:v>75</x:v>
      </x:c>
      <x:c r="B90" s="259">
        <x:f t="shared" si="8"/>
        <x:v>45393</x:v>
      </x:c>
      <x:c r="C90" s="225">
        <x:v>387008759.39999998</x:v>
      </x:c>
      <x:c r="D90" s="259">
        <x:f t="shared" si="9"/>
        <x:v>45423</x:v>
      </x:c>
      <x:c r="E90" s="225">
        <x:v>399305524.81</x:v>
      </x:c>
      <x:c r="F90" s="259">
        <x:f t="shared" si="10"/>
        <x:v>45454</x:v>
      </x:c>
      <x:c r="G90" s="225">
        <x:v>429123810.98000002</x:v>
      </x:c>
    </x:row>
    <x:row r="91" spans="1:7" x14ac:dyDescent="0.25">
      <x:c r="A91" s="2">
        <x:f t="shared" si="7"/>
        <x:v>76</x:v>
      </x:c>
      <x:c r="B91" s="259">
        <x:f t="shared" si="8"/>
        <x:v>45394</x:v>
      </x:c>
      <x:c r="C91" s="225">
        <x:v>384361458.98000002</x:v>
      </x:c>
      <x:c r="D91" s="259">
        <x:f t="shared" si="9"/>
        <x:v>45424</x:v>
      </x:c>
      <x:c r="E91" s="225">
        <x:v>399305524.81</x:v>
      </x:c>
      <x:c r="F91" s="259">
        <x:f t="shared" si="10"/>
        <x:v>45455</x:v>
      </x:c>
      <x:c r="G91" s="225">
        <x:v>431815823.98000002</x:v>
      </x:c>
    </x:row>
    <x:row r="92" spans="1:7" x14ac:dyDescent="0.25">
      <x:c r="A92" s="2">
        <x:f t="shared" si="7"/>
        <x:v>77</x:v>
      </x:c>
      <x:c r="B92" s="259">
        <x:f t="shared" si="8"/>
        <x:v>45395</x:v>
      </x:c>
      <x:c r="C92" s="225">
        <x:v>384361458.98000002</x:v>
      </x:c>
      <x:c r="D92" s="259">
        <x:f t="shared" si="9"/>
        <x:v>45425</x:v>
      </x:c>
      <x:c r="E92" s="225">
        <x:v>397019960.87</x:v>
      </x:c>
      <x:c r="F92" s="259">
        <x:f t="shared" si="10"/>
        <x:v>45456</x:v>
      </x:c>
      <x:c r="G92" s="225">
        <x:v>430569728.42000002</x:v>
      </x:c>
    </x:row>
    <x:row r="93" spans="1:7" x14ac:dyDescent="0.25">
      <x:c r="A93" s="2">
        <x:f t="shared" si="7"/>
        <x:v>78</x:v>
      </x:c>
      <x:c r="B93" s="259">
        <x:f t="shared" si="8"/>
        <x:v>45396</x:v>
      </x:c>
      <x:c r="C93" s="225">
        <x:v>384361458.98000002</x:v>
      </x:c>
      <x:c r="D93" s="259">
        <x:f t="shared" si="9"/>
        <x:v>45426</x:v>
      </x:c>
      <x:c r="E93" s="225">
        <x:v>398849120.5</x:v>
      </x:c>
      <x:c r="F93" s="259">
        <x:f t="shared" si="10"/>
        <x:v>45457</x:v>
      </x:c>
      <x:c r="G93" s="225">
        <x:v>427871929.06999999</x:v>
      </x:c>
    </x:row>
    <x:row r="94" spans="1:7" x14ac:dyDescent="0.25">
      <x:c r="A94" s="2">
        <x:f t="shared" si="7"/>
        <x:v>79</x:v>
      </x:c>
      <x:c r="B94" s="259">
        <x:f t="shared" si="8"/>
        <x:v>45397</x:v>
      </x:c>
      <x:c r="C94" s="225">
        <x:v>381040138.07999998</x:v>
      </x:c>
      <x:c r="D94" s="259">
        <x:f t="shared" si="9"/>
        <x:v>45427</x:v>
      </x:c>
      <x:c r="E94" s="225">
        <x:v>399220805.51999998</x:v>
      </x:c>
      <x:c r="F94" s="259">
        <x:f t="shared" si="10"/>
        <x:v>45458</x:v>
      </x:c>
      <x:c r="G94" s="225">
        <x:v>427871929.06999999</x:v>
      </x:c>
    </x:row>
    <x:row r="95" spans="1:7" x14ac:dyDescent="0.25">
      <x:c r="A95" s="2">
        <x:f t="shared" si="7"/>
        <x:v>80</x:v>
      </x:c>
      <x:c r="B95" s="259">
        <x:f t="shared" si="8"/>
        <x:v>45398</x:v>
      </x:c>
      <x:c r="C95" s="225">
        <x:v>381427179.89999998</x:v>
      </x:c>
      <x:c r="D95" s="259">
        <x:f t="shared" si="9"/>
        <x:v>45428</x:v>
      </x:c>
      <x:c r="E95" s="225">
        <x:v>397578436.32999998</x:v>
      </x:c>
      <x:c r="F95" s="259">
        <x:f t="shared" si="10"/>
        <x:v>45459</x:v>
      </x:c>
      <x:c r="G95" s="225">
        <x:v>427871929.06999999</x:v>
      </x:c>
    </x:row>
    <x:row r="96" spans="1:7" x14ac:dyDescent="0.25">
      <x:c r="A96" s="2">
        <x:f t="shared" si="7"/>
        <x:v>81</x:v>
      </x:c>
      <x:c r="B96" s="259">
        <x:f t="shared" si="8"/>
        <x:v>45399</x:v>
      </x:c>
      <x:c r="C96" s="225">
        <x:v>374105735.44999999</x:v>
      </x:c>
      <x:c r="D96" s="259">
        <x:f t="shared" si="9"/>
        <x:v>45429</x:v>
      </x:c>
      <x:c r="E96" s="225">
        <x:v>399343735.86000001</x:v>
      </x:c>
      <x:c r="F96" s="259">
        <x:f t="shared" si="10"/>
        <x:v>45460</x:v>
      </x:c>
      <x:c r="G96" s="225">
        <x:v>430765304.32999998</x:v>
      </x:c>
    </x:row>
    <x:row r="97" spans="1:7" x14ac:dyDescent="0.25">
      <x:c r="A97" s="2">
        <x:f t="shared" si="7"/>
        <x:v>82</x:v>
      </x:c>
      <x:c r="B97" s="259">
        <x:f t="shared" si="8"/>
        <x:v>45400</x:v>
      </x:c>
      <x:c r="C97" s="225">
        <x:v>374189591.37</x:v>
      </x:c>
      <x:c r="D97" s="259">
        <x:f t="shared" si="9"/>
        <x:v>45430</x:v>
      </x:c>
      <x:c r="E97" s="225">
        <x:v>399343735.86000001</x:v>
      </x:c>
      <x:c r="F97" s="259">
        <x:f t="shared" si="10"/>
        <x:v>45461</x:v>
      </x:c>
      <x:c r="G97" s="225">
        <x:v>437951027.5</x:v>
      </x:c>
    </x:row>
    <x:row r="98" spans="1:7" x14ac:dyDescent="0.25">
      <x:c r="A98" s="2">
        <x:f t="shared" si="7"/>
        <x:v>83</x:v>
      </x:c>
      <x:c r="B98" s="259">
        <x:f t="shared" si="8"/>
        <x:v>45401</x:v>
      </x:c>
      <x:c r="C98" s="225">
        <x:v>375228707.44</x:v>
      </x:c>
      <x:c r="D98" s="259">
        <x:f t="shared" si="9"/>
        <x:v>45431</x:v>
      </x:c>
      <x:c r="E98" s="225">
        <x:v>399343735.86000001</x:v>
      </x:c>
      <x:c r="F98" s="259">
        <x:f t="shared" si="10"/>
        <x:v>45462</x:v>
      </x:c>
      <x:c r="G98" s="225">
        <x:v>458096722.49000001</x:v>
      </x:c>
    </x:row>
    <x:row r="99" spans="1:7" x14ac:dyDescent="0.25">
      <x:c r="A99" s="2">
        <x:f t="shared" si="7"/>
        <x:v>84</x:v>
      </x:c>
      <x:c r="B99" s="259">
        <x:f t="shared" si="8"/>
        <x:v>45402</x:v>
      </x:c>
      <x:c r="C99" s="225">
        <x:v>375228707.44</x:v>
      </x:c>
      <x:c r="D99" s="259">
        <x:f t="shared" si="9"/>
        <x:v>45432</x:v>
      </x:c>
      <x:c r="E99" s="225">
        <x:v>401073158.41000003</x:v>
      </x:c>
      <x:c r="F99" s="259">
        <x:f t="shared" si="10"/>
        <x:v>45463</x:v>
      </x:c>
      <x:c r="G99" s="225">
        <x:v>453316734.38999999</x:v>
      </x:c>
    </x:row>
    <x:row r="100" spans="1:7" x14ac:dyDescent="0.25">
      <x:c r="A100" s="2">
        <x:f t="shared" si="7"/>
        <x:v>85</x:v>
      </x:c>
      <x:c r="B100" s="259">
        <x:f t="shared" si="8"/>
        <x:v>45403</x:v>
      </x:c>
      <x:c r="C100" s="225">
        <x:v>375228707.44</x:v>
      </x:c>
      <x:c r="D100" s="259">
        <x:f t="shared" si="9"/>
        <x:v>45433</x:v>
      </x:c>
      <x:c r="E100" s="225">
        <x:v>408530007.88</x:v>
      </x:c>
      <x:c r="F100" s="259">
        <x:f t="shared" si="10"/>
        <x:v>45464</x:v>
      </x:c>
      <x:c r="G100" s="225">
        <x:v>454785108.49000001</x:v>
      </x:c>
    </x:row>
    <x:row r="101" spans="1:7" x14ac:dyDescent="0.25">
      <x:c r="A101" s="2">
        <x:f t="shared" si="7"/>
        <x:v>86</x:v>
      </x:c>
      <x:c r="B101" s="259">
        <x:f t="shared" si="8"/>
        <x:v>45404</x:v>
      </x:c>
      <x:c r="C101" s="225">
        <x:v>378315775.19999999</x:v>
      </x:c>
      <x:c r="D101" s="259">
        <x:f t="shared" si="9"/>
        <x:v>45434</x:v>
      </x:c>
      <x:c r="E101" s="225">
        <x:v>409132179.13999999</x:v>
      </x:c>
      <x:c r="F101" s="259">
        <x:f t="shared" si="10"/>
        <x:v>45465</x:v>
      </x:c>
      <x:c r="G101" s="225">
        <x:v>454785108.49000001</x:v>
      </x:c>
    </x:row>
    <x:row r="102" spans="1:7" x14ac:dyDescent="0.25">
      <x:c r="A102" s="2">
        <x:f t="shared" si="7"/>
        <x:v>87</x:v>
      </x:c>
      <x:c r="B102" s="259">
        <x:f t="shared" si="8"/>
        <x:v>45405</x:v>
      </x:c>
      <x:c r="C102" s="225">
        <x:v>376887114.22000003</x:v>
      </x:c>
      <x:c r="D102" s="259">
        <x:f t="shared" si="9"/>
        <x:v>45435</x:v>
      </x:c>
      <x:c r="E102" s="225">
        <x:v>412739663.11000001</x:v>
      </x:c>
      <x:c r="F102" s="259">
        <x:f t="shared" si="10"/>
        <x:v>45466</x:v>
      </x:c>
      <x:c r="G102" s="225">
        <x:v>454785108.49000001</x:v>
      </x:c>
    </x:row>
    <x:row r="103" spans="1:7" x14ac:dyDescent="0.25">
      <x:c r="A103" s="2">
        <x:f t="shared" si="7"/>
        <x:v>88</x:v>
      </x:c>
      <x:c r="B103" s="259">
        <x:f t="shared" si="8"/>
        <x:v>45406</x:v>
      </x:c>
      <x:c r="C103" s="225">
        <x:v>376381290.73000002</x:v>
      </x:c>
      <x:c r="D103" s="259">
        <x:f t="shared" si="9"/>
        <x:v>45436</x:v>
      </x:c>
      <x:c r="E103" s="225">
        <x:v>406361181.52999997</x:v>
      </x:c>
      <x:c r="F103" s="259">
        <x:f t="shared" si="10"/>
        <x:v>45467</x:v>
      </x:c>
      <x:c r="G103" s="225">
        <x:v>457473705.93000001</x:v>
      </x:c>
    </x:row>
    <x:row r="104" spans="1:7" x14ac:dyDescent="0.25">
      <x:c r="A104" s="2">
        <x:f t="shared" si="7"/>
        <x:v>89</x:v>
      </x:c>
      <x:c r="B104" s="259">
        <x:f t="shared" si="8"/>
        <x:v>45407</x:v>
      </x:c>
      <x:c r="C104" s="225">
        <x:v>376441629.06999999</x:v>
      </x:c>
      <x:c r="D104" s="259">
        <x:f t="shared" si="9"/>
        <x:v>45437</x:v>
      </x:c>
      <x:c r="E104" s="225">
        <x:v>406361181.52999997</x:v>
      </x:c>
      <x:c r="F104" s="259">
        <x:f t="shared" si="10"/>
        <x:v>45468</x:v>
      </x:c>
      <x:c r="G104" s="225">
        <x:v>458102082.58999997</x:v>
      </x:c>
    </x:row>
    <x:row r="105" spans="1:7" x14ac:dyDescent="0.25">
      <x:c r="A105" s="2">
        <x:f t="shared" si="7"/>
        <x:v>90</x:v>
      </x:c>
      <x:c r="B105" s="259">
        <x:f t="shared" si="8"/>
        <x:v>45408</x:v>
      </x:c>
      <x:c r="C105" s="225">
        <x:v>376979710.76999998</x:v>
      </x:c>
      <x:c r="D105" s="259">
        <x:f t="shared" si="9"/>
        <x:v>45438</x:v>
      </x:c>
      <x:c r="E105" s="225">
        <x:v>406361181.52999997</x:v>
      </x:c>
      <x:c r="F105" s="259">
        <x:f t="shared" si="10"/>
        <x:v>45469</x:v>
      </x:c>
      <x:c r="G105" s="225">
        <x:v>463432141.62</x:v>
      </x:c>
    </x:row>
    <x:row r="106" spans="1:7" x14ac:dyDescent="0.25">
      <x:c r="A106" s="2">
        <x:f t="shared" si="7"/>
        <x:v>91</x:v>
      </x:c>
      <x:c r="B106" s="259">
        <x:f t="shared" si="8"/>
        <x:v>45409</x:v>
      </x:c>
      <x:c r="C106" s="225">
        <x:v>376979710.76999998</x:v>
      </x:c>
      <x:c r="D106" s="259">
        <x:f t="shared" si="9"/>
        <x:v>45439</x:v>
      </x:c>
      <x:c r="E106" s="225">
        <x:v>406361181.52999997</x:v>
      </x:c>
      <x:c r="F106" s="259">
        <x:f t="shared" si="10"/>
        <x:v>45470</x:v>
      </x:c>
      <x:c r="G106" s="225">
        <x:v>462016190.08999997</x:v>
      </x:c>
    </x:row>
    <x:row r="107" spans="1:7" x14ac:dyDescent="0.25">
      <x:c r="A107" s="2">
        <x:f t="shared" si="7"/>
        <x:v>92</x:v>
      </x:c>
      <x:c r="B107" s="259">
        <x:f t="shared" si="8"/>
        <x:v>45410</x:v>
      </x:c>
      <x:c r="C107" s="225">
        <x:v>376979710.76999998</x:v>
      </x:c>
      <x:c r="D107" s="259">
        <x:f t="shared" si="9"/>
        <x:v>45440</x:v>
      </x:c>
      <x:c r="E107" s="225">
        <x:v>396867388.05000001</x:v>
      </x:c>
      <x:c r="F107" s="259">
        <x:f t="shared" si="10"/>
        <x:v>45471</x:v>
      </x:c>
      <x:c r="G107" s="225">
        <x:v>468358830.31</x:v>
      </x:c>
    </x:row>
    <x:row r="108" spans="1:7" x14ac:dyDescent="0.25">
      <x:c r="A108" s="2">
        <x:f t="shared" si="7"/>
        <x:v>93</x:v>
      </x:c>
      <x:c r="B108" s="259">
        <x:f t="shared" si="8"/>
        <x:v>45411</x:v>
      </x:c>
      <x:c r="C108" s="225">
        <x:v>371680783.81</x:v>
      </x:c>
      <x:c r="D108" s="259">
        <x:f t="shared" si="9"/>
        <x:v>45441</x:v>
      </x:c>
      <x:c r="E108" s="225">
        <x:v>401721943.69999999</x:v>
      </x:c>
      <x:c r="F108" s="259">
        <x:f t="shared" si="10"/>
        <x:v>45472</x:v>
      </x:c>
      <x:c r="G108" s="225">
        <x:v>468358830.31</x:v>
      </x:c>
    </x:row>
    <x:row r="109" spans="1:7" x14ac:dyDescent="0.25">
      <x:c r="A109" s="2">
        <x:f t="shared" si="7"/>
        <x:v>94</x:v>
      </x:c>
      <x:c r="B109" s="259">
        <x:f t="shared" si="8"/>
        <x:v>45412</x:v>
      </x:c>
      <x:c r="C109" s="225">
        <x:v>375594005.42000002</x:v>
      </x:c>
      <x:c r="D109" s="259">
        <x:f t="shared" si="9"/>
        <x:v>45442</x:v>
      </x:c>
      <x:c r="E109" s="225">
        <x:v>399215003.02999997</x:v>
      </x:c>
      <x:c r="F109" s="259">
        <x:f t="shared" si="10"/>
        <x:v>45473</x:v>
      </x:c>
      <x:c r="G109" s="225">
        <x:v>468358830.31</x:v>
      </x:c>
    </x:row>
    <x:row r="110" spans="1:7" x14ac:dyDescent="0.25">
      <x:c r="A110" s="2">
        <x:f t="shared" si="7"/>
        <x:v>95</x:v>
      </x:c>
      <x:c r="B110" s="259"/>
      <x:c r="C110" s="337">
        <x:v>0</x:v>
      </x:c>
      <x:c r="D110" s="259">
        <x:f t="shared" si="9"/>
        <x:v>45443</x:v>
      </x:c>
      <x:c r="E110" s="225">
        <x:v>404124717.13999999</x:v>
      </x:c>
      <x:c r="F110" s="259"/>
      <x:c r="G110" s="337">
        <x:v>0</x:v>
      </x:c>
    </x:row>
    <x:row r="111" spans="1:7" ht="13.25" thickBot="1" x14ac:dyDescent="0.3">
      <x:c r="A111" s="2">
        <x:f>A110+1</x:f>
        <x:v>96</x:v>
      </x:c>
      <x:c r="C111" s="341">
        <x:f>SUM(C80:C110)</x:f>
        <x:v>11454090399.219997</x:v>
      </x:c>
      <x:c r="E111" s="341">
        <x:f>SUM(E80:E110)</x:f>
        <x:v>12366701032.230001</x:v>
      </x:c>
      <x:c r="G111" s="341">
        <x:f>SUM(G80:G110)</x:f>
        <x:v>13133130035.649998</x:v>
      </x:c>
    </x:row>
    <x:row r="112" spans="1:7" ht="13.25" thickTop="1" x14ac:dyDescent="0.25">
      <x:c r="A112" s="56" t="s">
        <x:v>40</x:v>
      </x:c>
      <x:c r="B112" s="56" t="s">
        <x:v>94</x:v>
      </x:c>
      <x:c r="C112" s="338" t="s">
        <x:v>240</x:v>
      </x:c>
      <x:c r="D112" s="56" t="s">
        <x:v>94</x:v>
      </x:c>
      <x:c r="E112" s="338" t="s">
        <x:v>240</x:v>
      </x:c>
      <x:c r="F112" s="56" t="s">
        <x:v>94</x:v>
      </x:c>
      <x:c r="G112" s="338" t="s">
        <x:v>240</x:v>
      </x:c>
    </x:row>
    <x:row r="113" spans="1:7" x14ac:dyDescent="0.25">
      <x:c r="B113" s="226" t="s">
        <x:v>50</x:v>
      </x:c>
      <x:c r="C113" s="339" t="s">
        <x:v>51</x:v>
      </x:c>
      <x:c r="D113" s="226" t="s">
        <x:v>57</x:v>
      </x:c>
      <x:c r="E113" s="339" t="s">
        <x:v>52</x:v>
      </x:c>
      <x:c r="F113" s="226" t="s">
        <x:v>53</x:v>
      </x:c>
      <x:c r="G113" s="339" t="s">
        <x:v>54</x:v>
      </x:c>
    </x:row>
    <x:row r="114" spans="1:7" x14ac:dyDescent="0.25">
      <x:c r="A114" s="2"/>
    </x:row>
    <x:row r="115" spans="1:7" x14ac:dyDescent="0.25">
      <x:c r="A115" s="2">
        <x:f>A111+1</x:f>
        <x:v>97</x:v>
      </x:c>
      <x:c r="B115" s="259">
        <x:f>+F109+1</x:f>
        <x:v>45474</x:v>
      </x:c>
      <x:c r="C115" s="225">
        <x:v>486437673.44999999</x:v>
      </x:c>
      <x:c r="D115" s="259">
        <x:f>+B145+1</x:f>
        <x:v>45505</x:v>
      </x:c>
      <x:c r="E115" s="225">
        <x:v>561923382.38999999</x:v>
      </x:c>
      <x:c r="F115" s="259">
        <x:f>+D145+1</x:f>
        <x:v>45536</x:v>
      </x:c>
      <x:c r="G115" s="225">
        <x:v>574652182.58000004</x:v>
      </x:c>
    </x:row>
    <x:row r="116" spans="1:7" x14ac:dyDescent="0.25">
      <x:c r="A116" s="2">
        <x:f>A115+1</x:f>
        <x:v>98</x:v>
      </x:c>
      <x:c r="B116" s="259">
        <x:f>+B115+1</x:f>
        <x:v>45475</x:v>
      </x:c>
      <x:c r="C116" s="225">
        <x:v>505905123.52999997</x:v>
      </x:c>
      <x:c r="D116" s="259">
        <x:f>+D115+1</x:f>
        <x:v>45506</x:v>
      </x:c>
      <x:c r="E116" s="225">
        <x:v>556173577.33000004</x:v>
      </x:c>
      <x:c r="F116" s="259">
        <x:f>+F115+1</x:f>
        <x:v>45537</x:v>
      </x:c>
      <x:c r="G116" s="225">
        <x:v>574652182.58000004</x:v>
      </x:c>
    </x:row>
    <x:row r="117" spans="1:7" x14ac:dyDescent="0.25">
      <x:c r="A117" s="2">
        <x:f>A116+1</x:f>
        <x:v>99</x:v>
      </x:c>
      <x:c r="B117" s="259">
        <x:f t="shared" ref="B117:B145" si="11">+B116+1</x:f>
        <x:v>45476</x:v>
      </x:c>
      <x:c r="C117" s="225">
        <x:v>507544840.48000002</x:v>
      </x:c>
      <x:c r="D117" s="259">
        <x:f t="shared" ref="D117:D144" si="12">+D116+1</x:f>
        <x:v>45507</x:v>
      </x:c>
      <x:c r="E117" s="225">
        <x:v>556173577.33000004</x:v>
      </x:c>
      <x:c r="F117" s="259">
        <x:f t="shared" ref="F117:F144" si="13">+F116+1</x:f>
        <x:v>45538</x:v>
      </x:c>
      <x:c r="G117" s="225">
        <x:v>559645061.37</x:v>
      </x:c>
    </x:row>
    <x:row r="118" spans="1:7" x14ac:dyDescent="0.25">
      <x:c r="A118" s="2">
        <x:f t="shared" ref="A118:A145" si="14">A117+1</x:f>
        <x:v>100</x:v>
      </x:c>
      <x:c r="B118" s="259">
        <x:f t="shared" si="11"/>
        <x:v>45477</x:v>
      </x:c>
      <x:c r="C118" s="225">
        <x:v>507544840.48000002</x:v>
      </x:c>
      <x:c r="D118" s="259">
        <x:f t="shared" si="12"/>
        <x:v>45508</x:v>
      </x:c>
      <x:c r="E118" s="225">
        <x:v>556173577.33000004</x:v>
      </x:c>
      <x:c r="F118" s="259">
        <x:f t="shared" si="13"/>
        <x:v>45539</x:v>
      </x:c>
      <x:c r="G118" s="225">
        <x:v>570997162.40999997</x:v>
      </x:c>
    </x:row>
    <x:row r="119" spans="1:7" x14ac:dyDescent="0.25">
      <x:c r="A119" s="2">
        <x:f t="shared" si="14"/>
        <x:v>101</x:v>
      </x:c>
      <x:c r="B119" s="259">
        <x:f t="shared" si="11"/>
        <x:v>45478</x:v>
      </x:c>
      <x:c r="C119" s="225">
        <x:v>497349965.22000003</x:v>
      </x:c>
      <x:c r="D119" s="259">
        <x:f t="shared" si="12"/>
        <x:v>45509</x:v>
      </x:c>
      <x:c r="E119" s="225">
        <x:v>560676923.22000003</x:v>
      </x:c>
      <x:c r="F119" s="259">
        <x:f t="shared" si="13"/>
        <x:v>45540</x:v>
      </x:c>
      <x:c r="G119" s="225">
        <x:v>563500266.25999999</x:v>
      </x:c>
    </x:row>
    <x:row r="120" spans="1:7" x14ac:dyDescent="0.25">
      <x:c r="A120" s="2">
        <x:f t="shared" si="14"/>
        <x:v>102</x:v>
      </x:c>
      <x:c r="B120" s="259">
        <x:f t="shared" si="11"/>
        <x:v>45479</x:v>
      </x:c>
      <x:c r="C120" s="225">
        <x:v>497349965.22000003</x:v>
      </x:c>
      <x:c r="D120" s="259">
        <x:f t="shared" si="12"/>
        <x:v>45510</x:v>
      </x:c>
      <x:c r="E120" s="225">
        <x:v>562361973.64999998</x:v>
      </x:c>
      <x:c r="F120" s="259">
        <x:f t="shared" si="13"/>
        <x:v>45541</x:v>
      </x:c>
      <x:c r="G120" s="225">
        <x:v>573129375.63999999</x:v>
      </x:c>
    </x:row>
    <x:row r="121" spans="1:7" x14ac:dyDescent="0.25">
      <x:c r="A121" s="2">
        <x:f t="shared" si="14"/>
        <x:v>103</x:v>
      </x:c>
      <x:c r="B121" s="259">
        <x:f t="shared" si="11"/>
        <x:v>45480</x:v>
      </x:c>
      <x:c r="C121" s="225">
        <x:v>497349965.22000003</x:v>
      </x:c>
      <x:c r="D121" s="259">
        <x:f t="shared" si="12"/>
        <x:v>45511</x:v>
      </x:c>
      <x:c r="E121" s="225">
        <x:v>559719465.10000002</x:v>
      </x:c>
      <x:c r="F121" s="259">
        <x:f t="shared" si="13"/>
        <x:v>45542</x:v>
      </x:c>
      <x:c r="G121" s="225">
        <x:v>573129375.63999999</x:v>
      </x:c>
    </x:row>
    <x:row r="122" spans="1:7" x14ac:dyDescent="0.25">
      <x:c r="A122" s="2">
        <x:f t="shared" si="14"/>
        <x:v>104</x:v>
      </x:c>
      <x:c r="B122" s="259">
        <x:f t="shared" si="11"/>
        <x:v>45481</x:v>
      </x:c>
      <x:c r="C122" s="225">
        <x:v>495969984.88</x:v>
      </x:c>
      <x:c r="D122" s="259">
        <x:f t="shared" si="12"/>
        <x:v>45512</x:v>
      </x:c>
      <x:c r="E122" s="225">
        <x:v>559464804.69000006</x:v>
      </x:c>
      <x:c r="F122" s="259">
        <x:f t="shared" si="13"/>
        <x:v>45543</x:v>
      </x:c>
      <x:c r="G122" s="225">
        <x:v>573129375.63999999</x:v>
      </x:c>
    </x:row>
    <x:row r="123" spans="1:7" x14ac:dyDescent="0.25">
      <x:c r="A123" s="2">
        <x:f t="shared" si="14"/>
        <x:v>105</x:v>
      </x:c>
      <x:c r="B123" s="259">
        <x:f t="shared" si="11"/>
        <x:v>45482</x:v>
      </x:c>
      <x:c r="C123" s="225">
        <x:v>508285139.5</x:v>
      </x:c>
      <x:c r="D123" s="259">
        <x:f t="shared" si="12"/>
        <x:v>45513</x:v>
      </x:c>
      <x:c r="E123" s="225">
        <x:v>574143835.80999994</x:v>
      </x:c>
      <x:c r="F123" s="259">
        <x:f t="shared" si="13"/>
        <x:v>45544</x:v>
      </x:c>
      <x:c r="G123" s="225">
        <x:v>572875086.29999995</x:v>
      </x:c>
    </x:row>
    <x:row r="124" spans="1:7" x14ac:dyDescent="0.25">
      <x:c r="A124" s="2">
        <x:f t="shared" si="14"/>
        <x:v>106</x:v>
      </x:c>
      <x:c r="B124" s="259">
        <x:f t="shared" si="11"/>
        <x:v>45483</x:v>
      </x:c>
      <x:c r="C124" s="225">
        <x:v>507336953.11000001</x:v>
      </x:c>
      <x:c r="D124" s="259">
        <x:f t="shared" si="12"/>
        <x:v>45514</x:v>
      </x:c>
      <x:c r="E124" s="225">
        <x:v>574143835.80999994</x:v>
      </x:c>
      <x:c r="F124" s="259">
        <x:f t="shared" si="13"/>
        <x:v>45545</x:v>
      </x:c>
      <x:c r="G124" s="225">
        <x:v>576934901.39999998</x:v>
      </x:c>
    </x:row>
    <x:row r="125" spans="1:7" x14ac:dyDescent="0.25">
      <x:c r="A125" s="2">
        <x:f t="shared" si="14"/>
        <x:v>107</x:v>
      </x:c>
      <x:c r="B125" s="259">
        <x:f t="shared" si="11"/>
        <x:v>45484</x:v>
      </x:c>
      <x:c r="C125" s="225">
        <x:v>509691158.17000002</x:v>
      </x:c>
      <x:c r="D125" s="259">
        <x:f t="shared" si="12"/>
        <x:v>45515</x:v>
      </x:c>
      <x:c r="E125" s="225">
        <x:v>574143835.80999994</x:v>
      </x:c>
      <x:c r="F125" s="259">
        <x:f t="shared" si="13"/>
        <x:v>45546</x:v>
      </x:c>
      <x:c r="G125" s="225">
        <x:v>579611263.29999995</x:v>
      </x:c>
    </x:row>
    <x:row r="126" spans="1:7" x14ac:dyDescent="0.25">
      <x:c r="A126" s="2">
        <x:f t="shared" si="14"/>
        <x:v>108</x:v>
      </x:c>
      <x:c r="B126" s="259">
        <x:f t="shared" si="11"/>
        <x:v>45485</x:v>
      </x:c>
      <x:c r="C126" s="225">
        <x:v>506692916.31999999</x:v>
      </x:c>
      <x:c r="D126" s="259">
        <x:f t="shared" si="12"/>
        <x:v>45516</x:v>
      </x:c>
      <x:c r="E126" s="225">
        <x:v>572210022.45000005</x:v>
      </x:c>
      <x:c r="F126" s="259">
        <x:f t="shared" si="13"/>
        <x:v>45547</x:v>
      </x:c>
      <x:c r="G126" s="225">
        <x:v>577541047.34000003</x:v>
      </x:c>
    </x:row>
    <x:row r="127" spans="1:7" x14ac:dyDescent="0.25">
      <x:c r="A127" s="2">
        <x:f t="shared" si="14"/>
        <x:v>109</x:v>
      </x:c>
      <x:c r="B127" s="259">
        <x:f t="shared" si="11"/>
        <x:v>45486</x:v>
      </x:c>
      <x:c r="C127" s="225">
        <x:v>506692916.31999999</x:v>
      </x:c>
      <x:c r="D127" s="259">
        <x:f t="shared" si="12"/>
        <x:v>45517</x:v>
      </x:c>
      <x:c r="E127" s="225">
        <x:v>570089284.42999995</x:v>
      </x:c>
      <x:c r="F127" s="259">
        <x:f t="shared" si="13"/>
        <x:v>45548</x:v>
      </x:c>
      <x:c r="G127" s="225">
        <x:v>577819035.72000003</x:v>
      </x:c>
    </x:row>
    <x:row r="128" spans="1:7" x14ac:dyDescent="0.25">
      <x:c r="A128" s="2">
        <x:f t="shared" si="14"/>
        <x:v>110</x:v>
      </x:c>
      <x:c r="B128" s="259">
        <x:f t="shared" si="11"/>
        <x:v>45487</x:v>
      </x:c>
      <x:c r="C128" s="225">
        <x:v>506692916.31999999</x:v>
      </x:c>
      <x:c r="D128" s="259">
        <x:f t="shared" si="12"/>
        <x:v>45518</x:v>
      </x:c>
      <x:c r="E128" s="225">
        <x:v>566703063.03999996</x:v>
      </x:c>
      <x:c r="F128" s="259">
        <x:f t="shared" si="13"/>
        <x:v>45549</x:v>
      </x:c>
      <x:c r="G128" s="225">
        <x:v>577819035.72000003</x:v>
      </x:c>
    </x:row>
    <x:row r="129" spans="1:7" x14ac:dyDescent="0.25">
      <x:c r="A129" s="2">
        <x:f t="shared" si="14"/>
        <x:v>111</x:v>
      </x:c>
      <x:c r="B129" s="259">
        <x:f t="shared" si="11"/>
        <x:v>45488</x:v>
      </x:c>
      <x:c r="C129" s="225">
        <x:v>503504110</x:v>
      </x:c>
      <x:c r="D129" s="259">
        <x:f t="shared" si="12"/>
        <x:v>45519</x:v>
      </x:c>
      <x:c r="E129" s="225">
        <x:v>563347513.02999997</x:v>
      </x:c>
      <x:c r="F129" s="259">
        <x:f t="shared" si="13"/>
        <x:v>45550</x:v>
      </x:c>
      <x:c r="G129" s="225">
        <x:v>577819035.72000003</x:v>
      </x:c>
    </x:row>
    <x:row r="130" spans="1:7" x14ac:dyDescent="0.25">
      <x:c r="A130" s="2">
        <x:f t="shared" si="14"/>
        <x:v>112</x:v>
      </x:c>
      <x:c r="B130" s="259">
        <x:f t="shared" si="11"/>
        <x:v>45489</x:v>
      </x:c>
      <x:c r="C130" s="225">
        <x:v>510811027.27999997</x:v>
      </x:c>
      <x:c r="D130" s="259">
        <x:f t="shared" si="12"/>
        <x:v>45520</x:v>
      </x:c>
      <x:c r="E130" s="225">
        <x:v>560955960.88</x:v>
      </x:c>
      <x:c r="F130" s="259">
        <x:f t="shared" si="13"/>
        <x:v>45551</x:v>
      </x:c>
      <x:c r="G130" s="225">
        <x:v>576428685.01999998</x:v>
      </x:c>
    </x:row>
    <x:row r="131" spans="1:7" x14ac:dyDescent="0.25">
      <x:c r="A131" s="2">
        <x:f t="shared" si="14"/>
        <x:v>113</x:v>
      </x:c>
      <x:c r="B131" s="259">
        <x:f t="shared" si="11"/>
        <x:v>45490</x:v>
      </x:c>
      <x:c r="C131" s="225">
        <x:v>515547849.25999999</x:v>
      </x:c>
      <x:c r="D131" s="259">
        <x:f t="shared" si="12"/>
        <x:v>45521</x:v>
      </x:c>
      <x:c r="E131" s="225">
        <x:v>560955960.88</x:v>
      </x:c>
      <x:c r="F131" s="259">
        <x:f t="shared" si="13"/>
        <x:v>45552</x:v>
      </x:c>
      <x:c r="G131" s="225">
        <x:v>582638168.37</x:v>
      </x:c>
    </x:row>
    <x:row r="132" spans="1:7" x14ac:dyDescent="0.25">
      <x:c r="A132" s="2">
        <x:f t="shared" si="14"/>
        <x:v>114</x:v>
      </x:c>
      <x:c r="B132" s="259">
        <x:f t="shared" si="11"/>
        <x:v>45491</x:v>
      </x:c>
      <x:c r="C132" s="225">
        <x:v>519941313.13999999</x:v>
      </x:c>
      <x:c r="D132" s="259">
        <x:f t="shared" si="12"/>
        <x:v>45522</x:v>
      </x:c>
      <x:c r="E132" s="225">
        <x:v>560955960.88</x:v>
      </x:c>
      <x:c r="F132" s="259">
        <x:f t="shared" si="13"/>
        <x:v>45553</x:v>
      </x:c>
      <x:c r="G132" s="225">
        <x:v>580428946.11000001</x:v>
      </x:c>
    </x:row>
    <x:row r="133" spans="1:7" x14ac:dyDescent="0.25">
      <x:c r="A133" s="2">
        <x:f t="shared" si="14"/>
        <x:v>115</x:v>
      </x:c>
      <x:c r="B133" s="259">
        <x:f t="shared" si="11"/>
        <x:v>45492</x:v>
      </x:c>
      <x:c r="C133" s="225">
        <x:v>530327223.73000002</x:v>
      </x:c>
      <x:c r="D133" s="259">
        <x:f t="shared" si="12"/>
        <x:v>45523</x:v>
      </x:c>
      <x:c r="E133" s="225">
        <x:v>561758290.96000004</x:v>
      </x:c>
      <x:c r="F133" s="259">
        <x:f t="shared" si="13"/>
        <x:v>45554</x:v>
      </x:c>
      <x:c r="G133" s="225">
        <x:v>586427545.45000005</x:v>
      </x:c>
    </x:row>
    <x:row r="134" spans="1:7" x14ac:dyDescent="0.25">
      <x:c r="A134" s="2">
        <x:f t="shared" si="14"/>
        <x:v>116</x:v>
      </x:c>
      <x:c r="B134" s="259">
        <x:f t="shared" si="11"/>
        <x:v>45493</x:v>
      </x:c>
      <x:c r="C134" s="225">
        <x:v>530327223.73000002</x:v>
      </x:c>
      <x:c r="D134" s="259">
        <x:f t="shared" si="12"/>
        <x:v>45524</x:v>
      </x:c>
      <x:c r="E134" s="225">
        <x:v>570079154.33000004</x:v>
      </x:c>
      <x:c r="F134" s="259">
        <x:f t="shared" si="13"/>
        <x:v>45555</x:v>
      </x:c>
      <x:c r="G134" s="225">
        <x:v>583701894.22000003</x:v>
      </x:c>
    </x:row>
    <x:row r="135" spans="1:7" x14ac:dyDescent="0.25">
      <x:c r="A135" s="2">
        <x:f t="shared" si="14"/>
        <x:v>117</x:v>
      </x:c>
      <x:c r="B135" s="259">
        <x:f t="shared" si="11"/>
        <x:v>45494</x:v>
      </x:c>
      <x:c r="C135" s="225">
        <x:v>530327223.73000002</x:v>
      </x:c>
      <x:c r="D135" s="259">
        <x:f t="shared" si="12"/>
        <x:v>45525</x:v>
      </x:c>
      <x:c r="E135" s="225">
        <x:v>566058714.13999999</x:v>
      </x:c>
      <x:c r="F135" s="259">
        <x:f t="shared" si="13"/>
        <x:v>45556</x:v>
      </x:c>
      <x:c r="G135" s="225">
        <x:v>583701894.22000003</x:v>
      </x:c>
    </x:row>
    <x:row r="136" spans="1:7" x14ac:dyDescent="0.25">
      <x:c r="A136" s="2">
        <x:f t="shared" si="14"/>
        <x:v>118</x:v>
      </x:c>
      <x:c r="B136" s="259">
        <x:f t="shared" si="11"/>
        <x:v>45495</x:v>
      </x:c>
      <x:c r="C136" s="225">
        <x:v>528171394.22000003</x:v>
      </x:c>
      <x:c r="D136" s="259">
        <x:f t="shared" si="12"/>
        <x:v>45526</x:v>
      </x:c>
      <x:c r="E136" s="225">
        <x:v>560743759.75999999</x:v>
      </x:c>
      <x:c r="F136" s="259">
        <x:f t="shared" si="13"/>
        <x:v>45557</x:v>
      </x:c>
      <x:c r="G136" s="225">
        <x:v>583701894.22000003</x:v>
      </x:c>
    </x:row>
    <x:row r="137" spans="1:7" x14ac:dyDescent="0.25">
      <x:c r="A137" s="2">
        <x:f t="shared" si="14"/>
        <x:v>119</x:v>
      </x:c>
      <x:c r="B137" s="259">
        <x:f t="shared" si="11"/>
        <x:v>45496</x:v>
      </x:c>
      <x:c r="C137" s="225">
        <x:v>535980009.25999999</x:v>
      </x:c>
      <x:c r="D137" s="259">
        <x:f t="shared" si="12"/>
        <x:v>45527</x:v>
      </x:c>
      <x:c r="E137" s="225">
        <x:v>561973056.25</x:v>
      </x:c>
      <x:c r="F137" s="259">
        <x:f t="shared" si="13"/>
        <x:v>45558</x:v>
      </x:c>
      <x:c r="G137" s="225">
        <x:v>580622818.38999999</x:v>
      </x:c>
    </x:row>
    <x:row r="138" spans="1:7" x14ac:dyDescent="0.25">
      <x:c r="A138" s="2">
        <x:f t="shared" si="14"/>
        <x:v>120</x:v>
      </x:c>
      <x:c r="B138" s="259">
        <x:f t="shared" si="11"/>
        <x:v>45497</x:v>
      </x:c>
      <x:c r="C138" s="225">
        <x:v>540056155.27999997</x:v>
      </x:c>
      <x:c r="D138" s="259">
        <x:f t="shared" si="12"/>
        <x:v>45528</x:v>
      </x:c>
      <x:c r="E138" s="225">
        <x:v>561973056.25</x:v>
      </x:c>
      <x:c r="F138" s="259">
        <x:f t="shared" si="13"/>
        <x:v>45559</x:v>
      </x:c>
      <x:c r="G138" s="225">
        <x:v>583673505.88999999</x:v>
      </x:c>
    </x:row>
    <x:row r="139" spans="1:7" x14ac:dyDescent="0.25">
      <x:c r="A139" s="2">
        <x:f t="shared" si="14"/>
        <x:v>121</x:v>
      </x:c>
      <x:c r="B139" s="259">
        <x:f t="shared" si="11"/>
        <x:v>45498</x:v>
      </x:c>
      <x:c r="C139" s="225">
        <x:v>539150437.59000003</x:v>
      </x:c>
      <x:c r="D139" s="259">
        <x:f t="shared" si="12"/>
        <x:v>45529</x:v>
      </x:c>
      <x:c r="E139" s="225">
        <x:v>561973056.25</x:v>
      </x:c>
      <x:c r="F139" s="259">
        <x:f t="shared" si="13"/>
        <x:v>45560</x:v>
      </x:c>
      <x:c r="G139" s="225">
        <x:v>579845912.55999994</x:v>
      </x:c>
    </x:row>
    <x:row r="140" spans="1:7" x14ac:dyDescent="0.25">
      <x:c r="A140" s="2">
        <x:f t="shared" si="14"/>
        <x:v>122</x:v>
      </x:c>
      <x:c r="B140" s="259">
        <x:f t="shared" si="11"/>
        <x:v>45499</x:v>
      </x:c>
      <x:c r="C140" s="225">
        <x:v>534627075.49000001</x:v>
      </x:c>
      <x:c r="D140" s="259">
        <x:f t="shared" si="12"/>
        <x:v>45530</x:v>
      </x:c>
      <x:c r="E140" s="225">
        <x:v>564532864.77999997</x:v>
      </x:c>
      <x:c r="F140" s="259">
        <x:f t="shared" si="13"/>
        <x:v>45561</x:v>
      </x:c>
      <x:c r="G140" s="225">
        <x:v>572712571.42999995</x:v>
      </x:c>
    </x:row>
    <x:row r="141" spans="1:7" x14ac:dyDescent="0.25">
      <x:c r="A141" s="2">
        <x:f t="shared" si="14"/>
        <x:v>123</x:v>
      </x:c>
      <x:c r="B141" s="259">
        <x:f t="shared" si="11"/>
        <x:v>45500</x:v>
      </x:c>
      <x:c r="C141" s="225">
        <x:v>534627075.49000001</x:v>
      </x:c>
      <x:c r="D141" s="259">
        <x:f t="shared" si="12"/>
        <x:v>45531</x:v>
      </x:c>
      <x:c r="E141" s="225">
        <x:v>565961816.15999997</x:v>
      </x:c>
      <x:c r="F141" s="259">
        <x:f t="shared" si="13"/>
        <x:v>45562</x:v>
      </x:c>
      <x:c r="G141" s="225">
        <x:v>573677200.87</x:v>
      </x:c>
    </x:row>
    <x:row r="142" spans="1:7" x14ac:dyDescent="0.25">
      <x:c r="A142" s="2">
        <x:f t="shared" si="14"/>
        <x:v>124</x:v>
      </x:c>
      <x:c r="B142" s="259">
        <x:f t="shared" si="11"/>
        <x:v>45501</x:v>
      </x:c>
      <x:c r="C142" s="225">
        <x:v>534627075.49000001</x:v>
      </x:c>
      <x:c r="D142" s="259">
        <x:f t="shared" si="12"/>
        <x:v>45532</x:v>
      </x:c>
      <x:c r="E142" s="225">
        <x:v>566847062.91999996</x:v>
      </x:c>
      <x:c r="F142" s="259">
        <x:f t="shared" si="13"/>
        <x:v>45563</x:v>
      </x:c>
      <x:c r="G142" s="225">
        <x:v>573677200.87</x:v>
      </x:c>
    </x:row>
    <x:row r="143" spans="1:7" x14ac:dyDescent="0.25">
      <x:c r="A143" s="2">
        <x:f t="shared" si="14"/>
        <x:v>125</x:v>
      </x:c>
      <x:c r="B143" s="259">
        <x:f t="shared" si="11"/>
        <x:v>45502</x:v>
      </x:c>
      <x:c r="C143" s="225">
        <x:v>534662933.99000001</x:v>
      </x:c>
      <x:c r="D143" s="259">
        <x:f t="shared" si="12"/>
        <x:v>45533</x:v>
      </x:c>
      <x:c r="E143" s="225">
        <x:v>581196924.07000005</x:v>
      </x:c>
      <x:c r="F143" s="259">
        <x:f t="shared" si="13"/>
        <x:v>45564</x:v>
      </x:c>
      <x:c r="G143" s="225">
        <x:v>573677200.87</x:v>
      </x:c>
    </x:row>
    <x:row r="144" spans="1:7" x14ac:dyDescent="0.25">
      <x:c r="A144" s="2">
        <x:f t="shared" si="14"/>
        <x:v>126</x:v>
      </x:c>
      <x:c r="B144" s="259">
        <x:f t="shared" si="11"/>
        <x:v>45503</x:v>
      </x:c>
      <x:c r="C144" s="225">
        <x:v>542833526.19000006</x:v>
      </x:c>
      <x:c r="D144" s="259">
        <x:f t="shared" si="12"/>
        <x:v>45534</x:v>
      </x:c>
      <x:c r="E144" s="225">
        <x:v>574652182.58000004</x:v>
      </x:c>
      <x:c r="F144" s="259">
        <x:f t="shared" si="13"/>
        <x:v>45565</x:v>
      </x:c>
      <x:c r="G144" s="225">
        <x:v>580335404.59000003</x:v>
      </x:c>
    </x:row>
    <x:row r="145" spans="1:7" x14ac:dyDescent="0.25">
      <x:c r="A145" s="2">
        <x:f t="shared" si="14"/>
        <x:v>127</x:v>
      </x:c>
      <x:c r="B145" s="259">
        <x:f t="shared" si="11"/>
        <x:v>45504</x:v>
      </x:c>
      <x:c r="C145" s="225">
        <x:v>556278860.66999996</x:v>
      </x:c>
      <x:c r="D145" s="259">
        <x:f>+D144+1</x:f>
        <x:v>45535</x:v>
      </x:c>
      <x:c r="E145" s="225">
        <x:v>574652182.58000004</x:v>
      </x:c>
      <x:c r="F145" s="259"/>
      <x:c r="G145" s="337">
        <x:v>0</x:v>
      </x:c>
    </x:row>
    <x:row r="146" spans="1:7" ht="13.25" thickBot="1" x14ac:dyDescent="0.3">
      <x:c r="A146" s="2">
        <x:f>A145+1</x:f>
        <x:v>128</x:v>
      </x:c>
      <x:c r="C146" s="341">
        <x:f>SUM(C115:C145)</x:f>
        <x:v>16062644872.759998</x:v>
      </x:c>
      <x:c r="E146" s="341">
        <x:f>SUM(E115:E145)</x:f>
        <x:v>17522718675.089996</x:v>
      </x:c>
      <x:c r="G146" s="341">
        <x:f>SUM(G115:G145)</x:f>
        <x:v>17298505230.700001</x:v>
      </x:c>
    </x:row>
    <x:row r="147" spans="1:7" ht="13.25" thickTop="1" x14ac:dyDescent="0.25">
      <x:c r="A147" s="2">
        <x:v>129</x:v>
      </x:c>
    </x:row>
    <x:row r="148" spans="1:7" ht="13.25" thickTop="1" x14ac:dyDescent="0.25">
      <x:c r="A148" s="2">
        <x:v>130</x:v>
      </x:c>
      <x:c r="B148" t="s">
        <x:v>230</x:v>
      </x:c>
      <x:c r="C148" s="290" t="s">
        <x:v>435</x:v>
      </x:c>
      <x:c r="G148" s="340">
        <x:f>SUM(C146:G146,C111:G111,C76:G76,C41:G41)</x:f>
        <x:v>173020502869.10999</x:v>
      </x:c>
    </x:row>
    <x:row r="149" spans="1:7" x14ac:dyDescent="0.25">
      <x:c r="A149" s="2"/>
    </x:row>
  </x:sheetData>
  <x:phoneticPr fontId="23" type="noConversion"/>
  <x:hyperlinks>
    <x:hyperlink ref="C148" r:id="rId1" xr:uid="{00000000-0004-0000-0700-000000000000}"/>
  </x:hyperlinks>
  <x:printOptions horizontalCentered="1"/>
  <x:pageMargins left="0.5" right="0.5" top="1.5" bottom="0.5" header="1" footer="0.5"/>
  <x:pageSetup scale="83" fitToHeight="4" orientation="landscape" r:id="rId2"/>
  <x:headerFooter alignWithMargins="0">
    <x:oddHeader>&amp;RWP/II-B-9/&amp;A
Page &amp;P of &amp;N</x:oddHeader>
  </x:headerFooter>
  <x:rowBreaks count="3" manualBreakCount="3">
    <x:brk id="41" max="16383" man="1"/>
    <x:brk id="76" max="16383" man="1"/>
    <x:brk id="111" max="16383" man="1"/>
  </x:rowBreaks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32">
    <x:tabColor rgb="FF92D050"/>
    <x:pageSetUpPr fitToPage="1"/>
  </x:sheetPr>
  <x:dimension ref="A1:K23"/>
  <x:sheetViews>
    <x:sheetView zoomScale="95" zoomScaleNormal="95" workbookViewId="0">
      <x:pane xSplit="2" ySplit="8" topLeftCell="C9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21" style="1" customWidth="1"/>
    <x:col min="3" max="3" width="19.88671875" style="1" customWidth="1"/>
    <x:col min="4" max="4" width="10.88671875" style="283" bestFit="1" customWidth="1"/>
    <x:col min="5" max="5" width="24.109375" style="1" customWidth="1"/>
    <x:col min="6" max="6" width="15.88671875" style="1" bestFit="1" customWidth="1"/>
    <x:col min="7" max="7" width="14.88671875" style="1" bestFit="1" customWidth="1"/>
    <x:col min="8" max="8" width="12.109375" style="1" customWidth="1"/>
    <x:col min="9" max="9" width="18" style="1" customWidth="1"/>
    <x:col min="10" max="10" width="21.5546875" style="1" customWidth="1"/>
    <x:col min="11" max="11" width="20" style="1" customWidth="1"/>
    <x:col min="12" max="16384" width="9.109375" style="1"/>
  </x:cols>
  <x:sheetData>
    <x:row r="1" spans="1:11" s="41" customFormat="1" x14ac:dyDescent="0.25">
      <x:c r="A1" s="180" t="s">
        <x:v>523</x:v>
      </x:c>
      <x:c r="B1" s="180"/>
      <x:c r="C1" s="180"/>
      <x:c r="D1" s="180"/>
      <x:c r="E1" s="180"/>
    </x:row>
    <x:row r="2" spans="1:11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11" s="41" customFormat="1" x14ac:dyDescent="0.25">
      <x:c r="A3" s="182" t="s">
        <x:v>249</x:v>
      </x:c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</x:row>
    <x:row r="4" spans="1:11" s="41" customFormat="1" x14ac:dyDescent="0.25">
      <x:c r="A4" s="767" t="s">
        <x:v>524</x:v>
      </x:c>
      <x:c r="B4" s="180"/>
      <x:c r="C4" s="180"/>
      <x:c r="D4" s="180"/>
      <x:c r="E4" s="180"/>
    </x:row>
    <x:row r="5" spans="1:11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6" spans="1:11" s="16" customFormat="1" ht="15.55" x14ac:dyDescent="0.3">
      <x:c r="A6" s="188"/>
      <x:c r="B6" s="188"/>
      <x:c r="C6" s="188"/>
      <x:c r="D6" s="278"/>
      <x:c r="K6" s="179"/>
    </x:row>
    <x:row r="7" spans="1:11" ht="25.35" x14ac:dyDescent="0.25">
      <x:c r="A7" s="189" t="s">
        <x:v>65</x:v>
      </x:c>
      <x:c r="B7" s="189" t="s">
        <x:v>242</x:v>
      </x:c>
      <x:c r="C7" s="189" t="s">
        <x:v>195</x:v>
      </x:c>
      <x:c r="D7" s="279" t="s">
        <x:v>66</x:v>
      </x:c>
      <x:c r="E7" s="32" t="s">
        <x:v>25</x:v>
      </x:c>
      <x:c r="F7" s="32" t="s">
        <x:v>41</x:v>
      </x:c>
      <x:c r="G7" s="32" t="s">
        <x:v>25</x:v>
      </x:c>
      <x:c r="H7" s="32" t="s">
        <x:v>31</x:v>
      </x:c>
      <x:c r="I7" s="32" t="s">
        <x:v>25</x:v>
      </x:c>
      <x:c r="J7" s="32" t="s">
        <x:v>42</x:v>
      </x:c>
      <x:c r="K7" s="32" t="s">
        <x:v>38</x:v>
      </x:c>
    </x:row>
    <x:row r="8" spans="1:11" x14ac:dyDescent="0.25">
      <x:c r="A8" s="94"/>
      <x:c r="B8" s="51" t="s">
        <x:v>50</x:v>
      </x:c>
      <x:c r="C8" s="51" t="s">
        <x:v>51</x:v>
      </x:c>
      <x:c r="D8" s="280" t="s">
        <x:v>57</x:v>
      </x:c>
      <x:c r="E8" s="40" t="s">
        <x:v>52</x:v>
      </x:c>
      <x:c r="F8" s="40" t="s">
        <x:v>53</x:v>
      </x:c>
      <x:c r="G8" s="40" t="s">
        <x:v>54</x:v>
      </x:c>
      <x:c r="H8" s="40" t="s">
        <x:v>55</x:v>
      </x:c>
      <x:c r="I8" s="40" t="s">
        <x:v>58</x:v>
      </x:c>
      <x:c r="J8" s="40" t="s">
        <x:v>59</x:v>
      </x:c>
      <x:c r="K8" s="40" t="s">
        <x:v>67</x:v>
      </x:c>
    </x:row>
    <x:row r="9" spans="1:11" x14ac:dyDescent="0.25">
      <x:c r="A9" s="31"/>
      <x:c r="B9" s="31"/>
      <x:c r="C9" s="31"/>
      <x:c r="D9" s="281"/>
    </x:row>
    <x:row r="10" spans="1:11" x14ac:dyDescent="0.25">
      <x:c r="A10" s="90">
        <x:v>1</x:v>
      </x:c>
      <x:c r="B10" s="444" t="s">
        <x:v>191</x:v>
      </x:c>
      <x:c r="C10" s="31"/>
      <x:c r="D10" s="281"/>
    </x:row>
    <x:row r="11" spans="1:11" x14ac:dyDescent="0.25">
      <x:c r="A11" s="90">
        <x:v>2</x:v>
      </x:c>
      <x:c r="B11" s="31"/>
      <x:c r="C11" s="31"/>
      <x:c r="D11" s="281"/>
    </x:row>
    <x:row r="12" spans="1:11" x14ac:dyDescent="0.25">
      <x:c r="A12" s="90">
        <x:v>3</x:v>
      </x:c>
      <x:c r="B12" s="31" t="s">
        <x:v>32</x:v>
      </x:c>
      <x:c r="C12" s="74">
        <x:f>+C15*D12</x:f>
        <x:v>327101172.3976</x:v>
      </x:c>
      <x:c r="D12" s="282">
        <x:f>'2-1'!F18</x:f>
        <x:v>0.99950000000000006</x:v>
      </x:c>
      <x:c r="E12" s="54" t="s">
        <x:v>185</x:v>
      </x:c>
      <x:c r="F12" s="343">
        <x:f>-'2-2'!C25</x:f>
        <x:v>-12</x:v>
      </x:c>
      <x:c r="G12" s="54" t="s">
        <x:v>184</x:v>
      </x:c>
      <x:c r="H12" s="343">
        <x:v>0</x:v>
      </x:c>
      <x:c r="I12" s="54"/>
      <x:c r="J12" s="343">
        <x:f>F12+H12</x:f>
        <x:v>-12</x:v>
      </x:c>
      <x:c r="K12" s="74">
        <x:f>C12*J12</x:f>
        <x:v>-3925214068.7712002</x:v>
      </x:c>
    </x:row>
    <x:row r="13" spans="1:11" x14ac:dyDescent="0.25">
      <x:c r="A13" s="90">
        <x:v>4</x:v>
      </x:c>
      <x:c r="B13" s="31" t="s">
        <x:v>33</x:v>
      </x:c>
      <x:c r="C13" s="346">
        <x:f>C15-C12</x:f>
        <x:v>163632.40239995718</x:v>
      </x:c>
      <x:c r="D13" s="282">
        <x:f>'2-1'!G18</x:f>
        <x:v>5.0000000000000001E-4</x:v>
      </x:c>
      <x:c r="E13" s="54" t="s">
        <x:v>185</x:v>
      </x:c>
      <x:c r="F13" s="343">
        <x:f>F12</x:f>
        <x:v>-12</x:v>
      </x:c>
      <x:c r="G13" s="54" t="s">
        <x:v>184</x:v>
      </x:c>
      <x:c r="H13" s="343">
        <x:f>'2-4'!D14</x:f>
        <x:v>9.02</x:v>
      </x:c>
      <x:c r="I13" s="54" t="s">
        <x:v>228</x:v>
      </x:c>
      <x:c r="J13" s="344">
        <x:f>F13+H13</x:f>
        <x:v>-2.9800000000000004</x:v>
      </x:c>
      <x:c r="K13" s="346">
        <x:f>C13*J13</x:f>
        <x:v>-487624.55915187247</x:v>
      </x:c>
    </x:row>
    <x:row r="14" spans="1:11" x14ac:dyDescent="0.25">
      <x:c r="A14" s="90">
        <x:v>5</x:v>
      </x:c>
      <x:c r="B14" s="31"/>
      <x:c r="C14" s="286"/>
      <x:c r="D14" s="282"/>
      <x:c r="E14" s="54"/>
      <x:c r="F14" s="343"/>
      <x:c r="G14" s="54"/>
      <x:c r="H14" s="343"/>
      <x:c r="I14" s="54"/>
      <x:c r="J14" s="345"/>
      <x:c r="K14" s="286"/>
    </x:row>
    <x:row r="15" spans="1:11" x14ac:dyDescent="0.25">
      <x:c r="A15" s="90">
        <x:v>6</x:v>
      </x:c>
      <x:c r="B15" s="31" t="s">
        <x:v>199</x:v>
      </x:c>
      <x:c r="C15" s="573">
        <x:f>+D15*C18</x:f>
        <x:v>327264804.79999995</x:v>
      </x:c>
      <x:c r="D15" s="574">
        <x:f>+'2-6'!E11</x:f>
        <x:v>1</x:v>
      </x:c>
      <x:c r="E15" s="54" t="s">
        <x:v>227</x:v>
      </x:c>
      <x:c r="F15" s="343"/>
      <x:c r="G15" s="54"/>
      <x:c r="H15" s="65"/>
      <x:c r="I15" s="21"/>
      <x:c r="J15" s="344">
        <x:f>K15/C15</x:f>
        <x:v>-11.995490000000002</x:v>
      </x:c>
      <x:c r="K15" s="552">
        <x:f>SUM(K12:K13)</x:f>
        <x:v>-3925701693.3303518</x:v>
      </x:c>
    </x:row>
    <x:row r="16" spans="1:11" x14ac:dyDescent="0.25">
      <x:c r="A16" s="802" t="s">
        <x:v>1008</x:v>
      </x:c>
      <x:c r="B16" s="31"/>
      <x:c r="D16" s="281"/>
      <x:c r="E16" s="54"/>
      <x:c r="F16" s="45"/>
      <x:c r="H16" s="45"/>
      <x:c r="J16" s="45"/>
    </x:row>
    <x:row r="17" spans="1:11" ht="13.25" thickBot="1" x14ac:dyDescent="0.3">
      <x:c r="A17" s="802" t="s">
        <x:v>1009</x:v>
      </x:c>
      <x:c r="B17" s="31"/>
      <x:c r="C17" s="45"/>
      <x:c r="D17" s="282"/>
      <x:c r="E17" s="19"/>
      <x:c r="F17" s="57"/>
      <x:c r="H17" s="45"/>
      <x:c r="I17" s="21"/>
      <x:c r="J17" s="65"/>
      <x:c r="K17" s="45"/>
    </x:row>
    <x:row r="18" spans="1:11" ht="13.25" thickBot="1" x14ac:dyDescent="0.3">
      <x:c r="A18" s="802" t="s">
        <x:v>1010</x:v>
      </x:c>
      <x:c r="B18" s="57" t="s">
        <x:v>26</x:v>
      </x:c>
      <x:c r="C18" s="825">
        <x:v>327264804.79999995</x:v>
      </x:c>
      <x:c r="D18" s="680">
        <x:f>+D15</x:f>
        <x:v>1</x:v>
      </x:c>
      <x:c r="E18" s="703" t="s">
        <x:v>278</x:v>
      </x:c>
      <x:c r="F18" s="681">
        <x:f>ROUND((C15*F12)/C18,2)</x:f>
        <x:v>-12</x:v>
      </x:c>
      <x:c r="G18" s="31"/>
      <x:c r="H18" s="37"/>
      <x:c r="I18" s="31"/>
      <x:c r="J18" s="512">
        <x:f>ROUND(K18/C18,2)</x:f>
        <x:v>-12</x:v>
      </x:c>
      <x:c r="K18" s="431">
        <x:f>+K15</x:f>
        <x:v>-3925701693.3303518</x:v>
      </x:c>
    </x:row>
    <x:row r="19" spans="1:11" ht="13.25" thickTop="1" x14ac:dyDescent="0.25">
      <x:c r="A19" s="802" t="s">
        <x:v>1011</x:v>
      </x:c>
      <x:c r="B19" s="31"/>
      <x:c r="C19" s="287"/>
      <x:c r="D19" s="281"/>
      <x:c r="E19" s="90" t="s">
        <x:v>279</x:v>
      </x:c>
      <x:c r="F19" s="57"/>
      <x:c r="G19" s="31"/>
      <x:c r="H19" s="31"/>
      <x:c r="I19" s="31"/>
      <x:c r="J19" s="37"/>
      <x:c r="K19" s="37"/>
    </x:row>
    <x:row r="20" spans="1:11" x14ac:dyDescent="0.25">
      <x:c r="C20" s="795"/>
      <x:c r="D20" s="281"/>
      <x:c r="E20" s="31"/>
      <x:c r="F20" s="57"/>
      <x:c r="G20" s="31"/>
      <x:c r="H20" s="31"/>
      <x:c r="I20" s="31"/>
      <x:c r="J20" s="31"/>
      <x:c r="K20" s="31"/>
    </x:row>
    <x:row r="21" spans="1:11" x14ac:dyDescent="0.25">
      <x:c r="C21" s="57"/>
      <x:c r="D21" s="513"/>
      <x:c r="E21" s="57"/>
      <x:c r="F21" s="57"/>
      <x:c r="G21" s="57"/>
      <x:c r="H21" s="57"/>
      <x:c r="I21" s="57"/>
      <x:c r="J21" s="31"/>
      <x:c r="K21" s="31"/>
    </x:row>
    <x:row r="22" spans="1:11" x14ac:dyDescent="0.25">
      <x:c r="C22" s="636"/>
      <x:c r="D22" s="281"/>
      <x:c r="E22" s="31"/>
      <x:c r="F22" s="31"/>
      <x:c r="G22" s="31"/>
      <x:c r="H22" s="31"/>
      <x:c r="I22" s="31"/>
      <x:c r="J22" s="31"/>
      <x:c r="K22" s="31"/>
    </x:row>
    <x:row r="23" spans="1:11" x14ac:dyDescent="0.25">
      <x:c r="C23" s="636"/>
      <x:c r="D23" s="281"/>
      <x:c r="E23" s="31"/>
      <x:c r="F23" s="31"/>
      <x:c r="G23" s="31"/>
      <x:c r="H23" s="31"/>
      <x:c r="I23" s="31"/>
      <x:c r="J23" s="31"/>
      <x:c r="K23" s="31"/>
    </x:row>
  </x:sheetData>
  <x:phoneticPr fontId="23" type="noConversion"/>
  <x:printOptions horizontalCentered="1"/>
  <x:pageMargins left="0.5" right="0.5" top="1.5" bottom="0.5" header="1" footer="0.5"/>
  <x:pageSetup scale="70" orientation="landscape" r:id="rId1"/>
  <x:headerFooter alignWithMargins="0">
    <x:oddHeader>&amp;RWP/II-B-9/&amp;A
Page &amp;P of &amp;N</x:oddHead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36">
    <x:tabColor rgb="FF92D050"/>
    <x:pageSetUpPr fitToPage="1"/>
  </x:sheetPr>
  <x:dimension ref="A1:H33"/>
  <x:sheetViews>
    <x:sheetView topLeftCell="A7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32" style="1" bestFit="1" customWidth="1"/>
    <x:col min="3" max="3" width="16.109375" style="1" bestFit="1" customWidth="1"/>
    <x:col min="4" max="4" width="19" style="1" customWidth="1"/>
    <x:col min="5" max="5" width="18.44140625" style="1" customWidth="1"/>
    <x:col min="6" max="7" width="15.44140625" style="1" customWidth="1"/>
    <x:col min="8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41" customFormat="1" x14ac:dyDescent="0.25">
      <x:c r="A3" s="180" t="s">
        <x:v>109</x:v>
      </x:c>
      <x:c r="B3" s="180"/>
      <x:c r="C3" s="180"/>
      <x:c r="D3" s="180"/>
      <x:c r="E3" s="180"/>
      <x:c r="F3" s="180"/>
      <x:c r="G3" s="180"/>
    </x:row>
    <x:row r="4" spans="1:8" s="41" customFormat="1" x14ac:dyDescent="0.25">
      <x:c r="A4" s="767" t="s">
        <x:v>524</x:v>
      </x:c>
      <x:c r="B4" s="180"/>
      <x:c r="C4" s="180"/>
      <x:c r="D4" s="180"/>
      <x:c r="E4" s="180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8" ht="38.049999999999997" x14ac:dyDescent="0.25">
      <x:c r="A7" s="32" t="s">
        <x:v>40</x:v>
      </x:c>
      <x:c r="B7" s="32" t="s">
        <x:v>243</x:v>
      </x:c>
      <x:c r="C7" s="32" t="s">
        <x:v>37</x:v>
      </x:c>
      <x:c r="D7" s="32" t="s">
        <x:v>80</x:v>
      </x:c>
      <x:c r="E7" s="32" t="s">
        <x:v>81</x:v>
      </x:c>
      <x:c r="F7" s="32" t="s">
        <x:v>82</x:v>
      </x:c>
      <x:c r="G7" s="32" t="s">
        <x:v>83</x:v>
      </x:c>
    </x:row>
    <x:row r="8" spans="1:8" x14ac:dyDescent="0.25">
      <x:c r="A8" s="44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  <x:c r="G8" s="40" t="s">
        <x:v>54</x:v>
      </x:c>
    </x:row>
    <x:row r="10" spans="1:8" x14ac:dyDescent="0.25">
      <x:c r="A10" s="3">
        <x:v>1</x:v>
      </x:c>
      <x:c r="B10" s="618">
        <x:v>45200</x:v>
      </x:c>
      <x:c r="C10" s="52"/>
      <x:c r="D10" s="52"/>
      <x:c r="E10" s="47"/>
    </x:row>
    <x:row r="11" spans="1:8" x14ac:dyDescent="0.25">
      <x:c r="A11" s="3">
        <x:f>A10+1</x:f>
        <x:v>2</x:v>
      </x:c>
      <x:c r="B11" s="30" t="s">
        <x:v>110</x:v>
      </x:c>
      <x:c r="C11" s="349">
        <x:v>9467594.4199999999</x:v>
      </x:c>
      <x:c r="D11" s="349">
        <x:v>2176.29</x:v>
      </x:c>
      <x:c r="E11" s="350">
        <x:f>+C11+D11</x:f>
        <x:v>9469770.709999999</x:v>
      </x:c>
      <x:c r="F11"/>
    </x:row>
    <x:row r="12" spans="1:8" x14ac:dyDescent="0.25">
      <x:c r="A12" s="3">
        <x:f t="shared" ref="A12:A25" si="0">A11+1</x:f>
        <x:v>3</x:v>
      </x:c>
      <x:c r="B12" s="30" t="s">
        <x:v>111</x:v>
      </x:c>
      <x:c r="C12" s="351">
        <x:v>25450128.48</x:v>
      </x:c>
      <x:c r="D12" s="351">
        <x:v>4841.49</x:v>
      </x:c>
      <x:c r="E12" s="352">
        <x:f>+C12+D12</x:f>
        <x:v>25454969.969999999</x:v>
      </x:c>
      <x:c r="F12"/>
    </x:row>
    <x:row r="13" spans="1:8" x14ac:dyDescent="0.25">
      <x:c r="A13" s="3">
        <x:f t="shared" si="0"/>
        <x:v>4</x:v>
      </x:c>
      <x:c r="B13" s="30"/>
      <x:c r="C13" s="351"/>
      <x:c r="D13" s="351"/>
      <x:c r="E13" s="352"/>
      <x:c r="F13"/>
    </x:row>
    <x:row r="14" spans="1:8" x14ac:dyDescent="0.25">
      <x:c r="A14" s="3">
        <x:f t="shared" si="0"/>
        <x:v>5</x:v>
      </x:c>
      <x:c r="B14" s="618">
        <x:v>45536</x:v>
      </x:c>
      <x:c r="C14" s="353"/>
      <x:c r="D14" s="353"/>
      <x:c r="E14" s="354"/>
      <x:c r="F14"/>
    </x:row>
    <x:row r="15" spans="1:8" x14ac:dyDescent="0.25">
      <x:c r="A15" s="3">
        <x:f t="shared" si="0"/>
        <x:v>6</x:v>
      </x:c>
      <x:c r="B15" s="30" t="s">
        <x:v>110</x:v>
      </x:c>
      <x:c r="C15" s="353">
        <x:v>9320372.0899999999</x:v>
      </x:c>
      <x:c r="D15" s="353">
        <x:v>133.49</x:v>
      </x:c>
      <x:c r="E15" s="352">
        <x:f>+C15+D15</x:f>
        <x:v>9320505.5800000001</x:v>
      </x:c>
      <x:c r="F15"/>
    </x:row>
    <x:row r="16" spans="1:8" x14ac:dyDescent="0.25">
      <x:c r="A16" s="3">
        <x:f t="shared" si="0"/>
        <x:v>7</x:v>
      </x:c>
      <x:c r="B16" s="30" t="s">
        <x:v>111</x:v>
      </x:c>
      <x:c r="C16" s="355">
        <x:v>26167253.710000001</x:v>
      </x:c>
      <x:c r="D16" s="355">
        <x:v>26113.37</x:v>
      </x:c>
      <x:c r="E16" s="356">
        <x:f>+C16+D16</x:f>
        <x:v>26193367.080000002</x:v>
      </x:c>
      <x:c r="F16"/>
    </x:row>
    <x:row r="17" spans="1:7" x14ac:dyDescent="0.25">
      <x:c r="A17" s="3">
        <x:f t="shared" si="0"/>
        <x:v>8</x:v>
      </x:c>
      <x:c r="C17" s="12"/>
      <x:c r="D17" s="12"/>
      <x:c r="E17" s="12"/>
    </x:row>
    <x:row r="18" spans="1:7" ht="13.25" thickBot="1" x14ac:dyDescent="0.3">
      <x:c r="A18" s="3">
        <x:f t="shared" si="0"/>
        <x:v>9</x:v>
      </x:c>
      <x:c r="B18" s="1" t="s">
        <x:v>61</x:v>
      </x:c>
      <x:c r="C18" s="357">
        <x:f>SUM(C10:C16)</x:f>
        <x:v>70405348.699999988</x:v>
      </x:c>
      <x:c r="D18" s="357">
        <x:f>SUM(D10:D16)</x:f>
        <x:v>33264.639999999999</x:v>
      </x:c>
      <x:c r="E18" s="357">
        <x:f>SUM(E10:E16)</x:f>
        <x:v>70438613.340000004</x:v>
      </x:c>
      <x:c r="F18" s="434">
        <x:f>+ROUND(C18/$E$18,4)</x:f>
        <x:v>0.99950000000000006</x:v>
      </x:c>
      <x:c r="G18" s="434">
        <x:f>+ROUND(D18/$E$18,4)</x:f>
        <x:v>5.0000000000000001E-4</x:v>
      </x:c>
    </x:row>
    <x:row r="19" spans="1:7" ht="13.25" thickTop="1" x14ac:dyDescent="0.25">
      <x:c r="A19" s="3">
        <x:f t="shared" si="0"/>
        <x:v>10</x:v>
      </x:c>
    </x:row>
    <x:row r="20" spans="1:7" x14ac:dyDescent="0.25">
      <x:c r="A20" s="3">
        <x:f t="shared" si="0"/>
        <x:v>11</x:v>
      </x:c>
      <x:c r="F20" s="48" t="s">
        <x:v>85</x:v>
      </x:c>
      <x:c r="G20" s="48" t="s">
        <x:v>84</x:v>
      </x:c>
    </x:row>
    <x:row r="21" spans="1:7" x14ac:dyDescent="0.25">
      <x:c r="A21" s="3">
        <x:f t="shared" si="0"/>
        <x:v>12</x:v>
      </x:c>
      <x:c r="B21" s="1" t="s">
        <x:v>60</x:v>
      </x:c>
    </x:row>
    <x:row r="22" spans="1:7" x14ac:dyDescent="0.25">
      <x:c r="A22" s="3">
        <x:f t="shared" si="0"/>
        <x:v>13</x:v>
      </x:c>
      <x:c r="B22" s="16" t="s">
        <x:v>210</x:v>
      </x:c>
      <x:c r="D22" s="42"/>
    </x:row>
    <x:row r="23" spans="1:7" x14ac:dyDescent="0.25">
      <x:c r="A23" s="3">
        <x:f t="shared" si="0"/>
        <x:v>14</x:v>
      </x:c>
      <x:c r="B23" s="1" t="s">
        <x:v>211</x:v>
      </x:c>
    </x:row>
    <x:row r="24" spans="1:7" x14ac:dyDescent="0.25">
      <x:c r="A24" s="3">
        <x:f t="shared" si="0"/>
        <x:v>15</x:v>
      </x:c>
    </x:row>
    <x:row r="25" spans="1:7" x14ac:dyDescent="0.25">
      <x:c r="A25" s="3">
        <x:f t="shared" si="0"/>
        <x:v>16</x:v>
      </x:c>
      <x:c r="B25" s="1" t="s">
        <x:v>230</x:v>
      </x:c>
      <x:c r="C25" s="290" t="s">
        <x:v>432</x:v>
      </x:c>
    </x:row>
    <x:row r="30" spans="1:7" x14ac:dyDescent="0.25">
      <x:c r="D30" s="465"/>
    </x:row>
    <x:row r="31" spans="1:7" x14ac:dyDescent="0.25">
      <x:c r="D31" s="465"/>
    </x:row>
    <x:row r="33" spans="4:4" x14ac:dyDescent="0.25">
      <x:c r="D33" s="465"/>
    </x:row>
  </x:sheetData>
  <x:phoneticPr fontId="23" type="noConversion"/>
  <x:hyperlinks>
    <x:hyperlink ref="C25" r:id="rId1" xr:uid="{00000000-0004-0000-0900-000000000000}"/>
  </x:hyperlinks>
  <x:printOptions horizontalCentered="1"/>
  <x:pageMargins left="0.5" right="0.5" top="1.5" bottom="0.5" header="1" footer="0.5"/>
  <x:pageSetup scale="99" orientation="landscape" r:id="rId2"/>
  <x:headerFooter alignWithMargins="0">
    <x:oddHeader>&amp;RWP/II-B-9/&amp;A
Page &amp;P of &amp;N</x:oddHead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37">
    <x:tabColor rgb="FF92D050"/>
    <x:pageSetUpPr fitToPage="1"/>
  </x:sheetPr>
  <x:dimension ref="A1:I29"/>
  <x:sheetViews>
    <x:sheetView showGridLines="0" topLeftCell="A10" zoomScaleNormal="100" workbookViewId="0">
      <x:selection activeCell="D37" sqref="D37"/>
    </x:sheetView>
  </x:sheetViews>
  <x:sheetFormatPr defaultColWidth="9.109375" defaultRowHeight="12.7" x14ac:dyDescent="0.25"/>
  <x:cols>
    <x:col min="1" max="1" width="8.5546875" style="1" customWidth="1"/>
    <x:col min="2" max="2" width="78.5546875" style="1" customWidth="1"/>
    <x:col min="3" max="3" width="14.109375" style="1" customWidth="1"/>
    <x:col min="4" max="4" width="45.5546875" style="1" customWidth="1"/>
    <x:col min="5" max="5" width="23.88671875" style="1" customWidth="1"/>
    <x:col min="6" max="16384" width="9.109375" style="1"/>
  </x:cols>
  <x:sheetData>
    <x:row r="1" spans="1:9" s="41" customFormat="1" x14ac:dyDescent="0.25">
      <x:c r="A1" s="130" t="s">
        <x:v>523</x:v>
      </x:c>
      <x:c r="B1" s="130"/>
      <x:c r="C1" s="130"/>
      <x:c r="D1" s="180"/>
      <x:c r="E1" s="180"/>
    </x:row>
    <x:row r="2" spans="1:9" s="41" customFormat="1" x14ac:dyDescent="0.25">
      <x:c r="A2" s="130" t="str">
        <x:f>' '!A2</x:f>
        <x:v>ONCOR ELECTRIC DELIVERY COMPANY LLC</x:v>
      </x:c>
      <x:c r="B2" s="130"/>
      <x:c r="C2" s="130"/>
      <x:c r="D2" s="180"/>
      <x:c r="E2" s="180"/>
    </x:row>
    <x:row r="3" spans="1:9" s="41" customFormat="1" x14ac:dyDescent="0.25">
      <x:c r="A3" s="233" t="s">
        <x:v>245</x:v>
      </x:c>
      <x:c r="B3" s="233"/>
      <x:c r="C3" s="233"/>
      <x:c r="D3" s="182"/>
      <x:c r="E3" s="182"/>
    </x:row>
    <x:row r="4" spans="1:9" s="41" customFormat="1" x14ac:dyDescent="0.25">
      <x:c r="A4" s="767" t="s">
        <x:v>524</x:v>
      </x:c>
      <x:c r="B4" s="130"/>
      <x:c r="C4" s="130"/>
      <x:c r="D4" s="180"/>
      <x:c r="E4" s="180"/>
    </x:row>
    <x:row r="5" spans="1:9" s="41" customFormat="1" x14ac:dyDescent="0.25">
      <x:c r="A5" s="130" t="s">
        <x:v>486</x:v>
      </x:c>
      <x:c r="B5" s="130"/>
      <x:c r="C5" s="130"/>
      <x:c r="D5" s="180"/>
      <x:c r="E5" s="180"/>
      <x:c r="H5" s="41" t="s">
        <x:v>464</x:v>
      </x:c>
    </x:row>
    <x:row r="6" spans="1:9" x14ac:dyDescent="0.25">
      <x:c r="A6" s="26"/>
      <x:c r="B6" s="26"/>
      <x:c r="C6" s="26"/>
    </x:row>
    <x:row r="7" spans="1:9" s="26" customFormat="1" ht="25.35" x14ac:dyDescent="0.25">
      <x:c r="A7" s="33" t="s">
        <x:v>40</x:v>
      </x:c>
      <x:c r="B7" s="56" t="s">
        <x:v>191</x:v>
      </x:c>
      <x:c r="C7" s="33" t="s">
        <x:v>97</x:v>
      </x:c>
      <x:c r="D7" s="213"/>
      <x:c r="E7" s="213"/>
    </x:row>
    <x:row r="8" spans="1:9" x14ac:dyDescent="0.25">
      <x:c r="A8" s="20"/>
      <x:c r="B8" s="40" t="s">
        <x:v>50</x:v>
      </x:c>
      <x:c r="C8" s="40" t="s">
        <x:v>51</x:v>
      </x:c>
      <x:c r="D8" s="3"/>
      <x:c r="E8" s="3"/>
    </x:row>
    <x:row r="9" spans="1:9" x14ac:dyDescent="0.25">
      <x:c r="B9" s="26"/>
      <x:c r="C9" s="26"/>
      <x:c r="E9" s="158"/>
      <x:c r="F9" s="158"/>
      <x:c r="G9" s="158"/>
      <x:c r="H9" s="158"/>
      <x:c r="I9" s="158"/>
    </x:row>
    <x:row r="10" spans="1:9" x14ac:dyDescent="0.25">
      <x:c r="A10" s="20">
        <x:v>1</x:v>
      </x:c>
      <x:c r="B10" s="232" t="s">
        <x:v>192</x:v>
      </x:c>
      <x:c r="C10" s="26"/>
      <x:c r="D10" s="158"/>
      <x:c r="F10" s="158"/>
      <x:c r="G10" s="158"/>
      <x:c r="H10" s="158"/>
      <x:c r="I10" s="158"/>
    </x:row>
    <x:row r="11" spans="1:9" x14ac:dyDescent="0.25">
      <x:c r="A11" s="20">
        <x:v>2</x:v>
      </x:c>
      <x:c r="B11" s="26"/>
      <x:c r="C11" s="26"/>
      <x:c r="D11" s="158"/>
      <x:c r="F11" s="158"/>
      <x:c r="G11" s="158"/>
      <x:c r="H11" s="158"/>
      <x:c r="I11" s="158"/>
    </x:row>
    <x:row r="12" spans="1:9" x14ac:dyDescent="0.25">
      <x:c r="A12" s="20">
        <x:v>3</x:v>
      </x:c>
      <x:c r="B12" s="26" t="s">
        <x:v>193</x:v>
      </x:c>
      <x:c r="C12" s="26"/>
      <x:c r="D12" s="158"/>
      <x:c r="F12" s="158"/>
      <x:c r="G12" s="158"/>
      <x:c r="H12" s="158"/>
      <x:c r="I12" s="158"/>
    </x:row>
    <x:row r="13" spans="1:9" x14ac:dyDescent="0.25">
      <x:c r="A13" s="20">
        <x:v>4</x:v>
      </x:c>
      <x:c r="B13" s="26" t="s">
        <x:v>194</x:v>
      </x:c>
      <x:c r="C13" s="26"/>
      <x:c r="D13" s="158"/>
      <x:c r="F13" s="158"/>
      <x:c r="G13" s="158"/>
      <x:c r="H13" s="158"/>
      <x:c r="I13" s="158"/>
    </x:row>
    <x:row r="14" spans="1:9" x14ac:dyDescent="0.25">
      <x:c r="A14" s="20">
        <x:v>5</x:v>
      </x:c>
      <x:c r="B14" s="26" t="s">
        <x:v>417</x:v>
      </x:c>
      <x:c r="C14" s="26"/>
      <x:c r="D14" s="158"/>
      <x:c r="F14" s="158"/>
      <x:c r="G14" s="158"/>
      <x:c r="H14" s="158"/>
      <x:c r="I14" s="158"/>
    </x:row>
    <x:row r="15" spans="1:9" x14ac:dyDescent="0.25">
      <x:c r="A15" s="20">
        <x:v>6</x:v>
      </x:c>
      <x:c r="B15" s="26" t="s">
        <x:v>416</x:v>
      </x:c>
      <x:c r="C15" s="26"/>
      <x:c r="D15" s="158"/>
      <x:c r="F15" s="158"/>
      <x:c r="G15" s="158"/>
      <x:c r="H15" s="158"/>
      <x:c r="I15" s="158"/>
    </x:row>
    <x:row r="16" spans="1:9" x14ac:dyDescent="0.25">
      <x:c r="A16" s="20">
        <x:v>7</x:v>
      </x:c>
      <x:c r="B16" s="626" t="s">
        <x:v>450</x:v>
      </x:c>
      <x:c r="C16" s="26"/>
      <x:c r="D16" s="158"/>
      <x:c r="F16" s="158"/>
      <x:c r="G16" s="158"/>
      <x:c r="H16" s="158"/>
      <x:c r="I16" s="158"/>
    </x:row>
    <x:row r="17" spans="1:9" x14ac:dyDescent="0.25">
      <x:c r="A17" s="20">
        <x:v>8</x:v>
      </x:c>
      <x:c r="B17" s="26"/>
      <x:c r="C17" s="26"/>
      <x:c r="D17" s="158"/>
      <x:c r="F17" s="158"/>
      <x:c r="G17" s="158"/>
      <x:c r="H17" s="158"/>
      <x:c r="I17" s="158"/>
    </x:row>
    <x:row r="18" spans="1:9" x14ac:dyDescent="0.25">
      <x:c r="A18" s="20">
        <x:v>9</x:v>
      </x:c>
      <x:c r="B18" s="26"/>
      <x:c r="C18" s="26"/>
      <x:c r="D18" s="158"/>
      <x:c r="F18" s="158"/>
      <x:c r="G18" s="158"/>
      <x:c r="H18" s="158"/>
      <x:c r="I18" s="158"/>
    </x:row>
    <x:row r="19" spans="1:9" x14ac:dyDescent="0.25">
      <x:c r="A19" s="20">
        <x:v>10</x:v>
      </x:c>
      <x:c r="B19" s="232" t="s">
        <x:v>62</x:v>
      </x:c>
      <x:c r="C19" s="26"/>
      <x:c r="D19" s="158"/>
      <x:c r="F19" s="158"/>
      <x:c r="G19" s="158"/>
      <x:c r="H19" s="158"/>
      <x:c r="I19" s="158"/>
    </x:row>
    <x:row r="20" spans="1:9" x14ac:dyDescent="0.25">
      <x:c r="A20" s="20">
        <x:v>11</x:v>
      </x:c>
      <x:c r="B20" s="26"/>
      <x:c r="C20" s="26"/>
      <x:c r="D20" s="158"/>
      <x:c r="F20" s="158"/>
      <x:c r="G20" s="158"/>
      <x:c r="H20" s="158"/>
      <x:c r="I20" s="158"/>
    </x:row>
    <x:row r="21" spans="1:9" x14ac:dyDescent="0.25">
      <x:c r="A21" s="20">
        <x:v>12</x:v>
      </x:c>
      <x:c r="B21" s="26" t="s">
        <x:v>284</x:v>
      </x:c>
      <x:c r="C21" s="26"/>
      <x:c r="D21" s="158"/>
      <x:c r="F21" s="158"/>
      <x:c r="G21" s="158"/>
      <x:c r="H21" s="158"/>
      <x:c r="I21" s="158"/>
    </x:row>
    <x:row r="22" spans="1:9" x14ac:dyDescent="0.25">
      <x:c r="A22" s="20">
        <x:v>13</x:v>
      </x:c>
      <x:c r="B22" s="26"/>
      <x:c r="C22" s="26"/>
      <x:c r="D22" s="158"/>
      <x:c r="F22" s="158"/>
      <x:c r="G22" s="158"/>
      <x:c r="H22" s="158"/>
      <x:c r="I22" s="158"/>
    </x:row>
    <x:row r="23" spans="1:9" x14ac:dyDescent="0.25">
      <x:c r="A23" s="20">
        <x:v>14</x:v>
      </x:c>
      <x:c r="B23" s="232" t="s">
        <x:v>64</x:v>
      </x:c>
      <x:c r="C23" s="26"/>
      <x:c r="D23" s="158"/>
      <x:c r="F23" s="158"/>
      <x:c r="G23" s="158"/>
      <x:c r="H23" s="158"/>
      <x:c r="I23" s="158"/>
    </x:row>
    <x:row r="24" spans="1:9" x14ac:dyDescent="0.25">
      <x:c r="A24" s="20">
        <x:v>15</x:v>
      </x:c>
      <x:c r="B24" s="26"/>
      <x:c r="C24" s="26"/>
      <x:c r="D24" s="158"/>
      <x:c r="F24" s="158"/>
      <x:c r="G24" s="158"/>
      <x:c r="H24" s="158"/>
      <x:c r="I24" s="158"/>
    </x:row>
    <x:row r="25" spans="1:9" x14ac:dyDescent="0.25">
      <x:c r="A25" s="20">
        <x:v>16</x:v>
      </x:c>
      <x:c r="B25" s="234" t="s">
        <x:v>1069</x:v>
      </x:c>
      <x:c r="C25" s="235">
        <x:f>7+'2-2-1'!G43</x:f>
        <x:v>12</x:v>
      </x:c>
      <x:c r="D25" s="181"/>
      <x:c r="F25" s="158"/>
      <x:c r="G25" s="158"/>
      <x:c r="H25" s="158"/>
      <x:c r="I25" s="158"/>
    </x:row>
    <x:row r="26" spans="1:9" x14ac:dyDescent="0.25">
      <x:c r="A26" s="20"/>
    </x:row>
    <x:row r="27" spans="1:9" x14ac:dyDescent="0.25">
      <x:c r="A27" s="635" t="s">
        <x:v>269</x:v>
      </x:c>
      <x:c r="B27" s="290" t="s">
        <x:v>431</x:v>
      </x:c>
    </x:row>
    <x:row r="28" spans="1:9" x14ac:dyDescent="0.25">
      <x:c r="A28" s="635"/>
      <x:c r="B28" s="290" t="s">
        <x:v>1068</x:v>
      </x:c>
    </x:row>
    <x:row r="29" spans="1:9" x14ac:dyDescent="0.25">
      <x:c r="A29" s="635"/>
      <x:c r="B29" s="290" t="s">
        <x:v>1067</x:v>
      </x:c>
    </x:row>
  </x:sheetData>
  <x:phoneticPr fontId="23" type="noConversion"/>
  <x:hyperlinks>
    <x:hyperlink ref="B27" r:id="rId1" xr:uid="{00000000-0004-0000-0A00-000000000000}"/>
    <x:hyperlink ref="B28" r:id="rId2" display="Bi-Weekly Payroll Calendar 2021.xlsx" xr:uid="{00000000-0004-0000-0A00-000001000000}"/>
    <x:hyperlink ref="B29" r:id="rId3" display="Bi-Weekly Payroll Calendar 2020.xlsx" xr:uid="{00000000-0004-0000-0A00-000002000000}"/>
  </x:hyperlinks>
  <x:printOptions horizontalCentered="1"/>
  <x:pageMargins left="0.5" right="0.5" top="1.5" bottom="0.5" header="1" footer="0.5"/>
  <x:pageSetup scale="65" orientation="landscape" r:id="rId4"/>
  <x:headerFooter alignWithMargins="0">
    <x:oddHeader>&amp;RWP/II-B-9/&amp;A
Page &amp;P of &amp;N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Sheet64">
    <x:tabColor rgb="FF92D050"/>
    <x:pageSetUpPr fitToPage="1"/>
  </x:sheetPr>
  <x:dimension ref="A1:M48"/>
  <x:sheetViews>
    <x:sheetView topLeftCell="A22" zoomScaleNormal="100" workbookViewId="0">
      <x:selection activeCell="D37" sqref="D37"/>
    </x:sheetView>
  </x:sheetViews>
  <x:sheetFormatPr defaultColWidth="9.109375" defaultRowHeight="12.7" x14ac:dyDescent="0.25"/>
  <x:cols>
    <x:col min="1" max="1" width="10" style="1" customWidth="1"/>
    <x:col min="2" max="2" width="33.109375" style="1" bestFit="1" customWidth="1"/>
    <x:col min="3" max="3" width="16.5546875" style="3" customWidth="1"/>
    <x:col min="4" max="4" width="2.5546875" style="3" customWidth="1"/>
    <x:col min="5" max="5" width="21.44140625" style="3" customWidth="1"/>
    <x:col min="6" max="6" width="2.5546875" style="3" customWidth="1"/>
    <x:col min="7" max="7" width="17.88671875" style="3" customWidth="1"/>
    <x:col min="8" max="9" width="9.109375" style="1"/>
    <x:col min="10" max="10" width="24.88671875" style="1" bestFit="1" customWidth="1"/>
    <x:col min="11" max="12" width="9.109375" style="1"/>
    <x:col min="13" max="13" width="24.88671875" style="1" bestFit="1" customWidth="1"/>
    <x:col min="14" max="16384" width="9.109375" style="1"/>
  </x:cols>
  <x:sheetData>
    <x:row r="1" spans="1:10" s="41" customFormat="1" x14ac:dyDescent="0.25">
      <x:c r="A1" s="180" t="s">
        <x:v>523</x:v>
      </x:c>
      <x:c r="B1" s="180"/>
      <x:c r="C1" s="266"/>
      <x:c r="D1" s="266"/>
      <x:c r="E1" s="297"/>
      <x:c r="F1" s="297"/>
      <x:c r="G1" s="297"/>
    </x:row>
    <x:row r="2" spans="1:10" s="41" customFormat="1" x14ac:dyDescent="0.25">
      <x:c r="A2" s="180" t="str">
        <x:f>' '!A2</x:f>
        <x:v>ONCOR ELECTRIC DELIVERY COMPANY LLC</x:v>
      </x:c>
      <x:c r="B2" s="180"/>
      <x:c r="C2" s="266"/>
      <x:c r="D2" s="266"/>
      <x:c r="E2" s="297"/>
      <x:c r="F2" s="297"/>
      <x:c r="G2" s="297"/>
    </x:row>
    <x:row r="3" spans="1:10" s="41" customFormat="1" x14ac:dyDescent="0.25">
      <x:c r="A3" s="180" t="s">
        <x:v>412</x:v>
      </x:c>
      <x:c r="B3" s="180"/>
      <x:c r="C3" s="180"/>
      <x:c r="D3" s="180"/>
      <x:c r="E3" s="298"/>
      <x:c r="F3" s="297"/>
      <x:c r="G3" s="297"/>
    </x:row>
    <x:row r="4" spans="1:10" s="41" customFormat="1" x14ac:dyDescent="0.25">
      <x:c r="A4" s="767" t="s">
        <x:v>524</x:v>
      </x:c>
      <x:c r="B4" s="180"/>
      <x:c r="C4" s="266"/>
      <x:c r="D4" s="266"/>
      <x:c r="E4" s="297"/>
      <x:c r="F4" s="297"/>
      <x:c r="G4" s="297"/>
    </x:row>
    <x:row r="5" spans="1:10" s="41" customFormat="1" x14ac:dyDescent="0.25">
      <x:c r="A5" s="180" t="s">
        <x:v>486</x:v>
      </x:c>
      <x:c r="B5" s="180"/>
      <x:c r="C5" s="266"/>
      <x:c r="D5" s="266"/>
      <x:c r="E5" s="297"/>
      <x:c r="F5" s="297"/>
      <x:c r="G5" s="297"/>
      <x:c r="H5" s="41" t="s">
        <x:v>464</x:v>
      </x:c>
    </x:row>
    <x:row r="7" spans="1:10" x14ac:dyDescent="0.25">
      <x:c r="A7" s="22"/>
      <x:c r="B7" s="25"/>
      <x:c r="C7" s="22"/>
      <x:c r="D7" s="22"/>
      <x:c r="F7" s="22"/>
    </x:row>
    <x:row r="8" spans="1:10" ht="25.35" x14ac:dyDescent="0.25">
      <x:c r="A8" s="32" t="s">
        <x:v>40</x:v>
      </x:c>
      <x:c r="B8" s="32" t="s">
        <x:v>359</x:v>
      </x:c>
      <x:c r="C8" s="32" t="s">
        <x:v>413</x:v>
      </x:c>
      <x:c r="D8" s="32"/>
      <x:c r="E8" s="32" t="s">
        <x:v>414</x:v>
      </x:c>
      <x:c r="F8" s="38"/>
      <x:c r="G8" s="189" t="s">
        <x:v>409</x:v>
      </x:c>
    </x:row>
    <x:row r="9" spans="1:10" x14ac:dyDescent="0.25">
      <x:c r="A9" s="38"/>
      <x:c r="B9" s="40" t="s">
        <x:v>50</x:v>
      </x:c>
      <x:c r="C9" s="40" t="s">
        <x:v>51</x:v>
      </x:c>
      <x:c r="E9" s="40" t="s">
        <x:v>57</x:v>
      </x:c>
      <x:c r="G9" s="40" t="s">
        <x:v>52</x:v>
      </x:c>
    </x:row>
    <x:row r="11" spans="1:10" x14ac:dyDescent="0.25">
      <x:c r="A11" s="638" t="s">
        <x:v>1002</x:v>
      </x:c>
      <x:c r="B11" s="214">
        <x:v>45177</x:v>
      </x:c>
      <x:c r="C11" s="3">
        <x:v>5</x:v>
      </x:c>
      <x:c r="G11" s="3">
        <x:f>C11+E11</x:f>
        <x:v>5</x:v>
      </x:c>
      <x:c r="J11" s="214"/>
    </x:row>
    <x:row r="12" spans="1:10" x14ac:dyDescent="0.25">
      <x:c r="A12" s="638" t="s">
        <x:v>1003</x:v>
      </x:c>
      <x:c r="B12" s="214">
        <x:v>45191</x:v>
      </x:c>
      <x:c r="C12" s="3">
        <x:v>5</x:v>
      </x:c>
      <x:c r="G12" s="3">
        <x:f t="shared" ref="G12:G32" si="0">C12+E12</x:f>
        <x:v>5</x:v>
      </x:c>
      <x:c r="J12" s="214"/>
    </x:row>
    <x:row r="13" spans="1:10" x14ac:dyDescent="0.25">
      <x:c r="A13" s="638" t="s">
        <x:v>1004</x:v>
      </x:c>
      <x:c r="B13" s="214">
        <x:v>45205</x:v>
      </x:c>
      <x:c r="C13" s="3">
        <x:v>5</x:v>
      </x:c>
      <x:c r="G13" s="3">
        <x:f t="shared" si="0"/>
        <x:v>5</x:v>
      </x:c>
      <x:c r="J13" s="214"/>
    </x:row>
    <x:row r="14" spans="1:10" x14ac:dyDescent="0.25">
      <x:c r="A14" s="638" t="s">
        <x:v>1005</x:v>
      </x:c>
      <x:c r="B14" s="214">
        <x:v>45219</x:v>
      </x:c>
      <x:c r="C14" s="3">
        <x:v>5</x:v>
      </x:c>
      <x:c r="G14" s="3">
        <x:f t="shared" si="0"/>
        <x:v>5</x:v>
      </x:c>
      <x:c r="J14" s="214"/>
    </x:row>
    <x:row r="15" spans="1:10" x14ac:dyDescent="0.25">
      <x:c r="A15" s="638" t="s">
        <x:v>1006</x:v>
      </x:c>
      <x:c r="B15" s="214">
        <x:v>45233</x:v>
      </x:c>
      <x:c r="C15" s="3">
        <x:v>5</x:v>
      </x:c>
      <x:c r="G15" s="3">
        <x:f t="shared" si="0"/>
        <x:v>5</x:v>
      </x:c>
      <x:c r="J15" s="214"/>
    </x:row>
    <x:row r="16" spans="1:10" x14ac:dyDescent="0.25">
      <x:c r="A16" s="638" t="s">
        <x:v>1007</x:v>
      </x:c>
      <x:c r="B16" s="214">
        <x:v>45247</x:v>
      </x:c>
      <x:c r="C16" s="3">
        <x:v>5</x:v>
      </x:c>
      <x:c r="G16" s="3">
        <x:f t="shared" si="0"/>
        <x:v>5</x:v>
      </x:c>
      <x:c r="J16" s="214"/>
    </x:row>
    <x:row r="17" spans="1:13" x14ac:dyDescent="0.25">
      <x:c r="A17" s="638" t="s">
        <x:v>1008</x:v>
      </x:c>
      <x:c r="B17" s="214">
        <x:v>45261</x:v>
      </x:c>
      <x:c r="C17" s="3">
        <x:v>5</x:v>
      </x:c>
      <x:c r="G17" s="3">
        <x:f t="shared" si="0"/>
        <x:v>5</x:v>
      </x:c>
      <x:c r="J17" s="214"/>
    </x:row>
    <x:row r="18" spans="1:13" x14ac:dyDescent="0.25">
      <x:c r="A18" s="638" t="s">
        <x:v>1009</x:v>
      </x:c>
      <x:c r="B18" s="214">
        <x:v>45275</x:v>
      </x:c>
      <x:c r="C18" s="3">
        <x:v>5</x:v>
      </x:c>
      <x:c r="G18" s="3">
        <x:f t="shared" si="0"/>
        <x:v>5</x:v>
      </x:c>
      <x:c r="J18" s="214"/>
      <x:c r="M18" s="214"/>
    </x:row>
    <x:row r="19" spans="1:13" x14ac:dyDescent="0.25">
      <x:c r="A19" s="638" t="s">
        <x:v>1010</x:v>
      </x:c>
      <x:c r="B19" s="214">
        <x:v>45289</x:v>
      </x:c>
      <x:c r="C19" s="3">
        <x:v>5</x:v>
      </x:c>
      <x:c r="G19" s="3">
        <x:f t="shared" si="0"/>
        <x:v>5</x:v>
      </x:c>
      <x:c r="J19" s="214"/>
      <x:c r="M19" s="214"/>
    </x:row>
    <x:row r="20" spans="1:13" x14ac:dyDescent="0.25">
      <x:c r="A20" s="638" t="s">
        <x:v>1011</x:v>
      </x:c>
      <x:c r="B20" s="214">
        <x:v>45303</x:v>
      </x:c>
      <x:c r="C20" s="3">
        <x:v>5</x:v>
      </x:c>
      <x:c r="G20" s="3">
        <x:f t="shared" si="0"/>
        <x:v>5</x:v>
      </x:c>
      <x:c r="J20" s="214"/>
    </x:row>
    <x:row r="21" spans="1:13" x14ac:dyDescent="0.25">
      <x:c r="A21" s="638" t="s">
        <x:v>1012</x:v>
      </x:c>
      <x:c r="B21" s="214">
        <x:v>45317</x:v>
      </x:c>
      <x:c r="C21" s="3">
        <x:v>5</x:v>
      </x:c>
      <x:c r="G21" s="3">
        <x:f t="shared" si="0"/>
        <x:v>5</x:v>
      </x:c>
      <x:c r="J21" s="214"/>
    </x:row>
    <x:row r="22" spans="1:13" x14ac:dyDescent="0.25">
      <x:c r="A22" s="638" t="s">
        <x:v>1013</x:v>
      </x:c>
      <x:c r="B22" s="214">
        <x:v>45331</x:v>
      </x:c>
      <x:c r="C22" s="3">
        <x:v>5</x:v>
      </x:c>
      <x:c r="G22" s="3">
        <x:f t="shared" si="0"/>
        <x:v>5</x:v>
      </x:c>
      <x:c r="J22" s="214"/>
    </x:row>
    <x:row r="23" spans="1:13" x14ac:dyDescent="0.25">
      <x:c r="A23" s="638" t="s">
        <x:v>1014</x:v>
      </x:c>
      <x:c r="B23" s="214">
        <x:v>45345</x:v>
      </x:c>
      <x:c r="C23" s="3">
        <x:v>5</x:v>
      </x:c>
      <x:c r="G23" s="3">
        <x:f t="shared" si="0"/>
        <x:v>5</x:v>
      </x:c>
      <x:c r="J23" s="214"/>
    </x:row>
    <x:row r="24" spans="1:13" x14ac:dyDescent="0.25">
      <x:c r="A24" s="638" t="s">
        <x:v>1015</x:v>
      </x:c>
      <x:c r="B24" s="214">
        <x:v>45359</x:v>
      </x:c>
      <x:c r="C24" s="3">
        <x:v>5</x:v>
      </x:c>
      <x:c r="G24" s="3">
        <x:f t="shared" si="0"/>
        <x:v>5</x:v>
      </x:c>
      <x:c r="J24" s="214"/>
    </x:row>
    <x:row r="25" spans="1:13" x14ac:dyDescent="0.25">
      <x:c r="A25" s="638" t="s">
        <x:v>1016</x:v>
      </x:c>
      <x:c r="B25" s="214">
        <x:v>45373</x:v>
      </x:c>
      <x:c r="C25" s="3">
        <x:v>5</x:v>
      </x:c>
      <x:c r="G25" s="3">
        <x:f t="shared" si="0"/>
        <x:v>5</x:v>
      </x:c>
      <x:c r="J25" s="214"/>
    </x:row>
    <x:row r="26" spans="1:13" x14ac:dyDescent="0.25">
      <x:c r="A26" s="638" t="s">
        <x:v>1017</x:v>
      </x:c>
      <x:c r="B26" s="214">
        <x:v>45387</x:v>
      </x:c>
      <x:c r="C26" s="3">
        <x:v>5</x:v>
      </x:c>
      <x:c r="G26" s="3">
        <x:f t="shared" si="0"/>
        <x:v>5</x:v>
      </x:c>
      <x:c r="J26" s="214"/>
    </x:row>
    <x:row r="27" spans="1:13" x14ac:dyDescent="0.25">
      <x:c r="A27" s="638" t="s">
        <x:v>1018</x:v>
      </x:c>
      <x:c r="B27" s="214">
        <x:v>45401</x:v>
      </x:c>
      <x:c r="C27" s="3">
        <x:v>5</x:v>
      </x:c>
      <x:c r="G27" s="3">
        <x:f t="shared" si="0"/>
        <x:v>5</x:v>
      </x:c>
      <x:c r="J27" s="214"/>
    </x:row>
    <x:row r="28" spans="1:13" x14ac:dyDescent="0.25">
      <x:c r="A28" s="638" t="s">
        <x:v>1019</x:v>
      </x:c>
      <x:c r="B28" s="214">
        <x:v>45415</x:v>
      </x:c>
      <x:c r="C28" s="3">
        <x:v>5</x:v>
      </x:c>
      <x:c r="G28" s="3">
        <x:f t="shared" si="0"/>
        <x:v>5</x:v>
      </x:c>
      <x:c r="J28" s="214"/>
    </x:row>
    <x:row r="29" spans="1:13" x14ac:dyDescent="0.25">
      <x:c r="A29" s="638" t="s">
        <x:v>1020</x:v>
      </x:c>
      <x:c r="B29" s="214">
        <x:v>45429</x:v>
      </x:c>
      <x:c r="C29" s="3">
        <x:v>5</x:v>
      </x:c>
      <x:c r="G29" s="3">
        <x:f t="shared" si="0"/>
        <x:v>5</x:v>
      </x:c>
      <x:c r="J29" s="214"/>
    </x:row>
    <x:row r="30" spans="1:13" x14ac:dyDescent="0.25">
      <x:c r="A30" s="638" t="s">
        <x:v>1021</x:v>
      </x:c>
      <x:c r="B30" s="214">
        <x:v>45443</x:v>
      </x:c>
      <x:c r="C30" s="3">
        <x:v>5</x:v>
      </x:c>
      <x:c r="G30" s="3">
        <x:f t="shared" si="0"/>
        <x:v>5</x:v>
      </x:c>
      <x:c r="J30" s="214"/>
    </x:row>
    <x:row r="31" spans="1:13" x14ac:dyDescent="0.25">
      <x:c r="A31" s="638" t="s">
        <x:v>1022</x:v>
      </x:c>
      <x:c r="B31" s="214">
        <x:v>45457</x:v>
      </x:c>
      <x:c r="C31" s="3">
        <x:v>5</x:v>
      </x:c>
      <x:c r="G31" s="3">
        <x:f t="shared" si="0"/>
        <x:v>5</x:v>
      </x:c>
      <x:c r="J31" s="214"/>
    </x:row>
    <x:row r="32" spans="1:13" x14ac:dyDescent="0.25">
      <x:c r="A32" s="638" t="s">
        <x:v>1023</x:v>
      </x:c>
      <x:c r="B32" s="214">
        <x:v>45471</x:v>
      </x:c>
      <x:c r="C32" s="3">
        <x:v>5</x:v>
      </x:c>
      <x:c r="G32" s="3">
        <x:f t="shared" si="0"/>
        <x:v>5</x:v>
      </x:c>
      <x:c r="J32" s="214"/>
    </x:row>
    <x:row r="33" spans="1:10" x14ac:dyDescent="0.25">
      <x:c r="A33" s="638" t="s">
        <x:v>1024</x:v>
      </x:c>
      <x:c r="B33" s="214">
        <x:v>45485</x:v>
      </x:c>
      <x:c r="C33" s="3">
        <x:v>5</x:v>
      </x:c>
      <x:c r="G33" s="3">
        <x:f>C33+E33</x:f>
        <x:v>5</x:v>
      </x:c>
      <x:c r="J33" s="214"/>
    </x:row>
    <x:row r="34" spans="1:10" x14ac:dyDescent="0.25">
      <x:c r="A34" s="638" t="s">
        <x:v>1025</x:v>
      </x:c>
      <x:c r="B34" s="214">
        <x:v>45499</x:v>
      </x:c>
      <x:c r="C34" s="3">
        <x:v>5</x:v>
      </x:c>
      <x:c r="G34" s="3">
        <x:f t="shared" ref="G34:G38" si="1">C34+E34</x:f>
        <x:v>5</x:v>
      </x:c>
      <x:c r="J34" s="214"/>
    </x:row>
    <x:row r="35" spans="1:10" x14ac:dyDescent="0.25">
      <x:c r="A35" s="638" t="s">
        <x:v>1026</x:v>
      </x:c>
      <x:c r="B35" s="214">
        <x:v>45513</x:v>
      </x:c>
      <x:c r="C35" s="3">
        <x:v>5</x:v>
      </x:c>
      <x:c r="G35" s="3">
        <x:f t="shared" si="1"/>
        <x:v>5</x:v>
      </x:c>
      <x:c r="J35" s="214"/>
    </x:row>
    <x:row r="36" spans="1:10" x14ac:dyDescent="0.25">
      <x:c r="A36" s="638" t="s">
        <x:v>1027</x:v>
      </x:c>
      <x:c r="B36" s="214">
        <x:v>45527</x:v>
      </x:c>
      <x:c r="C36" s="3">
        <x:v>5</x:v>
      </x:c>
      <x:c r="G36" s="3">
        <x:f t="shared" si="1"/>
        <x:v>5</x:v>
      </x:c>
      <x:c r="J36" s="214"/>
    </x:row>
    <x:row r="37" spans="1:10" x14ac:dyDescent="0.25">
      <x:c r="A37" s="638" t="s">
        <x:v>1028</x:v>
      </x:c>
      <x:c r="B37" s="214">
        <x:v>45541</x:v>
      </x:c>
      <x:c r="C37" s="3">
        <x:v>5</x:v>
      </x:c>
      <x:c r="G37" s="3">
        <x:f t="shared" si="1"/>
        <x:v>5</x:v>
      </x:c>
      <x:c r="J37" s="214"/>
    </x:row>
    <x:row r="38" spans="1:10" x14ac:dyDescent="0.25">
      <x:c r="A38" s="638" t="s">
        <x:v>1029</x:v>
      </x:c>
      <x:c r="B38" s="214">
        <x:v>45555</x:v>
      </x:c>
      <x:c r="C38" s="250">
        <x:v>5</x:v>
      </x:c>
      <x:c r="D38" s="250"/>
      <x:c r="E38" s="250"/>
      <x:c r="F38" s="20"/>
      <x:c r="G38" s="250">
        <x:f t="shared" si="1"/>
        <x:v>5</x:v>
      </x:c>
      <x:c r="J38" s="214"/>
    </x:row>
    <x:row r="39" spans="1:10" ht="13.25" thickBot="1" x14ac:dyDescent="0.3">
      <x:c r="A39" s="638" t="s">
        <x:v>1030</x:v>
      </x:c>
      <x:c r="B39" s="3" t="s">
        <x:v>17</x:v>
      </x:c>
      <x:c r="C39" s="39">
        <x:f>SUM(C11:C38)</x:f>
        <x:v>140</x:v>
      </x:c>
      <x:c r="D39" s="20"/>
      <x:c r="E39" s="39">
        <x:f>SUM(E11:E38)</x:f>
        <x:v>0</x:v>
      </x:c>
      <x:c r="F39" s="20"/>
      <x:c r="G39" s="578">
        <x:f>SUM(G11:G38)</x:f>
        <x:v>140</x:v>
      </x:c>
    </x:row>
    <x:row r="40" spans="1:10" ht="13.25" thickTop="1" x14ac:dyDescent="0.25">
      <x:c r="A40" s="638" t="s">
        <x:v>1031</x:v>
      </x:c>
      <x:c r="B40" s="3"/>
      <x:c r="C40" s="20"/>
      <x:c r="D40" s="20"/>
      <x:c r="E40" s="20"/>
      <x:c r="F40" s="20"/>
    </x:row>
    <x:row r="41" spans="1:10" x14ac:dyDescent="0.25">
      <x:c r="A41" s="638" t="s">
        <x:v>1032</x:v>
      </x:c>
      <x:c r="B41" s="3"/>
      <x:c r="C41" s="20"/>
      <x:c r="D41" s="20"/>
      <x:c r="E41" s="20"/>
      <x:c r="F41" s="20"/>
    </x:row>
    <x:row r="42" spans="1:10" x14ac:dyDescent="0.25">
      <x:c r="A42" s="638" t="s">
        <x:v>1033</x:v>
      </x:c>
      <x:c r="B42" s="3" t="s">
        <x:v>415</x:v>
      </x:c>
      <x:c r="G42" s="250" t="str">
        <x:f>A38</x:f>
        <x:v>28</x:v>
      </x:c>
    </x:row>
    <x:row r="43" spans="1:10" x14ac:dyDescent="0.25">
      <x:c r="A43" s="638" t="s">
        <x:v>1034</x:v>
      </x:c>
      <x:c r="B43" s="3" t="s">
        <x:v>411</x:v>
      </x:c>
      <x:c r="C43" s="576"/>
      <x:c r="D43" s="576"/>
      <x:c r="G43" s="579">
        <x:f>ROUND(G39/G42,2)</x:f>
        <x:v>5</x:v>
      </x:c>
    </x:row>
    <x:row r="44" spans="1:10" x14ac:dyDescent="0.25">
      <x:c r="A44" s="638" t="s">
        <x:v>1035</x:v>
      </x:c>
    </x:row>
    <x:row r="45" spans="1:10" x14ac:dyDescent="0.25">
      <x:c r="A45" s="638" t="s">
        <x:v>1036</x:v>
      </x:c>
      <x:c r="B45" s="3"/>
      <x:c r="C45" s="1"/>
      <x:c r="D45" s="577"/>
      <x:c r="J45" s="635" t="s">
        <x:v>464</x:v>
      </x:c>
    </x:row>
    <x:row r="46" spans="1:10" x14ac:dyDescent="0.25">
      <x:c r="A46" s="638" t="s">
        <x:v>1037</x:v>
      </x:c>
      <x:c r="B46" s="9" t="s">
        <x:v>269</x:v>
      </x:c>
      <x:c r="C46" s="290" t="s">
        <x:v>431</x:v>
      </x:c>
      <x:c r="D46" s="577"/>
    </x:row>
    <x:row r="47" spans="1:10" x14ac:dyDescent="0.25">
      <x:c r="A47" s="638" t="s">
        <x:v>1038</x:v>
      </x:c>
      <x:c r="C47" s="290" t="s">
        <x:v>1067</x:v>
      </x:c>
      <x:c r="D47" s="577"/>
    </x:row>
    <x:row r="48" spans="1:10" x14ac:dyDescent="0.25">
      <x:c r="A48" s="638" t="s">
        <x:v>1039</x:v>
      </x:c>
      <x:c r="C48" s="290" t="s">
        <x:v>1068</x:v>
      </x:c>
    </x:row>
  </x:sheetData>
  <x:phoneticPr fontId="23" type="noConversion"/>
  <x:hyperlinks>
    <x:hyperlink ref="C46" r:id="rId1" xr:uid="{00000000-0004-0000-0B00-000000000000}"/>
    <x:hyperlink ref="C47" r:id="rId2" xr:uid="{00000000-0004-0000-0B00-000001000000}"/>
    <x:hyperlink ref="C48" r:id="rId3" xr:uid="{00000000-0004-0000-0B00-000002000000}"/>
  </x:hyperlinks>
  <x:printOptions horizontalCentered="1"/>
  <x:pageMargins left="0.5" right="0.5" top="1.5" bottom="0.5" header="1" footer="0.5"/>
  <x:pageSetup scale="77" orientation="landscape" r:id="rId4"/>
  <x:headerFooter alignWithMargins="0">
    <x:oddHeader>&amp;RWP/II-B-9/&amp;A
Page &amp;P of &amp;N</x:oddHead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Sheet33">
    <x:tabColor rgb="FF92D050"/>
  </x:sheetPr>
  <x:dimension ref="A1:I18"/>
  <x:sheetViews>
    <x:sheetView zoomScale="85" zoomScaleNormal="85" zoomScaleSheetLayoutView="100" workbookViewId="0">
      <x:selection activeCell="D37" sqref="D37"/>
    </x:sheetView>
  </x:sheetViews>
  <x:sheetFormatPr defaultColWidth="9.109375" defaultRowHeight="15.55" x14ac:dyDescent="0.3"/>
  <x:cols>
    <x:col min="1" max="1" width="6" style="529" customWidth="1"/>
    <x:col min="2" max="2" width="39.44140625" style="529" customWidth="1"/>
    <x:col min="3" max="3" width="14.5546875" style="529" customWidth="1"/>
    <x:col min="4" max="4" width="45.5546875" style="529" customWidth="1"/>
    <x:col min="5" max="5" width="23.88671875" style="529" customWidth="1"/>
    <x:col min="6" max="16384" width="9.109375" style="529"/>
  </x:cols>
  <x:sheetData>
    <x:row r="1" spans="1:9" s="524" customFormat="1" x14ac:dyDescent="0.3">
      <x:c r="A1" s="767" t="s">
        <x:v>523</x:v>
      </x:c>
      <x:c r="B1" s="767"/>
      <x:c r="C1" s="523"/>
      <x:c r="D1" s="523"/>
      <x:c r="E1" s="523"/>
    </x:row>
    <x:row r="2" spans="1:9" s="524" customFormat="1" x14ac:dyDescent="0.3">
      <x:c r="A2" s="767" t="str">
        <x:f>' '!A2</x:f>
        <x:v>ONCOR ELECTRIC DELIVERY COMPANY LLC</x:v>
      </x:c>
      <x:c r="B2" s="769"/>
      <x:c r="C2" s="523"/>
      <x:c r="D2" s="523"/>
      <x:c r="E2" s="523"/>
    </x:row>
    <x:row r="3" spans="1:9" s="524" customFormat="1" x14ac:dyDescent="0.3">
      <x:c r="A3" s="182" t="s">
        <x:v>246</x:v>
      </x:c>
      <x:c r="B3" s="182"/>
      <x:c r="C3" s="525"/>
      <x:c r="D3" s="525"/>
      <x:c r="E3" s="525"/>
    </x:row>
    <x:row r="4" spans="1:9" s="524" customFormat="1" x14ac:dyDescent="0.3">
      <x:c r="A4" s="767" t="s">
        <x:v>524</x:v>
      </x:c>
      <x:c r="B4" s="767"/>
      <x:c r="C4" s="523"/>
      <x:c r="D4" s="523"/>
      <x:c r="E4" s="523"/>
    </x:row>
    <x:row r="5" spans="1:9" s="524" customFormat="1" x14ac:dyDescent="0.3">
      <x:c r="A5" s="767" t="s">
        <x:v>486</x:v>
      </x:c>
      <x:c r="B5" s="767"/>
      <x:c r="C5" s="523"/>
      <x:c r="D5" s="523"/>
      <x:c r="E5" s="523"/>
      <x:c r="H5" s="524" t="s">
        <x:v>464</x:v>
      </x:c>
    </x:row>
    <x:row r="7" spans="1:9" ht="46.65" x14ac:dyDescent="0.3">
      <x:c r="A7" s="526" t="s">
        <x:v>40</x:v>
      </x:c>
      <x:c r="B7" s="526" t="s">
        <x:v>47</x:v>
      </x:c>
      <x:c r="C7" s="526"/>
      <x:c r="D7" s="527"/>
      <x:c r="E7" s="527"/>
      <x:c r="F7" s="528"/>
      <x:c r="G7" s="528"/>
      <x:c r="H7" s="528"/>
      <x:c r="I7" s="528"/>
    </x:row>
    <x:row r="8" spans="1:9" x14ac:dyDescent="0.3">
      <x:c r="A8" s="530"/>
      <x:c r="B8" s="530" t="s">
        <x:v>50</x:v>
      </x:c>
      <x:c r="C8" s="530" t="s">
        <x:v>51</x:v>
      </x:c>
      <x:c r="D8" s="530" t="s">
        <x:v>57</x:v>
      </x:c>
      <x:c r="E8" s="530" t="s">
        <x:v>52</x:v>
      </x:c>
      <x:c r="F8" s="530"/>
      <x:c r="G8" s="530"/>
      <x:c r="H8" s="530"/>
      <x:c r="I8" s="530"/>
    </x:row>
    <x:row r="9" spans="1:9" x14ac:dyDescent="0.3">
      <x:c r="A9" s="530"/>
    </x:row>
    <x:row r="10" spans="1:9" x14ac:dyDescent="0.3">
      <x:c r="A10" s="530">
        <x:v>1</x:v>
      </x:c>
      <x:c r="B10" s="805" t="s">
        <x:v>1124</x:v>
      </x:c>
    </x:row>
    <x:row r="11" spans="1:9" x14ac:dyDescent="0.3">
      <x:c r="A11" s="530">
        <x:v>2</x:v>
      </x:c>
      <x:c r="C11" s="530"/>
    </x:row>
    <x:row r="12" spans="1:9" x14ac:dyDescent="0.3">
      <x:c r="A12" s="530"/>
    </x:row>
    <x:row r="14" spans="1:9" x14ac:dyDescent="0.3">
      <x:c r="C14" s="805"/>
      <x:c r="D14" s="805"/>
    </x:row>
    <x:row r="15" spans="1:9" x14ac:dyDescent="0.3">
      <x:c r="C15" s="805"/>
      <x:c r="D15" s="805"/>
    </x:row>
    <x:row r="16" spans="1:9" x14ac:dyDescent="0.3">
      <x:c r="B16" s="805"/>
      <x:c r="C16" s="805"/>
      <x:c r="D16" s="805"/>
    </x:row>
    <x:row r="17" spans="2:4" x14ac:dyDescent="0.3">
      <x:c r="B17" s="805"/>
      <x:c r="C17" s="805"/>
      <x:c r="D17" s="805"/>
    </x:row>
    <x:row r="18" spans="2:4" x14ac:dyDescent="0.3">
      <x:c r="B18" s="805"/>
      <x:c r="C18" s="805"/>
      <x:c r="D18" s="805"/>
    </x:row>
  </x:sheetData>
  <x:phoneticPr fontId="23" type="noConversion"/>
  <x:printOptions horizontalCentered="1"/>
  <x:pageMargins left="0.5" right="0.5" top="1.5" bottom="0.5" header="1" footer="0.5"/>
  <x:pageSetup scale="88" fitToHeight="2" orientation="landscape" r:id="rId1"/>
  <x:headerFooter alignWithMargins="0">
    <x:oddHeader>&amp;RWP/II-B-9/&amp;A
Page &amp;P of &amp;N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 codeName="Sheet34">
    <x:tabColor rgb="FF92D050"/>
    <x:pageSetUpPr fitToPage="1"/>
  </x:sheetPr>
  <x:dimension ref="A1:K12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33.109375" style="1" bestFit="1" customWidth="1"/>
    <x:col min="3" max="3" width="15.5546875" style="1" customWidth="1"/>
    <x:col min="4" max="4" width="16.44140625" style="1" customWidth="1"/>
    <x:col min="5" max="5" width="1.5546875" style="1" customWidth="1"/>
    <x:col min="6" max="6" width="30.44140625" style="1" customWidth="1"/>
    <x:col min="7" max="7" width="1.5546875" style="1" customWidth="1"/>
    <x:col min="8" max="8" width="21.44140625" style="255" customWidth="1"/>
    <x:col min="9" max="10" width="9.109375" style="1"/>
    <x:col min="11" max="11" width="40.44140625" style="1" customWidth="1"/>
    <x:col min="12" max="16384" width="9.109375" style="1"/>
  </x:cols>
  <x:sheetData>
    <x:row r="1" spans="1:11" s="41" customFormat="1" x14ac:dyDescent="0.25">
      <x:c r="A1" s="180" t="s">
        <x:v>523</x:v>
      </x:c>
      <x:c r="B1" s="180"/>
      <x:c r="C1" s="180"/>
      <x:c r="D1" s="180"/>
      <x:c r="H1" s="301"/>
    </x:row>
    <x:row r="2" spans="1:11" s="41" customFormat="1" x14ac:dyDescent="0.25">
      <x:c r="A2" s="180" t="str">
        <x:f>' '!A2</x:f>
        <x:v>ONCOR ELECTRIC DELIVERY COMPANY LLC</x:v>
      </x:c>
      <x:c r="B2" s="180"/>
      <x:c r="C2" s="180"/>
      <x:c r="D2" s="180"/>
      <x:c r="H2" s="301"/>
    </x:row>
    <x:row r="3" spans="1:11" s="41" customFormat="1" x14ac:dyDescent="0.25">
      <x:c r="A3" s="180" t="s">
        <x:v>410</x:v>
      </x:c>
      <x:c r="B3" s="580"/>
      <x:c r="C3" s="580"/>
      <x:c r="D3" s="580"/>
      <x:c r="H3" s="301"/>
    </x:row>
    <x:row r="4" spans="1:11" s="41" customFormat="1" x14ac:dyDescent="0.25">
      <x:c r="A4" s="767" t="s">
        <x:v>524</x:v>
      </x:c>
      <x:c r="B4" s="180"/>
      <x:c r="C4" s="180"/>
      <x:c r="D4" s="180"/>
      <x:c r="H4" s="301"/>
    </x:row>
    <x:row r="5" spans="1:11" s="41" customFormat="1" x14ac:dyDescent="0.25">
      <x:c r="A5" s="180" t="s">
        <x:v>486</x:v>
      </x:c>
      <x:c r="B5" s="180"/>
      <x:c r="C5" s="180"/>
      <x:c r="D5" s="180"/>
      <x:c r="H5" s="301" t="s">
        <x:v>464</x:v>
      </x:c>
    </x:row>
    <x:row r="7" spans="1:11" x14ac:dyDescent="0.25">
      <x:c r="A7" s="22"/>
      <x:c r="B7" s="25"/>
      <x:c r="C7" s="832" t="s">
        <x:v>30</x:v>
      </x:c>
      <x:c r="D7" s="832"/>
    </x:row>
    <x:row r="8" spans="1:11" ht="25.35" x14ac:dyDescent="0.25">
      <x:c r="A8" s="32" t="s">
        <x:v>40</x:v>
      </x:c>
      <x:c r="B8" s="32" t="s">
        <x:v>359</x:v>
      </x:c>
      <x:c r="C8" s="32" t="s">
        <x:v>28</x:v>
      </x:c>
      <x:c r="D8" s="32" t="s">
        <x:v>29</x:v>
      </x:c>
      <x:c r="F8" s="32" t="s">
        <x:v>360</x:v>
      </x:c>
      <x:c r="G8" s="38"/>
      <x:c r="H8" s="32" t="s">
        <x:v>112</x:v>
      </x:c>
    </x:row>
    <x:row r="9" spans="1:11" x14ac:dyDescent="0.25">
      <x:c r="A9" s="38"/>
      <x:c r="B9" s="40" t="s">
        <x:v>50</x:v>
      </x:c>
      <x:c r="C9" s="40" t="s">
        <x:v>51</x:v>
      </x:c>
      <x:c r="D9" s="40" t="s">
        <x:v>57</x:v>
      </x:c>
      <x:c r="F9" s="40" t="s">
        <x:v>52</x:v>
      </x:c>
      <x:c r="G9" s="40"/>
      <x:c r="H9" s="40" t="s">
        <x:v>53</x:v>
      </x:c>
    </x:row>
    <x:row r="10" spans="1:11" ht="17.850000000000001" x14ac:dyDescent="0.35">
      <x:c r="F10" s="252"/>
      <x:c r="G10" s="252"/>
      <x:c r="H10" s="20"/>
    </x:row>
    <x:row r="11" spans="1:11" ht="15.55" x14ac:dyDescent="0.3">
      <x:c r="A11" s="3">
        <x:v>1</x:v>
      </x:c>
      <x:c r="B11" s="805" t="s">
        <x:v>1124</x:v>
      </x:c>
      <x:c r="C11" s="18"/>
      <x:c r="D11" s="18"/>
      <x:c r="F11" s="214"/>
      <x:c r="G11" s="253"/>
      <x:c r="H11" s="18"/>
      <x:c r="K11" s="214"/>
    </x:row>
    <x:row r="12" spans="1:11" ht="15.55" x14ac:dyDescent="0.3">
      <x:c r="A12" s="3">
        <x:v>2</x:v>
      </x:c>
      <x:c r="B12" s="214"/>
      <x:c r="C12" s="18"/>
      <x:c r="D12" s="18"/>
      <x:c r="F12" s="214"/>
      <x:c r="G12" s="254"/>
      <x:c r="H12" s="18"/>
      <x:c r="K12" s="214"/>
    </x:row>
  </x:sheetData>
  <x:mergeCells count="1">
    <x:mergeCell ref="C7:D7"/>
  </x:mergeCells>
  <x:phoneticPr fontId="23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 codeName="Sheet26">
    <x:tabColor rgb="FF92D050"/>
    <x:pageSetUpPr fitToPage="1"/>
  </x:sheetPr>
  <x:dimension ref="A1:H20"/>
  <x:sheetViews>
    <x:sheetView zoomScaleNormal="100" workbookViewId="0">
      <x:selection activeCell="D37" sqref="D37"/>
    </x:sheetView>
  </x:sheetViews>
  <x:sheetFormatPr defaultRowHeight="12.7" x14ac:dyDescent="0.25"/>
  <x:cols>
    <x:col min="2" max="2" width="28.44140625" customWidth="1"/>
    <x:col min="3" max="3" width="16.5546875" customWidth="1"/>
    <x:col min="4" max="4" width="17.109375" customWidth="1"/>
    <x:col min="5" max="5" width="19.88671875" customWidth="1"/>
    <x:col min="6" max="6" width="0.5546875" hidden="1" customWidth="1"/>
    <x:col min="7" max="8" width="8.88671875" hidden="1" customWidth="1"/>
  </x:cols>
  <x:sheetData>
    <x:row r="1" spans="1:8" s="292" customFormat="1" x14ac:dyDescent="0.25">
      <x:c r="A1" s="180" t="s">
        <x:v>523</x:v>
      </x:c>
      <x:c r="B1" s="180"/>
      <x:c r="C1" s="180"/>
      <x:c r="D1" s="180"/>
      <x:c r="E1" s="180"/>
    </x:row>
    <x:row r="2" spans="1:8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292" customFormat="1" x14ac:dyDescent="0.25">
      <x:c r="A3" s="180" t="s">
        <x:v>248</x:v>
      </x:c>
      <x:c r="B3" s="180"/>
      <x:c r="C3" s="180"/>
      <x:c r="D3" s="180"/>
      <x:c r="E3" s="180"/>
    </x:row>
    <x:row r="4" spans="1:8" s="292" customFormat="1" x14ac:dyDescent="0.25">
      <x:c r="A4" s="767" t="s">
        <x:v>524</x:v>
      </x:c>
      <x:c r="B4" s="180"/>
      <x:c r="C4" s="180"/>
      <x:c r="D4" s="180"/>
      <x:c r="E4" s="180"/>
    </x:row>
    <x:row r="5" spans="1:8" s="292" customFormat="1" x14ac:dyDescent="0.25">
      <x:c r="A5" s="180" t="s">
        <x:v>486</x:v>
      </x:c>
      <x:c r="B5" s="180"/>
      <x:c r="C5" s="180"/>
      <x:c r="D5" s="180"/>
      <x:c r="E5" s="180"/>
      <x:c r="H5" s="292" t="s">
        <x:v>464</x:v>
      </x:c>
    </x:row>
    <x:row r="7" spans="1:8" s="66" customFormat="1" x14ac:dyDescent="0.25">
      <x:c r="A7" s="26"/>
      <x:c r="B7" s="26"/>
      <x:c r="C7" s="26"/>
      <x:c r="D7" s="78"/>
      <x:c r="E7" s="22" t="s">
        <x:v>98</x:v>
      </x:c>
      <x:c r="F7" s="26"/>
      <x:c r="G7" s="26"/>
    </x:row>
    <x:row r="8" spans="1:8" x14ac:dyDescent="0.25">
      <x:c r="A8" s="56" t="s">
        <x:v>40</x:v>
      </x:c>
      <x:c r="B8" s="56" t="s">
        <x:v>190</x:v>
      </x:c>
      <x:c r="C8" s="305" t="s">
        <x:v>39</x:v>
      </x:c>
      <x:c r="D8" s="76" t="s">
        <x:v>44</x:v>
      </x:c>
      <x:c r="E8" s="56" t="s">
        <x:v>72</x:v>
      </x:c>
      <x:c r="F8" s="56" t="s">
        <x:v>26</x:v>
      </x:c>
      <x:c r="G8" s="1"/>
    </x:row>
    <x:row r="9" spans="1:8" x14ac:dyDescent="0.25">
      <x:c r="A9" s="1"/>
      <x:c r="B9" s="40" t="s">
        <x:v>50</x:v>
      </x:c>
      <x:c r="C9" s="40" t="s">
        <x:v>51</x:v>
      </x:c>
      <x:c r="D9" s="40" t="s">
        <x:v>57</x:v>
      </x:c>
      <x:c r="E9" s="40" t="s">
        <x:v>52</x:v>
      </x:c>
      <x:c r="F9" s="1"/>
      <x:c r="G9" s="1"/>
    </x:row>
    <x:row r="10" spans="1:8" x14ac:dyDescent="0.25">
      <x:c r="A10" s="1"/>
      <x:c r="B10" s="40"/>
      <x:c r="C10" s="40"/>
      <x:c r="D10" s="40"/>
      <x:c r="E10" s="40"/>
      <x:c r="F10" s="1"/>
      <x:c r="G10" s="1"/>
    </x:row>
    <x:row r="11" spans="1:8" x14ac:dyDescent="0.25">
      <x:c r="A11" s="3">
        <x:v>1</x:v>
      </x:c>
      <x:c r="B11" s="1" t="s">
        <x:v>113</x:v>
      </x:c>
      <x:c r="C11" s="225">
        <x:v>44829.02</x:v>
      </x:c>
      <x:c r="D11" s="28">
        <x:v>23.999366035661712</x:v>
      </x:c>
      <x:c r="E11" s="225">
        <x:f>+D11*C11</x:f>
        <x:v>1075868.0599999996</x:v>
      </x:c>
      <x:c r="F11" s="1"/>
      <x:c r="G11" s="1"/>
    </x:row>
    <x:row r="12" spans="1:8" x14ac:dyDescent="0.25">
      <x:c r="A12" s="3">
        <x:v>2</x:v>
      </x:c>
      <x:c r="B12" s="1" t="s">
        <x:v>114</x:v>
      </x:c>
      <x:c r="C12" s="336">
        <x:v>209872.08999999991</x:v>
      </x:c>
      <x:c r="D12" s="609">
        <x:v>5.8149497153242287</x:v>
      </x:c>
      <x:c r="E12" s="336">
        <x:f>+D12*C12</x:f>
        <x:v>1220395.6500000004</x:v>
      </x:c>
      <x:c r="F12" s="1"/>
      <x:c r="G12" s="1"/>
    </x:row>
    <x:row r="13" spans="1:8" x14ac:dyDescent="0.25">
      <x:c r="A13" s="3">
        <x:v>3</x:v>
      </x:c>
      <x:c r="B13" s="1"/>
      <x:c r="D13" s="28"/>
      <x:c r="F13" s="1"/>
      <x:c r="G13" s="1"/>
    </x:row>
    <x:row r="14" spans="1:8" ht="13.25" thickBot="1" x14ac:dyDescent="0.3">
      <x:c r="A14" s="3">
        <x:v>4</x:v>
      </x:c>
      <x:c r="B14" s="1" t="s">
        <x:v>115</x:v>
      </x:c>
      <x:c r="C14" s="342">
        <x:f>SUM(C11:C12)</x:f>
        <x:v>254701.1099999999</x:v>
      </x:c>
      <x:c r="D14" s="610">
        <x:f>ROUND(E14/C14,2)</x:f>
        <x:v>9.02</x:v>
      </x:c>
      <x:c r="E14" s="342">
        <x:f>SUM(E11:E12)</x:f>
        <x:v>2296263.71</x:v>
      </x:c>
      <x:c r="F14" s="1"/>
      <x:c r="G14" s="1"/>
    </x:row>
    <x:row r="15" spans="1:8" ht="13.25" thickTop="1" x14ac:dyDescent="0.25">
      <x:c r="A15" s="3">
        <x:v>5</x:v>
      </x:c>
    </x:row>
    <x:row r="16" spans="1:8" x14ac:dyDescent="0.25">
      <x:c r="A16" s="3">
        <x:v>6</x:v>
      </x:c>
      <x:c r="B16" t="s">
        <x:v>230</x:v>
      </x:c>
      <x:c r="C16" s="290" t="s">
        <x:v>429</x:v>
      </x:c>
    </x:row>
    <x:row r="20" spans="2:2" x14ac:dyDescent="0.25">
      <x:c r="B20" s="79"/>
    </x:row>
  </x:sheetData>
  <x:phoneticPr fontId="23" type="noConversion"/>
  <x:hyperlinks>
    <x:hyperlink ref="C16" r:id="rId1" xr:uid="{00000000-0004-0000-0E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 codeName="Sheet8">
    <x:tabColor rgb="FF92D050"/>
    <x:pageSetUpPr fitToPage="1"/>
  </x:sheetPr>
  <x:dimension ref="A1:H32"/>
  <x:sheetViews>
    <x:sheetView zoomScaleNormal="100" workbookViewId="0">
      <x:selection activeCell="D37" sqref="D37"/>
    </x:sheetView>
  </x:sheetViews>
  <x:sheetFormatPr defaultRowHeight="12.7" x14ac:dyDescent="0.25"/>
  <x:cols>
    <x:col min="2" max="2" width="14.88671875" customWidth="1"/>
    <x:col min="3" max="3" width="18" customWidth="1"/>
    <x:col min="4" max="5" width="16.44140625" bestFit="1" customWidth="1"/>
    <x:col min="6" max="6" width="17.109375" bestFit="1" customWidth="1"/>
  </x:cols>
  <x:sheetData>
    <x:row r="1" spans="1:8" s="292" customFormat="1" x14ac:dyDescent="0.25">
      <x:c r="A1" s="182" t="s">
        <x:v>523</x:v>
      </x:c>
      <x:c r="B1" s="299"/>
      <x:c r="C1" s="299"/>
      <x:c r="D1" s="299"/>
      <x:c r="E1" s="299"/>
    </x:row>
    <x:row r="2" spans="1:8" s="292" customFormat="1" x14ac:dyDescent="0.25">
      <x:c r="A2" s="182" t="str">
        <x:f>' '!A2</x:f>
        <x:v>ONCOR ELECTRIC DELIVERY COMPANY LLC</x:v>
      </x:c>
      <x:c r="B2" s="299"/>
      <x:c r="C2" s="299"/>
      <x:c r="D2" s="299"/>
      <x:c r="E2" s="299"/>
    </x:row>
    <x:row r="3" spans="1:8" s="292" customFormat="1" x14ac:dyDescent="0.25">
      <x:c r="A3" s="182" t="s">
        <x:v>247</x:v>
      </x:c>
      <x:c r="B3" s="300"/>
      <x:c r="C3" s="300"/>
      <x:c r="D3" s="300"/>
      <x:c r="E3" s="300"/>
    </x:row>
    <x:row r="4" spans="1:8" s="292" customFormat="1" x14ac:dyDescent="0.25">
      <x:c r="A4" s="767" t="s">
        <x:v>524</x:v>
      </x:c>
      <x:c r="B4" s="300"/>
      <x:c r="C4" s="300"/>
      <x:c r="D4" s="300"/>
      <x:c r="E4" s="300"/>
    </x:row>
    <x:row r="5" spans="1:8" s="292" customFormat="1" x14ac:dyDescent="0.25">
      <x:c r="A5" s="182" t="s">
        <x:v>486</x:v>
      </x:c>
      <x:c r="B5" s="300"/>
      <x:c r="C5" s="300"/>
      <x:c r="D5" s="300"/>
      <x:c r="E5" s="300"/>
      <x:c r="H5" s="292" t="s">
        <x:v>464</x:v>
      </x:c>
    </x:row>
    <x:row r="6" spans="1:8" x14ac:dyDescent="0.25">
      <x:c r="A6" s="258"/>
      <x:c r="B6" s="77"/>
      <x:c r="C6" s="77"/>
      <x:c r="D6" s="77"/>
      <x:c r="E6" s="77"/>
    </x:row>
    <x:row r="7" spans="1:8" x14ac:dyDescent="0.25">
      <x:c r="A7" s="56" t="s">
        <x:v>40</x:v>
      </x:c>
      <x:c r="B7" s="56" t="s">
        <x:v>23</x:v>
      </x:c>
      <x:c r="C7" s="56" t="s">
        <x:v>201</x:v>
      </x:c>
      <x:c r="D7" s="56" t="s">
        <x:v>202</x:v>
      </x:c>
      <x:c r="E7" s="56" t="s">
        <x:v>381</x:v>
      </x:c>
      <x:c r="F7" s="56" t="s">
        <x:v>26</x:v>
      </x:c>
    </x:row>
    <x:row r="8" spans="1:8" x14ac:dyDescent="0.25">
      <x:c r="B8" s="40" t="s">
        <x:v>50</x:v>
      </x:c>
      <x:c r="C8" s="40" t="s">
        <x:v>51</x:v>
      </x:c>
      <x:c r="D8" s="40" t="s">
        <x:v>57</x:v>
      </x:c>
      <x:c r="E8" s="40" t="s">
        <x:v>57</x:v>
      </x:c>
      <x:c r="F8" s="40" t="s">
        <x:v>52</x:v>
      </x:c>
    </x:row>
    <x:row r="9" spans="1:8" x14ac:dyDescent="0.25">
      <x:c r="B9" s="575" t="s">
        <x:v>407</x:v>
      </x:c>
      <x:c r="C9" s="228"/>
      <x:c r="D9" s="228"/>
      <x:c r="E9" s="228"/>
      <x:c r="F9" s="228"/>
    </x:row>
    <x:row r="10" spans="1:8" x14ac:dyDescent="0.25">
      <x:c r="A10" s="2">
        <x:v>1</x:v>
      </x:c>
      <x:c r="B10" s="306" t="s">
        <x:v>114</x:v>
      </x:c>
      <x:c r="C10" s="228"/>
      <x:c r="D10" s="228"/>
      <x:c r="E10" s="228"/>
      <x:c r="F10" s="228"/>
    </x:row>
    <x:row r="11" spans="1:8" x14ac:dyDescent="0.25">
      <x:c r="A11" s="2">
        <x:v>2</x:v>
      </x:c>
      <x:c r="B11" s="776" t="s">
        <x:v>526</x:v>
      </x:c>
      <x:c r="C11" s="457">
        <x:v>20148158.16</x:v>
      </x:c>
      <x:c r="D11" s="457">
        <x:v>19036520.759999998</x:v>
      </x:c>
      <x:c r="E11" s="457"/>
      <x:c r="F11" s="457">
        <x:f>SUM(C11:E11)</x:f>
        <x:v>39184678.920000002</x:v>
      </x:c>
    </x:row>
    <x:row r="12" spans="1:8" x14ac:dyDescent="0.25">
      <x:c r="A12" s="2">
        <x:v>3</x:v>
      </x:c>
      <x:c r="B12" s="776" t="s">
        <x:v>527</x:v>
      </x:c>
      <x:c r="C12" s="461">
        <x:v>20610519.389999997</x:v>
      </x:c>
      <x:c r="D12" s="461">
        <x:v>19795322.59</x:v>
      </x:c>
      <x:c r="E12" s="461"/>
      <x:c r="F12" s="461">
        <x:f>SUM(C12:E12)</x:f>
        <x:v>40405841.979999997</x:v>
      </x:c>
    </x:row>
    <x:row r="13" spans="1:8" x14ac:dyDescent="0.25">
      <x:c r="A13" s="2">
        <x:v>4</x:v>
      </x:c>
      <x:c r="B13" s="2" t="s">
        <x:v>26</x:v>
      </x:c>
      <x:c r="C13" s="457">
        <x:f>SUM(C11 + C12)</x:f>
        <x:v>40758677.549999997</x:v>
      </x:c>
      <x:c r="D13" s="457">
        <x:f>SUM(D11 + D12)</x:f>
        <x:v>38831843.349999994</x:v>
      </x:c>
      <x:c r="E13" s="457">
        <x:f>SUM(E11 + E12)</x:f>
        <x:v>0</x:v>
      </x:c>
      <x:c r="F13" s="457">
        <x:f>SUM(F11 + F12)</x:f>
        <x:v>79590520.900000006</x:v>
      </x:c>
    </x:row>
    <x:row r="14" spans="1:8" x14ac:dyDescent="0.25">
      <x:c r="A14" s="2">
        <x:v>5</x:v>
      </x:c>
      <x:c r="B14" s="2" t="s">
        <x:v>66</x:v>
      </x:c>
      <x:c r="C14" s="799">
        <x:f>ROUND(SUM(C13/$F$13),4)</x:f>
        <x:v>0.5121</x:v>
      </x:c>
      <x:c r="D14" s="799">
        <x:f>ROUND(SUM(D13/$F$13),4)</x:f>
        <x:v>0.4879</x:v>
      </x:c>
      <x:c r="E14" s="799">
        <x:f>ROUND(SUM(E13/$F$13),4)</x:f>
        <x:v>0</x:v>
      </x:c>
      <x:c r="F14" s="800">
        <x:f>SUM(C13+D13+E13) / F13</x:f>
        <x:v>0.99999999999999978</x:v>
      </x:c>
    </x:row>
    <x:row r="15" spans="1:8" x14ac:dyDescent="0.25">
      <x:c r="A15" s="806" t="s">
        <x:v>1007</x:v>
      </x:c>
      <x:c r="B15" s="22"/>
      <x:c r="C15" s="192"/>
      <x:c r="D15" s="192"/>
      <x:c r="E15" s="192"/>
      <x:c r="F15" s="192"/>
    </x:row>
    <x:row r="16" spans="1:8" x14ac:dyDescent="0.25">
      <x:c r="A16" s="806" t="s">
        <x:v>1008</x:v>
      </x:c>
      <x:c r="B16" s="22"/>
      <x:c r="C16" s="22"/>
      <x:c r="D16" s="22"/>
      <x:c r="E16" s="22"/>
      <x:c r="F16" s="22"/>
    </x:row>
    <x:row r="17" spans="1:6" x14ac:dyDescent="0.25">
      <x:c r="A17" s="806" t="s">
        <x:v>1009</x:v>
      </x:c>
      <x:c r="B17" s="306" t="s">
        <x:v>113</x:v>
      </x:c>
      <x:c r="C17" s="22"/>
      <x:c r="D17" s="22"/>
      <x:c r="E17" s="22"/>
      <x:c r="F17" s="22"/>
    </x:row>
    <x:row r="18" spans="1:6" x14ac:dyDescent="0.25">
      <x:c r="A18" s="806" t="s">
        <x:v>1010</x:v>
      </x:c>
      <x:c r="B18" s="776" t="s">
        <x:v>526</x:v>
      </x:c>
      <x:c r="C18" s="91">
        <x:v>6980073.6100000003</x:v>
      </x:c>
      <x:c r="D18" s="91">
        <x:v>7501641.8300000001</x:v>
      </x:c>
      <x:c r="E18" s="91"/>
      <x:c r="F18" s="91">
        <x:f>SUM(C18:E18)</x:f>
        <x:v>14481715.440000001</x:v>
      </x:c>
    </x:row>
    <x:row r="19" spans="1:6" x14ac:dyDescent="0.25">
      <x:c r="A19" s="806" t="s">
        <x:v>1011</x:v>
      </x:c>
      <x:c r="B19" s="776" t="s">
        <x:v>527</x:v>
      </x:c>
      <x:c r="C19" s="91">
        <x:v>7318260.6699999999</x:v>
      </x:c>
      <x:c r="D19" s="333">
        <x:v>6915797</x:v>
      </x:c>
      <x:c r="E19" s="333"/>
      <x:c r="F19" s="333">
        <x:f>SUM(C19:E19)</x:f>
        <x:v>14234057.67</x:v>
      </x:c>
    </x:row>
    <x:row r="20" spans="1:6" x14ac:dyDescent="0.25">
      <x:c r="A20" s="806" t="s">
        <x:v>1012</x:v>
      </x:c>
      <x:c r="B20" s="2" t="s">
        <x:v>26</x:v>
      </x:c>
      <x:c r="C20" s="91">
        <x:f>SUM(C18 + C19)</x:f>
        <x:v>14298334.280000001</x:v>
      </x:c>
      <x:c r="D20" s="91">
        <x:f>SUM(D18 + D19)</x:f>
        <x:v>14417438.83</x:v>
      </x:c>
      <x:c r="E20" s="91"/>
      <x:c r="F20" s="91">
        <x:f>SUM(F18 + F19)</x:f>
        <x:v>28715773.109999999</x:v>
      </x:c>
    </x:row>
    <x:row r="21" spans="1:6" x14ac:dyDescent="0.25">
      <x:c r="A21" s="806" t="s">
        <x:v>1013</x:v>
      </x:c>
      <x:c r="B21" s="2" t="s">
        <x:v>66</x:v>
      </x:c>
      <x:c r="C21" s="256">
        <x:f>ROUND(SUM(C20/$F$20),4)</x:f>
        <x:v>0.49790000000000001</x:v>
      </x:c>
      <x:c r="D21" s="256">
        <x:f>ROUND(SUM(D20/$F$20),4)</x:f>
        <x:v>0.50209999999999999</x:v>
      </x:c>
      <x:c r="E21" s="256"/>
      <x:c r="F21" s="257">
        <x:f>SUM(C20+D20+E20) / F20</x:f>
        <x:v>1</x:v>
      </x:c>
    </x:row>
    <x:row r="22" spans="1:6" x14ac:dyDescent="0.25">
      <x:c r="A22" s="806" t="s">
        <x:v>1014</x:v>
      </x:c>
    </x:row>
    <x:row r="23" spans="1:6" ht="13.25" thickBot="1" x14ac:dyDescent="0.3">
      <x:c r="A23" s="806" t="s">
        <x:v>1015</x:v>
      </x:c>
      <x:c r="B23" s="1" t="s">
        <x:v>77</x:v>
      </x:c>
      <x:c r="C23" s="358">
        <x:f>C20</x:f>
        <x:v>14298334.280000001</x:v>
      </x:c>
      <x:c r="D23" s="358">
        <x:f>D20</x:f>
        <x:v>14417438.83</x:v>
      </x:c>
      <x:c r="E23" s="358"/>
      <x:c r="F23" s="359">
        <x:f>SUM(C23:E23)</x:f>
        <x:v>28715773.109999999</x:v>
      </x:c>
    </x:row>
    <x:row r="24" spans="1:6" ht="13.85" thickTop="1" thickBot="1" x14ac:dyDescent="0.3">
      <x:c r="A24" s="806" t="s">
        <x:v>1016</x:v>
      </x:c>
      <x:c r="B24" t="s">
        <x:v>66</x:v>
      </x:c>
      <x:c r="C24" s="360">
        <x:f>ROUND(C23/F23,4)</x:f>
        <x:v>0.49790000000000001</x:v>
      </x:c>
      <x:c r="D24" s="360">
        <x:f>ROUND(D23/F23,4)</x:f>
        <x:v>0.50209999999999999</x:v>
      </x:c>
      <x:c r="E24" s="360"/>
      <x:c r="F24" s="360">
        <x:f>SUM(C23+D23+E23) / F23</x:f>
        <x:v>1</x:v>
      </x:c>
    </x:row>
    <x:row r="25" spans="1:6" ht="13.25" thickTop="1" x14ac:dyDescent="0.25">
      <x:c r="A25" s="806" t="s">
        <x:v>1017</x:v>
      </x:c>
    </x:row>
    <x:row r="26" spans="1:6" x14ac:dyDescent="0.25">
      <x:c r="A26" s="806" t="s">
        <x:v>1018</x:v>
      </x:c>
      <x:c r="B26" t="s">
        <x:v>230</x:v>
      </x:c>
      <x:c r="C26" s="290" t="s">
        <x:v>430</x:v>
      </x:c>
    </x:row>
    <x:row r="32" spans="1:6" x14ac:dyDescent="0.25">
      <x:c r="B32" s="635"/>
    </x:row>
  </x:sheetData>
  <x:phoneticPr fontId="23" type="noConversion"/>
  <x:hyperlinks>
    <x:hyperlink ref="C26" r:id="rId1" xr:uid="{00000000-0004-0000-0F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 codeName="Sheet13">
    <x:tabColor rgb="FF92D050"/>
    <x:pageSetUpPr fitToPage="1"/>
  </x:sheetPr>
  <x:dimension ref="A1:H13"/>
  <x:sheetViews>
    <x:sheetView zoomScaleNormal="100" workbookViewId="0">
      <x:selection activeCell="D37" sqref="D37"/>
    </x:sheetView>
  </x:sheetViews>
  <x:sheetFormatPr defaultRowHeight="12.7" x14ac:dyDescent="0.25"/>
  <x:cols>
    <x:col min="2" max="2" width="13.5546875" customWidth="1"/>
    <x:col min="3" max="3" width="18.109375" customWidth="1"/>
    <x:col min="4" max="4" width="17.109375" customWidth="1"/>
    <x:col min="5" max="5" width="11.44140625" customWidth="1"/>
    <x:col min="6" max="6" width="15.109375" customWidth="1"/>
    <x:col min="8" max="8" width="13.5546875" bestFit="1" customWidth="1"/>
  </x:cols>
  <x:sheetData>
    <x:row r="1" spans="1:8" s="292" customFormat="1" x14ac:dyDescent="0.25">
      <x:c r="A1" s="180" t="s">
        <x:v>523</x:v>
      </x:c>
      <x:c r="C1" s="180"/>
      <x:c r="D1" s="180"/>
      <x:c r="E1" s="180"/>
      <x:c r="F1" s="180"/>
    </x:row>
    <x:row r="2" spans="1:8" s="292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8" s="292" customFormat="1" x14ac:dyDescent="0.25">
      <x:c r="A3" s="180" t="s">
        <x:v>280</x:v>
      </x:c>
      <x:c r="C3" s="180"/>
      <x:c r="D3" s="180"/>
      <x:c r="E3" s="180"/>
      <x:c r="F3" s="180"/>
    </x:row>
    <x:row r="4" spans="1:8" s="292" customFormat="1" x14ac:dyDescent="0.25">
      <x:c r="A4" s="767" t="s">
        <x:v>524</x:v>
      </x:c>
      <x:c r="C4" s="180"/>
      <x:c r="D4" s="180"/>
      <x:c r="E4" s="180"/>
      <x:c r="F4" s="180"/>
    </x:row>
    <x:row r="5" spans="1:8" s="292" customFormat="1" x14ac:dyDescent="0.25">
      <x:c r="A5" s="180" t="s">
        <x:v>486</x:v>
      </x:c>
      <x:c r="C5" s="180"/>
      <x:c r="D5" s="180"/>
      <x:c r="E5" s="180"/>
      <x:c r="F5" s="180"/>
      <x:c r="H5" s="292" t="s">
        <x:v>464</x:v>
      </x:c>
    </x:row>
    <x:row r="7" spans="1:8" x14ac:dyDescent="0.25">
      <x:c r="A7" s="22" t="s">
        <x:v>197</x:v>
      </x:c>
      <x:c r="B7" s="22"/>
      <x:c r="C7" s="22"/>
      <x:c r="D7" s="22"/>
      <x:c r="E7" s="22" t="s">
        <x:v>191</x:v>
      </x:c>
      <x:c r="F7" s="22" t="s">
        <x:v>47</x:v>
      </x:c>
    </x:row>
    <x:row r="8" spans="1:8" x14ac:dyDescent="0.25">
      <x:c r="A8" s="56" t="s">
        <x:v>36</x:v>
      </x:c>
      <x:c r="B8" s="56" t="s">
        <x:v>23</x:v>
      </x:c>
      <x:c r="C8" s="56" t="s">
        <x:v>105</x:v>
      </x:c>
      <x:c r="D8" s="56" t="s">
        <x:v>191</x:v>
      </x:c>
      <x:c r="E8" s="56" t="s">
        <x:v>66</x:v>
      </x:c>
      <x:c r="F8" s="56" t="s">
        <x:v>66</x:v>
      </x:c>
    </x:row>
    <x:row r="9" spans="1:8" x14ac:dyDescent="0.25">
      <x:c r="A9" s="209"/>
      <x:c r="B9" s="40" t="s">
        <x:v>50</x:v>
      </x:c>
      <x:c r="C9" s="40" t="s">
        <x:v>51</x:v>
      </x:c>
      <x:c r="D9" s="40" t="s">
        <x:v>57</x:v>
      </x:c>
      <x:c r="E9" s="40" t="s">
        <x:v>52</x:v>
      </x:c>
      <x:c r="F9" s="40" t="s">
        <x:v>53</x:v>
      </x:c>
    </x:row>
    <x:row r="10" spans="1:8" x14ac:dyDescent="0.25">
      <x:c r="A10" s="209"/>
      <x:c r="B10" s="40"/>
      <x:c r="C10" s="40"/>
      <x:c r="D10" s="40"/>
      <x:c r="E10" s="40"/>
      <x:c r="F10" s="40"/>
    </x:row>
    <x:row r="11" spans="1:8" ht="13.25" thickBot="1" x14ac:dyDescent="0.3">
      <x:c r="A11" s="2">
        <x:v>1</x:v>
      </x:c>
      <x:c r="B11" s="2" t="s">
        <x:v>34</x:v>
      </x:c>
      <x:c r="C11" s="363">
        <x:v>788510233.0999999</x:v>
      </x:c>
      <x:c r="D11" s="364">
        <x:f>C11</x:f>
        <x:v>788510233.0999999</x:v>
      </x:c>
      <x:c r="E11" s="361">
        <x:f>ROUND(D11/C11,4)</x:f>
        <x:v>1</x:v>
      </x:c>
      <x:c r="F11" s="362">
        <x:f>1-E11</x:f>
        <x:v>0</x:v>
      </x:c>
      <x:c r="H11" s="645"/>
    </x:row>
    <x:row r="12" spans="1:8" ht="13.25" thickTop="1" x14ac:dyDescent="0.25">
      <x:c r="A12" s="2">
        <x:v>2</x:v>
      </x:c>
      <x:c r="B12" s="77"/>
      <x:c r="C12" s="77"/>
      <x:c r="D12" s="77"/>
      <x:c r="E12" s="77"/>
      <x:c r="F12" s="77"/>
    </x:row>
    <x:row r="13" spans="1:8" x14ac:dyDescent="0.25">
      <x:c r="A13" s="2">
        <x:v>3</x:v>
      </x:c>
      <x:c r="B13" t="s">
        <x:v>230</x:v>
      </x:c>
      <x:c r="C13" s="290" t="s">
        <x:v>428</x:v>
      </x:c>
    </x:row>
  </x:sheetData>
  <x:phoneticPr fontId="23" type="noConversion"/>
  <x:hyperlinks>
    <x:hyperlink ref="C13" r:id="rId1" xr:uid="{00000000-0004-0000-10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 codeName="Sheet321">
    <x:tabColor rgb="FF92D050"/>
    <x:pageSetUpPr fitToPage="1"/>
  </x:sheetPr>
  <x:dimension ref="A1:M26"/>
  <x:sheetViews>
    <x:sheetView zoomScale="95" zoomScaleNormal="95" workbookViewId="0">
      <x:selection activeCell="C12" sqref="C12"/>
    </x:sheetView>
  </x:sheetViews>
  <x:sheetFormatPr defaultColWidth="9.109375" defaultRowHeight="12.7" x14ac:dyDescent="0.25"/>
  <x:cols>
    <x:col min="1" max="1" width="5.5546875" style="1" customWidth="1"/>
    <x:col min="2" max="2" width="28.109375" style="1" bestFit="1" customWidth="1"/>
    <x:col min="3" max="3" width="15.109375" style="1" bestFit="1" customWidth="1"/>
    <x:col min="4" max="4" width="17.109375" style="1" customWidth="1"/>
    <x:col min="5" max="5" width="19.109375" style="1" customWidth="1"/>
    <x:col min="6" max="6" width="20.5546875" style="1" customWidth="1"/>
    <x:col min="7" max="7" width="12.109375" style="1" customWidth="1"/>
    <x:col min="8" max="8" width="17.44140625" style="1" customWidth="1"/>
    <x:col min="9" max="9" width="17.5546875" style="1" customWidth="1"/>
    <x:col min="10" max="10" width="12" style="1" bestFit="1" customWidth="1"/>
    <x:col min="11" max="11" width="18.44140625" style="1" bestFit="1" customWidth="1"/>
    <x:col min="12" max="12" width="9.109375" style="1"/>
    <x:col min="13" max="13" width="16.88671875" style="1" bestFit="1" customWidth="1"/>
    <x:col min="14" max="16384" width="9.109375" style="1"/>
  </x:cols>
  <x:sheetData>
    <x:row r="1" spans="1:13" s="41" customFormat="1" x14ac:dyDescent="0.25">
      <x:c r="A1" s="180" t="s">
        <x:v>523</x:v>
      </x:c>
      <x:c r="B1" s="180"/>
      <x:c r="C1" s="180"/>
      <x:c r="D1" s="180"/>
    </x:row>
    <x:row r="2" spans="1:13" s="41" customFormat="1" x14ac:dyDescent="0.25">
      <x:c r="A2" s="180" t="str">
        <x:f>' '!A2</x:f>
        <x:v>ONCOR ELECTRIC DELIVERY COMPANY LLC</x:v>
      </x:c>
      <x:c r="B2" s="180"/>
      <x:c r="C2" s="180"/>
      <x:c r="D2" s="180"/>
    </x:row>
    <x:row r="3" spans="1:13" s="41" customFormat="1" x14ac:dyDescent="0.25">
      <x:c r="A3" s="182" t="s">
        <x:v>265</x:v>
      </x:c>
      <x:c r="B3" s="182"/>
      <x:c r="C3" s="182"/>
      <x:c r="D3" s="182"/>
      <x:c r="E3" s="182"/>
      <x:c r="F3" s="182"/>
      <x:c r="G3" s="182"/>
      <x:c r="H3" s="182"/>
      <x:c r="I3" s="182"/>
    </x:row>
    <x:row r="4" spans="1:13" s="41" customFormat="1" x14ac:dyDescent="0.25">
      <x:c r="A4" s="767" t="s">
        <x:v>524</x:v>
      </x:c>
      <x:c r="B4" s="180"/>
      <x:c r="C4" s="180"/>
      <x:c r="D4" s="180"/>
    </x:row>
    <x:row r="5" spans="1:13" s="41" customFormat="1" x14ac:dyDescent="0.25">
      <x:c r="A5" s="180" t="s">
        <x:v>486</x:v>
      </x:c>
      <x:c r="B5" s="180"/>
      <x:c r="C5" s="180"/>
      <x:c r="D5" s="180"/>
      <x:c r="H5" s="41" t="s">
        <x:v>464</x:v>
      </x:c>
    </x:row>
    <x:row r="7" spans="1:13" ht="25.35" x14ac:dyDescent="0.25">
      <x:c r="A7" s="189" t="s">
        <x:v>65</x:v>
      </x:c>
      <x:c r="B7" s="32" t="s">
        <x:v>23</x:v>
      </x:c>
      <x:c r="C7" s="189" t="s">
        <x:v>195</x:v>
      </x:c>
      <x:c r="D7" s="279" t="s">
        <x:v>66</x:v>
      </x:c>
      <x:c r="E7" s="32" t="s">
        <x:v>25</x:v>
      </x:c>
      <x:c r="F7" s="32" t="s">
        <x:v>41</x:v>
      </x:c>
      <x:c r="G7" s="32" t="s">
        <x:v>25</x:v>
      </x:c>
      <x:c r="H7" s="32" t="s">
        <x:v>31</x:v>
      </x:c>
      <x:c r="I7" s="32" t="s">
        <x:v>25</x:v>
      </x:c>
      <x:c r="J7" s="32" t="s">
        <x:v>42</x:v>
      </x:c>
      <x:c r="K7" s="32" t="s">
        <x:v>38</x:v>
      </x:c>
    </x:row>
    <x:row r="8" spans="1:13" x14ac:dyDescent="0.25">
      <x:c r="A8" s="94"/>
      <x:c r="B8" s="51" t="s">
        <x:v>50</x:v>
      </x:c>
      <x:c r="C8" s="51" t="s">
        <x:v>51</x:v>
      </x:c>
      <x:c r="D8" s="280" t="s">
        <x:v>57</x:v>
      </x:c>
      <x:c r="E8" s="40" t="s">
        <x:v>52</x:v>
      </x:c>
      <x:c r="F8" s="40" t="s">
        <x:v>53</x:v>
      </x:c>
      <x:c r="G8" s="40" t="s">
        <x:v>54</x:v>
      </x:c>
      <x:c r="H8" s="40" t="s">
        <x:v>55</x:v>
      </x:c>
      <x:c r="I8" s="40" t="s">
        <x:v>58</x:v>
      </x:c>
      <x:c r="J8" s="40" t="s">
        <x:v>59</x:v>
      </x:c>
      <x:c r="K8" s="40" t="s">
        <x:v>67</x:v>
      </x:c>
    </x:row>
    <x:row r="10" spans="1:13" x14ac:dyDescent="0.25">
      <x:c r="A10" s="3">
        <x:v>1</x:v>
      </x:c>
      <x:c r="B10" s="1" t="s">
        <x:v>405</x:v>
      </x:c>
      <x:c r="C10" s="761">
        <x:f>+C12-C11</x:f>
        <x:v>68494555.859999999</x:v>
      </x:c>
      <x:c r="E10" s="647" t="s">
        <x:v>464</x:v>
      </x:c>
    </x:row>
    <x:row r="11" spans="1:13" x14ac:dyDescent="0.25">
      <x:c r="A11" s="3">
        <x:f t="shared" ref="A11:A20" si="0">A10+1</x:f>
        <x:v>2</x:v>
      </x:c>
      <x:c r="B11" s="635" t="s">
        <x:v>460</x:v>
      </x:c>
      <x:c r="C11" s="762">
        <x:v>-5816139.6999999993</x:v>
      </x:c>
    </x:row>
    <x:row r="12" spans="1:13" x14ac:dyDescent="0.25">
      <x:c r="A12" s="3">
        <x:f t="shared" si="0"/>
        <x:v>3</x:v>
      </x:c>
      <x:c r="B12" s="635" t="s">
        <x:v>461</x:v>
      </x:c>
      <x:c r="C12" s="763">
        <x:v>62678416.159999996</x:v>
      </x:c>
      <x:c r="E12" s="647" t="s">
        <x:v>462</x:v>
      </x:c>
    </x:row>
    <x:row r="13" spans="1:13" x14ac:dyDescent="0.25">
      <x:c r="A13" s="3"/>
      <x:c r="B13" s="635"/>
      <x:c r="C13" s="763"/>
    </x:row>
    <x:row r="14" spans="1:13" x14ac:dyDescent="0.25">
      <x:c r="A14" s="3">
        <x:f>A12+1</x:f>
        <x:v>4</x:v>
      </x:c>
      <x:c r="C14" s="764"/>
      <x:c r="M14" s="41"/>
    </x:row>
    <x:row r="15" spans="1:13" x14ac:dyDescent="0.25">
      <x:c r="A15" s="3">
        <x:f t="shared" si="0"/>
        <x:v>5</x:v>
      </x:c>
      <x:c r="B15" s="1" t="s">
        <x:v>32</x:v>
      </x:c>
      <x:c r="C15" s="763">
        <x:f>+C17*D15</x:f>
        <x:v>62647076.951920003</x:v>
      </x:c>
      <x:c r="D15" s="433">
        <x:f>+'2-1'!F18</x:f>
        <x:v>0.99950000000000006</x:v>
      </x:c>
      <x:c r="E15" s="54" t="s">
        <x:v>185</x:v>
      </x:c>
      <x:c r="F15" s="343">
        <x:f>'3-1'!F34</x:f>
        <x:v>-255.75</x:v>
      </x:c>
      <x:c r="G15" s="54" t="s">
        <x:v>226</x:v>
      </x:c>
      <x:c r="H15" s="343">
        <x:v>0</x:v>
      </x:c>
      <x:c r="I15" s="54"/>
      <x:c r="J15" s="249">
        <x:f>+H15+F15</x:f>
        <x:v>-255.75</x:v>
      </x:c>
      <x:c r="K15" s="74">
        <x:f>+J15*C15</x:f>
        <x:v>-16021989930.453541</x:v>
      </x:c>
      <x:c r="M15" s="41"/>
    </x:row>
    <x:row r="16" spans="1:13" x14ac:dyDescent="0.25">
      <x:c r="A16" s="3">
        <x:f t="shared" si="0"/>
        <x:v>6</x:v>
      </x:c>
      <x:c r="B16" s="1" t="s">
        <x:v>33</x:v>
      </x:c>
      <x:c r="C16" s="720">
        <x:f>+C17*D16</x:f>
        <x:v>31339.20808</x:v>
      </x:c>
      <x:c r="D16" s="433">
        <x:f>+'2-1'!G18</x:f>
        <x:v>5.0000000000000001E-4</x:v>
      </x:c>
      <x:c r="E16" s="54" t="s">
        <x:v>185</x:v>
      </x:c>
      <x:c r="F16" s="343">
        <x:f>F15</x:f>
        <x:v>-255.75</x:v>
      </x:c>
      <x:c r="G16" s="54" t="s">
        <x:v>226</x:v>
      </x:c>
      <x:c r="H16" s="343">
        <x:f>'2-4'!D14</x:f>
        <x:v>9.02</x:v>
      </x:c>
      <x:c r="I16" s="54" t="s">
        <x:v>228</x:v>
      </x:c>
      <x:c r="J16" s="624">
        <x:f>+H16+F16</x:f>
        <x:v>-246.73</x:v>
      </x:c>
      <x:c r="K16" s="386">
        <x:f>+J16*C16</x:f>
        <x:v>-7732322.8095784001</x:v>
      </x:c>
      <x:c r="M16" s="41"/>
    </x:row>
    <x:row r="17" spans="1:13" x14ac:dyDescent="0.25">
      <x:c r="A17" s="3">
        <x:f t="shared" si="0"/>
        <x:v>7</x:v>
      </x:c>
      <x:c r="B17" s="1" t="s">
        <x:v>406</x:v>
      </x:c>
      <x:c r="C17" s="763">
        <x:f>+C12</x:f>
        <x:v>62678416.159999996</x:v>
      </x:c>
      <x:c r="D17" s="55"/>
      <x:c r="E17" s="46"/>
      <x:c r="F17" s="343"/>
      <x:c r="G17" s="54"/>
      <x:c r="H17" s="65"/>
      <x:c r="I17" s="54"/>
      <x:c r="J17" s="125">
        <x:f>K17/C17</x:f>
        <x:v>-255.74549000000002</x:v>
      </x:c>
      <x:c r="K17" s="74">
        <x:f>+K16+K15</x:f>
        <x:v>-16029722253.263119</x:v>
      </x:c>
      <x:c r="M17" s="41"/>
    </x:row>
    <x:row r="18" spans="1:13" x14ac:dyDescent="0.25">
      <x:c r="A18" s="3">
        <x:f t="shared" si="0"/>
        <x:v>8</x:v>
      </x:c>
      <x:c r="M18" s="41"/>
    </x:row>
    <x:row r="19" spans="1:13" x14ac:dyDescent="0.25">
      <x:c r="A19" s="3">
        <x:f t="shared" si="0"/>
        <x:v>9</x:v>
      </x:c>
    </x:row>
    <x:row r="20" spans="1:13" x14ac:dyDescent="0.25">
      <x:c r="A20" s="3">
        <x:f t="shared" si="0"/>
        <x:v>10</x:v>
      </x:c>
      <x:c r="B20" s="640" t="s">
        <x:v>463</x:v>
      </x:c>
      <x:c r="C20" s="635" t="s">
        <x:v>518</x:v>
      </x:c>
    </x:row>
    <x:row r="24" spans="1:13" x14ac:dyDescent="0.25">
      <x:c r="B24" s="824"/>
      <x:c r="C24" s="698"/>
    </x:row>
    <x:row r="25" spans="1:13" x14ac:dyDescent="0.25">
      <x:c r="B25" s="824"/>
      <x:c r="C25" s="764"/>
    </x:row>
    <x:row r="26" spans="1:13" x14ac:dyDescent="0.25">
      <x:c r="B26" s="764"/>
      <x:c r="C26" s="764"/>
    </x:row>
  </x:sheetData>
  <x:phoneticPr fontId="23" type="noConversion"/>
  <x:printOptions horizontalCentered="1"/>
  <x:pageMargins left="0.5" right="0.5" top="1.5" bottom="0.5" header="1" footer="0.5"/>
  <x:pageSetup scale="71" orientation="landscape" r:id="rId1"/>
  <x:headerFooter alignWithMargins="0">
    <x:oddHeader>&amp;RWP/II-B-9/&amp;A
Page &amp;P of &amp;N</x:oddHeader>
  </x:headerFooter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 codeName="Sheet40">
    <x:tabColor rgb="FF92D050"/>
    <x:pageSetUpPr fitToPage="1"/>
  </x:sheetPr>
  <x:dimension ref="A1:H43"/>
  <x:sheetViews>
    <x:sheetView topLeftCell="A10" zoomScale="90" zoomScaleNormal="90" workbookViewId="0">
      <x:selection activeCell="D37" sqref="D37"/>
    </x:sheetView>
  </x:sheetViews>
  <x:sheetFormatPr defaultColWidth="9.109375" defaultRowHeight="12.7" x14ac:dyDescent="0.25"/>
  <x:cols>
    <x:col min="1" max="1" width="6.88671875" style="1" customWidth="1"/>
    <x:col min="2" max="2" width="13.88671875" style="1" customWidth="1"/>
    <x:col min="3" max="3" width="12.5546875" style="1" bestFit="1" customWidth="1"/>
    <x:col min="4" max="4" width="27" style="1" customWidth="1"/>
    <x:col min="5" max="6" width="10.88671875" style="1" bestFit="1" customWidth="1"/>
    <x:col min="7" max="7" width="9.109375" style="1"/>
    <x:col min="8" max="8" width="23.44140625" style="1" bestFit="1" customWidth="1"/>
    <x:col min="9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</x:row>
    <x:row r="3" spans="1:8" s="41" customFormat="1" x14ac:dyDescent="0.25">
      <x:c r="A3" s="833" t="s">
        <x:v>408</x:v>
      </x:c>
      <x:c r="B3" s="833"/>
      <x:c r="C3" s="833"/>
      <x:c r="D3" s="833"/>
      <x:c r="E3" s="833"/>
      <x:c r="F3" s="833"/>
    </x:row>
    <x:row r="4" spans="1:8" s="41" customFormat="1" x14ac:dyDescent="0.25">
      <x:c r="A4" s="767" t="s">
        <x:v>524</x:v>
      </x:c>
      <x:c r="B4" s="180"/>
      <x:c r="C4" s="180"/>
      <x:c r="D4" s="180"/>
    </x:row>
    <x:row r="5" spans="1:8" s="41" customFormat="1" x14ac:dyDescent="0.25">
      <x:c r="A5" s="180" t="s">
        <x:v>486</x:v>
      </x:c>
      <x:c r="B5" s="180"/>
      <x:c r="C5" s="180"/>
      <x:c r="D5" s="180"/>
      <x:c r="H5" s="41" t="s">
        <x:v>464</x:v>
      </x:c>
    </x:row>
    <x:row r="7" spans="1:8" ht="25.35" x14ac:dyDescent="0.25">
      <x:c r="A7" s="32" t="s">
        <x:v>40</x:v>
      </x:c>
      <x:c r="B7" s="32" t="s">
        <x:v>76</x:v>
      </x:c>
      <x:c r="C7" s="32" t="s">
        <x:v>86</x:v>
      </x:c>
      <x:c r="D7" s="32" t="s">
        <x:v>87</x:v>
      </x:c>
      <x:c r="E7" s="32" t="s">
        <x:v>88</x:v>
      </x:c>
      <x:c r="F7" s="32" t="s">
        <x:v>44</x:v>
      </x:c>
      <x:c r="G7" s="26"/>
    </x:row>
    <x:row r="8" spans="1:8" x14ac:dyDescent="0.25">
      <x:c r="A8" s="38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  <x:c r="G8" s="26"/>
    </x:row>
    <x:row r="9" spans="1:8" x14ac:dyDescent="0.25">
      <x:c r="F9" s="23"/>
    </x:row>
    <x:row r="10" spans="1:8" x14ac:dyDescent="0.25">
      <x:c r="A10" s="3">
        <x:v>1</x:v>
      </x:c>
      <x:c r="B10" s="677">
        <x:v>45200</x:v>
      </x:c>
      <x:c r="C10" s="678">
        <x:v>45230</x:v>
      </x:c>
      <x:c r="D10" s="436">
        <x:f>IF(C10=0,"",DATE(YEAR(C10),MONTH(C10),1)+INT(DAY(DATE(YEAR(C10),MONTH(C10)+1,1)-1)/2)-0.5)</x:f>
        <x:v>45214.5</x:v>
      </x:c>
      <x:c r="E10" s="436">
        <x:v>45362</x:v>
      </x:c>
      <x:c r="F10" s="368">
        <x:f>D10-E10</x:f>
        <x:v>-147.5</x:v>
      </x:c>
      <x:c r="H10" s="291"/>
    </x:row>
    <x:row r="11" spans="1:8" x14ac:dyDescent="0.25">
      <x:c r="A11" s="3">
        <x:v>2</x:v>
      </x:c>
      <x:c r="B11" s="647"/>
      <x:c r="C11" s="678"/>
      <x:c r="D11" s="437"/>
      <x:c r="E11" s="437"/>
      <x:c r="F11" s="368"/>
      <x:c r="H11" s="85"/>
    </x:row>
    <x:row r="12" spans="1:8" x14ac:dyDescent="0.25">
      <x:c r="A12" s="3">
        <x:v>3</x:v>
      </x:c>
      <x:c r="B12" s="677">
        <x:f>B10+31</x:f>
        <x:v>45231</x:v>
      </x:c>
      <x:c r="C12" s="678">
        <x:f>C10+30</x:f>
        <x:v>45260</x:v>
      </x:c>
      <x:c r="D12" s="436">
        <x:f>IF(C12=0,"",DATE(YEAR(C12),MONTH(C12),1)+INT(DAY(DATE(YEAR(C12),MONTH(C12)+1,1)-1)/2)-0.5)</x:f>
        <x:v>45245.5</x:v>
      </x:c>
      <x:c r="E12" s="436">
        <x:f>$E$10</x:f>
        <x:v>45362</x:v>
      </x:c>
      <x:c r="F12" s="368">
        <x:f>D12-E12</x:f>
        <x:v>-116.5</x:v>
      </x:c>
      <x:c r="H12" s="85"/>
    </x:row>
    <x:row r="13" spans="1:8" x14ac:dyDescent="0.25">
      <x:c r="A13" s="3">
        <x:v>4</x:v>
      </x:c>
      <x:c r="B13" s="647"/>
      <x:c r="C13" s="678"/>
      <x:c r="D13" s="437"/>
      <x:c r="E13" s="437"/>
      <x:c r="F13" s="368"/>
      <x:c r="H13" s="85"/>
    </x:row>
    <x:row r="14" spans="1:8" x14ac:dyDescent="0.25">
      <x:c r="A14" s="3">
        <x:v>5</x:v>
      </x:c>
      <x:c r="B14" s="677">
        <x:f>B12+30</x:f>
        <x:v>45261</x:v>
      </x:c>
      <x:c r="C14" s="678">
        <x:f>C12+31</x:f>
        <x:v>45291</x:v>
      </x:c>
      <x:c r="D14" s="436">
        <x:f>IF(C14=0,"",DATE(YEAR(C14),MONTH(C14),1)+INT(DAY(DATE(YEAR(C14),MONTH(C14)+1,1)-1)/2)-0.5)</x:f>
        <x:v>45275.5</x:v>
      </x:c>
      <x:c r="E14" s="436">
        <x:f>$E$10</x:f>
        <x:v>45362</x:v>
      </x:c>
      <x:c r="F14" s="368">
        <x:f>D14-E14</x:f>
        <x:v>-86.5</x:v>
      </x:c>
      <x:c r="H14" s="85"/>
    </x:row>
    <x:row r="15" spans="1:8" x14ac:dyDescent="0.25">
      <x:c r="A15" s="3">
        <x:v>6</x:v>
      </x:c>
      <x:c r="B15" s="647"/>
      <x:c r="C15" s="678"/>
      <x:c r="D15" s="437"/>
      <x:c r="E15" s="437"/>
      <x:c r="F15" s="368"/>
      <x:c r="H15" s="85"/>
    </x:row>
    <x:row r="16" spans="1:8" x14ac:dyDescent="0.25">
      <x:c r="A16" s="3">
        <x:v>7</x:v>
      </x:c>
      <x:c r="B16" s="677">
        <x:f>B14+31</x:f>
        <x:v>45292</x:v>
      </x:c>
      <x:c r="C16" s="678">
        <x:f>C14+31</x:f>
        <x:v>45322</x:v>
      </x:c>
      <x:c r="D16" s="436">
        <x:f>IF(C16=0,"",DATE(YEAR(C16),MONTH(C16),1)+INT(DAY(DATE(YEAR(C16),MONTH(C16)+1,1)-1)/2)-0.5)</x:f>
        <x:v>45306.5</x:v>
      </x:c>
      <x:c r="E16" s="436">
        <x:v>45730</x:v>
      </x:c>
      <x:c r="F16" s="368">
        <x:f>D16-E16</x:f>
        <x:v>-423.5</x:v>
      </x:c>
      <x:c r="H16" s="85"/>
    </x:row>
    <x:row r="17" spans="1:8" x14ac:dyDescent="0.25">
      <x:c r="A17" s="3">
        <x:v>8</x:v>
      </x:c>
      <x:c r="B17" s="647"/>
      <x:c r="C17" s="678"/>
      <x:c r="D17" s="437"/>
      <x:c r="E17" s="437"/>
      <x:c r="F17" s="368"/>
      <x:c r="H17" s="85"/>
    </x:row>
    <x:row r="18" spans="1:8" x14ac:dyDescent="0.25">
      <x:c r="A18" s="3">
        <x:v>9</x:v>
      </x:c>
      <x:c r="B18" s="677">
        <x:f>B16+31</x:f>
        <x:v>45323</x:v>
      </x:c>
      <x:c r="C18" s="678">
        <x:v>45350</x:v>
      </x:c>
      <x:c r="D18" s="436">
        <x:f>IF(C18=0,"",DATE(YEAR(C18),MONTH(C18),1)+INT(DAY(DATE(YEAR(C18),MONTH(C18)+1,1)-1)/2)-0.5)</x:f>
        <x:v>45336.5</x:v>
      </x:c>
      <x:c r="E18" s="436">
        <x:f>+E16</x:f>
        <x:v>45730</x:v>
      </x:c>
      <x:c r="F18" s="368">
        <x:f>D18-E18</x:f>
        <x:v>-393.5</x:v>
      </x:c>
      <x:c r="H18" s="85"/>
    </x:row>
    <x:row r="19" spans="1:8" x14ac:dyDescent="0.25">
      <x:c r="A19" s="3">
        <x:v>10</x:v>
      </x:c>
      <x:c r="B19" s="647"/>
      <x:c r="C19" s="678"/>
      <x:c r="D19" s="437"/>
      <x:c r="E19" s="437"/>
      <x:c r="F19" s="368"/>
      <x:c r="H19" s="85"/>
    </x:row>
    <x:row r="20" spans="1:8" x14ac:dyDescent="0.25">
      <x:c r="A20" s="3">
        <x:v>11</x:v>
      </x:c>
      <x:c r="B20" s="677">
        <x:f>B18+29</x:f>
        <x:v>45352</x:v>
      </x:c>
      <x:c r="C20" s="678">
        <x:v>45382</x:v>
      </x:c>
      <x:c r="D20" s="436">
        <x:f>IF(C20=0,"",DATE(YEAR(C20),MONTH(C20),1)+INT(DAY(DATE(YEAR(C20),MONTH(C20)+1,1)-1)/2)-0.5)</x:f>
        <x:v>45366.5</x:v>
      </x:c>
      <x:c r="E20" s="436">
        <x:f>+E18</x:f>
        <x:v>45730</x:v>
      </x:c>
      <x:c r="F20" s="368">
        <x:f>D20-E20</x:f>
        <x:v>-363.5</x:v>
      </x:c>
      <x:c r="H20" s="85"/>
    </x:row>
    <x:row r="21" spans="1:8" x14ac:dyDescent="0.25">
      <x:c r="A21" s="3">
        <x:v>12</x:v>
      </x:c>
      <x:c r="B21" s="647"/>
      <x:c r="C21" s="678"/>
      <x:c r="D21" s="437"/>
      <x:c r="E21" s="437"/>
      <x:c r="F21" s="368"/>
      <x:c r="H21" s="85"/>
    </x:row>
    <x:row r="22" spans="1:8" x14ac:dyDescent="0.25">
      <x:c r="A22" s="3">
        <x:v>13</x:v>
      </x:c>
      <x:c r="B22" s="677">
        <x:f>B20+31</x:f>
        <x:v>45383</x:v>
      </x:c>
      <x:c r="C22" s="678">
        <x:f>C20+30</x:f>
        <x:v>45412</x:v>
      </x:c>
      <x:c r="D22" s="436">
        <x:f>IF(C22=0,"",DATE(YEAR(C22),MONTH(C22),1)+INT(DAY(DATE(YEAR(C22),MONTH(C22)+1,1)-1)/2)-0.5)</x:f>
        <x:v>45397.5</x:v>
      </x:c>
      <x:c r="E22" s="436">
        <x:f>+E20</x:f>
        <x:v>45730</x:v>
      </x:c>
      <x:c r="F22" s="368">
        <x:f>D22-E22</x:f>
        <x:v>-332.5</x:v>
      </x:c>
      <x:c r="H22" s="85"/>
    </x:row>
    <x:row r="23" spans="1:8" x14ac:dyDescent="0.25">
      <x:c r="A23" s="3">
        <x:v>14</x:v>
      </x:c>
      <x:c r="B23" s="647"/>
      <x:c r="C23" s="678"/>
      <x:c r="D23" s="437"/>
      <x:c r="E23" s="437"/>
      <x:c r="F23" s="368"/>
      <x:c r="H23" s="85"/>
    </x:row>
    <x:row r="24" spans="1:8" x14ac:dyDescent="0.25">
      <x:c r="A24" s="3">
        <x:v>15</x:v>
      </x:c>
      <x:c r="B24" s="677">
        <x:f>B22+30</x:f>
        <x:v>45413</x:v>
      </x:c>
      <x:c r="C24" s="678">
        <x:f>C22+31</x:f>
        <x:v>45443</x:v>
      </x:c>
      <x:c r="D24" s="436">
        <x:f>IF(C24=0,"",DATE(YEAR(C24),MONTH(C24),1)+INT(DAY(DATE(YEAR(C24),MONTH(C24)+1,1)-1)/2)-0.5)</x:f>
        <x:v>45427.5</x:v>
      </x:c>
      <x:c r="E24" s="436">
        <x:f>E22</x:f>
        <x:v>45730</x:v>
      </x:c>
      <x:c r="F24" s="368">
        <x:f>D24-E24</x:f>
        <x:v>-302.5</x:v>
      </x:c>
      <x:c r="H24" s="85"/>
    </x:row>
    <x:row r="25" spans="1:8" x14ac:dyDescent="0.25">
      <x:c r="A25" s="3">
        <x:v>16</x:v>
      </x:c>
      <x:c r="B25" s="647"/>
      <x:c r="C25" s="678"/>
      <x:c r="D25" s="437"/>
      <x:c r="E25" s="437"/>
      <x:c r="F25" s="368"/>
      <x:c r="H25" s="85"/>
    </x:row>
    <x:row r="26" spans="1:8" x14ac:dyDescent="0.25">
      <x:c r="A26" s="3">
        <x:v>17</x:v>
      </x:c>
      <x:c r="B26" s="677">
        <x:f>B24+31</x:f>
        <x:v>45444</x:v>
      </x:c>
      <x:c r="C26" s="678">
        <x:f>C24+30</x:f>
        <x:v>45473</x:v>
      </x:c>
      <x:c r="D26" s="436">
        <x:f>IF(C26=0,"",DATE(YEAR(C26),MONTH(C26),1)+INT(DAY(DATE(YEAR(C26),MONTH(C26)+1,1)-1)/2)-0.5)</x:f>
        <x:v>45458.5</x:v>
      </x:c>
      <x:c r="E26" s="436">
        <x:f>E24</x:f>
        <x:v>45730</x:v>
      </x:c>
      <x:c r="F26" s="368">
        <x:f>D26-E26</x:f>
        <x:v>-271.5</x:v>
      </x:c>
      <x:c r="H26" s="85"/>
    </x:row>
    <x:row r="27" spans="1:8" x14ac:dyDescent="0.25">
      <x:c r="A27" s="3">
        <x:v>18</x:v>
      </x:c>
      <x:c r="B27" s="647"/>
      <x:c r="C27" s="678"/>
      <x:c r="D27" s="437"/>
      <x:c r="E27" s="437"/>
      <x:c r="F27" s="368"/>
      <x:c r="H27" s="85"/>
    </x:row>
    <x:row r="28" spans="1:8" x14ac:dyDescent="0.25">
      <x:c r="A28" s="3">
        <x:v>19</x:v>
      </x:c>
      <x:c r="B28" s="677">
        <x:f>B26+30</x:f>
        <x:v>45474</x:v>
      </x:c>
      <x:c r="C28" s="678">
        <x:f>C26+31</x:f>
        <x:v>45504</x:v>
      </x:c>
      <x:c r="D28" s="436">
        <x:f>IF(C28=0,"",DATE(YEAR(C28),MONTH(C28),1)+INT(DAY(DATE(YEAR(C28),MONTH(C28)+1,1)-1)/2)-0.5)</x:f>
        <x:v>45488.5</x:v>
      </x:c>
      <x:c r="E28" s="436">
        <x:f>E26</x:f>
        <x:v>45730</x:v>
      </x:c>
      <x:c r="F28" s="368">
        <x:f>D28-E28</x:f>
        <x:v>-241.5</x:v>
      </x:c>
      <x:c r="H28" s="85"/>
    </x:row>
    <x:row r="29" spans="1:8" x14ac:dyDescent="0.25">
      <x:c r="A29" s="3">
        <x:v>20</x:v>
      </x:c>
      <x:c r="B29" s="647"/>
      <x:c r="C29" s="678"/>
      <x:c r="D29" s="437"/>
      <x:c r="E29" s="437"/>
      <x:c r="F29" s="368"/>
      <x:c r="H29" s="85"/>
    </x:row>
    <x:row r="30" spans="1:8" x14ac:dyDescent="0.25">
      <x:c r="A30" s="3">
        <x:v>21</x:v>
      </x:c>
      <x:c r="B30" s="677">
        <x:f>B28+31</x:f>
        <x:v>45505</x:v>
      </x:c>
      <x:c r="C30" s="678">
        <x:f>C28+31</x:f>
        <x:v>45535</x:v>
      </x:c>
      <x:c r="D30" s="436">
        <x:f>IF(C30=0,"",DATE(YEAR(C30),MONTH(C30),1)+INT(DAY(DATE(YEAR(C30),MONTH(C30)+1,1)-1)/2)-0.5)</x:f>
        <x:v>45519.5</x:v>
      </x:c>
      <x:c r="E30" s="436">
        <x:f>E28</x:f>
        <x:v>45730</x:v>
      </x:c>
      <x:c r="F30" s="368">
        <x:f>D30-E30</x:f>
        <x:v>-210.5</x:v>
      </x:c>
      <x:c r="H30" s="85"/>
    </x:row>
    <x:row r="31" spans="1:8" x14ac:dyDescent="0.25">
      <x:c r="A31" s="3">
        <x:v>22</x:v>
      </x:c>
      <x:c r="B31" s="647"/>
      <x:c r="C31" s="678"/>
      <x:c r="D31" s="437"/>
      <x:c r="E31" s="437"/>
      <x:c r="F31" s="368"/>
      <x:c r="H31" s="85"/>
    </x:row>
    <x:row r="32" spans="1:8" x14ac:dyDescent="0.25">
      <x:c r="A32" s="3">
        <x:v>23</x:v>
      </x:c>
      <x:c r="B32" s="677">
        <x:f>B30+31</x:f>
        <x:v>45536</x:v>
      </x:c>
      <x:c r="C32" s="678">
        <x:f>C30+30</x:f>
        <x:v>45565</x:v>
      </x:c>
      <x:c r="D32" s="436">
        <x:f>IF(C32=0,"",DATE(YEAR(C32),MONTH(C32),1)+INT(DAY(DATE(YEAR(C32),MONTH(C32)+1,1)-1)/2)-0.5)</x:f>
        <x:v>45550.5</x:v>
      </x:c>
      <x:c r="E32" s="436">
        <x:f>E30</x:f>
        <x:v>45730</x:v>
      </x:c>
      <x:c r="F32" s="369">
        <x:f>D32-E32</x:f>
        <x:v>-179.5</x:v>
      </x:c>
      <x:c r="H32" s="85"/>
    </x:row>
    <x:row r="33" spans="1:6" x14ac:dyDescent="0.25">
      <x:c r="A33" s="3">
        <x:v>24</x:v>
      </x:c>
      <x:c r="C33" s="92"/>
      <x:c r="D33" s="3"/>
      <x:c r="F33" s="45"/>
    </x:row>
    <x:row r="34" spans="1:6" ht="13.25" thickBot="1" x14ac:dyDescent="0.3">
      <x:c r="A34" s="3">
        <x:v>25</x:v>
      </x:c>
      <x:c r="B34" s="3" t="s">
        <x:v>225</x:v>
      </x:c>
      <x:c r="C34" s="92"/>
      <x:c r="F34" s="370">
        <x:f>ROUND(AVERAGE(F10:F32),2)</x:f>
        <x:v>-255.75</x:v>
      </x:c>
    </x:row>
    <x:row r="35" spans="1:6" ht="13.25" thickTop="1" x14ac:dyDescent="0.25">
      <x:c r="C35" s="92"/>
      <x:c r="F35" s="45"/>
    </x:row>
    <x:row r="36" spans="1:6" x14ac:dyDescent="0.25">
      <x:c r="A36" s="7"/>
      <x:c r="B36" s="212"/>
      <x:c r="C36" s="92"/>
    </x:row>
    <x:row r="37" spans="1:6" x14ac:dyDescent="0.25">
      <x:c r="C37" s="92"/>
    </x:row>
    <x:row r="38" spans="1:6" x14ac:dyDescent="0.25">
      <x:c r="C38" s="92"/>
    </x:row>
    <x:row r="39" spans="1:6" x14ac:dyDescent="0.25">
      <x:c r="C39" s="92"/>
    </x:row>
    <x:row r="40" spans="1:6" x14ac:dyDescent="0.25">
      <x:c r="C40" s="92"/>
    </x:row>
    <x:row r="41" spans="1:6" x14ac:dyDescent="0.25">
      <x:c r="C41" s="92"/>
    </x:row>
    <x:row r="42" spans="1:6" x14ac:dyDescent="0.25">
      <x:c r="C42" s="92"/>
    </x:row>
    <x:row r="43" spans="1:6" x14ac:dyDescent="0.25">
      <x:c r="C43" s="92"/>
    </x:row>
  </x:sheetData>
  <x:mergeCells count="1">
    <x:mergeCell ref="A3:F3"/>
  </x:mergeCells>
  <x:phoneticPr fontId="23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 codeName="Sheet41">
    <x:tabColor rgb="FF92D050"/>
    <x:pageSetUpPr fitToPage="1"/>
  </x:sheetPr>
  <x:dimension ref="A1:I43"/>
  <x:sheetViews>
    <x:sheetView zoomScale="90" zoomScaleNormal="90" workbookViewId="0">
      <x:selection activeCell="D37" sqref="D37"/>
    </x:sheetView>
  </x:sheetViews>
  <x:sheetFormatPr defaultColWidth="9.109375" defaultRowHeight="12.7" x14ac:dyDescent="0.25"/>
  <x:cols>
    <x:col min="1" max="1" width="6.88671875" style="1" customWidth="1"/>
    <x:col min="2" max="2" width="13.88671875" style="1" customWidth="1"/>
    <x:col min="3" max="3" width="12.5546875" style="1" bestFit="1" customWidth="1"/>
    <x:col min="4" max="4" width="27" style="1" customWidth="1"/>
    <x:col min="5" max="5" width="24" style="1" customWidth="1"/>
    <x:col min="6" max="6" width="10.88671875" style="1" bestFit="1" customWidth="1"/>
    <x:col min="7" max="7" width="9.109375" style="1"/>
    <x:col min="8" max="8" width="27.5546875" style="1" bestFit="1" customWidth="1"/>
    <x:col min="9" max="9" width="13.5546875" style="1" bestFit="1" customWidth="1"/>
    <x:col min="10" max="16384" width="9.109375" style="1"/>
  </x:cols>
  <x:sheetData>
    <x:row r="1" spans="1:9" s="41" customFormat="1" x14ac:dyDescent="0.25">
      <x:c r="A1" s="180" t="s">
        <x:v>523</x:v>
      </x:c>
      <x:c r="B1" s="180"/>
      <x:c r="C1" s="180"/>
      <x:c r="D1" s="180"/>
    </x:row>
    <x:row r="2" spans="1:9" s="41" customFormat="1" x14ac:dyDescent="0.25">
      <x:c r="A2" s="180" t="str">
        <x:f>' '!A2</x:f>
        <x:v>ONCOR ELECTRIC DELIVERY COMPANY LLC</x:v>
      </x:c>
      <x:c r="B2" s="180"/>
      <x:c r="C2" s="180"/>
      <x:c r="D2" s="180"/>
    </x:row>
    <x:row r="3" spans="1:9" s="41" customFormat="1" x14ac:dyDescent="0.25">
      <x:c r="A3" s="833" t="s">
        <x:v>267</x:v>
      </x:c>
      <x:c r="B3" s="833"/>
      <x:c r="C3" s="833"/>
      <x:c r="D3" s="833"/>
      <x:c r="E3" s="833"/>
      <x:c r="F3" s="833"/>
    </x:row>
    <x:row r="4" spans="1:9" s="41" customFormat="1" x14ac:dyDescent="0.25">
      <x:c r="A4" s="767" t="s">
        <x:v>524</x:v>
      </x:c>
      <x:c r="B4" s="180"/>
      <x:c r="C4" s="180"/>
      <x:c r="D4" s="180"/>
    </x:row>
    <x:row r="5" spans="1:9" s="41" customFormat="1" x14ac:dyDescent="0.25">
      <x:c r="A5" s="180" t="s">
        <x:v>486</x:v>
      </x:c>
      <x:c r="B5" s="180"/>
      <x:c r="C5" s="180"/>
      <x:c r="D5" s="180"/>
      <x:c r="H5" s="41" t="s">
        <x:v>464</x:v>
      </x:c>
    </x:row>
    <x:row r="7" spans="1:9" ht="25.35" x14ac:dyDescent="0.25">
      <x:c r="A7" s="32" t="s">
        <x:v>40</x:v>
      </x:c>
      <x:c r="B7" s="32" t="s">
        <x:v>76</x:v>
      </x:c>
      <x:c r="C7" s="32" t="s">
        <x:v>86</x:v>
      </x:c>
      <x:c r="D7" s="32" t="s">
        <x:v>87</x:v>
      </x:c>
      <x:c r="E7" s="32" t="s">
        <x:v>88</x:v>
      </x:c>
      <x:c r="F7" s="32" t="s">
        <x:v>44</x:v>
      </x:c>
      <x:c r="G7" s="26"/>
    </x:row>
    <x:row r="8" spans="1:9" x14ac:dyDescent="0.25">
      <x:c r="A8" s="38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  <x:c r="G8" s="26"/>
    </x:row>
    <x:row r="9" spans="1:9" x14ac:dyDescent="0.25">
      <x:c r="F9" s="23"/>
    </x:row>
    <x:row r="10" spans="1:9" x14ac:dyDescent="0.25">
      <x:c r="A10" s="3">
        <x:v>1</x:v>
      </x:c>
      <x:c r="B10" s="620" t="s">
        <x:v>438</x:v>
      </x:c>
      <x:c r="C10" s="435"/>
      <x:c r="D10" s="436"/>
      <x:c r="E10" s="581"/>
      <x:c r="F10" s="368"/>
      <x:c r="H10" s="291"/>
    </x:row>
    <x:row r="11" spans="1:9" x14ac:dyDescent="0.25">
      <x:c r="A11" s="3">
        <x:v>2</x:v>
      </x:c>
      <x:c r="B11" s="3"/>
      <x:c r="C11" s="435"/>
      <x:c r="D11" s="437"/>
      <x:c r="E11" s="437"/>
      <x:c r="F11" s="368"/>
      <x:c r="H11" s="85"/>
    </x:row>
    <x:row r="12" spans="1:9" x14ac:dyDescent="0.25">
      <x:c r="A12" s="3">
        <x:v>3</x:v>
      </x:c>
      <x:c r="B12" s="24"/>
      <x:c r="C12" s="435"/>
      <x:c r="D12" s="436"/>
      <x:c r="E12" s="581"/>
      <x:c r="F12" s="368"/>
      <x:c r="H12" s="85"/>
    </x:row>
    <x:row r="13" spans="1:9" x14ac:dyDescent="0.25">
      <x:c r="A13" s="3">
        <x:v>4</x:v>
      </x:c>
      <x:c r="B13" s="3"/>
      <x:c r="C13" s="435"/>
      <x:c r="D13" s="437"/>
      <x:c r="E13" s="581"/>
      <x:c r="F13" s="368"/>
      <x:c r="H13" s="85"/>
    </x:row>
    <x:row r="14" spans="1:9" x14ac:dyDescent="0.25">
      <x:c r="A14" s="3">
        <x:v>5</x:v>
      </x:c>
      <x:c r="B14" s="24"/>
      <x:c r="C14" s="435"/>
      <x:c r="D14" s="436"/>
      <x:c r="E14" s="581"/>
      <x:c r="F14" s="368"/>
      <x:c r="H14" s="85"/>
    </x:row>
    <x:row r="15" spans="1:9" x14ac:dyDescent="0.25">
      <x:c r="A15" s="3">
        <x:v>6</x:v>
      </x:c>
      <x:c r="B15" s="3"/>
      <x:c r="C15" s="435"/>
      <x:c r="D15" s="437"/>
      <x:c r="E15" s="581"/>
      <x:c r="F15" s="368"/>
      <x:c r="H15" s="85"/>
      <x:c r="I15" s="14"/>
    </x:row>
    <x:row r="16" spans="1:9" x14ac:dyDescent="0.25">
      <x:c r="A16" s="3">
        <x:v>7</x:v>
      </x:c>
      <x:c r="B16" s="24"/>
      <x:c r="C16" s="435"/>
      <x:c r="D16" s="436"/>
      <x:c r="E16" s="581"/>
      <x:c r="F16" s="368"/>
      <x:c r="H16" s="291"/>
    </x:row>
    <x:row r="17" spans="1:8" x14ac:dyDescent="0.25">
      <x:c r="A17" s="3">
        <x:v>8</x:v>
      </x:c>
      <x:c r="B17" s="3"/>
      <x:c r="C17" s="435"/>
      <x:c r="D17" s="437"/>
      <x:c r="E17" s="581"/>
      <x:c r="F17" s="368"/>
      <x:c r="H17" s="85"/>
    </x:row>
    <x:row r="18" spans="1:8" x14ac:dyDescent="0.25">
      <x:c r="A18" s="3">
        <x:v>9</x:v>
      </x:c>
      <x:c r="B18" s="24"/>
      <x:c r="C18" s="435"/>
      <x:c r="D18" s="436"/>
      <x:c r="E18" s="581"/>
      <x:c r="F18" s="368"/>
      <x:c r="H18" s="85"/>
    </x:row>
    <x:row r="19" spans="1:8" x14ac:dyDescent="0.25">
      <x:c r="A19" s="3">
        <x:v>10</x:v>
      </x:c>
      <x:c r="B19" s="3"/>
      <x:c r="C19" s="435"/>
      <x:c r="D19" s="437"/>
      <x:c r="E19" s="581"/>
      <x:c r="F19" s="368"/>
      <x:c r="H19" s="85"/>
    </x:row>
    <x:row r="20" spans="1:8" x14ac:dyDescent="0.25">
      <x:c r="A20" s="3">
        <x:v>11</x:v>
      </x:c>
      <x:c r="B20" s="24"/>
      <x:c r="C20" s="435"/>
      <x:c r="D20" s="436"/>
      <x:c r="E20" s="581"/>
      <x:c r="F20" s="368"/>
      <x:c r="H20" s="85"/>
    </x:row>
    <x:row r="21" spans="1:8" x14ac:dyDescent="0.25">
      <x:c r="A21" s="3">
        <x:v>12</x:v>
      </x:c>
      <x:c r="B21" s="3"/>
      <x:c r="C21" s="435"/>
      <x:c r="D21" s="437"/>
      <x:c r="E21" s="581"/>
      <x:c r="F21" s="368"/>
      <x:c r="H21" s="85"/>
    </x:row>
    <x:row r="22" spans="1:8" x14ac:dyDescent="0.25">
      <x:c r="A22" s="3">
        <x:v>13</x:v>
      </x:c>
      <x:c r="B22" s="24"/>
      <x:c r="C22" s="435"/>
      <x:c r="D22" s="436"/>
      <x:c r="E22" s="581"/>
      <x:c r="F22" s="368"/>
      <x:c r="H22" s="291"/>
    </x:row>
    <x:row r="23" spans="1:8" x14ac:dyDescent="0.25">
      <x:c r="A23" s="3">
        <x:v>14</x:v>
      </x:c>
      <x:c r="B23" s="3"/>
      <x:c r="C23" s="435"/>
      <x:c r="D23" s="437"/>
      <x:c r="E23" s="581"/>
      <x:c r="F23" s="368"/>
      <x:c r="H23" s="85"/>
    </x:row>
    <x:row r="24" spans="1:8" x14ac:dyDescent="0.25">
      <x:c r="A24" s="3">
        <x:v>15</x:v>
      </x:c>
      <x:c r="B24" s="24"/>
      <x:c r="C24" s="435"/>
      <x:c r="D24" s="436"/>
      <x:c r="E24" s="581"/>
      <x:c r="F24" s="368"/>
      <x:c r="H24" s="85"/>
    </x:row>
    <x:row r="25" spans="1:8" x14ac:dyDescent="0.25">
      <x:c r="A25" s="3">
        <x:v>16</x:v>
      </x:c>
      <x:c r="B25" s="3"/>
      <x:c r="C25" s="435"/>
      <x:c r="D25" s="437"/>
      <x:c r="E25" s="581"/>
      <x:c r="F25" s="368"/>
      <x:c r="H25" s="85"/>
    </x:row>
    <x:row r="26" spans="1:8" x14ac:dyDescent="0.25">
      <x:c r="A26" s="3">
        <x:v>17</x:v>
      </x:c>
      <x:c r="B26" s="24"/>
      <x:c r="C26" s="435"/>
      <x:c r="D26" s="436"/>
      <x:c r="E26" s="581"/>
      <x:c r="F26" s="368"/>
      <x:c r="H26" s="85"/>
    </x:row>
    <x:row r="27" spans="1:8" x14ac:dyDescent="0.25">
      <x:c r="A27" s="3">
        <x:v>18</x:v>
      </x:c>
      <x:c r="B27" s="3"/>
      <x:c r="C27" s="435"/>
      <x:c r="D27" s="437"/>
      <x:c r="E27" s="581"/>
      <x:c r="F27" s="368"/>
      <x:c r="H27" s="85"/>
    </x:row>
    <x:row r="28" spans="1:8" x14ac:dyDescent="0.25">
      <x:c r="A28" s="3">
        <x:v>19</x:v>
      </x:c>
      <x:c r="B28" s="24"/>
      <x:c r="C28" s="435"/>
      <x:c r="D28" s="436"/>
      <x:c r="E28" s="581"/>
      <x:c r="F28" s="368"/>
      <x:c r="H28" s="291"/>
    </x:row>
    <x:row r="29" spans="1:8" x14ac:dyDescent="0.25">
      <x:c r="A29" s="3">
        <x:v>20</x:v>
      </x:c>
      <x:c r="B29" s="3"/>
      <x:c r="C29" s="435"/>
      <x:c r="D29" s="437"/>
      <x:c r="E29" s="581"/>
      <x:c r="F29" s="368"/>
      <x:c r="H29" s="85"/>
    </x:row>
    <x:row r="30" spans="1:8" x14ac:dyDescent="0.25">
      <x:c r="A30" s="3">
        <x:v>21</x:v>
      </x:c>
      <x:c r="B30" s="24"/>
      <x:c r="C30" s="435"/>
      <x:c r="D30" s="436"/>
      <x:c r="E30" s="581"/>
      <x:c r="F30" s="368"/>
      <x:c r="H30" s="85"/>
    </x:row>
    <x:row r="31" spans="1:8" x14ac:dyDescent="0.25">
      <x:c r="A31" s="3">
        <x:v>22</x:v>
      </x:c>
      <x:c r="B31" s="3"/>
      <x:c r="C31" s="435"/>
      <x:c r="D31" s="437"/>
      <x:c r="E31" s="581"/>
      <x:c r="F31" s="368"/>
      <x:c r="H31" s="85"/>
    </x:row>
    <x:row r="32" spans="1:8" x14ac:dyDescent="0.25">
      <x:c r="A32" s="3">
        <x:v>23</x:v>
      </x:c>
      <x:c r="B32" s="24"/>
      <x:c r="C32" s="435"/>
      <x:c r="D32" s="436"/>
      <x:c r="E32" s="581"/>
      <x:c r="F32" s="619"/>
      <x:c r="H32" s="85"/>
    </x:row>
    <x:row r="33" spans="1:6" x14ac:dyDescent="0.25">
      <x:c r="A33" s="3">
        <x:v>24</x:v>
      </x:c>
      <x:c r="C33" s="92"/>
      <x:c r="D33" s="3"/>
      <x:c r="F33" s="286"/>
    </x:row>
    <x:row r="34" spans="1:6" x14ac:dyDescent="0.25">
      <x:c r="A34" s="3">
        <x:v>25</x:v>
      </x:c>
      <x:c r="B34" s="3"/>
      <x:c r="C34" s="92"/>
      <x:c r="F34" s="619"/>
    </x:row>
    <x:row r="35" spans="1:6" x14ac:dyDescent="0.25">
      <x:c r="C35" s="92"/>
      <x:c r="F35" s="286"/>
    </x:row>
    <x:row r="36" spans="1:6" x14ac:dyDescent="0.25">
      <x:c r="A36" s="7"/>
      <x:c r="B36" s="212"/>
      <x:c r="C36" s="92"/>
    </x:row>
    <x:row r="37" spans="1:6" x14ac:dyDescent="0.25">
      <x:c r="C37" s="92"/>
    </x:row>
    <x:row r="38" spans="1:6" x14ac:dyDescent="0.25">
      <x:c r="C38" s="92"/>
    </x:row>
    <x:row r="39" spans="1:6" x14ac:dyDescent="0.25">
      <x:c r="C39" s="92"/>
    </x:row>
    <x:row r="40" spans="1:6" x14ac:dyDescent="0.25">
      <x:c r="C40" s="92"/>
    </x:row>
    <x:row r="41" spans="1:6" x14ac:dyDescent="0.25">
      <x:c r="C41" s="92"/>
    </x:row>
    <x:row r="42" spans="1:6" x14ac:dyDescent="0.25">
      <x:c r="C42" s="92"/>
    </x:row>
    <x:row r="43" spans="1:6" x14ac:dyDescent="0.25">
      <x:c r="C43" s="92"/>
    </x:row>
  </x:sheetData>
  <x:mergeCells count="1">
    <x:mergeCell ref="A3:F3"/>
  </x:mergeCells>
  <x:phoneticPr fontId="23" type="noConversion"/>
  <x:printOptions horizontalCentered="1"/>
  <x:pageMargins left="0.5" right="0.5" top="1.5" bottom="0.5" header="1" footer="0.5"/>
  <x:pageSetup scale="98" orientation="landscape" r:id="rId1"/>
  <x:headerFooter alignWithMargins="0">
    <x:oddHeader>&amp;RWP/II-B-9/&amp;A
Page &amp;P of &amp;N</x:oddHeader>
  </x:headerFooter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 codeName="Sheet392">
    <x:tabColor rgb="FF92D050"/>
    <x:pageSetUpPr fitToPage="1"/>
  </x:sheetPr>
  <x:dimension ref="A1:N27"/>
  <x:sheetViews>
    <x:sheetView showGridLines="0" topLeftCell="A10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9.44140625" style="1" bestFit="1" customWidth="1"/>
    <x:col min="3" max="4" width="12.44140625" style="1" bestFit="1" customWidth="1"/>
    <x:col min="5" max="5" width="10.5546875" style="1" bestFit="1" customWidth="1"/>
    <x:col min="6" max="6" width="10.44140625" style="1" bestFit="1" customWidth="1"/>
    <x:col min="7" max="7" width="12.109375" style="1" customWidth="1"/>
    <x:col min="8" max="8" width="12.109375" style="31" bestFit="1" customWidth="1"/>
    <x:col min="9" max="9" width="15.44140625" style="1" customWidth="1"/>
    <x:col min="10" max="10" width="10.109375" style="1" customWidth="1"/>
    <x:col min="11" max="11" width="11" style="23" bestFit="1" customWidth="1"/>
    <x:col min="12" max="13" width="9.109375" style="1"/>
    <x:col min="14" max="14" width="29" style="1" bestFit="1" customWidth="1"/>
    <x:col min="15" max="16384" width="9.109375" style="1"/>
  </x:cols>
  <x:sheetData>
    <x:row r="1" spans="1:14" s="41" customFormat="1" x14ac:dyDescent="0.25">
      <x:c r="A1" s="180" t="s">
        <x:v>523</x:v>
      </x:c>
      <x:c r="B1" s="180"/>
      <x:c r="C1" s="180"/>
      <x:c r="D1" s="180"/>
      <x:c r="E1" s="180"/>
      <x:c r="H1" s="43"/>
    </x:row>
    <x:row r="2" spans="1:14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  <x:c r="H2" s="43"/>
    </x:row>
    <x:row r="3" spans="1:14" s="41" customFormat="1" x14ac:dyDescent="0.25">
      <x:c r="A3" s="180" t="s">
        <x:v>472</x:v>
      </x:c>
      <x:c r="B3" s="180"/>
      <x:c r="C3" s="180"/>
      <x:c r="D3" s="180"/>
      <x:c r="E3" s="180"/>
      <x:c r="H3" s="43"/>
    </x:row>
    <x:row r="4" spans="1:14" s="41" customFormat="1" x14ac:dyDescent="0.25">
      <x:c r="A4" s="767" t="s">
        <x:v>524</x:v>
      </x:c>
      <x:c r="B4" s="180"/>
      <x:c r="C4" s="180"/>
      <x:c r="D4" s="180"/>
      <x:c r="E4" s="180"/>
      <x:c r="H4" s="43"/>
    </x:row>
    <x:row r="5" spans="1:14" s="41" customFormat="1" x14ac:dyDescent="0.25">
      <x:c r="A5" s="180" t="s">
        <x:v>486</x:v>
      </x:c>
      <x:c r="B5" s="180"/>
      <x:c r="C5" s="180"/>
      <x:c r="D5" s="180"/>
      <x:c r="E5" s="180"/>
      <x:c r="H5" s="43" t="s">
        <x:v>464</x:v>
      </x:c>
    </x:row>
    <x:row r="6" spans="1:14" ht="14.25" customHeight="1" x14ac:dyDescent="0.25">
      <x:c r="A6" s="22"/>
      <x:c r="B6" s="22"/>
      <x:c r="C6" s="22"/>
      <x:c r="D6" s="22"/>
      <x:c r="E6" s="22"/>
      <x:c r="F6" s="22"/>
      <x:c r="G6" s="22"/>
      <x:c r="H6" s="192"/>
      <x:c r="I6" s="22"/>
      <x:c r="J6" s="22"/>
      <x:c r="K6" s="22"/>
    </x:row>
    <x:row r="7" spans="1:14" ht="15.55" x14ac:dyDescent="0.3">
      <x:c r="A7" s="22" t="s">
        <x:v>35</x:v>
      </x:c>
      <x:c r="B7" s="25"/>
      <x:c r="C7" s="34"/>
      <x:c r="D7" s="34"/>
      <x:c r="E7" s="34"/>
      <x:c r="F7" s="34"/>
      <x:c r="G7" s="22" t="s">
        <x:v>94</x:v>
      </x:c>
      <x:c r="H7" s="192" t="s">
        <x:v>94</x:v>
      </x:c>
      <x:c r="I7" s="22" t="s">
        <x:v>233</x:v>
      </x:c>
      <x:c r="J7" s="25" t="s">
        <x:v>99</x:v>
      </x:c>
      <x:c r="K7" s="307" t="s">
        <x:v>41</x:v>
      </x:c>
    </x:row>
    <x:row r="8" spans="1:14" x14ac:dyDescent="0.25">
      <x:c r="A8" s="56" t="s">
        <x:v>36</x:v>
      </x:c>
      <x:c r="B8" s="56" t="s">
        <x:v>76</x:v>
      </x:c>
      <x:c r="C8" s="56" t="s">
        <x:v>16</x:v>
      </x:c>
      <x:c r="D8" s="56" t="s">
        <x:v>43</x:v>
      </x:c>
      <x:c r="E8" s="68" t="s">
        <x:v>17</x:v>
      </x:c>
      <x:c r="F8" s="56" t="s">
        <x:v>18</x:v>
      </x:c>
      <x:c r="G8" s="56" t="s">
        <x:v>231</x:v>
      </x:c>
      <x:c r="H8" s="194" t="s">
        <x:v>232</x:v>
      </x:c>
      <x:c r="I8" s="56" t="s">
        <x:v>451</x:v>
      </x:c>
      <x:c r="J8" s="56" t="s">
        <x:v>100</x:v>
      </x:c>
      <x:c r="K8" s="81" t="s">
        <x:v>97</x:v>
      </x:c>
    </x:row>
    <x:row r="9" spans="1:14" x14ac:dyDescent="0.25">
      <x:c r="A9" s="22"/>
      <x:c r="B9" s="40" t="s">
        <x:v>50</x:v>
      </x:c>
      <x:c r="C9" s="40" t="s">
        <x:v>51</x:v>
      </x:c>
      <x:c r="D9" s="40" t="s">
        <x:v>57</x:v>
      </x:c>
      <x:c r="E9" s="40" t="s">
        <x:v>52</x:v>
      </x:c>
      <x:c r="F9" s="40" t="s">
        <x:v>53</x:v>
      </x:c>
      <x:c r="G9" s="20" t="s">
        <x:v>54</x:v>
      </x:c>
      <x:c r="H9" s="226" t="s">
        <x:v>55</x:v>
      </x:c>
      <x:c r="I9" s="20" t="s">
        <x:v>58</x:v>
      </x:c>
      <x:c r="J9" s="20" t="s">
        <x:v>59</x:v>
      </x:c>
      <x:c r="K9" s="308" t="s">
        <x:v>67</x:v>
      </x:c>
    </x:row>
    <x:row r="10" spans="1:14" x14ac:dyDescent="0.25">
      <x:c r="B10" s="3"/>
      <x:c r="C10" s="3"/>
      <x:c r="D10" s="3"/>
      <x:c r="E10" s="9"/>
      <x:c r="F10" s="3"/>
      <x:c r="G10" s="3"/>
      <x:c r="H10" s="90"/>
      <x:c r="I10" s="3"/>
      <x:c r="K10" s="35"/>
    </x:row>
    <x:row r="11" spans="1:14" x14ac:dyDescent="0.25">
      <x:c r="A11" s="3">
        <x:v>1</x:v>
      </x:c>
      <x:c r="B11" s="675">
        <x:v>45200</x:v>
      </x:c>
      <x:c r="C11" s="676">
        <x:v>45200</x:v>
      </x:c>
      <x:c r="D11" s="676">
        <x:v>45230</x:v>
      </x:c>
      <x:c r="E11" s="71">
        <x:f t="shared" ref="E11:E22" si="0">D11-C11+1</x:f>
        <x:v>31</x:v>
      </x:c>
      <x:c r="F11" s="83">
        <x:f t="shared" ref="F11:F22" si="1">E11/2</x:f>
        <x:v>15.5</x:v>
      </x:c>
      <x:c r="G11" s="791">
        <x:v>45260</x:v>
      </x:c>
      <x:c r="H11" s="792">
        <x:v>45260</x:v>
      </x:c>
      <x:c r="I11" s="793">
        <x:f>MAX(G11:H11)</x:f>
        <x:v>45260</x:v>
      </x:c>
      <x:c r="J11" s="84">
        <x:f t="shared" ref="J11:J22" si="2">+I11-D11</x:f>
        <x:v>30</x:v>
      </x:c>
      <x:c r="K11" s="45">
        <x:f t="shared" ref="K11:K22" si="3">-J11-F11</x:f>
        <x:v>-45.5</x:v>
      </x:c>
      <x:c r="M11" s="85"/>
      <x:c r="N11" s="291">
        <x:f>H11</x:f>
        <x:v>45260</x:v>
      </x:c>
    </x:row>
    <x:row r="12" spans="1:14" x14ac:dyDescent="0.25">
      <x:c r="A12" s="3">
        <x:f>A11+1</x:f>
        <x:v>2</x:v>
      </x:c>
      <x:c r="B12" s="675">
        <x:v>45231</x:v>
      </x:c>
      <x:c r="C12" s="676">
        <x:v>45231</x:v>
      </x:c>
      <x:c r="D12" s="676">
        <x:v>45260</x:v>
      </x:c>
      <x:c r="E12" s="71">
        <x:f t="shared" si="0"/>
        <x:v>30</x:v>
      </x:c>
      <x:c r="F12" s="83">
        <x:f t="shared" si="1"/>
        <x:v>15</x:v>
      </x:c>
      <x:c r="G12" s="791">
        <x:v>45289</x:v>
      </x:c>
      <x:c r="H12" s="792">
        <x:v>45289</x:v>
      </x:c>
      <x:c r="I12" s="793">
        <x:f t="shared" ref="I12:I22" si="4">MAX(G12:H12)</x:f>
        <x:v>45289</x:v>
      </x:c>
      <x:c r="J12" s="84">
        <x:f t="shared" si="2"/>
        <x:v>29</x:v>
      </x:c>
      <x:c r="K12" s="45">
        <x:f t="shared" si="3"/>
        <x:v>-44</x:v>
      </x:c>
      <x:c r="M12" s="85"/>
      <x:c r="N12" s="291">
        <x:f t="shared" ref="N12:N22" si="5">H12</x:f>
        <x:v>45289</x:v>
      </x:c>
    </x:row>
    <x:row r="13" spans="1:14" x14ac:dyDescent="0.25">
      <x:c r="A13" s="3">
        <x:f t="shared" ref="A13:A27" si="6">A12+1</x:f>
        <x:v>3</x:v>
      </x:c>
      <x:c r="B13" s="675">
        <x:v>45261</x:v>
      </x:c>
      <x:c r="C13" s="676">
        <x:v>45261</x:v>
      </x:c>
      <x:c r="D13" s="676">
        <x:v>45291</x:v>
      </x:c>
      <x:c r="E13" s="71">
        <x:f t="shared" si="0"/>
        <x:v>31</x:v>
      </x:c>
      <x:c r="F13" s="83">
        <x:f t="shared" si="1"/>
        <x:v>15.5</x:v>
      </x:c>
      <x:c r="G13" s="791">
        <x:v>45322</x:v>
      </x:c>
      <x:c r="H13" s="792">
        <x:v>45322</x:v>
      </x:c>
      <x:c r="I13" s="793">
        <x:f t="shared" si="4"/>
        <x:v>45322</x:v>
      </x:c>
      <x:c r="J13" s="84">
        <x:f t="shared" si="2"/>
        <x:v>31</x:v>
      </x:c>
      <x:c r="K13" s="45">
        <x:f t="shared" si="3"/>
        <x:v>-46.5</x:v>
      </x:c>
      <x:c r="M13" s="85"/>
      <x:c r="N13" s="291">
        <x:f t="shared" si="5"/>
        <x:v>45322</x:v>
      </x:c>
    </x:row>
    <x:row r="14" spans="1:14" x14ac:dyDescent="0.25">
      <x:c r="A14" s="3">
        <x:f t="shared" si="6"/>
        <x:v>4</x:v>
      </x:c>
      <x:c r="B14" s="675">
        <x:v>45292</x:v>
      </x:c>
      <x:c r="C14" s="676">
        <x:v>45292</x:v>
      </x:c>
      <x:c r="D14" s="676">
        <x:v>45322</x:v>
      </x:c>
      <x:c r="E14" s="71">
        <x:f t="shared" si="0"/>
        <x:v>31</x:v>
      </x:c>
      <x:c r="F14" s="83">
        <x:f t="shared" si="1"/>
        <x:v>15.5</x:v>
      </x:c>
      <x:c r="G14" s="791">
        <x:v>45351</x:v>
      </x:c>
      <x:c r="H14" s="792">
        <x:v>45351</x:v>
      </x:c>
      <x:c r="I14" s="793">
        <x:f t="shared" si="4"/>
        <x:v>45351</x:v>
      </x:c>
      <x:c r="J14" s="84">
        <x:f t="shared" si="2"/>
        <x:v>29</x:v>
      </x:c>
      <x:c r="K14" s="45">
        <x:f t="shared" si="3"/>
        <x:v>-44.5</x:v>
      </x:c>
      <x:c r="M14" s="85"/>
      <x:c r="N14" s="291">
        <x:f t="shared" si="5"/>
        <x:v>45351</x:v>
      </x:c>
    </x:row>
    <x:row r="15" spans="1:14" x14ac:dyDescent="0.25">
      <x:c r="A15" s="3">
        <x:f t="shared" si="6"/>
        <x:v>5</x:v>
      </x:c>
      <x:c r="B15" s="675">
        <x:v>45323</x:v>
      </x:c>
      <x:c r="C15" s="676">
        <x:v>45323</x:v>
      </x:c>
      <x:c r="D15" s="676">
        <x:v>45351</x:v>
      </x:c>
      <x:c r="E15" s="71">
        <x:f t="shared" si="0"/>
        <x:v>29</x:v>
      </x:c>
      <x:c r="F15" s="83">
        <x:f t="shared" si="1"/>
        <x:v>14.5</x:v>
      </x:c>
      <x:c r="G15" s="791">
        <x:v>45380</x:v>
      </x:c>
      <x:c r="H15" s="792">
        <x:v>45380</x:v>
      </x:c>
      <x:c r="I15" s="793">
        <x:f t="shared" si="4"/>
        <x:v>45380</x:v>
      </x:c>
      <x:c r="J15" s="84">
        <x:f t="shared" si="2"/>
        <x:v>29</x:v>
      </x:c>
      <x:c r="K15" s="45">
        <x:f t="shared" si="3"/>
        <x:v>-43.5</x:v>
      </x:c>
      <x:c r="M15" s="85"/>
      <x:c r="N15" s="291">
        <x:f t="shared" si="5"/>
        <x:v>45380</x:v>
      </x:c>
    </x:row>
    <x:row r="16" spans="1:14" x14ac:dyDescent="0.25">
      <x:c r="A16" s="3">
        <x:f t="shared" si="6"/>
        <x:v>6</x:v>
      </x:c>
      <x:c r="B16" s="675">
        <x:v>45352</x:v>
      </x:c>
      <x:c r="C16" s="676">
        <x:v>45352</x:v>
      </x:c>
      <x:c r="D16" s="676">
        <x:v>45382</x:v>
      </x:c>
      <x:c r="E16" s="71">
        <x:f t="shared" si="0"/>
        <x:v>31</x:v>
      </x:c>
      <x:c r="F16" s="83">
        <x:f t="shared" si="1"/>
        <x:v>15.5</x:v>
      </x:c>
      <x:c r="G16" s="791">
        <x:v>45412</x:v>
      </x:c>
      <x:c r="H16" s="792">
        <x:v>45412</x:v>
      </x:c>
      <x:c r="I16" s="793">
        <x:f t="shared" si="4"/>
        <x:v>45412</x:v>
      </x:c>
      <x:c r="J16" s="84">
        <x:f t="shared" si="2"/>
        <x:v>30</x:v>
      </x:c>
      <x:c r="K16" s="45">
        <x:f t="shared" si="3"/>
        <x:v>-45.5</x:v>
      </x:c>
      <x:c r="M16" s="85"/>
      <x:c r="N16" s="291">
        <x:f t="shared" si="5"/>
        <x:v>45412</x:v>
      </x:c>
    </x:row>
    <x:row r="17" spans="1:14" x14ac:dyDescent="0.25">
      <x:c r="A17" s="3">
        <x:f t="shared" si="6"/>
        <x:v>7</x:v>
      </x:c>
      <x:c r="B17" s="675">
        <x:v>45383</x:v>
      </x:c>
      <x:c r="C17" s="676">
        <x:v>45383</x:v>
      </x:c>
      <x:c r="D17" s="676">
        <x:v>45412</x:v>
      </x:c>
      <x:c r="E17" s="71">
        <x:f t="shared" si="0"/>
        <x:v>30</x:v>
      </x:c>
      <x:c r="F17" s="83">
        <x:f t="shared" si="1"/>
        <x:v>15</x:v>
      </x:c>
      <x:c r="G17" s="791">
        <x:v>45443</x:v>
      </x:c>
      <x:c r="H17" s="792">
        <x:v>45443</x:v>
      </x:c>
      <x:c r="I17" s="793">
        <x:f t="shared" si="4"/>
        <x:v>45443</x:v>
      </x:c>
      <x:c r="J17" s="84">
        <x:f t="shared" si="2"/>
        <x:v>31</x:v>
      </x:c>
      <x:c r="K17" s="45">
        <x:f t="shared" si="3"/>
        <x:v>-46</x:v>
      </x:c>
      <x:c r="M17" s="85"/>
      <x:c r="N17" s="291">
        <x:f t="shared" si="5"/>
        <x:v>45443</x:v>
      </x:c>
    </x:row>
    <x:row r="18" spans="1:14" x14ac:dyDescent="0.25">
      <x:c r="A18" s="3">
        <x:f t="shared" si="6"/>
        <x:v>8</x:v>
      </x:c>
      <x:c r="B18" s="675">
        <x:v>45413</x:v>
      </x:c>
      <x:c r="C18" s="676">
        <x:v>45413</x:v>
      </x:c>
      <x:c r="D18" s="676">
        <x:v>45443</x:v>
      </x:c>
      <x:c r="E18" s="71">
        <x:f t="shared" si="0"/>
        <x:v>31</x:v>
      </x:c>
      <x:c r="F18" s="83">
        <x:f t="shared" si="1"/>
        <x:v>15.5</x:v>
      </x:c>
      <x:c r="G18" s="791">
        <x:v>45471</x:v>
      </x:c>
      <x:c r="H18" s="792">
        <x:v>45471</x:v>
      </x:c>
      <x:c r="I18" s="793">
        <x:f t="shared" si="4"/>
        <x:v>45471</x:v>
      </x:c>
      <x:c r="J18" s="84">
        <x:f t="shared" si="2"/>
        <x:v>28</x:v>
      </x:c>
      <x:c r="K18" s="45">
        <x:f t="shared" si="3"/>
        <x:v>-43.5</x:v>
      </x:c>
      <x:c r="M18" s="85"/>
      <x:c r="N18" s="291">
        <x:f t="shared" si="5"/>
        <x:v>45471</x:v>
      </x:c>
    </x:row>
    <x:row r="19" spans="1:14" x14ac:dyDescent="0.25">
      <x:c r="A19" s="3">
        <x:f t="shared" si="6"/>
        <x:v>9</x:v>
      </x:c>
      <x:c r="B19" s="675">
        <x:v>45444</x:v>
      </x:c>
      <x:c r="C19" s="676">
        <x:v>45444</x:v>
      </x:c>
      <x:c r="D19" s="676">
        <x:v>45473</x:v>
      </x:c>
      <x:c r="E19" s="71">
        <x:f t="shared" si="0"/>
        <x:v>30</x:v>
      </x:c>
      <x:c r="F19" s="83">
        <x:f t="shared" si="1"/>
        <x:v>15</x:v>
      </x:c>
      <x:c r="G19" s="791">
        <x:v>45504</x:v>
      </x:c>
      <x:c r="H19" s="792">
        <x:v>45504</x:v>
      </x:c>
      <x:c r="I19" s="793">
        <x:f t="shared" si="4"/>
        <x:v>45504</x:v>
      </x:c>
      <x:c r="J19" s="84">
        <x:f t="shared" si="2"/>
        <x:v>31</x:v>
      </x:c>
      <x:c r="K19" s="45">
        <x:f t="shared" si="3"/>
        <x:v>-46</x:v>
      </x:c>
      <x:c r="M19" s="85"/>
      <x:c r="N19" s="291">
        <x:f t="shared" si="5"/>
        <x:v>45504</x:v>
      </x:c>
    </x:row>
    <x:row r="20" spans="1:14" x14ac:dyDescent="0.25">
      <x:c r="A20" s="3">
        <x:f t="shared" si="6"/>
        <x:v>10</x:v>
      </x:c>
      <x:c r="B20" s="675">
        <x:v>45474</x:v>
      </x:c>
      <x:c r="C20" s="676">
        <x:v>45474</x:v>
      </x:c>
      <x:c r="D20" s="676">
        <x:v>45504</x:v>
      </x:c>
      <x:c r="E20" s="71">
        <x:f t="shared" si="0"/>
        <x:v>31</x:v>
      </x:c>
      <x:c r="F20" s="83">
        <x:f t="shared" si="1"/>
        <x:v>15.5</x:v>
      </x:c>
      <x:c r="G20" s="791">
        <x:v>45534</x:v>
      </x:c>
      <x:c r="H20" s="792">
        <x:v>45534</x:v>
      </x:c>
      <x:c r="I20" s="793">
        <x:f t="shared" si="4"/>
        <x:v>45534</x:v>
      </x:c>
      <x:c r="J20" s="84">
        <x:f t="shared" si="2"/>
        <x:v>30</x:v>
      </x:c>
      <x:c r="K20" s="45">
        <x:f t="shared" si="3"/>
        <x:v>-45.5</x:v>
      </x:c>
      <x:c r="M20" s="85"/>
      <x:c r="N20" s="291">
        <x:f t="shared" si="5"/>
        <x:v>45534</x:v>
      </x:c>
    </x:row>
    <x:row r="21" spans="1:14" x14ac:dyDescent="0.25">
      <x:c r="A21" s="3">
        <x:f t="shared" si="6"/>
        <x:v>11</x:v>
      </x:c>
      <x:c r="B21" s="675">
        <x:v>45505</x:v>
      </x:c>
      <x:c r="C21" s="676">
        <x:v>45505</x:v>
      </x:c>
      <x:c r="D21" s="676">
        <x:v>45535</x:v>
      </x:c>
      <x:c r="E21" s="71">
        <x:f t="shared" si="0"/>
        <x:v>31</x:v>
      </x:c>
      <x:c r="F21" s="83">
        <x:f t="shared" si="1"/>
        <x:v>15.5</x:v>
      </x:c>
      <x:c r="G21" s="791">
        <x:v>45565</x:v>
      </x:c>
      <x:c r="H21" s="792">
        <x:v>45565</x:v>
      </x:c>
      <x:c r="I21" s="793">
        <x:f t="shared" si="4"/>
        <x:v>45565</x:v>
      </x:c>
      <x:c r="J21" s="84">
        <x:f t="shared" si="2"/>
        <x:v>30</x:v>
      </x:c>
      <x:c r="K21" s="45">
        <x:f t="shared" si="3"/>
        <x:v>-45.5</x:v>
      </x:c>
      <x:c r="M21" s="85"/>
      <x:c r="N21" s="291">
        <x:f t="shared" si="5"/>
        <x:v>45565</x:v>
      </x:c>
    </x:row>
    <x:row r="22" spans="1:14" x14ac:dyDescent="0.25">
      <x:c r="A22" s="3">
        <x:f t="shared" si="6"/>
        <x:v>12</x:v>
      </x:c>
      <x:c r="B22" s="675">
        <x:v>45536</x:v>
      </x:c>
      <x:c r="C22" s="676">
        <x:v>45536</x:v>
      </x:c>
      <x:c r="D22" s="676">
        <x:v>45565</x:v>
      </x:c>
      <x:c r="E22" s="87">
        <x:f t="shared" si="0"/>
        <x:v>30</x:v>
      </x:c>
      <x:c r="F22" s="88">
        <x:f t="shared" si="1"/>
        <x:v>15</x:v>
      </x:c>
      <x:c r="G22" s="791">
        <x:v>45596</x:v>
      </x:c>
      <x:c r="H22" s="792">
        <x:v>45596</x:v>
      </x:c>
      <x:c r="I22" s="793">
        <x:f t="shared" si="4"/>
        <x:v>45596</x:v>
      </x:c>
      <x:c r="J22" s="84">
        <x:f t="shared" si="2"/>
        <x:v>31</x:v>
      </x:c>
      <x:c r="K22" s="45">
        <x:f t="shared" si="3"/>
        <x:v>-46</x:v>
      </x:c>
      <x:c r="M22" s="85"/>
      <x:c r="N22" s="291">
        <x:f t="shared" si="5"/>
        <x:v>45596</x:v>
      </x:c>
    </x:row>
    <x:row r="23" spans="1:14" x14ac:dyDescent="0.25">
      <x:c r="A23" s="3">
        <x:f t="shared" si="6"/>
        <x:v>13</x:v>
      </x:c>
      <x:c r="B23" s="69"/>
      <x:c r="C23" s="82"/>
      <x:c r="D23" s="82"/>
      <x:c r="E23" s="87"/>
      <x:c r="F23" s="88"/>
      <x:c r="G23" s="86"/>
      <x:c r="H23" s="466"/>
      <x:c r="I23" s="466"/>
      <x:c r="J23" s="84"/>
      <x:c r="K23" s="45"/>
      <x:c r="M23" s="85"/>
      <x:c r="N23" s="291"/>
    </x:row>
    <x:row r="24" spans="1:14" ht="13.25" thickBot="1" x14ac:dyDescent="0.3">
      <x:c r="A24" s="3">
        <x:f t="shared" si="6"/>
        <x:v>14</x:v>
      </x:c>
      <x:c r="E24" s="366"/>
      <x:c r="F24" s="83"/>
      <x:c r="G24" s="83" t="s">
        <x:v>225</x:v>
      </x:c>
      <x:c r="H24" s="88"/>
      <x:c r="I24" s="88"/>
      <x:c r="K24" s="367">
        <x:f>ROUND(AVERAGE(K11:K22),2)</x:f>
        <x:v>-45.17</x:v>
      </x:c>
      <x:c r="M24" s="85"/>
    </x:row>
    <x:row r="25" spans="1:14" ht="13.25" thickTop="1" x14ac:dyDescent="0.25">
      <x:c r="A25" s="3">
        <x:f t="shared" si="6"/>
        <x:v>15</x:v>
      </x:c>
      <x:c r="I25" s="31"/>
    </x:row>
    <x:row r="26" spans="1:14" x14ac:dyDescent="0.25">
      <x:c r="A26" s="3">
        <x:f t="shared" si="6"/>
        <x:v>16</x:v>
      </x:c>
    </x:row>
    <x:row r="27" spans="1:14" x14ac:dyDescent="0.25">
      <x:c r="A27" s="3">
        <x:f t="shared" si="6"/>
        <x:v>17</x:v>
      </x:c>
      <x:c r="B27" s="9" t="s">
        <x:v>387</x:v>
      </x:c>
      <x:c r="C27" s="290" t="s">
        <x:v>648</x:v>
      </x:c>
    </x:row>
  </x:sheetData>
  <x:phoneticPr fontId="23" type="noConversion"/>
  <x:hyperlinks>
    <x:hyperlink ref="C27" r:id="rId1" display="Affiliate Payment Dates 12ME 9.30.21.pdf" xr:uid="{00000000-0004-0000-14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 codeName="Sheet68">
    <x:tabColor rgb="FF92D050"/>
    <x:pageSetUpPr fitToPage="1"/>
  </x:sheetPr>
  <x:dimension ref="A1:H18"/>
  <x:sheetViews>
    <x:sheetView zoomScaleNormal="100" workbookViewId="0">
      <x:selection activeCell="D37" sqref="D37"/>
    </x:sheetView>
  </x:sheetViews>
  <x:sheetFormatPr defaultColWidth="8" defaultRowHeight="12.7" x14ac:dyDescent="0.25"/>
  <x:cols>
    <x:col min="1" max="1" width="5.109375" style="164" customWidth="1"/>
    <x:col min="2" max="2" width="3.88671875" style="164" customWidth="1"/>
    <x:col min="3" max="3" width="30.88671875" style="164" bestFit="1" customWidth="1"/>
    <x:col min="4" max="4" width="11.109375" style="164" customWidth="1"/>
    <x:col min="5" max="5" width="18" style="164" customWidth="1"/>
    <x:col min="6" max="6" width="1.5546875" style="164" customWidth="1"/>
    <x:col min="7" max="7" width="10.44140625" style="164" customWidth="1"/>
    <x:col min="8" max="15" width="8" style="164" customWidth="1"/>
    <x:col min="16" max="16" width="14.44140625" style="164" customWidth="1"/>
    <x:col min="17" max="16384" width="8" style="164"/>
  </x:cols>
  <x:sheetData>
    <x:row r="1" spans="1:8" s="73" customFormat="1" x14ac:dyDescent="0.25">
      <x:c r="A1" s="180" t="s">
        <x:v>523</x:v>
      </x:c>
      <x:c r="C1" s="180"/>
      <x:c r="D1" s="180"/>
      <x:c r="E1" s="183"/>
    </x:row>
    <x:row r="2" spans="1:8" s="73" customFormat="1" x14ac:dyDescent="0.25">
      <x:c r="A2" s="180" t="str">
        <x:f>' '!A2</x:f>
        <x:v>ONCOR ELECTRIC DELIVERY COMPANY LLC</x:v>
      </x:c>
      <x:c r="C2" s="180"/>
      <x:c r="D2" s="180"/>
      <x:c r="E2" s="183"/>
    </x:row>
    <x:row r="3" spans="1:8" s="73" customFormat="1" x14ac:dyDescent="0.25">
      <x:c r="A3" s="180" t="s">
        <x:v>358</x:v>
      </x:c>
      <x:c r="C3" s="180"/>
      <x:c r="D3" s="180"/>
      <x:c r="E3" s="183"/>
    </x:row>
    <x:row r="4" spans="1:8" s="73" customFormat="1" x14ac:dyDescent="0.25">
      <x:c r="A4" s="767" t="s">
        <x:v>524</x:v>
      </x:c>
      <x:c r="C4" s="180"/>
      <x:c r="D4" s="180"/>
      <x:c r="E4" s="180"/>
    </x:row>
    <x:row r="5" spans="1:8" s="73" customFormat="1" x14ac:dyDescent="0.25">
      <x:c r="A5" s="180" t="s">
        <x:v>486</x:v>
      </x:c>
      <x:c r="C5" s="180"/>
      <x:c r="D5" s="180"/>
      <x:c r="E5" s="180"/>
      <x:c r="H5" s="73" t="s">
        <x:v>464</x:v>
      </x:c>
    </x:row>
    <x:row r="6" spans="1:8" x14ac:dyDescent="0.25">
      <x:c r="B6" s="166"/>
      <x:c r="C6" s="166"/>
      <x:c r="D6" s="166"/>
      <x:c r="E6" s="22"/>
      <x:c r="F6"/>
      <x:c r="G6"/>
      <x:c r="H6" s="166"/>
    </x:row>
    <x:row r="7" spans="1:8" x14ac:dyDescent="0.25">
      <x:c r="A7" s="206" t="s">
        <x:v>40</x:v>
      </x:c>
      <x:c r="B7" s="208"/>
      <x:c r="C7" s="516" t="s">
        <x:v>23</x:v>
      </x:c>
      <x:c r="D7" s="208"/>
      <x:c r="E7" s="56" t="s">
        <x:v>44</x:v>
      </x:c>
      <x:c r="F7"/>
      <x:c r="G7"/>
      <x:c r="H7" s="166"/>
    </x:row>
    <x:row r="8" spans="1:8" x14ac:dyDescent="0.25">
      <x:c r="A8" s="210"/>
      <x:c r="B8" s="211"/>
      <x:c r="C8" s="20" t="s">
        <x:v>50</x:v>
      </x:c>
      <x:c r="D8" s="211"/>
      <x:c r="E8" s="20" t="s">
        <x:v>51</x:v>
      </x:c>
      <x:c r="F8"/>
      <x:c r="G8"/>
      <x:c r="H8" s="166"/>
    </x:row>
    <x:row r="9" spans="1:8" x14ac:dyDescent="0.25">
      <x:c r="A9" s="210"/>
      <x:c r="B9" s="211"/>
      <x:c r="C9" s="20"/>
      <x:c r="D9" s="211"/>
      <x:c r="E9" s="20"/>
      <x:c r="F9"/>
      <x:c r="G9"/>
      <x:c r="H9" s="166"/>
    </x:row>
    <x:row r="10" spans="1:8" x14ac:dyDescent="0.25">
      <x:c r="A10" s="207">
        <x:v>1</x:v>
      </x:c>
      <x:c r="C10" s="164" t="s">
        <x:v>9</x:v>
      </x:c>
      <x:c r="E10" s="197"/>
      <x:c r="F10"/>
      <x:c r="G10"/>
    </x:row>
    <x:row r="11" spans="1:8" x14ac:dyDescent="0.25">
      <x:c r="A11" s="207">
        <x:f t="shared" ref="A11:A16" si="0">A10+1</x:f>
        <x:v>2</x:v>
      </x:c>
      <x:c r="C11" s="168" t="s">
        <x:v>452</x:v>
      </x:c>
      <x:c r="E11" s="611">
        <x:f>ROUND(365.25/12/2,3)*-1</x:f>
        <x:v>-15.218999999999999</x:v>
      </x:c>
      <x:c r="F11"/>
      <x:c r="G11"/>
    </x:row>
    <x:row r="12" spans="1:8" x14ac:dyDescent="0.25">
      <x:c r="A12" s="207">
        <x:f t="shared" si="0"/>
        <x:v>3</x:v>
      </x:c>
      <x:c r="E12" s="612"/>
      <x:c r="F12"/>
      <x:c r="G12"/>
    </x:row>
    <x:row r="13" spans="1:8" x14ac:dyDescent="0.25">
      <x:c r="A13" s="207">
        <x:f t="shared" si="0"/>
        <x:v>4</x:v>
      </x:c>
      <x:c r="C13" s="168" t="s">
        <x:v>361</x:v>
      </x:c>
      <x:c r="E13" s="612">
        <x:v>-35</x:v>
      </x:c>
      <x:c r="F13"/>
      <x:c r="G13"/>
    </x:row>
    <x:row r="14" spans="1:8" x14ac:dyDescent="0.25">
      <x:c r="A14" s="207">
        <x:f t="shared" si="0"/>
        <x:v>5</x:v>
      </x:c>
      <x:c r="E14" s="613"/>
      <x:c r="F14"/>
      <x:c r="G14"/>
    </x:row>
    <x:row r="15" spans="1:8" x14ac:dyDescent="0.25">
      <x:c r="A15" s="207">
        <x:f t="shared" si="0"/>
        <x:v>6</x:v>
      </x:c>
      <x:c r="E15" s="612"/>
      <x:c r="F15"/>
      <x:c r="G15"/>
    </x:row>
    <x:row r="16" spans="1:8" ht="13.25" thickBot="1" x14ac:dyDescent="0.3">
      <x:c r="A16" s="207">
        <x:f t="shared" si="0"/>
        <x:v>7</x:v>
      </x:c>
      <x:c r="C16" s="168" t="s">
        <x:v>229</x:v>
      </x:c>
      <x:c r="E16" s="614">
        <x:f>ROUND(SUM(E11:E14),2)</x:f>
        <x:v>-50.22</x:v>
      </x:c>
      <x:c r="F16"/>
      <x:c r="G16"/>
    </x:row>
    <x:row r="17" spans="4:5" ht="13.25" thickTop="1" x14ac:dyDescent="0.25">
      <x:c r="D17"/>
      <x:c r="E17"/>
    </x:row>
    <x:row r="18" spans="4:5" x14ac:dyDescent="0.25">
      <x:c r="D18"/>
      <x:c r="E18"/>
    </x:row>
  </x:sheetData>
  <x:phoneticPr fontId="24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 codeName="Sheet38">
    <x:tabColor rgb="FF92D050"/>
    <x:pageSetUpPr fitToPage="1"/>
  </x:sheetPr>
  <x:dimension ref="A1:H20"/>
  <x:sheetViews>
    <x:sheetView zoomScaleNormal="100" workbookViewId="0">
      <x:selection activeCell="D37" sqref="D37"/>
    </x:sheetView>
  </x:sheetViews>
  <x:sheetFormatPr defaultRowHeight="12.7" x14ac:dyDescent="0.25"/>
  <x:cols>
    <x:col min="1" max="1" width="6.44140625" customWidth="1"/>
    <x:col min="2" max="2" width="28.44140625" customWidth="1"/>
    <x:col min="3" max="3" width="16.5546875" customWidth="1"/>
    <x:col min="4" max="4" width="16.44140625" customWidth="1"/>
    <x:col min="5" max="5" width="18.88671875" customWidth="1"/>
    <x:col min="6" max="6" width="19.88671875" customWidth="1"/>
    <x:col min="7" max="7" width="9" customWidth="1"/>
  </x:cols>
  <x:sheetData>
    <x:row r="1" spans="1:8" s="292" customFormat="1" x14ac:dyDescent="0.25">
      <x:c r="A1" s="180" t="s">
        <x:v>523</x:v>
      </x:c>
      <x:c r="B1" s="180"/>
      <x:c r="C1" s="180"/>
      <x:c r="D1" s="180"/>
      <x:c r="E1" s="180"/>
    </x:row>
    <x:row r="2" spans="1:8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292" customFormat="1" x14ac:dyDescent="0.25">
      <x:c r="A3" s="180" t="s">
        <x:v>357</x:v>
      </x:c>
      <x:c r="B3" s="180"/>
      <x:c r="C3" s="180"/>
      <x:c r="D3" s="180"/>
      <x:c r="E3" s="180"/>
    </x:row>
    <x:row r="4" spans="1:8" s="292" customFormat="1" x14ac:dyDescent="0.25">
      <x:c r="A4" s="767" t="s">
        <x:v>524</x:v>
      </x:c>
      <x:c r="B4" s="180"/>
      <x:c r="C4" s="180"/>
      <x:c r="D4" s="180"/>
      <x:c r="E4" s="180"/>
    </x:row>
    <x:row r="5" spans="1:8" s="292" customFormat="1" x14ac:dyDescent="0.25">
      <x:c r="A5" s="180" t="s">
        <x:v>486</x:v>
      </x:c>
      <x:c r="B5" s="180"/>
      <x:c r="C5" s="180"/>
      <x:c r="D5" s="180"/>
      <x:c r="E5" s="180"/>
      <x:c r="H5" s="292" t="s">
        <x:v>464</x:v>
      </x:c>
    </x:row>
    <x:row r="7" spans="1:8" x14ac:dyDescent="0.25">
      <x:c r="A7" s="5"/>
    </x:row>
    <x:row r="9" spans="1:8" x14ac:dyDescent="0.25">
      <x:c r="A9" s="22" t="s">
        <x:v>35</x:v>
      </x:c>
      <x:c r="B9" s="26"/>
      <x:c r="C9" s="22"/>
      <x:c r="D9" s="22" t="s">
        <x:v>42</x:v>
      </x:c>
      <x:c r="E9" s="22"/>
      <x:c r="F9" s="22" t="s">
        <x:v>93</x:v>
      </x:c>
      <x:c r="G9" s="1"/>
      <x:c r="H9" s="1"/>
    </x:row>
    <x:row r="10" spans="1:8" x14ac:dyDescent="0.25">
      <x:c r="A10" s="56" t="s">
        <x:v>36</x:v>
      </x:c>
      <x:c r="B10" s="56" t="s">
        <x:v>190</x:v>
      </x:c>
      <x:c r="C10" s="56" t="s">
        <x:v>24</x:v>
      </x:c>
      <x:c r="D10" s="56" t="s">
        <x:v>97</x:v>
      </x:c>
      <x:c r="E10" s="56" t="s">
        <x:v>25</x:v>
      </x:c>
      <x:c r="F10" s="56" t="s">
        <x:v>72</x:v>
      </x:c>
      <x:c r="G10" s="1"/>
      <x:c r="H10" s="1"/>
    </x:row>
    <x:row r="11" spans="1:8" x14ac:dyDescent="0.25">
      <x:c r="A11" s="1"/>
      <x:c r="B11" s="40" t="s">
        <x:v>50</x:v>
      </x:c>
      <x:c r="C11" s="40" t="s">
        <x:v>51</x:v>
      </x:c>
      <x:c r="D11" s="40" t="s">
        <x:v>57</x:v>
      </x:c>
      <x:c r="E11" s="40" t="s">
        <x:v>52</x:v>
      </x:c>
      <x:c r="F11" s="40" t="s">
        <x:v>53</x:v>
      </x:c>
      <x:c r="G11" s="1"/>
      <x:c r="H11" s="1"/>
    </x:row>
    <x:row r="12" spans="1:8" x14ac:dyDescent="0.25">
      <x:c r="A12" s="1"/>
      <x:c r="B12" s="40"/>
      <x:c r="C12" s="40"/>
      <x:c r="D12" s="40"/>
      <x:c r="E12" s="40"/>
      <x:c r="F12" s="40"/>
      <x:c r="G12" s="1"/>
      <x:c r="H12" s="1"/>
    </x:row>
    <x:row r="13" spans="1:8" s="228" customFormat="1" x14ac:dyDescent="0.25">
      <x:c r="A13" s="90">
        <x:v>1</x:v>
      </x:c>
      <x:c r="B13" s="31" t="s">
        <x:v>113</x:v>
      </x:c>
      <x:c r="C13" s="457">
        <x:f>+'6-1'!C17</x:f>
        <x:v>90583679.079999998</x:v>
      </x:c>
      <x:c r="D13" s="725">
        <x:f>+'6-1'!D17</x:f>
        <x:v>-47.609962287647903</x:v>
      </x:c>
      <x:c r="E13" s="468" t="s">
        <x:v>345</x:v>
      </x:c>
      <x:c r="F13" s="457">
        <x:f>+D13*C13</x:f>
        <x:v>-4312685544.8752003</x:v>
      </x:c>
      <x:c r="G13" s="31"/>
      <x:c r="H13" s="31"/>
    </x:row>
    <x:row r="14" spans="1:8" s="228" customFormat="1" ht="15" customHeight="1" x14ac:dyDescent="0.25">
      <x:c r="A14" s="90">
        <x:f>A13+1</x:f>
        <x:v>2</x:v>
      </x:c>
      <x:c r="B14" s="31" t="s">
        <x:v>114</x:v>
      </x:c>
      <x:c r="C14" s="501">
        <x:f>'6-2'!C17</x:f>
        <x:v>726440023.32000113</x:v>
      </x:c>
      <x:c r="D14" s="725">
        <x:f>+'6-2'!D17</x:f>
        <x:v>-48.936752180739127</x:v>
      </x:c>
      <x:c r="E14" s="468" t="s">
        <x:v>346</x:v>
      </x:c>
      <x:c r="F14" s="501">
        <x:f>C14*D14</x:f>
        <x:v>-35549615395.381248</x:v>
      </x:c>
      <x:c r="G14" s="31"/>
      <x:c r="H14" s="31"/>
    </x:row>
    <x:row r="15" spans="1:8" s="228" customFormat="1" x14ac:dyDescent="0.25">
      <x:c r="A15" s="90">
        <x:f t="shared" ref="A15:A20" si="0">A14+1</x:f>
        <x:v>3</x:v>
      </x:c>
      <x:c r="B15" s="636" t="s">
        <x:v>988</x:v>
      </x:c>
      <x:c r="C15" s="702">
        <x:f>+'6-3'!C37</x:f>
        <x:v>1724828.06</x:v>
      </x:c>
      <x:c r="D15" s="393">
        <x:f>'6-3'!G37</x:f>
        <x:v>-58.47</x:v>
      </x:c>
      <x:c r="E15" s="468" t="s">
        <x:v>347</x:v>
      </x:c>
      <x:c r="F15" s="467">
        <x:f>C15*D15</x:f>
        <x:v>-100850696.6682</x:v>
      </x:c>
      <x:c r="G15" s="31"/>
      <x:c r="H15" s="31"/>
    </x:row>
    <x:row r="16" spans="1:8" s="228" customFormat="1" x14ac:dyDescent="0.25">
      <x:c r="A16" s="90">
        <x:f>A15+1</x:f>
        <x:v>4</x:v>
      </x:c>
      <x:c r="B16" s="31"/>
      <x:c r="C16" s="514"/>
      <x:c r="D16" s="37"/>
      <x:c r="E16" s="468"/>
      <x:c r="F16" s="514"/>
      <x:c r="G16" s="31"/>
      <x:c r="H16" s="31"/>
    </x:row>
    <x:row r="17" spans="1:8" s="228" customFormat="1" ht="13.25" thickBot="1" x14ac:dyDescent="0.3">
      <x:c r="A17" s="90">
        <x:f t="shared" si="0"/>
        <x:v>5</x:v>
      </x:c>
      <x:c r="B17" s="31" t="s">
        <x:v>26</x:v>
      </x:c>
      <x:c r="C17" s="515">
        <x:f>SUM(C13:C15)</x:f>
        <x:v>818748530.46000111</x:v>
      </x:c>
      <x:c r="D17" s="395">
        <x:f>ROUND(F17/C17,2)</x:f>
        <x:v>-48.81</x:v>
      </x:c>
      <x:c r="E17" s="468"/>
      <x:c r="F17" s="515">
        <x:f>SUM(F13:F15)</x:f>
        <x:v>-39963151636.924644</x:v>
      </x:c>
      <x:c r="G17" s="31"/>
      <x:c r="H17" s="31"/>
    </x:row>
    <x:row r="18" spans="1:8" s="228" customFormat="1" ht="13.25" thickTop="1" x14ac:dyDescent="0.25">
      <x:c r="A18" s="90">
        <x:f t="shared" si="0"/>
        <x:v>6</x:v>
      </x:c>
    </x:row>
    <x:row r="19" spans="1:8" x14ac:dyDescent="0.25">
      <x:c r="A19" s="90">
        <x:f t="shared" si="0"/>
        <x:v>7</x:v>
      </x:c>
    </x:row>
    <x:row r="20" spans="1:8" ht="15.55" x14ac:dyDescent="0.3">
      <x:c r="A20" s="90">
        <x:f t="shared" si="0"/>
        <x:v>8</x:v>
      </x:c>
      <x:c r="B20" s="640" t="s">
        <x:v>987</x:v>
      </x:c>
      <x:c r="C20" s="290" t="s">
        <x:v>485</x:v>
      </x:c>
    </x:row>
  </x:sheetData>
  <x:phoneticPr fontId="23" type="noConversion"/>
  <x:hyperlinks>
    <x:hyperlink ref="C20" r:id="rId1" xr:uid="{00000000-0004-0000-16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 codeName="Sheet60">
    <x:tabColor rgb="FF92D050"/>
    <x:pageSetUpPr fitToPage="1"/>
  </x:sheetPr>
  <x:dimension ref="A1:I22"/>
  <x:sheetViews>
    <x:sheetView zoomScaleNormal="100" workbookViewId="0">
      <x:selection activeCell="D37" sqref="D37"/>
    </x:sheetView>
  </x:sheetViews>
  <x:sheetFormatPr defaultRowHeight="12.7" x14ac:dyDescent="0.25"/>
  <x:cols>
    <x:col min="1" max="1" width="6.44140625" customWidth="1"/>
    <x:col min="2" max="2" width="42.5546875" customWidth="1"/>
    <x:col min="3" max="3" width="18.44140625" customWidth="1"/>
    <x:col min="4" max="4" width="16.44140625" customWidth="1"/>
    <x:col min="5" max="5" width="18.88671875" customWidth="1"/>
    <x:col min="6" max="6" width="19.88671875" customWidth="1"/>
    <x:col min="7" max="7" width="0.5546875" hidden="1" customWidth="1"/>
    <x:col min="8" max="9" width="8.88671875" hidden="1" customWidth="1"/>
  </x:cols>
  <x:sheetData>
    <x:row r="1" spans="1:8" s="73" customFormat="1" x14ac:dyDescent="0.25">
      <x:c r="A1" s="180" t="s">
        <x:v>523</x:v>
      </x:c>
      <x:c r="B1" s="180"/>
      <x:c r="C1" s="180"/>
      <x:c r="D1" s="180"/>
      <x:c r="E1" s="180"/>
    </x:row>
    <x:row r="2" spans="1:8" s="73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73" customFormat="1" x14ac:dyDescent="0.25">
      <x:c r="A3" s="180" t="s">
        <x:v>303</x:v>
      </x:c>
      <x:c r="B3" s="180"/>
      <x:c r="C3" s="180"/>
      <x:c r="D3" s="180"/>
      <x:c r="E3" s="180"/>
    </x:row>
    <x:row r="4" spans="1:8" s="73" customFormat="1" x14ac:dyDescent="0.25">
      <x:c r="A4" s="767" t="s">
        <x:v>524</x:v>
      </x:c>
      <x:c r="B4" s="180"/>
      <x:c r="C4" s="180"/>
      <x:c r="D4" s="180"/>
      <x:c r="E4" s="180"/>
    </x:row>
    <x:row r="5" spans="1:8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8" x14ac:dyDescent="0.25">
      <x:c r="A7" s="5"/>
    </x:row>
    <x:row r="9" spans="1:8" x14ac:dyDescent="0.25">
      <x:c r="A9" s="22" t="s">
        <x:v>35</x:v>
      </x:c>
      <x:c r="B9" s="26"/>
      <x:c r="C9" s="22" t="s">
        <x:v>305</x:v>
      </x:c>
      <x:c r="D9" s="22" t="s">
        <x:v>41</x:v>
      </x:c>
      <x:c r="E9" s="22"/>
      <x:c r="F9" s="22" t="s">
        <x:v>93</x:v>
      </x:c>
      <x:c r="G9" s="1"/>
      <x:c r="H9" s="1"/>
    </x:row>
    <x:row r="10" spans="1:8" x14ac:dyDescent="0.25">
      <x:c r="A10" s="56" t="s">
        <x:v>36</x:v>
      </x:c>
      <x:c r="B10" s="56" t="s">
        <x:v>304</x:v>
      </x:c>
      <x:c r="C10" s="56" t="s">
        <x:v>385</x:v>
      </x:c>
      <x:c r="D10" s="56" t="s">
        <x:v>97</x:v>
      </x:c>
      <x:c r="E10" s="56" t="s">
        <x:v>25</x:v>
      </x:c>
      <x:c r="F10" s="56" t="s">
        <x:v>72</x:v>
      </x:c>
      <x:c r="G10" s="1"/>
      <x:c r="H10" s="1"/>
    </x:row>
    <x:row r="11" spans="1:8" x14ac:dyDescent="0.25">
      <x:c r="A11" s="1"/>
      <x:c r="B11" s="40" t="s">
        <x:v>50</x:v>
      </x:c>
      <x:c r="C11" s="40" t="s">
        <x:v>51</x:v>
      </x:c>
      <x:c r="D11" s="40" t="s">
        <x:v>57</x:v>
      </x:c>
      <x:c r="E11" s="40" t="s">
        <x:v>52</x:v>
      </x:c>
      <x:c r="F11" s="40" t="s">
        <x:v>53</x:v>
      </x:c>
      <x:c r="G11" s="1"/>
      <x:c r="H11" s="1"/>
    </x:row>
    <x:row r="12" spans="1:8" x14ac:dyDescent="0.25">
      <x:c r="A12" s="1"/>
      <x:c r="B12" s="40"/>
      <x:c r="C12" s="40"/>
      <x:c r="D12" s="40"/>
      <x:c r="E12" s="40"/>
      <x:c r="F12" s="40"/>
      <x:c r="G12" s="1"/>
      <x:c r="H12" s="1"/>
    </x:row>
    <x:row r="13" spans="1:8" x14ac:dyDescent="0.25">
      <x:c r="A13" s="3">
        <x:v>1</x:v>
      </x:c>
      <x:c r="B13" s="188" t="s">
        <x:v>307</x:v>
      </x:c>
      <x:c r="C13" s="502">
        <x:v>21612711.190000001</x:v>
      </x:c>
      <x:c r="D13" s="725">
        <x:f>'6-1-1'!G43</x:f>
        <x:v>-41.62</x:v>
      </x:c>
      <x:c r="E13" s="80" t="s">
        <x:v>348</x:v>
      </x:c>
      <x:c r="F13" s="502">
        <x:f>C13*D13</x:f>
        <x:v>-899521039.72780001</x:v>
      </x:c>
      <x:c r="G13" s="1"/>
      <x:c r="H13" s="1"/>
    </x:row>
    <x:row r="14" spans="1:8" s="228" customFormat="1" x14ac:dyDescent="0.25">
      <x:c r="A14" s="90">
        <x:f>A13+1</x:f>
        <x:v>2</x:v>
      </x:c>
      <x:c r="B14" s="188" t="s">
        <x:v>306</x:v>
      </x:c>
      <x:c r="C14" s="335">
        <x:v>13680576.23</x:v>
      </x:c>
      <x:c r="D14" s="725">
        <x:f>'6-1-2'!G32</x:f>
        <x:v>-42.2</x:v>
      </x:c>
      <x:c r="E14" s="80" t="s">
        <x:v>349</x:v>
      </x:c>
      <x:c r="F14" s="335">
        <x:f>C14*D14</x:f>
        <x:v>-577320316.90600002</x:v>
      </x:c>
      <x:c r="G14" s="31"/>
      <x:c r="H14" s="31"/>
    </x:row>
    <x:row r="15" spans="1:8" s="228" customFormat="1" x14ac:dyDescent="0.25">
      <x:c r="A15" s="90">
        <x:f t="shared" ref="A15:A21" si="0">A14+1</x:f>
        <x:v>3</x:v>
      </x:c>
      <x:c r="B15" s="188" t="s">
        <x:v>308</x:v>
      </x:c>
      <x:c r="C15" s="441">
        <x:v>55290391.659999996</x:v>
      </x:c>
      <x:c r="D15" s="729">
        <x:f>'6-1-3'!G89</x:f>
        <x:v>-51.29</x:v>
      </x:c>
      <x:c r="E15" s="80" t="s">
        <x:v>350</x:v>
      </x:c>
      <x:c r="F15" s="441">
        <x:f>C15*D15</x:f>
        <x:v>-2835844188.2413998</x:v>
      </x:c>
      <x:c r="G15" s="31"/>
      <x:c r="H15" s="31"/>
    </x:row>
    <x:row r="16" spans="1:8" x14ac:dyDescent="0.25">
      <x:c r="A16" s="90">
        <x:f t="shared" si="0"/>
        <x:v>4</x:v>
      </x:c>
      <x:c r="B16" s="16"/>
      <x:c r="C16" s="28"/>
      <x:c r="D16" s="725"/>
      <x:c r="E16" s="80"/>
      <x:c r="F16" s="28"/>
      <x:c r="G16" s="1"/>
      <x:c r="H16" s="1"/>
    </x:row>
    <x:row r="17" spans="1:8" ht="13.25" thickBot="1" x14ac:dyDescent="0.3">
      <x:c r="A17" s="90">
        <x:f t="shared" si="0"/>
        <x:v>5</x:v>
      </x:c>
      <x:c r="B17" s="1" t="s">
        <x:v>26</x:v>
      </x:c>
      <x:c r="C17" s="494">
        <x:f>SUM(C13:C15)</x:f>
        <x:v>90583679.079999998</x:v>
      </x:c>
      <x:c r="D17" s="730">
        <x:f>+F17/C17</x:f>
        <x:v>-47.609962287647903</x:v>
      </x:c>
      <x:c r="E17" s="80"/>
      <x:c r="F17" s="494">
        <x:f>SUM(F13:F15)</x:f>
        <x:v>-4312685544.8752003</x:v>
      </x:c>
      <x:c r="G17" s="1"/>
      <x:c r="H17" s="1"/>
    </x:row>
    <x:row r="18" spans="1:8" ht="13.25" thickTop="1" x14ac:dyDescent="0.25">
      <x:c r="A18" s="90">
        <x:f t="shared" si="0"/>
        <x:v>6</x:v>
      </x:c>
      <x:c r="D18" s="698"/>
    </x:row>
    <x:row r="19" spans="1:8" x14ac:dyDescent="0.25">
      <x:c r="A19" s="90">
        <x:f t="shared" si="0"/>
        <x:v>7</x:v>
      </x:c>
      <x:c r="B19" s="79"/>
    </x:row>
    <x:row r="20" spans="1:8" x14ac:dyDescent="0.25">
      <x:c r="A20" s="90">
        <x:f t="shared" si="0"/>
        <x:v>8</x:v>
      </x:c>
    </x:row>
    <x:row r="21" spans="1:8" x14ac:dyDescent="0.25">
      <x:c r="A21" s="90">
        <x:f t="shared" si="0"/>
        <x:v>9</x:v>
      </x:c>
      <x:c r="B21" s="500" t="s">
        <x:v>387</x:v>
      </x:c>
      <x:c r="C21" s="290" t="s">
        <x:v>516</x:v>
      </x:c>
    </x:row>
    <x:row r="22" spans="1:8" x14ac:dyDescent="0.25">
      <x:c r="A22" s="90"/>
    </x:row>
  </x:sheetData>
  <x:phoneticPr fontId="23" type="noConversion"/>
  <x:hyperlinks>
    <x:hyperlink ref="C21" r:id="rId1" xr:uid="{00000000-0004-0000-17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 codeName="Sheet58">
    <x:tabColor rgb="FF92D050"/>
    <x:pageSetUpPr fitToPage="1"/>
  </x:sheetPr>
  <x:dimension ref="A1:N57"/>
  <x:sheetViews>
    <x:sheetView zoomScaleNormal="100" workbookViewId="0">
      <x:pane xSplit="1" ySplit="9" topLeftCell="B34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6.88671875" customWidth="1"/>
    <x:col min="3" max="3" width="14.109375" style="93" bestFit="1" customWidth="1"/>
    <x:col min="4" max="4" width="11.44140625" bestFit="1" customWidth="1"/>
    <x:col min="5" max="5" width="23.88671875" customWidth="1"/>
    <x:col min="6" max="6" width="17.44140625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180"/>
      <x:c r="E1" s="180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73" customFormat="1" x14ac:dyDescent="0.25">
      <x:c r="A3" s="180" t="s">
        <x:v>309</x:v>
      </x:c>
      <x:c r="B3" s="180"/>
      <x:c r="C3" s="180"/>
      <x:c r="D3" s="180"/>
      <x:c r="E3" s="180"/>
    </x:row>
    <x:row r="4" spans="1:14" s="73" customFormat="1" x14ac:dyDescent="0.25">
      <x:c r="A4" s="767" t="s">
        <x:v>524</x:v>
      </x:c>
      <x:c r="B4" s="180"/>
      <x:c r="C4" s="180"/>
      <x:c r="D4" s="180"/>
      <x:c r="E4" s="180"/>
    </x:row>
    <x:row r="5" spans="1:14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x14ac:dyDescent="0.25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x14ac:dyDescent="0.25">
      <x:c r="A12" s="2">
        <x:v>1</x:v>
      </x:c>
      <x:c r="B12" s="683" t="s">
        <x:v>958</x:v>
      </x:c>
      <x:c r="C12" s="292">
        <x:v>57.64</x:v>
      </x:c>
      <x:c r="D12" s="265">
        <x:v>45310.5</x:v>
      </x:c>
      <x:c r="E12" s="488" t="s">
        <x:v>673</x:v>
      </x:c>
      <x:c r="F12" s="265">
        <x:v>45334</x:v>
      </x:c>
      <x:c r="G12" s="37">
        <x:f t="shared" ref="G12:G23" si="0">D12-F12</x:f>
        <x:v>-23.5</x:v>
      </x:c>
      <x:c r="H12" s="36">
        <x:f t="shared" ref="H12:H23" si="1">IF(ISERR(G12*C12),"",G12*C12)</x:f>
        <x:v>-1354.54</x:v>
      </x:c>
      <x:c r="J12" s="260"/>
      <x:c r="L12" s="260"/>
      <x:c r="M12" s="260"/>
      <x:c r="N12" s="260"/>
    </x:row>
    <x:row r="13" spans="1:14" x14ac:dyDescent="0.25">
      <x:c r="A13" s="2">
        <x:f>A12+1</x:f>
        <x:v>2</x:v>
      </x:c>
      <x:c r="B13" s="683" t="s">
        <x:v>959</x:v>
      </x:c>
      <x:c r="C13" s="292">
        <x:v>37.11</x:v>
      </x:c>
      <x:c r="D13" s="265">
        <x:v>45464</x:v>
      </x:c>
      <x:c r="E13" s="488" t="s">
        <x:v>673</x:v>
      </x:c>
      <x:c r="F13" s="265">
        <x:v>45514</x:v>
      </x:c>
      <x:c r="G13" s="37">
        <x:f t="shared" si="0"/>
        <x:v>-50</x:v>
      </x:c>
      <x:c r="H13" s="43">
        <x:f t="shared" si="1"/>
        <x:v>-1855.5</x:v>
      </x:c>
      <x:c r="J13" s="260"/>
      <x:c r="L13" s="260"/>
      <x:c r="M13" s="260"/>
      <x:c r="N13" s="260"/>
    </x:row>
    <x:row r="14" spans="1:14" x14ac:dyDescent="0.25">
      <x:c r="A14" s="2">
        <x:f t="shared" ref="A14:A45" si="2">A13+1</x:f>
        <x:v>3</x:v>
      </x:c>
      <x:c r="B14" s="683" t="s">
        <x:v>960</x:v>
      </x:c>
      <x:c r="C14" s="292">
        <x:v>81.19</x:v>
      </x:c>
      <x:c r="D14" s="265">
        <x:v>45517</x:v>
      </x:c>
      <x:c r="E14" s="488" t="s">
        <x:v>291</x:v>
      </x:c>
      <x:c r="F14" s="265">
        <x:v>45554</x:v>
      </x:c>
      <x:c r="G14" s="37">
        <x:f t="shared" si="0"/>
        <x:v>-37</x:v>
      </x:c>
      <x:c r="H14" s="43">
        <x:f t="shared" si="1"/>
        <x:v>-3004.0299999999997</x:v>
      </x:c>
      <x:c r="J14" s="260"/>
      <x:c r="L14" s="260"/>
      <x:c r="M14" s="260"/>
      <x:c r="N14" s="260"/>
    </x:row>
    <x:row r="15" spans="1:14" x14ac:dyDescent="0.25">
      <x:c r="A15" s="2">
        <x:f t="shared" si="2"/>
        <x:v>4</x:v>
      </x:c>
      <x:c r="B15" s="683" t="s">
        <x:v>869</x:v>
      </x:c>
      <x:c r="C15" s="292">
        <x:v>7473.46</x:v>
      </x:c>
      <x:c r="D15" s="265">
        <x:v>45519</x:v>
      </x:c>
      <x:c r="E15" s="488" t="s">
        <x:v>291</x:v>
      </x:c>
      <x:c r="F15" s="265">
        <x:v>45549</x:v>
      </x:c>
      <x:c r="G15" s="37">
        <x:f t="shared" si="0"/>
        <x:v>-30</x:v>
      </x:c>
      <x:c r="H15" s="43">
        <x:f t="shared" si="1"/>
        <x:v>-224203.8</x:v>
      </x:c>
      <x:c r="J15" s="260"/>
      <x:c r="L15" s="260"/>
      <x:c r="M15" s="260"/>
      <x:c r="N15" s="260"/>
    </x:row>
    <x:row r="16" spans="1:14" x14ac:dyDescent="0.25">
      <x:c r="A16" s="2">
        <x:f t="shared" si="2"/>
        <x:v>5</x:v>
      </x:c>
      <x:c r="B16" s="683" t="s">
        <x:v>961</x:v>
      </x:c>
      <x:c r="C16" s="292">
        <x:v>1623.75</x:v>
      </x:c>
      <x:c r="D16" s="265">
        <x:v>45468</x:v>
      </x:c>
      <x:c r="E16" s="488" t="s">
        <x:v>291</x:v>
      </x:c>
      <x:c r="F16" s="265">
        <x:v>45498</x:v>
      </x:c>
      <x:c r="G16" s="37">
        <x:f t="shared" si="0"/>
        <x:v>-30</x:v>
      </x:c>
      <x:c r="H16" s="43">
        <x:f t="shared" si="1"/>
        <x:v>-48712.5</x:v>
      </x:c>
      <x:c r="J16" s="260"/>
      <x:c r="L16" s="260"/>
      <x:c r="M16" s="260"/>
      <x:c r="N16" s="260"/>
    </x:row>
    <x:row r="17" spans="1:14" x14ac:dyDescent="0.25">
      <x:c r="A17" s="2">
        <x:f t="shared" si="2"/>
        <x:v>6</x:v>
      </x:c>
      <x:c r="B17" s="683" t="s">
        <x:v>962</x:v>
      </x:c>
      <x:c r="C17" s="292">
        <x:v>1484.91</x:v>
      </x:c>
      <x:c r="D17" s="265">
        <x:v>45379</x:v>
      </x:c>
      <x:c r="E17" s="488" t="s">
        <x:v>291</x:v>
      </x:c>
      <x:c r="F17" s="265">
        <x:v>45411</x:v>
      </x:c>
      <x:c r="G17" s="37">
        <x:f t="shared" si="0"/>
        <x:v>-32</x:v>
      </x:c>
      <x:c r="H17" s="43">
        <x:f t="shared" si="1"/>
        <x:v>-47517.120000000003</x:v>
      </x:c>
      <x:c r="J17" s="260"/>
      <x:c r="L17" s="260"/>
      <x:c r="M17" s="260"/>
      <x:c r="N17" s="260"/>
    </x:row>
    <x:row r="18" spans="1:14" x14ac:dyDescent="0.25">
      <x:c r="A18" s="2">
        <x:f t="shared" si="2"/>
        <x:v>7</x:v>
      </x:c>
      <x:c r="B18" s="683" t="s">
        <x:v>963</x:v>
      </x:c>
      <x:c r="C18" s="292">
        <x:v>2587.1999999999998</x:v>
      </x:c>
      <x:c r="D18" s="265">
        <x:v>45357</x:v>
      </x:c>
      <x:c r="E18" s="488" t="s">
        <x:v>291</x:v>
      </x:c>
      <x:c r="F18" s="265">
        <x:v>45387</x:v>
      </x:c>
      <x:c r="G18" s="37">
        <x:f t="shared" si="0"/>
        <x:v>-30</x:v>
      </x:c>
      <x:c r="H18" s="43">
        <x:f t="shared" si="1"/>
        <x:v>-77616</x:v>
      </x:c>
      <x:c r="J18" s="260"/>
      <x:c r="L18" s="260"/>
      <x:c r="M18" s="260"/>
      <x:c r="N18" s="260"/>
    </x:row>
    <x:row r="19" spans="1:14" x14ac:dyDescent="0.25">
      <x:c r="A19" s="2">
        <x:f t="shared" si="2"/>
        <x:v>8</x:v>
      </x:c>
      <x:c r="B19" s="683" t="s">
        <x:v>964</x:v>
      </x:c>
      <x:c r="C19" s="292">
        <x:v>219.61</x:v>
      </x:c>
      <x:c r="D19" s="265">
        <x:v>45489</x:v>
      </x:c>
      <x:c r="E19" s="488" t="s">
        <x:v>673</x:v>
      </x:c>
      <x:c r="F19" s="265">
        <x:v>45527</x:v>
      </x:c>
      <x:c r="G19" s="37">
        <x:f t="shared" si="0"/>
        <x:v>-38</x:v>
      </x:c>
      <x:c r="H19" s="43">
        <x:f t="shared" si="1"/>
        <x:v>-8345.18</x:v>
      </x:c>
      <x:c r="J19" s="260"/>
      <x:c r="L19" s="260"/>
      <x:c r="M19" s="260"/>
      <x:c r="N19" s="260"/>
    </x:row>
    <x:row r="20" spans="1:14" x14ac:dyDescent="0.25">
      <x:c r="A20" s="2">
        <x:f t="shared" si="2"/>
        <x:v>9</x:v>
      </x:c>
      <x:c r="B20" s="683" t="s">
        <x:v>965</x:v>
      </x:c>
      <x:c r="C20" s="292">
        <x:v>65.5</x:v>
      </x:c>
      <x:c r="D20" s="265">
        <x:v>45415.5</x:v>
      </x:c>
      <x:c r="E20" s="488" t="s">
        <x:v>673</x:v>
      </x:c>
      <x:c r="F20" s="265">
        <x:v>45434</x:v>
      </x:c>
      <x:c r="G20" s="37">
        <x:f t="shared" si="0"/>
        <x:v>-18.5</x:v>
      </x:c>
      <x:c r="H20" s="43">
        <x:f t="shared" si="1"/>
        <x:v>-1211.75</x:v>
      </x:c>
      <x:c r="J20" s="260"/>
      <x:c r="L20" s="260"/>
      <x:c r="M20" s="260"/>
      <x:c r="N20" s="260"/>
    </x:row>
    <x:row r="21" spans="1:14" x14ac:dyDescent="0.25">
      <x:c r="A21" s="2">
        <x:f t="shared" si="2"/>
        <x:v>10</x:v>
      </x:c>
      <x:c r="B21" s="683" t="s">
        <x:v>966</x:v>
      </x:c>
      <x:c r="C21" s="292">
        <x:v>173.63</x:v>
      </x:c>
      <x:c r="D21" s="265">
        <x:v>45428</x:v>
      </x:c>
      <x:c r="E21" s="488" t="s">
        <x:v>673</x:v>
      </x:c>
      <x:c r="F21" s="265">
        <x:v>45467</x:v>
      </x:c>
      <x:c r="G21" s="37">
        <x:f t="shared" si="0"/>
        <x:v>-39</x:v>
      </x:c>
      <x:c r="H21" s="43">
        <x:f t="shared" si="1"/>
        <x:v>-6771.57</x:v>
      </x:c>
      <x:c r="J21" s="260"/>
      <x:c r="L21" s="260"/>
      <x:c r="M21" s="260"/>
      <x:c r="N21" s="260"/>
    </x:row>
    <x:row r="22" spans="1:14" x14ac:dyDescent="0.25">
      <x:c r="A22" s="2">
        <x:f t="shared" si="2"/>
        <x:v>11</x:v>
      </x:c>
      <x:c r="B22" s="683" t="s">
        <x:v>967</x:v>
      </x:c>
      <x:c r="C22" s="292">
        <x:v>2073.92</x:v>
      </x:c>
      <x:c r="D22" s="265">
        <x:v>45232</x:v>
      </x:c>
      <x:c r="E22" s="488" t="s">
        <x:v>673</x:v>
      </x:c>
      <x:c r="F22" s="265">
        <x:v>45267</x:v>
      </x:c>
      <x:c r="G22" s="37">
        <x:f t="shared" si="0"/>
        <x:v>-35</x:v>
      </x:c>
      <x:c r="H22" s="43">
        <x:f t="shared" si="1"/>
        <x:v>-72587.199999999997</x:v>
      </x:c>
      <x:c r="J22" s="260"/>
      <x:c r="L22" s="260"/>
      <x:c r="M22" s="260"/>
      <x:c r="N22" s="260"/>
    </x:row>
    <x:row r="23" spans="1:14" x14ac:dyDescent="0.25">
      <x:c r="A23" s="2">
        <x:f t="shared" si="2"/>
        <x:v>12</x:v>
      </x:c>
      <x:c r="B23" s="683" t="s">
        <x:v>968</x:v>
      </x:c>
      <x:c r="C23" s="292">
        <x:v>548</x:v>
      </x:c>
      <x:c r="D23" s="265">
        <x:v>45379</x:v>
      </x:c>
      <x:c r="E23" s="488" t="s">
        <x:v>673</x:v>
      </x:c>
      <x:c r="F23" s="265">
        <x:v>45442</x:v>
      </x:c>
      <x:c r="G23" s="37">
        <x:f t="shared" si="0"/>
        <x:v>-63</x:v>
      </x:c>
      <x:c r="H23" s="43">
        <x:f t="shared" si="1"/>
        <x:v>-34524</x:v>
      </x:c>
      <x:c r="J23" s="260"/>
      <x:c r="L23" s="260"/>
      <x:c r="M23" s="260"/>
      <x:c r="N23" s="260"/>
    </x:row>
    <x:row r="24" spans="1:14" x14ac:dyDescent="0.25">
      <x:c r="A24" s="2">
        <x:f t="shared" si="2"/>
        <x:v>13</x:v>
      </x:c>
      <x:c r="B24" s="683" t="s">
        <x:v>969</x:v>
      </x:c>
      <x:c r="C24" s="292">
        <x:v>153.57</x:v>
      </x:c>
      <x:c r="D24" s="265">
        <x:v>45550.5</x:v>
      </x:c>
      <x:c r="E24" s="488" t="s">
        <x:v>673</x:v>
      </x:c>
      <x:c r="F24" s="265">
        <x:v>45222</x:v>
      </x:c>
      <x:c r="G24" s="37">
        <x:f t="shared" ref="G24:G41" si="3">D24-F24</x:f>
        <x:v>328.5</x:v>
      </x:c>
      <x:c r="H24" s="43">
        <x:f t="shared" ref="H24:H41" si="4">IF(ISERR(G24*C24),"",G24*C24)</x:f>
        <x:v>50447.744999999995</x:v>
      </x:c>
      <x:c r="J24" s="260"/>
      <x:c r="L24" s="260"/>
      <x:c r="M24" s="260"/>
      <x:c r="N24" s="260"/>
    </x:row>
    <x:row r="25" spans="1:14" x14ac:dyDescent="0.25">
      <x:c r="A25" s="2">
        <x:f t="shared" si="2"/>
        <x:v>14</x:v>
      </x:c>
      <x:c r="B25" s="683" t="s">
        <x:v>970</x:v>
      </x:c>
      <x:c r="C25" s="292">
        <x:v>6.61</x:v>
      </x:c>
      <x:c r="D25" s="265">
        <x:v>45489.5</x:v>
      </x:c>
      <x:c r="E25" s="488" t="s">
        <x:v>673</x:v>
      </x:c>
      <x:c r="F25" s="265">
        <x:v>45534</x:v>
      </x:c>
      <x:c r="G25" s="37">
        <x:f t="shared" si="3"/>
        <x:v>-44.5</x:v>
      </x:c>
      <x:c r="H25" s="43">
        <x:f t="shared" si="4"/>
        <x:v>-294.14500000000004</x:v>
      </x:c>
      <x:c r="J25" s="260"/>
      <x:c r="L25" s="260"/>
      <x:c r="M25" s="260"/>
      <x:c r="N25" s="260"/>
    </x:row>
    <x:row r="26" spans="1:14" x14ac:dyDescent="0.25">
      <x:c r="A26" s="2">
        <x:f t="shared" si="2"/>
        <x:v>15</x:v>
      </x:c>
      <x:c r="B26" s="683" t="s">
        <x:v>971</x:v>
      </x:c>
      <x:c r="C26" s="292">
        <x:v>72.47</x:v>
      </x:c>
      <x:c r="D26" s="265">
        <x:v>45282.5</x:v>
      </x:c>
      <x:c r="E26" s="488" t="s">
        <x:v>673</x:v>
      </x:c>
      <x:c r="F26" s="265">
        <x:v>45332</x:v>
      </x:c>
      <x:c r="G26" s="37">
        <x:f t="shared" si="3"/>
        <x:v>-49.5</x:v>
      </x:c>
      <x:c r="H26" s="43">
        <x:f t="shared" si="4"/>
        <x:v>-3587.2649999999999</x:v>
      </x:c>
      <x:c r="J26" s="260"/>
      <x:c r="L26" s="260"/>
      <x:c r="M26" s="260"/>
      <x:c r="N26" s="260"/>
    </x:row>
    <x:row r="27" spans="1:14" x14ac:dyDescent="0.25">
      <x:c r="A27" s="2">
        <x:f t="shared" si="2"/>
        <x:v>16</x:v>
      </x:c>
      <x:c r="B27" s="683" t="s">
        <x:v>972</x:v>
      </x:c>
      <x:c r="C27" s="292">
        <x:v>127.15</x:v>
      </x:c>
      <x:c r="D27" s="265">
        <x:v>45367</x:v>
      </x:c>
      <x:c r="E27" s="488" t="s">
        <x:v>673</x:v>
      </x:c>
      <x:c r="F27" s="265">
        <x:v>45387</x:v>
      </x:c>
      <x:c r="G27" s="37">
        <x:f t="shared" si="3"/>
        <x:v>-20</x:v>
      </x:c>
      <x:c r="H27" s="43">
        <x:f t="shared" si="4"/>
        <x:v>-2543</x:v>
      </x:c>
      <x:c r="J27" s="260"/>
      <x:c r="L27" s="260"/>
      <x:c r="M27" s="260"/>
      <x:c r="N27" s="260"/>
    </x:row>
    <x:row r="28" spans="1:14" x14ac:dyDescent="0.25">
      <x:c r="A28" s="2">
        <x:f t="shared" si="2"/>
        <x:v>17</x:v>
      </x:c>
      <x:c r="B28" s="683" t="s">
        <x:v>973</x:v>
      </x:c>
      <x:c r="C28" s="292">
        <x:v>18.940000000000001</x:v>
      </x:c>
      <x:c r="D28" s="265">
        <x:v>45337</x:v>
      </x:c>
      <x:c r="E28" s="488" t="s">
        <x:v>673</x:v>
      </x:c>
      <x:c r="F28" s="265">
        <x:v>45355</x:v>
      </x:c>
      <x:c r="G28" s="37">
        <x:f t="shared" si="3"/>
        <x:v>-18</x:v>
      </x:c>
      <x:c r="H28" s="43">
        <x:f t="shared" si="4"/>
        <x:v>-340.92</x:v>
      </x:c>
      <x:c r="J28" s="260"/>
      <x:c r="L28" s="260"/>
      <x:c r="M28" s="260"/>
      <x:c r="N28" s="260"/>
    </x:row>
    <x:row r="29" spans="1:14" x14ac:dyDescent="0.25">
      <x:c r="A29" s="2">
        <x:f t="shared" si="2"/>
        <x:v>18</x:v>
      </x:c>
      <x:c r="B29" s="683" t="s">
        <x:v>974</x:v>
      </x:c>
      <x:c r="C29" s="292">
        <x:v>1260.99</x:v>
      </x:c>
      <x:c r="D29" s="265">
        <x:v>45272</x:v>
      </x:c>
      <x:c r="E29" s="488" t="s">
        <x:v>291</x:v>
      </x:c>
      <x:c r="F29" s="265">
        <x:v>45309</x:v>
      </x:c>
      <x:c r="G29" s="37">
        <x:f t="shared" si="3"/>
        <x:v>-37</x:v>
      </x:c>
      <x:c r="H29" s="43">
        <x:f t="shared" si="4"/>
        <x:v>-46656.63</x:v>
      </x:c>
      <x:c r="J29" s="260"/>
      <x:c r="L29" s="260"/>
      <x:c r="M29" s="260"/>
      <x:c r="N29" s="260"/>
    </x:row>
    <x:row r="30" spans="1:14" x14ac:dyDescent="0.25">
      <x:c r="A30" s="2">
        <x:f t="shared" si="2"/>
        <x:v>19</x:v>
      </x:c>
      <x:c r="B30" s="683" t="s">
        <x:v>975</x:v>
      </x:c>
      <x:c r="C30" s="292">
        <x:v>324.75</x:v>
      </x:c>
      <x:c r="D30" s="265">
        <x:v>45480</x:v>
      </x:c>
      <x:c r="E30" s="488" t="s">
        <x:v>291</x:v>
      </x:c>
      <x:c r="F30" s="265">
        <x:v>45513</x:v>
      </x:c>
      <x:c r="G30" s="37">
        <x:f t="shared" si="3"/>
        <x:v>-33</x:v>
      </x:c>
      <x:c r="H30" s="43">
        <x:f t="shared" si="4"/>
        <x:v>-10716.75</x:v>
      </x:c>
      <x:c r="J30" s="260"/>
      <x:c r="L30" s="260"/>
      <x:c r="M30" s="260"/>
      <x:c r="N30" s="260"/>
    </x:row>
    <x:row r="31" spans="1:14" x14ac:dyDescent="0.25">
      <x:c r="A31" s="2">
        <x:f t="shared" si="2"/>
        <x:v>20</x:v>
      </x:c>
      <x:c r="B31" s="683" t="s">
        <x:v>976</x:v>
      </x:c>
      <x:c r="C31" s="292">
        <x:v>5493.12</x:v>
      </x:c>
      <x:c r="D31" s="265">
        <x:v>45550.5</x:v>
      </x:c>
      <x:c r="E31" s="488" t="s">
        <x:v>673</x:v>
      </x:c>
      <x:c r="F31" s="265">
        <x:v>45519</x:v>
      </x:c>
      <x:c r="G31" s="37">
        <x:f t="shared" si="3"/>
        <x:v>31.5</x:v>
      </x:c>
      <x:c r="H31" s="43">
        <x:f t="shared" si="4"/>
        <x:v>173033.28</x:v>
      </x:c>
      <x:c r="J31" s="260"/>
      <x:c r="L31" s="260"/>
      <x:c r="M31" s="260"/>
      <x:c r="N31" s="260"/>
    </x:row>
    <x:row r="32" spans="1:14" x14ac:dyDescent="0.25">
      <x:c r="A32" s="2">
        <x:f t="shared" si="2"/>
        <x:v>21</x:v>
      </x:c>
      <x:c r="B32" s="683" t="s">
        <x:v>977</x:v>
      </x:c>
      <x:c r="C32" s="292">
        <x:v>722.2</x:v>
      </x:c>
      <x:c r="D32" s="265">
        <x:v>45259</x:v>
      </x:c>
      <x:c r="E32" s="488" t="s">
        <x:v>673</x:v>
      </x:c>
      <x:c r="F32" s="265">
        <x:v>45293</x:v>
      </x:c>
      <x:c r="G32" s="37">
        <x:f t="shared" si="3"/>
        <x:v>-34</x:v>
      </x:c>
      <x:c r="H32" s="43">
        <x:f t="shared" si="4"/>
        <x:v>-24554.800000000003</x:v>
      </x:c>
      <x:c r="J32" s="260"/>
      <x:c r="L32" s="260"/>
      <x:c r="M32" s="260"/>
      <x:c r="N32" s="260"/>
    </x:row>
    <x:row r="33" spans="1:14" x14ac:dyDescent="0.25">
      <x:c r="A33" s="2">
        <x:f t="shared" si="2"/>
        <x:v>22</x:v>
      </x:c>
      <x:c r="B33" s="683" t="s">
        <x:v>978</x:v>
      </x:c>
      <x:c r="C33" s="292">
        <x:v>753.05</x:v>
      </x:c>
      <x:c r="D33" s="265">
        <x:v>45551</x:v>
      </x:c>
      <x:c r="E33" s="488" t="s">
        <x:v>291</x:v>
      </x:c>
      <x:c r="F33" s="265">
        <x:v>45581</x:v>
      </x:c>
      <x:c r="G33" s="37">
        <x:f t="shared" si="3"/>
        <x:v>-30</x:v>
      </x:c>
      <x:c r="H33" s="43">
        <x:f t="shared" si="4"/>
        <x:v>-22591.5</x:v>
      </x:c>
      <x:c r="J33" s="260"/>
      <x:c r="L33" s="260"/>
      <x:c r="M33" s="260"/>
      <x:c r="N33" s="260"/>
    </x:row>
    <x:row r="34" spans="1:14" x14ac:dyDescent="0.25">
      <x:c r="A34" s="2">
        <x:f t="shared" si="2"/>
        <x:v>23</x:v>
      </x:c>
      <x:c r="B34" s="683" t="s">
        <x:v>979</x:v>
      </x:c>
      <x:c r="C34" s="292">
        <x:v>44.54</x:v>
      </x:c>
      <x:c r="D34" s="265">
        <x:v>45330</x:v>
      </x:c>
      <x:c r="E34" s="488" t="s">
        <x:v>673</x:v>
      </x:c>
      <x:c r="F34" s="265">
        <x:v>45352</x:v>
      </x:c>
      <x:c r="G34" s="37">
        <x:f t="shared" si="3"/>
        <x:v>-22</x:v>
      </x:c>
      <x:c r="H34" s="43">
        <x:f t="shared" si="4"/>
        <x:v>-979.88</x:v>
      </x:c>
      <x:c r="J34" s="260"/>
      <x:c r="L34" s="260"/>
      <x:c r="M34" s="260"/>
      <x:c r="N34" s="260"/>
    </x:row>
    <x:row r="35" spans="1:14" x14ac:dyDescent="0.25">
      <x:c r="A35" s="2">
        <x:f t="shared" si="2"/>
        <x:v>24</x:v>
      </x:c>
      <x:c r="B35" s="683" t="s">
        <x:v>980</x:v>
      </x:c>
      <x:c r="C35" s="292">
        <x:v>195.16</x:v>
      </x:c>
      <x:c r="D35" s="265">
        <x:v>45379.5</x:v>
      </x:c>
      <x:c r="E35" s="488" t="s">
        <x:v>673</x:v>
      </x:c>
      <x:c r="F35" s="265">
        <x:v>45241</x:v>
      </x:c>
      <x:c r="G35" s="37">
        <x:f t="shared" si="3"/>
        <x:v>138.5</x:v>
      </x:c>
      <x:c r="H35" s="43">
        <x:f t="shared" si="4"/>
        <x:v>27029.66</x:v>
      </x:c>
      <x:c r="J35" s="260"/>
      <x:c r="L35" s="260"/>
      <x:c r="M35" s="260"/>
      <x:c r="N35" s="260"/>
    </x:row>
    <x:row r="36" spans="1:14" x14ac:dyDescent="0.25">
      <x:c r="A36" s="2">
        <x:f t="shared" si="2"/>
        <x:v>25</x:v>
      </x:c>
      <x:c r="B36" s="683" t="s">
        <x:v>981</x:v>
      </x:c>
      <x:c r="C36" s="292">
        <x:v>39.64</x:v>
      </x:c>
      <x:c r="D36" s="265">
        <x:v>45397.5</x:v>
      </x:c>
      <x:c r="E36" s="488" t="s">
        <x:v>673</x:v>
      </x:c>
      <x:c r="F36" s="265">
        <x:v>45398</x:v>
      </x:c>
      <x:c r="G36" s="37">
        <x:f t="shared" si="3"/>
        <x:v>-0.5</x:v>
      </x:c>
      <x:c r="H36" s="43">
        <x:f t="shared" si="4"/>
        <x:v>-19.82</x:v>
      </x:c>
      <x:c r="J36" s="260"/>
      <x:c r="L36" s="260"/>
      <x:c r="M36" s="260"/>
      <x:c r="N36" s="260"/>
    </x:row>
    <x:row r="37" spans="1:14" x14ac:dyDescent="0.25">
      <x:c r="A37" s="2">
        <x:f t="shared" si="2"/>
        <x:v>26</x:v>
      </x:c>
      <x:c r="B37" s="683" t="s">
        <x:v>982</x:v>
      </x:c>
      <x:c r="C37" s="292">
        <x:v>8190.6</x:v>
      </x:c>
      <x:c r="D37" s="265">
        <x:v>45319</x:v>
      </x:c>
      <x:c r="E37" s="488" t="s">
        <x:v>673</x:v>
      </x:c>
      <x:c r="F37" s="265">
        <x:v>45335</x:v>
      </x:c>
      <x:c r="G37" s="37">
        <x:f t="shared" si="3"/>
        <x:v>-16</x:v>
      </x:c>
      <x:c r="H37" s="43">
        <x:f t="shared" si="4"/>
        <x:v>-131049.60000000001</x:v>
      </x:c>
      <x:c r="J37" s="260"/>
      <x:c r="L37" s="260"/>
      <x:c r="M37" s="260"/>
      <x:c r="N37" s="260"/>
    </x:row>
    <x:row r="38" spans="1:14" x14ac:dyDescent="0.25">
      <x:c r="A38" s="2">
        <x:f t="shared" si="2"/>
        <x:v>27</x:v>
      </x:c>
      <x:c r="B38" s="683" t="s">
        <x:v>983</x:v>
      </x:c>
      <x:c r="C38" s="292">
        <x:v>8687.06</x:v>
      </x:c>
      <x:c r="D38" s="265">
        <x:v>45097</x:v>
      </x:c>
      <x:c r="E38" s="488" t="s">
        <x:v>291</x:v>
      </x:c>
      <x:c r="F38" s="265">
        <x:v>45239</x:v>
      </x:c>
      <x:c r="G38" s="37">
        <x:f t="shared" si="3"/>
        <x:v>-142</x:v>
      </x:c>
      <x:c r="H38" s="43">
        <x:f t="shared" si="4"/>
        <x:v>-1233562.52</x:v>
      </x:c>
      <x:c r="J38" s="260"/>
      <x:c r="L38" s="260"/>
      <x:c r="M38" s="260"/>
      <x:c r="N38" s="260"/>
    </x:row>
    <x:row r="39" spans="1:14" x14ac:dyDescent="0.25">
      <x:c r="A39" s="2">
        <x:f t="shared" si="2"/>
        <x:v>28</x:v>
      </x:c>
      <x:c r="B39" s="683" t="s">
        <x:v>984</x:v>
      </x:c>
      <x:c r="C39" s="292">
        <x:v>649.5</x:v>
      </x:c>
      <x:c r="D39" s="265">
        <x:v>45428</x:v>
      </x:c>
      <x:c r="E39" s="488" t="s">
        <x:v>673</x:v>
      </x:c>
      <x:c r="F39" s="265">
        <x:v>45475</x:v>
      </x:c>
      <x:c r="G39" s="37">
        <x:f t="shared" si="3"/>
        <x:v>-47</x:v>
      </x:c>
      <x:c r="H39" s="43">
        <x:f t="shared" si="4"/>
        <x:v>-30526.5</x:v>
      </x:c>
      <x:c r="J39" s="260"/>
      <x:c r="L39" s="260"/>
      <x:c r="M39" s="260"/>
      <x:c r="N39" s="260"/>
    </x:row>
    <x:row r="40" spans="1:14" x14ac:dyDescent="0.25">
      <x:c r="A40" s="2">
        <x:f t="shared" si="2"/>
        <x:v>29</x:v>
      </x:c>
      <x:c r="B40" s="683" t="s">
        <x:v>985</x:v>
      </x:c>
      <x:c r="C40" s="292">
        <x:v>48.87</x:v>
      </x:c>
      <x:c r="D40" s="265">
        <x:v>45437</x:v>
      </x:c>
      <x:c r="E40" s="488" t="s">
        <x:v>673</x:v>
      </x:c>
      <x:c r="F40" s="265">
        <x:v>45460</x:v>
      </x:c>
      <x:c r="G40" s="37">
        <x:f t="shared" si="3"/>
        <x:v>-23</x:v>
      </x:c>
      <x:c r="H40" s="43">
        <x:f t="shared" si="4"/>
        <x:v>-1124.01</x:v>
      </x:c>
      <x:c r="J40" s="260"/>
      <x:c r="L40" s="260"/>
      <x:c r="M40" s="260"/>
      <x:c r="N40" s="260"/>
    </x:row>
    <x:row r="41" spans="1:14" x14ac:dyDescent="0.25">
      <x:c r="A41" s="2">
        <x:f t="shared" si="2"/>
        <x:v>30</x:v>
      </x:c>
      <x:c r="B41" s="683" t="s">
        <x:v>986</x:v>
      </x:c>
      <x:c r="C41" s="788">
        <x:v>540.16999999999996</x:v>
      </x:c>
      <x:c r="D41" s="265">
        <x:v>45489</x:v>
      </x:c>
      <x:c r="E41" s="488" t="s">
        <x:v>673</x:v>
      </x:c>
      <x:c r="F41" s="265">
        <x:v>45554</x:v>
      </x:c>
      <x:c r="G41" s="393">
        <x:f t="shared" si="3"/>
        <x:v>-65</x:v>
      </x:c>
      <x:c r="H41" s="701">
        <x:f t="shared" si="4"/>
        <x:v>-35111.049999999996</x:v>
      </x:c>
      <x:c r="J41" s="260"/>
      <x:c r="L41" s="260"/>
      <x:c r="M41" s="260"/>
      <x:c r="N41" s="260"/>
    </x:row>
    <x:row r="42" spans="1:14" x14ac:dyDescent="0.25">
      <x:c r="A42" s="2">
        <x:f t="shared" si="2"/>
        <x:v>31</x:v>
      </x:c>
      <x:c r="B42" s="2"/>
      <x:c r="C42" s="73"/>
      <x:c r="D42" s="265"/>
      <x:c r="E42" s="488"/>
      <x:c r="F42" s="265"/>
      <x:c r="G42" s="37"/>
      <x:c r="H42" s="178"/>
      <x:c r="J42" s="260"/>
      <x:c r="L42" s="260"/>
      <x:c r="M42" s="260"/>
      <x:c r="N42" s="260"/>
    </x:row>
    <x:row r="43" spans="1:14" ht="13.25" thickBot="1" x14ac:dyDescent="0.3">
      <x:c r="A43" s="2">
        <x:f t="shared" si="2"/>
        <x:v>32</x:v>
      </x:c>
      <x:c r="B43" t="s">
        <x:v>283</x:v>
      </x:c>
      <x:c r="C43" s="358">
        <x:f>SUM(C12:C42)</x:f>
        <x:v>43754.31</x:v>
      </x:c>
      <x:c r="G43" s="395">
        <x:f>+ROUND(H43/C43,2)</x:f>
        <x:v>-41.62</x:v>
      </x:c>
      <x:c r="H43" s="358">
        <x:f>SUM(H12:H42)</x:f>
        <x:v>-1820850.895</x:v>
      </x:c>
    </x:row>
    <x:row r="44" spans="1:14" ht="13.25" thickTop="1" x14ac:dyDescent="0.25">
      <x:c r="A44" s="2">
        <x:f t="shared" si="2"/>
        <x:v>33</x:v>
      </x:c>
      <x:c r="G44" s="28"/>
    </x:row>
    <x:row r="45" spans="1:14" x14ac:dyDescent="0.25">
      <x:c r="A45" s="2">
        <x:f t="shared" si="2"/>
        <x:v>34</x:v>
      </x:c>
      <x:c r="B45" t="s">
        <x:v>230</x:v>
      </x:c>
      <x:c r="C45" s="290" t="s">
        <x:v>956</x:v>
      </x:c>
      <x:c r="G45" s="28"/>
    </x:row>
    <x:row r="46" spans="1:14" x14ac:dyDescent="0.25">
      <x:c r="G46" s="28"/>
    </x:row>
    <x:row r="47" spans="1:14" x14ac:dyDescent="0.25">
      <x:c r="G47" s="28"/>
    </x:row>
    <x:row r="48" spans="1:14" x14ac:dyDescent="0.25">
      <x:c r="G48" s="28"/>
    </x:row>
    <x:row r="49" spans="7:7" x14ac:dyDescent="0.25">
      <x:c r="G49" s="28"/>
    </x:row>
    <x:row r="50" spans="7:7" x14ac:dyDescent="0.25">
      <x:c r="G50" s="28"/>
    </x:row>
    <x:row r="51" spans="7:7" x14ac:dyDescent="0.25">
      <x:c r="G51" s="28"/>
    </x:row>
    <x:row r="52" spans="7:7" x14ac:dyDescent="0.25">
      <x:c r="G52" s="28"/>
    </x:row>
    <x:row r="53" spans="7:7" x14ac:dyDescent="0.25">
      <x:c r="G53" s="28"/>
    </x:row>
    <x:row r="54" spans="7:7" x14ac:dyDescent="0.25">
      <x:c r="G54" s="28"/>
    </x:row>
    <x:row r="55" spans="7:7" x14ac:dyDescent="0.25">
      <x:c r="G55" s="28"/>
    </x:row>
    <x:row r="56" spans="7:7" x14ac:dyDescent="0.25">
      <x:c r="G56" s="28"/>
    </x:row>
    <x:row r="57" spans="7:7" x14ac:dyDescent="0.25">
      <x:c r="G57" s="28"/>
    </x:row>
  </x:sheetData>
  <x:phoneticPr fontId="23" type="noConversion"/>
  <x:hyperlinks>
    <x:hyperlink ref="C45" r:id="rId1" xr:uid="{00000000-0004-0000-1800-000000000000}"/>
  </x:hyperlinks>
  <x:printOptions horizontalCentered="1"/>
  <x:pageMargins left="0.5" right="0.5" top="1.5" bottom="0.5" header="1" footer="0.5"/>
  <x:pageSetup fitToHeight="3" orientation="landscape" r:id="rId2"/>
  <x:headerFooter alignWithMargins="0">
    <x:oddHeader>&amp;RWP/II-B-9/&amp;A
Page &amp;P of &amp;N</x:oddHeader>
  </x:headerFooter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 codeName="Sheet59">
    <x:tabColor rgb="FF92D050"/>
    <x:pageSetUpPr fitToPage="1"/>
  </x:sheetPr>
  <x:dimension ref="A1:N49"/>
  <x:sheetViews>
    <x:sheetView zoomScaleNormal="100" workbookViewId="0">
      <x:pane xSplit="1" ySplit="9" topLeftCell="B25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7.5546875" customWidth="1"/>
    <x:col min="3" max="3" width="14.44140625" style="93" bestFit="1" customWidth="1"/>
    <x:col min="4" max="4" width="11.44140625" bestFit="1" customWidth="1"/>
    <x:col min="5" max="5" width="23.88671875" customWidth="1"/>
    <x:col min="6" max="6" width="17.44140625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180"/>
      <x:c r="E1" s="180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73" customFormat="1" x14ac:dyDescent="0.25">
      <x:c r="A3" s="180" t="s">
        <x:v>311</x:v>
      </x:c>
      <x:c r="B3" s="180"/>
      <x:c r="C3" s="180"/>
      <x:c r="D3" s="180"/>
      <x:c r="E3" s="180"/>
    </x:row>
    <x:row r="4" spans="1:14" s="73" customFormat="1" x14ac:dyDescent="0.25">
      <x:c r="A4" s="767" t="s">
        <x:v>524</x:v>
      </x:c>
      <x:c r="B4" s="180"/>
      <x:c r="C4" s="180"/>
      <x:c r="D4" s="180"/>
      <x:c r="E4" s="180"/>
    </x:row>
    <x:row r="5" spans="1:14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ht="13.25" thickBot="1" x14ac:dyDescent="0.3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s="228" customFormat="1" x14ac:dyDescent="0.25">
      <x:c r="A12" s="229">
        <x:v>1</x:v>
      </x:c>
      <x:c r="B12" s="683" t="s">
        <x:v>862</x:v>
      </x:c>
      <x:c r="C12" s="175">
        <x:v>13379</x:v>
      </x:c>
      <x:c r="D12" s="497">
        <x:v>45313</x:v>
      </x:c>
      <x:c r="E12" s="498" t="s">
        <x:v>291</x:v>
      </x:c>
      <x:c r="F12" s="789">
        <x:v>45353</x:v>
      </x:c>
      <x:c r="G12" s="496">
        <x:f>D12-F12</x:f>
        <x:v>-40</x:v>
      </x:c>
      <x:c r="H12" s="510">
        <x:f>IF(ISERR(G12*C12),"",G12*C12)</x:f>
        <x:v>-535160</x:v>
      </x:c>
      <x:c r="J12" s="396"/>
      <x:c r="L12" s="396"/>
      <x:c r="M12" s="396"/>
      <x:c r="N12" s="396"/>
    </x:row>
    <x:row r="13" spans="1:14" x14ac:dyDescent="0.25">
      <x:c r="A13" s="2">
        <x:f>A12+1</x:f>
        <x:v>2</x:v>
      </x:c>
      <x:c r="B13" s="683" t="s">
        <x:v>863</x:v>
      </x:c>
      <x:c r="C13" s="292">
        <x:v>12750</x:v>
      </x:c>
      <x:c r="D13" s="497">
        <x:v>45257</x:v>
      </x:c>
      <x:c r="E13" s="498" t="s">
        <x:v>673</x:v>
      </x:c>
      <x:c r="F13" s="790">
        <x:v>45295</x:v>
      </x:c>
      <x:c r="G13" s="496">
        <x:f t="shared" ref="G13:G30" si="0">D13-F13</x:f>
        <x:v>-38</x:v>
      </x:c>
      <x:c r="H13" s="113">
        <x:f t="shared" ref="H13:H30" si="1">IF(ISERR(G13*C13),"",G13*C13)</x:f>
        <x:v>-484500</x:v>
      </x:c>
      <x:c r="J13" s="260"/>
      <x:c r="L13" s="260"/>
      <x:c r="M13" s="260"/>
      <x:c r="N13" s="260"/>
    </x:row>
    <x:row r="14" spans="1:14" x14ac:dyDescent="0.25">
      <x:c r="A14" s="2">
        <x:f t="shared" ref="A14:A34" si="2">A13+1</x:f>
        <x:v>3</x:v>
      </x:c>
      <x:c r="B14" s="683" t="s">
        <x:v>864</x:v>
      </x:c>
      <x:c r="C14" s="292">
        <x:v>24998.65</x:v>
      </x:c>
      <x:c r="D14" s="497">
        <x:v>45484.5</x:v>
      </x:c>
      <x:c r="E14" s="498" t="s">
        <x:v>673</x:v>
      </x:c>
      <x:c r="F14" s="790">
        <x:v>45518</x:v>
      </x:c>
      <x:c r="G14" s="496">
        <x:f t="shared" si="0"/>
        <x:v>-33.5</x:v>
      </x:c>
      <x:c r="H14" s="113">
        <x:f t="shared" si="1"/>
        <x:v>-837454.77500000002</x:v>
      </x:c>
      <x:c r="J14" s="260"/>
      <x:c r="L14" s="260"/>
      <x:c r="M14" s="260"/>
      <x:c r="N14" s="260"/>
    </x:row>
    <x:row r="15" spans="1:14" x14ac:dyDescent="0.25">
      <x:c r="A15" s="2">
        <x:f t="shared" si="2"/>
        <x:v>4</x:v>
      </x:c>
      <x:c r="B15" s="683" t="s">
        <x:v>865</x:v>
      </x:c>
      <x:c r="C15" s="292">
        <x:v>13800.64</x:v>
      </x:c>
      <x:c r="D15" s="497">
        <x:v>45245.5</x:v>
      </x:c>
      <x:c r="E15" s="498" t="s">
        <x:v>673</x:v>
      </x:c>
      <x:c r="F15" s="790">
        <x:v>45291</x:v>
      </x:c>
      <x:c r="G15" s="496">
        <x:f t="shared" si="0"/>
        <x:v>-45.5</x:v>
      </x:c>
      <x:c r="H15" s="113">
        <x:f t="shared" si="1"/>
        <x:v>-627929.12</x:v>
      </x:c>
      <x:c r="J15" s="260"/>
      <x:c r="L15" s="260"/>
      <x:c r="M15" s="260"/>
      <x:c r="N15" s="260"/>
    </x:row>
    <x:row r="16" spans="1:14" x14ac:dyDescent="0.25">
      <x:c r="A16" s="2">
        <x:f t="shared" si="2"/>
        <x:v>5</x:v>
      </x:c>
      <x:c r="B16" s="683" t="s">
        <x:v>866</x:v>
      </x:c>
      <x:c r="C16" s="292">
        <x:v>17768.919999999998</x:v>
      </x:c>
      <x:c r="D16" s="497">
        <x:v>45437.5</x:v>
      </x:c>
      <x:c r="E16" s="498" t="s">
        <x:v>673</x:v>
      </x:c>
      <x:c r="F16" s="790">
        <x:v>45519</x:v>
      </x:c>
      <x:c r="G16" s="496">
        <x:f t="shared" si="0"/>
        <x:v>-81.5</x:v>
      </x:c>
      <x:c r="H16" s="113">
        <x:f t="shared" si="1"/>
        <x:v>-1448166.9799999997</x:v>
      </x:c>
      <x:c r="J16" s="260"/>
      <x:c r="L16" s="260"/>
      <x:c r="M16" s="260"/>
      <x:c r="N16" s="260"/>
    </x:row>
    <x:row r="17" spans="1:14" x14ac:dyDescent="0.25">
      <x:c r="A17" s="2">
        <x:f t="shared" si="2"/>
        <x:v>6</x:v>
      </x:c>
      <x:c r="B17" s="683" t="s">
        <x:v>867</x:v>
      </x:c>
      <x:c r="C17" s="292">
        <x:v>20301.82</x:v>
      </x:c>
      <x:c r="D17" s="497">
        <x:v>45274.5</x:v>
      </x:c>
      <x:c r="E17" s="498" t="s">
        <x:v>673</x:v>
      </x:c>
      <x:c r="F17" s="790">
        <x:v>45301</x:v>
      </x:c>
      <x:c r="G17" s="496">
        <x:f t="shared" si="0"/>
        <x:v>-26.5</x:v>
      </x:c>
      <x:c r="H17" s="113">
        <x:f t="shared" si="1"/>
        <x:v>-537998.23</x:v>
      </x:c>
      <x:c r="J17" s="260"/>
      <x:c r="L17" s="260"/>
      <x:c r="M17" s="260"/>
      <x:c r="N17" s="260"/>
    </x:row>
    <x:row r="18" spans="1:14" x14ac:dyDescent="0.25">
      <x:c r="A18" s="2">
        <x:f t="shared" si="2"/>
        <x:v>7</x:v>
      </x:c>
      <x:c r="B18" s="683" t="s">
        <x:v>868</x:v>
      </x:c>
      <x:c r="C18" s="292">
        <x:v>11742.64</x:v>
      </x:c>
      <x:c r="D18" s="497">
        <x:v>45216</x:v>
      </x:c>
      <x:c r="E18" s="498" t="s">
        <x:v>291</x:v>
      </x:c>
      <x:c r="F18" s="790">
        <x:v>45246</x:v>
      </x:c>
      <x:c r="G18" s="496">
        <x:f t="shared" si="0"/>
        <x:v>-30</x:v>
      </x:c>
      <x:c r="H18" s="113">
        <x:f t="shared" si="1"/>
        <x:v>-352279.19999999995</x:v>
      </x:c>
      <x:c r="J18" s="260"/>
      <x:c r="L18" s="260"/>
      <x:c r="M18" s="260"/>
      <x:c r="N18" s="260"/>
    </x:row>
    <x:row r="19" spans="1:14" x14ac:dyDescent="0.25">
      <x:c r="A19" s="2">
        <x:f t="shared" si="2"/>
        <x:v>8</x:v>
      </x:c>
      <x:c r="B19" s="683" t="s">
        <x:v>869</x:v>
      </x:c>
      <x:c r="C19" s="292">
        <x:v>10658.07</x:v>
      </x:c>
      <x:c r="D19" s="497">
        <x:v>45519</x:v>
      </x:c>
      <x:c r="E19" s="498" t="s">
        <x:v>291</x:v>
      </x:c>
      <x:c r="F19" s="790">
        <x:v>45549</x:v>
      </x:c>
      <x:c r="G19" s="496">
        <x:f t="shared" si="0"/>
        <x:v>-30</x:v>
      </x:c>
      <x:c r="H19" s="113">
        <x:f t="shared" si="1"/>
        <x:v>-319742.09999999998</x:v>
      </x:c>
      <x:c r="J19" s="260"/>
      <x:c r="L19" s="260"/>
      <x:c r="M19" s="260"/>
      <x:c r="N19" s="260"/>
    </x:row>
    <x:row r="20" spans="1:14" x14ac:dyDescent="0.25">
      <x:c r="A20" s="2">
        <x:f t="shared" si="2"/>
        <x:v>9</x:v>
      </x:c>
      <x:c r="B20" s="683" t="s">
        <x:v>870</x:v>
      </x:c>
      <x:c r="C20" s="292">
        <x:v>14289</x:v>
      </x:c>
      <x:c r="D20" s="497">
        <x:v>45266</x:v>
      </x:c>
      <x:c r="E20" s="498" t="s">
        <x:v>291</x:v>
      </x:c>
      <x:c r="F20" s="790">
        <x:v>45314</x:v>
      </x:c>
      <x:c r="G20" s="496">
        <x:f t="shared" si="0"/>
        <x:v>-48</x:v>
      </x:c>
      <x:c r="H20" s="113">
        <x:f t="shared" si="1"/>
        <x:v>-685872</x:v>
      </x:c>
      <x:c r="J20" s="260"/>
      <x:c r="L20" s="260"/>
      <x:c r="M20" s="260"/>
      <x:c r="N20" s="260"/>
    </x:row>
    <x:row r="21" spans="1:14" x14ac:dyDescent="0.25">
      <x:c r="A21" s="2">
        <x:f t="shared" si="2"/>
        <x:v>10</x:v>
      </x:c>
      <x:c r="B21" s="683" t="s">
        <x:v>871</x:v>
      </x:c>
      <x:c r="C21" s="292">
        <x:v>24263.8</x:v>
      </x:c>
      <x:c r="D21" s="497">
        <x:v>45322</x:v>
      </x:c>
      <x:c r="E21" s="498" t="s">
        <x:v>673</x:v>
      </x:c>
      <x:c r="F21" s="790">
        <x:v>45360</x:v>
      </x:c>
      <x:c r="G21" s="496">
        <x:f t="shared" si="0"/>
        <x:v>-38</x:v>
      </x:c>
      <x:c r="H21" s="113">
        <x:f t="shared" si="1"/>
        <x:v>-922024.4</x:v>
      </x:c>
      <x:c r="J21" s="260"/>
      <x:c r="L21" s="260"/>
      <x:c r="M21" s="260"/>
      <x:c r="N21" s="260"/>
    </x:row>
    <x:row r="22" spans="1:14" x14ac:dyDescent="0.25">
      <x:c r="A22" s="2">
        <x:f t="shared" si="2"/>
        <x:v>11</x:v>
      </x:c>
      <x:c r="B22" s="683" t="s">
        <x:v>872</x:v>
      </x:c>
      <x:c r="C22" s="292">
        <x:v>10473.719999999999</x:v>
      </x:c>
      <x:c r="D22" s="497">
        <x:v>45201</x:v>
      </x:c>
      <x:c r="E22" s="498" t="s">
        <x:v>291</x:v>
      </x:c>
      <x:c r="F22" s="790">
        <x:v>45239</x:v>
      </x:c>
      <x:c r="G22" s="496">
        <x:f t="shared" si="0"/>
        <x:v>-38</x:v>
      </x:c>
      <x:c r="H22" s="113">
        <x:f t="shared" si="1"/>
        <x:v>-398001.36</x:v>
      </x:c>
      <x:c r="J22" s="260"/>
      <x:c r="L22" s="260"/>
      <x:c r="M22" s="260"/>
      <x:c r="N22" s="260"/>
    </x:row>
    <x:row r="23" spans="1:14" x14ac:dyDescent="0.25">
      <x:c r="A23" s="2">
        <x:f t="shared" si="2"/>
        <x:v>12</x:v>
      </x:c>
      <x:c r="B23" s="683" t="s">
        <x:v>873</x:v>
      </x:c>
      <x:c r="C23" s="292">
        <x:v>11730</x:v>
      </x:c>
      <x:c r="D23" s="497">
        <x:v>45307</x:v>
      </x:c>
      <x:c r="E23" s="498" t="s">
        <x:v>673</x:v>
      </x:c>
      <x:c r="F23" s="790">
        <x:v>45373</x:v>
      </x:c>
      <x:c r="G23" s="496">
        <x:f t="shared" si="0"/>
        <x:v>-66</x:v>
      </x:c>
      <x:c r="H23" s="113">
        <x:f t="shared" si="1"/>
        <x:v>-774180</x:v>
      </x:c>
      <x:c r="J23" s="260"/>
      <x:c r="L23" s="260"/>
      <x:c r="M23" s="260"/>
      <x:c r="N23" s="260"/>
    </x:row>
    <x:row r="24" spans="1:14" x14ac:dyDescent="0.25">
      <x:c r="A24" s="2">
        <x:f t="shared" si="2"/>
        <x:v>13</x:v>
      </x:c>
      <x:c r="B24" s="683" t="s">
        <x:v>874</x:v>
      </x:c>
      <x:c r="C24" s="292">
        <x:v>22060.58</x:v>
      </x:c>
      <x:c r="D24" s="497">
        <x:v>45218</x:v>
      </x:c>
      <x:c r="E24" s="498" t="s">
        <x:v>673</x:v>
      </x:c>
      <x:c r="F24" s="790">
        <x:v>45260</x:v>
      </x:c>
      <x:c r="G24" s="496">
        <x:f t="shared" si="0"/>
        <x:v>-42</x:v>
      </x:c>
      <x:c r="H24" s="113">
        <x:f t="shared" si="1"/>
        <x:v>-926544.3600000001</x:v>
      </x:c>
      <x:c r="J24" s="260"/>
      <x:c r="L24" s="260"/>
      <x:c r="M24" s="260"/>
      <x:c r="N24" s="260"/>
    </x:row>
    <x:row r="25" spans="1:14" x14ac:dyDescent="0.25">
      <x:c r="A25" s="2">
        <x:f t="shared" si="2"/>
        <x:v>14</x:v>
      </x:c>
      <x:c r="B25" s="683" t="s">
        <x:v>875</x:v>
      </x:c>
      <x:c r="C25" s="292">
        <x:v>18943.75</x:v>
      </x:c>
      <x:c r="D25" s="497">
        <x:v>45510</x:v>
      </x:c>
      <x:c r="E25" s="498" t="s">
        <x:v>673</x:v>
      </x:c>
      <x:c r="F25" s="790">
        <x:v>45545</x:v>
      </x:c>
      <x:c r="G25" s="496">
        <x:f t="shared" si="0"/>
        <x:v>-35</x:v>
      </x:c>
      <x:c r="H25" s="113">
        <x:f t="shared" si="1"/>
        <x:v>-663031.25</x:v>
      </x:c>
      <x:c r="J25" s="260"/>
      <x:c r="L25" s="260"/>
      <x:c r="M25" s="260"/>
      <x:c r="N25" s="260"/>
    </x:row>
    <x:row r="26" spans="1:14" x14ac:dyDescent="0.25">
      <x:c r="A26" s="2">
        <x:f t="shared" si="2"/>
        <x:v>15</x:v>
      </x:c>
      <x:c r="B26" s="683" t="s">
        <x:v>876</x:v>
      </x:c>
      <x:c r="C26" s="292">
        <x:v>11734.24</x:v>
      </x:c>
      <x:c r="D26" s="497">
        <x:v>45215</x:v>
      </x:c>
      <x:c r="E26" s="498" t="s">
        <x:v>291</x:v>
      </x:c>
      <x:c r="F26" s="790">
        <x:v>45252</x:v>
      </x:c>
      <x:c r="G26" s="496">
        <x:f t="shared" si="0"/>
        <x:v>-37</x:v>
      </x:c>
      <x:c r="H26" s="113">
        <x:f t="shared" si="1"/>
        <x:v>-434166.88</x:v>
      </x:c>
      <x:c r="J26" s="260"/>
      <x:c r="L26" s="260"/>
      <x:c r="M26" s="260"/>
      <x:c r="N26" s="260"/>
    </x:row>
    <x:row r="27" spans="1:14" x14ac:dyDescent="0.25">
      <x:c r="A27" s="2">
        <x:f t="shared" si="2"/>
        <x:v>16</x:v>
      </x:c>
      <x:c r="B27" s="683" t="s">
        <x:v>877</x:v>
      </x:c>
      <x:c r="C27" s="292">
        <x:v>20055.41</x:v>
      </x:c>
      <x:c r="D27" s="497">
        <x:v>45218</x:v>
      </x:c>
      <x:c r="E27" s="498" t="s">
        <x:v>291</x:v>
      </x:c>
      <x:c r="F27" s="790">
        <x:v>45248</x:v>
      </x:c>
      <x:c r="G27" s="496">
        <x:f t="shared" si="0"/>
        <x:v>-30</x:v>
      </x:c>
      <x:c r="H27" s="113">
        <x:f t="shared" si="1"/>
        <x:v>-601662.30000000005</x:v>
      </x:c>
      <x:c r="J27" s="260"/>
      <x:c r="L27" s="260"/>
      <x:c r="M27" s="260"/>
      <x:c r="N27" s="260"/>
    </x:row>
    <x:row r="28" spans="1:14" x14ac:dyDescent="0.25">
      <x:c r="A28" s="2">
        <x:f t="shared" si="2"/>
        <x:v>17</x:v>
      </x:c>
      <x:c r="B28" s="683" t="s">
        <x:v>878</x:v>
      </x:c>
      <x:c r="C28" s="292">
        <x:v>11715</x:v>
      </x:c>
      <x:c r="D28" s="497">
        <x:v>45169</x:v>
      </x:c>
      <x:c r="E28" s="498" t="s">
        <x:v>291</x:v>
      </x:c>
      <x:c r="F28" s="790">
        <x:v>45257</x:v>
      </x:c>
      <x:c r="G28" s="496">
        <x:f t="shared" si="0"/>
        <x:v>-88</x:v>
      </x:c>
      <x:c r="H28" s="113">
        <x:f t="shared" si="1"/>
        <x:v>-1030920</x:v>
      </x:c>
      <x:c r="J28" s="260"/>
      <x:c r="L28" s="260"/>
      <x:c r="M28" s="260"/>
      <x:c r="N28" s="260"/>
    </x:row>
    <x:row r="29" spans="1:14" x14ac:dyDescent="0.25">
      <x:c r="A29" s="2">
        <x:f t="shared" si="2"/>
        <x:v>18</x:v>
      </x:c>
      <x:c r="B29" s="683" t="s">
        <x:v>879</x:v>
      </x:c>
      <x:c r="C29" s="292">
        <x:v>22689.24</x:v>
      </x:c>
      <x:c r="D29" s="497">
        <x:v>45229.5</x:v>
      </x:c>
      <x:c r="E29" s="498" t="s">
        <x:v>673</x:v>
      </x:c>
      <x:c r="F29" s="790">
        <x:v>45268</x:v>
      </x:c>
      <x:c r="G29" s="496">
        <x:f t="shared" si="0"/>
        <x:v>-38.5</x:v>
      </x:c>
      <x:c r="H29" s="113">
        <x:f t="shared" si="1"/>
        <x:v>-873535.74000000011</x:v>
      </x:c>
      <x:c r="J29" s="260"/>
      <x:c r="L29" s="260"/>
      <x:c r="M29" s="260"/>
      <x:c r="N29" s="260"/>
    </x:row>
    <x:row r="30" spans="1:14" x14ac:dyDescent="0.25">
      <x:c r="A30" s="2">
        <x:f t="shared" si="2"/>
        <x:v>19</x:v>
      </x:c>
      <x:c r="B30" s="683" t="s">
        <x:v>880</x:v>
      </x:c>
      <x:c r="C30" s="788">
        <x:v>17604.580000000002</x:v>
      </x:c>
      <x:c r="D30" s="497">
        <x:v>45189</x:v>
      </x:c>
      <x:c r="E30" s="498" t="s">
        <x:v>673</x:v>
      </x:c>
      <x:c r="F30" s="790">
        <x:v>45227</x:v>
      </x:c>
      <x:c r="G30" s="393">
        <x:f t="shared" si="0"/>
        <x:v>-38</x:v>
      </x:c>
      <x:c r="H30" s="701">
        <x:f t="shared" si="1"/>
        <x:v>-668974.04</x:v>
      </x:c>
      <x:c r="J30" s="260"/>
      <x:c r="L30" s="260"/>
      <x:c r="M30" s="260"/>
      <x:c r="N30" s="260"/>
    </x:row>
    <x:row r="31" spans="1:14" x14ac:dyDescent="0.25">
      <x:c r="A31" s="2">
        <x:f t="shared" si="2"/>
        <x:v>20</x:v>
      </x:c>
      <x:c r="B31" s="2"/>
      <x:c r="C31" s="499"/>
      <x:c r="D31" s="497"/>
      <x:c r="E31" s="498"/>
      <x:c r="F31" s="497"/>
      <x:c r="G31" s="496"/>
      <x:c r="H31" s="113"/>
      <x:c r="J31" s="260"/>
      <x:c r="L31" s="260"/>
      <x:c r="M31" s="260"/>
      <x:c r="N31" s="260"/>
    </x:row>
    <x:row r="32" spans="1:14" ht="13.25" thickBot="1" x14ac:dyDescent="0.3">
      <x:c r="A32" s="2">
        <x:f t="shared" si="2"/>
        <x:v>21</x:v>
      </x:c>
      <x:c r="B32" t="s">
        <x:v>26</x:v>
      </x:c>
      <x:c r="C32" s="358">
        <x:f>SUM(C12:C31)</x:f>
        <x:v>310959.06</x:v>
      </x:c>
      <x:c r="G32" s="395">
        <x:f>+ROUND(H32/C32,2)</x:f>
        <x:v>-42.2</x:v>
      </x:c>
      <x:c r="H32" s="358">
        <x:f>SUM(H12:H31)</x:f>
        <x:v>-13122142.735000003</x:v>
      </x:c>
      <x:c r="J32" s="260"/>
      <x:c r="L32" s="260"/>
      <x:c r="M32" s="260"/>
      <x:c r="N32" s="260"/>
    </x:row>
    <x:row r="33" spans="1:7" ht="13.25" thickTop="1" x14ac:dyDescent="0.25">
      <x:c r="A33" s="2">
        <x:f t="shared" si="2"/>
        <x:v>22</x:v>
      </x:c>
      <x:c r="G33" s="28"/>
    </x:row>
    <x:row r="34" spans="1:7" x14ac:dyDescent="0.25">
      <x:c r="A34" s="2">
        <x:f t="shared" si="2"/>
        <x:v>23</x:v>
      </x:c>
      <x:c r="B34" t="s">
        <x:v>230</x:v>
      </x:c>
      <x:c r="C34" s="290" t="s">
        <x:v>957</x:v>
      </x:c>
      <x:c r="G34" s="28"/>
    </x:row>
    <x:row r="35" spans="1:7" x14ac:dyDescent="0.25">
      <x:c r="G35" s="28"/>
    </x:row>
    <x:row r="36" spans="1:7" x14ac:dyDescent="0.25">
      <x:c r="G36" s="28"/>
    </x:row>
    <x:row r="37" spans="1:7" x14ac:dyDescent="0.25">
      <x:c r="G37" s="28"/>
    </x:row>
    <x:row r="38" spans="1:7" x14ac:dyDescent="0.25">
      <x:c r="G38" s="28"/>
    </x:row>
    <x:row r="39" spans="1:7" x14ac:dyDescent="0.25">
      <x:c r="G39" s="28"/>
    </x:row>
    <x:row r="40" spans="1:7" x14ac:dyDescent="0.25">
      <x:c r="G40" s="28"/>
    </x:row>
    <x:row r="41" spans="1:7" x14ac:dyDescent="0.25">
      <x:c r="G41" s="28"/>
    </x:row>
    <x:row r="42" spans="1:7" x14ac:dyDescent="0.25">
      <x:c r="G42" s="28"/>
    </x:row>
    <x:row r="43" spans="1:7" x14ac:dyDescent="0.25">
      <x:c r="G43" s="28"/>
    </x:row>
    <x:row r="44" spans="1:7" x14ac:dyDescent="0.25">
      <x:c r="G44" s="28"/>
    </x:row>
    <x:row r="45" spans="1:7" x14ac:dyDescent="0.25">
      <x:c r="G45" s="28"/>
    </x:row>
    <x:row r="46" spans="1:7" x14ac:dyDescent="0.25">
      <x:c r="G46" s="28"/>
    </x:row>
    <x:row r="47" spans="1:7" x14ac:dyDescent="0.25">
      <x:c r="G47" s="28"/>
    </x:row>
    <x:row r="48" spans="1:7" x14ac:dyDescent="0.25">
      <x:c r="G48" s="28"/>
    </x:row>
    <x:row r="49" spans="7:7" x14ac:dyDescent="0.25">
      <x:c r="G49" s="28"/>
    </x:row>
  </x:sheetData>
  <x:phoneticPr fontId="23" type="noConversion"/>
  <x:hyperlinks>
    <x:hyperlink ref="C34" r:id="rId1" xr:uid="{00000000-0004-0000-19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  <x:rowBreaks count="1" manualBreakCount="1">
    <x:brk id="28" max="7" man="1"/>
  </x:rowBreaks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 codeName="Sheet14">
    <x:tabColor rgb="FF92D050"/>
  </x:sheetPr>
  <x:dimension ref="A1:N106"/>
  <x:sheetViews>
    <x:sheetView zoomScaleNormal="100" zoomScaleSheetLayoutView="100" workbookViewId="0">
      <x:pane xSplit="1" ySplit="9" topLeftCell="B83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8.109375" customWidth="1"/>
    <x:col min="3" max="3" width="14.88671875" style="93" bestFit="1" customWidth="1"/>
    <x:col min="4" max="4" width="11.5546875" bestFit="1" customWidth="1"/>
    <x:col min="5" max="5" width="23.88671875" customWidth="1"/>
    <x:col min="6" max="6" width="17.44140625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292" customFormat="1" x14ac:dyDescent="0.25">
      <x:c r="A1" s="180" t="s">
        <x:v>523</x:v>
      </x:c>
      <x:c r="B1" s="180"/>
      <x:c r="C1" s="180"/>
      <x:c r="D1" s="180"/>
      <x:c r="E1" s="180"/>
    </x:row>
    <x:row r="2" spans="1:14" s="292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292" customFormat="1" x14ac:dyDescent="0.25">
      <x:c r="A3" s="180" t="s">
        <x:v>310</x:v>
      </x:c>
      <x:c r="B3" s="180"/>
      <x:c r="C3" s="180"/>
      <x:c r="D3" s="180"/>
      <x:c r="E3" s="180"/>
    </x:row>
    <x:row r="4" spans="1:14" s="292" customFormat="1" x14ac:dyDescent="0.25">
      <x:c r="A4" s="767" t="s">
        <x:v>524</x:v>
      </x:c>
      <x:c r="B4" s="180"/>
      <x:c r="C4" s="180"/>
      <x:c r="D4" s="180"/>
      <x:c r="E4" s="180"/>
    </x:row>
    <x:row r="5" spans="1:14" s="292" customFormat="1" x14ac:dyDescent="0.25">
      <x:c r="A5" s="180" t="s">
        <x:v>486</x:v>
      </x:c>
      <x:c r="B5" s="180"/>
      <x:c r="C5" s="180"/>
      <x:c r="D5" s="180"/>
      <x:c r="E5" s="180"/>
      <x:c r="H5" s="292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x14ac:dyDescent="0.25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x14ac:dyDescent="0.25">
      <x:c r="A12" s="2">
        <x:v>1</x:v>
      </x:c>
      <x:c r="B12" s="683" t="s">
        <x:v>881</x:v>
      </x:c>
      <x:c r="C12" s="292">
        <x:v>25038.400000000001</x:v>
      </x:c>
      <x:c r="D12" s="265">
        <x:v>45273</x:v>
      </x:c>
      <x:c r="E12" s="488" t="s">
        <x:v>673</x:v>
      </x:c>
      <x:c r="F12" s="265">
        <x:v>45314</x:v>
      </x:c>
      <x:c r="G12" s="37">
        <x:f>D12-F12</x:f>
        <x:v>-41</x:v>
      </x:c>
      <x:c r="H12" s="36">
        <x:f>IF(ISERR(G12*C12),"",G12*C12)</x:f>
        <x:v>-1026574.4</x:v>
      </x:c>
      <x:c r="I12" s="93"/>
      <x:c r="J12" s="260"/>
      <x:c r="L12" s="260"/>
      <x:c r="M12" s="260"/>
      <x:c r="N12" s="260"/>
    </x:row>
    <x:row r="13" spans="1:14" x14ac:dyDescent="0.25">
      <x:c r="A13" s="2">
        <x:f t="shared" ref="A13:A44" si="0">+A12+1</x:f>
        <x:v>2</x:v>
      </x:c>
      <x:c r="B13" s="683" t="s">
        <x:v>882</x:v>
      </x:c>
      <x:c r="C13" s="292">
        <x:v>28910</x:v>
      </x:c>
      <x:c r="D13" s="265">
        <x:v>45360</x:v>
      </x:c>
      <x:c r="E13" s="488" t="s">
        <x:v>673</x:v>
      </x:c>
      <x:c r="F13" s="265">
        <x:v>45396</x:v>
      </x:c>
      <x:c r="G13" s="37">
        <x:f>D13-F13</x:f>
        <x:v>-36</x:v>
      </x:c>
      <x:c r="H13" s="43">
        <x:f>IF(ISERR(G13*C13),"",G13*C13)</x:f>
        <x:v>-1040760</x:v>
      </x:c>
      <x:c r="I13" s="93"/>
      <x:c r="J13" s="260"/>
      <x:c r="L13" s="260"/>
      <x:c r="M13" s="260"/>
      <x:c r="N13" s="260"/>
    </x:row>
    <x:row r="14" spans="1:14" x14ac:dyDescent="0.25">
      <x:c r="A14" s="2">
        <x:f t="shared" si="0"/>
        <x:v>3</x:v>
      </x:c>
      <x:c r="B14" s="683" t="s">
        <x:v>883</x:v>
      </x:c>
      <x:c r="C14" s="292">
        <x:v>144571.04</x:v>
      </x:c>
      <x:c r="D14" s="265">
        <x:v>45474.5</x:v>
      </x:c>
      <x:c r="E14" s="488" t="s">
        <x:v>673</x:v>
      </x:c>
      <x:c r="F14" s="265">
        <x:v>45335</x:v>
      </x:c>
      <x:c r="G14" s="37">
        <x:f t="shared" ref="G14:G47" si="1">D14-F14</x:f>
        <x:v>139.5</x:v>
      </x:c>
      <x:c r="H14" s="43">
        <x:f t="shared" ref="H14:H47" si="2">IF(ISERR(G14*C14),"",G14*C14)</x:f>
        <x:v>20167660.080000002</x:v>
      </x:c>
      <x:c r="I14" s="93"/>
      <x:c r="J14" s="260"/>
      <x:c r="L14" s="260"/>
      <x:c r="M14" s="260"/>
      <x:c r="N14" s="260"/>
    </x:row>
    <x:row r="15" spans="1:14" x14ac:dyDescent="0.25">
      <x:c r="A15" s="2">
        <x:f t="shared" si="0"/>
        <x:v>4</x:v>
      </x:c>
      <x:c r="B15" s="683" t="s">
        <x:v>884</x:v>
      </x:c>
      <x:c r="C15" s="292">
        <x:v>88400</x:v>
      </x:c>
      <x:c r="D15" s="265">
        <x:v>45490</x:v>
      </x:c>
      <x:c r="E15" s="488" t="s">
        <x:v>673</x:v>
      </x:c>
      <x:c r="F15" s="265">
        <x:v>45530</x:v>
      </x:c>
      <x:c r="G15" s="37">
        <x:f t="shared" si="1"/>
        <x:v>-40</x:v>
      </x:c>
      <x:c r="H15" s="43">
        <x:f t="shared" si="2"/>
        <x:v>-3536000</x:v>
      </x:c>
      <x:c r="I15" s="93"/>
      <x:c r="J15" s="260"/>
      <x:c r="L15" s="260"/>
      <x:c r="M15" s="260"/>
      <x:c r="N15" s="260"/>
    </x:row>
    <x:row r="16" spans="1:14" x14ac:dyDescent="0.25">
      <x:c r="A16" s="2">
        <x:f t="shared" si="0"/>
        <x:v>5</x:v>
      </x:c>
      <x:c r="B16" s="683" t="s">
        <x:v>885</x:v>
      </x:c>
      <x:c r="C16" s="292">
        <x:v>88087.85</x:v>
      </x:c>
      <x:c r="D16" s="265">
        <x:v>45539</x:v>
      </x:c>
      <x:c r="E16" s="488" t="s">
        <x:v>673</x:v>
      </x:c>
      <x:c r="F16" s="265">
        <x:v>45572</x:v>
      </x:c>
      <x:c r="G16" s="37">
        <x:f t="shared" si="1"/>
        <x:v>-33</x:v>
      </x:c>
      <x:c r="H16" s="43">
        <x:f t="shared" si="2"/>
        <x:v>-2906899.0500000003</x:v>
      </x:c>
      <x:c r="I16" s="93"/>
      <x:c r="J16" s="260"/>
      <x:c r="L16" s="260"/>
      <x:c r="M16" s="260"/>
      <x:c r="N16" s="260"/>
    </x:row>
    <x:row r="17" spans="1:14" x14ac:dyDescent="0.25">
      <x:c r="A17" s="2">
        <x:f t="shared" si="0"/>
        <x:v>6</x:v>
      </x:c>
      <x:c r="B17" s="683" t="s">
        <x:v>886</x:v>
      </x:c>
      <x:c r="C17" s="292">
        <x:v>85934.22</x:v>
      </x:c>
      <x:c r="D17" s="265">
        <x:v>45231</x:v>
      </x:c>
      <x:c r="E17" s="488" t="s">
        <x:v>291</x:v>
      </x:c>
      <x:c r="F17" s="265">
        <x:v>45280</x:v>
      </x:c>
      <x:c r="G17" s="37">
        <x:f t="shared" si="1"/>
        <x:v>-49</x:v>
      </x:c>
      <x:c r="H17" s="43">
        <x:f t="shared" si="2"/>
        <x:v>-4210776.78</x:v>
      </x:c>
      <x:c r="I17" s="93"/>
      <x:c r="J17" s="260"/>
      <x:c r="L17" s="260"/>
      <x:c r="M17" s="260"/>
      <x:c r="N17" s="260"/>
    </x:row>
    <x:row r="18" spans="1:14" x14ac:dyDescent="0.25">
      <x:c r="A18" s="2">
        <x:f t="shared" si="0"/>
        <x:v>7</x:v>
      </x:c>
      <x:c r="B18" s="683" t="s">
        <x:v>887</x:v>
      </x:c>
      <x:c r="C18" s="292">
        <x:v>73000</x:v>
      </x:c>
      <x:c r="D18" s="265">
        <x:v>45436.5</x:v>
      </x:c>
      <x:c r="E18" s="488" t="s">
        <x:v>955</x:v>
      </x:c>
      <x:c r="F18" s="265">
        <x:v>45556</x:v>
      </x:c>
      <x:c r="G18" s="37">
        <x:f t="shared" si="1"/>
        <x:v>-119.5</x:v>
      </x:c>
      <x:c r="H18" s="43">
        <x:f t="shared" si="2"/>
        <x:v>-8723500</x:v>
      </x:c>
      <x:c r="I18" s="93"/>
      <x:c r="J18" s="260"/>
      <x:c r="L18" s="260"/>
      <x:c r="M18" s="260"/>
      <x:c r="N18" s="260"/>
    </x:row>
    <x:row r="19" spans="1:14" x14ac:dyDescent="0.25">
      <x:c r="A19" s="2">
        <x:f t="shared" si="0"/>
        <x:v>8</x:v>
      </x:c>
      <x:c r="B19" s="683" t="s">
        <x:v>888</x:v>
      </x:c>
      <x:c r="C19" s="292">
        <x:v>40869.79</x:v>
      </x:c>
      <x:c r="D19" s="265">
        <x:v>45221.5</x:v>
      </x:c>
      <x:c r="E19" s="488" t="s">
        <x:v>673</x:v>
      </x:c>
      <x:c r="F19" s="265">
        <x:v>45242</x:v>
      </x:c>
      <x:c r="G19" s="37">
        <x:f t="shared" si="1"/>
        <x:v>-20.5</x:v>
      </x:c>
      <x:c r="H19" s="43">
        <x:f t="shared" si="2"/>
        <x:v>-837830.69500000007</x:v>
      </x:c>
      <x:c r="I19" s="93"/>
      <x:c r="J19" s="260"/>
      <x:c r="L19" s="260"/>
      <x:c r="M19" s="260"/>
      <x:c r="N19" s="260"/>
    </x:row>
    <x:row r="20" spans="1:14" x14ac:dyDescent="0.25">
      <x:c r="A20" s="2">
        <x:f t="shared" si="0"/>
        <x:v>9</x:v>
      </x:c>
      <x:c r="B20" s="683" t="s">
        <x:v>889</x:v>
      </x:c>
      <x:c r="C20" s="292">
        <x:v>75000</x:v>
      </x:c>
      <x:c r="D20" s="265">
        <x:v>45259</x:v>
      </x:c>
      <x:c r="E20" s="488" t="s">
        <x:v>291</x:v>
      </x:c>
      <x:c r="F20" s="265">
        <x:v>45268</x:v>
      </x:c>
      <x:c r="G20" s="37">
        <x:f t="shared" si="1"/>
        <x:v>-9</x:v>
      </x:c>
      <x:c r="H20" s="43">
        <x:f t="shared" si="2"/>
        <x:v>-675000</x:v>
      </x:c>
      <x:c r="I20" s="93"/>
      <x:c r="J20" s="260"/>
      <x:c r="L20" s="260"/>
      <x:c r="M20" s="260"/>
      <x:c r="N20" s="260"/>
    </x:row>
    <x:row r="21" spans="1:14" x14ac:dyDescent="0.25">
      <x:c r="A21" s="2">
        <x:f t="shared" si="0"/>
        <x:v>10</x:v>
      </x:c>
      <x:c r="B21" s="683" t="s">
        <x:v>890</x:v>
      </x:c>
      <x:c r="C21" s="292">
        <x:v>42896.78</x:v>
      </x:c>
      <x:c r="D21" s="265">
        <x:v>45307</x:v>
      </x:c>
      <x:c r="E21" s="488" t="s">
        <x:v>673</x:v>
      </x:c>
      <x:c r="F21" s="265">
        <x:v>45341</x:v>
      </x:c>
      <x:c r="G21" s="37">
        <x:f t="shared" si="1"/>
        <x:v>-34</x:v>
      </x:c>
      <x:c r="H21" s="43">
        <x:f t="shared" si="2"/>
        <x:v>-1458490.52</x:v>
      </x:c>
      <x:c r="I21" s="93"/>
      <x:c r="J21" s="260"/>
      <x:c r="L21" s="260"/>
      <x:c r="M21" s="260"/>
      <x:c r="N21" s="260"/>
    </x:row>
    <x:row r="22" spans="1:14" x14ac:dyDescent="0.25">
      <x:c r="A22" s="2">
        <x:f t="shared" si="0"/>
        <x:v>11</x:v>
      </x:c>
      <x:c r="B22" s="683" t="s">
        <x:v>891</x:v>
      </x:c>
      <x:c r="C22" s="292">
        <x:v>198926.93</x:v>
      </x:c>
      <x:c r="D22" s="265">
        <x:v>45281</x:v>
      </x:c>
      <x:c r="E22" s="488" t="s">
        <x:v>291</x:v>
      </x:c>
      <x:c r="F22" s="265">
        <x:v>45311</x:v>
      </x:c>
      <x:c r="G22" s="37">
        <x:f t="shared" si="1"/>
        <x:v>-30</x:v>
      </x:c>
      <x:c r="H22" s="43">
        <x:f t="shared" si="2"/>
        <x:v>-5967807.8999999994</x:v>
      </x:c>
      <x:c r="I22" s="93"/>
      <x:c r="J22" s="260"/>
      <x:c r="L22" s="260"/>
      <x:c r="M22" s="260"/>
      <x:c r="N22" s="260"/>
    </x:row>
    <x:row r="23" spans="1:14" x14ac:dyDescent="0.25">
      <x:c r="A23" s="2">
        <x:f t="shared" si="0"/>
        <x:v>12</x:v>
      </x:c>
      <x:c r="B23" s="683" t="s">
        <x:v>892</x:v>
      </x:c>
      <x:c r="C23" s="292">
        <x:v>37754</x:v>
      </x:c>
      <x:c r="D23" s="265">
        <x:v>45416</x:v>
      </x:c>
      <x:c r="E23" s="488" t="s">
        <x:v>673</x:v>
      </x:c>
      <x:c r="F23" s="265">
        <x:v>45528</x:v>
      </x:c>
      <x:c r="G23" s="37">
        <x:f t="shared" si="1"/>
        <x:v>-112</x:v>
      </x:c>
      <x:c r="H23" s="43">
        <x:f t="shared" si="2"/>
        <x:v>-4228448</x:v>
      </x:c>
      <x:c r="I23" s="93"/>
      <x:c r="J23" s="260"/>
      <x:c r="L23" s="260"/>
      <x:c r="M23" s="260"/>
      <x:c r="N23" s="260"/>
    </x:row>
    <x:row r="24" spans="1:14" x14ac:dyDescent="0.25">
      <x:c r="A24" s="2">
        <x:f t="shared" si="0"/>
        <x:v>13</x:v>
      </x:c>
      <x:c r="B24" s="683" t="s">
        <x:v>893</x:v>
      </x:c>
      <x:c r="C24" s="292">
        <x:v>26901.34</x:v>
      </x:c>
      <x:c r="D24" s="265">
        <x:v>45224</x:v>
      </x:c>
      <x:c r="E24" s="488" t="s">
        <x:v>673</x:v>
      </x:c>
      <x:c r="F24" s="265">
        <x:v>45263</x:v>
      </x:c>
      <x:c r="G24" s="37">
        <x:f t="shared" si="1"/>
        <x:v>-39</x:v>
      </x:c>
      <x:c r="H24" s="43">
        <x:f t="shared" si="2"/>
        <x:v>-1049152.26</x:v>
      </x:c>
      <x:c r="I24" s="93"/>
      <x:c r="J24" s="260"/>
      <x:c r="L24" s="260"/>
      <x:c r="M24" s="260"/>
      <x:c r="N24" s="260"/>
    </x:row>
    <x:row r="25" spans="1:14" x14ac:dyDescent="0.25">
      <x:c r="A25" s="2">
        <x:f t="shared" si="0"/>
        <x:v>14</x:v>
      </x:c>
      <x:c r="B25" s="683" t="s">
        <x:v>894</x:v>
      </x:c>
      <x:c r="C25" s="292">
        <x:v>52783.03</x:v>
      </x:c>
      <x:c r="D25" s="265">
        <x:v>45238</x:v>
      </x:c>
      <x:c r="E25" s="488" t="s">
        <x:v>673</x:v>
      </x:c>
      <x:c r="F25" s="265">
        <x:v>45297</x:v>
      </x:c>
      <x:c r="G25" s="37">
        <x:f t="shared" si="1"/>
        <x:v>-59</x:v>
      </x:c>
      <x:c r="H25" s="43">
        <x:f t="shared" si="2"/>
        <x:v>-3114198.77</x:v>
      </x:c>
      <x:c r="I25" s="93"/>
      <x:c r="J25" s="260"/>
      <x:c r="L25" s="260"/>
      <x:c r="M25" s="260"/>
      <x:c r="N25" s="260"/>
    </x:row>
    <x:row r="26" spans="1:14" s="228" customFormat="1" x14ac:dyDescent="0.25">
      <x:c r="A26" s="229">
        <x:f t="shared" si="0"/>
        <x:v>15</x:v>
      </x:c>
      <x:c r="B26" s="683" t="s">
        <x:v>895</x:v>
      </x:c>
      <x:c r="C26" s="292">
        <x:v>25724.3</x:v>
      </x:c>
      <x:c r="D26" s="265">
        <x:v>45357</x:v>
      </x:c>
      <x:c r="E26" s="488" t="s">
        <x:v>673</x:v>
      </x:c>
      <x:c r="F26" s="265">
        <x:v>45399</x:v>
      </x:c>
      <x:c r="G26" s="37">
        <x:f>D26-F26</x:f>
        <x:v>-42</x:v>
      </x:c>
      <x:c r="H26" s="43">
        <x:f>IF(ISERR(G26*C26),"",G26*C26)</x:f>
        <x:v>-1080420.5999999999</x:v>
      </x:c>
      <x:c r="I26" s="93"/>
      <x:c r="J26" s="396"/>
      <x:c r="L26" s="396"/>
      <x:c r="M26" s="396"/>
      <x:c r="N26" s="396"/>
    </x:row>
    <x:row r="27" spans="1:14" x14ac:dyDescent="0.25">
      <x:c r="A27" s="2">
        <x:f t="shared" si="0"/>
        <x:v>16</x:v>
      </x:c>
      <x:c r="B27" s="683" t="s">
        <x:v>896</x:v>
      </x:c>
      <x:c r="C27" s="292">
        <x:v>26424.49</x:v>
      </x:c>
      <x:c r="D27" s="265">
        <x:v>45428</x:v>
      </x:c>
      <x:c r="E27" s="488" t="s">
        <x:v>673</x:v>
      </x:c>
      <x:c r="F27" s="265">
        <x:v>45481</x:v>
      </x:c>
      <x:c r="G27" s="37">
        <x:f t="shared" si="1"/>
        <x:v>-53</x:v>
      </x:c>
      <x:c r="H27" s="43">
        <x:f t="shared" si="2"/>
        <x:v>-1400497.97</x:v>
      </x:c>
      <x:c r="I27" s="93"/>
      <x:c r="J27" s="260"/>
      <x:c r="L27" s="260"/>
      <x:c r="M27" s="260"/>
      <x:c r="N27" s="260"/>
    </x:row>
    <x:row r="28" spans="1:14" x14ac:dyDescent="0.25">
      <x:c r="A28" s="2">
        <x:f t="shared" si="0"/>
        <x:v>17</x:v>
      </x:c>
      <x:c r="B28" s="683" t="s">
        <x:v>897</x:v>
      </x:c>
      <x:c r="C28" s="292">
        <x:v>43987.34</x:v>
      </x:c>
      <x:c r="D28" s="265">
        <x:v>45367</x:v>
      </x:c>
      <x:c r="E28" s="488" t="s">
        <x:v>673</x:v>
      </x:c>
      <x:c r="F28" s="265">
        <x:v>45396</x:v>
      </x:c>
      <x:c r="G28" s="37">
        <x:f t="shared" si="1"/>
        <x:v>-29</x:v>
      </x:c>
      <x:c r="H28" s="43">
        <x:f t="shared" si="2"/>
        <x:v>-1275632.8599999999</x:v>
      </x:c>
      <x:c r="I28" s="93"/>
      <x:c r="J28" s="260"/>
      <x:c r="L28" s="260"/>
      <x:c r="M28" s="260"/>
      <x:c r="N28" s="260"/>
    </x:row>
    <x:row r="29" spans="1:14" x14ac:dyDescent="0.25">
      <x:c r="A29" s="2">
        <x:f t="shared" si="0"/>
        <x:v>18</x:v>
      </x:c>
      <x:c r="B29" s="683" t="s">
        <x:v>898</x:v>
      </x:c>
      <x:c r="C29" s="292">
        <x:v>48000</x:v>
      </x:c>
      <x:c r="D29" s="265">
        <x:v>45442</x:v>
      </x:c>
      <x:c r="E29" s="488" t="s">
        <x:v>673</x:v>
      </x:c>
      <x:c r="F29" s="265">
        <x:v>45484</x:v>
      </x:c>
      <x:c r="G29" s="37">
        <x:f t="shared" si="1"/>
        <x:v>-42</x:v>
      </x:c>
      <x:c r="H29" s="43">
        <x:f t="shared" si="2"/>
        <x:v>-2016000</x:v>
      </x:c>
      <x:c r="I29" s="93"/>
      <x:c r="J29" s="260"/>
      <x:c r="L29" s="260"/>
      <x:c r="M29" s="260"/>
      <x:c r="N29" s="260"/>
    </x:row>
    <x:row r="30" spans="1:14" x14ac:dyDescent="0.25">
      <x:c r="A30" s="2">
        <x:f t="shared" si="0"/>
        <x:v>19</x:v>
      </x:c>
      <x:c r="B30" s="683" t="s">
        <x:v>899</x:v>
      </x:c>
      <x:c r="C30" s="292">
        <x:v>34050</x:v>
      </x:c>
      <x:c r="D30" s="265">
        <x:v>45259</x:v>
      </x:c>
      <x:c r="E30" s="488" t="s">
        <x:v>673</x:v>
      </x:c>
      <x:c r="F30" s="265">
        <x:v>45309</x:v>
      </x:c>
      <x:c r="G30" s="37">
        <x:f t="shared" si="1"/>
        <x:v>-50</x:v>
      </x:c>
      <x:c r="H30" s="43">
        <x:f t="shared" si="2"/>
        <x:v>-1702500</x:v>
      </x:c>
      <x:c r="I30" s="93"/>
      <x:c r="J30" s="260"/>
      <x:c r="L30" s="260"/>
      <x:c r="M30" s="260"/>
      <x:c r="N30" s="260"/>
    </x:row>
    <x:row r="31" spans="1:14" x14ac:dyDescent="0.25">
      <x:c r="A31" s="2">
        <x:f t="shared" si="0"/>
        <x:v>20</x:v>
      </x:c>
      <x:c r="B31" s="683" t="s">
        <x:v>900</x:v>
      </x:c>
      <x:c r="C31" s="292">
        <x:v>46100</x:v>
      </x:c>
      <x:c r="D31" s="265">
        <x:v>45178</x:v>
      </x:c>
      <x:c r="E31" s="488" t="s">
        <x:v>673</x:v>
      </x:c>
      <x:c r="F31" s="265">
        <x:v>45305</x:v>
      </x:c>
      <x:c r="G31" s="37">
        <x:f t="shared" si="1"/>
        <x:v>-127</x:v>
      </x:c>
      <x:c r="H31" s="43">
        <x:f t="shared" si="2"/>
        <x:v>-5854700</x:v>
      </x:c>
      <x:c r="I31" s="93"/>
      <x:c r="J31" s="260"/>
      <x:c r="L31" s="260"/>
      <x:c r="M31" s="260"/>
      <x:c r="N31" s="260"/>
    </x:row>
    <x:row r="32" spans="1:14" x14ac:dyDescent="0.25">
      <x:c r="A32" s="2">
        <x:f t="shared" si="0"/>
        <x:v>21</x:v>
      </x:c>
      <x:c r="B32" s="683" t="s">
        <x:v>901</x:v>
      </x:c>
      <x:c r="C32" s="292">
        <x:v>48289.74</x:v>
      </x:c>
      <x:c r="D32" s="265">
        <x:v>45520</x:v>
      </x:c>
      <x:c r="E32" s="488" t="s">
        <x:v>673</x:v>
      </x:c>
      <x:c r="F32" s="265">
        <x:v>45553</x:v>
      </x:c>
      <x:c r="G32" s="37">
        <x:f t="shared" si="1"/>
        <x:v>-33</x:v>
      </x:c>
      <x:c r="H32" s="43">
        <x:f t="shared" si="2"/>
        <x:v>-1593561.42</x:v>
      </x:c>
      <x:c r="I32" s="93"/>
      <x:c r="J32" s="260"/>
      <x:c r="L32" s="260"/>
      <x:c r="M32" s="260"/>
      <x:c r="N32" s="260"/>
    </x:row>
    <x:row r="33" spans="1:14" x14ac:dyDescent="0.25">
      <x:c r="A33" s="2">
        <x:f t="shared" si="0"/>
        <x:v>22</x:v>
      </x:c>
      <x:c r="B33" s="683" t="s">
        <x:v>902</x:v>
      </x:c>
      <x:c r="C33" s="292">
        <x:v>28978.74</x:v>
      </x:c>
      <x:c r="D33" s="265">
        <x:v>45310</x:v>
      </x:c>
      <x:c r="E33" s="488" t="s">
        <x:v>291</x:v>
      </x:c>
      <x:c r="F33" s="265">
        <x:v>45340</x:v>
      </x:c>
      <x:c r="G33" s="37">
        <x:f t="shared" si="1"/>
        <x:v>-30</x:v>
      </x:c>
      <x:c r="H33" s="43">
        <x:f t="shared" si="2"/>
        <x:v>-869362.20000000007</x:v>
      </x:c>
      <x:c r="I33" s="93"/>
      <x:c r="J33" s="260"/>
      <x:c r="L33" s="260"/>
      <x:c r="M33" s="260"/>
      <x:c r="N33" s="260"/>
    </x:row>
    <x:row r="34" spans="1:14" x14ac:dyDescent="0.25">
      <x:c r="A34" s="2">
        <x:f t="shared" si="0"/>
        <x:v>23</x:v>
      </x:c>
      <x:c r="B34" s="683" t="s">
        <x:v>903</x:v>
      </x:c>
      <x:c r="C34" s="292">
        <x:v>32965.769999999997</x:v>
      </x:c>
      <x:c r="D34" s="265">
        <x:v>45174.5</x:v>
      </x:c>
      <x:c r="E34" s="488" t="s">
        <x:v>673</x:v>
      </x:c>
      <x:c r="F34" s="265">
        <x:v>45220</x:v>
      </x:c>
      <x:c r="G34" s="37">
        <x:f t="shared" si="1"/>
        <x:v>-45.5</x:v>
      </x:c>
      <x:c r="H34" s="43">
        <x:f t="shared" si="2"/>
        <x:v>-1499942.5349999999</x:v>
      </x:c>
      <x:c r="I34" s="93"/>
      <x:c r="J34" s="260"/>
      <x:c r="L34" s="260"/>
      <x:c r="M34" s="260"/>
      <x:c r="N34" s="260"/>
    </x:row>
    <x:row r="35" spans="1:14" x14ac:dyDescent="0.25">
      <x:c r="A35" s="2">
        <x:f t="shared" si="0"/>
        <x:v>24</x:v>
      </x:c>
      <x:c r="B35" s="683" t="s">
        <x:v>904</x:v>
      </x:c>
      <x:c r="C35" s="292">
        <x:v>36691</x:v>
      </x:c>
      <x:c r="D35" s="265">
        <x:v>45289</x:v>
      </x:c>
      <x:c r="E35" s="488" t="s">
        <x:v>291</x:v>
      </x:c>
      <x:c r="F35" s="265">
        <x:v>45329</x:v>
      </x:c>
      <x:c r="G35" s="37">
        <x:f t="shared" si="1"/>
        <x:v>-40</x:v>
      </x:c>
      <x:c r="H35" s="43">
        <x:f t="shared" si="2"/>
        <x:v>-1467640</x:v>
      </x:c>
      <x:c r="I35" s="93"/>
      <x:c r="J35" s="260"/>
      <x:c r="L35" s="260"/>
      <x:c r="M35" s="260"/>
      <x:c r="N35" s="260"/>
    </x:row>
    <x:row r="36" spans="1:14" x14ac:dyDescent="0.25">
      <x:c r="A36" s="2">
        <x:f t="shared" si="0"/>
        <x:v>25</x:v>
      </x:c>
      <x:c r="B36" s="683" t="s">
        <x:v>905</x:v>
      </x:c>
      <x:c r="C36" s="292">
        <x:v>60000</x:v>
      </x:c>
      <x:c r="D36" s="265">
        <x:v>45277.5</x:v>
      </x:c>
      <x:c r="E36" s="488" t="s">
        <x:v>673</x:v>
      </x:c>
      <x:c r="F36" s="265">
        <x:v>45332</x:v>
      </x:c>
      <x:c r="G36" s="37">
        <x:f t="shared" si="1"/>
        <x:v>-54.5</x:v>
      </x:c>
      <x:c r="H36" s="43">
        <x:f t="shared" si="2"/>
        <x:v>-3270000</x:v>
      </x:c>
      <x:c r="I36" s="93"/>
      <x:c r="J36" s="260"/>
      <x:c r="L36" s="260"/>
      <x:c r="M36" s="260"/>
      <x:c r="N36" s="260"/>
    </x:row>
    <x:row r="37" spans="1:14" x14ac:dyDescent="0.25">
      <x:c r="A37" s="2">
        <x:f t="shared" si="0"/>
        <x:v>26</x:v>
      </x:c>
      <x:c r="B37" s="683" t="s">
        <x:v>906</x:v>
      </x:c>
      <x:c r="C37" s="292">
        <x:v>32235.56</x:v>
      </x:c>
      <x:c r="D37" s="265">
        <x:v>45490</x:v>
      </x:c>
      <x:c r="E37" s="488" t="s">
        <x:v>673</x:v>
      </x:c>
      <x:c r="F37" s="265">
        <x:v>45533</x:v>
      </x:c>
      <x:c r="G37" s="37">
        <x:f t="shared" si="1"/>
        <x:v>-43</x:v>
      </x:c>
      <x:c r="H37" s="43">
        <x:f t="shared" si="2"/>
        <x:v>-1386129.08</x:v>
      </x:c>
      <x:c r="I37" s="93"/>
      <x:c r="J37" s="260"/>
      <x:c r="L37" s="260"/>
      <x:c r="M37" s="260"/>
      <x:c r="N37" s="260"/>
    </x:row>
    <x:row r="38" spans="1:14" x14ac:dyDescent="0.25">
      <x:c r="A38" s="2">
        <x:f t="shared" si="0"/>
        <x:v>27</x:v>
      </x:c>
      <x:c r="B38" s="683" t="s">
        <x:v>907</x:v>
      </x:c>
      <x:c r="C38" s="292">
        <x:v>57288.11</x:v>
      </x:c>
      <x:c r="D38" s="265">
        <x:v>45370</x:v>
      </x:c>
      <x:c r="E38" s="488" t="s">
        <x:v>291</x:v>
      </x:c>
      <x:c r="F38" s="265">
        <x:v>45400</x:v>
      </x:c>
      <x:c r="G38" s="37">
        <x:f t="shared" si="1"/>
        <x:v>-30</x:v>
      </x:c>
      <x:c r="H38" s="43">
        <x:f t="shared" si="2"/>
        <x:v>-1718643.3</x:v>
      </x:c>
      <x:c r="I38" s="93"/>
      <x:c r="J38" s="260"/>
      <x:c r="L38" s="260"/>
      <x:c r="M38" s="260"/>
      <x:c r="N38" s="260"/>
    </x:row>
    <x:row r="39" spans="1:14" x14ac:dyDescent="0.25">
      <x:c r="A39" s="2">
        <x:f t="shared" si="0"/>
        <x:v>28</x:v>
      </x:c>
      <x:c r="B39" s="683" t="s">
        <x:v>908</x:v>
      </x:c>
      <x:c r="C39" s="292">
        <x:v>49164.76</x:v>
      </x:c>
      <x:c r="D39" s="265">
        <x:v>45215</x:v>
      </x:c>
      <x:c r="E39" s="488" t="s">
        <x:v>673</x:v>
      </x:c>
      <x:c r="F39" s="265">
        <x:v>45275</x:v>
      </x:c>
      <x:c r="G39" s="37">
        <x:f t="shared" si="1"/>
        <x:v>-60</x:v>
      </x:c>
      <x:c r="H39" s="43">
        <x:f t="shared" si="2"/>
        <x:v>-2949885.6</x:v>
      </x:c>
      <x:c r="I39" s="93"/>
      <x:c r="J39" s="260"/>
      <x:c r="L39" s="260"/>
      <x:c r="M39" s="260"/>
      <x:c r="N39" s="260"/>
    </x:row>
    <x:row r="40" spans="1:14" x14ac:dyDescent="0.25">
      <x:c r="A40" s="2">
        <x:f t="shared" si="0"/>
        <x:v>29</x:v>
      </x:c>
      <x:c r="B40" s="683" t="s">
        <x:v>909</x:v>
      </x:c>
      <x:c r="C40" s="292">
        <x:v>69000</x:v>
      </x:c>
      <x:c r="D40" s="265">
        <x:v>45253</x:v>
      </x:c>
      <x:c r="E40" s="488" t="s">
        <x:v>673</x:v>
      </x:c>
      <x:c r="F40" s="265">
        <x:v>45412</x:v>
      </x:c>
      <x:c r="G40" s="37">
        <x:f t="shared" si="1"/>
        <x:v>-159</x:v>
      </x:c>
      <x:c r="H40" s="43">
        <x:f t="shared" si="2"/>
        <x:v>-10971000</x:v>
      </x:c>
      <x:c r="I40" s="93"/>
      <x:c r="J40" s="260"/>
      <x:c r="L40" s="260"/>
      <x:c r="M40" s="260"/>
      <x:c r="N40" s="260"/>
    </x:row>
    <x:row r="41" spans="1:14" x14ac:dyDescent="0.25">
      <x:c r="A41" s="2">
        <x:f t="shared" si="0"/>
        <x:v>30</x:v>
      </x:c>
      <x:c r="B41" s="683" t="s">
        <x:v>910</x:v>
      </x:c>
      <x:c r="C41" s="292">
        <x:v>40047</x:v>
      </x:c>
      <x:c r="D41" s="265">
        <x:v>45338</x:v>
      </x:c>
      <x:c r="E41" s="488" t="s">
        <x:v>291</x:v>
      </x:c>
      <x:c r="F41" s="265">
        <x:v>45368</x:v>
      </x:c>
      <x:c r="G41" s="37">
        <x:f t="shared" si="1"/>
        <x:v>-30</x:v>
      </x:c>
      <x:c r="H41" s="43">
        <x:f t="shared" si="2"/>
        <x:v>-1201410</x:v>
      </x:c>
      <x:c r="I41" s="93"/>
      <x:c r="J41" s="260"/>
      <x:c r="L41" s="260"/>
      <x:c r="M41" s="260"/>
      <x:c r="N41" s="260"/>
    </x:row>
    <x:row r="42" spans="1:14" x14ac:dyDescent="0.25">
      <x:c r="A42" s="2">
        <x:f t="shared" si="0"/>
        <x:v>31</x:v>
      </x:c>
      <x:c r="B42" s="683" t="s">
        <x:v>911</x:v>
      </x:c>
      <x:c r="C42" s="292">
        <x:v>31569.37</x:v>
      </x:c>
      <x:c r="D42" s="265">
        <x:v>45520</x:v>
      </x:c>
      <x:c r="E42" s="488" t="s">
        <x:v>673</x:v>
      </x:c>
      <x:c r="F42" s="265">
        <x:v>45577</x:v>
      </x:c>
      <x:c r="G42" s="37">
        <x:f t="shared" si="1"/>
        <x:v>-57</x:v>
      </x:c>
      <x:c r="H42" s="43">
        <x:f t="shared" si="2"/>
        <x:v>-1799454.0899999999</x:v>
      </x:c>
      <x:c r="I42" s="93"/>
      <x:c r="J42" s="260"/>
      <x:c r="L42" s="260"/>
      <x:c r="M42" s="260"/>
      <x:c r="N42" s="260"/>
    </x:row>
    <x:row r="43" spans="1:14" x14ac:dyDescent="0.25">
      <x:c r="A43" s="2">
        <x:f t="shared" si="0"/>
        <x:v>32</x:v>
      </x:c>
      <x:c r="B43" s="683" t="s">
        <x:v>912</x:v>
      </x:c>
      <x:c r="C43" s="292">
        <x:v>41592.75</x:v>
      </x:c>
      <x:c r="D43" s="265">
        <x:v>45428</x:v>
      </x:c>
      <x:c r="E43" s="488" t="s">
        <x:v>673</x:v>
      </x:c>
      <x:c r="F43" s="265">
        <x:v>45485</x:v>
      </x:c>
      <x:c r="G43" s="37">
        <x:f t="shared" si="1"/>
        <x:v>-57</x:v>
      </x:c>
      <x:c r="H43" s="43">
        <x:f t="shared" si="2"/>
        <x:v>-2370786.75</x:v>
      </x:c>
      <x:c r="I43" s="93"/>
      <x:c r="J43" s="260"/>
      <x:c r="L43" s="260"/>
      <x:c r="M43" s="260"/>
      <x:c r="N43" s="260"/>
    </x:row>
    <x:row r="44" spans="1:14" x14ac:dyDescent="0.25">
      <x:c r="A44" s="2">
        <x:f t="shared" si="0"/>
        <x:v>33</x:v>
      </x:c>
      <x:c r="B44" s="683" t="s">
        <x:v>913</x:v>
      </x:c>
      <x:c r="C44" s="292">
        <x:v>71000</x:v>
      </x:c>
      <x:c r="D44" s="265">
        <x:v>45344</x:v>
      </x:c>
      <x:c r="E44" s="488" t="s">
        <x:v>673</x:v>
      </x:c>
      <x:c r="F44" s="265">
        <x:v>45475</x:v>
      </x:c>
      <x:c r="G44" s="37">
        <x:f t="shared" si="1"/>
        <x:v>-131</x:v>
      </x:c>
      <x:c r="H44" s="43">
        <x:f t="shared" si="2"/>
        <x:v>-9301000</x:v>
      </x:c>
      <x:c r="I44" s="93"/>
      <x:c r="J44" s="260"/>
      <x:c r="L44" s="260"/>
      <x:c r="M44" s="260"/>
      <x:c r="N44" s="260"/>
    </x:row>
    <x:row r="45" spans="1:14" x14ac:dyDescent="0.25">
      <x:c r="A45" s="2">
        <x:f>+A44+1</x:f>
        <x:v>34</x:v>
      </x:c>
      <x:c r="B45" s="683" t="s">
        <x:v>914</x:v>
      </x:c>
      <x:c r="C45" s="292">
        <x:v>66000</x:v>
      </x:c>
      <x:c r="D45" s="265">
        <x:v>45345</x:v>
      </x:c>
      <x:c r="E45" s="488" t="s">
        <x:v>673</x:v>
      </x:c>
      <x:c r="F45" s="265">
        <x:v>45449</x:v>
      </x:c>
      <x:c r="G45" s="37">
        <x:f t="shared" si="1"/>
        <x:v>-104</x:v>
      </x:c>
      <x:c r="H45" s="43">
        <x:f t="shared" si="2"/>
        <x:v>-6864000</x:v>
      </x:c>
      <x:c r="I45" s="93"/>
      <x:c r="J45" s="260"/>
      <x:c r="L45" s="260"/>
      <x:c r="M45" s="260"/>
      <x:c r="N45" s="260"/>
    </x:row>
    <x:row r="46" spans="1:14" x14ac:dyDescent="0.25">
      <x:c r="A46" s="2">
        <x:f>+A45+1</x:f>
        <x:v>35</x:v>
      </x:c>
      <x:c r="B46" s="683" t="s">
        <x:v>915</x:v>
      </x:c>
      <x:c r="C46" s="292">
        <x:v>56547.92</x:v>
      </x:c>
      <x:c r="D46" s="265">
        <x:v>45348</x:v>
      </x:c>
      <x:c r="E46" s="488" t="s">
        <x:v>291</x:v>
      </x:c>
      <x:c r="F46" s="265">
        <x:v>45378</x:v>
      </x:c>
      <x:c r="G46" s="37">
        <x:f t="shared" si="1"/>
        <x:v>-30</x:v>
      </x:c>
      <x:c r="H46" s="43">
        <x:f t="shared" si="2"/>
        <x:v>-1696437.5999999999</x:v>
      </x:c>
      <x:c r="I46" s="93"/>
      <x:c r="J46" s="260"/>
      <x:c r="L46" s="260"/>
      <x:c r="M46" s="260"/>
      <x:c r="N46" s="260"/>
    </x:row>
    <x:row r="47" spans="1:14" x14ac:dyDescent="0.25">
      <x:c r="A47" s="2">
        <x:f>+A46+1</x:f>
        <x:v>36</x:v>
      </x:c>
      <x:c r="B47" s="683" t="s">
        <x:v>916</x:v>
      </x:c>
      <x:c r="C47" s="292">
        <x:v>70800</x:v>
      </x:c>
      <x:c r="D47" s="265">
        <x:v>45262.5</x:v>
      </x:c>
      <x:c r="E47" s="488" t="s">
        <x:v>673</x:v>
      </x:c>
      <x:c r="F47" s="265">
        <x:v>45345</x:v>
      </x:c>
      <x:c r="G47" s="37">
        <x:f t="shared" si="1"/>
        <x:v>-82.5</x:v>
      </x:c>
      <x:c r="H47" s="43">
        <x:f t="shared" si="2"/>
        <x:v>-5841000</x:v>
      </x:c>
      <x:c r="I47" s="93"/>
      <x:c r="J47" s="260"/>
      <x:c r="L47" s="260"/>
      <x:c r="M47" s="260"/>
      <x:c r="N47" s="260"/>
    </x:row>
    <x:row r="48" spans="1:14" x14ac:dyDescent="0.25">
      <x:c r="A48" s="2">
        <x:f t="shared" ref="A48:A91" si="3">+A47+1</x:f>
        <x:v>37</x:v>
      </x:c>
      <x:c r="B48" s="683" t="s">
        <x:v>917</x:v>
      </x:c>
      <x:c r="C48" s="292">
        <x:v>28500</x:v>
      </x:c>
      <x:c r="D48" s="265">
        <x:v>45370</x:v>
      </x:c>
      <x:c r="E48" s="488" t="s">
        <x:v>291</x:v>
      </x:c>
      <x:c r="F48" s="265">
        <x:v>45407</x:v>
      </x:c>
      <x:c r="G48" s="37">
        <x:f>D48-F48</x:f>
        <x:v>-37</x:v>
      </x:c>
      <x:c r="H48" s="43">
        <x:f>IF(ISERR(G48*C48),"",G48*C48)</x:f>
        <x:v>-1054500</x:v>
      </x:c>
      <x:c r="I48" s="93"/>
      <x:c r="J48" s="260"/>
      <x:c r="L48" s="260"/>
      <x:c r="M48" s="260"/>
      <x:c r="N48" s="260"/>
    </x:row>
    <x:row r="49" spans="1:14" x14ac:dyDescent="0.25">
      <x:c r="A49" s="2">
        <x:f t="shared" si="3"/>
        <x:v>38</x:v>
      </x:c>
      <x:c r="B49" s="683" t="s">
        <x:v>901</x:v>
      </x:c>
      <x:c r="C49" s="292">
        <x:v>102365.82</x:v>
      </x:c>
      <x:c r="D49" s="265">
        <x:v>45520</x:v>
      </x:c>
      <x:c r="E49" s="488" t="s">
        <x:v>673</x:v>
      </x:c>
      <x:c r="F49" s="265">
        <x:v>45553</x:v>
      </x:c>
      <x:c r="G49" s="37">
        <x:f>D49-F49</x:f>
        <x:v>-33</x:v>
      </x:c>
      <x:c r="H49" s="43">
        <x:f>IF(ISERR(G49*C49),"",G49*C49)</x:f>
        <x:v>-3378072.06</x:v>
      </x:c>
      <x:c r="I49" s="93"/>
      <x:c r="J49" s="260"/>
      <x:c r="L49" s="260"/>
      <x:c r="M49" s="260"/>
      <x:c r="N49" s="260"/>
    </x:row>
    <x:row r="50" spans="1:14" x14ac:dyDescent="0.25">
      <x:c r="A50" s="2">
        <x:f t="shared" si="3"/>
        <x:v>39</x:v>
      </x:c>
      <x:c r="B50" s="683" t="s">
        <x:v>918</x:v>
      </x:c>
      <x:c r="C50" s="292">
        <x:v>79662.81</x:v>
      </x:c>
      <x:c r="D50" s="265">
        <x:v>45398</x:v>
      </x:c>
      <x:c r="E50" s="488" t="s">
        <x:v>291</x:v>
      </x:c>
      <x:c r="F50" s="265">
        <x:v>45428</x:v>
      </x:c>
      <x:c r="G50" s="37">
        <x:f>D50-F50</x:f>
        <x:v>-30</x:v>
      </x:c>
      <x:c r="H50" s="43">
        <x:f>IF(ISERR(G50*C50),"",G50*C50)</x:f>
        <x:v>-2389884.2999999998</x:v>
      </x:c>
      <x:c r="I50" s="93"/>
      <x:c r="J50" s="260"/>
      <x:c r="L50" s="260"/>
      <x:c r="M50" s="260"/>
      <x:c r="N50" s="260"/>
    </x:row>
    <x:row r="51" spans="1:14" x14ac:dyDescent="0.25">
      <x:c r="A51" s="2">
        <x:f t="shared" si="3"/>
        <x:v>40</x:v>
      </x:c>
      <x:c r="B51" s="683" t="s">
        <x:v>895</x:v>
      </x:c>
      <x:c r="C51" s="292">
        <x:v>27255.4</x:v>
      </x:c>
      <x:c r="D51" s="265">
        <x:v>45357</x:v>
      </x:c>
      <x:c r="E51" s="488" t="s">
        <x:v>673</x:v>
      </x:c>
      <x:c r="F51" s="265">
        <x:v>45399</x:v>
      </x:c>
      <x:c r="G51" s="37">
        <x:f>D51-F51</x:f>
        <x:v>-42</x:v>
      </x:c>
      <x:c r="H51" s="43">
        <x:f>IF(ISERR(G51*C51),"",G51*C51)</x:f>
        <x:v>-1144726.8</x:v>
      </x:c>
      <x:c r="I51" s="93"/>
      <x:c r="J51" s="260"/>
      <x:c r="L51" s="260"/>
      <x:c r="M51" s="260"/>
      <x:c r="N51" s="260"/>
    </x:row>
    <x:row r="52" spans="1:14" x14ac:dyDescent="0.25">
      <x:c r="A52" s="2">
        <x:f t="shared" si="3"/>
        <x:v>41</x:v>
      </x:c>
      <x:c r="B52" s="683" t="s">
        <x:v>919</x:v>
      </x:c>
      <x:c r="C52" s="292">
        <x:v>186228.21</x:v>
      </x:c>
      <x:c r="D52" s="265">
        <x:v>45545</x:v>
      </x:c>
      <x:c r="E52" s="488" t="s">
        <x:v>673</x:v>
      </x:c>
      <x:c r="F52" s="265">
        <x:v>45553</x:v>
      </x:c>
      <x:c r="G52" s="37">
        <x:f>D52-F52</x:f>
        <x:v>-8</x:v>
      </x:c>
      <x:c r="H52" s="43">
        <x:f>IF(ISERR(G52*C52),"",G52*C52)</x:f>
        <x:v>-1489825.68</x:v>
      </x:c>
      <x:c r="I52" s="93"/>
      <x:c r="J52" s="260"/>
      <x:c r="L52" s="260"/>
      <x:c r="M52" s="260"/>
      <x:c r="N52" s="260"/>
    </x:row>
    <x:row r="53" spans="1:14" x14ac:dyDescent="0.25">
      <x:c r="A53" s="2">
        <x:f t="shared" si="3"/>
        <x:v>42</x:v>
      </x:c>
      <x:c r="B53" s="683" t="s">
        <x:v>920</x:v>
      </x:c>
      <x:c r="C53" s="292">
        <x:v>38000</x:v>
      </x:c>
      <x:c r="D53" s="265">
        <x:v>45495</x:v>
      </x:c>
      <x:c r="E53" s="488" t="s">
        <x:v>673</x:v>
      </x:c>
      <x:c r="F53" s="265">
        <x:v>45539</x:v>
      </x:c>
      <x:c r="G53" s="37">
        <x:f t="shared" ref="G53:G55" si="4">D53-F53</x:f>
        <x:v>-44</x:v>
      </x:c>
      <x:c r="H53" s="43">
        <x:f t="shared" ref="H53:H54" si="5">IF(ISERR(G53*C53),"",G53*C53)</x:f>
        <x:v>-1672000</x:v>
      </x:c>
      <x:c r="I53" s="93"/>
      <x:c r="J53" s="260"/>
      <x:c r="L53" s="260"/>
      <x:c r="M53" s="260"/>
      <x:c r="N53" s="260"/>
    </x:row>
    <x:row r="54" spans="1:14" x14ac:dyDescent="0.25">
      <x:c r="A54" s="2">
        <x:f t="shared" si="3"/>
        <x:v>43</x:v>
      </x:c>
      <x:c r="B54" s="683" t="s">
        <x:v>921</x:v>
      </x:c>
      <x:c r="C54" s="292">
        <x:v>63817.16</x:v>
      </x:c>
      <x:c r="D54" s="265">
        <x:v>45489</x:v>
      </x:c>
      <x:c r="E54" s="488" t="s">
        <x:v>673</x:v>
      </x:c>
      <x:c r="F54" s="265">
        <x:v>45512</x:v>
      </x:c>
      <x:c r="G54" s="37">
        <x:f t="shared" si="4"/>
        <x:v>-23</x:v>
      </x:c>
      <x:c r="H54" s="43">
        <x:f t="shared" si="5"/>
        <x:v>-1467794.6800000002</x:v>
      </x:c>
      <x:c r="I54" s="93"/>
      <x:c r="J54" s="260"/>
      <x:c r="L54" s="260"/>
      <x:c r="M54" s="260"/>
      <x:c r="N54" s="260"/>
    </x:row>
    <x:row r="55" spans="1:14" s="698" customFormat="1" x14ac:dyDescent="0.25">
      <x:c r="A55" s="721">
        <x:f t="shared" si="3"/>
        <x:v>44</x:v>
      </x:c>
      <x:c r="B55" s="683" t="s">
        <x:v>922</x:v>
      </x:c>
      <x:c r="C55" s="292">
        <x:v>81686.53</x:v>
      </x:c>
      <x:c r="D55" s="723">
        <x:v>45279</x:v>
      </x:c>
      <x:c r="E55" s="724" t="s">
        <x:v>291</x:v>
      </x:c>
      <x:c r="F55" s="723">
        <x:v>45315</x:v>
      </x:c>
      <x:c r="G55" s="725">
        <x:f t="shared" si="4"/>
        <x:v>-36</x:v>
      </x:c>
      <x:c r="H55" s="726">
        <x:f t="shared" ref="H55:H62" si="6">IF(ISERR(G55*C55),"",G55*C55)</x:f>
        <x:v>-2940715.08</x:v>
      </x:c>
      <x:c r="I55" s="727"/>
      <x:c r="J55" s="728"/>
      <x:c r="L55" s="728"/>
      <x:c r="M55" s="728"/>
      <x:c r="N55" s="728"/>
    </x:row>
    <x:row r="56" spans="1:14" x14ac:dyDescent="0.25">
      <x:c r="A56" s="2">
        <x:f t="shared" si="3"/>
        <x:v>45</x:v>
      </x:c>
      <x:c r="B56" s="683" t="s">
        <x:v>923</x:v>
      </x:c>
      <x:c r="C56" s="292">
        <x:v>69000</x:v>
      </x:c>
      <x:c r="D56" s="265">
        <x:v>45142</x:v>
      </x:c>
      <x:c r="E56" s="488" t="s">
        <x:v>673</x:v>
      </x:c>
      <x:c r="F56" s="265">
        <x:v>45259</x:v>
      </x:c>
      <x:c r="G56" s="37">
        <x:f t="shared" ref="G56:G62" si="7">D56-F56</x:f>
        <x:v>-117</x:v>
      </x:c>
      <x:c r="H56" s="43">
        <x:f t="shared" si="6"/>
        <x:v>-8073000</x:v>
      </x:c>
      <x:c r="I56" s="93"/>
      <x:c r="J56" s="260"/>
      <x:c r="L56" s="260"/>
      <x:c r="M56" s="260"/>
      <x:c r="N56" s="260"/>
    </x:row>
    <x:row r="57" spans="1:14" x14ac:dyDescent="0.25">
      <x:c r="A57" s="2">
        <x:f t="shared" si="3"/>
        <x:v>46</x:v>
      </x:c>
      <x:c r="B57" s="683" t="s">
        <x:v>924</x:v>
      </x:c>
      <x:c r="C57" s="292">
        <x:v>39065.599999999999</x:v>
      </x:c>
      <x:c r="D57" s="265">
        <x:v>45639</x:v>
      </x:c>
      <x:c r="E57" s="488" t="s">
        <x:v>291</x:v>
      </x:c>
      <x:c r="F57" s="265">
        <x:v>45303</x:v>
      </x:c>
      <x:c r="G57" s="37">
        <x:f t="shared" si="7"/>
        <x:v>336</x:v>
      </x:c>
      <x:c r="H57" s="43">
        <x:f t="shared" si="6"/>
        <x:v>13126041.6</x:v>
      </x:c>
      <x:c r="I57" s="93"/>
      <x:c r="J57" s="260"/>
      <x:c r="L57" s="260"/>
      <x:c r="M57" s="260"/>
      <x:c r="N57" s="260"/>
    </x:row>
    <x:row r="58" spans="1:14" x14ac:dyDescent="0.25">
      <x:c r="A58" s="2">
        <x:f t="shared" si="3"/>
        <x:v>47</x:v>
      </x:c>
      <x:c r="B58" s="683" t="s">
        <x:v>925</x:v>
      </x:c>
      <x:c r="C58" s="292">
        <x:v>28117.94</x:v>
      </x:c>
      <x:c r="D58" s="265">
        <x:v>45377</x:v>
      </x:c>
      <x:c r="E58" s="488" t="s">
        <x:v>291</x:v>
      </x:c>
      <x:c r="F58" s="265">
        <x:v>45407</x:v>
      </x:c>
      <x:c r="G58" s="37">
        <x:f t="shared" si="7"/>
        <x:v>-30</x:v>
      </x:c>
      <x:c r="H58" s="43">
        <x:f t="shared" si="6"/>
        <x:v>-843538.2</x:v>
      </x:c>
      <x:c r="I58" s="93"/>
      <x:c r="J58" s="260"/>
      <x:c r="L58" s="260"/>
      <x:c r="M58" s="260"/>
      <x:c r="N58" s="260"/>
    </x:row>
    <x:row r="59" spans="1:14" x14ac:dyDescent="0.25">
      <x:c r="A59" s="2">
        <x:f t="shared" si="3"/>
        <x:v>48</x:v>
      </x:c>
      <x:c r="B59" s="683" t="s">
        <x:v>926</x:v>
      </x:c>
      <x:c r="C59" s="292">
        <x:v>45092</x:v>
      </x:c>
      <x:c r="D59" s="265">
        <x:v>45194</x:v>
      </x:c>
      <x:c r="E59" s="488" t="s">
        <x:v>291</x:v>
      </x:c>
      <x:c r="F59" s="265">
        <x:v>45224</x:v>
      </x:c>
      <x:c r="G59" s="37">
        <x:f t="shared" si="7"/>
        <x:v>-30</x:v>
      </x:c>
      <x:c r="H59" s="43">
        <x:f t="shared" si="6"/>
        <x:v>-1352760</x:v>
      </x:c>
      <x:c r="I59" s="93"/>
      <x:c r="J59" s="260"/>
      <x:c r="L59" s="260"/>
      <x:c r="M59" s="260"/>
      <x:c r="N59" s="260"/>
    </x:row>
    <x:row r="60" spans="1:14" x14ac:dyDescent="0.25">
      <x:c r="A60" s="2">
        <x:f t="shared" si="3"/>
        <x:v>49</x:v>
      </x:c>
      <x:c r="B60" s="683" t="s">
        <x:v>927</x:v>
      </x:c>
      <x:c r="C60" s="292">
        <x:v>43000</x:v>
      </x:c>
      <x:c r="D60" s="265">
        <x:v>45436</x:v>
      </x:c>
      <x:c r="E60" s="488" t="s">
        <x:v>673</x:v>
      </x:c>
      <x:c r="F60" s="265">
        <x:v>45504</x:v>
      </x:c>
      <x:c r="G60" s="37">
        <x:f t="shared" si="7"/>
        <x:v>-68</x:v>
      </x:c>
      <x:c r="H60" s="43">
        <x:f t="shared" si="6"/>
        <x:v>-2924000</x:v>
      </x:c>
      <x:c r="I60" s="93"/>
      <x:c r="J60" s="260"/>
      <x:c r="L60" s="260"/>
      <x:c r="M60" s="260"/>
      <x:c r="N60" s="260"/>
    </x:row>
    <x:row r="61" spans="1:14" x14ac:dyDescent="0.25">
      <x:c r="A61" s="2">
        <x:f t="shared" si="3"/>
        <x:v>50</x:v>
      </x:c>
      <x:c r="B61" s="683" t="s">
        <x:v>928</x:v>
      </x:c>
      <x:c r="C61" s="292">
        <x:v>45000</x:v>
      </x:c>
      <x:c r="D61" s="265">
        <x:v>45200.5</x:v>
      </x:c>
      <x:c r="E61" s="488" t="s">
        <x:v>673</x:v>
      </x:c>
      <x:c r="F61" s="265">
        <x:v>45296</x:v>
      </x:c>
      <x:c r="G61" s="37">
        <x:f t="shared" si="7"/>
        <x:v>-95.5</x:v>
      </x:c>
      <x:c r="H61" s="43">
        <x:f t="shared" si="6"/>
        <x:v>-4297500</x:v>
      </x:c>
      <x:c r="I61" s="93"/>
      <x:c r="J61" s="260"/>
      <x:c r="L61" s="260"/>
      <x:c r="M61" s="260"/>
      <x:c r="N61" s="260"/>
    </x:row>
    <x:row r="62" spans="1:14" x14ac:dyDescent="0.25">
      <x:c r="A62" s="2">
        <x:f t="shared" si="3"/>
        <x:v>51</x:v>
      </x:c>
      <x:c r="B62" s="683" t="s">
        <x:v>929</x:v>
      </x:c>
      <x:c r="C62" s="292">
        <x:v>40766.85</x:v>
      </x:c>
      <x:c r="D62" s="265">
        <x:v>45367</x:v>
      </x:c>
      <x:c r="E62" s="488" t="s">
        <x:v>673</x:v>
      </x:c>
      <x:c r="F62" s="265">
        <x:v>45422</x:v>
      </x:c>
      <x:c r="G62" s="37">
        <x:f t="shared" si="7"/>
        <x:v>-55</x:v>
      </x:c>
      <x:c r="H62" s="43">
        <x:f t="shared" si="6"/>
        <x:v>-2242176.75</x:v>
      </x:c>
      <x:c r="I62" s="93"/>
      <x:c r="J62" s="260"/>
      <x:c r="L62" s="260"/>
      <x:c r="M62" s="260"/>
      <x:c r="N62" s="260"/>
    </x:row>
    <x:row r="63" spans="1:14" x14ac:dyDescent="0.25">
      <x:c r="A63" s="2">
        <x:f t="shared" si="3"/>
        <x:v>52</x:v>
      </x:c>
      <x:c r="B63" s="683" t="s">
        <x:v>930</x:v>
      </x:c>
      <x:c r="C63" s="292">
        <x:v>183088.34</x:v>
      </x:c>
      <x:c r="D63" s="265">
        <x:v>45447</x:v>
      </x:c>
      <x:c r="E63" s="488" t="s">
        <x:v>673</x:v>
      </x:c>
      <x:c r="F63" s="265">
        <x:v>45482</x:v>
      </x:c>
      <x:c r="G63" s="37">
        <x:f t="shared" ref="G63:G87" si="8">D63-F63</x:f>
        <x:v>-35</x:v>
      </x:c>
      <x:c r="H63" s="43">
        <x:f t="shared" ref="H63:H87" si="9">IF(ISERR(G63*C63),"",G63*C63)</x:f>
        <x:v>-6408091.8999999994</x:v>
      </x:c>
      <x:c r="I63" s="93"/>
      <x:c r="J63" s="260"/>
      <x:c r="L63" s="260"/>
      <x:c r="M63" s="260"/>
      <x:c r="N63" s="260"/>
    </x:row>
    <x:row r="64" spans="1:14" x14ac:dyDescent="0.25">
      <x:c r="A64" s="2">
        <x:f t="shared" si="3"/>
        <x:v>53</x:v>
      </x:c>
      <x:c r="B64" s="683" t="s">
        <x:v>931</x:v>
      </x:c>
      <x:c r="C64" s="292">
        <x:v>46144.47</x:v>
      </x:c>
      <x:c r="D64" s="265">
        <x:v>45462</x:v>
      </x:c>
      <x:c r="E64" s="488" t="s">
        <x:v>673</x:v>
      </x:c>
      <x:c r="F64" s="265">
        <x:v>45505</x:v>
      </x:c>
      <x:c r="G64" s="37">
        <x:f t="shared" si="8"/>
        <x:v>-43</x:v>
      </x:c>
      <x:c r="H64" s="43">
        <x:f t="shared" si="9"/>
        <x:v>-1984212.21</x:v>
      </x:c>
      <x:c r="I64" s="93"/>
      <x:c r="J64" s="260"/>
      <x:c r="L64" s="260"/>
      <x:c r="M64" s="260"/>
      <x:c r="N64" s="260"/>
    </x:row>
    <x:row r="65" spans="1:14" x14ac:dyDescent="0.25">
      <x:c r="A65" s="2">
        <x:f t="shared" si="3"/>
        <x:v>54</x:v>
      </x:c>
      <x:c r="B65" s="683" t="s">
        <x:v>932</x:v>
      </x:c>
      <x:c r="C65" s="292">
        <x:v>41573.879999999997</x:v>
      </x:c>
      <x:c r="D65" s="265">
        <x:v>45428</x:v>
      </x:c>
      <x:c r="E65" s="488" t="s">
        <x:v>673</x:v>
      </x:c>
      <x:c r="F65" s="265">
        <x:v>45467</x:v>
      </x:c>
      <x:c r="G65" s="37">
        <x:f t="shared" si="8"/>
        <x:v>-39</x:v>
      </x:c>
      <x:c r="H65" s="43">
        <x:f t="shared" si="9"/>
        <x:v>-1621381.3199999998</x:v>
      </x:c>
      <x:c r="I65" s="93"/>
      <x:c r="J65" s="260"/>
      <x:c r="L65" s="260"/>
      <x:c r="M65" s="260"/>
      <x:c r="N65" s="260"/>
    </x:row>
    <x:row r="66" spans="1:14" x14ac:dyDescent="0.25">
      <x:c r="A66" s="2">
        <x:f t="shared" si="3"/>
        <x:v>55</x:v>
      </x:c>
      <x:c r="B66" s="683" t="s">
        <x:v>933</x:v>
      </x:c>
      <x:c r="C66" s="292">
        <x:v>57600</x:v>
      </x:c>
      <x:c r="D66" s="265">
        <x:v>45203</x:v>
      </x:c>
      <x:c r="E66" s="488" t="s">
        <x:v>673</x:v>
      </x:c>
      <x:c r="F66" s="265">
        <x:v>45241</x:v>
      </x:c>
      <x:c r="G66" s="37">
        <x:f t="shared" si="8"/>
        <x:v>-38</x:v>
      </x:c>
      <x:c r="H66" s="43">
        <x:f t="shared" si="9"/>
        <x:v>-2188800</x:v>
      </x:c>
      <x:c r="I66" s="93"/>
      <x:c r="J66" s="260"/>
      <x:c r="L66" s="260"/>
      <x:c r="M66" s="260"/>
      <x:c r="N66" s="260"/>
    </x:row>
    <x:row r="67" spans="1:14" x14ac:dyDescent="0.25">
      <x:c r="A67" s="2">
        <x:f t="shared" si="3"/>
        <x:v>56</x:v>
      </x:c>
      <x:c r="B67" s="683" t="s">
        <x:v>934</x:v>
      </x:c>
      <x:c r="C67" s="292">
        <x:v>26721.06</x:v>
      </x:c>
      <x:c r="D67" s="265">
        <x:v>45412</x:v>
      </x:c>
      <x:c r="E67" s="488" t="s">
        <x:v>291</x:v>
      </x:c>
      <x:c r="F67" s="265">
        <x:v>45442</x:v>
      </x:c>
      <x:c r="G67" s="37">
        <x:f t="shared" si="8"/>
        <x:v>-30</x:v>
      </x:c>
      <x:c r="H67" s="43">
        <x:f t="shared" si="9"/>
        <x:v>-801631.8</x:v>
      </x:c>
      <x:c r="I67" s="93"/>
      <x:c r="J67" s="260"/>
      <x:c r="L67" s="260"/>
      <x:c r="M67" s="260"/>
      <x:c r="N67" s="260"/>
    </x:row>
    <x:row r="68" spans="1:14" x14ac:dyDescent="0.25">
      <x:c r="A68" s="2">
        <x:f t="shared" si="3"/>
        <x:v>57</x:v>
      </x:c>
      <x:c r="B68" s="683" t="s">
        <x:v>935</x:v>
      </x:c>
      <x:c r="C68" s="292">
        <x:v>51633.75</x:v>
      </x:c>
      <x:c r="D68" s="265">
        <x:v>45215</x:v>
      </x:c>
      <x:c r="E68" s="488" t="s">
        <x:v>673</x:v>
      </x:c>
      <x:c r="F68" s="265">
        <x:v>45280</x:v>
      </x:c>
      <x:c r="G68" s="37">
        <x:f t="shared" si="8"/>
        <x:v>-65</x:v>
      </x:c>
      <x:c r="H68" s="43">
        <x:f t="shared" si="9"/>
        <x:v>-3356193.75</x:v>
      </x:c>
      <x:c r="I68" s="93"/>
      <x:c r="J68" s="260"/>
      <x:c r="L68" s="260"/>
      <x:c r="M68" s="260"/>
      <x:c r="N68" s="260"/>
    </x:row>
    <x:row r="69" spans="1:14" x14ac:dyDescent="0.25">
      <x:c r="A69" s="2">
        <x:f t="shared" si="3"/>
        <x:v>58</x:v>
      </x:c>
      <x:c r="B69" s="683" t="s">
        <x:v>936</x:v>
      </x:c>
      <x:c r="C69" s="292">
        <x:v>61384.62</x:v>
      </x:c>
      <x:c r="D69" s="265">
        <x:v>45337</x:v>
      </x:c>
      <x:c r="E69" s="488" t="s">
        <x:v>673</x:v>
      </x:c>
      <x:c r="F69" s="265">
        <x:v>45381</x:v>
      </x:c>
      <x:c r="G69" s="37">
        <x:f t="shared" si="8"/>
        <x:v>-44</x:v>
      </x:c>
      <x:c r="H69" s="43">
        <x:f t="shared" si="9"/>
        <x:v>-2700923.2800000003</x:v>
      </x:c>
      <x:c r="I69" s="93"/>
      <x:c r="J69" s="260"/>
      <x:c r="L69" s="260"/>
      <x:c r="M69" s="260"/>
      <x:c r="N69" s="260"/>
    </x:row>
    <x:row r="70" spans="1:14" x14ac:dyDescent="0.25">
      <x:c r="A70" s="2">
        <x:f t="shared" si="3"/>
        <x:v>59</x:v>
      </x:c>
      <x:c r="B70" s="683" t="s">
        <x:v>937</x:v>
      </x:c>
      <x:c r="C70" s="292">
        <x:v>65000</x:v>
      </x:c>
      <x:c r="D70" s="265">
        <x:v>45167</x:v>
      </x:c>
      <x:c r="E70" s="488" t="s">
        <x:v>673</x:v>
      </x:c>
      <x:c r="F70" s="265">
        <x:v>45438</x:v>
      </x:c>
      <x:c r="G70" s="37">
        <x:f t="shared" si="8"/>
        <x:v>-271</x:v>
      </x:c>
      <x:c r="H70" s="43">
        <x:f t="shared" si="9"/>
        <x:v>-17615000</x:v>
      </x:c>
      <x:c r="I70" s="93"/>
      <x:c r="J70" s="260"/>
      <x:c r="L70" s="260"/>
      <x:c r="M70" s="260"/>
      <x:c r="N70" s="260"/>
    </x:row>
    <x:row r="71" spans="1:14" x14ac:dyDescent="0.25">
      <x:c r="A71" s="2">
        <x:f t="shared" si="3"/>
        <x:v>60</x:v>
      </x:c>
      <x:c r="B71" s="683" t="s">
        <x:v>938</x:v>
      </x:c>
      <x:c r="C71" s="292">
        <x:v>27348.95</x:v>
      </x:c>
      <x:c r="D71" s="265">
        <x:v>45393.5</x:v>
      </x:c>
      <x:c r="E71" s="488" t="s">
        <x:v>673</x:v>
      </x:c>
      <x:c r="F71" s="265">
        <x:v>45427</x:v>
      </x:c>
      <x:c r="G71" s="37">
        <x:f t="shared" si="8"/>
        <x:v>-33.5</x:v>
      </x:c>
      <x:c r="H71" s="43">
        <x:f t="shared" si="9"/>
        <x:v>-916189.82500000007</x:v>
      </x:c>
      <x:c r="I71" s="93"/>
      <x:c r="J71" s="260"/>
      <x:c r="L71" s="260"/>
      <x:c r="M71" s="260"/>
      <x:c r="N71" s="260"/>
    </x:row>
    <x:row r="72" spans="1:14" x14ac:dyDescent="0.25">
      <x:c r="A72" s="2">
        <x:f t="shared" si="3"/>
        <x:v>61</x:v>
      </x:c>
      <x:c r="B72" s="683" t="s">
        <x:v>939</x:v>
      </x:c>
      <x:c r="C72" s="292">
        <x:v>36545</x:v>
      </x:c>
      <x:c r="D72" s="265">
        <x:v>45444.5</x:v>
      </x:c>
      <x:c r="E72" s="488" t="s">
        <x:v>673</x:v>
      </x:c>
      <x:c r="F72" s="265">
        <x:v>45525</x:v>
      </x:c>
      <x:c r="G72" s="37">
        <x:f t="shared" si="8"/>
        <x:v>-80.5</x:v>
      </x:c>
      <x:c r="H72" s="43">
        <x:f t="shared" si="9"/>
        <x:v>-2941872.5</x:v>
      </x:c>
      <x:c r="I72" s="93"/>
      <x:c r="J72" s="260"/>
      <x:c r="L72" s="260"/>
      <x:c r="M72" s="260"/>
      <x:c r="N72" s="260"/>
    </x:row>
    <x:row r="73" spans="1:14" x14ac:dyDescent="0.25">
      <x:c r="A73" s="2">
        <x:f t="shared" si="3"/>
        <x:v>62</x:v>
      </x:c>
      <x:c r="B73" s="683" t="s">
        <x:v>940</x:v>
      </x:c>
      <x:c r="C73" s="292">
        <x:v>175791.1</x:v>
      </x:c>
      <x:c r="D73" s="265">
        <x:v>45428</x:v>
      </x:c>
      <x:c r="E73" s="488" t="s">
        <x:v>673</x:v>
      </x:c>
      <x:c r="F73" s="265">
        <x:v>45551</x:v>
      </x:c>
      <x:c r="G73" s="37">
        <x:f t="shared" si="8"/>
        <x:v>-123</x:v>
      </x:c>
      <x:c r="H73" s="43">
        <x:f t="shared" si="9"/>
        <x:v>-21622305.300000001</x:v>
      </x:c>
      <x:c r="I73" s="93"/>
      <x:c r="J73" s="260"/>
      <x:c r="L73" s="260"/>
      <x:c r="M73" s="260"/>
      <x:c r="N73" s="260"/>
    </x:row>
    <x:row r="74" spans="1:14" x14ac:dyDescent="0.25">
      <x:c r="A74" s="2">
        <x:f t="shared" si="3"/>
        <x:v>63</x:v>
      </x:c>
      <x:c r="B74" s="683" t="s">
        <x:v>941</x:v>
      </x:c>
      <x:c r="C74" s="292">
        <x:v>70147.09</x:v>
      </x:c>
      <x:c r="D74" s="265">
        <x:v>45265</x:v>
      </x:c>
      <x:c r="E74" s="488" t="s">
        <x:v>291</x:v>
      </x:c>
      <x:c r="F74" s="265">
        <x:v>45295</x:v>
      </x:c>
      <x:c r="G74" s="37">
        <x:f t="shared" si="8"/>
        <x:v>-30</x:v>
      </x:c>
      <x:c r="H74" s="43">
        <x:f t="shared" si="9"/>
        <x:v>-2104412.6999999997</x:v>
      </x:c>
      <x:c r="I74" s="93"/>
      <x:c r="J74" s="260"/>
      <x:c r="L74" s="260"/>
      <x:c r="M74" s="260"/>
      <x:c r="N74" s="260"/>
    </x:row>
    <x:row r="75" spans="1:14" x14ac:dyDescent="0.25">
      <x:c r="A75" s="2">
        <x:f t="shared" si="3"/>
        <x:v>64</x:v>
      </x:c>
      <x:c r="B75" s="683" t="s">
        <x:v>942</x:v>
      </x:c>
      <x:c r="C75" s="292">
        <x:v>27077.66</x:v>
      </x:c>
      <x:c r="D75" s="265">
        <x:v>45280</x:v>
      </x:c>
      <x:c r="E75" s="488" t="s">
        <x:v>291</x:v>
      </x:c>
      <x:c r="F75" s="265">
        <x:v>45307</x:v>
      </x:c>
      <x:c r="G75" s="37">
        <x:f t="shared" si="8"/>
        <x:v>-27</x:v>
      </x:c>
      <x:c r="H75" s="43">
        <x:f t="shared" si="9"/>
        <x:v>-731096.82</x:v>
      </x:c>
      <x:c r="I75" s="93"/>
      <x:c r="J75" s="260"/>
      <x:c r="L75" s="260"/>
      <x:c r="M75" s="260"/>
      <x:c r="N75" s="260"/>
    </x:row>
    <x:row r="76" spans="1:14" x14ac:dyDescent="0.25">
      <x:c r="A76" s="2">
        <x:f t="shared" si="3"/>
        <x:v>65</x:v>
      </x:c>
      <x:c r="B76" s="683" t="s">
        <x:v>943</x:v>
      </x:c>
      <x:c r="C76" s="292">
        <x:v>44500</x:v>
      </x:c>
      <x:c r="D76" s="265">
        <x:v>44521</x:v>
      </x:c>
      <x:c r="E76" s="488" t="s">
        <x:v>673</x:v>
      </x:c>
      <x:c r="F76" s="265">
        <x:v>45350</x:v>
      </x:c>
      <x:c r="G76" s="37">
        <x:f t="shared" si="8"/>
        <x:v>-829</x:v>
      </x:c>
      <x:c r="H76" s="43">
        <x:f t="shared" si="9"/>
        <x:v>-36890500</x:v>
      </x:c>
      <x:c r="I76" s="93"/>
      <x:c r="J76" s="260"/>
      <x:c r="L76" s="260"/>
      <x:c r="M76" s="260"/>
      <x:c r="N76" s="260"/>
    </x:row>
    <x:row r="77" spans="1:14" x14ac:dyDescent="0.25">
      <x:c r="A77" s="2">
        <x:f t="shared" si="3"/>
        <x:v>66</x:v>
      </x:c>
      <x:c r="B77" s="683" t="s">
        <x:v>944</x:v>
      </x:c>
      <x:c r="C77" s="292">
        <x:v>38000</x:v>
      </x:c>
      <x:c r="D77" s="265">
        <x:v>45361</x:v>
      </x:c>
      <x:c r="E77" s="488" t="s">
        <x:v>673</x:v>
      </x:c>
      <x:c r="F77" s="265">
        <x:v>45392</x:v>
      </x:c>
      <x:c r="G77" s="37">
        <x:f t="shared" si="8"/>
        <x:v>-31</x:v>
      </x:c>
      <x:c r="H77" s="43">
        <x:f t="shared" si="9"/>
        <x:v>-1178000</x:v>
      </x:c>
      <x:c r="I77" s="93"/>
      <x:c r="J77" s="260"/>
      <x:c r="L77" s="260"/>
      <x:c r="M77" s="260"/>
      <x:c r="N77" s="260"/>
    </x:row>
    <x:row r="78" spans="1:14" x14ac:dyDescent="0.25">
      <x:c r="A78" s="2">
        <x:f t="shared" si="3"/>
        <x:v>67</x:v>
      </x:c>
      <x:c r="B78" s="683" t="s">
        <x:v>945</x:v>
      </x:c>
      <x:c r="C78" s="292">
        <x:v>28854</x:v>
      </x:c>
      <x:c r="D78" s="265">
        <x:v>45372</x:v>
      </x:c>
      <x:c r="E78" s="488" t="s">
        <x:v>291</x:v>
      </x:c>
      <x:c r="F78" s="265">
        <x:v>45405</x:v>
      </x:c>
      <x:c r="G78" s="37">
        <x:f t="shared" si="8"/>
        <x:v>-33</x:v>
      </x:c>
      <x:c r="H78" s="43">
        <x:f t="shared" si="9"/>
        <x:v>-952182</x:v>
      </x:c>
      <x:c r="I78" s="93"/>
      <x:c r="J78" s="260"/>
      <x:c r="L78" s="260"/>
      <x:c r="M78" s="260"/>
      <x:c r="N78" s="260"/>
    </x:row>
    <x:row r="79" spans="1:14" x14ac:dyDescent="0.25">
      <x:c r="A79" s="2">
        <x:f t="shared" si="3"/>
        <x:v>68</x:v>
      </x:c>
      <x:c r="B79" s="683" t="s">
        <x:v>946</x:v>
      </x:c>
      <x:c r="C79" s="292">
        <x:v>30000</x:v>
      </x:c>
      <x:c r="D79" s="265">
        <x:v>45474</x:v>
      </x:c>
      <x:c r="E79" s="488" t="s">
        <x:v>673</x:v>
      </x:c>
      <x:c r="F79" s="265">
        <x:v>45500</x:v>
      </x:c>
      <x:c r="G79" s="37">
        <x:f t="shared" si="8"/>
        <x:v>-26</x:v>
      </x:c>
      <x:c r="H79" s="43">
        <x:f t="shared" si="9"/>
        <x:v>-780000</x:v>
      </x:c>
      <x:c r="I79" s="93"/>
      <x:c r="J79" s="260"/>
      <x:c r="L79" s="260"/>
      <x:c r="M79" s="260"/>
      <x:c r="N79" s="260"/>
    </x:row>
    <x:row r="80" spans="1:14" x14ac:dyDescent="0.25">
      <x:c r="A80" s="2">
        <x:f t="shared" si="3"/>
        <x:v>69</x:v>
      </x:c>
      <x:c r="B80" s="683" t="s">
        <x:v>947</x:v>
      </x:c>
      <x:c r="C80" s="292">
        <x:v>43000</x:v>
      </x:c>
      <x:c r="D80" s="265">
        <x:v>45436</x:v>
      </x:c>
      <x:c r="E80" s="488" t="s">
        <x:v>291</x:v>
      </x:c>
      <x:c r="F80" s="265">
        <x:v>45467</x:v>
      </x:c>
      <x:c r="G80" s="37">
        <x:f t="shared" si="8"/>
        <x:v>-31</x:v>
      </x:c>
      <x:c r="H80" s="43">
        <x:f t="shared" si="9"/>
        <x:v>-1333000</x:v>
      </x:c>
      <x:c r="I80" s="93"/>
      <x:c r="J80" s="260"/>
      <x:c r="L80" s="260"/>
      <x:c r="M80" s="260"/>
      <x:c r="N80" s="260"/>
    </x:row>
    <x:row r="81" spans="1:14" x14ac:dyDescent="0.25">
      <x:c r="A81" s="2">
        <x:f t="shared" si="3"/>
        <x:v>70</x:v>
      </x:c>
      <x:c r="B81" s="683" t="s">
        <x:v>948</x:v>
      </x:c>
      <x:c r="C81" s="292">
        <x:v>47219.15</x:v>
      </x:c>
      <x:c r="D81" s="265">
        <x:v>45489</x:v>
      </x:c>
      <x:c r="E81" s="488" t="s">
        <x:v>673</x:v>
      </x:c>
      <x:c r="F81" s="265">
        <x:v>45519</x:v>
      </x:c>
      <x:c r="G81" s="37">
        <x:f t="shared" si="8"/>
        <x:v>-30</x:v>
      </x:c>
      <x:c r="H81" s="43">
        <x:f t="shared" si="9"/>
        <x:v>-1416574.5</x:v>
      </x:c>
      <x:c r="I81" s="93"/>
      <x:c r="J81" s="260"/>
      <x:c r="L81" s="260"/>
      <x:c r="M81" s="260"/>
      <x:c r="N81" s="260"/>
    </x:row>
    <x:row r="82" spans="1:14" x14ac:dyDescent="0.25">
      <x:c r="A82" s="2">
        <x:f t="shared" si="3"/>
        <x:v>71</x:v>
      </x:c>
      <x:c r="B82" s="683" t="s">
        <x:v>949</x:v>
      </x:c>
      <x:c r="C82" s="292">
        <x:v>51600</x:v>
      </x:c>
      <x:c r="D82" s="265">
        <x:v>45262.5</x:v>
      </x:c>
      <x:c r="E82" s="488" t="s">
        <x:v>673</x:v>
      </x:c>
      <x:c r="F82" s="265">
        <x:v>45308</x:v>
      </x:c>
      <x:c r="G82" s="37">
        <x:f t="shared" si="8"/>
        <x:v>-45.5</x:v>
      </x:c>
      <x:c r="H82" s="43">
        <x:f t="shared" si="9"/>
        <x:v>-2347800</x:v>
      </x:c>
      <x:c r="I82" s="93"/>
      <x:c r="J82" s="260"/>
      <x:c r="L82" s="260"/>
      <x:c r="M82" s="260"/>
      <x:c r="N82" s="260"/>
    </x:row>
    <x:row r="83" spans="1:14" x14ac:dyDescent="0.25">
      <x:c r="A83" s="2">
        <x:f t="shared" si="3"/>
        <x:v>72</x:v>
      </x:c>
      <x:c r="B83" s="683" t="s">
        <x:v>950</x:v>
      </x:c>
      <x:c r="C83" s="292">
        <x:v>43097.599999999999</x:v>
      </x:c>
      <x:c r="D83" s="265">
        <x:v>45345</x:v>
      </x:c>
      <x:c r="E83" s="488" t="s">
        <x:v>291</x:v>
      </x:c>
      <x:c r="F83" s="265">
        <x:v>45375</x:v>
      </x:c>
      <x:c r="G83" s="37">
        <x:f t="shared" si="8"/>
        <x:v>-30</x:v>
      </x:c>
      <x:c r="H83" s="43">
        <x:f t="shared" si="9"/>
        <x:v>-1292928</x:v>
      </x:c>
      <x:c r="I83" s="93"/>
      <x:c r="J83" s="260"/>
      <x:c r="L83" s="260"/>
      <x:c r="M83" s="260"/>
      <x:c r="N83" s="260"/>
    </x:row>
    <x:row r="84" spans="1:14" x14ac:dyDescent="0.25">
      <x:c r="A84" s="2">
        <x:f t="shared" si="3"/>
        <x:v>73</x:v>
      </x:c>
      <x:c r="B84" s="683" t="s">
        <x:v>951</x:v>
      </x:c>
      <x:c r="C84" s="292">
        <x:v>30660</x:v>
      </x:c>
      <x:c r="D84" s="265">
        <x:v>45458.5</x:v>
      </x:c>
      <x:c r="E84" s="488" t="s">
        <x:v>673</x:v>
      </x:c>
      <x:c r="F84" s="265">
        <x:v>45504</x:v>
      </x:c>
      <x:c r="G84" s="37">
        <x:f t="shared" si="8"/>
        <x:v>-45.5</x:v>
      </x:c>
      <x:c r="H84" s="43">
        <x:f t="shared" si="9"/>
        <x:v>-1395030</x:v>
      </x:c>
      <x:c r="I84" s="93"/>
      <x:c r="J84" s="260"/>
      <x:c r="L84" s="260"/>
      <x:c r="M84" s="260"/>
      <x:c r="N84" s="260"/>
    </x:row>
    <x:row r="85" spans="1:14" x14ac:dyDescent="0.25">
      <x:c r="A85" s="2">
        <x:f t="shared" si="3"/>
        <x:v>74</x:v>
      </x:c>
      <x:c r="B85" s="683" t="s">
        <x:v>952</x:v>
      </x:c>
      <x:c r="C85" s="292">
        <x:v>171000</x:v>
      </x:c>
      <x:c r="D85" s="265">
        <x:v>45504</x:v>
      </x:c>
      <x:c r="E85" s="488" t="s">
        <x:v>291</x:v>
      </x:c>
      <x:c r="F85" s="265">
        <x:v>45534</x:v>
      </x:c>
      <x:c r="G85" s="37">
        <x:f t="shared" si="8"/>
        <x:v>-30</x:v>
      </x:c>
      <x:c r="H85" s="43">
        <x:f t="shared" si="9"/>
        <x:v>-5130000</x:v>
      </x:c>
      <x:c r="I85" s="93"/>
      <x:c r="J85" s="260"/>
      <x:c r="L85" s="260"/>
      <x:c r="M85" s="260"/>
      <x:c r="N85" s="260"/>
    </x:row>
    <x:row r="86" spans="1:14" x14ac:dyDescent="0.25">
      <x:c r="A86" s="2">
        <x:f t="shared" si="3"/>
        <x:v>75</x:v>
      </x:c>
      <x:c r="B86" s="683" t="s">
        <x:v>953</x:v>
      </x:c>
      <x:c r="C86" s="292">
        <x:v>49000</x:v>
      </x:c>
      <x:c r="D86" s="265">
        <x:v>45257</x:v>
      </x:c>
      <x:c r="E86" s="488" t="s">
        <x:v>673</x:v>
      </x:c>
      <x:c r="F86" s="265">
        <x:v>45289</x:v>
      </x:c>
      <x:c r="G86" s="37">
        <x:f t="shared" si="8"/>
        <x:v>-32</x:v>
      </x:c>
      <x:c r="H86" s="43">
        <x:f t="shared" si="9"/>
        <x:v>-1568000</x:v>
      </x:c>
      <x:c r="I86" s="93"/>
      <x:c r="J86" s="260"/>
      <x:c r="L86" s="260"/>
      <x:c r="M86" s="260"/>
      <x:c r="N86" s="260"/>
    </x:row>
    <x:row r="87" spans="1:14" x14ac:dyDescent="0.25">
      <x:c r="A87" s="2">
        <x:f t="shared" si="3"/>
        <x:v>76</x:v>
      </x:c>
      <x:c r="B87" s="683" t="s">
        <x:v>954</x:v>
      </x:c>
      <x:c r="C87" s="788">
        <x:v>70823.320000000007</x:v>
      </x:c>
      <x:c r="D87" s="265">
        <x:v>45508</x:v>
      </x:c>
      <x:c r="E87" s="488" t="s">
        <x:v>673</x:v>
      </x:c>
      <x:c r="F87" s="265">
        <x:v>45517</x:v>
      </x:c>
      <x:c r="G87" s="393">
        <x:f t="shared" si="8"/>
        <x:v>-9</x:v>
      </x:c>
      <x:c r="H87" s="701">
        <x:f t="shared" si="9"/>
        <x:v>-637409.88000000012</x:v>
      </x:c>
      <x:c r="I87" s="93"/>
      <x:c r="J87" s="260"/>
      <x:c r="L87" s="260"/>
      <x:c r="M87" s="260"/>
      <x:c r="N87" s="260"/>
    </x:row>
    <x:row r="88" spans="1:14" x14ac:dyDescent="0.25">
      <x:c r="A88" s="2">
        <x:f t="shared" si="3"/>
        <x:v>77</x:v>
      </x:c>
      <x:c r="B88" s="2"/>
      <x:c r="C88" s="499"/>
      <x:c r="D88" s="265"/>
      <x:c r="E88" s="488"/>
      <x:c r="F88" s="265"/>
      <x:c r="G88" s="496"/>
      <x:c r="H88" s="113"/>
      <x:c r="I88" s="93"/>
      <x:c r="J88" s="260"/>
      <x:c r="L88" s="260"/>
      <x:c r="M88" s="260"/>
      <x:c r="N88" s="260"/>
    </x:row>
    <x:row r="89" spans="1:14" ht="13.25" thickBot="1" x14ac:dyDescent="0.3">
      <x:c r="A89" s="2">
        <x:f t="shared" si="3"/>
        <x:v>78</x:v>
      </x:c>
      <x:c r="B89" t="s">
        <x:v>283</x:v>
      </x:c>
      <x:c r="C89" s="358">
        <x:f>SUM(C12:C88)</x:f>
        <x:v>4460898.540000001</x:v>
      </x:c>
      <x:c r="G89" s="395">
        <x:f>+ROUND(H89/C89,2)</x:f>
        <x:v>-51.29</x:v>
      </x:c>
      <x:c r="H89" s="358">
        <x:f>SUM(H12:H88)</x:f>
        <x:v>-228795770.03499997</x:v>
      </x:c>
      <x:c r="I89" s="93"/>
      <x:c r="J89" s="260"/>
      <x:c r="L89" s="260"/>
      <x:c r="M89" s="260"/>
      <x:c r="N89" s="260"/>
    </x:row>
    <x:row r="90" spans="1:14" ht="13.25" thickTop="1" x14ac:dyDescent="0.25">
      <x:c r="A90" s="2">
        <x:f t="shared" si="3"/>
        <x:v>79</x:v>
      </x:c>
      <x:c r="G90" s="28"/>
    </x:row>
    <x:row r="91" spans="1:14" x14ac:dyDescent="0.25">
      <x:c r="A91" s="2">
        <x:f t="shared" si="3"/>
        <x:v>80</x:v>
      </x:c>
      <x:c r="B91" t="s">
        <x:v>230</x:v>
      </x:c>
      <x:c r="C91" s="290" t="s">
        <x:v>956</x:v>
      </x:c>
      <x:c r="G91" s="28"/>
    </x:row>
    <x:row r="92" spans="1:14" x14ac:dyDescent="0.25">
      <x:c r="G92" s="28"/>
    </x:row>
    <x:row r="93" spans="1:14" x14ac:dyDescent="0.25">
      <x:c r="G93" s="28"/>
    </x:row>
    <x:row r="94" spans="1:14" x14ac:dyDescent="0.25">
      <x:c r="G94" s="28"/>
    </x:row>
    <x:row r="95" spans="1:14" x14ac:dyDescent="0.25">
      <x:c r="G95" s="28"/>
    </x:row>
    <x:row r="96" spans="1:14" x14ac:dyDescent="0.25">
      <x:c r="G96" s="28"/>
    </x:row>
    <x:row r="97" spans="7:7" x14ac:dyDescent="0.25">
      <x:c r="G97" s="28"/>
    </x:row>
    <x:row r="98" spans="7:7" x14ac:dyDescent="0.25">
      <x:c r="G98" s="28"/>
    </x:row>
    <x:row r="99" spans="7:7" x14ac:dyDescent="0.25">
      <x:c r="G99" s="28"/>
    </x:row>
    <x:row r="100" spans="7:7" x14ac:dyDescent="0.25">
      <x:c r="G100" s="28"/>
    </x:row>
    <x:row r="101" spans="7:7" x14ac:dyDescent="0.25">
      <x:c r="G101" s="28"/>
    </x:row>
    <x:row r="102" spans="7:7" x14ac:dyDescent="0.25">
      <x:c r="G102" s="28"/>
    </x:row>
    <x:row r="103" spans="7:7" x14ac:dyDescent="0.25">
      <x:c r="G103" s="28"/>
    </x:row>
    <x:row r="104" spans="7:7" x14ac:dyDescent="0.25">
      <x:c r="G104" s="28"/>
    </x:row>
    <x:row r="105" spans="7:7" x14ac:dyDescent="0.25">
      <x:c r="G105" s="28"/>
    </x:row>
    <x:row r="106" spans="7:7" x14ac:dyDescent="0.25">
      <x:c r="G106" s="28"/>
    </x:row>
  </x:sheetData>
  <x:phoneticPr fontId="23" type="noConversion"/>
  <x:hyperlinks>
    <x:hyperlink ref="C91" r:id="rId1" display="3rd party O&amp;M - TRN sample 2021.xlsx" xr:uid="{00000000-0004-0000-1A00-000000000000}"/>
  </x:hyperlinks>
  <x:printOptions horizontalCentered="1"/>
  <x:pageMargins left="0.5" right="0.5" top="1.5" bottom="0.5" header="1" footer="0.5"/>
  <x:pageSetup fitToHeight="3" orientation="landscape" r:id="rId2"/>
  <x:headerFooter alignWithMargins="0">
    <x:oddHeader>&amp;RWP/II-B-9/&amp;A
Page &amp;P of &amp;N</x:oddHeader>
  </x:headerFooter>
  <x:rowBreaks count="2" manualBreakCount="2">
    <x:brk id="35" max="7" man="1"/>
    <x:brk id="60" max="7" man="1"/>
  </x:rowBreaks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 codeName="Sheet61">
    <x:tabColor rgb="FF92D050"/>
    <x:pageSetUpPr fitToPage="1"/>
  </x:sheetPr>
  <x:dimension ref="A1:I28"/>
  <x:sheetViews>
    <x:sheetView zoomScaleNormal="100" workbookViewId="0">
      <x:selection activeCell="D37" sqref="D37"/>
    </x:sheetView>
  </x:sheetViews>
  <x:sheetFormatPr defaultRowHeight="12.7" x14ac:dyDescent="0.25"/>
  <x:cols>
    <x:col min="1" max="1" width="6.44140625" customWidth="1"/>
    <x:col min="2" max="2" width="42.5546875" customWidth="1"/>
    <x:col min="3" max="3" width="19" customWidth="1"/>
    <x:col min="4" max="4" width="16.44140625" customWidth="1"/>
    <x:col min="5" max="5" width="18.88671875" customWidth="1"/>
    <x:col min="6" max="6" width="19.88671875" customWidth="1"/>
    <x:col min="7" max="7" width="0.5546875" hidden="1" customWidth="1"/>
    <x:col min="8" max="9" width="8.88671875" hidden="1" customWidth="1"/>
  </x:cols>
  <x:sheetData>
    <x:row r="1" spans="1:8" s="73" customFormat="1" x14ac:dyDescent="0.25">
      <x:c r="A1" s="180" t="s">
        <x:v>523</x:v>
      </x:c>
      <x:c r="B1" s="180"/>
      <x:c r="C1" s="180"/>
      <x:c r="D1" s="180"/>
      <x:c r="E1" s="180"/>
    </x:row>
    <x:row r="2" spans="1:8" s="73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73" customFormat="1" x14ac:dyDescent="0.25">
      <x:c r="A3" s="180" t="s">
        <x:v>312</x:v>
      </x:c>
      <x:c r="B3" s="180"/>
      <x:c r="C3" s="180"/>
      <x:c r="D3" s="180"/>
      <x:c r="E3" s="180"/>
    </x:row>
    <x:row r="4" spans="1:8" s="73" customFormat="1" x14ac:dyDescent="0.25">
      <x:c r="A4" s="767" t="s">
        <x:v>524</x:v>
      </x:c>
      <x:c r="B4" s="180"/>
      <x:c r="C4" s="180"/>
      <x:c r="D4" s="180"/>
      <x:c r="E4" s="180"/>
    </x:row>
    <x:row r="5" spans="1:8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8" x14ac:dyDescent="0.25">
      <x:c r="A7" s="5"/>
    </x:row>
    <x:row r="9" spans="1:8" x14ac:dyDescent="0.25">
      <x:c r="A9" s="22" t="s">
        <x:v>35</x:v>
      </x:c>
      <x:c r="B9" s="26"/>
      <x:c r="C9" s="22" t="s">
        <x:v>305</x:v>
      </x:c>
      <x:c r="D9" s="22" t="s">
        <x:v>41</x:v>
      </x:c>
      <x:c r="E9" s="22"/>
      <x:c r="F9" s="22" t="s">
        <x:v>93</x:v>
      </x:c>
      <x:c r="G9" s="1"/>
      <x:c r="H9" s="1"/>
    </x:row>
    <x:row r="10" spans="1:8" x14ac:dyDescent="0.25">
      <x:c r="A10" s="56" t="s">
        <x:v>36</x:v>
      </x:c>
      <x:c r="B10" s="56" t="s">
        <x:v>304</x:v>
      </x:c>
      <x:c r="C10" s="56" t="s">
        <x:v>386</x:v>
      </x:c>
      <x:c r="D10" s="56" t="s">
        <x:v>97</x:v>
      </x:c>
      <x:c r="E10" s="56" t="s">
        <x:v>25</x:v>
      </x:c>
      <x:c r="F10" s="56" t="s">
        <x:v>72</x:v>
      </x:c>
      <x:c r="G10" s="1"/>
      <x:c r="H10" s="1"/>
    </x:row>
    <x:row r="11" spans="1:8" x14ac:dyDescent="0.25">
      <x:c r="A11" s="1"/>
      <x:c r="B11" s="40" t="s">
        <x:v>50</x:v>
      </x:c>
      <x:c r="C11" s="40" t="s">
        <x:v>51</x:v>
      </x:c>
      <x:c r="D11" s="40" t="s">
        <x:v>57</x:v>
      </x:c>
      <x:c r="E11" s="40" t="s">
        <x:v>52</x:v>
      </x:c>
      <x:c r="F11" s="40" t="s">
        <x:v>53</x:v>
      </x:c>
      <x:c r="G11" s="1"/>
      <x:c r="H11" s="1"/>
    </x:row>
    <x:row r="12" spans="1:8" x14ac:dyDescent="0.25">
      <x:c r="A12" s="1"/>
      <x:c r="B12" s="40"/>
      <x:c r="C12" s="40"/>
      <x:c r="D12" s="40"/>
      <x:c r="E12" s="40"/>
      <x:c r="F12" s="40"/>
      <x:c r="G12" s="1"/>
      <x:c r="H12" s="1"/>
    </x:row>
    <x:row r="13" spans="1:8" x14ac:dyDescent="0.25">
      <x:c r="A13" s="3">
        <x:v>1</x:v>
      </x:c>
      <x:c r="B13" s="188" t="s">
        <x:v>307</x:v>
      </x:c>
      <x:c r="C13" s="502">
        <x:v>124422044.590002</x:v>
      </x:c>
      <x:c r="D13" s="725">
        <x:f>+'6-2-1'!G45</x:f>
        <x:v>-45.44</x:v>
      </x:c>
      <x:c r="E13" s="80" t="s">
        <x:v>351</x:v>
      </x:c>
      <x:c r="F13" s="502">
        <x:f>C13*D13</x:f>
        <x:v>-5653737706.1696911</x:v>
      </x:c>
      <x:c r="G13" s="1"/>
      <x:c r="H13" s="1"/>
    </x:row>
    <x:row r="14" spans="1:8" s="228" customFormat="1" x14ac:dyDescent="0.25">
      <x:c r="A14" s="90">
        <x:f>A13+1</x:f>
        <x:v>2</x:v>
      </x:c>
      <x:c r="B14" s="188" t="s">
        <x:v>306</x:v>
      </x:c>
      <x:c r="C14" s="471">
        <x:v>92127280.519999966</x:v>
      </x:c>
      <x:c r="D14" s="725">
        <x:f>'6-2-2'!G36</x:f>
        <x:v>-56.63</x:v>
      </x:c>
      <x:c r="E14" s="80" t="s">
        <x:v>352</x:v>
      </x:c>
      <x:c r="F14" s="471">
        <x:f>C14*D14</x:f>
        <x:v>-5217167895.8475981</x:v>
      </x:c>
      <x:c r="G14" s="31"/>
      <x:c r="H14" s="31"/>
    </x:row>
    <x:row r="15" spans="1:8" s="228" customFormat="1" x14ac:dyDescent="0.25">
      <x:c r="A15" s="90">
        <x:f t="shared" ref="A15:A21" si="0">A14+1</x:f>
        <x:v>3</x:v>
      </x:c>
      <x:c r="B15" s="188" t="s">
        <x:v>308</x:v>
      </x:c>
      <x:c r="C15" s="503">
        <x:v>509890698.2099992</x:v>
      </x:c>
      <x:c r="D15" s="729">
        <x:f>'6-2-3'!G143</x:f>
        <x:v>-48.4</x:v>
      </x:c>
      <x:c r="E15" s="80" t="s">
        <x:v>353</x:v>
      </x:c>
      <x:c r="F15" s="504">
        <x:f>C15*D15</x:f>
        <x:v>-24678709793.36396</x:v>
      </x:c>
      <x:c r="G15" s="31"/>
      <x:c r="H15" s="31"/>
    </x:row>
    <x:row r="16" spans="1:8" x14ac:dyDescent="0.25">
      <x:c r="A16" s="90">
        <x:f t="shared" si="0"/>
        <x:v>4</x:v>
      </x:c>
      <x:c r="B16" s="16"/>
      <x:c r="C16" s="28"/>
      <x:c r="D16" s="725"/>
      <x:c r="E16" s="80"/>
      <x:c r="F16" s="28"/>
      <x:c r="G16" s="1"/>
      <x:c r="H16" s="1"/>
    </x:row>
    <x:row r="17" spans="1:8" ht="13.25" thickBot="1" x14ac:dyDescent="0.3">
      <x:c r="A17" s="90">
        <x:f t="shared" si="0"/>
        <x:v>5</x:v>
      </x:c>
      <x:c r="B17" s="1" t="s">
        <x:v>26</x:v>
      </x:c>
      <x:c r="C17" s="494">
        <x:f>SUM(C13:C15)</x:f>
        <x:v>726440023.32000113</x:v>
      </x:c>
      <x:c r="D17" s="730">
        <x:f>+F17/C17</x:f>
        <x:v>-48.936752180739127</x:v>
      </x:c>
      <x:c r="E17" s="80"/>
      <x:c r="F17" s="494">
        <x:f>SUM(F13:F15)</x:f>
        <x:v>-35549615395.381248</x:v>
      </x:c>
      <x:c r="G17" s="1"/>
      <x:c r="H17" s="1"/>
    </x:row>
    <x:row r="18" spans="1:8" ht="13.25" thickTop="1" x14ac:dyDescent="0.25">
      <x:c r="A18" s="90">
        <x:f t="shared" si="0"/>
        <x:v>6</x:v>
      </x:c>
    </x:row>
    <x:row r="19" spans="1:8" x14ac:dyDescent="0.25">
      <x:c r="A19" s="90">
        <x:f t="shared" si="0"/>
        <x:v>7</x:v>
      </x:c>
      <x:c r="B19" s="79"/>
    </x:row>
    <x:row r="20" spans="1:8" x14ac:dyDescent="0.25">
      <x:c r="A20" s="90">
        <x:f t="shared" si="0"/>
        <x:v>8</x:v>
      </x:c>
    </x:row>
    <x:row r="21" spans="1:8" x14ac:dyDescent="0.25">
      <x:c r="A21" s="90">
        <x:f t="shared" si="0"/>
        <x:v>9</x:v>
      </x:c>
      <x:c r="B21" s="500" t="s">
        <x:v>387</x:v>
      </x:c>
      <x:c r="C21" s="403" t="s">
        <x:v>484</x:v>
      </x:c>
    </x:row>
    <x:row r="22" spans="1:8" x14ac:dyDescent="0.25">
      <x:c r="A22" s="90"/>
    </x:row>
    <x:row r="23" spans="1:8" x14ac:dyDescent="0.25">
      <x:c r="B23" s="66"/>
      <x:c r="C23" s="66"/>
      <x:c r="D23" s="66"/>
      <x:c r="E23" s="66"/>
      <x:c r="F23" s="66"/>
    </x:row>
    <x:row r="24" spans="1:8" x14ac:dyDescent="0.25">
      <x:c r="B24" s="66"/>
      <x:c r="C24" s="495"/>
      <x:c r="D24" s="286"/>
      <x:c r="E24" s="66"/>
      <x:c r="F24" s="495"/>
    </x:row>
    <x:row r="25" spans="1:8" x14ac:dyDescent="0.25">
      <x:c r="B25" s="66"/>
      <x:c r="C25" s="66"/>
      <x:c r="D25" s="66"/>
      <x:c r="E25" s="66"/>
      <x:c r="F25" s="66"/>
    </x:row>
    <x:row r="26" spans="1:8" x14ac:dyDescent="0.25">
      <x:c r="B26" s="66"/>
      <x:c r="C26" s="66"/>
      <x:c r="D26" s="66"/>
      <x:c r="E26" s="66"/>
      <x:c r="F26" s="66"/>
    </x:row>
    <x:row r="27" spans="1:8" x14ac:dyDescent="0.25">
      <x:c r="B27" s="66"/>
      <x:c r="C27" s="66"/>
      <x:c r="D27" s="66"/>
      <x:c r="E27" s="66"/>
      <x:c r="F27" s="66"/>
    </x:row>
    <x:row r="28" spans="1:8" x14ac:dyDescent="0.25">
      <x:c r="B28" s="66"/>
      <x:c r="C28" s="66"/>
      <x:c r="D28" s="66"/>
      <x:c r="E28" s="66"/>
      <x:c r="F28" s="66"/>
    </x:row>
  </x:sheetData>
  <x:phoneticPr fontId="23" type="noConversion"/>
  <x:hyperlinks>
    <x:hyperlink ref="C21" r:id="rId1" xr:uid="{6469AF24-CDE5-4F0A-B082-749878D73C24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 codeName="Sheet62">
    <x:tabColor rgb="FF92D050"/>
    <x:pageSetUpPr fitToPage="1"/>
  </x:sheetPr>
  <x:dimension ref="A1:N63"/>
  <x:sheetViews>
    <x:sheetView zoomScaleNormal="100" workbookViewId="0">
      <x:pane xSplit="1" ySplit="9" topLeftCell="B40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6.109375" customWidth="1"/>
    <x:col min="3" max="3" width="14.109375" style="93" bestFit="1" customWidth="1"/>
    <x:col min="4" max="4" width="11.44140625" bestFit="1" customWidth="1"/>
    <x:col min="5" max="5" width="23.88671875" customWidth="1"/>
    <x:col min="6" max="6" width="17.44140625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180"/>
      <x:c r="E1" s="180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73" customFormat="1" x14ac:dyDescent="0.25">
      <x:c r="A3" s="180" t="s">
        <x:v>313</x:v>
      </x:c>
      <x:c r="B3" s="180"/>
      <x:c r="C3" s="180"/>
      <x:c r="D3" s="180"/>
      <x:c r="E3" s="180"/>
    </x:row>
    <x:row r="4" spans="1:14" s="73" customFormat="1" x14ac:dyDescent="0.25">
      <x:c r="A4" s="767" t="s">
        <x:v>524</x:v>
      </x:c>
      <x:c r="B4" s="180"/>
      <x:c r="C4" s="180"/>
      <x:c r="D4" s="180"/>
      <x:c r="E4" s="180"/>
    </x:row>
    <x:row r="5" spans="1:14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x14ac:dyDescent="0.25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x14ac:dyDescent="0.25">
      <x:c r="A12" s="2">
        <x:v>1</x:v>
      </x:c>
      <x:c r="B12" s="683" t="s">
        <x:v>830</x:v>
      </x:c>
      <x:c r="C12" s="175">
        <x:v>40.67</x:v>
      </x:c>
      <x:c r="D12" s="265">
        <x:v>45414</x:v>
      </x:c>
      <x:c r="E12" s="488" t="s">
        <x:v>673</x:v>
      </x:c>
      <x:c r="F12" s="265">
        <x:v>45457</x:v>
      </x:c>
      <x:c r="G12" s="37">
        <x:f t="shared" ref="G12:G27" si="0">D12-F12</x:f>
        <x:v>-43</x:v>
      </x:c>
      <x:c r="H12" s="36">
        <x:f t="shared" ref="H12:H27" si="1">IF(ISERR(G12*C12),"",G12*C12)</x:f>
        <x:v>-1748.8100000000002</x:v>
      </x:c>
      <x:c r="J12" s="260"/>
      <x:c r="L12" s="260"/>
      <x:c r="M12" s="260"/>
      <x:c r="N12" s="260"/>
    </x:row>
    <x:row r="13" spans="1:14" x14ac:dyDescent="0.25">
      <x:c r="A13" s="2">
        <x:v>2</x:v>
      </x:c>
      <x:c r="B13" s="683" t="s">
        <x:v>831</x:v>
      </x:c>
      <x:c r="C13" s="292">
        <x:v>1732</x:v>
      </x:c>
      <x:c r="D13" s="265">
        <x:v>45189</x:v>
      </x:c>
      <x:c r="E13" s="488" t="s">
        <x:v>673</x:v>
      </x:c>
      <x:c r="F13" s="265">
        <x:v>45239</x:v>
      </x:c>
      <x:c r="G13" s="37">
        <x:f t="shared" si="0"/>
        <x:v>-50</x:v>
      </x:c>
      <x:c r="H13" s="36">
        <x:f t="shared" si="1"/>
        <x:v>-86600</x:v>
      </x:c>
      <x:c r="J13" s="260"/>
      <x:c r="L13" s="260"/>
      <x:c r="M13" s="260"/>
      <x:c r="N13" s="260"/>
    </x:row>
    <x:row r="14" spans="1:14" x14ac:dyDescent="0.25">
      <x:c r="A14" s="2">
        <x:v>3</x:v>
      </x:c>
      <x:c r="B14" s="683" t="s">
        <x:v>832</x:v>
      </x:c>
      <x:c r="C14" s="292">
        <x:v>9118.2000000000007</x:v>
      </x:c>
      <x:c r="D14" s="265">
        <x:v>45409</x:v>
      </x:c>
      <x:c r="E14" s="488" t="s">
        <x:v>673</x:v>
      </x:c>
      <x:c r="F14" s="265">
        <x:v>45463</x:v>
      </x:c>
      <x:c r="G14" s="37">
        <x:f t="shared" si="0"/>
        <x:v>-54</x:v>
      </x:c>
      <x:c r="H14" s="36">
        <x:f t="shared" si="1"/>
        <x:v>-492382.80000000005</x:v>
      </x:c>
      <x:c r="J14" s="260"/>
      <x:c r="L14" s="260"/>
      <x:c r="M14" s="260"/>
      <x:c r="N14" s="260"/>
    </x:row>
    <x:row r="15" spans="1:14" x14ac:dyDescent="0.25">
      <x:c r="A15" s="2">
        <x:v>4</x:v>
      </x:c>
      <x:c r="B15" s="683" t="s">
        <x:v>833</x:v>
      </x:c>
      <x:c r="C15" s="292">
        <x:v>32.549999999999997</x:v>
      </x:c>
      <x:c r="D15" s="265">
        <x:v>45310</x:v>
      </x:c>
      <x:c r="E15" s="488" t="s">
        <x:v>291</x:v>
      </x:c>
      <x:c r="F15" s="265">
        <x:v>45325</x:v>
      </x:c>
      <x:c r="G15" s="37">
        <x:f t="shared" si="0"/>
        <x:v>-15</x:v>
      </x:c>
      <x:c r="H15" s="36">
        <x:f t="shared" si="1"/>
        <x:v>-488.24999999999994</x:v>
      </x:c>
      <x:c r="J15" s="260"/>
      <x:c r="L15" s="260"/>
      <x:c r="M15" s="260"/>
      <x:c r="N15" s="260"/>
    </x:row>
    <x:row r="16" spans="1:14" x14ac:dyDescent="0.25">
      <x:c r="A16" s="2">
        <x:v>5</x:v>
      </x:c>
      <x:c r="B16" s="683" t="s">
        <x:v>834</x:v>
      </x:c>
      <x:c r="C16" s="292">
        <x:v>2.0099999999999998</x:v>
      </x:c>
      <x:c r="D16" s="265">
        <x:v>45234</x:v>
      </x:c>
      <x:c r="E16" s="488" t="s">
        <x:v>291</x:v>
      </x:c>
      <x:c r="F16" s="265">
        <x:v>45264</x:v>
      </x:c>
      <x:c r="G16" s="37">
        <x:f t="shared" si="0"/>
        <x:v>-30</x:v>
      </x:c>
      <x:c r="H16" s="36">
        <x:f t="shared" si="1"/>
        <x:v>-60.3</x:v>
      </x:c>
      <x:c r="J16" s="260"/>
      <x:c r="L16" s="260"/>
      <x:c r="M16" s="260"/>
      <x:c r="N16" s="260"/>
    </x:row>
    <x:row r="17" spans="1:14" x14ac:dyDescent="0.25">
      <x:c r="A17" s="2">
        <x:v>6</x:v>
      </x:c>
      <x:c r="B17" s="683" t="s">
        <x:v>835</x:v>
      </x:c>
      <x:c r="C17" s="292">
        <x:v>84.63</x:v>
      </x:c>
      <x:c r="D17" s="265">
        <x:v>45504</x:v>
      </x:c>
      <x:c r="E17" s="488" t="s">
        <x:v>673</x:v>
      </x:c>
      <x:c r="F17" s="265">
        <x:v>45574</x:v>
      </x:c>
      <x:c r="G17" s="37">
        <x:f t="shared" si="0"/>
        <x:v>-70</x:v>
      </x:c>
      <x:c r="H17" s="36">
        <x:f t="shared" si="1"/>
        <x:v>-5924.0999999999995</x:v>
      </x:c>
      <x:c r="J17" s="260"/>
      <x:c r="L17" s="260"/>
      <x:c r="M17" s="260"/>
      <x:c r="N17" s="260"/>
    </x:row>
    <x:row r="18" spans="1:14" x14ac:dyDescent="0.25">
      <x:c r="A18" s="2">
        <x:v>7</x:v>
      </x:c>
      <x:c r="B18" s="683" t="s">
        <x:v>836</x:v>
      </x:c>
      <x:c r="C18" s="292">
        <x:v>255.43</x:v>
      </x:c>
      <x:c r="D18" s="265">
        <x:v>45418</x:v>
      </x:c>
      <x:c r="E18" s="488" t="s">
        <x:v>291</x:v>
      </x:c>
      <x:c r="F18" s="265">
        <x:v>45513</x:v>
      </x:c>
      <x:c r="G18" s="37">
        <x:f t="shared" si="0"/>
        <x:v>-95</x:v>
      </x:c>
      <x:c r="H18" s="36">
        <x:f t="shared" si="1"/>
        <x:v>-24265.850000000002</x:v>
      </x:c>
      <x:c r="J18" s="260"/>
      <x:c r="L18" s="260"/>
      <x:c r="M18" s="260"/>
      <x:c r="N18" s="260"/>
    </x:row>
    <x:row r="19" spans="1:14" x14ac:dyDescent="0.25">
      <x:c r="A19" s="2">
        <x:v>8</x:v>
      </x:c>
      <x:c r="B19" s="683" t="s">
        <x:v>837</x:v>
      </x:c>
      <x:c r="C19" s="292">
        <x:v>9096.7999999999993</x:v>
      </x:c>
      <x:c r="D19" s="265">
        <x:v>45458.5</x:v>
      </x:c>
      <x:c r="E19" s="488" t="s">
        <x:v>673</x:v>
      </x:c>
      <x:c r="F19" s="265">
        <x:v>45532</x:v>
      </x:c>
      <x:c r="G19" s="37">
        <x:f t="shared" si="0"/>
        <x:v>-73.5</x:v>
      </x:c>
      <x:c r="H19" s="36">
        <x:f t="shared" si="1"/>
        <x:v>-668614.79999999993</x:v>
      </x:c>
      <x:c r="J19" s="260"/>
      <x:c r="L19" s="260"/>
      <x:c r="M19" s="260"/>
      <x:c r="N19" s="260"/>
    </x:row>
    <x:row r="20" spans="1:14" x14ac:dyDescent="0.25">
      <x:c r="A20" s="2">
        <x:v>9</x:v>
      </x:c>
      <x:c r="B20" s="683" t="s">
        <x:v>838</x:v>
      </x:c>
      <x:c r="C20" s="292">
        <x:v>930.28</x:v>
      </x:c>
      <x:c r="D20" s="265">
        <x:v>45157</x:v>
      </x:c>
      <x:c r="E20" s="488" t="s">
        <x:v>291</x:v>
      </x:c>
      <x:c r="F20" s="265">
        <x:v>45282</x:v>
      </x:c>
      <x:c r="G20" s="37">
        <x:f t="shared" si="0"/>
        <x:v>-125</x:v>
      </x:c>
      <x:c r="H20" s="36">
        <x:f t="shared" si="1"/>
        <x:v>-116285</x:v>
      </x:c>
      <x:c r="J20" s="260"/>
      <x:c r="L20" s="260"/>
      <x:c r="M20" s="260"/>
      <x:c r="N20" s="260"/>
    </x:row>
    <x:row r="21" spans="1:14" x14ac:dyDescent="0.25">
      <x:c r="A21" s="2">
        <x:v>10</x:v>
      </x:c>
      <x:c r="B21" s="683" t="s">
        <x:v>839</x:v>
      </x:c>
      <x:c r="C21" s="292">
        <x:v>306.07</x:v>
      </x:c>
      <x:c r="D21" s="265">
        <x:v>45206</x:v>
      </x:c>
      <x:c r="E21" s="488" t="s">
        <x:v>291</x:v>
      </x:c>
      <x:c r="F21" s="265">
        <x:v>45236</x:v>
      </x:c>
      <x:c r="G21" s="37">
        <x:f t="shared" si="0"/>
        <x:v>-30</x:v>
      </x:c>
      <x:c r="H21" s="36">
        <x:f t="shared" si="1"/>
        <x:v>-9182.1</x:v>
      </x:c>
      <x:c r="J21" s="260"/>
      <x:c r="L21" s="260"/>
      <x:c r="M21" s="260"/>
      <x:c r="N21" s="260"/>
    </x:row>
    <x:row r="22" spans="1:14" x14ac:dyDescent="0.25">
      <x:c r="A22" s="2">
        <x:v>11</x:v>
      </x:c>
      <x:c r="B22" s="683" t="s">
        <x:v>840</x:v>
      </x:c>
      <x:c r="C22" s="292">
        <x:v>848.68</x:v>
      </x:c>
      <x:c r="D22" s="265">
        <x:v>45489</x:v>
      </x:c>
      <x:c r="E22" s="488" t="s">
        <x:v>291</x:v>
      </x:c>
      <x:c r="F22" s="265">
        <x:v>45491</x:v>
      </x:c>
      <x:c r="G22" s="37">
        <x:f t="shared" si="0"/>
        <x:v>-2</x:v>
      </x:c>
      <x:c r="H22" s="36">
        <x:f t="shared" si="1"/>
        <x:v>-1697.36</x:v>
      </x:c>
      <x:c r="J22" s="260"/>
      <x:c r="L22" s="260"/>
      <x:c r="M22" s="260"/>
      <x:c r="N22" s="260"/>
    </x:row>
    <x:row r="23" spans="1:14" x14ac:dyDescent="0.25">
      <x:c r="A23" s="2">
        <x:v>12</x:v>
      </x:c>
      <x:c r="B23" s="683" t="s">
        <x:v>841</x:v>
      </x:c>
      <x:c r="C23" s="292">
        <x:v>1179.6400000000001</x:v>
      </x:c>
      <x:c r="D23" s="265">
        <x:v>45174</x:v>
      </x:c>
      <x:c r="E23" s="488" t="s">
        <x:v>291</x:v>
      </x:c>
      <x:c r="F23" s="265">
        <x:v>45213</x:v>
      </x:c>
      <x:c r="G23" s="37">
        <x:f t="shared" si="0"/>
        <x:v>-39</x:v>
      </x:c>
      <x:c r="H23" s="36">
        <x:f t="shared" si="1"/>
        <x:v>-46005.960000000006</x:v>
      </x:c>
      <x:c r="J23" s="260"/>
      <x:c r="L23" s="260"/>
      <x:c r="M23" s="260"/>
      <x:c r="N23" s="260"/>
    </x:row>
    <x:row r="24" spans="1:14" x14ac:dyDescent="0.25">
      <x:c r="A24" s="2">
        <x:v>13</x:v>
      </x:c>
      <x:c r="B24" s="683" t="s">
        <x:v>842</x:v>
      </x:c>
      <x:c r="C24" s="292">
        <x:v>114.23</x:v>
      </x:c>
      <x:c r="D24" s="265">
        <x:v>45547</x:v>
      </x:c>
      <x:c r="E24" s="488" t="s">
        <x:v>291</x:v>
      </x:c>
      <x:c r="F24" s="265">
        <x:v>45562</x:v>
      </x:c>
      <x:c r="G24" s="37">
        <x:f t="shared" si="0"/>
        <x:v>-15</x:v>
      </x:c>
      <x:c r="H24" s="36">
        <x:f t="shared" si="1"/>
        <x:v>-1713.45</x:v>
      </x:c>
      <x:c r="J24" s="260"/>
      <x:c r="L24" s="260"/>
      <x:c r="M24" s="260"/>
      <x:c r="N24" s="260"/>
    </x:row>
    <x:row r="25" spans="1:14" x14ac:dyDescent="0.25">
      <x:c r="A25" s="2">
        <x:v>14</x:v>
      </x:c>
      <x:c r="B25" s="683" t="s">
        <x:v>843</x:v>
      </x:c>
      <x:c r="C25" s="292">
        <x:v>4551.05</x:v>
      </x:c>
      <x:c r="D25" s="265">
        <x:v>45240</x:v>
      </x:c>
      <x:c r="E25" s="488" t="s">
        <x:v>291</x:v>
      </x:c>
      <x:c r="F25" s="265">
        <x:v>45270</x:v>
      </x:c>
      <x:c r="G25" s="37">
        <x:f t="shared" si="0"/>
        <x:v>-30</x:v>
      </x:c>
      <x:c r="H25" s="36">
        <x:f t="shared" si="1"/>
        <x:v>-136531.5</x:v>
      </x:c>
      <x:c r="J25" s="260"/>
      <x:c r="L25" s="260"/>
      <x:c r="M25" s="260"/>
      <x:c r="N25" s="260"/>
    </x:row>
    <x:row r="26" spans="1:14" x14ac:dyDescent="0.25">
      <x:c r="A26" s="2">
        <x:v>15</x:v>
      </x:c>
      <x:c r="B26" s="683" t="s">
        <x:v>844</x:v>
      </x:c>
      <x:c r="C26" s="292">
        <x:v>6625.33</x:v>
      </x:c>
      <x:c r="D26" s="265">
        <x:v>45520</x:v>
      </x:c>
      <x:c r="E26" s="488" t="s">
        <x:v>673</x:v>
      </x:c>
      <x:c r="F26" s="265">
        <x:v>45559</x:v>
      </x:c>
      <x:c r="G26" s="37">
        <x:f t="shared" si="0"/>
        <x:v>-39</x:v>
      </x:c>
      <x:c r="H26" s="36">
        <x:f t="shared" si="1"/>
        <x:v>-258387.87</x:v>
      </x:c>
      <x:c r="J26" s="260"/>
      <x:c r="L26" s="260"/>
      <x:c r="M26" s="260"/>
      <x:c r="N26" s="260"/>
    </x:row>
    <x:row r="27" spans="1:14" x14ac:dyDescent="0.25">
      <x:c r="A27" s="2">
        <x:v>16</x:v>
      </x:c>
      <x:c r="B27" s="683" t="s">
        <x:v>845</x:v>
      </x:c>
      <x:c r="C27" s="292">
        <x:v>727.1</x:v>
      </x:c>
      <x:c r="D27" s="265">
        <x:v>45357</x:v>
      </x:c>
      <x:c r="E27" s="488" t="s">
        <x:v>673</x:v>
      </x:c>
      <x:c r="F27" s="265">
        <x:v>45395</x:v>
      </x:c>
      <x:c r="G27" s="37">
        <x:f t="shared" si="0"/>
        <x:v>-38</x:v>
      </x:c>
      <x:c r="H27" s="36">
        <x:f t="shared" si="1"/>
        <x:v>-27629.8</x:v>
      </x:c>
      <x:c r="J27" s="260"/>
      <x:c r="L27" s="260"/>
      <x:c r="M27" s="260"/>
      <x:c r="N27" s="260"/>
    </x:row>
    <x:row r="28" spans="1:14" x14ac:dyDescent="0.25">
      <x:c r="A28" s="2">
        <x:v>17</x:v>
      </x:c>
      <x:c r="B28" s="683" t="s">
        <x:v>846</x:v>
      </x:c>
      <x:c r="C28" s="292">
        <x:v>1851.5</x:v>
      </x:c>
      <x:c r="D28" s="265">
        <x:v>45259</x:v>
      </x:c>
      <x:c r="E28" s="488" t="s">
        <x:v>291</x:v>
      </x:c>
      <x:c r="F28" s="265">
        <x:v>45295</x:v>
      </x:c>
      <x:c r="G28" s="37">
        <x:f t="shared" ref="G28:G43" si="2">D28-F28</x:f>
        <x:v>-36</x:v>
      </x:c>
      <x:c r="H28" s="36">
        <x:f t="shared" ref="H28:H43" si="3">IF(ISERR(G28*C28),"",G28*C28)</x:f>
        <x:v>-66654</x:v>
      </x:c>
      <x:c r="J28" s="260"/>
      <x:c r="L28" s="260"/>
      <x:c r="M28" s="260"/>
      <x:c r="N28" s="260"/>
    </x:row>
    <x:row r="29" spans="1:14" x14ac:dyDescent="0.25">
      <x:c r="A29" s="2">
        <x:v>18</x:v>
      </x:c>
      <x:c r="B29" s="683" t="s">
        <x:v>847</x:v>
      </x:c>
      <x:c r="C29" s="292">
        <x:v>92.29</x:v>
      </x:c>
      <x:c r="D29" s="265">
        <x:v>45344</x:v>
      </x:c>
      <x:c r="E29" s="488" t="s">
        <x:v>673</x:v>
      </x:c>
      <x:c r="F29" s="265">
        <x:v>45392</x:v>
      </x:c>
      <x:c r="G29" s="37">
        <x:f t="shared" si="2"/>
        <x:v>-48</x:v>
      </x:c>
      <x:c r="H29" s="36">
        <x:f t="shared" si="3"/>
        <x:v>-4429.92</x:v>
      </x:c>
      <x:c r="J29" s="260"/>
      <x:c r="L29" s="260"/>
      <x:c r="M29" s="260"/>
      <x:c r="N29" s="260"/>
    </x:row>
    <x:row r="30" spans="1:14" x14ac:dyDescent="0.25">
      <x:c r="A30" s="2">
        <x:v>19</x:v>
      </x:c>
      <x:c r="B30" s="683" t="s">
        <x:v>848</x:v>
      </x:c>
      <x:c r="C30" s="292">
        <x:v>225.68</x:v>
      </x:c>
      <x:c r="D30" s="265">
        <x:v>45449.5</x:v>
      </x:c>
      <x:c r="E30" s="488" t="s">
        <x:v>673</x:v>
      </x:c>
      <x:c r="F30" s="265">
        <x:v>45523</x:v>
      </x:c>
      <x:c r="G30" s="37">
        <x:f t="shared" si="2"/>
        <x:v>-73.5</x:v>
      </x:c>
      <x:c r="H30" s="36">
        <x:f t="shared" si="3"/>
        <x:v>-16587.48</x:v>
      </x:c>
      <x:c r="J30" s="260"/>
      <x:c r="L30" s="260"/>
      <x:c r="M30" s="260"/>
      <x:c r="N30" s="260"/>
    </x:row>
    <x:row r="31" spans="1:14" x14ac:dyDescent="0.25">
      <x:c r="A31" s="2">
        <x:v>20</x:v>
      </x:c>
      <x:c r="B31" s="683" t="s">
        <x:v>849</x:v>
      </x:c>
      <x:c r="C31" s="292">
        <x:v>112.84</x:v>
      </x:c>
      <x:c r="D31" s="265">
        <x:v>45422</x:v>
      </x:c>
      <x:c r="E31" s="488" t="s">
        <x:v>291</x:v>
      </x:c>
      <x:c r="F31" s="265">
        <x:v>45494</x:v>
      </x:c>
      <x:c r="G31" s="37">
        <x:f t="shared" si="2"/>
        <x:v>-72</x:v>
      </x:c>
      <x:c r="H31" s="36">
        <x:f t="shared" si="3"/>
        <x:v>-8124.4800000000005</x:v>
      </x:c>
      <x:c r="J31" s="260"/>
      <x:c r="L31" s="260"/>
      <x:c r="M31" s="260"/>
      <x:c r="N31" s="260"/>
    </x:row>
    <x:row r="32" spans="1:14" x14ac:dyDescent="0.25">
      <x:c r="A32" s="2">
        <x:v>21</x:v>
      </x:c>
      <x:c r="B32" s="683" t="s">
        <x:v>850</x:v>
      </x:c>
      <x:c r="C32" s="292">
        <x:v>1670.7</x:v>
      </x:c>
      <x:c r="D32" s="265">
        <x:v>45209</x:v>
      </x:c>
      <x:c r="E32" s="488" t="s">
        <x:v>291</x:v>
      </x:c>
      <x:c r="F32" s="265">
        <x:v>45266</x:v>
      </x:c>
      <x:c r="G32" s="37">
        <x:f t="shared" si="2"/>
        <x:v>-57</x:v>
      </x:c>
      <x:c r="H32" s="36">
        <x:f t="shared" si="3"/>
        <x:v>-95229.900000000009</x:v>
      </x:c>
      <x:c r="J32" s="260"/>
      <x:c r="L32" s="260"/>
      <x:c r="M32" s="260"/>
      <x:c r="N32" s="260"/>
    </x:row>
    <x:row r="33" spans="1:14" x14ac:dyDescent="0.25">
      <x:c r="A33" s="2">
        <x:v>22</x:v>
      </x:c>
      <x:c r="B33" s="683" t="s">
        <x:v>851</x:v>
      </x:c>
      <x:c r="C33" s="292">
        <x:v>2692.72</x:v>
      </x:c>
      <x:c r="D33" s="265">
        <x:v>45397.5</x:v>
      </x:c>
      <x:c r="E33" s="488" t="s">
        <x:v>673</x:v>
      </x:c>
      <x:c r="F33" s="265">
        <x:v>45382</x:v>
      </x:c>
      <x:c r="G33" s="37">
        <x:f t="shared" si="2"/>
        <x:v>15.5</x:v>
      </x:c>
      <x:c r="H33" s="36">
        <x:f t="shared" si="3"/>
        <x:v>41737.159999999996</x:v>
      </x:c>
      <x:c r="J33" s="260"/>
      <x:c r="L33" s="260"/>
      <x:c r="M33" s="260"/>
      <x:c r="N33" s="260"/>
    </x:row>
    <x:row r="34" spans="1:14" x14ac:dyDescent="0.25">
      <x:c r="A34" s="2">
        <x:v>23</x:v>
      </x:c>
      <x:c r="B34" s="683" t="s">
        <x:v>852</x:v>
      </x:c>
      <x:c r="C34" s="292">
        <x:v>102.32</x:v>
      </x:c>
      <x:c r="D34" s="265">
        <x:v>45352.5</x:v>
      </x:c>
      <x:c r="E34" s="488" t="s">
        <x:v>673</x:v>
      </x:c>
      <x:c r="F34" s="265">
        <x:v>45394</x:v>
      </x:c>
      <x:c r="G34" s="37">
        <x:f t="shared" si="2"/>
        <x:v>-41.5</x:v>
      </x:c>
      <x:c r="H34" s="36">
        <x:f t="shared" si="3"/>
        <x:v>-4246.28</x:v>
      </x:c>
      <x:c r="J34" s="260"/>
      <x:c r="L34" s="260"/>
      <x:c r="M34" s="260"/>
      <x:c r="N34" s="260"/>
    </x:row>
    <x:row r="35" spans="1:14" x14ac:dyDescent="0.25">
      <x:c r="A35" s="2">
        <x:v>24</x:v>
      </x:c>
      <x:c r="B35" s="683" t="s">
        <x:v>853</x:v>
      </x:c>
      <x:c r="C35" s="292">
        <x:v>7092.65</x:v>
      </x:c>
      <x:c r="D35" s="265">
        <x:v>45204.5</x:v>
      </x:c>
      <x:c r="E35" s="488" t="s">
        <x:v>673</x:v>
      </x:c>
      <x:c r="F35" s="265">
        <x:v>45241</x:v>
      </x:c>
      <x:c r="G35" s="37">
        <x:f t="shared" si="2"/>
        <x:v>-36.5</x:v>
      </x:c>
      <x:c r="H35" s="36">
        <x:f t="shared" si="3"/>
        <x:v>-258881.72499999998</x:v>
      </x:c>
      <x:c r="J35" s="260"/>
      <x:c r="L35" s="260"/>
      <x:c r="M35" s="260"/>
      <x:c r="N35" s="260"/>
    </x:row>
    <x:row r="36" spans="1:14" x14ac:dyDescent="0.25">
      <x:c r="A36" s="2">
        <x:v>25</x:v>
      </x:c>
      <x:c r="B36" s="683" t="s">
        <x:v>854</x:v>
      </x:c>
      <x:c r="C36" s="292">
        <x:v>55.8</x:v>
      </x:c>
      <x:c r="D36" s="265">
        <x:v>45238</x:v>
      </x:c>
      <x:c r="E36" s="488" t="s">
        <x:v>291</x:v>
      </x:c>
      <x:c r="F36" s="265">
        <x:v>45283</x:v>
      </x:c>
      <x:c r="G36" s="37">
        <x:f t="shared" si="2"/>
        <x:v>-45</x:v>
      </x:c>
      <x:c r="H36" s="36">
        <x:f t="shared" si="3"/>
        <x:v>-2511</x:v>
      </x:c>
      <x:c r="J36" s="260"/>
      <x:c r="L36" s="260"/>
      <x:c r="M36" s="260"/>
      <x:c r="N36" s="260"/>
    </x:row>
    <x:row r="37" spans="1:14" x14ac:dyDescent="0.25">
      <x:c r="A37" s="2">
        <x:v>26</x:v>
      </x:c>
      <x:c r="B37" s="683" t="s">
        <x:v>855</x:v>
      </x:c>
      <x:c r="C37" s="292">
        <x:v>2037.35</x:v>
      </x:c>
      <x:c r="D37" s="265">
        <x:v>45406</x:v>
      </x:c>
      <x:c r="E37" s="488" t="s">
        <x:v>673</x:v>
      </x:c>
      <x:c r="F37" s="265">
        <x:v>45463</x:v>
      </x:c>
      <x:c r="G37" s="37">
        <x:f t="shared" si="2"/>
        <x:v>-57</x:v>
      </x:c>
      <x:c r="H37" s="36">
        <x:f t="shared" si="3"/>
        <x:v>-116128.95</x:v>
      </x:c>
      <x:c r="J37" s="260"/>
      <x:c r="L37" s="260"/>
      <x:c r="M37" s="260"/>
      <x:c r="N37" s="260"/>
    </x:row>
    <x:row r="38" spans="1:14" x14ac:dyDescent="0.25">
      <x:c r="A38" s="2">
        <x:v>27</x:v>
      </x:c>
      <x:c r="B38" s="683" t="s">
        <x:v>856</x:v>
      </x:c>
      <x:c r="C38" s="292">
        <x:v>225.68</x:v>
      </x:c>
      <x:c r="D38" s="265">
        <x:v>45449.5</x:v>
      </x:c>
      <x:c r="E38" s="488" t="s">
        <x:v>673</x:v>
      </x:c>
      <x:c r="F38" s="265">
        <x:v>45511</x:v>
      </x:c>
      <x:c r="G38" s="37">
        <x:f t="shared" si="2"/>
        <x:v>-61.5</x:v>
      </x:c>
      <x:c r="H38" s="36">
        <x:f t="shared" si="3"/>
        <x:v>-13879.32</x:v>
      </x:c>
      <x:c r="J38" s="260"/>
      <x:c r="L38" s="260"/>
      <x:c r="M38" s="260"/>
      <x:c r="N38" s="260"/>
    </x:row>
    <x:row r="39" spans="1:14" x14ac:dyDescent="0.25">
      <x:c r="A39" s="2">
        <x:v>28</x:v>
      </x:c>
      <x:c r="B39" s="683" t="s">
        <x:v>857</x:v>
      </x:c>
      <x:c r="C39" s="292">
        <x:v>389.7</x:v>
      </x:c>
      <x:c r="D39" s="265">
        <x:v>45397.5</x:v>
      </x:c>
      <x:c r="E39" s="488" t="s">
        <x:v>673</x:v>
      </x:c>
      <x:c r="F39" s="265">
        <x:v>45396</x:v>
      </x:c>
      <x:c r="G39" s="37">
        <x:f t="shared" si="2"/>
        <x:v>1.5</x:v>
      </x:c>
      <x:c r="H39" s="36">
        <x:f t="shared" si="3"/>
        <x:v>584.54999999999995</x:v>
      </x:c>
      <x:c r="J39" s="260"/>
      <x:c r="L39" s="260"/>
      <x:c r="M39" s="260"/>
      <x:c r="N39" s="260"/>
    </x:row>
    <x:row r="40" spans="1:14" x14ac:dyDescent="0.25">
      <x:c r="A40" s="2">
        <x:v>29</x:v>
      </x:c>
      <x:c r="B40" s="683" t="s">
        <x:v>858</x:v>
      </x:c>
      <x:c r="C40" s="292">
        <x:v>181.33</x:v>
      </x:c>
      <x:c r="D40" s="265">
        <x:v>45230</x:v>
      </x:c>
      <x:c r="E40" s="488" t="s">
        <x:v>673</x:v>
      </x:c>
      <x:c r="F40" s="265">
        <x:v>45268</x:v>
      </x:c>
      <x:c r="G40" s="37">
        <x:f t="shared" si="2"/>
        <x:v>-38</x:v>
      </x:c>
      <x:c r="H40" s="36">
        <x:f t="shared" si="3"/>
        <x:v>-6890.5400000000009</x:v>
      </x:c>
      <x:c r="J40" s="260"/>
      <x:c r="L40" s="260"/>
      <x:c r="M40" s="260"/>
      <x:c r="N40" s="260"/>
    </x:row>
    <x:row r="41" spans="1:14" x14ac:dyDescent="0.25">
      <x:c r="A41" s="2">
        <x:v>30</x:v>
      </x:c>
      <x:c r="B41" s="683" t="s">
        <x:v>859</x:v>
      </x:c>
      <x:c r="C41" s="292">
        <x:v>137.04</x:v>
      </x:c>
      <x:c r="D41" s="265">
        <x:v>45304</x:v>
      </x:c>
      <x:c r="E41" s="488" t="s">
        <x:v>291</x:v>
      </x:c>
      <x:c r="F41" s="265">
        <x:v>45334</x:v>
      </x:c>
      <x:c r="G41" s="37">
        <x:f t="shared" si="2"/>
        <x:v>-30</x:v>
      </x:c>
      <x:c r="H41" s="36">
        <x:f t="shared" si="3"/>
        <x:v>-4111.2</x:v>
      </x:c>
      <x:c r="J41" s="260"/>
      <x:c r="L41" s="260"/>
      <x:c r="M41" s="260"/>
      <x:c r="N41" s="260"/>
    </x:row>
    <x:row r="42" spans="1:14" x14ac:dyDescent="0.25">
      <x:c r="A42" s="2">
        <x:v>31</x:v>
      </x:c>
      <x:c r="B42" s="683" t="s">
        <x:v>860</x:v>
      </x:c>
      <x:c r="C42" s="292">
        <x:v>2254.92</x:v>
      </x:c>
      <x:c r="D42" s="265">
        <x:v>45411</x:v>
      </x:c>
      <x:c r="E42" s="488" t="s">
        <x:v>291</x:v>
      </x:c>
      <x:c r="F42" s="265">
        <x:v>45443</x:v>
      </x:c>
      <x:c r="G42" s="37">
        <x:f t="shared" si="2"/>
        <x:v>-32</x:v>
      </x:c>
      <x:c r="H42" s="36">
        <x:f t="shared" si="3"/>
        <x:v>-72157.440000000002</x:v>
      </x:c>
      <x:c r="J42" s="260"/>
      <x:c r="L42" s="260"/>
      <x:c r="M42" s="260"/>
      <x:c r="N42" s="260"/>
    </x:row>
    <x:row r="43" spans="1:14" x14ac:dyDescent="0.25">
      <x:c r="A43" s="2">
        <x:v>32</x:v>
      </x:c>
      <x:c r="B43" s="683" t="s">
        <x:v>861</x:v>
      </x:c>
      <x:c r="C43" s="788">
        <x:v>2565</x:v>
      </x:c>
      <x:c r="D43" s="265">
        <x:v>45195</x:v>
      </x:c>
      <x:c r="E43" s="488" t="s">
        <x:v>291</x:v>
      </x:c>
      <x:c r="F43" s="265">
        <x:v>45234</x:v>
      </x:c>
      <x:c r="G43" s="393">
        <x:f t="shared" si="2"/>
        <x:v>-39</x:v>
      </x:c>
      <x:c r="H43" s="701">
        <x:f t="shared" si="3"/>
        <x:v>-100035</x:v>
      </x:c>
      <x:c r="J43" s="260"/>
      <x:c r="L43" s="260"/>
      <x:c r="M43" s="260"/>
      <x:c r="N43" s="260"/>
    </x:row>
    <x:row r="44" spans="1:14" x14ac:dyDescent="0.25">
      <x:c r="A44" s="2">
        <x:v>33</x:v>
      </x:c>
      <x:c r="B44" s="2"/>
      <x:c r="C44" s="73"/>
      <x:c r="D44" s="265"/>
      <x:c r="E44" s="488"/>
      <x:c r="F44" s="265"/>
      <x:c r="G44" s="37"/>
      <x:c r="H44" s="178"/>
      <x:c r="J44" s="260"/>
      <x:c r="L44" s="260"/>
      <x:c r="M44" s="260"/>
      <x:c r="N44" s="260"/>
    </x:row>
    <x:row r="45" spans="1:14" ht="13.25" thickBot="1" x14ac:dyDescent="0.3">
      <x:c r="A45" s="2">
        <x:v>34</x:v>
      </x:c>
      <x:c r="B45" t="s">
        <x:v>26</x:v>
      </x:c>
      <x:c r="C45" s="358">
        <x:f>SUM(C12:C44)</x:f>
        <x:v>57332.189999999995</x:v>
      </x:c>
      <x:c r="G45" s="395">
        <x:f>+ROUND(H45/C45,2)</x:f>
        <x:v>-45.44</x:v>
      </x:c>
      <x:c r="H45" s="358">
        <x:f>SUM(H12:H44)</x:f>
        <x:v>-2605063.4750000006</x:v>
      </x:c>
    </x:row>
    <x:row r="46" spans="1:14" ht="13.25" thickTop="1" x14ac:dyDescent="0.25">
      <x:c r="A46" s="2">
        <x:v>35</x:v>
      </x:c>
      <x:c r="C46" s="506"/>
      <x:c r="G46" s="28"/>
    </x:row>
    <x:row r="47" spans="1:14" x14ac:dyDescent="0.25">
      <x:c r="A47" s="2">
        <x:v>36</x:v>
      </x:c>
      <x:c r="B47" s="172"/>
      <x:c r="G47" s="28"/>
    </x:row>
    <x:row r="48" spans="1:14" x14ac:dyDescent="0.25">
      <x:c r="A48" s="2">
        <x:v>37</x:v>
      </x:c>
      <x:c r="B48" s="172"/>
    </x:row>
    <x:row r="49" spans="1:7" x14ac:dyDescent="0.25">
      <x:c r="A49" s="2">
        <x:v>38</x:v>
      </x:c>
      <x:c r="G49" s="28"/>
    </x:row>
    <x:row r="50" spans="1:7" x14ac:dyDescent="0.25">
      <x:c r="A50" s="2">
        <x:v>39</x:v>
      </x:c>
      <x:c r="B50" t="s">
        <x:v>230</x:v>
      </x:c>
      <x:c r="C50" s="403" t="s">
        <x:v>483</x:v>
      </x:c>
      <x:c r="G50" s="28"/>
    </x:row>
    <x:row r="51" spans="1:7" x14ac:dyDescent="0.25">
      <x:c r="G51" s="28"/>
    </x:row>
    <x:row r="52" spans="1:7" x14ac:dyDescent="0.25">
      <x:c r="A52" s="229"/>
      <x:c r="B52" s="228"/>
      <x:c r="C52" s="555"/>
      <x:c r="G52" s="28"/>
    </x:row>
    <x:row r="53" spans="1:7" x14ac:dyDescent="0.25">
      <x:c r="G53" s="28"/>
    </x:row>
    <x:row r="54" spans="1:7" x14ac:dyDescent="0.25">
      <x:c r="G54" s="28"/>
    </x:row>
    <x:row r="55" spans="1:7" x14ac:dyDescent="0.25">
      <x:c r="G55" s="28"/>
    </x:row>
    <x:row r="56" spans="1:7" x14ac:dyDescent="0.25">
      <x:c r="G56" s="28"/>
    </x:row>
    <x:row r="57" spans="1:7" x14ac:dyDescent="0.25">
      <x:c r="G57" s="28"/>
    </x:row>
    <x:row r="58" spans="1:7" x14ac:dyDescent="0.25">
      <x:c r="G58" s="28"/>
    </x:row>
    <x:row r="59" spans="1:7" x14ac:dyDescent="0.25">
      <x:c r="G59" s="28"/>
    </x:row>
    <x:row r="60" spans="1:7" x14ac:dyDescent="0.25">
      <x:c r="G60" s="28"/>
    </x:row>
    <x:row r="61" spans="1:7" x14ac:dyDescent="0.25">
      <x:c r="G61" s="28"/>
    </x:row>
    <x:row r="62" spans="1:7" x14ac:dyDescent="0.25">
      <x:c r="G62" s="28"/>
    </x:row>
    <x:row r="63" spans="1:7" x14ac:dyDescent="0.25">
      <x:c r="G63" s="28"/>
    </x:row>
  </x:sheetData>
  <x:phoneticPr fontId="23" type="noConversion"/>
  <x:hyperlinks>
    <x:hyperlink ref="C50" r:id="rId1" xr:uid="{000FE6FD-DA7A-46E8-8F6F-98FFBF0465C6}"/>
  </x:hyperlinks>
  <x:printOptions horizontalCentered="1"/>
  <x:pageMargins left="0.5" right="0.5" top="1.5" bottom="0.5" header="1" footer="0.5"/>
  <x:pageSetup scale="77" orientation="landscape" r:id="rId2"/>
  <x:headerFooter alignWithMargins="0">
    <x:oddHeader>&amp;RWP/II-B-9/&amp;A
Page &amp;P of &amp;N</x:oddHeader>
  </x:headerFooter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 codeName="Sheet63">
    <x:tabColor rgb="FF92D050"/>
    <x:pageSetUpPr fitToPage="1"/>
  </x:sheetPr>
  <x:dimension ref="A1:N48"/>
  <x:sheetViews>
    <x:sheetView zoomScaleNormal="100" workbookViewId="0">
      <x:pane xSplit="1" ySplit="9" topLeftCell="B25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8.88671875" customWidth="1"/>
    <x:col min="3" max="3" width="14.44140625" style="93" bestFit="1" customWidth="1"/>
    <x:col min="4" max="4" width="11.5546875" bestFit="1" customWidth="1"/>
    <x:col min="5" max="5" width="23.88671875" customWidth="1"/>
    <x:col min="6" max="6" width="17.44140625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180"/>
      <x:c r="E1" s="180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73" customFormat="1" x14ac:dyDescent="0.25">
      <x:c r="A3" s="180" t="s">
        <x:v>314</x:v>
      </x:c>
      <x:c r="B3" s="180"/>
      <x:c r="C3" s="180"/>
      <x:c r="D3" s="180"/>
      <x:c r="E3" s="180"/>
    </x:row>
    <x:row r="4" spans="1:14" s="73" customFormat="1" x14ac:dyDescent="0.25">
      <x:c r="A4" s="767" t="s">
        <x:v>524</x:v>
      </x:c>
      <x:c r="B4" s="180"/>
      <x:c r="C4" s="180"/>
      <x:c r="D4" s="180"/>
      <x:c r="E4" s="180"/>
    </x:row>
    <x:row r="5" spans="1:14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x14ac:dyDescent="0.25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s="228" customFormat="1" x14ac:dyDescent="0.25">
      <x:c r="A12" s="229">
        <x:v>1</x:v>
      </x:c>
      <x:c r="B12" s="683" t="s">
        <x:v>806</x:v>
      </x:c>
      <x:c r="C12" s="175">
        <x:v>14508</x:v>
      </x:c>
      <x:c r="D12" s="265">
        <x:v>45501.5</x:v>
      </x:c>
      <x:c r="E12" s="488" t="s">
        <x:v>673</x:v>
      </x:c>
      <x:c r="F12" s="265">
        <x:v>45546</x:v>
      </x:c>
      <x:c r="G12" s="37">
        <x:f>D12-F12</x:f>
        <x:v>-44.5</x:v>
      </x:c>
      <x:c r="H12" s="648">
        <x:f>IF(ISERR(G12*C12),"",G12*C12)</x:f>
        <x:v>-645606</x:v>
      </x:c>
      <x:c r="J12" s="396"/>
      <x:c r="L12" s="396"/>
      <x:c r="M12" s="396"/>
      <x:c r="N12" s="396"/>
    </x:row>
    <x:row r="13" spans="1:14" x14ac:dyDescent="0.25">
      <x:c r="A13" s="2">
        <x:f>+A12+1</x:f>
        <x:v>2</x:v>
      </x:c>
      <x:c r="B13" s="683" t="s">
        <x:v>807</x:v>
      </x:c>
      <x:c r="C13" s="292">
        <x:v>14059.32</x:v>
      </x:c>
      <x:c r="D13" s="265">
        <x:v>45245.5</x:v>
      </x:c>
      <x:c r="E13" s="488" t="s">
        <x:v>673</x:v>
      </x:c>
      <x:c r="F13" s="265">
        <x:v>45282</x:v>
      </x:c>
      <x:c r="G13" s="37">
        <x:f t="shared" ref="G13" si="0">D13-F13</x:f>
        <x:v>-36.5</x:v>
      </x:c>
      <x:c r="H13" s="649">
        <x:f t="shared" ref="H13" si="1">IF(ISERR(G13*C13),"",G13*C13)</x:f>
        <x:v>-513165.18</x:v>
      </x:c>
      <x:c r="I13" s="228"/>
      <x:c r="J13" s="260"/>
      <x:c r="L13" s="260"/>
      <x:c r="M13" s="260"/>
      <x:c r="N13" s="260"/>
    </x:row>
    <x:row r="14" spans="1:14" x14ac:dyDescent="0.25">
      <x:c r="A14" s="229">
        <x:v>3</x:v>
      </x:c>
      <x:c r="B14" s="700" t="s">
        <x:v>808</x:v>
      </x:c>
      <x:c r="C14" s="292">
        <x:v>12078.29</x:v>
      </x:c>
      <x:c r="D14" s="265">
        <x:v>45305</x:v>
      </x:c>
      <x:c r="E14" s="488" t="s">
        <x:v>673</x:v>
      </x:c>
      <x:c r="F14" s="265">
        <x:v>45385</x:v>
      </x:c>
      <x:c r="G14" s="496">
        <x:f t="shared" ref="G14:G34" si="2">D14-F14</x:f>
        <x:v>-80</x:v>
      </x:c>
      <x:c r="H14" s="653">
        <x:f t="shared" ref="H14:H34" si="3">IF(ISERR(G14*C14),"",G14*C14)</x:f>
        <x:v>-966263.20000000007</x:v>
      </x:c>
      <x:c r="I14" s="228"/>
      <x:c r="J14" s="260"/>
      <x:c r="L14" s="260"/>
      <x:c r="M14" s="260"/>
      <x:c r="N14" s="260"/>
    </x:row>
    <x:row r="15" spans="1:14" x14ac:dyDescent="0.25">
      <x:c r="A15" s="2">
        <x:v>4</x:v>
      </x:c>
      <x:c r="B15" s="683" t="s">
        <x:v>809</x:v>
      </x:c>
      <x:c r="C15" s="292">
        <x:v>10631.94</x:v>
      </x:c>
      <x:c r="D15" s="265">
        <x:v>45447</x:v>
      </x:c>
      <x:c r="E15" s="488" t="s">
        <x:v>673</x:v>
      </x:c>
      <x:c r="F15" s="265">
        <x:v>45518</x:v>
      </x:c>
      <x:c r="G15" s="496">
        <x:f t="shared" si="2"/>
        <x:v>-71</x:v>
      </x:c>
      <x:c r="H15" s="653">
        <x:f t="shared" si="3"/>
        <x:v>-754867.74</x:v>
      </x:c>
      <x:c r="I15" s="228"/>
      <x:c r="J15" s="260"/>
      <x:c r="L15" s="260"/>
      <x:c r="M15" s="260"/>
      <x:c r="N15" s="260"/>
    </x:row>
    <x:row r="16" spans="1:14" x14ac:dyDescent="0.25">
      <x:c r="A16" s="229">
        <x:v>5</x:v>
      </x:c>
      <x:c r="B16" s="683" t="s">
        <x:v>810</x:v>
      </x:c>
      <x:c r="C16" s="292">
        <x:v>12157.6</x:v>
      </x:c>
      <x:c r="D16" s="265">
        <x:v>45458</x:v>
      </x:c>
      <x:c r="E16" s="488" t="s">
        <x:v>673</x:v>
      </x:c>
      <x:c r="F16" s="265">
        <x:v>45501</x:v>
      </x:c>
      <x:c r="G16" s="496">
        <x:f t="shared" si="2"/>
        <x:v>-43</x:v>
      </x:c>
      <x:c r="H16" s="653">
        <x:f t="shared" si="3"/>
        <x:v>-522776.8</x:v>
      </x:c>
      <x:c r="I16" s="228"/>
      <x:c r="J16" s="260"/>
      <x:c r="L16" s="260"/>
      <x:c r="M16" s="260"/>
      <x:c r="N16" s="260"/>
    </x:row>
    <x:row r="17" spans="1:14" x14ac:dyDescent="0.25">
      <x:c r="A17" s="2">
        <x:v>6</x:v>
      </x:c>
      <x:c r="B17" s="683" t="s">
        <x:v>811</x:v>
      </x:c>
      <x:c r="C17" s="292">
        <x:v>14669.51</x:v>
      </x:c>
      <x:c r="D17" s="265">
        <x:v>45275</x:v>
      </x:c>
      <x:c r="E17" s="488" t="s">
        <x:v>291</x:v>
      </x:c>
      <x:c r="F17" s="265">
        <x:v>45305</x:v>
      </x:c>
      <x:c r="G17" s="496">
        <x:f t="shared" si="2"/>
        <x:v>-30</x:v>
      </x:c>
      <x:c r="H17" s="653">
        <x:f t="shared" si="3"/>
        <x:v>-440085.3</x:v>
      </x:c>
      <x:c r="I17" s="228"/>
      <x:c r="J17" s="260"/>
      <x:c r="L17" s="260"/>
      <x:c r="M17" s="260"/>
      <x:c r="N17" s="260"/>
    </x:row>
    <x:row r="18" spans="1:14" x14ac:dyDescent="0.25">
      <x:c r="A18" s="229">
        <x:v>7</x:v>
      </x:c>
      <x:c r="B18" s="683" t="s">
        <x:v>812</x:v>
      </x:c>
      <x:c r="C18" s="292">
        <x:v>15402.5</x:v>
      </x:c>
      <x:c r="D18" s="265">
        <x:v>45458.5</x:v>
      </x:c>
      <x:c r="E18" s="488" t="s">
        <x:v>673</x:v>
      </x:c>
      <x:c r="F18" s="265">
        <x:v>45526</x:v>
      </x:c>
      <x:c r="G18" s="496">
        <x:f t="shared" si="2"/>
        <x:v>-67.5</x:v>
      </x:c>
      <x:c r="H18" s="653">
        <x:f t="shared" si="3"/>
        <x:v>-1039668.75</x:v>
      </x:c>
      <x:c r="I18" s="228"/>
      <x:c r="J18" s="260"/>
      <x:c r="L18" s="260"/>
      <x:c r="M18" s="260"/>
      <x:c r="N18" s="260"/>
    </x:row>
    <x:row r="19" spans="1:14" x14ac:dyDescent="0.25">
      <x:c r="A19" s="2">
        <x:v>8</x:v>
      </x:c>
      <x:c r="B19" s="683" t="s">
        <x:v>813</x:v>
      </x:c>
      <x:c r="C19" s="292">
        <x:v>10908.56</x:v>
      </x:c>
      <x:c r="D19" s="265">
        <x:v>45455.5</x:v>
      </x:c>
      <x:c r="E19" s="488" t="s">
        <x:v>673</x:v>
      </x:c>
      <x:c r="F19" s="265">
        <x:v>45512</x:v>
      </x:c>
      <x:c r="G19" s="496">
        <x:f t="shared" si="2"/>
        <x:v>-56.5</x:v>
      </x:c>
      <x:c r="H19" s="653">
        <x:f t="shared" si="3"/>
        <x:v>-616333.64</x:v>
      </x:c>
      <x:c r="I19" s="228"/>
      <x:c r="J19" s="260"/>
      <x:c r="L19" s="260"/>
      <x:c r="M19" s="260"/>
      <x:c r="N19" s="260"/>
    </x:row>
    <x:row r="20" spans="1:14" x14ac:dyDescent="0.25">
      <x:c r="A20" s="229">
        <x:v>9</x:v>
      </x:c>
      <x:c r="B20" s="683" t="s">
        <x:v>814</x:v>
      </x:c>
      <x:c r="C20" s="292">
        <x:v>11609.44</x:v>
      </x:c>
      <x:c r="D20" s="265">
        <x:v>45378</x:v>
      </x:c>
      <x:c r="E20" s="488" t="s">
        <x:v>673</x:v>
      </x:c>
      <x:c r="F20" s="265">
        <x:v>45417</x:v>
      </x:c>
      <x:c r="G20" s="496">
        <x:f t="shared" si="2"/>
        <x:v>-39</x:v>
      </x:c>
      <x:c r="H20" s="653">
        <x:f t="shared" si="3"/>
        <x:v>-452768.16000000003</x:v>
      </x:c>
      <x:c r="I20" s="228"/>
      <x:c r="J20" s="260"/>
      <x:c r="L20" s="260"/>
      <x:c r="M20" s="260"/>
      <x:c r="N20" s="260"/>
    </x:row>
    <x:row r="21" spans="1:14" x14ac:dyDescent="0.25">
      <x:c r="A21" s="2">
        <x:v>10</x:v>
      </x:c>
      <x:c r="B21" s="683" t="s">
        <x:v>815</x:v>
      </x:c>
      <x:c r="C21" s="292">
        <x:v>15129.54</x:v>
      </x:c>
      <x:c r="D21" s="265">
        <x:v>45307</x:v>
      </x:c>
      <x:c r="E21" s="488" t="s">
        <x:v>673</x:v>
      </x:c>
      <x:c r="F21" s="265">
        <x:v>45370</x:v>
      </x:c>
      <x:c r="G21" s="496">
        <x:f t="shared" si="2"/>
        <x:v>-63</x:v>
      </x:c>
      <x:c r="H21" s="653">
        <x:f t="shared" si="3"/>
        <x:v>-953161.02</x:v>
      </x:c>
      <x:c r="I21" s="228"/>
      <x:c r="J21" s="260"/>
      <x:c r="L21" s="260"/>
      <x:c r="M21" s="260"/>
      <x:c r="N21" s="260"/>
    </x:row>
    <x:row r="22" spans="1:14" x14ac:dyDescent="0.25">
      <x:c r="A22" s="229">
        <x:v>11</x:v>
      </x:c>
      <x:c r="B22" s="683" t="s">
        <x:v>816</x:v>
      </x:c>
      <x:c r="C22" s="292">
        <x:v>10620</x:v>
      </x:c>
      <x:c r="D22" s="265">
        <x:v>45307</x:v>
      </x:c>
      <x:c r="E22" s="488" t="s">
        <x:v>673</x:v>
      </x:c>
      <x:c r="F22" s="265">
        <x:v>45371</x:v>
      </x:c>
      <x:c r="G22" s="496">
        <x:f t="shared" si="2"/>
        <x:v>-64</x:v>
      </x:c>
      <x:c r="H22" s="653">
        <x:f t="shared" si="3"/>
        <x:v>-679680</x:v>
      </x:c>
      <x:c r="I22" s="228"/>
      <x:c r="J22" s="260"/>
      <x:c r="L22" s="260"/>
      <x:c r="M22" s="260"/>
      <x:c r="N22" s="260"/>
    </x:row>
    <x:row r="23" spans="1:14" x14ac:dyDescent="0.25">
      <x:c r="A23" s="2">
        <x:v>12</x:v>
      </x:c>
      <x:c r="B23" s="683" t="s">
        <x:v>817</x:v>
      </x:c>
      <x:c r="C23" s="292">
        <x:v>12500</x:v>
      </x:c>
      <x:c r="D23" s="265">
        <x:v>45489</x:v>
      </x:c>
      <x:c r="E23" s="488" t="s">
        <x:v>673</x:v>
      </x:c>
      <x:c r="F23" s="265">
        <x:v>45511</x:v>
      </x:c>
      <x:c r="G23" s="496">
        <x:f t="shared" si="2"/>
        <x:v>-22</x:v>
      </x:c>
      <x:c r="H23" s="653">
        <x:f t="shared" si="3"/>
        <x:v>-275000</x:v>
      </x:c>
      <x:c r="I23" s="228"/>
      <x:c r="J23" s="260"/>
      <x:c r="L23" s="260"/>
      <x:c r="M23" s="260"/>
      <x:c r="N23" s="260"/>
    </x:row>
    <x:row r="24" spans="1:14" x14ac:dyDescent="0.25">
      <x:c r="A24" s="229">
        <x:v>13</x:v>
      </x:c>
      <x:c r="B24" s="683" t="s">
        <x:v>818</x:v>
      </x:c>
      <x:c r="C24" s="292">
        <x:v>16230.4</x:v>
      </x:c>
      <x:c r="D24" s="265">
        <x:v>45287</x:v>
      </x:c>
      <x:c r="E24" s="488" t="s">
        <x:v>673</x:v>
      </x:c>
      <x:c r="F24" s="265">
        <x:v>45338</x:v>
      </x:c>
      <x:c r="G24" s="496">
        <x:f t="shared" si="2"/>
        <x:v>-51</x:v>
      </x:c>
      <x:c r="H24" s="653">
        <x:f t="shared" si="3"/>
        <x:v>-827750.40000000002</x:v>
      </x:c>
      <x:c r="I24" s="228"/>
      <x:c r="J24" s="260"/>
      <x:c r="L24" s="260"/>
      <x:c r="M24" s="260"/>
      <x:c r="N24" s="260"/>
    </x:row>
    <x:row r="25" spans="1:14" x14ac:dyDescent="0.25">
      <x:c r="A25" s="2">
        <x:v>14</x:v>
      </x:c>
      <x:c r="B25" s="683" t="s">
        <x:v>819</x:v>
      </x:c>
      <x:c r="C25" s="292">
        <x:v>12333.15</x:v>
      </x:c>
      <x:c r="D25" s="265">
        <x:v>45442</x:v>
      </x:c>
      <x:c r="E25" s="488" t="s">
        <x:v>673</x:v>
      </x:c>
      <x:c r="F25" s="265">
        <x:v>45492</x:v>
      </x:c>
      <x:c r="G25" s="496">
        <x:f t="shared" si="2"/>
        <x:v>-50</x:v>
      </x:c>
      <x:c r="H25" s="653">
        <x:f t="shared" si="3"/>
        <x:v>-616657.5</x:v>
      </x:c>
      <x:c r="I25" s="228"/>
      <x:c r="J25" s="260"/>
      <x:c r="L25" s="260"/>
      <x:c r="M25" s="260"/>
      <x:c r="N25" s="260"/>
    </x:row>
    <x:row r="26" spans="1:14" x14ac:dyDescent="0.25">
      <x:c r="A26" s="229">
        <x:v>15</x:v>
      </x:c>
      <x:c r="B26" s="683" t="s">
        <x:v>820</x:v>
      </x:c>
      <x:c r="C26" s="292">
        <x:v>22194.89</x:v>
      </x:c>
      <x:c r="D26" s="265">
        <x:v>45489</x:v>
      </x:c>
      <x:c r="E26" s="488" t="s">
        <x:v>673</x:v>
      </x:c>
      <x:c r="F26" s="265">
        <x:v>45552</x:v>
      </x:c>
      <x:c r="G26" s="496">
        <x:f t="shared" si="2"/>
        <x:v>-63</x:v>
      </x:c>
      <x:c r="H26" s="653">
        <x:f t="shared" si="3"/>
        <x:v>-1398278.07</x:v>
      </x:c>
      <x:c r="I26" s="228"/>
      <x:c r="J26" s="260"/>
      <x:c r="L26" s="260"/>
      <x:c r="M26" s="260"/>
      <x:c r="N26" s="260"/>
    </x:row>
    <x:row r="27" spans="1:14" x14ac:dyDescent="0.25">
      <x:c r="A27" s="2">
        <x:v>16</x:v>
      </x:c>
      <x:c r="B27" s="683" t="s">
        <x:v>821</x:v>
      </x:c>
      <x:c r="C27" s="292">
        <x:v>12157.6</x:v>
      </x:c>
      <x:c r="D27" s="265">
        <x:v>45445</x:v>
      </x:c>
      <x:c r="E27" s="488" t="s">
        <x:v>291</x:v>
      </x:c>
      <x:c r="F27" s="265">
        <x:v>45539</x:v>
      </x:c>
      <x:c r="G27" s="496">
        <x:f t="shared" si="2"/>
        <x:v>-94</x:v>
      </x:c>
      <x:c r="H27" s="653">
        <x:f t="shared" si="3"/>
        <x:v>-1142814.4000000001</x:v>
      </x:c>
      <x:c r="I27" s="228"/>
      <x:c r="J27" s="260"/>
      <x:c r="L27" s="260"/>
      <x:c r="M27" s="260"/>
      <x:c r="N27" s="260"/>
    </x:row>
    <x:row r="28" spans="1:14" x14ac:dyDescent="0.25">
      <x:c r="A28" s="229">
        <x:v>17</x:v>
      </x:c>
      <x:c r="B28" s="683" t="s">
        <x:v>822</x:v>
      </x:c>
      <x:c r="C28" s="292">
        <x:v>15012.37</x:v>
      </x:c>
      <x:c r="D28" s="265">
        <x:v>45337</x:v>
      </x:c>
      <x:c r="E28" s="488" t="s">
        <x:v>673</x:v>
      </x:c>
      <x:c r="F28" s="265">
        <x:v>45396</x:v>
      </x:c>
      <x:c r="G28" s="496">
        <x:f t="shared" si="2"/>
        <x:v>-59</x:v>
      </x:c>
      <x:c r="H28" s="653">
        <x:f t="shared" si="3"/>
        <x:v>-885729.83000000007</x:v>
      </x:c>
      <x:c r="I28" s="228"/>
      <x:c r="J28" s="260"/>
      <x:c r="L28" s="260"/>
      <x:c r="M28" s="260"/>
      <x:c r="N28" s="260"/>
    </x:row>
    <x:row r="29" spans="1:14" x14ac:dyDescent="0.25">
      <x:c r="A29" s="2">
        <x:v>18</x:v>
      </x:c>
      <x:c r="B29" s="683" t="s">
        <x:v>823</x:v>
      </x:c>
      <x:c r="C29" s="292">
        <x:v>10030.02</x:v>
      </x:c>
      <x:c r="D29" s="265">
        <x:v>45306.5</x:v>
      </x:c>
      <x:c r="E29" s="488" t="s">
        <x:v>673</x:v>
      </x:c>
      <x:c r="F29" s="265">
        <x:v>45407</x:v>
      </x:c>
      <x:c r="G29" s="496">
        <x:f t="shared" si="2"/>
        <x:v>-100.5</x:v>
      </x:c>
      <x:c r="H29" s="653">
        <x:f t="shared" si="3"/>
        <x:v>-1008017.01</x:v>
      </x:c>
      <x:c r="I29" s="228"/>
      <x:c r="J29" s="260"/>
      <x:c r="L29" s="260"/>
      <x:c r="M29" s="260"/>
      <x:c r="N29" s="260"/>
    </x:row>
    <x:row r="30" spans="1:14" x14ac:dyDescent="0.25">
      <x:c r="A30" s="229">
        <x:v>19</x:v>
      </x:c>
      <x:c r="B30" s="683" t="s">
        <x:v>824</x:v>
      </x:c>
      <x:c r="C30" s="292">
        <x:v>11398.44</x:v>
      </x:c>
      <x:c r="D30" s="265">
        <x:v>45382.5</x:v>
      </x:c>
      <x:c r="E30" s="488" t="s">
        <x:v>673</x:v>
      </x:c>
      <x:c r="F30" s="265">
        <x:v>45540</x:v>
      </x:c>
      <x:c r="G30" s="496">
        <x:f t="shared" si="2"/>
        <x:v>-157.5</x:v>
      </x:c>
      <x:c r="H30" s="653">
        <x:f t="shared" si="3"/>
        <x:v>-1795254.3</x:v>
      </x:c>
      <x:c r="I30" s="228"/>
      <x:c r="J30" s="260"/>
      <x:c r="L30" s="260"/>
      <x:c r="M30" s="260"/>
      <x:c r="N30" s="260"/>
    </x:row>
    <x:row r="31" spans="1:14" x14ac:dyDescent="0.25">
      <x:c r="A31" s="2">
        <x:v>20</x:v>
      </x:c>
      <x:c r="B31" s="683" t="s">
        <x:v>825</x:v>
      </x:c>
      <x:c r="C31" s="292">
        <x:v>19701.5</x:v>
      </x:c>
      <x:c r="D31" s="265">
        <x:v>45415</x:v>
      </x:c>
      <x:c r="E31" s="488" t="s">
        <x:v>291</x:v>
      </x:c>
      <x:c r="F31" s="265">
        <x:v>45445</x:v>
      </x:c>
      <x:c r="G31" s="496">
        <x:f t="shared" si="2"/>
        <x:v>-30</x:v>
      </x:c>
      <x:c r="H31" s="653">
        <x:f t="shared" si="3"/>
        <x:v>-591045</x:v>
      </x:c>
      <x:c r="I31" s="228"/>
      <x:c r="J31" s="260"/>
      <x:c r="L31" s="260"/>
      <x:c r="M31" s="260"/>
      <x:c r="N31" s="260"/>
    </x:row>
    <x:row r="32" spans="1:14" x14ac:dyDescent="0.25">
      <x:c r="A32" s="229">
        <x:v>21</x:v>
      </x:c>
      <x:c r="B32" s="683" t="s">
        <x:v>826</x:v>
      </x:c>
      <x:c r="C32" s="292">
        <x:v>12990</x:v>
      </x:c>
      <x:c r="D32" s="265">
        <x:v>45307</x:v>
      </x:c>
      <x:c r="E32" s="488" t="s">
        <x:v>673</x:v>
      </x:c>
      <x:c r="F32" s="265">
        <x:v>45330</x:v>
      </x:c>
      <x:c r="G32" s="496">
        <x:f t="shared" si="2"/>
        <x:v>-23</x:v>
      </x:c>
      <x:c r="H32" s="653">
        <x:f t="shared" si="3"/>
        <x:v>-298770</x:v>
      </x:c>
      <x:c r="I32" s="228"/>
      <x:c r="J32" s="260"/>
      <x:c r="L32" s="260"/>
      <x:c r="M32" s="260"/>
      <x:c r="N32" s="260"/>
    </x:row>
    <x:row r="33" spans="1:14" x14ac:dyDescent="0.25">
      <x:c r="A33" s="2">
        <x:v>22</x:v>
      </x:c>
      <x:c r="B33" s="683" t="s">
        <x:v>827</x:v>
      </x:c>
      <x:c r="C33" s="292">
        <x:v>13350.6</x:v>
      </x:c>
      <x:c r="D33" s="265">
        <x:v>45273</x:v>
      </x:c>
      <x:c r="E33" s="488" t="s">
        <x:v>673</x:v>
      </x:c>
      <x:c r="F33" s="265">
        <x:v>45332</x:v>
      </x:c>
      <x:c r="G33" s="496">
        <x:f t="shared" si="2"/>
        <x:v>-59</x:v>
      </x:c>
      <x:c r="H33" s="653">
        <x:f t="shared" si="3"/>
        <x:v>-787685.4</x:v>
      </x:c>
      <x:c r="I33" s="228"/>
      <x:c r="J33" s="260"/>
      <x:c r="L33" s="260"/>
      <x:c r="M33" s="260"/>
      <x:c r="N33" s="260"/>
    </x:row>
    <x:row r="34" spans="1:14" x14ac:dyDescent="0.25">
      <x:c r="A34" s="229">
        <x:v>23</x:v>
      </x:c>
      <x:c r="B34" s="683" t="s">
        <x:v>828</x:v>
      </x:c>
      <x:c r="C34" s="788">
        <x:v>10175.67</x:v>
      </x:c>
      <x:c r="D34" s="265">
        <x:v>45436</x:v>
      </x:c>
      <x:c r="E34" s="488" t="s">
        <x:v>291</x:v>
      </x:c>
      <x:c r="F34" s="265">
        <x:v>45469</x:v>
      </x:c>
      <x:c r="G34" s="393">
        <x:f t="shared" si="2"/>
        <x:v>-33</x:v>
      </x:c>
      <x:c r="H34" s="650">
        <x:f t="shared" si="3"/>
        <x:v>-335797.11</x:v>
      </x:c>
      <x:c r="I34" s="228"/>
      <x:c r="J34" s="260"/>
      <x:c r="L34" s="260"/>
      <x:c r="M34" s="260"/>
      <x:c r="N34" s="260"/>
    </x:row>
    <x:row r="35" spans="1:14" x14ac:dyDescent="0.25">
      <x:c r="A35" s="2">
        <x:v>24</x:v>
      </x:c>
      <x:c r="B35" s="2"/>
      <x:c r="C35" s="655"/>
      <x:c r="D35" s="265"/>
      <x:c r="E35" s="488"/>
      <x:c r="F35" s="265"/>
      <x:c r="G35" s="496"/>
      <x:c r="H35" s="654"/>
      <x:c r="J35" s="260"/>
      <x:c r="L35" s="260"/>
      <x:c r="M35" s="260"/>
      <x:c r="N35" s="260"/>
    </x:row>
    <x:row r="36" spans="1:14" ht="13.25" thickBot="1" x14ac:dyDescent="0.3">
      <x:c r="A36" s="229">
        <x:v>25</x:v>
      </x:c>
      <x:c r="B36" t="s">
        <x:v>26</x:v>
      </x:c>
      <x:c r="C36" s="656">
        <x:f>SUM(C12:C35)</x:f>
        <x:v>309849.33999999997</x:v>
      </x:c>
      <x:c r="G36" s="395">
        <x:f>+ROUND(H36/C36,2)</x:f>
        <x:v>-56.63</x:v>
      </x:c>
      <x:c r="H36" s="358">
        <x:f>SUM(H12:H34)</x:f>
        <x:v>-17547174.809999999</x:v>
      </x:c>
    </x:row>
    <x:row r="37" spans="1:14" ht="13.25" thickTop="1" x14ac:dyDescent="0.25">
      <x:c r="A37" s="2">
        <x:v>26</x:v>
      </x:c>
      <x:c r="G37" s="28"/>
    </x:row>
    <x:row r="38" spans="1:14" x14ac:dyDescent="0.25">
      <x:c r="A38" s="229">
        <x:v>27</x:v>
      </x:c>
      <x:c r="B38" s="172"/>
      <x:c r="G38" s="28"/>
    </x:row>
    <x:row r="39" spans="1:14" x14ac:dyDescent="0.25">
      <x:c r="A39" s="2">
        <x:v>28</x:v>
      </x:c>
      <x:c r="B39" s="2"/>
      <x:c r="C39" s="314"/>
      <x:c r="G39" s="28"/>
    </x:row>
    <x:row r="40" spans="1:14" x14ac:dyDescent="0.25">
      <x:c r="A40" s="229">
        <x:v>29</x:v>
      </x:c>
      <x:c r="G40" s="28"/>
    </x:row>
    <x:row r="41" spans="1:14" x14ac:dyDescent="0.25">
      <x:c r="A41" s="2">
        <x:v>30</x:v>
      </x:c>
      <x:c r="B41" t="s">
        <x:v>230</x:v>
      </x:c>
      <x:c r="C41" s="403" t="s">
        <x:v>482</x:v>
      </x:c>
      <x:c r="G41" s="28"/>
    </x:row>
    <x:row r="42" spans="1:14" x14ac:dyDescent="0.25">
      <x:c r="G42" s="28"/>
    </x:row>
    <x:row r="43" spans="1:14" x14ac:dyDescent="0.25">
      <x:c r="G43" s="28"/>
    </x:row>
    <x:row r="44" spans="1:14" x14ac:dyDescent="0.25">
      <x:c r="G44" s="28"/>
    </x:row>
    <x:row r="45" spans="1:14" x14ac:dyDescent="0.25">
      <x:c r="G45" s="28"/>
    </x:row>
    <x:row r="46" spans="1:14" x14ac:dyDescent="0.25">
      <x:c r="G46" s="28"/>
    </x:row>
    <x:row r="47" spans="1:14" x14ac:dyDescent="0.25">
      <x:c r="G47" s="28"/>
    </x:row>
    <x:row r="48" spans="1:14" x14ac:dyDescent="0.25">
      <x:c r="G48" s="28"/>
    </x:row>
  </x:sheetData>
  <x:phoneticPr fontId="23" type="noConversion"/>
  <x:hyperlinks>
    <x:hyperlink ref="C41" r:id="rId1" xr:uid="{3290734E-D8E0-47FF-B05A-B20C3F37ACD3}"/>
  </x:hyperlinks>
  <x:printOptions horizontalCentered="1"/>
  <x:pageMargins left="0.5" right="0.5" top="1.5" bottom="0.5" header="1" footer="0.5"/>
  <x:pageSetup scale="94" orientation="landscape" r:id="rId2"/>
  <x:headerFooter alignWithMargins="0">
    <x:oddHeader>&amp;RWP/II-B-9/&amp;A
Page &amp;P of &amp;N</x:oddHeader>
  </x:headerFooter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 codeName="Sheet16">
    <x:tabColor rgb="FF92D050"/>
    <x:pageSetUpPr fitToPage="1"/>
  </x:sheetPr>
  <x:dimension ref="A1:N158"/>
  <x:sheetViews>
    <x:sheetView zoomScaleNormal="100" workbookViewId="0">
      <x:pane xSplit="1" ySplit="9" topLeftCell="B10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7.44140625" customWidth="1"/>
    <x:col min="3" max="3" width="15.5546875" style="93" bestFit="1" customWidth="1"/>
    <x:col min="4" max="4" width="11.44140625" bestFit="1" customWidth="1"/>
    <x:col min="5" max="5" width="23.88671875" customWidth="1"/>
    <x:col min="6" max="6" width="17.44140625" customWidth="1"/>
    <x:col min="7" max="7" width="11.44140625" style="261" customWidth="1"/>
    <x:col min="8" max="8" width="19.44140625" bestFit="1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180"/>
      <x:c r="E1" s="180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180"/>
      <x:c r="E2" s="180"/>
    </x:row>
    <x:row r="3" spans="1:14" s="73" customFormat="1" x14ac:dyDescent="0.25">
      <x:c r="A3" s="180" t="s">
        <x:v>315</x:v>
      </x:c>
      <x:c r="B3" s="180"/>
      <x:c r="C3" s="180"/>
      <x:c r="D3" s="180"/>
      <x:c r="E3" s="180"/>
    </x:row>
    <x:row r="4" spans="1:14" s="73" customFormat="1" x14ac:dyDescent="0.25">
      <x:c r="A4" s="767" t="s">
        <x:v>524</x:v>
      </x:c>
      <x:c r="B4" s="180"/>
      <x:c r="C4" s="180"/>
      <x:c r="D4" s="180"/>
      <x:c r="E4" s="180"/>
    </x:row>
    <x:row r="5" spans="1:14" s="73" customFormat="1" x14ac:dyDescent="0.25">
      <x:c r="A5" s="180" t="s">
        <x:v>486</x:v>
      </x:c>
      <x:c r="B5" s="180"/>
      <x:c r="C5" s="180"/>
      <x:c r="D5" s="180"/>
      <x:c r="E5" s="180"/>
      <x:c r="H5" s="73" t="s">
        <x:v>464</x:v>
      </x:c>
    </x:row>
    <x:row r="7" spans="1:14" x14ac:dyDescent="0.25">
      <x:c r="A7"/>
      <x:c r="B7" s="95"/>
      <x:c r="C7"/>
      <x:c r="D7" s="2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ht="13.25" thickBot="1" x14ac:dyDescent="0.3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ht="13.25" thickTop="1" x14ac:dyDescent="0.25">
      <x:c r="A12" s="2">
        <x:v>1</x:v>
      </x:c>
      <x:c r="B12" s="683" t="s">
        <x:v>676</x:v>
      </x:c>
      <x:c r="C12" s="292">
        <x:v>125225.25</x:v>
      </x:c>
      <x:c r="D12" s="265">
        <x:v>45282.5</x:v>
      </x:c>
      <x:c r="E12" s="780" t="str">
        <x:f t="shared" ref="E12:E64" si="0">IF(D12=B12,"Invoice Date", "Midpoint of Benefit Period")</x:f>
        <x:v>Midpoint of Benefit Period</x:v>
      </x:c>
      <x:c r="F12" s="265">
        <x:v>45371</x:v>
      </x:c>
      <x:c r="G12" s="37">
        <x:f>D12-F12</x:f>
        <x:v>-88.5</x:v>
      </x:c>
      <x:c r="H12" s="648">
        <x:f>IF(ISERR(G12*C12),"",G12*C12)</x:f>
        <x:v>-11082434.625</x:v>
      </x:c>
      <x:c r="J12" s="260"/>
      <x:c r="L12" s="260"/>
      <x:c r="M12" s="260"/>
      <x:c r="N12" s="260"/>
    </x:row>
    <x:row r="13" spans="1:14" x14ac:dyDescent="0.25">
      <x:c r="A13" s="2">
        <x:v>2</x:v>
      </x:c>
      <x:c r="B13" s="683" t="s">
        <x:v>677</x:v>
      </x:c>
      <x:c r="C13" s="292">
        <x:v>44147.81</x:v>
      </x:c>
      <x:c r="D13" s="265">
        <x:v>45392</x:v>
      </x:c>
      <x:c r="E13" s="781" t="str">
        <x:f t="shared" si="0"/>
        <x:v>Midpoint of Benefit Period</x:v>
      </x:c>
      <x:c r="F13" s="265">
        <x:v>45433</x:v>
      </x:c>
      <x:c r="G13" s="37">
        <x:f>D13-F13</x:f>
        <x:v>-41</x:v>
      </x:c>
      <x:c r="H13" s="649">
        <x:f>IF(ISERR(G13*C13),"",G13*C13)</x:f>
        <x:v>-1810060.21</x:v>
      </x:c>
      <x:c r="J13" s="260"/>
      <x:c r="L13" s="260"/>
      <x:c r="M13" s="260"/>
      <x:c r="N13" s="260"/>
    </x:row>
    <x:row r="14" spans="1:14" x14ac:dyDescent="0.25">
      <x:c r="A14" s="2">
        <x:v>3</x:v>
      </x:c>
      <x:c r="B14" s="683" t="s">
        <x:v>678</x:v>
      </x:c>
      <x:c r="C14" s="292">
        <x:v>69397.320000000007</x:v>
      </x:c>
      <x:c r="D14" s="265">
        <x:v>45443</x:v>
      </x:c>
      <x:c r="E14" s="781" t="str">
        <x:f t="shared" si="0"/>
        <x:v>Midpoint of Benefit Period</x:v>
      </x:c>
      <x:c r="F14" s="265">
        <x:v>45547</x:v>
      </x:c>
      <x:c r="G14" s="37">
        <x:v>-8</x:v>
      </x:c>
      <x:c r="H14" s="649">
        <x:f>IF(ISERR(G14*C14),"",G14*C14)</x:f>
        <x:v>-555178.56000000006</x:v>
      </x:c>
      <x:c r="J14" s="260"/>
      <x:c r="L14" s="260"/>
      <x:c r="M14" s="260"/>
      <x:c r="N14" s="260"/>
    </x:row>
    <x:row r="15" spans="1:14" x14ac:dyDescent="0.25">
      <x:c r="A15" s="2">
        <x:v>4</x:v>
      </x:c>
      <x:c r="B15" s="683" t="s">
        <x:v>679</x:v>
      </x:c>
      <x:c r="C15" s="292">
        <x:v>97313.1</x:v>
      </x:c>
      <x:c r="D15" s="265">
        <x:v>45336</x:v>
      </x:c>
      <x:c r="E15" s="781" t="str">
        <x:f t="shared" si="0"/>
        <x:v>Midpoint of Benefit Period</x:v>
      </x:c>
      <x:c r="F15" s="265">
        <x:v>45450</x:v>
      </x:c>
      <x:c r="G15" s="37">
        <x:f>D15-F15</x:f>
        <x:v>-114</x:v>
      </x:c>
      <x:c r="H15" s="649">
        <x:f>IF(ISERR(G15*C15),"",G15*C15)</x:f>
        <x:v>-11093693.4</x:v>
      </x:c>
      <x:c r="J15" s="260"/>
      <x:c r="L15" s="260"/>
      <x:c r="M15" s="260"/>
      <x:c r="N15" s="260"/>
    </x:row>
    <x:row r="16" spans="1:14" x14ac:dyDescent="0.25">
      <x:c r="A16" s="2">
        <x:v>5</x:v>
      </x:c>
      <x:c r="B16" s="683" t="s">
        <x:v>680</x:v>
      </x:c>
      <x:c r="C16" s="292">
        <x:v>100199.63</x:v>
      </x:c>
      <x:c r="D16" s="265">
        <x:v>45480.5</x:v>
      </x:c>
      <x:c r="E16" s="781" t="str">
        <x:f t="shared" si="0"/>
        <x:v>Midpoint of Benefit Period</x:v>
      </x:c>
      <x:c r="F16" s="265">
        <x:v>45503</x:v>
      </x:c>
      <x:c r="G16" s="37">
        <x:f t="shared" ref="G16:G21" si="1">D16-F16</x:f>
        <x:v>-22.5</x:v>
      </x:c>
      <x:c r="H16" s="649">
        <x:f>IF(ISERR(G16*C16),"",G16*C16)</x:f>
        <x:v>-2254491.6750000003</x:v>
      </x:c>
      <x:c r="J16" s="260"/>
      <x:c r="L16" s="260"/>
      <x:c r="M16" s="260"/>
      <x:c r="N16" s="260"/>
    </x:row>
    <x:row r="17" spans="1:14" x14ac:dyDescent="0.25">
      <x:c r="A17" s="2">
        <x:v>6</x:v>
      </x:c>
      <x:c r="B17" s="683" t="s">
        <x:v>681</x:v>
      </x:c>
      <x:c r="C17" s="292">
        <x:v>36737.86</x:v>
      </x:c>
      <x:c r="D17" s="265">
        <x:v>45397.5</x:v>
      </x:c>
      <x:c r="E17" s="781" t="str">
        <x:f t="shared" si="0"/>
        <x:v>Midpoint of Benefit Period</x:v>
      </x:c>
      <x:c r="F17" s="265">
        <x:v>45469</x:v>
      </x:c>
      <x:c r="G17" s="37">
        <x:f t="shared" si="1"/>
        <x:v>-71.5</x:v>
      </x:c>
      <x:c r="H17" s="649">
        <x:f t="shared" ref="H17:H23" si="2">IF(ISERR(G17*C17),"",G17*C17)</x:f>
        <x:v>-2626756.9900000002</x:v>
      </x:c>
      <x:c r="J17" s="260"/>
      <x:c r="L17" s="260"/>
      <x:c r="M17" s="260"/>
      <x:c r="N17" s="260"/>
    </x:row>
    <x:row r="18" spans="1:14" x14ac:dyDescent="0.25">
      <x:c r="A18" s="2">
        <x:v>7</x:v>
      </x:c>
      <x:c r="B18" s="683" t="s">
        <x:v>682</x:v>
      </x:c>
      <x:c r="C18" s="292">
        <x:v>58003.29</x:v>
      </x:c>
      <x:c r="D18" s="265">
        <x:v>45415.5</x:v>
      </x:c>
      <x:c r="E18" s="781" t="str">
        <x:f t="shared" si="0"/>
        <x:v>Midpoint of Benefit Period</x:v>
      </x:c>
      <x:c r="F18" s="265">
        <x:v>45453</x:v>
      </x:c>
      <x:c r="G18" s="37">
        <x:f t="shared" si="1"/>
        <x:v>-37.5</x:v>
      </x:c>
      <x:c r="H18" s="649">
        <x:f t="shared" si="2"/>
        <x:v>-2175123.375</x:v>
      </x:c>
      <x:c r="J18" s="260"/>
      <x:c r="L18" s="260"/>
      <x:c r="M18" s="260"/>
      <x:c r="N18" s="260"/>
    </x:row>
    <x:row r="19" spans="1:14" x14ac:dyDescent="0.25">
      <x:c r="A19" s="2">
        <x:v>8</x:v>
      </x:c>
      <x:c r="B19" s="683" t="s">
        <x:v>683</x:v>
      </x:c>
      <x:c r="C19" s="292">
        <x:v>32706.59</x:v>
      </x:c>
      <x:c r="D19" s="265">
        <x:v>45120</x:v>
      </x:c>
      <x:c r="E19" s="781" t="str">
        <x:f t="shared" si="0"/>
        <x:v>Midpoint of Benefit Period</x:v>
      </x:c>
      <x:c r="F19" s="265">
        <x:v>45210</x:v>
      </x:c>
      <x:c r="G19" s="37">
        <x:f t="shared" si="1"/>
        <x:v>-90</x:v>
      </x:c>
      <x:c r="H19" s="649">
        <x:f t="shared" si="2"/>
        <x:v>-2943593.1</x:v>
      </x:c>
      <x:c r="J19" s="260"/>
      <x:c r="L19" s="260"/>
      <x:c r="M19" s="260"/>
      <x:c r="N19" s="260"/>
    </x:row>
    <x:row r="20" spans="1:14" x14ac:dyDescent="0.25">
      <x:c r="A20" s="2">
        <x:v>9</x:v>
      </x:c>
      <x:c r="B20" s="683" t="s">
        <x:v>684</x:v>
      </x:c>
      <x:c r="C20" s="292">
        <x:v>26378.23</x:v>
      </x:c>
      <x:c r="D20" s="265">
        <x:v>45140</x:v>
      </x:c>
      <x:c r="E20" s="781" t="str">
        <x:f t="shared" si="0"/>
        <x:v>Midpoint of Benefit Period</x:v>
      </x:c>
      <x:c r="F20" s="265">
        <x:v>45209</x:v>
      </x:c>
      <x:c r="G20" s="37">
        <x:f t="shared" si="1"/>
        <x:v>-69</x:v>
      </x:c>
      <x:c r="H20" s="649">
        <x:f t="shared" si="2"/>
        <x:v>-1820097.8699999999</x:v>
      </x:c>
      <x:c r="J20" s="260"/>
      <x:c r="L20" s="260"/>
      <x:c r="M20" s="260"/>
      <x:c r="N20" s="260"/>
    </x:row>
    <x:row r="21" spans="1:14" x14ac:dyDescent="0.25">
      <x:c r="A21" s="2">
        <x:v>10</x:v>
      </x:c>
      <x:c r="B21" s="683" t="s">
        <x:v>685</x:v>
      </x:c>
      <x:c r="C21" s="292">
        <x:v>27426.6</x:v>
      </x:c>
      <x:c r="D21" s="265">
        <x:v>45427</x:v>
      </x:c>
      <x:c r="E21" s="781" t="str">
        <x:f t="shared" si="0"/>
        <x:v>Midpoint of Benefit Period</x:v>
      </x:c>
      <x:c r="F21" s="265">
        <x:v>45499</x:v>
      </x:c>
      <x:c r="G21" s="37">
        <x:f t="shared" si="1"/>
        <x:v>-72</x:v>
      </x:c>
      <x:c r="H21" s="649">
        <x:f t="shared" si="2"/>
        <x:v>-1974715.2</x:v>
      </x:c>
      <x:c r="J21" s="260"/>
      <x:c r="L21" s="260"/>
      <x:c r="M21" s="260"/>
      <x:c r="N21" s="260"/>
    </x:row>
    <x:row r="22" spans="1:14" s="228" customFormat="1" x14ac:dyDescent="0.25">
      <x:c r="A22" s="2">
        <x:v>11</x:v>
      </x:c>
      <x:c r="B22" s="683" t="s">
        <x:v>686</x:v>
      </x:c>
      <x:c r="C22" s="292">
        <x:v>33498.28</x:v>
      </x:c>
      <x:c r="D22" s="265">
        <x:v>45436.5</x:v>
      </x:c>
      <x:c r="E22" s="781" t="str">
        <x:f t="shared" si="0"/>
        <x:v>Midpoint of Benefit Period</x:v>
      </x:c>
      <x:c r="F22" s="265">
        <x:v>45511</x:v>
      </x:c>
      <x:c r="G22" s="37">
        <x:f t="shared" ref="G22:G27" si="3">D22-F22</x:f>
        <x:v>-74.5</x:v>
      </x:c>
      <x:c r="H22" s="649">
        <x:f t="shared" si="2"/>
        <x:v>-2495621.86</x:v>
      </x:c>
      <x:c r="I22"/>
      <x:c r="J22" s="396"/>
      <x:c r="L22" s="396"/>
      <x:c r="M22" s="396"/>
      <x:c r="N22" s="396"/>
    </x:row>
    <x:row r="23" spans="1:14" x14ac:dyDescent="0.25">
      <x:c r="A23" s="2">
        <x:v>12</x:v>
      </x:c>
      <x:c r="B23" s="683" t="s">
        <x:v>687</x:v>
      </x:c>
      <x:c r="C23" s="292">
        <x:v>31075.78</x:v>
      </x:c>
      <x:c r="D23" s="265">
        <x:v>45410</x:v>
      </x:c>
      <x:c r="E23" s="781" t="str">
        <x:f t="shared" si="0"/>
        <x:v>Midpoint of Benefit Period</x:v>
      </x:c>
      <x:c r="F23" s="265">
        <x:v>45444</x:v>
      </x:c>
      <x:c r="G23" s="37">
        <x:f t="shared" si="3"/>
        <x:v>-34</x:v>
      </x:c>
      <x:c r="H23" s="649">
        <x:f t="shared" si="2"/>
        <x:v>-1056576.52</x:v>
      </x:c>
      <x:c r="J23" s="260"/>
      <x:c r="L23" s="260"/>
      <x:c r="M23" s="260"/>
      <x:c r="N23" s="260"/>
    </x:row>
    <x:row r="24" spans="1:14" x14ac:dyDescent="0.25">
      <x:c r="A24" s="2">
        <x:v>13</x:v>
      </x:c>
      <x:c r="B24" s="683" t="s">
        <x:v>688</x:v>
      </x:c>
      <x:c r="C24" s="292">
        <x:v>54849.62</x:v>
      </x:c>
      <x:c r="D24" s="265">
        <x:v>45184.5</x:v>
      </x:c>
      <x:c r="E24" s="781" t="str">
        <x:f t="shared" si="0"/>
        <x:v>Midpoint of Benefit Period</x:v>
      </x:c>
      <x:c r="F24" s="265">
        <x:v>45224</x:v>
      </x:c>
      <x:c r="G24" s="37">
        <x:f t="shared" si="3"/>
        <x:v>-39.5</x:v>
      </x:c>
      <x:c r="H24" s="649">
        <x:f>IF(ISERR(G24*C24),"",G24*C24)</x:f>
        <x:v>-2166559.9900000002</x:v>
      </x:c>
      <x:c r="J24" s="260"/>
      <x:c r="L24" s="260"/>
      <x:c r="M24" s="260"/>
      <x:c r="N24" s="260"/>
    </x:row>
    <x:row r="25" spans="1:14" x14ac:dyDescent="0.25">
      <x:c r="A25" s="2">
        <x:v>14</x:v>
      </x:c>
      <x:c r="B25" s="683" t="s">
        <x:v>689</x:v>
      </x:c>
      <x:c r="C25" s="292">
        <x:v>59026.42</x:v>
      </x:c>
      <x:c r="D25" s="265">
        <x:v>45436</x:v>
      </x:c>
      <x:c r="E25" s="781" t="str">
        <x:f t="shared" si="0"/>
        <x:v>Midpoint of Benefit Period</x:v>
      </x:c>
      <x:c r="F25" s="265">
        <x:v>45524</x:v>
      </x:c>
      <x:c r="G25" s="37">
        <x:f t="shared" si="3"/>
        <x:v>-88</x:v>
      </x:c>
      <x:c r="H25" s="649">
        <x:f>IF(ISERR(G25*C25),"",G25*C25)</x:f>
        <x:v>-5194324.96</x:v>
      </x:c>
      <x:c r="J25" s="260"/>
      <x:c r="L25" s="260"/>
      <x:c r="M25" s="260"/>
      <x:c r="N25" s="260"/>
    </x:row>
    <x:row r="26" spans="1:14" x14ac:dyDescent="0.25">
      <x:c r="A26" s="2">
        <x:v>15</x:v>
      </x:c>
      <x:c r="B26" s="683" t="s">
        <x:v>690</x:v>
      </x:c>
      <x:c r="C26" s="292">
        <x:v>69403.520000000004</x:v>
      </x:c>
      <x:c r="D26" s="265">
        <x:v>45435</x:v>
      </x:c>
      <x:c r="E26" s="781" t="str">
        <x:f t="shared" si="0"/>
        <x:v>Midpoint of Benefit Period</x:v>
      </x:c>
      <x:c r="F26" s="265">
        <x:v>45540</x:v>
      </x:c>
      <x:c r="G26" s="37">
        <x:f t="shared" si="3"/>
        <x:v>-105</x:v>
      </x:c>
      <x:c r="H26" s="649">
        <x:f>IF(ISERR(G26*C26),"",G26*C26)</x:f>
        <x:v>-7287369.6000000006</x:v>
      </x:c>
      <x:c r="J26" s="260"/>
      <x:c r="L26" s="260"/>
      <x:c r="M26" s="260"/>
      <x:c r="N26" s="260"/>
    </x:row>
    <x:row r="27" spans="1:14" x14ac:dyDescent="0.25">
      <x:c r="A27" s="2">
        <x:v>16</x:v>
      </x:c>
      <x:c r="B27" s="683" t="s">
        <x:v>691</x:v>
      </x:c>
      <x:c r="C27" s="292">
        <x:v>36031.42</x:v>
      </x:c>
      <x:c r="D27" s="265">
        <x:v>45186.5</x:v>
      </x:c>
      <x:c r="E27" s="781" t="str">
        <x:f t="shared" si="0"/>
        <x:v>Midpoint of Benefit Period</x:v>
      </x:c>
      <x:c r="F27" s="265">
        <x:v>45308</x:v>
      </x:c>
      <x:c r="G27" s="37">
        <x:f t="shared" si="3"/>
        <x:v>-121.5</x:v>
      </x:c>
      <x:c r="H27" s="649">
        <x:f>IF(ISERR(G27*C27),"",G27*C27)</x:f>
        <x:v>-4377817.5299999993</x:v>
      </x:c>
      <x:c r="J27" s="260"/>
      <x:c r="L27" s="260"/>
      <x:c r="M27" s="260"/>
      <x:c r="N27" s="260"/>
    </x:row>
    <x:row r="28" spans="1:14" x14ac:dyDescent="0.25">
      <x:c r="A28" s="2">
        <x:v>17</x:v>
      </x:c>
      <x:c r="B28" s="683" t="s">
        <x:v>692</x:v>
      </x:c>
      <x:c r="C28" s="292">
        <x:v>25810</x:v>
      </x:c>
      <x:c r="D28" s="265">
        <x:v>45445.5</x:v>
      </x:c>
      <x:c r="E28" s="782" t="str">
        <x:f t="shared" si="0"/>
        <x:v>Midpoint of Benefit Period</x:v>
      </x:c>
      <x:c r="F28" s="265">
        <x:v>45523</x:v>
      </x:c>
      <x:c r="G28" s="37">
        <x:f t="shared" ref="G28:G38" si="4">D28-F28</x:f>
        <x:v>-77.5</x:v>
      </x:c>
      <x:c r="H28" s="649">
        <x:f t="shared" ref="H28:H38" si="5">IF(ISERR(G28*C28),"",G28*C28)</x:f>
        <x:v>-2000275</x:v>
      </x:c>
      <x:c r="J28" s="260"/>
      <x:c r="L28" s="260"/>
      <x:c r="M28" s="260"/>
      <x:c r="N28" s="260"/>
    </x:row>
    <x:row r="29" spans="1:14" x14ac:dyDescent="0.25">
      <x:c r="A29" s="2">
        <x:v>18</x:v>
      </x:c>
      <x:c r="B29" s="683" t="s">
        <x:v>693</x:v>
      </x:c>
      <x:c r="C29" s="292">
        <x:v>85405.27</x:v>
      </x:c>
      <x:c r="D29" s="265">
        <x:v>45300.5</x:v>
      </x:c>
      <x:c r="E29" s="781" t="str">
        <x:f t="shared" si="0"/>
        <x:v>Midpoint of Benefit Period</x:v>
      </x:c>
      <x:c r="F29" s="265">
        <x:v>45342</x:v>
      </x:c>
      <x:c r="G29" s="37">
        <x:f t="shared" si="4"/>
        <x:v>-41.5</x:v>
      </x:c>
      <x:c r="H29" s="649">
        <x:f t="shared" si="5"/>
        <x:v>-3544318.7050000001</x:v>
      </x:c>
      <x:c r="J29" s="260"/>
      <x:c r="L29" s="260"/>
      <x:c r="M29" s="260"/>
      <x:c r="N29" s="260"/>
    </x:row>
    <x:row r="30" spans="1:14" x14ac:dyDescent="0.25">
      <x:c r="A30" s="2">
        <x:v>19</x:v>
      </x:c>
      <x:c r="B30" s="683" t="s">
        <x:v>694</x:v>
      </x:c>
      <x:c r="C30" s="292">
        <x:v>47916</x:v>
      </x:c>
      <x:c r="D30" s="265">
        <x:v>45263.5</x:v>
      </x:c>
      <x:c r="E30" s="781" t="str">
        <x:f t="shared" si="0"/>
        <x:v>Midpoint of Benefit Period</x:v>
      </x:c>
      <x:c r="F30" s="265">
        <x:v>45322</x:v>
      </x:c>
      <x:c r="G30" s="37">
        <x:f t="shared" si="4"/>
        <x:v>-58.5</x:v>
      </x:c>
      <x:c r="H30" s="649">
        <x:f t="shared" si="5"/>
        <x:v>-2803086</x:v>
      </x:c>
      <x:c r="J30" s="260"/>
      <x:c r="L30" s="260"/>
      <x:c r="M30" s="260"/>
      <x:c r="N30" s="260"/>
    </x:row>
    <x:row r="31" spans="1:14" x14ac:dyDescent="0.25">
      <x:c r="A31" s="2">
        <x:v>20</x:v>
      </x:c>
      <x:c r="B31" s="683" t="s">
        <x:v>695</x:v>
      </x:c>
      <x:c r="C31" s="292">
        <x:v>58995</x:v>
      </x:c>
      <x:c r="D31" s="265">
        <x:v>45259</x:v>
      </x:c>
      <x:c r="E31" s="781" t="str">
        <x:f t="shared" si="0"/>
        <x:v>Midpoint of Benefit Period</x:v>
      </x:c>
      <x:c r="F31" s="265">
        <x:v>45293</x:v>
      </x:c>
      <x:c r="G31" s="37">
        <x:f t="shared" si="4"/>
        <x:v>-34</x:v>
      </x:c>
      <x:c r="H31" s="649">
        <x:f t="shared" si="5"/>
        <x:v>-2005830</x:v>
      </x:c>
      <x:c r="J31" s="260"/>
      <x:c r="L31" s="260"/>
      <x:c r="M31" s="260"/>
      <x:c r="N31" s="260"/>
    </x:row>
    <x:row r="32" spans="1:14" x14ac:dyDescent="0.25">
      <x:c r="A32" s="2">
        <x:v>21</x:v>
      </x:c>
      <x:c r="B32" s="683" t="s">
        <x:v>696</x:v>
      </x:c>
      <x:c r="C32" s="292">
        <x:v>84767.87</x:v>
      </x:c>
      <x:c r="D32" s="265">
        <x:v>45448.5</x:v>
      </x:c>
      <x:c r="E32" s="781" t="str">
        <x:f t="shared" si="0"/>
        <x:v>Midpoint of Benefit Period</x:v>
      </x:c>
      <x:c r="F32" s="265">
        <x:v>45508</x:v>
      </x:c>
      <x:c r="G32" s="37">
        <x:f t="shared" si="4"/>
        <x:v>-59.5</x:v>
      </x:c>
      <x:c r="H32" s="649">
        <x:f t="shared" si="5"/>
        <x:v>-5043688.2649999997</x:v>
      </x:c>
      <x:c r="J32" s="260"/>
      <x:c r="L32" s="260"/>
      <x:c r="M32" s="260"/>
      <x:c r="N32" s="260"/>
    </x:row>
    <x:row r="33" spans="1:14" x14ac:dyDescent="0.25">
      <x:c r="A33" s="2">
        <x:v>22</x:v>
      </x:c>
      <x:c r="B33" s="683" t="s">
        <x:v>697</x:v>
      </x:c>
      <x:c r="C33" s="292">
        <x:v>90905.54</x:v>
      </x:c>
      <x:c r="D33" s="265">
        <x:v>45458.5</x:v>
      </x:c>
      <x:c r="E33" s="781" t="str">
        <x:f t="shared" si="0"/>
        <x:v>Midpoint of Benefit Period</x:v>
      </x:c>
      <x:c r="F33" s="265">
        <x:v>45583</x:v>
      </x:c>
      <x:c r="G33" s="37">
        <x:f t="shared" si="4"/>
        <x:v>-124.5</x:v>
      </x:c>
      <x:c r="H33" s="649">
        <x:f t="shared" si="5"/>
        <x:v>-11317739.729999999</x:v>
      </x:c>
      <x:c r="J33" s="260"/>
      <x:c r="L33" s="260"/>
      <x:c r="M33" s="260"/>
      <x:c r="N33" s="260"/>
    </x:row>
    <x:row r="34" spans="1:14" x14ac:dyDescent="0.25">
      <x:c r="A34" s="2">
        <x:v>23</x:v>
      </x:c>
      <x:c r="B34" s="683" t="s">
        <x:v>698</x:v>
      </x:c>
      <x:c r="C34" s="292">
        <x:v>40084</x:v>
      </x:c>
      <x:c r="D34" s="265">
        <x:v>45385</x:v>
      </x:c>
      <x:c r="E34" s="781" t="str">
        <x:f t="shared" si="0"/>
        <x:v>Midpoint of Benefit Period</x:v>
      </x:c>
      <x:c r="F34" s="265">
        <x:v>45418</x:v>
      </x:c>
      <x:c r="G34" s="37">
        <x:f t="shared" si="4"/>
        <x:v>-33</x:v>
      </x:c>
      <x:c r="H34" s="649">
        <x:f t="shared" si="5"/>
        <x:v>-1322772</x:v>
      </x:c>
      <x:c r="J34" s="260"/>
      <x:c r="L34" s="260"/>
      <x:c r="M34" s="260"/>
      <x:c r="N34" s="260"/>
    </x:row>
    <x:row r="35" spans="1:14" x14ac:dyDescent="0.25">
      <x:c r="A35" s="2">
        <x:v>24</x:v>
      </x:c>
      <x:c r="B35" s="683" t="s">
        <x:v>699</x:v>
      </x:c>
      <x:c r="C35" s="292">
        <x:v>321122.03000000003</x:v>
      </x:c>
      <x:c r="D35" s="265">
        <x:v>45271.5</x:v>
      </x:c>
      <x:c r="E35" s="781" t="str">
        <x:f t="shared" si="0"/>
        <x:v>Midpoint of Benefit Period</x:v>
      </x:c>
      <x:c r="F35" s="265">
        <x:v>45306</x:v>
      </x:c>
      <x:c r="G35" s="37">
        <x:f t="shared" si="4"/>
        <x:v>-34.5</x:v>
      </x:c>
      <x:c r="H35" s="649">
        <x:f t="shared" si="5"/>
        <x:v>-11078710.035</x:v>
      </x:c>
      <x:c r="J35" s="260"/>
      <x:c r="L35" s="260"/>
      <x:c r="M35" s="260"/>
      <x:c r="N35" s="260"/>
    </x:row>
    <x:row r="36" spans="1:14" x14ac:dyDescent="0.25">
      <x:c r="A36" s="2">
        <x:v>25</x:v>
      </x:c>
      <x:c r="B36" s="683" t="s">
        <x:v>700</x:v>
      </x:c>
      <x:c r="C36" s="292">
        <x:v>26702.400000000001</x:v>
      </x:c>
      <x:c r="D36" s="265">
        <x:v>45256</x:v>
      </x:c>
      <x:c r="E36" s="781" t="str">
        <x:f t="shared" si="0"/>
        <x:v>Midpoint of Benefit Period</x:v>
      </x:c>
      <x:c r="F36" s="265">
        <x:v>45557</x:v>
      </x:c>
      <x:c r="G36" s="37">
        <x:f t="shared" si="4"/>
        <x:v>-301</x:v>
      </x:c>
      <x:c r="H36" s="649">
        <x:f t="shared" si="5"/>
        <x:v>-8037422.4000000004</x:v>
      </x:c>
      <x:c r="J36" s="260"/>
      <x:c r="L36" s="260"/>
      <x:c r="M36" s="260"/>
      <x:c r="N36" s="260"/>
    </x:row>
    <x:row r="37" spans="1:14" x14ac:dyDescent="0.25">
      <x:c r="A37" s="2">
        <x:v>26</x:v>
      </x:c>
      <x:c r="B37" s="683" t="s">
        <x:v>701</x:v>
      </x:c>
      <x:c r="C37" s="292">
        <x:v>249388.04</x:v>
      </x:c>
      <x:c r="D37" s="265">
        <x:v>45446</x:v>
      </x:c>
      <x:c r="E37" s="781" t="str">
        <x:f t="shared" si="0"/>
        <x:v>Midpoint of Benefit Period</x:v>
      </x:c>
      <x:c r="F37" s="265">
        <x:v>45522</x:v>
      </x:c>
      <x:c r="G37" s="37">
        <x:f t="shared" si="4"/>
        <x:v>-76</x:v>
      </x:c>
      <x:c r="H37" s="649">
        <x:f t="shared" si="5"/>
        <x:v>-18953491.039999999</x:v>
      </x:c>
      <x:c r="J37" s="260"/>
      <x:c r="L37" s="260"/>
      <x:c r="M37" s="260"/>
      <x:c r="N37" s="260"/>
    </x:row>
    <x:row r="38" spans="1:14" x14ac:dyDescent="0.25">
      <x:c r="A38" s="2">
        <x:v>27</x:v>
      </x:c>
      <x:c r="B38" s="683" t="s">
        <x:v>702</x:v>
      </x:c>
      <x:c r="C38" s="292">
        <x:v>180715.26</x:v>
      </x:c>
      <x:c r="D38" s="265">
        <x:v>45434</x:v>
      </x:c>
      <x:c r="E38" s="781" t="str">
        <x:f t="shared" si="0"/>
        <x:v>Midpoint of Benefit Period</x:v>
      </x:c>
      <x:c r="F38" s="265">
        <x:v>45473</x:v>
      </x:c>
      <x:c r="G38" s="37">
        <x:f t="shared" si="4"/>
        <x:v>-39</x:v>
      </x:c>
      <x:c r="H38" s="649">
        <x:f t="shared" si="5"/>
        <x:v>-7047895.1400000006</x:v>
      </x:c>
      <x:c r="J38" s="260"/>
      <x:c r="L38" s="260"/>
      <x:c r="M38" s="260"/>
      <x:c r="N38" s="260"/>
    </x:row>
    <x:row r="39" spans="1:14" x14ac:dyDescent="0.25">
      <x:c r="A39" s="2">
        <x:v>28</x:v>
      </x:c>
      <x:c r="B39" s="683" t="s">
        <x:v>703</x:v>
      </x:c>
      <x:c r="C39" s="292">
        <x:v>64987.15</x:v>
      </x:c>
      <x:c r="D39" s="265">
        <x:v>45397.5</x:v>
      </x:c>
      <x:c r="E39" s="781" t="str">
        <x:f t="shared" si="0"/>
        <x:v>Midpoint of Benefit Period</x:v>
      </x:c>
      <x:c r="F39" s="265">
        <x:v>45455</x:v>
      </x:c>
      <x:c r="G39" s="37">
        <x:f>D39-F39</x:f>
        <x:v>-57.5</x:v>
      </x:c>
      <x:c r="H39" s="649">
        <x:f>IF(ISERR(G39*C39),"",G39*C39)</x:f>
        <x:v>-3736761.125</x:v>
      </x:c>
      <x:c r="J39" s="260"/>
      <x:c r="L39" s="260"/>
      <x:c r="M39" s="260"/>
      <x:c r="N39" s="260"/>
    </x:row>
    <x:row r="40" spans="1:14" x14ac:dyDescent="0.25">
      <x:c r="A40" s="2">
        <x:v>29</x:v>
      </x:c>
      <x:c r="B40" s="683" t="s">
        <x:v>704</x:v>
      </x:c>
      <x:c r="C40" s="292">
        <x:v>32105.99</x:v>
      </x:c>
      <x:c r="D40" s="265">
        <x:v>45520</x:v>
      </x:c>
      <x:c r="E40" s="781" t="str">
        <x:f t="shared" si="0"/>
        <x:v>Midpoint of Benefit Period</x:v>
      </x:c>
      <x:c r="F40" s="265">
        <x:v>45584</x:v>
      </x:c>
      <x:c r="G40" s="37">
        <x:f>D40-F40</x:f>
        <x:v>-64</x:v>
      </x:c>
      <x:c r="H40" s="649">
        <x:f>IF(ISERR(G40*C40),"",G40*C40)</x:f>
        <x:v>-2054783.36</x:v>
      </x:c>
      <x:c r="J40" s="260"/>
      <x:c r="L40" s="260"/>
      <x:c r="M40" s="260"/>
      <x:c r="N40" s="260"/>
    </x:row>
    <x:row r="41" spans="1:14" x14ac:dyDescent="0.25">
      <x:c r="A41" s="2">
        <x:v>30</x:v>
      </x:c>
      <x:c r="B41" s="683" t="s">
        <x:v>705</x:v>
      </x:c>
      <x:c r="C41" s="292">
        <x:v>270012</x:v>
      </x:c>
      <x:c r="D41" s="265">
        <x:v>45490</x:v>
      </x:c>
      <x:c r="E41" s="781" t="str">
        <x:f t="shared" si="0"/>
        <x:v>Midpoint of Benefit Period</x:v>
      </x:c>
      <x:c r="F41" s="265">
        <x:v>45574</x:v>
      </x:c>
      <x:c r="G41" s="37">
        <x:f>D41-F41</x:f>
        <x:v>-84</x:v>
      </x:c>
      <x:c r="H41" s="649">
        <x:f>IF(ISERR(G41*C41),"",G41*C41)</x:f>
        <x:v>-22681008</x:v>
      </x:c>
      <x:c r="J41" s="260"/>
      <x:c r="L41" s="260"/>
      <x:c r="M41" s="260"/>
      <x:c r="N41" s="260"/>
    </x:row>
    <x:row r="42" spans="1:14" x14ac:dyDescent="0.25">
      <x:c r="A42" s="2">
        <x:v>31</x:v>
      </x:c>
      <x:c r="B42" s="778" t="s">
        <x:v>706</x:v>
      </x:c>
      <x:c r="C42" s="779">
        <x:v>0</x:v>
      </x:c>
      <x:c r="D42" s="784">
        <x:v>0</x:v>
      </x:c>
      <x:c r="E42" s="783" t="str">
        <x:f t="shared" si="0"/>
        <x:v>Midpoint of Benefit Period</x:v>
      </x:c>
      <x:c r="F42" s="784"/>
      <x:c r="G42" s="785">
        <x:f>D42-F42</x:f>
        <x:v>0</x:v>
      </x:c>
      <x:c r="H42" s="786">
        <x:f>IF(ISERR(G42*C42),"",G42*C42)</x:f>
        <x:v>0</x:v>
      </x:c>
      <x:c r="J42" s="260"/>
      <x:c r="L42" s="260"/>
      <x:c r="M42" s="260"/>
      <x:c r="N42" s="260"/>
    </x:row>
    <x:row r="43" spans="1:14" x14ac:dyDescent="0.25">
      <x:c r="A43" s="2">
        <x:v>32</x:v>
      </x:c>
      <x:c r="B43" s="683" t="s">
        <x:v>707</x:v>
      </x:c>
      <x:c r="C43" s="292">
        <x:v>62350</x:v>
      </x:c>
      <x:c r="D43" s="265">
        <x:v>45448.5</x:v>
      </x:c>
      <x:c r="E43" s="781" t="str">
        <x:f t="shared" si="0"/>
        <x:v>Midpoint of Benefit Period</x:v>
      </x:c>
      <x:c r="F43" s="265">
        <x:v>45548</x:v>
      </x:c>
      <x:c r="G43" s="496">
        <x:f>D43-F43</x:f>
        <x:v>-99.5</x:v>
      </x:c>
      <x:c r="H43" s="653">
        <x:f>IF(ISERR(G43*C43),"",G43*C43)</x:f>
        <x:v>-6203825</x:v>
      </x:c>
      <x:c r="J43" s="260"/>
      <x:c r="L43" s="260"/>
      <x:c r="M43" s="260"/>
      <x:c r="N43" s="260"/>
    </x:row>
    <x:row r="44" spans="1:14" x14ac:dyDescent="0.25">
      <x:c r="A44" s="2">
        <x:f>A43+1</x:f>
        <x:v>33</x:v>
      </x:c>
      <x:c r="B44" s="683" t="s">
        <x:v>708</x:v>
      </x:c>
      <x:c r="C44" s="292">
        <x:v>148426.82999999999</x:v>
      </x:c>
      <x:c r="D44" s="265">
        <x:v>45307</x:v>
      </x:c>
      <x:c r="E44" s="781" t="str">
        <x:f t="shared" si="0"/>
        <x:v>Midpoint of Benefit Period</x:v>
      </x:c>
      <x:c r="F44" s="265">
        <x:v>45352</x:v>
      </x:c>
      <x:c r="G44" s="496">
        <x:f t="shared" ref="G44:G57" si="6">D44-F44</x:f>
        <x:v>-45</x:v>
      </x:c>
      <x:c r="H44" s="653">
        <x:f t="shared" ref="H44:H57" si="7">IF(ISERR(G44*C44),"",G44*C44)</x:f>
        <x:v>-6679207.3499999996</x:v>
      </x:c>
      <x:c r="J44" s="260"/>
      <x:c r="L44" s="260"/>
      <x:c r="M44" s="260"/>
      <x:c r="N44" s="260"/>
    </x:row>
    <x:row r="45" spans="1:14" x14ac:dyDescent="0.25">
      <x:c r="A45" s="2">
        <x:f t="shared" ref="A45:A106" si="8">A44+1</x:f>
        <x:v>34</x:v>
      </x:c>
      <x:c r="B45" s="683" t="s">
        <x:v>709</x:v>
      </x:c>
      <x:c r="C45" s="292">
        <x:v>91835</x:v>
      </x:c>
      <x:c r="D45" s="265">
        <x:v>45481.5</x:v>
      </x:c>
      <x:c r="E45" s="781" t="str">
        <x:f t="shared" si="0"/>
        <x:v>Midpoint of Benefit Period</x:v>
      </x:c>
      <x:c r="F45" s="265">
        <x:v>45518</x:v>
      </x:c>
      <x:c r="G45" s="496">
        <x:f t="shared" si="6"/>
        <x:v>-36.5</x:v>
      </x:c>
      <x:c r="H45" s="653">
        <x:f t="shared" si="7"/>
        <x:v>-3351977.5</x:v>
      </x:c>
      <x:c r="J45" s="260"/>
      <x:c r="L45" s="260"/>
      <x:c r="M45" s="260"/>
      <x:c r="N45" s="260"/>
    </x:row>
    <x:row r="46" spans="1:14" x14ac:dyDescent="0.25">
      <x:c r="A46" s="2">
        <x:f t="shared" si="8"/>
        <x:v>35</x:v>
      </x:c>
      <x:c r="B46" s="683" t="s">
        <x:v>710</x:v>
      </x:c>
      <x:c r="C46" s="292">
        <x:v>75110</x:v>
      </x:c>
      <x:c r="D46" s="265">
        <x:v>45266</x:v>
      </x:c>
      <x:c r="E46" s="781" t="str">
        <x:f t="shared" si="0"/>
        <x:v>Midpoint of Benefit Period</x:v>
      </x:c>
      <x:c r="F46" s="265">
        <x:v>45299</x:v>
      </x:c>
      <x:c r="G46" s="496">
        <x:f t="shared" si="6"/>
        <x:v>-33</x:v>
      </x:c>
      <x:c r="H46" s="653">
        <x:f t="shared" si="7"/>
        <x:v>-2478630</x:v>
      </x:c>
      <x:c r="J46" s="260"/>
      <x:c r="L46" s="260"/>
      <x:c r="M46" s="260"/>
      <x:c r="N46" s="260"/>
    </x:row>
    <x:row r="47" spans="1:14" x14ac:dyDescent="0.25">
      <x:c r="A47" s="2">
        <x:f t="shared" si="8"/>
        <x:v>36</x:v>
      </x:c>
      <x:c r="B47" s="683" t="s">
        <x:v>711</x:v>
      </x:c>
      <x:c r="C47" s="292">
        <x:v>120637.87</x:v>
      </x:c>
      <x:c r="D47" s="265">
        <x:v>45154</x:v>
      </x:c>
      <x:c r="E47" s="781" t="str">
        <x:f t="shared" si="0"/>
        <x:v>Midpoint of Benefit Period</x:v>
      </x:c>
      <x:c r="F47" s="265">
        <x:v>45265</x:v>
      </x:c>
      <x:c r="G47" s="496">
        <x:f t="shared" si="6"/>
        <x:v>-111</x:v>
      </x:c>
      <x:c r="H47" s="653">
        <x:f t="shared" si="7"/>
        <x:v>-13390803.57</x:v>
      </x:c>
      <x:c r="J47" s="260"/>
      <x:c r="L47" s="260"/>
      <x:c r="M47" s="260"/>
      <x:c r="N47" s="260"/>
    </x:row>
    <x:row r="48" spans="1:14" x14ac:dyDescent="0.25">
      <x:c r="A48" s="2">
        <x:f t="shared" si="8"/>
        <x:v>37</x:v>
      </x:c>
      <x:c r="B48" s="683" t="s">
        <x:v>712</x:v>
      </x:c>
      <x:c r="C48" s="292">
        <x:v>168750</x:v>
      </x:c>
      <x:c r="D48" s="265">
        <x:v>45336</x:v>
      </x:c>
      <x:c r="E48" s="781" t="str">
        <x:f t="shared" si="0"/>
        <x:v>Midpoint of Benefit Period</x:v>
      </x:c>
      <x:c r="F48" s="265">
        <x:v>45371</x:v>
      </x:c>
      <x:c r="G48" s="496">
        <x:f t="shared" si="6"/>
        <x:v>-35</x:v>
      </x:c>
      <x:c r="H48" s="653">
        <x:f t="shared" si="7"/>
        <x:v>-5906250</x:v>
      </x:c>
      <x:c r="J48" s="260"/>
      <x:c r="L48" s="260"/>
      <x:c r="M48" s="260"/>
      <x:c r="N48" s="260"/>
    </x:row>
    <x:row r="49" spans="1:14" x14ac:dyDescent="0.25">
      <x:c r="A49" s="2">
        <x:f t="shared" si="8"/>
        <x:v>38</x:v>
      </x:c>
      <x:c r="B49" s="683" t="s">
        <x:v>713</x:v>
      </x:c>
      <x:c r="C49" s="292">
        <x:v>26092.080000000002</x:v>
      </x:c>
      <x:c r="D49" s="265">
        <x:v>45482</x:v>
      </x:c>
      <x:c r="E49" s="781" t="str">
        <x:f t="shared" si="0"/>
        <x:v>Midpoint of Benefit Period</x:v>
      </x:c>
      <x:c r="F49" s="265">
        <x:v>45549</x:v>
      </x:c>
      <x:c r="G49" s="496">
        <x:f t="shared" si="6"/>
        <x:v>-67</x:v>
      </x:c>
      <x:c r="H49" s="653">
        <x:f t="shared" si="7"/>
        <x:v>-1748169.36</x:v>
      </x:c>
      <x:c r="J49" s="260"/>
      <x:c r="L49" s="260"/>
      <x:c r="M49" s="260"/>
      <x:c r="N49" s="260"/>
    </x:row>
    <x:row r="50" spans="1:14" x14ac:dyDescent="0.25">
      <x:c r="A50" s="2">
        <x:f t="shared" si="8"/>
        <x:v>39</x:v>
      </x:c>
      <x:c r="B50" s="683" t="s">
        <x:v>714</x:v>
      </x:c>
      <x:c r="C50" s="292">
        <x:v>36684</x:v>
      </x:c>
      <x:c r="D50" s="265">
        <x:v>45428</x:v>
      </x:c>
      <x:c r="E50" s="781" t="str">
        <x:f t="shared" si="0"/>
        <x:v>Midpoint of Benefit Period</x:v>
      </x:c>
      <x:c r="F50" s="265">
        <x:v>45443</x:v>
      </x:c>
      <x:c r="G50" s="496">
        <x:f t="shared" si="6"/>
        <x:v>-15</x:v>
      </x:c>
      <x:c r="H50" s="653">
        <x:f t="shared" si="7"/>
        <x:v>-550260</x:v>
      </x:c>
      <x:c r="J50" s="260"/>
      <x:c r="L50" s="260"/>
      <x:c r="M50" s="260"/>
      <x:c r="N50" s="260"/>
    </x:row>
    <x:row r="51" spans="1:14" x14ac:dyDescent="0.25">
      <x:c r="A51" s="2">
        <x:f t="shared" si="8"/>
        <x:v>40</x:v>
      </x:c>
      <x:c r="B51" s="683" t="s">
        <x:v>715</x:v>
      </x:c>
      <x:c r="C51" s="292">
        <x:v>38296.44</x:v>
      </x:c>
      <x:c r="D51" s="265">
        <x:v>45445.5</x:v>
      </x:c>
      <x:c r="E51" s="781" t="str">
        <x:f t="shared" si="0"/>
        <x:v>Midpoint of Benefit Period</x:v>
      </x:c>
      <x:c r="F51" s="265">
        <x:v>45528</x:v>
      </x:c>
      <x:c r="G51" s="496">
        <x:f t="shared" si="6"/>
        <x:v>-82.5</x:v>
      </x:c>
      <x:c r="H51" s="653">
        <x:f t="shared" si="7"/>
        <x:v>-3159456.3000000003</x:v>
      </x:c>
      <x:c r="J51" s="260"/>
      <x:c r="L51" s="260"/>
      <x:c r="M51" s="260"/>
      <x:c r="N51" s="260"/>
    </x:row>
    <x:row r="52" spans="1:14" x14ac:dyDescent="0.25">
      <x:c r="A52" s="2">
        <x:f t="shared" si="8"/>
        <x:v>41</x:v>
      </x:c>
      <x:c r="B52" s="683" t="s">
        <x:v>716</x:v>
      </x:c>
      <x:c r="C52" s="292">
        <x:v>42352</x:v>
      </x:c>
      <x:c r="D52" s="265">
        <x:v>45307</x:v>
      </x:c>
      <x:c r="E52" s="781" t="str">
        <x:f t="shared" si="0"/>
        <x:v>Midpoint of Benefit Period</x:v>
      </x:c>
      <x:c r="F52" s="265">
        <x:v>45365</x:v>
      </x:c>
      <x:c r="G52" s="496">
        <x:f t="shared" si="6"/>
        <x:v>-58</x:v>
      </x:c>
      <x:c r="H52" s="653">
        <x:f t="shared" si="7"/>
        <x:v>-2456416</x:v>
      </x:c>
      <x:c r="J52" s="260"/>
      <x:c r="L52" s="260"/>
      <x:c r="M52" s="260"/>
      <x:c r="N52" s="260"/>
    </x:row>
    <x:row r="53" spans="1:14" x14ac:dyDescent="0.25">
      <x:c r="A53" s="2">
        <x:f t="shared" si="8"/>
        <x:v>42</x:v>
      </x:c>
      <x:c r="B53" s="683" t="s">
        <x:v>717</x:v>
      </x:c>
      <x:c r="C53" s="292">
        <x:v>115478</x:v>
      </x:c>
      <x:c r="D53" s="265">
        <x:v>45371</x:v>
      </x:c>
      <x:c r="E53" s="781" t="str">
        <x:f t="shared" si="0"/>
        <x:v>Midpoint of Benefit Period</x:v>
      </x:c>
      <x:c r="F53" s="265">
        <x:v>45404</x:v>
      </x:c>
      <x:c r="G53" s="496">
        <x:f t="shared" si="6"/>
        <x:v>-33</x:v>
      </x:c>
      <x:c r="H53" s="653">
        <x:f t="shared" si="7"/>
        <x:v>-3810774</x:v>
      </x:c>
      <x:c r="J53" s="260"/>
      <x:c r="L53" s="260"/>
      <x:c r="M53" s="260"/>
      <x:c r="N53" s="260"/>
    </x:row>
    <x:row r="54" spans="1:14" x14ac:dyDescent="0.25">
      <x:c r="A54" s="2">
        <x:f t="shared" si="8"/>
        <x:v>43</x:v>
      </x:c>
      <x:c r="B54" s="683" t="s">
        <x:v>718</x:v>
      </x:c>
      <x:c r="C54" s="292">
        <x:v>45312.5</x:v>
      </x:c>
      <x:c r="D54" s="265">
        <x:v>45446</x:v>
      </x:c>
      <x:c r="E54" s="782" t="str">
        <x:f t="shared" si="0"/>
        <x:v>Midpoint of Benefit Period</x:v>
      </x:c>
      <x:c r="F54" s="265">
        <x:v>45526</x:v>
      </x:c>
      <x:c r="G54" s="496">
        <x:f t="shared" si="6"/>
        <x:v>-80</x:v>
      </x:c>
      <x:c r="H54" s="653">
        <x:f t="shared" si="7"/>
        <x:v>-3625000</x:v>
      </x:c>
      <x:c r="J54" s="260"/>
      <x:c r="L54" s="260"/>
      <x:c r="M54" s="260"/>
      <x:c r="N54" s="260"/>
    </x:row>
    <x:row r="55" spans="1:14" x14ac:dyDescent="0.25">
      <x:c r="A55" s="2">
        <x:f t="shared" si="8"/>
        <x:v>44</x:v>
      </x:c>
      <x:c r="B55" s="683" t="s">
        <x:v>719</x:v>
      </x:c>
      <x:c r="C55" s="292">
        <x:v>39655.050000000003</x:v>
      </x:c>
      <x:c r="D55" s="265">
        <x:v>45307.5</x:v>
      </x:c>
      <x:c r="E55" s="781" t="str">
        <x:f t="shared" si="0"/>
        <x:v>Midpoint of Benefit Period</x:v>
      </x:c>
      <x:c r="F55" s="265">
        <x:v>45348</x:v>
      </x:c>
      <x:c r="G55" s="496">
        <x:f t="shared" si="6"/>
        <x:v>-40.5</x:v>
      </x:c>
      <x:c r="H55" s="653">
        <x:f t="shared" si="7"/>
        <x:v>-1606029.5250000001</x:v>
      </x:c>
      <x:c r="J55" s="260"/>
      <x:c r="L55" s="260"/>
      <x:c r="M55" s="260"/>
      <x:c r="N55" s="260"/>
    </x:row>
    <x:row r="56" spans="1:14" x14ac:dyDescent="0.25">
      <x:c r="A56" s="2">
        <x:f t="shared" si="8"/>
        <x:v>45</x:v>
      </x:c>
      <x:c r="B56" s="683" t="s">
        <x:v>720</x:v>
      </x:c>
      <x:c r="C56" s="292">
        <x:v>384685</x:v>
      </x:c>
      <x:c r="D56" s="265">
        <x:v>45393</x:v>
      </x:c>
      <x:c r="E56" s="781" t="str">
        <x:f t="shared" si="0"/>
        <x:v>Midpoint of Benefit Period</x:v>
      </x:c>
      <x:c r="F56" s="265">
        <x:v>45428</x:v>
      </x:c>
      <x:c r="G56" s="496">
        <x:f t="shared" si="6"/>
        <x:v>-35</x:v>
      </x:c>
      <x:c r="H56" s="653">
        <x:f t="shared" si="7"/>
        <x:v>-13463975</x:v>
      </x:c>
      <x:c r="J56" s="260"/>
      <x:c r="L56" s="260"/>
      <x:c r="M56" s="260"/>
      <x:c r="N56" s="260"/>
    </x:row>
    <x:row r="57" spans="1:14" x14ac:dyDescent="0.25">
      <x:c r="A57" s="2">
        <x:f t="shared" si="8"/>
        <x:v>46</x:v>
      </x:c>
      <x:c r="B57" s="683" t="s">
        <x:v>721</x:v>
      </x:c>
      <x:c r="C57" s="292">
        <x:v>113724.95</x:v>
      </x:c>
      <x:c r="D57" s="265">
        <x:v>45444</x:v>
      </x:c>
      <x:c r="E57" s="781" t="str">
        <x:f t="shared" si="0"/>
        <x:v>Midpoint of Benefit Period</x:v>
      </x:c>
      <x:c r="F57" s="265">
        <x:v>45561</x:v>
      </x:c>
      <x:c r="G57" s="496">
        <x:f t="shared" si="6"/>
        <x:v>-117</x:v>
      </x:c>
      <x:c r="H57" s="653">
        <x:f t="shared" si="7"/>
        <x:v>-13305819.15</x:v>
      </x:c>
      <x:c r="J57" s="260"/>
      <x:c r="L57" s="260"/>
      <x:c r="M57" s="260"/>
      <x:c r="N57" s="260"/>
    </x:row>
    <x:row r="58" spans="1:14" x14ac:dyDescent="0.25">
      <x:c r="A58" s="2">
        <x:f t="shared" si="8"/>
        <x:v>47</x:v>
      </x:c>
      <x:c r="B58" s="683" t="s">
        <x:v>722</x:v>
      </x:c>
      <x:c r="C58" s="292">
        <x:v>31224.2</x:v>
      </x:c>
      <x:c r="D58" s="265">
        <x:v>45368.5</x:v>
      </x:c>
      <x:c r="E58" s="781" t="str">
        <x:f t="shared" si="0"/>
        <x:v>Midpoint of Benefit Period</x:v>
      </x:c>
      <x:c r="F58" s="265">
        <x:v>45398</x:v>
      </x:c>
      <x:c r="G58" s="496">
        <x:f t="shared" ref="G58:G121" si="9">D58-F58</x:f>
        <x:v>-29.5</x:v>
      </x:c>
      <x:c r="H58" s="653">
        <x:f t="shared" ref="H58:H121" si="10">IF(ISERR(G58*C58),"",G58*C58)</x:f>
        <x:v>-921113.9</x:v>
      </x:c>
      <x:c r="J58" s="260"/>
      <x:c r="L58" s="260"/>
      <x:c r="M58" s="260"/>
      <x:c r="N58" s="260"/>
    </x:row>
    <x:row r="59" spans="1:14" x14ac:dyDescent="0.25">
      <x:c r="A59" s="2">
        <x:f t="shared" si="8"/>
        <x:v>48</x:v>
      </x:c>
      <x:c r="B59" s="683" t="s">
        <x:v>723</x:v>
      </x:c>
      <x:c r="C59" s="292">
        <x:v>44759.18</x:v>
      </x:c>
      <x:c r="D59" s="265">
        <x:v>46095</x:v>
      </x:c>
      <x:c r="E59" s="781" t="str">
        <x:f t="shared" si="0"/>
        <x:v>Midpoint of Benefit Period</x:v>
      </x:c>
      <x:c r="F59" s="265">
        <x:v>45578</x:v>
      </x:c>
      <x:c r="G59" s="496">
        <x:f t="shared" si="9"/>
        <x:v>517</x:v>
      </x:c>
      <x:c r="H59" s="653">
        <x:f t="shared" si="10"/>
        <x:v>23140496.059999999</x:v>
      </x:c>
      <x:c r="J59" s="260"/>
      <x:c r="L59" s="260"/>
      <x:c r="M59" s="260"/>
      <x:c r="N59" s="260"/>
    </x:row>
    <x:row r="60" spans="1:14" x14ac:dyDescent="0.25">
      <x:c r="A60" s="2">
        <x:f t="shared" si="8"/>
        <x:v>49</x:v>
      </x:c>
      <x:c r="B60" s="683" t="s">
        <x:v>724</x:v>
      </x:c>
      <x:c r="C60" s="292">
        <x:v>242846.44</x:v>
      </x:c>
      <x:c r="D60" s="265">
        <x:v>45436</x:v>
      </x:c>
      <x:c r="E60" s="781" t="str">
        <x:f t="shared" si="0"/>
        <x:v>Midpoint of Benefit Period</x:v>
      </x:c>
      <x:c r="F60" s="265">
        <x:v>45481</x:v>
      </x:c>
      <x:c r="G60" s="496">
        <x:f t="shared" si="9"/>
        <x:v>-45</x:v>
      </x:c>
      <x:c r="H60" s="653">
        <x:f t="shared" si="10"/>
        <x:v>-10928089.800000001</x:v>
      </x:c>
      <x:c r="J60" s="260"/>
      <x:c r="L60" s="260"/>
      <x:c r="M60" s="260"/>
      <x:c r="N60" s="260"/>
    </x:row>
    <x:row r="61" spans="1:14" x14ac:dyDescent="0.25">
      <x:c r="A61" s="2">
        <x:f t="shared" si="8"/>
        <x:v>50</x:v>
      </x:c>
      <x:c r="B61" s="683" t="s">
        <x:v>725</x:v>
      </x:c>
      <x:c r="C61" s="292">
        <x:v>25791.63</x:v>
      </x:c>
      <x:c r="D61" s="265">
        <x:v>45458.5</x:v>
      </x:c>
      <x:c r="E61" s="781" t="str">
        <x:f t="shared" si="0"/>
        <x:v>Midpoint of Benefit Period</x:v>
      </x:c>
      <x:c r="F61" s="265">
        <x:v>45534</x:v>
      </x:c>
      <x:c r="G61" s="496">
        <x:f t="shared" si="9"/>
        <x:v>-75.5</x:v>
      </x:c>
      <x:c r="H61" s="653">
        <x:f t="shared" si="10"/>
        <x:v>-1947268.0650000002</x:v>
      </x:c>
      <x:c r="J61" s="260"/>
      <x:c r="L61" s="260"/>
      <x:c r="M61" s="260"/>
      <x:c r="N61" s="260"/>
    </x:row>
    <x:row r="62" spans="1:14" x14ac:dyDescent="0.25">
      <x:c r="A62" s="2">
        <x:f t="shared" si="8"/>
        <x:v>51</x:v>
      </x:c>
      <x:c r="B62" s="683" t="s">
        <x:v>726</x:v>
      </x:c>
      <x:c r="C62" s="292">
        <x:v>466860.2</x:v>
      </x:c>
      <x:c r="D62" s="265">
        <x:v>45419</x:v>
      </x:c>
      <x:c r="E62" s="781" t="str">
        <x:f t="shared" si="0"/>
        <x:v>Midpoint of Benefit Period</x:v>
      </x:c>
      <x:c r="F62" s="265">
        <x:v>45454</x:v>
      </x:c>
      <x:c r="G62" s="496">
        <x:f t="shared" si="9"/>
        <x:v>-35</x:v>
      </x:c>
      <x:c r="H62" s="653">
        <x:f t="shared" si="10"/>
        <x:v>-16340107</x:v>
      </x:c>
      <x:c r="J62" s="260"/>
      <x:c r="L62" s="260"/>
      <x:c r="M62" s="260"/>
      <x:c r="N62" s="260"/>
    </x:row>
    <x:row r="63" spans="1:14" x14ac:dyDescent="0.25">
      <x:c r="A63" s="2">
        <x:f t="shared" si="8"/>
        <x:v>52</x:v>
      </x:c>
      <x:c r="B63" s="683" t="s">
        <x:v>727</x:v>
      </x:c>
      <x:c r="C63" s="292">
        <x:v>28910.2</x:v>
      </x:c>
      <x:c r="D63" s="265">
        <x:v>45385</x:v>
      </x:c>
      <x:c r="E63" s="781" t="str">
        <x:f t="shared" si="0"/>
        <x:v>Midpoint of Benefit Period</x:v>
      </x:c>
      <x:c r="F63" s="265">
        <x:v>45423</x:v>
      </x:c>
      <x:c r="G63" s="496">
        <x:f t="shared" si="9"/>
        <x:v>-38</x:v>
      </x:c>
      <x:c r="H63" s="653">
        <x:f t="shared" si="10"/>
        <x:v>-1098587.6000000001</x:v>
      </x:c>
      <x:c r="J63" s="260"/>
      <x:c r="L63" s="260"/>
      <x:c r="M63" s="260"/>
      <x:c r="N63" s="260"/>
    </x:row>
    <x:row r="64" spans="1:14" x14ac:dyDescent="0.25">
      <x:c r="A64" s="2">
        <x:f t="shared" si="8"/>
        <x:v>53</x:v>
      </x:c>
      <x:c r="B64" s="683" t="s">
        <x:v>728</x:v>
      </x:c>
      <x:c r="C64" s="292">
        <x:v>25915</x:v>
      </x:c>
      <x:c r="D64" s="265">
        <x:v>45165</x:v>
      </x:c>
      <x:c r="E64" s="781" t="str">
        <x:f t="shared" si="0"/>
        <x:v>Midpoint of Benefit Period</x:v>
      </x:c>
      <x:c r="F64" s="265">
        <x:v>45261</x:v>
      </x:c>
      <x:c r="G64" s="496">
        <x:f t="shared" si="9"/>
        <x:v>-96</x:v>
      </x:c>
      <x:c r="H64" s="653">
        <x:f t="shared" si="10"/>
        <x:v>-2487840</x:v>
      </x:c>
      <x:c r="J64" s="260"/>
      <x:c r="L64" s="260"/>
      <x:c r="M64" s="260"/>
      <x:c r="N64" s="260"/>
    </x:row>
    <x:row r="65" spans="1:14" x14ac:dyDescent="0.25">
      <x:c r="A65" s="2">
        <x:f t="shared" si="8"/>
        <x:v>54</x:v>
      </x:c>
      <x:c r="B65" s="683" t="s">
        <x:v>729</x:v>
      </x:c>
      <x:c r="C65" s="292">
        <x:v>503998.34</x:v>
      </x:c>
      <x:c r="D65" s="265">
        <x:v>45436.5</x:v>
      </x:c>
      <x:c r="E65" s="781" t="str">
        <x:f>IF(D65=B65,"Invoice Date", "Midpoint of Benefit Period")</x:f>
        <x:v>Midpoint of Benefit Period</x:v>
      </x:c>
      <x:c r="F65" s="265">
        <x:v>45476</x:v>
      </x:c>
      <x:c r="G65" s="496">
        <x:f t="shared" si="9"/>
        <x:v>-39.5</x:v>
      </x:c>
      <x:c r="H65" s="653">
        <x:f t="shared" si="10"/>
        <x:v>-19907934.43</x:v>
      </x:c>
      <x:c r="J65" s="260"/>
      <x:c r="L65" s="260"/>
      <x:c r="M65" s="260"/>
      <x:c r="N65" s="260"/>
    </x:row>
    <x:row r="66" spans="1:14" x14ac:dyDescent="0.25">
      <x:c r="A66" s="2">
        <x:f t="shared" si="8"/>
        <x:v>55</x:v>
      </x:c>
      <x:c r="B66" s="683" t="s">
        <x:v>730</x:v>
      </x:c>
      <x:c r="C66" s="292">
        <x:v>163560</x:v>
      </x:c>
      <x:c r="D66" s="265">
        <x:v>45442.5</x:v>
      </x:c>
      <x:c r="E66" s="781" t="str">
        <x:f>IF(D66=B66,"Invoice Date", "Midpoint of Benefit Period")</x:f>
        <x:v>Midpoint of Benefit Period</x:v>
      </x:c>
      <x:c r="F66" s="265">
        <x:v>45498</x:v>
      </x:c>
      <x:c r="G66" s="496">
        <x:f t="shared" si="9"/>
        <x:v>-55.5</x:v>
      </x:c>
      <x:c r="H66" s="653">
        <x:f t="shared" si="10"/>
        <x:v>-9077580</x:v>
      </x:c>
      <x:c r="J66" s="260"/>
      <x:c r="L66" s="260"/>
      <x:c r="M66" s="260"/>
      <x:c r="N66" s="260"/>
    </x:row>
    <x:row r="67" spans="1:14" x14ac:dyDescent="0.25">
      <x:c r="A67" s="2">
        <x:f t="shared" si="8"/>
        <x:v>56</x:v>
      </x:c>
      <x:c r="B67" s="683" t="s">
        <x:v>731</x:v>
      </x:c>
      <x:c r="C67" s="292">
        <x:v>40165.199999999997</x:v>
      </x:c>
      <x:c r="D67" s="265">
        <x:v>45458.5</x:v>
      </x:c>
      <x:c r="E67" s="781" t="str">
        <x:f t="shared" ref="E67:E74" si="11">IF(D67=B67,"Invoice Date", "Midpoint of Benefit Period")</x:f>
        <x:v>Midpoint of Benefit Period</x:v>
      </x:c>
      <x:c r="F67" s="265">
        <x:v>45506</x:v>
      </x:c>
      <x:c r="G67" s="496">
        <x:f t="shared" si="9"/>
        <x:v>-47.5</x:v>
      </x:c>
      <x:c r="H67" s="653">
        <x:f t="shared" si="10"/>
        <x:v>-1907846.9999999998</x:v>
      </x:c>
      <x:c r="J67" s="260"/>
      <x:c r="L67" s="260"/>
      <x:c r="M67" s="260"/>
      <x:c r="N67" s="260"/>
    </x:row>
    <x:row r="68" spans="1:14" x14ac:dyDescent="0.25">
      <x:c r="A68" s="2">
        <x:f t="shared" si="8"/>
        <x:v>57</x:v>
      </x:c>
      <x:c r="B68" s="683" t="s">
        <x:v>732</x:v>
      </x:c>
      <x:c r="C68" s="292">
        <x:v>92435.09</x:v>
      </x:c>
      <x:c r="D68" s="265">
        <x:v>45365.5</x:v>
      </x:c>
      <x:c r="E68" s="781" t="str">
        <x:f t="shared" si="11"/>
        <x:v>Midpoint of Benefit Period</x:v>
      </x:c>
      <x:c r="F68" s="265">
        <x:v>45399</x:v>
      </x:c>
      <x:c r="G68" s="496">
        <x:f t="shared" si="9"/>
        <x:v>-33.5</x:v>
      </x:c>
      <x:c r="H68" s="653">
        <x:f t="shared" si="10"/>
        <x:v>-3096575.5149999997</x:v>
      </x:c>
      <x:c r="J68" s="260"/>
      <x:c r="L68" s="260"/>
      <x:c r="M68" s="260"/>
      <x:c r="N68" s="260"/>
    </x:row>
    <x:row r="69" spans="1:14" x14ac:dyDescent="0.25">
      <x:c r="A69" s="2">
        <x:f t="shared" si="8"/>
        <x:v>58</x:v>
      </x:c>
      <x:c r="B69" s="683" t="s">
        <x:v>733</x:v>
      </x:c>
      <x:c r="C69" s="292">
        <x:v>55000</x:v>
      </x:c>
      <x:c r="D69" s="265">
        <x:v>45215</x:v>
      </x:c>
      <x:c r="E69" s="781" t="str">
        <x:f t="shared" si="11"/>
        <x:v>Midpoint of Benefit Period</x:v>
      </x:c>
      <x:c r="F69" s="265">
        <x:v>45234</x:v>
      </x:c>
      <x:c r="G69" s="496">
        <x:f t="shared" si="9"/>
        <x:v>-19</x:v>
      </x:c>
      <x:c r="H69" s="653">
        <x:f t="shared" si="10"/>
        <x:v>-1045000</x:v>
      </x:c>
      <x:c r="J69" s="260"/>
      <x:c r="L69" s="260"/>
      <x:c r="M69" s="260"/>
      <x:c r="N69" s="260"/>
    </x:row>
    <x:row r="70" spans="1:14" x14ac:dyDescent="0.25">
      <x:c r="A70" s="2">
        <x:f t="shared" si="8"/>
        <x:v>59</x:v>
      </x:c>
      <x:c r="B70" s="683" t="s">
        <x:v>734</x:v>
      </x:c>
      <x:c r="C70" s="292">
        <x:v>132480</x:v>
      </x:c>
      <x:c r="D70" s="265">
        <x:v>45308</x:v>
      </x:c>
      <x:c r="E70" s="781" t="str">
        <x:f t="shared" si="11"/>
        <x:v>Midpoint of Benefit Period</x:v>
      </x:c>
      <x:c r="F70" s="265">
        <x:v>45342</x:v>
      </x:c>
      <x:c r="G70" s="496">
        <x:f t="shared" si="9"/>
        <x:v>-34</x:v>
      </x:c>
      <x:c r="H70" s="653">
        <x:f t="shared" si="10"/>
        <x:v>-4504320</x:v>
      </x:c>
      <x:c r="J70" s="260"/>
      <x:c r="L70" s="260"/>
      <x:c r="M70" s="260"/>
      <x:c r="N70" s="260"/>
    </x:row>
    <x:row r="71" spans="1:14" x14ac:dyDescent="0.25">
      <x:c r="A71" s="2">
        <x:f t="shared" si="8"/>
        <x:v>60</x:v>
      </x:c>
      <x:c r="B71" s="683" t="s">
        <x:v>735</x:v>
      </x:c>
      <x:c r="C71" s="292">
        <x:v>62275</x:v>
      </x:c>
      <x:c r="D71" s="265">
        <x:v>45245.5</x:v>
      </x:c>
      <x:c r="E71" s="781" t="str">
        <x:f t="shared" si="11"/>
        <x:v>Midpoint of Benefit Period</x:v>
      </x:c>
      <x:c r="F71" s="265">
        <x:v>45295</x:v>
      </x:c>
      <x:c r="G71" s="496">
        <x:f t="shared" si="9"/>
        <x:v>-49.5</x:v>
      </x:c>
      <x:c r="H71" s="653">
        <x:f t="shared" si="10"/>
        <x:v>-3082612.5</x:v>
      </x:c>
      <x:c r="J71" s="260"/>
      <x:c r="L71" s="260"/>
      <x:c r="M71" s="260"/>
      <x:c r="N71" s="260"/>
    </x:row>
    <x:row r="72" spans="1:14" x14ac:dyDescent="0.25">
      <x:c r="A72" s="2">
        <x:f t="shared" si="8"/>
        <x:v>61</x:v>
      </x:c>
      <x:c r="B72" s="683" t="s">
        <x:v>736</x:v>
      </x:c>
      <x:c r="C72" s="292">
        <x:v>488165.32</x:v>
      </x:c>
      <x:c r="D72" s="265">
        <x:v>45434</x:v>
      </x:c>
      <x:c r="E72" s="781" t="str">
        <x:f t="shared" si="11"/>
        <x:v>Midpoint of Benefit Period</x:v>
      </x:c>
      <x:c r="F72" s="265">
        <x:v>45472</x:v>
      </x:c>
      <x:c r="G72" s="496">
        <x:f t="shared" si="9"/>
        <x:v>-38</x:v>
      </x:c>
      <x:c r="H72" s="653">
        <x:f t="shared" si="10"/>
        <x:v>-18550282.16</x:v>
      </x:c>
      <x:c r="J72" s="260"/>
      <x:c r="L72" s="260"/>
      <x:c r="M72" s="260"/>
      <x:c r="N72" s="260"/>
    </x:row>
    <x:row r="73" spans="1:14" x14ac:dyDescent="0.25">
      <x:c r="A73" s="2">
        <x:f t="shared" si="8"/>
        <x:v>62</x:v>
      </x:c>
      <x:c r="B73" s="683" t="s">
        <x:v>737</x:v>
      </x:c>
      <x:c r="C73" s="292">
        <x:v>105534.41</x:v>
      </x:c>
      <x:c r="D73" s="265">
        <x:v>45274</x:v>
      </x:c>
      <x:c r="E73" s="781" t="str">
        <x:f t="shared" si="11"/>
        <x:v>Midpoint of Benefit Period</x:v>
      </x:c>
      <x:c r="F73" s="265">
        <x:v>45322</x:v>
      </x:c>
      <x:c r="G73" s="496">
        <x:f t="shared" si="9"/>
        <x:v>-48</x:v>
      </x:c>
      <x:c r="H73" s="653">
        <x:f t="shared" si="10"/>
        <x:v>-5065651.68</x:v>
      </x:c>
      <x:c r="J73" s="260"/>
      <x:c r="L73" s="260"/>
      <x:c r="M73" s="260"/>
      <x:c r="N73" s="260"/>
    </x:row>
    <x:row r="74" spans="1:14" x14ac:dyDescent="0.25">
      <x:c r="A74" s="2">
        <x:f t="shared" si="8"/>
        <x:v>63</x:v>
      </x:c>
      <x:c r="B74" s="683" t="s">
        <x:v>738</x:v>
      </x:c>
      <x:c r="C74" s="292">
        <x:v>137792.04999999999</x:v>
      </x:c>
      <x:c r="D74" s="265">
        <x:v>45444.5</x:v>
      </x:c>
      <x:c r="E74" s="781" t="str">
        <x:f t="shared" si="11"/>
        <x:v>Midpoint of Benefit Period</x:v>
      </x:c>
      <x:c r="F74" s="265">
        <x:v>45547</x:v>
      </x:c>
      <x:c r="G74" s="496">
        <x:f t="shared" si="9"/>
        <x:v>-102.5</x:v>
      </x:c>
      <x:c r="H74" s="653">
        <x:f t="shared" si="10"/>
        <x:v>-14123685.124999998</x:v>
      </x:c>
      <x:c r="J74" s="260"/>
      <x:c r="L74" s="260"/>
      <x:c r="M74" s="260"/>
      <x:c r="N74" s="260"/>
    </x:row>
    <x:row r="75" spans="1:14" x14ac:dyDescent="0.25">
      <x:c r="A75" s="2">
        <x:f t="shared" si="8"/>
        <x:v>64</x:v>
      </x:c>
      <x:c r="B75" s="683" t="s">
        <x:v>739</x:v>
      </x:c>
      <x:c r="C75" s="292">
        <x:v>53154.48</x:v>
      </x:c>
      <x:c r="D75" s="265">
        <x:v>45276</x:v>
      </x:c>
      <x:c r="E75" s="781" t="str">
        <x:f>IF(D75=B75,"Invoice Date", "Midpoint of Benefit Period")</x:f>
        <x:v>Midpoint of Benefit Period</x:v>
      </x:c>
      <x:c r="F75" s="265">
        <x:v>45346</x:v>
      </x:c>
      <x:c r="G75" s="496">
        <x:f t="shared" si="9"/>
        <x:v>-70</x:v>
      </x:c>
      <x:c r="H75" s="653">
        <x:f t="shared" si="10"/>
        <x:v>-3720813.6</x:v>
      </x:c>
      <x:c r="J75" s="260"/>
      <x:c r="L75" s="260"/>
      <x:c r="M75" s="260"/>
      <x:c r="N75" s="260"/>
    </x:row>
    <x:row r="76" spans="1:14" x14ac:dyDescent="0.25">
      <x:c r="A76" s="2">
        <x:f t="shared" si="8"/>
        <x:v>65</x:v>
      </x:c>
      <x:c r="B76" s="683" t="s">
        <x:v>740</x:v>
      </x:c>
      <x:c r="C76" s="292">
        <x:v>96502.32</x:v>
      </x:c>
      <x:c r="D76" s="265">
        <x:v>45202.5</x:v>
      </x:c>
      <x:c r="E76" s="781" t="str">
        <x:f>IF(D76=B76,"Invoice Date", "Midpoint of Benefit Period")</x:f>
        <x:v>Midpoint of Benefit Period</x:v>
      </x:c>
      <x:c r="F76" s="265">
        <x:v>45241</x:v>
      </x:c>
      <x:c r="G76" s="496">
        <x:f t="shared" si="9"/>
        <x:v>-38.5</x:v>
      </x:c>
      <x:c r="H76" s="653">
        <x:f t="shared" si="10"/>
        <x:v>-3715339.3200000003</x:v>
      </x:c>
      <x:c r="J76" s="260"/>
      <x:c r="L76" s="260"/>
      <x:c r="M76" s="260"/>
      <x:c r="N76" s="260"/>
    </x:row>
    <x:row r="77" spans="1:14" x14ac:dyDescent="0.25">
      <x:c r="A77" s="2">
        <x:f t="shared" si="8"/>
        <x:v>66</x:v>
      </x:c>
      <x:c r="B77" s="683" t="s">
        <x:v>741</x:v>
      </x:c>
      <x:c r="C77" s="292">
        <x:v>42836</x:v>
      </x:c>
      <x:c r="D77" s="265">
        <x:v>45462</x:v>
      </x:c>
      <x:c r="E77" s="781" t="str">
        <x:f>IF(D77=B77,"Invoice Date", "Midpoint of Benefit Period")</x:f>
        <x:v>Midpoint of Benefit Period</x:v>
      </x:c>
      <x:c r="F77" s="265">
        <x:v>45497</x:v>
      </x:c>
      <x:c r="G77" s="496">
        <x:f t="shared" si="9"/>
        <x:v>-35</x:v>
      </x:c>
      <x:c r="H77" s="653">
        <x:f t="shared" si="10"/>
        <x:v>-1499260</x:v>
      </x:c>
      <x:c r="J77" s="260"/>
      <x:c r="L77" s="260"/>
      <x:c r="M77" s="260"/>
      <x:c r="N77" s="260"/>
    </x:row>
    <x:row r="78" spans="1:14" x14ac:dyDescent="0.25">
      <x:c r="A78" s="2">
        <x:f t="shared" si="8"/>
        <x:v>67</x:v>
      </x:c>
      <x:c r="B78" s="683" t="s">
        <x:v>742</x:v>
      </x:c>
      <x:c r="C78" s="292">
        <x:v>42769.11</x:v>
      </x:c>
      <x:c r="D78" s="265">
        <x:v>45515</x:v>
      </x:c>
      <x:c r="E78" s="781" t="str">
        <x:f>IF(D78=B78,"Invoice Date", "Midpoint of Benefit Period")</x:f>
        <x:v>Midpoint of Benefit Period</x:v>
      </x:c>
      <x:c r="F78" s="265">
        <x:v>45525</x:v>
      </x:c>
      <x:c r="G78" s="496">
        <x:f t="shared" si="9"/>
        <x:v>-10</x:v>
      </x:c>
      <x:c r="H78" s="653">
        <x:f t="shared" si="10"/>
        <x:v>-427691.1</x:v>
      </x:c>
      <x:c r="J78" s="260"/>
      <x:c r="L78" s="260"/>
      <x:c r="M78" s="260"/>
      <x:c r="N78" s="260"/>
    </x:row>
    <x:row r="79" spans="1:14" x14ac:dyDescent="0.25">
      <x:c r="A79" s="2">
        <x:f t="shared" si="8"/>
        <x:v>68</x:v>
      </x:c>
      <x:c r="B79" s="683" t="s">
        <x:v>743</x:v>
      </x:c>
      <x:c r="C79" s="292">
        <x:v>50000</x:v>
      </x:c>
      <x:c r="D79" s="265">
        <x:v>45474.5</x:v>
      </x:c>
      <x:c r="E79" s="781" t="str">
        <x:f t="shared" ref="E79:E141" si="12">IF(D79=B79,"Invoice Date", "Midpoint of Benefit Period")</x:f>
        <x:v>Midpoint of Benefit Period</x:v>
      </x:c>
      <x:c r="F79" s="265">
        <x:v>45316</x:v>
      </x:c>
      <x:c r="G79" s="496">
        <x:f t="shared" si="9"/>
        <x:v>158.5</x:v>
      </x:c>
      <x:c r="H79" s="653">
        <x:f t="shared" si="10"/>
        <x:v>7925000</x:v>
      </x:c>
      <x:c r="J79" s="260"/>
      <x:c r="L79" s="260"/>
      <x:c r="M79" s="260"/>
      <x:c r="N79" s="260"/>
    </x:row>
    <x:row r="80" spans="1:14" x14ac:dyDescent="0.25">
      <x:c r="A80" s="2">
        <x:f t="shared" si="8"/>
        <x:v>69</x:v>
      </x:c>
      <x:c r="B80" s="683" t="s">
        <x:v>744</x:v>
      </x:c>
      <x:c r="C80" s="292">
        <x:v>76041.899999999994</x:v>
      </x:c>
      <x:c r="D80" s="265">
        <x:v>45497</x:v>
      </x:c>
      <x:c r="E80" s="782" t="str">
        <x:f t="shared" si="12"/>
        <x:v>Midpoint of Benefit Period</x:v>
      </x:c>
      <x:c r="F80" s="265">
        <x:v>45538</x:v>
      </x:c>
      <x:c r="G80" s="496">
        <x:f t="shared" si="9"/>
        <x:v>-41</x:v>
      </x:c>
      <x:c r="H80" s="653">
        <x:f t="shared" si="10"/>
        <x:v>-3117717.9</x:v>
      </x:c>
      <x:c r="J80" s="260"/>
      <x:c r="L80" s="260"/>
      <x:c r="M80" s="260"/>
      <x:c r="N80" s="260"/>
    </x:row>
    <x:row r="81" spans="1:14" x14ac:dyDescent="0.25">
      <x:c r="A81" s="2">
        <x:f t="shared" si="8"/>
        <x:v>70</x:v>
      </x:c>
      <x:c r="B81" s="683" t="s">
        <x:v>745</x:v>
      </x:c>
      <x:c r="C81" s="292">
        <x:v>68376.759999999995</x:v>
      </x:c>
      <x:c r="D81" s="265">
        <x:v>45108.5</x:v>
      </x:c>
      <x:c r="E81" s="781" t="str">
        <x:f t="shared" si="12"/>
        <x:v>Midpoint of Benefit Period</x:v>
      </x:c>
      <x:c r="F81" s="265">
        <x:v>45209</x:v>
      </x:c>
      <x:c r="G81" s="496">
        <x:f t="shared" si="9"/>
        <x:v>-100.5</x:v>
      </x:c>
      <x:c r="H81" s="653">
        <x:f t="shared" si="10"/>
        <x:v>-6871864.3799999999</x:v>
      </x:c>
      <x:c r="J81" s="260"/>
      <x:c r="L81" s="260"/>
      <x:c r="M81" s="260"/>
      <x:c r="N81" s="260"/>
    </x:row>
    <x:row r="82" spans="1:14" x14ac:dyDescent="0.25">
      <x:c r="A82" s="2">
        <x:f t="shared" si="8"/>
        <x:v>71</x:v>
      </x:c>
      <x:c r="B82" s="683" t="s">
        <x:v>746</x:v>
      </x:c>
      <x:c r="C82" s="292">
        <x:v>229862.63</x:v>
      </x:c>
      <x:c r="D82" s="265">
        <x:v>45455</x:v>
      </x:c>
      <x:c r="E82" s="781" t="str">
        <x:f t="shared" si="12"/>
        <x:v>Midpoint of Benefit Period</x:v>
      </x:c>
      <x:c r="F82" s="265">
        <x:v>45505</x:v>
      </x:c>
      <x:c r="G82" s="496">
        <x:f t="shared" si="9"/>
        <x:v>-50</x:v>
      </x:c>
      <x:c r="H82" s="653">
        <x:f t="shared" si="10"/>
        <x:v>-11493131.5</x:v>
      </x:c>
      <x:c r="J82" s="260"/>
      <x:c r="L82" s="260"/>
      <x:c r="M82" s="260"/>
      <x:c r="N82" s="260"/>
    </x:row>
    <x:row r="83" spans="1:14" x14ac:dyDescent="0.25">
      <x:c r="A83" s="2">
        <x:f t="shared" si="8"/>
        <x:v>72</x:v>
      </x:c>
      <x:c r="B83" s="683" t="s">
        <x:v>747</x:v>
      </x:c>
      <x:c r="C83" s="292">
        <x:v>228888.79</x:v>
      </x:c>
      <x:c r="D83" s="265">
        <x:v>45306</x:v>
      </x:c>
      <x:c r="E83" s="781" t="str">
        <x:f t="shared" si="12"/>
        <x:v>Midpoint of Benefit Period</x:v>
      </x:c>
      <x:c r="F83" s="265">
        <x:v>45353</x:v>
      </x:c>
      <x:c r="G83" s="496">
        <x:f t="shared" si="9"/>
        <x:v>-47</x:v>
      </x:c>
      <x:c r="H83" s="653">
        <x:f t="shared" si="10"/>
        <x:v>-10757773.130000001</x:v>
      </x:c>
      <x:c r="J83" s="260"/>
      <x:c r="L83" s="260"/>
      <x:c r="M83" s="260"/>
      <x:c r="N83" s="260"/>
    </x:row>
    <x:row r="84" spans="1:14" x14ac:dyDescent="0.25">
      <x:c r="A84" s="2">
        <x:f t="shared" si="8"/>
        <x:v>73</x:v>
      </x:c>
      <x:c r="B84" s="683" t="s">
        <x:v>748</x:v>
      </x:c>
      <x:c r="C84" s="292">
        <x:v>31909.3</x:v>
      </x:c>
      <x:c r="D84" s="265">
        <x:v>45406</x:v>
      </x:c>
      <x:c r="E84" s="781" t="str">
        <x:f t="shared" si="12"/>
        <x:v>Midpoint of Benefit Period</x:v>
      </x:c>
      <x:c r="F84" s="265">
        <x:v>45467</x:v>
      </x:c>
      <x:c r="G84" s="496">
        <x:f t="shared" si="9"/>
        <x:v>-61</x:v>
      </x:c>
      <x:c r="H84" s="653">
        <x:f t="shared" si="10"/>
        <x:v>-1946467.3</x:v>
      </x:c>
      <x:c r="J84" s="260"/>
      <x:c r="L84" s="260"/>
      <x:c r="M84" s="260"/>
      <x:c r="N84" s="260"/>
    </x:row>
    <x:row r="85" spans="1:14" x14ac:dyDescent="0.25">
      <x:c r="A85" s="2">
        <x:f t="shared" si="8"/>
        <x:v>74</x:v>
      </x:c>
      <x:c r="B85" s="683" t="s">
        <x:v>749</x:v>
      </x:c>
      <x:c r="C85" s="292">
        <x:v>37702.5</x:v>
      </x:c>
      <x:c r="D85" s="265">
        <x:v>45469</x:v>
      </x:c>
      <x:c r="E85" s="781" t="str">
        <x:f t="shared" si="12"/>
        <x:v>Midpoint of Benefit Period</x:v>
      </x:c>
      <x:c r="F85" s="265">
        <x:v>45547</x:v>
      </x:c>
      <x:c r="G85" s="496">
        <x:f t="shared" si="9"/>
        <x:v>-78</x:v>
      </x:c>
      <x:c r="H85" s="653">
        <x:f t="shared" si="10"/>
        <x:v>-2940795</x:v>
      </x:c>
      <x:c r="J85" s="260"/>
      <x:c r="L85" s="260"/>
      <x:c r="M85" s="260"/>
      <x:c r="N85" s="260"/>
    </x:row>
    <x:row r="86" spans="1:14" x14ac:dyDescent="0.25">
      <x:c r="A86" s="2">
        <x:f t="shared" si="8"/>
        <x:v>75</x:v>
      </x:c>
      <x:c r="B86" s="683" t="s">
        <x:v>750</x:v>
      </x:c>
      <x:c r="C86" s="292">
        <x:v>104692.8</x:v>
      </x:c>
      <x:c r="D86" s="265">
        <x:v>45448.5</x:v>
      </x:c>
      <x:c r="E86" s="781" t="str">
        <x:f t="shared" si="12"/>
        <x:v>Midpoint of Benefit Period</x:v>
      </x:c>
      <x:c r="F86" s="265">
        <x:v>45487</x:v>
      </x:c>
      <x:c r="G86" s="496">
        <x:f t="shared" si="9"/>
        <x:v>-38.5</x:v>
      </x:c>
      <x:c r="H86" s="653">
        <x:f t="shared" si="10"/>
        <x:v>-4030672.8000000003</x:v>
      </x:c>
      <x:c r="J86" s="260"/>
      <x:c r="L86" s="260"/>
      <x:c r="M86" s="260"/>
      <x:c r="N86" s="260"/>
    </x:row>
    <x:row r="87" spans="1:14" x14ac:dyDescent="0.25">
      <x:c r="A87" s="2">
        <x:f t="shared" si="8"/>
        <x:v>76</x:v>
      </x:c>
      <x:c r="B87" s="683" t="s">
        <x:v>751</x:v>
      </x:c>
      <x:c r="C87" s="292">
        <x:v>82676.5</x:v>
      </x:c>
      <x:c r="D87" s="265">
        <x:v>45427</x:v>
      </x:c>
      <x:c r="E87" s="781" t="str">
        <x:f t="shared" si="12"/>
        <x:v>Midpoint of Benefit Period</x:v>
      </x:c>
      <x:c r="F87" s="265">
        <x:v>45526</x:v>
      </x:c>
      <x:c r="G87" s="496">
        <x:f t="shared" si="9"/>
        <x:v>-99</x:v>
      </x:c>
      <x:c r="H87" s="653">
        <x:f t="shared" si="10"/>
        <x:v>-8184973.5</x:v>
      </x:c>
      <x:c r="J87" s="260"/>
      <x:c r="L87" s="260"/>
      <x:c r="M87" s="260"/>
      <x:c r="N87" s="260"/>
    </x:row>
    <x:row r="88" spans="1:14" x14ac:dyDescent="0.25">
      <x:c r="A88" s="2">
        <x:f t="shared" si="8"/>
        <x:v>77</x:v>
      </x:c>
      <x:c r="B88" s="683" t="s">
        <x:v>752</x:v>
      </x:c>
      <x:c r="C88" s="292">
        <x:v>25294.58</x:v>
      </x:c>
      <x:c r="D88" s="265">
        <x:v>45504.5</x:v>
      </x:c>
      <x:c r="E88" s="781" t="str">
        <x:f t="shared" si="12"/>
        <x:v>Midpoint of Benefit Period</x:v>
      </x:c>
      <x:c r="F88" s="265">
        <x:v>45546</x:v>
      </x:c>
      <x:c r="G88" s="496">
        <x:f t="shared" si="9"/>
        <x:v>-41.5</x:v>
      </x:c>
      <x:c r="H88" s="653">
        <x:f t="shared" si="10"/>
        <x:v>-1049725.07</x:v>
      </x:c>
      <x:c r="J88" s="260"/>
      <x:c r="L88" s="260"/>
      <x:c r="M88" s="260"/>
      <x:c r="N88" s="260"/>
    </x:row>
    <x:row r="89" spans="1:14" x14ac:dyDescent="0.25">
      <x:c r="A89" s="2">
        <x:f t="shared" si="8"/>
        <x:v>78</x:v>
      </x:c>
      <x:c r="B89" s="683" t="s">
        <x:v>753</x:v>
      </x:c>
      <x:c r="C89" s="292">
        <x:v>28448.53</x:v>
      </x:c>
      <x:c r="D89" s="265">
        <x:v>45458.5</x:v>
      </x:c>
      <x:c r="E89" s="781" t="str">
        <x:f t="shared" si="12"/>
        <x:v>Midpoint of Benefit Period</x:v>
      </x:c>
      <x:c r="F89" s="265">
        <x:v>45485</x:v>
      </x:c>
      <x:c r="G89" s="496">
        <x:f t="shared" si="9"/>
        <x:v>-26.5</x:v>
      </x:c>
      <x:c r="H89" s="653">
        <x:f t="shared" si="10"/>
        <x:v>-753886.04499999993</x:v>
      </x:c>
      <x:c r="J89" s="260"/>
      <x:c r="L89" s="260"/>
      <x:c r="M89" s="260"/>
      <x:c r="N89" s="260"/>
    </x:row>
    <x:row r="90" spans="1:14" x14ac:dyDescent="0.25">
      <x:c r="A90" s="2">
        <x:f t="shared" si="8"/>
        <x:v>79</x:v>
      </x:c>
      <x:c r="B90" s="683" t="s">
        <x:v>754</x:v>
      </x:c>
      <x:c r="C90" s="292">
        <x:v>25520</x:v>
      </x:c>
      <x:c r="D90" s="265">
        <x:v>45438.5</x:v>
      </x:c>
      <x:c r="E90" s="781" t="str">
        <x:f t="shared" si="12"/>
        <x:v>Midpoint of Benefit Period</x:v>
      </x:c>
      <x:c r="F90" s="265">
        <x:v>45481</x:v>
      </x:c>
      <x:c r="G90" s="496">
        <x:f t="shared" si="9"/>
        <x:v>-42.5</x:v>
      </x:c>
      <x:c r="H90" s="653">
        <x:f t="shared" si="10"/>
        <x:v>-1084600</x:v>
      </x:c>
      <x:c r="J90" s="260"/>
      <x:c r="L90" s="260"/>
      <x:c r="M90" s="260"/>
      <x:c r="N90" s="260"/>
    </x:row>
    <x:row r="91" spans="1:14" x14ac:dyDescent="0.25">
      <x:c r="A91" s="2">
        <x:f t="shared" si="8"/>
        <x:v>80</x:v>
      </x:c>
      <x:c r="B91" s="683" t="s">
        <x:v>755</x:v>
      </x:c>
      <x:c r="C91" s="292">
        <x:v>27824.2</x:v>
      </x:c>
      <x:c r="D91" s="265">
        <x:v>45245</x:v>
      </x:c>
      <x:c r="E91" s="781" t="str">
        <x:f t="shared" si="12"/>
        <x:v>Midpoint of Benefit Period</x:v>
      </x:c>
      <x:c r="F91" s="265">
        <x:v>45266</x:v>
      </x:c>
      <x:c r="G91" s="496">
        <x:f t="shared" si="9"/>
        <x:v>-21</x:v>
      </x:c>
      <x:c r="H91" s="653">
        <x:f t="shared" si="10"/>
        <x:v>-584308.20000000007</x:v>
      </x:c>
      <x:c r="J91" s="260"/>
      <x:c r="L91" s="260"/>
      <x:c r="M91" s="260"/>
      <x:c r="N91" s="260"/>
    </x:row>
    <x:row r="92" spans="1:14" x14ac:dyDescent="0.25">
      <x:c r="A92" s="2">
        <x:f t="shared" si="8"/>
        <x:v>81</x:v>
      </x:c>
      <x:c r="B92" s="683" t="s">
        <x:v>756</x:v>
      </x:c>
      <x:c r="C92" s="292">
        <x:v>42122.86</x:v>
      </x:c>
      <x:c r="D92" s="265">
        <x:v>45210</x:v>
      </x:c>
      <x:c r="E92" s="781" t="str">
        <x:f t="shared" si="12"/>
        <x:v>Midpoint of Benefit Period</x:v>
      </x:c>
      <x:c r="F92" s="265">
        <x:v>45243</x:v>
      </x:c>
      <x:c r="G92" s="496">
        <x:f t="shared" si="9"/>
        <x:v>-33</x:v>
      </x:c>
      <x:c r="H92" s="653">
        <x:f t="shared" si="10"/>
        <x:v>-1390054.3800000001</x:v>
      </x:c>
      <x:c r="J92" s="260"/>
      <x:c r="L92" s="260"/>
      <x:c r="M92" s="260"/>
      <x:c r="N92" s="260"/>
    </x:row>
    <x:row r="93" spans="1:14" x14ac:dyDescent="0.25">
      <x:c r="A93" s="2">
        <x:f t="shared" si="8"/>
        <x:v>82</x:v>
      </x:c>
      <x:c r="B93" s="683" t="s">
        <x:v>757</x:v>
      </x:c>
      <x:c r="C93" s="292">
        <x:v>62275</x:v>
      </x:c>
      <x:c r="D93" s="265">
        <x:v>45337</x:v>
      </x:c>
      <x:c r="E93" s="781" t="str">
        <x:f t="shared" si="12"/>
        <x:v>Midpoint of Benefit Period</x:v>
      </x:c>
      <x:c r="F93" s="265">
        <x:v>45383</x:v>
      </x:c>
      <x:c r="G93" s="496">
        <x:f t="shared" si="9"/>
        <x:v>-46</x:v>
      </x:c>
      <x:c r="H93" s="653">
        <x:f t="shared" si="10"/>
        <x:v>-2864650</x:v>
      </x:c>
      <x:c r="J93" s="260"/>
      <x:c r="L93" s="260"/>
      <x:c r="M93" s="260"/>
      <x:c r="N93" s="260"/>
    </x:row>
    <x:row r="94" spans="1:14" x14ac:dyDescent="0.25">
      <x:c r="A94" s="2">
        <x:f t="shared" si="8"/>
        <x:v>83</x:v>
      </x:c>
      <x:c r="B94" s="683" t="s">
        <x:v>758</x:v>
      </x:c>
      <x:c r="C94" s="292">
        <x:v>232954</x:v>
      </x:c>
      <x:c r="D94" s="265">
        <x:v>45278</x:v>
      </x:c>
      <x:c r="E94" s="781" t="str">
        <x:f t="shared" si="12"/>
        <x:v>Midpoint of Benefit Period</x:v>
      </x:c>
      <x:c r="F94" s="265">
        <x:v>45309</x:v>
      </x:c>
      <x:c r="G94" s="496">
        <x:f t="shared" si="9"/>
        <x:v>-31</x:v>
      </x:c>
      <x:c r="H94" s="653">
        <x:f t="shared" si="10"/>
        <x:v>-7221574</x:v>
      </x:c>
      <x:c r="J94" s="260"/>
      <x:c r="L94" s="260"/>
      <x:c r="M94" s="260"/>
      <x:c r="N94" s="260"/>
    </x:row>
    <x:row r="95" spans="1:14" x14ac:dyDescent="0.25">
      <x:c r="A95" s="2">
        <x:f t="shared" si="8"/>
        <x:v>84</x:v>
      </x:c>
      <x:c r="B95" s="683" t="s">
        <x:v>759</x:v>
      </x:c>
      <x:c r="C95" s="292">
        <x:v>91912.42</x:v>
      </x:c>
      <x:c r="D95" s="265">
        <x:v>45489</x:v>
      </x:c>
      <x:c r="E95" s="781" t="str">
        <x:f t="shared" si="12"/>
        <x:v>Midpoint of Benefit Period</x:v>
      </x:c>
      <x:c r="F95" s="265">
        <x:v>45527</x:v>
      </x:c>
      <x:c r="G95" s="496">
        <x:f t="shared" si="9"/>
        <x:v>-38</x:v>
      </x:c>
      <x:c r="H95" s="653">
        <x:f t="shared" si="10"/>
        <x:v>-3492671.96</x:v>
      </x:c>
      <x:c r="J95" s="260"/>
      <x:c r="L95" s="260"/>
      <x:c r="M95" s="260"/>
      <x:c r="N95" s="260"/>
    </x:row>
    <x:row r="96" spans="1:14" x14ac:dyDescent="0.25">
      <x:c r="A96" s="2">
        <x:f t="shared" si="8"/>
        <x:v>85</x:v>
      </x:c>
      <x:c r="B96" s="683" t="s">
        <x:v>760</x:v>
      </x:c>
      <x:c r="C96" s="292">
        <x:v>982668.18</x:v>
      </x:c>
      <x:c r="D96" s="265">
        <x:v>45559</x:v>
      </x:c>
      <x:c r="E96" s="781" t="str">
        <x:f t="shared" si="12"/>
        <x:v>Midpoint of Benefit Period</x:v>
      </x:c>
      <x:c r="F96" s="265">
        <x:v>45567</x:v>
      </x:c>
      <x:c r="G96" s="496">
        <x:f t="shared" si="9"/>
        <x:v>-8</x:v>
      </x:c>
      <x:c r="H96" s="653">
        <x:f t="shared" si="10"/>
        <x:v>-7861345.4400000004</x:v>
      </x:c>
      <x:c r="J96" s="260"/>
      <x:c r="L96" s="260"/>
      <x:c r="M96" s="260"/>
      <x:c r="N96" s="260"/>
    </x:row>
    <x:row r="97" spans="1:14" x14ac:dyDescent="0.25">
      <x:c r="A97" s="2">
        <x:f t="shared" si="8"/>
        <x:v>86</x:v>
      </x:c>
      <x:c r="B97" s="683" t="s">
        <x:v>761</x:v>
      </x:c>
      <x:c r="C97" s="292">
        <x:v>50460</x:v>
      </x:c>
      <x:c r="D97" s="265">
        <x:v>45482.5</x:v>
      </x:c>
      <x:c r="E97" s="781" t="str">
        <x:f t="shared" si="12"/>
        <x:v>Midpoint of Benefit Period</x:v>
      </x:c>
      <x:c r="F97" s="265">
        <x:v>45563</x:v>
      </x:c>
      <x:c r="G97" s="496">
        <x:f t="shared" si="9"/>
        <x:v>-80.5</x:v>
      </x:c>
      <x:c r="H97" s="653">
        <x:f t="shared" si="10"/>
        <x:v>-4062030</x:v>
      </x:c>
      <x:c r="J97" s="260"/>
      <x:c r="L97" s="260"/>
      <x:c r="M97" s="260"/>
      <x:c r="N97" s="260"/>
    </x:row>
    <x:row r="98" spans="1:14" x14ac:dyDescent="0.25">
      <x:c r="A98" s="2">
        <x:f t="shared" si="8"/>
        <x:v>87</x:v>
      </x:c>
      <x:c r="B98" s="683" t="s">
        <x:v>762</x:v>
      </x:c>
      <x:c r="C98" s="292">
        <x:v>41655.440000000002</x:v>
      </x:c>
      <x:c r="D98" s="265">
        <x:v>45433.5</x:v>
      </x:c>
      <x:c r="E98" s="781" t="str">
        <x:f t="shared" si="12"/>
        <x:v>Midpoint of Benefit Period</x:v>
      </x:c>
      <x:c r="F98" s="265">
        <x:v>45498</x:v>
      </x:c>
      <x:c r="G98" s="496">
        <x:f t="shared" si="9"/>
        <x:v>-64.5</x:v>
      </x:c>
      <x:c r="H98" s="653">
        <x:f t="shared" si="10"/>
        <x:v>-2686775.8800000004</x:v>
      </x:c>
      <x:c r="J98" s="260"/>
      <x:c r="L98" s="260"/>
      <x:c r="M98" s="260"/>
      <x:c r="N98" s="260"/>
    </x:row>
    <x:row r="99" spans="1:14" x14ac:dyDescent="0.25">
      <x:c r="A99" s="2">
        <x:f t="shared" si="8"/>
        <x:v>88</x:v>
      </x:c>
      <x:c r="B99" s="683" t="s">
        <x:v>763</x:v>
      </x:c>
      <x:c r="C99" s="292">
        <x:v>41497.33</x:v>
      </x:c>
      <x:c r="D99" s="265">
        <x:v>45213.5</x:v>
      </x:c>
      <x:c r="E99" s="781" t="str">
        <x:f t="shared" si="12"/>
        <x:v>Midpoint of Benefit Period</x:v>
      </x:c>
      <x:c r="F99" s="265">
        <x:v>45274</x:v>
      </x:c>
      <x:c r="G99" s="496">
        <x:f t="shared" si="9"/>
        <x:v>-60.5</x:v>
      </x:c>
      <x:c r="H99" s="653">
        <x:f t="shared" si="10"/>
        <x:v>-2510588.4650000003</x:v>
      </x:c>
      <x:c r="J99" s="260"/>
      <x:c r="L99" s="260"/>
      <x:c r="M99" s="260"/>
      <x:c r="N99" s="260"/>
    </x:row>
    <x:row r="100" spans="1:14" x14ac:dyDescent="0.25">
      <x:c r="A100" s="2">
        <x:f t="shared" si="8"/>
        <x:v>89</x:v>
      </x:c>
      <x:c r="B100" s="683" t="s">
        <x:v>764</x:v>
      </x:c>
      <x:c r="C100" s="292">
        <x:v>28350</x:v>
      </x:c>
      <x:c r="D100" s="265">
        <x:v>45306</x:v>
      </x:c>
      <x:c r="E100" s="781" t="str">
        <x:f t="shared" si="12"/>
        <x:v>Midpoint of Benefit Period</x:v>
      </x:c>
      <x:c r="F100" s="265">
        <x:v>45408</x:v>
      </x:c>
      <x:c r="G100" s="496">
        <x:f t="shared" si="9"/>
        <x:v>-102</x:v>
      </x:c>
      <x:c r="H100" s="653">
        <x:f t="shared" si="10"/>
        <x:v>-2891700</x:v>
      </x:c>
      <x:c r="J100" s="260"/>
      <x:c r="L100" s="260"/>
      <x:c r="M100" s="260"/>
      <x:c r="N100" s="260"/>
    </x:row>
    <x:row r="101" spans="1:14" x14ac:dyDescent="0.25">
      <x:c r="A101" s="2">
        <x:f t="shared" si="8"/>
        <x:v>90</x:v>
      </x:c>
      <x:c r="B101" s="683" t="s">
        <x:v>765</x:v>
      </x:c>
      <x:c r="C101" s="292">
        <x:v>43212.09</x:v>
      </x:c>
      <x:c r="D101" s="265">
        <x:v>45366.5</x:v>
      </x:c>
      <x:c r="E101" s="781" t="str">
        <x:f t="shared" si="12"/>
        <x:v>Midpoint of Benefit Period</x:v>
      </x:c>
      <x:c r="F101" s="265">
        <x:v>45462</x:v>
      </x:c>
      <x:c r="G101" s="496">
        <x:f t="shared" si="9"/>
        <x:v>-95.5</x:v>
      </x:c>
      <x:c r="H101" s="653">
        <x:f t="shared" si="10"/>
        <x:v>-4126754.5949999997</x:v>
      </x:c>
      <x:c r="J101" s="260"/>
      <x:c r="L101" s="260"/>
      <x:c r="M101" s="260"/>
      <x:c r="N101" s="260"/>
    </x:row>
    <x:row r="102" spans="1:14" x14ac:dyDescent="0.25">
      <x:c r="A102" s="2">
        <x:f t="shared" si="8"/>
        <x:v>91</x:v>
      </x:c>
      <x:c r="B102" s="683" t="s">
        <x:v>766</x:v>
      </x:c>
      <x:c r="C102" s="292">
        <x:v>30012.09</x:v>
      </x:c>
      <x:c r="D102" s="265">
        <x:v>45186.5</x:v>
      </x:c>
      <x:c r="E102" s="781" t="str">
        <x:f t="shared" si="12"/>
        <x:v>Midpoint of Benefit Period</x:v>
      </x:c>
      <x:c r="F102" s="265">
        <x:v>45308</x:v>
      </x:c>
      <x:c r="G102" s="496">
        <x:f t="shared" si="9"/>
        <x:v>-121.5</x:v>
      </x:c>
      <x:c r="H102" s="653">
        <x:f t="shared" si="10"/>
        <x:v>-3646468.9350000001</x:v>
      </x:c>
      <x:c r="J102" s="260"/>
      <x:c r="L102" s="260"/>
      <x:c r="M102" s="260"/>
      <x:c r="N102" s="260"/>
    </x:row>
    <x:row r="103" spans="1:14" x14ac:dyDescent="0.25">
      <x:c r="A103" s="2">
        <x:f t="shared" si="8"/>
        <x:v>92</x:v>
      </x:c>
      <x:c r="B103" s="683" t="s">
        <x:v>767</x:v>
      </x:c>
      <x:c r="C103" s="292">
        <x:v>47891</x:v>
      </x:c>
      <x:c r="D103" s="265">
        <x:v>45438.5</x:v>
      </x:c>
      <x:c r="E103" s="781" t="str">
        <x:f t="shared" si="12"/>
        <x:v>Midpoint of Benefit Period</x:v>
      </x:c>
      <x:c r="F103" s="265">
        <x:v>45481</x:v>
      </x:c>
      <x:c r="G103" s="496">
        <x:f t="shared" si="9"/>
        <x:v>-42.5</x:v>
      </x:c>
      <x:c r="H103" s="653">
        <x:f t="shared" si="10"/>
        <x:v>-2035367.5</x:v>
      </x:c>
      <x:c r="J103" s="260"/>
      <x:c r="L103" s="260"/>
      <x:c r="M103" s="260"/>
      <x:c r="N103" s="260"/>
    </x:row>
    <x:row r="104" spans="1:14" x14ac:dyDescent="0.25">
      <x:c r="A104" s="2">
        <x:f t="shared" si="8"/>
        <x:v>93</x:v>
      </x:c>
      <x:c r="B104" s="683" t="s">
        <x:v>768</x:v>
      </x:c>
      <x:c r="C104" s="292">
        <x:v>50600</x:v>
      </x:c>
      <x:c r="D104" s="265">
        <x:v>45406</x:v>
      </x:c>
      <x:c r="E104" s="781" t="str">
        <x:f t="shared" si="12"/>
        <x:v>Midpoint of Benefit Period</x:v>
      </x:c>
      <x:c r="F104" s="265">
        <x:v>45444</x:v>
      </x:c>
      <x:c r="G104" s="496">
        <x:f t="shared" si="9"/>
        <x:v>-38</x:v>
      </x:c>
      <x:c r="H104" s="653">
        <x:f t="shared" si="10"/>
        <x:v>-1922800</x:v>
      </x:c>
      <x:c r="J104" s="260"/>
      <x:c r="L104" s="260"/>
      <x:c r="M104" s="260"/>
      <x:c r="N104" s="260"/>
    </x:row>
    <x:row r="105" spans="1:14" x14ac:dyDescent="0.25">
      <x:c r="A105" s="2">
        <x:f t="shared" si="8"/>
        <x:v>94</x:v>
      </x:c>
      <x:c r="B105" s="683" t="s">
        <x:v>769</x:v>
      </x:c>
      <x:c r="C105" s="292">
        <x:v>82564.05</x:v>
      </x:c>
      <x:c r="D105" s="265">
        <x:v>45426</x:v>
      </x:c>
      <x:c r="E105" s="781" t="str">
        <x:f t="shared" si="12"/>
        <x:v>Midpoint of Benefit Period</x:v>
      </x:c>
      <x:c r="F105" s="265">
        <x:v>45469</x:v>
      </x:c>
      <x:c r="G105" s="496">
        <x:f t="shared" si="9"/>
        <x:v>-43</x:v>
      </x:c>
      <x:c r="H105" s="653">
        <x:f t="shared" si="10"/>
        <x:v>-3550254.15</x:v>
      </x:c>
      <x:c r="J105" s="260"/>
      <x:c r="L105" s="260"/>
      <x:c r="M105" s="260"/>
      <x:c r="N105" s="260"/>
    </x:row>
    <x:row r="106" spans="1:14" x14ac:dyDescent="0.25">
      <x:c r="A106" s="2">
        <x:f t="shared" si="8"/>
        <x:v>95</x:v>
      </x:c>
      <x:c r="B106" s="683" t="s">
        <x:v>770</x:v>
      </x:c>
      <x:c r="C106" s="292">
        <x:v>37800</x:v>
      </x:c>
      <x:c r="D106" s="265">
        <x:v>45179</x:v>
      </x:c>
      <x:c r="E106" s="781" t="str">
        <x:f t="shared" si="12"/>
        <x:v>Midpoint of Benefit Period</x:v>
      </x:c>
      <x:c r="F106" s="265">
        <x:v>45231</x:v>
      </x:c>
      <x:c r="G106" s="496">
        <x:f t="shared" si="9"/>
        <x:v>-52</x:v>
      </x:c>
      <x:c r="H106" s="653">
        <x:f t="shared" si="10"/>
        <x:v>-1965600</x:v>
      </x:c>
      <x:c r="J106" s="260"/>
      <x:c r="L106" s="260"/>
      <x:c r="M106" s="260"/>
      <x:c r="N106" s="260"/>
    </x:row>
    <x:row r="107" spans="1:14" x14ac:dyDescent="0.25">
      <x:c r="A107" s="2">
        <x:f t="shared" ref="A107:A150" si="13">A106+1</x:f>
        <x:v>96</x:v>
      </x:c>
      <x:c r="B107" s="683" t="s">
        <x:v>771</x:v>
      </x:c>
      <x:c r="C107" s="292">
        <x:v>39150</x:v>
      </x:c>
      <x:c r="D107" s="265">
        <x:v>45424.5</x:v>
      </x:c>
      <x:c r="E107" s="781" t="str">
        <x:f t="shared" si="12"/>
        <x:v>Midpoint of Benefit Period</x:v>
      </x:c>
      <x:c r="F107" s="265">
        <x:v>45476</x:v>
      </x:c>
      <x:c r="G107" s="496">
        <x:f t="shared" si="9"/>
        <x:v>-51.5</x:v>
      </x:c>
      <x:c r="H107" s="653">
        <x:f t="shared" si="10"/>
        <x:v>-2016225</x:v>
      </x:c>
      <x:c r="J107" s="260"/>
      <x:c r="L107" s="260"/>
      <x:c r="M107" s="260"/>
      <x:c r="N107" s="260"/>
    </x:row>
    <x:row r="108" spans="1:14" x14ac:dyDescent="0.25">
      <x:c r="A108" s="2">
        <x:f t="shared" si="13"/>
        <x:v>97</x:v>
      </x:c>
      <x:c r="B108" s="683" t="s">
        <x:v>772</x:v>
      </x:c>
      <x:c r="C108" s="292">
        <x:v>50000</x:v>
      </x:c>
      <x:c r="D108" s="265">
        <x:v>45433</x:v>
      </x:c>
      <x:c r="E108" s="781" t="str">
        <x:f t="shared" si="12"/>
        <x:v>Midpoint of Benefit Period</x:v>
      </x:c>
      <x:c r="F108" s="265">
        <x:v>45456</x:v>
      </x:c>
      <x:c r="G108" s="496">
        <x:f t="shared" si="9"/>
        <x:v>-23</x:v>
      </x:c>
      <x:c r="H108" s="653">
        <x:f t="shared" si="10"/>
        <x:v>-1150000</x:v>
      </x:c>
      <x:c r="J108" s="260"/>
      <x:c r="L108" s="260"/>
      <x:c r="M108" s="260"/>
      <x:c r="N108" s="260"/>
    </x:row>
    <x:row r="109" spans="1:14" x14ac:dyDescent="0.25">
      <x:c r="A109" s="2">
        <x:f t="shared" si="13"/>
        <x:v>98</x:v>
      </x:c>
      <x:c r="B109" s="683" t="s">
        <x:v>773</x:v>
      </x:c>
      <x:c r="C109" s="292">
        <x:v>45742.97</x:v>
      </x:c>
      <x:c r="D109" s="265">
        <x:v>45307</x:v>
      </x:c>
      <x:c r="E109" s="781" t="str">
        <x:f t="shared" si="12"/>
        <x:v>Midpoint of Benefit Period</x:v>
      </x:c>
      <x:c r="F109" s="265">
        <x:v>45430</x:v>
      </x:c>
      <x:c r="G109" s="496">
        <x:f t="shared" si="9"/>
        <x:v>-123</x:v>
      </x:c>
      <x:c r="H109" s="653">
        <x:f t="shared" si="10"/>
        <x:v>-5626385.3100000005</x:v>
      </x:c>
      <x:c r="J109" s="260"/>
      <x:c r="L109" s="260"/>
      <x:c r="M109" s="260"/>
      <x:c r="N109" s="260"/>
    </x:row>
    <x:row r="110" spans="1:14" x14ac:dyDescent="0.25">
      <x:c r="A110" s="2">
        <x:f t="shared" si="13"/>
        <x:v>99</x:v>
      </x:c>
      <x:c r="B110" s="683" t="s">
        <x:v>774</x:v>
      </x:c>
      <x:c r="C110" s="292">
        <x:v>96412.09</x:v>
      </x:c>
      <x:c r="D110" s="265">
        <x:v>45367.5</x:v>
      </x:c>
      <x:c r="E110" s="781" t="str">
        <x:f t="shared" si="12"/>
        <x:v>Midpoint of Benefit Period</x:v>
      </x:c>
      <x:c r="F110" s="265">
        <x:v>45512</x:v>
      </x:c>
      <x:c r="G110" s="496">
        <x:f t="shared" si="9"/>
        <x:v>-144.5</x:v>
      </x:c>
      <x:c r="H110" s="653">
        <x:f t="shared" si="10"/>
        <x:v>-13931547.004999999</x:v>
      </x:c>
      <x:c r="J110" s="260"/>
      <x:c r="L110" s="260"/>
      <x:c r="M110" s="260"/>
      <x:c r="N110" s="260"/>
    </x:row>
    <x:row r="111" spans="1:14" x14ac:dyDescent="0.25">
      <x:c r="A111" s="2">
        <x:f t="shared" si="13"/>
        <x:v>100</x:v>
      </x:c>
      <x:c r="B111" s="683" t="s">
        <x:v>775</x:v>
      </x:c>
      <x:c r="C111" s="292">
        <x:v>104407.02</x:v>
      </x:c>
      <x:c r="D111" s="265">
        <x:v>45441.5</x:v>
      </x:c>
      <x:c r="E111" s="781" t="str">
        <x:f t="shared" si="12"/>
        <x:v>Midpoint of Benefit Period</x:v>
      </x:c>
      <x:c r="F111" s="265">
        <x:v>45498</x:v>
      </x:c>
      <x:c r="G111" s="496">
        <x:f t="shared" si="9"/>
        <x:v>-56.5</x:v>
      </x:c>
      <x:c r="H111" s="653">
        <x:f t="shared" si="10"/>
        <x:v>-5898996.6299999999</x:v>
      </x:c>
      <x:c r="J111" s="260"/>
      <x:c r="L111" s="260"/>
      <x:c r="M111" s="260"/>
      <x:c r="N111" s="260"/>
    </x:row>
    <x:row r="112" spans="1:14" x14ac:dyDescent="0.25">
      <x:c r="A112" s="2">
        <x:f t="shared" si="13"/>
        <x:v>101</x:v>
      </x:c>
      <x:c r="B112" s="683" t="s">
        <x:v>776</x:v>
      </x:c>
      <x:c r="C112" s="292">
        <x:v>131119.79999999999</x:v>
      </x:c>
      <x:c r="D112" s="265">
        <x:v>45458.5</x:v>
      </x:c>
      <x:c r="E112" s="781" t="str">
        <x:f t="shared" si="12"/>
        <x:v>Midpoint of Benefit Period</x:v>
      </x:c>
      <x:c r="F112" s="265">
        <x:v>45483</x:v>
      </x:c>
      <x:c r="G112" s="496">
        <x:f t="shared" si="9"/>
        <x:v>-24.5</x:v>
      </x:c>
      <x:c r="H112" s="653">
        <x:f t="shared" si="10"/>
        <x:v>-3212435.0999999996</x:v>
      </x:c>
      <x:c r="J112" s="260"/>
      <x:c r="L112" s="260"/>
      <x:c r="M112" s="260"/>
      <x:c r="N112" s="260"/>
    </x:row>
    <x:row r="113" spans="1:14" x14ac:dyDescent="0.25">
      <x:c r="A113" s="2">
        <x:f t="shared" si="13"/>
        <x:v>102</x:v>
      </x:c>
      <x:c r="B113" s="683" t="s">
        <x:v>777</x:v>
      </x:c>
      <x:c r="C113" s="292">
        <x:v>75647</x:v>
      </x:c>
      <x:c r="D113" s="265">
        <x:v>45444.5</x:v>
      </x:c>
      <x:c r="E113" s="781" t="str">
        <x:f t="shared" si="12"/>
        <x:v>Midpoint of Benefit Period</x:v>
      </x:c>
      <x:c r="F113" s="265">
        <x:v>45510</x:v>
      </x:c>
      <x:c r="G113" s="496">
        <x:f t="shared" si="9"/>
        <x:v>-65.5</x:v>
      </x:c>
      <x:c r="H113" s="653">
        <x:f t="shared" si="10"/>
        <x:v>-4954878.5</x:v>
      </x:c>
      <x:c r="J113" s="260"/>
      <x:c r="L113" s="260"/>
      <x:c r="M113" s="260"/>
      <x:c r="N113" s="260"/>
    </x:row>
    <x:row r="114" spans="1:14" x14ac:dyDescent="0.25">
      <x:c r="A114" s="2">
        <x:f t="shared" si="13"/>
        <x:v>103</x:v>
      </x:c>
      <x:c r="B114" s="683" t="s">
        <x:v>778</x:v>
      </x:c>
      <x:c r="C114" s="292">
        <x:v>46092.85</x:v>
      </x:c>
      <x:c r="D114" s="265">
        <x:v>45338</x:v>
      </x:c>
      <x:c r="E114" s="781" t="str">
        <x:f t="shared" si="12"/>
        <x:v>Midpoint of Benefit Period</x:v>
      </x:c>
      <x:c r="F114" s="265">
        <x:v>45368</x:v>
      </x:c>
      <x:c r="G114" s="496">
        <x:f t="shared" si="9"/>
        <x:v>-30</x:v>
      </x:c>
      <x:c r="H114" s="653">
        <x:f t="shared" si="10"/>
        <x:v>-1382785.5</x:v>
      </x:c>
      <x:c r="J114" s="260"/>
      <x:c r="L114" s="260"/>
      <x:c r="M114" s="260"/>
      <x:c r="N114" s="260"/>
    </x:row>
    <x:row r="115" spans="1:14" x14ac:dyDescent="0.25">
      <x:c r="A115" s="2">
        <x:f t="shared" si="13"/>
        <x:v>104</x:v>
      </x:c>
      <x:c r="B115" s="683" t="s">
        <x:v>779</x:v>
      </x:c>
      <x:c r="C115" s="292">
        <x:v>27930.5</x:v>
      </x:c>
      <x:c r="D115" s="265">
        <x:v>45276</x:v>
      </x:c>
      <x:c r="E115" s="781" t="str">
        <x:f t="shared" si="12"/>
        <x:v>Midpoint of Benefit Period</x:v>
      </x:c>
      <x:c r="F115" s="265">
        <x:v>45369</x:v>
      </x:c>
      <x:c r="G115" s="496">
        <x:f t="shared" si="9"/>
        <x:v>-93</x:v>
      </x:c>
      <x:c r="H115" s="653">
        <x:f t="shared" si="10"/>
        <x:v>-2597536.5</x:v>
      </x:c>
      <x:c r="J115" s="260"/>
      <x:c r="L115" s="260"/>
      <x:c r="M115" s="260"/>
      <x:c r="N115" s="260"/>
    </x:row>
    <x:row r="116" spans="1:14" x14ac:dyDescent="0.25">
      <x:c r="A116" s="2">
        <x:f t="shared" si="13"/>
        <x:v>105</x:v>
      </x:c>
      <x:c r="B116" s="683" t="s">
        <x:v>780</x:v>
      </x:c>
      <x:c r="C116" s="292">
        <x:v>263910.15000000002</x:v>
      </x:c>
      <x:c r="D116" s="265">
        <x:v>45452</x:v>
      </x:c>
      <x:c r="E116" s="781" t="str">
        <x:f t="shared" si="12"/>
        <x:v>Midpoint of Benefit Period</x:v>
      </x:c>
      <x:c r="F116" s="265">
        <x:v>45525</x:v>
      </x:c>
      <x:c r="G116" s="496">
        <x:f t="shared" si="9"/>
        <x:v>-73</x:v>
      </x:c>
      <x:c r="H116" s="653">
        <x:f t="shared" si="10"/>
        <x:v>-19265440.950000003</x:v>
      </x:c>
      <x:c r="J116" s="260"/>
      <x:c r="L116" s="260"/>
      <x:c r="M116" s="260"/>
      <x:c r="N116" s="260"/>
    </x:row>
    <x:row r="117" spans="1:14" x14ac:dyDescent="0.25">
      <x:c r="A117" s="2">
        <x:f t="shared" si="13"/>
        <x:v>106</x:v>
      </x:c>
      <x:c r="B117" s="683" t="s">
        <x:v>781</x:v>
      </x:c>
      <x:c r="C117" s="292">
        <x:v>35561.43</x:v>
      </x:c>
      <x:c r="D117" s="265">
        <x:v>45436.5</x:v>
      </x:c>
      <x:c r="E117" s="781" t="str">
        <x:f t="shared" si="12"/>
        <x:v>Midpoint of Benefit Period</x:v>
      </x:c>
      <x:c r="F117" s="265">
        <x:v>45476</x:v>
      </x:c>
      <x:c r="G117" s="496">
        <x:f t="shared" si="9"/>
        <x:v>-39.5</x:v>
      </x:c>
      <x:c r="H117" s="653">
        <x:f t="shared" si="10"/>
        <x:v>-1404676.4850000001</x:v>
      </x:c>
      <x:c r="J117" s="260"/>
      <x:c r="L117" s="260"/>
      <x:c r="M117" s="260"/>
      <x:c r="N117" s="260"/>
    </x:row>
    <x:row r="118" spans="1:14" x14ac:dyDescent="0.25">
      <x:c r="A118" s="2">
        <x:f t="shared" si="13"/>
        <x:v>107</x:v>
      </x:c>
      <x:c r="B118" s="683" t="s">
        <x:v>782</x:v>
      </x:c>
      <x:c r="C118" s="292">
        <x:v>351773.34</x:v>
      </x:c>
      <x:c r="D118" s="265">
        <x:v>45442</x:v>
      </x:c>
      <x:c r="E118" s="781" t="str">
        <x:f t="shared" si="12"/>
        <x:v>Midpoint of Benefit Period</x:v>
      </x:c>
      <x:c r="F118" s="265">
        <x:v>45532</x:v>
      </x:c>
      <x:c r="G118" s="496">
        <x:f t="shared" si="9"/>
        <x:v>-90</x:v>
      </x:c>
      <x:c r="H118" s="653">
        <x:f t="shared" si="10"/>
        <x:v>-31659600.600000001</x:v>
      </x:c>
      <x:c r="J118" s="260"/>
      <x:c r="L118" s="260"/>
      <x:c r="M118" s="260"/>
      <x:c r="N118" s="260"/>
    </x:row>
    <x:row r="119" spans="1:14" x14ac:dyDescent="0.25">
      <x:c r="A119" s="2">
        <x:f t="shared" si="13"/>
        <x:v>108</x:v>
      </x:c>
      <x:c r="B119" s="683" t="s">
        <x:v>783</x:v>
      </x:c>
      <x:c r="C119" s="292">
        <x:v>25605.85</x:v>
      </x:c>
      <x:c r="D119" s="265">
        <x:v>45344</x:v>
      </x:c>
      <x:c r="E119" s="781" t="str">
        <x:f t="shared" si="12"/>
        <x:v>Midpoint of Benefit Period</x:v>
      </x:c>
      <x:c r="F119" s="265">
        <x:v>45382</x:v>
      </x:c>
      <x:c r="G119" s="496">
        <x:f t="shared" si="9"/>
        <x:v>-38</x:v>
      </x:c>
      <x:c r="H119" s="653">
        <x:f t="shared" si="10"/>
        <x:v>-973022.29999999993</x:v>
      </x:c>
      <x:c r="J119" s="260"/>
      <x:c r="L119" s="260"/>
      <x:c r="M119" s="260"/>
      <x:c r="N119" s="260"/>
    </x:row>
    <x:row r="120" spans="1:14" x14ac:dyDescent="0.25">
      <x:c r="A120" s="2">
        <x:f t="shared" si="13"/>
        <x:v>109</x:v>
      </x:c>
      <x:c r="B120" s="683" t="s">
        <x:v>784</x:v>
      </x:c>
      <x:c r="C120" s="292">
        <x:v>30865.39</x:v>
      </x:c>
      <x:c r="D120" s="265">
        <x:v>45345</x:v>
      </x:c>
      <x:c r="E120" s="781" t="str">
        <x:f t="shared" si="12"/>
        <x:v>Midpoint of Benefit Period</x:v>
      </x:c>
      <x:c r="F120" s="265">
        <x:v>45375</x:v>
      </x:c>
      <x:c r="G120" s="496">
        <x:f t="shared" si="9"/>
        <x:v>-30</x:v>
      </x:c>
      <x:c r="H120" s="653">
        <x:f t="shared" si="10"/>
        <x:v>-925961.7</x:v>
      </x:c>
      <x:c r="J120" s="260"/>
      <x:c r="L120" s="260"/>
      <x:c r="M120" s="260"/>
      <x:c r="N120" s="260"/>
    </x:row>
    <x:row r="121" spans="1:14" x14ac:dyDescent="0.25">
      <x:c r="A121" s="2">
        <x:f t="shared" si="13"/>
        <x:v>110</x:v>
      </x:c>
      <x:c r="B121" s="683" t="s">
        <x:v>785</x:v>
      </x:c>
      <x:c r="C121" s="292">
        <x:v>59341.25</x:v>
      </x:c>
      <x:c r="D121" s="265">
        <x:v>45444</x:v>
      </x:c>
      <x:c r="E121" s="781" t="str">
        <x:f t="shared" si="12"/>
        <x:v>Midpoint of Benefit Period</x:v>
      </x:c>
      <x:c r="F121" s="265">
        <x:v>45532</x:v>
      </x:c>
      <x:c r="G121" s="496">
        <x:f t="shared" si="9"/>
        <x:v>-88</x:v>
      </x:c>
      <x:c r="H121" s="653">
        <x:f t="shared" si="10"/>
        <x:v>-5222030</x:v>
      </x:c>
      <x:c r="J121" s="260"/>
      <x:c r="L121" s="260"/>
      <x:c r="M121" s="260"/>
      <x:c r="N121" s="260"/>
    </x:row>
    <x:row r="122" spans="1:14" x14ac:dyDescent="0.25">
      <x:c r="A122" s="2">
        <x:f t="shared" si="13"/>
        <x:v>111</x:v>
      </x:c>
      <x:c r="B122" s="683" t="s">
        <x:v>786</x:v>
      </x:c>
      <x:c r="C122" s="292">
        <x:v>44734.65</x:v>
      </x:c>
      <x:c r="D122" s="265">
        <x:v>45367</x:v>
      </x:c>
      <x:c r="E122" s="781" t="str">
        <x:f t="shared" si="12"/>
        <x:v>Midpoint of Benefit Period</x:v>
      </x:c>
      <x:c r="F122" s="265">
        <x:v>45420</x:v>
      </x:c>
      <x:c r="G122" s="496">
        <x:f t="shared" ref="G122:G141" si="14">D122-F122</x:f>
        <x:v>-53</x:v>
      </x:c>
      <x:c r="H122" s="653">
        <x:f t="shared" ref="H122:H141" si="15">IF(ISERR(G122*C122),"",G122*C122)</x:f>
        <x:v>-2370936.4500000002</x:v>
      </x:c>
      <x:c r="J122" s="260"/>
      <x:c r="L122" s="260"/>
      <x:c r="M122" s="260"/>
      <x:c r="N122" s="260"/>
    </x:row>
    <x:row r="123" spans="1:14" x14ac:dyDescent="0.25">
      <x:c r="A123" s="2">
        <x:f t="shared" si="13"/>
        <x:v>112</x:v>
      </x:c>
      <x:c r="B123" s="683" t="s">
        <x:v>787</x:v>
      </x:c>
      <x:c r="C123" s="292">
        <x:v>29749.5</x:v>
      </x:c>
      <x:c r="D123" s="265">
        <x:v>45442.5</x:v>
      </x:c>
      <x:c r="E123" s="781" t="str">
        <x:f t="shared" si="12"/>
        <x:v>Midpoint of Benefit Period</x:v>
      </x:c>
      <x:c r="F123" s="265">
        <x:v>45553</x:v>
      </x:c>
      <x:c r="G123" s="496">
        <x:f t="shared" si="14"/>
        <x:v>-110.5</x:v>
      </x:c>
      <x:c r="H123" s="653">
        <x:f t="shared" si="15"/>
        <x:v>-3287319.75</x:v>
      </x:c>
      <x:c r="J123" s="260"/>
      <x:c r="L123" s="260"/>
      <x:c r="M123" s="260"/>
      <x:c r="N123" s="260"/>
    </x:row>
    <x:row r="124" spans="1:14" x14ac:dyDescent="0.25">
      <x:c r="A124" s="2">
        <x:f t="shared" si="13"/>
        <x:v>113</x:v>
      </x:c>
      <x:c r="B124" s="683" t="s">
        <x:v>788</x:v>
      </x:c>
      <x:c r="C124" s="292">
        <x:v>63047.78</x:v>
      </x:c>
      <x:c r="D124" s="265">
        <x:v>45446.5</x:v>
      </x:c>
      <x:c r="E124" s="781" t="str">
        <x:f t="shared" si="12"/>
        <x:v>Midpoint of Benefit Period</x:v>
      </x:c>
      <x:c r="F124" s="265">
        <x:v>45485</x:v>
      </x:c>
      <x:c r="G124" s="496">
        <x:f t="shared" si="14"/>
        <x:v>-38.5</x:v>
      </x:c>
      <x:c r="H124" s="653">
        <x:f t="shared" si="15"/>
        <x:v>-2427339.5299999998</x:v>
      </x:c>
      <x:c r="J124" s="260"/>
      <x:c r="L124" s="260"/>
      <x:c r="M124" s="260"/>
      <x:c r="N124" s="260"/>
    </x:row>
    <x:row r="125" spans="1:14" x14ac:dyDescent="0.25">
      <x:c r="A125" s="2">
        <x:f t="shared" si="13"/>
        <x:v>114</x:v>
      </x:c>
      <x:c r="B125" s="683" t="s">
        <x:v>789</x:v>
      </x:c>
      <x:c r="C125" s="292">
        <x:v>43603.1</x:v>
      </x:c>
      <x:c r="D125" s="265">
        <x:v>45459</x:v>
      </x:c>
      <x:c r="E125" s="781" t="str">
        <x:f t="shared" si="12"/>
        <x:v>Midpoint of Benefit Period</x:v>
      </x:c>
      <x:c r="F125" s="265">
        <x:v>45489</x:v>
      </x:c>
      <x:c r="G125" s="496">
        <x:f t="shared" si="14"/>
        <x:v>-30</x:v>
      </x:c>
      <x:c r="H125" s="653">
        <x:f t="shared" si="15"/>
        <x:v>-1308093</x:v>
      </x:c>
      <x:c r="J125" s="260"/>
      <x:c r="L125" s="260"/>
      <x:c r="M125" s="260"/>
      <x:c r="N125" s="260"/>
    </x:row>
    <x:row r="126" spans="1:14" x14ac:dyDescent="0.25">
      <x:c r="A126" s="2">
        <x:f t="shared" si="13"/>
        <x:v>115</x:v>
      </x:c>
      <x:c r="B126" s="683" t="s">
        <x:v>790</x:v>
      </x:c>
      <x:c r="C126" s="292">
        <x:v>62275</x:v>
      </x:c>
      <x:c r="D126" s="265">
        <x:v>45428</x:v>
      </x:c>
      <x:c r="E126" s="781" t="str">
        <x:f t="shared" si="12"/>
        <x:v>Midpoint of Benefit Period</x:v>
      </x:c>
      <x:c r="F126" s="265">
        <x:v>45453</x:v>
      </x:c>
      <x:c r="G126" s="496">
        <x:f t="shared" si="14"/>
        <x:v>-25</x:v>
      </x:c>
      <x:c r="H126" s="653">
        <x:f t="shared" si="15"/>
        <x:v>-1556875</x:v>
      </x:c>
      <x:c r="J126" s="260"/>
      <x:c r="L126" s="260"/>
      <x:c r="M126" s="260"/>
      <x:c r="N126" s="260"/>
    </x:row>
    <x:row r="127" spans="1:14" x14ac:dyDescent="0.25">
      <x:c r="A127" s="2">
        <x:f t="shared" si="13"/>
        <x:v>116</x:v>
      </x:c>
      <x:c r="B127" s="683" t="s">
        <x:v>791</x:v>
      </x:c>
      <x:c r="C127" s="292">
        <x:v>26789</x:v>
      </x:c>
      <x:c r="D127" s="265">
        <x:v>45367</x:v>
      </x:c>
      <x:c r="E127" s="781" t="str">
        <x:f t="shared" si="12"/>
        <x:v>Midpoint of Benefit Period</x:v>
      </x:c>
      <x:c r="F127" s="265">
        <x:v>45428</x:v>
      </x:c>
      <x:c r="G127" s="496">
        <x:f t="shared" si="14"/>
        <x:v>-61</x:v>
      </x:c>
      <x:c r="H127" s="653">
        <x:f t="shared" si="15"/>
        <x:v>-1634129</x:v>
      </x:c>
      <x:c r="J127" s="260"/>
      <x:c r="L127" s="260"/>
      <x:c r="M127" s="260"/>
      <x:c r="N127" s="260"/>
    </x:row>
    <x:row r="128" spans="1:14" x14ac:dyDescent="0.25">
      <x:c r="A128" s="2">
        <x:f t="shared" si="13"/>
        <x:v>117</x:v>
      </x:c>
      <x:c r="B128" s="683" t="s">
        <x:v>792</x:v>
      </x:c>
      <x:c r="C128" s="292">
        <x:v>29122.31</x:v>
      </x:c>
      <x:c r="D128" s="265">
        <x:v>45392</x:v>
      </x:c>
      <x:c r="E128" s="781" t="str">
        <x:f t="shared" si="12"/>
        <x:v>Midpoint of Benefit Period</x:v>
      </x:c>
      <x:c r="F128" s="265">
        <x:v>45431</x:v>
      </x:c>
      <x:c r="G128" s="496">
        <x:f t="shared" si="14"/>
        <x:v>-39</x:v>
      </x:c>
      <x:c r="H128" s="653">
        <x:f t="shared" si="15"/>
        <x:v>-1135770.0900000001</x:v>
      </x:c>
      <x:c r="J128" s="260"/>
      <x:c r="L128" s="260"/>
      <x:c r="M128" s="260"/>
      <x:c r="N128" s="260"/>
    </x:row>
    <x:row r="129" spans="1:14" x14ac:dyDescent="0.25">
      <x:c r="A129" s="2">
        <x:f t="shared" si="13"/>
        <x:v>118</x:v>
      </x:c>
      <x:c r="B129" s="683" t="s">
        <x:v>793</x:v>
      </x:c>
      <x:c r="C129" s="292">
        <x:v>46375</x:v>
      </x:c>
      <x:c r="D129" s="265">
        <x:v>45276</x:v>
      </x:c>
      <x:c r="E129" s="781" t="str">
        <x:f t="shared" si="12"/>
        <x:v>Midpoint of Benefit Period</x:v>
      </x:c>
      <x:c r="F129" s="265">
        <x:v>45324</x:v>
      </x:c>
      <x:c r="G129" s="496">
        <x:f t="shared" si="14"/>
        <x:v>-48</x:v>
      </x:c>
      <x:c r="H129" s="653">
        <x:f t="shared" si="15"/>
        <x:v>-2226000</x:v>
      </x:c>
      <x:c r="J129" s="260"/>
      <x:c r="L129" s="260"/>
      <x:c r="M129" s="260"/>
      <x:c r="N129" s="260"/>
    </x:row>
    <x:row r="130" spans="1:14" x14ac:dyDescent="0.25">
      <x:c r="A130" s="2">
        <x:f t="shared" si="13"/>
        <x:v>119</x:v>
      </x:c>
      <x:c r="B130" s="683" t="s">
        <x:v>794</x:v>
      </x:c>
      <x:c r="C130" s="292">
        <x:v>79025</x:v>
      </x:c>
      <x:c r="D130" s="265">
        <x:v>45449</x:v>
      </x:c>
      <x:c r="E130" s="781" t="str">
        <x:f t="shared" si="12"/>
        <x:v>Midpoint of Benefit Period</x:v>
      </x:c>
      <x:c r="F130" s="265">
        <x:v>45547</x:v>
      </x:c>
      <x:c r="G130" s="496">
        <x:f t="shared" si="14"/>
        <x:v>-98</x:v>
      </x:c>
      <x:c r="H130" s="653">
        <x:f t="shared" si="15"/>
        <x:v>-7744450</x:v>
      </x:c>
      <x:c r="J130" s="260"/>
      <x:c r="L130" s="260"/>
      <x:c r="M130" s="260"/>
      <x:c r="N130" s="260"/>
    </x:row>
    <x:row r="131" spans="1:14" x14ac:dyDescent="0.25">
      <x:c r="A131" s="2">
        <x:f t="shared" si="13"/>
        <x:v>120</x:v>
      </x:c>
      <x:c r="B131" s="683" t="s">
        <x:v>795</x:v>
      </x:c>
      <x:c r="C131" s="292">
        <x:v>38866.53</x:v>
      </x:c>
      <x:c r="D131" s="265">
        <x:v>45441</x:v>
      </x:c>
      <x:c r="E131" s="781" t="str">
        <x:f t="shared" si="12"/>
        <x:v>Midpoint of Benefit Period</x:v>
      </x:c>
      <x:c r="F131" s="265">
        <x:v>45551</x:v>
      </x:c>
      <x:c r="G131" s="496">
        <x:f t="shared" si="14"/>
        <x:v>-110</x:v>
      </x:c>
      <x:c r="H131" s="653">
        <x:f t="shared" si="15"/>
        <x:v>-4275318.3</x:v>
      </x:c>
      <x:c r="J131" s="260"/>
      <x:c r="L131" s="260"/>
      <x:c r="M131" s="260"/>
      <x:c r="N131" s="260"/>
    </x:row>
    <x:row r="132" spans="1:14" x14ac:dyDescent="0.25">
      <x:c r="A132" s="2">
        <x:f t="shared" si="13"/>
        <x:v>121</x:v>
      </x:c>
      <x:c r="B132" s="683" t="s">
        <x:v>796</x:v>
      </x:c>
      <x:c r="C132" s="292">
        <x:v>28793.75</x:v>
      </x:c>
      <x:c r="D132" s="265">
        <x:v>45486.5</x:v>
      </x:c>
      <x:c r="E132" s="781" t="str">
        <x:f t="shared" si="12"/>
        <x:v>Midpoint of Benefit Period</x:v>
      </x:c>
      <x:c r="F132" s="265">
        <x:v>45548</x:v>
      </x:c>
      <x:c r="G132" s="496">
        <x:f t="shared" si="14"/>
        <x:v>-61.5</x:v>
      </x:c>
      <x:c r="H132" s="653">
        <x:f t="shared" si="15"/>
        <x:v>-1770815.625</x:v>
      </x:c>
      <x:c r="J132" s="260"/>
      <x:c r="L132" s="260"/>
      <x:c r="M132" s="260"/>
      <x:c r="N132" s="260"/>
    </x:row>
    <x:row r="133" spans="1:14" x14ac:dyDescent="0.25">
      <x:c r="A133" s="2">
        <x:f t="shared" si="13"/>
        <x:v>122</x:v>
      </x:c>
      <x:c r="B133" s="683" t="s">
        <x:v>797</x:v>
      </x:c>
      <x:c r="C133" s="292">
        <x:v>25511.759999999998</x:v>
      </x:c>
      <x:c r="D133" s="265">
        <x:v>45465.5</x:v>
      </x:c>
      <x:c r="E133" s="781" t="str">
        <x:f t="shared" si="12"/>
        <x:v>Midpoint of Benefit Period</x:v>
      </x:c>
      <x:c r="F133" s="265">
        <x:v>45504</x:v>
      </x:c>
      <x:c r="G133" s="496">
        <x:f t="shared" si="14"/>
        <x:v>-38.5</x:v>
      </x:c>
      <x:c r="H133" s="653">
        <x:f t="shared" si="15"/>
        <x:v>-982202.75999999989</x:v>
      </x:c>
      <x:c r="J133" s="260"/>
      <x:c r="L133" s="260"/>
      <x:c r="M133" s="260"/>
      <x:c r="N133" s="260"/>
    </x:row>
    <x:row r="134" spans="1:14" x14ac:dyDescent="0.25">
      <x:c r="A134" s="2">
        <x:f t="shared" si="13"/>
        <x:v>123</x:v>
      </x:c>
      <x:c r="B134" s="683" t="s">
        <x:v>798</x:v>
      </x:c>
      <x:c r="C134" s="292">
        <x:v>31804.05</x:v>
      </x:c>
      <x:c r="D134" s="265">
        <x:v>45443</x:v>
      </x:c>
      <x:c r="E134" s="781" t="str">
        <x:f t="shared" si="12"/>
        <x:v>Midpoint of Benefit Period</x:v>
      </x:c>
      <x:c r="F134" s="265">
        <x:v>45487</x:v>
      </x:c>
      <x:c r="G134" s="496">
        <x:f t="shared" si="14"/>
        <x:v>-44</x:v>
      </x:c>
      <x:c r="H134" s="653">
        <x:f t="shared" si="15"/>
        <x:v>-1399378.2</x:v>
      </x:c>
      <x:c r="J134" s="260"/>
      <x:c r="L134" s="260"/>
      <x:c r="M134" s="260"/>
      <x:c r="N134" s="260"/>
    </x:row>
    <x:row r="135" spans="1:14" x14ac:dyDescent="0.25">
      <x:c r="A135" s="2">
        <x:f t="shared" si="13"/>
        <x:v>124</x:v>
      </x:c>
      <x:c r="B135" s="683" t="s">
        <x:v>799</x:v>
      </x:c>
      <x:c r="C135" s="292">
        <x:v>28695.72</x:v>
      </x:c>
      <x:c r="D135" s="265">
        <x:v>45222.5</x:v>
      </x:c>
      <x:c r="E135" s="781" t="str">
        <x:f t="shared" si="12"/>
        <x:v>Midpoint of Benefit Period</x:v>
      </x:c>
      <x:c r="F135" s="265">
        <x:v>45323</x:v>
      </x:c>
      <x:c r="G135" s="496">
        <x:f t="shared" si="14"/>
        <x:v>-100.5</x:v>
      </x:c>
      <x:c r="H135" s="653">
        <x:f t="shared" si="15"/>
        <x:v>-2883919.8600000003</x:v>
      </x:c>
      <x:c r="J135" s="260"/>
      <x:c r="L135" s="260"/>
      <x:c r="M135" s="260"/>
      <x:c r="N135" s="260"/>
    </x:row>
    <x:row r="136" spans="1:14" x14ac:dyDescent="0.25">
      <x:c r="A136" s="2">
        <x:f t="shared" si="13"/>
        <x:v>125</x:v>
      </x:c>
      <x:c r="B136" s="683" t="s">
        <x:v>800</x:v>
      </x:c>
      <x:c r="C136" s="292">
        <x:v>905309.14</x:v>
      </x:c>
      <x:c r="D136" s="265">
        <x:v>45482</x:v>
      </x:c>
      <x:c r="E136" s="781" t="str">
        <x:f t="shared" si="12"/>
        <x:v>Midpoint of Benefit Period</x:v>
      </x:c>
      <x:c r="F136" s="265">
        <x:v>45517</x:v>
      </x:c>
      <x:c r="G136" s="496">
        <x:f t="shared" si="14"/>
        <x:v>-35</x:v>
      </x:c>
      <x:c r="H136" s="653">
        <x:f t="shared" si="15"/>
        <x:v>-31685819.900000002</x:v>
      </x:c>
      <x:c r="J136" s="260"/>
      <x:c r="L136" s="260"/>
      <x:c r="M136" s="260"/>
      <x:c r="N136" s="260"/>
    </x:row>
    <x:row r="137" spans="1:14" x14ac:dyDescent="0.25">
      <x:c r="A137" s="2">
        <x:f t="shared" si="13"/>
        <x:v>126</x:v>
      </x:c>
      <x:c r="B137" s="683" t="s">
        <x:v>801</x:v>
      </x:c>
      <x:c r="C137" s="292">
        <x:v>34740.019999999997</x:v>
      </x:c>
      <x:c r="D137" s="265">
        <x:v>45241</x:v>
      </x:c>
      <x:c r="E137" s="781" t="str">
        <x:f t="shared" si="12"/>
        <x:v>Midpoint of Benefit Period</x:v>
      </x:c>
      <x:c r="F137" s="265">
        <x:v>45240</x:v>
      </x:c>
      <x:c r="G137" s="496">
        <x:f t="shared" si="14"/>
        <x:v>1</x:v>
      </x:c>
      <x:c r="H137" s="653">
        <x:f t="shared" si="15"/>
        <x:v>34740.019999999997</x:v>
      </x:c>
      <x:c r="J137" s="260"/>
      <x:c r="L137" s="260"/>
      <x:c r="M137" s="260"/>
      <x:c r="N137" s="260"/>
    </x:row>
    <x:row r="138" spans="1:14" x14ac:dyDescent="0.25">
      <x:c r="A138" s="2">
        <x:f t="shared" si="13"/>
        <x:v>127</x:v>
      </x:c>
      <x:c r="B138" s="683" t="s">
        <x:v>802</x:v>
      </x:c>
      <x:c r="C138" s="292">
        <x:v>205905.5</x:v>
      </x:c>
      <x:c r="D138" s="265">
        <x:v>45149.5</x:v>
      </x:c>
      <x:c r="E138" s="781" t="str">
        <x:f t="shared" si="12"/>
        <x:v>Midpoint of Benefit Period</x:v>
      </x:c>
      <x:c r="F138" s="265">
        <x:v>45211</x:v>
      </x:c>
      <x:c r="G138" s="496">
        <x:f t="shared" si="14"/>
        <x:v>-61.5</x:v>
      </x:c>
      <x:c r="H138" s="653">
        <x:f t="shared" si="15"/>
        <x:v>-12663188.25</x:v>
      </x:c>
      <x:c r="J138" s="260"/>
      <x:c r="L138" s="260"/>
      <x:c r="M138" s="260"/>
      <x:c r="N138" s="260"/>
    </x:row>
    <x:row r="139" spans="1:14" x14ac:dyDescent="0.25">
      <x:c r="A139" s="2">
        <x:f t="shared" si="13"/>
        <x:v>128</x:v>
      </x:c>
      <x:c r="B139" s="683" t="s">
        <x:v>803</x:v>
      </x:c>
      <x:c r="C139" s="292">
        <x:v>60472.84</x:v>
      </x:c>
      <x:c r="D139" s="265">
        <x:v>45413</x:v>
      </x:c>
      <x:c r="E139" s="781" t="str">
        <x:f t="shared" si="12"/>
        <x:v>Midpoint of Benefit Period</x:v>
      </x:c>
      <x:c r="F139" s="265">
        <x:v>45476</x:v>
      </x:c>
      <x:c r="G139" s="496">
        <x:f t="shared" si="14"/>
        <x:v>-63</x:v>
      </x:c>
      <x:c r="H139" s="653">
        <x:f t="shared" si="15"/>
        <x:v>-3809788.92</x:v>
      </x:c>
      <x:c r="J139" s="260"/>
      <x:c r="L139" s="260"/>
      <x:c r="M139" s="260"/>
      <x:c r="N139" s="260"/>
    </x:row>
    <x:row r="140" spans="1:14" x14ac:dyDescent="0.25">
      <x:c r="A140" s="2">
        <x:f t="shared" si="13"/>
        <x:v>129</x:v>
      </x:c>
      <x:c r="B140" s="683" t="s">
        <x:v>804</x:v>
      </x:c>
      <x:c r="C140" s="292">
        <x:v>27049.09</x:v>
      </x:c>
      <x:c r="D140" s="265">
        <x:v>45444.5</x:v>
      </x:c>
      <x:c r="E140" s="781" t="str">
        <x:f t="shared" si="12"/>
        <x:v>Midpoint of Benefit Period</x:v>
      </x:c>
      <x:c r="F140" s="265">
        <x:v>45533</x:v>
      </x:c>
      <x:c r="G140" s="496">
        <x:f t="shared" si="14"/>
        <x:v>-88.5</x:v>
      </x:c>
      <x:c r="H140" s="653">
        <x:f t="shared" si="15"/>
        <x:v>-2393844.4649999999</x:v>
      </x:c>
      <x:c r="J140" s="260"/>
      <x:c r="L140" s="260"/>
      <x:c r="M140" s="260"/>
      <x:c r="N140" s="260"/>
    </x:row>
    <x:row r="141" spans="1:14" x14ac:dyDescent="0.25">
      <x:c r="A141" s="2">
        <x:f t="shared" si="13"/>
        <x:v>130</x:v>
      </x:c>
      <x:c r="B141" s="683" t="s">
        <x:v>805</x:v>
      </x:c>
      <x:c r="C141" s="716">
        <x:v>60974.52</x:v>
      </x:c>
      <x:c r="D141" s="265">
        <x:v>45429.5</x:v>
      </x:c>
      <x:c r="E141" s="781" t="str">
        <x:f t="shared" si="12"/>
        <x:v>Midpoint of Benefit Period</x:v>
      </x:c>
      <x:c r="F141" s="265">
        <x:v>45467</x:v>
      </x:c>
      <x:c r="G141" s="393">
        <x:f t="shared" si="14"/>
        <x:v>-37.5</x:v>
      </x:c>
      <x:c r="H141" s="650">
        <x:f t="shared" si="15"/>
        <x:v>-2286544.5</x:v>
      </x:c>
      <x:c r="J141" s="260"/>
      <x:c r="L141" s="260"/>
      <x:c r="M141" s="260"/>
      <x:c r="N141" s="260"/>
    </x:row>
    <x:row r="142" spans="1:14" x14ac:dyDescent="0.25">
      <x:c r="A142" s="2">
        <x:f t="shared" si="13"/>
        <x:v>131</x:v>
      </x:c>
      <x:c r="D142" s="265"/>
      <x:c r="E142" s="265"/>
      <x:c r="F142" s="265"/>
      <x:c r="G142" s="37"/>
      <x:c r="H142" s="648"/>
      <x:c r="J142" s="260"/>
      <x:c r="L142" s="260"/>
      <x:c r="M142" s="260"/>
      <x:c r="N142" s="260"/>
    </x:row>
    <x:row r="143" spans="1:14" ht="13.25" thickBot="1" x14ac:dyDescent="0.3">
      <x:c r="A143" s="2">
        <x:f t="shared" si="13"/>
        <x:v>132</x:v>
      </x:c>
      <x:c r="B143" t="s">
        <x:v>26</x:v>
      </x:c>
      <x:c r="C143" s="358">
        <x:f>SUM(C12:C142)</x:f>
        <x:v>13012318.010000004</x:v>
      </x:c>
      <x:c r="G143" s="395">
        <x:f>+ROUND(H143/C143,2)</x:f>
        <x:v>-48.4</x:v>
      </x:c>
      <x:c r="H143" s="358">
        <x:f>SUM(H12:H142)</x:f>
        <x:v>-629733957.0450002</x:v>
      </x:c>
    </x:row>
    <x:row r="144" spans="1:14" ht="13.25" thickTop="1" x14ac:dyDescent="0.25">
      <x:c r="A144" s="2">
        <x:f t="shared" si="13"/>
        <x:v>133</x:v>
      </x:c>
      <x:c r="G144" s="28"/>
    </x:row>
    <x:row r="145" spans="1:7" x14ac:dyDescent="0.25">
      <x:c r="A145" s="2">
        <x:f t="shared" si="13"/>
        <x:v>134</x:v>
      </x:c>
      <x:c r="B145" s="172"/>
      <x:c r="G145" s="28"/>
    </x:row>
    <x:row r="146" spans="1:7" x14ac:dyDescent="0.25">
      <x:c r="A146" s="2">
        <x:f t="shared" si="13"/>
        <x:v>135</x:v>
      </x:c>
      <x:c r="B146" s="557"/>
      <x:c r="C146" s="556"/>
      <x:c r="G146" s="28"/>
    </x:row>
    <x:row r="147" spans="1:7" x14ac:dyDescent="0.25">
      <x:c r="A147" s="2">
        <x:f t="shared" si="13"/>
        <x:v>136</x:v>
      </x:c>
      <x:c r="B147" s="2"/>
      <x:c r="C147" s="314"/>
      <x:c r="G147" s="28"/>
    </x:row>
    <x:row r="148" spans="1:7" x14ac:dyDescent="0.25">
      <x:c r="A148" s="2">
        <x:f t="shared" si="13"/>
        <x:v>137</x:v>
      </x:c>
      <x:c r="B148" t="s">
        <x:v>230</x:v>
      </x:c>
      <x:c r="C148" s="403" t="s">
        <x:v>482</x:v>
      </x:c>
      <x:c r="G148" s="28"/>
    </x:row>
    <x:row r="149" spans="1:7" x14ac:dyDescent="0.25">
      <x:c r="A149" s="2">
        <x:f t="shared" si="13"/>
        <x:v>138</x:v>
      </x:c>
      <x:c r="G149" s="28"/>
    </x:row>
    <x:row r="150" spans="1:7" x14ac:dyDescent="0.25">
      <x:c r="A150" s="2">
        <x:f t="shared" si="13"/>
        <x:v>139</x:v>
      </x:c>
      <x:c r="B150" s="775" t="s">
        <x:v>829</x:v>
      </x:c>
      <x:c r="C150" s="787"/>
      <x:c r="D150" s="775"/>
      <x:c r="E150" s="775"/>
      <x:c r="G150" s="28"/>
    </x:row>
    <x:row r="151" spans="1:7" x14ac:dyDescent="0.25">
      <x:c r="G151" s="28"/>
    </x:row>
    <x:row r="152" spans="1:7" x14ac:dyDescent="0.25">
      <x:c r="G152" s="28"/>
    </x:row>
    <x:row r="153" spans="1:7" x14ac:dyDescent="0.25">
      <x:c r="G153" s="28"/>
    </x:row>
    <x:row r="154" spans="1:7" x14ac:dyDescent="0.25">
      <x:c r="G154" s="28"/>
    </x:row>
    <x:row r="155" spans="1:7" x14ac:dyDescent="0.25">
      <x:c r="G155" s="28"/>
    </x:row>
    <x:row r="156" spans="1:7" x14ac:dyDescent="0.25">
      <x:c r="G156" s="28"/>
    </x:row>
    <x:row r="157" spans="1:7" x14ac:dyDescent="0.25">
      <x:c r="G157" s="28"/>
    </x:row>
    <x:row r="158" spans="1:7" x14ac:dyDescent="0.25">
      <x:c r="G158" s="28"/>
    </x:row>
  </x:sheetData>
  <x:phoneticPr fontId="23" type="noConversion"/>
  <x:hyperlinks>
    <x:hyperlink ref="C148" r:id="rId1" xr:uid="{172C0388-4CCF-416F-B3FD-7E7B5A5BA83D}"/>
  </x:hyperlinks>
  <x:printOptions horizontalCentered="1"/>
  <x:pageMargins left="0.5" right="0.5" top="1.5" bottom="0.5" header="1" footer="0.5"/>
  <x:pageSetup scale="99" fitToHeight="5" orientation="landscape" r:id="rId2"/>
  <x:headerFooter alignWithMargins="0">
    <x:oddHeader>&amp;RWP/II-B-9/&amp;A
Page &amp;P of &amp;N</x:oddHeader>
  </x:headerFooter>
  <x:rowBreaks count="1" manualBreakCount="1">
    <x:brk id="42" max="7" man="1"/>
  </x:rowBreaks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 codeName="Sheet65">
    <x:tabColor rgb="FF92D050"/>
    <x:pageSetUpPr fitToPage="1"/>
  </x:sheetPr>
  <x:dimension ref="A1:N54"/>
  <x:sheetViews>
    <x:sheetView zoomScaleNormal="100" workbookViewId="0">
      <x:pane xSplit="1" ySplit="9" topLeftCell="B31" activePane="bottomRight" state="frozen"/>
      <x:selection activeCell="D37" sqref="D37"/>
      <x:selection pane="topRight" activeCell="D37" sqref="D37"/>
      <x:selection pane="bottomLeft" activeCell="D37" sqref="D37"/>
      <x:selection pane="bottomRight" activeCell="D37" sqref="D37"/>
    </x:sheetView>
  </x:sheetViews>
  <x:sheetFormatPr defaultRowHeight="12.7" x14ac:dyDescent="0.25"/>
  <x:cols>
    <x:col min="1" max="1" width="8.88671875" style="2" customWidth="1"/>
    <x:col min="2" max="2" width="12" customWidth="1"/>
    <x:col min="3" max="3" width="14.109375" style="93" bestFit="1" customWidth="1"/>
    <x:col min="4" max="4" width="11.44140625" style="2" bestFit="1" customWidth="1"/>
    <x:col min="5" max="5" width="23.88671875" customWidth="1"/>
    <x:col min="6" max="6" width="17.44140625" style="2" customWidth="1"/>
    <x:col min="7" max="7" width="11.44140625" style="261" customWidth="1"/>
    <x:col min="8" max="8" width="18.109375" customWidth="1"/>
    <x:col min="9" max="9" width="14.109375" customWidth="1"/>
  </x:cols>
  <x:sheetData>
    <x:row r="1" spans="1:14" s="73" customFormat="1" x14ac:dyDescent="0.25">
      <x:c r="A1" s="180" t="s">
        <x:v>523</x:v>
      </x:c>
      <x:c r="B1" s="180"/>
      <x:c r="C1" s="180"/>
      <x:c r="D1" s="266"/>
      <x:c r="E1" s="180"/>
      <x:c r="F1" s="505"/>
    </x:row>
    <x:row r="2" spans="1:14" s="73" customFormat="1" x14ac:dyDescent="0.25">
      <x:c r="A2" s="180" t="str">
        <x:f>'1-1-3-1-1'!A2</x:f>
        <x:v>ONCOR ELECTRIC DELIVERY COMPANY LLC</x:v>
      </x:c>
      <x:c r="B2" s="180"/>
      <x:c r="C2" s="180"/>
      <x:c r="D2" s="266"/>
      <x:c r="E2" s="180"/>
      <x:c r="F2" s="505"/>
    </x:row>
    <x:row r="3" spans="1:14" s="73" customFormat="1" x14ac:dyDescent="0.25">
      <x:c r="A3" s="180" t="s">
        <x:v>316</x:v>
      </x:c>
      <x:c r="B3" s="180"/>
      <x:c r="C3" s="180"/>
      <x:c r="D3" s="266"/>
      <x:c r="E3" s="180"/>
      <x:c r="F3" s="505"/>
    </x:row>
    <x:row r="4" spans="1:14" s="73" customFormat="1" x14ac:dyDescent="0.25">
      <x:c r="A4" s="767" t="s">
        <x:v>524</x:v>
      </x:c>
      <x:c r="B4" s="180"/>
      <x:c r="C4" s="180"/>
      <x:c r="D4" s="266"/>
      <x:c r="E4" s="180"/>
      <x:c r="F4" s="505"/>
    </x:row>
    <x:row r="5" spans="1:14" s="73" customFormat="1" x14ac:dyDescent="0.25">
      <x:c r="A5" s="180" t="s">
        <x:v>486</x:v>
      </x:c>
      <x:c r="B5" s="180"/>
      <x:c r="C5" s="180"/>
      <x:c r="D5" s="266"/>
      <x:c r="E5" s="180"/>
      <x:c r="F5" s="505"/>
      <x:c r="H5" s="73" t="s">
        <x:v>464</x:v>
      </x:c>
    </x:row>
    <x:row r="7" spans="1:14" x14ac:dyDescent="0.25">
      <x:c r="A7"/>
      <x:c r="B7" s="95"/>
      <x:c r="C7"/>
      <x:c r="E7" s="2"/>
      <x:c r="F7" s="6" t="s">
        <x:v>204</x:v>
      </x:c>
      <x:c r="G7" s="263"/>
      <x:c r="H7" s="6"/>
      <x:c r="I7" s="6"/>
    </x:row>
    <x:row r="8" spans="1:14" x14ac:dyDescent="0.25">
      <x:c r="A8" s="6" t="s">
        <x:v>35</x:v>
      </x:c>
      <x:c r="B8" s="6"/>
      <x:c r="C8" s="262"/>
      <x:c r="D8" s="6" t="s">
        <x:v>300</x:v>
      </x:c>
      <x:c r="E8" s="6" t="s">
        <x:v>301</x:v>
      </x:c>
      <x:c r="F8" s="6" t="s">
        <x:v>206</x:v>
      </x:c>
      <x:c r="G8" s="263" t="s">
        <x:v>41</x:v>
      </x:c>
      <x:c r="H8" s="6" t="s">
        <x:v>207</x:v>
      </x:c>
      <x:c r="I8" s="6"/>
      <x:c r="J8" s="6" t="s">
        <x:v>474</x:v>
      </x:c>
    </x:row>
    <x:row r="9" spans="1:14" x14ac:dyDescent="0.25">
      <x:c r="A9" s="56" t="s">
        <x:v>36</x:v>
      </x:c>
      <x:c r="B9" s="56" t="s">
        <x:v>208</x:v>
      </x:c>
      <x:c r="C9" s="312" t="s">
        <x:v>24</x:v>
      </x:c>
      <x:c r="D9" s="56" t="s">
        <x:v>94</x:v>
      </x:c>
      <x:c r="E9" s="56" t="s">
        <x:v>302</x:v>
      </x:c>
      <x:c r="F9" s="56" t="s">
        <x:v>94</x:v>
      </x:c>
      <x:c r="G9" s="264" t="s">
        <x:v>97</x:v>
      </x:c>
      <x:c r="H9" s="56" t="s">
        <x:v>97</x:v>
      </x:c>
      <x:c r="I9" s="22"/>
    </x:row>
    <x:row r="10" spans="1:14" s="1" customFormat="1" x14ac:dyDescent="0.25">
      <x:c r="A10" s="20"/>
      <x:c r="B10" s="20" t="s">
        <x:v>50</x:v>
      </x:c>
      <x:c r="C10" s="309" t="s">
        <x:v>51</x:v>
      </x:c>
      <x:c r="D10" s="20" t="s">
        <x:v>57</x:v>
      </x:c>
      <x:c r="E10" s="20" t="s">
        <x:v>52</x:v>
      </x:c>
      <x:c r="F10" s="20" t="s">
        <x:v>53</x:v>
      </x:c>
      <x:c r="G10" s="310" t="s">
        <x:v>54</x:v>
      </x:c>
      <x:c r="H10" s="20" t="s">
        <x:v>55</x:v>
      </x:c>
      <x:c r="I10" s="311"/>
    </x:row>
    <x:row r="11" spans="1:14" s="1" customFormat="1" x14ac:dyDescent="0.25">
      <x:c r="A11" s="20"/>
      <x:c r="B11" s="20"/>
      <x:c r="C11" s="309"/>
      <x:c r="D11" s="20"/>
      <x:c r="E11" s="20"/>
      <x:c r="F11" s="310"/>
      <x:c r="G11" s="20"/>
      <x:c r="H11" s="311"/>
      <x:c r="I11" s="20"/>
    </x:row>
    <x:row r="12" spans="1:14" x14ac:dyDescent="0.25">
      <x:c r="A12" s="2">
        <x:v>1</x:v>
      </x:c>
      <x:c r="B12" s="683" t="s">
        <x:v>649</x:v>
      </x:c>
      <x:c r="C12" s="292">
        <x:v>132.24</x:v>
      </x:c>
      <x:c r="D12" s="685">
        <x:v>45322</x:v>
      </x:c>
      <x:c r="E12" s="684" t="s">
        <x:v>291</x:v>
      </x:c>
      <x:c r="F12" s="488">
        <x:v>45367</x:v>
      </x:c>
      <x:c r="G12" s="37">
        <x:f>D12-F12</x:f>
        <x:v>-45</x:v>
      </x:c>
      <x:c r="H12" s="648">
        <x:f>IF(ISERR(G12*C12),"",G12*C12)</x:f>
        <x:v>-5950.8</x:v>
      </x:c>
      <x:c r="J12" s="686" t="s">
        <x:v>475</x:v>
      </x:c>
      <x:c r="L12" s="260"/>
      <x:c r="M12" s="260"/>
      <x:c r="N12" s="260"/>
    </x:row>
    <x:row r="13" spans="1:14" x14ac:dyDescent="0.25">
      <x:c r="A13" s="2">
        <x:f>A12+1</x:f>
        <x:v>2</x:v>
      </x:c>
      <x:c r="B13" s="683" t="s">
        <x:v>650</x:v>
      </x:c>
      <x:c r="C13" s="292">
        <x:v>3913.2</x:v>
      </x:c>
      <x:c r="D13" s="685">
        <x:v>45520</x:v>
      </x:c>
      <x:c r="E13" s="684" t="s">
        <x:v>673</x:v>
      </x:c>
      <x:c r="F13" s="488">
        <x:v>45583</x:v>
      </x:c>
      <x:c r="G13" s="37">
        <x:f t="shared" ref="G13:G35" si="0">D13-F13</x:f>
        <x:v>-63</x:v>
      </x:c>
      <x:c r="H13" s="649">
        <x:f t="shared" ref="H13:H35" si="1">IF(ISERR(G13*C13),"",G13*C13)</x:f>
        <x:v>-246531.59999999998</x:v>
      </x:c>
      <x:c r="J13" s="686" t="s">
        <x:v>475</x:v>
      </x:c>
      <x:c r="L13" s="260"/>
      <x:c r="M13" s="260"/>
      <x:c r="N13" s="260"/>
    </x:row>
    <x:row r="14" spans="1:14" x14ac:dyDescent="0.25">
      <x:c r="A14" s="2">
        <x:f t="shared" ref="A14:A39" si="2">A13+1</x:f>
        <x:v>3</x:v>
      </x:c>
      <x:c r="B14" s="683" t="s">
        <x:v>651</x:v>
      </x:c>
      <x:c r="C14" s="292">
        <x:v>9168.2900000000009</x:v>
      </x:c>
      <x:c r="D14" s="685">
        <x:v>45458.5</x:v>
      </x:c>
      <x:c r="E14" s="684" t="s">
        <x:v>673</x:v>
      </x:c>
      <x:c r="F14" s="488">
        <x:v>45508</x:v>
      </x:c>
      <x:c r="G14" s="37">
        <x:f t="shared" si="0"/>
        <x:v>-49.5</x:v>
      </x:c>
      <x:c r="H14" s="649">
        <x:f t="shared" si="1"/>
        <x:v>-453830.35500000004</x:v>
      </x:c>
      <x:c r="J14" s="686" t="s">
        <x:v>475</x:v>
      </x:c>
      <x:c r="L14" s="260"/>
      <x:c r="M14" s="260"/>
      <x:c r="N14" s="260"/>
    </x:row>
    <x:row r="15" spans="1:14" x14ac:dyDescent="0.25">
      <x:c r="A15" s="2">
        <x:f t="shared" si="2"/>
        <x:v>4</x:v>
      </x:c>
      <x:c r="B15" s="683" t="s">
        <x:v>652</x:v>
      </x:c>
      <x:c r="C15" s="292">
        <x:v>520.03</x:v>
      </x:c>
      <x:c r="D15" s="685">
        <x:v>45276</x:v>
      </x:c>
      <x:c r="E15" s="684" t="s">
        <x:v>673</x:v>
      </x:c>
      <x:c r="F15" s="488">
        <x:v>45265</x:v>
      </x:c>
      <x:c r="G15" s="37">
        <x:f t="shared" ref="G15:G34" si="3">D15-F15</x:f>
        <x:v>11</x:v>
      </x:c>
      <x:c r="H15" s="649">
        <x:f t="shared" ref="H15:H34" si="4">IF(ISERR(G15*C15),"",G15*C15)</x:f>
        <x:v>5720.33</x:v>
      </x:c>
      <x:c r="J15" s="686" t="s">
        <x:v>475</x:v>
      </x:c>
      <x:c r="L15" s="260"/>
      <x:c r="M15" s="260"/>
      <x:c r="N15" s="260"/>
    </x:row>
    <x:row r="16" spans="1:14" x14ac:dyDescent="0.25">
      <x:c r="A16" s="2">
        <x:f t="shared" si="2"/>
        <x:v>5</x:v>
      </x:c>
      <x:c r="B16" s="683" t="s">
        <x:v>653</x:v>
      </x:c>
      <x:c r="C16" s="292">
        <x:v>3786.97</x:v>
      </x:c>
      <x:c r="D16" s="685">
        <x:v>45184.5</x:v>
      </x:c>
      <x:c r="E16" s="684" t="s">
        <x:v>673</x:v>
      </x:c>
      <x:c r="F16" s="488">
        <x:v>45247</x:v>
      </x:c>
      <x:c r="G16" s="37">
        <x:f t="shared" si="3"/>
        <x:v>-62.5</x:v>
      </x:c>
      <x:c r="H16" s="649">
        <x:f t="shared" si="4"/>
        <x:v>-236685.625</x:v>
      </x:c>
      <x:c r="J16" s="686" t="s">
        <x:v>475</x:v>
      </x:c>
      <x:c r="L16" s="260"/>
      <x:c r="M16" s="260"/>
      <x:c r="N16" s="260"/>
    </x:row>
    <x:row r="17" spans="1:14" x14ac:dyDescent="0.25">
      <x:c r="A17" s="2">
        <x:f t="shared" si="2"/>
        <x:v>6</x:v>
      </x:c>
      <x:c r="B17" s="683" t="s">
        <x:v>654</x:v>
      </x:c>
      <x:c r="C17" s="292">
        <x:v>46061.13</x:v>
      </x:c>
      <x:c r="D17" s="685">
        <x:v>45626</x:v>
      </x:c>
      <x:c r="E17" s="684" t="s">
        <x:v>673</x:v>
      </x:c>
      <x:c r="F17" s="488">
        <x:v>45483</x:v>
      </x:c>
      <x:c r="G17" s="37">
        <x:f t="shared" si="3"/>
        <x:v>143</x:v>
      </x:c>
      <x:c r="H17" s="649">
        <x:f t="shared" si="4"/>
        <x:v>6586741.5899999999</x:v>
      </x:c>
      <x:c r="J17" s="686" t="s">
        <x:v>475</x:v>
      </x:c>
      <x:c r="L17" s="260"/>
      <x:c r="M17" s="260"/>
      <x:c r="N17" s="260"/>
    </x:row>
    <x:row r="18" spans="1:14" x14ac:dyDescent="0.25">
      <x:c r="A18" s="2">
        <x:f t="shared" si="2"/>
        <x:v>7</x:v>
      </x:c>
      <x:c r="B18" s="683" t="s">
        <x:v>655</x:v>
      </x:c>
      <x:c r="C18" s="292">
        <x:v>40</x:v>
      </x:c>
      <x:c r="D18" s="685">
        <x:v>45503</x:v>
      </x:c>
      <x:c r="E18" s="684" t="s">
        <x:v>291</x:v>
      </x:c>
      <x:c r="F18" s="488">
        <x:v>45574</x:v>
      </x:c>
      <x:c r="G18" s="37">
        <x:f t="shared" si="3"/>
        <x:v>-71</x:v>
      </x:c>
      <x:c r="H18" s="649">
        <x:f t="shared" si="4"/>
        <x:v>-2840</x:v>
      </x:c>
      <x:c r="J18" s="686" t="s">
        <x:v>475</x:v>
      </x:c>
      <x:c r="L18" s="260"/>
      <x:c r="M18" s="260"/>
      <x:c r="N18" s="260"/>
    </x:row>
    <x:row r="19" spans="1:14" x14ac:dyDescent="0.25">
      <x:c r="A19" s="2">
        <x:f t="shared" si="2"/>
        <x:v>8</x:v>
      </x:c>
      <x:c r="B19" s="683" t="s">
        <x:v>656</x:v>
      </x:c>
      <x:c r="C19" s="292">
        <x:v>1081.5</x:v>
      </x:c>
      <x:c r="D19" s="685">
        <x:v>45276</x:v>
      </x:c>
      <x:c r="E19" s="684" t="s">
        <x:v>673</x:v>
      </x:c>
      <x:c r="F19" s="488">
        <x:v>45272</x:v>
      </x:c>
      <x:c r="G19" s="37">
        <x:f t="shared" si="3"/>
        <x:v>4</x:v>
      </x:c>
      <x:c r="H19" s="649">
        <x:f t="shared" si="4"/>
        <x:v>4326</x:v>
      </x:c>
      <x:c r="J19" s="686" t="s">
        <x:v>475</x:v>
      </x:c>
      <x:c r="L19" s="260"/>
      <x:c r="M19" s="260"/>
      <x:c r="N19" s="260"/>
    </x:row>
    <x:row r="20" spans="1:14" x14ac:dyDescent="0.25">
      <x:c r="A20" s="2">
        <x:f t="shared" si="2"/>
        <x:v>9</x:v>
      </x:c>
      <x:c r="B20" s="683" t="s">
        <x:v>657</x:v>
      </x:c>
      <x:c r="C20" s="292">
        <x:v>210</x:v>
      </x:c>
      <x:c r="D20" s="685">
        <x:v>44903</x:v>
      </x:c>
      <x:c r="E20" s="684" t="s">
        <x:v>291</x:v>
      </x:c>
      <x:c r="F20" s="488">
        <x:v>45479</x:v>
      </x:c>
      <x:c r="G20" s="37">
        <x:f t="shared" si="3"/>
        <x:v>-576</x:v>
      </x:c>
      <x:c r="H20" s="649">
        <x:f t="shared" si="4"/>
        <x:v>-120960</x:v>
      </x:c>
      <x:c r="J20" s="686" t="s">
        <x:v>475</x:v>
      </x:c>
      <x:c r="L20" s="260"/>
      <x:c r="M20" s="260"/>
      <x:c r="N20" s="260"/>
    </x:row>
    <x:row r="21" spans="1:14" x14ac:dyDescent="0.25">
      <x:c r="A21" s="2">
        <x:f t="shared" si="2"/>
        <x:v>10</x:v>
      </x:c>
      <x:c r="B21" s="683" t="s">
        <x:v>658</x:v>
      </x:c>
      <x:c r="C21" s="292">
        <x:v>7640.5</x:v>
      </x:c>
      <x:c r="D21" s="685">
        <x:v>45458.5</x:v>
      </x:c>
      <x:c r="E21" s="684" t="s">
        <x:v>673</x:v>
      </x:c>
      <x:c r="F21" s="488">
        <x:v>45530</x:v>
      </x:c>
      <x:c r="G21" s="37">
        <x:f t="shared" si="3"/>
        <x:v>-71.5</x:v>
      </x:c>
      <x:c r="H21" s="649">
        <x:f t="shared" si="4"/>
        <x:v>-546295.75</x:v>
      </x:c>
      <x:c r="J21" s="686" t="s">
        <x:v>475</x:v>
      </x:c>
      <x:c r="L21" s="260"/>
      <x:c r="M21" s="260"/>
      <x:c r="N21" s="260"/>
    </x:row>
    <x:row r="22" spans="1:14" x14ac:dyDescent="0.25">
      <x:c r="A22" s="2">
        <x:f t="shared" si="2"/>
        <x:v>11</x:v>
      </x:c>
      <x:c r="B22" s="683" t="s">
        <x:v>659</x:v>
      </x:c>
      <x:c r="C22" s="292">
        <x:v>12055.56</x:v>
      </x:c>
      <x:c r="D22" s="685">
        <x:v>45367</x:v>
      </x:c>
      <x:c r="E22" s="684" t="s">
        <x:v>673</x:v>
      </x:c>
      <x:c r="F22" s="488">
        <x:v>45436</x:v>
      </x:c>
      <x:c r="G22" s="37">
        <x:f t="shared" si="3"/>
        <x:v>-69</x:v>
      </x:c>
      <x:c r="H22" s="649">
        <x:f t="shared" si="4"/>
        <x:v>-831833.64</x:v>
      </x:c>
      <x:c r="J22" s="686" t="s">
        <x:v>475</x:v>
      </x:c>
      <x:c r="L22" s="260"/>
      <x:c r="M22" s="260"/>
      <x:c r="N22" s="260"/>
    </x:row>
    <x:row r="23" spans="1:14" x14ac:dyDescent="0.25">
      <x:c r="A23" s="2">
        <x:f t="shared" si="2"/>
        <x:v>12</x:v>
      </x:c>
      <x:c r="B23" s="683" t="s">
        <x:v>660</x:v>
      </x:c>
      <x:c r="C23" s="292">
        <x:v>3913.2</x:v>
      </x:c>
      <x:c r="D23" s="685">
        <x:v>45307</x:v>
      </x:c>
      <x:c r="E23" s="684" t="s">
        <x:v>673</x:v>
      </x:c>
      <x:c r="F23" s="488">
        <x:v>45368</x:v>
      </x:c>
      <x:c r="G23" s="37">
        <x:f t="shared" si="3"/>
        <x:v>-61</x:v>
      </x:c>
      <x:c r="H23" s="649">
        <x:f t="shared" si="4"/>
        <x:v>-238705.19999999998</x:v>
      </x:c>
      <x:c r="J23" s="686" t="s">
        <x:v>475</x:v>
      </x:c>
      <x:c r="L23" s="260"/>
      <x:c r="M23" s="260"/>
      <x:c r="N23" s="260"/>
    </x:row>
    <x:row r="24" spans="1:14" x14ac:dyDescent="0.25">
      <x:c r="A24" s="2">
        <x:f t="shared" si="2"/>
        <x:v>13</x:v>
      </x:c>
      <x:c r="B24" s="683" t="s">
        <x:v>661</x:v>
      </x:c>
      <x:c r="C24" s="292">
        <x:v>6500</x:v>
      </x:c>
      <x:c r="D24" s="685">
        <x:v>45614</x:v>
      </x:c>
      <x:c r="E24" s="684" t="s">
        <x:v>673</x:v>
      </x:c>
      <x:c r="F24" s="488">
        <x:v>45463</x:v>
      </x:c>
      <x:c r="G24" s="37">
        <x:f t="shared" si="3"/>
        <x:v>151</x:v>
      </x:c>
      <x:c r="H24" s="649">
        <x:f t="shared" si="4"/>
        <x:v>981500</x:v>
      </x:c>
      <x:c r="J24" s="686" t="s">
        <x:v>475</x:v>
      </x:c>
      <x:c r="L24" s="260"/>
      <x:c r="M24" s="260"/>
      <x:c r="N24" s="260"/>
    </x:row>
    <x:row r="25" spans="1:14" x14ac:dyDescent="0.25">
      <x:c r="A25" s="2">
        <x:f t="shared" si="2"/>
        <x:v>14</x:v>
      </x:c>
      <x:c r="B25" s="683" t="s">
        <x:v>662</x:v>
      </x:c>
      <x:c r="C25" s="292">
        <x:v>12500</x:v>
      </x:c>
      <x:c r="D25" s="685">
        <x:v>45425.5</x:v>
      </x:c>
      <x:c r="E25" s="684" t="s">
        <x:v>673</x:v>
      </x:c>
      <x:c r="F25" s="488">
        <x:v>45293</x:v>
      </x:c>
      <x:c r="G25" s="37">
        <x:f t="shared" si="3"/>
        <x:v>132.5</x:v>
      </x:c>
      <x:c r="H25" s="649">
        <x:f t="shared" si="4"/>
        <x:v>1656250</x:v>
      </x:c>
      <x:c r="J25" s="686" t="s">
        <x:v>475</x:v>
      </x:c>
      <x:c r="L25" s="260"/>
      <x:c r="M25" s="260"/>
      <x:c r="N25" s="260"/>
    </x:row>
    <x:row r="26" spans="1:14" x14ac:dyDescent="0.25">
      <x:c r="A26" s="2">
        <x:f t="shared" si="2"/>
        <x:v>15</x:v>
      </x:c>
      <x:c r="B26" s="683" t="s">
        <x:v>663</x:v>
      </x:c>
      <x:c r="C26" s="292">
        <x:v>3913.2</x:v>
      </x:c>
      <x:c r="D26" s="685">
        <x:v>45489</x:v>
      </x:c>
      <x:c r="E26" s="684" t="s">
        <x:v>673</x:v>
      </x:c>
      <x:c r="F26" s="488">
        <x:v>45557</x:v>
      </x:c>
      <x:c r="G26" s="37">
        <x:f t="shared" si="3"/>
        <x:v>-68</x:v>
      </x:c>
      <x:c r="H26" s="649">
        <x:f t="shared" si="4"/>
        <x:v>-266097.59999999998</x:v>
      </x:c>
      <x:c r="J26" s="686" t="s">
        <x:v>475</x:v>
      </x:c>
      <x:c r="L26" s="260"/>
      <x:c r="M26" s="260"/>
      <x:c r="N26" s="260"/>
    </x:row>
    <x:row r="27" spans="1:14" x14ac:dyDescent="0.25">
      <x:c r="A27" s="2">
        <x:f t="shared" si="2"/>
        <x:v>16</x:v>
      </x:c>
      <x:c r="B27" s="683" t="s">
        <x:v>664</x:v>
      </x:c>
      <x:c r="C27" s="292">
        <x:v>7350</x:v>
      </x:c>
      <x:c r="D27" s="685">
        <x:v>45725</x:v>
      </x:c>
      <x:c r="E27" s="684" t="s">
        <x:v>673</x:v>
      </x:c>
      <x:c r="F27" s="488">
        <x:v>45561</x:v>
      </x:c>
      <x:c r="G27" s="37">
        <x:f t="shared" si="3"/>
        <x:v>164</x:v>
      </x:c>
      <x:c r="H27" s="649">
        <x:f t="shared" si="4"/>
        <x:v>1205400</x:v>
      </x:c>
      <x:c r="J27" s="686" t="s">
        <x:v>475</x:v>
      </x:c>
      <x:c r="L27" s="260"/>
      <x:c r="M27" s="260"/>
      <x:c r="N27" s="260"/>
    </x:row>
    <x:row r="28" spans="1:14" x14ac:dyDescent="0.25">
      <x:c r="A28" s="2">
        <x:f t="shared" si="2"/>
        <x:v>17</x:v>
      </x:c>
      <x:c r="B28" s="683" t="s">
        <x:v>665</x:v>
      </x:c>
      <x:c r="C28" s="292">
        <x:v>520.03</x:v>
      </x:c>
      <x:c r="D28" s="685">
        <x:v>45337</x:v>
      </x:c>
      <x:c r="E28" s="684" t="s">
        <x:v>673</x:v>
      </x:c>
      <x:c r="F28" s="488">
        <x:v>45328</x:v>
      </x:c>
      <x:c r="G28" s="37">
        <x:f t="shared" ref="G28:G29" si="5">D28-F28</x:f>
        <x:v>9</x:v>
      </x:c>
      <x:c r="H28" s="649">
        <x:f t="shared" ref="H28:H29" si="6">IF(ISERR(G28*C28),"",G28*C28)</x:f>
        <x:v>4680.2699999999995</x:v>
      </x:c>
      <x:c r="J28" s="686" t="s">
        <x:v>475</x:v>
      </x:c>
      <x:c r="L28" s="260"/>
      <x:c r="M28" s="260"/>
      <x:c r="N28" s="260"/>
    </x:row>
    <x:row r="29" spans="1:14" x14ac:dyDescent="0.25">
      <x:c r="A29" s="2">
        <x:f t="shared" si="2"/>
        <x:v>18</x:v>
      </x:c>
      <x:c r="B29" s="683" t="s">
        <x:v>666</x:v>
      </x:c>
      <x:c r="C29" s="292">
        <x:v>3786.97</x:v>
      </x:c>
      <x:c r="D29" s="685">
        <x:v>45397.5</x:v>
      </x:c>
      <x:c r="E29" s="684" t="s">
        <x:v>673</x:v>
      </x:c>
      <x:c r="F29" s="488">
        <x:v>45462</x:v>
      </x:c>
      <x:c r="G29" s="37">
        <x:f t="shared" si="5"/>
        <x:v>-64.5</x:v>
      </x:c>
      <x:c r="H29" s="649">
        <x:f t="shared" si="6"/>
        <x:v>-244259.56499999997</x:v>
      </x:c>
      <x:c r="J29" s="686" t="s">
        <x:v>475</x:v>
      </x:c>
      <x:c r="L29" s="260"/>
      <x:c r="M29" s="260"/>
      <x:c r="N29" s="260"/>
    </x:row>
    <x:row r="30" spans="1:14" x14ac:dyDescent="0.25">
      <x:c r="A30" s="2">
        <x:f t="shared" si="2"/>
        <x:v>19</x:v>
      </x:c>
      <x:c r="B30" s="683" t="s">
        <x:v>667</x:v>
      </x:c>
      <x:c r="C30" s="292">
        <x:v>3170</x:v>
      </x:c>
      <x:c r="D30" s="685">
        <x:v>45481</x:v>
      </x:c>
      <x:c r="E30" s="684" t="s">
        <x:v>673</x:v>
      </x:c>
      <x:c r="F30" s="488">
        <x:v>45534</x:v>
      </x:c>
      <x:c r="G30" s="37">
        <x:f t="shared" si="3"/>
        <x:v>-53</x:v>
      </x:c>
      <x:c r="H30" s="649">
        <x:f t="shared" si="4"/>
        <x:v>-168010</x:v>
      </x:c>
      <x:c r="J30" s="686" t="s">
        <x:v>475</x:v>
      </x:c>
      <x:c r="L30" s="260"/>
      <x:c r="M30" s="260"/>
      <x:c r="N30" s="260"/>
    </x:row>
    <x:row r="31" spans="1:14" x14ac:dyDescent="0.25">
      <x:c r="A31" s="2">
        <x:f t="shared" si="2"/>
        <x:v>20</x:v>
      </x:c>
      <x:c r="B31" s="683" t="s">
        <x:v>668</x:v>
      </x:c>
      <x:c r="C31" s="292">
        <x:v>1598544.66</x:v>
      </x:c>
      <x:c r="D31" s="685">
        <x:v>45184.5</x:v>
      </x:c>
      <x:c r="E31" s="684" t="s">
        <x:v>673</x:v>
      </x:c>
      <x:c r="F31" s="488">
        <x:v>45252</x:v>
      </x:c>
      <x:c r="G31" s="37">
        <x:f t="shared" si="3"/>
        <x:v>-67.5</x:v>
      </x:c>
      <x:c r="H31" s="649">
        <x:f t="shared" si="4"/>
        <x:v>-107901764.55</x:v>
      </x:c>
      <x:c r="J31" s="686" t="s">
        <x:v>475</x:v>
      </x:c>
      <x:c r="L31" s="260"/>
      <x:c r="M31" s="260"/>
      <x:c r="N31" s="260"/>
    </x:row>
    <x:row r="32" spans="1:14" x14ac:dyDescent="0.25">
      <x:c r="A32" s="2">
        <x:f t="shared" si="2"/>
        <x:v>21</x:v>
      </x:c>
      <x:c r="B32" s="710" t="s">
        <x:v>669</x:v>
      </x:c>
      <x:c r="C32" s="722">
        <x:v>0.03</x:v>
      </x:c>
      <x:c r="D32" s="755">
        <x:v>43648</x:v>
      </x:c>
      <x:c r="E32" s="756" t="s">
        <x:v>673</x:v>
      </x:c>
      <x:c r="F32" s="724">
        <x:v>45345</x:v>
      </x:c>
      <x:c r="G32" s="37">
        <x:f t="shared" si="3"/>
        <x:v>-1697</x:v>
      </x:c>
      <x:c r="H32" s="649">
        <x:f t="shared" si="4"/>
        <x:v>-50.91</x:v>
      </x:c>
      <x:c r="I32" s="698"/>
      <x:c r="J32" s="757" t="s">
        <x:v>675</x:v>
      </x:c>
      <x:c r="K32" s="635" t="s">
        <x:v>464</x:v>
      </x:c>
      <x:c r="L32" s="260"/>
      <x:c r="M32" s="260"/>
      <x:c r="N32" s="260"/>
    </x:row>
    <x:row r="33" spans="1:14" x14ac:dyDescent="0.25">
      <x:c r="A33" s="2">
        <x:f t="shared" si="2"/>
        <x:v>22</x:v>
      </x:c>
      <x:c r="B33" s="710" t="s">
        <x:v>670</x:v>
      </x:c>
      <x:c r="C33" s="722">
        <x:v>16.98</x:v>
      </x:c>
      <x:c r="D33" s="685">
        <x:v>43648</x:v>
      </x:c>
      <x:c r="E33" s="684" t="s">
        <x:v>673</x:v>
      </x:c>
      <x:c r="F33" s="488">
        <x:v>45253</x:v>
      </x:c>
      <x:c r="G33" s="37">
        <x:f t="shared" si="3"/>
        <x:v>-1605</x:v>
      </x:c>
      <x:c r="H33" s="649">
        <x:f t="shared" si="4"/>
        <x:v>-27252.9</x:v>
      </x:c>
      <x:c r="J33" s="757" t="s">
        <x:v>675</x:v>
      </x:c>
      <x:c r="L33" s="260"/>
      <x:c r="M33" s="260"/>
      <x:c r="N33" s="260"/>
    </x:row>
    <x:row r="34" spans="1:14" x14ac:dyDescent="0.25">
      <x:c r="A34" s="2">
        <x:f t="shared" si="2"/>
        <x:v>23</x:v>
      </x:c>
      <x:c r="B34" s="710" t="s">
        <x:v>671</x:v>
      </x:c>
      <x:c r="C34" s="722">
        <x:v>3.56</x:v>
      </x:c>
      <x:c r="D34" s="685">
        <x:v>43648</x:v>
      </x:c>
      <x:c r="E34" s="684" t="s">
        <x:v>673</x:v>
      </x:c>
      <x:c r="F34" s="488">
        <x:v>45281</x:v>
      </x:c>
      <x:c r="G34" s="37">
        <x:f t="shared" si="3"/>
        <x:v>-1633</x:v>
      </x:c>
      <x:c r="H34" s="649">
        <x:f t="shared" si="4"/>
        <x:v>-5813.4800000000005</x:v>
      </x:c>
      <x:c r="J34" s="757" t="s">
        <x:v>675</x:v>
      </x:c>
      <x:c r="L34" s="260"/>
      <x:c r="M34" s="260"/>
      <x:c r="N34" s="260"/>
    </x:row>
    <x:row r="35" spans="1:14" x14ac:dyDescent="0.25">
      <x:c r="A35" s="2">
        <x:f t="shared" si="2"/>
        <x:v>24</x:v>
      </x:c>
      <x:c r="B35" s="710" t="s">
        <x:v>672</x:v>
      </x:c>
      <x:c r="C35" s="777">
        <x:v>0.01</x:v>
      </x:c>
      <x:c r="D35" s="685">
        <x:v>43648</x:v>
      </x:c>
      <x:c r="E35" s="684" t="s">
        <x:v>673</x:v>
      </x:c>
      <x:c r="F35" s="488">
        <x:v>45280</x:v>
      </x:c>
      <x:c r="G35" s="393">
        <x:f t="shared" si="0"/>
        <x:v>-1632</x:v>
      </x:c>
      <x:c r="H35" s="650">
        <x:f t="shared" si="1"/>
        <x:v>-16.32</x:v>
      </x:c>
      <x:c r="J35" s="757" t="s">
        <x:v>675</x:v>
      </x:c>
      <x:c r="L35" s="260"/>
      <x:c r="M35" s="260"/>
      <x:c r="N35" s="260"/>
    </x:row>
    <x:row r="36" spans="1:14" x14ac:dyDescent="0.25">
      <x:c r="A36" s="2">
        <x:f t="shared" si="2"/>
        <x:v>25</x:v>
      </x:c>
      <x:c r="B36" s="2"/>
      <x:c r="C36" s="651"/>
      <x:c r="D36" s="488"/>
      <x:c r="E36" s="488"/>
      <x:c r="F36" s="488"/>
      <x:c r="G36" s="37"/>
      <x:c r="H36" s="648"/>
      <x:c r="J36" s="260"/>
      <x:c r="L36" s="260"/>
      <x:c r="M36" s="260"/>
      <x:c r="N36" s="260"/>
    </x:row>
    <x:row r="37" spans="1:14" ht="13.25" thickBot="1" x14ac:dyDescent="0.3">
      <x:c r="A37" s="2">
        <x:f t="shared" si="2"/>
        <x:v>26</x:v>
      </x:c>
      <x:c r="C37" s="652">
        <x:f>SUM(C12:C35)</x:f>
        <x:v>1724828.06</x:v>
      </x:c>
      <x:c r="G37" s="395">
        <x:f>+ROUND(H37/C37,2)</x:f>
        <x:v>-58.47</x:v>
      </x:c>
      <x:c r="H37" s="359">
        <x:f>SUM(H12:H35)</x:f>
        <x:v>-100852280.105</x:v>
      </x:c>
    </x:row>
    <x:row r="38" spans="1:14" ht="13.25" thickTop="1" x14ac:dyDescent="0.25">
      <x:c r="A38" s="2">
        <x:f t="shared" si="2"/>
        <x:v>27</x:v>
      </x:c>
      <x:c r="G38" s="28"/>
    </x:row>
    <x:row r="39" spans="1:14" x14ac:dyDescent="0.25">
      <x:c r="A39" s="2">
        <x:f t="shared" si="2"/>
        <x:v>28</x:v>
      </x:c>
      <x:c r="B39" t="s">
        <x:v>230</x:v>
      </x:c>
      <x:c r="C39" s="403" t="s">
        <x:v>674</x:v>
      </x:c>
      <x:c r="G39" s="28"/>
    </x:row>
    <x:row r="40" spans="1:14" x14ac:dyDescent="0.25">
      <x:c r="C40"/>
      <x:c r="G40" s="28"/>
    </x:row>
    <x:row r="41" spans="1:14" x14ac:dyDescent="0.25">
      <x:c r="B41" s="758"/>
      <x:c r="C41" s="759"/>
      <x:c r="D41" s="721"/>
      <x:c r="E41" s="698"/>
      <x:c r="F41" s="721"/>
      <x:c r="G41" s="760"/>
    </x:row>
    <x:row r="42" spans="1:14" x14ac:dyDescent="0.25">
      <x:c r="G42" s="28"/>
    </x:row>
    <x:row r="43" spans="1:14" x14ac:dyDescent="0.25">
      <x:c r="G43" s="28"/>
    </x:row>
    <x:row r="44" spans="1:14" x14ac:dyDescent="0.25">
      <x:c r="G44" s="28"/>
    </x:row>
    <x:row r="45" spans="1:14" x14ac:dyDescent="0.25">
      <x:c r="G45" s="28"/>
    </x:row>
    <x:row r="46" spans="1:14" x14ac:dyDescent="0.25">
      <x:c r="G46" s="28"/>
    </x:row>
    <x:row r="47" spans="1:14" x14ac:dyDescent="0.25">
      <x:c r="G47" s="28"/>
    </x:row>
    <x:row r="48" spans="1:14" x14ac:dyDescent="0.25">
      <x:c r="G48" s="28"/>
    </x:row>
    <x:row r="49" spans="7:7" x14ac:dyDescent="0.25">
      <x:c r="G49" s="28"/>
    </x:row>
    <x:row r="50" spans="7:7" x14ac:dyDescent="0.25">
      <x:c r="G50" s="28"/>
    </x:row>
    <x:row r="51" spans="7:7" x14ac:dyDescent="0.25">
      <x:c r="G51" s="28"/>
    </x:row>
    <x:row r="52" spans="7:7" x14ac:dyDescent="0.25">
      <x:c r="G52" s="28"/>
    </x:row>
    <x:row r="53" spans="7:7" x14ac:dyDescent="0.25">
      <x:c r="G53" s="28"/>
    </x:row>
    <x:row r="54" spans="7:7" x14ac:dyDescent="0.25">
      <x:c r="G54" s="28"/>
    </x:row>
  </x:sheetData>
  <x:phoneticPr fontId="23" type="noConversion"/>
  <x:hyperlinks>
    <x:hyperlink ref="C39" r:id="rId1" display="3rd party O&amp;M - TRNDS sample " xr:uid="{8EE5A6D3-01A3-434F-90E0-07C71996DDB6}"/>
  </x:hyperlinks>
  <x:printOptions horizontalCentered="1"/>
  <x:pageMargins left="0.5" right="0.5" top="1.5" bottom="0.5" header="1" footer="0.5"/>
  <x:pageSetup scale="99" orientation="landscape" r:id="rId2"/>
  <x:headerFooter alignWithMargins="0">
    <x:oddHeader>&amp;RWP/II-B-9/&amp;A
Page &amp;P of &amp;N</x:oddHeader>
  </x:headerFooter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sheetPr codeName="Sheet23">
    <x:tabColor rgb="FF92D050"/>
  </x:sheetPr>
  <x:dimension ref="A1:J53"/>
  <x:sheetViews>
    <x:sheetView topLeftCell="A16" zoomScaleNormal="100" zoomScaleSheetLayoutView="100" workbookViewId="0">
      <x:selection activeCell="D37" sqref="D37"/>
    </x:sheetView>
  </x:sheetViews>
  <x:sheetFormatPr defaultColWidth="8.88671875" defaultRowHeight="12.7" x14ac:dyDescent="0.25"/>
  <x:cols>
    <x:col min="1" max="1" width="10.5546875" style="558" customWidth="1"/>
    <x:col min="2" max="2" width="13.5546875" style="558" customWidth="1"/>
    <x:col min="3" max="3" width="27.44140625" style="558" customWidth="1"/>
    <x:col min="4" max="4" width="16.5546875" style="558" customWidth="1"/>
    <x:col min="5" max="5" width="10.109375" style="572" bestFit="1" customWidth="1"/>
    <x:col min="6" max="6" width="11.44140625" customWidth="1"/>
    <x:col min="7" max="7" width="11.5546875" customWidth="1"/>
    <x:col min="8" max="8" width="14.44140625" customWidth="1"/>
    <x:col min="9" max="9" width="12" customWidth="1"/>
    <x:col min="10" max="10" width="20.33203125" bestFit="1" customWidth="1"/>
    <x:col min="11" max="16384" width="8.88671875" style="558"/>
  </x:cols>
  <x:sheetData>
    <x:row r="1" spans="1:10" s="566" customFormat="1" x14ac:dyDescent="0.25">
      <x:c r="A1" s="180" t="s">
        <x:v>523</x:v>
      </x:c>
      <x:c r="E1" s="568"/>
      <x:c r="F1"/>
      <x:c r="G1"/>
      <x:c r="H1"/>
      <x:c r="I1"/>
      <x:c r="J1"/>
    </x:row>
    <x:row r="2" spans="1:10" s="566" customFormat="1" x14ac:dyDescent="0.25">
      <x:c r="A2" s="595" t="s">
        <x:v>389</x:v>
      </x:c>
      <x:c r="E2" s="568"/>
      <x:c r="F2"/>
      <x:c r="G2"/>
      <x:c r="H2"/>
      <x:c r="I2"/>
      <x:c r="J2"/>
    </x:row>
    <x:row r="3" spans="1:10" s="566" customFormat="1" x14ac:dyDescent="0.25">
      <x:c r="A3" s="595" t="s">
        <x:v>390</x:v>
      </x:c>
      <x:c r="D3" s="696"/>
      <x:c r="E3" s="697"/>
      <x:c r="F3" s="698"/>
      <x:c r="G3" s="698"/>
      <x:c r="H3" s="698"/>
      <x:c r="I3" s="698"/>
      <x:c r="J3" s="698"/>
    </x:row>
    <x:row r="4" spans="1:10" s="566" customFormat="1" x14ac:dyDescent="0.25">
      <x:c r="A4" s="767" t="s">
        <x:v>524</x:v>
      </x:c>
      <x:c r="E4" s="568"/>
      <x:c r="F4"/>
      <x:c r="G4"/>
      <x:c r="H4"/>
      <x:c r="I4"/>
      <x:c r="J4"/>
    </x:row>
    <x:row r="5" spans="1:10" s="566" customFormat="1" x14ac:dyDescent="0.25">
      <x:c r="A5" s="687" t="s">
        <x:v>486</x:v>
      </x:c>
      <x:c r="E5" s="568"/>
      <x:c r="F5"/>
      <x:c r="G5"/>
      <x:c r="H5" t="s">
        <x:v>464</x:v>
      </x:c>
      <x:c r="I5"/>
      <x:c r="J5"/>
    </x:row>
    <x:row r="6" spans="1:10" s="566" customFormat="1" x14ac:dyDescent="0.25">
      <x:c r="E6" s="568"/>
      <x:c r="F6" s="832" t="s">
        <x:v>418</x:v>
      </x:c>
      <x:c r="G6" s="832"/>
      <x:c r="H6"/>
      <x:c r="I6"/>
      <x:c r="J6"/>
    </x:row>
    <x:row r="7" spans="1:10" s="566" customFormat="1" ht="29.25" customHeight="1" x14ac:dyDescent="0.3">
      <x:c r="A7" s="567" t="s">
        <x:v>40</x:v>
      </x:c>
      <x:c r="B7" s="567" t="s">
        <x:v>384</x:v>
      </x:c>
      <x:c r="C7" s="567" t="s">
        <x:v>391</x:v>
      </x:c>
      <x:c r="D7" s="567" t="s">
        <x:v>392</x:v>
      </x:c>
      <x:c r="E7" s="569" t="s">
        <x:v>383</x:v>
      </x:c>
      <x:c r="F7" s="586" t="s">
        <x:v>419</x:v>
      </x:c>
      <x:c r="G7" s="586" t="s">
        <x:v>420</x:v>
      </x:c>
      <x:c r="H7" s="586" t="s">
        <x:v>421</x:v>
      </x:c>
      <x:c r="I7" s="593" t="s">
        <x:v>425</x:v>
      </x:c>
      <x:c r="J7" s="586" t="s">
        <x:v>38</x:v>
      </x:c>
    </x:row>
    <x:row r="8" spans="1:10" s="559" customFormat="1" x14ac:dyDescent="0.25">
      <x:c r="B8" s="559" t="s">
        <x:v>50</x:v>
      </x:c>
      <x:c r="C8" s="559" t="s">
        <x:v>51</x:v>
      </x:c>
      <x:c r="D8" s="559" t="s">
        <x:v>57</x:v>
      </x:c>
      <x:c r="E8" s="570" t="s">
        <x:v>52</x:v>
      </x:c>
      <x:c r="F8" s="2" t="s">
        <x:v>53</x:v>
      </x:c>
      <x:c r="G8" s="2" t="s">
        <x:v>54</x:v>
      </x:c>
      <x:c r="H8" s="2" t="s">
        <x:v>55</x:v>
      </x:c>
      <x:c r="I8" s="2" t="s">
        <x:v>422</x:v>
      </x:c>
      <x:c r="J8" s="2" t="s">
        <x:v>423</x:v>
      </x:c>
    </x:row>
    <x:row r="9" spans="1:10" s="559" customFormat="1" x14ac:dyDescent="0.25">
      <x:c r="A9" s="559">
        <x:v>1</x:v>
      </x:c>
      <x:c r="B9" s="691">
        <x:v>45230</x:v>
      </x:c>
      <x:c r="C9" s="559" t="s">
        <x:v>478</x:v>
      </x:c>
      <x:c r="D9" s="688">
        <x:v>385626.52</x:v>
      </x:c>
      <x:c r="E9" s="570">
        <x:f t="shared" ref="E9:E20" si="0">+D9/$D$22</x:f>
        <x:v>8.1049095780969027E-2</x:v>
      </x:c>
      <x:c r="F9" s="584">
        <x:v>44927</x:v>
      </x:c>
      <x:c r="G9" s="584">
        <x:v>45291</x:v>
      </x:c>
      <x:c r="H9" s="587">
        <x:f>AVERAGE(F9:G9)</x:f>
        <x:v>45109</x:v>
      </x:c>
      <x:c r="I9" s="585">
        <x:f>+H9-B9</x:f>
        <x:v>-121</x:v>
      </x:c>
      <x:c r="J9" s="643">
        <x:f>+D9*I9</x:f>
        <x:v>-46660808.920000002</x:v>
      </x:c>
    </x:row>
    <x:row r="10" spans="1:10" s="559" customFormat="1" x14ac:dyDescent="0.25">
      <x:c r="A10" s="559">
        <x:v>2</x:v>
      </x:c>
      <x:c r="B10" s="691">
        <x:v>45260</x:v>
      </x:c>
      <x:c r="C10" s="559" t="s">
        <x:v>478</x:v>
      </x:c>
      <x:c r="D10" s="688">
        <x:v>392653.03</x:v>
      </x:c>
      <x:c r="E10" s="570">
        <x:f t="shared" si="0"/>
        <x:v>8.2525893284408208E-2</x:v>
      </x:c>
      <x:c r="F10" s="584">
        <x:v>44927</x:v>
      </x:c>
      <x:c r="G10" s="584">
        <x:v>45291</x:v>
      </x:c>
      <x:c r="H10" s="587">
        <x:f t="shared" ref="H10:H20" si="1">AVERAGE(F10:G10)</x:f>
        <x:v>45109</x:v>
      </x:c>
      <x:c r="I10" s="585">
        <x:f t="shared" ref="I10:I20" si="2">+H10-B10</x:f>
        <x:v>-151</x:v>
      </x:c>
      <x:c r="J10" s="643">
        <x:f t="shared" ref="J10:J20" si="3">+D10*I10</x:f>
        <x:v>-59290607.530000001</x:v>
      </x:c>
    </x:row>
    <x:row r="11" spans="1:10" s="559" customFormat="1" x14ac:dyDescent="0.25">
      <x:c r="A11" s="559">
        <x:v>3</x:v>
      </x:c>
      <x:c r="B11" s="691">
        <x:v>45291</x:v>
      </x:c>
      <x:c r="C11" s="559" t="s">
        <x:v>478</x:v>
      </x:c>
      <x:c r="D11" s="688">
        <x:v>389429.41</x:v>
      </x:c>
      <x:c r="E11" s="570">
        <x:f t="shared" si="0"/>
        <x:v>8.1848368600313734E-2</x:v>
      </x:c>
      <x:c r="F11" s="584">
        <x:v>44927</x:v>
      </x:c>
      <x:c r="G11" s="584">
        <x:v>45291</x:v>
      </x:c>
      <x:c r="H11" s="587">
        <x:f t="shared" ref="H11:H12" si="4">AVERAGE(F11:G11)</x:f>
        <x:v>45109</x:v>
      </x:c>
      <x:c r="I11" s="585">
        <x:f t="shared" ref="I11:I12" si="5">+H11-B11</x:f>
        <x:v>-182</x:v>
      </x:c>
      <x:c r="J11" s="643">
        <x:f t="shared" ref="J11:J12" si="6">+D11*I11</x:f>
        <x:v>-70876152.61999999</x:v>
      </x:c>
    </x:row>
    <x:row r="12" spans="1:10" s="559" customFormat="1" x14ac:dyDescent="0.25">
      <x:c r="A12" s="559">
        <x:v>4</x:v>
      </x:c>
      <x:c r="B12" s="691">
        <x:v>45322</x:v>
      </x:c>
      <x:c r="C12" s="559" t="s">
        <x:v>478</x:v>
      </x:c>
      <x:c r="D12" s="688">
        <x:v>385780.14</x:v>
      </x:c>
      <x:c r="E12" s="570">
        <x:f t="shared" si="0"/>
        <x:v>8.1081382881176431E-2</x:v>
      </x:c>
      <x:c r="F12" s="584">
        <x:v>45292</x:v>
      </x:c>
      <x:c r="G12" s="584">
        <x:v>45657</x:v>
      </x:c>
      <x:c r="H12" s="587">
        <x:f t="shared" si="4"/>
        <x:v>45474.5</x:v>
      </x:c>
      <x:c r="I12" s="585">
        <x:f t="shared" si="5"/>
        <x:v>152.5</x:v>
      </x:c>
      <x:c r="J12" s="643">
        <x:f t="shared" si="6"/>
        <x:v>58831471.350000001</x:v>
      </x:c>
    </x:row>
    <x:row r="13" spans="1:10" s="559" customFormat="1" x14ac:dyDescent="0.25">
      <x:c r="A13" s="559">
        <x:v>5</x:v>
      </x:c>
      <x:c r="B13" s="691">
        <x:v>45351</x:v>
      </x:c>
      <x:c r="C13" s="559" t="s">
        <x:v>478</x:v>
      </x:c>
      <x:c r="D13" s="688">
        <x:v>384882.13999999996</x:v>
      </x:c>
      <x:c r="E13" s="570">
        <x:f t="shared" si="0"/>
        <x:v>8.0892645633511742E-2</x:v>
      </x:c>
      <x:c r="F13" s="584">
        <x:v>45292</x:v>
      </x:c>
      <x:c r="G13" s="584">
        <x:v>45657</x:v>
      </x:c>
      <x:c r="H13" s="587">
        <x:f t="shared" si="1"/>
        <x:v>45474.5</x:v>
      </x:c>
      <x:c r="I13" s="585">
        <x:f t="shared" si="2"/>
        <x:v>123.5</x:v>
      </x:c>
      <x:c r="J13" s="643">
        <x:f t="shared" si="3"/>
        <x:v>47532944.289999992</x:v>
      </x:c>
    </x:row>
    <x:row r="14" spans="1:10" s="559" customFormat="1" x14ac:dyDescent="0.25">
      <x:c r="A14" s="559">
        <x:v>6</x:v>
      </x:c>
      <x:c r="B14" s="691">
        <x:v>45382</x:v>
      </x:c>
      <x:c r="C14" s="559" t="s">
        <x:v>478</x:v>
      </x:c>
      <x:c r="D14" s="688">
        <x:v>384882.13999999996</x:v>
      </x:c>
      <x:c r="E14" s="570">
        <x:f t="shared" si="0"/>
        <x:v>8.0892645633511742E-2</x:v>
      </x:c>
      <x:c r="F14" s="584">
        <x:v>45292</x:v>
      </x:c>
      <x:c r="G14" s="584">
        <x:v>45657</x:v>
      </x:c>
      <x:c r="H14" s="587">
        <x:f t="shared" ref="H14" si="7">AVERAGE(F14:G14)</x:f>
        <x:v>45474.5</x:v>
      </x:c>
      <x:c r="I14" s="585">
        <x:f t="shared" ref="I14" si="8">+H14-B14</x:f>
        <x:v>92.5</x:v>
      </x:c>
      <x:c r="J14" s="643">
        <x:f t="shared" ref="J14" si="9">+D14*I14</x:f>
        <x:v>35601597.949999996</x:v>
      </x:c>
    </x:row>
    <x:row r="15" spans="1:10" s="559" customFormat="1" x14ac:dyDescent="0.25">
      <x:c r="A15" s="559">
        <x:v>7</x:v>
      </x:c>
      <x:c r="B15" s="691">
        <x:v>45412</x:v>
      </x:c>
      <x:c r="C15" s="559" t="s">
        <x:v>478</x:v>
      </x:c>
      <x:c r="D15" s="688">
        <x:v>386950.32999999996</x:v>
      </x:c>
      <x:c r="E15" s="570">
        <x:f t="shared" si="0"/>
        <x:v>8.1327327691693943E-2</x:v>
      </x:c>
      <x:c r="F15" s="584">
        <x:v>45292</x:v>
      </x:c>
      <x:c r="G15" s="584">
        <x:v>45657</x:v>
      </x:c>
      <x:c r="H15" s="587">
        <x:f t="shared" si="1"/>
        <x:v>45474.5</x:v>
      </x:c>
      <x:c r="I15" s="585">
        <x:f t="shared" si="2"/>
        <x:v>62.5</x:v>
      </x:c>
      <x:c r="J15" s="643">
        <x:f t="shared" si="3"/>
        <x:v>24184395.624999996</x:v>
      </x:c>
    </x:row>
    <x:row r="16" spans="1:10" s="559" customFormat="1" x14ac:dyDescent="0.25">
      <x:c r="A16" s="559">
        <x:v>8</x:v>
      </x:c>
      <x:c r="B16" s="691">
        <x:v>45443</x:v>
      </x:c>
      <x:c r="C16" s="559" t="s">
        <x:v>478</x:v>
      </x:c>
      <x:c r="D16" s="688">
        <x:v>386950.32999999996</x:v>
      </x:c>
      <x:c r="E16" s="570">
        <x:f t="shared" si="0"/>
        <x:v>8.1327327691693943E-2</x:v>
      </x:c>
      <x:c r="F16" s="584">
        <x:v>45292</x:v>
      </x:c>
      <x:c r="G16" s="584">
        <x:v>45657</x:v>
      </x:c>
      <x:c r="H16" s="587">
        <x:f t="shared" ref="H16" si="10">AVERAGE(F16:G16)</x:f>
        <x:v>45474.5</x:v>
      </x:c>
      <x:c r="I16" s="585">
        <x:f t="shared" ref="I16" si="11">+H16-B16</x:f>
        <x:v>31.5</x:v>
      </x:c>
      <x:c r="J16" s="643">
        <x:f t="shared" ref="J16" si="12">+D16*I16</x:f>
        <x:v>12188935.395</x:v>
      </x:c>
    </x:row>
    <x:row r="17" spans="1:10" s="559" customFormat="1" x14ac:dyDescent="0.25">
      <x:c r="A17" s="559">
        <x:v>9</x:v>
      </x:c>
      <x:c r="B17" s="691">
        <x:v>45473</x:v>
      </x:c>
      <x:c r="C17" s="559" t="s">
        <x:v>478</x:v>
      </x:c>
      <x:c r="D17" s="688">
        <x:v>389070.2</x:v>
      </x:c>
      <x:c r="E17" s="570">
        <x:f t="shared" si="0"/>
        <x:v>8.1772871599496783E-2</x:v>
      </x:c>
      <x:c r="F17" s="584">
        <x:v>45292</x:v>
      </x:c>
      <x:c r="G17" s="584">
        <x:v>45657</x:v>
      </x:c>
      <x:c r="H17" s="587">
        <x:f t="shared" si="1"/>
        <x:v>45474.5</x:v>
      </x:c>
      <x:c r="I17" s="585">
        <x:f t="shared" si="2"/>
        <x:v>1.5</x:v>
      </x:c>
      <x:c r="J17" s="643">
        <x:f t="shared" si="3"/>
        <x:v>583605.30000000005</x:v>
      </x:c>
    </x:row>
    <x:row r="18" spans="1:10" s="559" customFormat="1" x14ac:dyDescent="0.25">
      <x:c r="A18" s="559">
        <x:v>10</x:v>
      </x:c>
      <x:c r="B18" s="691">
        <x:v>45504</x:v>
      </x:c>
      <x:c r="C18" s="559" t="s">
        <x:v>478</x:v>
      </x:c>
      <x:c r="D18" s="688">
        <x:v>409102.99</x:v>
      </x:c>
      <x:c r="E18" s="570">
        <x:f t="shared" si="0"/>
        <x:v>8.5983265416472943E-2</x:v>
      </x:c>
      <x:c r="F18" s="584">
        <x:v>45292</x:v>
      </x:c>
      <x:c r="G18" s="584">
        <x:v>45657</x:v>
      </x:c>
      <x:c r="H18" s="587">
        <x:f t="shared" si="1"/>
        <x:v>45474.5</x:v>
      </x:c>
      <x:c r="I18" s="585">
        <x:f t="shared" si="2"/>
        <x:v>-29.5</x:v>
      </x:c>
      <x:c r="J18" s="643">
        <x:f t="shared" si="3"/>
        <x:v>-12068538.205</x:v>
      </x:c>
    </x:row>
    <x:row r="19" spans="1:10" s="559" customFormat="1" x14ac:dyDescent="0.25">
      <x:c r="A19" s="559">
        <x:v>11</x:v>
      </x:c>
      <x:c r="B19" s="691">
        <x:v>45535</x:v>
      </x:c>
      <x:c r="C19" s="559" t="s">
        <x:v>478</x:v>
      </x:c>
      <x:c r="D19" s="688">
        <x:v>392502.93</x:v>
      </x:c>
      <x:c r="E19" s="570">
        <x:f t="shared" si="0"/>
        <x:v>8.2494346000583627E-2</x:v>
      </x:c>
      <x:c r="F19" s="584">
        <x:v>45292</x:v>
      </x:c>
      <x:c r="G19" s="584">
        <x:v>45657</x:v>
      </x:c>
      <x:c r="H19" s="587">
        <x:f t="shared" si="1"/>
        <x:v>45474.5</x:v>
      </x:c>
      <x:c r="I19" s="585">
        <x:f t="shared" si="2"/>
        <x:v>-60.5</x:v>
      </x:c>
      <x:c r="J19" s="643">
        <x:f t="shared" si="3"/>
        <x:v>-23746427.265000001</x:v>
      </x:c>
    </x:row>
    <x:row r="20" spans="1:10" s="559" customFormat="1" x14ac:dyDescent="0.25">
      <x:c r="A20" s="559">
        <x:v>12</x:v>
      </x:c>
      <x:c r="B20" s="691">
        <x:v>45565</x:v>
      </x:c>
      <x:c r="C20" s="559" t="s">
        <x:v>478</x:v>
      </x:c>
      <x:c r="D20" s="689">
        <x:v>470107.19</x:v>
      </x:c>
      <x:c r="E20" s="690">
        <x:f t="shared" si="0"/>
        <x:v>9.8804829786167725E-2</x:v>
      </x:c>
      <x:c r="F20" s="707">
        <x:v>45292</x:v>
      </x:c>
      <x:c r="G20" s="707">
        <x:v>45657</x:v>
      </x:c>
      <x:c r="H20" s="708">
        <x:f t="shared" si="1"/>
        <x:v>45474.5</x:v>
      </x:c>
      <x:c r="I20" s="709">
        <x:f t="shared" si="2"/>
        <x:v>-90.5</x:v>
      </x:c>
      <x:c r="J20" s="692">
        <x:f t="shared" si="3"/>
        <x:v>-42544700.695</x:v>
      </x:c>
    </x:row>
    <x:row r="21" spans="1:10" s="559" customFormat="1" x14ac:dyDescent="0.25">
      <x:c r="A21" s="559">
        <x:v>17</x:v>
      </x:c>
      <x:c r="E21" s="570"/>
      <x:c r="F21" s="2"/>
      <x:c r="G21" s="2"/>
      <x:c r="H21" s="2"/>
      <x:c r="I21" s="2"/>
      <x:c r="J21" s="2"/>
    </x:row>
    <x:row r="22" spans="1:10" s="559" customFormat="1" ht="13.25" thickBot="1" x14ac:dyDescent="0.3">
      <x:c r="A22" s="559">
        <x:v>18</x:v>
      </x:c>
      <x:c r="B22" s="635" t="s">
        <x:v>479</x:v>
      </x:c>
      <x:c r="D22" s="695">
        <x:f>SUM(D9:D21)</x:f>
        <x:v>4757937.3500000006</x:v>
      </x:c>
      <x:c r="E22" s="694">
        <x:f>SUM(E9:E21)</x:f>
        <x:v>0.99999999999999978</x:v>
      </x:c>
      <x:c r="F22" s="2"/>
      <x:c r="G22" s="2"/>
      <x:c r="H22" s="2"/>
      <x:c r="I22" s="2"/>
      <x:c r="J22" s="693">
        <x:f>SUM(J9:J21)</x:f>
        <x:v>-76264285.325000018</x:v>
      </x:c>
    </x:row>
    <x:row r="23" spans="1:10" s="559" customFormat="1" ht="13.25" thickTop="1" x14ac:dyDescent="0.25">
      <x:c r="A23" s="559">
        <x:v>19</x:v>
      </x:c>
      <x:c r="B23" s="635" t="s">
        <x:v>481</x:v>
      </x:c>
      <x:c r="E23" s="570"/>
      <x:c r="F23" s="2"/>
      <x:c r="G23" s="2"/>
      <x:c r="H23" s="2"/>
      <x:c r="I23" s="699">
        <x:f>+J22/D22</x:f>
        <x:v>-16.028854462533015</x:v>
      </x:c>
      <x:c r="J23" s="2"/>
    </x:row>
    <x:row r="24" spans="1:10" s="559" customFormat="1" x14ac:dyDescent="0.25">
      <x:c r="A24" s="559">
        <x:v>20</x:v>
      </x:c>
      <x:c r="E24" s="570"/>
      <x:c r="F24" s="2"/>
      <x:c r="G24" s="2"/>
      <x:c r="H24" s="2"/>
      <x:c r="I24" s="2"/>
      <x:c r="J24" s="2"/>
    </x:row>
    <x:row r="25" spans="1:10" s="733" customFormat="1" x14ac:dyDescent="0.25">
      <x:c r="A25" s="731">
        <x:v>21</x:v>
      </x:c>
      <x:c r="B25" s="732" t="s">
        <x:v>1126</x:v>
      </x:c>
      <x:c r="E25" s="734"/>
      <x:c r="F25" s="698"/>
      <x:c r="G25" s="698"/>
      <x:c r="H25" s="698"/>
      <x:c r="I25" s="698"/>
      <x:c r="J25" s="698"/>
    </x:row>
    <x:row r="26" spans="1:10" s="733" customFormat="1" ht="14.4" customHeight="1" x14ac:dyDescent="0.25">
      <x:c r="A26" s="731">
        <x:v>22</x:v>
      </x:c>
      <x:c r="B26" s="738">
        <x:v>45397</x:v>
      </x:c>
      <x:c r="C26" s="738" t="s">
        <x:v>476</x:v>
      </x:c>
      <x:c r="D26" s="739">
        <x:v>21275000</x:v>
      </x:c>
      <x:c r="E26" s="740">
        <x:f>+D26/$D$31</x:f>
        <x:v>0.25</x:v>
      </x:c>
      <x:c r="F26" s="735">
        <x:v>45292</x:v>
      </x:c>
      <x:c r="G26" s="735">
        <x:v>45657</x:v>
      </x:c>
      <x:c r="H26" s="741">
        <x:f>AVERAGE(F26:G26)</x:f>
        <x:v>45474.5</x:v>
      </x:c>
      <x:c r="I26" s="736">
        <x:f>+H26-B26</x:f>
        <x:v>77.5</x:v>
      </x:c>
      <x:c r="J26" s="742">
        <x:f>+D26*I26</x:f>
        <x:v>1648812500</x:v>
      </x:c>
    </x:row>
    <x:row r="27" spans="1:10" s="733" customFormat="1" ht="14.4" customHeight="1" x14ac:dyDescent="0.25">
      <x:c r="A27" s="731">
        <x:v>23</x:v>
      </x:c>
      <x:c r="B27" s="738">
        <x:v>45488</x:v>
      </x:c>
      <x:c r="C27" s="738" t="s">
        <x:v>476</x:v>
      </x:c>
      <x:c r="D27" s="743">
        <x:v>21275000</x:v>
      </x:c>
      <x:c r="E27" s="740">
        <x:f>+D27/$D$31</x:f>
        <x:v>0.25</x:v>
      </x:c>
      <x:c r="F27" s="735">
        <x:v>45292</x:v>
      </x:c>
      <x:c r="G27" s="735">
        <x:v>45657</x:v>
      </x:c>
      <x:c r="H27" s="741">
        <x:f>AVERAGE(F27:G27)</x:f>
        <x:v>45474.5</x:v>
      </x:c>
      <x:c r="I27" s="736">
        <x:f>+H27-B27</x:f>
        <x:v>-13.5</x:v>
      </x:c>
      <x:c r="J27" s="742">
        <x:f>+D27*I27</x:f>
        <x:v>-287212500</x:v>
      </x:c>
    </x:row>
    <x:row r="28" spans="1:10" s="733" customFormat="1" ht="14.4" customHeight="1" x14ac:dyDescent="0.25">
      <x:c r="A28" s="731">
        <x:v>24</x:v>
      </x:c>
      <x:c r="B28" s="738">
        <x:v>45580</x:v>
      </x:c>
      <x:c r="C28" s="738" t="s">
        <x:v>476</x:v>
      </x:c>
      <x:c r="D28" s="743">
        <x:v>21275000</x:v>
      </x:c>
      <x:c r="E28" s="740">
        <x:f>+D28/$D$31</x:f>
        <x:v>0.25</x:v>
      </x:c>
      <x:c r="F28" s="735">
        <x:v>45292</x:v>
      </x:c>
      <x:c r="G28" s="735">
        <x:v>45657</x:v>
      </x:c>
      <x:c r="H28" s="741">
        <x:f>AVERAGE(F28:G28)</x:f>
        <x:v>45474.5</x:v>
      </x:c>
      <x:c r="I28" s="736">
        <x:f>+H28-B28</x:f>
        <x:v>-105.5</x:v>
      </x:c>
      <x:c r="J28" s="742">
        <x:f>+D28*I28</x:f>
        <x:v>-2244512500</x:v>
      </x:c>
    </x:row>
    <x:row r="29" spans="1:10" s="733" customFormat="1" ht="14.4" customHeight="1" x14ac:dyDescent="0.25">
      <x:c r="A29" s="731">
        <x:v>25</x:v>
      </x:c>
      <x:c r="B29" s="738">
        <x:v>45672</x:v>
      </x:c>
      <x:c r="C29" s="738" t="s">
        <x:v>476</x:v>
      </x:c>
      <x:c r="D29" s="744">
        <x:v>21275000</x:v>
      </x:c>
      <x:c r="E29" s="740">
        <x:f>+D29/$D$31</x:f>
        <x:v>0.25</x:v>
      </x:c>
      <x:c r="F29" s="735">
        <x:v>45292</x:v>
      </x:c>
      <x:c r="G29" s="735">
        <x:v>45657</x:v>
      </x:c>
      <x:c r="H29" s="741">
        <x:f>AVERAGE(F29:G29)</x:f>
        <x:v>45474.5</x:v>
      </x:c>
      <x:c r="I29" s="736">
        <x:f>+H29-B29</x:f>
        <x:v>-197.5</x:v>
      </x:c>
      <x:c r="J29" s="745">
        <x:f>+D29*I29</x:f>
        <x:v>-4201812500</x:v>
      </x:c>
    </x:row>
    <x:row r="30" spans="1:10" s="733" customFormat="1" ht="14.4" customHeight="1" x14ac:dyDescent="0.25">
      <x:c r="A30" s="731">
        <x:v>26</x:v>
      </x:c>
      <x:c r="B30" s="738"/>
      <x:c r="C30" s="738"/>
      <x:c r="D30" s="746"/>
      <x:c r="E30" s="747"/>
      <x:c r="F30" s="735"/>
      <x:c r="G30" s="735"/>
      <x:c r="H30" s="741"/>
      <x:c r="I30" s="736"/>
      <x:c r="J30" s="748"/>
    </x:row>
    <x:row r="31" spans="1:10" s="698" customFormat="1" ht="14.4" customHeight="1" x14ac:dyDescent="0.25">
      <x:c r="A31" s="731">
        <x:v>27</x:v>
      </x:c>
      <x:c r="B31" s="737" t="s">
        <x:v>459</x:v>
      </x:c>
      <x:c r="D31" s="749">
        <x:f>SUM(D26:D30)</x:f>
        <x:v>85100000</x:v>
      </x:c>
      <x:c r="E31" s="750">
        <x:f>SUM(E26:E29)</x:f>
        <x:v>1</x:v>
      </x:c>
      <x:c r="F31" s="751"/>
      <x:c r="G31" s="751"/>
      <x:c r="H31" s="752"/>
      <x:c r="I31" s="753"/>
      <x:c r="J31" s="754">
        <x:f>SUM(J26:J30)</x:f>
        <x:v>-5084725000</x:v>
      </x:c>
    </x:row>
    <x:row r="32" spans="1:10" s="698" customFormat="1" ht="14.4" customHeight="1" x14ac:dyDescent="0.25">
      <x:c r="A32" s="731">
        <x:v>28</x:v>
      </x:c>
      <x:c r="B32" s="737" t="s">
        <x:v>480</x:v>
      </x:c>
      <x:c r="C32" s="711"/>
      <x:c r="D32" s="735"/>
      <x:c r="E32" s="735"/>
      <x:c r="H32" s="735"/>
      <x:c r="I32" s="736">
        <x:f>+J31/D31</x:f>
        <x:v>-59.75</x:v>
      </x:c>
    </x:row>
    <x:row r="33" spans="1:10" s="698" customFormat="1" ht="14.4" customHeight="1" x14ac:dyDescent="0.25">
      <x:c r="A33" s="731">
        <x:v>29</x:v>
      </x:c>
      <x:c r="B33" s="737"/>
      <x:c r="C33" s="711"/>
      <x:c r="D33" s="735"/>
      <x:c r="E33" s="735"/>
      <x:c r="H33" s="735"/>
      <x:c r="I33" s="736"/>
    </x:row>
    <x:row r="34" spans="1:10" customFormat="1" ht="14.4" customHeight="1" x14ac:dyDescent="0.25">
      <x:c r="A34" s="731">
        <x:v>30</x:v>
      </x:c>
      <x:c r="B34" s="635"/>
      <x:c r="C34" s="70"/>
      <x:c r="D34" s="584"/>
      <x:c r="E34" s="584"/>
      <x:c r="H34" s="584"/>
      <x:c r="I34" s="585"/>
    </x:row>
    <x:row r="35" spans="1:10" customFormat="1" ht="14.4" customHeight="1" thickBot="1" x14ac:dyDescent="0.3">
      <x:c r="A35" s="731">
        <x:v>31</x:v>
      </x:c>
      <x:c r="B35" s="635" t="s">
        <x:v>424</x:v>
      </x:c>
      <x:c r="C35" s="70"/>
      <x:c r="D35" s="693">
        <x:f>+D31+D22</x:f>
        <x:v>89857937.349999994</x:v>
      </x:c>
      <x:c r="E35" s="584"/>
      <x:c r="H35" s="584"/>
      <x:c r="I35" s="585"/>
      <x:c r="J35" s="363">
        <x:f>+J31+J22</x:f>
        <x:v>-5160989285.3249998</x:v>
      </x:c>
    </x:row>
    <x:row r="36" spans="1:10" customFormat="1" ht="14.4" customHeight="1" thickTop="1" x14ac:dyDescent="0.25">
      <x:c r="A36" s="731">
        <x:v>32</x:v>
      </x:c>
      <x:c r="B36" s="635" t="s">
        <x:v>477</x:v>
      </x:c>
      <x:c r="C36" s="70"/>
      <x:c r="D36" s="584"/>
      <x:c r="E36" s="584"/>
      <x:c r="H36" s="584"/>
      <x:c r="I36" s="585">
        <x:f>+J35/D35</x:f>
        <x:v>-57.434985016657521</x:v>
      </x:c>
    </x:row>
    <x:row r="37" spans="1:10" customFormat="1" ht="14.4" customHeight="1" x14ac:dyDescent="0.25">
      <x:c r="A37" s="731">
        <x:v>33</x:v>
      </x:c>
      <x:c r="B37" s="635"/>
      <x:c r="C37" s="70"/>
      <x:c r="D37" s="584"/>
      <x:c r="E37" s="584"/>
      <x:c r="H37" s="584"/>
      <x:c r="I37" s="585"/>
    </x:row>
    <x:row r="38" spans="1:10" ht="15" customHeight="1" x14ac:dyDescent="0.25">
      <x:c r="A38" s="731">
        <x:v>34</x:v>
      </x:c>
      <x:c r="B38" s="558" t="s">
        <x:v>230</x:v>
      </x:c>
      <x:c r="C38" s="290" t="s">
        <x:v>427</x:v>
      </x:c>
      <x:c r="D38" s="562"/>
      <x:c r="I38" s="589"/>
    </x:row>
    <x:row r="39" spans="1:10" x14ac:dyDescent="0.25">
      <x:c r="A39" s="733"/>
      <x:c r="B39" s="561"/>
      <x:c r="C39" s="561"/>
      <x:c r="D39" s="562"/>
      <x:c r="E39" s="571"/>
      <x:c r="I39" s="589"/>
    </x:row>
    <x:row r="40" spans="1:10" x14ac:dyDescent="0.25">
      <x:c r="A40" s="733"/>
      <x:c r="B40" s="561"/>
      <x:c r="C40" s="561"/>
      <x:c r="D40" s="562"/>
      <x:c r="E40" s="571"/>
      <x:c r="H40" s="70"/>
      <x:c r="I40" s="589"/>
      <x:c r="J40" s="590"/>
    </x:row>
    <x:row r="41" spans="1:10" x14ac:dyDescent="0.25">
      <x:c r="B41" s="561"/>
      <x:c r="C41" s="562"/>
      <x:c r="D41" s="562"/>
      <x:c r="E41" s="571"/>
      <x:c r="H41" s="70"/>
      <x:c r="I41" s="589"/>
      <x:c r="J41" s="590"/>
    </x:row>
    <x:row r="42" spans="1:10" x14ac:dyDescent="0.25">
      <x:c r="B42" s="561"/>
      <x:c r="C42" s="561"/>
      <x:c r="D42" s="562"/>
      <x:c r="E42" s="571"/>
      <x:c r="H42" s="70"/>
      <x:c r="I42" s="591"/>
      <x:c r="J42" s="590"/>
    </x:row>
    <x:row r="43" spans="1:10" x14ac:dyDescent="0.25">
      <x:c r="B43" s="561"/>
      <x:c r="C43" s="561"/>
      <x:c r="D43" s="562"/>
      <x:c r="E43" s="571"/>
      <x:c r="H43" s="70"/>
      <x:c r="I43" s="591"/>
      <x:c r="J43" s="590"/>
    </x:row>
    <x:row r="44" spans="1:10" x14ac:dyDescent="0.25">
      <x:c r="B44" s="561"/>
      <x:c r="C44" s="561"/>
      <x:c r="D44" s="562"/>
      <x:c r="E44" s="571"/>
      <x:c r="H44" s="70"/>
      <x:c r="I44" s="591"/>
      <x:c r="J44" s="590"/>
    </x:row>
    <x:row r="45" spans="1:10" x14ac:dyDescent="0.25">
      <x:c r="B45" s="561"/>
      <x:c r="C45" s="561"/>
      <x:c r="D45" s="562"/>
      <x:c r="E45" s="571"/>
      <x:c r="H45" s="70"/>
      <x:c r="I45" s="591"/>
      <x:c r="J45" s="590"/>
    </x:row>
    <x:row r="46" spans="1:10" x14ac:dyDescent="0.25">
      <x:c r="B46" s="561"/>
      <x:c r="C46" s="561"/>
      <x:c r="D46" s="562"/>
      <x:c r="E46" s="571"/>
      <x:c r="H46" s="70"/>
      <x:c r="I46" s="591"/>
      <x:c r="J46" s="590"/>
    </x:row>
    <x:row r="47" spans="1:10" x14ac:dyDescent="0.25">
      <x:c r="B47" s="561"/>
      <x:c r="C47" s="561"/>
      <x:c r="D47" s="562"/>
      <x:c r="E47" s="571"/>
      <x:c r="H47" s="70"/>
      <x:c r="I47" s="591"/>
      <x:c r="J47" s="590"/>
    </x:row>
    <x:row r="48" spans="1:10" x14ac:dyDescent="0.25">
      <x:c r="B48" s="561"/>
      <x:c r="C48" s="561"/>
      <x:c r="D48" s="562"/>
      <x:c r="E48" s="571"/>
      <x:c r="H48" s="70"/>
      <x:c r="I48" s="591"/>
      <x:c r="J48" s="590"/>
    </x:row>
    <x:row r="49" spans="2:10" x14ac:dyDescent="0.25">
      <x:c r="B49" s="561"/>
      <x:c r="C49" s="561"/>
      <x:c r="D49" s="562"/>
      <x:c r="E49" s="571"/>
      <x:c r="H49" s="70"/>
      <x:c r="I49" s="591"/>
      <x:c r="J49" s="590"/>
    </x:row>
    <x:row r="50" spans="2:10" x14ac:dyDescent="0.25">
      <x:c r="B50" s="561"/>
      <x:c r="C50" s="561"/>
      <x:c r="D50" s="565"/>
      <x:c r="E50" s="571"/>
      <x:c r="H50" s="70"/>
      <x:c r="I50" s="591"/>
      <x:c r="J50" s="590"/>
    </x:row>
    <x:row r="51" spans="2:10" x14ac:dyDescent="0.25">
      <x:c r="D51" s="562"/>
      <x:c r="H51" s="70"/>
      <x:c r="I51" s="591"/>
      <x:c r="J51" s="590"/>
    </x:row>
    <x:row r="53" spans="2:10" x14ac:dyDescent="0.25">
      <x:c r="D53" s="563"/>
    </x:row>
  </x:sheetData>
  <x:mergeCells count="1">
    <x:mergeCell ref="F6:G6"/>
  </x:mergeCells>
  <x:phoneticPr fontId="32" type="noConversion"/>
  <x:hyperlinks>
    <x:hyperlink ref="C38" r:id="rId1" xr:uid="{00000000-0004-0000-2000-000000000000}"/>
  </x:hyperlinks>
  <x:printOptions horizontalCentered="1"/>
  <x:pageMargins left="0.5" right="0.5" top="1.5" bottom="0.5" header="1" footer="0.5"/>
  <x:pageSetup scale="69" fitToHeight="2" orientation="landscape" r:id="rId2"/>
  <x:headerFooter alignWithMargins="0">
    <x:oddHeader>&amp;RWP/II-B-9/&amp;A
Page &amp;P of &amp;N</x:oddHeader>
  </x:headerFooter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sheetPr codeName="Sheet66">
    <x:tabColor rgb="FF92D050"/>
    <x:pageSetUpPr fitToPage="1"/>
  </x:sheetPr>
  <x:dimension ref="A1:J26"/>
  <x:sheetViews>
    <x:sheetView topLeftCell="A7" workbookViewId="0">
      <x:selection activeCell="D37" sqref="D37"/>
    </x:sheetView>
  </x:sheetViews>
  <x:sheetFormatPr defaultColWidth="8.88671875" defaultRowHeight="12.7" x14ac:dyDescent="0.25"/>
  <x:cols>
    <x:col min="1" max="1" width="9.88671875" style="558" customWidth="1"/>
    <x:col min="2" max="2" width="13.5546875" style="558" customWidth="1"/>
    <x:col min="3" max="3" width="21.44140625" style="558" customWidth="1"/>
    <x:col min="4" max="4" width="13.88671875" style="558" customWidth="1"/>
    <x:col min="5" max="5" width="10.109375" style="558" bestFit="1" customWidth="1"/>
    <x:col min="6" max="6" width="13.88671875" style="558" customWidth="1"/>
    <x:col min="7" max="7" width="12.88671875" style="558" customWidth="1"/>
    <x:col min="8" max="8" width="13" style="558" customWidth="1"/>
    <x:col min="9" max="9" width="11" style="558" customWidth="1"/>
    <x:col min="10" max="10" width="15.88671875" style="558" bestFit="1" customWidth="1"/>
    <x:col min="11" max="16384" width="8.88671875" style="558"/>
  </x:cols>
  <x:sheetData>
    <x:row r="1" spans="1:10" s="566" customFormat="1" x14ac:dyDescent="0.25">
      <x:c r="A1" s="180" t="s">
        <x:v>523</x:v>
      </x:c>
    </x:row>
    <x:row r="2" spans="1:10" s="566" customFormat="1" x14ac:dyDescent="0.25">
      <x:c r="A2" s="595" t="s">
        <x:v>389</x:v>
      </x:c>
    </x:row>
    <x:row r="3" spans="1:10" s="566" customFormat="1" x14ac:dyDescent="0.25">
      <x:c r="A3" s="595" t="s">
        <x:v>426</x:v>
      </x:c>
    </x:row>
    <x:row r="4" spans="1:10" s="566" customFormat="1" x14ac:dyDescent="0.25">
      <x:c r="A4" s="767" t="s">
        <x:v>524</x:v>
      </x:c>
    </x:row>
    <x:row r="5" spans="1:10" s="566" customFormat="1" x14ac:dyDescent="0.25">
      <x:c r="A5" s="687" t="s">
        <x:v>486</x:v>
      </x:c>
      <x:c r="H5" s="566" t="s">
        <x:v>464</x:v>
      </x:c>
    </x:row>
    <x:row r="6" spans="1:10" s="566" customFormat="1" x14ac:dyDescent="0.25">
      <x:c r="F6" s="832" t="s">
        <x:v>418</x:v>
      </x:c>
      <x:c r="G6" s="832"/>
    </x:row>
    <x:row r="7" spans="1:10" s="566" customFormat="1" ht="29.25" customHeight="1" x14ac:dyDescent="0.3">
      <x:c r="A7" s="567" t="s">
        <x:v>40</x:v>
      </x:c>
      <x:c r="B7" s="567" t="s">
        <x:v>384</x:v>
      </x:c>
      <x:c r="C7" s="567" t="s">
        <x:v>391</x:v>
      </x:c>
      <x:c r="D7" s="567" t="s">
        <x:v>392</x:v>
      </x:c>
      <x:c r="E7" s="567" t="s">
        <x:v>383</x:v>
      </x:c>
      <x:c r="F7" s="586" t="s">
        <x:v>419</x:v>
      </x:c>
      <x:c r="G7" s="586" t="s">
        <x:v>420</x:v>
      </x:c>
      <x:c r="H7" s="586" t="s">
        <x:v>421</x:v>
      </x:c>
      <x:c r="I7" s="593" t="s">
        <x:v>425</x:v>
      </x:c>
      <x:c r="J7" s="586" t="s">
        <x:v>38</x:v>
      </x:c>
    </x:row>
    <x:row r="8" spans="1:10" s="559" customFormat="1" x14ac:dyDescent="0.25">
      <x:c r="B8" s="559" t="s">
        <x:v>50</x:v>
      </x:c>
      <x:c r="C8" s="559" t="s">
        <x:v>51</x:v>
      </x:c>
      <x:c r="D8" s="559" t="s">
        <x:v>57</x:v>
      </x:c>
      <x:c r="E8" s="559" t="s">
        <x:v>52</x:v>
      </x:c>
      <x:c r="F8" s="2" t="s">
        <x:v>53</x:v>
      </x:c>
      <x:c r="G8" s="2" t="s">
        <x:v>54</x:v>
      </x:c>
      <x:c r="H8" s="2" t="s">
        <x:v>55</x:v>
      </x:c>
      <x:c r="I8" s="2" t="s">
        <x:v>422</x:v>
      </x:c>
      <x:c r="J8" s="2" t="s">
        <x:v>423</x:v>
      </x:c>
    </x:row>
    <x:row r="9" spans="1:10" x14ac:dyDescent="0.25">
      <x:c r="F9"/>
      <x:c r="G9"/>
      <x:c r="H9"/>
      <x:c r="I9"/>
      <x:c r="J9"/>
    </x:row>
    <x:row r="10" spans="1:10" x14ac:dyDescent="0.25">
      <x:c r="A10" s="559">
        <x:v>1</x:v>
      </x:c>
      <x:c r="B10" s="560">
        <x:v>45203</x:v>
      </x:c>
      <x:c r="C10" s="560" t="s">
        <x:v>471</x:v>
      </x:c>
      <x:c r="D10" s="615">
        <x:v>1713470</x:v>
      </x:c>
      <x:c r="E10" s="571">
        <x:f t="shared" ref="E10:E21" si="0">+D10/$D$22</x:f>
        <x:v>7.8158558507437789E-2</x:v>
      </x:c>
      <x:c r="F10" s="584">
        <x:v>45200</x:v>
      </x:c>
      <x:c r="G10" s="592">
        <x:v>45230</x:v>
      </x:c>
      <x:c r="H10" s="587">
        <x:f t="shared" ref="H10:H21" si="1">AVERAGE(F10:G10)</x:f>
        <x:v>45215</x:v>
      </x:c>
      <x:c r="I10" s="585">
        <x:f>+H10-B10</x:f>
        <x:v>12</x:v>
      </x:c>
      <x:c r="J10" s="588">
        <x:f>+D10*I10</x:f>
        <x:v>20561640</x:v>
      </x:c>
    </x:row>
    <x:row r="11" spans="1:10" x14ac:dyDescent="0.25">
      <x:c r="A11" s="559">
        <x:f>A10+1</x:f>
        <x:v>2</x:v>
      </x:c>
      <x:c r="B11" s="560">
        <x:v>45233</x:v>
      </x:c>
      <x:c r="C11" s="560" t="s">
        <x:v>471</x:v>
      </x:c>
      <x:c r="D11" s="615">
        <x:v>1713470</x:v>
      </x:c>
      <x:c r="E11" s="571">
        <x:f t="shared" si="0"/>
        <x:v>7.8158558507437789E-2</x:v>
      </x:c>
      <x:c r="F11" s="584">
        <x:v>45231</x:v>
      </x:c>
      <x:c r="G11" s="592">
        <x:v>45260</x:v>
      </x:c>
      <x:c r="H11" s="587">
        <x:f t="shared" si="1"/>
        <x:v>45245.5</x:v>
      </x:c>
      <x:c r="I11" s="585">
        <x:f>+H11-B11</x:f>
        <x:v>12.5</x:v>
      </x:c>
      <x:c r="J11" s="588">
        <x:f>+D11*I11</x:f>
        <x:v>21418375</x:v>
      </x:c>
    </x:row>
    <x:row r="12" spans="1:10" x14ac:dyDescent="0.25">
      <x:c r="A12" s="559">
        <x:f t="shared" ref="A12:A25" si="2">A11+1</x:f>
        <x:v>3</x:v>
      </x:c>
      <x:c r="B12" s="560">
        <x:v>45267</x:v>
      </x:c>
      <x:c r="C12" s="560" t="s">
        <x:v>471</x:v>
      </x:c>
      <x:c r="D12" s="615">
        <x:v>1713472</x:v>
      </x:c>
      <x:c r="E12" s="571">
        <x:f t="shared" si="0"/>
        <x:v>7.8158649735832225E-2</x:v>
      </x:c>
      <x:c r="F12" s="584">
        <x:v>45261</x:v>
      </x:c>
      <x:c r="G12" s="706">
        <x:v>45291</x:v>
      </x:c>
      <x:c r="H12" s="587">
        <x:f t="shared" si="1"/>
        <x:v>45276</x:v>
      </x:c>
      <x:c r="I12" s="585">
        <x:f t="shared" ref="I12:I21" si="3">+H12-B12</x:f>
        <x:v>9</x:v>
      </x:c>
      <x:c r="J12" s="588">
        <x:f t="shared" ref="J12:J21" si="4">+D12*I12</x:f>
        <x:v>15421248</x:v>
      </x:c>
    </x:row>
    <x:row r="13" spans="1:10" x14ac:dyDescent="0.25">
      <x:c r="A13" s="559">
        <x:f t="shared" si="2"/>
        <x:v>4</x:v>
      </x:c>
      <x:c r="B13" s="560">
        <x:v>45296</x:v>
      </x:c>
      <x:c r="C13" s="560" t="s">
        <x:v>471</x:v>
      </x:c>
      <x:c r="D13" s="615">
        <x:v>1713472</x:v>
      </x:c>
      <x:c r="E13" s="571">
        <x:f t="shared" si="0"/>
        <x:v>7.8158649735832225E-2</x:v>
      </x:c>
      <x:c r="F13" s="584">
        <x:v>45292</x:v>
      </x:c>
      <x:c r="G13" s="592">
        <x:v>45322</x:v>
      </x:c>
      <x:c r="H13" s="587">
        <x:f t="shared" si="1"/>
        <x:v>45307</x:v>
      </x:c>
      <x:c r="I13" s="585">
        <x:f t="shared" si="3"/>
        <x:v>11</x:v>
      </x:c>
      <x:c r="J13" s="588">
        <x:f t="shared" si="4"/>
        <x:v>18848192</x:v>
      </x:c>
    </x:row>
    <x:row r="14" spans="1:10" x14ac:dyDescent="0.25">
      <x:c r="A14" s="559">
        <x:f t="shared" si="2"/>
        <x:v>5</x:v>
      </x:c>
      <x:c r="B14" s="560">
        <x:v>45328</x:v>
      </x:c>
      <x:c r="C14" s="560" t="s">
        <x:v>471</x:v>
      </x:c>
      <x:c r="D14" s="615">
        <x:v>1713472</x:v>
      </x:c>
      <x:c r="E14" s="571">
        <x:f t="shared" si="0"/>
        <x:v>7.8158649735832225E-2</x:v>
      </x:c>
      <x:c r="F14" s="584">
        <x:v>45323</x:v>
      </x:c>
      <x:c r="G14" s="706">
        <x:v>45351</x:v>
      </x:c>
      <x:c r="H14" s="587">
        <x:f t="shared" si="1"/>
        <x:v>45337</x:v>
      </x:c>
      <x:c r="I14" s="585">
        <x:f t="shared" si="3"/>
        <x:v>9</x:v>
      </x:c>
      <x:c r="J14" s="588">
        <x:f t="shared" si="4"/>
        <x:v>15421248</x:v>
      </x:c>
    </x:row>
    <x:row r="15" spans="1:10" x14ac:dyDescent="0.25">
      <x:c r="A15" s="559">
        <x:f t="shared" si="2"/>
        <x:v>6</x:v>
      </x:c>
      <x:c r="B15" s="560">
        <x:v>45356</x:v>
      </x:c>
      <x:c r="C15" s="560" t="s">
        <x:v>471</x:v>
      </x:c>
      <x:c r="D15" s="615">
        <x:v>1907949</x:v>
      </x:c>
      <x:c r="E15" s="571">
        <x:f t="shared" si="0"/>
        <x:v>8.7029561968232541E-2</x:v>
      </x:c>
      <x:c r="F15" s="584">
        <x:v>45352</x:v>
      </x:c>
      <x:c r="G15" s="592">
        <x:v>45382</x:v>
      </x:c>
      <x:c r="H15" s="587">
        <x:f t="shared" si="1"/>
        <x:v>45367</x:v>
      </x:c>
      <x:c r="I15" s="585">
        <x:f t="shared" si="3"/>
        <x:v>11</x:v>
      </x:c>
      <x:c r="J15" s="588">
        <x:f t="shared" si="4"/>
        <x:v>20987439</x:v>
      </x:c>
    </x:row>
    <x:row r="16" spans="1:10" x14ac:dyDescent="0.25">
      <x:c r="A16" s="559">
        <x:f t="shared" si="2"/>
        <x:v>7</x:v>
      </x:c>
      <x:c r="B16" s="560">
        <x:v>45386</x:v>
      </x:c>
      <x:c r="C16" s="560" t="s">
        <x:v>471</x:v>
      </x:c>
      <x:c r="D16" s="615">
        <x:v>1907948.9999999998</x:v>
      </x:c>
      <x:c r="E16" s="571">
        <x:f t="shared" si="0"/>
        <x:v>8.7029561968232527E-2</x:v>
      </x:c>
      <x:c r="F16" s="584">
        <x:v>45383</x:v>
      </x:c>
      <x:c r="G16" s="592">
        <x:v>45412</x:v>
      </x:c>
      <x:c r="H16" s="587">
        <x:f t="shared" si="1"/>
        <x:v>45397.5</x:v>
      </x:c>
      <x:c r="I16" s="585">
        <x:f t="shared" si="3"/>
        <x:v>11.5</x:v>
      </x:c>
      <x:c r="J16" s="588">
        <x:f t="shared" si="4"/>
        <x:v>21941413.499999996</x:v>
      </x:c>
    </x:row>
    <x:row r="17" spans="1:10" x14ac:dyDescent="0.25">
      <x:c r="A17" s="559">
        <x:f t="shared" si="2"/>
        <x:v>8</x:v>
      </x:c>
      <x:c r="B17" s="560">
        <x:v>45418</x:v>
      </x:c>
      <x:c r="C17" s="560" t="s">
        <x:v>471</x:v>
      </x:c>
      <x:c r="D17" s="615">
        <x:v>1907948.9999999998</x:v>
      </x:c>
      <x:c r="E17" s="571">
        <x:f t="shared" si="0"/>
        <x:v>8.7029561968232527E-2</x:v>
      </x:c>
      <x:c r="F17" s="584">
        <x:v>45413</x:v>
      </x:c>
      <x:c r="G17" s="592">
        <x:v>45443</x:v>
      </x:c>
      <x:c r="H17" s="587">
        <x:f t="shared" si="1"/>
        <x:v>45428</x:v>
      </x:c>
      <x:c r="I17" s="585">
        <x:f t="shared" si="3"/>
        <x:v>10</x:v>
      </x:c>
      <x:c r="J17" s="588">
        <x:f t="shared" si="4"/>
        <x:v>19079489.999999996</x:v>
      </x:c>
    </x:row>
    <x:row r="18" spans="1:10" x14ac:dyDescent="0.25">
      <x:c r="A18" s="559">
        <x:f t="shared" si="2"/>
        <x:v>9</x:v>
      </x:c>
      <x:c r="B18" s="560">
        <x:v>45449</x:v>
      </x:c>
      <x:c r="C18" s="560" t="s">
        <x:v>471</x:v>
      </x:c>
      <x:c r="D18" s="615">
        <x:v>1907948.9999999998</x:v>
      </x:c>
      <x:c r="E18" s="571">
        <x:f t="shared" si="0"/>
        <x:v>8.7029561968232527E-2</x:v>
      </x:c>
      <x:c r="F18" s="584">
        <x:v>45444</x:v>
      </x:c>
      <x:c r="G18" s="592">
        <x:v>45473</x:v>
      </x:c>
      <x:c r="H18" s="587">
        <x:f t="shared" si="1"/>
        <x:v>45458.5</x:v>
      </x:c>
      <x:c r="I18" s="585">
        <x:f t="shared" si="3"/>
        <x:v>9.5</x:v>
      </x:c>
      <x:c r="J18" s="588">
        <x:f t="shared" si="4"/>
        <x:v>18125515.499999996</x:v>
      </x:c>
    </x:row>
    <x:row r="19" spans="1:10" x14ac:dyDescent="0.25">
      <x:c r="A19" s="559">
        <x:f t="shared" si="2"/>
        <x:v>10</x:v>
      </x:c>
      <x:c r="B19" s="560">
        <x:v>45478</x:v>
      </x:c>
      <x:c r="C19" s="560" t="s">
        <x:v>471</x:v>
      </x:c>
      <x:c r="D19" s="615">
        <x:v>1907949</x:v>
      </x:c>
      <x:c r="E19" s="571">
        <x:f t="shared" si="0"/>
        <x:v>8.7029561968232541E-2</x:v>
      </x:c>
      <x:c r="F19" s="584">
        <x:v>45474</x:v>
      </x:c>
      <x:c r="G19" s="592">
        <x:v>45504</x:v>
      </x:c>
      <x:c r="H19" s="587">
        <x:f t="shared" si="1"/>
        <x:v>45489</x:v>
      </x:c>
      <x:c r="I19" s="585">
        <x:f t="shared" si="3"/>
        <x:v>11</x:v>
      </x:c>
      <x:c r="J19" s="588">
        <x:f t="shared" si="4"/>
        <x:v>20987439</x:v>
      </x:c>
    </x:row>
    <x:row r="20" spans="1:10" x14ac:dyDescent="0.25">
      <x:c r="A20" s="559">
        <x:f t="shared" si="2"/>
        <x:v>11</x:v>
      </x:c>
      <x:c r="B20" s="560">
        <x:v>45509</x:v>
      </x:c>
      <x:c r="C20" s="560" t="s">
        <x:v>471</x:v>
      </x:c>
      <x:c r="D20" s="615">
        <x:v>1907949</x:v>
      </x:c>
      <x:c r="E20" s="571">
        <x:f t="shared" si="0"/>
        <x:v>8.7029561968232541E-2</x:v>
      </x:c>
      <x:c r="F20" s="584">
        <x:v>45505</x:v>
      </x:c>
      <x:c r="G20" s="592">
        <x:v>45535</x:v>
      </x:c>
      <x:c r="H20" s="587">
        <x:f t="shared" si="1"/>
        <x:v>45520</x:v>
      </x:c>
      <x:c r="I20" s="585">
        <x:f t="shared" si="3"/>
        <x:v>11</x:v>
      </x:c>
      <x:c r="J20" s="588">
        <x:f t="shared" si="4"/>
        <x:v>20987439</x:v>
      </x:c>
    </x:row>
    <x:row r="21" spans="1:10" x14ac:dyDescent="0.25">
      <x:c r="A21" s="559">
        <x:f t="shared" si="2"/>
        <x:v>12</x:v>
      </x:c>
      <x:c r="B21" s="560">
        <x:v>45540</x:v>
      </x:c>
      <x:c r="C21" s="560" t="s">
        <x:v>471</x:v>
      </x:c>
      <x:c r="D21" s="616">
        <x:v>1907948.9999999998</x:v>
      </x:c>
      <x:c r="E21" s="644">
        <x:f t="shared" si="0"/>
        <x:v>8.7029561968232527E-2</x:v>
      </x:c>
      <x:c r="F21" s="584">
        <x:v>45536</x:v>
      </x:c>
      <x:c r="G21" s="592">
        <x:v>45565</x:v>
      </x:c>
      <x:c r="H21" s="587">
        <x:f t="shared" si="1"/>
        <x:v>45550.5</x:v>
      </x:c>
      <x:c r="I21" s="585">
        <x:f t="shared" si="3"/>
        <x:v>10.5</x:v>
      </x:c>
      <x:c r="J21" s="617">
        <x:f t="shared" si="4"/>
        <x:v>20033464.499999996</x:v>
      </x:c>
    </x:row>
    <x:row r="22" spans="1:10" ht="29.25" customHeight="1" x14ac:dyDescent="0.25">
      <x:c r="A22" s="559">
        <x:f>A21+1</x:f>
        <x:v>13</x:v>
      </x:c>
      <x:c r="B22" t="s">
        <x:v>424</x:v>
      </x:c>
      <x:c r="C22"/>
      <x:c r="D22" s="597">
        <x:f>SUM(D10:D21)</x:f>
        <x:v>21922999</x:v>
      </x:c>
      <x:c r="E22" s="598">
        <x:f>SUM(E10:E21)</x:f>
        <x:v>0.99999999999999989</x:v>
      </x:c>
      <x:c r="F22" s="1"/>
      <x:c r="G22" s="1"/>
      <x:c r="H22" s="1"/>
      <x:c r="I22" s="45"/>
      <x:c r="J22" s="597">
        <x:f>SUM(J10:J21)</x:f>
        <x:v>233812903.5</x:v>
      </x:c>
    </x:row>
    <x:row r="23" spans="1:10" ht="29.25" customHeight="1" x14ac:dyDescent="0.3">
      <x:c r="A23" s="559">
        <x:f t="shared" si="2"/>
        <x:v>14</x:v>
      </x:c>
      <x:c r="B23" s="635" t="s">
        <x:v>473</x:v>
      </x:c>
      <x:c r="C23"/>
      <x:c r="D23" s="582"/>
      <x:c r="E23" s="583"/>
      <x:c r="F23"/>
      <x:c r="G23"/>
      <x:c r="H23"/>
      <x:c r="I23" s="28">
        <x:f>+J22/D22</x:f>
        <x:v>10.665187892404685</x:v>
      </x:c>
      <x:c r="J23" s="582"/>
    </x:row>
    <x:row r="24" spans="1:10" ht="15" customHeight="1" x14ac:dyDescent="0.25">
      <x:c r="A24" s="559">
        <x:f t="shared" si="2"/>
        <x:v>15</x:v>
      </x:c>
      <x:c r="D24" s="562"/>
      <x:c r="I24" s="564"/>
    </x:row>
    <x:row r="25" spans="1:10" ht="15" customHeight="1" x14ac:dyDescent="0.25">
      <x:c r="A25" s="559">
        <x:f t="shared" si="2"/>
        <x:v>16</x:v>
      </x:c>
      <x:c r="B25" s="558" t="s">
        <x:v>230</x:v>
      </x:c>
      <x:c r="C25" s="290" t="s">
        <x:v>427</x:v>
      </x:c>
      <x:c r="D25" s="562"/>
      <x:c r="I25" s="564"/>
    </x:row>
    <x:row r="26" spans="1:10" ht="15" customHeight="1" x14ac:dyDescent="0.25">
      <x:c r="D26" s="562"/>
      <x:c r="I26" s="564"/>
    </x:row>
  </x:sheetData>
  <x:mergeCells count="1">
    <x:mergeCell ref="F6:G6"/>
  </x:mergeCells>
  <x:phoneticPr fontId="32" type="noConversion"/>
  <x:hyperlinks>
    <x:hyperlink ref="C25" r:id="rId1" xr:uid="{00000000-0004-0000-2100-000000000000}"/>
  </x:hyperlinks>
  <x:printOptions horizontalCentered="1"/>
  <x:pageMargins left="0.5" right="0.5" top="1.5" bottom="0.5" header="1" footer="0.5"/>
  <x:pageSetup scale="96" orientation="landscape" r:id="rId2"/>
  <x:headerFooter alignWithMargins="0">
    <x:oddHeader>&amp;RWP/II-B-9/&amp;A
Page &amp;P of &amp;N</x:oddHeader>
  </x:headerFooter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200-000000000000}" mc:Ignorable="x14ac xr xr2 xr3">
  <x:sheetPr codeName="Sheet18">
    <x:tabColor rgb="FF92D050"/>
    <x:pageSetUpPr fitToPage="1"/>
  </x:sheetPr>
  <x:dimension ref="A1:I28"/>
  <x:sheetViews>
    <x:sheetView showGridLines="0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29.5546875" style="1" bestFit="1" customWidth="1"/>
    <x:col min="3" max="3" width="18" style="1" bestFit="1" customWidth="1"/>
    <x:col min="4" max="4" width="11.88671875" style="1" customWidth="1"/>
    <x:col min="5" max="5" width="13.88671875" style="1" customWidth="1"/>
    <x:col min="6" max="6" width="12.44140625" style="1" customWidth="1"/>
    <x:col min="7" max="7" width="9.109375" style="1"/>
    <x:col min="8" max="8" width="26" style="1" bestFit="1" customWidth="1"/>
    <x:col min="9" max="9" width="10.109375" style="1" bestFit="1" customWidth="1"/>
    <x:col min="10" max="16384" width="9.109375" style="1"/>
  </x:cols>
  <x:sheetData>
    <x:row r="1" spans="1:9" s="41" customFormat="1" x14ac:dyDescent="0.25">
      <x:c r="A1" s="180" t="s">
        <x:v>523</x:v>
      </x:c>
      <x:c r="B1" s="180"/>
      <x:c r="C1" s="180"/>
      <x:c r="D1" s="180"/>
      <x:c r="E1" s="180"/>
    </x:row>
    <x:row r="2" spans="1:9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9" s="41" customFormat="1" x14ac:dyDescent="0.25">
      <x:c r="A3" s="833" t="s">
        <x:v>250</x:v>
      </x:c>
      <x:c r="B3" s="833"/>
      <x:c r="C3" s="833"/>
      <x:c r="D3" s="833"/>
      <x:c r="E3" s="833"/>
      <x:c r="F3" s="833"/>
    </x:row>
    <x:row r="4" spans="1:9" s="41" customFormat="1" x14ac:dyDescent="0.25">
      <x:c r="A4" s="767" t="s">
        <x:v>524</x:v>
      </x:c>
      <x:c r="B4" s="180"/>
      <x:c r="C4" s="180"/>
      <x:c r="D4" s="180"/>
      <x:c r="E4" s="180"/>
    </x:row>
    <x:row r="5" spans="1:9" s="41" customFormat="1" x14ac:dyDescent="0.25">
      <x:c r="A5" s="180" t="s">
        <x:v>486</x:v>
      </x:c>
      <x:c r="B5" s="183"/>
      <x:c r="C5" s="180"/>
      <x:c r="D5" s="180"/>
      <x:c r="E5" s="180"/>
      <x:c r="H5" s="41" t="s">
        <x:v>464</x:v>
      </x:c>
    </x:row>
    <x:row r="6" spans="1:9" x14ac:dyDescent="0.25">
      <x:c r="B6" s="31"/>
    </x:row>
    <x:row r="7" spans="1:9" x14ac:dyDescent="0.25">
      <x:c r="A7" s="26"/>
      <x:c r="B7" s="192"/>
      <x:c r="C7" s="22"/>
      <x:c r="D7" s="22"/>
      <x:c r="E7" s="22" t="s">
        <x:v>91</x:v>
      </x:c>
      <x:c r="F7" s="22"/>
    </x:row>
    <x:row r="8" spans="1:9" x14ac:dyDescent="0.25">
      <x:c r="A8" s="6" t="s">
        <x:v>35</x:v>
      </x:c>
      <x:c r="B8" s="193" t="s">
        <x:v>456</x:v>
      </x:c>
      <x:c r="C8" s="6"/>
      <x:c r="D8" s="22" t="s">
        <x:v>41</x:v>
      </x:c>
      <x:c r="E8" s="6" t="s">
        <x:v>92</x:v>
      </x:c>
      <x:c r="F8" s="6" t="s">
        <x:v>93</x:v>
      </x:c>
    </x:row>
    <x:row r="9" spans="1:9" x14ac:dyDescent="0.25">
      <x:c r="A9" s="56" t="s">
        <x:v>36</x:v>
      </x:c>
      <x:c r="B9" s="194" t="s">
        <x:v>238</x:v>
      </x:c>
      <x:c r="C9" s="56" t="s">
        <x:v>95</x:v>
      </x:c>
      <x:c r="D9" s="194" t="s">
        <x:v>97</x:v>
      </x:c>
      <x:c r="E9" s="56" t="s">
        <x:v>96</x:v>
      </x:c>
      <x:c r="F9" s="56" t="s">
        <x:v>97</x:v>
      </x:c>
    </x:row>
    <x:row r="10" spans="1:9" x14ac:dyDescent="0.25">
      <x:c r="B10" s="195" t="s">
        <x:v>50</x:v>
      </x:c>
      <x:c r="C10" s="8" t="s">
        <x:v>51</x:v>
      </x:c>
      <x:c r="D10" s="8" t="s">
        <x:v>57</x:v>
      </x:c>
      <x:c r="E10" s="8" t="s">
        <x:v>52</x:v>
      </x:c>
      <x:c r="F10" s="8" t="s">
        <x:v>53</x:v>
      </x:c>
    </x:row>
    <x:row r="11" spans="1:9" x14ac:dyDescent="0.25">
      <x:c r="B11" s="195"/>
      <x:c r="C11" s="8"/>
      <x:c r="D11" s="8"/>
      <x:c r="E11" s="8"/>
      <x:c r="F11" s="8"/>
      <x:c r="H11" s="635" t="s">
        <x:v>464</x:v>
      </x:c>
    </x:row>
    <x:row r="12" spans="1:9" x14ac:dyDescent="0.25">
      <x:c r="A12" s="3">
        <x:v>1</x:v>
      </x:c>
      <x:c r="B12" s="532">
        <x:v>45275</x:v>
      </x:c>
      <x:c r="C12" s="438">
        <x:v>45108</x:v>
      </x:c>
      <x:c r="D12" s="238">
        <x:f>C12-B12</x:f>
        <x:v>-167</x:v>
      </x:c>
      <x:c r="E12" s="236">
        <x:v>0.25</x:v>
      </x:c>
      <x:c r="F12" s="371">
        <x:f>D12*E12</x:f>
        <x:v>-41.75</x:v>
      </x:c>
      <x:c r="H12" s="291"/>
      <x:c r="I12" s="14"/>
    </x:row>
    <x:row r="13" spans="1:9" x14ac:dyDescent="0.25">
      <x:c r="A13" s="3">
        <x:f>A12+1</x:f>
        <x:v>2</x:v>
      </x:c>
      <x:c r="B13" s="532"/>
      <x:c r="C13" s="439"/>
      <x:c r="D13" s="238"/>
      <x:c r="E13" s="237"/>
      <x:c r="F13" s="371"/>
      <x:c r="I13" s="794"/>
    </x:row>
    <x:row r="14" spans="1:9" x14ac:dyDescent="0.25">
      <x:c r="A14" s="3">
        <x:f t="shared" ref="A14:A24" si="0">A13+1</x:f>
        <x:v>3</x:v>
      </x:c>
      <x:c r="B14" s="532">
        <x:v>45397</x:v>
      </x:c>
      <x:c r="C14" s="438">
        <x:v>45474</x:v>
      </x:c>
      <x:c r="D14" s="238">
        <x:f>C14-B14</x:f>
        <x:v>77</x:v>
      </x:c>
      <x:c r="E14" s="236">
        <x:v>0.25</x:v>
      </x:c>
      <x:c r="F14" s="371">
        <x:f>D14*E14</x:f>
        <x:v>19.25</x:v>
      </x:c>
      <x:c r="H14" s="291"/>
      <x:c r="I14" s="14"/>
    </x:row>
    <x:row r="15" spans="1:9" x14ac:dyDescent="0.25">
      <x:c r="A15" s="3">
        <x:f t="shared" si="0"/>
        <x:v>4</x:v>
      </x:c>
      <x:c r="B15" s="532"/>
      <x:c r="C15" s="439"/>
      <x:c r="D15" s="238"/>
      <x:c r="E15" s="237"/>
      <x:c r="F15" s="371"/>
    </x:row>
    <x:row r="16" spans="1:9" x14ac:dyDescent="0.25">
      <x:c r="A16" s="3">
        <x:f t="shared" si="0"/>
        <x:v>5</x:v>
      </x:c>
      <x:c r="B16" s="532">
        <x:v>45458</x:v>
      </x:c>
      <x:c r="C16" s="438">
        <x:f>+C14</x:f>
        <x:v>45474</x:v>
      </x:c>
      <x:c r="D16" s="238">
        <x:f>C16-B16</x:f>
        <x:v>16</x:v>
      </x:c>
      <x:c r="E16" s="236">
        <x:v>0.25</x:v>
      </x:c>
      <x:c r="F16" s="371">
        <x:f>D16*E16</x:f>
        <x:v>4</x:v>
      </x:c>
      <x:c r="H16" s="291"/>
      <x:c r="I16" s="14"/>
    </x:row>
    <x:row r="17" spans="1:9" x14ac:dyDescent="0.25">
      <x:c r="A17" s="3">
        <x:f t="shared" si="0"/>
        <x:v>6</x:v>
      </x:c>
      <x:c r="B17" s="532"/>
      <x:c r="C17" s="438"/>
      <x:c r="D17" s="238"/>
      <x:c r="E17" s="237"/>
      <x:c r="F17" s="371"/>
    </x:row>
    <x:row r="18" spans="1:9" x14ac:dyDescent="0.25">
      <x:c r="A18" s="3">
        <x:f t="shared" si="0"/>
        <x:v>7</x:v>
      </x:c>
      <x:c r="B18" s="532">
        <x:v>45550</x:v>
      </x:c>
      <x:c r="C18" s="438">
        <x:f>C16</x:f>
        <x:v>45474</x:v>
      </x:c>
      <x:c r="D18" s="238">
        <x:f>C18-B18</x:f>
        <x:v>-76</x:v>
      </x:c>
      <x:c r="E18" s="236">
        <x:v>0.25</x:v>
      </x:c>
      <x:c r="F18" s="372">
        <x:f>D18*E18</x:f>
        <x:v>-19</x:v>
      </x:c>
      <x:c r="H18" s="291"/>
      <x:c r="I18" s="14"/>
    </x:row>
    <x:row r="19" spans="1:9" x14ac:dyDescent="0.25">
      <x:c r="A19" s="3">
        <x:f t="shared" si="0"/>
        <x:v>8</x:v>
      </x:c>
      <x:c r="D19" s="83"/>
      <x:c r="F19" s="371"/>
    </x:row>
    <x:row r="20" spans="1:9" ht="13.25" thickBot="1" x14ac:dyDescent="0.3">
      <x:c r="A20" s="3">
        <x:f t="shared" si="0"/>
        <x:v>9</x:v>
      </x:c>
      <x:c r="B20" s="3" t="s">
        <x:v>26</x:v>
      </x:c>
      <x:c r="D20" s="83"/>
      <x:c r="F20" s="373">
        <x:f>ROUND(SUM(F12:F18),2)</x:f>
        <x:v>-37.5</x:v>
      </x:c>
    </x:row>
    <x:row r="21" spans="1:9" ht="13.25" thickTop="1" x14ac:dyDescent="0.25">
      <x:c r="A21" s="3">
        <x:f t="shared" si="0"/>
        <x:v>10</x:v>
      </x:c>
      <x:c r="F21" s="83"/>
    </x:row>
    <x:row r="22" spans="1:9" x14ac:dyDescent="0.25">
      <x:c r="A22" s="3">
        <x:f t="shared" si="0"/>
        <x:v>11</x:v>
      </x:c>
      <x:c r="B22" s="60"/>
      <x:c r="C22" s="14"/>
      <x:c r="D22" s="4"/>
    </x:row>
    <x:row r="23" spans="1:9" x14ac:dyDescent="0.25">
      <x:c r="A23" s="3">
        <x:f t="shared" si="0"/>
        <x:v>12</x:v>
      </x:c>
    </x:row>
    <x:row r="24" spans="1:9" x14ac:dyDescent="0.25">
      <x:c r="A24" s="3">
        <x:f t="shared" si="0"/>
        <x:v>13</x:v>
      </x:c>
      <x:c r="B24" s="9" t="s">
        <x:v>387</x:v>
      </x:c>
      <x:c r="C24" s="290" t="s">
        <x:v>388</x:v>
      </x:c>
    </x:row>
    <x:row r="25" spans="1:9" ht="15.55" x14ac:dyDescent="0.3">
      <x:c r="B25" s="58"/>
      <x:c r="C25" s="59"/>
    </x:row>
    <x:row r="26" spans="1:9" ht="15.55" x14ac:dyDescent="0.3">
      <x:c r="C26" s="288"/>
    </x:row>
    <x:row r="27" spans="1:9" ht="15.55" x14ac:dyDescent="0.3">
      <x:c r="C27" s="288"/>
    </x:row>
    <x:row r="28" spans="1:9" ht="15.55" x14ac:dyDescent="0.3">
      <x:c r="C28" s="288"/>
    </x:row>
  </x:sheetData>
  <x:mergeCells count="1">
    <x:mergeCell ref="A3:F3"/>
  </x:mergeCells>
  <x:phoneticPr fontId="0" type="noConversion"/>
  <x:hyperlinks>
    <x:hyperlink ref="C24" r:id="rId1" xr:uid="{00000000-0004-0000-22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300-000000000000}" mc:Ignorable="x14ac xr xr2 xr3">
  <x:sheetPr codeName="Sheet19">
    <x:tabColor rgb="FF92D050"/>
    <x:pageSetUpPr fitToPage="1"/>
  </x:sheetPr>
  <x:dimension ref="A1:I20"/>
  <x:sheetViews>
    <x:sheetView showGridLines="0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32.44140625" style="1" customWidth="1"/>
    <x:col min="3" max="3" width="17.109375" style="1" customWidth="1"/>
    <x:col min="4" max="4" width="11" style="1" customWidth="1"/>
    <x:col min="5" max="5" width="21.44140625" style="1" customWidth="1"/>
    <x:col min="6" max="6" width="20" style="1" customWidth="1"/>
    <x:col min="7" max="7" width="2" style="1" customWidth="1"/>
    <x:col min="8" max="9" width="9.5546875" style="1" bestFit="1" customWidth="1"/>
    <x:col min="10" max="16384" width="9.109375" style="1"/>
  </x:cols>
  <x:sheetData>
    <x:row r="1" spans="1:9" s="41" customFormat="1" x14ac:dyDescent="0.25">
      <x:c r="A1" s="180" t="s">
        <x:v>523</x:v>
      </x:c>
      <x:c r="B1" s="180"/>
      <x:c r="C1" s="180"/>
      <x:c r="D1" s="180"/>
      <x:c r="E1" s="180"/>
    </x:row>
    <x:row r="2" spans="1:9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9" s="41" customFormat="1" x14ac:dyDescent="0.25">
      <x:c r="A3" s="180" t="s">
        <x:v>255</x:v>
      </x:c>
      <x:c r="B3" s="180"/>
      <x:c r="C3" s="180"/>
      <x:c r="D3" s="180"/>
      <x:c r="E3" s="180"/>
    </x:row>
    <x:row r="4" spans="1:9" s="41" customFormat="1" x14ac:dyDescent="0.25">
      <x:c r="A4" s="767" t="s">
        <x:v>524</x:v>
      </x:c>
      <x:c r="B4" s="180"/>
      <x:c r="C4" s="180"/>
      <x:c r="D4" s="180"/>
      <x:c r="E4" s="180"/>
    </x:row>
    <x:row r="5" spans="1:9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6" spans="1:9" x14ac:dyDescent="0.25">
      <x:c r="A6" s="31"/>
      <x:c r="B6" s="31"/>
      <x:c r="C6" s="31"/>
    </x:row>
    <x:row r="7" spans="1:9" x14ac:dyDescent="0.25">
      <x:c r="A7" s="187"/>
      <x:c r="B7" s="191"/>
      <x:c r="C7" s="192"/>
      <x:c r="D7" s="22"/>
      <x:c r="E7" s="22" t="s">
        <x:v>93</x:v>
      </x:c>
      <x:c r="F7" s="26"/>
    </x:row>
    <x:row r="8" spans="1:9" x14ac:dyDescent="0.25">
      <x:c r="A8" s="193" t="s">
        <x:v>35</x:v>
      </x:c>
      <x:c r="B8" s="57"/>
      <x:c r="C8" s="193"/>
      <x:c r="D8" s="6" t="s">
        <x:v>41</x:v>
      </x:c>
      <x:c r="E8" s="6" t="s">
        <x:v>68</x:v>
      </x:c>
    </x:row>
    <x:row r="9" spans="1:9" x14ac:dyDescent="0.25">
      <x:c r="A9" s="194" t="s">
        <x:v>36</x:v>
      </x:c>
      <x:c r="B9" s="194" t="s">
        <x:v>23</x:v>
      </x:c>
      <x:c r="C9" s="194" t="s">
        <x:v>24</x:v>
      </x:c>
      <x:c r="D9" s="56" t="s">
        <x:v>97</x:v>
      </x:c>
      <x:c r="E9" s="56" t="s">
        <x:v>97</x:v>
      </x:c>
      <x:c r="F9" s="56" t="s">
        <x:v>25</x:v>
      </x:c>
    </x:row>
    <x:row r="10" spans="1:9" x14ac:dyDescent="0.25">
      <x:c r="A10" s="31"/>
      <x:c r="B10" s="195" t="s">
        <x:v>50</x:v>
      </x:c>
      <x:c r="C10" s="195" t="s">
        <x:v>51</x:v>
      </x:c>
      <x:c r="D10" s="8" t="s">
        <x:v>57</x:v>
      </x:c>
      <x:c r="E10" s="8" t="s">
        <x:v>52</x:v>
      </x:c>
      <x:c r="F10" s="8" t="s">
        <x:v>53</x:v>
      </x:c>
    </x:row>
    <x:row r="11" spans="1:9" x14ac:dyDescent="0.25">
      <x:c r="A11" s="31"/>
      <x:c r="B11" s="195"/>
      <x:c r="C11" s="195"/>
      <x:c r="D11" s="8"/>
      <x:c r="E11" s="8"/>
      <x:c r="F11" s="8"/>
    </x:row>
    <x:row r="12" spans="1:9" x14ac:dyDescent="0.25">
      <x:c r="A12" s="90">
        <x:v>1</x:v>
      </x:c>
      <x:c r="B12" s="31" t="s">
        <x:v>103</x:v>
      </x:c>
      <x:c r="C12" s="374">
        <x:f>'8-1'!C90</x:f>
        <x:v>60030178.510000005</x:v>
      </x:c>
      <x:c r="D12" s="599">
        <x:f>'8-1'!E90</x:f>
        <x:v>-12</x:v>
      </x:c>
      <x:c r="E12" s="375">
        <x:f>'8-1'!F90</x:f>
        <x:v>-720362142.12000012</x:v>
      </x:c>
      <x:c r="F12" s="186" t="s">
        <x:v>354</x:v>
      </x:c>
      <x:c r="G12" s="11"/>
    </x:row>
    <x:row r="13" spans="1:9" x14ac:dyDescent="0.25">
      <x:c r="A13" s="90">
        <x:f>A12+1</x:f>
        <x:v>2</x:v>
      </x:c>
      <x:c r="B13" s="31"/>
      <x:c r="C13" s="276"/>
      <x:c r="D13" s="171"/>
      <x:c r="E13" s="276"/>
      <x:c r="F13" s="18"/>
      <x:c r="G13" s="11"/>
    </x:row>
    <x:row r="14" spans="1:9" x14ac:dyDescent="0.25">
      <x:c r="A14" s="90">
        <x:f>A13+1</x:f>
        <x:v>3</x:v>
      </x:c>
      <x:c r="B14" s="31" t="s">
        <x:v>78</x:v>
      </x:c>
      <x:c r="C14" s="277">
        <x:f>'8-2'!E76</x:f>
        <x:v>534020.05000000005</x:v>
      </x:c>
      <x:c r="D14" s="600">
        <x:f>+'8-2'!K76</x:f>
        <x:v>48.41</x:v>
      </x:c>
      <x:c r="E14" s="554">
        <x:f>+'8-2'!L76</x:f>
        <x:v>25852134.214999992</x:v>
      </x:c>
      <x:c r="F14" s="186" t="s">
        <x:v>355</x:v>
      </x:c>
      <x:c r="G14" s="11"/>
      <x:c r="H14" s="49"/>
      <x:c r="I14" s="49"/>
    </x:row>
    <x:row r="15" spans="1:9" x14ac:dyDescent="0.25">
      <x:c r="A15" s="90">
        <x:f>A14+1</x:f>
        <x:v>4</x:v>
      </x:c>
      <x:c r="B15" s="31"/>
      <x:c r="C15" s="276"/>
      <x:c r="D15" s="171"/>
      <x:c r="E15" s="276"/>
      <x:c r="F15" s="18"/>
      <x:c r="G15" s="11"/>
      <x:c r="H15" s="49"/>
      <x:c r="I15" s="49"/>
    </x:row>
    <x:row r="16" spans="1:9" ht="13.25" thickBot="1" x14ac:dyDescent="0.3">
      <x:c r="A16" s="90">
        <x:f>A15+1</x:f>
        <x:v>5</x:v>
      </x:c>
      <x:c r="B16" s="31" t="s">
        <x:v>260</x:v>
      </x:c>
      <x:c r="C16" s="376">
        <x:f>SUM(C12:C14)</x:f>
        <x:v>60564198.560000002</x:v>
      </x:c>
      <x:c r="D16" s="601">
        <x:f>ROUND(E16/C16,2)</x:f>
        <x:v>-11.47</x:v>
      </x:c>
      <x:c r="E16" s="376">
        <x:f>SUM(E12:E14)</x:f>
        <x:v>-694510007.90500009</x:v>
      </x:c>
      <x:c r="F16" s="18"/>
      <x:c r="G16" s="11"/>
      <x:c r="H16" s="49"/>
      <x:c r="I16" s="49"/>
    </x:row>
    <x:row r="17" spans="1:9" ht="13.25" thickTop="1" x14ac:dyDescent="0.25">
      <x:c r="A17" s="90"/>
      <x:c r="B17" s="31"/>
      <x:c r="C17" s="275"/>
      <x:c r="D17" s="4"/>
      <x:c r="E17" s="275"/>
      <x:c r="F17" s="18"/>
      <x:c r="G17" s="11"/>
      <x:c r="H17" s="49"/>
      <x:c r="I17" s="49"/>
    </x:row>
    <x:row r="18" spans="1:9" x14ac:dyDescent="0.25">
      <x:c r="A18" s="3"/>
      <x:c r="C18" s="15"/>
      <x:c r="D18" s="4"/>
    </x:row>
    <x:row r="19" spans="1:9" x14ac:dyDescent="0.25">
      <x:c r="A19" s="3"/>
      <x:c r="C19" s="15"/>
      <x:c r="E19" s="15"/>
      <x:c r="H19" s="17"/>
    </x:row>
    <x:row r="20" spans="1:9" x14ac:dyDescent="0.25">
      <x:c r="A20" s="3"/>
    </x:row>
  </x:sheetData>
  <x:phoneticPr fontId="0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  <x:ignoredErrors>
    <x:ignoredError sqref="C12:E15 C17:E17 C16 E16" unlockedFormula="1"/>
    <x:ignoredError sqref="D16" formula="1" unlockedFormula="1"/>
  </x:ignoredErrors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400-000000000000}" mc:Ignorable="x14ac xr xr2 xr3">
  <x:sheetPr codeName="Sheet22">
    <x:tabColor rgb="FF92D050"/>
    <x:pageSetUpPr fitToPage="1"/>
  </x:sheetPr>
  <x:dimension ref="A1:H92"/>
  <x:sheetViews>
    <x:sheetView showGridLines="0" topLeftCell="A61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3" customWidth="1"/>
    <x:col min="2" max="2" width="29.44140625" style="1" customWidth="1"/>
    <x:col min="3" max="3" width="16.88671875" style="1" customWidth="1"/>
    <x:col min="4" max="4" width="12.109375" style="1" customWidth="1"/>
    <x:col min="5" max="5" width="12.5546875" style="1" bestFit="1" customWidth="1"/>
    <x:col min="6" max="6" width="18.5546875" style="1" bestFit="1" customWidth="1"/>
    <x:col min="7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  <x:c r="F1" s="298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  <x:c r="F2" s="298"/>
    </x:row>
    <x:row r="3" spans="1:8" s="41" customFormat="1" x14ac:dyDescent="0.25">
      <x:c r="A3" s="833" t="s">
        <x:v>253</x:v>
      </x:c>
      <x:c r="B3" s="833"/>
      <x:c r="C3" s="833"/>
      <x:c r="D3" s="833"/>
      <x:c r="E3" s="833"/>
      <x:c r="F3" s="833"/>
    </x:row>
    <x:row r="4" spans="1:8" s="41" customFormat="1" x14ac:dyDescent="0.25">
      <x:c r="A4" s="767" t="s">
        <x:v>524</x:v>
      </x:c>
      <x:c r="B4" s="180"/>
      <x:c r="C4" s="180"/>
      <x:c r="D4" s="180"/>
      <x:c r="E4" s="180"/>
      <x:c r="F4" s="298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F5" s="298"/>
      <x:c r="H5" s="41" t="s">
        <x:v>464</x:v>
      </x:c>
    </x:row>
    <x:row r="6" spans="1:8" x14ac:dyDescent="0.25">
      <x:c r="A6" s="16"/>
      <x:c r="B6" s="16"/>
      <x:c r="C6" s="16"/>
      <x:c r="D6" s="16"/>
      <x:c r="E6" s="16"/>
      <x:c r="F6" s="16"/>
    </x:row>
    <x:row r="7" spans="1:8" x14ac:dyDescent="0.25">
      <x:c r="A7" s="22" t="s">
        <x:v>35</x:v>
      </x:c>
      <x:c r="B7" s="22" t="s">
        <x:v>34</x:v>
      </x:c>
      <x:c r="C7" s="22" t="s">
        <x:v>69</x:v>
      </x:c>
      <x:c r="D7" s="22" t="s">
        <x:v>70</x:v>
      </x:c>
      <x:c r="E7" s="25"/>
      <x:c r="F7" s="27" t="s">
        <x:v>93</x:v>
      </x:c>
      <x:c r="G7" s="15"/>
    </x:row>
    <x:row r="8" spans="1:8" x14ac:dyDescent="0.25">
      <x:c r="A8" s="56" t="s">
        <x:v>36</x:v>
      </x:c>
      <x:c r="B8" s="56" t="s">
        <x:v>71</x:v>
      </x:c>
      <x:c r="C8" s="56" t="s">
        <x:v>24</x:v>
      </x:c>
      <x:c r="D8" s="56" t="s">
        <x:v>94</x:v>
      </x:c>
      <x:c r="E8" s="61" t="s">
        <x:v>41</x:v>
      </x:c>
      <x:c r="F8" s="62" t="s">
        <x:v>72</x:v>
      </x:c>
      <x:c r="G8" s="15"/>
    </x:row>
    <x:row r="9" spans="1:8" x14ac:dyDescent="0.25">
      <x:c r="B9" s="8" t="s">
        <x:v>50</x:v>
      </x:c>
      <x:c r="C9" s="8" t="s">
        <x:v>51</x:v>
      </x:c>
      <x:c r="D9" s="8" t="s">
        <x:v>57</x:v>
      </x:c>
      <x:c r="E9" s="8" t="s">
        <x:v>52</x:v>
      </x:c>
      <x:c r="F9" s="8" t="s">
        <x:v>53</x:v>
      </x:c>
      <x:c r="G9" s="15"/>
    </x:row>
    <x:row r="10" spans="1:8" x14ac:dyDescent="0.25">
      <x:c r="B10" s="8"/>
      <x:c r="C10" s="8"/>
      <x:c r="D10" s="8"/>
      <x:c r="E10" s="8"/>
      <x:c r="F10" s="8"/>
      <x:c r="G10" s="15"/>
    </x:row>
    <x:row r="11" spans="1:8" x14ac:dyDescent="0.25">
      <x:c r="A11" s="3">
        <x:v>1</x:v>
      </x:c>
      <x:c r="B11" s="440">
        <x:v>45204</x:v>
      </x:c>
      <x:c r="C11" s="178">
        <x:v>280641.83</x:v>
      </x:c>
      <x:c r="D11" s="440">
        <x:v>45204</x:v>
      </x:c>
      <x:c r="E11" s="377">
        <x:f>IF(C11=0,0,-(D11-B11))</x:f>
        <x:v>0</x:v>
      </x:c>
      <x:c r="F11" s="74">
        <x:f>C11*E11</x:f>
        <x:v>0</x:v>
      </x:c>
      <x:c r="G11" s="15"/>
    </x:row>
    <x:row r="12" spans="1:8" x14ac:dyDescent="0.25">
      <x:c r="A12" s="3">
        <x:f>A11+1</x:f>
        <x:v>2</x:v>
      </x:c>
      <x:c r="B12" s="440">
        <x:v>45201</x:v>
      </x:c>
      <x:c r="C12" s="178">
        <x:v>33.119999999999997</x:v>
      </x:c>
      <x:c r="D12" s="440">
        <x:v>45201</x:v>
      </x:c>
      <x:c r="E12" s="377">
        <x:f t="shared" ref="E12:E75" si="0">IF(C12=0,0,-(D12-B12))</x:f>
        <x:v>0</x:v>
      </x:c>
      <x:c r="F12" s="29">
        <x:f t="shared" ref="F12:F75" si="1">C12*E12</x:f>
        <x:v>0</x:v>
      </x:c>
      <x:c r="G12" s="15"/>
    </x:row>
    <x:row r="13" spans="1:8" x14ac:dyDescent="0.25">
      <x:c r="A13" s="3">
        <x:f t="shared" ref="A13:A76" si="2">A12+1</x:f>
        <x:v>3</x:v>
      </x:c>
      <x:c r="B13" s="440">
        <x:v>45205</x:v>
      </x:c>
      <x:c r="C13" s="178">
        <x:v>26503.9</x:v>
      </x:c>
      <x:c r="D13" s="440">
        <x:v>45205</x:v>
      </x:c>
      <x:c r="E13" s="377">
        <x:f t="shared" si="0"/>
        <x:v>0</x:v>
      </x:c>
      <x:c r="F13" s="29">
        <x:f t="shared" si="1"/>
        <x:v>0</x:v>
      </x:c>
      <x:c r="G13" s="15"/>
    </x:row>
    <x:row r="14" spans="1:8" x14ac:dyDescent="0.25">
      <x:c r="A14" s="3">
        <x:f t="shared" si="2"/>
        <x:v>4</x:v>
      </x:c>
      <x:c r="B14" s="440">
        <x:v>45211</x:v>
      </x:c>
      <x:c r="C14" s="178">
        <x:v>907873.78</x:v>
      </x:c>
      <x:c r="D14" s="440">
        <x:v>45211</x:v>
      </x:c>
      <x:c r="E14" s="377">
        <x:f t="shared" si="0"/>
        <x:v>0</x:v>
      </x:c>
      <x:c r="F14" s="29">
        <x:f t="shared" si="1"/>
        <x:v>0</x:v>
      </x:c>
      <x:c r="G14" s="15"/>
    </x:row>
    <x:row r="15" spans="1:8" x14ac:dyDescent="0.25">
      <x:c r="A15" s="3">
        <x:f t="shared" si="2"/>
        <x:v>5</x:v>
      </x:c>
      <x:c r="B15" s="440">
        <x:v>45219</x:v>
      </x:c>
      <x:c r="C15" s="178">
        <x:v>825.31999999999994</x:v>
      </x:c>
      <x:c r="D15" s="440">
        <x:v>45219</x:v>
      </x:c>
      <x:c r="E15" s="377">
        <x:f t="shared" si="0"/>
        <x:v>0</x:v>
      </x:c>
      <x:c r="F15" s="29">
        <x:f t="shared" si="1"/>
        <x:v>0</x:v>
      </x:c>
      <x:c r="G15" s="15"/>
    </x:row>
    <x:row r="16" spans="1:8" x14ac:dyDescent="0.25">
      <x:c r="A16" s="3">
        <x:f t="shared" si="2"/>
        <x:v>6</x:v>
      </x:c>
      <x:c r="B16" s="440">
        <x:v>45218</x:v>
      </x:c>
      <x:c r="C16" s="178">
        <x:v>273097.52</x:v>
      </x:c>
      <x:c r="D16" s="440">
        <x:v>45218</x:v>
      </x:c>
      <x:c r="E16" s="377">
        <x:f t="shared" si="0"/>
        <x:v>0</x:v>
      </x:c>
      <x:c r="F16" s="29">
        <x:f t="shared" si="1"/>
        <x:v>0</x:v>
      </x:c>
      <x:c r="G16" s="15"/>
    </x:row>
    <x:row r="17" spans="1:7" x14ac:dyDescent="0.25">
      <x:c r="A17" s="3">
        <x:f t="shared" si="2"/>
        <x:v>7</x:v>
      </x:c>
      <x:c r="B17" s="440">
        <x:v>45223</x:v>
      </x:c>
      <x:c r="C17" s="178">
        <x:v>1431.69</x:v>
      </x:c>
      <x:c r="D17" s="440">
        <x:v>45223</x:v>
      </x:c>
      <x:c r="E17" s="377">
        <x:f t="shared" si="0"/>
        <x:v>0</x:v>
      </x:c>
      <x:c r="F17" s="29">
        <x:f t="shared" si="1"/>
        <x:v>0</x:v>
      </x:c>
      <x:c r="G17" s="15"/>
    </x:row>
    <x:row r="18" spans="1:7" x14ac:dyDescent="0.25">
      <x:c r="A18" s="3">
        <x:f t="shared" si="2"/>
        <x:v>8</x:v>
      </x:c>
      <x:c r="B18" s="440">
        <x:v>45229</x:v>
      </x:c>
      <x:c r="C18" s="178">
        <x:v>828634.91999999993</x:v>
      </x:c>
      <x:c r="D18" s="440">
        <x:v>45229</x:v>
      </x:c>
      <x:c r="E18" s="377">
        <x:f t="shared" si="0"/>
        <x:v>0</x:v>
      </x:c>
      <x:c r="F18" s="29">
        <x:f t="shared" si="1"/>
        <x:v>0</x:v>
      </x:c>
      <x:c r="G18" s="15"/>
    </x:row>
    <x:row r="19" spans="1:7" x14ac:dyDescent="0.25">
      <x:c r="A19" s="3">
        <x:f t="shared" si="2"/>
        <x:v>9</x:v>
      </x:c>
      <x:c r="B19" s="440">
        <x:v>45232</x:v>
      </x:c>
      <x:c r="C19" s="178">
        <x:v>247882.29</x:v>
      </x:c>
      <x:c r="D19" s="440">
        <x:v>45232</x:v>
      </x:c>
      <x:c r="E19" s="377">
        <x:f t="shared" si="0"/>
        <x:v>0</x:v>
      </x:c>
      <x:c r="F19" s="29">
        <x:f t="shared" si="1"/>
        <x:v>0</x:v>
      </x:c>
      <x:c r="G19" s="15"/>
    </x:row>
    <x:row r="20" spans="1:7" x14ac:dyDescent="0.25">
      <x:c r="A20" s="3">
        <x:f t="shared" si="2"/>
        <x:v>10</x:v>
      </x:c>
      <x:c r="B20" s="440">
        <x:v>45244</x:v>
      </x:c>
      <x:c r="C20" s="178">
        <x:v>855859.01</x:v>
      </x:c>
      <x:c r="D20" s="440">
        <x:v>45244</x:v>
      </x:c>
      <x:c r="E20" s="377">
        <x:f t="shared" si="0"/>
        <x:v>0</x:v>
      </x:c>
      <x:c r="F20" s="29">
        <x:f t="shared" si="1"/>
        <x:v>0</x:v>
      </x:c>
      <x:c r="G20" s="15"/>
    </x:row>
    <x:row r="21" spans="1:7" x14ac:dyDescent="0.25">
      <x:c r="A21" s="3">
        <x:f t="shared" si="2"/>
        <x:v>11</x:v>
      </x:c>
      <x:c r="B21" s="440">
        <x:v>45246</x:v>
      </x:c>
      <x:c r="C21" s="178">
        <x:v>219348.71</x:v>
      </x:c>
      <x:c r="D21" s="440">
        <x:v>45246</x:v>
      </x:c>
      <x:c r="E21" s="377">
        <x:f t="shared" si="0"/>
        <x:v>0</x:v>
      </x:c>
      <x:c r="F21" s="29">
        <x:f t="shared" si="1"/>
        <x:v>0</x:v>
      </x:c>
      <x:c r="G21" s="15"/>
    </x:row>
    <x:row r="22" spans="1:7" x14ac:dyDescent="0.25">
      <x:c r="A22" s="3">
        <x:f t="shared" si="2"/>
        <x:v>12</x:v>
      </x:c>
      <x:c r="B22" s="440">
        <x:v>45247</x:v>
      </x:c>
      <x:c r="C22" s="178">
        <x:v>1695.56</x:v>
      </x:c>
      <x:c r="D22" s="440">
        <x:v>45247</x:v>
      </x:c>
      <x:c r="E22" s="377">
        <x:f t="shared" si="0"/>
        <x:v>0</x:v>
      </x:c>
      <x:c r="F22" s="29">
        <x:f t="shared" si="1"/>
        <x:v>0</x:v>
      </x:c>
      <x:c r="G22" s="15"/>
    </x:row>
    <x:row r="23" spans="1:7" x14ac:dyDescent="0.25">
      <x:c r="A23" s="3">
        <x:f t="shared" si="2"/>
        <x:v>13</x:v>
      </x:c>
      <x:c r="B23" s="440">
        <x:v>45260</x:v>
      </x:c>
      <x:c r="C23" s="178">
        <x:v>195194.02</x:v>
      </x:c>
      <x:c r="D23" s="440">
        <x:v>45260</x:v>
      </x:c>
      <x:c r="E23" s="377">
        <x:f t="shared" si="0"/>
        <x:v>0</x:v>
      </x:c>
      <x:c r="F23" s="29">
        <x:f t="shared" si="1"/>
        <x:v>0</x:v>
      </x:c>
      <x:c r="G23" s="15"/>
    </x:row>
    <x:row r="24" spans="1:7" x14ac:dyDescent="0.25">
      <x:c r="A24" s="3">
        <x:f t="shared" si="2"/>
        <x:v>14</x:v>
      </x:c>
      <x:c r="B24" s="440">
        <x:v>45259</x:v>
      </x:c>
      <x:c r="C24" s="178">
        <x:v>793126.12</x:v>
      </x:c>
      <x:c r="D24" s="440">
        <x:v>45259</x:v>
      </x:c>
      <x:c r="E24" s="377">
        <x:f t="shared" si="0"/>
        <x:v>0</x:v>
      </x:c>
      <x:c r="F24" s="29">
        <x:f t="shared" si="1"/>
        <x:v>0</x:v>
      </x:c>
      <x:c r="G24" s="15"/>
    </x:row>
    <x:row r="25" spans="1:7" x14ac:dyDescent="0.25">
      <x:c r="A25" s="3">
        <x:f t="shared" si="2"/>
        <x:v>15</x:v>
      </x:c>
      <x:c r="B25" s="440">
        <x:v>45264</x:v>
      </x:c>
      <x:c r="C25" s="178">
        <x:v>2325.48</x:v>
      </x:c>
      <x:c r="D25" s="440">
        <x:v>45264</x:v>
      </x:c>
      <x:c r="E25" s="377">
        <x:f t="shared" si="0"/>
        <x:v>0</x:v>
      </x:c>
      <x:c r="F25" s="29">
        <x:f t="shared" si="1"/>
        <x:v>0</x:v>
      </x:c>
      <x:c r="G25" s="15"/>
    </x:row>
    <x:row r="26" spans="1:7" x14ac:dyDescent="0.25">
      <x:c r="A26" s="3">
        <x:f t="shared" si="2"/>
        <x:v>16</x:v>
      </x:c>
      <x:c r="B26" s="440">
        <x:v>45267</x:v>
      </x:c>
      <x:c r="C26" s="178">
        <x:v>19109.57</x:v>
      </x:c>
      <x:c r="D26" s="440">
        <x:v>45267</x:v>
      </x:c>
      <x:c r="E26" s="377">
        <x:f t="shared" si="0"/>
        <x:v>0</x:v>
      </x:c>
      <x:c r="F26" s="29">
        <x:f t="shared" si="1"/>
        <x:v>0</x:v>
      </x:c>
      <x:c r="G26" s="15"/>
    </x:row>
    <x:row r="27" spans="1:7" x14ac:dyDescent="0.25">
      <x:c r="A27" s="3">
        <x:f t="shared" si="2"/>
        <x:v>17</x:v>
      </x:c>
      <x:c r="B27" s="440">
        <x:v>45274</x:v>
      </x:c>
      <x:c r="C27" s="178">
        <x:v>938318.16</x:v>
      </x:c>
      <x:c r="D27" s="440">
        <x:v>45274</x:v>
      </x:c>
      <x:c r="E27" s="377">
        <x:f t="shared" si="0"/>
        <x:v>0</x:v>
      </x:c>
      <x:c r="F27" s="29">
        <x:f t="shared" si="1"/>
        <x:v>0</x:v>
      </x:c>
      <x:c r="G27" s="15"/>
    </x:row>
    <x:row r="28" spans="1:7" x14ac:dyDescent="0.25">
      <x:c r="A28" s="3">
        <x:f t="shared" si="2"/>
        <x:v>18</x:v>
      </x:c>
      <x:c r="B28" s="440">
        <x:v>45286</x:v>
      </x:c>
      <x:c r="C28" s="178">
        <x:v>16439.38</x:v>
      </x:c>
      <x:c r="D28" s="440">
        <x:v>45286</x:v>
      </x:c>
      <x:c r="E28" s="377">
        <x:f t="shared" si="0"/>
        <x:v>0</x:v>
      </x:c>
      <x:c r="F28" s="29">
        <x:f t="shared" si="1"/>
        <x:v>0</x:v>
      </x:c>
      <x:c r="G28" s="15"/>
    </x:row>
    <x:row r="29" spans="1:7" x14ac:dyDescent="0.25">
      <x:c r="A29" s="3">
        <x:f t="shared" si="2"/>
        <x:v>19</x:v>
      </x:c>
      <x:c r="B29" s="440">
        <x:v>45287</x:v>
      </x:c>
      <x:c r="C29" s="178">
        <x:v>1409.09</x:v>
      </x:c>
      <x:c r="D29" s="440">
        <x:v>45287</x:v>
      </x:c>
      <x:c r="E29" s="377">
        <x:f t="shared" si="0"/>
        <x:v>0</x:v>
      </x:c>
      <x:c r="F29" s="29">
        <x:f t="shared" si="1"/>
        <x:v>0</x:v>
      </x:c>
      <x:c r="G29" s="15"/>
    </x:row>
    <x:row r="30" spans="1:7" x14ac:dyDescent="0.25">
      <x:c r="A30" s="3">
        <x:f t="shared" si="2"/>
        <x:v>20</x:v>
      </x:c>
      <x:c r="B30" s="440">
        <x:v>45288</x:v>
      </x:c>
      <x:c r="C30" s="178">
        <x:v>908055.75</x:v>
      </x:c>
      <x:c r="D30" s="440">
        <x:v>45288</x:v>
      </x:c>
      <x:c r="E30" s="377">
        <x:f t="shared" si="0"/>
        <x:v>0</x:v>
      </x:c>
      <x:c r="F30" s="29">
        <x:f t="shared" si="1"/>
        <x:v>0</x:v>
      </x:c>
      <x:c r="G30" s="15"/>
    </x:row>
    <x:row r="31" spans="1:7" x14ac:dyDescent="0.25">
      <x:c r="A31" s="3">
        <x:f t="shared" si="2"/>
        <x:v>21</x:v>
      </x:c>
      <x:c r="B31" s="440">
        <x:v>45289</x:v>
      </x:c>
      <x:c r="C31" s="178">
        <x:v>7392.14</x:v>
      </x:c>
      <x:c r="D31" s="440">
        <x:v>45289</x:v>
      </x:c>
      <x:c r="E31" s="377">
        <x:f t="shared" si="0"/>
        <x:v>0</x:v>
      </x:c>
      <x:c r="F31" s="29">
        <x:f t="shared" si="1"/>
        <x:v>0</x:v>
      </x:c>
      <x:c r="G31" s="15"/>
    </x:row>
    <x:row r="32" spans="1:7" x14ac:dyDescent="0.25">
      <x:c r="A32" s="3">
        <x:f t="shared" si="2"/>
        <x:v>22</x:v>
      </x:c>
      <x:c r="B32" s="440">
        <x:v>45302</x:v>
      </x:c>
      <x:c r="C32" s="178">
        <x:v>1331464.99</x:v>
      </x:c>
      <x:c r="D32" s="440">
        <x:v>45302</x:v>
      </x:c>
      <x:c r="E32" s="377">
        <x:f t="shared" si="0"/>
        <x:v>0</x:v>
      </x:c>
      <x:c r="F32" s="29">
        <x:f t="shared" si="1"/>
        <x:v>0</x:v>
      </x:c>
      <x:c r="G32" s="15"/>
    </x:row>
    <x:row r="33" spans="1:7" x14ac:dyDescent="0.25">
      <x:c r="A33" s="3">
        <x:f t="shared" si="2"/>
        <x:v>23</x:v>
      </x:c>
      <x:c r="B33" s="440">
        <x:v>45309</x:v>
      </x:c>
      <x:c r="C33" s="178">
        <x:v>1176.44</x:v>
      </x:c>
      <x:c r="D33" s="440">
        <x:v>45309</x:v>
      </x:c>
      <x:c r="E33" s="377">
        <x:f t="shared" si="0"/>
        <x:v>0</x:v>
      </x:c>
      <x:c r="F33" s="29">
        <x:f t="shared" si="1"/>
        <x:v>0</x:v>
      </x:c>
      <x:c r="G33" s="15"/>
    </x:row>
    <x:row r="34" spans="1:7" x14ac:dyDescent="0.25">
      <x:c r="A34" s="3">
        <x:f t="shared" si="2"/>
        <x:v>24</x:v>
      </x:c>
      <x:c r="B34" s="440">
        <x:v>45303</x:v>
      </x:c>
      <x:c r="C34" s="178">
        <x:v>121493.95999999999</x:v>
      </x:c>
      <x:c r="D34" s="440">
        <x:v>45303</x:v>
      </x:c>
      <x:c r="E34" s="377">
        <x:f t="shared" si="0"/>
        <x:v>0</x:v>
      </x:c>
      <x:c r="F34" s="29">
        <x:f t="shared" si="1"/>
        <x:v>0</x:v>
      </x:c>
      <x:c r="G34" s="15"/>
    </x:row>
    <x:row r="35" spans="1:7" x14ac:dyDescent="0.25">
      <x:c r="A35" s="3">
        <x:f t="shared" si="2"/>
        <x:v>25</x:v>
      </x:c>
      <x:c r="B35" s="440">
        <x:v>45307</x:v>
      </x:c>
      <x:c r="C35" s="178">
        <x:v>3.5300000000000002</x:v>
      </x:c>
      <x:c r="D35" s="440">
        <x:v>45307</x:v>
      </x:c>
      <x:c r="E35" s="377">
        <x:f t="shared" si="0"/>
        <x:v>0</x:v>
      </x:c>
      <x:c r="F35" s="29">
        <x:f t="shared" si="1"/>
        <x:v>0</x:v>
      </x:c>
      <x:c r="G35" s="15"/>
    </x:row>
    <x:row r="36" spans="1:7" x14ac:dyDescent="0.25">
      <x:c r="A36" s="3">
        <x:f t="shared" si="2"/>
        <x:v>26</x:v>
      </x:c>
      <x:c r="B36" s="440">
        <x:v>45316</x:v>
      </x:c>
      <x:c r="C36" s="178">
        <x:v>1633584.66</x:v>
      </x:c>
      <x:c r="D36" s="440">
        <x:v>45316</x:v>
      </x:c>
      <x:c r="E36" s="377">
        <x:f t="shared" si="0"/>
        <x:v>0</x:v>
      </x:c>
      <x:c r="F36" s="29">
        <x:f t="shared" si="1"/>
        <x:v>0</x:v>
      </x:c>
      <x:c r="G36" s="15"/>
    </x:row>
    <x:row r="37" spans="1:7" x14ac:dyDescent="0.25">
      <x:c r="A37" s="3">
        <x:f t="shared" si="2"/>
        <x:v>27</x:v>
      </x:c>
      <x:c r="B37" s="440">
        <x:v>45323</x:v>
      </x:c>
      <x:c r="C37" s="178">
        <x:v>12767.74</x:v>
      </x:c>
      <x:c r="D37" s="440">
        <x:v>45323</x:v>
      </x:c>
      <x:c r="E37" s="377">
        <x:f t="shared" si="0"/>
        <x:v>0</x:v>
      </x:c>
      <x:c r="F37" s="29">
        <x:f t="shared" si="1"/>
        <x:v>0</x:v>
      </x:c>
      <x:c r="G37" s="15"/>
    </x:row>
    <x:row r="38" spans="1:7" x14ac:dyDescent="0.25">
      <x:c r="A38" s="3">
        <x:f t="shared" si="2"/>
        <x:v>28</x:v>
      </x:c>
      <x:c r="B38" s="440">
        <x:v>45330</x:v>
      </x:c>
      <x:c r="C38" s="178">
        <x:v>1360121.9</x:v>
      </x:c>
      <x:c r="D38" s="440">
        <x:v>45330</x:v>
      </x:c>
      <x:c r="E38" s="377">
        <x:f t="shared" si="0"/>
        <x:v>0</x:v>
      </x:c>
      <x:c r="F38" s="29">
        <x:f t="shared" si="1"/>
        <x:v>0</x:v>
      </x:c>
      <x:c r="G38" s="15"/>
    </x:row>
    <x:row r="39" spans="1:7" x14ac:dyDescent="0.25">
      <x:c r="A39" s="3">
        <x:f t="shared" si="2"/>
        <x:v>29</x:v>
      </x:c>
      <x:c r="B39" s="440">
        <x:v>45343</x:v>
      </x:c>
      <x:c r="C39" s="178">
        <x:v>70592.62</x:v>
      </x:c>
      <x:c r="D39" s="440">
        <x:v>45343</x:v>
      </x:c>
      <x:c r="E39" s="377">
        <x:f t="shared" si="0"/>
        <x:v>0</x:v>
      </x:c>
      <x:c r="F39" s="29">
        <x:f t="shared" si="1"/>
        <x:v>0</x:v>
      </x:c>
      <x:c r="G39" s="15"/>
    </x:row>
    <x:row r="40" spans="1:7" x14ac:dyDescent="0.25">
      <x:c r="A40" s="3">
        <x:f t="shared" si="2"/>
        <x:v>30</x:v>
      </x:c>
      <x:c r="B40" s="440">
        <x:v>45337</x:v>
      </x:c>
      <x:c r="C40" s="178">
        <x:v>825.32</x:v>
      </x:c>
      <x:c r="D40" s="440">
        <x:v>45337</x:v>
      </x:c>
      <x:c r="E40" s="377">
        <x:f t="shared" si="0"/>
        <x:v>0</x:v>
      </x:c>
      <x:c r="F40" s="29">
        <x:f t="shared" si="1"/>
        <x:v>0</x:v>
      </x:c>
      <x:c r="G40" s="15"/>
    </x:row>
    <x:row r="41" spans="1:7" x14ac:dyDescent="0.25">
      <x:c r="A41" s="3">
        <x:f t="shared" si="2"/>
        <x:v>31</x:v>
      </x:c>
      <x:c r="B41" s="440">
        <x:v>45344</x:v>
      </x:c>
      <x:c r="C41" s="178">
        <x:v>1379866.02</x:v>
      </x:c>
      <x:c r="D41" s="440">
        <x:v>45344</x:v>
      </x:c>
      <x:c r="E41" s="377">
        <x:f t="shared" si="0"/>
        <x:v>0</x:v>
      </x:c>
      <x:c r="F41" s="29">
        <x:f t="shared" si="1"/>
        <x:v>0</x:v>
      </x:c>
      <x:c r="G41" s="15"/>
    </x:row>
    <x:row r="42" spans="1:7" x14ac:dyDescent="0.25">
      <x:c r="A42" s="3">
        <x:f t="shared" si="2"/>
        <x:v>32</x:v>
      </x:c>
      <x:c r="B42" s="440">
        <x:v>45348</x:v>
      </x:c>
      <x:c r="C42" s="178">
        <x:v>344.5</x:v>
      </x:c>
      <x:c r="D42" s="440">
        <x:v>45348</x:v>
      </x:c>
      <x:c r="E42" s="377">
        <x:f t="shared" si="0"/>
        <x:v>0</x:v>
      </x:c>
      <x:c r="F42" s="29">
        <x:f t="shared" si="1"/>
        <x:v>0</x:v>
      </x:c>
      <x:c r="G42" s="15"/>
    </x:row>
    <x:row r="43" spans="1:7" x14ac:dyDescent="0.25">
      <x:c r="A43" s="3">
        <x:f t="shared" si="2"/>
        <x:v>33</x:v>
      </x:c>
      <x:c r="B43" s="440">
        <x:v>45358</x:v>
      </x:c>
      <x:c r="C43" s="178">
        <x:v>1347968.32</x:v>
      </x:c>
      <x:c r="D43" s="440">
        <x:v>45358</x:v>
      </x:c>
      <x:c r="E43" s="377">
        <x:f t="shared" si="0"/>
        <x:v>0</x:v>
      </x:c>
      <x:c r="F43" s="29">
        <x:f t="shared" si="1"/>
        <x:v>0</x:v>
      </x:c>
      <x:c r="G43" s="15"/>
    </x:row>
    <x:row r="44" spans="1:7" x14ac:dyDescent="0.25">
      <x:c r="A44" s="3">
        <x:f t="shared" si="2"/>
        <x:v>34</x:v>
      </x:c>
      <x:c r="B44" s="440">
        <x:v>45359</x:v>
      </x:c>
      <x:c r="C44" s="178">
        <x:v>4017883.91</x:v>
      </x:c>
      <x:c r="D44" s="440">
        <x:v>45359</x:v>
      </x:c>
      <x:c r="E44" s="377">
        <x:f t="shared" si="0"/>
        <x:v>0</x:v>
      </x:c>
      <x:c r="F44" s="29">
        <x:f t="shared" si="1"/>
        <x:v>0</x:v>
      </x:c>
      <x:c r="G44" s="15"/>
    </x:row>
    <x:row r="45" spans="1:7" x14ac:dyDescent="0.25">
      <x:c r="A45" s="3">
        <x:f t="shared" si="2"/>
        <x:v>35</x:v>
      </x:c>
      <x:c r="B45" s="440">
        <x:v>45373</x:v>
      </x:c>
      <x:c r="C45" s="178">
        <x:v>141388.95000000001</x:v>
      </x:c>
      <x:c r="D45" s="440">
        <x:v>45373</x:v>
      </x:c>
      <x:c r="E45" s="377">
        <x:f t="shared" si="0"/>
        <x:v>0</x:v>
      </x:c>
      <x:c r="F45" s="29">
        <x:f t="shared" si="1"/>
        <x:v>0</x:v>
      </x:c>
      <x:c r="G45" s="15"/>
    </x:row>
    <x:row r="46" spans="1:7" x14ac:dyDescent="0.25">
      <x:c r="A46" s="3">
        <x:f t="shared" si="2"/>
        <x:v>36</x:v>
      </x:c>
      <x:c r="B46" s="440">
        <x:v>45372</x:v>
      </x:c>
      <x:c r="C46" s="178">
        <x:v>1341019.04</x:v>
      </x:c>
      <x:c r="D46" s="440">
        <x:v>45372</x:v>
      </x:c>
      <x:c r="E46" s="377">
        <x:f t="shared" si="0"/>
        <x:v>0</x:v>
      </x:c>
      <x:c r="F46" s="29">
        <x:f t="shared" si="1"/>
        <x:v>0</x:v>
      </x:c>
      <x:c r="G46" s="15"/>
    </x:row>
    <x:row r="47" spans="1:7" x14ac:dyDescent="0.25">
      <x:c r="A47" s="3">
        <x:f t="shared" si="2"/>
        <x:v>37</x:v>
      </x:c>
      <x:c r="B47" s="440">
        <x:v>45379</x:v>
      </x:c>
      <x:c r="C47" s="178">
        <x:v>825.28</x:v>
      </x:c>
      <x:c r="D47" s="440">
        <x:v>45379</x:v>
      </x:c>
      <x:c r="E47" s="377">
        <x:f t="shared" si="0"/>
        <x:v>0</x:v>
      </x:c>
      <x:c r="F47" s="29">
        <x:f t="shared" si="1"/>
        <x:v>0</x:v>
      </x:c>
      <x:c r="G47" s="15"/>
    </x:row>
    <x:row r="48" spans="1:7" x14ac:dyDescent="0.25">
      <x:c r="A48" s="3">
        <x:f t="shared" si="2"/>
        <x:v>38</x:v>
      </x:c>
      <x:c r="B48" s="440">
        <x:v>45383</x:v>
      </x:c>
      <x:c r="C48" s="178">
        <x:v>109.28</x:v>
      </x:c>
      <x:c r="D48" s="440">
        <x:v>45383</x:v>
      </x:c>
      <x:c r="E48" s="377">
        <x:f t="shared" si="0"/>
        <x:v>0</x:v>
      </x:c>
      <x:c r="F48" s="29">
        <x:f t="shared" si="1"/>
        <x:v>0</x:v>
      </x:c>
      <x:c r="G48" s="15"/>
    </x:row>
    <x:row r="49" spans="1:7" x14ac:dyDescent="0.25">
      <x:c r="A49" s="3">
        <x:f t="shared" si="2"/>
        <x:v>39</x:v>
      </x:c>
      <x:c r="B49" s="440">
        <x:v>45386</x:v>
      </x:c>
      <x:c r="C49" s="178">
        <x:v>1357841.69</x:v>
      </x:c>
      <x:c r="D49" s="440">
        <x:v>45386</x:v>
      </x:c>
      <x:c r="E49" s="377">
        <x:f t="shared" si="0"/>
        <x:v>0</x:v>
      </x:c>
      <x:c r="F49" s="29">
        <x:f t="shared" si="1"/>
        <x:v>0</x:v>
      </x:c>
      <x:c r="G49" s="15"/>
    </x:row>
    <x:row r="50" spans="1:7" x14ac:dyDescent="0.25">
      <x:c r="A50" s="3">
        <x:f t="shared" si="2"/>
        <x:v>40</x:v>
      </x:c>
      <x:c r="B50" s="440">
        <x:v>45392</x:v>
      </x:c>
      <x:c r="C50" s="178">
        <x:v>53.230000000000004</x:v>
      </x:c>
      <x:c r="D50" s="440">
        <x:v>45392</x:v>
      </x:c>
      <x:c r="E50" s="377">
        <x:f t="shared" si="0"/>
        <x:v>0</x:v>
      </x:c>
      <x:c r="F50" s="29">
        <x:f t="shared" si="1"/>
        <x:v>0</x:v>
      </x:c>
      <x:c r="G50" s="15"/>
    </x:row>
    <x:row r="51" spans="1:7" x14ac:dyDescent="0.25">
      <x:c r="A51" s="3">
        <x:f t="shared" si="2"/>
        <x:v>41</x:v>
      </x:c>
      <x:c r="B51" s="440">
        <x:v>45394</x:v>
      </x:c>
      <x:c r="C51" s="178">
        <x:v>22.62</x:v>
      </x:c>
      <x:c r="D51" s="440">
        <x:v>45394</x:v>
      </x:c>
      <x:c r="E51" s="377">
        <x:f t="shared" si="0"/>
        <x:v>0</x:v>
      </x:c>
      <x:c r="F51" s="29">
        <x:f t="shared" si="1"/>
        <x:v>0</x:v>
      </x:c>
      <x:c r="G51" s="15"/>
    </x:row>
    <x:row r="52" spans="1:7" x14ac:dyDescent="0.25">
      <x:c r="A52" s="3">
        <x:f t="shared" si="2"/>
        <x:v>42</x:v>
      </x:c>
      <x:c r="B52" s="440">
        <x:v>45400</x:v>
      </x:c>
      <x:c r="C52" s="178">
        <x:v>1424996.78</x:v>
      </x:c>
      <x:c r="D52" s="440">
        <x:v>45400</x:v>
      </x:c>
      <x:c r="E52" s="377">
        <x:f t="shared" si="0"/>
        <x:v>0</x:v>
      </x:c>
      <x:c r="F52" s="29">
        <x:f t="shared" si="1"/>
        <x:v>0</x:v>
      </x:c>
      <x:c r="G52" s="15"/>
    </x:row>
    <x:row r="53" spans="1:7" x14ac:dyDescent="0.25">
      <x:c r="A53" s="3">
        <x:f t="shared" si="2"/>
        <x:v>43</x:v>
      </x:c>
      <x:c r="B53" s="440">
        <x:v>45407</x:v>
      </x:c>
      <x:c r="C53" s="178">
        <x:v>825.34</x:v>
      </x:c>
      <x:c r="D53" s="440">
        <x:v>45407</x:v>
      </x:c>
      <x:c r="E53" s="377">
        <x:f t="shared" si="0"/>
        <x:v>0</x:v>
      </x:c>
      <x:c r="F53" s="29">
        <x:f t="shared" si="1"/>
        <x:v>0</x:v>
      </x:c>
      <x:c r="G53" s="15"/>
    </x:row>
    <x:row r="54" spans="1:7" x14ac:dyDescent="0.25">
      <x:c r="A54" s="3">
        <x:f t="shared" si="2"/>
        <x:v>44</x:v>
      </x:c>
      <x:c r="B54" s="440">
        <x:v>45414</x:v>
      </x:c>
      <x:c r="C54" s="178">
        <x:v>1429179.79</x:v>
      </x:c>
      <x:c r="D54" s="440">
        <x:v>45414</x:v>
      </x:c>
      <x:c r="E54" s="377">
        <x:f t="shared" si="0"/>
        <x:v>0</x:v>
      </x:c>
      <x:c r="F54" s="29">
        <x:f t="shared" si="1"/>
        <x:v>0</x:v>
      </x:c>
      <x:c r="G54" s="15"/>
    </x:row>
    <x:row r="55" spans="1:7" x14ac:dyDescent="0.25">
      <x:c r="A55" s="3">
        <x:f t="shared" si="2"/>
        <x:v>45</x:v>
      </x:c>
      <x:c r="B55" s="440">
        <x:v>45413</x:v>
      </x:c>
      <x:c r="C55" s="178">
        <x:v>1082.46</x:v>
      </x:c>
      <x:c r="D55" s="440">
        <x:v>45413</x:v>
      </x:c>
      <x:c r="E55" s="377">
        <x:f t="shared" si="0"/>
        <x:v>0</x:v>
      </x:c>
      <x:c r="F55" s="29">
        <x:f t="shared" si="1"/>
        <x:v>0</x:v>
      </x:c>
      <x:c r="G55" s="15"/>
    </x:row>
    <x:row r="56" spans="1:7" x14ac:dyDescent="0.25">
      <x:c r="A56" s="3">
        <x:f t="shared" si="2"/>
        <x:v>46</x:v>
      </x:c>
      <x:c r="B56" s="440">
        <x:v>45428</x:v>
      </x:c>
      <x:c r="C56" s="178">
        <x:v>1557353.04</x:v>
      </x:c>
      <x:c r="D56" s="440">
        <x:v>45428</x:v>
      </x:c>
      <x:c r="E56" s="377">
        <x:f t="shared" si="0"/>
        <x:v>0</x:v>
      </x:c>
      <x:c r="F56" s="29">
        <x:f t="shared" si="1"/>
        <x:v>0</x:v>
      </x:c>
      <x:c r="G56" s="15"/>
    </x:row>
    <x:row r="57" spans="1:7" x14ac:dyDescent="0.25">
      <x:c r="A57" s="3">
        <x:f t="shared" si="2"/>
        <x:v>47</x:v>
      </x:c>
      <x:c r="B57" s="440">
        <x:v>45435</x:v>
      </x:c>
      <x:c r="C57" s="178">
        <x:v>825.27</x:v>
      </x:c>
      <x:c r="D57" s="440">
        <x:v>45435</x:v>
      </x:c>
      <x:c r="E57" s="377">
        <x:f t="shared" si="0"/>
        <x:v>0</x:v>
      </x:c>
      <x:c r="F57" s="29">
        <x:f t="shared" si="1"/>
        <x:v>0</x:v>
      </x:c>
      <x:c r="G57" s="15"/>
    </x:row>
    <x:row r="58" spans="1:7" x14ac:dyDescent="0.25">
      <x:c r="A58" s="3">
        <x:f t="shared" si="2"/>
        <x:v>48</x:v>
      </x:c>
      <x:c r="B58" s="440">
        <x:v>45442</x:v>
      </x:c>
      <x:c r="C58" s="178">
        <x:v>1650129.06</x:v>
      </x:c>
      <x:c r="D58" s="440">
        <x:v>45442</x:v>
      </x:c>
      <x:c r="E58" s="377">
        <x:f t="shared" si="0"/>
        <x:v>0</x:v>
      </x:c>
      <x:c r="F58" s="29">
        <x:f t="shared" si="1"/>
        <x:v>0</x:v>
      </x:c>
      <x:c r="G58" s="15"/>
    </x:row>
    <x:row r="59" spans="1:7" x14ac:dyDescent="0.25">
      <x:c r="A59" s="3">
        <x:f t="shared" si="2"/>
        <x:v>49</x:v>
      </x:c>
      <x:c r="B59" s="440">
        <x:v>45441</x:v>
      </x:c>
      <x:c r="C59" s="178">
        <x:v>2123.8000000000002</x:v>
      </x:c>
      <x:c r="D59" s="440">
        <x:v>45441</x:v>
      </x:c>
      <x:c r="E59" s="377">
        <x:f t="shared" si="0"/>
        <x:v>0</x:v>
      </x:c>
      <x:c r="F59" s="29">
        <x:f t="shared" si="1"/>
        <x:v>0</x:v>
      </x:c>
      <x:c r="G59" s="15"/>
    </x:row>
    <x:row r="60" spans="1:7" x14ac:dyDescent="0.25">
      <x:c r="A60" s="3">
        <x:f t="shared" si="2"/>
        <x:v>50</x:v>
      </x:c>
      <x:c r="B60" s="440">
        <x:v>45456</x:v>
      </x:c>
      <x:c r="C60" s="178">
        <x:v>2140713.02</x:v>
      </x:c>
      <x:c r="D60" s="440">
        <x:v>45456</x:v>
      </x:c>
      <x:c r="E60" s="377">
        <x:f t="shared" si="0"/>
        <x:v>0</x:v>
      </x:c>
      <x:c r="F60" s="29">
        <x:f t="shared" si="1"/>
        <x:v>0</x:v>
      </x:c>
      <x:c r="G60" s="15"/>
    </x:row>
    <x:row r="61" spans="1:7" x14ac:dyDescent="0.25">
      <x:c r="A61" s="3">
        <x:f t="shared" si="2"/>
        <x:v>51</x:v>
      </x:c>
      <x:c r="B61" s="440">
        <x:v>45460</x:v>
      </x:c>
      <x:c r="C61" s="178">
        <x:v>229.5</x:v>
      </x:c>
      <x:c r="D61" s="440">
        <x:v>45460</x:v>
      </x:c>
      <x:c r="E61" s="377">
        <x:f t="shared" si="0"/>
        <x:v>0</x:v>
      </x:c>
      <x:c r="F61" s="29">
        <x:f t="shared" si="1"/>
        <x:v>0</x:v>
      </x:c>
      <x:c r="G61" s="15"/>
    </x:row>
    <x:row r="62" spans="1:7" x14ac:dyDescent="0.25">
      <x:c r="A62" s="3">
        <x:f t="shared" si="2"/>
        <x:v>52</x:v>
      </x:c>
      <x:c r="B62" s="440">
        <x:v>45463</x:v>
      </x:c>
      <x:c r="C62" s="178">
        <x:v>435.31</x:v>
      </x:c>
      <x:c r="D62" s="440">
        <x:v>45463</x:v>
      </x:c>
      <x:c r="E62" s="377">
        <x:f t="shared" si="0"/>
        <x:v>0</x:v>
      </x:c>
      <x:c r="F62" s="29">
        <x:f t="shared" si="1"/>
        <x:v>0</x:v>
      </x:c>
      <x:c r="G62" s="15"/>
    </x:row>
    <x:row r="63" spans="1:7" x14ac:dyDescent="0.25">
      <x:c r="A63" s="3">
        <x:f t="shared" si="2"/>
        <x:v>53</x:v>
      </x:c>
      <x:c r="B63" s="440">
        <x:v>45470</x:v>
      </x:c>
      <x:c r="C63" s="178">
        <x:v>1434843.58</x:v>
      </x:c>
      <x:c r="D63" s="440">
        <x:v>45470</x:v>
      </x:c>
      <x:c r="E63" s="377">
        <x:f t="shared" si="0"/>
        <x:v>0</x:v>
      </x:c>
      <x:c r="F63" s="29">
        <x:f t="shared" si="1"/>
        <x:v>0</x:v>
      </x:c>
      <x:c r="G63" s="15"/>
    </x:row>
    <x:row r="64" spans="1:7" x14ac:dyDescent="0.25">
      <x:c r="A64" s="3">
        <x:f t="shared" si="2"/>
        <x:v>54</x:v>
      </x:c>
      <x:c r="B64" s="440">
        <x:v>45471</x:v>
      </x:c>
      <x:c r="C64" s="178">
        <x:v>13925.14</x:v>
      </x:c>
      <x:c r="D64" s="440">
        <x:v>45471</x:v>
      </x:c>
      <x:c r="E64" s="377">
        <x:f t="shared" si="0"/>
        <x:v>0</x:v>
      </x:c>
      <x:c r="F64" s="29">
        <x:f t="shared" si="1"/>
        <x:v>0</x:v>
      </x:c>
      <x:c r="G64" s="15"/>
    </x:row>
    <x:row r="65" spans="1:7" x14ac:dyDescent="0.25">
      <x:c r="A65" s="3">
        <x:f t="shared" si="2"/>
        <x:v>55</x:v>
      </x:c>
      <x:c r="B65" s="440">
        <x:v>45484</x:v>
      </x:c>
      <x:c r="C65" s="178">
        <x:v>1407972.8900000001</x:v>
      </x:c>
      <x:c r="D65" s="440">
        <x:v>45484</x:v>
      </x:c>
      <x:c r="E65" s="377">
        <x:f t="shared" si="0"/>
        <x:v>0</x:v>
      </x:c>
      <x:c r="F65" s="29">
        <x:f t="shared" si="1"/>
        <x:v>0</x:v>
      </x:c>
      <x:c r="G65" s="15"/>
    </x:row>
    <x:row r="66" spans="1:7" x14ac:dyDescent="0.25">
      <x:c r="A66" s="3">
        <x:f t="shared" si="2"/>
        <x:v>56</x:v>
      </x:c>
      <x:c r="B66" s="440">
        <x:v>45490</x:v>
      </x:c>
      <x:c r="C66" s="178">
        <x:v>279.14</x:v>
      </x:c>
      <x:c r="D66" s="440">
        <x:v>45490</x:v>
      </x:c>
      <x:c r="E66" s="377">
        <x:f t="shared" si="0"/>
        <x:v>0</x:v>
      </x:c>
      <x:c r="F66" s="29">
        <x:f t="shared" si="1"/>
        <x:v>0</x:v>
      </x:c>
      <x:c r="G66" s="15"/>
    </x:row>
    <x:row r="67" spans="1:7" x14ac:dyDescent="0.25">
      <x:c r="A67" s="3">
        <x:f t="shared" si="2"/>
        <x:v>57</x:v>
      </x:c>
      <x:c r="B67" s="440">
        <x:v>45498</x:v>
      </x:c>
      <x:c r="C67" s="178">
        <x:v>1481379.1</x:v>
      </x:c>
      <x:c r="D67" s="440">
        <x:v>45498</x:v>
      </x:c>
      <x:c r="E67" s="377">
        <x:f t="shared" si="0"/>
        <x:v>0</x:v>
      </x:c>
      <x:c r="F67" s="29">
        <x:f t="shared" si="1"/>
        <x:v>0</x:v>
      </x:c>
      <x:c r="G67" s="15"/>
    </x:row>
    <x:row r="68" spans="1:7" x14ac:dyDescent="0.25">
      <x:c r="A68" s="3">
        <x:f t="shared" si="2"/>
        <x:v>58</x:v>
      </x:c>
      <x:c r="B68" s="440">
        <x:v>45503</x:v>
      </x:c>
      <x:c r="C68" s="178">
        <x:v>837.79</x:v>
      </x:c>
      <x:c r="D68" s="440">
        <x:v>45503</x:v>
      </x:c>
      <x:c r="E68" s="377">
        <x:f t="shared" si="0"/>
        <x:v>0</x:v>
      </x:c>
      <x:c r="F68" s="29">
        <x:f t="shared" si="1"/>
        <x:v>0</x:v>
      </x:c>
      <x:c r="G68" s="15"/>
    </x:row>
    <x:row r="69" spans="1:7" x14ac:dyDescent="0.25">
      <x:c r="A69" s="3">
        <x:f t="shared" si="2"/>
        <x:v>59</x:v>
      </x:c>
      <x:c r="B69" s="440">
        <x:v>45504</x:v>
      </x:c>
      <x:c r="C69" s="178">
        <x:v>4667.01</x:v>
      </x:c>
      <x:c r="D69" s="440">
        <x:v>45504</x:v>
      </x:c>
      <x:c r="E69" s="377">
        <x:f t="shared" si="0"/>
        <x:v>0</x:v>
      </x:c>
      <x:c r="F69" s="29">
        <x:f t="shared" si="1"/>
        <x:v>0</x:v>
      </x:c>
      <x:c r="G69" s="15"/>
    </x:row>
    <x:row r="70" spans="1:7" x14ac:dyDescent="0.25">
      <x:c r="A70" s="3">
        <x:f t="shared" si="2"/>
        <x:v>60</x:v>
      </x:c>
      <x:c r="B70" s="440">
        <x:v>45512</x:v>
      </x:c>
      <x:c r="C70" s="178">
        <x:v>1344791.69</x:v>
      </x:c>
      <x:c r="D70" s="440">
        <x:v>45512</x:v>
      </x:c>
      <x:c r="E70" s="377">
        <x:f t="shared" si="0"/>
        <x:v>0</x:v>
      </x:c>
      <x:c r="F70" s="29">
        <x:f t="shared" si="1"/>
        <x:v>0</x:v>
      </x:c>
      <x:c r="G70" s="15"/>
    </x:row>
    <x:row r="71" spans="1:7" x14ac:dyDescent="0.25">
      <x:c r="A71" s="3">
        <x:f t="shared" si="2"/>
        <x:v>61</x:v>
      </x:c>
      <x:c r="B71" s="440">
        <x:v>45519</x:v>
      </x:c>
      <x:c r="C71" s="178">
        <x:v>25.21</x:v>
      </x:c>
      <x:c r="D71" s="440">
        <x:v>45519</x:v>
      </x:c>
      <x:c r="E71" s="377">
        <x:f t="shared" si="0"/>
        <x:v>0</x:v>
      </x:c>
      <x:c r="F71" s="29">
        <x:f t="shared" si="1"/>
        <x:v>0</x:v>
      </x:c>
      <x:c r="G71" s="15"/>
    </x:row>
    <x:row r="72" spans="1:7" x14ac:dyDescent="0.25">
      <x:c r="A72" s="3">
        <x:f t="shared" si="2"/>
        <x:v>62</x:v>
      </x:c>
      <x:c r="B72" s="440">
        <x:v>45526</x:v>
      </x:c>
      <x:c r="C72" s="178">
        <x:v>1658152.01</x:v>
      </x:c>
      <x:c r="D72" s="440">
        <x:v>45526</x:v>
      </x:c>
      <x:c r="E72" s="377">
        <x:f t="shared" si="0"/>
        <x:v>0</x:v>
      </x:c>
      <x:c r="F72" s="29">
        <x:f t="shared" si="1"/>
        <x:v>0</x:v>
      </x:c>
      <x:c r="G72" s="15"/>
    </x:row>
    <x:row r="73" spans="1:7" x14ac:dyDescent="0.25">
      <x:c r="A73" s="3">
        <x:f t="shared" si="2"/>
        <x:v>63</x:v>
      </x:c>
      <x:c r="B73" s="440">
        <x:v>45532</x:v>
      </x:c>
      <x:c r="C73" s="178">
        <x:v>837.78</x:v>
      </x:c>
      <x:c r="D73" s="440">
        <x:v>45532</x:v>
      </x:c>
      <x:c r="E73" s="377">
        <x:f t="shared" si="0"/>
        <x:v>0</x:v>
      </x:c>
      <x:c r="F73" s="29">
        <x:f t="shared" si="1"/>
        <x:v>0</x:v>
      </x:c>
      <x:c r="G73" s="15"/>
    </x:row>
    <x:row r="74" spans="1:7" x14ac:dyDescent="0.25">
      <x:c r="A74" s="3">
        <x:f t="shared" si="2"/>
        <x:v>64</x:v>
      </x:c>
      <x:c r="B74" s="440">
        <x:v>45533</x:v>
      </x:c>
      <x:c r="C74" s="178">
        <x:v>5440.42</x:v>
      </x:c>
      <x:c r="D74" s="440">
        <x:v>45533</x:v>
      </x:c>
      <x:c r="E74" s="377">
        <x:f t="shared" si="0"/>
        <x:v>0</x:v>
      </x:c>
      <x:c r="F74" s="29">
        <x:f t="shared" si="1"/>
        <x:v>0</x:v>
      </x:c>
      <x:c r="G74" s="15"/>
    </x:row>
    <x:row r="75" spans="1:7" x14ac:dyDescent="0.25">
      <x:c r="A75" s="3">
        <x:f t="shared" si="2"/>
        <x:v>65</x:v>
      </x:c>
      <x:c r="B75" s="440">
        <x:v>45540</x:v>
      </x:c>
      <x:c r="C75" s="178">
        <x:v>1220060.6300000001</x:v>
      </x:c>
      <x:c r="D75" s="440">
        <x:v>45540</x:v>
      </x:c>
      <x:c r="E75" s="377">
        <x:f t="shared" si="0"/>
        <x:v>0</x:v>
      </x:c>
      <x:c r="F75" s="29">
        <x:f t="shared" si="1"/>
        <x:v>0</x:v>
      </x:c>
      <x:c r="G75" s="15"/>
    </x:row>
    <x:row r="76" spans="1:7" x14ac:dyDescent="0.25">
      <x:c r="A76" s="3">
        <x:f t="shared" si="2"/>
        <x:v>66</x:v>
      </x:c>
      <x:c r="B76" s="440">
        <x:v>45541</x:v>
      </x:c>
      <x:c r="C76" s="178">
        <x:v>94620.98000000001</x:v>
      </x:c>
      <x:c r="D76" s="440">
        <x:v>45541</x:v>
      </x:c>
      <x:c r="E76" s="377">
        <x:f t="shared" ref="E76:E81" si="3">IF(C76=0,0,-(D76-B76))</x:f>
        <x:v>0</x:v>
      </x:c>
      <x:c r="F76" s="29">
        <x:f t="shared" ref="F76:F81" si="4">C76*E76</x:f>
        <x:v>0</x:v>
      </x:c>
      <x:c r="G76" s="15"/>
    </x:row>
    <x:row r="77" spans="1:7" x14ac:dyDescent="0.25">
      <x:c r="A77" s="3">
        <x:f t="shared" ref="A77:A92" si="5">A76+1</x:f>
        <x:v>67</x:v>
      </x:c>
      <x:c r="B77" s="440">
        <x:v>45545</x:v>
      </x:c>
      <x:c r="C77" s="178">
        <x:v>1048410.62</x:v>
      </x:c>
      <x:c r="D77" s="440">
        <x:v>45545</x:v>
      </x:c>
      <x:c r="E77" s="377">
        <x:f t="shared" si="3"/>
        <x:v>0</x:v>
      </x:c>
      <x:c r="F77" s="29">
        <x:f t="shared" si="4"/>
        <x:v>0</x:v>
      </x:c>
      <x:c r="G77" s="15"/>
    </x:row>
    <x:row r="78" spans="1:7" x14ac:dyDescent="0.25">
      <x:c r="A78" s="3">
        <x:f t="shared" si="5"/>
        <x:v>68</x:v>
      </x:c>
      <x:c r="B78" s="440">
        <x:v>45547</x:v>
      </x:c>
      <x:c r="C78" s="178">
        <x:v>65.7</x:v>
      </x:c>
      <x:c r="D78" s="440">
        <x:v>45547</x:v>
      </x:c>
      <x:c r="E78" s="377">
        <x:f t="shared" si="3"/>
        <x:v>0</x:v>
      </x:c>
      <x:c r="F78" s="29">
        <x:f t="shared" si="4"/>
        <x:v>0</x:v>
      </x:c>
      <x:c r="G78" s="15"/>
    </x:row>
    <x:row r="79" spans="1:7" x14ac:dyDescent="0.25">
      <x:c r="A79" s="3">
        <x:f t="shared" si="5"/>
        <x:v>69</x:v>
      </x:c>
      <x:c r="B79" s="440">
        <x:v>45551</x:v>
      </x:c>
      <x:c r="C79" s="178">
        <x:v>2135.2800000000002</x:v>
      </x:c>
      <x:c r="D79" s="440">
        <x:v>45551</x:v>
      </x:c>
      <x:c r="E79" s="377">
        <x:f t="shared" si="3"/>
        <x:v>0</x:v>
      </x:c>
      <x:c r="F79" s="29">
        <x:f t="shared" si="4"/>
        <x:v>0</x:v>
      </x:c>
      <x:c r="G79" s="15"/>
    </x:row>
    <x:row r="80" spans="1:7" x14ac:dyDescent="0.25">
      <x:c r="A80" s="3">
        <x:f t="shared" si="5"/>
        <x:v>70</x:v>
      </x:c>
      <x:c r="B80" s="440">
        <x:v>45554</x:v>
      </x:c>
      <x:c r="C80" s="178">
        <x:v>1232848.8399999999</x:v>
      </x:c>
      <x:c r="D80" s="440">
        <x:v>45554</x:v>
      </x:c>
      <x:c r="E80" s="377">
        <x:f t="shared" si="3"/>
        <x:v>0</x:v>
      </x:c>
      <x:c r="F80" s="29">
        <x:f t="shared" si="4"/>
        <x:v>0</x:v>
      </x:c>
      <x:c r="G80" s="15"/>
    </x:row>
    <x:row r="81" spans="1:7" x14ac:dyDescent="0.25">
      <x:c r="A81" s="3">
        <x:f t="shared" si="5"/>
        <x:v>71</x:v>
      </x:c>
      <x:c r="B81" s="440">
        <x:v>45558</x:v>
      </x:c>
      <x:c r="C81" s="827">
        <x:v>1048410.62</x:v>
      </x:c>
      <x:c r="D81" s="440">
        <x:v>45558</x:v>
      </x:c>
      <x:c r="E81" s="377">
        <x:f t="shared" si="3"/>
        <x:v>0</x:v>
      </x:c>
      <x:c r="F81" s="29">
        <x:f t="shared" si="4"/>
        <x:v>0</x:v>
      </x:c>
      <x:c r="G81" s="15"/>
    </x:row>
    <x:row r="82" spans="1:7" x14ac:dyDescent="0.25">
      <x:c r="A82" s="3">
        <x:f t="shared" si="5"/>
        <x:v>72</x:v>
      </x:c>
      <x:c r="B82" s="16" t="s">
        <x:v>4</x:v>
      </x:c>
      <x:c r="C82" s="552">
        <x:f>SUM(C11:C81)</x:f>
        <x:v>40852149.160000004</x:v>
      </x:c>
      <x:c r="D82" s="26"/>
      <x:c r="E82" s="380">
        <x:f>ROUND(F82/C82,2)</x:f>
        <x:v>0</x:v>
      </x:c>
      <x:c r="F82" s="552">
        <x:f>SUM(F11:F81)</x:f>
        <x:v>0</x:v>
      </x:c>
    </x:row>
    <x:row r="83" spans="1:7" x14ac:dyDescent="0.25">
      <x:c r="A83" s="3">
        <x:f t="shared" si="5"/>
        <x:v>73</x:v>
      </x:c>
      <x:c r="C83" s="74"/>
      <x:c r="E83" s="4"/>
      <x:c r="F83" s="74"/>
    </x:row>
    <x:row r="84" spans="1:7" x14ac:dyDescent="0.25">
      <x:c r="A84" s="3">
        <x:f t="shared" si="5"/>
        <x:v>74</x:v>
      </x:c>
      <x:c r="B84" s="1" t="s">
        <x:v>356</x:v>
      </x:c>
      <x:c r="C84" s="386">
        <x:f>'8-1-2'!C57</x:f>
        <x:v>19178029.349999998</x:v>
      </x:c>
      <x:c r="E84" s="380">
        <x:f>ROUND(F84/C84,2)</x:f>
        <x:v>0</x:v>
      </x:c>
      <x:c r="F84" s="386">
        <x:f>'8-1-2'!F57</x:f>
        <x:v>0</x:v>
      </x:c>
    </x:row>
    <x:row r="85" spans="1:7" x14ac:dyDescent="0.25">
      <x:c r="A85" s="3">
        <x:f t="shared" si="5"/>
        <x:v>75</x:v>
      </x:c>
      <x:c r="C85" s="74"/>
      <x:c r="E85" s="381"/>
      <x:c r="F85" s="378"/>
    </x:row>
    <x:row r="86" spans="1:7" ht="13.25" thickBot="1" x14ac:dyDescent="0.3">
      <x:c r="A86" s="3">
        <x:f t="shared" si="5"/>
        <x:v>76</x:v>
      </x:c>
      <x:c r="B86" s="1" t="s">
        <x:v>241</x:v>
      </x:c>
      <x:c r="C86" s="348">
        <x:f>C82+C84</x:f>
        <x:v>60030178.510000005</x:v>
      </x:c>
      <x:c r="E86" s="385">
        <x:f>ROUND(F86/C86,2)</x:f>
        <x:v>0</x:v>
      </x:c>
      <x:c r="F86" s="348">
        <x:f>F82+F84</x:f>
        <x:v>0</x:v>
      </x:c>
    </x:row>
    <x:row r="87" spans="1:7" ht="13.25" thickTop="1" x14ac:dyDescent="0.25">
      <x:c r="A87" s="3">
        <x:f t="shared" si="5"/>
        <x:v>77</x:v>
      </x:c>
      <x:c r="C87" s="74"/>
      <x:c r="E87" s="381"/>
      <x:c r="F87" s="378"/>
    </x:row>
    <x:row r="88" spans="1:7" x14ac:dyDescent="0.25">
      <x:c r="A88" s="3">
        <x:f t="shared" si="5"/>
        <x:v>78</x:v>
      </x:c>
      <x:c r="B88" s="1" t="s">
        <x:v>237</x:v>
      </x:c>
      <x:c r="C88" s="74"/>
      <x:c r="E88" s="382">
        <x:f>ROUND(+'2'!F18,2)</x:f>
        <x:v>-12</x:v>
      </x:c>
      <x:c r="F88" s="379" t="s">
        <x:v>176</x:v>
      </x:c>
    </x:row>
    <x:row r="89" spans="1:7" x14ac:dyDescent="0.25">
      <x:c r="A89" s="3">
        <x:f t="shared" si="5"/>
        <x:v>79</x:v>
      </x:c>
      <x:c r="C89" s="74"/>
      <x:c r="E89" s="381"/>
      <x:c r="F89" s="74"/>
    </x:row>
    <x:row r="90" spans="1:7" ht="13.25" thickBot="1" x14ac:dyDescent="0.3">
      <x:c r="A90" s="3">
        <x:f t="shared" si="5"/>
        <x:v>80</x:v>
      </x:c>
      <x:c r="B90" s="1" t="s">
        <x:v>229</x:v>
      </x:c>
      <x:c r="C90" s="348">
        <x:f>C86</x:f>
        <x:v>60030178.510000005</x:v>
      </x:c>
      <x:c r="E90" s="383">
        <x:f>E86+E88</x:f>
        <x:v>-12</x:v>
      </x:c>
      <x:c r="F90" s="348">
        <x:f>C90*E90</x:f>
        <x:v>-720362142.12000012</x:v>
      </x:c>
    </x:row>
    <x:row r="91" spans="1:7" ht="13.25" thickTop="1" x14ac:dyDescent="0.25">
      <x:c r="A91" s="3">
        <x:f t="shared" si="5"/>
        <x:v>81</x:v>
      </x:c>
    </x:row>
    <x:row r="92" spans="1:7" x14ac:dyDescent="0.25">
      <x:c r="A92" s="3">
        <x:f t="shared" si="5"/>
        <x:v>82</x:v>
      </x:c>
      <x:c r="B92" s="1" t="s">
        <x:v>230</x:v>
      </x:c>
      <x:c r="C92" s="290" t="s">
        <x:v>448</x:v>
      </x:c>
    </x:row>
  </x:sheetData>
  <x:mergeCells count="1">
    <x:mergeCell ref="A3:F3"/>
  </x:mergeCells>
  <x:phoneticPr fontId="0" type="noConversion"/>
  <x:hyperlinks>
    <x:hyperlink ref="C92" r:id="rId1" xr:uid="{00000000-0004-0000-2400-000000000000}"/>
  </x:hyperlinks>
  <x:printOptions horizontalCentered="1"/>
  <x:pageMargins left="0.5" right="0.5" top="1.5" bottom="0.5" header="1" footer="0.5"/>
  <x:pageSetup fitToHeight="5" orientation="landscape" r:id="rId2"/>
  <x:headerFooter alignWithMargins="0">
    <x:oddHeader>&amp;RWP/II-B-9/&amp;A
Page &amp;P of &amp;N</x:oddHeader>
  </x:headerFooter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500-000000000000}" mc:Ignorable="x14ac xr xr2 xr3">
  <x:sheetPr codeName="Sheet20">
    <x:tabColor rgb="FF92D050"/>
    <x:pageSetUpPr fitToPage="1"/>
  </x:sheetPr>
  <x:dimension ref="A1:I112"/>
  <x:sheetViews>
    <x:sheetView showGridLines="0" topLeftCell="A40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3" customWidth="1"/>
    <x:col min="2" max="2" width="17.5546875" style="1" customWidth="1"/>
    <x:col min="3" max="3" width="16.88671875" style="1" customWidth="1"/>
    <x:col min="4" max="4" width="10.5546875" style="1" customWidth="1"/>
    <x:col min="5" max="5" width="12.5546875" style="1" bestFit="1" customWidth="1"/>
    <x:col min="6" max="6" width="18.5546875" style="1" bestFit="1" customWidth="1"/>
    <x:col min="7" max="16384" width="9.109375" style="1"/>
  </x:cols>
  <x:sheetData>
    <x:row r="1" spans="1:9" s="41" customFormat="1" x14ac:dyDescent="0.25">
      <x:c r="A1" s="180" t="s">
        <x:v>523</x:v>
      </x:c>
      <x:c r="B1" s="180"/>
      <x:c r="C1" s="180"/>
      <x:c r="D1" s="180"/>
      <x:c r="E1" s="180"/>
      <x:c r="F1" s="298"/>
    </x:row>
    <x:row r="2" spans="1:9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  <x:c r="F2" s="298"/>
    </x:row>
    <x:row r="3" spans="1:9" s="41" customFormat="1" x14ac:dyDescent="0.25">
      <x:c r="A3" s="833" t="s">
        <x:v>252</x:v>
      </x:c>
      <x:c r="B3" s="833"/>
      <x:c r="C3" s="833"/>
      <x:c r="D3" s="833"/>
      <x:c r="E3" s="833"/>
      <x:c r="F3" s="833"/>
    </x:row>
    <x:row r="4" spans="1:9" s="41" customFormat="1" x14ac:dyDescent="0.25">
      <x:c r="A4" s="767" t="s">
        <x:v>524</x:v>
      </x:c>
      <x:c r="B4" s="180"/>
      <x:c r="C4" s="180"/>
      <x:c r="D4" s="180"/>
      <x:c r="E4" s="180"/>
      <x:c r="F4" s="298"/>
    </x:row>
    <x:row r="5" spans="1:9" s="41" customFormat="1" x14ac:dyDescent="0.25">
      <x:c r="A5" s="180" t="s">
        <x:v>486</x:v>
      </x:c>
      <x:c r="B5" s="180"/>
      <x:c r="C5" s="180"/>
      <x:c r="D5" s="180"/>
      <x:c r="E5" s="180"/>
      <x:c r="F5" s="298"/>
      <x:c r="H5" s="41" t="s">
        <x:v>464</x:v>
      </x:c>
    </x:row>
    <x:row r="6" spans="1:9" x14ac:dyDescent="0.25">
      <x:c r="A6" s="16"/>
      <x:c r="B6" s="16"/>
      <x:c r="C6" s="16"/>
      <x:c r="D6" s="16"/>
      <x:c r="E6" s="16"/>
      <x:c r="F6" s="16"/>
    </x:row>
    <x:row r="7" spans="1:9" x14ac:dyDescent="0.25">
      <x:c r="A7" s="22" t="s">
        <x:v>35</x:v>
      </x:c>
      <x:c r="B7" s="22" t="s">
        <x:v>34</x:v>
      </x:c>
      <x:c r="C7" s="22" t="s">
        <x:v>69</x:v>
      </x:c>
      <x:c r="D7" s="22" t="s">
        <x:v>70</x:v>
      </x:c>
      <x:c r="E7" s="25"/>
      <x:c r="F7" s="27" t="s">
        <x:v>93</x:v>
      </x:c>
    </x:row>
    <x:row r="8" spans="1:9" x14ac:dyDescent="0.25">
      <x:c r="A8" s="56" t="s">
        <x:v>36</x:v>
      </x:c>
      <x:c r="B8" s="56" t="s">
        <x:v>71</x:v>
      </x:c>
      <x:c r="C8" s="56" t="s">
        <x:v>24</x:v>
      </x:c>
      <x:c r="D8" s="56" t="s">
        <x:v>94</x:v>
      </x:c>
      <x:c r="E8" s="61" t="s">
        <x:v>41</x:v>
      </x:c>
      <x:c r="F8" s="62" t="s">
        <x:v>72</x:v>
      </x:c>
    </x:row>
    <x:row r="9" spans="1:9" x14ac:dyDescent="0.25">
      <x:c r="B9" s="8" t="s">
        <x:v>50</x:v>
      </x:c>
      <x:c r="C9" s="8" t="s">
        <x:v>51</x:v>
      </x:c>
      <x:c r="D9" s="8" t="s">
        <x:v>57</x:v>
      </x:c>
      <x:c r="E9" s="8" t="s">
        <x:v>52</x:v>
      </x:c>
      <x:c r="F9" s="8" t="s">
        <x:v>53</x:v>
      </x:c>
      <x:c r="G9" s="15"/>
    </x:row>
    <x:row r="10" spans="1:9" x14ac:dyDescent="0.25">
      <x:c r="B10" s="8"/>
      <x:c r="C10" s="8"/>
      <x:c r="D10" s="8"/>
      <x:c r="E10" s="8"/>
      <x:c r="F10" s="8"/>
      <x:c r="G10" s="15"/>
    </x:row>
    <x:row r="11" spans="1:9" x14ac:dyDescent="0.25">
      <x:c r="A11" s="3">
        <x:v>1</x:v>
      </x:c>
      <x:c r="B11" s="440">
        <x:v>45211</x:v>
      </x:c>
      <x:c r="C11" s="178">
        <x:v>463582.5</x:v>
      </x:c>
      <x:c r="D11" s="440">
        <x:v>45211</x:v>
      </x:c>
      <x:c r="E11" s="377">
        <x:f>IF(C11=0,0,-(D11-B11))</x:f>
        <x:v>0</x:v>
      </x:c>
      <x:c r="F11" s="74">
        <x:f>C11*E11</x:f>
        <x:v>0</x:v>
      </x:c>
      <x:c r="G11" s="15"/>
    </x:row>
    <x:row r="12" spans="1:9" x14ac:dyDescent="0.25">
      <x:c r="A12" s="3">
        <x:f>A11+1</x:f>
        <x:v>2</x:v>
      </x:c>
      <x:c r="B12" s="440">
        <x:v>45229</x:v>
      </x:c>
      <x:c r="C12" s="178">
        <x:v>480367.57</x:v>
      </x:c>
      <x:c r="D12" s="440">
        <x:v>45229</x:v>
      </x:c>
      <x:c r="E12" s="377">
        <x:f t="shared" ref="E12:E43" si="0">IF(C12=0,0,-(D12-B12))</x:f>
        <x:v>0</x:v>
      </x:c>
      <x:c r="F12" s="29">
        <x:f t="shared" ref="F12:F43" si="1">C12*E12</x:f>
        <x:v>0</x:v>
      </x:c>
      <x:c r="G12" s="15"/>
    </x:row>
    <x:row r="13" spans="1:9" x14ac:dyDescent="0.25">
      <x:c r="A13" s="3">
        <x:f t="shared" ref="A13:A48" si="2">A12+1</x:f>
        <x:v>3</x:v>
      </x:c>
      <x:c r="B13" s="440">
        <x:v>45244</x:v>
      </x:c>
      <x:c r="C13" s="178">
        <x:v>445271.16000000003</x:v>
      </x:c>
      <x:c r="D13" s="440">
        <x:v>45244</x:v>
      </x:c>
      <x:c r="E13" s="377">
        <x:f t="shared" si="0"/>
        <x:v>0</x:v>
      </x:c>
      <x:c r="F13" s="29">
        <x:f t="shared" si="1"/>
        <x:v>0</x:v>
      </x:c>
      <x:c r="G13" s="15"/>
      <x:c r="I13" s="5"/>
    </x:row>
    <x:row r="14" spans="1:9" x14ac:dyDescent="0.25">
      <x:c r="A14" s="3">
        <x:f t="shared" si="2"/>
        <x:v>4</x:v>
      </x:c>
      <x:c r="B14" s="440">
        <x:v>45259</x:v>
      </x:c>
      <x:c r="C14" s="178">
        <x:v>433688.52999999997</x:v>
      </x:c>
      <x:c r="D14" s="440">
        <x:v>45259</x:v>
      </x:c>
      <x:c r="E14" s="377">
        <x:f t="shared" si="0"/>
        <x:v>0</x:v>
      </x:c>
      <x:c r="F14" s="29">
        <x:f t="shared" si="1"/>
        <x:v>0</x:v>
      </x:c>
      <x:c r="G14" s="15"/>
    </x:row>
    <x:row r="15" spans="1:9" x14ac:dyDescent="0.25">
      <x:c r="A15" s="3">
        <x:f t="shared" si="2"/>
        <x:v>5</x:v>
      </x:c>
      <x:c r="B15" s="440">
        <x:v>45264</x:v>
      </x:c>
      <x:c r="C15" s="178">
        <x:v>1.65</x:v>
      </x:c>
      <x:c r="D15" s="440">
        <x:v>45264</x:v>
      </x:c>
      <x:c r="E15" s="377">
        <x:f t="shared" si="0"/>
        <x:v>0</x:v>
      </x:c>
      <x:c r="F15" s="29">
        <x:f t="shared" si="1"/>
        <x:v>0</x:v>
      </x:c>
      <x:c r="G15" s="15"/>
    </x:row>
    <x:row r="16" spans="1:9" x14ac:dyDescent="0.25">
      <x:c r="A16" s="3">
        <x:f t="shared" si="2"/>
        <x:v>6</x:v>
      </x:c>
      <x:c r="B16" s="440">
        <x:v>45274</x:v>
      </x:c>
      <x:c r="C16" s="178">
        <x:v>411694.7</x:v>
      </x:c>
      <x:c r="D16" s="440">
        <x:v>45274</x:v>
      </x:c>
      <x:c r="E16" s="377">
        <x:f t="shared" si="0"/>
        <x:v>0</x:v>
      </x:c>
      <x:c r="F16" s="29">
        <x:f t="shared" si="1"/>
        <x:v>0</x:v>
      </x:c>
      <x:c r="G16" s="15"/>
    </x:row>
    <x:row r="17" spans="1:7" x14ac:dyDescent="0.25">
      <x:c r="A17" s="3">
        <x:f t="shared" si="2"/>
        <x:v>7</x:v>
      </x:c>
      <x:c r="B17" s="440">
        <x:v>45286</x:v>
      </x:c>
      <x:c r="C17" s="178">
        <x:v>2000.75</x:v>
      </x:c>
      <x:c r="D17" s="440">
        <x:v>45286</x:v>
      </x:c>
      <x:c r="E17" s="377">
        <x:f t="shared" si="0"/>
        <x:v>0</x:v>
      </x:c>
      <x:c r="F17" s="29">
        <x:f t="shared" si="1"/>
        <x:v>0</x:v>
      </x:c>
      <x:c r="G17" s="15"/>
    </x:row>
    <x:row r="18" spans="1:7" x14ac:dyDescent="0.25">
      <x:c r="A18" s="3">
        <x:f t="shared" si="2"/>
        <x:v>8</x:v>
      </x:c>
      <x:c r="B18" s="440">
        <x:v>45288</x:v>
      </x:c>
      <x:c r="C18" s="178">
        <x:v>371024.75</x:v>
      </x:c>
      <x:c r="D18" s="440">
        <x:v>45288</x:v>
      </x:c>
      <x:c r="E18" s="377">
        <x:f t="shared" si="0"/>
        <x:v>0</x:v>
      </x:c>
      <x:c r="F18" s="29">
        <x:f t="shared" si="1"/>
        <x:v>0</x:v>
      </x:c>
      <x:c r="G18" s="15"/>
    </x:row>
    <x:row r="19" spans="1:7" x14ac:dyDescent="0.25">
      <x:c r="A19" s="3">
        <x:f t="shared" si="2"/>
        <x:v>9</x:v>
      </x:c>
      <x:c r="B19" s="440">
        <x:v>45289</x:v>
      </x:c>
      <x:c r="C19" s="178">
        <x:v>887.33</x:v>
      </x:c>
      <x:c r="D19" s="440">
        <x:v>45289</x:v>
      </x:c>
      <x:c r="E19" s="377">
        <x:f t="shared" si="0"/>
        <x:v>0</x:v>
      </x:c>
      <x:c r="F19" s="29">
        <x:f t="shared" si="1"/>
        <x:v>0</x:v>
      </x:c>
      <x:c r="G19" s="15"/>
    </x:row>
    <x:row r="20" spans="1:7" x14ac:dyDescent="0.25">
      <x:c r="A20" s="3">
        <x:f t="shared" si="2"/>
        <x:v>10</x:v>
      </x:c>
      <x:c r="B20" s="440">
        <x:v>45302</x:v>
      </x:c>
      <x:c r="C20" s="178">
        <x:v>427208.65</x:v>
      </x:c>
      <x:c r="D20" s="440">
        <x:v>45302</x:v>
      </x:c>
      <x:c r="E20" s="377">
        <x:f t="shared" si="0"/>
        <x:v>0</x:v>
      </x:c>
      <x:c r="F20" s="29">
        <x:f t="shared" si="1"/>
        <x:v>0</x:v>
      </x:c>
      <x:c r="G20" s="15"/>
    </x:row>
    <x:row r="21" spans="1:7" x14ac:dyDescent="0.25">
      <x:c r="A21" s="3">
        <x:f t="shared" si="2"/>
        <x:v>11</x:v>
      </x:c>
      <x:c r="B21" s="440">
        <x:v>45309</x:v>
      </x:c>
      <x:c r="C21" s="178">
        <x:v>138.38999999999999</x:v>
      </x:c>
      <x:c r="D21" s="440">
        <x:v>45309</x:v>
      </x:c>
      <x:c r="E21" s="377">
        <x:f t="shared" si="0"/>
        <x:v>0</x:v>
      </x:c>
      <x:c r="F21" s="29">
        <x:f t="shared" si="1"/>
        <x:v>0</x:v>
      </x:c>
      <x:c r="G21" s="15"/>
    </x:row>
    <x:row r="22" spans="1:7" x14ac:dyDescent="0.25">
      <x:c r="A22" s="3">
        <x:f t="shared" si="2"/>
        <x:v>12</x:v>
      </x:c>
      <x:c r="B22" s="440">
        <x:v>45303</x:v>
      </x:c>
      <x:c r="C22" s="178">
        <x:v>56213.279999999999</x:v>
      </x:c>
      <x:c r="D22" s="440">
        <x:v>45303</x:v>
      </x:c>
      <x:c r="E22" s="377">
        <x:f t="shared" si="0"/>
        <x:v>0</x:v>
      </x:c>
      <x:c r="F22" s="29">
        <x:f t="shared" si="1"/>
        <x:v>0</x:v>
      </x:c>
      <x:c r="G22" s="15"/>
    </x:row>
    <x:row r="23" spans="1:7" x14ac:dyDescent="0.25">
      <x:c r="A23" s="3">
        <x:f t="shared" si="2"/>
        <x:v>13</x:v>
      </x:c>
      <x:c r="B23" s="440">
        <x:v>45316</x:v>
      </x:c>
      <x:c r="C23" s="178">
        <x:v>478734.23</x:v>
      </x:c>
      <x:c r="D23" s="440">
        <x:v>45316</x:v>
      </x:c>
      <x:c r="E23" s="377">
        <x:f t="shared" si="0"/>
        <x:v>0</x:v>
      </x:c>
      <x:c r="F23" s="29">
        <x:f t="shared" si="1"/>
        <x:v>0</x:v>
      </x:c>
      <x:c r="G23" s="15"/>
    </x:row>
    <x:row r="24" spans="1:7" x14ac:dyDescent="0.25">
      <x:c r="A24" s="3">
        <x:f t="shared" si="2"/>
        <x:v>14</x:v>
      </x:c>
      <x:c r="B24" s="440">
        <x:v>45323</x:v>
      </x:c>
      <x:c r="C24" s="178">
        <x:v>2482.0100000000002</x:v>
      </x:c>
      <x:c r="D24" s="440">
        <x:v>45323</x:v>
      </x:c>
      <x:c r="E24" s="377">
        <x:f t="shared" si="0"/>
        <x:v>0</x:v>
      </x:c>
      <x:c r="F24" s="29">
        <x:f t="shared" si="1"/>
        <x:v>0</x:v>
      </x:c>
      <x:c r="G24" s="15"/>
    </x:row>
    <x:row r="25" spans="1:7" x14ac:dyDescent="0.25">
      <x:c r="A25" s="3">
        <x:f t="shared" si="2"/>
        <x:v>15</x:v>
      </x:c>
      <x:c r="B25" s="440">
        <x:v>45330</x:v>
      </x:c>
      <x:c r="C25" s="178">
        <x:v>492134.36</x:v>
      </x:c>
      <x:c r="D25" s="440">
        <x:v>45330</x:v>
      </x:c>
      <x:c r="E25" s="377">
        <x:f t="shared" si="0"/>
        <x:v>0</x:v>
      </x:c>
      <x:c r="F25" s="29">
        <x:f t="shared" si="1"/>
        <x:v>0</x:v>
      </x:c>
      <x:c r="G25" s="15"/>
    </x:row>
    <x:row r="26" spans="1:7" x14ac:dyDescent="0.25">
      <x:c r="A26" s="3">
        <x:f t="shared" si="2"/>
        <x:v>16</x:v>
      </x:c>
      <x:c r="B26" s="440">
        <x:v>45343</x:v>
      </x:c>
      <x:c r="C26" s="178">
        <x:v>16930.080000000002</x:v>
      </x:c>
      <x:c r="D26" s="440">
        <x:v>45343</x:v>
      </x:c>
      <x:c r="E26" s="377">
        <x:f t="shared" si="0"/>
        <x:v>0</x:v>
      </x:c>
      <x:c r="F26" s="29">
        <x:f t="shared" si="1"/>
        <x:v>0</x:v>
      </x:c>
      <x:c r="G26" s="15"/>
    </x:row>
    <x:row r="27" spans="1:7" x14ac:dyDescent="0.25">
      <x:c r="A27" s="3">
        <x:f t="shared" si="2"/>
        <x:v>17</x:v>
      </x:c>
      <x:c r="B27" s="440">
        <x:v>45344</x:v>
      </x:c>
      <x:c r="C27" s="178">
        <x:v>475878</x:v>
      </x:c>
      <x:c r="D27" s="440">
        <x:v>45344</x:v>
      </x:c>
      <x:c r="E27" s="377">
        <x:f t="shared" si="0"/>
        <x:v>0</x:v>
      </x:c>
      <x:c r="F27" s="29">
        <x:f t="shared" si="1"/>
        <x:v>0</x:v>
      </x:c>
      <x:c r="G27" s="15"/>
    </x:row>
    <x:row r="28" spans="1:7" x14ac:dyDescent="0.25">
      <x:c r="A28" s="3">
        <x:f t="shared" si="2"/>
        <x:v>18</x:v>
      </x:c>
      <x:c r="B28" s="440">
        <x:v>45348</x:v>
      </x:c>
      <x:c r="C28" s="178">
        <x:v>1446.6200000000001</x:v>
      </x:c>
      <x:c r="D28" s="440">
        <x:v>45348</x:v>
      </x:c>
      <x:c r="E28" s="377">
        <x:f t="shared" si="0"/>
        <x:v>0</x:v>
      </x:c>
      <x:c r="F28" s="29">
        <x:f t="shared" si="1"/>
        <x:v>0</x:v>
      </x:c>
      <x:c r="G28" s="15"/>
    </x:row>
    <x:row r="29" spans="1:7" x14ac:dyDescent="0.25">
      <x:c r="A29" s="3">
        <x:f t="shared" si="2"/>
        <x:v>19</x:v>
      </x:c>
      <x:c r="B29" s="440">
        <x:v>45358</x:v>
      </x:c>
      <x:c r="C29" s="178">
        <x:v>508449.69</x:v>
      </x:c>
      <x:c r="D29" s="440">
        <x:v>45358</x:v>
      </x:c>
      <x:c r="E29" s="377">
        <x:f t="shared" si="0"/>
        <x:v>0</x:v>
      </x:c>
      <x:c r="F29" s="29">
        <x:f t="shared" si="1"/>
        <x:v>0</x:v>
      </x:c>
      <x:c r="G29" s="15"/>
    </x:row>
    <x:row r="30" spans="1:7" x14ac:dyDescent="0.25">
      <x:c r="A30" s="3">
        <x:f t="shared" si="2"/>
        <x:v>20</x:v>
      </x:c>
      <x:c r="B30" s="440">
        <x:v>45359</x:v>
      </x:c>
      <x:c r="C30" s="178">
        <x:v>1296872.74</x:v>
      </x:c>
      <x:c r="D30" s="440">
        <x:v>45359</x:v>
      </x:c>
      <x:c r="E30" s="377">
        <x:f t="shared" si="0"/>
        <x:v>0</x:v>
      </x:c>
      <x:c r="F30" s="29">
        <x:f t="shared" si="1"/>
        <x:v>0</x:v>
      </x:c>
      <x:c r="G30" s="15"/>
    </x:row>
    <x:row r="31" spans="1:7" x14ac:dyDescent="0.25">
      <x:c r="A31" s="3">
        <x:f t="shared" si="2"/>
        <x:v>21</x:v>
      </x:c>
      <x:c r="B31" s="440">
        <x:v>45373</x:v>
      </x:c>
      <x:c r="C31" s="178">
        <x:v>30491.059999999998</x:v>
      </x:c>
      <x:c r="D31" s="440">
        <x:v>45373</x:v>
      </x:c>
      <x:c r="E31" s="377">
        <x:f t="shared" si="0"/>
        <x:v>0</x:v>
      </x:c>
      <x:c r="F31" s="29">
        <x:f t="shared" si="1"/>
        <x:v>0</x:v>
      </x:c>
      <x:c r="G31" s="15"/>
    </x:row>
    <x:row r="32" spans="1:7" x14ac:dyDescent="0.25">
      <x:c r="A32" s="3">
        <x:f t="shared" si="2"/>
        <x:v>22</x:v>
      </x:c>
      <x:c r="B32" s="440">
        <x:v>45372</x:v>
      </x:c>
      <x:c r="C32" s="178">
        <x:v>492436.5</x:v>
      </x:c>
      <x:c r="D32" s="440">
        <x:v>45372</x:v>
      </x:c>
      <x:c r="E32" s="377">
        <x:f t="shared" si="0"/>
        <x:v>0</x:v>
      </x:c>
      <x:c r="F32" s="29">
        <x:f t="shared" si="1"/>
        <x:v>0</x:v>
      </x:c>
      <x:c r="G32" s="15"/>
    </x:row>
    <x:row r="33" spans="1:7" x14ac:dyDescent="0.25">
      <x:c r="A33" s="3">
        <x:f t="shared" si="2"/>
        <x:v>23</x:v>
      </x:c>
      <x:c r="B33" s="440">
        <x:v>45379</x:v>
      </x:c>
      <x:c r="C33" s="178">
        <x:v>772.88</x:v>
      </x:c>
      <x:c r="D33" s="440">
        <x:v>45379</x:v>
      </x:c>
      <x:c r="E33" s="377">
        <x:f t="shared" si="0"/>
        <x:v>0</x:v>
      </x:c>
      <x:c r="F33" s="29">
        <x:f t="shared" si="1"/>
        <x:v>0</x:v>
      </x:c>
      <x:c r="G33" s="15"/>
    </x:row>
    <x:row r="34" spans="1:7" x14ac:dyDescent="0.25">
      <x:c r="A34" s="3">
        <x:f t="shared" si="2"/>
        <x:v>24</x:v>
      </x:c>
      <x:c r="B34" s="440">
        <x:v>45386</x:v>
      </x:c>
      <x:c r="C34" s="178">
        <x:v>493503.76</x:v>
      </x:c>
      <x:c r="D34" s="440">
        <x:v>45386</x:v>
      </x:c>
      <x:c r="E34" s="377">
        <x:f t="shared" si="0"/>
        <x:v>0</x:v>
      </x:c>
      <x:c r="F34" s="29">
        <x:f t="shared" si="1"/>
        <x:v>0</x:v>
      </x:c>
      <x:c r="G34" s="15"/>
    </x:row>
    <x:row r="35" spans="1:7" x14ac:dyDescent="0.25">
      <x:c r="A35" s="3">
        <x:f t="shared" si="2"/>
        <x:v>25</x:v>
      </x:c>
      <x:c r="B35" s="440">
        <x:v>45392</x:v>
      </x:c>
      <x:c r="C35" s="178">
        <x:v>37.85</x:v>
      </x:c>
      <x:c r="D35" s="440">
        <x:v>45392</x:v>
      </x:c>
      <x:c r="E35" s="377">
        <x:f t="shared" si="0"/>
        <x:v>0</x:v>
      </x:c>
      <x:c r="F35" s="29">
        <x:f t="shared" si="1"/>
        <x:v>0</x:v>
      </x:c>
      <x:c r="G35" s="15"/>
    </x:row>
    <x:row r="36" spans="1:7" x14ac:dyDescent="0.25">
      <x:c r="A36" s="3">
        <x:f t="shared" si="2"/>
        <x:v>26</x:v>
      </x:c>
      <x:c r="B36" s="440">
        <x:v>45400</x:v>
      </x:c>
      <x:c r="C36" s="178">
        <x:v>516224.18999999994</x:v>
      </x:c>
      <x:c r="D36" s="440">
        <x:v>45400</x:v>
      </x:c>
      <x:c r="E36" s="377">
        <x:f t="shared" si="0"/>
        <x:v>0</x:v>
      </x:c>
      <x:c r="F36" s="29">
        <x:f t="shared" si="1"/>
        <x:v>0</x:v>
      </x:c>
      <x:c r="G36" s="15"/>
    </x:row>
    <x:row r="37" spans="1:7" x14ac:dyDescent="0.25">
      <x:c r="A37" s="3">
        <x:f t="shared" si="2"/>
        <x:v>27</x:v>
      </x:c>
      <x:c r="B37" s="440">
        <x:v>45407</x:v>
      </x:c>
      <x:c r="C37" s="178">
        <x:v>2272.5500000000002</x:v>
      </x:c>
      <x:c r="D37" s="440">
        <x:v>45407</x:v>
      </x:c>
      <x:c r="E37" s="377">
        <x:f t="shared" si="0"/>
        <x:v>0</x:v>
      </x:c>
      <x:c r="F37" s="29">
        <x:f t="shared" si="1"/>
        <x:v>0</x:v>
      </x:c>
      <x:c r="G37" s="15"/>
    </x:row>
    <x:row r="38" spans="1:7" x14ac:dyDescent="0.25">
      <x:c r="A38" s="3">
        <x:f t="shared" si="2"/>
        <x:v>28</x:v>
      </x:c>
      <x:c r="B38" s="440">
        <x:v>45414</x:v>
      </x:c>
      <x:c r="C38" s="178">
        <x:v>543186.72</x:v>
      </x:c>
      <x:c r="D38" s="440">
        <x:v>45414</x:v>
      </x:c>
      <x:c r="E38" s="377">
        <x:f t="shared" si="0"/>
        <x:v>0</x:v>
      </x:c>
      <x:c r="F38" s="29">
        <x:f t="shared" si="1"/>
        <x:v>0</x:v>
      </x:c>
      <x:c r="G38" s="15"/>
    </x:row>
    <x:row r="39" spans="1:7" x14ac:dyDescent="0.25">
      <x:c r="A39" s="3">
        <x:f t="shared" si="2"/>
        <x:v>29</x:v>
      </x:c>
      <x:c r="B39" s="440">
        <x:v>45413</x:v>
      </x:c>
      <x:c r="C39" s="178">
        <x:v>137.69999999999999</x:v>
      </x:c>
      <x:c r="D39" s="440">
        <x:v>45413</x:v>
      </x:c>
      <x:c r="E39" s="377">
        <x:f t="shared" si="0"/>
        <x:v>0</x:v>
      </x:c>
      <x:c r="F39" s="29">
        <x:f t="shared" si="1"/>
        <x:v>0</x:v>
      </x:c>
      <x:c r="G39" s="15"/>
    </x:row>
    <x:row r="40" spans="1:7" x14ac:dyDescent="0.25">
      <x:c r="A40" s="3">
        <x:f t="shared" si="2"/>
        <x:v>30</x:v>
      </x:c>
      <x:c r="B40" s="440">
        <x:v>45428</x:v>
      </x:c>
      <x:c r="C40" s="178">
        <x:v>527543.22</x:v>
      </x:c>
      <x:c r="D40" s="440">
        <x:v>45428</x:v>
      </x:c>
      <x:c r="E40" s="377">
        <x:f t="shared" si="0"/>
        <x:v>0</x:v>
      </x:c>
      <x:c r="F40" s="29">
        <x:f t="shared" si="1"/>
        <x:v>0</x:v>
      </x:c>
      <x:c r="G40" s="15"/>
    </x:row>
    <x:row r="41" spans="1:7" x14ac:dyDescent="0.25">
      <x:c r="A41" s="3">
        <x:f t="shared" si="2"/>
        <x:v>31</x:v>
      </x:c>
      <x:c r="B41" s="440">
        <x:v>45442</x:v>
      </x:c>
      <x:c r="C41" s="178">
        <x:v>540333.19999999995</x:v>
      </x:c>
      <x:c r="D41" s="440">
        <x:v>45442</x:v>
      </x:c>
      <x:c r="E41" s="377">
        <x:f t="shared" si="0"/>
        <x:v>0</x:v>
      </x:c>
      <x:c r="F41" s="29">
        <x:f t="shared" si="1"/>
        <x:v>0</x:v>
      </x:c>
      <x:c r="G41" s="15"/>
    </x:row>
    <x:row r="42" spans="1:7" x14ac:dyDescent="0.25">
      <x:c r="A42" s="3">
        <x:f t="shared" si="2"/>
        <x:v>32</x:v>
      </x:c>
      <x:c r="B42" s="440">
        <x:v>45441</x:v>
      </x:c>
      <x:c r="C42" s="178">
        <x:v>3017.56</x:v>
      </x:c>
      <x:c r="D42" s="440">
        <x:v>45441</x:v>
      </x:c>
      <x:c r="E42" s="377">
        <x:f t="shared" si="0"/>
        <x:v>0</x:v>
      </x:c>
      <x:c r="F42" s="29">
        <x:f t="shared" si="1"/>
        <x:v>0</x:v>
      </x:c>
      <x:c r="G42" s="15"/>
    </x:row>
    <x:row r="43" spans="1:7" x14ac:dyDescent="0.25">
      <x:c r="A43" s="3">
        <x:f t="shared" ref="A43:A59" si="3">A42+1</x:f>
        <x:v>33</x:v>
      </x:c>
      <x:c r="B43" s="440">
        <x:v>45456</x:v>
      </x:c>
      <x:c r="C43" s="178">
        <x:v>549456.85</x:v>
      </x:c>
      <x:c r="D43" s="440">
        <x:v>45456</x:v>
      </x:c>
      <x:c r="E43" s="377">
        <x:f t="shared" si="0"/>
        <x:v>0</x:v>
      </x:c>
      <x:c r="F43" s="29">
        <x:f t="shared" si="1"/>
        <x:v>0</x:v>
      </x:c>
      <x:c r="G43" s="15"/>
    </x:row>
    <x:row r="44" spans="1:7" x14ac:dyDescent="0.25">
      <x:c r="A44" s="3">
        <x:f t="shared" si="2"/>
        <x:v>34</x:v>
      </x:c>
      <x:c r="B44" s="440">
        <x:v>45463</x:v>
      </x:c>
      <x:c r="C44" s="178">
        <x:v>420.7</x:v>
      </x:c>
      <x:c r="D44" s="440">
        <x:v>45463</x:v>
      </x:c>
      <x:c r="E44" s="377">
        <x:f t="shared" ref="E44:E49" si="4">IF(C44=0,0,-(D44-B44))</x:f>
        <x:v>0</x:v>
      </x:c>
      <x:c r="F44" s="29">
        <x:f t="shared" ref="F44:F49" si="5">C44*E44</x:f>
        <x:v>0</x:v>
      </x:c>
      <x:c r="G44" s="15"/>
    </x:row>
    <x:row r="45" spans="1:7" x14ac:dyDescent="0.25">
      <x:c r="A45" s="3">
        <x:f t="shared" si="3"/>
        <x:v>35</x:v>
      </x:c>
      <x:c r="B45" s="440">
        <x:v>45470</x:v>
      </x:c>
      <x:c r="C45" s="178">
        <x:v>497586.58</x:v>
      </x:c>
      <x:c r="D45" s="440">
        <x:v>45470</x:v>
      </x:c>
      <x:c r="E45" s="377">
        <x:f t="shared" si="4"/>
        <x:v>0</x:v>
      </x:c>
      <x:c r="F45" s="29">
        <x:f t="shared" si="5"/>
        <x:v>0</x:v>
      </x:c>
      <x:c r="G45" s="15"/>
    </x:row>
    <x:row r="46" spans="1:7" x14ac:dyDescent="0.25">
      <x:c r="A46" s="3">
        <x:f t="shared" si="2"/>
        <x:v>36</x:v>
      </x:c>
      <x:c r="B46" s="440">
        <x:v>45471</x:v>
      </x:c>
      <x:c r="C46" s="178">
        <x:v>2525.19</x:v>
      </x:c>
      <x:c r="D46" s="440">
        <x:v>45471</x:v>
      </x:c>
      <x:c r="E46" s="377">
        <x:f t="shared" si="4"/>
        <x:v>0</x:v>
      </x:c>
      <x:c r="F46" s="29">
        <x:f t="shared" si="5"/>
        <x:v>0</x:v>
      </x:c>
      <x:c r="G46" s="15"/>
    </x:row>
    <x:row r="47" spans="1:7" x14ac:dyDescent="0.25">
      <x:c r="A47" s="3">
        <x:f t="shared" si="3"/>
        <x:v>37</x:v>
      </x:c>
      <x:c r="B47" s="440">
        <x:v>45484</x:v>
      </x:c>
      <x:c r="C47" s="178">
        <x:v>488380.32</x:v>
      </x:c>
      <x:c r="D47" s="440">
        <x:v>45484</x:v>
      </x:c>
      <x:c r="E47" s="377">
        <x:f t="shared" si="4"/>
        <x:v>0</x:v>
      </x:c>
      <x:c r="F47" s="29">
        <x:f t="shared" si="5"/>
        <x:v>0</x:v>
      </x:c>
      <x:c r="G47" s="15"/>
    </x:row>
    <x:row r="48" spans="1:7" x14ac:dyDescent="0.25">
      <x:c r="A48" s="3">
        <x:f t="shared" si="2"/>
        <x:v>38</x:v>
      </x:c>
      <x:c r="B48" s="440">
        <x:v>45498</x:v>
      </x:c>
      <x:c r="C48" s="178">
        <x:v>491454.17</x:v>
      </x:c>
      <x:c r="D48" s="440">
        <x:v>45498</x:v>
      </x:c>
      <x:c r="E48" s="377">
        <x:f t="shared" si="4"/>
        <x:v>0</x:v>
      </x:c>
      <x:c r="F48" s="29">
        <x:f t="shared" si="5"/>
        <x:v>0</x:v>
      </x:c>
      <x:c r="G48" s="15"/>
    </x:row>
    <x:row r="49" spans="1:7" x14ac:dyDescent="0.25">
      <x:c r="A49" s="3">
        <x:f t="shared" si="3"/>
        <x:v>39</x:v>
      </x:c>
      <x:c r="B49" s="440">
        <x:v>45512</x:v>
      </x:c>
      <x:c r="C49" s="178">
        <x:v>504278.65</x:v>
      </x:c>
      <x:c r="D49" s="440">
        <x:v>45512</x:v>
      </x:c>
      <x:c r="E49" s="377">
        <x:f t="shared" si="4"/>
        <x:v>0</x:v>
      </x:c>
      <x:c r="F49" s="29">
        <x:f t="shared" si="5"/>
        <x:v>0</x:v>
      </x:c>
      <x:c r="G49" s="15"/>
    </x:row>
    <x:row r="50" spans="1:7" x14ac:dyDescent="0.25">
      <x:c r="A50" s="3">
        <x:f t="shared" si="3"/>
        <x:v>40</x:v>
      </x:c>
      <x:c r="B50" s="440">
        <x:v>45526</x:v>
      </x:c>
      <x:c r="C50" s="178">
        <x:v>509533.23</x:v>
      </x:c>
      <x:c r="D50" s="440">
        <x:v>45526</x:v>
      </x:c>
      <x:c r="E50" s="377">
        <x:f t="shared" ref="E50:E55" si="6">IF(C50=0,0,-(D50-B50))</x:f>
        <x:v>0</x:v>
      </x:c>
      <x:c r="F50" s="29">
        <x:f t="shared" ref="F50:F55" si="7">C50*E50</x:f>
        <x:v>0</x:v>
      </x:c>
      <x:c r="G50" s="15"/>
    </x:row>
    <x:row r="51" spans="1:7" x14ac:dyDescent="0.25">
      <x:c r="A51" s="3">
        <x:f t="shared" si="3"/>
        <x:v>41</x:v>
      </x:c>
      <x:c r="B51" s="440">
        <x:v>45540</x:v>
      </x:c>
      <x:c r="C51" s="178">
        <x:v>445154.23000000004</x:v>
      </x:c>
      <x:c r="D51" s="440">
        <x:v>45540</x:v>
      </x:c>
      <x:c r="E51" s="377">
        <x:f t="shared" si="6"/>
        <x:v>0</x:v>
      </x:c>
      <x:c r="F51" s="29">
        <x:f t="shared" si="7"/>
        <x:v>0</x:v>
      </x:c>
      <x:c r="G51" s="15"/>
    </x:row>
    <x:row r="52" spans="1:7" x14ac:dyDescent="0.25">
      <x:c r="A52" s="3">
        <x:f t="shared" si="3"/>
        <x:v>42</x:v>
      </x:c>
      <x:c r="B52" s="440">
        <x:v>45541</x:v>
      </x:c>
      <x:c r="C52" s="178">
        <x:v>51698.06</x:v>
      </x:c>
      <x:c r="D52" s="440">
        <x:v>45541</x:v>
      </x:c>
      <x:c r="E52" s="377">
        <x:f t="shared" si="6"/>
        <x:v>0</x:v>
      </x:c>
      <x:c r="F52" s="29">
        <x:f t="shared" si="7"/>
        <x:v>0</x:v>
      </x:c>
      <x:c r="G52" s="15"/>
    </x:row>
    <x:row r="53" spans="1:7" x14ac:dyDescent="0.25">
      <x:c r="A53" s="3">
        <x:f t="shared" si="3"/>
        <x:v>43</x:v>
      </x:c>
      <x:c r="B53" s="440">
        <x:v>45545</x:v>
      </x:c>
      <x:c r="C53" s="178">
        <x:v>2832281.09</x:v>
      </x:c>
      <x:c r="D53" s="440">
        <x:v>45545</x:v>
      </x:c>
      <x:c r="E53" s="377">
        <x:f t="shared" si="6"/>
        <x:v>0</x:v>
      </x:c>
      <x:c r="F53" s="29">
        <x:f t="shared" si="7"/>
        <x:v>0</x:v>
      </x:c>
      <x:c r="G53" s="15"/>
    </x:row>
    <x:row r="54" spans="1:7" x14ac:dyDescent="0.25">
      <x:c r="A54" s="3">
        <x:f t="shared" si="3"/>
        <x:v>44</x:v>
      </x:c>
      <x:c r="B54" s="440">
        <x:v>45554</x:v>
      </x:c>
      <x:c r="C54" s="178">
        <x:v>458015.01</x:v>
      </x:c>
      <x:c r="D54" s="440">
        <x:v>45554</x:v>
      </x:c>
      <x:c r="E54" s="377">
        <x:f t="shared" si="6"/>
        <x:v>0</x:v>
      </x:c>
      <x:c r="F54" s="29">
        <x:f t="shared" si="7"/>
        <x:v>0</x:v>
      </x:c>
      <x:c r="G54" s="15"/>
    </x:row>
    <x:row r="55" spans="1:7" x14ac:dyDescent="0.25">
      <x:c r="A55" s="3">
        <x:f t="shared" si="3"/>
        <x:v>45</x:v>
      </x:c>
      <x:c r="B55" s="440">
        <x:v>45558</x:v>
      </x:c>
      <x:c r="C55" s="178">
        <x:v>2832281.09</x:v>
      </x:c>
      <x:c r="D55" s="440">
        <x:v>45558</x:v>
      </x:c>
      <x:c r="E55" s="377">
        <x:f t="shared" si="6"/>
        <x:v>0</x:v>
      </x:c>
      <x:c r="F55" s="29">
        <x:f t="shared" si="7"/>
        <x:v>0</x:v>
      </x:c>
      <x:c r="G55" s="15"/>
    </x:row>
    <x:row r="56" spans="1:7" x14ac:dyDescent="0.25">
      <x:c r="A56" s="3">
        <x:f t="shared" si="3"/>
        <x:v>46</x:v>
      </x:c>
      <x:c r="B56" s="440"/>
      <x:c r="C56" s="246"/>
      <x:c r="D56" s="440"/>
      <x:c r="E56" s="377"/>
      <x:c r="F56" s="29"/>
      <x:c r="G56" s="15"/>
    </x:row>
    <x:row r="57" spans="1:7" ht="13.25" thickBot="1" x14ac:dyDescent="0.3">
      <x:c r="A57" s="3">
        <x:f t="shared" si="3"/>
        <x:v>47</x:v>
      </x:c>
      <x:c r="B57" s="3" t="s">
        <x:v>26</x:v>
      </x:c>
      <x:c r="C57" s="387">
        <x:f>SUM(C11:C56)</x:f>
        <x:v>19178029.349999998</x:v>
      </x:c>
      <x:c r="E57" s="388">
        <x:f>ROUND(F57/C57,2)</x:f>
        <x:v>0</x:v>
      </x:c>
      <x:c r="F57" s="387">
        <x:f>SUM(F11:F56)</x:f>
        <x:v>0</x:v>
      </x:c>
      <x:c r="G57" s="15"/>
    </x:row>
    <x:row r="58" spans="1:7" ht="13.25" thickTop="1" x14ac:dyDescent="0.25">
      <x:c r="A58" s="3">
        <x:f t="shared" si="3"/>
        <x:v>48</x:v>
      </x:c>
      <x:c r="E58" s="63"/>
      <x:c r="G58" s="15"/>
    </x:row>
    <x:row r="59" spans="1:7" x14ac:dyDescent="0.25">
      <x:c r="A59" s="3">
        <x:f t="shared" si="3"/>
        <x:v>49</x:v>
      </x:c>
      <x:c r="B59" s="1" t="s">
        <x:v>230</x:v>
      </x:c>
      <x:c r="C59" s="290" t="s">
        <x:v>447</x:v>
      </x:c>
      <x:c r="E59" s="63"/>
      <x:c r="F59" s="64"/>
      <x:c r="G59" s="15"/>
    </x:row>
    <x:row r="60" spans="1:7" x14ac:dyDescent="0.25">
      <x:c r="G60" s="15"/>
    </x:row>
    <x:row r="61" spans="1:7" x14ac:dyDescent="0.25">
      <x:c r="F61" s="18"/>
      <x:c r="G61" s="15"/>
    </x:row>
    <x:row r="62" spans="1:7" x14ac:dyDescent="0.25">
      <x:c r="G62" s="15"/>
    </x:row>
    <x:row r="63" spans="1:7" x14ac:dyDescent="0.25">
      <x:c r="C63" s="42"/>
      <x:c r="F63" s="42"/>
      <x:c r="G63" s="15"/>
    </x:row>
    <x:row r="64" spans="1:7" x14ac:dyDescent="0.25">
      <x:c r="G64" s="15"/>
    </x:row>
    <x:row r="65" spans="1:7" x14ac:dyDescent="0.25">
      <x:c r="G65" s="15"/>
    </x:row>
    <x:row r="66" spans="1:7" x14ac:dyDescent="0.25">
      <x:c r="A66" s="199"/>
      <x:c r="B66" s="16"/>
      <x:c r="C66" s="16"/>
      <x:c r="D66" s="16"/>
      <x:c r="E66" s="16"/>
      <x:c r="F66" s="16"/>
      <x:c r="G66" s="15"/>
    </x:row>
    <x:row r="67" spans="1:7" s="22" customFormat="1" x14ac:dyDescent="0.25"/>
    <x:row r="68" spans="1:7" s="22" customFormat="1" x14ac:dyDescent="0.25"/>
    <x:row r="69" spans="1:7" s="22" customFormat="1" x14ac:dyDescent="0.25"/>
    <x:row r="70" spans="1:7" x14ac:dyDescent="0.25">
      <x:c r="B70" s="8"/>
      <x:c r="C70" s="8"/>
      <x:c r="D70" s="8"/>
      <x:c r="E70" s="8"/>
      <x:c r="F70" s="8"/>
      <x:c r="G70" s="15"/>
    </x:row>
    <x:row r="71" spans="1:7" x14ac:dyDescent="0.25">
      <x:c r="A71" s="199"/>
      <x:c r="B71" s="8"/>
      <x:c r="C71" s="8"/>
      <x:c r="D71" s="8"/>
      <x:c r="E71" s="8"/>
      <x:c r="F71" s="8"/>
      <x:c r="G71" s="15"/>
    </x:row>
    <x:row r="72" spans="1:7" x14ac:dyDescent="0.25">
      <x:c r="B72" s="8"/>
      <x:c r="C72" s="8"/>
      <x:c r="D72" s="8"/>
      <x:c r="E72" s="8"/>
      <x:c r="F72" s="8"/>
      <x:c r="G72" s="15"/>
    </x:row>
    <x:row r="73" spans="1:7" x14ac:dyDescent="0.25">
      <x:c r="B73" s="174"/>
      <x:c r="C73" s="173"/>
      <x:c r="D73" s="174"/>
      <x:c r="E73" s="63"/>
      <x:c r="F73" s="15"/>
      <x:c r="G73" s="15"/>
    </x:row>
    <x:row r="74" spans="1:7" x14ac:dyDescent="0.25">
      <x:c r="B74" s="174"/>
      <x:c r="C74" s="173"/>
      <x:c r="D74" s="174"/>
      <x:c r="E74" s="63"/>
      <x:c r="F74" s="4"/>
      <x:c r="G74" s="15"/>
    </x:row>
    <x:row r="75" spans="1:7" x14ac:dyDescent="0.25">
      <x:c r="B75" s="174"/>
      <x:c r="C75" s="173"/>
      <x:c r="D75" s="174"/>
      <x:c r="E75" s="63"/>
      <x:c r="F75" s="4"/>
      <x:c r="G75" s="15"/>
    </x:row>
    <x:row r="76" spans="1:7" x14ac:dyDescent="0.25">
      <x:c r="B76" s="174"/>
      <x:c r="C76" s="173"/>
      <x:c r="D76" s="174"/>
      <x:c r="E76" s="63"/>
      <x:c r="F76" s="4"/>
      <x:c r="G76" s="15"/>
    </x:row>
    <x:row r="77" spans="1:7" x14ac:dyDescent="0.25">
      <x:c r="B77" s="174"/>
      <x:c r="C77" s="173"/>
      <x:c r="D77" s="174"/>
      <x:c r="E77" s="63"/>
      <x:c r="F77" s="4"/>
      <x:c r="G77" s="15"/>
    </x:row>
    <x:row r="78" spans="1:7" x14ac:dyDescent="0.25">
      <x:c r="B78" s="174"/>
      <x:c r="C78" s="173"/>
      <x:c r="D78" s="174"/>
      <x:c r="E78" s="63"/>
      <x:c r="F78" s="4"/>
      <x:c r="G78" s="15"/>
    </x:row>
    <x:row r="79" spans="1:7" x14ac:dyDescent="0.25">
      <x:c r="B79" s="174"/>
      <x:c r="C79" s="173"/>
      <x:c r="D79" s="174"/>
      <x:c r="E79" s="63"/>
      <x:c r="F79" s="4"/>
      <x:c r="G79" s="15"/>
    </x:row>
    <x:row r="80" spans="1:7" x14ac:dyDescent="0.25">
      <x:c r="B80" s="174"/>
      <x:c r="C80" s="173"/>
      <x:c r="D80" s="174"/>
      <x:c r="E80" s="63"/>
      <x:c r="F80" s="4"/>
      <x:c r="G80" s="15"/>
    </x:row>
    <x:row r="81" spans="2:7" x14ac:dyDescent="0.25">
      <x:c r="B81" s="174"/>
      <x:c r="C81" s="173"/>
      <x:c r="D81" s="174"/>
      <x:c r="E81" s="63"/>
      <x:c r="F81" s="4"/>
      <x:c r="G81" s="15"/>
    </x:row>
    <x:row r="82" spans="2:7" x14ac:dyDescent="0.25">
      <x:c r="B82" s="174"/>
      <x:c r="C82" s="173"/>
      <x:c r="D82" s="174"/>
      <x:c r="E82" s="63"/>
      <x:c r="F82" s="4"/>
      <x:c r="G82" s="15"/>
    </x:row>
    <x:row r="83" spans="2:7" x14ac:dyDescent="0.25">
      <x:c r="B83" s="174"/>
      <x:c r="C83" s="173"/>
      <x:c r="D83" s="174"/>
      <x:c r="E83" s="63"/>
      <x:c r="F83" s="4"/>
      <x:c r="G83" s="15"/>
    </x:row>
    <x:row r="84" spans="2:7" x14ac:dyDescent="0.25">
      <x:c r="B84" s="174"/>
      <x:c r="C84" s="173"/>
      <x:c r="D84" s="174"/>
      <x:c r="E84" s="63"/>
      <x:c r="F84" s="4"/>
      <x:c r="G84" s="15"/>
    </x:row>
    <x:row r="85" spans="2:7" x14ac:dyDescent="0.25">
      <x:c r="B85" s="174"/>
      <x:c r="C85" s="173"/>
      <x:c r="D85" s="174"/>
      <x:c r="E85" s="63"/>
      <x:c r="F85" s="4"/>
      <x:c r="G85" s="15"/>
    </x:row>
    <x:row r="86" spans="2:7" x14ac:dyDescent="0.25">
      <x:c r="B86" s="174"/>
      <x:c r="C86" s="173"/>
      <x:c r="D86" s="174"/>
      <x:c r="E86" s="63"/>
      <x:c r="F86" s="4"/>
      <x:c r="G86" s="15"/>
    </x:row>
    <x:row r="87" spans="2:7" x14ac:dyDescent="0.25">
      <x:c r="B87" s="174"/>
      <x:c r="C87" s="173"/>
      <x:c r="D87" s="174"/>
      <x:c r="E87" s="63"/>
      <x:c r="F87" s="4"/>
      <x:c r="G87" s="15"/>
    </x:row>
    <x:row r="88" spans="2:7" x14ac:dyDescent="0.25">
      <x:c r="B88" s="174"/>
      <x:c r="C88" s="173"/>
      <x:c r="D88" s="174"/>
      <x:c r="E88" s="63"/>
      <x:c r="F88" s="4"/>
    </x:row>
    <x:row r="89" spans="2:7" x14ac:dyDescent="0.25">
      <x:c r="B89" s="174"/>
      <x:c r="C89" s="173"/>
      <x:c r="D89" s="174"/>
      <x:c r="E89" s="63"/>
      <x:c r="F89" s="4"/>
    </x:row>
    <x:row r="90" spans="2:7" x14ac:dyDescent="0.25">
      <x:c r="B90" s="174"/>
      <x:c r="C90" s="173"/>
      <x:c r="D90" s="174"/>
      <x:c r="E90" s="63"/>
      <x:c r="F90" s="4"/>
    </x:row>
    <x:row r="91" spans="2:7" x14ac:dyDescent="0.25">
      <x:c r="B91" s="174"/>
      <x:c r="C91" s="173"/>
      <x:c r="D91" s="174"/>
      <x:c r="E91" s="63"/>
      <x:c r="F91" s="4"/>
    </x:row>
    <x:row r="92" spans="2:7" x14ac:dyDescent="0.25">
      <x:c r="B92" s="174"/>
      <x:c r="C92" s="173"/>
      <x:c r="D92" s="174"/>
      <x:c r="E92" s="63"/>
      <x:c r="F92" s="4"/>
    </x:row>
    <x:row r="93" spans="2:7" x14ac:dyDescent="0.25">
      <x:c r="B93" s="174"/>
      <x:c r="C93" s="173"/>
      <x:c r="D93" s="174"/>
      <x:c r="E93" s="63"/>
      <x:c r="F93" s="4"/>
    </x:row>
    <x:row r="94" spans="2:7" x14ac:dyDescent="0.25">
      <x:c r="B94" s="174"/>
      <x:c r="C94" s="173"/>
      <x:c r="D94" s="174"/>
      <x:c r="E94" s="63"/>
      <x:c r="F94" s="4"/>
    </x:row>
    <x:row r="95" spans="2:7" x14ac:dyDescent="0.25">
      <x:c r="B95" s="174"/>
      <x:c r="C95" s="173"/>
      <x:c r="D95" s="174"/>
      <x:c r="E95" s="63"/>
      <x:c r="F95" s="4"/>
    </x:row>
    <x:row r="96" spans="2:7" x14ac:dyDescent="0.25">
      <x:c r="B96" s="174"/>
      <x:c r="C96" s="173"/>
      <x:c r="D96" s="174"/>
      <x:c r="E96" s="63"/>
      <x:c r="F96" s="4"/>
    </x:row>
    <x:row r="97" spans="2:6" x14ac:dyDescent="0.25">
      <x:c r="B97" s="174"/>
      <x:c r="C97" s="173"/>
      <x:c r="D97" s="174"/>
      <x:c r="E97" s="63"/>
      <x:c r="F97" s="4"/>
    </x:row>
    <x:row r="98" spans="2:6" x14ac:dyDescent="0.25">
      <x:c r="B98" s="174"/>
      <x:c r="C98" s="173"/>
      <x:c r="D98" s="174"/>
      <x:c r="E98" s="63"/>
      <x:c r="F98" s="4"/>
    </x:row>
    <x:row r="99" spans="2:6" x14ac:dyDescent="0.25">
      <x:c r="B99" s="174"/>
      <x:c r="C99" s="173"/>
      <x:c r="D99" s="174"/>
      <x:c r="E99" s="63"/>
      <x:c r="F99" s="4"/>
    </x:row>
    <x:row r="100" spans="2:6" x14ac:dyDescent="0.25">
      <x:c r="B100" s="174"/>
      <x:c r="C100" s="173"/>
      <x:c r="D100" s="174"/>
      <x:c r="E100" s="63"/>
      <x:c r="F100" s="4"/>
    </x:row>
    <x:row r="101" spans="2:6" x14ac:dyDescent="0.25">
      <x:c r="B101" s="174"/>
      <x:c r="C101" s="173"/>
      <x:c r="D101" s="174"/>
      <x:c r="E101" s="63"/>
      <x:c r="F101" s="4"/>
    </x:row>
    <x:row r="102" spans="2:6" x14ac:dyDescent="0.25">
      <x:c r="B102" s="174"/>
      <x:c r="C102" s="173"/>
      <x:c r="D102" s="174"/>
      <x:c r="E102" s="63"/>
      <x:c r="F102" s="4"/>
    </x:row>
    <x:row r="103" spans="2:6" x14ac:dyDescent="0.25">
      <x:c r="B103" s="174"/>
      <x:c r="C103" s="173"/>
      <x:c r="D103" s="174"/>
      <x:c r="E103" s="63"/>
      <x:c r="F103" s="4"/>
    </x:row>
    <x:row r="104" spans="2:6" x14ac:dyDescent="0.25">
      <x:c r="B104" s="174"/>
      <x:c r="C104" s="173"/>
      <x:c r="D104" s="174"/>
      <x:c r="E104" s="63"/>
      <x:c r="F104" s="4"/>
    </x:row>
    <x:row r="105" spans="2:6" x14ac:dyDescent="0.25">
      <x:c r="B105" s="174"/>
      <x:c r="C105" s="173"/>
      <x:c r="D105" s="174"/>
      <x:c r="E105" s="63"/>
      <x:c r="F105" s="4"/>
    </x:row>
    <x:row r="106" spans="2:6" x14ac:dyDescent="0.25">
      <x:c r="B106" s="174"/>
      <x:c r="C106" s="173"/>
      <x:c r="D106" s="174"/>
      <x:c r="E106" s="63"/>
      <x:c r="F106" s="4"/>
    </x:row>
    <x:row r="107" spans="2:6" x14ac:dyDescent="0.25">
      <x:c r="B107" s="174"/>
      <x:c r="C107" s="173"/>
      <x:c r="D107" s="174"/>
      <x:c r="E107" s="63"/>
      <x:c r="F107" s="4"/>
    </x:row>
    <x:row r="108" spans="2:6" x14ac:dyDescent="0.25">
      <x:c r="B108" s="174"/>
      <x:c r="C108" s="173"/>
      <x:c r="D108" s="174"/>
      <x:c r="E108" s="63"/>
      <x:c r="F108" s="4"/>
    </x:row>
    <x:row r="109" spans="2:6" x14ac:dyDescent="0.25">
      <x:c r="B109" s="174"/>
      <x:c r="C109" s="173"/>
      <x:c r="D109" s="174"/>
      <x:c r="E109" s="63"/>
      <x:c r="F109" s="4"/>
    </x:row>
    <x:row r="110" spans="2:6" x14ac:dyDescent="0.25">
      <x:c r="B110" s="174"/>
      <x:c r="C110" s="173"/>
      <x:c r="D110" s="174"/>
      <x:c r="E110" s="63"/>
      <x:c r="F110" s="4"/>
    </x:row>
    <x:row r="111" spans="2:6" x14ac:dyDescent="0.25">
      <x:c r="B111" s="174"/>
      <x:c r="C111" s="173"/>
      <x:c r="D111" s="174"/>
      <x:c r="E111" s="63"/>
      <x:c r="F111" s="4"/>
    </x:row>
    <x:row r="112" spans="2:6" x14ac:dyDescent="0.25">
      <x:c r="B112" s="174"/>
      <x:c r="C112" s="173"/>
      <x:c r="D112" s="174"/>
      <x:c r="E112" s="63"/>
      <x:c r="F112" s="4"/>
    </x:row>
  </x:sheetData>
  <x:mergeCells count="1">
    <x:mergeCell ref="A3:F3"/>
  </x:mergeCells>
  <x:phoneticPr fontId="0" type="noConversion"/>
  <x:hyperlinks>
    <x:hyperlink ref="C59" r:id="rId1" xr:uid="{00000000-0004-0000-2500-000000000000}"/>
  </x:hyperlinks>
  <x:printOptions horizontalCentered="1"/>
  <x:pageMargins left="0.5" right="0.5" top="1.5" bottom="0.5" header="1" footer="0.5"/>
  <x:pageSetup scale="94" fitToHeight="2" orientation="landscape" r:id="rId2"/>
  <x:headerFooter alignWithMargins="0">
    <x:oddHeader>&amp;RWP/II-B-9/&amp;A
Page &amp;P of &amp;N</x:oddHeader>
  </x:headerFooter>
  <x:rowBreaks count="1" manualBreakCount="1">
    <x:brk id="64" max="16383" man="1"/>
  </x:rowBreak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600-000000000000}" mc:Ignorable="x14ac xr xr2 xr3">
  <x:sheetPr codeName="Sheet27">
    <x:tabColor rgb="FF92D050"/>
  </x:sheetPr>
  <x:dimension ref="A1:L83"/>
  <x:sheetViews>
    <x:sheetView showGridLines="0" topLeftCell="A64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11.88671875" style="1" customWidth="1"/>
    <x:col min="3" max="5" width="12.88671875" style="1" customWidth="1"/>
    <x:col min="6" max="10" width="11.88671875" style="1" customWidth="1"/>
    <x:col min="11" max="11" width="12.5546875" style="1" customWidth="1"/>
    <x:col min="12" max="12" width="14.88671875" style="1" customWidth="1"/>
    <x:col min="13" max="16384" width="9.109375" style="1"/>
  </x:cols>
  <x:sheetData>
    <x:row r="1" spans="1:12" s="41" customFormat="1" x14ac:dyDescent="0.25">
      <x:c r="A1" s="180" t="s">
        <x:v>523</x:v>
      </x:c>
      <x:c r="B1" s="180"/>
      <x:c r="C1" s="180"/>
      <x:c r="D1" s="180"/>
      <x:c r="E1" s="180"/>
    </x:row>
    <x:row r="2" spans="1:12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12" s="41" customFormat="1" x14ac:dyDescent="0.25">
      <x:c r="A3" s="392" t="s">
        <x:v>251</x:v>
      </x:c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</x:row>
    <x:row r="4" spans="1:12" s="41" customFormat="1" x14ac:dyDescent="0.25">
      <x:c r="A4" s="767" t="s">
        <x:v>524</x:v>
      </x:c>
      <x:c r="B4" s="180"/>
      <x:c r="C4" s="180"/>
      <x:c r="D4" s="180"/>
      <x:c r="E4" s="180"/>
    </x:row>
    <x:row r="5" spans="1:12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12" x14ac:dyDescent="0.25">
      <x:c r="A7" s="22" t="s">
        <x:v>35</x:v>
      </x:c>
      <x:c r="B7" s="22" t="s">
        <x:v>34</x:v>
      </x:c>
      <x:c r="C7" s="22" t="s">
        <x:v>73</x:v>
      </x:c>
      <x:c r="D7" s="22" t="s">
        <x:v>74</x:v>
      </x:c>
      <x:c r="E7" s="22" t="s">
        <x:v>26</x:v>
      </x:c>
      <x:c r="F7" s="22" t="s">
        <x:v>70</x:v>
      </x:c>
      <x:c r="G7" s="832" t="s">
        <x:v>455</x:v>
      </x:c>
      <x:c r="H7" s="832"/>
      <x:c r="I7" s="832"/>
      <x:c r="J7" s="22"/>
      <x:c r="K7" s="25"/>
      <x:c r="L7" s="27" t="s">
        <x:v>93</x:v>
      </x:c>
    </x:row>
    <x:row r="8" spans="1:12" x14ac:dyDescent="0.25">
      <x:c r="A8" s="56" t="s">
        <x:v>36</x:v>
      </x:c>
      <x:c r="B8" s="56" t="s">
        <x:v>71</x:v>
      </x:c>
      <x:c r="C8" s="56" t="s">
        <x:v>24</x:v>
      </x:c>
      <x:c r="D8" s="56" t="s">
        <x:v>24</x:v>
      </x:c>
      <x:c r="E8" s="56" t="s">
        <x:v>24</x:v>
      </x:c>
      <x:c r="F8" s="56" t="s">
        <x:v>94</x:v>
      </x:c>
      <x:c r="G8" s="627" t="s">
        <x:v>419</x:v>
      </x:c>
      <x:c r="H8" s="627" t="s">
        <x:v>420</x:v>
      </x:c>
      <x:c r="I8" s="627" t="s">
        <x:v>18</x:v>
      </x:c>
      <x:c r="J8" s="627" t="s">
        <x:v>238</x:v>
      </x:c>
      <x:c r="K8" s="634" t="s">
        <x:v>41</x:v>
      </x:c>
      <x:c r="L8" s="62" t="s">
        <x:v>72</x:v>
      </x:c>
    </x:row>
    <x:row r="9" spans="1:12" x14ac:dyDescent="0.25">
      <x:c r="B9" s="8" t="s">
        <x:v>50</x:v>
      </x:c>
      <x:c r="C9" s="8" t="s">
        <x:v>51</x:v>
      </x:c>
      <x:c r="D9" s="8" t="s">
        <x:v>57</x:v>
      </x:c>
      <x:c r="E9" s="8" t="s">
        <x:v>52</x:v>
      </x:c>
      <x:c r="F9" s="8" t="s">
        <x:v>53</x:v>
      </x:c>
      <x:c r="G9" s="638" t="s">
        <x:v>54</x:v>
      </x:c>
      <x:c r="H9" s="638" t="s">
        <x:v>55</x:v>
      </x:c>
      <x:c r="I9" s="638" t="s">
        <x:v>58</x:v>
      </x:c>
      <x:c r="J9" s="638" t="s">
        <x:v>59</x:v>
      </x:c>
      <x:c r="K9" s="638" t="s">
        <x:v>453</x:v>
      </x:c>
      <x:c r="L9" s="638" t="s">
        <x:v>454</x:v>
      </x:c>
    </x:row>
    <x:row r="10" spans="1:12" x14ac:dyDescent="0.25"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 spans="1:12" x14ac:dyDescent="0.25">
      <x:c r="A11" s="3">
        <x:v>1</x:v>
      </x:c>
      <x:c r="B11" s="602">
        <x:v>45204</x:v>
      </x:c>
      <x:c r="C11" s="603">
        <x:v>21.47</x:v>
      </x:c>
      <x:c r="D11" s="603">
        <x:v>26.29</x:v>
      </x:c>
      <x:c r="E11" s="603">
        <x:f>D11+C11</x:f>
        <x:v>47.76</x:v>
      </x:c>
      <x:c r="F11" s="602">
        <x:v>45204</x:v>
      </x:c>
      <x:c r="G11" s="801">
        <x:v>44927</x:v>
      </x:c>
      <x:c r="H11" s="801">
        <x:v>45291</x:v>
      </x:c>
      <x:c r="I11" s="801">
        <x:f>+(G11+H11)/2</x:f>
        <x:v>45109</x:v>
      </x:c>
      <x:c r="J11" s="801">
        <x:v>45322</x:v>
      </x:c>
      <x:c r="K11" s="29">
        <x:f>I11-J11</x:f>
        <x:v>-213</x:v>
      </x:c>
      <x:c r="L11" s="74">
        <x:f t="shared" ref="L11:L42" si="0">E11*K11</x:f>
        <x:v>-10172.879999999999</x:v>
      </x:c>
    </x:row>
    <x:row r="12" spans="1:12" x14ac:dyDescent="0.25">
      <x:c r="A12" s="3">
        <x:f>A11+1</x:f>
        <x:v>2</x:v>
      </x:c>
      <x:c r="B12" s="602">
        <x:v>45205</x:v>
      </x:c>
      <x:c r="C12" s="603">
        <x:v>0</x:v>
      </x:c>
      <x:c r="D12" s="603">
        <x:v>3.2300000000000004</x:v>
      </x:c>
      <x:c r="E12" s="603">
        <x:f t="shared" ref="E12:E68" si="1">D12+C12</x:f>
        <x:v>3.2300000000000004</x:v>
      </x:c>
      <x:c r="F12" s="602">
        <x:v>45205</x:v>
      </x:c>
      <x:c r="G12" s="801">
        <x:v>44927</x:v>
      </x:c>
      <x:c r="H12" s="801">
        <x:v>45291</x:v>
      </x:c>
      <x:c r="I12" s="801">
        <x:f t="shared" ref="I12:I28" si="2">+(G12+H12)/2</x:f>
        <x:v>45109</x:v>
      </x:c>
      <x:c r="J12" s="801">
        <x:v>45322</x:v>
      </x:c>
      <x:c r="K12" s="29">
        <x:f t="shared" ref="K12:K68" si="3">I12-J12</x:f>
        <x:v>-213</x:v>
      </x:c>
      <x:c r="L12" s="29">
        <x:f t="shared" si="0"/>
        <x:v>-687.99000000000012</x:v>
      </x:c>
    </x:row>
    <x:row r="13" spans="1:12" x14ac:dyDescent="0.25">
      <x:c r="A13" s="3">
        <x:f t="shared" ref="A13:A76" si="4">A12+1</x:f>
        <x:v>3</x:v>
      </x:c>
      <x:c r="B13" s="602">
        <x:v>45211</x:v>
      </x:c>
      <x:c r="C13" s="603">
        <x:v>374.01</x:v>
      </x:c>
      <x:c r="D13" s="603">
        <x:v>499.25</x:v>
      </x:c>
      <x:c r="E13" s="603">
        <x:f t="shared" si="1"/>
        <x:v>873.26</x:v>
      </x:c>
      <x:c r="F13" s="602">
        <x:v>45211</x:v>
      </x:c>
      <x:c r="G13" s="801">
        <x:v>44927</x:v>
      </x:c>
      <x:c r="H13" s="801">
        <x:v>45291</x:v>
      </x:c>
      <x:c r="I13" s="801">
        <x:f t="shared" si="2"/>
        <x:v>45109</x:v>
      </x:c>
      <x:c r="J13" s="801">
        <x:v>45322</x:v>
      </x:c>
      <x:c r="K13" s="29">
        <x:f t="shared" si="3"/>
        <x:v>-213</x:v>
      </x:c>
      <x:c r="L13" s="29">
        <x:f t="shared" si="0"/>
        <x:v>-186004.38</x:v>
      </x:c>
    </x:row>
    <x:row r="14" spans="1:12" x14ac:dyDescent="0.25">
      <x:c r="A14" s="3">
        <x:f t="shared" si="4"/>
        <x:v>4</x:v>
      </x:c>
      <x:c r="B14" s="602">
        <x:v>45212</x:v>
      </x:c>
      <x:c r="C14" s="603">
        <x:v>0</x:v>
      </x:c>
      <x:c r="D14" s="603">
        <x:v>18.95</x:v>
      </x:c>
      <x:c r="E14" s="603">
        <x:f t="shared" si="1"/>
        <x:v>18.95</x:v>
      </x:c>
      <x:c r="F14" s="602">
        <x:v>45212</x:v>
      </x:c>
      <x:c r="G14" s="801">
        <x:v>44927</x:v>
      </x:c>
      <x:c r="H14" s="801">
        <x:v>45291</x:v>
      </x:c>
      <x:c r="I14" s="801">
        <x:f t="shared" si="2"/>
        <x:v>45109</x:v>
      </x:c>
      <x:c r="J14" s="801">
        <x:v>45322</x:v>
      </x:c>
      <x:c r="K14" s="29">
        <x:f t="shared" si="3"/>
        <x:v>-213</x:v>
      </x:c>
      <x:c r="L14" s="29">
        <x:f t="shared" si="0"/>
        <x:v>-4036.35</x:v>
      </x:c>
    </x:row>
    <x:row r="15" spans="1:12" x14ac:dyDescent="0.25">
      <x:c r="A15" s="3">
        <x:f t="shared" si="4"/>
        <x:v>5</x:v>
      </x:c>
      <x:c r="B15" s="602">
        <x:v>45218</x:v>
      </x:c>
      <x:c r="C15" s="603">
        <x:v>11.16</x:v>
      </x:c>
      <x:c r="D15" s="603">
        <x:v>17.68</x:v>
      </x:c>
      <x:c r="E15" s="603">
        <x:f t="shared" si="1"/>
        <x:v>28.84</x:v>
      </x:c>
      <x:c r="F15" s="602">
        <x:v>45218</x:v>
      </x:c>
      <x:c r="G15" s="801">
        <x:v>44927</x:v>
      </x:c>
      <x:c r="H15" s="801">
        <x:v>45291</x:v>
      </x:c>
      <x:c r="I15" s="801">
        <x:f t="shared" si="2"/>
        <x:v>45109</x:v>
      </x:c>
      <x:c r="J15" s="801">
        <x:v>45322</x:v>
      </x:c>
      <x:c r="K15" s="29">
        <x:f t="shared" si="3"/>
        <x:v>-213</x:v>
      </x:c>
      <x:c r="L15" s="29">
        <x:f t="shared" si="0"/>
        <x:v>-6142.92</x:v>
      </x:c>
    </x:row>
    <x:row r="16" spans="1:12" x14ac:dyDescent="0.25">
      <x:c r="A16" s="3">
        <x:f t="shared" si="4"/>
        <x:v>6</x:v>
      </x:c>
      <x:c r="B16" s="602">
        <x:v>45219</x:v>
      </x:c>
      <x:c r="C16" s="603">
        <x:v>18.45</x:v>
      </x:c>
      <x:c r="D16" s="603">
        <x:v>18.739999999999998</x:v>
      </x:c>
      <x:c r="E16" s="603">
        <x:f t="shared" si="1"/>
        <x:v>37.19</x:v>
      </x:c>
      <x:c r="F16" s="602">
        <x:v>45219</x:v>
      </x:c>
      <x:c r="G16" s="801">
        <x:v>44927</x:v>
      </x:c>
      <x:c r="H16" s="801">
        <x:v>45291</x:v>
      </x:c>
      <x:c r="I16" s="801">
        <x:f t="shared" si="2"/>
        <x:v>45109</x:v>
      </x:c>
      <x:c r="J16" s="801">
        <x:v>45322</x:v>
      </x:c>
      <x:c r="K16" s="29">
        <x:f t="shared" si="3"/>
        <x:v>-213</x:v>
      </x:c>
      <x:c r="L16" s="29">
        <x:f t="shared" si="0"/>
        <x:v>-7921.4699999999993</x:v>
      </x:c>
    </x:row>
    <x:row r="17" spans="1:12" x14ac:dyDescent="0.25">
      <x:c r="A17" s="3">
        <x:f t="shared" si="4"/>
        <x:v>7</x:v>
      </x:c>
      <x:c r="B17" s="602">
        <x:v>45229</x:v>
      </x:c>
      <x:c r="C17" s="603">
        <x:v>371.06</x:v>
      </x:c>
      <x:c r="D17" s="603">
        <x:v>472.3</x:v>
      </x:c>
      <x:c r="E17" s="603">
        <x:f t="shared" si="1"/>
        <x:v>843.36</x:v>
      </x:c>
      <x:c r="F17" s="602">
        <x:v>45229</x:v>
      </x:c>
      <x:c r="G17" s="801">
        <x:v>44927</x:v>
      </x:c>
      <x:c r="H17" s="801">
        <x:v>45291</x:v>
      </x:c>
      <x:c r="I17" s="801">
        <x:f t="shared" si="2"/>
        <x:v>45109</x:v>
      </x:c>
      <x:c r="J17" s="801">
        <x:v>45322</x:v>
      </x:c>
      <x:c r="K17" s="29">
        <x:f t="shared" si="3"/>
        <x:v>-213</x:v>
      </x:c>
      <x:c r="L17" s="29">
        <x:f t="shared" si="0"/>
        <x:v>-179635.68</x:v>
      </x:c>
    </x:row>
    <x:row r="18" spans="1:12" x14ac:dyDescent="0.25">
      <x:c r="A18" s="3">
        <x:f t="shared" si="4"/>
        <x:v>8</x:v>
      </x:c>
      <x:c r="B18" s="602">
        <x:v>45232</x:v>
      </x:c>
      <x:c r="C18" s="603">
        <x:v>79.92</x:v>
      </x:c>
      <x:c r="D18" s="603">
        <x:v>90.17</x:v>
      </x:c>
      <x:c r="E18" s="603">
        <x:f t="shared" si="1"/>
        <x:v>170.09</x:v>
      </x:c>
      <x:c r="F18" s="602">
        <x:v>45232</x:v>
      </x:c>
      <x:c r="G18" s="801">
        <x:v>44927</x:v>
      </x:c>
      <x:c r="H18" s="801">
        <x:v>45291</x:v>
      </x:c>
      <x:c r="I18" s="801">
        <x:f t="shared" si="2"/>
        <x:v>45109</x:v>
      </x:c>
      <x:c r="J18" s="801">
        <x:v>45322</x:v>
      </x:c>
      <x:c r="K18" s="29">
        <x:f t="shared" si="3"/>
        <x:v>-213</x:v>
      </x:c>
      <x:c r="L18" s="29">
        <x:f t="shared" si="0"/>
        <x:v>-36229.17</x:v>
      </x:c>
    </x:row>
    <x:row r="19" spans="1:12" x14ac:dyDescent="0.25">
      <x:c r="A19" s="3">
        <x:f t="shared" si="4"/>
        <x:v>9</x:v>
      </x:c>
      <x:c r="B19" s="602">
        <x:v>45244</x:v>
      </x:c>
      <x:c r="C19" s="603">
        <x:v>397.26</x:v>
      </x:c>
      <x:c r="D19" s="603">
        <x:v>584.79999999999995</x:v>
      </x:c>
      <x:c r="E19" s="603">
        <x:f t="shared" si="1"/>
        <x:v>982.06</x:v>
      </x:c>
      <x:c r="F19" s="602">
        <x:v>45244</x:v>
      </x:c>
      <x:c r="G19" s="801">
        <x:v>44927</x:v>
      </x:c>
      <x:c r="H19" s="801">
        <x:v>45291</x:v>
      </x:c>
      <x:c r="I19" s="801">
        <x:f t="shared" si="2"/>
        <x:v>45109</x:v>
      </x:c>
      <x:c r="J19" s="801">
        <x:v>45322</x:v>
      </x:c>
      <x:c r="K19" s="29">
        <x:f t="shared" si="3"/>
        <x:v>-213</x:v>
      </x:c>
      <x:c r="L19" s="29">
        <x:f t="shared" si="0"/>
        <x:v>-209178.78</x:v>
      </x:c>
    </x:row>
    <x:row r="20" spans="1:12" x14ac:dyDescent="0.25">
      <x:c r="A20" s="3">
        <x:f t="shared" si="4"/>
        <x:v>10</x:v>
      </x:c>
      <x:c r="B20" s="602">
        <x:v>45246</x:v>
      </x:c>
      <x:c r="C20" s="603">
        <x:v>70.67</x:v>
      </x:c>
      <x:c r="D20" s="603">
        <x:v>88.03</x:v>
      </x:c>
      <x:c r="E20" s="603">
        <x:f t="shared" si="1"/>
        <x:v>158.69999999999999</x:v>
      </x:c>
      <x:c r="F20" s="602">
        <x:v>45246</x:v>
      </x:c>
      <x:c r="G20" s="801">
        <x:v>44927</x:v>
      </x:c>
      <x:c r="H20" s="801">
        <x:v>45291</x:v>
      </x:c>
      <x:c r="I20" s="801">
        <x:f t="shared" si="2"/>
        <x:v>45109</x:v>
      </x:c>
      <x:c r="J20" s="801">
        <x:v>45322</x:v>
      </x:c>
      <x:c r="K20" s="29">
        <x:f t="shared" si="3"/>
        <x:v>-213</x:v>
      </x:c>
      <x:c r="L20" s="29">
        <x:f t="shared" si="0"/>
        <x:v>-33803.1</x:v>
      </x:c>
    </x:row>
    <x:row r="21" spans="1:12" x14ac:dyDescent="0.25">
      <x:c r="A21" s="3">
        <x:f t="shared" si="4"/>
        <x:v>11</x:v>
      </x:c>
      <x:c r="B21" s="602">
        <x:v>45247</x:v>
      </x:c>
      <x:c r="C21" s="603">
        <x:v>18.420000000000002</x:v>
      </x:c>
      <x:c r="D21" s="603">
        <x:v>18.739999999999998</x:v>
      </x:c>
      <x:c r="E21" s="603">
        <x:f t="shared" si="1"/>
        <x:v>37.159999999999997</x:v>
      </x:c>
      <x:c r="F21" s="602">
        <x:v>45247</x:v>
      </x:c>
      <x:c r="G21" s="801">
        <x:v>44927</x:v>
      </x:c>
      <x:c r="H21" s="801">
        <x:v>45291</x:v>
      </x:c>
      <x:c r="I21" s="801">
        <x:f t="shared" si="2"/>
        <x:v>45109</x:v>
      </x:c>
      <x:c r="J21" s="801">
        <x:v>45322</x:v>
      </x:c>
      <x:c r="K21" s="29">
        <x:f t="shared" si="3"/>
        <x:v>-213</x:v>
      </x:c>
      <x:c r="L21" s="29">
        <x:f t="shared" si="0"/>
        <x:v>-7915.079999999999</x:v>
      </x:c>
    </x:row>
    <x:row r="22" spans="1:12" x14ac:dyDescent="0.25">
      <x:c r="A22" s="3">
        <x:f t="shared" si="4"/>
        <x:v>12</x:v>
      </x:c>
      <x:c r="B22" s="602">
        <x:v>45259</x:v>
      </x:c>
      <x:c r="C22" s="603">
        <x:v>423.29</x:v>
      </x:c>
      <x:c r="D22" s="603">
        <x:v>549.54</x:v>
      </x:c>
      <x:c r="E22" s="603">
        <x:f t="shared" si="1"/>
        <x:v>972.82999999999993</x:v>
      </x:c>
      <x:c r="F22" s="602">
        <x:v>45259</x:v>
      </x:c>
      <x:c r="G22" s="801">
        <x:v>44927</x:v>
      </x:c>
      <x:c r="H22" s="801">
        <x:v>45291</x:v>
      </x:c>
      <x:c r="I22" s="801">
        <x:f t="shared" si="2"/>
        <x:v>45109</x:v>
      </x:c>
      <x:c r="J22" s="801">
        <x:v>45322</x:v>
      </x:c>
      <x:c r="K22" s="29">
        <x:f t="shared" si="3"/>
        <x:v>-213</x:v>
      </x:c>
      <x:c r="L22" s="29">
        <x:f t="shared" si="0"/>
        <x:v>-207212.78999999998</x:v>
      </x:c>
    </x:row>
    <x:row r="23" spans="1:12" x14ac:dyDescent="0.25">
      <x:c r="A23" s="3">
        <x:f t="shared" si="4"/>
        <x:v>13</x:v>
      </x:c>
      <x:c r="B23" s="602">
        <x:v>45260</x:v>
      </x:c>
      <x:c r="C23" s="603">
        <x:v>99.93</x:v>
      </x:c>
      <x:c r="D23" s="603">
        <x:v>113.96000000000001</x:v>
      </x:c>
      <x:c r="E23" s="603">
        <x:f t="shared" si="1"/>
        <x:v>213.89000000000001</x:v>
      </x:c>
      <x:c r="F23" s="602">
        <x:v>45260</x:v>
      </x:c>
      <x:c r="G23" s="801">
        <x:v>44927</x:v>
      </x:c>
      <x:c r="H23" s="801">
        <x:v>45291</x:v>
      </x:c>
      <x:c r="I23" s="801">
        <x:f t="shared" si="2"/>
        <x:v>45109</x:v>
      </x:c>
      <x:c r="J23" s="801">
        <x:v>45322</x:v>
      </x:c>
      <x:c r="K23" s="29">
        <x:f t="shared" si="3"/>
        <x:v>-213</x:v>
      </x:c>
      <x:c r="L23" s="29">
        <x:f t="shared" si="0"/>
        <x:v>-45558.57</x:v>
      </x:c>
    </x:row>
    <x:row r="24" spans="1:12" x14ac:dyDescent="0.25">
      <x:c r="A24" s="3">
        <x:f t="shared" si="4"/>
        <x:v>14</x:v>
      </x:c>
      <x:c r="B24" s="602">
        <x:v>45267</x:v>
      </x:c>
      <x:c r="C24" s="603">
        <x:v>59.39</x:v>
      </x:c>
      <x:c r="D24" s="603">
        <x:v>73.64</x:v>
      </x:c>
      <x:c r="E24" s="603">
        <x:f t="shared" si="1"/>
        <x:v>133.03</x:v>
      </x:c>
      <x:c r="F24" s="602">
        <x:v>45267</x:v>
      </x:c>
      <x:c r="G24" s="801">
        <x:v>44927</x:v>
      </x:c>
      <x:c r="H24" s="801">
        <x:v>45291</x:v>
      </x:c>
      <x:c r="I24" s="801">
        <x:f t="shared" si="2"/>
        <x:v>45109</x:v>
      </x:c>
      <x:c r="J24" s="801">
        <x:v>45322</x:v>
      </x:c>
      <x:c r="K24" s="29">
        <x:f t="shared" si="3"/>
        <x:v>-213</x:v>
      </x:c>
      <x:c r="L24" s="29">
        <x:f t="shared" si="0"/>
        <x:v>-28335.39</x:v>
      </x:c>
    </x:row>
    <x:row r="25" spans="1:12" x14ac:dyDescent="0.25">
      <x:c r="A25" s="3">
        <x:f t="shared" si="4"/>
        <x:v>15</x:v>
      </x:c>
      <x:c r="B25" s="602">
        <x:v>45274</x:v>
      </x:c>
      <x:c r="C25" s="603">
        <x:v>457.44</x:v>
      </x:c>
      <x:c r="D25" s="603">
        <x:v>568.47</x:v>
      </x:c>
      <x:c r="E25" s="603">
        <x:f t="shared" si="1"/>
        <x:v>1025.9100000000001</x:v>
      </x:c>
      <x:c r="F25" s="602">
        <x:v>45274</x:v>
      </x:c>
      <x:c r="G25" s="801">
        <x:v>44927</x:v>
      </x:c>
      <x:c r="H25" s="801">
        <x:v>45291</x:v>
      </x:c>
      <x:c r="I25" s="801">
        <x:f t="shared" si="2"/>
        <x:v>45109</x:v>
      </x:c>
      <x:c r="J25" s="801">
        <x:v>45322</x:v>
      </x:c>
      <x:c r="K25" s="29">
        <x:f t="shared" si="3"/>
        <x:v>-213</x:v>
      </x:c>
      <x:c r="L25" s="29">
        <x:f t="shared" si="0"/>
        <x:v>-218518.83000000002</x:v>
      </x:c>
    </x:row>
    <x:row r="26" spans="1:12" x14ac:dyDescent="0.25">
      <x:c r="A26" s="3">
        <x:f t="shared" si="4"/>
        <x:v>16</x:v>
      </x:c>
      <x:c r="B26" s="602">
        <x:v>45286</x:v>
      </x:c>
      <x:c r="C26" s="603">
        <x:v>29.41</x:v>
      </x:c>
      <x:c r="D26" s="603">
        <x:v>30.96</x:v>
      </x:c>
      <x:c r="E26" s="603">
        <x:f t="shared" si="1"/>
        <x:v>60.370000000000005</x:v>
      </x:c>
      <x:c r="F26" s="602">
        <x:v>45286</x:v>
      </x:c>
      <x:c r="G26" s="801">
        <x:v>44927</x:v>
      </x:c>
      <x:c r="H26" s="801">
        <x:v>45291</x:v>
      </x:c>
      <x:c r="I26" s="801">
        <x:f t="shared" si="2"/>
        <x:v>45109</x:v>
      </x:c>
      <x:c r="J26" s="801">
        <x:v>45322</x:v>
      </x:c>
      <x:c r="K26" s="29">
        <x:f t="shared" si="3"/>
        <x:v>-213</x:v>
      </x:c>
      <x:c r="L26" s="29">
        <x:f t="shared" si="0"/>
        <x:v>-12858.810000000001</x:v>
      </x:c>
    </x:row>
    <x:row r="27" spans="1:12" x14ac:dyDescent="0.25">
      <x:c r="A27" s="3">
        <x:f t="shared" si="4"/>
        <x:v>17</x:v>
      </x:c>
      <x:c r="B27" s="602">
        <x:v>45287</x:v>
      </x:c>
      <x:c r="C27" s="603">
        <x:v>84</x:v>
      </x:c>
      <x:c r="D27" s="603">
        <x:v>101.14999999999999</x:v>
      </x:c>
      <x:c r="E27" s="603">
        <x:f t="shared" si="1"/>
        <x:v>185.14999999999998</x:v>
      </x:c>
      <x:c r="F27" s="602">
        <x:v>45287</x:v>
      </x:c>
      <x:c r="G27" s="801">
        <x:v>44927</x:v>
      </x:c>
      <x:c r="H27" s="801">
        <x:v>45291</x:v>
      </x:c>
      <x:c r="I27" s="801">
        <x:f t="shared" si="2"/>
        <x:v>45109</x:v>
      </x:c>
      <x:c r="J27" s="801">
        <x:v>45322</x:v>
      </x:c>
      <x:c r="K27" s="29">
        <x:f t="shared" si="3"/>
        <x:v>-213</x:v>
      </x:c>
      <x:c r="L27" s="29">
        <x:f t="shared" si="0"/>
        <x:v>-39436.949999999997</x:v>
      </x:c>
    </x:row>
    <x:row r="28" spans="1:12" x14ac:dyDescent="0.25">
      <x:c r="A28" s="3">
        <x:f t="shared" si="4"/>
        <x:v>18</x:v>
      </x:c>
      <x:c r="B28" s="602">
        <x:v>45288</x:v>
      </x:c>
      <x:c r="C28" s="603">
        <x:v>609.98</x:v>
      </x:c>
      <x:c r="D28" s="603">
        <x:v>789.46</x:v>
      </x:c>
      <x:c r="E28" s="603">
        <x:f t="shared" si="1"/>
        <x:v>1399.44</x:v>
      </x:c>
      <x:c r="F28" s="602">
        <x:v>45288</x:v>
      </x:c>
      <x:c r="G28" s="801">
        <x:v>44927</x:v>
      </x:c>
      <x:c r="H28" s="801">
        <x:v>45291</x:v>
      </x:c>
      <x:c r="I28" s="801">
        <x:f t="shared" si="2"/>
        <x:v>45109</x:v>
      </x:c>
      <x:c r="J28" s="801">
        <x:v>45322</x:v>
      </x:c>
      <x:c r="K28" s="29">
        <x:f t="shared" si="3"/>
        <x:v>-213</x:v>
      </x:c>
      <x:c r="L28" s="29">
        <x:f t="shared" si="0"/>
        <x:v>-298080.72000000003</x:v>
      </x:c>
    </x:row>
    <x:row r="29" spans="1:12" x14ac:dyDescent="0.25">
      <x:c r="A29" s="3">
        <x:f t="shared" si="4"/>
        <x:v>19</x:v>
      </x:c>
      <x:c r="B29" s="602">
        <x:v>45302</x:v>
      </x:c>
      <x:c r="C29" s="603">
        <x:v>97110.52</x:v>
      </x:c>
      <x:c r="D29" s="603">
        <x:v>105858.87999999999</x:v>
      </x:c>
      <x:c r="E29" s="603">
        <x:f t="shared" si="1"/>
        <x:v>202969.4</x:v>
      </x:c>
      <x:c r="F29" s="602">
        <x:v>45302</x:v>
      </x:c>
      <x:c r="G29" s="801">
        <x:v>45292</x:v>
      </x:c>
      <x:c r="H29" s="801">
        <x:v>45657</x:v>
      </x:c>
      <x:c r="I29" s="801">
        <x:f t="shared" ref="I29" si="5">+(G29+H29)/2</x:f>
        <x:v>45474.5</x:v>
      </x:c>
      <x:c r="J29" s="801">
        <x:v>45412</x:v>
      </x:c>
      <x:c r="K29" s="29">
        <x:f t="shared" si="3"/>
        <x:v>62.5</x:v>
      </x:c>
      <x:c r="L29" s="29">
        <x:f t="shared" si="0"/>
        <x:v>12685587.5</x:v>
      </x:c>
    </x:row>
    <x:row r="30" spans="1:12" x14ac:dyDescent="0.25">
      <x:c r="A30" s="3">
        <x:f t="shared" si="4"/>
        <x:v>20</x:v>
      </x:c>
      <x:c r="B30" s="602">
        <x:v>45309</x:v>
      </x:c>
      <x:c r="C30" s="603">
        <x:v>90.72</x:v>
      </x:c>
      <x:c r="D30" s="603">
        <x:v>71.22</x:v>
      </x:c>
      <x:c r="E30" s="603">
        <x:f t="shared" si="1"/>
        <x:v>161.94</x:v>
      </x:c>
      <x:c r="F30" s="602">
        <x:v>45309</x:v>
      </x:c>
      <x:c r="G30" s="801">
        <x:v>45292</x:v>
      </x:c>
      <x:c r="H30" s="801">
        <x:v>45657</x:v>
      </x:c>
      <x:c r="I30" s="801">
        <x:f t="shared" ref="I30:I68" si="6">+(G30+H30)/2</x:f>
        <x:v>45474.5</x:v>
      </x:c>
      <x:c r="J30" s="801">
        <x:v>45412</x:v>
      </x:c>
      <x:c r="K30" s="29">
        <x:f t="shared" si="3"/>
        <x:v>62.5</x:v>
      </x:c>
      <x:c r="L30" s="29">
        <x:f t="shared" si="0"/>
        <x:v>10121.25</x:v>
      </x:c>
    </x:row>
    <x:row r="31" spans="1:12" x14ac:dyDescent="0.25">
      <x:c r="A31" s="3">
        <x:f t="shared" si="4"/>
        <x:v>21</x:v>
      </x:c>
      <x:c r="B31" s="602">
        <x:v>45303</x:v>
      </x:c>
      <x:c r="C31" s="603">
        <x:v>523.83000000000004</x:v>
      </x:c>
      <x:c r="D31" s="603">
        <x:v>910.41</x:v>
      </x:c>
      <x:c r="E31" s="603">
        <x:f t="shared" si="1"/>
        <x:v>1434.24</x:v>
      </x:c>
      <x:c r="F31" s="602">
        <x:v>45303</x:v>
      </x:c>
      <x:c r="G31" s="801">
        <x:v>45292</x:v>
      </x:c>
      <x:c r="H31" s="801">
        <x:v>45657</x:v>
      </x:c>
      <x:c r="I31" s="801">
        <x:f t="shared" si="6"/>
        <x:v>45474.5</x:v>
      </x:c>
      <x:c r="J31" s="801">
        <x:v>45412</x:v>
      </x:c>
      <x:c r="K31" s="29">
        <x:f t="shared" si="3"/>
        <x:v>62.5</x:v>
      </x:c>
      <x:c r="L31" s="29">
        <x:f t="shared" si="0"/>
        <x:v>89640</x:v>
      </x:c>
    </x:row>
    <x:row r="32" spans="1:12" x14ac:dyDescent="0.25">
      <x:c r="A32" s="3">
        <x:f t="shared" si="4"/>
        <x:v>22</x:v>
      </x:c>
      <x:c r="B32" s="602">
        <x:v>45307</x:v>
      </x:c>
      <x:c r="C32" s="603">
        <x:v>18.649999999999999</x:v>
      </x:c>
      <x:c r="D32" s="603">
        <x:v>6.0000000000000005E-2</x:v>
      </x:c>
      <x:c r="E32" s="603">
        <x:f t="shared" si="1"/>
        <x:v>18.709999999999997</x:v>
      </x:c>
      <x:c r="F32" s="602">
        <x:v>45307</x:v>
      </x:c>
      <x:c r="G32" s="801">
        <x:v>45292</x:v>
      </x:c>
      <x:c r="H32" s="801">
        <x:v>45657</x:v>
      </x:c>
      <x:c r="I32" s="801">
        <x:f t="shared" si="6"/>
        <x:v>45474.5</x:v>
      </x:c>
      <x:c r="J32" s="801">
        <x:v>45412</x:v>
      </x:c>
      <x:c r="K32" s="29">
        <x:f t="shared" si="3"/>
        <x:v>62.5</x:v>
      </x:c>
      <x:c r="L32" s="29">
        <x:f t="shared" si="0"/>
        <x:v>1169.3749999999998</x:v>
      </x:c>
    </x:row>
    <x:row r="33" spans="1:12" x14ac:dyDescent="0.25">
      <x:c r="A33" s="3">
        <x:f t="shared" si="4"/>
        <x:v>23</x:v>
      </x:c>
      <x:c r="B33" s="602">
        <x:v>45316</x:v>
      </x:c>
      <x:c r="C33" s="603">
        <x:v>47509.84</x:v>
      </x:c>
      <x:c r="D33" s="603">
        <x:v>72244.44</x:v>
      </x:c>
      <x:c r="E33" s="603">
        <x:f t="shared" si="1"/>
        <x:v>119754.28</x:v>
      </x:c>
      <x:c r="F33" s="602">
        <x:v>45316</x:v>
      </x:c>
      <x:c r="G33" s="801">
        <x:v>45292</x:v>
      </x:c>
      <x:c r="H33" s="801">
        <x:v>45657</x:v>
      </x:c>
      <x:c r="I33" s="801">
        <x:f t="shared" si="6"/>
        <x:v>45474.5</x:v>
      </x:c>
      <x:c r="J33" s="801">
        <x:v>45412</x:v>
      </x:c>
      <x:c r="K33" s="29">
        <x:f t="shared" si="3"/>
        <x:v>62.5</x:v>
      </x:c>
      <x:c r="L33" s="29">
        <x:f t="shared" si="0"/>
        <x:v>7484642.5</x:v>
      </x:c>
    </x:row>
    <x:row r="34" spans="1:12" x14ac:dyDescent="0.25">
      <x:c r="A34" s="3">
        <x:f t="shared" si="4"/>
        <x:v>24</x:v>
      </x:c>
      <x:c r="B34" s="602">
        <x:v>45323</x:v>
      </x:c>
      <x:c r="C34" s="603">
        <x:v>506.72</x:v>
      </x:c>
      <x:c r="D34" s="603">
        <x:v>528.04999999999995</x:v>
      </x:c>
      <x:c r="E34" s="603">
        <x:f t="shared" si="1"/>
        <x:v>1034.77</x:v>
      </x:c>
      <x:c r="F34" s="602">
        <x:v>45323</x:v>
      </x:c>
      <x:c r="G34" s="801">
        <x:v>45292</x:v>
      </x:c>
      <x:c r="H34" s="801">
        <x:v>45657</x:v>
      </x:c>
      <x:c r="I34" s="801">
        <x:f t="shared" si="6"/>
        <x:v>45474.5</x:v>
      </x:c>
      <x:c r="J34" s="801">
        <x:v>45412</x:v>
      </x:c>
      <x:c r="K34" s="29">
        <x:f t="shared" si="3"/>
        <x:v>62.5</x:v>
      </x:c>
      <x:c r="L34" s="29">
        <x:f t="shared" si="0"/>
        <x:v>64673.125</x:v>
      </x:c>
    </x:row>
    <x:row r="35" spans="1:12" x14ac:dyDescent="0.25">
      <x:c r="A35" s="3">
        <x:f t="shared" si="4"/>
        <x:v>25</x:v>
      </x:c>
      <x:c r="B35" s="602">
        <x:v>45330</x:v>
      </x:c>
      <x:c r="C35" s="603">
        <x:v>7021.87</x:v>
      </x:c>
      <x:c r="D35" s="603">
        <x:v>16981.98</x:v>
      </x:c>
      <x:c r="E35" s="603">
        <x:f t="shared" si="1"/>
        <x:v>24003.85</x:v>
      </x:c>
      <x:c r="F35" s="602">
        <x:v>45330</x:v>
      </x:c>
      <x:c r="G35" s="801">
        <x:v>45292</x:v>
      </x:c>
      <x:c r="H35" s="801">
        <x:v>45657</x:v>
      </x:c>
      <x:c r="I35" s="801">
        <x:f t="shared" si="6"/>
        <x:v>45474.5</x:v>
      </x:c>
      <x:c r="J35" s="801">
        <x:v>45412</x:v>
      </x:c>
      <x:c r="K35" s="29">
        <x:f t="shared" si="3"/>
        <x:v>62.5</x:v>
      </x:c>
      <x:c r="L35" s="29">
        <x:f t="shared" si="0"/>
        <x:v>1500240.625</x:v>
      </x:c>
    </x:row>
    <x:row r="36" spans="1:12" x14ac:dyDescent="0.25">
      <x:c r="A36" s="3">
        <x:f t="shared" si="4"/>
        <x:v>26</x:v>
      </x:c>
      <x:c r="B36" s="602">
        <x:v>45337</x:v>
      </x:c>
      <x:c r="C36" s="603">
        <x:v>44.59</x:v>
      </x:c>
      <x:c r="D36" s="603">
        <x:v>57.52</x:v>
      </x:c>
      <x:c r="E36" s="603">
        <x:f t="shared" si="1"/>
        <x:v>102.11000000000001</x:v>
      </x:c>
      <x:c r="F36" s="602">
        <x:v>45337</x:v>
      </x:c>
      <x:c r="G36" s="801">
        <x:v>45292</x:v>
      </x:c>
      <x:c r="H36" s="801">
        <x:v>45657</x:v>
      </x:c>
      <x:c r="I36" s="801">
        <x:f t="shared" si="6"/>
        <x:v>45474.5</x:v>
      </x:c>
      <x:c r="J36" s="801">
        <x:v>45412</x:v>
      </x:c>
      <x:c r="K36" s="29">
        <x:f t="shared" si="3"/>
        <x:v>62.5</x:v>
      </x:c>
      <x:c r="L36" s="29">
        <x:f t="shared" si="0"/>
        <x:v>6381.8750000000009</x:v>
      </x:c>
    </x:row>
    <x:row r="37" spans="1:12" x14ac:dyDescent="0.25">
      <x:c r="A37" s="3">
        <x:f t="shared" si="4"/>
        <x:v>27</x:v>
      </x:c>
      <x:c r="B37" s="602">
        <x:v>45344</x:v>
      </x:c>
      <x:c r="C37" s="603">
        <x:v>856.14</x:v>
      </x:c>
      <x:c r="D37" s="603">
        <x:v>3497.29</x:v>
      </x:c>
      <x:c r="E37" s="603">
        <x:f t="shared" si="1"/>
        <x:v>4353.43</x:v>
      </x:c>
      <x:c r="F37" s="602">
        <x:v>45344</x:v>
      </x:c>
      <x:c r="G37" s="801">
        <x:v>45292</x:v>
      </x:c>
      <x:c r="H37" s="801">
        <x:v>45657</x:v>
      </x:c>
      <x:c r="I37" s="801">
        <x:f t="shared" si="6"/>
        <x:v>45474.5</x:v>
      </x:c>
      <x:c r="J37" s="801">
        <x:v>45412</x:v>
      </x:c>
      <x:c r="K37" s="29">
        <x:f t="shared" si="3"/>
        <x:v>62.5</x:v>
      </x:c>
      <x:c r="L37" s="29">
        <x:f t="shared" si="0"/>
        <x:v>272089.375</x:v>
      </x:c>
    </x:row>
    <x:row r="38" spans="1:12" x14ac:dyDescent="0.25">
      <x:c r="A38" s="3">
        <x:f t="shared" si="4"/>
        <x:v>28</x:v>
      </x:c>
      <x:c r="B38" s="602">
        <x:v>45358</x:v>
      </x:c>
      <x:c r="C38" s="603">
        <x:v>473.25</x:v>
      </x:c>
      <x:c r="D38" s="603">
        <x:v>761.71</x:v>
      </x:c>
      <x:c r="E38" s="603">
        <x:f t="shared" si="1"/>
        <x:v>1234.96</x:v>
      </x:c>
      <x:c r="F38" s="602">
        <x:v>45358</x:v>
      </x:c>
      <x:c r="G38" s="801">
        <x:v>45292</x:v>
      </x:c>
      <x:c r="H38" s="801">
        <x:v>45657</x:v>
      </x:c>
      <x:c r="I38" s="801">
        <x:f t="shared" si="6"/>
        <x:v>45474.5</x:v>
      </x:c>
      <x:c r="J38" s="801">
        <x:v>45412</x:v>
      </x:c>
      <x:c r="K38" s="29">
        <x:f t="shared" si="3"/>
        <x:v>62.5</x:v>
      </x:c>
      <x:c r="L38" s="29">
        <x:f t="shared" si="0"/>
        <x:v>77185</x:v>
      </x:c>
    </x:row>
    <x:row r="39" spans="1:12" x14ac:dyDescent="0.25">
      <x:c r="A39" s="3">
        <x:f t="shared" si="4"/>
        <x:v>29</x:v>
      </x:c>
      <x:c r="B39" s="602">
        <x:v>45359</x:v>
      </x:c>
      <x:c r="C39" s="603">
        <x:v>8.67</x:v>
      </x:c>
      <x:c r="D39" s="603">
        <x:v>20.43</x:v>
      </x:c>
      <x:c r="E39" s="603">
        <x:f t="shared" si="1"/>
        <x:v>29.1</x:v>
      </x:c>
      <x:c r="F39" s="602">
        <x:v>45359</x:v>
      </x:c>
      <x:c r="G39" s="801">
        <x:v>45292</x:v>
      </x:c>
      <x:c r="H39" s="801">
        <x:v>45657</x:v>
      </x:c>
      <x:c r="I39" s="801">
        <x:f t="shared" si="6"/>
        <x:v>45474.5</x:v>
      </x:c>
      <x:c r="J39" s="801">
        <x:v>45412</x:v>
      </x:c>
      <x:c r="K39" s="29">
        <x:f t="shared" si="3"/>
        <x:v>62.5</x:v>
      </x:c>
      <x:c r="L39" s="29">
        <x:f t="shared" si="0"/>
        <x:v>1818.75</x:v>
      </x:c>
    </x:row>
    <x:row r="40" spans="1:12" x14ac:dyDescent="0.25">
      <x:c r="A40" s="3">
        <x:f t="shared" si="4"/>
        <x:v>30</x:v>
      </x:c>
      <x:c r="B40" s="602">
        <x:v>45372</x:v>
      </x:c>
      <x:c r="C40" s="603">
        <x:v>682.09</x:v>
      </x:c>
      <x:c r="D40" s="603">
        <x:v>819.9</x:v>
      </x:c>
      <x:c r="E40" s="603">
        <x:f t="shared" si="1"/>
        <x:v>1501.99</x:v>
      </x:c>
      <x:c r="F40" s="602">
        <x:v>45372</x:v>
      </x:c>
      <x:c r="G40" s="801">
        <x:v>45292</x:v>
      </x:c>
      <x:c r="H40" s="801">
        <x:v>45657</x:v>
      </x:c>
      <x:c r="I40" s="801">
        <x:f t="shared" si="6"/>
        <x:v>45474.5</x:v>
      </x:c>
      <x:c r="J40" s="801">
        <x:v>45412</x:v>
      </x:c>
      <x:c r="K40" s="29">
        <x:f t="shared" si="3"/>
        <x:v>62.5</x:v>
      </x:c>
      <x:c r="L40" s="29">
        <x:f t="shared" si="0"/>
        <x:v>93874.375</x:v>
      </x:c>
    </x:row>
    <x:row r="41" spans="1:12" x14ac:dyDescent="0.25">
      <x:c r="A41" s="3">
        <x:f t="shared" si="4"/>
        <x:v>31</x:v>
      </x:c>
      <x:c r="B41" s="602">
        <x:v>45373</x:v>
      </x:c>
      <x:c r="C41" s="603">
        <x:v>2763.47</x:v>
      </x:c>
      <x:c r="D41" s="603">
        <x:v>3315.66</x:v>
      </x:c>
      <x:c r="E41" s="603">
        <x:f t="shared" si="1"/>
        <x:v>6079.1299999999992</x:v>
      </x:c>
      <x:c r="F41" s="602">
        <x:v>45373</x:v>
      </x:c>
      <x:c r="G41" s="801">
        <x:v>45292</x:v>
      </x:c>
      <x:c r="H41" s="801">
        <x:v>45657</x:v>
      </x:c>
      <x:c r="I41" s="801">
        <x:f t="shared" si="6"/>
        <x:v>45474.5</x:v>
      </x:c>
      <x:c r="J41" s="801">
        <x:v>45412</x:v>
      </x:c>
      <x:c r="K41" s="29">
        <x:f t="shared" si="3"/>
        <x:v>62.5</x:v>
      </x:c>
      <x:c r="L41" s="29">
        <x:f t="shared" si="0"/>
        <x:v>379945.62499999994</x:v>
      </x:c>
    </x:row>
    <x:row r="42" spans="1:12" x14ac:dyDescent="0.25">
      <x:c r="A42" s="3">
        <x:f t="shared" si="4"/>
        <x:v>32</x:v>
      </x:c>
      <x:c r="B42" s="602">
        <x:v>45379</x:v>
      </x:c>
      <x:c r="C42" s="603">
        <x:v>33.659999999999997</x:v>
      </x:c>
      <x:c r="D42" s="603">
        <x:v>34.21</x:v>
      </x:c>
      <x:c r="E42" s="603">
        <x:f t="shared" si="1"/>
        <x:v>67.87</x:v>
      </x:c>
      <x:c r="F42" s="602">
        <x:v>45379</x:v>
      </x:c>
      <x:c r="G42" s="801">
        <x:v>45292</x:v>
      </x:c>
      <x:c r="H42" s="801">
        <x:v>45657</x:v>
      </x:c>
      <x:c r="I42" s="801">
        <x:f t="shared" si="6"/>
        <x:v>45474.5</x:v>
      </x:c>
      <x:c r="J42" s="801">
        <x:v>45412</x:v>
      </x:c>
      <x:c r="K42" s="29">
        <x:f t="shared" si="3"/>
        <x:v>62.5</x:v>
      </x:c>
      <x:c r="L42" s="29">
        <x:f t="shared" si="0"/>
        <x:v>4241.875</x:v>
      </x:c>
    </x:row>
    <x:row r="43" spans="1:12" x14ac:dyDescent="0.25">
      <x:c r="A43" s="3">
        <x:f t="shared" si="4"/>
        <x:v>33</x:v>
      </x:c>
      <x:c r="B43" s="602">
        <x:v>45386</x:v>
      </x:c>
      <x:c r="C43" s="603">
        <x:v>886.64</x:v>
      </x:c>
      <x:c r="D43" s="603">
        <x:v>1084.97</x:v>
      </x:c>
      <x:c r="E43" s="603">
        <x:f t="shared" si="1"/>
        <x:v>1971.6100000000001</x:v>
      </x:c>
      <x:c r="F43" s="602">
        <x:v>45386</x:v>
      </x:c>
      <x:c r="G43" s="801">
        <x:v>45292</x:v>
      </x:c>
      <x:c r="H43" s="801">
        <x:v>45657</x:v>
      </x:c>
      <x:c r="I43" s="801">
        <x:f t="shared" si="6"/>
        <x:v>45474.5</x:v>
      </x:c>
      <x:c r="J43" s="801">
        <x:v>45504</x:v>
      </x:c>
      <x:c r="K43" s="29">
        <x:f t="shared" si="3"/>
        <x:v>-29.5</x:v>
      </x:c>
      <x:c r="L43" s="29">
        <x:f t="shared" ref="L43:L68" si="7">E43*K43</x:f>
        <x:v>-58162.495000000003</x:v>
      </x:c>
    </x:row>
    <x:row r="44" spans="1:12" x14ac:dyDescent="0.25">
      <x:c r="A44" s="3">
        <x:f t="shared" si="4"/>
        <x:v>34</x:v>
      </x:c>
      <x:c r="B44" s="602">
        <x:v>45394</x:v>
      </x:c>
      <x:c r="C44" s="603">
        <x:v>0</x:v>
      </x:c>
      <x:c r="D44" s="603">
        <x:v>5.32</x:v>
      </x:c>
      <x:c r="E44" s="603">
        <x:f t="shared" si="1"/>
        <x:v>5.32</x:v>
      </x:c>
      <x:c r="F44" s="602">
        <x:v>45394</x:v>
      </x:c>
      <x:c r="G44" s="801">
        <x:v>45292</x:v>
      </x:c>
      <x:c r="H44" s="801">
        <x:v>45657</x:v>
      </x:c>
      <x:c r="I44" s="801">
        <x:f t="shared" si="6"/>
        <x:v>45474.5</x:v>
      </x:c>
      <x:c r="J44" s="801">
        <x:v>45504</x:v>
      </x:c>
      <x:c r="K44" s="29">
        <x:f t="shared" si="3"/>
        <x:v>-29.5</x:v>
      </x:c>
      <x:c r="L44" s="29">
        <x:f t="shared" si="7"/>
        <x:v>-156.94</x:v>
      </x:c>
    </x:row>
    <x:row r="45" spans="1:12" x14ac:dyDescent="0.25">
      <x:c r="A45" s="3">
        <x:f t="shared" si="4"/>
        <x:v>35</x:v>
      </x:c>
      <x:c r="B45" s="602">
        <x:v>45400</x:v>
      </x:c>
      <x:c r="C45" s="603">
        <x:v>564.55999999999995</x:v>
      </x:c>
      <x:c r="D45" s="603">
        <x:v>882.09</x:v>
      </x:c>
      <x:c r="E45" s="603">
        <x:f t="shared" si="1"/>
        <x:v>1446.65</x:v>
      </x:c>
      <x:c r="F45" s="602">
        <x:v>45400</x:v>
      </x:c>
      <x:c r="G45" s="801">
        <x:v>45292</x:v>
      </x:c>
      <x:c r="H45" s="801">
        <x:v>45657</x:v>
      </x:c>
      <x:c r="I45" s="801">
        <x:f t="shared" si="6"/>
        <x:v>45474.5</x:v>
      </x:c>
      <x:c r="J45" s="801">
        <x:v>45504</x:v>
      </x:c>
      <x:c r="K45" s="29">
        <x:f t="shared" si="3"/>
        <x:v>-29.5</x:v>
      </x:c>
      <x:c r="L45" s="29">
        <x:f t="shared" si="7"/>
        <x:v>-42676.175000000003</x:v>
      </x:c>
    </x:row>
    <x:row r="46" spans="1:12" x14ac:dyDescent="0.25">
      <x:c r="A46" s="3">
        <x:f t="shared" si="4"/>
        <x:v>36</x:v>
      </x:c>
      <x:c r="B46" s="602">
        <x:v>45407</x:v>
      </x:c>
      <x:c r="C46" s="603">
        <x:v>33.630000000000003</x:v>
      </x:c>
      <x:c r="D46" s="603">
        <x:v>34.21</x:v>
      </x:c>
      <x:c r="E46" s="603">
        <x:f t="shared" si="1"/>
        <x:v>67.84</x:v>
      </x:c>
      <x:c r="F46" s="602">
        <x:v>45407</x:v>
      </x:c>
      <x:c r="G46" s="801">
        <x:v>45292</x:v>
      </x:c>
      <x:c r="H46" s="801">
        <x:v>45657</x:v>
      </x:c>
      <x:c r="I46" s="801">
        <x:f t="shared" si="6"/>
        <x:v>45474.5</x:v>
      </x:c>
      <x:c r="J46" s="801">
        <x:v>45504</x:v>
      </x:c>
      <x:c r="K46" s="29">
        <x:f t="shared" si="3"/>
        <x:v>-29.5</x:v>
      </x:c>
      <x:c r="L46" s="29">
        <x:f t="shared" si="7"/>
        <x:v>-2001.2800000000002</x:v>
      </x:c>
    </x:row>
    <x:row r="47" spans="1:12" x14ac:dyDescent="0.25">
      <x:c r="A47" s="3">
        <x:f t="shared" si="4"/>
        <x:v>37</x:v>
      </x:c>
      <x:c r="B47" s="602">
        <x:v>45414</x:v>
      </x:c>
      <x:c r="C47" s="603">
        <x:v>518.58000000000004</x:v>
      </x:c>
      <x:c r="D47" s="603">
        <x:v>726.08999999999992</x:v>
      </x:c>
      <x:c r="E47" s="603">
        <x:f t="shared" si="1"/>
        <x:v>1244.67</x:v>
      </x:c>
      <x:c r="F47" s="602">
        <x:v>45414</x:v>
      </x:c>
      <x:c r="G47" s="801">
        <x:v>45292</x:v>
      </x:c>
      <x:c r="H47" s="801">
        <x:v>45657</x:v>
      </x:c>
      <x:c r="I47" s="801">
        <x:f t="shared" si="6"/>
        <x:v>45474.5</x:v>
      </x:c>
      <x:c r="J47" s="801">
        <x:v>45504</x:v>
      </x:c>
      <x:c r="K47" s="29">
        <x:f t="shared" si="3"/>
        <x:v>-29.5</x:v>
      </x:c>
      <x:c r="L47" s="29">
        <x:f t="shared" si="7"/>
        <x:v>-36717.764999999999</x:v>
      </x:c>
    </x:row>
    <x:row r="48" spans="1:12" x14ac:dyDescent="0.25">
      <x:c r="A48" s="3">
        <x:f t="shared" si="4"/>
        <x:v>38</x:v>
      </x:c>
      <x:c r="B48" s="602">
        <x:v>45413</x:v>
      </x:c>
      <x:c r="C48" s="603">
        <x:v>78.3</x:v>
      </x:c>
      <x:c r="D48" s="603">
        <x:v>79.61999999999999</x:v>
      </x:c>
      <x:c r="E48" s="603">
        <x:f t="shared" si="1"/>
        <x:v>157.91999999999999</x:v>
      </x:c>
      <x:c r="F48" s="602">
        <x:v>45413</x:v>
      </x:c>
      <x:c r="G48" s="801">
        <x:v>45292</x:v>
      </x:c>
      <x:c r="H48" s="801">
        <x:v>45657</x:v>
      </x:c>
      <x:c r="I48" s="801">
        <x:f t="shared" si="6"/>
        <x:v>45474.5</x:v>
      </x:c>
      <x:c r="J48" s="801">
        <x:v>45504</x:v>
      </x:c>
      <x:c r="K48" s="29">
        <x:f t="shared" si="3"/>
        <x:v>-29.5</x:v>
      </x:c>
      <x:c r="L48" s="29">
        <x:f t="shared" si="7"/>
        <x:v>-4658.6399999999994</x:v>
      </x:c>
    </x:row>
    <x:row r="49" spans="1:12" x14ac:dyDescent="0.25">
      <x:c r="A49" s="3">
        <x:f t="shared" si="4"/>
        <x:v>39</x:v>
      </x:c>
      <x:c r="B49" s="602">
        <x:v>45428</x:v>
      </x:c>
      <x:c r="C49" s="603">
        <x:v>576.15</x:v>
      </x:c>
      <x:c r="D49" s="603">
        <x:v>680.82</x:v>
      </x:c>
      <x:c r="E49" s="603">
        <x:f t="shared" si="1"/>
        <x:v>1256.97</x:v>
      </x:c>
      <x:c r="F49" s="602">
        <x:v>45428</x:v>
      </x:c>
      <x:c r="G49" s="801">
        <x:v>45292</x:v>
      </x:c>
      <x:c r="H49" s="801">
        <x:v>45657</x:v>
      </x:c>
      <x:c r="I49" s="801">
        <x:f t="shared" si="6"/>
        <x:v>45474.5</x:v>
      </x:c>
      <x:c r="J49" s="801">
        <x:v>45504</x:v>
      </x:c>
      <x:c r="K49" s="29">
        <x:f t="shared" si="3"/>
        <x:v>-29.5</x:v>
      </x:c>
      <x:c r="L49" s="29">
        <x:f t="shared" si="7"/>
        <x:v>-37080.614999999998</x:v>
      </x:c>
    </x:row>
    <x:row r="50" spans="1:12" x14ac:dyDescent="0.25">
      <x:c r="A50" s="3">
        <x:f t="shared" si="4"/>
        <x:v>40</x:v>
      </x:c>
      <x:c r="B50" s="602">
        <x:v>45435</x:v>
      </x:c>
      <x:c r="C50" s="603">
        <x:v>32.31</x:v>
      </x:c>
      <x:c r="D50" s="603">
        <x:v>34.21</x:v>
      </x:c>
      <x:c r="E50" s="603">
        <x:f t="shared" si="1"/>
        <x:v>66.52000000000001</x:v>
      </x:c>
      <x:c r="F50" s="602">
        <x:v>45435</x:v>
      </x:c>
      <x:c r="G50" s="801">
        <x:v>45292</x:v>
      </x:c>
      <x:c r="H50" s="801">
        <x:v>45657</x:v>
      </x:c>
      <x:c r="I50" s="801">
        <x:f t="shared" si="6"/>
        <x:v>45474.5</x:v>
      </x:c>
      <x:c r="J50" s="801">
        <x:v>45504</x:v>
      </x:c>
      <x:c r="K50" s="29">
        <x:f t="shared" si="3"/>
        <x:v>-29.5</x:v>
      </x:c>
      <x:c r="L50" s="29">
        <x:f t="shared" si="7"/>
        <x:v>-1962.3400000000004</x:v>
      </x:c>
    </x:row>
    <x:row r="51" spans="1:12" x14ac:dyDescent="0.25">
      <x:c r="A51" s="3">
        <x:f t="shared" si="4"/>
        <x:v>41</x:v>
      </x:c>
      <x:c r="B51" s="602">
        <x:v>45441</x:v>
      </x:c>
      <x:c r="C51" s="603">
        <x:v>9</x:v>
      </x:c>
      <x:c r="D51" s="603">
        <x:v>9.15</x:v>
      </x:c>
      <x:c r="E51" s="603">
        <x:f t="shared" si="1"/>
        <x:v>18.149999999999999</x:v>
      </x:c>
      <x:c r="F51" s="602">
        <x:v>45441</x:v>
      </x:c>
      <x:c r="G51" s="801">
        <x:v>45292</x:v>
      </x:c>
      <x:c r="H51" s="801">
        <x:v>45657</x:v>
      </x:c>
      <x:c r="I51" s="801">
        <x:f t="shared" si="6"/>
        <x:v>45474.5</x:v>
      </x:c>
      <x:c r="J51" s="801">
        <x:v>45504</x:v>
      </x:c>
      <x:c r="K51" s="29">
        <x:f t="shared" si="3"/>
        <x:v>-29.5</x:v>
      </x:c>
      <x:c r="L51" s="29">
        <x:f t="shared" si="7"/>
        <x:v>-535.42499999999995</x:v>
      </x:c>
    </x:row>
    <x:row r="52" spans="1:12" x14ac:dyDescent="0.25">
      <x:c r="A52" s="3">
        <x:f t="shared" si="4"/>
        <x:v>42</x:v>
      </x:c>
      <x:c r="B52" s="602">
        <x:v>45442</x:v>
      </x:c>
      <x:c r="C52" s="603">
        <x:v>1234.05</x:v>
      </x:c>
      <x:c r="D52" s="603">
        <x:v>1393.2399999999998</x:v>
      </x:c>
      <x:c r="E52" s="603">
        <x:f t="shared" si="1"/>
        <x:v>2627.29</x:v>
      </x:c>
      <x:c r="F52" s="602">
        <x:v>45442</x:v>
      </x:c>
      <x:c r="G52" s="801">
        <x:v>45292</x:v>
      </x:c>
      <x:c r="H52" s="801">
        <x:v>45657</x:v>
      </x:c>
      <x:c r="I52" s="801">
        <x:f t="shared" si="6"/>
        <x:v>45474.5</x:v>
      </x:c>
      <x:c r="J52" s="801">
        <x:v>45504</x:v>
      </x:c>
      <x:c r="K52" s="29">
        <x:f t="shared" si="3"/>
        <x:v>-29.5</x:v>
      </x:c>
      <x:c r="L52" s="29">
        <x:f t="shared" si="7"/>
        <x:v>-77505.054999999993</x:v>
      </x:c>
    </x:row>
    <x:row r="53" spans="1:12" x14ac:dyDescent="0.25">
      <x:c r="A53" s="3">
        <x:f t="shared" si="4"/>
        <x:v>43</x:v>
      </x:c>
      <x:c r="B53" s="602">
        <x:v>45456</x:v>
      </x:c>
      <x:c r="C53" s="603">
        <x:v>1751.15</x:v>
      </x:c>
      <x:c r="D53" s="603">
        <x:v>2146.6</x:v>
      </x:c>
      <x:c r="E53" s="603">
        <x:f t="shared" si="1"/>
        <x:v>3897.75</x:v>
      </x:c>
      <x:c r="F53" s="602">
        <x:v>45456</x:v>
      </x:c>
      <x:c r="G53" s="801">
        <x:v>45292</x:v>
      </x:c>
      <x:c r="H53" s="801">
        <x:v>45657</x:v>
      </x:c>
      <x:c r="I53" s="801">
        <x:f t="shared" si="6"/>
        <x:v>45474.5</x:v>
      </x:c>
      <x:c r="J53" s="801">
        <x:v>45504</x:v>
      </x:c>
      <x:c r="K53" s="29">
        <x:f t="shared" si="3"/>
        <x:v>-29.5</x:v>
      </x:c>
      <x:c r="L53" s="29">
        <x:f t="shared" si="7"/>
        <x:v>-114983.625</x:v>
      </x:c>
    </x:row>
    <x:row r="54" spans="1:12" x14ac:dyDescent="0.25">
      <x:c r="A54" s="3">
        <x:f t="shared" si="4"/>
        <x:v>44</x:v>
      </x:c>
      <x:c r="B54" s="602">
        <x:v>45460</x:v>
      </x:c>
      <x:c r="C54" s="603">
        <x:v>18</x:v>
      </x:c>
      <x:c r="D54" s="603">
        <x:v>18.3</x:v>
      </x:c>
      <x:c r="E54" s="603">
        <x:f t="shared" si="1"/>
        <x:v>36.299999999999997</x:v>
      </x:c>
      <x:c r="F54" s="602">
        <x:v>45460</x:v>
      </x:c>
      <x:c r="G54" s="801">
        <x:v>45292</x:v>
      </x:c>
      <x:c r="H54" s="801">
        <x:v>45657</x:v>
      </x:c>
      <x:c r="I54" s="801">
        <x:f t="shared" si="6"/>
        <x:v>45474.5</x:v>
      </x:c>
      <x:c r="J54" s="801">
        <x:v>45504</x:v>
      </x:c>
      <x:c r="K54" s="29">
        <x:f t="shared" si="3"/>
        <x:v>-29.5</x:v>
      </x:c>
      <x:c r="L54" s="29">
        <x:f t="shared" si="7"/>
        <x:v>-1070.8499999999999</x:v>
      </x:c>
    </x:row>
    <x:row r="55" spans="1:12" x14ac:dyDescent="0.25">
      <x:c r="A55" s="3">
        <x:f t="shared" si="4"/>
        <x:v>45</x:v>
      </x:c>
      <x:c r="B55" s="602">
        <x:v>45463</x:v>
      </x:c>
      <x:c r="C55" s="603">
        <x:v>1.8</x:v>
      </x:c>
      <x:c r="D55" s="603">
        <x:v>1.83</x:v>
      </x:c>
      <x:c r="E55" s="603">
        <x:f t="shared" si="1"/>
        <x:v>3.63</x:v>
      </x:c>
      <x:c r="F55" s="602">
        <x:v>45463</x:v>
      </x:c>
      <x:c r="G55" s="801">
        <x:v>45292</x:v>
      </x:c>
      <x:c r="H55" s="801">
        <x:v>45657</x:v>
      </x:c>
      <x:c r="I55" s="801">
        <x:f t="shared" si="6"/>
        <x:v>45474.5</x:v>
      </x:c>
      <x:c r="J55" s="801">
        <x:v>45504</x:v>
      </x:c>
      <x:c r="K55" s="29">
        <x:f t="shared" si="3"/>
        <x:v>-29.5</x:v>
      </x:c>
      <x:c r="L55" s="29">
        <x:f t="shared" si="7"/>
        <x:v>-107.08499999999999</x:v>
      </x:c>
    </x:row>
    <x:row r="56" spans="1:12" x14ac:dyDescent="0.25">
      <x:c r="A56" s="3">
        <x:f t="shared" si="4"/>
        <x:v>46</x:v>
      </x:c>
      <x:c r="B56" s="602">
        <x:v>45470</x:v>
      </x:c>
      <x:c r="C56" s="603">
        <x:v>1103.32</x:v>
      </x:c>
      <x:c r="D56" s="603">
        <x:v>1479.76</x:v>
      </x:c>
      <x:c r="E56" s="603">
        <x:f t="shared" si="1"/>
        <x:v>2583.08</x:v>
      </x:c>
      <x:c r="F56" s="602">
        <x:v>45470</x:v>
      </x:c>
      <x:c r="G56" s="801">
        <x:v>45292</x:v>
      </x:c>
      <x:c r="H56" s="801">
        <x:v>45657</x:v>
      </x:c>
      <x:c r="I56" s="801">
        <x:f t="shared" si="6"/>
        <x:v>45474.5</x:v>
      </x:c>
      <x:c r="J56" s="801">
        <x:v>45504</x:v>
      </x:c>
      <x:c r="K56" s="29">
        <x:f t="shared" si="3"/>
        <x:v>-29.5</x:v>
      </x:c>
      <x:c r="L56" s="29">
        <x:f t="shared" si="7"/>
        <x:v>-76200.86</x:v>
      </x:c>
    </x:row>
    <x:row r="57" spans="1:12" x14ac:dyDescent="0.25">
      <x:c r="A57" s="3">
        <x:f t="shared" si="4"/>
        <x:v>47</x:v>
      </x:c>
      <x:c r="B57" s="602">
        <x:v>45471</x:v>
      </x:c>
      <x:c r="C57" s="603">
        <x:v>25.66</x:v>
      </x:c>
      <x:c r="D57" s="603">
        <x:v>34.880000000000003</x:v>
      </x:c>
      <x:c r="E57" s="603">
        <x:f t="shared" si="1"/>
        <x:v>60.540000000000006</x:v>
      </x:c>
      <x:c r="F57" s="602">
        <x:v>45471</x:v>
      </x:c>
      <x:c r="G57" s="801">
        <x:v>45292</x:v>
      </x:c>
      <x:c r="H57" s="801">
        <x:v>45657</x:v>
      </x:c>
      <x:c r="I57" s="801">
        <x:f t="shared" si="6"/>
        <x:v>45474.5</x:v>
      </x:c>
      <x:c r="J57" s="801">
        <x:v>45504</x:v>
      </x:c>
      <x:c r="K57" s="29">
        <x:f t="shared" si="3"/>
        <x:v>-29.5</x:v>
      </x:c>
      <x:c r="L57" s="29">
        <x:f t="shared" si="7"/>
        <x:v>-1785.9300000000003</x:v>
      </x:c>
    </x:row>
    <x:row r="58" spans="1:12" x14ac:dyDescent="0.25">
      <x:c r="A58" s="3">
        <x:f t="shared" si="4"/>
        <x:v>48</x:v>
      </x:c>
      <x:c r="B58" s="602">
        <x:v>45484</x:v>
      </x:c>
      <x:c r="C58" s="603">
        <x:v>809.94</x:v>
      </x:c>
      <x:c r="D58" s="603">
        <x:v>1196.3999999999999</x:v>
      </x:c>
      <x:c r="E58" s="603">
        <x:f t="shared" si="1"/>
        <x:v>2006.34</x:v>
      </x:c>
      <x:c r="F58" s="602">
        <x:v>45484</x:v>
      </x:c>
      <x:c r="G58" s="801">
        <x:v>45292</x:v>
      </x:c>
      <x:c r="H58" s="801">
        <x:v>45657</x:v>
      </x:c>
      <x:c r="I58" s="801">
        <x:f t="shared" si="6"/>
        <x:v>45474.5</x:v>
      </x:c>
      <x:c r="J58" s="801">
        <x:v>45596</x:v>
      </x:c>
      <x:c r="K58" s="29">
        <x:f t="shared" si="3"/>
        <x:v>-121.5</x:v>
      </x:c>
      <x:c r="L58" s="29">
        <x:f t="shared" si="7"/>
        <x:v>-243770.31</x:v>
      </x:c>
    </x:row>
    <x:row r="59" spans="1:12" x14ac:dyDescent="0.25">
      <x:c r="A59" s="3">
        <x:f t="shared" si="4"/>
        <x:v>49</x:v>
      </x:c>
      <x:c r="B59" s="602">
        <x:v>45490</x:v>
      </x:c>
      <x:c r="C59" s="603">
        <x:v>0</x:v>
      </x:c>
      <x:c r="D59" s="603">
        <x:v>0.04</x:v>
      </x:c>
      <x:c r="E59" s="603">
        <x:f t="shared" si="1"/>
        <x:v>0.04</x:v>
      </x:c>
      <x:c r="F59" s="602">
        <x:v>45490</x:v>
      </x:c>
      <x:c r="G59" s="801">
        <x:v>45292</x:v>
      </x:c>
      <x:c r="H59" s="801">
        <x:v>45657</x:v>
      </x:c>
      <x:c r="I59" s="801">
        <x:f t="shared" si="6"/>
        <x:v>45474.5</x:v>
      </x:c>
      <x:c r="J59" s="801">
        <x:v>45596</x:v>
      </x:c>
      <x:c r="K59" s="29">
        <x:f t="shared" si="3"/>
        <x:v>-121.5</x:v>
      </x:c>
      <x:c r="L59" s="29">
        <x:f t="shared" si="7"/>
        <x:v>-4.8600000000000003</x:v>
      </x:c>
    </x:row>
    <x:row r="60" spans="1:12" x14ac:dyDescent="0.25">
      <x:c r="A60" s="3">
        <x:f t="shared" si="4"/>
        <x:v>50</x:v>
      </x:c>
      <x:c r="B60" s="602">
        <x:v>45498</x:v>
      </x:c>
      <x:c r="C60" s="603">
        <x:v>771.84</x:v>
      </x:c>
      <x:c r="D60" s="603">
        <x:v>1114.1599999999999</x:v>
      </x:c>
      <x:c r="E60" s="603">
        <x:f t="shared" si="1"/>
        <x:v>1886</x:v>
      </x:c>
      <x:c r="F60" s="602">
        <x:v>45498</x:v>
      </x:c>
      <x:c r="G60" s="801">
        <x:v>45292</x:v>
      </x:c>
      <x:c r="H60" s="801">
        <x:v>45657</x:v>
      </x:c>
      <x:c r="I60" s="801">
        <x:f t="shared" si="6"/>
        <x:v>45474.5</x:v>
      </x:c>
      <x:c r="J60" s="801">
        <x:v>45596</x:v>
      </x:c>
      <x:c r="K60" s="29">
        <x:f t="shared" si="3"/>
        <x:v>-121.5</x:v>
      </x:c>
      <x:c r="L60" s="29">
        <x:f t="shared" si="7"/>
        <x:v>-229149</x:v>
      </x:c>
    </x:row>
    <x:row r="61" spans="1:12" x14ac:dyDescent="0.25">
      <x:c r="A61" s="3">
        <x:f t="shared" si="4"/>
        <x:v>51</x:v>
      </x:c>
      <x:c r="B61" s="602">
        <x:v>45503</x:v>
      </x:c>
      <x:c r="C61" s="603">
        <x:v>22.19</x:v>
      </x:c>
      <x:c r="D61" s="603">
        <x:v>28.39</x:v>
      </x:c>
      <x:c r="E61" s="603">
        <x:f t="shared" si="1"/>
        <x:v>50.58</x:v>
      </x:c>
      <x:c r="F61" s="602">
        <x:v>45503</x:v>
      </x:c>
      <x:c r="G61" s="801">
        <x:v>45292</x:v>
      </x:c>
      <x:c r="H61" s="801">
        <x:v>45657</x:v>
      </x:c>
      <x:c r="I61" s="801">
        <x:f t="shared" si="6"/>
        <x:v>45474.5</x:v>
      </x:c>
      <x:c r="J61" s="801">
        <x:v>45596</x:v>
      </x:c>
      <x:c r="K61" s="29">
        <x:f t="shared" si="3"/>
        <x:v>-121.5</x:v>
      </x:c>
      <x:c r="L61" s="29">
        <x:f t="shared" si="7"/>
        <x:v>-6145.4699999999993</x:v>
      </x:c>
    </x:row>
    <x:row r="62" spans="1:12" x14ac:dyDescent="0.25">
      <x:c r="A62" s="3">
        <x:f t="shared" si="4"/>
        <x:v>52</x:v>
      </x:c>
      <x:c r="B62" s="602">
        <x:v>45512</x:v>
      </x:c>
      <x:c r="C62" s="603">
        <x:v>726.75</x:v>
      </x:c>
      <x:c r="D62" s="603">
        <x:v>999.24</x:v>
      </x:c>
      <x:c r="E62" s="603">
        <x:f t="shared" si="1"/>
        <x:v>1725.99</x:v>
      </x:c>
      <x:c r="F62" s="602">
        <x:v>45512</x:v>
      </x:c>
      <x:c r="G62" s="801">
        <x:v>45292</x:v>
      </x:c>
      <x:c r="H62" s="801">
        <x:v>45657</x:v>
      </x:c>
      <x:c r="I62" s="801">
        <x:f t="shared" si="6"/>
        <x:v>45474.5</x:v>
      </x:c>
      <x:c r="J62" s="801">
        <x:v>45596</x:v>
      </x:c>
      <x:c r="K62" s="29">
        <x:f t="shared" si="3"/>
        <x:v>-121.5</x:v>
      </x:c>
      <x:c r="L62" s="29">
        <x:f t="shared" si="7"/>
        <x:v>-209707.785</x:v>
      </x:c>
    </x:row>
    <x:row r="63" spans="1:12" x14ac:dyDescent="0.25">
      <x:c r="A63" s="3">
        <x:f t="shared" si="4"/>
        <x:v>53</x:v>
      </x:c>
      <x:c r="B63" s="602">
        <x:v>45526</x:v>
      </x:c>
      <x:c r="C63" s="603">
        <x:v>537.61</x:v>
      </x:c>
      <x:c r="D63" s="603">
        <x:v>768.81999999999994</x:v>
      </x:c>
      <x:c r="E63" s="603">
        <x:f t="shared" si="1"/>
        <x:v>1306.4299999999998</x:v>
      </x:c>
      <x:c r="F63" s="602">
        <x:v>45526</x:v>
      </x:c>
      <x:c r="G63" s="801">
        <x:v>45292</x:v>
      </x:c>
      <x:c r="H63" s="801">
        <x:v>45657</x:v>
      </x:c>
      <x:c r="I63" s="801">
        <x:f t="shared" si="6"/>
        <x:v>45474.5</x:v>
      </x:c>
      <x:c r="J63" s="801">
        <x:v>45596</x:v>
      </x:c>
      <x:c r="K63" s="29">
        <x:f t="shared" si="3"/>
        <x:v>-121.5</x:v>
      </x:c>
      <x:c r="L63" s="29">
        <x:f t="shared" si="7"/>
        <x:v>-158731.24499999997</x:v>
      </x:c>
    </x:row>
    <x:row r="64" spans="1:12" x14ac:dyDescent="0.25">
      <x:c r="A64" s="3">
        <x:f t="shared" si="4"/>
        <x:v>54</x:v>
      </x:c>
      <x:c r="B64" s="602">
        <x:v>45532</x:v>
      </x:c>
      <x:c r="C64" s="603">
        <x:v>19.399999999999999</x:v>
      </x:c>
      <x:c r="D64" s="603">
        <x:v>26.38</x:v>
      </x:c>
      <x:c r="E64" s="603">
        <x:f t="shared" si="1"/>
        <x:v>45.78</x:v>
      </x:c>
      <x:c r="F64" s="602">
        <x:v>45532</x:v>
      </x:c>
      <x:c r="G64" s="801">
        <x:v>45292</x:v>
      </x:c>
      <x:c r="H64" s="801">
        <x:v>45657</x:v>
      </x:c>
      <x:c r="I64" s="801">
        <x:f t="shared" si="6"/>
        <x:v>45474.5</x:v>
      </x:c>
      <x:c r="J64" s="801">
        <x:v>45596</x:v>
      </x:c>
      <x:c r="K64" s="29">
        <x:f t="shared" si="3"/>
        <x:v>-121.5</x:v>
      </x:c>
      <x:c r="L64" s="29">
        <x:f t="shared" si="7"/>
        <x:v>-5562.27</x:v>
      </x:c>
    </x:row>
    <x:row r="65" spans="1:12" x14ac:dyDescent="0.25">
      <x:c r="A65" s="3">
        <x:f t="shared" si="4"/>
        <x:v>55</x:v>
      </x:c>
      <x:c r="B65" s="602">
        <x:v>45540</x:v>
      </x:c>
      <x:c r="C65" s="603">
        <x:v>632.57000000000005</x:v>
      </x:c>
      <x:c r="D65" s="603">
        <x:v>752.09999999999991</x:v>
      </x:c>
      <x:c r="E65" s="603">
        <x:f t="shared" si="1"/>
        <x:v>1384.67</x:v>
      </x:c>
      <x:c r="F65" s="602">
        <x:v>45540</x:v>
      </x:c>
      <x:c r="G65" s="801">
        <x:v>45292</x:v>
      </x:c>
      <x:c r="H65" s="801">
        <x:v>45657</x:v>
      </x:c>
      <x:c r="I65" s="801">
        <x:f t="shared" si="6"/>
        <x:v>45474.5</x:v>
      </x:c>
      <x:c r="J65" s="801">
        <x:v>45596</x:v>
      </x:c>
      <x:c r="K65" s="29">
        <x:f t="shared" si="3"/>
        <x:v>-121.5</x:v>
      </x:c>
      <x:c r="L65" s="29">
        <x:f t="shared" si="7"/>
        <x:v>-168237.405</x:v>
      </x:c>
    </x:row>
    <x:row r="66" spans="1:12" x14ac:dyDescent="0.25">
      <x:c r="A66" s="3">
        <x:f t="shared" si="4"/>
        <x:v>56</x:v>
      </x:c>
      <x:c r="B66" s="602">
        <x:v>45541</x:v>
      </x:c>
      <x:c r="C66" s="603">
        <x:v>19.64</x:v>
      </x:c>
      <x:c r="D66" s="603">
        <x:v>32.51</x:v>
      </x:c>
      <x:c r="E66" s="603">
        <x:f t="shared" si="1"/>
        <x:v>52.15</x:v>
      </x:c>
      <x:c r="F66" s="602">
        <x:v>45541</x:v>
      </x:c>
      <x:c r="G66" s="801">
        <x:v>45292</x:v>
      </x:c>
      <x:c r="H66" s="801">
        <x:v>45657</x:v>
      </x:c>
      <x:c r="I66" s="801">
        <x:f t="shared" si="6"/>
        <x:v>45474.5</x:v>
      </x:c>
      <x:c r="J66" s="801">
        <x:v>45596</x:v>
      </x:c>
      <x:c r="K66" s="29">
        <x:f t="shared" si="3"/>
        <x:v>-121.5</x:v>
      </x:c>
      <x:c r="L66" s="29">
        <x:f t="shared" si="7"/>
        <x:v>-6336.2249999999995</x:v>
      </x:c>
    </x:row>
    <x:row r="67" spans="1:12" x14ac:dyDescent="0.25">
      <x:c r="A67" s="3">
        <x:f t="shared" si="4"/>
        <x:v>57</x:v>
      </x:c>
      <x:c r="B67" s="602">
        <x:v>45551</x:v>
      </x:c>
      <x:c r="C67" s="603">
        <x:v>21.69</x:v>
      </x:c>
      <x:c r="D67" s="603">
        <x:v>23.740000000000002</x:v>
      </x:c>
      <x:c r="E67" s="603">
        <x:f t="shared" si="1"/>
        <x:v>45.430000000000007</x:v>
      </x:c>
      <x:c r="F67" s="602">
        <x:v>45551</x:v>
      </x:c>
      <x:c r="G67" s="801">
        <x:v>45292</x:v>
      </x:c>
      <x:c r="H67" s="801">
        <x:v>45657</x:v>
      </x:c>
      <x:c r="I67" s="801">
        <x:f t="shared" si="6"/>
        <x:v>45474.5</x:v>
      </x:c>
      <x:c r="J67" s="801">
        <x:v>45596</x:v>
      </x:c>
      <x:c r="K67" s="29">
        <x:f t="shared" si="3"/>
        <x:v>-121.5</x:v>
      </x:c>
      <x:c r="L67" s="29">
        <x:f t="shared" si="7"/>
        <x:v>-5519.7450000000008</x:v>
      </x:c>
    </x:row>
    <x:row r="68" spans="1:12" x14ac:dyDescent="0.25">
      <x:c r="A68" s="3">
        <x:f t="shared" si="4"/>
        <x:v>58</x:v>
      </x:c>
      <x:c r="B68" s="602">
        <x:v>45554</x:v>
      </x:c>
      <x:c r="C68" s="603">
        <x:v>674.67</x:v>
      </x:c>
      <x:c r="D68" s="603">
        <x:v>890.83999999999992</x:v>
      </x:c>
      <x:c r="E68" s="603">
        <x:f t="shared" si="1"/>
        <x:v>1565.5099999999998</x:v>
      </x:c>
      <x:c r="F68" s="602">
        <x:v>45554</x:v>
      </x:c>
      <x:c r="G68" s="801">
        <x:v>45292</x:v>
      </x:c>
      <x:c r="H68" s="801">
        <x:v>45657</x:v>
      </x:c>
      <x:c r="I68" s="801">
        <x:f t="shared" si="6"/>
        <x:v>45474.5</x:v>
      </x:c>
      <x:c r="J68" s="801">
        <x:v>45596</x:v>
      </x:c>
      <x:c r="K68" s="29">
        <x:f t="shared" si="3"/>
        <x:v>-121.5</x:v>
      </x:c>
      <x:c r="L68" s="29">
        <x:f t="shared" si="7"/>
        <x:v>-190209.46499999997</x:v>
      </x:c>
    </x:row>
    <x:row r="69" spans="1:12" x14ac:dyDescent="0.25">
      <x:c r="A69" s="3">
        <x:f t="shared" si="4"/>
        <x:v>59</x:v>
      </x:c>
      <x:c r="B69" s="602"/>
      <x:c r="C69" s="603"/>
      <x:c r="D69" s="603"/>
      <x:c r="E69" s="603"/>
      <x:c r="F69" s="602"/>
      <x:c r="G69" s="602"/>
      <x:c r="H69" s="602"/>
      <x:c r="I69" s="602"/>
      <x:c r="J69" s="602"/>
      <x:c r="K69" s="29"/>
      <x:c r="L69" s="29"/>
    </x:row>
    <x:row r="70" spans="1:12" ht="13.25" thickBot="1" x14ac:dyDescent="0.3">
      <x:c r="A70" s="3">
        <x:f t="shared" si="4"/>
        <x:v>60</x:v>
      </x:c>
      <x:c r="B70" s="641" t="s">
        <x:v>458</x:v>
      </x:c>
      <x:c r="C70" s="387">
        <x:f>SUM(C11:C69)</x:f>
        <x:v>171839.33</x:v>
      </x:c>
      <x:c r="D70" s="387">
        <x:f>SUM(D11:D69)</x:f>
        <x:v>223610.82999999996</x:v>
      </x:c>
      <x:c r="E70" s="387">
        <x:f>SUM(E11:E69)</x:f>
        <x:v>395450.16</x:v>
      </x:c>
      <x:c r="F70" s="65"/>
      <x:c r="G70" s="65"/>
      <x:c r="H70" s="65"/>
      <x:c r="I70" s="65"/>
      <x:c r="J70" s="65"/>
      <x:c r="K70" s="390">
        <x:f>ROUND(L70/E70,2)</x:f>
        <x:v>49.21</x:v>
      </x:c>
      <x:c r="L70" s="387">
        <x:f>SUM(L11:L69)</x:f>
        <x:v>19460902.529999994</x:v>
      </x:c>
    </x:row>
    <x:row r="71" spans="1:12" ht="13.25" thickTop="1" x14ac:dyDescent="0.25">
      <x:c r="A71" s="3">
        <x:f t="shared" si="4"/>
        <x:v>61</x:v>
      </x:c>
      <x:c r="B71" s="641"/>
      <x:c r="C71" s="384"/>
      <x:c r="D71" s="384"/>
      <x:c r="E71" s="384"/>
      <x:c r="F71" s="65"/>
      <x:c r="G71" s="65"/>
      <x:c r="H71" s="65"/>
      <x:c r="I71" s="65"/>
      <x:c r="J71" s="65"/>
      <x:c r="K71" s="642"/>
      <x:c r="L71" s="384"/>
    </x:row>
    <x:row r="72" spans="1:12" x14ac:dyDescent="0.25">
      <x:c r="A72" s="3">
        <x:f t="shared" si="4"/>
        <x:v>62</x:v>
      </x:c>
      <x:c r="C72" s="384"/>
      <x:c r="D72" s="384"/>
      <x:c r="E72" s="384"/>
      <x:c r="F72" s="65"/>
      <x:c r="G72" s="65"/>
      <x:c r="H72" s="65"/>
      <x:c r="I72" s="65"/>
      <x:c r="J72" s="65"/>
      <x:c r="K72" s="273"/>
      <x:c r="L72" s="389"/>
    </x:row>
    <x:row r="73" spans="1:12" x14ac:dyDescent="0.25">
      <x:c r="A73" s="3">
        <x:f t="shared" si="4"/>
        <x:v>63</x:v>
      </x:c>
      <x:c r="B73" s="1" t="s">
        <x:v>356</x:v>
      </x:c>
      <x:c r="C73" s="74"/>
      <x:c r="D73" s="74"/>
      <x:c r="E73" s="386">
        <x:f>+'8-2-1'!E46</x:f>
        <x:v>138569.89000000001</x:v>
      </x:c>
      <x:c r="K73" s="380">
        <x:f>ROUND(L73/E73,2)</x:f>
        <x:v>46.12</x:v>
      </x:c>
      <x:c r="L73" s="386">
        <x:f>+'8-2-1'!L46</x:f>
        <x:v>6391231.6849999996</x:v>
      </x:c>
    </x:row>
    <x:row r="74" spans="1:12" x14ac:dyDescent="0.25">
      <x:c r="A74" s="3">
        <x:f t="shared" si="4"/>
        <x:v>64</x:v>
      </x:c>
      <x:c r="C74" s="74"/>
      <x:c r="D74" s="74"/>
      <x:c r="E74" s="389"/>
      <x:c r="K74" s="385"/>
      <x:c r="L74" s="389"/>
    </x:row>
    <x:row r="75" spans="1:12" x14ac:dyDescent="0.25">
      <x:c r="A75" s="3">
        <x:f t="shared" si="4"/>
        <x:v>65</x:v>
      </x:c>
      <x:c r="C75" s="384"/>
      <x:c r="D75" s="384"/>
      <x:c r="E75" s="74"/>
      <x:c r="K75" s="381"/>
      <x:c r="L75" s="378"/>
    </x:row>
    <x:row r="76" spans="1:12" ht="13.25" thickBot="1" x14ac:dyDescent="0.3">
      <x:c r="A76" s="3">
        <x:f t="shared" si="4"/>
        <x:v>66</x:v>
      </x:c>
      <x:c r="B76" s="1" t="s">
        <x:v>241</x:v>
      </x:c>
      <x:c r="C76" s="225"/>
      <x:c r="D76" s="225"/>
      <x:c r="E76" s="348">
        <x:f>+E73+E70</x:f>
        <x:v>534020.05000000005</x:v>
      </x:c>
      <x:c r="K76" s="383">
        <x:f>ROUND(L76/E76,2)</x:f>
        <x:v>48.41</x:v>
      </x:c>
      <x:c r="L76" s="348">
        <x:f>+L73+L70</x:f>
        <x:v>25852134.214999992</x:v>
      </x:c>
    </x:row>
    <x:row r="77" spans="1:12" ht="13.25" thickTop="1" x14ac:dyDescent="0.25">
      <x:c r="A77" s="3">
        <x:f t="shared" ref="A77:A79" si="8">A76+1</x:f>
        <x:v>67</x:v>
      </x:c>
      <x:c r="C77" s="225"/>
      <x:c r="D77" s="225"/>
      <x:c r="E77" s="384"/>
      <x:c r="K77" s="385"/>
      <x:c r="L77" s="384"/>
    </x:row>
    <x:row r="78" spans="1:12" x14ac:dyDescent="0.25">
      <x:c r="A78" s="3">
        <x:f t="shared" si="8"/>
        <x:v>68</x:v>
      </x:c>
      <x:c r="C78" s="74"/>
      <x:c r="D78" s="74"/>
      <x:c r="E78" s="74"/>
      <x:c r="K78" s="381"/>
      <x:c r="L78" s="378"/>
    </x:row>
    <x:row r="79" spans="1:12" x14ac:dyDescent="0.25">
      <x:c r="A79" s="3">
        <x:f t="shared" si="8"/>
        <x:v>69</x:v>
      </x:c>
      <x:c r="B79" s="1" t="s">
        <x:v>230</x:v>
      </x:c>
      <x:c r="C79" s="290" t="s">
        <x:v>448</x:v>
      </x:c>
    </x:row>
    <x:row r="80" spans="1:12" x14ac:dyDescent="0.25">
      <x:c r="A80" s="647" t="s">
        <x:v>464</x:v>
      </x:c>
    </x:row>
    <x:row r="81" spans="1:5" x14ac:dyDescent="0.25">
      <x:c r="A81" s="647" t="s">
        <x:v>464</x:v>
      </x:c>
    </x:row>
    <x:row r="82" spans="1:5" x14ac:dyDescent="0.25">
      <x:c r="C82" s="824"/>
      <x:c r="D82" s="824"/>
      <x:c r="E82" s="824"/>
    </x:row>
    <x:row r="83" spans="1:5" x14ac:dyDescent="0.25">
      <x:c r="C83" s="824"/>
      <x:c r="D83" s="824"/>
      <x:c r="E83" s="824"/>
    </x:row>
  </x:sheetData>
  <x:mergeCells count="1">
    <x:mergeCell ref="G7:I7"/>
  </x:mergeCells>
  <x:phoneticPr fontId="0" type="noConversion"/>
  <x:hyperlinks>
    <x:hyperlink ref="C79" r:id="rId1" xr:uid="{00000000-0004-0000-2600-000000000000}"/>
  </x:hyperlinks>
  <x:printOptions horizontalCentered="1"/>
  <x:pageMargins left="0.5" right="0.5" top="1.5" bottom="0.5" header="1" footer="0.5"/>
  <x:pageSetup scale="89" fitToHeight="5" orientation="landscape" r:id="rId2"/>
  <x:headerFooter alignWithMargins="0">
    <x:oddHeader>&amp;RWP/II-B-9/&amp;A
Page &amp;P of &amp;N</x:oddHeader>
  </x:headerFooter>
  <x:rowBreaks count="2" manualBreakCount="2">
    <x:brk id="39" max="16383" man="1"/>
    <x:brk id="66" max="16383" man="1"/>
  </x:rowBreaks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700-000000000000}" mc:Ignorable="x14ac xr xr2 xr3">
  <x:sheetPr codeName="Sheet21">
    <x:tabColor rgb="FF92D050"/>
  </x:sheetPr>
  <x:dimension ref="A1:L49"/>
  <x:sheetViews>
    <x:sheetView showGridLines="0" topLeftCell="A28" zoomScaleNormal="100" zoomScaleSheetLayoutView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11" width="11.88671875" style="1" customWidth="1"/>
    <x:col min="12" max="12" width="14.88671875" style="1" customWidth="1"/>
    <x:col min="13" max="16384" width="9.109375" style="1"/>
  </x:cols>
  <x:sheetData>
    <x:row r="1" spans="1:12" s="41" customFormat="1" x14ac:dyDescent="0.25">
      <x:c r="A1" s="180" t="s">
        <x:v>523</x:v>
      </x:c>
      <x:c r="B1" s="180"/>
      <x:c r="C1" s="180"/>
      <x:c r="D1" s="180"/>
      <x:c r="E1" s="180"/>
    </x:row>
    <x:row r="2" spans="1:12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12" s="41" customFormat="1" x14ac:dyDescent="0.25">
      <x:c r="A3" s="392" t="s">
        <x:v>254</x:v>
      </x:c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</x:row>
    <x:row r="4" spans="1:12" s="41" customFormat="1" x14ac:dyDescent="0.25">
      <x:c r="A4" s="767" t="s">
        <x:v>524</x:v>
      </x:c>
      <x:c r="B4" s="180"/>
      <x:c r="C4" s="180"/>
      <x:c r="D4" s="180"/>
      <x:c r="E4" s="180"/>
    </x:row>
    <x:row r="5" spans="1:12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12" x14ac:dyDescent="0.25">
      <x:c r="A7" s="22" t="s">
        <x:v>35</x:v>
      </x:c>
      <x:c r="B7" s="22" t="s">
        <x:v>34</x:v>
      </x:c>
      <x:c r="C7" s="22" t="s">
        <x:v>73</x:v>
      </x:c>
      <x:c r="D7" s="22" t="s">
        <x:v>74</x:v>
      </x:c>
      <x:c r="E7" s="22" t="s">
        <x:v>26</x:v>
      </x:c>
      <x:c r="F7" s="22" t="s">
        <x:v>70</x:v>
      </x:c>
      <x:c r="G7" s="832" t="s">
        <x:v>455</x:v>
      </x:c>
      <x:c r="H7" s="832"/>
      <x:c r="I7" s="832"/>
      <x:c r="J7" s="22"/>
      <x:c r="K7" s="25"/>
      <x:c r="L7" s="27" t="s">
        <x:v>93</x:v>
      </x:c>
    </x:row>
    <x:row r="8" spans="1:12" x14ac:dyDescent="0.25">
      <x:c r="A8" s="56" t="s">
        <x:v>36</x:v>
      </x:c>
      <x:c r="B8" s="56" t="s">
        <x:v>71</x:v>
      </x:c>
      <x:c r="C8" s="56" t="s">
        <x:v>24</x:v>
      </x:c>
      <x:c r="D8" s="56" t="s">
        <x:v>24</x:v>
      </x:c>
      <x:c r="E8" s="56" t="s">
        <x:v>24</x:v>
      </x:c>
      <x:c r="F8" s="56" t="s">
        <x:v>94</x:v>
      </x:c>
      <x:c r="G8" s="634" t="s">
        <x:v>419</x:v>
      </x:c>
      <x:c r="H8" s="634" t="s">
        <x:v>420</x:v>
      </x:c>
      <x:c r="I8" s="634" t="s">
        <x:v>18</x:v>
      </x:c>
      <x:c r="J8" s="634" t="s">
        <x:v>238</x:v>
      </x:c>
      <x:c r="K8" s="634" t="s">
        <x:v>41</x:v>
      </x:c>
      <x:c r="L8" s="62" t="s">
        <x:v>72</x:v>
      </x:c>
    </x:row>
    <x:row r="9" spans="1:12" x14ac:dyDescent="0.25">
      <x:c r="B9" s="8" t="s">
        <x:v>50</x:v>
      </x:c>
      <x:c r="C9" s="8" t="s">
        <x:v>51</x:v>
      </x:c>
      <x:c r="D9" s="8" t="s">
        <x:v>57</x:v>
      </x:c>
      <x:c r="E9" s="8" t="s">
        <x:v>52</x:v>
      </x:c>
      <x:c r="F9" s="8" t="s">
        <x:v>53</x:v>
      </x:c>
      <x:c r="G9" s="638" t="s">
        <x:v>54</x:v>
      </x:c>
      <x:c r="H9" s="638" t="s">
        <x:v>55</x:v>
      </x:c>
      <x:c r="I9" s="638" t="s">
        <x:v>58</x:v>
      </x:c>
      <x:c r="J9" s="638" t="s">
        <x:v>59</x:v>
      </x:c>
      <x:c r="K9" s="638" t="s">
        <x:v>453</x:v>
      </x:c>
      <x:c r="L9" s="638" t="s">
        <x:v>454</x:v>
      </x:c>
    </x:row>
    <x:row r="10" spans="1:12" x14ac:dyDescent="0.25"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 spans="1:12" x14ac:dyDescent="0.25">
      <x:c r="A11" s="3">
        <x:v>1</x:v>
      </x:c>
      <x:c r="B11" s="602">
        <x:v>45211</x:v>
      </x:c>
      <x:c r="C11" s="603">
        <x:v>84.68</x:v>
      </x:c>
      <x:c r="D11" s="603">
        <x:v>133.97</x:v>
      </x:c>
      <x:c r="E11" s="603">
        <x:f>D11+C11</x:f>
        <x:v>218.65</x:v>
      </x:c>
      <x:c r="F11" s="602">
        <x:v>45211</x:v>
      </x:c>
      <x:c r="G11" s="801">
        <x:v>44927</x:v>
      </x:c>
      <x:c r="H11" s="801">
        <x:v>45291</x:v>
      </x:c>
      <x:c r="I11" s="801">
        <x:f>+(G11+H11)/2</x:f>
        <x:v>45109</x:v>
      </x:c>
      <x:c r="J11" s="801">
        <x:v>45322</x:v>
      </x:c>
      <x:c r="K11" s="29">
        <x:f>+I11-J11</x:f>
        <x:v>-213</x:v>
      </x:c>
      <x:c r="L11" s="74">
        <x:f>E11*K11</x:f>
        <x:v>-46572.450000000004</x:v>
      </x:c>
    </x:row>
    <x:row r="12" spans="1:12" x14ac:dyDescent="0.25">
      <x:c r="A12" s="3">
        <x:f>A11+1</x:f>
        <x:v>2</x:v>
      </x:c>
      <x:c r="B12" s="602">
        <x:v>45229</x:v>
      </x:c>
      <x:c r="C12" s="603">
        <x:v>163.4</x:v>
      </x:c>
      <x:c r="D12" s="603">
        <x:v>202.04</x:v>
      </x:c>
      <x:c r="E12" s="603">
        <x:f t="shared" ref="E12:E44" si="0">D12+C12</x:f>
        <x:v>365.44</x:v>
      </x:c>
      <x:c r="F12" s="602">
        <x:v>45229</x:v>
      </x:c>
      <x:c r="G12" s="801">
        <x:v>44927</x:v>
      </x:c>
      <x:c r="H12" s="801">
        <x:v>45291</x:v>
      </x:c>
      <x:c r="I12" s="801">
        <x:f t="shared" ref="I12:I18" si="1">+(G12+H12)/2</x:f>
        <x:v>45109</x:v>
      </x:c>
      <x:c r="J12" s="801">
        <x:v>45322</x:v>
      </x:c>
      <x:c r="K12" s="29">
        <x:f t="shared" ref="K12:K35" si="2">+I12-J12</x:f>
        <x:v>-213</x:v>
      </x:c>
      <x:c r="L12" s="29">
        <x:f>E12*K12</x:f>
        <x:v>-77838.720000000001</x:v>
      </x:c>
    </x:row>
    <x:row r="13" spans="1:12" x14ac:dyDescent="0.25">
      <x:c r="A13" s="3">
        <x:f t="shared" ref="A13:A49" si="3">A12+1</x:f>
        <x:v>3</x:v>
      </x:c>
      <x:c r="B13" s="602">
        <x:v>45244</x:v>
      </x:c>
      <x:c r="C13" s="603">
        <x:v>81.37</x:v>
      </x:c>
      <x:c r="D13" s="603">
        <x:v>117.81</x:v>
      </x:c>
      <x:c r="E13" s="603">
        <x:f t="shared" si="0"/>
        <x:v>199.18</x:v>
      </x:c>
      <x:c r="F13" s="602">
        <x:v>45244</x:v>
      </x:c>
      <x:c r="G13" s="801">
        <x:v>44927</x:v>
      </x:c>
      <x:c r="H13" s="801">
        <x:v>45291</x:v>
      </x:c>
      <x:c r="I13" s="801">
        <x:f t="shared" si="1"/>
        <x:v>45109</x:v>
      </x:c>
      <x:c r="J13" s="801">
        <x:v>45322</x:v>
      </x:c>
      <x:c r="K13" s="29">
        <x:f t="shared" si="2"/>
        <x:v>-213</x:v>
      </x:c>
      <x:c r="L13" s="29">
        <x:f t="shared" ref="L13:L33" si="4">E13*K13</x:f>
        <x:v>-42425.340000000004</x:v>
      </x:c>
    </x:row>
    <x:row r="14" spans="1:12" x14ac:dyDescent="0.25">
      <x:c r="A14" s="3">
        <x:f t="shared" si="3"/>
        <x:v>4</x:v>
      </x:c>
      <x:c r="B14" s="602">
        <x:v>45259</x:v>
      </x:c>
      <x:c r="C14" s="603">
        <x:v>85.13</x:v>
      </x:c>
      <x:c r="D14" s="603">
        <x:v>125.22</x:v>
      </x:c>
      <x:c r="E14" s="603">
        <x:f t="shared" si="0"/>
        <x:v>210.35</x:v>
      </x:c>
      <x:c r="F14" s="602">
        <x:v>45259</x:v>
      </x:c>
      <x:c r="G14" s="801">
        <x:v>44927</x:v>
      </x:c>
      <x:c r="H14" s="801">
        <x:v>45291</x:v>
      </x:c>
      <x:c r="I14" s="801">
        <x:f t="shared" si="1"/>
        <x:v>45109</x:v>
      </x:c>
      <x:c r="J14" s="801">
        <x:v>45322</x:v>
      </x:c>
      <x:c r="K14" s="29">
        <x:f t="shared" si="2"/>
        <x:v>-213</x:v>
      </x:c>
      <x:c r="L14" s="29">
        <x:f t="shared" si="4"/>
        <x:v>-44804.549999999996</x:v>
      </x:c>
    </x:row>
    <x:row r="15" spans="1:12" x14ac:dyDescent="0.25">
      <x:c r="A15" s="3">
        <x:f t="shared" si="3"/>
        <x:v>5</x:v>
      </x:c>
      <x:c r="B15" s="602">
        <x:v>45274</x:v>
      </x:c>
      <x:c r="C15" s="603">
        <x:v>111.07</x:v>
      </x:c>
      <x:c r="D15" s="603">
        <x:v>135.04000000000002</x:v>
      </x:c>
      <x:c r="E15" s="603">
        <x:f t="shared" si="0"/>
        <x:v>246.11</x:v>
      </x:c>
      <x:c r="F15" s="602">
        <x:v>45274</x:v>
      </x:c>
      <x:c r="G15" s="801">
        <x:v>44927</x:v>
      </x:c>
      <x:c r="H15" s="801">
        <x:v>45291</x:v>
      </x:c>
      <x:c r="I15" s="801">
        <x:f t="shared" si="1"/>
        <x:v>45109</x:v>
      </x:c>
      <x:c r="J15" s="801">
        <x:v>45322</x:v>
      </x:c>
      <x:c r="K15" s="29">
        <x:f t="shared" si="2"/>
        <x:v>-213</x:v>
      </x:c>
      <x:c r="L15" s="29">
        <x:f t="shared" si="4"/>
        <x:v>-52421.43</x:v>
      </x:c>
    </x:row>
    <x:row r="16" spans="1:12" x14ac:dyDescent="0.25">
      <x:c r="A16" s="3">
        <x:f t="shared" si="3"/>
        <x:v>6</x:v>
      </x:c>
      <x:c r="B16" s="602">
        <x:v>45286</x:v>
      </x:c>
      <x:c r="C16" s="603">
        <x:v>37.75</x:v>
      </x:c>
      <x:c r="D16" s="603">
        <x:v>38.4</x:v>
      </x:c>
      <x:c r="E16" s="603">
        <x:f t="shared" si="0"/>
        <x:v>76.150000000000006</x:v>
      </x:c>
      <x:c r="F16" s="602">
        <x:v>45286</x:v>
      </x:c>
      <x:c r="G16" s="801">
        <x:v>44927</x:v>
      </x:c>
      <x:c r="H16" s="801">
        <x:v>45291</x:v>
      </x:c>
      <x:c r="I16" s="801">
        <x:f t="shared" si="1"/>
        <x:v>45109</x:v>
      </x:c>
      <x:c r="J16" s="801">
        <x:v>45322</x:v>
      </x:c>
      <x:c r="K16" s="29">
        <x:f t="shared" si="2"/>
        <x:v>-213</x:v>
      </x:c>
      <x:c r="L16" s="29">
        <x:f t="shared" si="4"/>
        <x:v>-16219.95</x:v>
      </x:c>
    </x:row>
    <x:row r="17" spans="1:12" x14ac:dyDescent="0.25">
      <x:c r="A17" s="3">
        <x:f t="shared" si="3"/>
        <x:v>7</x:v>
      </x:c>
      <x:c r="B17" s="602">
        <x:v>45288</x:v>
      </x:c>
      <x:c r="C17" s="603">
        <x:v>208</x:v>
      </x:c>
      <x:c r="D17" s="603">
        <x:v>225.13</x:v>
      </x:c>
      <x:c r="E17" s="603">
        <x:f t="shared" si="0"/>
        <x:v>433.13</x:v>
      </x:c>
      <x:c r="F17" s="602">
        <x:v>45288</x:v>
      </x:c>
      <x:c r="G17" s="801">
        <x:v>44927</x:v>
      </x:c>
      <x:c r="H17" s="801">
        <x:v>45291</x:v>
      </x:c>
      <x:c r="I17" s="801">
        <x:f t="shared" si="1"/>
        <x:v>45109</x:v>
      </x:c>
      <x:c r="J17" s="801">
        <x:v>45322</x:v>
      </x:c>
      <x:c r="K17" s="29">
        <x:f t="shared" si="2"/>
        <x:v>-213</x:v>
      </x:c>
      <x:c r="L17" s="29">
        <x:f t="shared" si="4"/>
        <x:v>-92256.69</x:v>
      </x:c>
    </x:row>
    <x:row r="18" spans="1:12" x14ac:dyDescent="0.25">
      <x:c r="A18" s="3">
        <x:f t="shared" si="3"/>
        <x:v>8</x:v>
      </x:c>
      <x:c r="B18" s="602">
        <x:v>45302</x:v>
      </x:c>
      <x:c r="C18" s="603">
        <x:v>32804.370000000003</x:v>
      </x:c>
      <x:c r="D18" s="603">
        <x:v>35105.01</x:v>
      </x:c>
      <x:c r="E18" s="603">
        <x:f t="shared" si="0"/>
        <x:v>67909.38</x:v>
      </x:c>
      <x:c r="F18" s="602">
        <x:v>45302</x:v>
      </x:c>
      <x:c r="G18" s="801">
        <x:v>45292</x:v>
      </x:c>
      <x:c r="H18" s="801">
        <x:v>45657</x:v>
      </x:c>
      <x:c r="I18" s="801">
        <x:f t="shared" si="1"/>
        <x:v>45474.5</x:v>
      </x:c>
      <x:c r="J18" s="801">
        <x:v>45412</x:v>
      </x:c>
      <x:c r="K18" s="29">
        <x:f t="shared" si="2"/>
        <x:v>62.5</x:v>
      </x:c>
      <x:c r="L18" s="29">
        <x:f t="shared" si="4"/>
        <x:v>4244336.25</x:v>
      </x:c>
    </x:row>
    <x:row r="19" spans="1:12" x14ac:dyDescent="0.25">
      <x:c r="A19" s="3">
        <x:f t="shared" si="3"/>
        <x:v>9</x:v>
      </x:c>
      <x:c r="B19" s="602">
        <x:v>45309</x:v>
      </x:c>
      <x:c r="C19" s="603">
        <x:v>9.94</x:v>
      </x:c>
      <x:c r="D19" s="603">
        <x:v>0</x:v>
      </x:c>
      <x:c r="E19" s="603">
        <x:f t="shared" si="0"/>
        <x:v>9.94</x:v>
      </x:c>
      <x:c r="F19" s="602">
        <x:v>45309</x:v>
      </x:c>
      <x:c r="G19" s="801">
        <x:v>45292</x:v>
      </x:c>
      <x:c r="H19" s="801">
        <x:v>45657</x:v>
      </x:c>
      <x:c r="I19" s="801">
        <x:f t="shared" ref="I19" si="5">+(G19+H19)/2</x:f>
        <x:v>45474.5</x:v>
      </x:c>
      <x:c r="J19" s="801">
        <x:v>45412</x:v>
      </x:c>
      <x:c r="K19" s="29">
        <x:f t="shared" si="2"/>
        <x:v>62.5</x:v>
      </x:c>
      <x:c r="L19" s="29">
        <x:f t="shared" si="4"/>
        <x:v>621.25</x:v>
      </x:c>
    </x:row>
    <x:row r="20" spans="1:12" x14ac:dyDescent="0.25">
      <x:c r="A20" s="3">
        <x:f t="shared" si="3"/>
        <x:v>10</x:v>
      </x:c>
      <x:c r="B20" s="602">
        <x:v>45303</x:v>
      </x:c>
      <x:c r="C20" s="603">
        <x:v>586.55999999999995</x:v>
      </x:c>
      <x:c r="D20" s="603">
        <x:v>850.36</x:v>
      </x:c>
      <x:c r="E20" s="603">
        <x:f t="shared" si="0"/>
        <x:v>1436.92</x:v>
      </x:c>
      <x:c r="F20" s="602">
        <x:v>45303</x:v>
      </x:c>
      <x:c r="G20" s="801">
        <x:v>45292</x:v>
      </x:c>
      <x:c r="H20" s="801">
        <x:v>45657</x:v>
      </x:c>
      <x:c r="I20" s="801">
        <x:f t="shared" ref="I20:I30" si="6">+(G20+H20)/2</x:f>
        <x:v>45474.5</x:v>
      </x:c>
      <x:c r="J20" s="801">
        <x:v>45412</x:v>
      </x:c>
      <x:c r="K20" s="29">
        <x:f t="shared" si="2"/>
        <x:v>62.5</x:v>
      </x:c>
      <x:c r="L20" s="29">
        <x:f t="shared" si="4"/>
        <x:v>89807.5</x:v>
      </x:c>
    </x:row>
    <x:row r="21" spans="1:12" x14ac:dyDescent="0.25">
      <x:c r="A21" s="3">
        <x:f t="shared" si="3"/>
        <x:v>11</x:v>
      </x:c>
      <x:c r="B21" s="602">
        <x:v>45316</x:v>
      </x:c>
      <x:c r="C21" s="603">
        <x:v>16017.36</x:v>
      </x:c>
      <x:c r="D21" s="603">
        <x:v>25896.809999999998</x:v>
      </x:c>
      <x:c r="E21" s="603">
        <x:f t="shared" si="0"/>
        <x:v>41914.17</x:v>
      </x:c>
      <x:c r="F21" s="602">
        <x:v>45316</x:v>
      </x:c>
      <x:c r="G21" s="801">
        <x:v>45292</x:v>
      </x:c>
      <x:c r="H21" s="801">
        <x:v>45657</x:v>
      </x:c>
      <x:c r="I21" s="801">
        <x:f t="shared" si="6"/>
        <x:v>45474.5</x:v>
      </x:c>
      <x:c r="J21" s="801">
        <x:v>45412</x:v>
      </x:c>
      <x:c r="K21" s="29">
        <x:f t="shared" si="2"/>
        <x:v>62.5</x:v>
      </x:c>
      <x:c r="L21" s="29">
        <x:f t="shared" si="4"/>
        <x:v>2619635.625</x:v>
      </x:c>
    </x:row>
    <x:row r="22" spans="1:12" x14ac:dyDescent="0.25">
      <x:c r="A22" s="3">
        <x:f t="shared" si="3"/>
        <x:v>12</x:v>
      </x:c>
      <x:c r="B22" s="602">
        <x:v>45323</x:v>
      </x:c>
      <x:c r="C22" s="603">
        <x:v>84.699999999999989</x:v>
      </x:c>
      <x:c r="D22" s="603">
        <x:v>90.17</x:v>
      </x:c>
      <x:c r="E22" s="603">
        <x:f t="shared" si="0"/>
        <x:v>174.87</x:v>
      </x:c>
      <x:c r="F22" s="602">
        <x:v>45323</x:v>
      </x:c>
      <x:c r="G22" s="801">
        <x:v>45292</x:v>
      </x:c>
      <x:c r="H22" s="801">
        <x:v>45657</x:v>
      </x:c>
      <x:c r="I22" s="801">
        <x:f t="shared" si="6"/>
        <x:v>45474.5</x:v>
      </x:c>
      <x:c r="J22" s="801">
        <x:v>45412</x:v>
      </x:c>
      <x:c r="K22" s="29">
        <x:f t="shared" si="2"/>
        <x:v>62.5</x:v>
      </x:c>
      <x:c r="L22" s="29">
        <x:f t="shared" si="4"/>
        <x:v>10929.375</x:v>
      </x:c>
    </x:row>
    <x:row r="23" spans="1:12" x14ac:dyDescent="0.25">
      <x:c r="A23" s="3">
        <x:f t="shared" si="3"/>
        <x:v>13</x:v>
      </x:c>
      <x:c r="B23" s="602">
        <x:v>45330</x:v>
      </x:c>
      <x:c r="C23" s="603">
        <x:v>1472.87</x:v>
      </x:c>
      <x:c r="D23" s="603">
        <x:v>4111.3899999999994</x:v>
      </x:c>
      <x:c r="E23" s="603">
        <x:f t="shared" si="0"/>
        <x:v>5584.2599999999993</x:v>
      </x:c>
      <x:c r="F23" s="602">
        <x:v>45330</x:v>
      </x:c>
      <x:c r="G23" s="801">
        <x:v>45292</x:v>
      </x:c>
      <x:c r="H23" s="801">
        <x:v>45657</x:v>
      </x:c>
      <x:c r="I23" s="801">
        <x:f t="shared" si="6"/>
        <x:v>45474.5</x:v>
      </x:c>
      <x:c r="J23" s="801">
        <x:v>45412</x:v>
      </x:c>
      <x:c r="K23" s="29">
        <x:f t="shared" si="2"/>
        <x:v>62.5</x:v>
      </x:c>
      <x:c r="L23" s="29">
        <x:f t="shared" si="4"/>
        <x:v>349016.24999999994</x:v>
      </x:c>
    </x:row>
    <x:row r="24" spans="1:12" x14ac:dyDescent="0.25">
      <x:c r="A24" s="3">
        <x:f t="shared" si="3"/>
        <x:v>14</x:v>
      </x:c>
      <x:c r="B24" s="602">
        <x:v>45344</x:v>
      </x:c>
      <x:c r="C24" s="603">
        <x:v>378.57</x:v>
      </x:c>
      <x:c r="D24" s="603">
        <x:v>906.61</x:v>
      </x:c>
      <x:c r="E24" s="603">
        <x:f t="shared" si="0"/>
        <x:v>1285.18</x:v>
      </x:c>
      <x:c r="F24" s="602">
        <x:v>45344</x:v>
      </x:c>
      <x:c r="G24" s="801">
        <x:v>45292</x:v>
      </x:c>
      <x:c r="H24" s="801">
        <x:v>45657</x:v>
      </x:c>
      <x:c r="I24" s="801">
        <x:f t="shared" si="6"/>
        <x:v>45474.5</x:v>
      </x:c>
      <x:c r="J24" s="801">
        <x:v>45412</x:v>
      </x:c>
      <x:c r="K24" s="29">
        <x:f t="shared" si="2"/>
        <x:v>62.5</x:v>
      </x:c>
      <x:c r="L24" s="29">
        <x:f t="shared" si="4"/>
        <x:v>80323.75</x:v>
      </x:c>
    </x:row>
    <x:row r="25" spans="1:12" x14ac:dyDescent="0.25">
      <x:c r="A25" s="3">
        <x:f t="shared" si="3"/>
        <x:v>15</x:v>
      </x:c>
      <x:c r="B25" s="602">
        <x:v>45348</x:v>
      </x:c>
      <x:c r="C25" s="603">
        <x:v>7.19</x:v>
      </x:c>
      <x:c r="D25" s="603">
        <x:v>19.010000000000002</x:v>
      </x:c>
      <x:c r="E25" s="603">
        <x:f t="shared" si="0"/>
        <x:v>26.200000000000003</x:v>
      </x:c>
      <x:c r="F25" s="602">
        <x:v>45348</x:v>
      </x:c>
      <x:c r="G25" s="801">
        <x:v>45292</x:v>
      </x:c>
      <x:c r="H25" s="801">
        <x:v>45657</x:v>
      </x:c>
      <x:c r="I25" s="801">
        <x:f t="shared" si="6"/>
        <x:v>45474.5</x:v>
      </x:c>
      <x:c r="J25" s="801">
        <x:v>45412</x:v>
      </x:c>
      <x:c r="K25" s="29">
        <x:f t="shared" si="2"/>
        <x:v>62.5</x:v>
      </x:c>
      <x:c r="L25" s="29">
        <x:f t="shared" si="4"/>
        <x:v>1637.5000000000002</x:v>
      </x:c>
    </x:row>
    <x:row r="26" spans="1:12" x14ac:dyDescent="0.25">
      <x:c r="A26" s="3">
        <x:f t="shared" si="3"/>
        <x:v>16</x:v>
      </x:c>
      <x:c r="B26" s="602">
        <x:v>45358</x:v>
      </x:c>
      <x:c r="C26" s="603">
        <x:v>83.18</x:v>
      </x:c>
      <x:c r="D26" s="603">
        <x:v>218.95</x:v>
      </x:c>
      <x:c r="E26" s="603">
        <x:f t="shared" si="0"/>
        <x:v>302.13</x:v>
      </x:c>
      <x:c r="F26" s="602">
        <x:v>45358</x:v>
      </x:c>
      <x:c r="G26" s="801">
        <x:v>45292</x:v>
      </x:c>
      <x:c r="H26" s="801">
        <x:v>45657</x:v>
      </x:c>
      <x:c r="I26" s="801">
        <x:f t="shared" si="6"/>
        <x:v>45474.5</x:v>
      </x:c>
      <x:c r="J26" s="801">
        <x:v>45412</x:v>
      </x:c>
      <x:c r="K26" s="29">
        <x:f t="shared" si="2"/>
        <x:v>62.5</x:v>
      </x:c>
      <x:c r="L26" s="29">
        <x:f t="shared" si="4"/>
        <x:v>18883.125</x:v>
      </x:c>
    </x:row>
    <x:row r="27" spans="1:12" x14ac:dyDescent="0.25">
      <x:c r="A27" s="3">
        <x:f t="shared" si="3"/>
        <x:v>17</x:v>
      </x:c>
      <x:c r="B27" s="602">
        <x:v>45359</x:v>
      </x:c>
      <x:c r="C27" s="603">
        <x:v>0</x:v>
      </x:c>
      <x:c r="D27" s="603">
        <x:v>2.56</x:v>
      </x:c>
      <x:c r="E27" s="603">
        <x:f t="shared" si="0"/>
        <x:v>2.56</x:v>
      </x:c>
      <x:c r="F27" s="602">
        <x:v>45359</x:v>
      </x:c>
      <x:c r="G27" s="801">
        <x:v>45292</x:v>
      </x:c>
      <x:c r="H27" s="801">
        <x:v>45657</x:v>
      </x:c>
      <x:c r="I27" s="801">
        <x:f t="shared" si="6"/>
        <x:v>45474.5</x:v>
      </x:c>
      <x:c r="J27" s="801">
        <x:v>45412</x:v>
      </x:c>
      <x:c r="K27" s="29">
        <x:f t="shared" si="2"/>
        <x:v>62.5</x:v>
      </x:c>
      <x:c r="L27" s="29">
        <x:f t="shared" si="4"/>
        <x:v>160</x:v>
      </x:c>
    </x:row>
    <x:row r="28" spans="1:12" x14ac:dyDescent="0.25">
      <x:c r="A28" s="3">
        <x:f t="shared" si="3"/>
        <x:v>18</x:v>
      </x:c>
      <x:c r="B28" s="602">
        <x:v>45373</x:v>
      </x:c>
      <x:c r="C28" s="603">
        <x:v>613.6</x:v>
      </x:c>
      <x:c r="D28" s="603">
        <x:v>713.87</x:v>
      </x:c>
      <x:c r="E28" s="603">
        <x:f t="shared" si="0"/>
        <x:v>1327.47</x:v>
      </x:c>
      <x:c r="F28" s="602">
        <x:v>45373</x:v>
      </x:c>
      <x:c r="G28" s="801">
        <x:v>45292</x:v>
      </x:c>
      <x:c r="H28" s="801">
        <x:v>45657</x:v>
      </x:c>
      <x:c r="I28" s="801">
        <x:f t="shared" si="6"/>
        <x:v>45474.5</x:v>
      </x:c>
      <x:c r="J28" s="801">
        <x:v>45412</x:v>
      </x:c>
      <x:c r="K28" s="29">
        <x:f t="shared" si="2"/>
        <x:v>62.5</x:v>
      </x:c>
      <x:c r="L28" s="29">
        <x:f t="shared" si="4"/>
        <x:v>82966.875</x:v>
      </x:c>
    </x:row>
    <x:row r="29" spans="1:12" x14ac:dyDescent="0.25">
      <x:c r="A29" s="3">
        <x:f t="shared" si="3"/>
        <x:v>19</x:v>
      </x:c>
      <x:c r="B29" s="602">
        <x:v>45372</x:v>
      </x:c>
      <x:c r="C29" s="603">
        <x:v>66.91</x:v>
      </x:c>
      <x:c r="D29" s="603">
        <x:v>106.36</x:v>
      </x:c>
      <x:c r="E29" s="603">
        <x:f t="shared" si="0"/>
        <x:v>173.26999999999998</x:v>
      </x:c>
      <x:c r="F29" s="602">
        <x:v>45372</x:v>
      </x:c>
      <x:c r="G29" s="801">
        <x:v>45292</x:v>
      </x:c>
      <x:c r="H29" s="801">
        <x:v>45657</x:v>
      </x:c>
      <x:c r="I29" s="801">
        <x:f t="shared" si="6"/>
        <x:v>45474.5</x:v>
      </x:c>
      <x:c r="J29" s="801">
        <x:v>45412</x:v>
      </x:c>
      <x:c r="K29" s="29">
        <x:f t="shared" si="2"/>
        <x:v>62.5</x:v>
      </x:c>
      <x:c r="L29" s="29">
        <x:f t="shared" si="4"/>
        <x:v>10829.374999999998</x:v>
      </x:c>
    </x:row>
    <x:row r="30" spans="1:12" x14ac:dyDescent="0.25">
      <x:c r="A30" s="3">
        <x:f t="shared" si="3"/>
        <x:v>20</x:v>
      </x:c>
      <x:c r="B30" s="602">
        <x:v>45386</x:v>
      </x:c>
      <x:c r="C30" s="603">
        <x:v>142.33000000000001</x:v>
      </x:c>
      <x:c r="D30" s="603">
        <x:v>189.11</x:v>
      </x:c>
      <x:c r="E30" s="603">
        <x:f t="shared" si="0"/>
        <x:v>331.44000000000005</x:v>
      </x:c>
      <x:c r="F30" s="602">
        <x:v>45386</x:v>
      </x:c>
      <x:c r="G30" s="801">
        <x:v>45292</x:v>
      </x:c>
      <x:c r="H30" s="801">
        <x:v>45657</x:v>
      </x:c>
      <x:c r="I30" s="801">
        <x:f t="shared" si="6"/>
        <x:v>45474.5</x:v>
      </x:c>
      <x:c r="J30" s="801">
        <x:v>45504</x:v>
      </x:c>
      <x:c r="K30" s="29">
        <x:f t="shared" si="2"/>
        <x:v>-29.5</x:v>
      </x:c>
      <x:c r="L30" s="29">
        <x:f t="shared" si="4"/>
        <x:v>-9777.4800000000014</x:v>
      </x:c>
    </x:row>
    <x:row r="31" spans="1:12" x14ac:dyDescent="0.25">
      <x:c r="A31" s="3">
        <x:f t="shared" si="3"/>
        <x:v>21</x:v>
      </x:c>
      <x:c r="B31" s="602">
        <x:v>45400</x:v>
      </x:c>
      <x:c r="C31" s="603">
        <x:v>204.59</x:v>
      </x:c>
      <x:c r="D31" s="603">
        <x:v>244.5</x:v>
      </x:c>
      <x:c r="E31" s="603">
        <x:f t="shared" si="0"/>
        <x:v>449.09000000000003</x:v>
      </x:c>
      <x:c r="F31" s="602">
        <x:v>45400</x:v>
      </x:c>
      <x:c r="G31" s="801">
        <x:v>45292</x:v>
      </x:c>
      <x:c r="H31" s="801">
        <x:v>45657</x:v>
      </x:c>
      <x:c r="I31" s="801">
        <x:f t="shared" ref="I31:I44" si="7">+(G31+H31)/2</x:f>
        <x:v>45474.5</x:v>
      </x:c>
      <x:c r="J31" s="801">
        <x:v>45504</x:v>
      </x:c>
      <x:c r="K31" s="29">
        <x:f t="shared" si="2"/>
        <x:v>-29.5</x:v>
      </x:c>
      <x:c r="L31" s="29">
        <x:f t="shared" si="4"/>
        <x:v>-13248.155000000001</x:v>
      </x:c>
    </x:row>
    <x:row r="32" spans="1:12" x14ac:dyDescent="0.25">
      <x:c r="A32" s="3">
        <x:f t="shared" si="3"/>
        <x:v>22</x:v>
      </x:c>
      <x:c r="B32" s="602">
        <x:v>45414</x:v>
      </x:c>
      <x:c r="C32" s="603">
        <x:v>261.75</x:v>
      </x:c>
      <x:c r="D32" s="603">
        <x:v>297.8</x:v>
      </x:c>
      <x:c r="E32" s="603">
        <x:f t="shared" si="0"/>
        <x:v>559.54999999999995</x:v>
      </x:c>
      <x:c r="F32" s="602">
        <x:v>45414</x:v>
      </x:c>
      <x:c r="G32" s="801">
        <x:v>45292</x:v>
      </x:c>
      <x:c r="H32" s="801">
        <x:v>45657</x:v>
      </x:c>
      <x:c r="I32" s="801">
        <x:f t="shared" si="7"/>
        <x:v>45474.5</x:v>
      </x:c>
      <x:c r="J32" s="801">
        <x:v>45504</x:v>
      </x:c>
      <x:c r="K32" s="29">
        <x:f t="shared" si="2"/>
        <x:v>-29.5</x:v>
      </x:c>
      <x:c r="L32" s="29">
        <x:f t="shared" si="4"/>
        <x:v>-16506.724999999999</x:v>
      </x:c>
    </x:row>
    <x:row r="33" spans="1:12" x14ac:dyDescent="0.25">
      <x:c r="A33" s="3">
        <x:f t="shared" si="3"/>
        <x:v>23</x:v>
      </x:c>
      <x:c r="B33" s="602">
        <x:v>45413</x:v>
      </x:c>
      <x:c r="C33" s="603">
        <x:v>10.8</x:v>
      </x:c>
      <x:c r="D33" s="603">
        <x:v>10.98</x:v>
      </x:c>
      <x:c r="E33" s="603">
        <x:f t="shared" si="0"/>
        <x:v>21.78</x:v>
      </x:c>
      <x:c r="F33" s="602">
        <x:v>45413</x:v>
      </x:c>
      <x:c r="G33" s="801">
        <x:v>45292</x:v>
      </x:c>
      <x:c r="H33" s="801">
        <x:v>45657</x:v>
      </x:c>
      <x:c r="I33" s="801">
        <x:f t="shared" si="7"/>
        <x:v>45474.5</x:v>
      </x:c>
      <x:c r="J33" s="801">
        <x:v>45504</x:v>
      </x:c>
      <x:c r="K33" s="29">
        <x:f t="shared" si="2"/>
        <x:v>-29.5</x:v>
      </x:c>
      <x:c r="L33" s="29">
        <x:f t="shared" si="4"/>
        <x:v>-642.51</x:v>
      </x:c>
    </x:row>
    <x:row r="34" spans="1:12" x14ac:dyDescent="0.25">
      <x:c r="A34" s="3">
        <x:f t="shared" si="3"/>
        <x:v>24</x:v>
      </x:c>
      <x:c r="B34" s="602">
        <x:v>45428</x:v>
      </x:c>
      <x:c r="C34" s="603">
        <x:v>372.43</x:v>
      </x:c>
      <x:c r="D34" s="603">
        <x:v>457.56</x:v>
      </x:c>
      <x:c r="E34" s="603">
        <x:f t="shared" si="0"/>
        <x:v>829.99</x:v>
      </x:c>
      <x:c r="F34" s="602">
        <x:v>45428</x:v>
      </x:c>
      <x:c r="G34" s="801">
        <x:v>45292</x:v>
      </x:c>
      <x:c r="H34" s="801">
        <x:v>45657</x:v>
      </x:c>
      <x:c r="I34" s="801">
        <x:f t="shared" si="7"/>
        <x:v>45474.5</x:v>
      </x:c>
      <x:c r="J34" s="801">
        <x:v>45504</x:v>
      </x:c>
      <x:c r="K34" s="29">
        <x:f t="shared" si="2"/>
        <x:v>-29.5</x:v>
      </x:c>
      <x:c r="L34" s="29">
        <x:f>E34*K34</x:f>
        <x:v>-24484.705000000002</x:v>
      </x:c>
    </x:row>
    <x:row r="35" spans="1:12" x14ac:dyDescent="0.25">
      <x:c r="A35" s="3">
        <x:f t="shared" si="3"/>
        <x:v>25</x:v>
      </x:c>
      <x:c r="B35" s="602">
        <x:v>45442</x:v>
      </x:c>
      <x:c r="C35" s="603">
        <x:v>2216.15</x:v>
      </x:c>
      <x:c r="D35" s="603">
        <x:v>2385.83</x:v>
      </x:c>
      <x:c r="E35" s="603">
        <x:f t="shared" si="0"/>
        <x:v>4601.9799999999996</x:v>
      </x:c>
      <x:c r="F35" s="602">
        <x:v>45442</x:v>
      </x:c>
      <x:c r="G35" s="801">
        <x:v>45292</x:v>
      </x:c>
      <x:c r="H35" s="801">
        <x:v>45657</x:v>
      </x:c>
      <x:c r="I35" s="801">
        <x:f t="shared" si="7"/>
        <x:v>45474.5</x:v>
      </x:c>
      <x:c r="J35" s="801">
        <x:v>45504</x:v>
      </x:c>
      <x:c r="K35" s="29">
        <x:f t="shared" si="2"/>
        <x:v>-29.5</x:v>
      </x:c>
      <x:c r="L35" s="29">
        <x:f>E35*K35</x:f>
        <x:v>-135758.40999999997</x:v>
      </x:c>
    </x:row>
    <x:row r="36" spans="1:12" x14ac:dyDescent="0.25">
      <x:c r="A36" s="3">
        <x:f t="shared" si="3"/>
        <x:v>26</x:v>
      </x:c>
      <x:c r="B36" s="602">
        <x:v>45456</x:v>
      </x:c>
      <x:c r="C36" s="603">
        <x:v>1639.89</x:v>
      </x:c>
      <x:c r="D36" s="603">
        <x:v>2011.49</x:v>
      </x:c>
      <x:c r="E36" s="603">
        <x:f t="shared" si="0"/>
        <x:v>3651.38</x:v>
      </x:c>
      <x:c r="F36" s="602">
        <x:v>45456</x:v>
      </x:c>
      <x:c r="G36" s="801">
        <x:v>45292</x:v>
      </x:c>
      <x:c r="H36" s="801">
        <x:v>45657</x:v>
      </x:c>
      <x:c r="I36" s="801">
        <x:f t="shared" si="7"/>
        <x:v>45474.5</x:v>
      </x:c>
      <x:c r="J36" s="801">
        <x:v>45504</x:v>
      </x:c>
      <x:c r="K36" s="29">
        <x:f t="shared" ref="K36:K41" si="8">+I36-J36</x:f>
        <x:v>-29.5</x:v>
      </x:c>
      <x:c r="L36" s="29">
        <x:f t="shared" ref="L36:L41" si="9">E36*K36</x:f>
        <x:v>-107715.71</x:v>
      </x:c>
    </x:row>
    <x:row r="37" spans="1:12" x14ac:dyDescent="0.25">
      <x:c r="A37" s="3">
        <x:f t="shared" si="3"/>
        <x:v>27</x:v>
      </x:c>
      <x:c r="B37" s="602">
        <x:v>45470</x:v>
      </x:c>
      <x:c r="C37" s="603">
        <x:v>1097.46</x:v>
      </x:c>
      <x:c r="D37" s="603">
        <x:v>1759.8600000000001</x:v>
      </x:c>
      <x:c r="E37" s="603">
        <x:f t="shared" si="0"/>
        <x:v>2857.32</x:v>
      </x:c>
      <x:c r="F37" s="602">
        <x:v>45470</x:v>
      </x:c>
      <x:c r="G37" s="801">
        <x:v>45292</x:v>
      </x:c>
      <x:c r="H37" s="801">
        <x:v>45657</x:v>
      </x:c>
      <x:c r="I37" s="801">
        <x:f t="shared" si="7"/>
        <x:v>45474.5</x:v>
      </x:c>
      <x:c r="J37" s="801">
        <x:v>45504</x:v>
      </x:c>
      <x:c r="K37" s="29">
        <x:f t="shared" si="8"/>
        <x:v>-29.5</x:v>
      </x:c>
      <x:c r="L37" s="29">
        <x:f t="shared" si="9"/>
        <x:v>-84290.94</x:v>
      </x:c>
    </x:row>
    <x:row r="38" spans="1:12" x14ac:dyDescent="0.25">
      <x:c r="A38" s="3">
        <x:f t="shared" si="3"/>
        <x:v>28</x:v>
      </x:c>
      <x:c r="B38" s="602">
        <x:v>45484</x:v>
      </x:c>
      <x:c r="C38" s="603">
        <x:v>323.99</x:v>
      </x:c>
      <x:c r="D38" s="603">
        <x:v>736.52</x:v>
      </x:c>
      <x:c r="E38" s="603">
        <x:f t="shared" si="0"/>
        <x:v>1060.51</x:v>
      </x:c>
      <x:c r="F38" s="602">
        <x:v>45484</x:v>
      </x:c>
      <x:c r="G38" s="801">
        <x:v>45292</x:v>
      </x:c>
      <x:c r="H38" s="801">
        <x:v>45657</x:v>
      </x:c>
      <x:c r="I38" s="801">
        <x:f t="shared" si="7"/>
        <x:v>45474.5</x:v>
      </x:c>
      <x:c r="J38" s="801">
        <x:v>45596</x:v>
      </x:c>
      <x:c r="K38" s="29">
        <x:f t="shared" si="8"/>
        <x:v>-121.5</x:v>
      </x:c>
      <x:c r="L38" s="29">
        <x:f t="shared" si="9"/>
        <x:v>-128851.965</x:v>
      </x:c>
    </x:row>
    <x:row r="39" spans="1:12" x14ac:dyDescent="0.25">
      <x:c r="A39" s="3">
        <x:f t="shared" si="3"/>
        <x:v>29</x:v>
      </x:c>
      <x:c r="B39" s="602">
        <x:v>45498</x:v>
      </x:c>
      <x:c r="C39" s="603">
        <x:v>196.93</x:v>
      </x:c>
      <x:c r="D39" s="603">
        <x:v>334.91999999999996</x:v>
      </x:c>
      <x:c r="E39" s="603">
        <x:f t="shared" si="0"/>
        <x:v>531.84999999999991</x:v>
      </x:c>
      <x:c r="F39" s="602">
        <x:v>45498</x:v>
      </x:c>
      <x:c r="G39" s="801">
        <x:v>45292</x:v>
      </x:c>
      <x:c r="H39" s="801">
        <x:v>45657</x:v>
      </x:c>
      <x:c r="I39" s="801">
        <x:f t="shared" si="7"/>
        <x:v>45474.5</x:v>
      </x:c>
      <x:c r="J39" s="801">
        <x:v>45596</x:v>
      </x:c>
      <x:c r="K39" s="29">
        <x:f t="shared" si="8"/>
        <x:v>-121.5</x:v>
      </x:c>
      <x:c r="L39" s="29">
        <x:f t="shared" si="9"/>
        <x:v>-64619.774999999987</x:v>
      </x:c>
    </x:row>
    <x:row r="40" spans="1:12" x14ac:dyDescent="0.25">
      <x:c r="A40" s="3">
        <x:f t="shared" si="3"/>
        <x:v>30</x:v>
      </x:c>
      <x:c r="B40" s="602">
        <x:v>45512</x:v>
      </x:c>
      <x:c r="C40" s="603">
        <x:v>180.29</x:v>
      </x:c>
      <x:c r="D40" s="603">
        <x:v>236.85000000000002</x:v>
      </x:c>
      <x:c r="E40" s="603">
        <x:f t="shared" si="0"/>
        <x:v>417.14</x:v>
      </x:c>
      <x:c r="F40" s="602">
        <x:v>45512</x:v>
      </x:c>
      <x:c r="G40" s="801">
        <x:v>45292</x:v>
      </x:c>
      <x:c r="H40" s="801">
        <x:v>45657</x:v>
      </x:c>
      <x:c r="I40" s="801">
        <x:f t="shared" si="7"/>
        <x:v>45474.5</x:v>
      </x:c>
      <x:c r="J40" s="801">
        <x:v>45596</x:v>
      </x:c>
      <x:c r="K40" s="29">
        <x:f t="shared" si="8"/>
        <x:v>-121.5</x:v>
      </x:c>
      <x:c r="L40" s="29">
        <x:f t="shared" si="9"/>
        <x:v>-50682.509999999995</x:v>
      </x:c>
    </x:row>
    <x:row r="41" spans="1:12" x14ac:dyDescent="0.25">
      <x:c r="A41" s="3">
        <x:f t="shared" si="3"/>
        <x:v>31</x:v>
      </x:c>
      <x:c r="B41" s="602">
        <x:v>45526</x:v>
      </x:c>
      <x:c r="C41" s="603">
        <x:v>177.78</x:v>
      </x:c>
      <x:c r="D41" s="603">
        <x:v>250.44</x:v>
      </x:c>
      <x:c r="E41" s="603">
        <x:f t="shared" si="0"/>
        <x:v>428.22</x:v>
      </x:c>
      <x:c r="F41" s="602">
        <x:v>45526</x:v>
      </x:c>
      <x:c r="G41" s="801">
        <x:v>45292</x:v>
      </x:c>
      <x:c r="H41" s="801">
        <x:v>45657</x:v>
      </x:c>
      <x:c r="I41" s="801">
        <x:f t="shared" si="7"/>
        <x:v>45474.5</x:v>
      </x:c>
      <x:c r="J41" s="801">
        <x:v>45596</x:v>
      </x:c>
      <x:c r="K41" s="29">
        <x:f t="shared" si="8"/>
        <x:v>-121.5</x:v>
      </x:c>
      <x:c r="L41" s="29">
        <x:f t="shared" si="9"/>
        <x:v>-52028.73</x:v>
      </x:c>
    </x:row>
    <x:row r="42" spans="1:12" x14ac:dyDescent="0.25">
      <x:c r="A42" s="3">
        <x:f t="shared" si="3"/>
        <x:v>32</x:v>
      </x:c>
      <x:c r="B42" s="602">
        <x:v>45540</x:v>
      </x:c>
      <x:c r="C42" s="603">
        <x:v>208.57</x:v>
      </x:c>
      <x:c r="D42" s="603">
        <x:v>254.95999999999998</x:v>
      </x:c>
      <x:c r="E42" s="603">
        <x:f t="shared" si="0"/>
        <x:v>463.53</x:v>
      </x:c>
      <x:c r="F42" s="602">
        <x:v>45540</x:v>
      </x:c>
      <x:c r="G42" s="801">
        <x:v>45292</x:v>
      </x:c>
      <x:c r="H42" s="801">
        <x:v>45657</x:v>
      </x:c>
      <x:c r="I42" s="801">
        <x:f t="shared" si="7"/>
        <x:v>45474.5</x:v>
      </x:c>
      <x:c r="J42" s="801">
        <x:v>45596</x:v>
      </x:c>
      <x:c r="K42" s="29">
        <x:f>+I42-J42</x:f>
        <x:v>-121.5</x:v>
      </x:c>
      <x:c r="L42" s="29">
        <x:f>E42*K42</x:f>
        <x:v>-56318.894999999997</x:v>
      </x:c>
    </x:row>
    <x:row r="43" spans="1:12" x14ac:dyDescent="0.25">
      <x:c r="A43" s="3">
        <x:f t="shared" si="3"/>
        <x:v>33</x:v>
      </x:c>
      <x:c r="B43" s="602">
        <x:v>45541</x:v>
      </x:c>
      <x:c r="C43" s="603">
        <x:v>1.67</x:v>
      </x:c>
      <x:c r="D43" s="603">
        <x:v>2.0299999999999998</x:v>
      </x:c>
      <x:c r="E43" s="603">
        <x:f t="shared" si="0"/>
        <x:v>3.6999999999999997</x:v>
      </x:c>
      <x:c r="F43" s="602">
        <x:v>45541</x:v>
      </x:c>
      <x:c r="G43" s="801">
        <x:v>45292</x:v>
      </x:c>
      <x:c r="H43" s="801">
        <x:v>45657</x:v>
      </x:c>
      <x:c r="I43" s="801">
        <x:f t="shared" si="7"/>
        <x:v>45474.5</x:v>
      </x:c>
      <x:c r="J43" s="801">
        <x:v>45596</x:v>
      </x:c>
      <x:c r="K43" s="29">
        <x:f>+I43-J43</x:f>
        <x:v>-121.5</x:v>
      </x:c>
      <x:c r="L43" s="29">
        <x:f>E43*K43</x:f>
        <x:v>-449.54999999999995</x:v>
      </x:c>
    </x:row>
    <x:row r="44" spans="1:12" x14ac:dyDescent="0.25">
      <x:c r="A44" s="3">
        <x:f t="shared" si="3"/>
        <x:v>34</x:v>
      </x:c>
      <x:c r="B44" s="602">
        <x:v>45554</x:v>
      </x:c>
      <x:c r="C44" s="603">
        <x:v>215.83</x:v>
      </x:c>
      <x:c r="D44" s="603">
        <x:v>251.22</x:v>
      </x:c>
      <x:c r="E44" s="603">
        <x:f t="shared" si="0"/>
        <x:v>467.05</x:v>
      </x:c>
      <x:c r="F44" s="602">
        <x:v>45554</x:v>
      </x:c>
      <x:c r="G44" s="801">
        <x:v>45292</x:v>
      </x:c>
      <x:c r="H44" s="801">
        <x:v>45657</x:v>
      </x:c>
      <x:c r="I44" s="801">
        <x:f t="shared" si="7"/>
        <x:v>45474.5</x:v>
      </x:c>
      <x:c r="J44" s="801">
        <x:v>45596</x:v>
      </x:c>
      <x:c r="K44" s="29">
        <x:f t="shared" ref="K44" si="10">+I44-J44</x:f>
        <x:v>-121.5</x:v>
      </x:c>
      <x:c r="L44" s="29">
        <x:f t="shared" ref="L44" si="11">E44*K44</x:f>
        <x:v>-56746.575000000004</x:v>
      </x:c>
    </x:row>
    <x:row r="45" spans="1:12" x14ac:dyDescent="0.25">
      <x:c r="A45" s="3">
        <x:f t="shared" si="3"/>
        <x:v>35</x:v>
      </x:c>
      <x:c r="B45" s="602"/>
      <x:c r="C45" s="603"/>
      <x:c r="D45" s="603"/>
      <x:c r="E45" s="603"/>
      <x:c r="F45" s="602"/>
      <x:c r="G45" s="602"/>
      <x:c r="H45" s="602"/>
      <x:c r="I45" s="602"/>
      <x:c r="J45" s="602"/>
      <x:c r="K45" s="602"/>
      <x:c r="L45" s="29"/>
    </x:row>
    <x:row r="46" spans="1:12" ht="13.25" thickBot="1" x14ac:dyDescent="0.3">
      <x:c r="A46" s="3">
        <x:f t="shared" si="3"/>
        <x:v>36</x:v>
      </x:c>
      <x:c r="B46" s="3" t="s">
        <x:v>26</x:v>
      </x:c>
      <x:c r="C46" s="387">
        <x:f>SUM(C11:C45)</x:f>
        <x:v>60147.110000000008</x:v>
      </x:c>
      <x:c r="D46" s="387">
        <x:f>SUM(D11:D45)</x:f>
        <x:v>78422.780000000013</x:v>
      </x:c>
      <x:c r="E46" s="387">
        <x:f>SUM(E11:E45)</x:f>
        <x:v>138569.89000000001</x:v>
      </x:c>
      <x:c r="F46" s="602"/>
      <x:c r="G46" s="60"/>
      <x:c r="H46" s="60"/>
      <x:c r="I46" s="60"/>
      <x:c r="J46" s="60"/>
      <x:c r="K46" s="390">
        <x:f>ROUND(L46/E46,2)</x:f>
        <x:v>46.12</x:v>
      </x:c>
      <x:c r="L46" s="387">
        <x:f>SUM(L11:L43)</x:f>
        <x:v>6391231.6849999996</x:v>
      </x:c>
    </x:row>
    <x:row r="47" spans="1:12" ht="13.25" thickTop="1" x14ac:dyDescent="0.25">
      <x:c r="A47" s="3">
        <x:f t="shared" si="3"/>
        <x:v>37</x:v>
      </x:c>
      <x:c r="B47" s="602"/>
      <x:c r="C47" s="603"/>
      <x:c r="D47" s="603"/>
      <x:c r="E47" s="603"/>
      <x:c r="F47" s="602"/>
    </x:row>
    <x:row r="48" spans="1:12" x14ac:dyDescent="0.25">
      <x:c r="A48" s="3">
        <x:f t="shared" si="3"/>
        <x:v>38</x:v>
      </x:c>
    </x:row>
    <x:row r="49" spans="1:3" x14ac:dyDescent="0.25">
      <x:c r="A49" s="3">
        <x:f t="shared" si="3"/>
        <x:v>39</x:v>
      </x:c>
      <x:c r="B49" s="1" t="s">
        <x:v>230</x:v>
      </x:c>
      <x:c r="C49" s="290" t="s">
        <x:v>448</x:v>
      </x:c>
    </x:row>
  </x:sheetData>
  <x:mergeCells count="1">
    <x:mergeCell ref="G7:I7"/>
  </x:mergeCells>
  <x:phoneticPr fontId="0" type="noConversion"/>
  <x:hyperlinks>
    <x:hyperlink ref="C49" r:id="rId1" xr:uid="{00000000-0004-0000-2700-000000000000}"/>
  </x:hyperlinks>
  <x:printOptions horizontalCentered="1"/>
  <x:pageMargins left="0.5" right="0.5" top="1.5" bottom="0.5" header="1" footer="0.5"/>
  <x:pageSetup scale="91" fitToHeight="2" orientation="landscape" r:id="rId2"/>
  <x:headerFooter alignWithMargins="0">
    <x:oddHeader>&amp;RWP/II-B-9/&amp;A
Page &amp;P of &amp;N</x:oddHeader>
  </x:headerFooter>
  <x:rowBreaks count="1" manualBreakCount="1">
    <x:brk id="33" max="16383" man="1"/>
  </x:rowBreaks>
</x:worksheet>
</file>

<file path=xl/worksheets/sheet4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800-000000000000}" mc:Ignorable="x14ac xr xr2 xr3">
  <x:sheetPr codeName="Sheet24">
    <x:tabColor rgb="FF92D050"/>
    <x:pageSetUpPr fitToPage="1"/>
  </x:sheetPr>
  <x:dimension ref="A1:I28"/>
  <x:sheetViews>
    <x:sheetView showGridLines="0" zoomScaleNormal="100" workbookViewId="0">
      <x:selection activeCell="D37" sqref="D37"/>
    </x:sheetView>
  </x:sheetViews>
  <x:sheetFormatPr defaultRowHeight="12.7" x14ac:dyDescent="0.25"/>
  <x:cols>
    <x:col min="1" max="1" width="5.5546875" customWidth="1"/>
    <x:col min="2" max="2" width="12.44140625" customWidth="1"/>
    <x:col min="3" max="3" width="15.44140625" bestFit="1" customWidth="1"/>
    <x:col min="4" max="4" width="11.44140625" bestFit="1" customWidth="1"/>
    <x:col min="5" max="5" width="21.88671875" customWidth="1"/>
    <x:col min="6" max="6" width="17.5546875" bestFit="1" customWidth="1"/>
    <x:col min="9" max="9" width="21.44140625" bestFit="1" customWidth="1"/>
  </x:cols>
  <x:sheetData>
    <x:row r="1" spans="1:9" s="292" customFormat="1" x14ac:dyDescent="0.25">
      <x:c r="A1" s="180" t="s">
        <x:v>523</x:v>
      </x:c>
      <x:c r="B1" s="180"/>
      <x:c r="C1" s="180"/>
    </x:row>
    <x:row r="2" spans="1:9" s="292" customFormat="1" x14ac:dyDescent="0.25">
      <x:c r="A2" s="180" t="str">
        <x:f>' '!A2</x:f>
        <x:v>ONCOR ELECTRIC DELIVERY COMPANY LLC</x:v>
      </x:c>
      <x:c r="B2" s="180"/>
      <x:c r="C2" s="180"/>
    </x:row>
    <x:row r="3" spans="1:9" s="292" customFormat="1" x14ac:dyDescent="0.25">
      <x:c r="A3" s="180" t="s">
        <x:v>320</x:v>
      </x:c>
      <x:c r="B3" s="180"/>
      <x:c r="C3" s="180"/>
      <x:c r="D3" s="180"/>
      <x:c r="E3" s="180"/>
      <x:c r="F3" s="180"/>
    </x:row>
    <x:row r="4" spans="1:9" s="292" customFormat="1" x14ac:dyDescent="0.25">
      <x:c r="A4" s="767" t="s">
        <x:v>524</x:v>
      </x:c>
      <x:c r="B4" s="180"/>
      <x:c r="C4" s="180"/>
    </x:row>
    <x:row r="5" spans="1:9" s="292" customFormat="1" x14ac:dyDescent="0.25">
      <x:c r="A5" s="180" t="s">
        <x:v>486</x:v>
      </x:c>
      <x:c r="B5" s="180"/>
      <x:c r="C5" s="180"/>
      <x:c r="H5" s="292" t="s">
        <x:v>464</x:v>
      </x:c>
    </x:row>
    <x:row r="7" spans="1:9" ht="25.35" x14ac:dyDescent="0.25">
      <x:c r="A7" s="32" t="s">
        <x:v>40</x:v>
      </x:c>
      <x:c r="B7" s="32" t="s">
        <x:v>56</x:v>
      </x:c>
      <x:c r="C7" s="32" t="s">
        <x:v>86</x:v>
      </x:c>
      <x:c r="D7" s="32" t="s">
        <x:v>87</x:v>
      </x:c>
      <x:c r="E7" s="32" t="s">
        <x:v>238</x:v>
      </x:c>
      <x:c r="F7" s="32" t="s">
        <x:v>44</x:v>
      </x:c>
    </x:row>
    <x:row r="8" spans="1:9" x14ac:dyDescent="0.25">
      <x:c r="A8" s="38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</x:row>
    <x:row r="9" spans="1:9" x14ac:dyDescent="0.25">
      <x:c r="A9" s="1"/>
      <x:c r="B9" s="1"/>
      <x:c r="C9" s="1"/>
      <x:c r="D9" s="1"/>
      <x:c r="E9" s="1"/>
      <x:c r="F9" s="23"/>
    </x:row>
    <x:row r="10" spans="1:9" x14ac:dyDescent="0.25">
      <x:c r="A10" s="3">
        <x:v>1</x:v>
      </x:c>
      <x:c r="B10" s="24">
        <x:v>45200</x:v>
      </x:c>
      <x:c r="C10" s="435">
        <x:v>45230</x:v>
      </x:c>
      <x:c r="D10" s="436">
        <x:f t="shared" ref="D10:D21" si="0">IF(C10=0,"",DATE(YEAR(C10),MONTH(C10),1)+INT(DAY(DATE(YEAR(C10),MONTH(C10)+1,1)-1)/2))-1</x:f>
        <x:v>45214</x:v>
      </x:c>
      <x:c r="E10" s="679">
        <x:v>45061</x:v>
      </x:c>
      <x:c r="F10" s="368">
        <x:f t="shared" ref="F10:F21" si="1">D10-E10</x:f>
        <x:v>153</x:v>
      </x:c>
      <x:c r="I10" s="469"/>
    </x:row>
    <x:row r="11" spans="1:9" x14ac:dyDescent="0.25">
      <x:c r="A11" s="3">
        <x:v>2</x:v>
      </x:c>
      <x:c r="B11" s="24">
        <x:f>B10+31</x:f>
        <x:v>45231</x:v>
      </x:c>
      <x:c r="C11" s="435">
        <x:v>45260</x:v>
      </x:c>
      <x:c r="D11" s="436">
        <x:f t="shared" si="0"/>
        <x:v>45245</x:v>
      </x:c>
      <x:c r="E11" s="679">
        <x:v>45061</x:v>
      </x:c>
      <x:c r="F11" s="368">
        <x:f t="shared" si="1"/>
        <x:v>184</x:v>
      </x:c>
    </x:row>
    <x:row r="12" spans="1:9" x14ac:dyDescent="0.25">
      <x:c r="A12" s="3">
        <x:v>3</x:v>
      </x:c>
      <x:c r="B12" s="24">
        <x:f>B11+30</x:f>
        <x:v>45261</x:v>
      </x:c>
      <x:c r="C12" s="435">
        <x:v>45291</x:v>
      </x:c>
      <x:c r="D12" s="436">
        <x:f t="shared" si="0"/>
        <x:v>45275</x:v>
      </x:c>
      <x:c r="E12" s="679">
        <x:v>45061</x:v>
      </x:c>
      <x:c r="F12" s="368">
        <x:f t="shared" si="1"/>
        <x:v>214</x:v>
      </x:c>
      <x:c r="I12" s="469"/>
    </x:row>
    <x:row r="13" spans="1:9" x14ac:dyDescent="0.25">
      <x:c r="A13" s="3">
        <x:v>4</x:v>
      </x:c>
      <x:c r="B13" s="24">
        <x:f>B12+31</x:f>
        <x:v>45292</x:v>
      </x:c>
      <x:c r="C13" s="435">
        <x:v>45322</x:v>
      </x:c>
      <x:c r="D13" s="436">
        <x:f t="shared" si="0"/>
        <x:v>45306</x:v>
      </x:c>
      <x:c r="E13" s="679">
        <x:v>45427</x:v>
      </x:c>
      <x:c r="F13" s="368">
        <x:f t="shared" si="1"/>
        <x:v>-121</x:v>
      </x:c>
    </x:row>
    <x:row r="14" spans="1:9" x14ac:dyDescent="0.25">
      <x:c r="A14" s="3">
        <x:v>5</x:v>
      </x:c>
      <x:c r="B14" s="24">
        <x:f>B13+31</x:f>
        <x:v>45323</x:v>
      </x:c>
      <x:c r="C14" s="678">
        <x:v>45351</x:v>
      </x:c>
      <x:c r="D14" s="436">
        <x:f t="shared" si="0"/>
        <x:v>45336</x:v>
      </x:c>
      <x:c r="E14" s="679">
        <x:v>45427</x:v>
      </x:c>
      <x:c r="F14" s="368">
        <x:f t="shared" si="1"/>
        <x:v>-91</x:v>
      </x:c>
    </x:row>
    <x:row r="15" spans="1:9" x14ac:dyDescent="0.25">
      <x:c r="A15" s="3">
        <x:v>6</x:v>
      </x:c>
      <x:c r="B15" s="24">
        <x:f>B14+29</x:f>
        <x:v>45352</x:v>
      </x:c>
      <x:c r="C15" s="435">
        <x:v>45382</x:v>
      </x:c>
      <x:c r="D15" s="436">
        <x:f t="shared" si="0"/>
        <x:v>45366</x:v>
      </x:c>
      <x:c r="E15" s="679">
        <x:v>45427</x:v>
      </x:c>
      <x:c r="F15" s="368">
        <x:f t="shared" si="1"/>
        <x:v>-61</x:v>
      </x:c>
    </x:row>
    <x:row r="16" spans="1:9" x14ac:dyDescent="0.25">
      <x:c r="A16" s="3">
        <x:v>7</x:v>
      </x:c>
      <x:c r="B16" s="24">
        <x:f>B15+31</x:f>
        <x:v>45383</x:v>
      </x:c>
      <x:c r="C16" s="435">
        <x:v>45412</x:v>
      </x:c>
      <x:c r="D16" s="436">
        <x:f t="shared" si="0"/>
        <x:v>45397</x:v>
      </x:c>
      <x:c r="E16" s="679">
        <x:v>45427</x:v>
      </x:c>
      <x:c r="F16" s="368">
        <x:f t="shared" si="1"/>
        <x:v>-30</x:v>
      </x:c>
    </x:row>
    <x:row r="17" spans="1:6" x14ac:dyDescent="0.25">
      <x:c r="A17" s="3">
        <x:v>8</x:v>
      </x:c>
      <x:c r="B17" s="24">
        <x:f>B16+30</x:f>
        <x:v>45413</x:v>
      </x:c>
      <x:c r="C17" s="435">
        <x:v>45443</x:v>
      </x:c>
      <x:c r="D17" s="436">
        <x:f t="shared" si="0"/>
        <x:v>45427</x:v>
      </x:c>
      <x:c r="E17" s="679">
        <x:v>45427</x:v>
      </x:c>
      <x:c r="F17" s="368">
        <x:f t="shared" si="1"/>
        <x:v>0</x:v>
      </x:c>
    </x:row>
    <x:row r="18" spans="1:6" x14ac:dyDescent="0.25">
      <x:c r="A18" s="3">
        <x:v>9</x:v>
      </x:c>
      <x:c r="B18" s="24">
        <x:f>B17+31</x:f>
        <x:v>45444</x:v>
      </x:c>
      <x:c r="C18" s="435">
        <x:v>45473</x:v>
      </x:c>
      <x:c r="D18" s="436">
        <x:f t="shared" si="0"/>
        <x:v>45458</x:v>
      </x:c>
      <x:c r="E18" s="679">
        <x:v>45427</x:v>
      </x:c>
      <x:c r="F18" s="368">
        <x:f t="shared" si="1"/>
        <x:v>31</x:v>
      </x:c>
    </x:row>
    <x:row r="19" spans="1:6" x14ac:dyDescent="0.25">
      <x:c r="A19" s="3">
        <x:v>10</x:v>
      </x:c>
      <x:c r="B19" s="24">
        <x:f>B18+30</x:f>
        <x:v>45474</x:v>
      </x:c>
      <x:c r="C19" s="435">
        <x:v>45504</x:v>
      </x:c>
      <x:c r="D19" s="436">
        <x:f t="shared" si="0"/>
        <x:v>45488</x:v>
      </x:c>
      <x:c r="E19" s="679">
        <x:v>45427</x:v>
      </x:c>
      <x:c r="F19" s="368">
        <x:f t="shared" si="1"/>
        <x:v>61</x:v>
      </x:c>
    </x:row>
    <x:row r="20" spans="1:6" x14ac:dyDescent="0.25">
      <x:c r="A20" s="3">
        <x:v>11</x:v>
      </x:c>
      <x:c r="B20" s="24">
        <x:f>B19+31</x:f>
        <x:v>45505</x:v>
      </x:c>
      <x:c r="C20" s="435">
        <x:v>45535</x:v>
      </x:c>
      <x:c r="D20" s="436">
        <x:f t="shared" si="0"/>
        <x:v>45519</x:v>
      </x:c>
      <x:c r="E20" s="679">
        <x:v>45427</x:v>
      </x:c>
      <x:c r="F20" s="368">
        <x:f t="shared" si="1"/>
        <x:v>92</x:v>
      </x:c>
    </x:row>
    <x:row r="21" spans="1:6" x14ac:dyDescent="0.25">
      <x:c r="A21" s="3">
        <x:v>12</x:v>
      </x:c>
      <x:c r="B21" s="24">
        <x:f>B20+31</x:f>
        <x:v>45536</x:v>
      </x:c>
      <x:c r="C21" s="435">
        <x:v>45565</x:v>
      </x:c>
      <x:c r="D21" s="436">
        <x:f t="shared" si="0"/>
        <x:v>45550</x:v>
      </x:c>
      <x:c r="E21" s="679">
        <x:v>45427</x:v>
      </x:c>
      <x:c r="F21" s="369">
        <x:f t="shared" si="1"/>
        <x:v>123</x:v>
      </x:c>
    </x:row>
    <x:row r="22" spans="1:6" x14ac:dyDescent="0.25">
      <x:c r="A22" s="3">
        <x:v>13</x:v>
      </x:c>
      <x:c r="B22" s="1"/>
      <x:c r="C22" s="92"/>
      <x:c r="D22" s="3"/>
      <x:c r="E22" s="679"/>
      <x:c r="F22" s="1"/>
    </x:row>
    <x:row r="23" spans="1:6" ht="13.25" thickBot="1" x14ac:dyDescent="0.3">
      <x:c r="A23" s="3">
        <x:v>14</x:v>
      </x:c>
      <x:c r="B23" s="3" t="s">
        <x:v>225</x:v>
      </x:c>
      <x:c r="C23" s="92"/>
      <x:c r="D23" s="1"/>
      <x:c r="E23" s="531"/>
      <x:c r="F23" s="370">
        <x:f>ROUND(AVERAGE(F10:F21),2)</x:f>
        <x:v>46.25</x:v>
      </x:c>
    </x:row>
    <x:row r="24" spans="1:6" ht="13.25" thickTop="1" x14ac:dyDescent="0.25">
      <x:c r="E24" s="531"/>
    </x:row>
    <x:row r="28" spans="1:6" x14ac:dyDescent="0.25">
      <x:c r="D28" s="774"/>
    </x:row>
  </x:sheetData>
  <x:phoneticPr fontId="0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4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900-000000000000}" mc:Ignorable="x14ac xr xr2 xr3">
  <x:sheetPr codeName="Sheet28">
    <x:tabColor rgb="FF92D050"/>
  </x:sheetPr>
  <x:dimension ref="A1:N53"/>
  <x:sheetViews>
    <x:sheetView topLeftCell="A16" zoomScaleNormal="100" zoomScaleSheetLayoutView="100" workbookViewId="0">
      <x:selection activeCell="D37" sqref="D37"/>
    </x:sheetView>
  </x:sheetViews>
  <x:sheetFormatPr defaultRowHeight="12.7" x14ac:dyDescent="0.25"/>
  <x:cols>
    <x:col min="1" max="1" width="5.44140625" customWidth="1"/>
    <x:col min="2" max="2" width="19.44140625" customWidth="1"/>
    <x:col min="3" max="5" width="16.109375" customWidth="1"/>
    <x:col min="6" max="6" width="17" style="175" customWidth="1"/>
    <x:col min="7" max="7" width="17.88671875" style="292" customWidth="1"/>
    <x:col min="8" max="8" width="22" style="228" customWidth="1"/>
    <x:col min="9" max="9" width="15" bestFit="1" customWidth="1"/>
    <x:col min="10" max="10" width="15" style="292" bestFit="1" customWidth="1"/>
    <x:col min="11" max="11" width="15" bestFit="1" customWidth="1"/>
    <x:col min="13" max="13" width="13.5546875" bestFit="1" customWidth="1"/>
  </x:cols>
  <x:sheetData>
    <x:row r="1" spans="1:14" s="292" customFormat="1" x14ac:dyDescent="0.25">
      <x:c r="A1" s="180" t="s">
        <x:v>523</x:v>
      </x:c>
      <x:c r="B1" s="180"/>
      <x:c r="C1" s="180"/>
      <x:c r="D1" s="180"/>
      <x:c r="E1" s="180"/>
      <x:c r="H1" s="335"/>
    </x:row>
    <x:row r="2" spans="1:14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  <x:c r="H2" s="335"/>
    </x:row>
    <x:row r="3" spans="1:14" s="292" customFormat="1" x14ac:dyDescent="0.25">
      <x:c r="A3" s="180" t="s">
        <x:v>517</x:v>
      </x:c>
      <x:c r="B3" s="180"/>
      <x:c r="C3" s="180"/>
      <x:c r="D3" s="180"/>
      <x:c r="E3" s="180"/>
      <x:c r="H3" s="335"/>
    </x:row>
    <x:row r="4" spans="1:14" s="292" customFormat="1" x14ac:dyDescent="0.25">
      <x:c r="A4" s="767" t="s">
        <x:v>524</x:v>
      </x:c>
      <x:c r="B4" s="180"/>
      <x:c r="C4" s="180"/>
      <x:c r="D4" s="180"/>
      <x:c r="E4" s="180"/>
      <x:c r="H4" s="335"/>
    </x:row>
    <x:row r="5" spans="1:14" s="292" customFormat="1" x14ac:dyDescent="0.25">
      <x:c r="A5" s="180" t="s">
        <x:v>486</x:v>
      </x:c>
      <x:c r="B5" s="180"/>
      <x:c r="C5" s="180"/>
      <x:c r="D5" s="180"/>
      <x:c r="E5" s="180"/>
      <x:c r="H5" s="335" t="s">
        <x:v>464</x:v>
      </x:c>
    </x:row>
    <x:row r="7" spans="1:14" ht="15.55" x14ac:dyDescent="0.3">
      <x:c r="A7" s="22" t="s">
        <x:v>35</x:v>
      </x:c>
      <x:c r="B7" s="251"/>
      <x:c r="C7" s="176" t="s">
        <x:v>26</x:v>
      </x:c>
      <x:c r="D7" s="176" t="s">
        <x:v>275</x:v>
      </x:c>
      <x:c r="E7" s="176" t="s">
        <x:v>276</x:v>
      </x:c>
      <x:c r="F7" s="34"/>
      <x:c r="G7" s="293" t="s">
        <x:v>93</x:v>
      </x:c>
      <x:c r="H7" s="507"/>
    </x:row>
    <x:row r="8" spans="1:14" x14ac:dyDescent="0.25">
      <x:c r="A8" s="56" t="s">
        <x:v>36</x:v>
      </x:c>
      <x:c r="B8" s="269" t="s">
        <x:v>187</x:v>
      </x:c>
      <x:c r="C8" s="177" t="s">
        <x:v>24</x:v>
      </x:c>
      <x:c r="D8" s="177" t="s">
        <x:v>234</x:v>
      </x:c>
      <x:c r="E8" s="177" t="s">
        <x:v>277</x:v>
      </x:c>
      <x:c r="F8" s="56" t="s">
        <x:v>41</x:v>
      </x:c>
      <x:c r="G8" s="294" t="s">
        <x:v>72</x:v>
      </x:c>
      <x:c r="H8" s="507"/>
    </x:row>
    <x:row r="9" spans="1:14" x14ac:dyDescent="0.25">
      <x:c r="A9" s="22"/>
      <x:c r="B9" s="8" t="s">
        <x:v>50</x:v>
      </x:c>
      <x:c r="C9" s="8" t="s">
        <x:v>51</x:v>
      </x:c>
      <x:c r="D9" s="8" t="s">
        <x:v>57</x:v>
      </x:c>
      <x:c r="E9" s="295" t="s">
        <x:v>52</x:v>
      </x:c>
      <x:c r="F9" s="313" t="s">
        <x:v>53</x:v>
      </x:c>
      <x:c r="G9" s="314" t="s">
        <x:v>54</x:v>
      </x:c>
      <x:c r="H9" s="195"/>
    </x:row>
    <x:row r="10" spans="1:14" x14ac:dyDescent="0.25">
      <x:c r="A10" s="22"/>
      <x:c r="B10" s="8"/>
      <x:c r="C10" s="8"/>
      <x:c r="D10" s="8"/>
      <x:c r="E10" s="295"/>
      <x:c r="F10" s="313"/>
      <x:c r="G10" s="314"/>
      <x:c r="H10" s="195"/>
    </x:row>
    <x:row r="11" spans="1:14" x14ac:dyDescent="0.25">
      <x:c r="A11" s="2">
        <x:v>1</x:v>
      </x:c>
      <x:c r="B11" s="91" t="s">
        <x:v>1131</x:v>
      </x:c>
      <x:c r="C11" s="91">
        <x:v>53104777.509999998</x:v>
      </x:c>
      <x:c r="D11" s="91">
        <x:v>35266447.57</x:v>
      </x:c>
      <x:c r="E11" s="91">
        <x:f>+C11-D11</x:f>
        <x:v>17838329.939999998</x:v>
      </x:c>
      <x:c r="F11" s="73">
        <x:v>-17.419857550577401</x:v>
      </x:c>
      <x:c r="G11" s="91">
        <x:f t="shared" ref="G11" si="0">+F11*E11</x:f>
        <x:v>-310741166.49499989</x:v>
      </x:c>
      <x:c r="H11" s="335"/>
      <x:c r="I11" s="292"/>
      <x:c r="K11" s="93"/>
      <x:c r="M11" s="67"/>
      <x:c r="N11" s="470"/>
    </x:row>
    <x:row r="12" spans="1:14" x14ac:dyDescent="0.25">
      <x:c r="A12" s="2">
        <x:f t="shared" ref="A12:A53" si="1">1+A11</x:f>
        <x:v>2</x:v>
      </x:c>
      <x:c r="B12" s="91" t="s">
        <x:v>1132</x:v>
      </x:c>
      <x:c r="C12" s="91">
        <x:v>33329286.790000003</x:v>
      </x:c>
      <x:c r="D12" s="91">
        <x:v>22022489.91</x:v>
      </x:c>
      <x:c r="E12" s="91">
        <x:f t="shared" ref="E12:E35" si="2">+C12-D12</x:f>
        <x:v>11306796.880000003</x:v>
      </x:c>
      <x:c r="F12" s="73">
        <x:v>-18.339309828921238</x:v>
      </x:c>
      <x:c r="G12" s="91">
        <x:f t="shared" ref="G12:G35" si="3">+F12*E12</x:f>
        <x:v>-207358851.15500003</x:v>
      </x:c>
      <x:c r="H12" s="335"/>
      <x:c r="I12" s="292"/>
      <x:c r="K12" s="93"/>
      <x:c r="M12" s="67"/>
      <x:c r="N12" s="470"/>
    </x:row>
    <x:row r="13" spans="1:14" ht="12.85" customHeight="1" x14ac:dyDescent="0.25">
      <x:c r="A13" s="2">
        <x:f t="shared" si="1"/>
        <x:v>3</x:v>
      </x:c>
      <x:c r="B13" s="91" t="s">
        <x:v>1133</x:v>
      </x:c>
      <x:c r="C13" s="91">
        <x:v>12898385.120000001</x:v>
      </x:c>
      <x:c r="D13" s="91">
        <x:v>12875715.390000001</x:v>
      </x:c>
      <x:c r="E13" s="91">
        <x:f t="shared" si="2"/>
        <x:v>22669.730000000447</x:v>
      </x:c>
      <x:c r="F13" s="73">
        <x:v>-293.92315391493412</x:v>
      </x:c>
      <x:c r="G13" s="91">
        <x:f t="shared" si="3"/>
        <x:v>-6663158.5400001304</x:v>
      </x:c>
      <x:c r="H13" s="335"/>
      <x:c r="I13" s="292"/>
      <x:c r="K13" s="93"/>
      <x:c r="M13" s="67"/>
      <x:c r="N13" s="470"/>
    </x:row>
    <x:row r="14" spans="1:14" ht="12.85" customHeight="1" x14ac:dyDescent="0.25">
      <x:c r="A14" s="2">
        <x:f t="shared" si="1"/>
        <x:v>4</x:v>
      </x:c>
      <x:c r="B14" s="91" t="s">
        <x:v>1134</x:v>
      </x:c>
      <x:c r="C14" s="91">
        <x:v>11288805.449999999</x:v>
      </x:c>
      <x:c r="D14" s="91">
        <x:v>11272905.1</x:v>
      </x:c>
      <x:c r="E14" s="91">
        <x:f t="shared" si="2"/>
        <x:v>15900.349999999627</x:v>
      </x:c>
      <x:c r="F14" s="73">
        <x:v>-305.30091004286061</x:v>
      </x:c>
      <x:c r="G14" s="91">
        <x:f t="shared" si="3"/>
        <x:v>-4854391.3249998847</x:v>
      </x:c>
      <x:c r="H14" s="335"/>
      <x:c r="I14" s="292"/>
      <x:c r="K14" s="93"/>
      <x:c r="M14" s="67"/>
      <x:c r="N14" s="470"/>
    </x:row>
    <x:row r="15" spans="1:14" ht="12.85" customHeight="1" x14ac:dyDescent="0.25">
      <x:c r="A15" s="2">
        <x:f t="shared" si="1"/>
        <x:v>5</x:v>
      </x:c>
      <x:c r="B15" s="91" t="s">
        <x:v>1135</x:v>
      </x:c>
      <x:c r="C15" s="91">
        <x:v>9854555.3099999987</x:v>
      </x:c>
      <x:c r="D15" s="91">
        <x:v>9838174.5599999987</x:v>
      </x:c>
      <x:c r="E15" s="91">
        <x:f t="shared" si="2"/>
        <x:v>16380.75</x:v>
      </x:c>
      <x:c r="F15" s="73">
        <x:v>-302.86654213024434</x:v>
      </x:c>
      <x:c r="G15" s="91">
        <x:f t="shared" si="3"/>
        <x:v>-4961181.1100000003</x:v>
      </x:c>
      <x:c r="H15" s="335"/>
      <x:c r="I15" s="292"/>
      <x:c r="K15" s="93"/>
      <x:c r="M15" s="67"/>
      <x:c r="N15" s="470"/>
    </x:row>
    <x:row r="16" spans="1:14" ht="12.85" customHeight="1" x14ac:dyDescent="0.25">
      <x:c r="A16" s="2">
        <x:f t="shared" si="1"/>
        <x:v>6</x:v>
      </x:c>
      <x:c r="B16" s="91" t="s">
        <x:v>1136</x:v>
      </x:c>
      <x:c r="C16" s="91">
        <x:v>9124848.3400000017</x:v>
      </x:c>
      <x:c r="D16" s="91">
        <x:v>0</x:v>
      </x:c>
      <x:c r="E16" s="91">
        <x:f t="shared" si="2"/>
        <x:v>9124848.3400000017</x:v>
      </x:c>
      <x:c r="F16" s="73">
        <x:v>-91.663085359290449</x:v>
      </x:c>
      <x:c r="G16" s="91">
        <x:f t="shared" si="3"/>
        <x:v>-836411752.27999985</x:v>
      </x:c>
      <x:c r="H16" s="335"/>
      <x:c r="I16" s="292"/>
      <x:c r="K16" s="93"/>
      <x:c r="M16" s="67"/>
      <x:c r="N16" s="470"/>
    </x:row>
    <x:row r="17" spans="1:14" ht="12.85" customHeight="1" x14ac:dyDescent="0.25">
      <x:c r="A17" s="2">
        <x:f t="shared" si="1"/>
        <x:v>7</x:v>
      </x:c>
      <x:c r="B17" s="91" t="s">
        <x:v>1137</x:v>
      </x:c>
      <x:c r="C17" s="91">
        <x:v>6739136.4000000004</x:v>
      </x:c>
      <x:c r="D17" s="91">
        <x:v>6725465.6200000001</x:v>
      </x:c>
      <x:c r="E17" s="91">
        <x:f t="shared" si="2"/>
        <x:v>13670.780000000261</x:v>
      </x:c>
      <x:c r="F17" s="73">
        <x:v>-302.39864843117942</x:v>
      </x:c>
      <x:c r="G17" s="91">
        <x:f t="shared" si="3"/>
        <x:v>-4134025.3950000778</x:v>
      </x:c>
      <x:c r="H17" s="335"/>
      <x:c r="I17" s="292"/>
      <x:c r="K17" s="93"/>
      <x:c r="M17" s="67"/>
      <x:c r="N17" s="470"/>
    </x:row>
    <x:row r="18" spans="1:14" x14ac:dyDescent="0.25">
      <x:c r="A18" s="2">
        <x:f t="shared" si="1"/>
        <x:v>8</x:v>
      </x:c>
      <x:c r="B18" s="91" t="s">
        <x:v>1138</x:v>
      </x:c>
      <x:c r="C18" s="91">
        <x:v>5924460.8000000007</x:v>
      </x:c>
      <x:c r="D18" s="91">
        <x:v>0</x:v>
      </x:c>
      <x:c r="E18" s="91">
        <x:f t="shared" si="2"/>
        <x:v>5924460.8000000007</x:v>
      </x:c>
      <x:c r="F18" s="73">
        <x:v>-92.143617474859454</x:v>
      </x:c>
      <x:c r="G18" s="91">
        <x:f t="shared" si="3"/>
        <x:v>-545901249.69999993</x:v>
      </x:c>
      <x:c r="H18" s="335"/>
      <x:c r="I18" s="292"/>
      <x:c r="K18" s="93"/>
      <x:c r="M18" s="67"/>
      <x:c r="N18" s="470"/>
    </x:row>
    <x:row r="19" spans="1:14" x14ac:dyDescent="0.25">
      <x:c r="A19" s="2">
        <x:f t="shared" si="1"/>
        <x:v>9</x:v>
      </x:c>
      <x:c r="B19" s="91" t="s">
        <x:v>1139</x:v>
      </x:c>
      <x:c r="C19" s="91">
        <x:v>5502408.96</x:v>
      </x:c>
      <x:c r="D19" s="91">
        <x:v>0</x:v>
      </x:c>
      <x:c r="E19" s="91">
        <x:f t="shared" si="2"/>
        <x:v>5502408.96</x:v>
      </x:c>
      <x:c r="F19" s="73">
        <x:v>-47.137942872933962</x:v>
      </x:c>
      <x:c r="G19" s="91">
        <x:f t="shared" si="3"/>
        <x:v>-259372239.21999997</x:v>
      </x:c>
      <x:c r="H19" s="335"/>
      <x:c r="I19" s="292"/>
      <x:c r="K19" s="93"/>
      <x:c r="M19" s="67"/>
      <x:c r="N19" s="470"/>
    </x:row>
    <x:row r="20" spans="1:14" x14ac:dyDescent="0.25">
      <x:c r="A20" s="2">
        <x:f t="shared" si="1"/>
        <x:v>10</x:v>
      </x:c>
      <x:c r="B20" s="91" t="s">
        <x:v>1140</x:v>
      </x:c>
      <x:c r="C20" s="91">
        <x:v>4984233.1000000006</x:v>
      </x:c>
      <x:c r="D20" s="91">
        <x:v>4972720.82</x:v>
      </x:c>
      <x:c r="E20" s="91">
        <x:f t="shared" si="2"/>
        <x:v>11512.280000000261</x:v>
      </x:c>
      <x:c r="F20" s="73">
        <x:v>-307.04437001184823</x:v>
      </x:c>
      <x:c r="G20" s="91">
        <x:f t="shared" si="3"/>
        <x:v>-3534780.7600000803</x:v>
      </x:c>
      <x:c r="H20" s="335"/>
      <x:c r="I20" s="292"/>
      <x:c r="K20" s="93"/>
      <x:c r="M20" s="67"/>
      <x:c r="N20" s="470"/>
    </x:row>
    <x:row r="21" spans="1:14" x14ac:dyDescent="0.25">
      <x:c r="A21" s="2">
        <x:f t="shared" si="1"/>
        <x:v>11</x:v>
      </x:c>
      <x:c r="B21" s="91" t="s">
        <x:v>1141</x:v>
      </x:c>
      <x:c r="C21" s="91">
        <x:v>4576589.18</x:v>
      </x:c>
      <x:c r="D21" s="91">
        <x:v>0</x:v>
      </x:c>
      <x:c r="E21" s="91">
        <x:f t="shared" si="2"/>
        <x:v>4576589.18</x:v>
      </x:c>
      <x:c r="F21" s="73">
        <x:v>-78.111929044721464</x:v>
      </x:c>
      <x:c r="G21" s="91">
        <x:f t="shared" si="3"/>
        <x:v>-357486209.29499996</x:v>
      </x:c>
      <x:c r="H21" s="335"/>
      <x:c r="I21" s="292"/>
      <x:c r="K21" s="93"/>
      <x:c r="M21" s="67"/>
      <x:c r="N21" s="470"/>
    </x:row>
    <x:row r="22" spans="1:14" x14ac:dyDescent="0.25">
      <x:c r="A22" s="2">
        <x:f t="shared" si="1"/>
        <x:v>12</x:v>
      </x:c>
      <x:c r="B22" s="91" t="s">
        <x:v>1142</x:v>
      </x:c>
      <x:c r="C22" s="91">
        <x:v>4391646.93</x:v>
      </x:c>
      <x:c r="D22" s="91">
        <x:v>4374359.66</x:v>
      </x:c>
      <x:c r="E22" s="91">
        <x:f t="shared" si="2"/>
        <x:v>17287.269999999553</x:v>
      </x:c>
      <x:c r="F22" s="73">
        <x:v>-303.16632903865104</x:v>
      </x:c>
      <x:c r="G22" s="91">
        <x:f t="shared" si="3"/>
        <x:v>-5240918.1849998655</x:v>
      </x:c>
      <x:c r="H22" s="335"/>
      <x:c r="I22" s="292"/>
      <x:c r="K22" s="93"/>
      <x:c r="M22" s="67"/>
      <x:c r="N22" s="470"/>
    </x:row>
    <x:row r="23" spans="1:14" x14ac:dyDescent="0.25">
      <x:c r="A23" s="2">
        <x:f t="shared" si="1"/>
        <x:v>13</x:v>
      </x:c>
      <x:c r="B23" s="91" t="s">
        <x:v>1143</x:v>
      </x:c>
      <x:c r="C23" s="91">
        <x:v>4195468.9399999995</x:v>
      </x:c>
      <x:c r="D23" s="91">
        <x:v>0</x:v>
      </x:c>
      <x:c r="E23" s="91">
        <x:f t="shared" si="2"/>
        <x:v>4195468.9399999995</x:v>
      </x:c>
      <x:c r="F23" s="73">
        <x:v>-47.819950498787399</x:v>
      </x:c>
      <x:c r="G23" s="91">
        <x:f t="shared" si="3"/>
        <x:v>-200627117.03000003</x:v>
      </x:c>
      <x:c r="H23" s="335"/>
      <x:c r="I23" s="292"/>
      <x:c r="K23" s="93"/>
      <x:c r="M23" s="67"/>
      <x:c r="N23" s="470"/>
    </x:row>
    <x:row r="24" spans="1:14" x14ac:dyDescent="0.25">
      <x:c r="A24" s="2">
        <x:f t="shared" si="1"/>
        <x:v>14</x:v>
      </x:c>
      <x:c r="B24" s="91" t="s">
        <x:v>1144</x:v>
      </x:c>
      <x:c r="C24" s="91">
        <x:v>4152909.01</x:v>
      </x:c>
      <x:c r="D24" s="91">
        <x:v>0</x:v>
      </x:c>
      <x:c r="E24" s="91">
        <x:f t="shared" si="2"/>
        <x:v>4152909.01</x:v>
      </x:c>
      <x:c r="F24" s="73">
        <x:v>-192.57624216645189</x:v>
      </x:c>
      <x:c r="G24" s="91">
        <x:f t="shared" si="3"/>
        <x:v>-799751611.20499992</x:v>
      </x:c>
      <x:c r="H24" s="335"/>
      <x:c r="I24" s="292"/>
      <x:c r="K24" s="93"/>
      <x:c r="M24" s="67"/>
      <x:c r="N24" s="470"/>
    </x:row>
    <x:row r="25" spans="1:14" x14ac:dyDescent="0.25">
      <x:c r="A25" s="2">
        <x:f t="shared" si="1"/>
        <x:v>15</x:v>
      </x:c>
      <x:c r="B25" s="91" t="s">
        <x:v>1145</x:v>
      </x:c>
      <x:c r="C25" s="91">
        <x:v>4109389.05</x:v>
      </x:c>
      <x:c r="D25" s="91">
        <x:v>0</x:v>
      </x:c>
      <x:c r="E25" s="91">
        <x:f t="shared" si="2"/>
        <x:v>4109389.05</x:v>
      </x:c>
      <x:c r="F25" s="73">
        <x:v>-56.460658008274983</x:v>
      </x:c>
      <x:c r="G25" s="91">
        <x:f t="shared" si="3"/>
        <x:v>-232018809.77500001</x:v>
      </x:c>
      <x:c r="H25" s="335"/>
      <x:c r="I25" s="292"/>
      <x:c r="K25" s="93"/>
      <x:c r="M25" s="67"/>
      <x:c r="N25" s="470"/>
    </x:row>
    <x:row r="26" spans="1:14" x14ac:dyDescent="0.25">
      <x:c r="A26" s="2">
        <x:f t="shared" si="1"/>
        <x:v>16</x:v>
      </x:c>
      <x:c r="B26" s="91" t="s">
        <x:v>1146</x:v>
      </x:c>
      <x:c r="C26" s="91">
        <x:v>4096782.17</x:v>
      </x:c>
      <x:c r="D26" s="91">
        <x:v>4083433.41</x:v>
      </x:c>
      <x:c r="E26" s="91">
        <x:f t="shared" si="2"/>
        <x:v>13348.759999999776</x:v>
      </x:c>
      <x:c r="F26" s="73">
        <x:v>-382.4681936749181</x:v>
      </x:c>
      <x:c r="G26" s="91">
        <x:f t="shared" si="3"/>
        <x:v>-5105476.1249999143</x:v>
      </x:c>
      <x:c r="H26" s="335"/>
      <x:c r="I26" s="292"/>
      <x:c r="K26" s="93"/>
      <x:c r="M26" s="67"/>
      <x:c r="N26" s="470"/>
    </x:row>
    <x:row r="27" spans="1:14" x14ac:dyDescent="0.25">
      <x:c r="A27" s="2">
        <x:f t="shared" si="1"/>
        <x:v>17</x:v>
      </x:c>
      <x:c r="B27" s="91" t="s">
        <x:v>1147</x:v>
      </x:c>
      <x:c r="C27" s="91">
        <x:v>3496440.89</x:v>
      </x:c>
      <x:c r="D27" s="91">
        <x:v>3485439.8000000003</x:v>
      </x:c>
      <x:c r="E27" s="91">
        <x:f t="shared" si="2"/>
        <x:v>11001.089999999851</x:v>
      </x:c>
      <x:c r="F27" s="73">
        <x:v>-309.13794224026896</x:v>
      </x:c>
      <x:c r="G27" s="91">
        <x:f t="shared" si="3"/>
        <x:v>-3400854.3249999546</x:v>
      </x:c>
      <x:c r="H27" s="335"/>
      <x:c r="I27" s="292"/>
      <x:c r="K27" s="93"/>
      <x:c r="M27" s="67"/>
      <x:c r="N27" s="470"/>
    </x:row>
    <x:row r="28" spans="1:14" x14ac:dyDescent="0.25">
      <x:c r="A28" s="2">
        <x:f t="shared" si="1"/>
        <x:v>18</x:v>
      </x:c>
      <x:c r="B28" s="91" t="s">
        <x:v>1148</x:v>
      </x:c>
      <x:c r="C28" s="91">
        <x:v>3446518.0300000003</x:v>
      </x:c>
      <x:c r="D28" s="91">
        <x:v>3441225.91</x:v>
      </x:c>
      <x:c r="E28" s="91">
        <x:f t="shared" si="2"/>
        <x:v>5292.1200000001118</x:v>
      </x:c>
      <x:c r="F28" s="73">
        <x:v>-310.66661942661915</x:v>
      </x:c>
      <x:c r="G28" s="91">
        <x:f t="shared" si="3"/>
        <x:v>-1644085.0300000345</x:v>
      </x:c>
      <x:c r="H28" s="335"/>
      <x:c r="I28" s="292"/>
      <x:c r="K28" s="93"/>
      <x:c r="M28" s="67"/>
      <x:c r="N28" s="470"/>
    </x:row>
    <x:row r="29" spans="1:14" x14ac:dyDescent="0.25">
      <x:c r="A29" s="2">
        <x:f t="shared" si="1"/>
        <x:v>19</x:v>
      </x:c>
      <x:c r="B29" s="91" t="s">
        <x:v>1149</x:v>
      </x:c>
      <x:c r="C29" s="91">
        <x:v>3373924.3399999994</x:v>
      </x:c>
      <x:c r="D29" s="91">
        <x:v>3364986.1899999995</x:v>
      </x:c>
      <x:c r="E29" s="91">
        <x:f t="shared" si="2"/>
        <x:v>8938.1499999999069</x:v>
      </x:c>
      <x:c r="F29" s="73">
        <x:v>-289.69104848318722</x:v>
      </x:c>
      <x:c r="G29" s="91">
        <x:f t="shared" si="3"/>
        <x:v>-2589302.0449999729</x:v>
      </x:c>
      <x:c r="H29" s="335"/>
      <x:c r="I29" s="292"/>
      <x:c r="K29" s="93"/>
      <x:c r="M29" s="67"/>
      <x:c r="N29" s="470"/>
    </x:row>
    <x:row r="30" spans="1:14" x14ac:dyDescent="0.25">
      <x:c r="A30" s="2">
        <x:f t="shared" si="1"/>
        <x:v>20</x:v>
      </x:c>
      <x:c r="B30" s="91" t="s">
        <x:v>1150</x:v>
      </x:c>
      <x:c r="C30" s="91">
        <x:v>2914482.8899999997</x:v>
      </x:c>
      <x:c r="D30" s="91">
        <x:v>0</x:v>
      </x:c>
      <x:c r="E30" s="91">
        <x:f t="shared" si="2"/>
        <x:v>2914482.8899999997</x:v>
      </x:c>
      <x:c r="F30" s="73">
        <x:v>-48.069091706007583</x:v>
      </x:c>
      <x:c r="G30" s="91">
        <x:f t="shared" si="3"/>
        <x:v>-140096545.315</x:v>
      </x:c>
      <x:c r="H30" s="335"/>
      <x:c r="I30" s="292"/>
      <x:c r="K30" s="93"/>
      <x:c r="M30" s="67"/>
      <x:c r="N30" s="470"/>
    </x:row>
    <x:row r="31" spans="1:14" x14ac:dyDescent="0.25">
      <x:c r="A31" s="2">
        <x:f t="shared" si="1"/>
        <x:v>21</x:v>
      </x:c>
      <x:c r="B31" s="91" t="s">
        <x:v>1151</x:v>
      </x:c>
      <x:c r="C31" s="91">
        <x:v>2690384.0100000002</x:v>
      </x:c>
      <x:c r="D31" s="91">
        <x:v>2686340.2</x:v>
      </x:c>
      <x:c r="E31" s="91">
        <x:f t="shared" si="2"/>
        <x:v>4043.8100000000559</x:v>
      </x:c>
      <x:c r="F31" s="73">
        <x:v>-306.23922488939894</x:v>
      </x:c>
      <x:c r="G31" s="91">
        <x:f t="shared" si="3"/>
        <x:v>-1238373.2400000175</x:v>
      </x:c>
      <x:c r="H31" s="335"/>
      <x:c r="I31" s="292"/>
      <x:c r="K31" s="93"/>
      <x:c r="M31" s="67"/>
      <x:c r="N31" s="470"/>
    </x:row>
    <x:row r="32" spans="1:14" x14ac:dyDescent="0.25">
      <x:c r="A32" s="2">
        <x:f t="shared" si="1"/>
        <x:v>22</x:v>
      </x:c>
      <x:c r="B32" s="91" t="s">
        <x:v>1152</x:v>
      </x:c>
      <x:c r="C32" s="91">
        <x:v>2227380.7399999998</x:v>
      </x:c>
      <x:c r="D32" s="91">
        <x:v>2225335.5799999996</x:v>
      </x:c>
      <x:c r="E32" s="91">
        <x:f t="shared" si="2"/>
        <x:v>2045.160000000149</x:v>
      </x:c>
      <x:c r="F32" s="73">
        <x:v>-264.9706135461285</x:v>
      </x:c>
      <x:c r="G32" s="91">
        <x:f t="shared" si="3"/>
        <x:v>-541907.30000003963</x:v>
      </x:c>
      <x:c r="H32" s="335"/>
      <x:c r="I32" s="292"/>
      <x:c r="K32" s="93"/>
      <x:c r="M32" s="67"/>
      <x:c r="N32" s="470"/>
    </x:row>
    <x:row r="33" spans="1:14" x14ac:dyDescent="0.25">
      <x:c r="A33" s="2">
        <x:f t="shared" si="1"/>
        <x:v>23</x:v>
      </x:c>
      <x:c r="B33" s="91" t="s">
        <x:v>1153</x:v>
      </x:c>
      <x:c r="C33" s="91">
        <x:v>2222476.0999999996</x:v>
      </x:c>
      <x:c r="D33" s="91">
        <x:v>1889429.7100000002</x:v>
      </x:c>
      <x:c r="E33" s="91">
        <x:f t="shared" si="2"/>
        <x:v>333046.38999999943</x:v>
      </x:c>
      <x:c r="F33" s="73">
        <x:v>-50.428096743519717</x:v>
      </x:c>
      <x:c r="G33" s="91">
        <x:f t="shared" si="3"/>
        <x:v>-16794895.574999969</x:v>
      </x:c>
      <x:c r="H33" s="335"/>
      <x:c r="I33" s="292"/>
      <x:c r="K33" s="93"/>
      <x:c r="M33" s="67"/>
      <x:c r="N33" s="470"/>
    </x:row>
    <x:row r="34" spans="1:14" x14ac:dyDescent="0.25">
      <x:c r="A34" s="2">
        <x:f t="shared" si="1"/>
        <x:v>24</x:v>
      </x:c>
      <x:c r="B34" s="91" t="s">
        <x:v>1154</x:v>
      </x:c>
      <x:c r="C34" s="91">
        <x:v>2181049.23</x:v>
      </x:c>
      <x:c r="D34" s="91">
        <x:v>0</x:v>
      </x:c>
      <x:c r="E34" s="91">
        <x:f t="shared" si="2"/>
        <x:v>2181049.23</x:v>
      </x:c>
      <x:c r="F34" s="73">
        <x:v>-77.827646623088853</x:v>
      </x:c>
      <x:c r="G34" s="91">
        <x:f t="shared" si="3"/>
        <x:v>-169745928.74000004</x:v>
      </x:c>
      <x:c r="H34" s="335"/>
      <x:c r="I34" s="292"/>
      <x:c r="M34" s="67"/>
      <x:c r="N34" s="470"/>
    </x:row>
    <x:row r="35" spans="1:14" x14ac:dyDescent="0.25">
      <x:c r="A35" s="2">
        <x:f t="shared" si="1"/>
        <x:v>25</x:v>
      </x:c>
      <x:c r="B35" s="91" t="s">
        <x:v>1155</x:v>
      </x:c>
      <x:c r="C35" s="91">
        <x:v>2171035.94</x:v>
      </x:c>
      <x:c r="D35" s="91">
        <x:v>0</x:v>
      </x:c>
      <x:c r="E35" s="91">
        <x:f t="shared" si="2"/>
        <x:v>2171035.94</x:v>
      </x:c>
      <x:c r="F35" s="73">
        <x:v>-108.27982426214464</x:v>
      </x:c>
      <x:c r="G35" s="91">
        <x:f t="shared" si="3"/>
        <x:v>-235079390.04999998</x:v>
      </x:c>
      <x:c r="H35" s="335"/>
      <x:c r="I35" s="292"/>
      <x:c r="K35" s="93"/>
      <x:c r="M35" s="67"/>
      <x:c r="N35" s="470"/>
    </x:row>
    <x:row r="36" spans="1:14" x14ac:dyDescent="0.25">
      <x:c r="A36" s="2">
        <x:f t="shared" si="1"/>
        <x:v>26</x:v>
      </x:c>
      <x:c r="C36" s="270"/>
      <x:c r="D36" s="270"/>
      <x:c r="E36" s="270"/>
      <x:c r="F36" s="509"/>
      <x:c r="G36" s="73"/>
      <x:c r="H36" s="335"/>
      <x:c r="I36" s="93"/>
      <x:c r="K36" s="93"/>
      <x:c r="M36" s="67"/>
      <x:c r="N36" s="470"/>
    </x:row>
    <x:row r="37" spans="1:14" ht="13.25" thickBot="1" x14ac:dyDescent="0.3">
      <x:c r="A37" s="2">
        <x:f t="shared" si="1"/>
        <x:v>27</x:v>
      </x:c>
      <x:c r="C37" s="365">
        <x:f>SUM(C11:C36)</x:f>
        <x:v>202997375.22999999</x:v>
      </x:c>
      <x:c r="D37" s="342">
        <x:f>SUM(D11:D36)</x:f>
        <x:v>128524469.42999998</x:v>
      </x:c>
      <x:c r="E37" s="365">
        <x:f>SUM(E11:E36)</x:f>
        <x:v>74472905.799999997</x:v>
      </x:c>
      <x:c r="F37" s="621">
        <x:f>ROUND(G37/E37,2)</x:f>
        <x:v>-58.48</x:v>
      </x:c>
      <x:c r="G37" s="365">
        <x:f>SUM(G11:G36)</x:f>
        <x:v>-4355294219.2150002</x:v>
      </x:c>
      <x:c r="H37" s="335"/>
    </x:row>
    <x:row r="38" spans="1:14" ht="13.25" thickTop="1" x14ac:dyDescent="0.25">
      <x:c r="A38" s="2">
        <x:f t="shared" si="1"/>
        <x:v>28</x:v>
      </x:c>
      <x:c r="F38" s="604"/>
      <x:c r="G38" s="73"/>
    </x:row>
    <x:row r="39" spans="1:14" x14ac:dyDescent="0.25">
      <x:c r="A39" s="2">
        <x:f t="shared" si="1"/>
        <x:v>29</x:v>
      </x:c>
      <x:c r="F39" s="622"/>
      <x:c r="G39" s="73"/>
    </x:row>
    <x:row r="40" spans="1:14" x14ac:dyDescent="0.25">
      <x:c r="A40" s="2">
        <x:f t="shared" si="1"/>
        <x:v>30</x:v>
      </x:c>
      <x:c r="F40" s="622"/>
      <x:c r="G40" s="73"/>
    </x:row>
    <x:row r="41" spans="1:14" x14ac:dyDescent="0.25">
      <x:c r="A41" s="2">
        <x:f t="shared" si="1"/>
        <x:v>31</x:v>
      </x:c>
      <x:c r="F41" s="502"/>
      <x:c r="G41" s="73"/>
    </x:row>
    <x:row r="42" spans="1:14" x14ac:dyDescent="0.25">
      <x:c r="A42" s="2">
        <x:f t="shared" si="1"/>
        <x:v>32</x:v>
      </x:c>
      <x:c r="B42" s="829" t="s">
        <x:v>323</x:v>
      </x:c>
      <x:c r="C42" s="829"/>
      <x:c r="D42" s="829"/>
      <x:c r="E42" s="829"/>
      <x:c r="F42" s="830"/>
      <x:c r="G42" s="831"/>
      <x:c r="H42" s="828"/>
    </x:row>
    <x:row r="43" spans="1:14" x14ac:dyDescent="0.25">
      <x:c r="A43" s="2">
        <x:f t="shared" si="1"/>
        <x:v>33</x:v>
      </x:c>
      <x:c r="B43" s="774"/>
      <x:c r="F43" s="502"/>
      <x:c r="G43" s="73"/>
    </x:row>
    <x:row r="44" spans="1:14" x14ac:dyDescent="0.25">
      <x:c r="A44" s="2">
        <x:f t="shared" si="1"/>
        <x:v>34</x:v>
      </x:c>
      <x:c r="B44" s="774" t="s">
        <x:v>322</x:v>
      </x:c>
      <x:c r="F44" s="502"/>
      <x:c r="G44" s="491"/>
      <x:c r="I44" s="228"/>
      <x:c r="J44" s="335"/>
      <x:c r="K44" s="228"/>
      <x:c r="L44" s="228"/>
      <x:c r="M44" s="228"/>
    </x:row>
    <x:row r="45" spans="1:14" x14ac:dyDescent="0.25">
      <x:c r="A45" s="2">
        <x:f t="shared" si="1"/>
        <x:v>35</x:v>
      </x:c>
      <x:c r="B45" s="774" t="s">
        <x:v>321</x:v>
      </x:c>
      <x:c r="F45" s="502"/>
      <x:c r="G45" s="73"/>
      <x:c r="I45" s="228"/>
      <x:c r="J45" s="335"/>
      <x:c r="K45" s="228"/>
      <x:c r="L45" s="228"/>
      <x:c r="M45" s="228"/>
    </x:row>
    <x:row r="46" spans="1:14" x14ac:dyDescent="0.25">
      <x:c r="A46" s="2">
        <x:f t="shared" si="1"/>
        <x:v>36</x:v>
      </x:c>
      <x:c r="F46" s="502"/>
      <x:c r="G46" s="73"/>
      <x:c r="I46" s="228"/>
      <x:c r="J46" s="335"/>
      <x:c r="K46" s="228"/>
      <x:c r="L46" s="228"/>
      <x:c r="M46" s="228"/>
    </x:row>
    <x:row r="47" spans="1:14" x14ac:dyDescent="0.25">
      <x:c r="A47" s="2">
        <x:f t="shared" si="1"/>
        <x:v>37</x:v>
      </x:c>
      <x:c r="B47" t="s">
        <x:v>230</x:v>
      </x:c>
      <x:c r="C47" s="403" t="s">
        <x:v>439</x:v>
      </x:c>
      <x:c r="F47" s="502"/>
      <x:c r="G47" s="73"/>
    </x:row>
    <x:row r="48" spans="1:14" x14ac:dyDescent="0.25">
      <x:c r="A48" s="2">
        <x:f t="shared" si="1"/>
        <x:v>38</x:v>
      </x:c>
    </x:row>
    <x:row r="49" spans="1:5" x14ac:dyDescent="0.25">
      <x:c r="A49" s="2">
        <x:f t="shared" si="1"/>
        <x:v>39</x:v>
      </x:c>
      <x:c r="C49" s="403"/>
    </x:row>
    <x:row r="50" spans="1:5" x14ac:dyDescent="0.25">
      <x:c r="A50" s="2">
        <x:f t="shared" si="1"/>
        <x:v>40</x:v>
      </x:c>
    </x:row>
    <x:row r="51" spans="1:5" x14ac:dyDescent="0.25">
      <x:c r="A51" s="2">
        <x:f t="shared" si="1"/>
        <x:v>41</x:v>
      </x:c>
    </x:row>
    <x:row r="52" spans="1:5" x14ac:dyDescent="0.25">
      <x:c r="A52" s="2">
        <x:f t="shared" si="1"/>
        <x:v>42</x:v>
      </x:c>
      <x:c r="E52" s="337"/>
    </x:row>
    <x:row r="53" spans="1:5" x14ac:dyDescent="0.25">
      <x:c r="A53" s="2">
        <x:f t="shared" si="1"/>
        <x:v>43</x:v>
      </x:c>
      <x:c r="E53" s="511"/>
    </x:row>
  </x:sheetData>
  <x:phoneticPr fontId="23" type="noConversion"/>
  <x:hyperlinks>
    <x:hyperlink ref="C47" r:id="rId1" xr:uid="{00000000-0004-0000-2900-000000000000}"/>
  </x:hyperlinks>
  <x:printOptions horizontalCentered="1"/>
  <x:pageMargins left="0.5" right="0.5" top="1.5" bottom="0.5" header="1" footer="0.5"/>
  <x:pageSetup fitToHeight="2" orientation="landscape" r:id="rId2"/>
  <x:headerFooter alignWithMargins="0">
    <x:oddHeader>&amp;RWP/II-B-9/&amp;A
Page &amp;P of &amp;N</x:oddHeader>
  </x:headerFooter>
  <x:rowBreaks count="1" manualBreakCount="1">
    <x:brk id="31" max="6" man="1"/>
  </x:rowBreaks>
</x:worksheet>
</file>

<file path=xl/worksheets/sheet4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A00-000000000000}" mc:Ignorable="x14ac xr xr2 xr3">
  <x:sheetPr codeName="Sheet25">
    <x:tabColor rgb="FF92D050"/>
    <x:pageSetUpPr fitToPage="1"/>
  </x:sheetPr>
  <x:dimension ref="A1:O41"/>
  <x:sheetViews>
    <x:sheetView showGridLines="0" topLeftCell="A11" zoomScaleNormal="100" workbookViewId="0">
      <x:selection activeCell="D37" sqref="D37"/>
    </x:sheetView>
  </x:sheetViews>
  <x:sheetFormatPr defaultRowHeight="12.7" x14ac:dyDescent="0.25"/>
  <x:cols>
    <x:col min="1" max="1" width="5.5546875" customWidth="1"/>
    <x:col min="2" max="2" width="14.88671875" customWidth="1"/>
    <x:col min="3" max="3" width="26" customWidth="1"/>
    <x:col min="4" max="4" width="16.44140625" bestFit="1" customWidth="1"/>
    <x:col min="5" max="5" width="14.44140625" bestFit="1" customWidth="1"/>
    <x:col min="6" max="6" width="19.44140625" customWidth="1"/>
    <x:col min="7" max="7" width="10.109375" bestFit="1" customWidth="1"/>
    <x:col min="8" max="8" width="17.109375" customWidth="1"/>
    <x:col min="14" max="14" width="10.33203125" bestFit="1" customWidth="1"/>
    <x:col min="15" max="15" width="9.109375" bestFit="1" customWidth="1"/>
  </x:cols>
  <x:sheetData>
    <x:row r="1" spans="1:15" s="292" customFormat="1" x14ac:dyDescent="0.25">
      <x:c r="A1" s="180" t="s">
        <x:v>523</x:v>
      </x:c>
      <x:c r="B1" s="180"/>
      <x:c r="C1" s="180"/>
      <x:c r="D1" s="180"/>
      <x:c r="E1" s="180"/>
    </x:row>
    <x:row r="2" spans="1:15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15" s="292" customFormat="1" x14ac:dyDescent="0.25">
      <x:c r="A3" s="180" t="s">
        <x:v>159</x:v>
      </x:c>
      <x:c r="B3" s="180"/>
      <x:c r="C3" s="180"/>
      <x:c r="D3" s="180"/>
      <x:c r="E3" s="180"/>
    </x:row>
    <x:row r="4" spans="1:15" s="292" customFormat="1" x14ac:dyDescent="0.25">
      <x:c r="A4" s="767" t="s">
        <x:v>524</x:v>
      </x:c>
      <x:c r="B4" s="180"/>
      <x:c r="C4" s="180"/>
      <x:c r="D4" s="180"/>
      <x:c r="E4" s="180"/>
    </x:row>
    <x:row r="5" spans="1:15" s="292" customFormat="1" x14ac:dyDescent="0.25">
      <x:c r="A5" s="180" t="s">
        <x:v>486</x:v>
      </x:c>
      <x:c r="B5" s="180"/>
      <x:c r="C5" s="180"/>
      <x:c r="D5" s="180"/>
      <x:c r="E5" s="180"/>
      <x:c r="H5" s="292" t="s">
        <x:v>464</x:v>
      </x:c>
    </x:row>
    <x:row r="7" spans="1:15" x14ac:dyDescent="0.25">
      <x:c r="A7" s="22" t="s">
        <x:v>35</x:v>
      </x:c>
      <x:c r="G7" s="271"/>
      <x:c r="H7" s="240" t="s">
        <x:v>93</x:v>
      </x:c>
      <x:c r="I7" s="66"/>
    </x:row>
    <x:row r="8" spans="1:15" x14ac:dyDescent="0.25">
      <x:c r="A8" s="56" t="s">
        <x:v>36</x:v>
      </x:c>
      <x:c r="B8" s="61" t="s">
        <x:v>317</x:v>
      </x:c>
      <x:c r="C8" s="61" t="s">
        <x:v>318</x:v>
      </x:c>
      <x:c r="D8" s="56" t="s">
        <x:v>75</x:v>
      </x:c>
      <x:c r="E8" s="56" t="s">
        <x:v>95</x:v>
      </x:c>
      <x:c r="F8" s="56" t="s">
        <x:v>205</x:v>
      </x:c>
      <x:c r="G8" s="272" t="s">
        <x:v>209</x:v>
      </x:c>
      <x:c r="H8" s="241" t="s">
        <x:v>72</x:v>
      </x:c>
    </x:row>
    <x:row r="9" spans="1:15" x14ac:dyDescent="0.25">
      <x:c r="A9" s="22"/>
      <x:c r="B9" s="8" t="s">
        <x:v>50</x:v>
      </x:c>
      <x:c r="C9" s="8" t="s">
        <x:v>51</x:v>
      </x:c>
      <x:c r="D9" s="8" t="s">
        <x:v>57</x:v>
      </x:c>
      <x:c r="E9" s="8" t="s">
        <x:v>52</x:v>
      </x:c>
      <x:c r="F9" s="8" t="s">
        <x:v>53</x:v>
      </x:c>
      <x:c r="G9" s="8" t="s">
        <x:v>54</x:v>
      </x:c>
      <x:c r="H9" s="8" t="s">
        <x:v>55</x:v>
      </x:c>
    </x:row>
    <x:row r="10" spans="1:15" x14ac:dyDescent="0.25">
      <x:c r="A10" s="22"/>
      <x:c r="B10" s="25"/>
      <x:c r="C10" s="25"/>
      <x:c r="D10" s="22"/>
      <x:c r="E10" s="22"/>
      <x:c r="F10" s="22"/>
      <x:c r="G10" s="315"/>
      <x:c r="H10" s="240"/>
    </x:row>
    <x:row r="11" spans="1:15" s="1" customFormat="1" x14ac:dyDescent="0.25">
      <x:c r="A11" s="3">
        <x:v>1</x:v>
      </x:c>
      <x:c r="B11" t="s">
        <x:v>1156</x:v>
      </x:c>
      <x:c r="C11" t="s">
        <x:v>1157</x:v>
      </x:c>
      <x:c r="D11" s="225">
        <x:v>44035534.949999996</x:v>
      </x:c>
      <x:c r="E11" s="435">
        <x:v>45108.5</x:v>
      </x:c>
      <x:c r="F11" s="260">
        <x:v>45320</x:v>
      </x:c>
      <x:c r="G11" s="605">
        <x:f t="shared" ref="G11:G35" si="0">-F11+E11</x:f>
        <x:v>-211.5</x:v>
      </x:c>
      <x:c r="H11" s="225">
        <x:f t="shared" ref="H11:H35" si="1">D11*G11</x:f>
        <x:v>-9313515641.9249992</x:v>
      </x:c>
      <x:c r="I11" s="2"/>
    </x:row>
    <x:row r="12" spans="1:15" x14ac:dyDescent="0.25">
      <x:c r="A12" s="2">
        <x:f>A11+1</x:f>
        <x:v>2</x:v>
      </x:c>
      <x:c r="B12" t="s">
        <x:v>1158</x:v>
      </x:c>
      <x:c r="C12" t="s">
        <x:v>1159</x:v>
      </x:c>
      <x:c r="D12" s="225">
        <x:v>32981216.469999999</x:v>
      </x:c>
      <x:c r="E12" s="435">
        <x:v>45108.5</x:v>
      </x:c>
      <x:c r="F12" s="260">
        <x:v>45320</x:v>
      </x:c>
      <x:c r="G12" s="605">
        <x:f t="shared" si="0"/>
        <x:v>-211.5</x:v>
      </x:c>
      <x:c r="H12" s="337">
        <x:f t="shared" si="1"/>
        <x:v>-6975527283.4049997</x:v>
      </x:c>
    </x:row>
    <x:row r="13" spans="1:15" x14ac:dyDescent="0.25">
      <x:c r="A13" s="2">
        <x:f>A12+1</x:f>
        <x:v>3</x:v>
      </x:c>
      <x:c r="B13" t="s">
        <x:v>1160</x:v>
      </x:c>
      <x:c r="C13" t="s">
        <x:v>1161</x:v>
      </x:c>
      <x:c r="D13" s="225">
        <x:v>14720067.359999999</x:v>
      </x:c>
      <x:c r="E13" s="435">
        <x:v>45108.5</x:v>
      </x:c>
      <x:c r="F13" s="260">
        <x:v>45320</x:v>
      </x:c>
      <x:c r="G13" s="605">
        <x:f t="shared" si="0"/>
        <x:v>-211.5</x:v>
      </x:c>
      <x:c r="H13" s="337">
        <x:f t="shared" si="1"/>
        <x:v>-3113294246.6399999</x:v>
      </x:c>
      <x:c r="N13" s="70">
        <x:v>45292</x:v>
      </x:c>
    </x:row>
    <x:row r="14" spans="1:15" x14ac:dyDescent="0.25">
      <x:c r="A14" s="2">
        <x:f t="shared" ref="A14:A41" si="2">A13+1</x:f>
        <x:v>4</x:v>
      </x:c>
      <x:c r="B14" t="s">
        <x:v>1162</x:v>
      </x:c>
      <x:c r="C14" t="s">
        <x:v>1163</x:v>
      </x:c>
      <x:c r="D14" s="225">
        <x:v>7246264.25</x:v>
      </x:c>
      <x:c r="E14" s="435">
        <x:v>45108.5</x:v>
      </x:c>
      <x:c r="F14" s="260">
        <x:v>45244</x:v>
      </x:c>
      <x:c r="G14" s="605">
        <x:f t="shared" si="0"/>
        <x:v>-135.5</x:v>
      </x:c>
      <x:c r="H14" s="337">
        <x:f t="shared" si="1"/>
        <x:v>-981868805.875</x:v>
      </x:c>
    </x:row>
    <x:row r="15" spans="1:15" x14ac:dyDescent="0.25">
      <x:c r="A15" s="2">
        <x:f t="shared" si="2"/>
        <x:v>5</x:v>
      </x:c>
      <x:c r="B15" t="s">
        <x:v>1164</x:v>
      </x:c>
      <x:c r="C15" t="s">
        <x:v>1165</x:v>
      </x:c>
      <x:c r="D15" s="225">
        <x:v>6352430.8900000006</x:v>
      </x:c>
      <x:c r="E15" s="435">
        <x:v>45108.5</x:v>
      </x:c>
      <x:c r="F15" s="260">
        <x:v>45324</x:v>
      </x:c>
      <x:c r="G15" s="605">
        <x:f t="shared" si="0"/>
        <x:v>-215.5</x:v>
      </x:c>
      <x:c r="H15" s="337">
        <x:f t="shared" si="1"/>
        <x:v>-1368948856.7950001</x:v>
      </x:c>
      <x:c r="O15" s="70"/>
    </x:row>
    <x:row r="16" spans="1:15" x14ac:dyDescent="0.25">
      <x:c r="A16" s="2">
        <x:f t="shared" si="2"/>
        <x:v>6</x:v>
      </x:c>
      <x:c r="B16" t="s">
        <x:v>1166</x:v>
      </x:c>
      <x:c r="C16" t="s">
        <x:v>1167</x:v>
      </x:c>
      <x:c r="D16" s="225">
        <x:v>6188642.0800000001</x:v>
      </x:c>
      <x:c r="E16" s="435">
        <x:v>45108.5</x:v>
      </x:c>
      <x:c r="F16" s="260">
        <x:v>45320</x:v>
      </x:c>
      <x:c r="G16" s="605">
        <x:f t="shared" si="0"/>
        <x:v>-211.5</x:v>
      </x:c>
      <x:c r="H16" s="337">
        <x:f t="shared" si="1"/>
        <x:v>-1308897799.9200001</x:v>
      </x:c>
      <x:c r="N16" s="807"/>
    </x:row>
    <x:row r="17" spans="1:8" x14ac:dyDescent="0.25">
      <x:c r="A17" s="2">
        <x:f t="shared" si="2"/>
        <x:v>7</x:v>
      </x:c>
      <x:c r="B17" t="s">
        <x:v>1168</x:v>
      </x:c>
      <x:c r="C17" t="s">
        <x:v>1169</x:v>
      </x:c>
      <x:c r="D17" s="225">
        <x:v>6131876.7799999993</x:v>
      </x:c>
      <x:c r="E17" s="435">
        <x:v>45108.5</x:v>
      </x:c>
      <x:c r="F17" s="260">
        <x:v>45343</x:v>
      </x:c>
      <x:c r="G17" s="605">
        <x:f t="shared" si="0"/>
        <x:v>-234.5</x:v>
      </x:c>
      <x:c r="H17" s="337">
        <x:f t="shared" si="1"/>
        <x:v>-1437925104.9099998</x:v>
      </x:c>
    </x:row>
    <x:row r="18" spans="1:8" x14ac:dyDescent="0.25">
      <x:c r="A18" s="2">
        <x:f t="shared" si="2"/>
        <x:v>8</x:v>
      </x:c>
      <x:c r="B18" t="s">
        <x:v>1170</x:v>
      </x:c>
      <x:c r="C18" t="s">
        <x:v>1171</x:v>
      </x:c>
      <x:c r="D18" s="225">
        <x:v>5785502.4800000004</x:v>
      </x:c>
      <x:c r="E18" s="435">
        <x:v>45108.5</x:v>
      </x:c>
      <x:c r="F18" s="260">
        <x:v>45335</x:v>
      </x:c>
      <x:c r="G18" s="605">
        <x:f t="shared" si="0"/>
        <x:v>-226.5</x:v>
      </x:c>
      <x:c r="H18" s="337">
        <x:f t="shared" si="1"/>
        <x:v>-1310416311.72</x:v>
      </x:c>
    </x:row>
    <x:row r="19" spans="1:8" x14ac:dyDescent="0.25">
      <x:c r="A19" s="2">
        <x:f t="shared" si="2"/>
        <x:v>9</x:v>
      </x:c>
      <x:c r="B19" t="s">
        <x:v>1172</x:v>
      </x:c>
      <x:c r="C19" t="s">
        <x:v>1173</x:v>
      </x:c>
      <x:c r="D19" s="225">
        <x:v>5575502.6600000001</x:v>
      </x:c>
      <x:c r="E19" s="435">
        <x:v>45108.5</x:v>
      </x:c>
      <x:c r="F19" s="260">
        <x:v>45350</x:v>
      </x:c>
      <x:c r="G19" s="605">
        <x:f t="shared" si="0"/>
        <x:v>-241.5</x:v>
      </x:c>
      <x:c r="H19" s="337">
        <x:f t="shared" si="1"/>
        <x:v>-1346483892.3900001</x:v>
      </x:c>
    </x:row>
    <x:row r="20" spans="1:8" x14ac:dyDescent="0.25">
      <x:c r="A20" s="2">
        <x:f t="shared" si="2"/>
        <x:v>10</x:v>
      </x:c>
      <x:c r="B20" t="s">
        <x:v>1174</x:v>
      </x:c>
      <x:c r="C20" t="s">
        <x:v>1175</x:v>
      </x:c>
      <x:c r="D20" s="225">
        <x:v>5492451.8799999999</x:v>
      </x:c>
      <x:c r="E20" s="435">
        <x:v>45108.5</x:v>
      </x:c>
      <x:c r="F20" s="260">
        <x:v>45324</x:v>
      </x:c>
      <x:c r="G20" s="605">
        <x:f t="shared" si="0"/>
        <x:v>-215.5</x:v>
      </x:c>
      <x:c r="H20" s="337">
        <x:f t="shared" si="1"/>
        <x:v>-1183623380.1399999</x:v>
      </x:c>
    </x:row>
    <x:row r="21" spans="1:8" x14ac:dyDescent="0.25">
      <x:c r="A21" s="2">
        <x:f t="shared" si="2"/>
        <x:v>11</x:v>
      </x:c>
      <x:c r="B21" t="s">
        <x:v>1176</x:v>
      </x:c>
      <x:c r="C21" t="s">
        <x:v>1177</x:v>
      </x:c>
      <x:c r="D21" s="225">
        <x:v>4531439.05</x:v>
      </x:c>
      <x:c r="E21" s="435">
        <x:v>45108.5</x:v>
      </x:c>
      <x:c r="F21" s="260">
        <x:v>45330</x:v>
      </x:c>
      <x:c r="G21" s="605">
        <x:f t="shared" si="0"/>
        <x:v>-221.5</x:v>
      </x:c>
      <x:c r="H21" s="337">
        <x:f t="shared" si="1"/>
        <x:v>-1003713749.5749999</x:v>
      </x:c>
    </x:row>
    <x:row r="22" spans="1:8" x14ac:dyDescent="0.25">
      <x:c r="A22" s="2">
        <x:f t="shared" si="2"/>
        <x:v>12</x:v>
      </x:c>
      <x:c r="B22" t="s">
        <x:v>1178</x:v>
      </x:c>
      <x:c r="C22" t="s">
        <x:v>1179</x:v>
      </x:c>
      <x:c r="D22" s="225">
        <x:v>3347119.92</x:v>
      </x:c>
      <x:c r="E22" s="435">
        <x:v>45108.5</x:v>
      </x:c>
      <x:c r="F22" s="260">
        <x:v>45332</x:v>
      </x:c>
      <x:c r="G22" s="605">
        <x:f t="shared" si="0"/>
        <x:v>-223.5</x:v>
      </x:c>
      <x:c r="H22" s="337">
        <x:f t="shared" si="1"/>
        <x:v>-748081302.12</x:v>
      </x:c>
    </x:row>
    <x:row r="23" spans="1:8" x14ac:dyDescent="0.25">
      <x:c r="A23" s="2">
        <x:f t="shared" si="2"/>
        <x:v>13</x:v>
      </x:c>
      <x:c r="B23" t="s">
        <x:v>1180</x:v>
      </x:c>
      <x:c r="C23" t="s">
        <x:v>1181</x:v>
      </x:c>
      <x:c r="D23" s="225">
        <x:v>3038460.41</x:v>
      </x:c>
      <x:c r="E23" s="435">
        <x:v>45108.5</x:v>
      </x:c>
      <x:c r="F23" s="260">
        <x:v>45345</x:v>
      </x:c>
      <x:c r="G23" s="605">
        <x:f t="shared" si="0"/>
        <x:v>-236.5</x:v>
      </x:c>
      <x:c r="H23" s="337">
        <x:f t="shared" si="1"/>
        <x:v>-718595886.96500003</x:v>
      </x:c>
    </x:row>
    <x:row r="24" spans="1:8" x14ac:dyDescent="0.25">
      <x:c r="A24" s="2">
        <x:f t="shared" si="2"/>
        <x:v>14</x:v>
      </x:c>
      <x:c r="B24" t="s">
        <x:v>1182</x:v>
      </x:c>
      <x:c r="C24" t="s">
        <x:v>1183</x:v>
      </x:c>
      <x:c r="D24" s="225">
        <x:v>2911274.77</x:v>
      </x:c>
      <x:c r="E24" s="435">
        <x:v>45108.5</x:v>
      </x:c>
      <x:c r="F24" s="260">
        <x:v>45330</x:v>
      </x:c>
      <x:c r="G24" s="605">
        <x:f t="shared" si="0"/>
        <x:v>-221.5</x:v>
      </x:c>
      <x:c r="H24" s="337">
        <x:f t="shared" si="1"/>
        <x:v>-644847361.55499995</x:v>
      </x:c>
    </x:row>
    <x:row r="25" spans="1:8" x14ac:dyDescent="0.25">
      <x:c r="A25" s="2">
        <x:f t="shared" si="2"/>
        <x:v>15</x:v>
      </x:c>
      <x:c r="B25" t="s">
        <x:v>1184</x:v>
      </x:c>
      <x:c r="C25" t="s">
        <x:v>1185</x:v>
      </x:c>
      <x:c r="D25" s="225">
        <x:v>2898796.4499999997</x:v>
      </x:c>
      <x:c r="E25" s="435">
        <x:v>45108.5</x:v>
      </x:c>
      <x:c r="F25" s="260">
        <x:v>45335</x:v>
      </x:c>
      <x:c r="G25" s="605">
        <x:f t="shared" si="0"/>
        <x:v>-226.5</x:v>
      </x:c>
      <x:c r="H25" s="337">
        <x:f t="shared" si="1"/>
        <x:v>-656577395.92499995</x:v>
      </x:c>
    </x:row>
    <x:row r="26" spans="1:8" x14ac:dyDescent="0.25">
      <x:c r="A26" s="2">
        <x:f t="shared" si="2"/>
        <x:v>16</x:v>
      </x:c>
      <x:c r="B26" t="s">
        <x:v>1186</x:v>
      </x:c>
      <x:c r="C26" t="s">
        <x:v>1187</x:v>
      </x:c>
      <x:c r="D26" s="225">
        <x:v>2872411.3699999996</x:v>
      </x:c>
      <x:c r="E26" s="435">
        <x:v>45108.5</x:v>
      </x:c>
      <x:c r="F26" s="260">
        <x:v>45330</x:v>
      </x:c>
      <x:c r="G26" s="605">
        <x:f t="shared" si="0"/>
        <x:v>-221.5</x:v>
      </x:c>
      <x:c r="H26" s="337">
        <x:f t="shared" si="1"/>
        <x:v>-636239118.45499992</x:v>
      </x:c>
    </x:row>
    <x:row r="27" spans="1:8" x14ac:dyDescent="0.25">
      <x:c r="A27" s="2">
        <x:f t="shared" si="2"/>
        <x:v>17</x:v>
      </x:c>
      <x:c r="B27" t="s">
        <x:v>1188</x:v>
      </x:c>
      <x:c r="C27" t="s">
        <x:v>1189</x:v>
      </x:c>
      <x:c r="D27" s="225">
        <x:v>2725987.62</x:v>
      </x:c>
      <x:c r="E27" s="435">
        <x:v>45108.5</x:v>
      </x:c>
      <x:c r="F27" s="260">
        <x:v>45331</x:v>
      </x:c>
      <x:c r="G27" s="605">
        <x:f t="shared" si="0"/>
        <x:v>-222.5</x:v>
      </x:c>
      <x:c r="H27" s="337">
        <x:f t="shared" si="1"/>
        <x:v>-606532245.45000005</x:v>
      </x:c>
    </x:row>
    <x:row r="28" spans="1:8" x14ac:dyDescent="0.25">
      <x:c r="A28" s="2">
        <x:f t="shared" si="2"/>
        <x:v>18</x:v>
      </x:c>
      <x:c r="B28" t="s">
        <x:v>1190</x:v>
      </x:c>
      <x:c r="C28" t="s">
        <x:v>1191</x:v>
      </x:c>
      <x:c r="D28" s="225">
        <x:v>2584164.75</x:v>
      </x:c>
      <x:c r="E28" s="435">
        <x:v>45108.5</x:v>
      </x:c>
      <x:c r="F28" s="260">
        <x:v>45331</x:v>
      </x:c>
      <x:c r="G28" s="605">
        <x:f t="shared" si="0"/>
        <x:v>-222.5</x:v>
      </x:c>
      <x:c r="H28" s="337">
        <x:f t="shared" si="1"/>
        <x:v>-574976656.875</x:v>
      </x:c>
    </x:row>
    <x:row r="29" spans="1:8" x14ac:dyDescent="0.25">
      <x:c r="A29" s="2">
        <x:f t="shared" si="2"/>
        <x:v>19</x:v>
      </x:c>
      <x:c r="B29" t="s">
        <x:v>1184</x:v>
      </x:c>
      <x:c r="C29" t="s">
        <x:v>1192</x:v>
      </x:c>
      <x:c r="D29" s="225">
        <x:v>2225326.77</x:v>
      </x:c>
      <x:c r="E29" s="435">
        <x:v>45108.5</x:v>
      </x:c>
      <x:c r="F29" s="260">
        <x:v>45329</x:v>
      </x:c>
      <x:c r="G29" s="605">
        <x:f t="shared" si="0"/>
        <x:v>-220.5</x:v>
      </x:c>
      <x:c r="H29" s="337">
        <x:f t="shared" si="1"/>
        <x:v>-490684552.78500003</x:v>
      </x:c>
    </x:row>
    <x:row r="30" spans="1:8" x14ac:dyDescent="0.25">
      <x:c r="A30" s="2">
        <x:f t="shared" si="2"/>
        <x:v>20</x:v>
      </x:c>
      <x:c r="B30" t="s">
        <x:v>1193</x:v>
      </x:c>
      <x:c r="C30" t="s">
        <x:v>1194</x:v>
      </x:c>
      <x:c r="D30" s="225">
        <x:v>2184786.7399999998</x:v>
      </x:c>
      <x:c r="E30" s="435">
        <x:v>45108.5</x:v>
      </x:c>
      <x:c r="F30" s="260">
        <x:v>45330</x:v>
      </x:c>
      <x:c r="G30" s="605">
        <x:f t="shared" si="0"/>
        <x:v>-221.5</x:v>
      </x:c>
      <x:c r="H30" s="337">
        <x:f t="shared" si="1"/>
        <x:v>-483930262.90999997</x:v>
      </x:c>
    </x:row>
    <x:row r="31" spans="1:8" x14ac:dyDescent="0.25">
      <x:c r="A31" s="2">
        <x:f t="shared" si="2"/>
        <x:v>21</x:v>
      </x:c>
      <x:c r="B31" t="s">
        <x:v>1195</x:v>
      </x:c>
      <x:c r="C31" t="s">
        <x:v>1196</x:v>
      </x:c>
      <x:c r="D31" s="225">
        <x:v>2141202.2399999998</x:v>
      </x:c>
      <x:c r="E31" s="435">
        <x:v>45108.5</x:v>
      </x:c>
      <x:c r="F31" s="260">
        <x:v>45234</x:v>
      </x:c>
      <x:c r="G31" s="605">
        <x:f t="shared" si="0"/>
        <x:v>-125.5</x:v>
      </x:c>
      <x:c r="H31" s="337">
        <x:f t="shared" si="1"/>
        <x:v>-268720881.11999995</x:v>
      </x:c>
    </x:row>
    <x:row r="32" spans="1:8" x14ac:dyDescent="0.25">
      <x:c r="A32" s="2">
        <x:f t="shared" si="2"/>
        <x:v>22</x:v>
      </x:c>
      <x:c r="B32" t="s">
        <x:v>1197</x:v>
      </x:c>
      <x:c r="C32" t="s">
        <x:v>1198</x:v>
      </x:c>
      <x:c r="D32" s="225">
        <x:v>2099623.9300000002</x:v>
      </x:c>
      <x:c r="E32" s="435">
        <x:v>45108.5</x:v>
      </x:c>
      <x:c r="F32" s="260">
        <x:v>45330</x:v>
      </x:c>
      <x:c r="G32" s="605">
        <x:f t="shared" si="0"/>
        <x:v>-221.5</x:v>
      </x:c>
      <x:c r="H32" s="337">
        <x:f t="shared" si="1"/>
        <x:v>-465066700.49500006</x:v>
      </x:c>
    </x:row>
    <x:row r="33" spans="1:8" x14ac:dyDescent="0.25">
      <x:c r="A33" s="2">
        <x:f t="shared" si="2"/>
        <x:v>23</x:v>
      </x:c>
      <x:c r="B33" t="s">
        <x:v>1199</x:v>
      </x:c>
      <x:c r="C33" t="s">
        <x:v>1200</x:v>
      </x:c>
      <x:c r="D33" s="225">
        <x:v>2057941.95</x:v>
      </x:c>
      <x:c r="E33" s="435">
        <x:v>45108.5</x:v>
      </x:c>
      <x:c r="F33" s="260">
        <x:v>45349</x:v>
      </x:c>
      <x:c r="G33" s="605">
        <x:f t="shared" si="0"/>
        <x:v>-240.5</x:v>
      </x:c>
      <x:c r="H33" s="337">
        <x:f t="shared" si="1"/>
        <x:v>-494935038.97499996</x:v>
      </x:c>
    </x:row>
    <x:row r="34" spans="1:8" x14ac:dyDescent="0.25">
      <x:c r="A34" s="2">
        <x:f t="shared" si="2"/>
        <x:v>24</x:v>
      </x:c>
      <x:c r="B34" t="s">
        <x:v>1201</x:v>
      </x:c>
      <x:c r="C34" t="s">
        <x:v>1202</x:v>
      </x:c>
      <x:c r="D34" s="225">
        <x:v>2055038.99</x:v>
      </x:c>
      <x:c r="E34" s="435">
        <x:v>45108.5</x:v>
      </x:c>
      <x:c r="F34" s="260">
        <x:v>45320</x:v>
      </x:c>
      <x:c r="G34" s="605">
        <x:f t="shared" si="0"/>
        <x:v>-211.5</x:v>
      </x:c>
      <x:c r="H34" s="337">
        <x:f t="shared" si="1"/>
        <x:v>-434640746.38499999</x:v>
      </x:c>
    </x:row>
    <x:row r="35" spans="1:8" x14ac:dyDescent="0.25">
      <x:c r="A35" s="2">
        <x:f t="shared" si="2"/>
        <x:v>25</x:v>
      </x:c>
      <x:c r="B35" t="s">
        <x:v>1203</x:v>
      </x:c>
      <x:c r="C35" t="s">
        <x:v>1204</x:v>
      </x:c>
      <x:c r="D35" s="225">
        <x:v>2016371.5499999998</x:v>
      </x:c>
      <x:c r="E35" s="435">
        <x:v>45108.5</x:v>
      </x:c>
      <x:c r="F35" s="260">
        <x:v>45330</x:v>
      </x:c>
      <x:c r="G35" s="606">
        <x:f t="shared" si="0"/>
        <x:v>-221.5</x:v>
      </x:c>
      <x:c r="H35" s="336">
        <x:f t="shared" si="1"/>
        <x:v>-446626298.32499999</x:v>
      </x:c>
    </x:row>
    <x:row r="36" spans="1:8" x14ac:dyDescent="0.25">
      <x:c r="A36" s="2">
        <x:f t="shared" si="2"/>
        <x:v>26</x:v>
      </x:c>
      <x:c r="D36" s="270"/>
      <x:c r="E36" s="435">
        <x:v>45108.5</x:v>
      </x:c>
      <x:c r="F36" s="70"/>
      <x:c r="G36" s="605"/>
      <x:c r="H36" s="270"/>
    </x:row>
    <x:row r="37" spans="1:8" ht="13.25" thickBot="1" x14ac:dyDescent="0.3">
      <x:c r="A37" s="2">
        <x:f t="shared" si="2"/>
        <x:v>27</x:v>
      </x:c>
      <x:c r="B37" t="s">
        <x:v>26</x:v>
      </x:c>
      <x:c r="D37" s="348">
        <x:f>SUM(D11:D35)</x:f>
        <x:v>174199436.31000003</x:v>
      </x:c>
      <x:c r="E37" s="391"/>
      <x:c r="F37" s="1"/>
      <x:c r="G37" s="607">
        <x:f>ROUND(H37/D37,2)</x:f>
        <x:v>-212.48</x:v>
      </x:c>
      <x:c r="H37" s="348">
        <x:f>SUM(H11:H35)</x:f>
        <x:v>-37014669521.635002</x:v>
      </x:c>
    </x:row>
    <x:row r="38" spans="1:8" ht="13.25" thickTop="1" x14ac:dyDescent="0.25">
      <x:c r="A38" s="2">
        <x:f t="shared" si="2"/>
        <x:v>28</x:v>
      </x:c>
      <x:c r="B38" s="72"/>
      <x:c r="C38" s="72"/>
      <x:c r="D38" s="41"/>
      <x:c r="E38" s="14"/>
      <x:c r="F38" s="239"/>
      <x:c r="G38" s="1"/>
      <x:c r="H38" s="1"/>
    </x:row>
    <x:row r="39" spans="1:8" x14ac:dyDescent="0.25">
      <x:c r="A39" s="2">
        <x:f t="shared" si="2"/>
        <x:v>29</x:v>
      </x:c>
      <x:c r="B39" s="228" t="s">
        <x:v>1121</x:v>
      </x:c>
      <x:c r="C39" s="228"/>
      <x:c r="D39" s="228"/>
      <x:c r="E39" s="228"/>
      <x:c r="F39" s="228"/>
    </x:row>
    <x:row r="40" spans="1:8" x14ac:dyDescent="0.25">
      <x:c r="A40" s="2">
        <x:f t="shared" si="2"/>
        <x:v>30</x:v>
      </x:c>
    </x:row>
    <x:row r="41" spans="1:8" x14ac:dyDescent="0.25">
      <x:c r="A41" s="2">
        <x:f t="shared" si="2"/>
        <x:v>31</x:v>
      </x:c>
      <x:c r="B41" t="s">
        <x:v>230</x:v>
      </x:c>
      <x:c r="C41" s="290" t="s">
        <x:v>440</x:v>
      </x:c>
    </x:row>
  </x:sheetData>
  <x:phoneticPr fontId="0" type="noConversion"/>
  <x:hyperlinks>
    <x:hyperlink ref="C41" r:id="rId1" xr:uid="{00000000-0004-0000-2A00-000000000000}"/>
  </x:hyperlinks>
  <x:printOptions horizontalCentered="1"/>
  <x:pageMargins left="0.5" right="0.5" top="1.5" bottom="0.5" header="1" footer="0.5"/>
  <x:pageSetup scale="72" orientation="landscape" r:id="rId2"/>
  <x:headerFooter alignWithMargins="0">
    <x:oddHeader>&amp;RWP/II-B-9/&amp;A
Page &amp;P of &amp;N</x:oddHeader>
  </x:headerFooter>
</x:worksheet>
</file>

<file path=xl/worksheets/sheet4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B00-000000000000}" mc:Ignorable="x14ac xr xr2 xr3">
  <x:sheetPr codeName="Sheet29">
    <x:tabColor rgb="FF92D050"/>
    <x:pageSetUpPr fitToPage="1"/>
  </x:sheetPr>
  <x:dimension ref="A1:O282"/>
  <x:sheetViews>
    <x:sheetView topLeftCell="A7" zoomScaleNormal="100" workbookViewId="0">
      <x:selection activeCell="D37" sqref="D37"/>
    </x:sheetView>
  </x:sheetViews>
  <x:sheetFormatPr defaultColWidth="13.44140625" defaultRowHeight="12.7" x14ac:dyDescent="0.25"/>
  <x:cols>
    <x:col min="1" max="1" width="11" style="2" customWidth="1"/>
    <x:col min="2" max="2" width="13.88671875" customWidth="1"/>
    <x:col min="3" max="3" width="22.88671875" customWidth="1"/>
    <x:col min="4" max="4" width="26.88671875" customWidth="1"/>
    <x:col min="5" max="5" width="22.44140625" customWidth="1"/>
    <x:col min="6" max="8" width="26.5546875" customWidth="1"/>
    <x:col min="9" max="9" width="6.44140625" style="337" customWidth="1"/>
    <x:col min="10" max="10" width="21" bestFit="1" customWidth="1"/>
  </x:cols>
  <x:sheetData>
    <x:row r="1" spans="1:15" s="292" customFormat="1" x14ac:dyDescent="0.25">
      <x:c r="A1" s="180" t="s">
        <x:v>523</x:v>
      </x:c>
      <x:c r="B1" s="180"/>
      <x:c r="C1" s="180"/>
      <x:c r="D1" s="180"/>
      <x:c r="E1" s="180"/>
      <x:c r="I1" s="337"/>
    </x:row>
    <x:row r="2" spans="1:15" s="292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  <x:c r="I2" s="337"/>
    </x:row>
    <x:row r="3" spans="1:15" s="292" customFormat="1" x14ac:dyDescent="0.25">
      <x:c r="A3" s="180" t="s">
        <x:v>89</x:v>
      </x:c>
      <x:c r="B3" s="180"/>
      <x:c r="C3" s="180"/>
      <x:c r="D3" s="180"/>
      <x:c r="E3" s="180"/>
      <x:c r="I3" s="337"/>
    </x:row>
    <x:row r="4" spans="1:15" s="292" customFormat="1" x14ac:dyDescent="0.25">
      <x:c r="A4" s="768" t="s">
        <x:v>522</x:v>
      </x:c>
      <x:c r="B4" s="180"/>
      <x:c r="C4" s="180"/>
      <x:c r="D4" s="180"/>
      <x:c r="E4" s="180"/>
      <x:c r="I4" s="337"/>
    </x:row>
    <x:row r="5" spans="1:15" s="292" customFormat="1" x14ac:dyDescent="0.25">
      <x:c r="A5" s="180" t="s">
        <x:v>486</x:v>
      </x:c>
      <x:c r="B5" s="180"/>
      <x:c r="C5" s="180"/>
      <x:c r="D5" s="180"/>
      <x:c r="E5" s="180"/>
      <x:c r="I5" s="337"/>
      <x:c r="J5" s="292" t="s">
        <x:v>464</x:v>
      </x:c>
    </x:row>
    <x:row r="7" spans="1:15" ht="18.75" customHeight="1" x14ac:dyDescent="0.25">
      <x:c r="C7" s="664" t="s">
        <x:v>466</x:v>
      </x:c>
      <x:c r="D7" s="665"/>
      <x:c r="E7" s="665"/>
      <x:c r="F7" s="665"/>
      <x:c r="G7" s="821"/>
      <x:c r="H7" s="665"/>
      <x:c r="I7" s="822"/>
      <x:c r="J7" s="823"/>
      <x:c r="K7" s="95"/>
      <x:c r="L7" s="95"/>
      <x:c r="M7" s="95"/>
      <x:c r="N7" s="95"/>
      <x:c r="O7" s="95"/>
    </x:row>
    <x:row r="8" spans="1:15" x14ac:dyDescent="0.25">
      <x:c r="C8" s="666" t="s">
        <x:v>117</x:v>
      </x:c>
      <x:c r="D8" s="667" t="s">
        <x:v>467</x:v>
      </x:c>
      <x:c r="E8" s="666" t="s">
        <x:v>117</x:v>
      </x:c>
      <x:c r="F8" s="666" t="s">
        <x:v>117</x:v>
      </x:c>
      <x:c r="G8" s="804" t="s">
        <x:v>1122</x:v>
      </x:c>
      <x:c r="H8" s="810" t="s">
        <x:v>1128</x:v>
      </x:c>
      <x:c r="I8" s="811"/>
      <x:c r="J8" s="670"/>
    </x:row>
    <x:row r="9" spans="1:15" x14ac:dyDescent="0.25">
      <x:c r="A9" s="56" t="s">
        <x:v>65</x:v>
      </x:c>
      <x:c r="B9" s="56" t="s">
        <x:v>63</x:v>
      </x:c>
      <x:c r="C9" s="668" t="s">
        <x:v>468</x:v>
      </x:c>
      <x:c r="D9" s="668" t="s">
        <x:v>469</x:v>
      </x:c>
      <x:c r="E9" s="668" t="s">
        <x:v>470</x:v>
      </x:c>
      <x:c r="F9" s="668" t="s">
        <x:v>433</x:v>
      </x:c>
      <x:c r="G9" s="803" t="s">
        <x:v>1123</x:v>
      </x:c>
      <x:c r="H9" s="803" t="s">
        <x:v>1129</x:v>
      </x:c>
      <x:c r="I9" s="812" t="s">
        <x:v>97</x:v>
      </x:c>
      <x:c r="J9" s="671" t="s">
        <x:v>186</x:v>
      </x:c>
    </x:row>
    <x:row r="10" spans="1:15" x14ac:dyDescent="0.25">
      <x:c r="B10" s="40" t="s">
        <x:v>50</x:v>
      </x:c>
      <x:c r="C10" s="51" t="s">
        <x:v>51</x:v>
      </x:c>
      <x:c r="D10" s="40" t="s">
        <x:v>57</x:v>
      </x:c>
      <x:c r="E10" s="40" t="s">
        <x:v>52</x:v>
      </x:c>
      <x:c r="F10" s="669" t="s">
        <x:v>487</x:v>
      </x:c>
      <x:c r="G10" s="669" t="s">
        <x:v>54</x:v>
      </x:c>
      <x:c r="H10" s="669" t="s">
        <x:v>55</x:v>
      </x:c>
      <x:c r="I10" s="813" t="s">
        <x:v>58</x:v>
      </x:c>
      <x:c r="J10" s="669" t="s">
        <x:v>59</x:v>
      </x:c>
    </x:row>
    <x:row r="11" spans="1:15" x14ac:dyDescent="0.25">
      <x:c r="B11" s="40"/>
      <x:c r="C11" s="51"/>
      <x:c r="D11" s="40"/>
      <x:c r="E11" s="40"/>
      <x:c r="F11" s="40"/>
      <x:c r="G11" s="40"/>
      <x:c r="H11" s="40"/>
      <x:c r="I11" s="814"/>
    </x:row>
    <x:row r="12" spans="1:15" x14ac:dyDescent="0.25">
      <x:c r="A12" s="2">
        <x:v>1</x:v>
      </x:c>
      <x:c r="B12" s="96">
        <x:v>45292</x:v>
      </x:c>
      <x:c r="C12" s="225">
        <x:v>661616.36290322326</x:v>
      </x:c>
      <x:c r="D12" s="225">
        <x:v>322811.39806452492</x:v>
      </x:c>
      <x:c r="E12" s="225">
        <x:v>1172657.17</x:v>
      </x:c>
      <x:c r="F12" s="225">
        <x:v>37666.950967741061</x:v>
      </x:c>
      <x:c r="G12" s="225">
        <x:v>10229.911935483871</x:v>
      </x:c>
      <x:c r="H12" s="225">
        <x:f t="shared" ref="H12:H23" si="0">SUM(C12:G12)</x:f>
        <x:v>2204981.7938709734</x:v>
      </x:c>
      <x:c r="I12" s="337">
        <x:v>31</x:v>
      </x:c>
      <x:c r="J12" s="645">
        <x:f>+H12*I12</x:f>
        <x:v>68354435.610000178</x:v>
      </x:c>
    </x:row>
    <x:row r="13" spans="1:15" x14ac:dyDescent="0.25">
      <x:c r="A13" s="2">
        <x:f>A12+1</x:f>
        <x:v>2</x:v>
      </x:c>
      <x:c r="B13" s="96">
        <x:v>45323</x:v>
      </x:c>
      <x:c r="C13" s="225">
        <x:v>2682770.8162068985</x:v>
      </x:c>
      <x:c r="D13" s="225">
        <x:v>192339.46000000188</x:v>
      </x:c>
      <x:c r="E13" s="225">
        <x:v>72816.876551692985</x:v>
      </x:c>
      <x:c r="F13" s="225">
        <x:v>64638.702068963554</x:v>
      </x:c>
      <x:c r="G13" s="225">
        <x:v>11622.745862068965</x:v>
      </x:c>
      <x:c r="H13" s="225">
        <x:f t="shared" si="0"/>
        <x:v>3024188.6006896258</x:v>
      </x:c>
      <x:c r="I13" s="337">
        <x:v>29</x:v>
      </x:c>
      <x:c r="J13" s="645">
        <x:f t="shared" ref="J13:J23" si="1">+H13*I13</x:f>
        <x:v>87701469.419999152</x:v>
      </x:c>
    </x:row>
    <x:row r="14" spans="1:15" x14ac:dyDescent="0.25">
      <x:c r="A14" s="2">
        <x:f t="shared" ref="A14:A29" si="2">A13+1</x:f>
        <x:v>3</x:v>
      </x:c>
      <x:c r="B14" s="96">
        <x:v>45352</x:v>
      </x:c>
      <x:c r="C14" s="225">
        <x:v>406021.29709677503</x:v>
      </x:c>
      <x:c r="D14" s="225">
        <x:v>418510.54290322389</x:v>
      </x:c>
      <x:c r="E14" s="225">
        <x:v>7533333.7064516135</x:v>
      </x:c>
      <x:c r="F14" s="225">
        <x:v>59285.938064517461</x:v>
      </x:c>
      <x:c r="G14" s="225">
        <x:v>13485.415806451616</x:v>
      </x:c>
      <x:c r="H14" s="225">
        <x:f t="shared" si="0"/>
        <x:v>8430636.9003225826</x:v>
      </x:c>
      <x:c r="I14" s="337">
        <x:v>31</x:v>
      </x:c>
      <x:c r="J14" s="645">
        <x:f t="shared" si="1"/>
        <x:v>261349743.91000006</x:v>
      </x:c>
    </x:row>
    <x:row r="15" spans="1:15" x14ac:dyDescent="0.25">
      <x:c r="A15" s="2">
        <x:f t="shared" si="2"/>
        <x:v>4</x:v>
      </x:c>
      <x:c r="B15" s="96">
        <x:v>45383</x:v>
      </x:c>
      <x:c r="C15" s="225">
        <x:v>639988.06699999981</x:v>
      </x:c>
      <x:c r="D15" s="225">
        <x:v>0</x:v>
      </x:c>
      <x:c r="E15" s="225">
        <x:v>97529.726333333339</x:v>
      </x:c>
      <x:c r="F15" s="225">
        <x:v>48598.606000000713</x:v>
      </x:c>
      <x:c r="G15" s="225">
        <x:v>12567.112333333334</x:v>
      </x:c>
      <x:c r="H15" s="225">
        <x:f t="shared" si="0"/>
        <x:v>798683.51166666718</x:v>
      </x:c>
      <x:c r="I15" s="337">
        <x:v>30</x:v>
      </x:c>
      <x:c r="J15" s="645">
        <x:f t="shared" si="1"/>
        <x:v>23960505.350000016</x:v>
      </x:c>
    </x:row>
    <x:row r="16" spans="1:15" x14ac:dyDescent="0.25">
      <x:c r="A16" s="2">
        <x:f t="shared" si="2"/>
        <x:v>5</x:v>
      </x:c>
      <x:c r="B16" s="96">
        <x:v>45413</x:v>
      </x:c>
      <x:c r="C16" s="225">
        <x:v>1216141.3800000011</x:v>
      </x:c>
      <x:c r="D16" s="225">
        <x:v>0</x:v>
      </x:c>
      <x:c r="E16" s="225">
        <x:v>134655.01322580647</x:v>
      </x:c>
      <x:c r="F16" s="225">
        <x:v>52635.16451613052</x:v>
      </x:c>
      <x:c r="G16" s="225">
        <x:v>10615.201935483874</x:v>
      </x:c>
      <x:c r="H16" s="225">
        <x:f t="shared" si="0"/>
        <x:v>1414046.7596774218</x:v>
      </x:c>
      <x:c r="I16" s="337">
        <x:v>31</x:v>
      </x:c>
      <x:c r="J16" s="645">
        <x:f t="shared" si="1"/>
        <x:v>43835449.550000072</x:v>
      </x:c>
    </x:row>
    <x:row r="17" spans="1:10" x14ac:dyDescent="0.25">
      <x:c r="A17" s="2">
        <x:f t="shared" si="2"/>
        <x:v>6</x:v>
      </x:c>
      <x:c r="B17" s="96">
        <x:v>45444</x:v>
      </x:c>
      <x:c r="C17" s="225">
        <x:v>321093.54300000082</x:v>
      </x:c>
      <x:c r="D17" s="225">
        <x:v>0</x:v>
      </x:c>
      <x:c r="E17" s="225">
        <x:v>81767.655666666629</x:v>
      </x:c>
      <x:c r="F17" s="225">
        <x:v>53971.540000000692</x:v>
      </x:c>
      <x:c r="G17" s="225">
        <x:v>11274.07766666667</x:v>
      </x:c>
      <x:c r="H17" s="225">
        <x:f t="shared" si="0"/>
        <x:v>468106.81633333478</x:v>
      </x:c>
      <x:c r="I17" s="337">
        <x:v>30</x:v>
      </x:c>
      <x:c r="J17" s="645">
        <x:f t="shared" si="1"/>
        <x:v>14043204.490000043</x:v>
      </x:c>
    </x:row>
    <x:row r="18" spans="1:10" x14ac:dyDescent="0.25">
      <x:c r="A18" s="2">
        <x:f t="shared" si="2"/>
        <x:v>7</x:v>
      </x:c>
      <x:c r="B18" s="96">
        <x:v>45474</x:v>
      </x:c>
      <x:c r="C18" s="225">
        <x:v>402615.31419354462</x:v>
      </x:c>
      <x:c r="D18" s="225">
        <x:v>0</x:v>
      </x:c>
      <x:c r="E18" s="225">
        <x:v>278610.17322580656</x:v>
      </x:c>
      <x:c r="F18" s="225">
        <x:v>36126.317741938219</x:v>
      </x:c>
      <x:c r="G18" s="225">
        <x:v>10551.409354838708</x:v>
      </x:c>
      <x:c r="H18" s="225">
        <x:f t="shared" si="0"/>
        <x:v>727903.21451612806</x:v>
      </x:c>
      <x:c r="I18" s="337">
        <x:v>31</x:v>
      </x:c>
      <x:c r="J18" s="645">
        <x:f t="shared" si="1"/>
        <x:v>22564999.649999969</x:v>
      </x:c>
    </x:row>
    <x:row r="19" spans="1:10" x14ac:dyDescent="0.25">
      <x:c r="A19" s="2">
        <x:f t="shared" si="2"/>
        <x:v>8</x:v>
      </x:c>
      <x:c r="B19" s="96">
        <x:v>45505</x:v>
      </x:c>
      <x:c r="C19" s="225">
        <x:v>840091.53645161178</x:v>
      </x:c>
      <x:c r="D19" s="225">
        <x:v>0</x:v>
      </x:c>
      <x:c r="E19" s="225">
        <x:v>424975.44193548383</x:v>
      </x:c>
      <x:c r="F19" s="225">
        <x:v>28854.146451612476</x:v>
      </x:c>
      <x:c r="G19" s="225">
        <x:v>11534.253225806453</x:v>
      </x:c>
      <x:c r="H19" s="225">
        <x:f t="shared" si="0"/>
        <x:v>1305455.3780645144</x:v>
      </x:c>
      <x:c r="I19" s="337">
        <x:v>31</x:v>
      </x:c>
      <x:c r="J19" s="645">
        <x:f t="shared" si="1"/>
        <x:v>40469116.719999947</x:v>
      </x:c>
    </x:row>
    <x:row r="20" spans="1:10" x14ac:dyDescent="0.25">
      <x:c r="A20" s="2">
        <x:f t="shared" si="2"/>
        <x:v>9</x:v>
      </x:c>
      <x:c r="B20" s="96">
        <x:v>45536</x:v>
      </x:c>
      <x:c r="C20" s="225">
        <x:v>833013.80866666662</x:v>
      </x:c>
      <x:c r="D20" s="225">
        <x:v>0</x:v>
      </x:c>
      <x:c r="E20" s="225">
        <x:v>602805.08699999959</x:v>
      </x:c>
      <x:c r="F20" s="225">
        <x:v>23842.106999998836</x:v>
      </x:c>
      <x:c r="G20" s="225">
        <x:v>12288.319333333335</x:v>
      </x:c>
      <x:c r="H20" s="225">
        <x:f t="shared" si="0"/>
        <x:v>1471949.3219999985</x:v>
      </x:c>
      <x:c r="I20" s="337">
        <x:v>30</x:v>
      </x:c>
      <x:c r="J20" s="645">
        <x:f t="shared" si="1"/>
        <x:v>44158479.659999959</x:v>
      </x:c>
    </x:row>
    <x:row r="21" spans="1:10" x14ac:dyDescent="0.25">
      <x:c r="A21" s="2">
        <x:f t="shared" si="2"/>
        <x:v>10</x:v>
      </x:c>
      <x:c r="B21" s="96">
        <x:v>45566</x:v>
      </x:c>
      <x:c r="C21" s="225">
        <x:v>915850.4506451583</x:v>
      </x:c>
      <x:c r="D21" s="225">
        <x:v>0</x:v>
      </x:c>
      <x:c r="E21" s="225">
        <x:v>3507967.5816129022</x:v>
      </x:c>
      <x:c r="F21" s="225">
        <x:v>11050.155483870365</x:v>
      </x:c>
      <x:c r="G21" s="225">
        <x:v>11031.298064516128</x:v>
      </x:c>
      <x:c r="H21" s="225">
        <x:f t="shared" si="0"/>
        <x:v>4445899.4858064475</x:v>
      </x:c>
      <x:c r="I21" s="337">
        <x:v>31</x:v>
      </x:c>
      <x:c r="J21" s="645">
        <x:f t="shared" si="1"/>
        <x:v>137822884.05999988</x:v>
      </x:c>
    </x:row>
    <x:row r="22" spans="1:10" x14ac:dyDescent="0.25">
      <x:c r="A22" s="2">
        <x:f t="shared" si="2"/>
        <x:v>11</x:v>
      </x:c>
      <x:c r="B22" s="96">
        <x:v>45597</x:v>
      </x:c>
      <x:c r="C22" s="225">
        <x:v>521091.47966666258</x:v>
      </x:c>
      <x:c r="D22" s="225">
        <x:v>0</x:v>
      </x:c>
      <x:c r="E22" s="225">
        <x:v>103609.83166666662</x:v>
      </x:c>
      <x:c r="F22" s="225">
        <x:v>21606.409666668471</x:v>
      </x:c>
      <x:c r="G22" s="225">
        <x:v>12611.011999999999</x:v>
      </x:c>
      <x:c r="H22" s="225">
        <x:f t="shared" si="0"/>
        <x:v>658918.73299999768</x:v>
      </x:c>
      <x:c r="I22" s="337">
        <x:v>30</x:v>
      </x:c>
      <x:c r="J22" s="645">
        <x:f t="shared" si="1"/>
        <x:v>19767561.989999931</x:v>
      </x:c>
    </x:row>
    <x:row r="23" spans="1:10" x14ac:dyDescent="0.25">
      <x:c r="A23" s="2">
        <x:f t="shared" si="2"/>
        <x:v>12</x:v>
      </x:c>
      <x:c r="B23" s="96">
        <x:v>45627</x:v>
      </x:c>
      <x:c r="C23" s="225">
        <x:v>589128.80333333451</x:v>
      </x:c>
      <x:c r="D23" s="225">
        <x:v>0</x:v>
      </x:c>
      <x:c r="E23" s="225">
        <x:v>61157.819999999992</x:v>
      </x:c>
      <x:c r="F23" s="225">
        <x:v>22220.104333336683</x:v>
      </x:c>
      <x:c r="G23" s="225">
        <x:v>10392.436333333335</x:v>
      </x:c>
      <x:c r="H23" s="820">
        <x:f t="shared" si="0"/>
        <x:v>682899.16400000453</x:v>
      </x:c>
      <x:c r="I23" s="336">
        <x:v>31</x:v>
      </x:c>
      <x:c r="J23" s="765">
        <x:f t="shared" si="1"/>
        <x:v>21169874.08400014</x:v>
      </x:c>
    </x:row>
    <x:row r="24" spans="1:10" x14ac:dyDescent="0.25">
      <x:c r="A24" s="2">
        <x:f t="shared" si="2"/>
        <x:v>13</x:v>
      </x:c>
      <x:c r="C24" s="98"/>
      <x:c r="D24" s="98"/>
      <x:c r="E24" s="98"/>
      <x:c r="F24" s="672" t="s">
        <x:v>464</x:v>
      </x:c>
      <x:c r="G24" s="672"/>
      <x:c r="H24" s="817">
        <x:f>SUM(H12:H23)/12</x:f>
        <x:v>2136139.1399956411</x:v>
      </x:c>
      <x:c r="I24" s="818"/>
      <x:c r="J24" s="765">
        <x:f>SUM(J12:J23)</x:f>
        <x:v>785197724.49399936</x:v>
      </x:c>
    </x:row>
    <x:row r="25" spans="1:10" x14ac:dyDescent="0.25">
      <x:c r="A25" s="2">
        <x:f t="shared" si="2"/>
        <x:v>14</x:v>
      </x:c>
      <x:c r="C25" s="98"/>
      <x:c r="D25" s="98"/>
      <x:c r="E25" s="98"/>
      <x:c r="F25" s="97"/>
      <x:c r="G25" s="97"/>
      <x:c r="H25" s="97"/>
      <x:c r="J25" s="819"/>
    </x:row>
    <x:row r="26" spans="1:10" s="1" customFormat="1" ht="13.25" thickBot="1" x14ac:dyDescent="0.3">
      <x:c r="A26" s="2">
        <x:f t="shared" si="2"/>
        <x:v>15</x:v>
      </x:c>
      <x:c r="B26" s="635" t="s">
        <x:v>1130</x:v>
      </x:c>
      <x:c r="D26" s="289">
        <x:v>365.25</x:v>
      </x:c>
      <x:c r="F26" s="674"/>
      <x:c r="G26" s="674"/>
      <x:c r="H26" s="674"/>
      <x:c r="I26" s="815"/>
      <x:c r="J26" s="673">
        <x:f>ROUND(J24/365.25,0)</x:f>
        <x:v>2149754</x:v>
      </x:c>
    </x:row>
    <x:row r="27" spans="1:10" ht="13.25" thickTop="1" x14ac:dyDescent="0.25">
      <x:c r="A27" s="2">
        <x:f t="shared" si="2"/>
        <x:v>16</x:v>
      </x:c>
      <x:c r="C27" s="98"/>
      <x:c r="D27" s="98"/>
      <x:c r="E27" s="98"/>
      <x:c r="J27" s="99"/>
    </x:row>
    <x:row r="28" spans="1:10" x14ac:dyDescent="0.25">
      <x:c r="A28" s="2">
        <x:f t="shared" si="2"/>
        <x:v>17</x:v>
      </x:c>
      <x:c r="D28" s="98"/>
      <x:c r="E28" s="98"/>
      <x:c r="J28" s="99"/>
    </x:row>
    <x:row r="29" spans="1:10" x14ac:dyDescent="0.25">
      <x:c r="A29" s="2">
        <x:f t="shared" si="2"/>
        <x:v>18</x:v>
      </x:c>
      <x:c r="B29" t="s">
        <x:v>230</x:v>
      </x:c>
      <x:c r="C29" s="403" t="s">
        <x:v>1127</x:v>
      </x:c>
      <x:c r="J29" s="99"/>
    </x:row>
    <x:row r="30" spans="1:10" x14ac:dyDescent="0.25">
      <x:c r="C30" s="98"/>
      <x:c r="D30" s="98"/>
      <x:c r="E30" s="98"/>
      <x:c r="J30" s="99"/>
    </x:row>
    <x:row r="31" spans="1:10" x14ac:dyDescent="0.25">
      <x:c r="C31" s="98"/>
      <x:c r="D31" s="98"/>
      <x:c r="E31" s="98"/>
      <x:c r="J31" s="99"/>
    </x:row>
    <x:row r="32" spans="1:10" x14ac:dyDescent="0.25">
      <x:c r="C32" s="98"/>
      <x:c r="D32" s="98"/>
      <x:c r="E32" s="98"/>
      <x:c r="J32" s="99"/>
    </x:row>
    <x:row r="33" spans="3:10" x14ac:dyDescent="0.25">
      <x:c r="C33" s="98"/>
      <x:c r="D33" s="98"/>
      <x:c r="E33" s="98"/>
      <x:c r="J33" s="99"/>
    </x:row>
    <x:row r="34" spans="3:10" x14ac:dyDescent="0.25">
      <x:c r="C34" s="98"/>
      <x:c r="D34" s="98"/>
      <x:c r="E34" s="98"/>
      <x:c r="J34" s="99"/>
    </x:row>
    <x:row r="35" spans="3:10" x14ac:dyDescent="0.25">
      <x:c r="C35" s="98"/>
      <x:c r="D35" s="98"/>
      <x:c r="E35" s="98"/>
      <x:c r="J35" s="99"/>
    </x:row>
    <x:row r="36" spans="3:10" x14ac:dyDescent="0.25">
      <x:c r="C36" s="98"/>
      <x:c r="D36" s="98"/>
      <x:c r="E36" s="98"/>
      <x:c r="J36" s="99"/>
    </x:row>
    <x:row r="37" spans="3:10" x14ac:dyDescent="0.25">
      <x:c r="C37" s="98"/>
      <x:c r="D37" s="98"/>
      <x:c r="E37" s="98"/>
      <x:c r="J37" s="99"/>
    </x:row>
    <x:row r="38" spans="3:10" x14ac:dyDescent="0.25">
      <x:c r="C38" s="98"/>
      <x:c r="D38" s="98"/>
      <x:c r="E38" s="98"/>
      <x:c r="J38" s="99"/>
    </x:row>
    <x:row r="39" spans="3:10" x14ac:dyDescent="0.25">
      <x:c r="C39" s="98"/>
      <x:c r="D39" s="98"/>
      <x:c r="E39" s="98"/>
      <x:c r="J39" s="99"/>
    </x:row>
    <x:row r="40" spans="3:10" x14ac:dyDescent="0.25">
      <x:c r="C40" s="98"/>
      <x:c r="D40" s="98"/>
      <x:c r="E40" s="98"/>
      <x:c r="J40" s="99"/>
    </x:row>
    <x:row r="41" spans="3:10" x14ac:dyDescent="0.25">
      <x:c r="C41" s="98"/>
      <x:c r="D41" s="98"/>
      <x:c r="E41" s="98"/>
      <x:c r="J41" s="99"/>
    </x:row>
    <x:row r="42" spans="3:10" x14ac:dyDescent="0.25">
      <x:c r="C42" s="98"/>
      <x:c r="D42" s="98"/>
      <x:c r="E42" s="98"/>
      <x:c r="J42" s="99"/>
    </x:row>
    <x:row r="43" spans="3:10" x14ac:dyDescent="0.25">
      <x:c r="C43" s="98"/>
      <x:c r="D43" s="98"/>
      <x:c r="E43" s="98"/>
      <x:c r="J43" s="99"/>
    </x:row>
    <x:row r="44" spans="3:10" x14ac:dyDescent="0.25">
      <x:c r="C44" s="98"/>
      <x:c r="D44" s="98"/>
      <x:c r="E44" s="98"/>
      <x:c r="J44" s="99"/>
    </x:row>
    <x:row r="45" spans="3:10" x14ac:dyDescent="0.25">
      <x:c r="C45" s="98"/>
      <x:c r="D45" s="98"/>
      <x:c r="E45" s="98"/>
      <x:c r="J45" s="99"/>
    </x:row>
    <x:row r="46" spans="3:10" x14ac:dyDescent="0.25">
      <x:c r="C46" s="98"/>
      <x:c r="D46" s="98"/>
      <x:c r="E46" s="98"/>
      <x:c r="J46" s="99"/>
    </x:row>
    <x:row r="47" spans="3:10" x14ac:dyDescent="0.25">
      <x:c r="C47" s="98"/>
      <x:c r="D47" s="98"/>
      <x:c r="E47" s="98"/>
      <x:c r="J47" s="99"/>
    </x:row>
    <x:row r="48" spans="3:10" x14ac:dyDescent="0.25">
      <x:c r="C48" s="98"/>
      <x:c r="D48" s="98"/>
      <x:c r="E48" s="98"/>
      <x:c r="J48" s="99"/>
    </x:row>
    <x:row r="49" spans="3:10" x14ac:dyDescent="0.25">
      <x:c r="C49" s="98"/>
      <x:c r="D49" s="98"/>
      <x:c r="E49" s="98"/>
      <x:c r="J49" s="99"/>
    </x:row>
    <x:row r="50" spans="3:10" x14ac:dyDescent="0.25">
      <x:c r="C50" s="98"/>
      <x:c r="D50" s="98"/>
      <x:c r="E50" s="98"/>
      <x:c r="J50" s="99"/>
    </x:row>
    <x:row r="51" spans="3:10" x14ac:dyDescent="0.25">
      <x:c r="C51" s="98"/>
      <x:c r="D51" s="98"/>
      <x:c r="E51" s="98"/>
      <x:c r="J51" s="99"/>
    </x:row>
    <x:row r="52" spans="3:10" x14ac:dyDescent="0.25">
      <x:c r="C52" s="98"/>
      <x:c r="D52" s="98"/>
      <x:c r="E52" s="98"/>
      <x:c r="J52" s="99"/>
    </x:row>
    <x:row r="53" spans="3:10" x14ac:dyDescent="0.25">
      <x:c r="C53" s="98"/>
      <x:c r="D53" s="98"/>
      <x:c r="E53" s="98"/>
      <x:c r="J53" s="99"/>
    </x:row>
    <x:row r="54" spans="3:10" x14ac:dyDescent="0.25">
      <x:c r="C54" s="98"/>
      <x:c r="D54" s="98"/>
      <x:c r="E54" s="98"/>
      <x:c r="J54" s="99"/>
    </x:row>
    <x:row r="55" spans="3:10" x14ac:dyDescent="0.25">
      <x:c r="C55" s="98"/>
      <x:c r="D55" s="98"/>
      <x:c r="E55" s="98"/>
      <x:c r="J55" s="99"/>
    </x:row>
    <x:row r="56" spans="3:10" x14ac:dyDescent="0.25">
      <x:c r="C56" s="98"/>
      <x:c r="D56" s="98"/>
      <x:c r="E56" s="98"/>
      <x:c r="J56" s="99"/>
    </x:row>
    <x:row r="57" spans="3:10" x14ac:dyDescent="0.25">
      <x:c r="C57" s="98"/>
      <x:c r="D57" s="98"/>
      <x:c r="E57" s="98"/>
      <x:c r="J57" s="99"/>
    </x:row>
    <x:row r="58" spans="3:10" x14ac:dyDescent="0.25">
      <x:c r="C58" s="98"/>
      <x:c r="D58" s="98"/>
      <x:c r="E58" s="98"/>
      <x:c r="J58" s="99"/>
    </x:row>
    <x:row r="59" spans="3:10" x14ac:dyDescent="0.25">
      <x:c r="C59" s="98"/>
      <x:c r="D59" s="98"/>
      <x:c r="E59" s="98"/>
      <x:c r="J59" s="99"/>
    </x:row>
    <x:row r="60" spans="3:10" x14ac:dyDescent="0.25">
      <x:c r="C60" s="98"/>
      <x:c r="D60" s="98"/>
      <x:c r="E60" s="98"/>
      <x:c r="J60" s="99"/>
    </x:row>
    <x:row r="61" spans="3:10" x14ac:dyDescent="0.25">
      <x:c r="C61" s="98"/>
      <x:c r="D61" s="98"/>
      <x:c r="E61" s="98"/>
      <x:c r="J61" s="99"/>
    </x:row>
    <x:row r="62" spans="3:10" x14ac:dyDescent="0.25">
      <x:c r="C62" s="98"/>
      <x:c r="D62" s="98"/>
      <x:c r="E62" s="98"/>
      <x:c r="J62" s="99"/>
    </x:row>
    <x:row r="63" spans="3:10" x14ac:dyDescent="0.25">
      <x:c r="C63" s="98"/>
      <x:c r="D63" s="98"/>
      <x:c r="E63" s="98"/>
      <x:c r="J63" s="99"/>
    </x:row>
    <x:row r="64" spans="3:10" x14ac:dyDescent="0.25">
      <x:c r="C64" s="98"/>
      <x:c r="D64" s="98"/>
      <x:c r="E64" s="98"/>
      <x:c r="J64" s="99"/>
    </x:row>
    <x:row r="65" spans="3:10" x14ac:dyDescent="0.25">
      <x:c r="C65" s="98"/>
      <x:c r="D65" s="98"/>
      <x:c r="E65" s="98"/>
      <x:c r="J65" s="99"/>
    </x:row>
    <x:row r="66" spans="3:10" x14ac:dyDescent="0.25">
      <x:c r="C66" s="98"/>
      <x:c r="D66" s="98"/>
      <x:c r="E66" s="98"/>
      <x:c r="J66" s="99"/>
    </x:row>
    <x:row r="67" spans="3:10" x14ac:dyDescent="0.25">
      <x:c r="C67" s="98"/>
      <x:c r="D67" s="98"/>
      <x:c r="E67" s="98"/>
      <x:c r="J67" s="99"/>
    </x:row>
    <x:row r="68" spans="3:10" x14ac:dyDescent="0.25">
      <x:c r="C68" s="98"/>
      <x:c r="D68" s="98"/>
      <x:c r="E68" s="98"/>
      <x:c r="J68" s="99"/>
    </x:row>
    <x:row r="69" spans="3:10" x14ac:dyDescent="0.25">
      <x:c r="C69" s="98"/>
      <x:c r="D69" s="98"/>
      <x:c r="E69" s="98"/>
      <x:c r="J69" s="99"/>
    </x:row>
    <x:row r="70" spans="3:10" x14ac:dyDescent="0.25">
      <x:c r="C70" s="98"/>
      <x:c r="D70" s="98"/>
      <x:c r="E70" s="98"/>
      <x:c r="J70" s="99"/>
    </x:row>
    <x:row r="71" spans="3:10" x14ac:dyDescent="0.25">
      <x:c r="C71" s="98"/>
      <x:c r="D71" s="98"/>
      <x:c r="E71" s="98"/>
      <x:c r="J71" s="99"/>
    </x:row>
    <x:row r="72" spans="3:10" x14ac:dyDescent="0.25">
      <x:c r="C72" s="98"/>
      <x:c r="D72" s="98"/>
      <x:c r="E72" s="98"/>
      <x:c r="J72" s="99"/>
    </x:row>
    <x:row r="73" spans="3:10" x14ac:dyDescent="0.25">
      <x:c r="C73" s="98"/>
      <x:c r="D73" s="98"/>
      <x:c r="E73" s="98"/>
      <x:c r="J73" s="99"/>
    </x:row>
    <x:row r="74" spans="3:10" x14ac:dyDescent="0.25">
      <x:c r="C74" s="98"/>
      <x:c r="D74" s="98"/>
      <x:c r="E74" s="98"/>
      <x:c r="J74" s="99"/>
    </x:row>
    <x:row r="75" spans="3:10" x14ac:dyDescent="0.25">
      <x:c r="C75" s="98"/>
      <x:c r="D75" s="98"/>
      <x:c r="E75" s="98"/>
      <x:c r="J75" s="99"/>
    </x:row>
    <x:row r="76" spans="3:10" x14ac:dyDescent="0.25">
      <x:c r="C76" s="98"/>
      <x:c r="D76" s="98"/>
      <x:c r="E76" s="98"/>
      <x:c r="J76" s="99"/>
    </x:row>
    <x:row r="77" spans="3:10" x14ac:dyDescent="0.25">
      <x:c r="C77" s="98"/>
      <x:c r="D77" s="98"/>
      <x:c r="E77" s="98"/>
      <x:c r="J77" s="99"/>
    </x:row>
    <x:row r="78" spans="3:10" x14ac:dyDescent="0.25">
      <x:c r="C78" s="98"/>
      <x:c r="D78" s="98"/>
      <x:c r="E78" s="98"/>
      <x:c r="J78" s="99"/>
    </x:row>
    <x:row r="79" spans="3:10" x14ac:dyDescent="0.25">
      <x:c r="C79" s="98"/>
      <x:c r="D79" s="98"/>
      <x:c r="E79" s="98"/>
      <x:c r="J79" s="99"/>
    </x:row>
    <x:row r="80" spans="3:10" x14ac:dyDescent="0.25">
      <x:c r="C80" s="98"/>
      <x:c r="D80" s="98"/>
      <x:c r="E80" s="98"/>
      <x:c r="J80" s="99"/>
    </x:row>
    <x:row r="81" spans="3:10" x14ac:dyDescent="0.25">
      <x:c r="C81" s="98"/>
      <x:c r="D81" s="98"/>
      <x:c r="E81" s="98"/>
      <x:c r="J81" s="99"/>
    </x:row>
    <x:row r="82" spans="3:10" x14ac:dyDescent="0.25">
      <x:c r="C82" s="98"/>
      <x:c r="D82" s="98"/>
      <x:c r="E82" s="98"/>
      <x:c r="J82" s="99"/>
    </x:row>
    <x:row r="83" spans="3:10" x14ac:dyDescent="0.25">
      <x:c r="C83" s="98"/>
      <x:c r="D83" s="98"/>
      <x:c r="E83" s="98"/>
      <x:c r="J83" s="99"/>
    </x:row>
    <x:row r="84" spans="3:10" x14ac:dyDescent="0.25">
      <x:c r="C84" s="98"/>
      <x:c r="D84" s="98"/>
      <x:c r="E84" s="98"/>
      <x:c r="J84" s="99"/>
    </x:row>
    <x:row r="85" spans="3:10" x14ac:dyDescent="0.25">
      <x:c r="C85" s="98"/>
      <x:c r="D85" s="98"/>
      <x:c r="E85" s="98"/>
      <x:c r="J85" s="99"/>
    </x:row>
    <x:row r="86" spans="3:10" x14ac:dyDescent="0.25">
      <x:c r="C86" s="98"/>
      <x:c r="D86" s="98"/>
      <x:c r="E86" s="98"/>
      <x:c r="J86" s="99"/>
    </x:row>
    <x:row r="87" spans="3:10" x14ac:dyDescent="0.25">
      <x:c r="C87" s="98"/>
      <x:c r="D87" s="98"/>
      <x:c r="E87" s="98"/>
      <x:c r="J87" s="99"/>
    </x:row>
    <x:row r="88" spans="3:10" x14ac:dyDescent="0.25">
      <x:c r="C88" s="98"/>
      <x:c r="D88" s="98"/>
      <x:c r="E88" s="98"/>
      <x:c r="J88" s="99"/>
    </x:row>
    <x:row r="89" spans="3:10" x14ac:dyDescent="0.25">
      <x:c r="C89" s="98"/>
      <x:c r="D89" s="98"/>
      <x:c r="E89" s="98"/>
      <x:c r="J89" s="99"/>
    </x:row>
    <x:row r="90" spans="3:10" x14ac:dyDescent="0.25">
      <x:c r="C90" s="98"/>
      <x:c r="D90" s="98"/>
      <x:c r="E90" s="98"/>
      <x:c r="J90" s="99"/>
    </x:row>
    <x:row r="91" spans="3:10" x14ac:dyDescent="0.25">
      <x:c r="C91" s="98"/>
      <x:c r="D91" s="98"/>
      <x:c r="E91" s="98"/>
      <x:c r="J91" s="99"/>
    </x:row>
    <x:row r="92" spans="3:10" x14ac:dyDescent="0.25">
      <x:c r="C92" s="98"/>
      <x:c r="D92" s="98"/>
      <x:c r="E92" s="98"/>
      <x:c r="J92" s="99"/>
    </x:row>
    <x:row r="93" spans="3:10" x14ac:dyDescent="0.25">
      <x:c r="C93" s="98"/>
      <x:c r="D93" s="98"/>
      <x:c r="E93" s="98"/>
      <x:c r="J93" s="99"/>
    </x:row>
    <x:row r="94" spans="3:10" x14ac:dyDescent="0.25">
      <x:c r="C94" s="98"/>
      <x:c r="D94" s="98"/>
      <x:c r="E94" s="98"/>
      <x:c r="J94" s="99"/>
    </x:row>
    <x:row r="95" spans="3:10" x14ac:dyDescent="0.25">
      <x:c r="C95" s="98"/>
      <x:c r="D95" s="98"/>
      <x:c r="E95" s="98"/>
      <x:c r="J95" s="99"/>
    </x:row>
    <x:row r="96" spans="3:10" x14ac:dyDescent="0.25">
      <x:c r="C96" s="98"/>
      <x:c r="D96" s="98"/>
      <x:c r="E96" s="98"/>
      <x:c r="J96" s="99"/>
    </x:row>
    <x:row r="97" spans="3:10" x14ac:dyDescent="0.25">
      <x:c r="C97" s="98"/>
      <x:c r="D97" s="98"/>
      <x:c r="E97" s="98"/>
      <x:c r="J97" s="99"/>
    </x:row>
    <x:row r="98" spans="3:10" x14ac:dyDescent="0.25">
      <x:c r="C98" s="98"/>
      <x:c r="D98" s="98"/>
      <x:c r="E98" s="98"/>
      <x:c r="J98" s="99"/>
    </x:row>
    <x:row r="99" spans="3:10" x14ac:dyDescent="0.25">
      <x:c r="C99" s="98"/>
      <x:c r="D99" s="98"/>
      <x:c r="E99" s="98"/>
      <x:c r="J99" s="99"/>
    </x:row>
    <x:row r="100" spans="3:10" x14ac:dyDescent="0.25">
      <x:c r="C100" s="98"/>
      <x:c r="D100" s="98"/>
      <x:c r="E100" s="98"/>
      <x:c r="J100" s="99"/>
    </x:row>
    <x:row r="101" spans="3:10" x14ac:dyDescent="0.25">
      <x:c r="C101" s="98"/>
      <x:c r="D101" s="98"/>
      <x:c r="E101" s="98"/>
      <x:c r="J101" s="99"/>
    </x:row>
    <x:row r="102" spans="3:10" x14ac:dyDescent="0.25">
      <x:c r="C102" s="98"/>
      <x:c r="D102" s="98"/>
      <x:c r="E102" s="98"/>
      <x:c r="J102" s="99"/>
    </x:row>
    <x:row r="103" spans="3:10" x14ac:dyDescent="0.25">
      <x:c r="C103" s="98"/>
      <x:c r="D103" s="98"/>
      <x:c r="E103" s="98"/>
      <x:c r="J103" s="99"/>
    </x:row>
    <x:row r="104" spans="3:10" x14ac:dyDescent="0.25">
      <x:c r="C104" s="98"/>
      <x:c r="D104" s="98"/>
      <x:c r="E104" s="98"/>
      <x:c r="J104" s="99"/>
    </x:row>
    <x:row r="105" spans="3:10" x14ac:dyDescent="0.25">
      <x:c r="C105" s="98"/>
      <x:c r="D105" s="98"/>
      <x:c r="E105" s="98"/>
      <x:c r="J105" s="99"/>
    </x:row>
    <x:row r="106" spans="3:10" x14ac:dyDescent="0.25">
      <x:c r="C106" s="98"/>
      <x:c r="D106" s="98"/>
      <x:c r="E106" s="98"/>
      <x:c r="J106" s="99"/>
    </x:row>
    <x:row r="107" spans="3:10" x14ac:dyDescent="0.25">
      <x:c r="C107" s="98"/>
      <x:c r="D107" s="98"/>
      <x:c r="E107" s="98"/>
      <x:c r="J107" s="99"/>
    </x:row>
    <x:row r="108" spans="3:10" x14ac:dyDescent="0.25">
      <x:c r="C108" s="98"/>
      <x:c r="D108" s="98"/>
      <x:c r="E108" s="98"/>
      <x:c r="J108" s="99"/>
    </x:row>
    <x:row r="109" spans="3:10" x14ac:dyDescent="0.25">
      <x:c r="C109" s="98"/>
      <x:c r="D109" s="98"/>
      <x:c r="E109" s="98"/>
      <x:c r="J109" s="99"/>
    </x:row>
    <x:row r="110" spans="3:10" x14ac:dyDescent="0.25">
      <x:c r="C110" s="98"/>
      <x:c r="D110" s="98"/>
      <x:c r="E110" s="98"/>
      <x:c r="J110" s="99"/>
    </x:row>
    <x:row r="111" spans="3:10" x14ac:dyDescent="0.25">
      <x:c r="C111" s="98"/>
      <x:c r="D111" s="98"/>
      <x:c r="E111" s="98"/>
      <x:c r="J111" s="99"/>
    </x:row>
    <x:row r="112" spans="3:10" x14ac:dyDescent="0.25">
      <x:c r="C112" s="98"/>
      <x:c r="D112" s="98"/>
      <x:c r="E112" s="98"/>
      <x:c r="J112" s="99"/>
    </x:row>
    <x:row r="113" spans="3:10" x14ac:dyDescent="0.25">
      <x:c r="C113" s="98"/>
      <x:c r="D113" s="98"/>
      <x:c r="E113" s="98"/>
      <x:c r="J113" s="99"/>
    </x:row>
    <x:row r="114" spans="3:10" x14ac:dyDescent="0.25">
      <x:c r="C114" s="98"/>
      <x:c r="D114" s="98"/>
      <x:c r="E114" s="98"/>
      <x:c r="J114" s="99"/>
    </x:row>
    <x:row r="115" spans="3:10" x14ac:dyDescent="0.25">
      <x:c r="C115" s="98"/>
      <x:c r="D115" s="98"/>
      <x:c r="E115" s="98"/>
      <x:c r="J115" s="99"/>
    </x:row>
    <x:row r="116" spans="3:10" x14ac:dyDescent="0.25">
      <x:c r="C116" s="98"/>
      <x:c r="D116" s="98"/>
      <x:c r="E116" s="98"/>
      <x:c r="J116" s="99"/>
    </x:row>
    <x:row r="117" spans="3:10" x14ac:dyDescent="0.25">
      <x:c r="C117" s="98"/>
      <x:c r="D117" s="98"/>
      <x:c r="E117" s="98"/>
      <x:c r="J117" s="99"/>
    </x:row>
    <x:row r="118" spans="3:10" x14ac:dyDescent="0.25">
      <x:c r="C118" s="98"/>
      <x:c r="D118" s="98"/>
      <x:c r="E118" s="98"/>
      <x:c r="J118" s="99"/>
    </x:row>
    <x:row r="119" spans="3:10" x14ac:dyDescent="0.25">
      <x:c r="C119" s="98"/>
      <x:c r="D119" s="98"/>
      <x:c r="E119" s="98"/>
      <x:c r="J119" s="99"/>
    </x:row>
    <x:row r="120" spans="3:10" x14ac:dyDescent="0.25">
      <x:c r="C120" s="98"/>
      <x:c r="D120" s="98"/>
      <x:c r="E120" s="98"/>
      <x:c r="J120" s="99"/>
    </x:row>
    <x:row r="121" spans="3:10" x14ac:dyDescent="0.25">
      <x:c r="C121" s="98"/>
      <x:c r="D121" s="98"/>
      <x:c r="E121" s="98"/>
      <x:c r="J121" s="99"/>
    </x:row>
    <x:row r="122" spans="3:10" x14ac:dyDescent="0.25">
      <x:c r="C122" s="98"/>
      <x:c r="D122" s="98"/>
      <x:c r="E122" s="98"/>
      <x:c r="J122" s="99"/>
    </x:row>
    <x:row r="123" spans="3:10" x14ac:dyDescent="0.25">
      <x:c r="C123" s="98"/>
      <x:c r="D123" s="98"/>
      <x:c r="E123" s="98"/>
      <x:c r="J123" s="99"/>
    </x:row>
    <x:row r="124" spans="3:10" x14ac:dyDescent="0.25">
      <x:c r="C124" s="98"/>
      <x:c r="D124" s="98"/>
      <x:c r="E124" s="98"/>
      <x:c r="J124" s="99"/>
    </x:row>
    <x:row r="125" spans="3:10" x14ac:dyDescent="0.25">
      <x:c r="C125" s="98"/>
      <x:c r="D125" s="98"/>
      <x:c r="E125" s="98"/>
      <x:c r="J125" s="99"/>
    </x:row>
    <x:row r="126" spans="3:10" x14ac:dyDescent="0.25">
      <x:c r="C126" s="98"/>
      <x:c r="D126" s="98"/>
      <x:c r="E126" s="98"/>
      <x:c r="J126" s="99"/>
    </x:row>
    <x:row r="127" spans="3:10" x14ac:dyDescent="0.25">
      <x:c r="C127" s="98"/>
      <x:c r="D127" s="98"/>
      <x:c r="E127" s="98"/>
      <x:c r="J127" s="99"/>
    </x:row>
    <x:row r="128" spans="3:10" x14ac:dyDescent="0.25">
      <x:c r="C128" s="98"/>
      <x:c r="D128" s="98"/>
      <x:c r="E128" s="98"/>
      <x:c r="J128" s="99"/>
    </x:row>
    <x:row r="129" spans="3:10" x14ac:dyDescent="0.25">
      <x:c r="C129" s="98"/>
      <x:c r="D129" s="98"/>
      <x:c r="E129" s="98"/>
      <x:c r="J129" s="99"/>
    </x:row>
    <x:row r="130" spans="3:10" x14ac:dyDescent="0.25">
      <x:c r="C130" s="98"/>
      <x:c r="D130" s="98"/>
      <x:c r="E130" s="98"/>
      <x:c r="J130" s="99"/>
    </x:row>
    <x:row r="131" spans="3:10" x14ac:dyDescent="0.25">
      <x:c r="C131" s="98"/>
      <x:c r="D131" s="98"/>
      <x:c r="E131" s="98"/>
      <x:c r="J131" s="99"/>
    </x:row>
    <x:row r="132" spans="3:10" x14ac:dyDescent="0.25">
      <x:c r="C132" s="98"/>
      <x:c r="D132" s="98"/>
      <x:c r="E132" s="98"/>
      <x:c r="J132" s="99"/>
    </x:row>
    <x:row r="133" spans="3:10" x14ac:dyDescent="0.25">
      <x:c r="C133" s="98"/>
      <x:c r="D133" s="98"/>
      <x:c r="E133" s="98"/>
      <x:c r="J133" s="99"/>
    </x:row>
    <x:row r="134" spans="3:10" x14ac:dyDescent="0.25">
      <x:c r="C134" s="98"/>
      <x:c r="D134" s="98"/>
      <x:c r="E134" s="98"/>
      <x:c r="J134" s="99"/>
    </x:row>
    <x:row r="135" spans="3:10" x14ac:dyDescent="0.25">
      <x:c r="C135" s="98"/>
      <x:c r="D135" s="98"/>
      <x:c r="E135" s="98"/>
      <x:c r="J135" s="99"/>
    </x:row>
    <x:row r="136" spans="3:10" x14ac:dyDescent="0.25">
      <x:c r="C136" s="98"/>
      <x:c r="D136" s="98"/>
      <x:c r="E136" s="98"/>
      <x:c r="J136" s="99"/>
    </x:row>
    <x:row r="137" spans="3:10" x14ac:dyDescent="0.25">
      <x:c r="C137" s="98"/>
      <x:c r="D137" s="98"/>
      <x:c r="E137" s="98"/>
      <x:c r="J137" s="99"/>
    </x:row>
    <x:row r="138" spans="3:10" x14ac:dyDescent="0.25">
      <x:c r="C138" s="98"/>
      <x:c r="D138" s="98"/>
      <x:c r="E138" s="98"/>
      <x:c r="J138" s="99"/>
    </x:row>
    <x:row r="139" spans="3:10" x14ac:dyDescent="0.25">
      <x:c r="C139" s="98"/>
      <x:c r="D139" s="98"/>
      <x:c r="E139" s="98"/>
      <x:c r="J139" s="99"/>
    </x:row>
    <x:row r="140" spans="3:10" x14ac:dyDescent="0.25">
      <x:c r="C140" s="98"/>
      <x:c r="D140" s="98"/>
      <x:c r="E140" s="98"/>
      <x:c r="J140" s="99"/>
    </x:row>
    <x:row r="141" spans="3:10" x14ac:dyDescent="0.25">
      <x:c r="C141" s="98"/>
      <x:c r="D141" s="98"/>
      <x:c r="E141" s="98"/>
      <x:c r="J141" s="99"/>
    </x:row>
    <x:row r="142" spans="3:10" x14ac:dyDescent="0.25">
      <x:c r="C142" s="98"/>
      <x:c r="D142" s="98"/>
      <x:c r="E142" s="98"/>
      <x:c r="J142" s="99"/>
    </x:row>
    <x:row r="143" spans="3:10" x14ac:dyDescent="0.25">
      <x:c r="C143" s="98"/>
      <x:c r="D143" s="98"/>
      <x:c r="E143" s="98"/>
      <x:c r="J143" s="99"/>
    </x:row>
    <x:row r="144" spans="3:10" x14ac:dyDescent="0.25">
      <x:c r="C144" s="98"/>
      <x:c r="D144" s="98"/>
      <x:c r="E144" s="98"/>
      <x:c r="J144" s="99"/>
    </x:row>
    <x:row r="145" spans="3:10" x14ac:dyDescent="0.25">
      <x:c r="C145" s="98"/>
      <x:c r="D145" s="98"/>
      <x:c r="E145" s="98"/>
      <x:c r="J145" s="99"/>
    </x:row>
    <x:row r="146" spans="3:10" x14ac:dyDescent="0.25">
      <x:c r="C146" s="98"/>
      <x:c r="D146" s="98"/>
      <x:c r="E146" s="98"/>
      <x:c r="J146" s="99"/>
    </x:row>
    <x:row r="147" spans="3:10" x14ac:dyDescent="0.25">
      <x:c r="C147" s="98"/>
      <x:c r="D147" s="98"/>
      <x:c r="E147" s="98"/>
      <x:c r="J147" s="99"/>
    </x:row>
    <x:row r="148" spans="3:10" x14ac:dyDescent="0.25">
      <x:c r="C148" s="98"/>
      <x:c r="D148" s="98"/>
      <x:c r="E148" s="98"/>
      <x:c r="J148" s="99"/>
    </x:row>
    <x:row r="149" spans="3:10" x14ac:dyDescent="0.25">
      <x:c r="C149" s="98"/>
      <x:c r="D149" s="98"/>
      <x:c r="E149" s="98"/>
      <x:c r="J149" s="99"/>
    </x:row>
    <x:row r="150" spans="3:10" x14ac:dyDescent="0.25">
      <x:c r="C150" s="98"/>
      <x:c r="D150" s="98"/>
      <x:c r="E150" s="98"/>
      <x:c r="J150" s="99"/>
    </x:row>
    <x:row r="151" spans="3:10" x14ac:dyDescent="0.25">
      <x:c r="C151" s="98"/>
      <x:c r="D151" s="98"/>
      <x:c r="E151" s="98"/>
      <x:c r="J151" s="99"/>
    </x:row>
    <x:row r="152" spans="3:10" x14ac:dyDescent="0.25">
      <x:c r="C152" s="98"/>
      <x:c r="D152" s="98"/>
      <x:c r="E152" s="98"/>
      <x:c r="J152" s="99"/>
    </x:row>
    <x:row r="153" spans="3:10" x14ac:dyDescent="0.25">
      <x:c r="C153" s="98"/>
      <x:c r="D153" s="98"/>
      <x:c r="E153" s="98"/>
      <x:c r="J153" s="99"/>
    </x:row>
    <x:row r="154" spans="3:10" x14ac:dyDescent="0.25">
      <x:c r="C154" s="98"/>
      <x:c r="D154" s="98"/>
      <x:c r="E154" s="98"/>
      <x:c r="J154" s="99"/>
    </x:row>
    <x:row r="155" spans="3:10" x14ac:dyDescent="0.25">
      <x:c r="C155" s="98"/>
      <x:c r="D155" s="98"/>
      <x:c r="E155" s="98"/>
      <x:c r="J155" s="99"/>
    </x:row>
    <x:row r="156" spans="3:10" x14ac:dyDescent="0.25">
      <x:c r="C156" s="98"/>
      <x:c r="D156" s="98"/>
      <x:c r="E156" s="98"/>
      <x:c r="J156" s="99"/>
    </x:row>
    <x:row r="157" spans="3:10" x14ac:dyDescent="0.25">
      <x:c r="C157" s="98"/>
      <x:c r="D157" s="98"/>
      <x:c r="E157" s="98"/>
      <x:c r="J157" s="99"/>
    </x:row>
    <x:row r="158" spans="3:10" x14ac:dyDescent="0.25">
      <x:c r="C158" s="98"/>
      <x:c r="D158" s="98"/>
      <x:c r="E158" s="98"/>
      <x:c r="J158" s="99"/>
    </x:row>
    <x:row r="159" spans="3:10" x14ac:dyDescent="0.25">
      <x:c r="C159" s="98"/>
      <x:c r="D159" s="98"/>
      <x:c r="E159" s="98"/>
      <x:c r="J159" s="99"/>
    </x:row>
    <x:row r="160" spans="3:10" x14ac:dyDescent="0.25">
      <x:c r="C160" s="98"/>
      <x:c r="D160" s="98"/>
      <x:c r="E160" s="98"/>
      <x:c r="J160" s="99"/>
    </x:row>
    <x:row r="161" spans="3:10" x14ac:dyDescent="0.25">
      <x:c r="C161" s="98"/>
      <x:c r="D161" s="98"/>
      <x:c r="E161" s="98"/>
      <x:c r="J161" s="99"/>
    </x:row>
    <x:row r="162" spans="3:10" x14ac:dyDescent="0.25">
      <x:c r="C162" s="98"/>
      <x:c r="D162" s="98"/>
      <x:c r="E162" s="98"/>
      <x:c r="J162" s="99"/>
    </x:row>
    <x:row r="163" spans="3:10" x14ac:dyDescent="0.25">
      <x:c r="C163" s="98"/>
      <x:c r="D163" s="98"/>
      <x:c r="E163" s="98"/>
      <x:c r="J163" s="99"/>
    </x:row>
    <x:row r="164" spans="3:10" x14ac:dyDescent="0.25">
      <x:c r="C164" s="98"/>
      <x:c r="D164" s="98"/>
      <x:c r="E164" s="98"/>
      <x:c r="J164" s="99"/>
    </x:row>
    <x:row r="165" spans="3:10" x14ac:dyDescent="0.25">
      <x:c r="C165" s="98"/>
      <x:c r="D165" s="98"/>
      <x:c r="E165" s="98"/>
      <x:c r="J165" s="99"/>
    </x:row>
    <x:row r="166" spans="3:10" x14ac:dyDescent="0.25">
      <x:c r="C166" s="98"/>
      <x:c r="D166" s="98"/>
      <x:c r="E166" s="98"/>
      <x:c r="J166" s="99"/>
    </x:row>
    <x:row r="167" spans="3:10" x14ac:dyDescent="0.25">
      <x:c r="C167" s="98"/>
      <x:c r="D167" s="98"/>
      <x:c r="E167" s="98"/>
      <x:c r="J167" s="99"/>
    </x:row>
    <x:row r="168" spans="3:10" x14ac:dyDescent="0.25">
      <x:c r="C168" s="98"/>
      <x:c r="D168" s="98"/>
      <x:c r="E168" s="98"/>
      <x:c r="J168" s="99"/>
    </x:row>
    <x:row r="169" spans="3:10" x14ac:dyDescent="0.25">
      <x:c r="C169" s="98"/>
      <x:c r="D169" s="98"/>
      <x:c r="E169" s="98"/>
      <x:c r="J169" s="99"/>
    </x:row>
    <x:row r="170" spans="3:10" x14ac:dyDescent="0.25">
      <x:c r="C170" s="98"/>
      <x:c r="D170" s="98"/>
      <x:c r="E170" s="98"/>
      <x:c r="J170" s="99"/>
    </x:row>
    <x:row r="171" spans="3:10" x14ac:dyDescent="0.25">
      <x:c r="C171" s="98"/>
      <x:c r="D171" s="98"/>
      <x:c r="E171" s="98"/>
      <x:c r="J171" s="99"/>
    </x:row>
    <x:row r="172" spans="3:10" x14ac:dyDescent="0.25">
      <x:c r="C172" s="98"/>
      <x:c r="D172" s="98"/>
      <x:c r="E172" s="98"/>
      <x:c r="J172" s="99"/>
    </x:row>
    <x:row r="173" spans="3:10" x14ac:dyDescent="0.25">
      <x:c r="C173" s="98"/>
      <x:c r="D173" s="98"/>
      <x:c r="E173" s="98"/>
      <x:c r="J173" s="99"/>
    </x:row>
    <x:row r="174" spans="3:10" x14ac:dyDescent="0.25">
      <x:c r="C174" s="98"/>
      <x:c r="D174" s="98"/>
      <x:c r="E174" s="98"/>
      <x:c r="J174" s="99"/>
    </x:row>
    <x:row r="175" spans="3:10" x14ac:dyDescent="0.25">
      <x:c r="C175" s="98"/>
      <x:c r="D175" s="98"/>
      <x:c r="E175" s="98"/>
      <x:c r="J175" s="99"/>
    </x:row>
    <x:row r="176" spans="3:10" x14ac:dyDescent="0.25">
      <x:c r="C176" s="98"/>
      <x:c r="D176" s="98"/>
      <x:c r="E176" s="98"/>
      <x:c r="J176" s="99"/>
    </x:row>
    <x:row r="177" spans="3:10" x14ac:dyDescent="0.25">
      <x:c r="C177" s="98"/>
      <x:c r="D177" s="98"/>
      <x:c r="E177" s="98"/>
      <x:c r="J177" s="99"/>
    </x:row>
    <x:row r="178" spans="3:10" x14ac:dyDescent="0.25">
      <x:c r="C178" s="98"/>
      <x:c r="D178" s="98"/>
      <x:c r="E178" s="98"/>
      <x:c r="J178" s="99"/>
    </x:row>
    <x:row r="179" spans="3:10" x14ac:dyDescent="0.25">
      <x:c r="C179" s="98"/>
      <x:c r="D179" s="98"/>
      <x:c r="E179" s="98"/>
      <x:c r="J179" s="99"/>
    </x:row>
    <x:row r="180" spans="3:10" x14ac:dyDescent="0.25">
      <x:c r="C180" s="98"/>
      <x:c r="D180" s="98"/>
      <x:c r="E180" s="98"/>
      <x:c r="J180" s="99"/>
    </x:row>
    <x:row r="181" spans="3:10" x14ac:dyDescent="0.25">
      <x:c r="C181" s="98"/>
      <x:c r="D181" s="98"/>
      <x:c r="E181" s="98"/>
      <x:c r="J181" s="99"/>
    </x:row>
    <x:row r="182" spans="3:10" x14ac:dyDescent="0.25">
      <x:c r="C182" s="98"/>
      <x:c r="D182" s="98"/>
      <x:c r="E182" s="98"/>
      <x:c r="J182" s="99"/>
    </x:row>
    <x:row r="183" spans="3:10" x14ac:dyDescent="0.25">
      <x:c r="C183" s="98"/>
      <x:c r="D183" s="98"/>
      <x:c r="E183" s="98"/>
      <x:c r="J183" s="99"/>
    </x:row>
    <x:row r="184" spans="3:10" x14ac:dyDescent="0.25">
      <x:c r="C184" s="98"/>
      <x:c r="D184" s="98"/>
      <x:c r="E184" s="98"/>
      <x:c r="J184" s="99"/>
    </x:row>
    <x:row r="185" spans="3:10" x14ac:dyDescent="0.25">
      <x:c r="C185" s="98"/>
      <x:c r="D185" s="98"/>
      <x:c r="E185" s="98"/>
      <x:c r="J185" s="99"/>
    </x:row>
    <x:row r="186" spans="3:10" x14ac:dyDescent="0.25">
      <x:c r="C186" s="98"/>
      <x:c r="D186" s="98"/>
      <x:c r="E186" s="98"/>
      <x:c r="J186" s="99"/>
    </x:row>
    <x:row r="187" spans="3:10" x14ac:dyDescent="0.25">
      <x:c r="C187" s="98"/>
      <x:c r="D187" s="98"/>
      <x:c r="E187" s="98"/>
      <x:c r="J187" s="99"/>
    </x:row>
    <x:row r="188" spans="3:10" x14ac:dyDescent="0.25">
      <x:c r="C188" s="98"/>
      <x:c r="D188" s="98"/>
      <x:c r="E188" s="98"/>
      <x:c r="J188" s="99"/>
    </x:row>
    <x:row r="189" spans="3:10" x14ac:dyDescent="0.25">
      <x:c r="C189" s="98"/>
      <x:c r="D189" s="98"/>
      <x:c r="E189" s="98"/>
      <x:c r="J189" s="99"/>
    </x:row>
    <x:row r="190" spans="3:10" x14ac:dyDescent="0.25">
      <x:c r="C190" s="98"/>
      <x:c r="D190" s="98"/>
      <x:c r="E190" s="98"/>
      <x:c r="J190" s="99"/>
    </x:row>
    <x:row r="191" spans="3:10" x14ac:dyDescent="0.25">
      <x:c r="C191" s="98"/>
      <x:c r="D191" s="98"/>
      <x:c r="E191" s="98"/>
      <x:c r="J191" s="99"/>
    </x:row>
    <x:row r="192" spans="3:10" x14ac:dyDescent="0.25">
      <x:c r="C192" s="98"/>
      <x:c r="D192" s="98"/>
      <x:c r="E192" s="98"/>
      <x:c r="J192" s="99"/>
    </x:row>
    <x:row r="193" spans="3:10" x14ac:dyDescent="0.25">
      <x:c r="C193" s="98"/>
      <x:c r="D193" s="98"/>
      <x:c r="E193" s="98"/>
      <x:c r="J193" s="99"/>
    </x:row>
    <x:row r="194" spans="3:10" x14ac:dyDescent="0.25">
      <x:c r="C194" s="98"/>
      <x:c r="D194" s="98"/>
      <x:c r="E194" s="98"/>
      <x:c r="J194" s="99"/>
    </x:row>
    <x:row r="195" spans="3:10" x14ac:dyDescent="0.25">
      <x:c r="C195" s="98"/>
      <x:c r="D195" s="98"/>
      <x:c r="E195" s="98"/>
      <x:c r="J195" s="99"/>
    </x:row>
    <x:row r="196" spans="3:10" x14ac:dyDescent="0.25">
      <x:c r="C196" s="98"/>
      <x:c r="D196" s="98"/>
      <x:c r="E196" s="98"/>
      <x:c r="J196" s="99"/>
    </x:row>
    <x:row r="197" spans="3:10" x14ac:dyDescent="0.25">
      <x:c r="C197" s="98"/>
      <x:c r="D197" s="98"/>
      <x:c r="E197" s="98"/>
      <x:c r="J197" s="99"/>
    </x:row>
    <x:row r="198" spans="3:10" x14ac:dyDescent="0.25">
      <x:c r="C198" s="98"/>
      <x:c r="D198" s="98"/>
      <x:c r="E198" s="98"/>
      <x:c r="J198" s="99"/>
    </x:row>
    <x:row r="199" spans="3:10" x14ac:dyDescent="0.25">
      <x:c r="C199" s="98"/>
      <x:c r="D199" s="98"/>
      <x:c r="E199" s="98"/>
      <x:c r="J199" s="99"/>
    </x:row>
    <x:row r="200" spans="3:10" x14ac:dyDescent="0.25">
      <x:c r="C200" s="98"/>
      <x:c r="D200" s="98"/>
      <x:c r="E200" s="98"/>
      <x:c r="J200" s="99"/>
    </x:row>
    <x:row r="201" spans="3:10" x14ac:dyDescent="0.25">
      <x:c r="C201" s="98"/>
      <x:c r="D201" s="98"/>
      <x:c r="E201" s="98"/>
      <x:c r="J201" s="99"/>
    </x:row>
    <x:row r="202" spans="3:10" x14ac:dyDescent="0.25">
      <x:c r="C202" s="98"/>
      <x:c r="D202" s="98"/>
      <x:c r="E202" s="98"/>
      <x:c r="J202" s="99"/>
    </x:row>
    <x:row r="203" spans="3:10" x14ac:dyDescent="0.25">
      <x:c r="C203" s="98"/>
      <x:c r="D203" s="98"/>
      <x:c r="E203" s="98"/>
      <x:c r="J203" s="99"/>
    </x:row>
    <x:row r="204" spans="3:10" x14ac:dyDescent="0.25">
      <x:c r="C204" s="98"/>
      <x:c r="D204" s="98"/>
      <x:c r="E204" s="98"/>
      <x:c r="J204" s="99"/>
    </x:row>
    <x:row r="205" spans="3:10" x14ac:dyDescent="0.25">
      <x:c r="C205" s="98"/>
      <x:c r="D205" s="98"/>
      <x:c r="E205" s="98"/>
      <x:c r="J205" s="99"/>
    </x:row>
    <x:row r="206" spans="3:10" x14ac:dyDescent="0.25">
      <x:c r="C206" s="98"/>
      <x:c r="D206" s="98"/>
      <x:c r="E206" s="98"/>
      <x:c r="J206" s="99"/>
    </x:row>
    <x:row r="207" spans="3:10" x14ac:dyDescent="0.25">
      <x:c r="C207" s="98"/>
      <x:c r="D207" s="98"/>
      <x:c r="E207" s="98"/>
      <x:c r="J207" s="99"/>
    </x:row>
    <x:row r="208" spans="3:10" x14ac:dyDescent="0.25">
      <x:c r="C208" s="98"/>
      <x:c r="D208" s="98"/>
      <x:c r="E208" s="98"/>
      <x:c r="J208" s="99"/>
    </x:row>
    <x:row r="209" spans="3:10" x14ac:dyDescent="0.25">
      <x:c r="C209" s="98"/>
      <x:c r="D209" s="98"/>
      <x:c r="E209" s="98"/>
      <x:c r="J209" s="99"/>
    </x:row>
    <x:row r="210" spans="3:10" x14ac:dyDescent="0.25">
      <x:c r="C210" s="98"/>
      <x:c r="D210" s="98"/>
      <x:c r="E210" s="98"/>
      <x:c r="J210" s="99"/>
    </x:row>
    <x:row r="211" spans="3:10" x14ac:dyDescent="0.25">
      <x:c r="C211" s="98"/>
      <x:c r="D211" s="98"/>
      <x:c r="E211" s="98"/>
      <x:c r="J211" s="99"/>
    </x:row>
    <x:row r="212" spans="3:10" x14ac:dyDescent="0.25">
      <x:c r="C212" s="98"/>
      <x:c r="D212" s="98"/>
      <x:c r="E212" s="98"/>
      <x:c r="J212" s="99"/>
    </x:row>
    <x:row r="213" spans="3:10" x14ac:dyDescent="0.25">
      <x:c r="C213" s="98"/>
      <x:c r="D213" s="98"/>
      <x:c r="E213" s="98"/>
      <x:c r="J213" s="99"/>
    </x:row>
    <x:row r="214" spans="3:10" x14ac:dyDescent="0.25">
      <x:c r="C214" s="98"/>
      <x:c r="D214" s="98"/>
      <x:c r="E214" s="98"/>
      <x:c r="J214" s="99"/>
    </x:row>
    <x:row r="215" spans="3:10" x14ac:dyDescent="0.25">
      <x:c r="C215" s="98"/>
      <x:c r="D215" s="98"/>
      <x:c r="E215" s="98"/>
      <x:c r="J215" s="99"/>
    </x:row>
    <x:row r="216" spans="3:10" x14ac:dyDescent="0.25">
      <x:c r="C216" s="98"/>
      <x:c r="D216" s="98"/>
      <x:c r="E216" s="98"/>
      <x:c r="J216" s="99"/>
    </x:row>
    <x:row r="217" spans="3:10" x14ac:dyDescent="0.25">
      <x:c r="C217" s="98"/>
      <x:c r="D217" s="98"/>
      <x:c r="E217" s="98"/>
      <x:c r="J217" s="99"/>
    </x:row>
    <x:row r="218" spans="3:10" x14ac:dyDescent="0.25">
      <x:c r="C218" s="98"/>
      <x:c r="D218" s="98"/>
      <x:c r="E218" s="98"/>
      <x:c r="J218" s="99"/>
    </x:row>
    <x:row r="219" spans="3:10" x14ac:dyDescent="0.25">
      <x:c r="C219" s="98"/>
      <x:c r="D219" s="98"/>
      <x:c r="E219" s="98"/>
      <x:c r="J219" s="99"/>
    </x:row>
    <x:row r="220" spans="3:10" x14ac:dyDescent="0.25">
      <x:c r="C220" s="98"/>
      <x:c r="D220" s="98"/>
      <x:c r="E220" s="98"/>
      <x:c r="J220" s="99"/>
    </x:row>
    <x:row r="221" spans="3:10" x14ac:dyDescent="0.25">
      <x:c r="C221" s="98"/>
      <x:c r="D221" s="98"/>
      <x:c r="E221" s="98"/>
      <x:c r="J221" s="99"/>
    </x:row>
    <x:row r="222" spans="3:10" x14ac:dyDescent="0.25">
      <x:c r="C222" s="98"/>
      <x:c r="D222" s="98"/>
      <x:c r="E222" s="98"/>
      <x:c r="J222" s="99"/>
    </x:row>
    <x:row r="223" spans="3:10" x14ac:dyDescent="0.25">
      <x:c r="C223" s="98"/>
      <x:c r="D223" s="98"/>
      <x:c r="E223" s="98"/>
      <x:c r="J223" s="99"/>
    </x:row>
    <x:row r="224" spans="3:10" x14ac:dyDescent="0.25">
      <x:c r="C224" s="98"/>
      <x:c r="D224" s="98"/>
      <x:c r="E224" s="98"/>
      <x:c r="J224" s="99"/>
    </x:row>
    <x:row r="225" spans="3:10" x14ac:dyDescent="0.25">
      <x:c r="C225" s="98"/>
      <x:c r="D225" s="98"/>
      <x:c r="E225" s="98"/>
      <x:c r="J225" s="99"/>
    </x:row>
    <x:row r="226" spans="3:10" x14ac:dyDescent="0.25">
      <x:c r="C226" s="98"/>
      <x:c r="D226" s="98"/>
      <x:c r="E226" s="98"/>
      <x:c r="J226" s="99"/>
    </x:row>
    <x:row r="227" spans="3:10" x14ac:dyDescent="0.25">
      <x:c r="C227" s="98"/>
      <x:c r="D227" s="98"/>
      <x:c r="E227" s="98"/>
      <x:c r="J227" s="99"/>
    </x:row>
    <x:row r="228" spans="3:10" x14ac:dyDescent="0.25">
      <x:c r="C228" s="98"/>
      <x:c r="D228" s="98"/>
      <x:c r="E228" s="98"/>
      <x:c r="J228" s="99"/>
    </x:row>
    <x:row r="229" spans="3:10" x14ac:dyDescent="0.25">
      <x:c r="C229" s="98"/>
      <x:c r="D229" s="98"/>
      <x:c r="E229" s="98"/>
      <x:c r="J229" s="99"/>
    </x:row>
    <x:row r="230" spans="3:10" x14ac:dyDescent="0.25">
      <x:c r="C230" s="98"/>
      <x:c r="D230" s="98"/>
      <x:c r="E230" s="98"/>
      <x:c r="J230" s="99"/>
    </x:row>
    <x:row r="231" spans="3:10" x14ac:dyDescent="0.25">
      <x:c r="C231" s="98"/>
      <x:c r="D231" s="98"/>
      <x:c r="E231" s="98"/>
      <x:c r="J231" s="99"/>
    </x:row>
    <x:row r="232" spans="3:10" x14ac:dyDescent="0.25">
      <x:c r="C232" s="98"/>
      <x:c r="D232" s="98"/>
      <x:c r="E232" s="98"/>
      <x:c r="J232" s="99"/>
    </x:row>
    <x:row r="233" spans="3:10" x14ac:dyDescent="0.25">
      <x:c r="C233" s="98"/>
      <x:c r="D233" s="98"/>
      <x:c r="E233" s="98"/>
      <x:c r="J233" s="99"/>
    </x:row>
    <x:row r="234" spans="3:10" x14ac:dyDescent="0.25">
      <x:c r="C234" s="98"/>
      <x:c r="D234" s="98"/>
      <x:c r="E234" s="98"/>
      <x:c r="J234" s="99"/>
    </x:row>
    <x:row r="235" spans="3:10" x14ac:dyDescent="0.25">
      <x:c r="C235" s="98"/>
      <x:c r="D235" s="98"/>
      <x:c r="E235" s="98"/>
      <x:c r="J235" s="99"/>
    </x:row>
    <x:row r="236" spans="3:10" x14ac:dyDescent="0.25">
      <x:c r="C236" s="98"/>
      <x:c r="D236" s="98"/>
      <x:c r="E236" s="98"/>
      <x:c r="J236" s="99"/>
    </x:row>
    <x:row r="237" spans="3:10" x14ac:dyDescent="0.25">
      <x:c r="C237" s="98"/>
      <x:c r="D237" s="98"/>
      <x:c r="E237" s="98"/>
      <x:c r="J237" s="99"/>
    </x:row>
    <x:row r="238" spans="3:10" x14ac:dyDescent="0.25">
      <x:c r="C238" s="98"/>
      <x:c r="D238" s="98"/>
      <x:c r="E238" s="98"/>
      <x:c r="J238" s="99"/>
    </x:row>
    <x:row r="239" spans="3:10" x14ac:dyDescent="0.25">
      <x:c r="C239" s="98"/>
      <x:c r="D239" s="98"/>
      <x:c r="E239" s="98"/>
      <x:c r="J239" s="99"/>
    </x:row>
    <x:row r="240" spans="3:10" x14ac:dyDescent="0.25">
      <x:c r="C240" s="98"/>
      <x:c r="D240" s="98"/>
      <x:c r="E240" s="98"/>
      <x:c r="J240" s="99"/>
    </x:row>
    <x:row r="241" spans="3:10" x14ac:dyDescent="0.25">
      <x:c r="C241" s="98"/>
      <x:c r="D241" s="98"/>
      <x:c r="E241" s="98"/>
      <x:c r="J241" s="99"/>
    </x:row>
    <x:row r="242" spans="3:10" x14ac:dyDescent="0.25">
      <x:c r="C242" s="98"/>
      <x:c r="D242" s="98"/>
      <x:c r="E242" s="98"/>
      <x:c r="J242" s="99"/>
    </x:row>
    <x:row r="243" spans="3:10" x14ac:dyDescent="0.25">
      <x:c r="C243" s="98"/>
      <x:c r="D243" s="98"/>
      <x:c r="E243" s="98"/>
      <x:c r="J243" s="99"/>
    </x:row>
    <x:row r="244" spans="3:10" x14ac:dyDescent="0.25">
      <x:c r="C244" s="98"/>
      <x:c r="D244" s="98"/>
      <x:c r="E244" s="98"/>
      <x:c r="J244" s="99"/>
    </x:row>
    <x:row r="245" spans="3:10" x14ac:dyDescent="0.25">
      <x:c r="C245" s="98"/>
      <x:c r="D245" s="98"/>
      <x:c r="E245" s="98"/>
      <x:c r="J245" s="99"/>
    </x:row>
    <x:row r="246" spans="3:10" x14ac:dyDescent="0.25">
      <x:c r="C246" s="98"/>
      <x:c r="D246" s="98"/>
      <x:c r="E246" s="98"/>
      <x:c r="J246" s="99"/>
    </x:row>
    <x:row r="247" spans="3:10" x14ac:dyDescent="0.25">
      <x:c r="C247" s="98"/>
      <x:c r="D247" s="98"/>
      <x:c r="E247" s="98"/>
      <x:c r="J247" s="99"/>
    </x:row>
    <x:row r="248" spans="3:10" x14ac:dyDescent="0.25">
      <x:c r="C248" s="98"/>
      <x:c r="D248" s="98"/>
      <x:c r="E248" s="98"/>
      <x:c r="J248" s="99"/>
    </x:row>
    <x:row r="249" spans="3:10" x14ac:dyDescent="0.25">
      <x:c r="C249" s="98"/>
      <x:c r="D249" s="98"/>
      <x:c r="E249" s="98"/>
      <x:c r="J249" s="99"/>
    </x:row>
    <x:row r="250" spans="3:10" x14ac:dyDescent="0.25">
      <x:c r="C250" s="98"/>
      <x:c r="D250" s="98"/>
      <x:c r="E250" s="98"/>
      <x:c r="J250" s="99"/>
    </x:row>
    <x:row r="251" spans="3:10" x14ac:dyDescent="0.25">
      <x:c r="C251" s="98"/>
      <x:c r="D251" s="98"/>
      <x:c r="E251" s="98"/>
      <x:c r="J251" s="99"/>
    </x:row>
    <x:row r="252" spans="3:10" x14ac:dyDescent="0.25">
      <x:c r="C252" s="98"/>
      <x:c r="D252" s="98"/>
      <x:c r="E252" s="98"/>
      <x:c r="J252" s="99"/>
    </x:row>
    <x:row r="253" spans="3:10" x14ac:dyDescent="0.25">
      <x:c r="C253" s="98"/>
      <x:c r="D253" s="98"/>
      <x:c r="E253" s="98"/>
      <x:c r="J253" s="99"/>
    </x:row>
    <x:row r="254" spans="3:10" x14ac:dyDescent="0.25">
      <x:c r="C254" s="98"/>
      <x:c r="D254" s="98"/>
      <x:c r="E254" s="98"/>
      <x:c r="J254" s="99"/>
    </x:row>
    <x:row r="255" spans="3:10" x14ac:dyDescent="0.25">
      <x:c r="C255" s="98"/>
      <x:c r="D255" s="98"/>
      <x:c r="E255" s="98"/>
      <x:c r="J255" s="99"/>
    </x:row>
    <x:row r="256" spans="3:10" x14ac:dyDescent="0.25">
      <x:c r="C256" s="98"/>
      <x:c r="D256" s="98"/>
      <x:c r="E256" s="98"/>
      <x:c r="J256" s="99"/>
    </x:row>
    <x:row r="257" spans="3:10" x14ac:dyDescent="0.25">
      <x:c r="C257" s="98"/>
      <x:c r="D257" s="98"/>
      <x:c r="E257" s="98"/>
      <x:c r="J257" s="99"/>
    </x:row>
    <x:row r="258" spans="3:10" x14ac:dyDescent="0.25">
      <x:c r="C258" s="98"/>
      <x:c r="D258" s="98"/>
      <x:c r="E258" s="98"/>
      <x:c r="J258" s="99"/>
    </x:row>
    <x:row r="259" spans="3:10" x14ac:dyDescent="0.25">
      <x:c r="C259" s="98"/>
      <x:c r="D259" s="98"/>
      <x:c r="E259" s="98"/>
      <x:c r="J259" s="99"/>
    </x:row>
    <x:row r="260" spans="3:10" x14ac:dyDescent="0.25">
      <x:c r="C260" s="98"/>
      <x:c r="D260" s="98"/>
      <x:c r="E260" s="98"/>
      <x:c r="J260" s="99"/>
    </x:row>
    <x:row r="261" spans="3:10" x14ac:dyDescent="0.25">
      <x:c r="D261" s="98"/>
      <x:c r="E261" s="98"/>
      <x:c r="J261" s="99"/>
    </x:row>
    <x:row r="262" spans="3:10" x14ac:dyDescent="0.25">
      <x:c r="E262" s="98"/>
      <x:c r="F262" s="98"/>
      <x:c r="G262" s="98"/>
      <x:c r="H262" s="98"/>
      <x:c r="I262" s="816"/>
    </x:row>
    <x:row r="263" spans="3:10" x14ac:dyDescent="0.25">
      <x:c r="E263" s="98"/>
      <x:c r="F263" s="98"/>
      <x:c r="G263" s="98"/>
      <x:c r="H263" s="98"/>
      <x:c r="I263" s="816"/>
    </x:row>
    <x:row r="264" spans="3:10" x14ac:dyDescent="0.25">
      <x:c r="E264" s="98"/>
      <x:c r="F264" s="98"/>
      <x:c r="G264" s="98"/>
      <x:c r="H264" s="98"/>
      <x:c r="I264" s="816"/>
    </x:row>
    <x:row r="265" spans="3:10" x14ac:dyDescent="0.25">
      <x:c r="E265" s="98"/>
      <x:c r="F265" s="98"/>
      <x:c r="G265" s="98"/>
      <x:c r="H265" s="98"/>
      <x:c r="I265" s="816"/>
    </x:row>
    <x:row r="266" spans="3:10" x14ac:dyDescent="0.25">
      <x:c r="E266" s="98"/>
      <x:c r="F266" s="98"/>
      <x:c r="G266" s="98"/>
      <x:c r="H266" s="98"/>
      <x:c r="I266" s="816"/>
    </x:row>
    <x:row r="267" spans="3:10" x14ac:dyDescent="0.25">
      <x:c r="E267" s="98"/>
      <x:c r="F267" s="98"/>
      <x:c r="G267" s="98"/>
      <x:c r="H267" s="98"/>
      <x:c r="I267" s="816"/>
    </x:row>
    <x:row r="268" spans="3:10" x14ac:dyDescent="0.25">
      <x:c r="E268" s="98"/>
      <x:c r="F268" s="98"/>
      <x:c r="G268" s="98"/>
      <x:c r="H268" s="98"/>
      <x:c r="I268" s="816"/>
    </x:row>
    <x:row r="269" spans="3:10" x14ac:dyDescent="0.25">
      <x:c r="E269" s="98"/>
      <x:c r="F269" s="98"/>
      <x:c r="G269" s="98"/>
      <x:c r="H269" s="98"/>
      <x:c r="I269" s="816"/>
    </x:row>
    <x:row r="270" spans="3:10" x14ac:dyDescent="0.25">
      <x:c r="E270" s="98"/>
      <x:c r="F270" s="98"/>
      <x:c r="G270" s="98"/>
      <x:c r="H270" s="98"/>
      <x:c r="I270" s="816"/>
    </x:row>
    <x:row r="271" spans="3:10" x14ac:dyDescent="0.25">
      <x:c r="E271" s="98"/>
      <x:c r="F271" s="98"/>
      <x:c r="G271" s="98"/>
      <x:c r="H271" s="98"/>
      <x:c r="I271" s="816"/>
    </x:row>
    <x:row r="272" spans="3:10" x14ac:dyDescent="0.25">
      <x:c r="E272" s="98"/>
      <x:c r="F272" s="98"/>
      <x:c r="G272" s="98"/>
      <x:c r="H272" s="98"/>
      <x:c r="I272" s="816"/>
    </x:row>
    <x:row r="273" spans="5:9" x14ac:dyDescent="0.25">
      <x:c r="E273" s="98"/>
      <x:c r="F273" s="98"/>
      <x:c r="G273" s="98"/>
      <x:c r="H273" s="98"/>
      <x:c r="I273" s="816"/>
    </x:row>
    <x:row r="274" spans="5:9" x14ac:dyDescent="0.25">
      <x:c r="E274" s="98"/>
      <x:c r="F274" s="98"/>
      <x:c r="G274" s="98"/>
      <x:c r="H274" s="98"/>
      <x:c r="I274" s="816"/>
    </x:row>
    <x:row r="275" spans="5:9" x14ac:dyDescent="0.25">
      <x:c r="E275" s="98"/>
      <x:c r="F275" s="98"/>
      <x:c r="G275" s="98"/>
      <x:c r="H275" s="98"/>
      <x:c r="I275" s="816"/>
    </x:row>
    <x:row r="276" spans="5:9" x14ac:dyDescent="0.25">
      <x:c r="E276" s="98"/>
      <x:c r="F276" s="98"/>
      <x:c r="G276" s="98"/>
      <x:c r="H276" s="98"/>
      <x:c r="I276" s="816"/>
    </x:row>
    <x:row r="277" spans="5:9" x14ac:dyDescent="0.25">
      <x:c r="E277" s="98"/>
      <x:c r="F277" s="98"/>
      <x:c r="G277" s="98"/>
      <x:c r="H277" s="98"/>
      <x:c r="I277" s="816"/>
    </x:row>
    <x:row r="278" spans="5:9" x14ac:dyDescent="0.25">
      <x:c r="E278" s="98"/>
      <x:c r="F278" s="98"/>
      <x:c r="G278" s="98"/>
      <x:c r="H278" s="98"/>
      <x:c r="I278" s="816"/>
    </x:row>
    <x:row r="279" spans="5:9" x14ac:dyDescent="0.25">
      <x:c r="E279" s="98"/>
      <x:c r="F279" s="98"/>
      <x:c r="G279" s="98"/>
      <x:c r="H279" s="98"/>
      <x:c r="I279" s="816"/>
    </x:row>
    <x:row r="280" spans="5:9" x14ac:dyDescent="0.25">
      <x:c r="E280" s="98"/>
      <x:c r="F280" s="98"/>
      <x:c r="G280" s="98"/>
      <x:c r="H280" s="98"/>
      <x:c r="I280" s="816"/>
    </x:row>
    <x:row r="281" spans="5:9" x14ac:dyDescent="0.25">
      <x:c r="E281" s="98"/>
      <x:c r="F281" s="98"/>
      <x:c r="G281" s="98"/>
      <x:c r="H281" s="98"/>
      <x:c r="I281" s="816"/>
    </x:row>
    <x:row r="282" spans="5:9" x14ac:dyDescent="0.25">
      <x:c r="E282" s="98"/>
      <x:c r="F282" s="98"/>
      <x:c r="G282" s="98"/>
      <x:c r="H282" s="98"/>
      <x:c r="I282" s="816"/>
    </x:row>
  </x:sheetData>
  <x:phoneticPr fontId="0" type="noConversion"/>
  <x:hyperlinks>
    <x:hyperlink ref="C29" r:id="rId1" xr:uid="{E9C8B0A3-0D0C-47BB-ADCF-A988DA8967EF}"/>
  </x:hyperlinks>
  <x:printOptions horizontalCentered="1"/>
  <x:pageMargins left="0.5" right="0.5" top="1.5" bottom="0.5" header="1" footer="0.5"/>
  <x:pageSetup scale="63" orientation="landscape" r:id="rId2"/>
  <x:headerFooter alignWithMargins="0">
    <x:oddHeader>&amp;RWP/II-B-9/&amp;A
Page &amp;P of &amp;N</x:oddHeader>
  </x:headerFooter>
</x:worksheet>
</file>

<file path=xl/worksheets/sheet4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C00-000000000000}" mc:Ignorable="x14ac xr xr2 xr3">
  <x:sheetPr codeName="Sheet7">
    <x:tabColor rgb="FF92D050"/>
    <x:pageSetUpPr fitToPage="1"/>
  </x:sheetPr>
  <x:dimension ref="A1:H17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32" style="1" bestFit="1" customWidth="1"/>
    <x:col min="3" max="3" width="17.88671875" style="1" customWidth="1"/>
    <x:col min="4" max="4" width="22.5546875" style="1" customWidth="1"/>
    <x:col min="5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41" customFormat="1" x14ac:dyDescent="0.25">
      <x:c r="A3" s="833" t="s">
        <x:v>90</x:v>
      </x:c>
      <x:c r="B3" s="833"/>
      <x:c r="C3" s="833"/>
      <x:c r="D3" s="833"/>
      <x:c r="E3" s="180"/>
    </x:row>
    <x:row r="4" spans="1:8" s="41" customFormat="1" x14ac:dyDescent="0.25">
      <x:c r="A4" s="767" t="s">
        <x:v>524</x:v>
      </x:c>
      <x:c r="B4" s="180"/>
      <x:c r="C4" s="180"/>
      <x:c r="D4" s="180"/>
      <x:c r="E4" s="180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8" ht="25.35" x14ac:dyDescent="0.25">
      <x:c r="A7" s="32" t="s">
        <x:v>40</x:v>
      </x:c>
      <x:c r="B7" s="32" t="s">
        <x:v>23</x:v>
      </x:c>
      <x:c r="C7" s="50" t="s">
        <x:v>24</x:v>
      </x:c>
      <x:c r="D7" s="32" t="s">
        <x:v>25</x:v>
      </x:c>
    </x:row>
    <x:row r="8" spans="1:8" x14ac:dyDescent="0.25">
      <x:c r="B8" s="40" t="s">
        <x:v>50</x:v>
      </x:c>
      <x:c r="C8" s="51" t="s">
        <x:v>51</x:v>
      </x:c>
      <x:c r="D8" s="40" t="s">
        <x:v>57</x:v>
      </x:c>
    </x:row>
    <x:row r="9" spans="1:8" x14ac:dyDescent="0.25">
      <x:c r="B9" s="40"/>
      <x:c r="C9" s="51"/>
      <x:c r="D9" s="40"/>
    </x:row>
    <x:row r="10" spans="1:8" x14ac:dyDescent="0.25">
      <x:c r="A10" s="3">
        <x:v>1</x:v>
      </x:c>
      <x:c r="B10" s="1" t="s">
        <x:v>365</x:v>
      </x:c>
      <x:c r="C10" s="242">
        <x:f>'13-1'!C14</x:f>
        <x:v>-1145710</x:v>
      </x:c>
      <x:c r="D10" s="3" t="s">
        <x:v>325</x:v>
      </x:c>
    </x:row>
    <x:row r="11" spans="1:8" x14ac:dyDescent="0.25">
      <x:c r="A11" s="3">
        <x:v>2</x:v>
      </x:c>
      <x:c r="B11" s="1" t="s">
        <x:v>261</x:v>
      </x:c>
      <x:c r="C11" s="719">
        <x:f>'13-2'!C14</x:f>
        <x:v>0</x:v>
      </x:c>
      <x:c r="D11" s="3" t="s">
        <x:v>326</x:v>
      </x:c>
    </x:row>
    <x:row r="12" spans="1:8" x14ac:dyDescent="0.25">
      <x:c r="A12" s="3">
        <x:v>3</x:v>
      </x:c>
      <x:c r="B12" s="1" t="s">
        <x:v>262</x:v>
      </x:c>
      <x:c r="C12" s="719">
        <x:f>'13-3'!D14</x:f>
        <x:v>-2898999</x:v>
      </x:c>
      <x:c r="D12" s="3" t="s">
        <x:v>327</x:v>
      </x:c>
    </x:row>
    <x:row r="13" spans="1:8" x14ac:dyDescent="0.25">
      <x:c r="A13" s="3">
        <x:v>4</x:v>
      </x:c>
      <x:c r="B13" s="1" t="s">
        <x:v>263</x:v>
      </x:c>
      <x:c r="C13" s="719">
        <x:f>'13-4'!J26</x:f>
        <x:v>175686</x:v>
      </x:c>
      <x:c r="D13" s="3" t="s">
        <x:v>328</x:v>
      </x:c>
    </x:row>
    <x:row r="14" spans="1:8" x14ac:dyDescent="0.25">
      <x:c r="A14" s="3">
        <x:v>5</x:v>
      </x:c>
      <x:c r="B14" s="31" t="s">
        <x:v>264</x:v>
      </x:c>
      <x:c r="C14" s="720">
        <x:f>'13-5'!C12</x:f>
        <x:v>433213</x:v>
      </x:c>
      <x:c r="D14" s="3" t="s">
        <x:v>329</x:v>
      </x:c>
    </x:row>
    <x:row r="15" spans="1:8" x14ac:dyDescent="0.25">
      <x:c r="A15" s="3">
        <x:v>6</x:v>
      </x:c>
      <x:c r="D15" s="85"/>
    </x:row>
    <x:row r="16" spans="1:8" ht="13.25" thickBot="1" x14ac:dyDescent="0.3">
      <x:c r="A16" s="3">
        <x:v>7</x:v>
      </x:c>
      <x:c r="B16" s="1" t="s">
        <x:v>147</x:v>
      </x:c>
      <x:c r="C16" s="443">
        <x:f>ROUND(SUM(C10:C15),0)</x:f>
        <x:v>-3435810</x:v>
      </x:c>
      <x:c r="D16" s="85"/>
    </x:row>
    <x:row r="17" spans="1:4" ht="13.25" thickTop="1" x14ac:dyDescent="0.25">
      <x:c r="A17" s="3"/>
      <x:c r="D17" s="85"/>
    </x:row>
  </x:sheetData>
  <x:mergeCells count="1">
    <x:mergeCell ref="A3:D3"/>
  </x:mergeCells>
  <x:phoneticPr fontId="0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4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D00-000000000000}" mc:Ignorable="x14ac xr xr2 xr3">
  <x:sheetPr codeName="Sheet9">
    <x:tabColor rgb="FF92D050"/>
    <x:pageSetUpPr fitToPage="1"/>
  </x:sheetPr>
  <x:dimension ref="A1:H17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35.44140625" style="1" bestFit="1" customWidth="1"/>
    <x:col min="3" max="3" width="15.44140625" style="1" customWidth="1"/>
    <x:col min="4" max="4" width="37" style="1" customWidth="1"/>
    <x:col min="5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41" customFormat="1" x14ac:dyDescent="0.25">
      <x:c r="A3" s="180" t="s">
        <x:v>256</x:v>
      </x:c>
      <x:c r="E3" s="180"/>
    </x:row>
    <x:row r="4" spans="1:8" s="41" customFormat="1" x14ac:dyDescent="0.25">
      <x:c r="A4" s="767" t="s">
        <x:v>524</x:v>
      </x:c>
      <x:c r="B4" s="180"/>
      <x:c r="C4" s="180"/>
      <x:c r="D4" s="180"/>
      <x:c r="E4" s="180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8" ht="25.35" x14ac:dyDescent="0.25">
      <x:c r="A7" s="32" t="s">
        <x:v>40</x:v>
      </x:c>
      <x:c r="B7" s="32" t="s">
        <x:v>23</x:v>
      </x:c>
      <x:c r="C7" s="32" t="s">
        <x:v>26</x:v>
      </x:c>
      <x:c r="D7" s="32" t="s">
        <x:v>25</x:v>
      </x:c>
    </x:row>
    <x:row r="8" spans="1:8" x14ac:dyDescent="0.25">
      <x:c r="A8" s="38"/>
      <x:c r="B8" s="40" t="s">
        <x:v>50</x:v>
      </x:c>
      <x:c r="C8" s="40" t="s">
        <x:v>51</x:v>
      </x:c>
      <x:c r="D8" s="40" t="s">
        <x:v>57</x:v>
      </x:c>
    </x:row>
    <x:row r="10" spans="1:8" x14ac:dyDescent="0.25">
      <x:c r="A10" s="3">
        <x:v>1</x:v>
      </x:c>
      <x:c r="B10" s="1" t="s">
        <x:v>148</x:v>
      </x:c>
      <x:c r="C10" s="178">
        <x:f>'13-1-2'!E85+'13-1-1'!E59</x:f>
        <x:v>0</x:v>
      </x:c>
      <x:c r="D10" s="53" t="s">
        <x:v>330</x:v>
      </x:c>
    </x:row>
    <x:row r="11" spans="1:8" x14ac:dyDescent="0.25">
      <x:c r="A11" s="3">
        <x:v>2</x:v>
      </x:c>
      <x:c r="B11" s="1" t="s">
        <x:v>149</x:v>
      </x:c>
      <x:c r="C11" s="246">
        <x:f>'13-1-3'!E58+'13-1-4'!E75</x:f>
        <x:v>0</x:v>
      </x:c>
      <x:c r="D11" s="53" t="s">
        <x:v>331</x:v>
      </x:c>
    </x:row>
    <x:row r="12" spans="1:8" x14ac:dyDescent="0.25">
      <x:c r="A12" s="3">
        <x:v>3</x:v>
      </x:c>
      <x:c r="B12" s="1" t="s">
        <x:v>150</x:v>
      </x:c>
      <x:c r="C12" s="397">
        <x:f>'13-1-5'!E71+'13-1-6'!E84</x:f>
        <x:v>-1145710</x:v>
      </x:c>
      <x:c r="D12" s="53" t="s">
        <x:v>332</x:v>
      </x:c>
    </x:row>
    <x:row r="13" spans="1:8" x14ac:dyDescent="0.25">
      <x:c r="A13" s="3">
        <x:v>4</x:v>
      </x:c>
      <x:c r="C13" s="45"/>
      <x:c r="D13" s="10"/>
    </x:row>
    <x:row r="14" spans="1:8" ht="13.25" thickBot="1" x14ac:dyDescent="0.3">
      <x:c r="A14" s="3">
        <x:v>5</x:v>
      </x:c>
      <x:c r="B14" s="1" t="s">
        <x:v>151</x:v>
      </x:c>
      <x:c r="C14" s="348">
        <x:f>SUM(C10:C12)</x:f>
        <x:v>-1145710</x:v>
      </x:c>
    </x:row>
    <x:row r="15" spans="1:8" ht="13.25" thickTop="1" x14ac:dyDescent="0.25">
      <x:c r="A15" s="3"/>
      <x:c r="C15" s="45"/>
    </x:row>
    <x:row r="16" spans="1:8" x14ac:dyDescent="0.25">
      <x:c r="A16" s="3"/>
      <x:c r="C16" s="45"/>
    </x:row>
    <x:row r="17" spans="3:3" x14ac:dyDescent="0.25">
      <x:c r="C17" s="45"/>
    </x:row>
  </x:sheetData>
  <x:phoneticPr fontId="0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4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E00-000000000000}" mc:Ignorable="x14ac xr xr2 xr3">
  <x:sheetPr codeName="Sheet17">
    <x:tabColor rgb="FF92D050"/>
    <x:pageSetUpPr fitToPage="1"/>
  </x:sheetPr>
  <x:dimension ref="A1:H61"/>
  <x:sheetViews>
    <x:sheetView topLeftCell="A40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18" style="31" customWidth="1"/>
    <x:col min="3" max="3" width="15.44140625" style="31" customWidth="1"/>
    <x:col min="4" max="4" width="13.109375" style="31" customWidth="1"/>
    <x:col min="5" max="5" width="12.88671875" style="9" customWidth="1"/>
    <x:col min="6" max="6" width="14.5546875" style="1" customWidth="1"/>
    <x:col min="7" max="16384" width="9.109375" style="1"/>
  </x:cols>
  <x:sheetData>
    <x:row r="1" spans="1:8" s="41" customFormat="1" x14ac:dyDescent="0.25">
      <x:c r="A1" s="180" t="s">
        <x:v>523</x:v>
      </x:c>
      <x:c r="B1" s="183"/>
      <x:c r="C1" s="183"/>
      <x:c r="D1" s="183"/>
      <x:c r="E1" s="180"/>
    </x:row>
    <x:row r="2" spans="1:8" s="41" customFormat="1" x14ac:dyDescent="0.25">
      <x:c r="A2" s="180" t="str">
        <x:f>' '!A2</x:f>
        <x:v>ONCOR ELECTRIC DELIVERY COMPANY LLC</x:v>
      </x:c>
      <x:c r="B2" s="183"/>
      <x:c r="C2" s="183"/>
      <x:c r="D2" s="183"/>
      <x:c r="E2" s="180"/>
    </x:row>
    <x:row r="3" spans="1:8" s="41" customFormat="1" x14ac:dyDescent="0.25">
      <x:c r="A3" s="833" t="s">
        <x:v>161</x:v>
      </x:c>
      <x:c r="B3" s="833"/>
      <x:c r="C3" s="833"/>
      <x:c r="D3" s="833"/>
      <x:c r="E3" s="180"/>
    </x:row>
    <x:row r="4" spans="1:8" s="41" customFormat="1" x14ac:dyDescent="0.25">
      <x:c r="A4" s="767" t="s">
        <x:v>524</x:v>
      </x:c>
      <x:c r="B4" s="183"/>
      <x:c r="C4" s="183"/>
      <x:c r="D4" s="183"/>
      <x:c r="E4" s="180"/>
    </x:row>
    <x:row r="5" spans="1:8" s="41" customFormat="1" x14ac:dyDescent="0.25">
      <x:c r="A5" s="180" t="s">
        <x:v>486</x:v>
      </x:c>
      <x:c r="B5" s="183"/>
      <x:c r="C5" s="183"/>
      <x:c r="D5" s="183"/>
      <x:c r="E5" s="180"/>
      <x:c r="H5" s="41" t="s">
        <x:v>464</x:v>
      </x:c>
    </x:row>
    <x:row r="7" spans="1:8" ht="25.35" x14ac:dyDescent="0.25">
      <x:c r="A7" s="32" t="s">
        <x:v>40</x:v>
      </x:c>
      <x:c r="B7" s="189" t="s">
        <x:v>152</x:v>
      </x:c>
      <x:c r="C7" s="189" t="s">
        <x:v>153</x:v>
      </x:c>
      <x:c r="D7" s="189" t="s">
        <x:v>154</x:v>
      </x:c>
      <x:c r="E7" s="32" t="s">
        <x:v>44</x:v>
      </x:c>
      <x:c r="F7" s="160" t="s">
        <x:v>38</x:v>
      </x:c>
    </x:row>
    <x:row r="8" spans="1:8" x14ac:dyDescent="0.25">
      <x:c r="A8" s="38"/>
      <x:c r="B8" s="51" t="s">
        <x:v>50</x:v>
      </x:c>
      <x:c r="C8" s="51" t="s">
        <x:v>51</x:v>
      </x:c>
      <x:c r="D8" s="51" t="s">
        <x:v>57</x:v>
      </x:c>
      <x:c r="E8" s="40" t="s">
        <x:v>52</x:v>
      </x:c>
      <x:c r="F8" s="40" t="s">
        <x:v>53</x:v>
      </x:c>
    </x:row>
    <x:row r="9" spans="1:8" x14ac:dyDescent="0.25">
      <x:c r="A9" s="22"/>
      <x:c r="B9" s="192"/>
      <x:c r="C9" s="192"/>
      <x:c r="D9" s="192"/>
      <x:c r="E9" s="159"/>
      <x:c r="F9" s="27"/>
    </x:row>
    <x:row r="10" spans="1:8" x14ac:dyDescent="0.25">
      <x:c r="A10" s="3">
        <x:v>1</x:v>
      </x:c>
      <x:c r="B10" s="440">
        <x:v>45211</x:v>
      </x:c>
      <x:c r="C10" s="178">
        <x:v>466884.36</x:v>
      </x:c>
      <x:c r="D10" s="440">
        <x:v>45211</x:v>
      </x:c>
      <x:c r="E10" s="398">
        <x:f>IF(C10=0,0,-(D10-B10))</x:f>
        <x:v>0</x:v>
      </x:c>
      <x:c r="F10" s="74">
        <x:f>C10*E10</x:f>
        <x:v>0</x:v>
      </x:c>
    </x:row>
    <x:row r="11" spans="1:8" x14ac:dyDescent="0.25">
      <x:c r="A11" s="3">
        <x:f>A10+1</x:f>
        <x:v>2</x:v>
      </x:c>
      <x:c r="B11" s="440">
        <x:v>45229</x:v>
      </x:c>
      <x:c r="C11" s="178">
        <x:v>484882.62</x:v>
      </x:c>
      <x:c r="D11" s="440">
        <x:v>45229</x:v>
      </x:c>
      <x:c r="E11" s="398">
        <x:f t="shared" ref="E11:E48" si="0">IF(C11=0,0,-(D11-B11))</x:f>
        <x:v>0</x:v>
      </x:c>
      <x:c r="F11" s="74">
        <x:f t="shared" ref="F11:F48" si="1">C11*E11</x:f>
        <x:v>0</x:v>
      </x:c>
    </x:row>
    <x:row r="12" spans="1:8" x14ac:dyDescent="0.25">
      <x:c r="A12" s="3">
        <x:f t="shared" ref="A12:A61" si="2">A11+1</x:f>
        <x:v>3</x:v>
      </x:c>
      <x:c r="B12" s="440">
        <x:v>45244</x:v>
      </x:c>
      <x:c r="C12" s="178">
        <x:v>450486.74</x:v>
      </x:c>
      <x:c r="D12" s="440">
        <x:v>45244</x:v>
      </x:c>
      <x:c r="E12" s="398">
        <x:f t="shared" si="0"/>
        <x:v>0</x:v>
      </x:c>
      <x:c r="F12" s="74">
        <x:f t="shared" si="1"/>
        <x:v>0</x:v>
      </x:c>
    </x:row>
    <x:row r="13" spans="1:8" x14ac:dyDescent="0.25">
      <x:c r="A13" s="3">
        <x:f t="shared" si="2"/>
        <x:v>4</x:v>
      </x:c>
      <x:c r="B13" s="440">
        <x:v>45259</x:v>
      </x:c>
      <x:c r="C13" s="178">
        <x:v>439956.74</x:v>
      </x:c>
      <x:c r="D13" s="440">
        <x:v>45259</x:v>
      </x:c>
      <x:c r="E13" s="398">
        <x:f t="shared" si="0"/>
        <x:v>0</x:v>
      </x:c>
      <x:c r="F13" s="74">
        <x:f t="shared" si="1"/>
        <x:v>0</x:v>
      </x:c>
    </x:row>
    <x:row r="14" spans="1:8" x14ac:dyDescent="0.25">
      <x:c r="A14" s="3">
        <x:f t="shared" si="2"/>
        <x:v>5</x:v>
      </x:c>
      <x:c r="B14" s="440">
        <x:v>45264</x:v>
      </x:c>
      <x:c r="C14" s="178">
        <x:v>1.65</x:v>
      </x:c>
      <x:c r="D14" s="440">
        <x:v>45264</x:v>
      </x:c>
      <x:c r="E14" s="398">
        <x:f t="shared" si="0"/>
        <x:v>0</x:v>
      </x:c>
      <x:c r="F14" s="74">
        <x:f t="shared" si="1"/>
        <x:v>0</x:v>
      </x:c>
    </x:row>
    <x:row r="15" spans="1:8" x14ac:dyDescent="0.25">
      <x:c r="A15" s="3">
        <x:f t="shared" si="2"/>
        <x:v>6</x:v>
      </x:c>
      <x:c r="B15" s="440">
        <x:v>45274</x:v>
      </x:c>
      <x:c r="C15" s="178">
        <x:v>419558.28</x:v>
      </x:c>
      <x:c r="D15" s="440">
        <x:v>45274</x:v>
      </x:c>
      <x:c r="E15" s="398">
        <x:f t="shared" si="0"/>
        <x:v>0</x:v>
      </x:c>
      <x:c r="F15" s="74">
        <x:f t="shared" si="1"/>
        <x:v>0</x:v>
      </x:c>
    </x:row>
    <x:row r="16" spans="1:8" x14ac:dyDescent="0.25">
      <x:c r="A16" s="3">
        <x:f t="shared" si="2"/>
        <x:v>7</x:v>
      </x:c>
      <x:c r="B16" s="440">
        <x:v>45288</x:v>
      </x:c>
      <x:c r="C16" s="178">
        <x:v>380642.65</x:v>
      </x:c>
      <x:c r="D16" s="440">
        <x:v>45288</x:v>
      </x:c>
      <x:c r="E16" s="398">
        <x:f t="shared" si="0"/>
        <x:v>0</x:v>
      </x:c>
      <x:c r="F16" s="74">
        <x:f t="shared" si="1"/>
        <x:v>0</x:v>
      </x:c>
    </x:row>
    <x:row r="17" spans="1:6" x14ac:dyDescent="0.25">
      <x:c r="A17" s="3">
        <x:f t="shared" si="2"/>
        <x:v>8</x:v>
      </x:c>
      <x:c r="B17" s="440">
        <x:v>45289</x:v>
      </x:c>
      <x:c r="C17" s="178">
        <x:v>1435.15</x:v>
      </x:c>
      <x:c r="D17" s="440">
        <x:v>45289</x:v>
      </x:c>
      <x:c r="E17" s="398">
        <x:f t="shared" si="0"/>
        <x:v>0</x:v>
      </x:c>
      <x:c r="F17" s="74">
        <x:f t="shared" si="1"/>
        <x:v>0</x:v>
      </x:c>
    </x:row>
    <x:row r="18" spans="1:6" x14ac:dyDescent="0.25">
      <x:c r="A18" s="3">
        <x:f t="shared" si="2"/>
        <x:v>9</x:v>
      </x:c>
      <x:c r="B18" s="440">
        <x:v>45302</x:v>
      </x:c>
      <x:c r="C18" s="178">
        <x:v>427208.65</x:v>
      </x:c>
      <x:c r="D18" s="440">
        <x:v>45302</x:v>
      </x:c>
      <x:c r="E18" s="398">
        <x:f t="shared" si="0"/>
        <x:v>0</x:v>
      </x:c>
      <x:c r="F18" s="74">
        <x:f t="shared" si="1"/>
        <x:v>0</x:v>
      </x:c>
    </x:row>
    <x:row r="19" spans="1:6" x14ac:dyDescent="0.25">
      <x:c r="A19" s="3">
        <x:f t="shared" si="2"/>
        <x:v>10</x:v>
      </x:c>
      <x:c r="B19" s="440">
        <x:v>45309</x:v>
      </x:c>
      <x:c r="C19" s="178">
        <x:v>138.38999999999999</x:v>
      </x:c>
      <x:c r="D19" s="440">
        <x:v>45309</x:v>
      </x:c>
      <x:c r="E19" s="398">
        <x:f t="shared" si="0"/>
        <x:v>0</x:v>
      </x:c>
      <x:c r="F19" s="74">
        <x:f t="shared" si="1"/>
        <x:v>0</x:v>
      </x:c>
    </x:row>
    <x:row r="20" spans="1:6" x14ac:dyDescent="0.25">
      <x:c r="A20" s="3">
        <x:f t="shared" si="2"/>
        <x:v>11</x:v>
      </x:c>
      <x:c r="B20" s="440">
        <x:v>45303</x:v>
      </x:c>
      <x:c r="C20" s="178">
        <x:v>56213.279999999999</x:v>
      </x:c>
      <x:c r="D20" s="440">
        <x:v>45303</x:v>
      </x:c>
      <x:c r="E20" s="398">
        <x:f t="shared" si="0"/>
        <x:v>0</x:v>
      </x:c>
      <x:c r="F20" s="74">
        <x:f t="shared" si="1"/>
        <x:v>0</x:v>
      </x:c>
    </x:row>
    <x:row r="21" spans="1:6" x14ac:dyDescent="0.25">
      <x:c r="A21" s="3">
        <x:f t="shared" si="2"/>
        <x:v>12</x:v>
      </x:c>
      <x:c r="B21" s="440">
        <x:v>45316</x:v>
      </x:c>
      <x:c r="C21" s="178">
        <x:v>478734.23</x:v>
      </x:c>
      <x:c r="D21" s="440">
        <x:v>45316</x:v>
      </x:c>
      <x:c r="E21" s="398">
        <x:f t="shared" si="0"/>
        <x:v>0</x:v>
      </x:c>
      <x:c r="F21" s="74">
        <x:f t="shared" si="1"/>
        <x:v>0</x:v>
      </x:c>
    </x:row>
    <x:row r="22" spans="1:6" x14ac:dyDescent="0.25">
      <x:c r="A22" s="3">
        <x:f t="shared" si="2"/>
        <x:v>13</x:v>
      </x:c>
      <x:c r="B22" s="440">
        <x:v>45323</x:v>
      </x:c>
      <x:c r="C22" s="178">
        <x:v>2482.0100000000002</x:v>
      </x:c>
      <x:c r="D22" s="440">
        <x:v>45323</x:v>
      </x:c>
      <x:c r="E22" s="398">
        <x:f t="shared" si="0"/>
        <x:v>0</x:v>
      </x:c>
      <x:c r="F22" s="74">
        <x:f t="shared" si="1"/>
        <x:v>0</x:v>
      </x:c>
    </x:row>
    <x:row r="23" spans="1:6" x14ac:dyDescent="0.25">
      <x:c r="A23" s="3">
        <x:f t="shared" si="2"/>
        <x:v>14</x:v>
      </x:c>
      <x:c r="B23" s="440">
        <x:v>45330</x:v>
      </x:c>
      <x:c r="C23" s="178">
        <x:v>492134.36</x:v>
      </x:c>
      <x:c r="D23" s="440">
        <x:v>45330</x:v>
      </x:c>
      <x:c r="E23" s="398">
        <x:f t="shared" si="0"/>
        <x:v>0</x:v>
      </x:c>
      <x:c r="F23" s="74">
        <x:f t="shared" si="1"/>
        <x:v>0</x:v>
      </x:c>
    </x:row>
    <x:row r="24" spans="1:6" x14ac:dyDescent="0.25">
      <x:c r="A24" s="3">
        <x:f t="shared" si="2"/>
        <x:v>15</x:v>
      </x:c>
      <x:c r="B24" s="440">
        <x:v>45343</x:v>
      </x:c>
      <x:c r="C24" s="178">
        <x:v>16930.080000000002</x:v>
      </x:c>
      <x:c r="D24" s="440">
        <x:v>45343</x:v>
      </x:c>
      <x:c r="E24" s="398">
        <x:f t="shared" si="0"/>
        <x:v>0</x:v>
      </x:c>
      <x:c r="F24" s="74">
        <x:f t="shared" si="1"/>
        <x:v>0</x:v>
      </x:c>
    </x:row>
    <x:row r="25" spans="1:6" x14ac:dyDescent="0.25">
      <x:c r="A25" s="3">
        <x:f t="shared" si="2"/>
        <x:v>16</x:v>
      </x:c>
      <x:c r="B25" s="440">
        <x:v>45344</x:v>
      </x:c>
      <x:c r="C25" s="178">
        <x:v>475011</x:v>
      </x:c>
      <x:c r="D25" s="440">
        <x:v>45344</x:v>
      </x:c>
      <x:c r="E25" s="398">
        <x:f t="shared" si="0"/>
        <x:v>0</x:v>
      </x:c>
      <x:c r="F25" s="74">
        <x:f t="shared" si="1"/>
        <x:v>0</x:v>
      </x:c>
    </x:row>
    <x:row r="26" spans="1:6" x14ac:dyDescent="0.25">
      <x:c r="A26" s="3">
        <x:f t="shared" si="2"/>
        <x:v>17</x:v>
      </x:c>
      <x:c r="B26" s="440">
        <x:v>45348</x:v>
      </x:c>
      <x:c r="C26" s="178">
        <x:v>1446.6200000000001</x:v>
      </x:c>
      <x:c r="D26" s="440">
        <x:v>45348</x:v>
      </x:c>
      <x:c r="E26" s="398">
        <x:f t="shared" si="0"/>
        <x:v>0</x:v>
      </x:c>
      <x:c r="F26" s="74">
        <x:f t="shared" si="1"/>
        <x:v>0</x:v>
      </x:c>
    </x:row>
    <x:row r="27" spans="1:6" x14ac:dyDescent="0.25">
      <x:c r="A27" s="3">
        <x:f t="shared" si="2"/>
        <x:v>18</x:v>
      </x:c>
      <x:c r="B27" s="440">
        <x:v>45358</x:v>
      </x:c>
      <x:c r="C27" s="178">
        <x:v>508449.69</x:v>
      </x:c>
      <x:c r="D27" s="440">
        <x:v>45358</x:v>
      </x:c>
      <x:c r="E27" s="398">
        <x:f t="shared" si="0"/>
        <x:v>0</x:v>
      </x:c>
      <x:c r="F27" s="74">
        <x:f t="shared" si="1"/>
        <x:v>0</x:v>
      </x:c>
    </x:row>
    <x:row r="28" spans="1:6" x14ac:dyDescent="0.25">
      <x:c r="A28" s="3">
        <x:f t="shared" si="2"/>
        <x:v>19</x:v>
      </x:c>
      <x:c r="B28" s="440">
        <x:v>45359</x:v>
      </x:c>
      <x:c r="C28" s="178">
        <x:v>1311064.7999999998</x:v>
      </x:c>
      <x:c r="D28" s="440">
        <x:v>45359</x:v>
      </x:c>
      <x:c r="E28" s="398">
        <x:f t="shared" si="0"/>
        <x:v>0</x:v>
      </x:c>
      <x:c r="F28" s="74">
        <x:f t="shared" si="1"/>
        <x:v>0</x:v>
      </x:c>
    </x:row>
    <x:row r="29" spans="1:6" x14ac:dyDescent="0.25">
      <x:c r="A29" s="3">
        <x:f t="shared" si="2"/>
        <x:v>20</x:v>
      </x:c>
      <x:c r="B29" s="440">
        <x:v>45373</x:v>
      </x:c>
      <x:c r="C29" s="178">
        <x:v>31447.199999999997</x:v>
      </x:c>
      <x:c r="D29" s="440">
        <x:v>45373</x:v>
      </x:c>
      <x:c r="E29" s="398">
        <x:f t="shared" si="0"/>
        <x:v>0</x:v>
      </x:c>
      <x:c r="F29" s="74">
        <x:f t="shared" si="1"/>
        <x:v>0</x:v>
      </x:c>
    </x:row>
    <x:row r="30" spans="1:6" x14ac:dyDescent="0.25">
      <x:c r="A30" s="3">
        <x:f t="shared" si="2"/>
        <x:v>21</x:v>
      </x:c>
      <x:c r="B30" s="440">
        <x:v>45372</x:v>
      </x:c>
      <x:c r="C30" s="178">
        <x:v>493620.48000000004</x:v>
      </x:c>
      <x:c r="D30" s="440">
        <x:v>45372</x:v>
      </x:c>
      <x:c r="E30" s="398">
        <x:f t="shared" si="0"/>
        <x:v>0</x:v>
      </x:c>
      <x:c r="F30" s="74">
        <x:f t="shared" si="1"/>
        <x:v>0</x:v>
      </x:c>
    </x:row>
    <x:row r="31" spans="1:6" x14ac:dyDescent="0.25">
      <x:c r="A31" s="3">
        <x:f t="shared" si="2"/>
        <x:v>22</x:v>
      </x:c>
      <x:c r="B31" s="440">
        <x:v>45379</x:v>
      </x:c>
      <x:c r="C31" s="178">
        <x:v>1252.5999999999999</x:v>
      </x:c>
      <x:c r="D31" s="440">
        <x:v>45379</x:v>
      </x:c>
      <x:c r="E31" s="398">
        <x:f t="shared" si="0"/>
        <x:v>0</x:v>
      </x:c>
      <x:c r="F31" s="74">
        <x:f t="shared" si="1"/>
        <x:v>0</x:v>
      </x:c>
    </x:row>
    <x:row r="32" spans="1:6" x14ac:dyDescent="0.25">
      <x:c r="A32" s="3">
        <x:f t="shared" si="2"/>
        <x:v>23</x:v>
      </x:c>
      <x:c r="B32" s="440">
        <x:v>45386</x:v>
      </x:c>
      <x:c r="C32" s="178">
        <x:v>494878.08999999997</x:v>
      </x:c>
      <x:c r="D32" s="440">
        <x:v>45386</x:v>
      </x:c>
      <x:c r="E32" s="398">
        <x:f t="shared" si="0"/>
        <x:v>0</x:v>
      </x:c>
      <x:c r="F32" s="74">
        <x:f t="shared" si="1"/>
        <x:v>0</x:v>
      </x:c>
    </x:row>
    <x:row r="33" spans="1:6" x14ac:dyDescent="0.25">
      <x:c r="A33" s="3">
        <x:f t="shared" si="2"/>
        <x:v>24</x:v>
      </x:c>
      <x:c r="B33" s="440">
        <x:v>45392</x:v>
      </x:c>
      <x:c r="C33" s="178">
        <x:v>37.85</x:v>
      </x:c>
      <x:c r="D33" s="440">
        <x:v>45392</x:v>
      </x:c>
      <x:c r="E33" s="398">
        <x:f t="shared" si="0"/>
        <x:v>0</x:v>
      </x:c>
      <x:c r="F33" s="74">
        <x:f t="shared" si="1"/>
        <x:v>0</x:v>
      </x:c>
    </x:row>
    <x:row r="34" spans="1:6" x14ac:dyDescent="0.25">
      <x:c r="A34" s="3">
        <x:f t="shared" si="2"/>
        <x:v>25</x:v>
      </x:c>
      <x:c r="B34" s="440">
        <x:v>45400</x:v>
      </x:c>
      <x:c r="C34" s="178">
        <x:v>517592.1</x:v>
      </x:c>
      <x:c r="D34" s="440">
        <x:v>45400</x:v>
      </x:c>
      <x:c r="E34" s="398">
        <x:f t="shared" si="0"/>
        <x:v>0</x:v>
      </x:c>
      <x:c r="F34" s="74">
        <x:f t="shared" si="1"/>
        <x:v>0</x:v>
      </x:c>
    </x:row>
    <x:row r="35" spans="1:6" x14ac:dyDescent="0.25">
      <x:c r="A35" s="3">
        <x:f t="shared" si="2"/>
        <x:v>26</x:v>
      </x:c>
      <x:c r="B35" s="440">
        <x:v>45407</x:v>
      </x:c>
      <x:c r="C35" s="178">
        <x:v>3683.1</x:v>
      </x:c>
      <x:c r="D35" s="440">
        <x:v>45407</x:v>
      </x:c>
      <x:c r="E35" s="398">
        <x:f t="shared" si="0"/>
        <x:v>0</x:v>
      </x:c>
      <x:c r="F35" s="74">
        <x:f t="shared" si="1"/>
        <x:v>0</x:v>
      </x:c>
    </x:row>
    <x:row r="36" spans="1:6" x14ac:dyDescent="0.25">
      <x:c r="A36" s="3">
        <x:f t="shared" si="2"/>
        <x:v>27</x:v>
      </x:c>
      <x:c r="B36" s="440">
        <x:v>45414</x:v>
      </x:c>
      <x:c r="C36" s="178">
        <x:v>544561.05999999994</x:v>
      </x:c>
      <x:c r="D36" s="440">
        <x:v>45414</x:v>
      </x:c>
      <x:c r="E36" s="398">
        <x:f t="shared" si="0"/>
        <x:v>0</x:v>
      </x:c>
      <x:c r="F36" s="74">
        <x:f t="shared" si="1"/>
        <x:v>0</x:v>
      </x:c>
    </x:row>
    <x:row r="37" spans="1:6" x14ac:dyDescent="0.25">
      <x:c r="A37" s="3">
        <x:f t="shared" si="2"/>
        <x:v>28</x:v>
      </x:c>
      <x:c r="B37" s="440">
        <x:v>45413</x:v>
      </x:c>
      <x:c r="C37" s="178">
        <x:v>137.69999999999999</x:v>
      </x:c>
      <x:c r="D37" s="440">
        <x:v>45413</x:v>
      </x:c>
      <x:c r="E37" s="398">
        <x:f t="shared" si="0"/>
        <x:v>0</x:v>
      </x:c>
      <x:c r="F37" s="74">
        <x:f t="shared" si="1"/>
        <x:v>0</x:v>
      </x:c>
    </x:row>
    <x:row r="38" spans="1:6" x14ac:dyDescent="0.25">
      <x:c r="A38" s="3">
        <x:f t="shared" si="2"/>
        <x:v>29</x:v>
      </x:c>
      <x:c r="B38" s="440">
        <x:v>45428</x:v>
      </x:c>
      <x:c r="C38" s="178">
        <x:v>529182.44999999995</x:v>
      </x:c>
      <x:c r="D38" s="440">
        <x:v>45428</x:v>
      </x:c>
      <x:c r="E38" s="398">
        <x:f t="shared" si="0"/>
        <x:v>0</x:v>
      </x:c>
      <x:c r="F38" s="74">
        <x:f t="shared" si="1"/>
        <x:v>0</x:v>
      </x:c>
    </x:row>
    <x:row r="39" spans="1:6" x14ac:dyDescent="0.25">
      <x:c r="A39" s="3">
        <x:f t="shared" si="2"/>
        <x:v>30</x:v>
      </x:c>
      <x:c r="B39" s="440">
        <x:v>45442</x:v>
      </x:c>
      <x:c r="C39" s="178">
        <x:v>541703.06000000006</x:v>
      </x:c>
      <x:c r="D39" s="440">
        <x:v>45442</x:v>
      </x:c>
      <x:c r="E39" s="398">
        <x:f t="shared" si="0"/>
        <x:v>0</x:v>
      </x:c>
      <x:c r="F39" s="74">
        <x:f t="shared" si="1"/>
        <x:v>0</x:v>
      </x:c>
    </x:row>
    <x:row r="40" spans="1:6" x14ac:dyDescent="0.25">
      <x:c r="A40" s="3">
        <x:f t="shared" si="2"/>
        <x:v>31</x:v>
      </x:c>
      <x:c r="B40" s="440">
        <x:v>45441</x:v>
      </x:c>
      <x:c r="C40" s="178">
        <x:v>3580.7299999999996</x:v>
      </x:c>
      <x:c r="D40" s="440">
        <x:v>45441</x:v>
      </x:c>
      <x:c r="E40" s="398">
        <x:f t="shared" si="0"/>
        <x:v>0</x:v>
      </x:c>
      <x:c r="F40" s="74">
        <x:f t="shared" si="1"/>
        <x:v>0</x:v>
      </x:c>
    </x:row>
    <x:row r="41" spans="1:6" x14ac:dyDescent="0.25">
      <x:c r="A41" s="3">
        <x:f t="shared" ref="A41:A47" si="3">A40+1</x:f>
        <x:v>32</x:v>
      </x:c>
      <x:c r="B41" s="440">
        <x:v>45456</x:v>
      </x:c>
      <x:c r="C41" s="178">
        <x:v>550827.51</x:v>
      </x:c>
      <x:c r="D41" s="440">
        <x:v>45456</x:v>
      </x:c>
      <x:c r="E41" s="398">
        <x:f t="shared" si="0"/>
        <x:v>0</x:v>
      </x:c>
      <x:c r="F41" s="74">
        <x:f t="shared" si="1"/>
        <x:v>0</x:v>
      </x:c>
    </x:row>
    <x:row r="42" spans="1:6" x14ac:dyDescent="0.25">
      <x:c r="A42" s="3">
        <x:f t="shared" si="2"/>
        <x:v>33</x:v>
      </x:c>
      <x:c r="B42" s="440">
        <x:v>45463</x:v>
      </x:c>
      <x:c r="C42" s="178">
        <x:v>420.7</x:v>
      </x:c>
      <x:c r="D42" s="440">
        <x:v>45463</x:v>
      </x:c>
      <x:c r="E42" s="398">
        <x:f t="shared" si="0"/>
        <x:v>0</x:v>
      </x:c>
      <x:c r="F42" s="74">
        <x:f t="shared" si="1"/>
        <x:v>0</x:v>
      </x:c>
    </x:row>
    <x:row r="43" spans="1:6" x14ac:dyDescent="0.25">
      <x:c r="A43" s="3">
        <x:f t="shared" si="3"/>
        <x:v>34</x:v>
      </x:c>
      <x:c r="B43" s="440">
        <x:v>45470</x:v>
      </x:c>
      <x:c r="C43" s="178">
        <x:v>498985.09</x:v>
      </x:c>
      <x:c r="D43" s="440">
        <x:v>45470</x:v>
      </x:c>
      <x:c r="E43" s="398">
        <x:f t="shared" si="0"/>
        <x:v>0</x:v>
      </x:c>
      <x:c r="F43" s="74">
        <x:f t="shared" si="1"/>
        <x:v>0</x:v>
      </x:c>
    </x:row>
    <x:row r="44" spans="1:6" x14ac:dyDescent="0.25">
      <x:c r="A44" s="3">
        <x:f t="shared" si="2"/>
        <x:v>35</x:v>
      </x:c>
      <x:c r="B44" s="440">
        <x:v>45471</x:v>
      </x:c>
      <x:c r="C44" s="178">
        <x:v>4092.56</x:v>
      </x:c>
      <x:c r="D44" s="440">
        <x:v>45471</x:v>
      </x:c>
      <x:c r="E44" s="398">
        <x:f t="shared" si="0"/>
        <x:v>0</x:v>
      </x:c>
      <x:c r="F44" s="74">
        <x:f t="shared" si="1"/>
        <x:v>0</x:v>
      </x:c>
    </x:row>
    <x:row r="45" spans="1:6" x14ac:dyDescent="0.25">
      <x:c r="A45" s="3">
        <x:f t="shared" si="3"/>
        <x:v>36</x:v>
      </x:c>
      <x:c r="B45" s="440">
        <x:v>45484</x:v>
      </x:c>
      <x:c r="C45" s="178">
        <x:v>489866.62</x:v>
      </x:c>
      <x:c r="D45" s="440">
        <x:v>45484</x:v>
      </x:c>
      <x:c r="E45" s="398">
        <x:f t="shared" si="0"/>
        <x:v>0</x:v>
      </x:c>
      <x:c r="F45" s="74">
        <x:f t="shared" si="1"/>
        <x:v>0</x:v>
      </x:c>
    </x:row>
    <x:row r="46" spans="1:6" x14ac:dyDescent="0.25">
      <x:c r="A46" s="3">
        <x:f t="shared" si="2"/>
        <x:v>37</x:v>
      </x:c>
      <x:c r="B46" s="440">
        <x:v>45498</x:v>
      </x:c>
      <x:c r="C46" s="178">
        <x:v>493728.94</x:v>
      </x:c>
      <x:c r="D46" s="440">
        <x:v>45498</x:v>
      </x:c>
      <x:c r="E46" s="398">
        <x:f t="shared" si="0"/>
        <x:v>0</x:v>
      </x:c>
      <x:c r="F46" s="74">
        <x:f t="shared" si="1"/>
        <x:v>0</x:v>
      </x:c>
    </x:row>
    <x:row r="47" spans="1:6" x14ac:dyDescent="0.25">
      <x:c r="A47" s="3">
        <x:f t="shared" si="3"/>
        <x:v>38</x:v>
      </x:c>
      <x:c r="B47" s="440">
        <x:v>45512</x:v>
      </x:c>
      <x:c r="C47" s="178">
        <x:v>506732.9</x:v>
      </x:c>
      <x:c r="D47" s="440">
        <x:v>45512</x:v>
      </x:c>
      <x:c r="E47" s="398">
        <x:f t="shared" si="0"/>
        <x:v>0</x:v>
      </x:c>
      <x:c r="F47" s="74">
        <x:f t="shared" si="1"/>
        <x:v>0</x:v>
      </x:c>
    </x:row>
    <x:row r="48" spans="1:6" x14ac:dyDescent="0.25">
      <x:c r="A48" s="3">
        <x:f t="shared" si="2"/>
        <x:v>39</x:v>
      </x:c>
      <x:c r="B48" s="440">
        <x:v>45526</x:v>
      </x:c>
      <x:c r="C48" s="178">
        <x:v>512389.33</x:v>
      </x:c>
      <x:c r="D48" s="440">
        <x:v>45526</x:v>
      </x:c>
      <x:c r="E48" s="398">
        <x:f t="shared" si="0"/>
        <x:v>0</x:v>
      </x:c>
      <x:c r="F48" s="74">
        <x:f t="shared" si="1"/>
        <x:v>0</x:v>
      </x:c>
    </x:row>
    <x:row r="49" spans="1:6" x14ac:dyDescent="0.25">
      <x:c r="A49" s="3">
        <x:f t="shared" si="2"/>
        <x:v>40</x:v>
      </x:c>
      <x:c r="B49" s="440">
        <x:v>45540</x:v>
      </x:c>
      <x:c r="C49" s="178">
        <x:v>448381.52</x:v>
      </x:c>
      <x:c r="D49" s="440">
        <x:v>45540</x:v>
      </x:c>
      <x:c r="E49" s="398">
        <x:f t="shared" ref="E49:E51" si="4">IF(C49=0,0,-(D49-B49))</x:f>
        <x:v>0</x:v>
      </x:c>
      <x:c r="F49" s="74">
        <x:f t="shared" ref="F49:F51" si="5">C49*E49</x:f>
        <x:v>0</x:v>
      </x:c>
    </x:row>
    <x:row r="50" spans="1:6" x14ac:dyDescent="0.25">
      <x:c r="A50" s="3">
        <x:f t="shared" si="2"/>
        <x:v>41</x:v>
      </x:c>
      <x:c r="B50" s="440">
        <x:v>45541</x:v>
      </x:c>
      <x:c r="C50" s="178">
        <x:v>52235.74</x:v>
      </x:c>
      <x:c r="D50" s="440">
        <x:v>45541</x:v>
      </x:c>
      <x:c r="E50" s="398">
        <x:f t="shared" si="4"/>
        <x:v>0</x:v>
      </x:c>
      <x:c r="F50" s="74">
        <x:f t="shared" si="5"/>
        <x:v>0</x:v>
      </x:c>
    </x:row>
    <x:row r="51" spans="1:6" x14ac:dyDescent="0.25">
      <x:c r="A51" s="3">
        <x:f t="shared" si="2"/>
        <x:v>42</x:v>
      </x:c>
      <x:c r="B51" s="440">
        <x:v>45554</x:v>
      </x:c>
      <x:c r="C51" s="178">
        <x:v>461827.69999999995</x:v>
      </x:c>
      <x:c r="D51" s="440">
        <x:v>45554</x:v>
      </x:c>
      <x:c r="E51" s="398">
        <x:f t="shared" si="4"/>
        <x:v>0</x:v>
      </x:c>
      <x:c r="F51" s="74">
        <x:f t="shared" si="5"/>
        <x:v>0</x:v>
      </x:c>
    </x:row>
    <x:row r="52" spans="1:6" x14ac:dyDescent="0.25">
      <x:c r="A52" s="3">
        <x:f t="shared" si="2"/>
        <x:v>43</x:v>
      </x:c>
      <x:c r="B52" s="440"/>
      <x:c r="C52" s="246"/>
      <x:c r="D52" s="440"/>
      <x:c r="E52" s="398"/>
      <x:c r="F52" s="29"/>
    </x:row>
    <x:row r="53" spans="1:6" ht="13.25" thickBot="1" x14ac:dyDescent="0.3">
      <x:c r="A53" s="3">
        <x:f t="shared" si="2"/>
        <x:v>44</x:v>
      </x:c>
      <x:c r="B53" s="188" t="s">
        <x:v>26</x:v>
      </x:c>
      <x:c r="C53" s="399">
        <x:f>SUM(C10:C52)</x:f>
        <x:v>13594826.329999996</x:v>
      </x:c>
      <x:c r="E53" s="400">
        <x:f>ROUND(F53/C53,2)</x:f>
        <x:v>0</x:v>
      </x:c>
      <x:c r="F53" s="399">
        <x:f>SUM(F10:F52)</x:f>
        <x:v>0</x:v>
      </x:c>
    </x:row>
    <x:row r="54" spans="1:6" ht="13.25" thickTop="1" x14ac:dyDescent="0.25">
      <x:c r="A54" s="3">
        <x:f t="shared" si="2"/>
        <x:v>45</x:v>
      </x:c>
      <x:c r="C54" s="196"/>
      <x:c r="E54" s="161"/>
      <x:c r="F54" s="45"/>
    </x:row>
    <x:row r="55" spans="1:6" x14ac:dyDescent="0.25">
      <x:c r="A55" s="3">
        <x:f t="shared" si="2"/>
        <x:v>46</x:v>
      </x:c>
      <x:c r="B55" s="637" t="s">
        <x:v>494</x:v>
      </x:c>
      <x:c r="C55" s="196"/>
      <x:c r="E55" s="401">
        <x:f>+ROUND(C53/365.25,0)</x:f>
        <x:v>37221</x:v>
      </x:c>
      <x:c r="F55" s="45"/>
    </x:row>
    <x:row r="56" spans="1:6" x14ac:dyDescent="0.25">
      <x:c r="A56" s="3">
        <x:f t="shared" si="2"/>
        <x:v>47</x:v>
      </x:c>
      <x:c r="B56" s="188"/>
      <x:c r="C56" s="196"/>
      <x:c r="E56" s="162"/>
      <x:c r="F56" s="45"/>
    </x:row>
    <x:row r="57" spans="1:6" x14ac:dyDescent="0.25">
      <x:c r="A57" s="3">
        <x:f t="shared" si="2"/>
        <x:v>48</x:v>
      </x:c>
      <x:c r="B57" s="636" t="s">
        <x:v>495</x:v>
      </x:c>
      <x:c r="C57" s="231"/>
      <x:c r="E57" s="446">
        <x:f>+E53</x:f>
        <x:v>0</x:v>
      </x:c>
      <x:c r="F57" s="45"/>
    </x:row>
    <x:row r="58" spans="1:6" x14ac:dyDescent="0.25">
      <x:c r="A58" s="3">
        <x:f t="shared" si="2"/>
        <x:v>49</x:v>
      </x:c>
    </x:row>
    <x:row r="59" spans="1:6" ht="13.25" thickBot="1" x14ac:dyDescent="0.3">
      <x:c r="A59" s="3">
        <x:f t="shared" si="2"/>
        <x:v>50</x:v>
      </x:c>
      <x:c r="B59" s="636" t="s">
        <x:v>496</x:v>
      </x:c>
      <x:c r="C59" s="190"/>
      <x:c r="E59" s="402">
        <x:f>+ROUND(E55*E57,0)</x:f>
        <x:v>0</x:v>
      </x:c>
    </x:row>
    <x:row r="60" spans="1:6" ht="13.25" thickTop="1" x14ac:dyDescent="0.25">
      <x:c r="A60" s="3">
        <x:f t="shared" si="2"/>
        <x:v>51</x:v>
      </x:c>
    </x:row>
    <x:row r="61" spans="1:6" x14ac:dyDescent="0.25">
      <x:c r="A61" s="3">
        <x:f t="shared" si="2"/>
        <x:v>52</x:v>
      </x:c>
      <x:c r="B61" s="31" t="s">
        <x:v>230</x:v>
      </x:c>
      <x:c r="C61" s="290" t="s">
        <x:v>447</x:v>
      </x:c>
    </x:row>
  </x:sheetData>
  <x:mergeCells count="1">
    <x:mergeCell ref="A3:D3"/>
  </x:mergeCells>
  <x:phoneticPr fontId="0" type="noConversion"/>
  <x:hyperlinks>
    <x:hyperlink ref="C61" r:id="rId1" xr:uid="{00000000-0004-0000-2E00-000000000000}"/>
  </x:hyperlinks>
  <x:printOptions horizontalCentered="1"/>
  <x:pageMargins left="0.5" right="0.5" top="1.5" bottom="0.5" header="1" footer="0.5"/>
  <x:pageSetup fitToHeight="3" orientation="landscape" r:id="rId2"/>
  <x:headerFooter alignWithMargins="0">
    <x:oddHeader>&amp;RWP/II-B-9/&amp;A
Page &amp;P of &amp;N</x:oddHeader>
  </x:headerFooter>
  <x:rowBreaks count="1" manualBreakCount="1">
    <x:brk id="32" max="5" man="1"/>
  </x:rowBreaks>
</x:worksheet>
</file>

<file path=xl/worksheets/sheet4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F00-000000000000}" mc:Ignorable="x14ac xr xr2 xr3">
  <x:sheetPr codeName="Sheet10">
    <x:tabColor rgb="FF92D050"/>
    <x:pageSetUpPr fitToPage="1"/>
  </x:sheetPr>
  <x:dimension ref="A1:H88"/>
  <x:sheetViews>
    <x:sheetView topLeftCell="A67" zoomScaleNormal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18" style="31" customWidth="1"/>
    <x:col min="3" max="3" width="16" style="31" customWidth="1"/>
    <x:col min="4" max="4" width="13.109375" style="31" customWidth="1"/>
    <x:col min="5" max="5" width="14.88671875" style="9" customWidth="1"/>
    <x:col min="6" max="6" width="21" style="1" customWidth="1"/>
    <x:col min="7" max="16384" width="9.109375" style="1"/>
  </x:cols>
  <x:sheetData>
    <x:row r="1" spans="1:8" s="41" customFormat="1" x14ac:dyDescent="0.25">
      <x:c r="A1" s="180" t="s">
        <x:v>523</x:v>
      </x:c>
      <x:c r="B1" s="183"/>
      <x:c r="C1" s="183"/>
      <x:c r="D1" s="183"/>
      <x:c r="E1" s="180"/>
    </x:row>
    <x:row r="2" spans="1:8" s="41" customFormat="1" x14ac:dyDescent="0.25">
      <x:c r="A2" s="180" t="str">
        <x:f>' '!A2</x:f>
        <x:v>ONCOR ELECTRIC DELIVERY COMPANY LLC</x:v>
      </x:c>
      <x:c r="B2" s="183"/>
      <x:c r="C2" s="183"/>
      <x:c r="D2" s="183"/>
      <x:c r="E2" s="180"/>
    </x:row>
    <x:row r="3" spans="1:8" s="41" customFormat="1" x14ac:dyDescent="0.25">
      <x:c r="A3" s="833" t="s">
        <x:v>160</x:v>
      </x:c>
      <x:c r="B3" s="833"/>
      <x:c r="C3" s="833"/>
      <x:c r="D3" s="833"/>
      <x:c r="E3" s="180"/>
    </x:row>
    <x:row r="4" spans="1:8" s="41" customFormat="1" x14ac:dyDescent="0.25">
      <x:c r="A4" s="767" t="s">
        <x:v>524</x:v>
      </x:c>
      <x:c r="B4" s="183"/>
      <x:c r="C4" s="183"/>
      <x:c r="D4" s="183"/>
      <x:c r="E4" s="180"/>
    </x:row>
    <x:row r="5" spans="1:8" s="41" customFormat="1" x14ac:dyDescent="0.25">
      <x:c r="A5" s="180" t="s">
        <x:v>486</x:v>
      </x:c>
      <x:c r="B5" s="183"/>
      <x:c r="C5" s="183"/>
      <x:c r="D5" s="183"/>
      <x:c r="E5" s="180"/>
      <x:c r="H5" s="41" t="s">
        <x:v>464</x:v>
      </x:c>
    </x:row>
    <x:row r="7" spans="1:8" ht="25.35" x14ac:dyDescent="0.25">
      <x:c r="A7" s="32" t="s">
        <x:v>40</x:v>
      </x:c>
      <x:c r="B7" s="189" t="s">
        <x:v>152</x:v>
      </x:c>
      <x:c r="C7" s="189" t="s">
        <x:v>153</x:v>
      </x:c>
      <x:c r="D7" s="189" t="s">
        <x:v>154</x:v>
      </x:c>
      <x:c r="E7" s="32" t="s">
        <x:v>44</x:v>
      </x:c>
      <x:c r="F7" s="160" t="s">
        <x:v>38</x:v>
      </x:c>
    </x:row>
    <x:row r="8" spans="1:8" x14ac:dyDescent="0.25">
      <x:c r="A8" s="38"/>
      <x:c r="B8" s="51" t="s">
        <x:v>50</x:v>
      </x:c>
      <x:c r="C8" s="51" t="s">
        <x:v>51</x:v>
      </x:c>
      <x:c r="D8" s="51" t="s">
        <x:v>57</x:v>
      </x:c>
      <x:c r="E8" s="40" t="s">
        <x:v>52</x:v>
      </x:c>
      <x:c r="F8" s="40" t="s">
        <x:v>53</x:v>
      </x:c>
    </x:row>
    <x:row r="9" spans="1:8" x14ac:dyDescent="0.25">
      <x:c r="A9" s="22"/>
      <x:c r="B9" s="192"/>
      <x:c r="C9" s="192"/>
      <x:c r="D9" s="192"/>
      <x:c r="E9" s="398"/>
      <x:c r="F9" s="27"/>
    </x:row>
    <x:row r="10" spans="1:8" x14ac:dyDescent="0.25">
      <x:c r="A10" s="638" t="s">
        <x:v>1002</x:v>
      </x:c>
      <x:c r="B10" s="440">
        <x:v>45204</x:v>
      </x:c>
      <x:c r="C10" s="178">
        <x:v>280989.22000000003</x:v>
      </x:c>
      <x:c r="D10" s="440">
        <x:v>45204</x:v>
      </x:c>
      <x:c r="E10" s="398">
        <x:f>IF(C10=0,0,-(D10-B10))</x:f>
        <x:v>0</x:v>
      </x:c>
      <x:c r="F10" s="74">
        <x:f>C10*E10</x:f>
        <x:v>0</x:v>
      </x:c>
    </x:row>
    <x:row r="11" spans="1:8" x14ac:dyDescent="0.25">
      <x:c r="A11" s="638" t="s">
        <x:v>1003</x:v>
      </x:c>
      <x:c r="B11" s="440">
        <x:v>45201</x:v>
      </x:c>
      <x:c r="C11" s="178">
        <x:v>33.119999999999997</x:v>
      </x:c>
      <x:c r="D11" s="440">
        <x:v>45201</x:v>
      </x:c>
      <x:c r="E11" s="398">
        <x:f t="shared" ref="E11:E74" si="0">IF(C11=0,0,-(D11-B11))</x:f>
        <x:v>0</x:v>
      </x:c>
      <x:c r="F11" s="74">
        <x:f t="shared" ref="F11:F74" si="1">C11*E11</x:f>
        <x:v>0</x:v>
      </x:c>
    </x:row>
    <x:row r="12" spans="1:8" x14ac:dyDescent="0.25">
      <x:c r="A12" s="638" t="s">
        <x:v>1004</x:v>
      </x:c>
      <x:c r="B12" s="440">
        <x:v>45205</x:v>
      </x:c>
      <x:c r="C12" s="178">
        <x:v>26610.68</x:v>
      </x:c>
      <x:c r="D12" s="440">
        <x:v>45205</x:v>
      </x:c>
      <x:c r="E12" s="398">
        <x:f t="shared" si="0"/>
        <x:v>0</x:v>
      </x:c>
      <x:c r="F12" s="74">
        <x:f t="shared" si="1"/>
        <x:v>0</x:v>
      </x:c>
    </x:row>
    <x:row r="13" spans="1:8" x14ac:dyDescent="0.25">
      <x:c r="A13" s="638" t="s">
        <x:v>1005</x:v>
      </x:c>
      <x:c r="B13" s="440">
        <x:v>45211</x:v>
      </x:c>
      <x:c r="C13" s="178">
        <x:v>923236.85</x:v>
      </x:c>
      <x:c r="D13" s="440">
        <x:v>45211</x:v>
      </x:c>
      <x:c r="E13" s="398">
        <x:f t="shared" si="0"/>
        <x:v>0</x:v>
      </x:c>
      <x:c r="F13" s="74">
        <x:f t="shared" si="1"/>
        <x:v>0</x:v>
      </x:c>
    </x:row>
    <x:row r="14" spans="1:8" x14ac:dyDescent="0.25">
      <x:c r="A14" s="638" t="s">
        <x:v>1006</x:v>
      </x:c>
      <x:c r="B14" s="440">
        <x:v>45219</x:v>
      </x:c>
      <x:c r="C14" s="178">
        <x:v>825.31999999999994</x:v>
      </x:c>
      <x:c r="D14" s="440">
        <x:v>45219</x:v>
      </x:c>
      <x:c r="E14" s="398">
        <x:f t="shared" si="0"/>
        <x:v>0</x:v>
      </x:c>
      <x:c r="F14" s="74">
        <x:f t="shared" si="1"/>
        <x:v>0</x:v>
      </x:c>
    </x:row>
    <x:row r="15" spans="1:8" x14ac:dyDescent="0.25">
      <x:c r="A15" s="638" t="s">
        <x:v>1007</x:v>
      </x:c>
      <x:c r="B15" s="440">
        <x:v>45218</x:v>
      </x:c>
      <x:c r="C15" s="178">
        <x:v>274191.74</x:v>
      </x:c>
      <x:c r="D15" s="440">
        <x:v>45218</x:v>
      </x:c>
      <x:c r="E15" s="398">
        <x:f t="shared" si="0"/>
        <x:v>0</x:v>
      </x:c>
      <x:c r="F15" s="74">
        <x:f t="shared" si="1"/>
        <x:v>0</x:v>
      </x:c>
    </x:row>
    <x:row r="16" spans="1:8" x14ac:dyDescent="0.25">
      <x:c r="A16" s="638" t="s">
        <x:v>1008</x:v>
      </x:c>
      <x:c r="B16" s="440">
        <x:v>45223</x:v>
      </x:c>
      <x:c r="C16" s="178">
        <x:v>2219.86</x:v>
      </x:c>
      <x:c r="D16" s="440">
        <x:v>45223</x:v>
      </x:c>
      <x:c r="E16" s="398">
        <x:f t="shared" si="0"/>
        <x:v>0</x:v>
      </x:c>
      <x:c r="F16" s="74">
        <x:f t="shared" si="1"/>
        <x:v>0</x:v>
      </x:c>
    </x:row>
    <x:row r="17" spans="1:6" x14ac:dyDescent="0.25">
      <x:c r="A17" s="638" t="s">
        <x:v>1009</x:v>
      </x:c>
      <x:c r="B17" s="440">
        <x:v>45229</x:v>
      </x:c>
      <x:c r="C17" s="178">
        <x:v>844429.53</x:v>
      </x:c>
      <x:c r="D17" s="440">
        <x:v>45229</x:v>
      </x:c>
      <x:c r="E17" s="398">
        <x:f t="shared" si="0"/>
        <x:v>0</x:v>
      </x:c>
      <x:c r="F17" s="74">
        <x:f t="shared" si="1"/>
        <x:v>0</x:v>
      </x:c>
    </x:row>
    <x:row r="18" spans="1:6" x14ac:dyDescent="0.25">
      <x:c r="A18" s="638" t="s">
        <x:v>1010</x:v>
      </x:c>
      <x:c r="B18" s="440">
        <x:v>45232</x:v>
      </x:c>
      <x:c r="C18" s="178">
        <x:v>249231.47</x:v>
      </x:c>
      <x:c r="D18" s="440">
        <x:v>45232</x:v>
      </x:c>
      <x:c r="E18" s="398">
        <x:f t="shared" si="0"/>
        <x:v>0</x:v>
      </x:c>
      <x:c r="F18" s="74">
        <x:f t="shared" si="1"/>
        <x:v>0</x:v>
      </x:c>
    </x:row>
    <x:row r="19" spans="1:6" x14ac:dyDescent="0.25">
      <x:c r="A19" s="638" t="s">
        <x:v>1011</x:v>
      </x:c>
      <x:c r="B19" s="440">
        <x:v>45244</x:v>
      </x:c>
      <x:c r="C19" s="178">
        <x:v>876342.63</x:v>
      </x:c>
      <x:c r="D19" s="440">
        <x:v>45244</x:v>
      </x:c>
      <x:c r="E19" s="398">
        <x:f t="shared" si="0"/>
        <x:v>0</x:v>
      </x:c>
      <x:c r="F19" s="74">
        <x:f t="shared" si="1"/>
        <x:v>0</x:v>
      </x:c>
    </x:row>
    <x:row r="20" spans="1:6" x14ac:dyDescent="0.25">
      <x:c r="A20" s="638" t="s">
        <x:v>1012</x:v>
      </x:c>
      <x:c r="B20" s="440">
        <x:v>45246</x:v>
      </x:c>
      <x:c r="C20" s="178">
        <x:v>221634.89</x:v>
      </x:c>
      <x:c r="D20" s="440">
        <x:v>45246</x:v>
      </x:c>
      <x:c r="E20" s="398">
        <x:f t="shared" si="0"/>
        <x:v>0</x:v>
      </x:c>
      <x:c r="F20" s="74">
        <x:f t="shared" si="1"/>
        <x:v>0</x:v>
      </x:c>
    </x:row>
    <x:row r="21" spans="1:6" x14ac:dyDescent="0.25">
      <x:c r="A21" s="638" t="s">
        <x:v>1013</x:v>
      </x:c>
      <x:c r="B21" s="440">
        <x:v>45247</x:v>
      </x:c>
      <x:c r="C21" s="178">
        <x:v>2235.71</x:v>
      </x:c>
      <x:c r="D21" s="440">
        <x:v>45247</x:v>
      </x:c>
      <x:c r="E21" s="398">
        <x:f t="shared" si="0"/>
        <x:v>0</x:v>
      </x:c>
      <x:c r="F21" s="74">
        <x:f t="shared" si="1"/>
        <x:v>0</x:v>
      </x:c>
    </x:row>
    <x:row r="22" spans="1:6" x14ac:dyDescent="0.25">
      <x:c r="A22" s="638" t="s">
        <x:v>1014</x:v>
      </x:c>
      <x:c r="B22" s="440">
        <x:v>45260</x:v>
      </x:c>
      <x:c r="C22" s="178">
        <x:v>197834.68</x:v>
      </x:c>
      <x:c r="D22" s="440">
        <x:v>45260</x:v>
      </x:c>
      <x:c r="E22" s="398">
        <x:f t="shared" si="0"/>
        <x:v>0</x:v>
      </x:c>
      <x:c r="F22" s="74">
        <x:f t="shared" si="1"/>
        <x:v>0</x:v>
      </x:c>
    </x:row>
    <x:row r="23" spans="1:6" x14ac:dyDescent="0.25">
      <x:c r="A23" s="638" t="s">
        <x:v>1015</x:v>
      </x:c>
      <x:c r="B23" s="440">
        <x:v>45259</x:v>
      </x:c>
      <x:c r="C23" s="178">
        <x:v>815945.75</x:v>
      </x:c>
      <x:c r="D23" s="440">
        <x:v>45259</x:v>
      </x:c>
      <x:c r="E23" s="398">
        <x:f t="shared" si="0"/>
        <x:v>0</x:v>
      </x:c>
      <x:c r="F23" s="74">
        <x:f t="shared" si="1"/>
        <x:v>0</x:v>
      </x:c>
    </x:row>
    <x:row r="24" spans="1:6" x14ac:dyDescent="0.25">
      <x:c r="A24" s="638" t="s">
        <x:v>1016</x:v>
      </x:c>
      <x:c r="B24" s="440">
        <x:v>45264</x:v>
      </x:c>
      <x:c r="C24" s="178">
        <x:v>3768.88</x:v>
      </x:c>
      <x:c r="D24" s="440">
        <x:v>45264</x:v>
      </x:c>
      <x:c r="E24" s="398">
        <x:f t="shared" si="0"/>
        <x:v>0</x:v>
      </x:c>
      <x:c r="F24" s="74">
        <x:f t="shared" si="1"/>
        <x:v>0</x:v>
      </x:c>
    </x:row>
    <x:row r="25" spans="1:6" x14ac:dyDescent="0.25">
      <x:c r="A25" s="638" t="s">
        <x:v>1017</x:v>
      </x:c>
      <x:c r="B25" s="440">
        <x:v>45267</x:v>
      </x:c>
      <x:c r="C25" s="178">
        <x:v>22386.06</x:v>
      </x:c>
      <x:c r="D25" s="440">
        <x:v>45267</x:v>
      </x:c>
      <x:c r="E25" s="398">
        <x:f t="shared" si="0"/>
        <x:v>0</x:v>
      </x:c>
      <x:c r="F25" s="74">
        <x:f t="shared" si="1"/>
        <x:v>0</x:v>
      </x:c>
    </x:row>
    <x:row r="26" spans="1:6" x14ac:dyDescent="0.25">
      <x:c r="A26" s="638" t="s">
        <x:v>1018</x:v>
      </x:c>
      <x:c r="B26" s="440">
        <x:v>45274</x:v>
      </x:c>
      <x:c r="C26" s="178">
        <x:v>967493.25</x:v>
      </x:c>
      <x:c r="D26" s="440">
        <x:v>45274</x:v>
      </x:c>
      <x:c r="E26" s="398">
        <x:f t="shared" si="0"/>
        <x:v>0</x:v>
      </x:c>
      <x:c r="F26" s="74">
        <x:f t="shared" si="1"/>
        <x:v>0</x:v>
      </x:c>
    </x:row>
    <x:row r="27" spans="1:6" x14ac:dyDescent="0.25">
      <x:c r="A27" s="638" t="s">
        <x:v>1019</x:v>
      </x:c>
      <x:c r="B27" s="440">
        <x:v>45287</x:v>
      </x:c>
      <x:c r="C27" s="178">
        <x:v>1436.6</x:v>
      </x:c>
      <x:c r="D27" s="440">
        <x:v>45287</x:v>
      </x:c>
      <x:c r="E27" s="398">
        <x:f t="shared" si="0"/>
        <x:v>0</x:v>
      </x:c>
      <x:c r="F27" s="74">
        <x:f t="shared" si="1"/>
        <x:v>0</x:v>
      </x:c>
    </x:row>
    <x:row r="28" spans="1:6" x14ac:dyDescent="0.25">
      <x:c r="A28" s="638" t="s">
        <x:v>1020</x:v>
      </x:c>
      <x:c r="B28" s="440">
        <x:v>45288</x:v>
      </x:c>
      <x:c r="C28" s="178">
        <x:v>943235.46</x:v>
      </x:c>
      <x:c r="D28" s="440">
        <x:v>45288</x:v>
      </x:c>
      <x:c r="E28" s="398">
        <x:f t="shared" si="0"/>
        <x:v>0</x:v>
      </x:c>
      <x:c r="F28" s="74">
        <x:f t="shared" si="1"/>
        <x:v>0</x:v>
      </x:c>
    </x:row>
    <x:row r="29" spans="1:6" x14ac:dyDescent="0.25">
      <x:c r="A29" s="638" t="s">
        <x:v>1021</x:v>
      </x:c>
      <x:c r="B29" s="440">
        <x:v>45289</x:v>
      </x:c>
      <x:c r="C29" s="178">
        <x:v>11980.34</x:v>
      </x:c>
      <x:c r="D29" s="440">
        <x:v>45289</x:v>
      </x:c>
      <x:c r="E29" s="398">
        <x:f t="shared" si="0"/>
        <x:v>0</x:v>
      </x:c>
      <x:c r="F29" s="74">
        <x:f t="shared" si="1"/>
        <x:v>0</x:v>
      </x:c>
    </x:row>
    <x:row r="30" spans="1:6" x14ac:dyDescent="0.25">
      <x:c r="A30" s="638" t="s">
        <x:v>1022</x:v>
      </x:c>
      <x:c r="B30" s="440">
        <x:v>45302</x:v>
      </x:c>
      <x:c r="C30" s="178">
        <x:v>1331464.1299999999</x:v>
      </x:c>
      <x:c r="D30" s="440">
        <x:v>45302</x:v>
      </x:c>
      <x:c r="E30" s="398">
        <x:f t="shared" si="0"/>
        <x:v>0</x:v>
      </x:c>
      <x:c r="F30" s="74">
        <x:f t="shared" si="1"/>
        <x:v>0</x:v>
      </x:c>
    </x:row>
    <x:row r="31" spans="1:6" x14ac:dyDescent="0.25">
      <x:c r="A31" s="638" t="s">
        <x:v>1023</x:v>
      </x:c>
      <x:c r="B31" s="440">
        <x:v>45309</x:v>
      </x:c>
      <x:c r="C31" s="178">
        <x:v>1176.44</x:v>
      </x:c>
      <x:c r="D31" s="440">
        <x:v>45309</x:v>
      </x:c>
      <x:c r="E31" s="398">
        <x:f t="shared" si="0"/>
        <x:v>0</x:v>
      </x:c>
      <x:c r="F31" s="74">
        <x:f t="shared" si="1"/>
        <x:v>0</x:v>
      </x:c>
    </x:row>
    <x:row r="32" spans="1:6" x14ac:dyDescent="0.25">
      <x:c r="A32" s="638" t="s">
        <x:v>1024</x:v>
      </x:c>
      <x:c r="B32" s="440">
        <x:v>45303</x:v>
      </x:c>
      <x:c r="C32" s="178">
        <x:v>121493.95999999999</x:v>
      </x:c>
      <x:c r="D32" s="440">
        <x:v>45303</x:v>
      </x:c>
      <x:c r="E32" s="398">
        <x:f t="shared" si="0"/>
        <x:v>0</x:v>
      </x:c>
      <x:c r="F32" s="74">
        <x:f t="shared" si="1"/>
        <x:v>0</x:v>
      </x:c>
    </x:row>
    <x:row r="33" spans="1:6" x14ac:dyDescent="0.25">
      <x:c r="A33" s="638" t="s">
        <x:v>1025</x:v>
      </x:c>
      <x:c r="B33" s="440">
        <x:v>45307</x:v>
      </x:c>
      <x:c r="C33" s="178">
        <x:v>16519.82</x:v>
      </x:c>
      <x:c r="D33" s="440">
        <x:v>45307</x:v>
      </x:c>
      <x:c r="E33" s="398">
        <x:f t="shared" si="0"/>
        <x:v>0</x:v>
      </x:c>
      <x:c r="F33" s="74">
        <x:f t="shared" si="1"/>
        <x:v>0</x:v>
      </x:c>
    </x:row>
    <x:row r="34" spans="1:6" x14ac:dyDescent="0.25">
      <x:c r="A34" s="638" t="s">
        <x:v>1026</x:v>
      </x:c>
      <x:c r="B34" s="440">
        <x:v>45316</x:v>
      </x:c>
      <x:c r="C34" s="178">
        <x:v>1633585.1600000001</x:v>
      </x:c>
      <x:c r="D34" s="440">
        <x:v>45316</x:v>
      </x:c>
      <x:c r="E34" s="398">
        <x:f t="shared" si="0"/>
        <x:v>0</x:v>
      </x:c>
      <x:c r="F34" s="74">
        <x:f t="shared" si="1"/>
        <x:v>0</x:v>
      </x:c>
    </x:row>
    <x:row r="35" spans="1:6" x14ac:dyDescent="0.25">
      <x:c r="A35" s="638" t="s">
        <x:v>1027</x:v>
      </x:c>
      <x:c r="B35" s="440">
        <x:v>45323</x:v>
      </x:c>
      <x:c r="C35" s="178">
        <x:v>12767.74</x:v>
      </x:c>
      <x:c r="D35" s="440">
        <x:v>45323</x:v>
      </x:c>
      <x:c r="E35" s="398">
        <x:f t="shared" si="0"/>
        <x:v>0</x:v>
      </x:c>
      <x:c r="F35" s="74">
        <x:f t="shared" si="1"/>
        <x:v>0</x:v>
      </x:c>
    </x:row>
    <x:row r="36" spans="1:6" x14ac:dyDescent="0.25">
      <x:c r="A36" s="638" t="s">
        <x:v>1028</x:v>
      </x:c>
      <x:c r="B36" s="440">
        <x:v>45330</x:v>
      </x:c>
      <x:c r="C36" s="178">
        <x:v>1360121.7000000002</x:v>
      </x:c>
      <x:c r="D36" s="440">
        <x:v>45330</x:v>
      </x:c>
      <x:c r="E36" s="398">
        <x:f t="shared" si="0"/>
        <x:v>0</x:v>
      </x:c>
      <x:c r="F36" s="74">
        <x:f t="shared" si="1"/>
        <x:v>0</x:v>
      </x:c>
    </x:row>
    <x:row r="37" spans="1:6" x14ac:dyDescent="0.25">
      <x:c r="A37" s="638" t="s">
        <x:v>1029</x:v>
      </x:c>
      <x:c r="B37" s="440">
        <x:v>45343</x:v>
      </x:c>
      <x:c r="C37" s="178">
        <x:v>70671.47</x:v>
      </x:c>
      <x:c r="D37" s="440">
        <x:v>45343</x:v>
      </x:c>
      <x:c r="E37" s="398">
        <x:f t="shared" si="0"/>
        <x:v>0</x:v>
      </x:c>
      <x:c r="F37" s="74">
        <x:f t="shared" si="1"/>
        <x:v>0</x:v>
      </x:c>
    </x:row>
    <x:row r="38" spans="1:6" x14ac:dyDescent="0.25">
      <x:c r="A38" s="638" t="s">
        <x:v>1030</x:v>
      </x:c>
      <x:c r="B38" s="440">
        <x:v>45337</x:v>
      </x:c>
      <x:c r="C38" s="178">
        <x:v>825.32</x:v>
      </x:c>
      <x:c r="D38" s="440">
        <x:v>45337</x:v>
      </x:c>
      <x:c r="E38" s="398">
        <x:f t="shared" si="0"/>
        <x:v>0</x:v>
      </x:c>
      <x:c r="F38" s="74">
        <x:f t="shared" si="1"/>
        <x:v>0</x:v>
      </x:c>
    </x:row>
    <x:row r="39" spans="1:6" x14ac:dyDescent="0.25">
      <x:c r="A39" s="638" t="s">
        <x:v>1031</x:v>
      </x:c>
      <x:c r="B39" s="440">
        <x:v>45344</x:v>
      </x:c>
      <x:c r="C39" s="178">
        <x:v>1380284.0899999999</x:v>
      </x:c>
      <x:c r="D39" s="440">
        <x:v>45344</x:v>
      </x:c>
      <x:c r="E39" s="398">
        <x:f t="shared" si="0"/>
        <x:v>0</x:v>
      </x:c>
      <x:c r="F39" s="74">
        <x:f t="shared" si="1"/>
        <x:v>0</x:v>
      </x:c>
    </x:row>
    <x:row r="40" spans="1:6" x14ac:dyDescent="0.25">
      <x:c r="A40" s="638" t="s">
        <x:v>1032</x:v>
      </x:c>
      <x:c r="B40" s="440">
        <x:v>45348</x:v>
      </x:c>
      <x:c r="C40" s="178">
        <x:v>344.5</x:v>
      </x:c>
      <x:c r="D40" s="440">
        <x:v>45348</x:v>
      </x:c>
      <x:c r="E40" s="398">
        <x:f t="shared" si="0"/>
        <x:v>0</x:v>
      </x:c>
      <x:c r="F40" s="74">
        <x:f t="shared" si="1"/>
        <x:v>0</x:v>
      </x:c>
    </x:row>
    <x:row r="41" spans="1:6" x14ac:dyDescent="0.25">
      <x:c r="A41" s="638" t="s">
        <x:v>1033</x:v>
      </x:c>
      <x:c r="B41" s="440">
        <x:v>45358</x:v>
      </x:c>
      <x:c r="C41" s="178">
        <x:v>1348510</x:v>
      </x:c>
      <x:c r="D41" s="440">
        <x:v>45358</x:v>
      </x:c>
      <x:c r="E41" s="398">
        <x:f t="shared" si="0"/>
        <x:v>0</x:v>
      </x:c>
      <x:c r="F41" s="74">
        <x:f t="shared" si="1"/>
        <x:v>0</x:v>
      </x:c>
    </x:row>
    <x:row r="42" spans="1:6" x14ac:dyDescent="0.25">
      <x:c r="A42" s="638" t="s">
        <x:v>1034</x:v>
      </x:c>
      <x:c r="B42" s="440">
        <x:v>45359</x:v>
      </x:c>
      <x:c r="C42" s="178">
        <x:v>4246234.0999999996</x:v>
      </x:c>
      <x:c r="D42" s="440">
        <x:v>45359</x:v>
      </x:c>
      <x:c r="E42" s="398">
        <x:f t="shared" si="0"/>
        <x:v>0</x:v>
      </x:c>
      <x:c r="F42" s="74">
        <x:f t="shared" si="1"/>
        <x:v>0</x:v>
      </x:c>
    </x:row>
    <x:row r="43" spans="1:6" x14ac:dyDescent="0.25">
      <x:c r="A43" s="638" t="s">
        <x:v>1035</x:v>
      </x:c>
      <x:c r="B43" s="440">
        <x:v>45373</x:v>
      </x:c>
      <x:c r="C43" s="178">
        <x:v>143226.79999999999</x:v>
      </x:c>
      <x:c r="D43" s="440">
        <x:v>45373</x:v>
      </x:c>
      <x:c r="E43" s="398">
        <x:f t="shared" si="0"/>
        <x:v>0</x:v>
      </x:c>
      <x:c r="F43" s="74">
        <x:f t="shared" si="1"/>
        <x:v>0</x:v>
      </x:c>
    </x:row>
    <x:row r="44" spans="1:6" x14ac:dyDescent="0.25">
      <x:c r="A44" s="638" t="s">
        <x:v>1036</x:v>
      </x:c>
      <x:c r="B44" s="440">
        <x:v>45372</x:v>
      </x:c>
      <x:c r="C44" s="178">
        <x:v>1353780.35</x:v>
      </x:c>
      <x:c r="D44" s="440">
        <x:v>45372</x:v>
      </x:c>
      <x:c r="E44" s="398">
        <x:f t="shared" si="0"/>
        <x:v>0</x:v>
      </x:c>
      <x:c r="F44" s="74">
        <x:f t="shared" si="1"/>
        <x:v>0</x:v>
      </x:c>
    </x:row>
    <x:row r="45" spans="1:6" x14ac:dyDescent="0.25">
      <x:c r="A45" s="638" t="s">
        <x:v>1037</x:v>
      </x:c>
      <x:c r="B45" s="440">
        <x:v>45379</x:v>
      </x:c>
      <x:c r="C45" s="178">
        <x:v>825.28</x:v>
      </x:c>
      <x:c r="D45" s="440">
        <x:v>45379</x:v>
      </x:c>
      <x:c r="E45" s="398">
        <x:f t="shared" si="0"/>
        <x:v>0</x:v>
      </x:c>
      <x:c r="F45" s="74">
        <x:f t="shared" si="1"/>
        <x:v>0</x:v>
      </x:c>
    </x:row>
    <x:row r="46" spans="1:6" x14ac:dyDescent="0.25">
      <x:c r="A46" s="638" t="s">
        <x:v>1038</x:v>
      </x:c>
      <x:c r="B46" s="440">
        <x:v>45383</x:v>
      </x:c>
      <x:c r="C46" s="178">
        <x:v>109.28</x:v>
      </x:c>
      <x:c r="D46" s="440">
        <x:v>45383</x:v>
      </x:c>
      <x:c r="E46" s="398">
        <x:f t="shared" si="0"/>
        <x:v>0</x:v>
      </x:c>
      <x:c r="F46" s="74">
        <x:f t="shared" si="1"/>
        <x:v>0</x:v>
      </x:c>
    </x:row>
    <x:row r="47" spans="1:6" x14ac:dyDescent="0.25">
      <x:c r="A47" s="638" t="s">
        <x:v>1039</x:v>
      </x:c>
      <x:c r="B47" s="440">
        <x:v>45386</x:v>
      </x:c>
      <x:c r="C47" s="178">
        <x:v>1366699.23</x:v>
      </x:c>
      <x:c r="D47" s="440">
        <x:v>45386</x:v>
      </x:c>
      <x:c r="E47" s="398">
        <x:f t="shared" si="0"/>
        <x:v>0</x:v>
      </x:c>
      <x:c r="F47" s="74">
        <x:f t="shared" si="1"/>
        <x:v>0</x:v>
      </x:c>
    </x:row>
    <x:row r="48" spans="1:6" x14ac:dyDescent="0.25">
      <x:c r="A48" s="638" t="s">
        <x:v>1040</x:v>
      </x:c>
      <x:c r="B48" s="440">
        <x:v>45392</x:v>
      </x:c>
      <x:c r="C48" s="178">
        <x:v>53.5</x:v>
      </x:c>
      <x:c r="D48" s="440">
        <x:v>45392</x:v>
      </x:c>
      <x:c r="E48" s="398">
        <x:f t="shared" si="0"/>
        <x:v>0</x:v>
      </x:c>
      <x:c r="F48" s="74">
        <x:f t="shared" si="1"/>
        <x:v>0</x:v>
      </x:c>
    </x:row>
    <x:row r="49" spans="1:6" x14ac:dyDescent="0.25">
      <x:c r="A49" s="638" t="s">
        <x:v>1041</x:v>
      </x:c>
      <x:c r="B49" s="440">
        <x:v>45394</x:v>
      </x:c>
      <x:c r="C49" s="178">
        <x:v>25.759999999999998</x:v>
      </x:c>
      <x:c r="D49" s="440">
        <x:v>45394</x:v>
      </x:c>
      <x:c r="E49" s="398">
        <x:f t="shared" si="0"/>
        <x:v>0</x:v>
      </x:c>
      <x:c r="F49" s="74">
        <x:f t="shared" si="1"/>
        <x:v>0</x:v>
      </x:c>
    </x:row>
    <x:row r="50" spans="1:6" x14ac:dyDescent="0.25">
      <x:c r="A50" s="638" t="s">
        <x:v>1042</x:v>
      </x:c>
      <x:c r="B50" s="440">
        <x:v>45400</x:v>
      </x:c>
      <x:c r="C50" s="178">
        <x:v>1433521.16</x:v>
      </x:c>
      <x:c r="D50" s="440">
        <x:v>45400</x:v>
      </x:c>
      <x:c r="E50" s="398">
        <x:f t="shared" si="0"/>
        <x:v>0</x:v>
      </x:c>
      <x:c r="F50" s="74">
        <x:f t="shared" si="1"/>
        <x:v>0</x:v>
      </x:c>
    </x:row>
    <x:row r="51" spans="1:6" x14ac:dyDescent="0.25">
      <x:c r="A51" s="638" t="s">
        <x:v>1043</x:v>
      </x:c>
      <x:c r="B51" s="440">
        <x:v>45407</x:v>
      </x:c>
      <x:c r="C51" s="178">
        <x:v>825.34</x:v>
      </x:c>
      <x:c r="D51" s="440">
        <x:v>45407</x:v>
      </x:c>
      <x:c r="E51" s="398">
        <x:f t="shared" si="0"/>
        <x:v>0</x:v>
      </x:c>
      <x:c r="F51" s="74">
        <x:f t="shared" si="1"/>
        <x:v>0</x:v>
      </x:c>
    </x:row>
    <x:row r="52" spans="1:6" x14ac:dyDescent="0.25">
      <x:c r="A52" s="638" t="s">
        <x:v>1044</x:v>
      </x:c>
      <x:c r="B52" s="440">
        <x:v>45414</x:v>
      </x:c>
      <x:c r="C52" s="178">
        <x:v>1437732.41</x:v>
      </x:c>
      <x:c r="D52" s="440">
        <x:v>45414</x:v>
      </x:c>
      <x:c r="E52" s="398">
        <x:f t="shared" si="0"/>
        <x:v>0</x:v>
      </x:c>
      <x:c r="F52" s="74">
        <x:f t="shared" si="1"/>
        <x:v>0</x:v>
      </x:c>
    </x:row>
    <x:row r="53" spans="1:6" x14ac:dyDescent="0.25">
      <x:c r="A53" s="638" t="s">
        <x:v>1045</x:v>
      </x:c>
      <x:c r="B53" s="440">
        <x:v>45413</x:v>
      </x:c>
      <x:c r="C53" s="178">
        <x:v>1082.46</x:v>
      </x:c>
      <x:c r="D53" s="440">
        <x:v>45413</x:v>
      </x:c>
      <x:c r="E53" s="398">
        <x:f t="shared" si="0"/>
        <x:v>0</x:v>
      </x:c>
      <x:c r="F53" s="74">
        <x:f t="shared" si="1"/>
        <x:v>0</x:v>
      </x:c>
    </x:row>
    <x:row r="54" spans="1:6" x14ac:dyDescent="0.25">
      <x:c r="A54" s="638" t="s">
        <x:v>1046</x:v>
      </x:c>
      <x:c r="B54" s="440">
        <x:v>45428</x:v>
      </x:c>
      <x:c r="C54" s="178">
        <x:v>1566238.45</x:v>
      </x:c>
      <x:c r="D54" s="440">
        <x:v>45428</x:v>
      </x:c>
      <x:c r="E54" s="398">
        <x:f t="shared" si="0"/>
        <x:v>0</x:v>
      </x:c>
      <x:c r="F54" s="74">
        <x:f t="shared" si="1"/>
        <x:v>0</x:v>
      </x:c>
    </x:row>
    <x:row r="55" spans="1:6" x14ac:dyDescent="0.25">
      <x:c r="A55" s="638" t="s">
        <x:v>1047</x:v>
      </x:c>
      <x:c r="B55" s="440">
        <x:v>45435</x:v>
      </x:c>
      <x:c r="C55" s="178">
        <x:v>825.27</x:v>
      </x:c>
      <x:c r="D55" s="440">
        <x:v>45435</x:v>
      </x:c>
      <x:c r="E55" s="398">
        <x:f t="shared" si="0"/>
        <x:v>0</x:v>
      </x:c>
      <x:c r="F55" s="74">
        <x:f t="shared" si="1"/>
        <x:v>0</x:v>
      </x:c>
    </x:row>
    <x:row r="56" spans="1:6" x14ac:dyDescent="0.25">
      <x:c r="A56" s="638" t="s">
        <x:v>1048</x:v>
      </x:c>
      <x:c r="B56" s="440">
        <x:v>45442</x:v>
      </x:c>
      <x:c r="C56" s="178">
        <x:v>1658899.18</x:v>
      </x:c>
      <x:c r="D56" s="440">
        <x:v>45442</x:v>
      </x:c>
      <x:c r="E56" s="398">
        <x:f t="shared" si="0"/>
        <x:v>0</x:v>
      </x:c>
      <x:c r="F56" s="74">
        <x:f t="shared" si="1"/>
        <x:v>0</x:v>
      </x:c>
    </x:row>
    <x:row r="57" spans="1:6" x14ac:dyDescent="0.25">
      <x:c r="A57" s="638" t="s">
        <x:v>1049</x:v>
      </x:c>
      <x:c r="B57" s="440">
        <x:v>45441</x:v>
      </x:c>
      <x:c r="C57" s="178">
        <x:v>3370.79</x:v>
      </x:c>
      <x:c r="D57" s="440">
        <x:v>45441</x:v>
      </x:c>
      <x:c r="E57" s="398">
        <x:f t="shared" si="0"/>
        <x:v>0</x:v>
      </x:c>
      <x:c r="F57" s="74">
        <x:f t="shared" si="1"/>
        <x:v>0</x:v>
      </x:c>
    </x:row>
    <x:row r="58" spans="1:6" x14ac:dyDescent="0.25">
      <x:c r="A58" s="638" t="s">
        <x:v>1050</x:v>
      </x:c>
      <x:c r="B58" s="440">
        <x:v>45456</x:v>
      </x:c>
      <x:c r="C58" s="178">
        <x:v>2149915.7800000003</x:v>
      </x:c>
      <x:c r="D58" s="440">
        <x:v>45456</x:v>
      </x:c>
      <x:c r="E58" s="398">
        <x:f t="shared" si="0"/>
        <x:v>0</x:v>
      </x:c>
      <x:c r="F58" s="74">
        <x:f t="shared" si="1"/>
        <x:v>0</x:v>
      </x:c>
    </x:row>
    <x:row r="59" spans="1:6" x14ac:dyDescent="0.25">
      <x:c r="A59" s="638" t="s">
        <x:v>1051</x:v>
      </x:c>
      <x:c r="B59" s="440">
        <x:v>45460</x:v>
      </x:c>
      <x:c r="C59" s="178">
        <x:v>229.5</x:v>
      </x:c>
      <x:c r="D59" s="440">
        <x:v>45460</x:v>
      </x:c>
      <x:c r="E59" s="398">
        <x:f t="shared" si="0"/>
        <x:v>0</x:v>
      </x:c>
      <x:c r="F59" s="74">
        <x:f t="shared" si="1"/>
        <x:v>0</x:v>
      </x:c>
    </x:row>
    <x:row r="60" spans="1:6" x14ac:dyDescent="0.25">
      <x:c r="A60" s="638" t="s">
        <x:v>1052</x:v>
      </x:c>
      <x:c r="B60" s="440">
        <x:v>45463</x:v>
      </x:c>
      <x:c r="C60" s="178">
        <x:v>691.26</x:v>
      </x:c>
      <x:c r="D60" s="440">
        <x:v>45463</x:v>
      </x:c>
      <x:c r="E60" s="398">
        <x:f t="shared" si="0"/>
        <x:v>0</x:v>
      </x:c>
      <x:c r="F60" s="74">
        <x:f t="shared" si="1"/>
        <x:v>0</x:v>
      </x:c>
    </x:row>
    <x:row r="61" spans="1:6" x14ac:dyDescent="0.25">
      <x:c r="A61" s="638" t="s">
        <x:v>1053</x:v>
      </x:c>
      <x:c r="B61" s="440">
        <x:v>45470</x:v>
      </x:c>
      <x:c r="C61" s="178">
        <x:v>1443898.85</x:v>
      </x:c>
      <x:c r="D61" s="440">
        <x:v>45470</x:v>
      </x:c>
      <x:c r="E61" s="398">
        <x:f t="shared" si="0"/>
        <x:v>0</x:v>
      </x:c>
      <x:c r="F61" s="74">
        <x:f t="shared" si="1"/>
        <x:v>0</x:v>
      </x:c>
    </x:row>
    <x:row r="62" spans="1:6" x14ac:dyDescent="0.25">
      <x:c r="A62" s="638" t="s">
        <x:v>1054</x:v>
      </x:c>
      <x:c r="B62" s="440">
        <x:v>45471</x:v>
      </x:c>
      <x:c r="C62" s="178">
        <x:v>18506.22</x:v>
      </x:c>
      <x:c r="D62" s="440">
        <x:v>45471</x:v>
      </x:c>
      <x:c r="E62" s="398">
        <x:f t="shared" si="0"/>
        <x:v>0</x:v>
      </x:c>
      <x:c r="F62" s="74">
        <x:f t="shared" si="1"/>
        <x:v>0</x:v>
      </x:c>
    </x:row>
    <x:row r="63" spans="1:6" x14ac:dyDescent="0.25">
      <x:c r="A63" s="638" t="s">
        <x:v>1055</x:v>
      </x:c>
      <x:c r="B63" s="440">
        <x:v>45484</x:v>
      </x:c>
      <x:c r="C63" s="178">
        <x:v>1417399.84</x:v>
      </x:c>
      <x:c r="D63" s="440">
        <x:v>45484</x:v>
      </x:c>
      <x:c r="E63" s="398">
        <x:f t="shared" si="0"/>
        <x:v>0</x:v>
      </x:c>
      <x:c r="F63" s="74">
        <x:f t="shared" si="1"/>
        <x:v>0</x:v>
      </x:c>
    </x:row>
    <x:row r="64" spans="1:6" x14ac:dyDescent="0.25">
      <x:c r="A64" s="638" t="s">
        <x:v>1056</x:v>
      </x:c>
      <x:c r="B64" s="440">
        <x:v>45490</x:v>
      </x:c>
      <x:c r="C64" s="178">
        <x:v>285.46000000000004</x:v>
      </x:c>
      <x:c r="D64" s="440">
        <x:v>45490</x:v>
      </x:c>
      <x:c r="E64" s="398">
        <x:f t="shared" si="0"/>
        <x:v>0</x:v>
      </x:c>
      <x:c r="F64" s="74">
        <x:f t="shared" si="1"/>
        <x:v>0</x:v>
      </x:c>
    </x:row>
    <x:row r="65" spans="1:6" x14ac:dyDescent="0.25">
      <x:c r="A65" s="638" t="s">
        <x:v>1057</x:v>
      </x:c>
      <x:c r="B65" s="440">
        <x:v>45498</x:v>
      </x:c>
      <x:c r="C65" s="178">
        <x:v>1491010.97</x:v>
      </x:c>
      <x:c r="D65" s="440">
        <x:v>45498</x:v>
      </x:c>
      <x:c r="E65" s="398">
        <x:f t="shared" si="0"/>
        <x:v>0</x:v>
      </x:c>
      <x:c r="F65" s="74">
        <x:f t="shared" si="1"/>
        <x:v>0</x:v>
      </x:c>
    </x:row>
    <x:row r="66" spans="1:6" x14ac:dyDescent="0.25">
      <x:c r="A66" s="638" t="s">
        <x:v>1058</x:v>
      </x:c>
      <x:c r="B66" s="440">
        <x:v>45503</x:v>
      </x:c>
      <x:c r="C66" s="178">
        <x:v>837.79</x:v>
      </x:c>
      <x:c r="D66" s="440">
        <x:v>45503</x:v>
      </x:c>
      <x:c r="E66" s="398">
        <x:f t="shared" si="0"/>
        <x:v>0</x:v>
      </x:c>
      <x:c r="F66" s="74">
        <x:f t="shared" si="1"/>
        <x:v>0</x:v>
      </x:c>
    </x:row>
    <x:row r="67" spans="1:6" x14ac:dyDescent="0.25">
      <x:c r="A67" s="638" t="s">
        <x:v>1059</x:v>
      </x:c>
      <x:c r="B67" s="440">
        <x:v>45504</x:v>
      </x:c>
      <x:c r="C67" s="178">
        <x:v>4667.01</x:v>
      </x:c>
      <x:c r="D67" s="440">
        <x:v>45504</x:v>
      </x:c>
      <x:c r="E67" s="398">
        <x:f t="shared" si="0"/>
        <x:v>0</x:v>
      </x:c>
      <x:c r="F67" s="74">
        <x:f t="shared" si="1"/>
        <x:v>0</x:v>
      </x:c>
    </x:row>
    <x:row r="68" spans="1:6" x14ac:dyDescent="0.25">
      <x:c r="A68" s="638" t="s">
        <x:v>1060</x:v>
      </x:c>
      <x:c r="B68" s="440">
        <x:v>45512</x:v>
      </x:c>
      <x:c r="C68" s="178">
        <x:v>1354976.2799999998</x:v>
      </x:c>
      <x:c r="D68" s="440">
        <x:v>45512</x:v>
      </x:c>
      <x:c r="E68" s="398">
        <x:f t="shared" si="0"/>
        <x:v>0</x:v>
      </x:c>
      <x:c r="F68" s="74">
        <x:f t="shared" si="1"/>
        <x:v>0</x:v>
      </x:c>
    </x:row>
    <x:row r="69" spans="1:6" x14ac:dyDescent="0.25">
      <x:c r="A69" s="638" t="s">
        <x:v>1061</x:v>
      </x:c>
      <x:c r="B69" s="440">
        <x:v>45519</x:v>
      </x:c>
      <x:c r="C69" s="178">
        <x:v>40.85</x:v>
      </x:c>
      <x:c r="D69" s="440">
        <x:v>45519</x:v>
      </x:c>
      <x:c r="E69" s="398">
        <x:f t="shared" si="0"/>
        <x:v>0</x:v>
      </x:c>
      <x:c r="F69" s="74">
        <x:f t="shared" si="1"/>
        <x:v>0</x:v>
      </x:c>
    </x:row>
    <x:row r="70" spans="1:6" x14ac:dyDescent="0.25">
      <x:c r="A70" s="638" t="s">
        <x:v>1062</x:v>
      </x:c>
      <x:c r="B70" s="440">
        <x:v>45526</x:v>
      </x:c>
      <x:c r="C70" s="178">
        <x:v>1670012.71</x:v>
      </x:c>
      <x:c r="D70" s="440">
        <x:v>45526</x:v>
      </x:c>
      <x:c r="E70" s="398">
        <x:f t="shared" si="0"/>
        <x:v>0</x:v>
      </x:c>
      <x:c r="F70" s="74">
        <x:f t="shared" si="1"/>
        <x:v>0</x:v>
      </x:c>
    </x:row>
    <x:row r="71" spans="1:6" x14ac:dyDescent="0.25">
      <x:c r="A71" s="638" t="s">
        <x:v>1063</x:v>
      </x:c>
      <x:c r="B71" s="440">
        <x:v>45532</x:v>
      </x:c>
      <x:c r="C71" s="178">
        <x:v>837.78</x:v>
      </x:c>
      <x:c r="D71" s="440">
        <x:v>45532</x:v>
      </x:c>
      <x:c r="E71" s="398">
        <x:f t="shared" si="0"/>
        <x:v>0</x:v>
      </x:c>
      <x:c r="F71" s="74">
        <x:f t="shared" si="1"/>
        <x:v>0</x:v>
      </x:c>
    </x:row>
    <x:row r="72" spans="1:6" x14ac:dyDescent="0.25">
      <x:c r="A72" s="638" t="s">
        <x:v>1064</x:v>
      </x:c>
      <x:c r="B72" s="440">
        <x:v>45533</x:v>
      </x:c>
      <x:c r="C72" s="178">
        <x:v>7307.74</x:v>
      </x:c>
      <x:c r="D72" s="440">
        <x:v>45533</x:v>
      </x:c>
      <x:c r="E72" s="398">
        <x:f t="shared" si="0"/>
        <x:v>0</x:v>
      </x:c>
      <x:c r="F72" s="74">
        <x:f t="shared" si="1"/>
        <x:v>0</x:v>
      </x:c>
    </x:row>
    <x:row r="73" spans="1:6" x14ac:dyDescent="0.25">
      <x:c r="A73" s="638" t="s">
        <x:v>1065</x:v>
      </x:c>
      <x:c r="B73" s="440">
        <x:v>45540</x:v>
      </x:c>
      <x:c r="C73" s="178">
        <x:v>1235889.95</x:v>
      </x:c>
      <x:c r="D73" s="440">
        <x:v>45540</x:v>
      </x:c>
      <x:c r="E73" s="398">
        <x:f t="shared" si="0"/>
        <x:v>0</x:v>
      </x:c>
      <x:c r="F73" s="74">
        <x:f t="shared" si="1"/>
        <x:v>0</x:v>
      </x:c>
    </x:row>
    <x:row r="74" spans="1:6" x14ac:dyDescent="0.25">
      <x:c r="A74" s="638" t="s">
        <x:v>1066</x:v>
      </x:c>
      <x:c r="B74" s="440">
        <x:v>45541</x:v>
      </x:c>
      <x:c r="C74" s="178">
        <x:v>95274.21</x:v>
      </x:c>
      <x:c r="D74" s="440">
        <x:v>45541</x:v>
      </x:c>
      <x:c r="E74" s="398">
        <x:f t="shared" si="0"/>
        <x:v>0</x:v>
      </x:c>
      <x:c r="F74" s="74">
        <x:f t="shared" si="1"/>
        <x:v>0</x:v>
      </x:c>
    </x:row>
    <x:row r="75" spans="1:6" x14ac:dyDescent="0.25">
      <x:c r="A75" s="638" t="s">
        <x:v>989</x:v>
      </x:c>
      <x:c r="B75" s="440">
        <x:v>45547</x:v>
      </x:c>
      <x:c r="C75" s="178">
        <x:v>65.7</x:v>
      </x:c>
      <x:c r="D75" s="440">
        <x:v>45547</x:v>
      </x:c>
      <x:c r="E75" s="398">
        <x:f t="shared" ref="E75:E77" si="2">IF(C75=0,0,-(D75-B75))</x:f>
        <x:v>0</x:v>
      </x:c>
      <x:c r="F75" s="74">
        <x:f t="shared" ref="F75:F77" si="3">C75*E75</x:f>
        <x:v>0</x:v>
      </x:c>
    </x:row>
    <x:row r="76" spans="1:6" x14ac:dyDescent="0.25">
      <x:c r="A76" s="638" t="s">
        <x:v>990</x:v>
      </x:c>
      <x:c r="B76" s="440">
        <x:v>45551</x:v>
      </x:c>
      <x:c r="C76" s="178">
        <x:v>2659.53</x:v>
      </x:c>
      <x:c r="D76" s="440">
        <x:v>45551</x:v>
      </x:c>
      <x:c r="E76" s="398">
        <x:f t="shared" si="2"/>
        <x:v>0</x:v>
      </x:c>
      <x:c r="F76" s="74">
        <x:f t="shared" si="3"/>
        <x:v>0</x:v>
      </x:c>
    </x:row>
    <x:row r="77" spans="1:6" x14ac:dyDescent="0.25">
      <x:c r="A77" s="638" t="s">
        <x:v>991</x:v>
      </x:c>
      <x:c r="B77" s="440">
        <x:v>45554</x:v>
      </x:c>
      <x:c r="C77" s="178">
        <x:v>1248723.93</x:v>
      </x:c>
      <x:c r="D77" s="440">
        <x:v>45554</x:v>
      </x:c>
      <x:c r="E77" s="398">
        <x:f t="shared" si="2"/>
        <x:v>0</x:v>
      </x:c>
      <x:c r="F77" s="74">
        <x:f t="shared" si="3"/>
        <x:v>0</x:v>
      </x:c>
    </x:row>
    <x:row r="78" spans="1:6" x14ac:dyDescent="0.25">
      <x:c r="A78" s="638" t="s">
        <x:v>992</x:v>
      </x:c>
      <x:c r="B78" s="440"/>
      <x:c r="C78" s="246"/>
      <x:c r="D78" s="440"/>
      <x:c r="E78" s="398"/>
      <x:c r="F78" s="29"/>
    </x:row>
    <x:row r="79" spans="1:6" ht="13.25" thickBot="1" x14ac:dyDescent="0.3">
      <x:c r="A79" s="638" t="s">
        <x:v>993</x:v>
      </x:c>
      <x:c r="B79" s="188" t="s">
        <x:v>26</x:v>
      </x:c>
      <x:c r="C79" s="399">
        <x:f>SUM(C10:C77)</x:f>
        <x:v>39300507.090000026</x:v>
      </x:c>
      <x:c r="E79" s="400">
        <x:f>ROUND(F79/C79,2)</x:f>
        <x:v>0</x:v>
      </x:c>
      <x:c r="F79" s="399">
        <x:f>SUM(F10:F77)</x:f>
        <x:v>0</x:v>
      </x:c>
    </x:row>
    <x:row r="80" spans="1:6" ht="13.25" thickTop="1" x14ac:dyDescent="0.25">
      <x:c r="A80" s="638" t="s">
        <x:v>994</x:v>
      </x:c>
      <x:c r="C80" s="196"/>
      <x:c r="E80" s="161"/>
      <x:c r="F80" s="45"/>
    </x:row>
    <x:row r="81" spans="1:6" x14ac:dyDescent="0.25">
      <x:c r="A81" s="638" t="s">
        <x:v>995</x:v>
      </x:c>
      <x:c r="B81" s="637" t="s">
        <x:v>497</x:v>
      </x:c>
      <x:c r="C81" s="196"/>
      <x:c r="E81" s="401">
        <x:f>+ROUND(C79/365.25,0)</x:f>
        <x:v>107599</x:v>
      </x:c>
      <x:c r="F81" s="45"/>
    </x:row>
    <x:row r="82" spans="1:6" x14ac:dyDescent="0.25">
      <x:c r="A82" s="638" t="s">
        <x:v>996</x:v>
      </x:c>
      <x:c r="B82" s="188"/>
      <x:c r="C82" s="196"/>
      <x:c r="E82" s="162"/>
      <x:c r="F82" s="45"/>
    </x:row>
    <x:row r="83" spans="1:6" x14ac:dyDescent="0.25">
      <x:c r="A83" s="638" t="s">
        <x:v>997</x:v>
      </x:c>
      <x:c r="B83" s="636" t="s">
        <x:v>498</x:v>
      </x:c>
      <x:c r="C83" s="231"/>
      <x:c r="E83" s="446">
        <x:f>+E79</x:f>
        <x:v>0</x:v>
      </x:c>
      <x:c r="F83" s="45"/>
    </x:row>
    <x:row r="84" spans="1:6" x14ac:dyDescent="0.25">
      <x:c r="A84" s="638" t="s">
        <x:v>998</x:v>
      </x:c>
    </x:row>
    <x:row r="85" spans="1:6" ht="13.25" thickBot="1" x14ac:dyDescent="0.3">
      <x:c r="A85" s="638" t="s">
        <x:v>999</x:v>
      </x:c>
      <x:c r="B85" s="636" t="s">
        <x:v>499</x:v>
      </x:c>
      <x:c r="C85" s="190"/>
      <x:c r="E85" s="402">
        <x:f>+ROUND(E81*E83,0)</x:f>
        <x:v>0</x:v>
      </x:c>
    </x:row>
    <x:row r="86" spans="1:6" ht="13.25" thickTop="1" x14ac:dyDescent="0.25">
      <x:c r="A86" s="638" t="s">
        <x:v>1000</x:v>
      </x:c>
    </x:row>
    <x:row r="87" spans="1:6" x14ac:dyDescent="0.25">
      <x:c r="A87" s="638" t="s">
        <x:v>1001</x:v>
      </x:c>
      <x:c r="B87" s="31" t="s">
        <x:v>230</x:v>
      </x:c>
      <x:c r="C87" s="290" t="s">
        <x:v>447</x:v>
      </x:c>
    </x:row>
    <x:row r="88" spans="1:6" x14ac:dyDescent="0.25">
      <x:c r="A88" s="3"/>
    </x:row>
  </x:sheetData>
  <x:mergeCells count="1">
    <x:mergeCell ref="A3:D3"/>
  </x:mergeCells>
  <x:phoneticPr fontId="0" type="noConversion"/>
  <x:hyperlinks>
    <x:hyperlink ref="C87" r:id="rId1" xr:uid="{00000000-0004-0000-2F00-000000000000}"/>
  </x:hyperlinks>
  <x:printOptions horizontalCentered="1"/>
  <x:pageMargins left="0.5" right="0.5" top="1.5" bottom="0.5" header="1" footer="0.5"/>
  <x:pageSetup fitToHeight="6" orientation="landscape" r:id="rId2"/>
  <x:headerFooter alignWithMargins="0">
    <x:oddHeader>&amp;RWP/II-B-9/&amp;A
Page &amp;P of &amp;N</x:oddHeader>
  </x:headerFooter>
</x:worksheet>
</file>

<file path=xl/worksheets/sheet4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000-000000000000}" mc:Ignorable="x14ac xr xr2 xr3">
  <x:sheetPr codeName="Sheet11">
    <x:tabColor rgb="FF92D050"/>
    <x:pageSetUpPr fitToPage="1"/>
  </x:sheetPr>
  <x:dimension ref="A1:H60"/>
  <x:sheetViews>
    <x:sheetView topLeftCell="A34" zoomScaleNormal="100" workbookViewId="0">
      <x:selection activeCell="D37" sqref="D37"/>
    </x:sheetView>
  </x:sheetViews>
  <x:sheetFormatPr defaultColWidth="9.109375" defaultRowHeight="12.7" x14ac:dyDescent="0.25"/>
  <x:cols>
    <x:col min="1" max="1" width="6" style="1" customWidth="1"/>
    <x:col min="2" max="2" width="16.44140625" style="31" customWidth="1"/>
    <x:col min="3" max="3" width="15.88671875" style="31" bestFit="1" customWidth="1"/>
    <x:col min="4" max="4" width="14.44140625" style="31" customWidth="1"/>
    <x:col min="5" max="5" width="15.88671875" style="1" customWidth="1"/>
    <x:col min="6" max="6" width="22.44140625" style="1" customWidth="1"/>
    <x:col min="7" max="16384" width="9.109375" style="1"/>
  </x:cols>
  <x:sheetData>
    <x:row r="1" spans="1:8" s="41" customFormat="1" x14ac:dyDescent="0.25">
      <x:c r="A1" s="180" t="s">
        <x:v>523</x:v>
      </x:c>
      <x:c r="B1" s="183"/>
      <x:c r="C1" s="183"/>
      <x:c r="D1" s="183"/>
      <x:c r="E1" s="180"/>
    </x:row>
    <x:row r="2" spans="1:8" s="41" customFormat="1" x14ac:dyDescent="0.25">
      <x:c r="A2" s="180" t="str">
        <x:f>' '!A2</x:f>
        <x:v>ONCOR ELECTRIC DELIVERY COMPANY LLC</x:v>
      </x:c>
      <x:c r="B2" s="183"/>
      <x:c r="C2" s="183"/>
      <x:c r="D2" s="183"/>
      <x:c r="E2" s="180"/>
    </x:row>
    <x:row r="3" spans="1:8" s="41" customFormat="1" x14ac:dyDescent="0.25">
      <x:c r="A3" s="833" t="s">
        <x:v>162</x:v>
      </x:c>
      <x:c r="B3" s="833"/>
      <x:c r="C3" s="833"/>
      <x:c r="D3" s="833"/>
      <x:c r="E3" s="833"/>
      <x:c r="F3" s="833"/>
    </x:row>
    <x:row r="4" spans="1:8" s="41" customFormat="1" x14ac:dyDescent="0.25">
      <x:c r="A4" s="767" t="s">
        <x:v>524</x:v>
      </x:c>
      <x:c r="B4" s="183"/>
      <x:c r="C4" s="183"/>
      <x:c r="D4" s="183"/>
      <x:c r="E4" s="180"/>
    </x:row>
    <x:row r="5" spans="1:8" s="41" customFormat="1" x14ac:dyDescent="0.25">
      <x:c r="A5" s="180" t="s">
        <x:v>486</x:v>
      </x:c>
      <x:c r="B5" s="183"/>
      <x:c r="C5" s="183"/>
      <x:c r="D5" s="183"/>
      <x:c r="E5" s="180"/>
      <x:c r="H5" s="41" t="s">
        <x:v>464</x:v>
      </x:c>
    </x:row>
    <x:row r="7" spans="1:8" ht="25.35" x14ac:dyDescent="0.25">
      <x:c r="A7" s="32" t="s">
        <x:v>40</x:v>
      </x:c>
      <x:c r="B7" s="189" t="s">
        <x:v>152</x:v>
      </x:c>
      <x:c r="C7" s="189" t="s">
        <x:v>155</x:v>
      </x:c>
      <x:c r="D7" s="189" t="s">
        <x:v>154</x:v>
      </x:c>
      <x:c r="E7" s="32" t="s">
        <x:v>44</x:v>
      </x:c>
      <x:c r="F7" s="160" t="s">
        <x:v>38</x:v>
      </x:c>
      <x:c r="G7" s="26"/>
    </x:row>
    <x:row r="8" spans="1:8" x14ac:dyDescent="0.25">
      <x:c r="A8" s="38"/>
      <x:c r="B8" s="51" t="s">
        <x:v>50</x:v>
      </x:c>
      <x:c r="C8" s="51" t="s">
        <x:v>51</x:v>
      </x:c>
      <x:c r="D8" s="51" t="s">
        <x:v>57</x:v>
      </x:c>
      <x:c r="E8" s="40" t="s">
        <x:v>52</x:v>
      </x:c>
      <x:c r="F8" s="40" t="s">
        <x:v>53</x:v>
      </x:c>
      <x:c r="G8" s="26"/>
    </x:row>
    <x:row r="9" spans="1:8" x14ac:dyDescent="0.25">
      <x:c r="A9" s="22"/>
      <x:c r="B9" s="192"/>
      <x:c r="C9" s="192"/>
      <x:c r="D9" s="192"/>
      <x:c r="E9" s="25"/>
      <x:c r="F9" s="163"/>
    </x:row>
    <x:row r="10" spans="1:8" x14ac:dyDescent="0.25">
      <x:c r="A10" s="3">
        <x:v>1</x:v>
      </x:c>
      <x:c r="B10" s="440">
        <x:v>45211</x:v>
      </x:c>
      <x:c r="C10" s="178">
        <x:v>928731.8</x:v>
      </x:c>
      <x:c r="D10" s="440">
        <x:v>45211</x:v>
      </x:c>
      <x:c r="E10" s="398">
        <x:f t="shared" ref="E10:E37" si="0">IF(C10=0,0,-(D10-B10))</x:f>
        <x:v>0</x:v>
      </x:c>
      <x:c r="F10" s="178">
        <x:f t="shared" ref="F10:F34" si="1">C10*E10</x:f>
        <x:v>0</x:v>
      </x:c>
    </x:row>
    <x:row r="11" spans="1:8" x14ac:dyDescent="0.25">
      <x:c r="A11" s="3">
        <x:v>2</x:v>
      </x:c>
      <x:c r="B11" s="440">
        <x:v>45229</x:v>
      </x:c>
      <x:c r="C11" s="178">
        <x:v>1073045.49</x:v>
      </x:c>
      <x:c r="D11" s="440">
        <x:v>45229</x:v>
      </x:c>
      <x:c r="E11" s="398">
        <x:f t="shared" si="0"/>
        <x:v>0</x:v>
      </x:c>
      <x:c r="F11" s="246">
        <x:f t="shared" si="1"/>
        <x:v>0</x:v>
      </x:c>
    </x:row>
    <x:row r="12" spans="1:8" x14ac:dyDescent="0.25">
      <x:c r="A12" s="3">
        <x:v>3</x:v>
      </x:c>
      <x:c r="B12" s="440">
        <x:v>45244</x:v>
      </x:c>
      <x:c r="C12" s="178">
        <x:v>999102.95</x:v>
      </x:c>
      <x:c r="D12" s="440">
        <x:v>45244</x:v>
      </x:c>
      <x:c r="E12" s="398">
        <x:f t="shared" si="0"/>
        <x:v>0</x:v>
      </x:c>
      <x:c r="F12" s="246">
        <x:f t="shared" si="1"/>
        <x:v>0</x:v>
      </x:c>
    </x:row>
    <x:row r="13" spans="1:8" x14ac:dyDescent="0.25">
      <x:c r="A13" s="3">
        <x:v>4</x:v>
      </x:c>
      <x:c r="B13" s="440">
        <x:v>45259</x:v>
      </x:c>
      <x:c r="C13" s="178">
        <x:v>1021304.1</x:v>
      </x:c>
      <x:c r="D13" s="440">
        <x:v>45259</x:v>
      </x:c>
      <x:c r="E13" s="398">
        <x:f t="shared" si="0"/>
        <x:v>0</x:v>
      </x:c>
      <x:c r="F13" s="246">
        <x:f t="shared" si="1"/>
        <x:v>0</x:v>
      </x:c>
    </x:row>
    <x:row r="14" spans="1:8" x14ac:dyDescent="0.25">
      <x:c r="A14" s="3">
        <x:v>5</x:v>
      </x:c>
      <x:c r="B14" s="440">
        <x:v>45264</x:v>
      </x:c>
      <x:c r="C14" s="178">
        <x:v>10577.03</x:v>
      </x:c>
      <x:c r="D14" s="440">
        <x:v>45264</x:v>
      </x:c>
      <x:c r="E14" s="398">
        <x:f t="shared" si="0"/>
        <x:v>0</x:v>
      </x:c>
      <x:c r="F14" s="246">
        <x:f t="shared" si="1"/>
        <x:v>0</x:v>
      </x:c>
    </x:row>
    <x:row r="15" spans="1:8" x14ac:dyDescent="0.25">
      <x:c r="A15" s="3">
        <x:v>6</x:v>
      </x:c>
      <x:c r="B15" s="440">
        <x:v>45274</x:v>
      </x:c>
      <x:c r="C15" s="178">
        <x:v>1027991.5</x:v>
      </x:c>
      <x:c r="D15" s="440">
        <x:v>45274</x:v>
      </x:c>
      <x:c r="E15" s="398">
        <x:f t="shared" si="0"/>
        <x:v>0</x:v>
      </x:c>
      <x:c r="F15" s="246">
        <x:f t="shared" si="1"/>
        <x:v>0</x:v>
      </x:c>
    </x:row>
    <x:row r="16" spans="1:8" x14ac:dyDescent="0.25">
      <x:c r="A16" s="3">
        <x:v>7</x:v>
      </x:c>
      <x:c r="B16" s="440">
        <x:v>45288</x:v>
      </x:c>
      <x:c r="C16" s="178">
        <x:v>929633.73</x:v>
      </x:c>
      <x:c r="D16" s="440">
        <x:v>45288</x:v>
      </x:c>
      <x:c r="E16" s="398">
        <x:f t="shared" si="0"/>
        <x:v>0</x:v>
      </x:c>
      <x:c r="F16" s="246">
        <x:f t="shared" si="1"/>
        <x:v>0</x:v>
      </x:c>
    </x:row>
    <x:row r="17" spans="1:6" x14ac:dyDescent="0.25">
      <x:c r="A17" s="3">
        <x:v>8</x:v>
      </x:c>
      <x:c r="B17" s="440">
        <x:v>45289</x:v>
      </x:c>
      <x:c r="C17" s="178">
        <x:v>404.74</x:v>
      </x:c>
      <x:c r="D17" s="440">
        <x:v>45289</x:v>
      </x:c>
      <x:c r="E17" s="398">
        <x:f t="shared" si="0"/>
        <x:v>0</x:v>
      </x:c>
      <x:c r="F17" s="246">
        <x:f t="shared" si="1"/>
        <x:v>0</x:v>
      </x:c>
    </x:row>
    <x:row r="18" spans="1:6" x14ac:dyDescent="0.25">
      <x:c r="A18" s="3">
        <x:v>9</x:v>
      </x:c>
      <x:c r="B18" s="440">
        <x:v>45302</x:v>
      </x:c>
      <x:c r="C18" s="178">
        <x:v>657622.99</x:v>
      </x:c>
      <x:c r="D18" s="440">
        <x:v>45302</x:v>
      </x:c>
      <x:c r="E18" s="398">
        <x:f t="shared" si="0"/>
        <x:v>0</x:v>
      </x:c>
      <x:c r="F18" s="246">
        <x:f t="shared" si="1"/>
        <x:v>0</x:v>
      </x:c>
    </x:row>
    <x:row r="19" spans="1:6" x14ac:dyDescent="0.25">
      <x:c r="A19" s="3">
        <x:v>10</x:v>
      </x:c>
      <x:c r="B19" s="440">
        <x:v>45303</x:v>
      </x:c>
      <x:c r="C19" s="178">
        <x:v>143137.10999999999</x:v>
      </x:c>
      <x:c r="D19" s="440">
        <x:v>45303</x:v>
      </x:c>
      <x:c r="E19" s="398">
        <x:f t="shared" si="0"/>
        <x:v>0</x:v>
      </x:c>
      <x:c r="F19" s="246">
        <x:f t="shared" si="1"/>
        <x:v>0</x:v>
      </x:c>
    </x:row>
    <x:row r="20" spans="1:6" x14ac:dyDescent="0.25">
      <x:c r="A20" s="3">
        <x:v>11</x:v>
      </x:c>
      <x:c r="B20" s="440">
        <x:v>45316</x:v>
      </x:c>
      <x:c r="C20" s="178">
        <x:v>805288.56</x:v>
      </x:c>
      <x:c r="D20" s="440">
        <x:v>45316</x:v>
      </x:c>
      <x:c r="E20" s="398">
        <x:f t="shared" si="0"/>
        <x:v>0</x:v>
      </x:c>
      <x:c r="F20" s="246">
        <x:f t="shared" ref="F20:F29" si="2">C20*E20</x:f>
        <x:v>0</x:v>
      </x:c>
    </x:row>
    <x:row r="21" spans="1:6" x14ac:dyDescent="0.25">
      <x:c r="A21" s="3">
        <x:v>12</x:v>
      </x:c>
      <x:c r="B21" s="440">
        <x:v>45320</x:v>
      </x:c>
      <x:c r="C21" s="178">
        <x:v>9017.2099999999991</x:v>
      </x:c>
      <x:c r="D21" s="440">
        <x:v>45320</x:v>
      </x:c>
      <x:c r="E21" s="398">
        <x:f t="shared" si="0"/>
        <x:v>0</x:v>
      </x:c>
      <x:c r="F21" s="246">
        <x:f t="shared" si="2"/>
        <x:v>0</x:v>
      </x:c>
    </x:row>
    <x:row r="22" spans="1:6" x14ac:dyDescent="0.25">
      <x:c r="A22" s="3">
        <x:v>13</x:v>
      </x:c>
      <x:c r="B22" s="440">
        <x:v>45323</x:v>
      </x:c>
      <x:c r="C22" s="178">
        <x:v>3738.71</x:v>
      </x:c>
      <x:c r="D22" s="440">
        <x:v>45323</x:v>
      </x:c>
      <x:c r="E22" s="398">
        <x:f t="shared" si="0"/>
        <x:v>0</x:v>
      </x:c>
      <x:c r="F22" s="246">
        <x:f t="shared" si="2"/>
        <x:v>0</x:v>
      </x:c>
    </x:row>
    <x:row r="23" spans="1:6" x14ac:dyDescent="0.25">
      <x:c r="A23" s="3">
        <x:v>14</x:v>
      </x:c>
      <x:c r="B23" s="440">
        <x:v>45330</x:v>
      </x:c>
      <x:c r="C23" s="178">
        <x:v>845688.81</x:v>
      </x:c>
      <x:c r="D23" s="440">
        <x:v>45330</x:v>
      </x:c>
      <x:c r="E23" s="398">
        <x:f t="shared" si="0"/>
        <x:v>0</x:v>
      </x:c>
      <x:c r="F23" s="246">
        <x:f t="shared" si="2"/>
        <x:v>0</x:v>
      </x:c>
    </x:row>
    <x:row r="24" spans="1:6" x14ac:dyDescent="0.25">
      <x:c r="A24" s="3">
        <x:v>15</x:v>
      </x:c>
      <x:c r="B24" s="440">
        <x:v>45343</x:v>
      </x:c>
      <x:c r="C24" s="178">
        <x:v>113507.54</x:v>
      </x:c>
      <x:c r="D24" s="440">
        <x:v>45343</x:v>
      </x:c>
      <x:c r="E24" s="398">
        <x:f t="shared" si="0"/>
        <x:v>0</x:v>
      </x:c>
      <x:c r="F24" s="246">
        <x:f t="shared" si="2"/>
        <x:v>0</x:v>
      </x:c>
    </x:row>
    <x:row r="25" spans="1:6" x14ac:dyDescent="0.25">
      <x:c r="A25" s="3">
        <x:v>16</x:v>
      </x:c>
      <x:c r="B25" s="440">
        <x:v>45344</x:v>
      </x:c>
      <x:c r="C25" s="178">
        <x:v>803497.79</x:v>
      </x:c>
      <x:c r="D25" s="440">
        <x:v>45344</x:v>
      </x:c>
      <x:c r="E25" s="398">
        <x:f t="shared" si="0"/>
        <x:v>0</x:v>
      </x:c>
      <x:c r="F25" s="246">
        <x:f t="shared" si="2"/>
        <x:v>0</x:v>
      </x:c>
    </x:row>
    <x:row r="26" spans="1:6" x14ac:dyDescent="0.25">
      <x:c r="A26" s="3">
        <x:v>17</x:v>
      </x:c>
      <x:c r="B26" s="440">
        <x:v>45348</x:v>
      </x:c>
      <x:c r="C26" s="178">
        <x:v>4160.21</x:v>
      </x:c>
      <x:c r="D26" s="440">
        <x:v>45348</x:v>
      </x:c>
      <x:c r="E26" s="398">
        <x:f t="shared" si="0"/>
        <x:v>0</x:v>
      </x:c>
      <x:c r="F26" s="246">
        <x:f t="shared" si="2"/>
        <x:v>0</x:v>
      </x:c>
    </x:row>
    <x:row r="27" spans="1:6" x14ac:dyDescent="0.25">
      <x:c r="A27" s="3">
        <x:v>18</x:v>
      </x:c>
      <x:c r="B27" s="440">
        <x:v>45358</x:v>
      </x:c>
      <x:c r="C27" s="178">
        <x:v>904044.79</x:v>
      </x:c>
      <x:c r="D27" s="440">
        <x:v>45358</x:v>
      </x:c>
      <x:c r="E27" s="398">
        <x:f t="shared" si="0"/>
        <x:v>0</x:v>
      </x:c>
      <x:c r="F27" s="246">
        <x:f t="shared" si="2"/>
        <x:v>0</x:v>
      </x:c>
    </x:row>
    <x:row r="28" spans="1:6" x14ac:dyDescent="0.25">
      <x:c r="A28" s="3">
        <x:v>19</x:v>
      </x:c>
      <x:c r="B28" s="440">
        <x:v>45359</x:v>
      </x:c>
      <x:c r="C28" s="178">
        <x:v>3978888.3</x:v>
      </x:c>
      <x:c r="D28" s="440">
        <x:v>45359</x:v>
      </x:c>
      <x:c r="E28" s="398">
        <x:f t="shared" si="0"/>
        <x:v>0</x:v>
      </x:c>
      <x:c r="F28" s="246">
        <x:f t="shared" si="2"/>
        <x:v>0</x:v>
      </x:c>
    </x:row>
    <x:row r="29" spans="1:6" x14ac:dyDescent="0.25">
      <x:c r="A29" s="3">
        <x:v>20</x:v>
      </x:c>
      <x:c r="B29" s="440">
        <x:v>45373</x:v>
      </x:c>
      <x:c r="C29" s="178">
        <x:v>104900.98</x:v>
      </x:c>
      <x:c r="D29" s="440">
        <x:v>45373</x:v>
      </x:c>
      <x:c r="E29" s="398">
        <x:f t="shared" si="0"/>
        <x:v>0</x:v>
      </x:c>
      <x:c r="F29" s="246">
        <x:f t="shared" si="2"/>
        <x:v>0</x:v>
      </x:c>
    </x:row>
    <x:row r="30" spans="1:6" x14ac:dyDescent="0.25">
      <x:c r="A30" s="3">
        <x:v>21</x:v>
      </x:c>
      <x:c r="B30" s="440">
        <x:v>45372</x:v>
      </x:c>
      <x:c r="C30" s="178">
        <x:v>877557.71</x:v>
      </x:c>
      <x:c r="D30" s="440">
        <x:v>45372</x:v>
      </x:c>
      <x:c r="E30" s="398">
        <x:f t="shared" si="0"/>
        <x:v>0</x:v>
      </x:c>
      <x:c r="F30" s="246">
        <x:f t="shared" si="1"/>
        <x:v>0</x:v>
      </x:c>
    </x:row>
    <x:row r="31" spans="1:6" x14ac:dyDescent="0.25">
      <x:c r="A31" s="3">
        <x:v>22</x:v>
      </x:c>
      <x:c r="B31" s="440">
        <x:v>45379</x:v>
      </x:c>
      <x:c r="C31" s="178">
        <x:v>75959.399999999994</x:v>
      </x:c>
      <x:c r="D31" s="440">
        <x:v>45379</x:v>
      </x:c>
      <x:c r="E31" s="398">
        <x:f t="shared" si="0"/>
        <x:v>0</x:v>
      </x:c>
      <x:c r="F31" s="246">
        <x:f t="shared" si="1"/>
        <x:v>0</x:v>
      </x:c>
    </x:row>
    <x:row r="32" spans="1:6" x14ac:dyDescent="0.25">
      <x:c r="A32" s="3">
        <x:v>23</x:v>
      </x:c>
      <x:c r="B32" s="440">
        <x:v>45386</x:v>
      </x:c>
      <x:c r="C32" s="178">
        <x:v>878575.43</x:v>
      </x:c>
      <x:c r="D32" s="440">
        <x:v>45386</x:v>
      </x:c>
      <x:c r="E32" s="398">
        <x:f t="shared" si="0"/>
        <x:v>0</x:v>
      </x:c>
      <x:c r="F32" s="246">
        <x:f t="shared" si="1"/>
        <x:v>0</x:v>
      </x:c>
    </x:row>
    <x:row r="33" spans="1:6" x14ac:dyDescent="0.25">
      <x:c r="A33" s="3">
        <x:v>24</x:v>
      </x:c>
      <x:c r="B33" s="440">
        <x:v>45400</x:v>
      </x:c>
      <x:c r="C33" s="178">
        <x:v>949580.80000000005</x:v>
      </x:c>
      <x:c r="D33" s="440">
        <x:v>45400</x:v>
      </x:c>
      <x:c r="E33" s="398">
        <x:f t="shared" si="0"/>
        <x:v>0</x:v>
      </x:c>
      <x:c r="F33" s="246">
        <x:f t="shared" si="1"/>
        <x:v>0</x:v>
      </x:c>
    </x:row>
    <x:row r="34" spans="1:6" x14ac:dyDescent="0.25">
      <x:c r="A34" s="3">
        <x:v>25</x:v>
      </x:c>
      <x:c r="B34" s="440">
        <x:v>45407</x:v>
      </x:c>
      <x:c r="C34" s="178">
        <x:v>55206.04</x:v>
      </x:c>
      <x:c r="D34" s="440">
        <x:v>45407</x:v>
      </x:c>
      <x:c r="E34" s="398">
        <x:f t="shared" si="0"/>
        <x:v>0</x:v>
      </x:c>
      <x:c r="F34" s="246">
        <x:f t="shared" si="1"/>
        <x:v>0</x:v>
      </x:c>
    </x:row>
    <x:row r="35" spans="1:6" x14ac:dyDescent="0.25">
      <x:c r="A35" s="3">
        <x:v>26</x:v>
      </x:c>
      <x:c r="B35" s="440">
        <x:v>45414</x:v>
      </x:c>
      <x:c r="C35" s="178">
        <x:v>1031007.55</x:v>
      </x:c>
      <x:c r="D35" s="440">
        <x:v>45414</x:v>
      </x:c>
      <x:c r="E35" s="398">
        <x:f t="shared" si="0"/>
        <x:v>0</x:v>
      </x:c>
      <x:c r="F35" s="246">
        <x:f t="shared" ref="F35:F42" si="3">C35*E35</x:f>
        <x:v>0</x:v>
      </x:c>
    </x:row>
    <x:row r="36" spans="1:6" x14ac:dyDescent="0.25">
      <x:c r="A36" s="3">
        <x:v>27</x:v>
      </x:c>
      <x:c r="B36" s="440">
        <x:v>45413</x:v>
      </x:c>
      <x:c r="C36" s="178">
        <x:v>396</x:v>
      </x:c>
      <x:c r="D36" s="440">
        <x:v>45413</x:v>
      </x:c>
      <x:c r="E36" s="398">
        <x:f t="shared" si="0"/>
        <x:v>0</x:v>
      </x:c>
      <x:c r="F36" s="246">
        <x:f t="shared" si="3"/>
        <x:v>0</x:v>
      </x:c>
    </x:row>
    <x:row r="37" spans="1:6" x14ac:dyDescent="0.25">
      <x:c r="A37" s="3">
        <x:f>A36+1</x:f>
        <x:v>28</x:v>
      </x:c>
      <x:c r="B37" s="440">
        <x:v>45428</x:v>
      </x:c>
      <x:c r="C37" s="178">
        <x:v>988036.39</x:v>
      </x:c>
      <x:c r="D37" s="440">
        <x:v>45428</x:v>
      </x:c>
      <x:c r="E37" s="398">
        <x:f t="shared" si="0"/>
        <x:v>0</x:v>
      </x:c>
      <x:c r="F37" s="246">
        <x:f t="shared" si="3"/>
        <x:v>0</x:v>
      </x:c>
    </x:row>
    <x:row r="38" spans="1:6" x14ac:dyDescent="0.25">
      <x:c r="A38" s="3">
        <x:f t="shared" ref="A38:A60" si="4">A37+1</x:f>
        <x:v>29</x:v>
      </x:c>
      <x:c r="B38" s="440">
        <x:v>45442</x:v>
      </x:c>
      <x:c r="C38" s="178">
        <x:v>989267</x:v>
      </x:c>
      <x:c r="D38" s="440">
        <x:v>45442</x:v>
      </x:c>
      <x:c r="E38" s="398">
        <x:f>IF(C38=0,0,-(D38-B38))</x:f>
        <x:v>0</x:v>
      </x:c>
      <x:c r="F38" s="246">
        <x:f t="shared" si="3"/>
        <x:v>0</x:v>
      </x:c>
    </x:row>
    <x:row r="39" spans="1:6" x14ac:dyDescent="0.25">
      <x:c r="A39" s="3">
        <x:f t="shared" si="4"/>
        <x:v>30</x:v>
      </x:c>
      <x:c r="B39" s="440">
        <x:v>45441</x:v>
      </x:c>
      <x:c r="C39" s="178">
        <x:v>4921.7700000000004</x:v>
      </x:c>
      <x:c r="D39" s="440">
        <x:v>45441</x:v>
      </x:c>
      <x:c r="E39" s="398">
        <x:f>IF(C39=0,0,-(D39-B39))</x:f>
        <x:v>0</x:v>
      </x:c>
      <x:c r="F39" s="246">
        <x:f t="shared" si="3"/>
        <x:v>0</x:v>
      </x:c>
    </x:row>
    <x:row r="40" spans="1:6" x14ac:dyDescent="0.25">
      <x:c r="A40" s="3">
        <x:f t="shared" si="4"/>
        <x:v>31</x:v>
      </x:c>
      <x:c r="B40" s="440">
        <x:v>45456</x:v>
      </x:c>
      <x:c r="C40" s="178">
        <x:v>1009337.17</x:v>
      </x:c>
      <x:c r="D40" s="440">
        <x:v>45456</x:v>
      </x:c>
      <x:c r="E40" s="398">
        <x:f>IF(C40=0,0,-(D40-B40))</x:f>
        <x:v>0</x:v>
      </x:c>
      <x:c r="F40" s="246">
        <x:f t="shared" si="3"/>
        <x:v>0</x:v>
      </x:c>
    </x:row>
    <x:row r="41" spans="1:6" x14ac:dyDescent="0.25">
      <x:c r="A41" s="3">
        <x:f t="shared" si="4"/>
        <x:v>32</x:v>
      </x:c>
      <x:c r="B41" s="440">
        <x:v>45463</x:v>
      </x:c>
      <x:c r="C41" s="178">
        <x:v>944.63</x:v>
      </x:c>
      <x:c r="D41" s="440">
        <x:v>45463</x:v>
      </x:c>
      <x:c r="E41" s="398">
        <x:f>IF(C41=0,0,-(D41-B41))</x:f>
        <x:v>0</x:v>
      </x:c>
      <x:c r="F41" s="246">
        <x:f t="shared" si="3"/>
        <x:v>0</x:v>
      </x:c>
    </x:row>
    <x:row r="42" spans="1:6" x14ac:dyDescent="0.25">
      <x:c r="A42" s="3">
        <x:f t="shared" si="4"/>
        <x:v>33</x:v>
      </x:c>
      <x:c r="B42" s="440">
        <x:v>45470</x:v>
      </x:c>
      <x:c r="C42" s="178">
        <x:v>857296.52</x:v>
      </x:c>
      <x:c r="D42" s="440">
        <x:v>45470</x:v>
      </x:c>
      <x:c r="E42" s="398">
        <x:f>IF(C42=0,0,-(D42-B42))</x:f>
        <x:v>0</x:v>
      </x:c>
      <x:c r="F42" s="246">
        <x:f t="shared" si="3"/>
        <x:v>0</x:v>
      </x:c>
    </x:row>
    <x:row r="43" spans="1:6" x14ac:dyDescent="0.25">
      <x:c r="A43" s="3">
        <x:f t="shared" si="4"/>
        <x:v>34</x:v>
      </x:c>
      <x:c r="B43" s="440">
        <x:v>45471</x:v>
      </x:c>
      <x:c r="C43" s="178">
        <x:v>167980.77</x:v>
      </x:c>
      <x:c r="D43" s="440">
        <x:v>45471</x:v>
      </x:c>
      <x:c r="E43" s="398">
        <x:f t="shared" ref="E43:E50" si="5">IF(C43=0,0,-(D43-B43))</x:f>
        <x:v>0</x:v>
      </x:c>
      <x:c r="F43" s="246">
        <x:f t="shared" ref="F43:F50" si="6">C43*E43</x:f>
        <x:v>0</x:v>
      </x:c>
    </x:row>
    <x:row r="44" spans="1:6" x14ac:dyDescent="0.25">
      <x:c r="A44" s="3">
        <x:f t="shared" si="4"/>
        <x:v>35</x:v>
      </x:c>
      <x:c r="B44" s="440">
        <x:v>45484</x:v>
      </x:c>
      <x:c r="C44" s="178">
        <x:v>835125.36</x:v>
      </x:c>
      <x:c r="D44" s="440">
        <x:v>45484</x:v>
      </x:c>
      <x:c r="E44" s="398">
        <x:f t="shared" si="5"/>
        <x:v>0</x:v>
      </x:c>
      <x:c r="F44" s="246">
        <x:f t="shared" si="6"/>
        <x:v>0</x:v>
      </x:c>
    </x:row>
    <x:row r="45" spans="1:6" x14ac:dyDescent="0.25">
      <x:c r="A45" s="3">
        <x:f t="shared" si="4"/>
        <x:v>36</x:v>
      </x:c>
      <x:c r="B45" s="440">
        <x:v>45498</x:v>
      </x:c>
      <x:c r="C45" s="178">
        <x:v>868287.26</x:v>
      </x:c>
      <x:c r="D45" s="440">
        <x:v>45498</x:v>
      </x:c>
      <x:c r="E45" s="398">
        <x:f t="shared" si="5"/>
        <x:v>0</x:v>
      </x:c>
      <x:c r="F45" s="246">
        <x:f t="shared" si="6"/>
        <x:v>0</x:v>
      </x:c>
    </x:row>
    <x:row r="46" spans="1:6" x14ac:dyDescent="0.25">
      <x:c r="A46" s="3">
        <x:f t="shared" si="4"/>
        <x:v>37</x:v>
      </x:c>
      <x:c r="B46" s="440">
        <x:v>45512</x:v>
      </x:c>
      <x:c r="C46" s="178">
        <x:v>919985.88</x:v>
      </x:c>
      <x:c r="D46" s="440">
        <x:v>45512</x:v>
      </x:c>
      <x:c r="E46" s="398">
        <x:f t="shared" si="5"/>
        <x:v>0</x:v>
      </x:c>
      <x:c r="F46" s="246">
        <x:f t="shared" si="6"/>
        <x:v>0</x:v>
      </x:c>
    </x:row>
    <x:row r="47" spans="1:6" x14ac:dyDescent="0.25">
      <x:c r="A47" s="3">
        <x:f t="shared" si="4"/>
        <x:v>38</x:v>
      </x:c>
      <x:c r="B47" s="440">
        <x:v>45526</x:v>
      </x:c>
      <x:c r="C47" s="178">
        <x:v>962198.29</x:v>
      </x:c>
      <x:c r="D47" s="440">
        <x:v>45526</x:v>
      </x:c>
      <x:c r="E47" s="398">
        <x:f t="shared" si="5"/>
        <x:v>0</x:v>
      </x:c>
      <x:c r="F47" s="246">
        <x:f t="shared" si="6"/>
        <x:v>0</x:v>
      </x:c>
    </x:row>
    <x:row r="48" spans="1:6" x14ac:dyDescent="0.25">
      <x:c r="A48" s="3">
        <x:f t="shared" si="4"/>
        <x:v>39</x:v>
      </x:c>
      <x:c r="B48" s="440">
        <x:v>45540</x:v>
      </x:c>
      <x:c r="C48" s="178">
        <x:v>793326.82</x:v>
      </x:c>
      <x:c r="D48" s="440">
        <x:v>45540</x:v>
      </x:c>
      <x:c r="E48" s="398">
        <x:f t="shared" si="5"/>
        <x:v>0</x:v>
      </x:c>
      <x:c r="F48" s="246">
        <x:f t="shared" si="6"/>
        <x:v>0</x:v>
      </x:c>
    </x:row>
    <x:row r="49" spans="1:6" x14ac:dyDescent="0.25">
      <x:c r="A49" s="3">
        <x:f t="shared" si="4"/>
        <x:v>40</x:v>
      </x:c>
      <x:c r="B49" s="440">
        <x:v>45541</x:v>
      </x:c>
      <x:c r="C49" s="178">
        <x:v>74456.350000000006</x:v>
      </x:c>
      <x:c r="D49" s="440">
        <x:v>45541</x:v>
      </x:c>
      <x:c r="E49" s="398">
        <x:f t="shared" si="5"/>
        <x:v>0</x:v>
      </x:c>
      <x:c r="F49" s="246">
        <x:f t="shared" si="6"/>
        <x:v>0</x:v>
      </x:c>
    </x:row>
    <x:row r="50" spans="1:6" x14ac:dyDescent="0.25">
      <x:c r="A50" s="3">
        <x:f t="shared" si="4"/>
        <x:v>41</x:v>
      </x:c>
      <x:c r="B50" s="440">
        <x:v>45554</x:v>
      </x:c>
      <x:c r="C50" s="178">
        <x:v>864256.91</x:v>
      </x:c>
      <x:c r="D50" s="440">
        <x:v>45554</x:v>
      </x:c>
      <x:c r="E50" s="398">
        <x:f t="shared" si="5"/>
        <x:v>0</x:v>
      </x:c>
      <x:c r="F50" s="246">
        <x:f t="shared" si="6"/>
        <x:v>0</x:v>
      </x:c>
    </x:row>
    <x:row r="51" spans="1:6" x14ac:dyDescent="0.25">
      <x:c r="A51" s="3">
        <x:f t="shared" si="4"/>
        <x:v>42</x:v>
      </x:c>
      <x:c r="B51" s="440"/>
      <x:c r="C51" s="178"/>
      <x:c r="D51" s="440"/>
      <x:c r="E51" s="398"/>
      <x:c r="F51" s="246"/>
    </x:row>
    <x:row r="52" spans="1:6" ht="13.25" thickBot="1" x14ac:dyDescent="0.3">
      <x:c r="A52" s="3">
        <x:f t="shared" si="4"/>
        <x:v>43</x:v>
      </x:c>
      <x:c r="B52" s="188" t="s">
        <x:v>26</x:v>
      </x:c>
      <x:c r="C52" s="399">
        <x:f>SUM(C10:C50)</x:f>
        <x:v>27567988.390000001</x:v>
      </x:c>
      <x:c r="E52" s="400">
        <x:f>ROUND(F52/C52,2)</x:f>
        <x:v>0</x:v>
      </x:c>
      <x:c r="F52" s="399">
        <x:f>SUM(F10:F50)</x:f>
        <x:v>0</x:v>
      </x:c>
    </x:row>
    <x:row r="53" spans="1:6" ht="13.25" thickTop="1" x14ac:dyDescent="0.25">
      <x:c r="A53" s="3">
        <x:f t="shared" si="4"/>
        <x:v>44</x:v>
      </x:c>
      <x:c r="C53" s="196"/>
      <x:c r="E53" s="161"/>
      <x:c r="F53" s="45"/>
    </x:row>
    <x:row r="54" spans="1:6" x14ac:dyDescent="0.25">
      <x:c r="A54" s="3">
        <x:f t="shared" si="4"/>
        <x:v>45</x:v>
      </x:c>
      <x:c r="B54" s="636" t="s">
        <x:v>500</x:v>
      </x:c>
      <x:c r="C54" s="196"/>
      <x:c r="E54" s="401">
        <x:f>+ROUND(C52/365.25,0)</x:f>
        <x:v>75477</x:v>
      </x:c>
      <x:c r="F54" s="45"/>
    </x:row>
    <x:row r="55" spans="1:6" x14ac:dyDescent="0.25">
      <x:c r="A55" s="3">
        <x:f t="shared" si="4"/>
        <x:v>46</x:v>
      </x:c>
      <x:c r="C55" s="196"/>
      <x:c r="E55" s="162"/>
      <x:c r="F55" s="45"/>
    </x:row>
    <x:row r="56" spans="1:6" x14ac:dyDescent="0.25">
      <x:c r="A56" s="3">
        <x:f t="shared" si="4"/>
        <x:v>47</x:v>
      </x:c>
      <x:c r="B56" s="636" t="s">
        <x:v>501</x:v>
      </x:c>
      <x:c r="C56" s="231"/>
      <x:c r="E56" s="446">
        <x:f>+E52</x:f>
        <x:v>0</x:v>
      </x:c>
      <x:c r="F56" s="45"/>
    </x:row>
    <x:row r="57" spans="1:6" x14ac:dyDescent="0.25">
      <x:c r="A57" s="3">
        <x:f t="shared" si="4"/>
        <x:v>48</x:v>
      </x:c>
      <x:c r="E57" s="9"/>
    </x:row>
    <x:row r="58" spans="1:6" ht="13.25" thickBot="1" x14ac:dyDescent="0.3">
      <x:c r="A58" s="3">
        <x:f t="shared" si="4"/>
        <x:v>49</x:v>
      </x:c>
      <x:c r="B58" s="636" t="s">
        <x:v>502</x:v>
      </x:c>
      <x:c r="C58" s="190"/>
      <x:c r="E58" s="402">
        <x:f>+ROUND(E54*E56,0)</x:f>
        <x:v>0</x:v>
      </x:c>
    </x:row>
    <x:row r="59" spans="1:6" ht="13.25" thickTop="1" x14ac:dyDescent="0.25">
      <x:c r="A59" s="3">
        <x:f t="shared" si="4"/>
        <x:v>50</x:v>
      </x:c>
    </x:row>
    <x:row r="60" spans="1:6" x14ac:dyDescent="0.25">
      <x:c r="A60" s="3">
        <x:f t="shared" si="4"/>
        <x:v>51</x:v>
      </x:c>
      <x:c r="B60" s="31" t="s">
        <x:v>230</x:v>
      </x:c>
      <x:c r="C60" s="290" t="s">
        <x:v>447</x:v>
      </x:c>
    </x:row>
  </x:sheetData>
  <x:mergeCells count="1">
    <x:mergeCell ref="A3:F3"/>
  </x:mergeCells>
  <x:phoneticPr fontId="0" type="noConversion"/>
  <x:hyperlinks>
    <x:hyperlink ref="C60" r:id="rId1" xr:uid="{00000000-0004-0000-3000-000000000000}"/>
  </x:hyperlinks>
  <x:printOptions horizontalCentered="1"/>
  <x:pageMargins left="0.5" right="0.5" top="1.5" bottom="0.5" header="1" footer="0.5"/>
  <x:pageSetup fitToHeight="3" orientation="landscape" r:id="rId2"/>
  <x:headerFooter alignWithMargins="0">
    <x:oddHeader>&amp;RWP/II-B-9/&amp;A
Page &amp;P of &amp;N</x:oddHeader>
  </x:headerFooter>
</x:worksheet>
</file>

<file path=xl/worksheets/sheet5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100-000000000000}" mc:Ignorable="x14ac xr xr2 xr3">
  <x:sheetPr codeName="Sheet15">
    <x:tabColor rgb="FF92D050"/>
  </x:sheetPr>
  <x:dimension ref="A1:H77"/>
  <x:sheetViews>
    <x:sheetView topLeftCell="A58" zoomScaleNormal="100" zoomScaleSheetLayoutView="100" workbookViewId="0">
      <x:selection activeCell="D37" sqref="D37"/>
    </x:sheetView>
  </x:sheetViews>
  <x:sheetFormatPr defaultColWidth="9.109375" defaultRowHeight="12.7" x14ac:dyDescent="0.25"/>
  <x:cols>
    <x:col min="1" max="1" width="6" style="1" customWidth="1"/>
    <x:col min="2" max="2" width="16.44140625" style="31" customWidth="1"/>
    <x:col min="3" max="3" width="16.44140625" style="31" bestFit="1" customWidth="1"/>
    <x:col min="4" max="4" width="14.44140625" style="31" customWidth="1"/>
    <x:col min="5" max="5" width="15.88671875" style="1" customWidth="1"/>
    <x:col min="6" max="6" width="22.44140625" style="1" customWidth="1"/>
    <x:col min="7" max="16384" width="9.109375" style="1"/>
  </x:cols>
  <x:sheetData>
    <x:row r="1" spans="1:8" s="41" customFormat="1" x14ac:dyDescent="0.25">
      <x:c r="A1" s="180" t="s">
        <x:v>523</x:v>
      </x:c>
      <x:c r="B1" s="183"/>
      <x:c r="C1" s="183"/>
      <x:c r="D1" s="183"/>
      <x:c r="E1" s="180"/>
    </x:row>
    <x:row r="2" spans="1:8" s="41" customFormat="1" x14ac:dyDescent="0.25">
      <x:c r="A2" s="180" t="str">
        <x:f>' '!A2</x:f>
        <x:v>ONCOR ELECTRIC DELIVERY COMPANY LLC</x:v>
      </x:c>
      <x:c r="B2" s="183"/>
      <x:c r="C2" s="183"/>
      <x:c r="D2" s="183"/>
      <x:c r="E2" s="180"/>
    </x:row>
    <x:row r="3" spans="1:8" s="41" customFormat="1" x14ac:dyDescent="0.25">
      <x:c r="A3" s="833" t="s">
        <x:v>163</x:v>
      </x:c>
      <x:c r="B3" s="833"/>
      <x:c r="C3" s="833"/>
      <x:c r="D3" s="833"/>
      <x:c r="E3" s="833"/>
      <x:c r="F3" s="833"/>
    </x:row>
    <x:row r="4" spans="1:8" s="41" customFormat="1" x14ac:dyDescent="0.25">
      <x:c r="A4" s="767" t="s">
        <x:v>524</x:v>
      </x:c>
      <x:c r="B4" s="183"/>
      <x:c r="C4" s="183"/>
      <x:c r="D4" s="183"/>
      <x:c r="E4" s="180"/>
    </x:row>
    <x:row r="5" spans="1:8" s="41" customFormat="1" x14ac:dyDescent="0.25">
      <x:c r="A5" s="180" t="s">
        <x:v>486</x:v>
      </x:c>
      <x:c r="B5" s="183"/>
      <x:c r="C5" s="183"/>
      <x:c r="D5" s="183"/>
      <x:c r="E5" s="180"/>
      <x:c r="H5" s="41" t="s">
        <x:v>464</x:v>
      </x:c>
    </x:row>
    <x:row r="7" spans="1:8" ht="25.35" x14ac:dyDescent="0.25">
      <x:c r="A7" s="32" t="s">
        <x:v>40</x:v>
      </x:c>
      <x:c r="B7" s="189" t="s">
        <x:v>152</x:v>
      </x:c>
      <x:c r="C7" s="189" t="s">
        <x:v>155</x:v>
      </x:c>
      <x:c r="D7" s="189" t="s">
        <x:v>154</x:v>
      </x:c>
      <x:c r="E7" s="32" t="s">
        <x:v>44</x:v>
      </x:c>
      <x:c r="F7" s="160" t="s">
        <x:v>38</x:v>
      </x:c>
      <x:c r="G7" s="26"/>
    </x:row>
    <x:row r="8" spans="1:8" x14ac:dyDescent="0.25">
      <x:c r="A8" s="38"/>
      <x:c r="B8" s="51" t="s">
        <x:v>50</x:v>
      </x:c>
      <x:c r="C8" s="51" t="s">
        <x:v>51</x:v>
      </x:c>
      <x:c r="D8" s="51" t="s">
        <x:v>57</x:v>
      </x:c>
      <x:c r="E8" s="40" t="s">
        <x:v>52</x:v>
      </x:c>
      <x:c r="F8" s="40" t="s">
        <x:v>53</x:v>
      </x:c>
      <x:c r="G8" s="26"/>
    </x:row>
    <x:row r="9" spans="1:8" x14ac:dyDescent="0.25">
      <x:c r="A9" s="22"/>
      <x:c r="B9" s="192"/>
      <x:c r="C9" s="192"/>
      <x:c r="D9" s="192"/>
      <x:c r="E9" s="25"/>
      <x:c r="F9" s="163"/>
    </x:row>
    <x:row r="10" spans="1:8" x14ac:dyDescent="0.25">
      <x:c r="A10" s="638" t="s">
        <x:v>1002</x:v>
      </x:c>
      <x:c r="B10" s="440">
        <x:v>45204</x:v>
      </x:c>
      <x:c r="C10" s="178">
        <x:v>555222.48</x:v>
      </x:c>
      <x:c r="D10" s="440">
        <x:v>45204</x:v>
      </x:c>
      <x:c r="E10" s="398">
        <x:f t="shared" ref="E10:E67" si="0">IF(C10=0,0,-(D10-B10))</x:f>
        <x:v>0</x:v>
      </x:c>
      <x:c r="F10" s="178">
        <x:f t="shared" ref="F10:F67" si="1">C10*E10</x:f>
        <x:v>0</x:v>
      </x:c>
    </x:row>
    <x:row r="11" spans="1:8" x14ac:dyDescent="0.25">
      <x:c r="A11" s="638" t="s">
        <x:v>1003</x:v>
      </x:c>
      <x:c r="B11" s="440">
        <x:v>45205</x:v>
      </x:c>
      <x:c r="C11" s="178">
        <x:v>36526.19</x:v>
      </x:c>
      <x:c r="D11" s="440">
        <x:v>45205</x:v>
      </x:c>
      <x:c r="E11" s="398">
        <x:f t="shared" si="0"/>
        <x:v>0</x:v>
      </x:c>
      <x:c r="F11" s="246">
        <x:f t="shared" si="1"/>
        <x:v>0</x:v>
      </x:c>
    </x:row>
    <x:row r="12" spans="1:8" x14ac:dyDescent="0.25">
      <x:c r="A12" s="802" t="s">
        <x:v>1004</x:v>
      </x:c>
      <x:c r="B12" s="440">
        <x:v>45211</x:v>
      </x:c>
      <x:c r="C12" s="178">
        <x:v>1990787.27</x:v>
      </x:c>
      <x:c r="D12" s="440">
        <x:v>45211</x:v>
      </x:c>
      <x:c r="E12" s="398">
        <x:f t="shared" si="0"/>
        <x:v>0</x:v>
      </x:c>
      <x:c r="F12" s="246">
        <x:f t="shared" si="1"/>
        <x:v>0</x:v>
      </x:c>
    </x:row>
    <x:row r="13" spans="1:8" x14ac:dyDescent="0.25">
      <x:c r="A13" s="802" t="s">
        <x:v>1005</x:v>
      </x:c>
      <x:c r="B13" s="440">
        <x:v>45218</x:v>
      </x:c>
      <x:c r="C13" s="178">
        <x:v>606090.31999999995</x:v>
      </x:c>
      <x:c r="D13" s="440">
        <x:v>45218</x:v>
      </x:c>
      <x:c r="E13" s="398">
        <x:f t="shared" si="0"/>
        <x:v>0</x:v>
      </x:c>
      <x:c r="F13" s="246">
        <x:f t="shared" si="1"/>
        <x:v>0</x:v>
      </x:c>
    </x:row>
    <x:row r="14" spans="1:8" x14ac:dyDescent="0.25">
      <x:c r="A14" s="638" t="s">
        <x:v>1006</x:v>
      </x:c>
      <x:c r="B14" s="440">
        <x:v>45223</x:v>
      </x:c>
      <x:c r="C14" s="178">
        <x:v>12754.03</x:v>
      </x:c>
      <x:c r="D14" s="440">
        <x:v>45223</x:v>
      </x:c>
      <x:c r="E14" s="398">
        <x:f t="shared" si="0"/>
        <x:v>0</x:v>
      </x:c>
      <x:c r="F14" s="246">
        <x:f t="shared" si="1"/>
        <x:v>0</x:v>
      </x:c>
    </x:row>
    <x:row r="15" spans="1:8" x14ac:dyDescent="0.25">
      <x:c r="A15" s="638" t="s">
        <x:v>1007</x:v>
      </x:c>
      <x:c r="B15" s="440">
        <x:v>45229</x:v>
      </x:c>
      <x:c r="C15" s="178">
        <x:v>1777574.64</x:v>
      </x:c>
      <x:c r="D15" s="440">
        <x:v>45229</x:v>
      </x:c>
      <x:c r="E15" s="398">
        <x:f t="shared" si="0"/>
        <x:v>0</x:v>
      </x:c>
      <x:c r="F15" s="246">
        <x:f t="shared" si="1"/>
        <x:v>0</x:v>
      </x:c>
    </x:row>
    <x:row r="16" spans="1:8" x14ac:dyDescent="0.25">
      <x:c r="A16" s="638" t="s">
        <x:v>1008</x:v>
      </x:c>
      <x:c r="B16" s="440">
        <x:v>45232</x:v>
      </x:c>
      <x:c r="C16" s="178">
        <x:v>612602.78</x:v>
      </x:c>
      <x:c r="D16" s="440">
        <x:v>45232</x:v>
      </x:c>
      <x:c r="E16" s="398">
        <x:f t="shared" si="0"/>
        <x:v>0</x:v>
      </x:c>
      <x:c r="F16" s="246">
        <x:f t="shared" si="1"/>
        <x:v>0</x:v>
      </x:c>
    </x:row>
    <x:row r="17" spans="1:6" x14ac:dyDescent="0.25">
      <x:c r="A17" s="638" t="s">
        <x:v>1009</x:v>
      </x:c>
      <x:c r="B17" s="440">
        <x:v>45244</x:v>
      </x:c>
      <x:c r="C17" s="178">
        <x:v>2010876.01</x:v>
      </x:c>
      <x:c r="D17" s="440">
        <x:v>45244</x:v>
      </x:c>
      <x:c r="E17" s="398">
        <x:f t="shared" si="0"/>
        <x:v>0</x:v>
      </x:c>
      <x:c r="F17" s="246">
        <x:f t="shared" si="1"/>
        <x:v>0</x:v>
      </x:c>
    </x:row>
    <x:row r="18" spans="1:6" x14ac:dyDescent="0.25">
      <x:c r="A18" s="638" t="s">
        <x:v>1010</x:v>
      </x:c>
      <x:c r="B18" s="440">
        <x:v>45246</x:v>
      </x:c>
      <x:c r="C18" s="178">
        <x:v>590728.19999999995</x:v>
      </x:c>
      <x:c r="D18" s="440">
        <x:v>45246</x:v>
      </x:c>
      <x:c r="E18" s="398">
        <x:f t="shared" si="0"/>
        <x:v>0</x:v>
      </x:c>
      <x:c r="F18" s="246">
        <x:f t="shared" si="1"/>
        <x:v>0</x:v>
      </x:c>
    </x:row>
    <x:row r="19" spans="1:6" x14ac:dyDescent="0.25">
      <x:c r="A19" s="638" t="s">
        <x:v>1011</x:v>
      </x:c>
      <x:c r="B19" s="440">
        <x:v>45260</x:v>
      </x:c>
      <x:c r="C19" s="178">
        <x:v>551126.25</x:v>
      </x:c>
      <x:c r="D19" s="440">
        <x:v>45260</x:v>
      </x:c>
      <x:c r="E19" s="398">
        <x:f t="shared" si="0"/>
        <x:v>0</x:v>
      </x:c>
      <x:c r="F19" s="246">
        <x:f t="shared" si="1"/>
        <x:v>0</x:v>
      </x:c>
    </x:row>
    <x:row r="20" spans="1:6" x14ac:dyDescent="0.25">
      <x:c r="A20" s="638" t="s">
        <x:v>1012</x:v>
      </x:c>
      <x:c r="B20" s="440">
        <x:v>45259</x:v>
      </x:c>
      <x:c r="C20" s="178">
        <x:v>1873287.32</x:v>
      </x:c>
      <x:c r="D20" s="440">
        <x:v>45259</x:v>
      </x:c>
      <x:c r="E20" s="398">
        <x:f t="shared" si="0"/>
        <x:v>0</x:v>
      </x:c>
      <x:c r="F20" s="246">
        <x:f t="shared" si="1"/>
        <x:v>0</x:v>
      </x:c>
    </x:row>
    <x:row r="21" spans="1:6" x14ac:dyDescent="0.25">
      <x:c r="A21" s="638" t="s">
        <x:v>1013</x:v>
      </x:c>
      <x:c r="B21" s="440">
        <x:v>45264</x:v>
      </x:c>
      <x:c r="C21" s="178">
        <x:v>81692.11</x:v>
      </x:c>
      <x:c r="D21" s="440">
        <x:v>45264</x:v>
      </x:c>
      <x:c r="E21" s="398">
        <x:f t="shared" si="0"/>
        <x:v>0</x:v>
      </x:c>
      <x:c r="F21" s="246">
        <x:f t="shared" si="1"/>
        <x:v>0</x:v>
      </x:c>
    </x:row>
    <x:row r="22" spans="1:6" x14ac:dyDescent="0.25">
      <x:c r="A22" s="638" t="s">
        <x:v>1014</x:v>
      </x:c>
      <x:c r="B22" s="440">
        <x:v>45274</x:v>
      </x:c>
      <x:c r="C22" s="178">
        <x:v>2368941.9</x:v>
      </x:c>
      <x:c r="D22" s="440">
        <x:v>45274</x:v>
      </x:c>
      <x:c r="E22" s="398">
        <x:f t="shared" si="0"/>
        <x:v>0</x:v>
      </x:c>
      <x:c r="F22" s="246">
        <x:f t="shared" si="1"/>
        <x:v>0</x:v>
      </x:c>
    </x:row>
    <x:row r="23" spans="1:6" x14ac:dyDescent="0.25">
      <x:c r="A23" s="638" t="s">
        <x:v>1015</x:v>
      </x:c>
      <x:c r="B23" s="440">
        <x:v>45287</x:v>
      </x:c>
      <x:c r="C23" s="178">
        <x:v>4052.3</x:v>
      </x:c>
      <x:c r="D23" s="440">
        <x:v>45287</x:v>
      </x:c>
      <x:c r="E23" s="398">
        <x:f t="shared" si="0"/>
        <x:v>0</x:v>
      </x:c>
      <x:c r="F23" s="246">
        <x:f t="shared" si="1"/>
        <x:v>0</x:v>
      </x:c>
    </x:row>
    <x:row r="24" spans="1:6" x14ac:dyDescent="0.25">
      <x:c r="A24" s="638" t="s">
        <x:v>1016</x:v>
      </x:c>
      <x:c r="B24" s="440">
        <x:v>45288</x:v>
      </x:c>
      <x:c r="C24" s="178">
        <x:v>2373033.4300000002</x:v>
      </x:c>
      <x:c r="D24" s="440">
        <x:v>45288</x:v>
      </x:c>
      <x:c r="E24" s="398">
        <x:f t="shared" si="0"/>
        <x:v>0</x:v>
      </x:c>
      <x:c r="F24" s="246">
        <x:f t="shared" si="1"/>
        <x:v>0</x:v>
      </x:c>
    </x:row>
    <x:row r="25" spans="1:6" x14ac:dyDescent="0.25">
      <x:c r="A25" s="638" t="s">
        <x:v>1017</x:v>
      </x:c>
      <x:c r="B25" s="440">
        <x:v>45289</x:v>
      </x:c>
      <x:c r="C25" s="178">
        <x:v>5192.79</x:v>
      </x:c>
      <x:c r="D25" s="440">
        <x:v>45289</x:v>
      </x:c>
      <x:c r="E25" s="398">
        <x:f t="shared" si="0"/>
        <x:v>0</x:v>
      </x:c>
      <x:c r="F25" s="246">
        <x:f t="shared" si="1"/>
        <x:v>0</x:v>
      </x:c>
    </x:row>
    <x:row r="26" spans="1:6" x14ac:dyDescent="0.25">
      <x:c r="A26" s="638" t="s">
        <x:v>1018</x:v>
      </x:c>
      <x:c r="B26" s="440">
        <x:v>45302</x:v>
      </x:c>
      <x:c r="C26" s="178">
        <x:v>2141998.36</x:v>
      </x:c>
      <x:c r="D26" s="440">
        <x:v>45302</x:v>
      </x:c>
      <x:c r="E26" s="398">
        <x:f t="shared" si="0"/>
        <x:v>0</x:v>
      </x:c>
      <x:c r="F26" s="246">
        <x:f t="shared" si="1"/>
        <x:v>0</x:v>
      </x:c>
    </x:row>
    <x:row r="27" spans="1:6" x14ac:dyDescent="0.25">
      <x:c r="A27" s="638" t="s">
        <x:v>1019</x:v>
      </x:c>
      <x:c r="B27" s="440">
        <x:v>45303</x:v>
      </x:c>
      <x:c r="C27" s="178">
        <x:v>323749.44</x:v>
      </x:c>
      <x:c r="D27" s="440">
        <x:v>45303</x:v>
      </x:c>
      <x:c r="E27" s="398">
        <x:f t="shared" si="0"/>
        <x:v>0</x:v>
      </x:c>
      <x:c r="F27" s="246">
        <x:f t="shared" si="1"/>
        <x:v>0</x:v>
      </x:c>
    </x:row>
    <x:row r="28" spans="1:6" x14ac:dyDescent="0.25">
      <x:c r="A28" s="638" t="s">
        <x:v>1020</x:v>
      </x:c>
      <x:c r="B28" s="440">
        <x:v>45316</x:v>
      </x:c>
      <x:c r="C28" s="178">
        <x:v>3004775.13</x:v>
      </x:c>
      <x:c r="D28" s="440">
        <x:v>45316</x:v>
      </x:c>
      <x:c r="E28" s="398">
        <x:f t="shared" si="0"/>
        <x:v>0</x:v>
      </x:c>
      <x:c r="F28" s="246">
        <x:f t="shared" si="1"/>
        <x:v>0</x:v>
      </x:c>
    </x:row>
    <x:row r="29" spans="1:6" x14ac:dyDescent="0.25">
      <x:c r="A29" s="638" t="s">
        <x:v>1021</x:v>
      </x:c>
      <x:c r="B29" s="440">
        <x:v>45320</x:v>
      </x:c>
      <x:c r="C29" s="178">
        <x:v>20449.53</x:v>
      </x:c>
      <x:c r="D29" s="440">
        <x:v>45320</x:v>
      </x:c>
      <x:c r="E29" s="398">
        <x:f t="shared" si="0"/>
        <x:v>0</x:v>
      </x:c>
      <x:c r="F29" s="246">
        <x:f t="shared" si="1"/>
        <x:v>0</x:v>
      </x:c>
    </x:row>
    <x:row r="30" spans="1:6" x14ac:dyDescent="0.25">
      <x:c r="A30" s="638" t="s">
        <x:v>1022</x:v>
      </x:c>
      <x:c r="B30" s="440">
        <x:v>45321</x:v>
      </x:c>
      <x:c r="C30" s="178">
        <x:v>5744.38</x:v>
      </x:c>
      <x:c r="D30" s="440">
        <x:v>45321</x:v>
      </x:c>
      <x:c r="E30" s="398">
        <x:f t="shared" si="0"/>
        <x:v>0</x:v>
      </x:c>
      <x:c r="F30" s="246">
        <x:f t="shared" si="1"/>
        <x:v>0</x:v>
      </x:c>
    </x:row>
    <x:row r="31" spans="1:6" x14ac:dyDescent="0.25">
      <x:c r="A31" s="638" t="s">
        <x:v>1023</x:v>
      </x:c>
      <x:c r="B31" s="440">
        <x:v>45323</x:v>
      </x:c>
      <x:c r="C31" s="178">
        <x:v>23282.080000000002</x:v>
      </x:c>
      <x:c r="D31" s="440">
        <x:v>45323</x:v>
      </x:c>
      <x:c r="E31" s="398">
        <x:f t="shared" si="0"/>
        <x:v>0</x:v>
      </x:c>
      <x:c r="F31" s="246">
        <x:f t="shared" si="1"/>
        <x:v>0</x:v>
      </x:c>
    </x:row>
    <x:row r="32" spans="1:6" x14ac:dyDescent="0.25">
      <x:c r="A32" s="638" t="s">
        <x:v>1024</x:v>
      </x:c>
      <x:c r="B32" s="440">
        <x:v>45330</x:v>
      </x:c>
      <x:c r="C32" s="178">
        <x:v>2203147.79</x:v>
      </x:c>
      <x:c r="D32" s="440">
        <x:v>45330</x:v>
      </x:c>
      <x:c r="E32" s="398">
        <x:f t="shared" si="0"/>
        <x:v>0</x:v>
      </x:c>
      <x:c r="F32" s="246">
        <x:f t="shared" si="1"/>
        <x:v>0</x:v>
      </x:c>
    </x:row>
    <x:row r="33" spans="1:6" x14ac:dyDescent="0.25">
      <x:c r="A33" s="638" t="s">
        <x:v>1025</x:v>
      </x:c>
      <x:c r="B33" s="440">
        <x:v>45343</x:v>
      </x:c>
      <x:c r="C33" s="178">
        <x:v>436447.67</x:v>
      </x:c>
      <x:c r="D33" s="440">
        <x:v>45343</x:v>
      </x:c>
      <x:c r="E33" s="398">
        <x:f t="shared" si="0"/>
        <x:v>0</x:v>
      </x:c>
      <x:c r="F33" s="246">
        <x:f t="shared" si="1"/>
        <x:v>0</x:v>
      </x:c>
    </x:row>
    <x:row r="34" spans="1:6" x14ac:dyDescent="0.25">
      <x:c r="A34" s="638" t="s">
        <x:v>1026</x:v>
      </x:c>
      <x:c r="B34" s="440">
        <x:v>45344</x:v>
      </x:c>
      <x:c r="C34" s="178">
        <x:v>2280021.2599999998</x:v>
      </x:c>
      <x:c r="D34" s="440">
        <x:v>45344</x:v>
      </x:c>
      <x:c r="E34" s="398">
        <x:f t="shared" si="0"/>
        <x:v>0</x:v>
      </x:c>
      <x:c r="F34" s="246">
        <x:f t="shared" si="1"/>
        <x:v>0</x:v>
      </x:c>
    </x:row>
    <x:row r="35" spans="1:6" x14ac:dyDescent="0.25">
      <x:c r="A35" s="638" t="s">
        <x:v>1027</x:v>
      </x:c>
      <x:c r="B35" s="440">
        <x:v>45358</x:v>
      </x:c>
      <x:c r="C35" s="178">
        <x:v>2169782.61</x:v>
      </x:c>
      <x:c r="D35" s="440">
        <x:v>45358</x:v>
      </x:c>
      <x:c r="E35" s="398">
        <x:f t="shared" si="0"/>
        <x:v>0</x:v>
      </x:c>
      <x:c r="F35" s="246">
        <x:f t="shared" si="1"/>
        <x:v>0</x:v>
      </x:c>
    </x:row>
    <x:row r="36" spans="1:6" x14ac:dyDescent="0.25">
      <x:c r="A36" s="638" t="s">
        <x:v>1028</x:v>
      </x:c>
      <x:c r="B36" s="440">
        <x:v>45359</x:v>
      </x:c>
      <x:c r="C36" s="178">
        <x:v>17333983.949999999</x:v>
      </x:c>
      <x:c r="D36" s="440">
        <x:v>45359</x:v>
      </x:c>
      <x:c r="E36" s="398">
        <x:f t="shared" si="0"/>
        <x:v>0</x:v>
      </x:c>
      <x:c r="F36" s="246">
        <x:f t="shared" si="1"/>
        <x:v>0</x:v>
      </x:c>
    </x:row>
    <x:row r="37" spans="1:6" x14ac:dyDescent="0.25">
      <x:c r="A37" s="638" t="s">
        <x:v>1029</x:v>
      </x:c>
      <x:c r="B37" s="440">
        <x:v>45362</x:v>
      </x:c>
      <x:c r="C37" s="178">
        <x:v>109509.63</x:v>
      </x:c>
      <x:c r="D37" s="440">
        <x:v>45362</x:v>
      </x:c>
      <x:c r="E37" s="398">
        <x:f t="shared" si="0"/>
        <x:v>0</x:v>
      </x:c>
      <x:c r="F37" s="246">
        <x:f t="shared" si="1"/>
        <x:v>0</x:v>
      </x:c>
    </x:row>
    <x:row r="38" spans="1:6" x14ac:dyDescent="0.25">
      <x:c r="A38" s="638" t="s">
        <x:v>1030</x:v>
      </x:c>
      <x:c r="B38" s="440">
        <x:v>45373</x:v>
      </x:c>
      <x:c r="C38" s="178">
        <x:v>460211.35</x:v>
      </x:c>
      <x:c r="D38" s="440">
        <x:v>45373</x:v>
      </x:c>
      <x:c r="E38" s="398">
        <x:f t="shared" si="0"/>
        <x:v>0</x:v>
      </x:c>
      <x:c r="F38" s="246">
        <x:f t="shared" si="1"/>
        <x:v>0</x:v>
      </x:c>
    </x:row>
    <x:row r="39" spans="1:6" x14ac:dyDescent="0.25">
      <x:c r="A39" s="638" t="s">
        <x:v>1031</x:v>
      </x:c>
      <x:c r="B39" s="440">
        <x:v>45372</x:v>
      </x:c>
      <x:c r="C39" s="178">
        <x:v>2432499.27</x:v>
      </x:c>
      <x:c r="D39" s="440">
        <x:v>45372</x:v>
      </x:c>
      <x:c r="E39" s="398">
        <x:f t="shared" si="0"/>
        <x:v>0</x:v>
      </x:c>
      <x:c r="F39" s="246">
        <x:f t="shared" si="1"/>
        <x:v>0</x:v>
      </x:c>
    </x:row>
    <x:row r="40" spans="1:6" x14ac:dyDescent="0.25">
      <x:c r="A40" s="638" t="s">
        <x:v>1032</x:v>
      </x:c>
      <x:c r="B40" s="440">
        <x:v>45379</x:v>
      </x:c>
      <x:c r="C40" s="178">
        <x:v>127739.27</x:v>
      </x:c>
      <x:c r="D40" s="440">
        <x:v>45379</x:v>
      </x:c>
      <x:c r="E40" s="398">
        <x:f t="shared" si="0"/>
        <x:v>0</x:v>
      </x:c>
      <x:c r="F40" s="246">
        <x:f t="shared" si="1"/>
        <x:v>0</x:v>
      </x:c>
    </x:row>
    <x:row r="41" spans="1:6" x14ac:dyDescent="0.25">
      <x:c r="A41" s="638" t="s">
        <x:v>1033</x:v>
      </x:c>
      <x:c r="B41" s="440">
        <x:v>45383</x:v>
      </x:c>
      <x:c r="C41" s="178">
        <x:v>76.260000000000005</x:v>
      </x:c>
      <x:c r="D41" s="440">
        <x:v>45383</x:v>
      </x:c>
      <x:c r="E41" s="398">
        <x:f t="shared" si="0"/>
        <x:v>0</x:v>
      </x:c>
      <x:c r="F41" s="246">
        <x:f t="shared" si="1"/>
        <x:v>0</x:v>
      </x:c>
    </x:row>
    <x:row r="42" spans="1:6" x14ac:dyDescent="0.25">
      <x:c r="A42" s="638" t="s">
        <x:v>1034</x:v>
      </x:c>
      <x:c r="B42" s="440">
        <x:v>45386</x:v>
      </x:c>
      <x:c r="C42" s="178">
        <x:v>2376463.3599999999</x:v>
      </x:c>
      <x:c r="D42" s="440">
        <x:v>45386</x:v>
      </x:c>
      <x:c r="E42" s="398">
        <x:f t="shared" si="0"/>
        <x:v>0</x:v>
      </x:c>
      <x:c r="F42" s="246">
        <x:f t="shared" si="1"/>
        <x:v>0</x:v>
      </x:c>
    </x:row>
    <x:row r="43" spans="1:6" x14ac:dyDescent="0.25">
      <x:c r="A43" s="638" t="s">
        <x:v>1035</x:v>
      </x:c>
      <x:c r="B43" s="440">
        <x:v>45400</x:v>
      </x:c>
      <x:c r="C43" s="178">
        <x:v>2570224.0299999998</x:v>
      </x:c>
      <x:c r="D43" s="440">
        <x:v>45400</x:v>
      </x:c>
      <x:c r="E43" s="398">
        <x:f t="shared" si="0"/>
        <x:v>0</x:v>
      </x:c>
      <x:c r="F43" s="246">
        <x:f t="shared" si="1"/>
        <x:v>0</x:v>
      </x:c>
    </x:row>
    <x:row r="44" spans="1:6" x14ac:dyDescent="0.25">
      <x:c r="A44" s="638" t="s">
        <x:v>1036</x:v>
      </x:c>
      <x:c r="B44" s="440">
        <x:v>45401</x:v>
      </x:c>
      <x:c r="C44" s="178">
        <x:v>672.2</x:v>
      </x:c>
      <x:c r="D44" s="440">
        <x:v>45401</x:v>
      </x:c>
      <x:c r="E44" s="398">
        <x:f t="shared" si="0"/>
        <x:v>0</x:v>
      </x:c>
      <x:c r="F44" s="246">
        <x:f t="shared" si="1"/>
        <x:v>0</x:v>
      </x:c>
    </x:row>
    <x:row r="45" spans="1:6" x14ac:dyDescent="0.25">
      <x:c r="A45" s="638" t="s">
        <x:v>1037</x:v>
      </x:c>
      <x:c r="B45" s="440">
        <x:v>45407</x:v>
      </x:c>
      <x:c r="C45" s="178">
        <x:v>9175.18</x:v>
      </x:c>
      <x:c r="D45" s="440">
        <x:v>45407</x:v>
      </x:c>
      <x:c r="E45" s="398">
        <x:f t="shared" si="0"/>
        <x:v>0</x:v>
      </x:c>
      <x:c r="F45" s="246">
        <x:f t="shared" si="1"/>
        <x:v>0</x:v>
      </x:c>
    </x:row>
    <x:row r="46" spans="1:6" x14ac:dyDescent="0.25">
      <x:c r="A46" s="638" t="s">
        <x:v>1038</x:v>
      </x:c>
      <x:c r="B46" s="440">
        <x:v>45414</x:v>
      </x:c>
      <x:c r="C46" s="178">
        <x:v>2571400.2999999998</x:v>
      </x:c>
      <x:c r="D46" s="440">
        <x:v>45414</x:v>
      </x:c>
      <x:c r="E46" s="398">
        <x:f t="shared" si="0"/>
        <x:v>0</x:v>
      </x:c>
      <x:c r="F46" s="246">
        <x:f t="shared" si="1"/>
        <x:v>0</x:v>
      </x:c>
    </x:row>
    <x:row r="47" spans="1:6" x14ac:dyDescent="0.25">
      <x:c r="A47" s="638" t="s">
        <x:v>1039</x:v>
      </x:c>
      <x:c r="B47" s="440">
        <x:v>45413</x:v>
      </x:c>
      <x:c r="C47" s="178">
        <x:v>3113</x:v>
      </x:c>
      <x:c r="D47" s="440">
        <x:v>45413</x:v>
      </x:c>
      <x:c r="E47" s="398">
        <x:f t="shared" si="0"/>
        <x:v>0</x:v>
      </x:c>
      <x:c r="F47" s="246">
        <x:f t="shared" si="1"/>
        <x:v>0</x:v>
      </x:c>
    </x:row>
    <x:row r="48" spans="1:6" x14ac:dyDescent="0.25">
      <x:c r="A48" s="638" t="s">
        <x:v>1040</x:v>
      </x:c>
      <x:c r="B48" s="440">
        <x:v>45428</x:v>
      </x:c>
      <x:c r="C48" s="178">
        <x:v>2995727.06</x:v>
      </x:c>
      <x:c r="D48" s="440">
        <x:v>45428</x:v>
      </x:c>
      <x:c r="E48" s="398">
        <x:f t="shared" si="0"/>
        <x:v>0</x:v>
      </x:c>
      <x:c r="F48" s="246">
        <x:f t="shared" si="1"/>
        <x:v>0</x:v>
      </x:c>
    </x:row>
    <x:row r="49" spans="1:6" x14ac:dyDescent="0.25">
      <x:c r="A49" s="638" t="s">
        <x:v>1041</x:v>
      </x:c>
      <x:c r="B49" s="440">
        <x:v>45442</x:v>
      </x:c>
      <x:c r="C49" s="178">
        <x:v>3266581</x:v>
      </x:c>
      <x:c r="D49" s="440">
        <x:v>45442</x:v>
      </x:c>
      <x:c r="E49" s="398">
        <x:f t="shared" si="0"/>
        <x:v>0</x:v>
      </x:c>
      <x:c r="F49" s="246">
        <x:f t="shared" si="1"/>
        <x:v>0</x:v>
      </x:c>
    </x:row>
    <x:row r="50" spans="1:6" x14ac:dyDescent="0.25">
      <x:c r="A50" s="638" t="s">
        <x:v>1042</x:v>
      </x:c>
      <x:c r="B50" s="440">
        <x:v>45441</x:v>
      </x:c>
      <x:c r="C50" s="178">
        <x:v>149896.29</x:v>
      </x:c>
      <x:c r="D50" s="440">
        <x:v>45441</x:v>
      </x:c>
      <x:c r="E50" s="398">
        <x:f t="shared" si="0"/>
        <x:v>0</x:v>
      </x:c>
      <x:c r="F50" s="246">
        <x:f t="shared" si="1"/>
        <x:v>0</x:v>
      </x:c>
    </x:row>
    <x:row r="51" spans="1:6" x14ac:dyDescent="0.25">
      <x:c r="A51" s="638" t="s">
        <x:v>1043</x:v>
      </x:c>
      <x:c r="B51" s="440">
        <x:v>45456</x:v>
      </x:c>
      <x:c r="C51" s="178">
        <x:v>4523001.6500000004</x:v>
      </x:c>
      <x:c r="D51" s="440">
        <x:v>45456</x:v>
      </x:c>
      <x:c r="E51" s="398">
        <x:f t="shared" si="0"/>
        <x:v>0</x:v>
      </x:c>
      <x:c r="F51" s="246">
        <x:f t="shared" si="1"/>
        <x:v>0</x:v>
      </x:c>
    </x:row>
    <x:row r="52" spans="1:6" x14ac:dyDescent="0.25">
      <x:c r="A52" s="638" t="s">
        <x:v>1044</x:v>
      </x:c>
      <x:c r="B52" s="440">
        <x:v>45460</x:v>
      </x:c>
      <x:c r="C52" s="178">
        <x:v>660</x:v>
      </x:c>
      <x:c r="D52" s="440">
        <x:v>45460</x:v>
      </x:c>
      <x:c r="E52" s="398">
        <x:f t="shared" si="0"/>
        <x:v>0</x:v>
      </x:c>
      <x:c r="F52" s="246">
        <x:f t="shared" si="1"/>
        <x:v>0</x:v>
      </x:c>
    </x:row>
    <x:row r="53" spans="1:6" x14ac:dyDescent="0.25">
      <x:c r="A53" s="638" t="s">
        <x:v>1045</x:v>
      </x:c>
      <x:c r="B53" s="440">
        <x:v>45463</x:v>
      </x:c>
      <x:c r="C53" s="178">
        <x:v>66</x:v>
      </x:c>
      <x:c r="D53" s="440">
        <x:v>45463</x:v>
      </x:c>
      <x:c r="E53" s="398">
        <x:f t="shared" si="0"/>
        <x:v>0</x:v>
      </x:c>
      <x:c r="F53" s="246">
        <x:f t="shared" si="1"/>
        <x:v>0</x:v>
      </x:c>
    </x:row>
    <x:row r="54" spans="1:6" x14ac:dyDescent="0.25">
      <x:c r="A54" s="638" t="s">
        <x:v>1046</x:v>
      </x:c>
      <x:c r="B54" s="440">
        <x:v>45470</x:v>
      </x:c>
      <x:c r="C54" s="178">
        <x:v>2605163.88</x:v>
      </x:c>
      <x:c r="D54" s="440">
        <x:v>45470</x:v>
      </x:c>
      <x:c r="E54" s="398">
        <x:f t="shared" si="0"/>
        <x:v>0</x:v>
      </x:c>
      <x:c r="F54" s="246">
        <x:f t="shared" si="1"/>
        <x:v>0</x:v>
      </x:c>
    </x:row>
    <x:row r="55" spans="1:6" x14ac:dyDescent="0.25">
      <x:c r="A55" s="638" t="s">
        <x:v>1047</x:v>
      </x:c>
      <x:c r="B55" s="440">
        <x:v>45471</x:v>
      </x:c>
      <x:c r="C55" s="178">
        <x:v>104528.82</x:v>
      </x:c>
      <x:c r="D55" s="440">
        <x:v>45471</x:v>
      </x:c>
      <x:c r="E55" s="398">
        <x:f t="shared" si="0"/>
        <x:v>0</x:v>
      </x:c>
      <x:c r="F55" s="246">
        <x:f t="shared" si="1"/>
        <x:v>0</x:v>
      </x:c>
    </x:row>
    <x:row r="56" spans="1:6" x14ac:dyDescent="0.25">
      <x:c r="A56" s="638" t="s">
        <x:v>1048</x:v>
      </x:c>
      <x:c r="B56" s="440">
        <x:v>45484</x:v>
      </x:c>
      <x:c r="C56" s="178">
        <x:v>2600209.36</x:v>
      </x:c>
      <x:c r="D56" s="440">
        <x:v>45484</x:v>
      </x:c>
      <x:c r="E56" s="398">
        <x:f t="shared" si="0"/>
        <x:v>0</x:v>
      </x:c>
      <x:c r="F56" s="246">
        <x:f t="shared" si="1"/>
        <x:v>0</x:v>
      </x:c>
    </x:row>
    <x:row r="57" spans="1:6" x14ac:dyDescent="0.25">
      <x:c r="A57" s="638" t="s">
        <x:v>1049</x:v>
      </x:c>
      <x:c r="B57" s="440">
        <x:v>45498</x:v>
      </x:c>
      <x:c r="C57" s="178">
        <x:v>2864412.98</x:v>
      </x:c>
      <x:c r="D57" s="440">
        <x:v>45498</x:v>
      </x:c>
      <x:c r="E57" s="398">
        <x:f t="shared" si="0"/>
        <x:v>0</x:v>
      </x:c>
      <x:c r="F57" s="246">
        <x:f t="shared" si="1"/>
        <x:v>0</x:v>
      </x:c>
    </x:row>
    <x:row r="58" spans="1:6" x14ac:dyDescent="0.25">
      <x:c r="A58" s="638" t="s">
        <x:v>1050</x:v>
      </x:c>
      <x:c r="B58" s="440">
        <x:v>45504</x:v>
      </x:c>
      <x:c r="C58" s="178">
        <x:v>9355.8700000000008</x:v>
      </x:c>
      <x:c r="D58" s="440">
        <x:v>45504</x:v>
      </x:c>
      <x:c r="E58" s="398">
        <x:f t="shared" si="0"/>
        <x:v>0</x:v>
      </x:c>
      <x:c r="F58" s="246">
        <x:f t="shared" si="1"/>
        <x:v>0</x:v>
      </x:c>
    </x:row>
    <x:row r="59" spans="1:6" x14ac:dyDescent="0.25">
      <x:c r="A59" s="638" t="s">
        <x:v>1051</x:v>
      </x:c>
      <x:c r="B59" s="440">
        <x:v>45502</x:v>
      </x:c>
      <x:c r="C59" s="178">
        <x:v>21023.599999999999</x:v>
      </x:c>
      <x:c r="D59" s="440">
        <x:v>45502</x:v>
      </x:c>
      <x:c r="E59" s="398">
        <x:f t="shared" si="0"/>
        <x:v>0</x:v>
      </x:c>
      <x:c r="F59" s="246">
        <x:f t="shared" si="1"/>
        <x:v>0</x:v>
      </x:c>
    </x:row>
    <x:row r="60" spans="1:6" x14ac:dyDescent="0.25">
      <x:c r="A60" s="638" t="s">
        <x:v>1052</x:v>
      </x:c>
      <x:c r="B60" s="440">
        <x:v>45512</x:v>
      </x:c>
      <x:c r="C60" s="178">
        <x:v>2491084.2000000002</x:v>
      </x:c>
      <x:c r="D60" s="440">
        <x:v>45512</x:v>
      </x:c>
      <x:c r="E60" s="398">
        <x:f t="shared" si="0"/>
        <x:v>0</x:v>
      </x:c>
      <x:c r="F60" s="246">
        <x:f t="shared" si="1"/>
        <x:v>0</x:v>
      </x:c>
    </x:row>
    <x:row r="61" spans="1:6" x14ac:dyDescent="0.25">
      <x:c r="A61" s="638" t="s">
        <x:v>1053</x:v>
      </x:c>
      <x:c r="B61" s="440">
        <x:v>45526</x:v>
      </x:c>
      <x:c r="C61" s="178">
        <x:v>3557835.65</x:v>
      </x:c>
      <x:c r="D61" s="440">
        <x:v>45526</x:v>
      </x:c>
      <x:c r="E61" s="398">
        <x:f t="shared" si="0"/>
        <x:v>0</x:v>
      </x:c>
      <x:c r="F61" s="246">
        <x:f t="shared" si="1"/>
        <x:v>0</x:v>
      </x:c>
    </x:row>
    <x:row r="62" spans="1:6" x14ac:dyDescent="0.25">
      <x:c r="A62" s="638" t="s">
        <x:v>1054</x:v>
      </x:c>
      <x:c r="B62" s="440">
        <x:v>45533</x:v>
      </x:c>
      <x:c r="C62" s="178">
        <x:v>26632.2</x:v>
      </x:c>
      <x:c r="D62" s="440">
        <x:v>45533</x:v>
      </x:c>
      <x:c r="E62" s="398">
        <x:f t="shared" si="0"/>
        <x:v>0</x:v>
      </x:c>
      <x:c r="F62" s="246">
        <x:f t="shared" si="1"/>
        <x:v>0</x:v>
      </x:c>
    </x:row>
    <x:row r="63" spans="1:6" x14ac:dyDescent="0.25">
      <x:c r="A63" s="638" t="s">
        <x:v>1055</x:v>
      </x:c>
      <x:c r="B63" s="440">
        <x:v>45540</x:v>
      </x:c>
      <x:c r="C63" s="178">
        <x:v>2375521.2999999998</x:v>
      </x:c>
      <x:c r="D63" s="440">
        <x:v>45540</x:v>
      </x:c>
      <x:c r="E63" s="398">
        <x:f t="shared" si="0"/>
        <x:v>0</x:v>
      </x:c>
      <x:c r="F63" s="246">
        <x:f t="shared" si="1"/>
        <x:v>0</x:v>
      </x:c>
    </x:row>
    <x:row r="64" spans="1:6" x14ac:dyDescent="0.25">
      <x:c r="A64" s="638" t="s">
        <x:v>1056</x:v>
      </x:c>
      <x:c r="B64" s="440">
        <x:v>45541</x:v>
      </x:c>
      <x:c r="C64" s="178">
        <x:v>124444.94</x:v>
      </x:c>
      <x:c r="D64" s="440">
        <x:v>45541</x:v>
      </x:c>
      <x:c r="E64" s="398">
        <x:f t="shared" si="0"/>
        <x:v>0</x:v>
      </x:c>
      <x:c r="F64" s="246">
        <x:f t="shared" si="1"/>
        <x:v>0</x:v>
      </x:c>
    </x:row>
    <x:row r="65" spans="1:6" x14ac:dyDescent="0.25">
      <x:c r="A65" s="638" t="s">
        <x:v>1057</x:v>
      </x:c>
      <x:c r="B65" s="440">
        <x:v>45547</x:v>
      </x:c>
      <x:c r="C65" s="178">
        <x:v>401.75</x:v>
      </x:c>
      <x:c r="D65" s="440">
        <x:v>45547</x:v>
      </x:c>
      <x:c r="E65" s="398">
        <x:f t="shared" si="0"/>
        <x:v>0</x:v>
      </x:c>
      <x:c r="F65" s="246">
        <x:f t="shared" si="1"/>
        <x:v>0</x:v>
      </x:c>
    </x:row>
    <x:row r="66" spans="1:6" x14ac:dyDescent="0.25">
      <x:c r="A66" s="638" t="s">
        <x:v>1058</x:v>
      </x:c>
      <x:c r="B66" s="440">
        <x:v>45551</x:v>
      </x:c>
      <x:c r="C66" s="178">
        <x:v>81139.38</x:v>
      </x:c>
      <x:c r="D66" s="440">
        <x:v>45551</x:v>
      </x:c>
      <x:c r="E66" s="398">
        <x:f t="shared" si="0"/>
        <x:v>0</x:v>
      </x:c>
      <x:c r="F66" s="246">
        <x:f t="shared" si="1"/>
        <x:v>0</x:v>
      </x:c>
    </x:row>
    <x:row r="67" spans="1:6" x14ac:dyDescent="0.25">
      <x:c r="A67" s="638" t="s">
        <x:v>1059</x:v>
      </x:c>
      <x:c r="B67" s="440">
        <x:v>45554</x:v>
      </x:c>
      <x:c r="C67" s="178">
        <x:v>2486373.9900000002</x:v>
      </x:c>
      <x:c r="D67" s="440">
        <x:v>45554</x:v>
      </x:c>
      <x:c r="E67" s="398">
        <x:f t="shared" si="0"/>
        <x:v>0</x:v>
      </x:c>
      <x:c r="F67" s="246">
        <x:f t="shared" si="1"/>
        <x:v>0</x:v>
      </x:c>
    </x:row>
    <x:row r="68" spans="1:6" x14ac:dyDescent="0.25">
      <x:c r="A68" s="638" t="s">
        <x:v>1060</x:v>
      </x:c>
      <x:c r="B68" s="440"/>
      <x:c r="C68" s="246"/>
      <x:c r="D68" s="440"/>
      <x:c r="E68" s="398"/>
      <x:c r="F68" s="246"/>
    </x:row>
    <x:row r="69" spans="1:6" ht="13.25" thickBot="1" x14ac:dyDescent="0.3">
      <x:c r="A69" s="638" t="s">
        <x:v>1061</x:v>
      </x:c>
      <x:c r="B69" s="188" t="s">
        <x:v>26</x:v>
      </x:c>
      <x:c r="C69" s="399">
        <x:f>SUM(C10:C68)</x:f>
        <x:v>86339013.989999995</x:v>
      </x:c>
      <x:c r="E69" s="400">
        <x:f>ROUND(F69/C69,2)</x:f>
        <x:v>0</x:v>
      </x:c>
      <x:c r="F69" s="399">
        <x:f>SUM(F10:F68)</x:f>
        <x:v>0</x:v>
      </x:c>
    </x:row>
    <x:row r="70" spans="1:6" ht="13.25" thickTop="1" x14ac:dyDescent="0.25">
      <x:c r="A70" s="638" t="s">
        <x:v>1062</x:v>
      </x:c>
      <x:c r="C70" s="196"/>
      <x:c r="E70" s="161"/>
      <x:c r="F70" s="45"/>
    </x:row>
    <x:row r="71" spans="1:6" x14ac:dyDescent="0.25">
      <x:c r="A71" s="638" t="s">
        <x:v>1063</x:v>
      </x:c>
      <x:c r="B71" s="636" t="s">
        <x:v>503</x:v>
      </x:c>
      <x:c r="C71" s="196"/>
      <x:c r="E71" s="401">
        <x:f>+ROUND(C69/365.25,0)</x:f>
        <x:v>236383</x:v>
      </x:c>
      <x:c r="F71" s="45"/>
    </x:row>
    <x:row r="72" spans="1:6" x14ac:dyDescent="0.25">
      <x:c r="A72" s="638" t="s">
        <x:v>1064</x:v>
      </x:c>
      <x:c r="C72" s="196"/>
      <x:c r="E72" s="162"/>
      <x:c r="F72" s="45"/>
    </x:row>
    <x:row r="73" spans="1:6" x14ac:dyDescent="0.25">
      <x:c r="A73" s="638" t="s">
        <x:v>1065</x:v>
      </x:c>
      <x:c r="B73" s="636" t="s">
        <x:v>504</x:v>
      </x:c>
      <x:c r="C73" s="231"/>
      <x:c r="E73" s="446">
        <x:f>+E69</x:f>
        <x:v>0</x:v>
      </x:c>
      <x:c r="F73" s="45"/>
    </x:row>
    <x:row r="74" spans="1:6" x14ac:dyDescent="0.25">
      <x:c r="A74" s="638" t="s">
        <x:v>1066</x:v>
      </x:c>
      <x:c r="E74" s="9"/>
    </x:row>
    <x:row r="75" spans="1:6" ht="13.25" thickBot="1" x14ac:dyDescent="0.3">
      <x:c r="A75" s="638" t="s">
        <x:v>989</x:v>
      </x:c>
      <x:c r="B75" s="636" t="s">
        <x:v>505</x:v>
      </x:c>
      <x:c r="C75" s="190"/>
      <x:c r="E75" s="402">
        <x:f>+ROUND(E71*E73,0)</x:f>
        <x:v>0</x:v>
      </x:c>
    </x:row>
    <x:row r="76" spans="1:6" ht="13.25" thickTop="1" x14ac:dyDescent="0.25">
      <x:c r="A76" s="638" t="s">
        <x:v>990</x:v>
      </x:c>
    </x:row>
    <x:row r="77" spans="1:6" x14ac:dyDescent="0.25">
      <x:c r="A77" s="638" t="s">
        <x:v>991</x:v>
      </x:c>
      <x:c r="B77" s="31" t="s">
        <x:v>230</x:v>
      </x:c>
      <x:c r="C77" s="290" t="s">
        <x:v>447</x:v>
      </x:c>
    </x:row>
  </x:sheetData>
  <x:mergeCells count="1">
    <x:mergeCell ref="A3:F3"/>
  </x:mergeCells>
  <x:phoneticPr fontId="0" type="noConversion"/>
  <x:hyperlinks>
    <x:hyperlink ref="C77" r:id="rId1" xr:uid="{00000000-0004-0000-3100-000000000000}"/>
  </x:hyperlinks>
  <x:printOptions horizontalCentered="1"/>
  <x:pageMargins left="0.5" right="0.5" top="1.5" bottom="0.5" header="1" footer="0.5"/>
  <x:pageSetup fitToHeight="4" orientation="landscape" r:id="rId2"/>
  <x:headerFooter alignWithMargins="0">
    <x:oddHeader>&amp;RWP/II-B-9/&amp;A
Page &amp;P of &amp;N</x:oddHeader>
  </x:headerFooter>
  <x:rowBreaks count="2" manualBreakCount="2">
    <x:brk id="34" max="16383" man="1"/>
    <x:brk id="59" max="16383" man="1"/>
  </x:rowBreaks>
</x:worksheet>
</file>

<file path=xl/worksheets/sheet5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200-000000000000}" mc:Ignorable="x14ac xr xr2 xr3">
  <x:sheetPr codeName="Sheet47">
    <x:tabColor rgb="FF92D050"/>
  </x:sheetPr>
  <x:dimension ref="A1:H75"/>
  <x:sheetViews>
    <x:sheetView topLeftCell="A52" zoomScaleNormal="100" zoomScaleSheetLayoutView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17.44140625" style="1" customWidth="1"/>
    <x:col min="3" max="3" width="16.88671875" style="1" customWidth="1"/>
    <x:col min="4" max="4" width="13.44140625" style="1" customWidth="1"/>
    <x:col min="5" max="5" width="16.5546875" style="1" bestFit="1" customWidth="1"/>
    <x:col min="6" max="6" width="21.5546875" style="1" bestFit="1" customWidth="1"/>
    <x:col min="7" max="12" width="9.109375" style="1"/>
    <x:col min="13" max="13" width="9" style="1" customWidth="1"/>
    <x:col min="14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41" customFormat="1" x14ac:dyDescent="0.25">
      <x:c r="A3" s="833" t="s">
        <x:v>165</x:v>
      </x:c>
      <x:c r="B3" s="833"/>
      <x:c r="C3" s="833"/>
      <x:c r="D3" s="833"/>
      <x:c r="E3" s="833"/>
      <x:c r="F3" s="833"/>
    </x:row>
    <x:row r="4" spans="1:8" s="41" customFormat="1" x14ac:dyDescent="0.25">
      <x:c r="A4" s="767" t="s">
        <x:v>524</x:v>
      </x:c>
      <x:c r="B4" s="180"/>
      <x:c r="C4" s="180"/>
      <x:c r="D4" s="180"/>
      <x:c r="E4" s="180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8" ht="25.35" x14ac:dyDescent="0.25">
      <x:c r="A7" s="32" t="s">
        <x:v>65</x:v>
      </x:c>
      <x:c r="B7" s="32" t="s">
        <x:v>156</x:v>
      </x:c>
      <x:c r="C7" s="32" t="s">
        <x:v>244</x:v>
      </x:c>
      <x:c r="D7" s="32" t="s">
        <x:v>154</x:v>
      </x:c>
      <x:c r="E7" s="32" t="s">
        <x:v>44</x:v>
      </x:c>
      <x:c r="F7" s="32" t="s">
        <x:v>38</x:v>
      </x:c>
      <x:c r="G7" s="26"/>
    </x:row>
    <x:row r="8" spans="1:8" x14ac:dyDescent="0.25">
      <x:c r="A8" s="38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  <x:c r="G8" s="26"/>
    </x:row>
    <x:row r="9" spans="1:8" x14ac:dyDescent="0.25">
      <x:c r="A9" s="38"/>
      <x:c r="B9" s="40"/>
      <x:c r="C9" s="40"/>
      <x:c r="D9" s="40"/>
      <x:c r="E9" s="40"/>
      <x:c r="F9" s="40"/>
      <x:c r="G9" s="26"/>
    </x:row>
    <x:row r="10" spans="1:8" x14ac:dyDescent="0.25">
      <x:c r="A10" s="40">
        <x:v>1</x:v>
      </x:c>
      <x:c r="B10" s="440">
        <x:v>45198</x:v>
      </x:c>
      <x:c r="C10" s="178">
        <x:v>499424.86</x:v>
      </x:c>
      <x:c r="D10" s="440">
        <x:v>45205</x:v>
      </x:c>
      <x:c r="E10" s="377">
        <x:f>-D10+B10</x:f>
        <x:v>-7</x:v>
      </x:c>
      <x:c r="F10" s="178">
        <x:f>E10*C10</x:f>
        <x:v>-3495974.02</x:v>
      </x:c>
      <x:c r="G10" s="26"/>
    </x:row>
    <x:row r="11" spans="1:8" x14ac:dyDescent="0.25">
      <x:c r="A11" s="40">
        <x:v>2</x:v>
      </x:c>
      <x:c r="B11" s="440">
        <x:v>45198</x:v>
      </x:c>
      <x:c r="C11" s="178">
        <x:v>113832.51</x:v>
      </x:c>
      <x:c r="D11" s="440">
        <x:v>45205</x:v>
      </x:c>
      <x:c r="E11" s="377">
        <x:f t="shared" ref="E11:E16" si="0">-D11+B11</x:f>
        <x:v>-7</x:v>
      </x:c>
      <x:c r="F11" s="246">
        <x:f t="shared" ref="F11:F16" si="1">E11*C11</x:f>
        <x:v>-796827.57</x:v>
      </x:c>
      <x:c r="G11" s="26"/>
    </x:row>
    <x:row r="12" spans="1:8" x14ac:dyDescent="0.25">
      <x:c r="A12" s="40">
        <x:v>3</x:v>
      </x:c>
      <x:c r="B12" s="440">
        <x:v>45212</x:v>
      </x:c>
      <x:c r="C12" s="178">
        <x:v>498203.36</x:v>
      </x:c>
      <x:c r="D12" s="440">
        <x:v>45219</x:v>
      </x:c>
      <x:c r="E12" s="377">
        <x:f t="shared" si="0"/>
        <x:v>-7</x:v>
      </x:c>
      <x:c r="F12" s="246">
        <x:f t="shared" si="1"/>
        <x:v>-3487423.52</x:v>
      </x:c>
      <x:c r="G12" s="26"/>
    </x:row>
    <x:row r="13" spans="1:8" x14ac:dyDescent="0.25">
      <x:c r="A13" s="40">
        <x:v>4</x:v>
      </x:c>
      <x:c r="B13" s="440">
        <x:v>45212</x:v>
      </x:c>
      <x:c r="C13" s="178">
        <x:v>116010.53</x:v>
      </x:c>
      <x:c r="D13" s="440">
        <x:v>45219</x:v>
      </x:c>
      <x:c r="E13" s="377">
        <x:f t="shared" si="0"/>
        <x:v>-7</x:v>
      </x:c>
      <x:c r="F13" s="246">
        <x:f t="shared" si="1"/>
        <x:v>-812073.71</x:v>
      </x:c>
      <x:c r="G13" s="26"/>
    </x:row>
    <x:row r="14" spans="1:8" x14ac:dyDescent="0.25">
      <x:c r="A14" s="40">
        <x:v>5</x:v>
      </x:c>
      <x:c r="B14" s="440">
        <x:v>45230</x:v>
      </x:c>
      <x:c r="C14" s="178">
        <x:v>113040.38</x:v>
      </x:c>
      <x:c r="D14" s="440">
        <x:v>45237</x:v>
      </x:c>
      <x:c r="E14" s="377">
        <x:f t="shared" si="0"/>
        <x:v>-7</x:v>
      </x:c>
      <x:c r="F14" s="246">
        <x:f t="shared" si="1"/>
        <x:v>-791282.66</x:v>
      </x:c>
      <x:c r="G14" s="26"/>
    </x:row>
    <x:row r="15" spans="1:8" x14ac:dyDescent="0.25">
      <x:c r="A15" s="40">
        <x:v>6</x:v>
      </x:c>
      <x:c r="B15" s="440">
        <x:v>45230</x:v>
      </x:c>
      <x:c r="C15" s="178">
        <x:v>499946.3</x:v>
      </x:c>
      <x:c r="D15" s="440">
        <x:v>45237</x:v>
      </x:c>
      <x:c r="E15" s="377">
        <x:f t="shared" si="0"/>
        <x:v>-7</x:v>
      </x:c>
      <x:c r="F15" s="246">
        <x:f t="shared" si="1"/>
        <x:v>-3499624.1</x:v>
      </x:c>
      <x:c r="G15" s="26"/>
    </x:row>
    <x:row r="16" spans="1:8" x14ac:dyDescent="0.25">
      <x:c r="A16" s="40">
        <x:v>7</x:v>
      </x:c>
      <x:c r="B16" s="440">
        <x:v>45245</x:v>
      </x:c>
      <x:c r="C16" s="178">
        <x:v>113112.26</x:v>
      </x:c>
      <x:c r="D16" s="440">
        <x:v>45252</x:v>
      </x:c>
      <x:c r="E16" s="377">
        <x:f t="shared" si="0"/>
        <x:v>-7</x:v>
      </x:c>
      <x:c r="F16" s="246">
        <x:f t="shared" si="1"/>
        <x:v>-791785.82</x:v>
      </x:c>
      <x:c r="G16" s="26"/>
    </x:row>
    <x:row r="17" spans="1:7" x14ac:dyDescent="0.25">
      <x:c r="A17" s="40">
        <x:v>8</x:v>
      </x:c>
      <x:c r="B17" s="440">
        <x:v>45245</x:v>
      </x:c>
      <x:c r="C17" s="178">
        <x:v>505379.4</x:v>
      </x:c>
      <x:c r="D17" s="440">
        <x:v>45252</x:v>
      </x:c>
      <x:c r="E17" s="377">
        <x:f t="shared" ref="E17:E31" si="2">-D17+B17</x:f>
        <x:v>-7</x:v>
      </x:c>
      <x:c r="F17" s="246">
        <x:f t="shared" ref="F17:F31" si="3">E17*C17</x:f>
        <x:v>-3537655.8000000003</x:v>
      </x:c>
      <x:c r="G17" s="26"/>
    </x:row>
    <x:row r="18" spans="1:7" x14ac:dyDescent="0.25">
      <x:c r="A18" s="40">
        <x:v>9</x:v>
      </x:c>
      <x:c r="B18" s="440">
        <x:v>45260</x:v>
      </x:c>
      <x:c r="C18" s="178">
        <x:v>110319.21</x:v>
      </x:c>
      <x:c r="D18" s="440">
        <x:v>45267</x:v>
      </x:c>
      <x:c r="E18" s="377">
        <x:f t="shared" si="2"/>
        <x:v>-7</x:v>
      </x:c>
      <x:c r="F18" s="246">
        <x:f t="shared" si="3"/>
        <x:v>-772234.47000000009</x:v>
      </x:c>
      <x:c r="G18" s="26"/>
    </x:row>
    <x:row r="19" spans="1:7" x14ac:dyDescent="0.25">
      <x:c r="A19" s="40">
        <x:v>10</x:v>
      </x:c>
      <x:c r="B19" s="440">
        <x:v>45260</x:v>
      </x:c>
      <x:c r="C19" s="178">
        <x:v>507542.14</x:v>
      </x:c>
      <x:c r="D19" s="440">
        <x:v>45267</x:v>
      </x:c>
      <x:c r="E19" s="377">
        <x:f t="shared" si="2"/>
        <x:v>-7</x:v>
      </x:c>
      <x:c r="F19" s="246">
        <x:f t="shared" si="3"/>
        <x:v>-3552794.98</x:v>
      </x:c>
      <x:c r="G19" s="26"/>
    </x:row>
    <x:row r="20" spans="1:7" x14ac:dyDescent="0.25">
      <x:c r="A20" s="40">
        <x:v>11</x:v>
      </x:c>
      <x:c r="B20" s="440">
        <x:v>45275</x:v>
      </x:c>
      <x:c r="C20" s="178">
        <x:v>106485.56</x:v>
      </x:c>
      <x:c r="D20" s="440">
        <x:v>45282</x:v>
      </x:c>
      <x:c r="E20" s="377">
        <x:f t="shared" si="2"/>
        <x:v>-7</x:v>
      </x:c>
      <x:c r="F20" s="246">
        <x:f t="shared" si="3"/>
        <x:v>-745398.91999999993</x:v>
      </x:c>
      <x:c r="G20" s="26"/>
    </x:row>
    <x:row r="21" spans="1:7" x14ac:dyDescent="0.25">
      <x:c r="A21" s="40">
        <x:v>12</x:v>
      </x:c>
      <x:c r="B21" s="440">
        <x:v>45275</x:v>
      </x:c>
      <x:c r="C21" s="178">
        <x:v>512090.35</x:v>
      </x:c>
      <x:c r="D21" s="440">
        <x:v>45282</x:v>
      </x:c>
      <x:c r="E21" s="377">
        <x:f t="shared" si="2"/>
        <x:v>-7</x:v>
      </x:c>
      <x:c r="F21" s="246">
        <x:f t="shared" si="3"/>
        <x:v>-3584632.4499999997</x:v>
      </x:c>
      <x:c r="G21" s="26"/>
    </x:row>
    <x:row r="22" spans="1:7" x14ac:dyDescent="0.25">
      <x:c r="A22" s="40">
        <x:v>13</x:v>
      </x:c>
      <x:c r="B22" s="440">
        <x:v>45289</x:v>
      </x:c>
      <x:c r="C22" s="178">
        <x:v>103139.86</x:v>
      </x:c>
      <x:c r="D22" s="440">
        <x:v>45296</x:v>
      </x:c>
      <x:c r="E22" s="377">
        <x:f t="shared" si="2"/>
        <x:v>-7</x:v>
      </x:c>
      <x:c r="F22" s="246">
        <x:f t="shared" si="3"/>
        <x:v>-721979.02</x:v>
      </x:c>
      <x:c r="G22" s="26"/>
    </x:row>
    <x:row r="23" spans="1:7" x14ac:dyDescent="0.25">
      <x:c r="A23" s="40">
        <x:v>14</x:v>
      </x:c>
      <x:c r="B23" s="440">
        <x:v>45289</x:v>
      </x:c>
      <x:c r="C23" s="178">
        <x:v>507997.58</x:v>
      </x:c>
      <x:c r="D23" s="440">
        <x:v>45296</x:v>
      </x:c>
      <x:c r="E23" s="377">
        <x:f t="shared" si="2"/>
        <x:v>-7</x:v>
      </x:c>
      <x:c r="F23" s="246">
        <x:f t="shared" si="3"/>
        <x:v>-3555983.06</x:v>
      </x:c>
      <x:c r="G23" s="26"/>
    </x:row>
    <x:row r="24" spans="1:7" x14ac:dyDescent="0.25">
      <x:c r="A24" s="40">
        <x:v>15</x:v>
      </x:c>
      <x:c r="B24" s="440">
        <x:v>45303</x:v>
      </x:c>
      <x:c r="C24" s="178">
        <x:v>486545.62</x:v>
      </x:c>
      <x:c r="D24" s="440">
        <x:v>45310</x:v>
      </x:c>
      <x:c r="E24" s="377">
        <x:f t="shared" si="2"/>
        <x:v>-7</x:v>
      </x:c>
      <x:c r="F24" s="246">
        <x:f t="shared" si="3"/>
        <x:v>-3405819.34</x:v>
      </x:c>
      <x:c r="G24" s="26"/>
    </x:row>
    <x:row r="25" spans="1:7" x14ac:dyDescent="0.25">
      <x:c r="A25" s="40">
        <x:v>16</x:v>
      </x:c>
      <x:c r="B25" s="440">
        <x:v>45303</x:v>
      </x:c>
      <x:c r="C25" s="178">
        <x:v>118422.36</x:v>
      </x:c>
      <x:c r="D25" s="440">
        <x:v>45310</x:v>
      </x:c>
      <x:c r="E25" s="377">
        <x:f t="shared" si="2"/>
        <x:v>-7</x:v>
      </x:c>
      <x:c r="F25" s="246">
        <x:f t="shared" si="3"/>
        <x:v>-828956.52</x:v>
      </x:c>
      <x:c r="G25" s="26"/>
    </x:row>
    <x:row r="26" spans="1:7" x14ac:dyDescent="0.25">
      <x:c r="A26" s="40">
        <x:v>17</x:v>
      </x:c>
      <x:c r="B26" s="440">
        <x:v>45317</x:v>
      </x:c>
      <x:c r="C26" s="178">
        <x:v>489770.05</x:v>
      </x:c>
      <x:c r="D26" s="440">
        <x:v>45324</x:v>
      </x:c>
      <x:c r="E26" s="377">
        <x:f t="shared" si="2"/>
        <x:v>-7</x:v>
      </x:c>
      <x:c r="F26" s="246">
        <x:f t="shared" si="3"/>
        <x:v>-3428390.35</x:v>
      </x:c>
      <x:c r="G26" s="26"/>
    </x:row>
    <x:row r="27" spans="1:7" x14ac:dyDescent="0.25">
      <x:c r="A27" s="40">
        <x:v>18</x:v>
      </x:c>
      <x:c r="B27" s="440">
        <x:v>45317</x:v>
      </x:c>
      <x:c r="C27" s="178">
        <x:v>117582.59</x:v>
      </x:c>
      <x:c r="D27" s="440">
        <x:v>45324</x:v>
      </x:c>
      <x:c r="E27" s="377">
        <x:f t="shared" si="2"/>
        <x:v>-7</x:v>
      </x:c>
      <x:c r="F27" s="246">
        <x:f t="shared" si="3"/>
        <x:v>-823078.13</x:v>
      </x:c>
      <x:c r="G27" s="26"/>
    </x:row>
    <x:row r="28" spans="1:7" x14ac:dyDescent="0.25">
      <x:c r="A28" s="40">
        <x:v>19</x:v>
      </x:c>
      <x:c r="B28" s="440">
        <x:v>45331</x:v>
      </x:c>
      <x:c r="C28" s="178">
        <x:v>119896.25</x:v>
      </x:c>
      <x:c r="D28" s="440">
        <x:v>45338</x:v>
      </x:c>
      <x:c r="E28" s="377">
        <x:f t="shared" si="2"/>
        <x:v>-7</x:v>
      </x:c>
      <x:c r="F28" s="246">
        <x:f t="shared" si="3"/>
        <x:v>-839273.75</x:v>
      </x:c>
      <x:c r="G28" s="26"/>
    </x:row>
    <x:row r="29" spans="1:7" x14ac:dyDescent="0.25">
      <x:c r="A29" s="40">
        <x:v>20</x:v>
      </x:c>
      <x:c r="B29" s="440">
        <x:v>45331</x:v>
      </x:c>
      <x:c r="C29" s="178">
        <x:v>501650.96</x:v>
      </x:c>
      <x:c r="D29" s="440">
        <x:v>45338</x:v>
      </x:c>
      <x:c r="E29" s="377">
        <x:f t="shared" si="2"/>
        <x:v>-7</x:v>
      </x:c>
      <x:c r="F29" s="246">
        <x:f t="shared" si="3"/>
        <x:v>-3511556.72</x:v>
      </x:c>
      <x:c r="G29" s="26"/>
    </x:row>
    <x:row r="30" spans="1:7" x14ac:dyDescent="0.25">
      <x:c r="A30" s="40">
        <x:v>21</x:v>
      </x:c>
      <x:c r="B30" s="440">
        <x:v>45345</x:v>
      </x:c>
      <x:c r="C30" s="178">
        <x:v>484153.38</x:v>
      </x:c>
      <x:c r="D30" s="440">
        <x:v>45352</x:v>
      </x:c>
      <x:c r="E30" s="377">
        <x:f t="shared" si="2"/>
        <x:v>-7</x:v>
      </x:c>
      <x:c r="F30" s="246">
        <x:f t="shared" si="3"/>
        <x:v>-3389073.66</x:v>
      </x:c>
      <x:c r="G30" s="26"/>
    </x:row>
    <x:row r="31" spans="1:7" x14ac:dyDescent="0.25">
      <x:c r="A31" s="40">
        <x:v>22</x:v>
      </x:c>
      <x:c r="B31" s="440">
        <x:v>45345</x:v>
      </x:c>
      <x:c r="C31" s="178">
        <x:v>119147.92</x:v>
      </x:c>
      <x:c r="D31" s="440">
        <x:v>45352</x:v>
      </x:c>
      <x:c r="E31" s="377">
        <x:f t="shared" si="2"/>
        <x:v>-7</x:v>
      </x:c>
      <x:c r="F31" s="246">
        <x:f t="shared" si="3"/>
        <x:v>-834035.44</x:v>
      </x:c>
      <x:c r="G31" s="26"/>
    </x:row>
    <x:row r="32" spans="1:7" x14ac:dyDescent="0.25">
      <x:c r="A32" s="40">
        <x:v>23</x:v>
      </x:c>
      <x:c r="B32" s="440">
        <x:v>45359</x:v>
      </x:c>
      <x:c r="C32" s="178">
        <x:v>125026.87</x:v>
      </x:c>
      <x:c r="D32" s="440">
        <x:v>45366</x:v>
      </x:c>
      <x:c r="E32" s="377">
        <x:f t="shared" ref="E32:E34" si="4">-D32+B32</x:f>
        <x:v>-7</x:v>
      </x:c>
      <x:c r="F32" s="246">
        <x:f t="shared" ref="F32:F34" si="5">E32*C32</x:f>
        <x:v>-875188.09</x:v>
      </x:c>
      <x:c r="G32" s="26"/>
    </x:row>
    <x:row r="33" spans="1:7" x14ac:dyDescent="0.25">
      <x:c r="A33" s="40">
        <x:v>24</x:v>
      </x:c>
      <x:c r="B33" s="440">
        <x:v>45359</x:v>
      </x:c>
      <x:c r="C33" s="178">
        <x:v>487515.6</x:v>
      </x:c>
      <x:c r="D33" s="440">
        <x:v>45366</x:v>
      </x:c>
      <x:c r="E33" s="377">
        <x:f t="shared" si="4"/>
        <x:v>-7</x:v>
      </x:c>
      <x:c r="F33" s="246">
        <x:f t="shared" si="5"/>
        <x:v>-3412609.1999999997</x:v>
      </x:c>
      <x:c r="G33" s="26"/>
    </x:row>
    <x:row r="34" spans="1:7" x14ac:dyDescent="0.25">
      <x:c r="A34" s="40">
        <x:v>25</x:v>
      </x:c>
      <x:c r="B34" s="440">
        <x:v>45373</x:v>
      </x:c>
      <x:c r="C34" s="178">
        <x:v>495276.4</x:v>
      </x:c>
      <x:c r="D34" s="440">
        <x:v>45383</x:v>
      </x:c>
      <x:c r="E34" s="377">
        <x:f t="shared" si="4"/>
        <x:v>-10</x:v>
      </x:c>
      <x:c r="F34" s="246">
        <x:f t="shared" si="5"/>
        <x:v>-4952764</x:v>
      </x:c>
      <x:c r="G34" s="26"/>
    </x:row>
    <x:row r="35" spans="1:7" x14ac:dyDescent="0.25">
      <x:c r="A35" s="40">
        <x:v>26</x:v>
      </x:c>
      <x:c r="B35" s="440">
        <x:v>45373</x:v>
      </x:c>
      <x:c r="C35" s="178">
        <x:v>126323.43</x:v>
      </x:c>
      <x:c r="D35" s="440">
        <x:v>45383</x:v>
      </x:c>
      <x:c r="E35" s="377">
        <x:f t="shared" ref="E35:E63" si="6">-D35+B35</x:f>
        <x:v>-10</x:v>
      </x:c>
      <x:c r="F35" s="246">
        <x:f t="shared" ref="F35:F63" si="7">E35*C35</x:f>
        <x:v>-1263234.2999999998</x:v>
      </x:c>
      <x:c r="G35" s="26"/>
    </x:row>
    <x:row r="36" spans="1:7" x14ac:dyDescent="0.25">
      <x:c r="A36" s="40">
        <x:v>27</x:v>
      </x:c>
      <x:c r="B36" s="440">
        <x:v>45387</x:v>
      </x:c>
      <x:c r="C36" s="178">
        <x:v>126860.02</x:v>
      </x:c>
      <x:c r="D36" s="440">
        <x:v>45394</x:v>
      </x:c>
      <x:c r="E36" s="377">
        <x:f t="shared" si="6"/>
        <x:v>-7</x:v>
      </x:c>
      <x:c r="F36" s="246">
        <x:f t="shared" si="7"/>
        <x:v>-888020.14</x:v>
      </x:c>
      <x:c r="G36" s="26"/>
    </x:row>
    <x:row r="37" spans="1:7" x14ac:dyDescent="0.25">
      <x:c r="A37" s="40">
        <x:v>28</x:v>
      </x:c>
      <x:c r="B37" s="440">
        <x:v>45387</x:v>
      </x:c>
      <x:c r="C37" s="178">
        <x:v>509345.1</x:v>
      </x:c>
      <x:c r="D37" s="440">
        <x:v>45394</x:v>
      </x:c>
      <x:c r="E37" s="377">
        <x:f t="shared" si="6"/>
        <x:v>-7</x:v>
      </x:c>
      <x:c r="F37" s="246">
        <x:f t="shared" si="7"/>
        <x:v>-3565415.6999999997</x:v>
      </x:c>
      <x:c r="G37" s="26"/>
    </x:row>
    <x:row r="38" spans="1:7" x14ac:dyDescent="0.25">
      <x:c r="A38" s="797" t="s">
        <x:v>1030</x:v>
      </x:c>
      <x:c r="B38" s="440">
        <x:v>45401</x:v>
      </x:c>
      <x:c r="C38" s="178">
        <x:v>496116.08</x:v>
      </x:c>
      <x:c r="D38" s="440">
        <x:v>45408</x:v>
      </x:c>
      <x:c r="E38" s="377">
        <x:f t="shared" si="6"/>
        <x:v>-7</x:v>
      </x:c>
      <x:c r="F38" s="246">
        <x:f t="shared" si="7"/>
        <x:v>-3472812.56</x:v>
      </x:c>
    </x:row>
    <x:row r="39" spans="1:7" x14ac:dyDescent="0.25">
      <x:c r="A39" s="797" t="s">
        <x:v>1031</x:v>
      </x:c>
      <x:c r="B39" s="440">
        <x:v>45401</x:v>
      </x:c>
      <x:c r="C39" s="178">
        <x:v>130087.11</x:v>
      </x:c>
      <x:c r="D39" s="440">
        <x:v>45408</x:v>
      </x:c>
      <x:c r="E39" s="377">
        <x:f t="shared" si="6"/>
        <x:v>-7</x:v>
      </x:c>
      <x:c r="F39" s="246">
        <x:f t="shared" si="7"/>
        <x:v>-910609.77</x:v>
      </x:c>
    </x:row>
    <x:row r="40" spans="1:7" x14ac:dyDescent="0.25">
      <x:c r="A40" s="797" t="s">
        <x:v>1032</x:v>
      </x:c>
      <x:c r="B40" s="440">
        <x:v>45415</x:v>
      </x:c>
      <x:c r="C40" s="178">
        <x:v>129101.48</x:v>
      </x:c>
      <x:c r="D40" s="440">
        <x:v>45422</x:v>
      </x:c>
      <x:c r="E40" s="377">
        <x:f t="shared" si="6"/>
        <x:v>-7</x:v>
      </x:c>
      <x:c r="F40" s="246">
        <x:f t="shared" si="7"/>
        <x:v>-903710.36</x:v>
      </x:c>
    </x:row>
    <x:row r="41" spans="1:7" x14ac:dyDescent="0.25">
      <x:c r="A41" s="797" t="s">
        <x:v>1033</x:v>
      </x:c>
      <x:c r="B41" s="440">
        <x:v>45415</x:v>
      </x:c>
      <x:c r="C41" s="178">
        <x:v>501183.92</x:v>
      </x:c>
      <x:c r="D41" s="440">
        <x:v>45422</x:v>
      </x:c>
      <x:c r="E41" s="377">
        <x:f t="shared" si="6"/>
        <x:v>-7</x:v>
      </x:c>
      <x:c r="F41" s="246">
        <x:f t="shared" si="7"/>
        <x:v>-3508287.44</x:v>
      </x:c>
    </x:row>
    <x:row r="42" spans="1:7" x14ac:dyDescent="0.25">
      <x:c r="A42" s="797" t="s">
        <x:v>1034</x:v>
      </x:c>
      <x:c r="B42" s="440">
        <x:v>45429</x:v>
      </x:c>
      <x:c r="C42" s="178">
        <x:v>499829.88</x:v>
      </x:c>
      <x:c r="D42" s="440">
        <x:v>45436</x:v>
      </x:c>
      <x:c r="E42" s="377">
        <x:f t="shared" si="6"/>
        <x:v>-7</x:v>
      </x:c>
      <x:c r="F42" s="246">
        <x:f t="shared" si="7"/>
        <x:v>-3498809.16</x:v>
      </x:c>
    </x:row>
    <x:row r="43" spans="1:7" x14ac:dyDescent="0.25">
      <x:c r="A43" s="797" t="s">
        <x:v>1035</x:v>
      </x:c>
      <x:c r="B43" s="440">
        <x:v>45429</x:v>
      </x:c>
      <x:c r="C43" s="178">
        <x:v>132255.82</x:v>
      </x:c>
      <x:c r="D43" s="440">
        <x:v>45436</x:v>
      </x:c>
      <x:c r="E43" s="377">
        <x:f t="shared" si="6"/>
        <x:v>-7</x:v>
      </x:c>
      <x:c r="F43" s="246">
        <x:f t="shared" si="7"/>
        <x:v>-925790.74</x:v>
      </x:c>
    </x:row>
    <x:row r="44" spans="1:7" x14ac:dyDescent="0.25">
      <x:c r="A44" s="797" t="s">
        <x:v>1036</x:v>
      </x:c>
      <x:c r="B44" s="440">
        <x:v>45443</x:v>
      </x:c>
      <x:c r="C44" s="178">
        <x:v>495618.81</x:v>
      </x:c>
      <x:c r="D44" s="440">
        <x:v>45450</x:v>
      </x:c>
      <x:c r="E44" s="377">
        <x:f t="shared" si="6"/>
        <x:v>-7</x:v>
      </x:c>
      <x:c r="F44" s="246">
        <x:f t="shared" si="7"/>
        <x:v>-3469331.67</x:v>
      </x:c>
    </x:row>
    <x:row r="45" spans="1:7" x14ac:dyDescent="0.25">
      <x:c r="A45" s="797" t="s">
        <x:v>1037</x:v>
      </x:c>
      <x:c r="B45" s="440">
        <x:v>45443</x:v>
      </x:c>
      <x:c r="C45" s="178">
        <x:v>130185.65</x:v>
      </x:c>
      <x:c r="D45" s="440">
        <x:v>45450</x:v>
      </x:c>
      <x:c r="E45" s="377">
        <x:f t="shared" si="6"/>
        <x:v>-7</x:v>
      </x:c>
      <x:c r="F45" s="246">
        <x:f t="shared" si="7"/>
        <x:v>-911299.54999999993</x:v>
      </x:c>
    </x:row>
    <x:row r="46" spans="1:7" x14ac:dyDescent="0.25">
      <x:c r="A46" s="797" t="s">
        <x:v>1038</x:v>
      </x:c>
      <x:c r="B46" s="440">
        <x:v>45457</x:v>
      </x:c>
      <x:c r="C46" s="178">
        <x:v>498357.92</x:v>
      </x:c>
      <x:c r="D46" s="440">
        <x:v>45464</x:v>
      </x:c>
      <x:c r="E46" s="377">
        <x:f t="shared" si="6"/>
        <x:v>-7</x:v>
      </x:c>
      <x:c r="F46" s="246">
        <x:f t="shared" si="7"/>
        <x:v>-3488505.44</x:v>
      </x:c>
    </x:row>
    <x:row r="47" spans="1:7" x14ac:dyDescent="0.25">
      <x:c r="A47" s="797" t="s">
        <x:v>1039</x:v>
      </x:c>
      <x:c r="B47" s="440">
        <x:v>45457</x:v>
      </x:c>
      <x:c r="C47" s="178">
        <x:v>130658.06</x:v>
      </x:c>
      <x:c r="D47" s="440">
        <x:v>45464</x:v>
      </x:c>
      <x:c r="E47" s="377">
        <x:f t="shared" si="6"/>
        <x:v>-7</x:v>
      </x:c>
      <x:c r="F47" s="246">
        <x:f t="shared" si="7"/>
        <x:v>-914606.41999999993</x:v>
      </x:c>
    </x:row>
    <x:row r="48" spans="1:7" x14ac:dyDescent="0.25">
      <x:c r="A48" s="797" t="s">
        <x:v>1040</x:v>
      </x:c>
      <x:c r="B48" s="440">
        <x:v>45429</x:v>
      </x:c>
      <x:c r="C48" s="178">
        <x:v>-251.37</x:v>
      </x:c>
      <x:c r="D48" s="440">
        <x:v>45436</x:v>
      </x:c>
      <x:c r="E48" s="377">
        <x:f t="shared" si="6"/>
        <x:v>-7</x:v>
      </x:c>
      <x:c r="F48" s="246">
        <x:f t="shared" si="7"/>
        <x:v>1759.5900000000001</x:v>
      </x:c>
    </x:row>
    <x:row r="49" spans="1:6" x14ac:dyDescent="0.25">
      <x:c r="A49" s="797" t="s">
        <x:v>1041</x:v>
      </x:c>
      <x:c r="B49" s="440">
        <x:v>45471</x:v>
      </x:c>
      <x:c r="C49" s="178">
        <x:v>133459.53</x:v>
      </x:c>
      <x:c r="D49" s="440">
        <x:v>45476</x:v>
      </x:c>
      <x:c r="E49" s="377">
        <x:f t="shared" si="6"/>
        <x:v>-5</x:v>
      </x:c>
      <x:c r="F49" s="246">
        <x:f t="shared" si="7"/>
        <x:v>-667297.65</x:v>
      </x:c>
    </x:row>
    <x:row r="50" spans="1:6" x14ac:dyDescent="0.25">
      <x:c r="A50" s="797" t="s">
        <x:v>1042</x:v>
      </x:c>
      <x:c r="B50" s="440">
        <x:v>45471</x:v>
      </x:c>
      <x:c r="C50" s="178">
        <x:v>505045.86</x:v>
      </x:c>
      <x:c r="D50" s="440">
        <x:v>45476</x:v>
      </x:c>
      <x:c r="E50" s="377">
        <x:f t="shared" si="6"/>
        <x:v>-5</x:v>
      </x:c>
      <x:c r="F50" s="246">
        <x:f t="shared" si="7"/>
        <x:v>-2525229.2999999998</x:v>
      </x:c>
    </x:row>
    <x:row r="51" spans="1:6" x14ac:dyDescent="0.25">
      <x:c r="A51" s="797" t="s">
        <x:v>1043</x:v>
      </x:c>
      <x:c r="B51" s="440">
        <x:v>45485</x:v>
      </x:c>
      <x:c r="C51" s="178">
        <x:v>134148.85999999999</x:v>
      </x:c>
      <x:c r="D51" s="440">
        <x:v>45492</x:v>
      </x:c>
      <x:c r="E51" s="377">
        <x:f t="shared" si="6"/>
        <x:v>-7</x:v>
      </x:c>
      <x:c r="F51" s="246">
        <x:f t="shared" si="7"/>
        <x:v>-939042.0199999999</x:v>
      </x:c>
    </x:row>
    <x:row r="52" spans="1:6" x14ac:dyDescent="0.25">
      <x:c r="A52" s="797" t="s">
        <x:v>1044</x:v>
      </x:c>
      <x:c r="B52" s="440">
        <x:v>45485</x:v>
      </x:c>
      <x:c r="C52" s="178">
        <x:v>512271.56</x:v>
      </x:c>
      <x:c r="D52" s="440">
        <x:v>45492</x:v>
      </x:c>
      <x:c r="E52" s="377">
        <x:f t="shared" si="6"/>
        <x:v>-7</x:v>
      </x:c>
      <x:c r="F52" s="246">
        <x:f t="shared" si="7"/>
        <x:v>-3585900.92</x:v>
      </x:c>
    </x:row>
    <x:row r="53" spans="1:6" x14ac:dyDescent="0.25">
      <x:c r="A53" s="797" t="s">
        <x:v>1045</x:v>
      </x:c>
      <x:c r="B53" s="440">
        <x:v>45506</x:v>
      </x:c>
      <x:c r="C53" s="178">
        <x:v>512791.47</x:v>
      </x:c>
      <x:c r="D53" s="440">
        <x:v>45506</x:v>
      </x:c>
      <x:c r="E53" s="377">
        <x:f t="shared" si="6"/>
        <x:v>0</x:v>
      </x:c>
      <x:c r="F53" s="246">
        <x:f t="shared" si="7"/>
        <x:v>0</x:v>
      </x:c>
    </x:row>
    <x:row r="54" spans="1:6" x14ac:dyDescent="0.25">
      <x:c r="A54" s="797" t="s">
        <x:v>1046</x:v>
      </x:c>
      <x:c r="B54" s="440">
        <x:v>45506</x:v>
      </x:c>
      <x:c r="C54" s="178">
        <x:v>135990.01</x:v>
      </x:c>
      <x:c r="D54" s="440">
        <x:v>45506</x:v>
      </x:c>
      <x:c r="E54" s="377">
        <x:f t="shared" si="6"/>
        <x:v>0</x:v>
      </x:c>
      <x:c r="F54" s="246">
        <x:f t="shared" si="7"/>
        <x:v>0</x:v>
      </x:c>
    </x:row>
    <x:row r="55" spans="1:6" x14ac:dyDescent="0.25">
      <x:c r="A55" s="797" t="s">
        <x:v>1047</x:v>
      </x:c>
      <x:c r="B55" s="440">
        <x:v>45513</x:v>
      </x:c>
      <x:c r="C55" s="178">
        <x:v>511390.25</x:v>
      </x:c>
      <x:c r="D55" s="440">
        <x:v>45520</x:v>
      </x:c>
      <x:c r="E55" s="377">
        <x:f t="shared" si="6"/>
        <x:v>-7</x:v>
      </x:c>
      <x:c r="F55" s="246">
        <x:f t="shared" si="7"/>
        <x:v>-3579731.75</x:v>
      </x:c>
    </x:row>
    <x:row r="56" spans="1:6" x14ac:dyDescent="0.25">
      <x:c r="A56" s="797" t="s">
        <x:v>1048</x:v>
      </x:c>
      <x:c r="B56" s="440">
        <x:v>45513</x:v>
      </x:c>
      <x:c r="C56" s="178">
        <x:v>136639.6</x:v>
      </x:c>
      <x:c r="D56" s="440">
        <x:v>45520</x:v>
      </x:c>
      <x:c r="E56" s="377">
        <x:f t="shared" si="6"/>
        <x:v>-7</x:v>
      </x:c>
      <x:c r="F56" s="246">
        <x:f t="shared" si="7"/>
        <x:v>-956477.20000000007</x:v>
      </x:c>
    </x:row>
    <x:row r="57" spans="1:6" x14ac:dyDescent="0.25">
      <x:c r="A57" s="797" t="s">
        <x:v>1049</x:v>
      </x:c>
      <x:c r="B57" s="440">
        <x:v>45527</x:v>
      </x:c>
      <x:c r="C57" s="178">
        <x:v>135870.15</x:v>
      </x:c>
      <x:c r="D57" s="440">
        <x:v>45534</x:v>
      </x:c>
      <x:c r="E57" s="377">
        <x:f t="shared" si="6"/>
        <x:v>-7</x:v>
      </x:c>
      <x:c r="F57" s="246">
        <x:f t="shared" si="7"/>
        <x:v>-951091.04999999993</x:v>
      </x:c>
    </x:row>
    <x:row r="58" spans="1:6" x14ac:dyDescent="0.25">
      <x:c r="A58" s="797" t="s">
        <x:v>1050</x:v>
      </x:c>
      <x:c r="B58" s="440">
        <x:v>45527</x:v>
      </x:c>
      <x:c r="C58" s="178">
        <x:v>503639.99</x:v>
      </x:c>
      <x:c r="D58" s="440">
        <x:v>45534</x:v>
      </x:c>
      <x:c r="E58" s="377">
        <x:f t="shared" si="6"/>
        <x:v>-7</x:v>
      </x:c>
      <x:c r="F58" s="246">
        <x:f t="shared" si="7"/>
        <x:v>-3525479.9299999997</x:v>
      </x:c>
    </x:row>
    <x:row r="59" spans="1:6" x14ac:dyDescent="0.25">
      <x:c r="A59" s="797" t="s">
        <x:v>1051</x:v>
      </x:c>
      <x:c r="B59" s="440">
        <x:v>45506</x:v>
      </x:c>
      <x:c r="C59" s="178">
        <x:v>391.5</x:v>
      </x:c>
      <x:c r="D59" s="440">
        <x:v>45506</x:v>
      </x:c>
      <x:c r="E59" s="377">
        <x:f t="shared" si="6"/>
        <x:v>0</x:v>
      </x:c>
      <x:c r="F59" s="246">
        <x:f t="shared" si="7"/>
        <x:v>0</x:v>
      </x:c>
    </x:row>
    <x:row r="60" spans="1:6" x14ac:dyDescent="0.25">
      <x:c r="A60" s="797" t="s">
        <x:v>1052</x:v>
      </x:c>
      <x:c r="B60" s="440">
        <x:v>45541</x:v>
      </x:c>
      <x:c r="C60" s="178">
        <x:v>499914.33</x:v>
      </x:c>
      <x:c r="D60" s="440">
        <x:v>45548</x:v>
      </x:c>
      <x:c r="E60" s="377">
        <x:f t="shared" si="6"/>
        <x:v>-7</x:v>
      </x:c>
      <x:c r="F60" s="246">
        <x:f t="shared" si="7"/>
        <x:v>-3499400.31</x:v>
      </x:c>
    </x:row>
    <x:row r="61" spans="1:6" x14ac:dyDescent="0.25">
      <x:c r="A61" s="797" t="s">
        <x:v>1053</x:v>
      </x:c>
      <x:c r="B61" s="440">
        <x:v>45541</x:v>
      </x:c>
      <x:c r="C61" s="178">
        <x:v>134305.59</x:v>
      </x:c>
      <x:c r="D61" s="440">
        <x:v>45548</x:v>
      </x:c>
      <x:c r="E61" s="377">
        <x:f t="shared" si="6"/>
        <x:v>-7</x:v>
      </x:c>
      <x:c r="F61" s="246">
        <x:f t="shared" si="7"/>
        <x:v>-940139.13</x:v>
      </x:c>
    </x:row>
    <x:row r="62" spans="1:6" x14ac:dyDescent="0.25">
      <x:c r="A62" s="797" t="s">
        <x:v>1054</x:v>
      </x:c>
      <x:c r="B62" s="440">
        <x:v>45555</x:v>
      </x:c>
      <x:c r="C62" s="178">
        <x:v>499904.23</x:v>
      </x:c>
      <x:c r="D62" s="440">
        <x:v>45562</x:v>
      </x:c>
      <x:c r="E62" s="377">
        <x:f t="shared" si="6"/>
        <x:v>-7</x:v>
      </x:c>
      <x:c r="F62" s="246">
        <x:f t="shared" si="7"/>
        <x:v>-3499329.61</x:v>
      </x:c>
    </x:row>
    <x:row r="63" spans="1:6" x14ac:dyDescent="0.25">
      <x:c r="A63" s="797" t="s">
        <x:v>1055</x:v>
      </x:c>
      <x:c r="B63" s="440">
        <x:v>45555</x:v>
      </x:c>
      <x:c r="C63" s="178">
        <x:v>135120.48000000001</x:v>
      </x:c>
      <x:c r="D63" s="440">
        <x:v>45562</x:v>
      </x:c>
      <x:c r="E63" s="377">
        <x:f t="shared" si="6"/>
        <x:v>-7</x:v>
      </x:c>
      <x:c r="F63" s="246">
        <x:f t="shared" si="7"/>
        <x:v>-945843.3600000001</x:v>
      </x:c>
    </x:row>
    <x:row r="64" spans="1:6" ht="13.25" thickBot="1" x14ac:dyDescent="0.3">
      <x:c r="A64" s="797" t="s">
        <x:v>1056</x:v>
      </x:c>
      <x:c r="B64" s="440"/>
      <x:c r="C64" s="399">
        <x:f>SUM(C10:C63)</x:f>
        <x:v>16248067.620000003</x:v>
      </x:c>
      <x:c r="D64" s="31"/>
      <x:c r="E64" s="623">
        <x:f>ROUND(F64/C64,2)</x:f>
        <x:v>-6.76</x:v>
      </x:c>
      <x:c r="F64" s="246">
        <x:f>SUM(F10:F63)</x:f>
        <x:v>-109780051.19</x:v>
      </x:c>
    </x:row>
    <x:row r="65" spans="1:6" ht="13.25" thickTop="1" x14ac:dyDescent="0.25">
      <x:c r="A65" s="797" t="s">
        <x:v>1057</x:v>
      </x:c>
      <x:c r="B65" s="440"/>
      <x:c r="C65" s="411"/>
      <x:c r="D65" s="31"/>
      <x:c r="E65" s="796"/>
      <x:c r="F65" s="411"/>
    </x:row>
    <x:row r="66" spans="1:6" x14ac:dyDescent="0.25">
      <x:c r="A66" s="797" t="s">
        <x:v>1058</x:v>
      </x:c>
      <x:c r="C66" s="196"/>
      <x:c r="D66" s="31"/>
      <x:c r="E66" s="161"/>
      <x:c r="F66" s="45"/>
    </x:row>
    <x:row r="67" spans="1:6" x14ac:dyDescent="0.25">
      <x:c r="A67" s="797" t="s">
        <x:v>1059</x:v>
      </x:c>
      <x:c r="B67" s="635" t="s">
        <x:v>491</x:v>
      </x:c>
      <x:c r="C67" s="196"/>
      <x:c r="D67" s="31"/>
      <x:c r="E67" s="401">
        <x:f>+ROUND(C64/365.25,0)</x:f>
        <x:v>44485</x:v>
      </x:c>
      <x:c r="F67" s="45"/>
    </x:row>
    <x:row r="68" spans="1:6" x14ac:dyDescent="0.25">
      <x:c r="A68" s="797" t="s">
        <x:v>1060</x:v>
      </x:c>
      <x:c r="C68" s="196"/>
      <x:c r="D68" s="31"/>
      <x:c r="E68" s="162"/>
      <x:c r="F68" s="45"/>
    </x:row>
    <x:row r="69" spans="1:6" x14ac:dyDescent="0.25">
      <x:c r="A69" s="797" t="s">
        <x:v>1061</x:v>
      </x:c>
      <x:c r="B69" s="635" t="s">
        <x:v>492</x:v>
      </x:c>
      <x:c r="C69" s="231"/>
      <x:c r="D69" s="31"/>
      <x:c r="E69" s="446">
        <x:f>+E64</x:f>
        <x:v>-6.76</x:v>
      </x:c>
      <x:c r="F69" s="45"/>
    </x:row>
    <x:row r="70" spans="1:6" x14ac:dyDescent="0.25">
      <x:c r="A70" s="797" t="s">
        <x:v>1062</x:v>
      </x:c>
      <x:c r="B70" s="31"/>
      <x:c r="C70" s="31"/>
      <x:c r="D70" s="31"/>
      <x:c r="E70" s="9"/>
    </x:row>
    <x:row r="71" spans="1:6" ht="13.25" thickBot="1" x14ac:dyDescent="0.3">
      <x:c r="A71" s="797" t="s">
        <x:v>1063</x:v>
      </x:c>
      <x:c r="B71" s="636" t="s">
        <x:v>493</x:v>
      </x:c>
      <x:c r="C71" s="190"/>
      <x:c r="D71" s="31"/>
      <x:c r="E71" s="402">
        <x:f>+ROUND(E67*E69,0)</x:f>
        <x:v>-300719</x:v>
      </x:c>
    </x:row>
    <x:row r="72" spans="1:6" ht="13.25" thickTop="1" x14ac:dyDescent="0.25">
      <x:c r="A72" s="797" t="s">
        <x:v>1064</x:v>
      </x:c>
    </x:row>
    <x:row r="73" spans="1:6" x14ac:dyDescent="0.25">
      <x:c r="A73" s="797" t="s">
        <x:v>1065</x:v>
      </x:c>
      <x:c r="B73" s="31" t="s">
        <x:v>230</x:v>
      </x:c>
      <x:c r="C73" s="290" t="s">
        <x:v>446</x:v>
      </x:c>
    </x:row>
    <x:row r="74" spans="1:6" x14ac:dyDescent="0.25">
      <x:c r="B74" s="31"/>
      <x:c r="C74" s="31"/>
    </x:row>
    <x:row r="75" spans="1:6" x14ac:dyDescent="0.25">
      <x:c r="B75" s="31"/>
    </x:row>
  </x:sheetData>
  <x:mergeCells count="1">
    <x:mergeCell ref="A3:F3"/>
  </x:mergeCells>
  <x:phoneticPr fontId="0" type="noConversion"/>
  <x:hyperlinks>
    <x:hyperlink ref="C73" r:id="rId1" xr:uid="{00000000-0004-0000-3200-000000000000}"/>
  </x:hyperlinks>
  <x:printOptions horizontalCentered="1"/>
  <x:pageMargins left="0.5" right="0.5" top="1.5" bottom="0.5" header="1" footer="0.5"/>
  <x:pageSetup fitToHeight="2" orientation="landscape" r:id="rId2"/>
  <x:headerFooter alignWithMargins="0">
    <x:oddHeader>&amp;RWP/II-B-9/&amp;A
Page &amp;P of &amp;N</x:oddHeader>
  </x:headerFooter>
  <x:rowBreaks count="1" manualBreakCount="1">
    <x:brk id="31" max="16383" man="1"/>
  </x:rowBreaks>
</x:worksheet>
</file>

<file path=xl/worksheets/sheet5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300-000000000000}" mc:Ignorable="x14ac xr xr2 xr3">
  <x:sheetPr codeName="Sheet12">
    <x:tabColor rgb="FF92D050"/>
    <x:pageSetUpPr fitToPage="1"/>
  </x:sheetPr>
  <x:dimension ref="A1:H88"/>
  <x:sheetViews>
    <x:sheetView topLeftCell="A67" zoomScaleNormal="100" zoomScaleSheetLayoutView="100" workbookViewId="0">
      <x:selection activeCell="D37" sqref="D37"/>
    </x:sheetView>
  </x:sheetViews>
  <x:sheetFormatPr defaultColWidth="9.109375" defaultRowHeight="12.7" x14ac:dyDescent="0.25"/>
  <x:cols>
    <x:col min="1" max="1" width="5.5546875" style="1" customWidth="1"/>
    <x:col min="2" max="2" width="17.44140625" style="1" customWidth="1"/>
    <x:col min="3" max="3" width="15.109375" style="1" customWidth="1"/>
    <x:col min="4" max="4" width="14.5546875" style="1" customWidth="1"/>
    <x:col min="5" max="5" width="16.5546875" style="1" bestFit="1" customWidth="1"/>
    <x:col min="6" max="6" width="21.5546875" style="1" bestFit="1" customWidth="1"/>
    <x:col min="7" max="12" width="9.109375" style="1"/>
    <x:col min="13" max="13" width="9" style="1" customWidth="1"/>
    <x:col min="14" max="16384" width="9.109375" style="1"/>
  </x:cols>
  <x:sheetData>
    <x:row r="1" spans="1:8" s="41" customFormat="1" x14ac:dyDescent="0.25">
      <x:c r="A1" s="180" t="s">
        <x:v>523</x:v>
      </x:c>
      <x:c r="B1" s="180"/>
      <x:c r="C1" s="180"/>
      <x:c r="D1" s="180"/>
      <x:c r="E1" s="180"/>
    </x:row>
    <x:row r="2" spans="1:8" s="41" customFormat="1" x14ac:dyDescent="0.25">
      <x:c r="A2" s="180" t="str">
        <x:f>' '!A2</x:f>
        <x:v>ONCOR ELECTRIC DELIVERY COMPANY LLC</x:v>
      </x:c>
      <x:c r="B2" s="180"/>
      <x:c r="C2" s="180"/>
      <x:c r="D2" s="180"/>
      <x:c r="E2" s="180"/>
    </x:row>
    <x:row r="3" spans="1:8" s="41" customFormat="1" x14ac:dyDescent="0.25">
      <x:c r="A3" s="834" t="s">
        <x:v>164</x:v>
      </x:c>
      <x:c r="B3" s="834"/>
      <x:c r="C3" s="834"/>
      <x:c r="D3" s="834"/>
      <x:c r="E3" s="834"/>
      <x:c r="F3" s="834"/>
    </x:row>
    <x:row r="4" spans="1:8" s="41" customFormat="1" x14ac:dyDescent="0.25">
      <x:c r="A4" s="767" t="s">
        <x:v>524</x:v>
      </x:c>
      <x:c r="B4" s="180"/>
      <x:c r="C4" s="180"/>
      <x:c r="D4" s="180"/>
      <x:c r="E4" s="180"/>
    </x:row>
    <x:row r="5" spans="1:8" s="41" customFormat="1" x14ac:dyDescent="0.25">
      <x:c r="A5" s="180" t="s">
        <x:v>486</x:v>
      </x:c>
      <x:c r="B5" s="180"/>
      <x:c r="C5" s="180"/>
      <x:c r="D5" s="180"/>
      <x:c r="E5" s="180"/>
      <x:c r="H5" s="41" t="s">
        <x:v>464</x:v>
      </x:c>
    </x:row>
    <x:row r="7" spans="1:8" ht="25.35" x14ac:dyDescent="0.25">
      <x:c r="A7" s="32" t="s">
        <x:v>65</x:v>
      </x:c>
      <x:c r="B7" s="32" t="s">
        <x:v>156</x:v>
      </x:c>
      <x:c r="C7" s="32" t="s">
        <x:v>244</x:v>
      </x:c>
      <x:c r="D7" s="32" t="s">
        <x:v>154</x:v>
      </x:c>
      <x:c r="E7" s="32" t="s">
        <x:v>44</x:v>
      </x:c>
      <x:c r="F7" s="32" t="s">
        <x:v>38</x:v>
      </x:c>
      <x:c r="G7" s="26"/>
    </x:row>
    <x:row r="8" spans="1:8" x14ac:dyDescent="0.25">
      <x:c r="A8" s="38"/>
      <x:c r="B8" s="40" t="s">
        <x:v>50</x:v>
      </x:c>
      <x:c r="C8" s="40" t="s">
        <x:v>51</x:v>
      </x:c>
      <x:c r="D8" s="40" t="s">
        <x:v>57</x:v>
      </x:c>
      <x:c r="E8" s="40" t="s">
        <x:v>52</x:v>
      </x:c>
      <x:c r="F8" s="40" t="s">
        <x:v>53</x:v>
      </x:c>
      <x:c r="G8" s="26"/>
    </x:row>
    <x:row r="9" spans="1:8" x14ac:dyDescent="0.25">
      <x:c r="A9" s="38"/>
      <x:c r="B9" s="40"/>
      <x:c r="C9" s="40"/>
      <x:c r="D9" s="40"/>
      <x:c r="E9" s="40"/>
      <x:c r="F9" s="40"/>
      <x:c r="G9" s="26"/>
    </x:row>
    <x:row r="10" spans="1:8" x14ac:dyDescent="0.25">
      <x:c r="A10" s="40">
        <x:v>1</x:v>
      </x:c>
      <x:c r="B10" s="440">
        <x:v>45198</x:v>
      </x:c>
      <x:c r="C10" s="74">
        <x:v>1225981.3999999999</x:v>
      </x:c>
      <x:c r="D10" s="440">
        <x:v>45205</x:v>
      </x:c>
      <x:c r="E10" s="377">
        <x:f>-D10+B10</x:f>
        <x:v>-7</x:v>
      </x:c>
      <x:c r="F10" s="74">
        <x:f>E10*C10</x:f>
        <x:v>-8581869.7999999989</x:v>
      </x:c>
      <x:c r="G10" s="26"/>
    </x:row>
    <x:row r="11" spans="1:8" x14ac:dyDescent="0.25">
      <x:c r="A11" s="40">
        <x:f>A10+1</x:f>
        <x:v>2</x:v>
      </x:c>
      <x:c r="B11" s="440">
        <x:v>45198</x:v>
      </x:c>
      <x:c r="C11" s="74">
        <x:v>178622.63</x:v>
      </x:c>
      <x:c r="D11" s="440">
        <x:v>45205</x:v>
      </x:c>
      <x:c r="E11" s="377">
        <x:f>-D11+B11</x:f>
        <x:v>-7</x:v>
      </x:c>
      <x:c r="F11" s="29">
        <x:f>E11*C11</x:f>
        <x:v>-1250358.4100000001</x:v>
      </x:c>
      <x:c r="G11" s="26"/>
    </x:row>
    <x:row r="12" spans="1:8" x14ac:dyDescent="0.25">
      <x:c r="A12" s="40">
        <x:f t="shared" ref="A12:A86" si="0">A11+1</x:f>
        <x:v>3</x:v>
      </x:c>
      <x:c r="B12" s="440">
        <x:v>45205</x:v>
      </x:c>
      <x:c r="C12" s="74">
        <x:v>45960.25</x:v>
      </x:c>
      <x:c r="D12" s="440">
        <x:v>45212</x:v>
      </x:c>
      <x:c r="E12" s="377">
        <x:f t="shared" ref="E12:E56" si="1">-D12+B12</x:f>
        <x:v>-7</x:v>
      </x:c>
      <x:c r="F12" s="29">
        <x:f t="shared" ref="F12:F56" si="2">E12*C12</x:f>
        <x:v>-321721.75</x:v>
      </x:c>
      <x:c r="G12" s="26"/>
    </x:row>
    <x:row r="13" spans="1:8" x14ac:dyDescent="0.25">
      <x:c r="A13" s="40">
        <x:f t="shared" si="0"/>
        <x:v>4</x:v>
      </x:c>
      <x:c r="B13" s="440">
        <x:v>45205</x:v>
      </x:c>
      <x:c r="C13" s="74">
        <x:v>258519.08</x:v>
      </x:c>
      <x:c r="D13" s="440">
        <x:v>45212</x:v>
      </x:c>
      <x:c r="E13" s="377">
        <x:f t="shared" si="1"/>
        <x:v>-7</x:v>
      </x:c>
      <x:c r="F13" s="29">
        <x:f t="shared" si="2"/>
        <x:v>-1809633.5599999998</x:v>
      </x:c>
      <x:c r="G13" s="26"/>
    </x:row>
    <x:row r="14" spans="1:8" x14ac:dyDescent="0.25">
      <x:c r="A14" s="40">
        <x:f t="shared" si="0"/>
        <x:v>5</x:v>
      </x:c>
      <x:c r="B14" s="440">
        <x:v>45212</x:v>
      </x:c>
      <x:c r="C14" s="74">
        <x:v>174289.66</x:v>
      </x:c>
      <x:c r="D14" s="440">
        <x:v>45219</x:v>
      </x:c>
      <x:c r="E14" s="377">
        <x:f t="shared" si="1"/>
        <x:v>-7</x:v>
      </x:c>
      <x:c r="F14" s="29">
        <x:f t="shared" si="2"/>
        <x:v>-1220027.6200000001</x:v>
      </x:c>
      <x:c r="G14" s="26"/>
    </x:row>
    <x:row r="15" spans="1:8" x14ac:dyDescent="0.25">
      <x:c r="A15" s="40">
        <x:f t="shared" si="0"/>
        <x:v>6</x:v>
      </x:c>
      <x:c r="B15" s="440">
        <x:v>45212</x:v>
      </x:c>
      <x:c r="C15" s="74">
        <x:v>1233255.97</x:v>
      </x:c>
      <x:c r="D15" s="440">
        <x:v>45219</x:v>
      </x:c>
      <x:c r="E15" s="377">
        <x:f t="shared" si="1"/>
        <x:v>-7</x:v>
      </x:c>
      <x:c r="F15" s="29">
        <x:f t="shared" si="2"/>
        <x:v>-8632791.7899999991</x:v>
      </x:c>
      <x:c r="G15" s="26"/>
    </x:row>
    <x:row r="16" spans="1:8" x14ac:dyDescent="0.25">
      <x:c r="A16" s="40">
        <x:f t="shared" si="0"/>
        <x:v>7</x:v>
      </x:c>
      <x:c r="B16" s="440">
        <x:v>45219</x:v>
      </x:c>
      <x:c r="C16" s="74">
        <x:v>259484.48</x:v>
      </x:c>
      <x:c r="D16" s="440">
        <x:v>45226</x:v>
      </x:c>
      <x:c r="E16" s="377">
        <x:f t="shared" si="1"/>
        <x:v>-7</x:v>
      </x:c>
      <x:c r="F16" s="29">
        <x:f t="shared" si="2"/>
        <x:v>-1816391.36</x:v>
      </x:c>
      <x:c r="G16" s="26"/>
    </x:row>
    <x:row r="17" spans="1:7" x14ac:dyDescent="0.25">
      <x:c r="A17" s="40">
        <x:f t="shared" si="0"/>
        <x:v>8</x:v>
      </x:c>
      <x:c r="B17" s="440">
        <x:v>45219</x:v>
      </x:c>
      <x:c r="C17" s="74">
        <x:v>46200.15</x:v>
      </x:c>
      <x:c r="D17" s="440">
        <x:v>45226</x:v>
      </x:c>
      <x:c r="E17" s="377">
        <x:f t="shared" si="1"/>
        <x:v>-7</x:v>
      </x:c>
      <x:c r="F17" s="29">
        <x:f t="shared" si="2"/>
        <x:v>-323401.05</x:v>
      </x:c>
      <x:c r="G17" s="26"/>
    </x:row>
    <x:row r="18" spans="1:7" x14ac:dyDescent="0.25">
      <x:c r="A18" s="40">
        <x:f t="shared" si="0"/>
        <x:v>9</x:v>
      </x:c>
      <x:c r="B18" s="440">
        <x:v>45230</x:v>
      </x:c>
      <x:c r="C18" s="74">
        <x:v>1226831.3700000001</x:v>
      </x:c>
      <x:c r="D18" s="440">
        <x:v>45237</x:v>
      </x:c>
      <x:c r="E18" s="377">
        <x:f t="shared" si="1"/>
        <x:v>-7</x:v>
      </x:c>
      <x:c r="F18" s="29">
        <x:f t="shared" si="2"/>
        <x:v>-8587819.5899999999</x:v>
      </x:c>
      <x:c r="G18" s="26"/>
    </x:row>
    <x:row r="19" spans="1:7" x14ac:dyDescent="0.25">
      <x:c r="A19" s="40">
        <x:f t="shared" si="0"/>
        <x:v>10</x:v>
      </x:c>
      <x:c r="B19" s="440">
        <x:v>45230</x:v>
      </x:c>
      <x:c r="C19" s="74">
        <x:v>167572.42000000001</x:v>
      </x:c>
      <x:c r="D19" s="440">
        <x:v>45237</x:v>
      </x:c>
      <x:c r="E19" s="377">
        <x:f t="shared" si="1"/>
        <x:v>-7</x:v>
      </x:c>
      <x:c r="F19" s="29">
        <x:f t="shared" si="2"/>
        <x:v>-1173006.9400000002</x:v>
      </x:c>
      <x:c r="G19" s="26"/>
    </x:row>
    <x:row r="20" spans="1:7" x14ac:dyDescent="0.25">
      <x:c r="A20" s="40">
        <x:f t="shared" si="0"/>
        <x:v>11</x:v>
      </x:c>
      <x:c r="B20" s="440">
        <x:v>45233</x:v>
      </x:c>
      <x:c r="C20" s="74">
        <x:v>267739.90999999997</x:v>
      </x:c>
      <x:c r="D20" s="440">
        <x:v>45240</x:v>
      </x:c>
      <x:c r="E20" s="377">
        <x:f t="shared" si="1"/>
        <x:v>-7</x:v>
      </x:c>
      <x:c r="F20" s="29">
        <x:f t="shared" si="2"/>
        <x:v>-1874179.3699999999</x:v>
      </x:c>
      <x:c r="G20" s="26"/>
    </x:row>
    <x:row r="21" spans="1:7" x14ac:dyDescent="0.25">
      <x:c r="A21" s="40">
        <x:f t="shared" si="0"/>
        <x:v>12</x:v>
      </x:c>
      <x:c r="B21" s="440">
        <x:v>45233</x:v>
      </x:c>
      <x:c r="C21" s="74">
        <x:v>47432.75</x:v>
      </x:c>
      <x:c r="D21" s="440">
        <x:v>45240</x:v>
      </x:c>
      <x:c r="E21" s="377">
        <x:f t="shared" si="1"/>
        <x:v>-7</x:v>
      </x:c>
      <x:c r="F21" s="29">
        <x:f t="shared" si="2"/>
        <x:v>-332029.25</x:v>
      </x:c>
      <x:c r="G21" s="26"/>
    </x:row>
    <x:row r="22" spans="1:7" x14ac:dyDescent="0.25">
      <x:c r="A22" s="40">
        <x:f t="shared" si="0"/>
        <x:v>13</x:v>
      </x:c>
      <x:c r="B22" s="440">
        <x:v>45245</x:v>
      </x:c>
      <x:c r="C22" s="74">
        <x:v>166979.41</x:v>
      </x:c>
      <x:c r="D22" s="440">
        <x:v>45252</x:v>
      </x:c>
      <x:c r="E22" s="377">
        <x:f t="shared" si="1"/>
        <x:v>-7</x:v>
      </x:c>
      <x:c r="F22" s="29">
        <x:f t="shared" si="2"/>
        <x:v>-1168855.8700000001</x:v>
      </x:c>
      <x:c r="G22" s="26"/>
    </x:row>
    <x:row r="23" spans="1:7" x14ac:dyDescent="0.25">
      <x:c r="A23" s="40">
        <x:f t="shared" si="0"/>
        <x:v>14</x:v>
      </x:c>
      <x:c r="B23" s="440">
        <x:v>45245</x:v>
      </x:c>
      <x:c r="C23" s="74">
        <x:v>1243859.24</x:v>
      </x:c>
      <x:c r="D23" s="440">
        <x:v>45252</x:v>
      </x:c>
      <x:c r="E23" s="377">
        <x:f t="shared" si="1"/>
        <x:v>-7</x:v>
      </x:c>
      <x:c r="F23" s="29">
        <x:f t="shared" si="2"/>
        <x:v>-8707014.6799999997</x:v>
      </x:c>
      <x:c r="G23" s="26"/>
    </x:row>
    <x:row r="24" spans="1:7" x14ac:dyDescent="0.25">
      <x:c r="A24" s="40">
        <x:f t="shared" si="0"/>
        <x:v>15</x:v>
      </x:c>
      <x:c r="B24" s="440">
        <x:v>45247</x:v>
      </x:c>
      <x:c r="C24" s="74">
        <x:v>266347.61</x:v>
      </x:c>
      <x:c r="D24" s="440">
        <x:v>45254</x:v>
      </x:c>
      <x:c r="E24" s="377">
        <x:f t="shared" si="1"/>
        <x:v>-7</x:v>
      </x:c>
      <x:c r="F24" s="29">
        <x:f t="shared" si="2"/>
        <x:v>-1864433.27</x:v>
      </x:c>
      <x:c r="G24" s="26"/>
    </x:row>
    <x:row r="25" spans="1:7" x14ac:dyDescent="0.25">
      <x:c r="A25" s="40">
        <x:f t="shared" si="0"/>
        <x:v>16</x:v>
      </x:c>
      <x:c r="B25" s="440">
        <x:v>45247</x:v>
      </x:c>
      <x:c r="C25" s="74">
        <x:v>47689.99</x:v>
      </x:c>
      <x:c r="D25" s="440">
        <x:v>45254</x:v>
      </x:c>
      <x:c r="E25" s="377">
        <x:f t="shared" si="1"/>
        <x:v>-7</x:v>
      </x:c>
      <x:c r="F25" s="29">
        <x:f t="shared" si="2"/>
        <x:v>-333829.93</x:v>
      </x:c>
      <x:c r="G25" s="26"/>
    </x:row>
    <x:row r="26" spans="1:7" x14ac:dyDescent="0.25">
      <x:c r="A26" s="40">
        <x:f t="shared" si="0"/>
        <x:v>17</x:v>
      </x:c>
      <x:c r="B26" s="440">
        <x:v>45261</x:v>
      </x:c>
      <x:c r="C26" s="74">
        <x:v>269068.23</x:v>
      </x:c>
      <x:c r="D26" s="440">
        <x:v>45268</x:v>
      </x:c>
      <x:c r="E26" s="377">
        <x:f t="shared" si="1"/>
        <x:v>-7</x:v>
      </x:c>
      <x:c r="F26" s="29">
        <x:f t="shared" si="2"/>
        <x:v>-1883477.6099999999</x:v>
      </x:c>
      <x:c r="G26" s="26"/>
    </x:row>
    <x:row r="27" spans="1:7" x14ac:dyDescent="0.25">
      <x:c r="A27" s="40">
        <x:f t="shared" si="0"/>
        <x:v>18</x:v>
      </x:c>
      <x:c r="B27" s="440">
        <x:v>45261</x:v>
      </x:c>
      <x:c r="C27" s="74">
        <x:v>47908.89</x:v>
      </x:c>
      <x:c r="D27" s="440">
        <x:v>45268</x:v>
      </x:c>
      <x:c r="E27" s="377">
        <x:f t="shared" si="1"/>
        <x:v>-7</x:v>
      </x:c>
      <x:c r="F27" s="29">
        <x:f t="shared" si="2"/>
        <x:v>-335362.23</x:v>
      </x:c>
      <x:c r="G27" s="26"/>
    </x:row>
    <x:row r="28" spans="1:7" x14ac:dyDescent="0.25">
      <x:c r="A28" s="40">
        <x:f t="shared" si="0"/>
        <x:v>19</x:v>
      </x:c>
      <x:c r="B28" s="440">
        <x:v>45260</x:v>
      </x:c>
      <x:c r="C28" s="74">
        <x:v>164862.60999999999</x:v>
      </x:c>
      <x:c r="D28" s="440">
        <x:v>45267</x:v>
      </x:c>
      <x:c r="E28" s="377">
        <x:f t="shared" si="1"/>
        <x:v>-7</x:v>
      </x:c>
      <x:c r="F28" s="29">
        <x:f t="shared" si="2"/>
        <x:v>-1154038.27</x:v>
      </x:c>
      <x:c r="G28" s="26"/>
    </x:row>
    <x:row r="29" spans="1:7" x14ac:dyDescent="0.25">
      <x:c r="A29" s="40">
        <x:f t="shared" si="0"/>
        <x:v>20</x:v>
      </x:c>
      <x:c r="B29" s="440">
        <x:v>45260</x:v>
      </x:c>
      <x:c r="C29" s="74">
        <x:v>1247755.01</x:v>
      </x:c>
      <x:c r="D29" s="440">
        <x:v>45267</x:v>
      </x:c>
      <x:c r="E29" s="377">
        <x:f t="shared" si="1"/>
        <x:v>-7</x:v>
      </x:c>
      <x:c r="F29" s="29">
        <x:f t="shared" si="2"/>
        <x:v>-8734285.0700000003</x:v>
      </x:c>
      <x:c r="G29" s="26"/>
    </x:row>
    <x:row r="30" spans="1:7" x14ac:dyDescent="0.25">
      <x:c r="A30" s="40">
        <x:f t="shared" si="0"/>
        <x:v>21</x:v>
      </x:c>
      <x:c r="B30" s="440">
        <x:v>45275</x:v>
      </x:c>
      <x:c r="C30" s="74">
        <x:v>157276.66</x:v>
      </x:c>
      <x:c r="D30" s="440">
        <x:v>45282</x:v>
      </x:c>
      <x:c r="E30" s="377">
        <x:f t="shared" si="1"/>
        <x:v>-7</x:v>
      </x:c>
      <x:c r="F30" s="29">
        <x:f t="shared" si="2"/>
        <x:v>-1100936.6200000001</x:v>
      </x:c>
      <x:c r="G30" s="26"/>
    </x:row>
    <x:row r="31" spans="1:7" x14ac:dyDescent="0.25">
      <x:c r="A31" s="40">
        <x:f t="shared" si="0"/>
        <x:v>22</x:v>
      </x:c>
      <x:c r="B31" s="440">
        <x:v>45275</x:v>
      </x:c>
      <x:c r="C31" s="74">
        <x:v>270105.59000000003</x:v>
      </x:c>
      <x:c r="D31" s="440">
        <x:v>45282</x:v>
      </x:c>
      <x:c r="E31" s="377">
        <x:f t="shared" si="1"/>
        <x:v>-7</x:v>
      </x:c>
      <x:c r="F31" s="29">
        <x:f t="shared" si="2"/>
        <x:v>-1890739.1300000001</x:v>
      </x:c>
      <x:c r="G31" s="26"/>
    </x:row>
    <x:row r="32" spans="1:7" x14ac:dyDescent="0.25">
      <x:c r="A32" s="40">
        <x:f t="shared" si="0"/>
        <x:v>23</x:v>
      </x:c>
      <x:c r="B32" s="440">
        <x:v>45275</x:v>
      </x:c>
      <x:c r="C32" s="74">
        <x:v>47756.78</x:v>
      </x:c>
      <x:c r="D32" s="440">
        <x:v>45282</x:v>
      </x:c>
      <x:c r="E32" s="377">
        <x:f t="shared" si="1"/>
        <x:v>-7</x:v>
      </x:c>
      <x:c r="F32" s="29">
        <x:f t="shared" si="2"/>
        <x:v>-334297.45999999996</x:v>
      </x:c>
      <x:c r="G32" s="26"/>
    </x:row>
    <x:row r="33" spans="1:7" x14ac:dyDescent="0.25">
      <x:c r="A33" s="40">
        <x:f t="shared" si="0"/>
        <x:v>24</x:v>
      </x:c>
      <x:c r="B33" s="440">
        <x:v>45275</x:v>
      </x:c>
      <x:c r="C33" s="74">
        <x:v>1248740.74</x:v>
      </x:c>
      <x:c r="D33" s="440">
        <x:v>45282</x:v>
      </x:c>
      <x:c r="E33" s="377">
        <x:f t="shared" si="1"/>
        <x:v>-7</x:v>
      </x:c>
      <x:c r="F33" s="29">
        <x:f t="shared" si="2"/>
        <x:v>-8741185.1799999997</x:v>
      </x:c>
      <x:c r="G33" s="26"/>
    </x:row>
    <x:row r="34" spans="1:7" x14ac:dyDescent="0.25">
      <x:c r="A34" s="40">
        <x:f t="shared" si="0"/>
        <x:v>25</x:v>
      </x:c>
      <x:c r="B34" s="440">
        <x:v>45289</x:v>
      </x:c>
      <x:c r="C34" s="74">
        <x:v>271110.58</x:v>
      </x:c>
      <x:c r="D34" s="440">
        <x:v>45296</x:v>
      </x:c>
      <x:c r="E34" s="377">
        <x:f t="shared" si="1"/>
        <x:v>-7</x:v>
      </x:c>
      <x:c r="F34" s="29">
        <x:f t="shared" si="2"/>
        <x:v>-1897774.06</x:v>
      </x:c>
      <x:c r="G34" s="26"/>
    </x:row>
    <x:row r="35" spans="1:7" x14ac:dyDescent="0.25">
      <x:c r="A35" s="40">
        <x:f t="shared" si="0"/>
        <x:v>26</x:v>
      </x:c>
      <x:c r="B35" s="440">
        <x:v>45289</x:v>
      </x:c>
      <x:c r="C35" s="74">
        <x:v>46880.79</x:v>
      </x:c>
      <x:c r="D35" s="440">
        <x:v>45296</x:v>
      </x:c>
      <x:c r="E35" s="377">
        <x:f t="shared" si="1"/>
        <x:v>-7</x:v>
      </x:c>
      <x:c r="F35" s="29">
        <x:f t="shared" si="2"/>
        <x:v>-328165.53000000003</x:v>
      </x:c>
      <x:c r="G35" s="26"/>
    </x:row>
    <x:row r="36" spans="1:7" x14ac:dyDescent="0.25">
      <x:c r="A36" s="40">
        <x:f t="shared" si="0"/>
        <x:v>27</x:v>
      </x:c>
      <x:c r="B36" s="440">
        <x:v>45289</x:v>
      </x:c>
      <x:c r="C36" s="74">
        <x:v>1251766.48</x:v>
      </x:c>
      <x:c r="D36" s="440">
        <x:v>45296</x:v>
      </x:c>
      <x:c r="E36" s="377">
        <x:f t="shared" si="1"/>
        <x:v>-7</x:v>
      </x:c>
      <x:c r="F36" s="29">
        <x:f t="shared" si="2"/>
        <x:v>-8762365.3599999994</x:v>
      </x:c>
      <x:c r="G36" s="26"/>
    </x:row>
    <x:row r="37" spans="1:7" x14ac:dyDescent="0.25">
      <x:c r="A37" s="40">
        <x:f t="shared" si="0"/>
        <x:v>28</x:v>
      </x:c>
      <x:c r="B37" s="440">
        <x:v>45289</x:v>
      </x:c>
      <x:c r="C37" s="74">
        <x:v>149299.19</x:v>
      </x:c>
      <x:c r="D37" s="440">
        <x:v>45296</x:v>
      </x:c>
      <x:c r="E37" s="377">
        <x:f t="shared" si="1"/>
        <x:v>-7</x:v>
      </x:c>
      <x:c r="F37" s="29">
        <x:f t="shared" si="2"/>
        <x:v>-1045094.3300000001</x:v>
      </x:c>
      <x:c r="G37" s="26"/>
    </x:row>
    <x:row r="38" spans="1:7" x14ac:dyDescent="0.25">
      <x:c r="A38" s="40">
        <x:f t="shared" si="0"/>
        <x:v>29</x:v>
      </x:c>
      <x:c r="B38" s="440">
        <x:v>45303</x:v>
      </x:c>
      <x:c r="C38" s="74">
        <x:v>243845.07</x:v>
      </x:c>
      <x:c r="D38" s="440">
        <x:v>45310</x:v>
      </x:c>
      <x:c r="E38" s="377">
        <x:f t="shared" si="1"/>
        <x:v>-7</x:v>
      </x:c>
      <x:c r="F38" s="29">
        <x:f t="shared" si="2"/>
        <x:v>-1706915.49</x:v>
      </x:c>
      <x:c r="G38" s="26"/>
    </x:row>
    <x:row r="39" spans="1:7" x14ac:dyDescent="0.25">
      <x:c r="A39" s="40">
        <x:f t="shared" si="0"/>
        <x:v>30</x:v>
      </x:c>
      <x:c r="B39" s="440">
        <x:v>45303</x:v>
      </x:c>
      <x:c r="C39" s="74">
        <x:v>1519512.53</x:v>
      </x:c>
      <x:c r="D39" s="440">
        <x:v>45310</x:v>
      </x:c>
      <x:c r="E39" s="377">
        <x:f t="shared" si="1"/>
        <x:v>-7</x:v>
      </x:c>
      <x:c r="F39" s="29">
        <x:f t="shared" si="2"/>
        <x:v>-10636587.710000001</x:v>
      </x:c>
      <x:c r="G39" s="26"/>
    </x:row>
    <x:row r="40" spans="1:7" x14ac:dyDescent="0.25">
      <x:c r="A40" s="40">
        <x:f t="shared" si="0"/>
        <x:v>31</x:v>
      </x:c>
      <x:c r="B40" s="440">
        <x:v>45317</x:v>
      </x:c>
      <x:c r="C40" s="74">
        <x:v>1510582.67</x:v>
      </x:c>
      <x:c r="D40" s="440">
        <x:v>45324</x:v>
      </x:c>
      <x:c r="E40" s="377">
        <x:f t="shared" si="1"/>
        <x:v>-7</x:v>
      </x:c>
      <x:c r="F40" s="29">
        <x:f t="shared" si="2"/>
        <x:v>-10574078.689999999</x:v>
      </x:c>
      <x:c r="G40" s="26"/>
    </x:row>
    <x:row r="41" spans="1:7" x14ac:dyDescent="0.25">
      <x:c r="A41" s="40">
        <x:f t="shared" si="0"/>
        <x:v>32</x:v>
      </x:c>
      <x:c r="B41" s="440">
        <x:v>45317</x:v>
      </x:c>
      <x:c r="C41" s="74">
        <x:v>245250.02</x:v>
      </x:c>
      <x:c r="D41" s="440">
        <x:v>45324</x:v>
      </x:c>
      <x:c r="E41" s="377">
        <x:f t="shared" si="1"/>
        <x:v>-7</x:v>
      </x:c>
      <x:c r="F41" s="29">
        <x:f t="shared" si="2"/>
        <x:v>-1716750.14</x:v>
      </x:c>
      <x:c r="G41" s="26"/>
    </x:row>
    <x:row r="42" spans="1:7" x14ac:dyDescent="0.25">
      <x:c r="A42" s="40">
        <x:f t="shared" si="0"/>
        <x:v>33</x:v>
      </x:c>
      <x:c r="B42" s="440">
        <x:v>45331</x:v>
      </x:c>
      <x:c r="C42" s="74">
        <x:v>1515922.71</x:v>
      </x:c>
      <x:c r="D42" s="440">
        <x:v>45338</x:v>
      </x:c>
      <x:c r="E42" s="377">
        <x:f t="shared" si="1"/>
        <x:v>-7</x:v>
      </x:c>
      <x:c r="F42" s="29">
        <x:f t="shared" si="2"/>
        <x:v>-10611458.969999999</x:v>
      </x:c>
      <x:c r="G42" s="26"/>
    </x:row>
    <x:row r="43" spans="1:7" x14ac:dyDescent="0.25">
      <x:c r="A43" s="40">
        <x:f t="shared" si="0"/>
        <x:v>34</x:v>
      </x:c>
      <x:c r="B43" s="440">
        <x:v>45331</x:v>
      </x:c>
      <x:c r="C43" s="74">
        <x:v>248644.97</x:v>
      </x:c>
      <x:c r="D43" s="440">
        <x:v>45338</x:v>
      </x:c>
      <x:c r="E43" s="377">
        <x:f t="shared" si="1"/>
        <x:v>-7</x:v>
      </x:c>
      <x:c r="F43" s="29">
        <x:f t="shared" si="2"/>
        <x:v>-1740514.79</x:v>
      </x:c>
      <x:c r="G43" s="26"/>
    </x:row>
    <x:row r="44" spans="1:7" x14ac:dyDescent="0.25">
      <x:c r="A44" s="40">
        <x:f t="shared" si="0"/>
        <x:v>35</x:v>
      </x:c>
      <x:c r="B44" s="440">
        <x:v>45345</x:v>
      </x:c>
      <x:c r="C44" s="74">
        <x:v>1489666.81</x:v>
      </x:c>
      <x:c r="D44" s="440">
        <x:v>45352</x:v>
      </x:c>
      <x:c r="E44" s="377">
        <x:f t="shared" si="1"/>
        <x:v>-7</x:v>
      </x:c>
      <x:c r="F44" s="29">
        <x:f t="shared" si="2"/>
        <x:v>-10427667.67</x:v>
      </x:c>
      <x:c r="G44" s="26"/>
    </x:row>
    <x:row r="45" spans="1:7" x14ac:dyDescent="0.25">
      <x:c r="A45" s="40">
        <x:f t="shared" si="0"/>
        <x:v>36</x:v>
      </x:c>
      <x:c r="B45" s="440">
        <x:v>45345</x:v>
      </x:c>
      <x:c r="C45" s="74">
        <x:v>247091.82</x:v>
      </x:c>
      <x:c r="D45" s="440">
        <x:v>45352</x:v>
      </x:c>
      <x:c r="E45" s="377">
        <x:f t="shared" si="1"/>
        <x:v>-7</x:v>
      </x:c>
      <x:c r="F45" s="29">
        <x:f t="shared" si="2"/>
        <x:v>-1729642.74</x:v>
      </x:c>
      <x:c r="G45" s="26"/>
    </x:row>
    <x:row r="46" spans="1:7" x14ac:dyDescent="0.25">
      <x:c r="A46" s="40">
        <x:f t="shared" si="0"/>
        <x:v>37</x:v>
      </x:c>
      <x:c r="B46" s="440">
        <x:v>45359</x:v>
      </x:c>
      <x:c r="C46" s="74">
        <x:v>1532097.39</x:v>
      </x:c>
      <x:c r="D46" s="440">
        <x:v>45366</x:v>
      </x:c>
      <x:c r="E46" s="377">
        <x:f t="shared" si="1"/>
        <x:v>-7</x:v>
      </x:c>
      <x:c r="F46" s="29">
        <x:f t="shared" si="2"/>
        <x:v>-10724681.729999999</x:v>
      </x:c>
      <x:c r="G46" s="26"/>
    </x:row>
    <x:row r="47" spans="1:7" x14ac:dyDescent="0.25">
      <x:c r="A47" s="40">
        <x:f t="shared" si="0"/>
        <x:v>38</x:v>
      </x:c>
      <x:c r="B47" s="440">
        <x:v>45359</x:v>
      </x:c>
      <x:c r="C47" s="74">
        <x:v>253926.45</x:v>
      </x:c>
      <x:c r="D47" s="440">
        <x:v>45366</x:v>
      </x:c>
      <x:c r="E47" s="377">
        <x:f t="shared" si="1"/>
        <x:v>-7</x:v>
      </x:c>
      <x:c r="F47" s="29">
        <x:f t="shared" si="2"/>
        <x:v>-1777485.1500000001</x:v>
      </x:c>
      <x:c r="G47" s="26"/>
    </x:row>
    <x:row r="48" spans="1:7" x14ac:dyDescent="0.25">
      <x:c r="A48" s="40">
        <x:f t="shared" si="0"/>
        <x:v>39</x:v>
      </x:c>
      <x:c r="B48" s="440">
        <x:v>45373</x:v>
      </x:c>
      <x:c r="C48" s="74">
        <x:v>1525845.44</x:v>
      </x:c>
      <x:c r="D48" s="440">
        <x:v>45383</x:v>
      </x:c>
      <x:c r="E48" s="377">
        <x:f t="shared" si="1"/>
        <x:v>-10</x:v>
      </x:c>
      <x:c r="F48" s="29">
        <x:f t="shared" si="2"/>
        <x:v>-15258454.399999999</x:v>
      </x:c>
      <x:c r="G48" s="26"/>
    </x:row>
    <x:row r="49" spans="1:7" x14ac:dyDescent="0.25">
      <x:c r="A49" s="40">
        <x:f t="shared" si="0"/>
        <x:v>40</x:v>
      </x:c>
      <x:c r="B49" s="440">
        <x:v>45373</x:v>
      </x:c>
      <x:c r="C49" s="74">
        <x:v>253930.52</x:v>
      </x:c>
      <x:c r="D49" s="440">
        <x:v>45383</x:v>
      </x:c>
      <x:c r="E49" s="377">
        <x:f t="shared" si="1"/>
        <x:v>-10</x:v>
      </x:c>
      <x:c r="F49" s="29">
        <x:f t="shared" si="2"/>
        <x:v>-2539305.1999999997</x:v>
      </x:c>
      <x:c r="G49" s="26"/>
    </x:row>
    <x:row r="50" spans="1:7" x14ac:dyDescent="0.25">
      <x:c r="A50" s="40">
        <x:f t="shared" si="0"/>
        <x:v>41</x:v>
      </x:c>
      <x:c r="B50" s="440">
        <x:v>45387</x:v>
      </x:c>
      <x:c r="C50" s="74">
        <x:v>256918.67</x:v>
      </x:c>
      <x:c r="D50" s="440">
        <x:v>45394</x:v>
      </x:c>
      <x:c r="E50" s="377">
        <x:f t="shared" si="1"/>
        <x:v>-7</x:v>
      </x:c>
      <x:c r="F50" s="29">
        <x:f t="shared" si="2"/>
        <x:v>-1798430.6900000002</x:v>
      </x:c>
      <x:c r="G50" s="26"/>
    </x:row>
    <x:row r="51" spans="1:7" x14ac:dyDescent="0.25">
      <x:c r="A51" s="40">
        <x:f t="shared" si="0"/>
        <x:v>42</x:v>
      </x:c>
      <x:c r="B51" s="440">
        <x:v>45387</x:v>
      </x:c>
      <x:c r="C51" s="74">
        <x:v>1550974.66</x:v>
      </x:c>
      <x:c r="D51" s="440">
        <x:v>45394</x:v>
      </x:c>
      <x:c r="E51" s="377">
        <x:f t="shared" si="1"/>
        <x:v>-7</x:v>
      </x:c>
      <x:c r="F51" s="29">
        <x:f t="shared" si="2"/>
        <x:v>-10856822.619999999</x:v>
      </x:c>
      <x:c r="G51" s="26"/>
    </x:row>
    <x:row r="52" spans="1:7" x14ac:dyDescent="0.25">
      <x:c r="A52" s="40">
        <x:f t="shared" si="0"/>
        <x:v>43</x:v>
      </x:c>
      <x:c r="B52" s="440">
        <x:v>45401</x:v>
      </x:c>
      <x:c r="C52" s="74">
        <x:v>1515780.5</x:v>
      </x:c>
      <x:c r="D52" s="440">
        <x:v>45408</x:v>
      </x:c>
      <x:c r="E52" s="377">
        <x:f t="shared" si="1"/>
        <x:v>-7</x:v>
      </x:c>
      <x:c r="F52" s="29">
        <x:f t="shared" si="2"/>
        <x:v>-10610463.5</x:v>
      </x:c>
      <x:c r="G52" s="26"/>
    </x:row>
    <x:row r="53" spans="1:7" x14ac:dyDescent="0.25">
      <x:c r="A53" s="40">
        <x:f t="shared" si="0"/>
        <x:v>44</x:v>
      </x:c>
      <x:c r="B53" s="440">
        <x:v>45401</x:v>
      </x:c>
      <x:c r="C53" s="74">
        <x:v>258826.47</x:v>
      </x:c>
      <x:c r="D53" s="440">
        <x:v>45408</x:v>
      </x:c>
      <x:c r="E53" s="377">
        <x:f t="shared" si="1"/>
        <x:v>-7</x:v>
      </x:c>
      <x:c r="F53" s="29">
        <x:f t="shared" si="2"/>
        <x:v>-1811785.29</x:v>
      </x:c>
      <x:c r="G53" s="26"/>
    </x:row>
    <x:row r="54" spans="1:7" x14ac:dyDescent="0.25">
      <x:c r="A54" s="40">
        <x:f t="shared" si="0"/>
        <x:v>45</x:v>
      </x:c>
      <x:c r="B54" s="440">
        <x:v>45415</x:v>
      </x:c>
      <x:c r="C54" s="74">
        <x:v>258944.73</x:v>
      </x:c>
      <x:c r="D54" s="440">
        <x:v>45422</x:v>
      </x:c>
      <x:c r="E54" s="377">
        <x:f t="shared" si="1"/>
        <x:v>-7</x:v>
      </x:c>
      <x:c r="F54" s="29">
        <x:f t="shared" si="2"/>
        <x:v>-1812613.11</x:v>
      </x:c>
      <x:c r="G54" s="26"/>
    </x:row>
    <x:row r="55" spans="1:7" x14ac:dyDescent="0.25">
      <x:c r="A55" s="40">
        <x:f t="shared" si="0"/>
        <x:v>46</x:v>
      </x:c>
      <x:c r="B55" s="440">
        <x:v>45415</x:v>
      </x:c>
      <x:c r="C55" s="74">
        <x:v>1505326.07</x:v>
      </x:c>
      <x:c r="D55" s="440">
        <x:v>45422</x:v>
      </x:c>
      <x:c r="E55" s="377">
        <x:f t="shared" si="1"/>
        <x:v>-7</x:v>
      </x:c>
      <x:c r="F55" s="29">
        <x:f t="shared" si="2"/>
        <x:v>-10537282.49</x:v>
      </x:c>
      <x:c r="G55" s="26"/>
    </x:row>
    <x:row r="56" spans="1:7" x14ac:dyDescent="0.25">
      <x:c r="A56" s="40">
        <x:f t="shared" si="0"/>
        <x:v>47</x:v>
      </x:c>
      <x:c r="B56" s="440">
        <x:v>45429</x:v>
      </x:c>
      <x:c r="C56" s="74">
        <x:v>261120.93</x:v>
      </x:c>
      <x:c r="D56" s="440">
        <x:v>45436</x:v>
      </x:c>
      <x:c r="E56" s="377">
        <x:f t="shared" si="1"/>
        <x:v>-7</x:v>
      </x:c>
      <x:c r="F56" s="29">
        <x:f t="shared" si="2"/>
        <x:v>-1827846.51</x:v>
      </x:c>
      <x:c r="G56" s="26"/>
    </x:row>
    <x:row r="57" spans="1:7" x14ac:dyDescent="0.25">
      <x:c r="A57" s="40">
        <x:f t="shared" si="0"/>
        <x:v>48</x:v>
      </x:c>
      <x:c r="B57" s="440">
        <x:v>45429</x:v>
      </x:c>
      <x:c r="C57" s="74">
        <x:v>1514631.48</x:v>
      </x:c>
      <x:c r="D57" s="440">
        <x:v>45436</x:v>
      </x:c>
      <x:c r="E57" s="377">
        <x:f>-D57+B57</x:f>
        <x:v>-7</x:v>
      </x:c>
      <x:c r="F57" s="29">
        <x:f>E57*C57</x:f>
        <x:v>-10602420.359999999</x:v>
      </x:c>
      <x:c r="G57" s="26"/>
    </x:row>
    <x:row r="58" spans="1:7" x14ac:dyDescent="0.25">
      <x:c r="A58" s="40">
        <x:f t="shared" si="0"/>
        <x:v>49</x:v>
      </x:c>
      <x:c r="B58" s="440">
        <x:v>45443</x:v>
      </x:c>
      <x:c r="C58" s="74">
        <x:v>259062.64</x:v>
      </x:c>
      <x:c r="D58" s="440">
        <x:v>45450</x:v>
      </x:c>
      <x:c r="E58" s="377">
        <x:f t="shared" ref="E58:E63" si="3">-D58+B58</x:f>
        <x:v>-7</x:v>
      </x:c>
      <x:c r="F58" s="29">
        <x:f t="shared" ref="F58:F63" si="4">E58*C58</x:f>
        <x:v>-1813438.48</x:v>
      </x:c>
      <x:c r="G58" s="26"/>
    </x:row>
    <x:row r="59" spans="1:7" x14ac:dyDescent="0.25">
      <x:c r="A59" s="40">
        <x:f t="shared" si="0"/>
        <x:v>50</x:v>
      </x:c>
      <x:c r="B59" s="440">
        <x:v>45443</x:v>
      </x:c>
      <x:c r="C59" s="74">
        <x:v>1503802.85</x:v>
      </x:c>
      <x:c r="D59" s="440">
        <x:v>45450</x:v>
      </x:c>
      <x:c r="E59" s="377">
        <x:f t="shared" si="3"/>
        <x:v>-7</x:v>
      </x:c>
      <x:c r="F59" s="29">
        <x:f t="shared" si="4"/>
        <x:v>-10526619.950000001</x:v>
      </x:c>
      <x:c r="G59" s="26"/>
    </x:row>
    <x:row r="60" spans="1:7" x14ac:dyDescent="0.25">
      <x:c r="A60" s="40">
        <x:f t="shared" si="0"/>
        <x:v>51</x:v>
      </x:c>
      <x:c r="B60" s="440">
        <x:v>45457</x:v>
      </x:c>
      <x:c r="C60" s="74">
        <x:v>262969.59000000003</x:v>
      </x:c>
      <x:c r="D60" s="440">
        <x:v>45464</x:v>
      </x:c>
      <x:c r="E60" s="377">
        <x:f t="shared" si="3"/>
        <x:v>-7</x:v>
      </x:c>
      <x:c r="F60" s="29">
        <x:f t="shared" si="4"/>
        <x:v>-1840787.1300000001</x:v>
      </x:c>
      <x:c r="G60" s="26"/>
    </x:row>
    <x:row r="61" spans="1:7" x14ac:dyDescent="0.25">
      <x:c r="A61" s="40">
        <x:f t="shared" si="0"/>
        <x:v>52</x:v>
      </x:c>
      <x:c r="B61" s="440">
        <x:v>45457</x:v>
      </x:c>
      <x:c r="C61" s="74">
        <x:v>1515332.03</x:v>
      </x:c>
      <x:c r="D61" s="440">
        <x:v>45464</x:v>
      </x:c>
      <x:c r="E61" s="377">
        <x:f t="shared" si="3"/>
        <x:v>-7</x:v>
      </x:c>
      <x:c r="F61" s="29">
        <x:f t="shared" si="4"/>
        <x:v>-10607324.210000001</x:v>
      </x:c>
      <x:c r="G61" s="26"/>
    </x:row>
    <x:row r="62" spans="1:7" x14ac:dyDescent="0.25">
      <x:c r="A62" s="40">
        <x:f t="shared" si="0"/>
        <x:v>53</x:v>
      </x:c>
      <x:c r="B62" s="440">
        <x:v>45429</x:v>
      </x:c>
      <x:c r="C62" s="74">
        <x:v>251.37</x:v>
      </x:c>
      <x:c r="D62" s="440">
        <x:v>45436</x:v>
      </x:c>
      <x:c r="E62" s="377">
        <x:f t="shared" si="3"/>
        <x:v>-7</x:v>
      </x:c>
      <x:c r="F62" s="29">
        <x:f t="shared" si="4"/>
        <x:v>-1759.5900000000001</x:v>
      </x:c>
      <x:c r="G62" s="26"/>
    </x:row>
    <x:row r="63" spans="1:7" x14ac:dyDescent="0.25">
      <x:c r="A63" s="40">
        <x:f t="shared" si="0"/>
        <x:v>54</x:v>
      </x:c>
      <x:c r="B63" s="440">
        <x:v>45471</x:v>
      </x:c>
      <x:c r="C63" s="74">
        <x:v>1502871.54</x:v>
      </x:c>
      <x:c r="D63" s="440">
        <x:v>45476</x:v>
      </x:c>
      <x:c r="E63" s="377">
        <x:f t="shared" si="3"/>
        <x:v>-5</x:v>
      </x:c>
      <x:c r="F63" s="29">
        <x:f t="shared" si="4"/>
        <x:v>-7514357.7000000002</x:v>
      </x:c>
      <x:c r="G63" s="26"/>
    </x:row>
    <x:row r="64" spans="1:7" x14ac:dyDescent="0.25">
      <x:c r="A64" s="40">
        <x:f t="shared" si="0"/>
        <x:v>55</x:v>
      </x:c>
      <x:c r="B64" s="440">
        <x:v>45471</x:v>
      </x:c>
      <x:c r="C64" s="74">
        <x:v>264613.52</x:v>
      </x:c>
      <x:c r="D64" s="440">
        <x:v>45476</x:v>
      </x:c>
      <x:c r="E64" s="377">
        <x:f t="shared" ref="E64:E77" si="5">-D64+B64</x:f>
        <x:v>-5</x:v>
      </x:c>
      <x:c r="F64" s="29">
        <x:f t="shared" ref="F64:F77" si="6">E64*C64</x:f>
        <x:v>-1323067.6000000001</x:v>
      </x:c>
      <x:c r="G64" s="26"/>
    </x:row>
    <x:row r="65" spans="1:7" x14ac:dyDescent="0.25">
      <x:c r="A65" s="40">
        <x:f t="shared" si="0"/>
        <x:v>56</x:v>
      </x:c>
      <x:c r="B65" s="440">
        <x:v>45485</x:v>
      </x:c>
      <x:c r="C65" s="74">
        <x:v>264771.83</x:v>
      </x:c>
      <x:c r="D65" s="440">
        <x:v>45492</x:v>
      </x:c>
      <x:c r="E65" s="377">
        <x:f t="shared" si="5"/>
        <x:v>-7</x:v>
      </x:c>
      <x:c r="F65" s="29">
        <x:f t="shared" si="6"/>
        <x:v>-1853402.81</x:v>
      </x:c>
      <x:c r="G65" s="26"/>
    </x:row>
    <x:row r="66" spans="1:7" x14ac:dyDescent="0.25">
      <x:c r="A66" s="40">
        <x:f t="shared" si="0"/>
        <x:v>57</x:v>
      </x:c>
      <x:c r="B66" s="440">
        <x:v>45485</x:v>
      </x:c>
      <x:c r="C66" s="74">
        <x:v>1514489.44</x:v>
      </x:c>
      <x:c r="D66" s="440">
        <x:v>45492</x:v>
      </x:c>
      <x:c r="E66" s="377">
        <x:f t="shared" si="5"/>
        <x:v>-7</x:v>
      </x:c>
      <x:c r="F66" s="29">
        <x:f t="shared" si="6"/>
        <x:v>-10601426.08</x:v>
      </x:c>
      <x:c r="G66" s="26"/>
    </x:row>
    <x:row r="67" spans="1:7" x14ac:dyDescent="0.25">
      <x:c r="A67" s="40">
        <x:f t="shared" si="0"/>
        <x:v>58</x:v>
      </x:c>
      <x:c r="B67" s="440">
        <x:v>45506</x:v>
      </x:c>
      <x:c r="C67" s="74">
        <x:v>261982.42</x:v>
      </x:c>
      <x:c r="D67" s="440">
        <x:v>45506</x:v>
      </x:c>
      <x:c r="E67" s="377">
        <x:f t="shared" si="5"/>
        <x:v>0</x:v>
      </x:c>
      <x:c r="F67" s="29">
        <x:f t="shared" si="6"/>
        <x:v>0</x:v>
      </x:c>
      <x:c r="G67" s="26"/>
    </x:row>
    <x:row r="68" spans="1:7" x14ac:dyDescent="0.25">
      <x:c r="A68" s="40">
        <x:f t="shared" si="0"/>
        <x:v>59</x:v>
      </x:c>
      <x:c r="B68" s="440">
        <x:v>45506</x:v>
      </x:c>
      <x:c r="C68" s="74">
        <x:v>1495868.53</x:v>
      </x:c>
      <x:c r="D68" s="440">
        <x:v>45506</x:v>
      </x:c>
      <x:c r="E68" s="377">
        <x:f t="shared" si="5"/>
        <x:v>0</x:v>
      </x:c>
      <x:c r="F68" s="29">
        <x:f t="shared" si="6"/>
        <x:v>0</x:v>
      </x:c>
      <x:c r="G68" s="26"/>
    </x:row>
    <x:row r="69" spans="1:7" x14ac:dyDescent="0.25">
      <x:c r="A69" s="40">
        <x:f t="shared" si="0"/>
        <x:v>60</x:v>
      </x:c>
      <x:c r="B69" s="440">
        <x:v>45513</x:v>
      </x:c>
      <x:c r="C69" s="74">
        <x:v>258895.68</x:v>
      </x:c>
      <x:c r="D69" s="440">
        <x:v>45520</x:v>
      </x:c>
      <x:c r="E69" s="377">
        <x:f t="shared" si="5"/>
        <x:v>-7</x:v>
      </x:c>
      <x:c r="F69" s="29">
        <x:f t="shared" si="6"/>
        <x:v>-1812269.76</x:v>
      </x:c>
      <x:c r="G69" s="26"/>
    </x:row>
    <x:row r="70" spans="1:7" x14ac:dyDescent="0.25">
      <x:c r="A70" s="40">
        <x:f t="shared" si="0"/>
        <x:v>61</x:v>
      </x:c>
      <x:c r="B70" s="440">
        <x:v>45513</x:v>
      </x:c>
      <x:c r="C70" s="74">
        <x:v>1501849.52</x:v>
      </x:c>
      <x:c r="D70" s="440">
        <x:v>45520</x:v>
      </x:c>
      <x:c r="E70" s="377">
        <x:f t="shared" si="5"/>
        <x:v>-7</x:v>
      </x:c>
      <x:c r="F70" s="29">
        <x:f t="shared" si="6"/>
        <x:v>-10512946.640000001</x:v>
      </x:c>
      <x:c r="G70" s="26"/>
    </x:row>
    <x:row r="71" spans="1:7" x14ac:dyDescent="0.25">
      <x:c r="A71" s="40">
        <x:f t="shared" si="0"/>
        <x:v>62</x:v>
      </x:c>
      <x:c r="B71" s="440">
        <x:v>45527</x:v>
      </x:c>
      <x:c r="C71" s="74">
        <x:v>1491841.09</x:v>
      </x:c>
      <x:c r="D71" s="440">
        <x:v>45534</x:v>
      </x:c>
      <x:c r="E71" s="377">
        <x:f t="shared" si="5"/>
        <x:v>-7</x:v>
      </x:c>
      <x:c r="F71" s="29">
        <x:f t="shared" si="6"/>
        <x:v>-10442887.630000001</x:v>
      </x:c>
      <x:c r="G71" s="26"/>
    </x:row>
    <x:row r="72" spans="1:7" x14ac:dyDescent="0.25">
      <x:c r="A72" s="40">
        <x:f t="shared" si="0"/>
        <x:v>63</x:v>
      </x:c>
      <x:c r="B72" s="440">
        <x:v>45527</x:v>
      </x:c>
      <x:c r="C72" s="74">
        <x:v>258037.62</x:v>
      </x:c>
      <x:c r="D72" s="440">
        <x:v>45534</x:v>
      </x:c>
      <x:c r="E72" s="377">
        <x:f t="shared" si="5"/>
        <x:v>-7</x:v>
      </x:c>
      <x:c r="F72" s="29">
        <x:f t="shared" si="6"/>
        <x:v>-1806263.3399999999</x:v>
      </x:c>
      <x:c r="G72" s="26"/>
    </x:row>
    <x:row r="73" spans="1:7" x14ac:dyDescent="0.25">
      <x:c r="A73" s="40">
        <x:f t="shared" si="0"/>
        <x:v>64</x:v>
      </x:c>
      <x:c r="B73" s="440">
        <x:v>45506</x:v>
      </x:c>
      <x:c r="C73" s="74">
        <x:v>-391.5</x:v>
      </x:c>
      <x:c r="D73" s="440">
        <x:v>45506</x:v>
      </x:c>
      <x:c r="E73" s="377">
        <x:f t="shared" si="5"/>
        <x:v>0</x:v>
      </x:c>
      <x:c r="F73" s="29">
        <x:f t="shared" si="6"/>
        <x:v>0</x:v>
      </x:c>
      <x:c r="G73" s="26"/>
    </x:row>
    <x:row r="74" spans="1:7" x14ac:dyDescent="0.25">
      <x:c r="A74" s="40">
        <x:f t="shared" si="0"/>
        <x:v>65</x:v>
      </x:c>
      <x:c r="B74" s="440">
        <x:v>45541</x:v>
      </x:c>
      <x:c r="C74" s="74">
        <x:v>253878.23</x:v>
      </x:c>
      <x:c r="D74" s="440">
        <x:v>45548</x:v>
      </x:c>
      <x:c r="E74" s="377">
        <x:f t="shared" si="5"/>
        <x:v>-7</x:v>
      </x:c>
      <x:c r="F74" s="29">
        <x:f t="shared" si="6"/>
        <x:v>-1777147.61</x:v>
      </x:c>
      <x:c r="G74" s="26"/>
    </x:row>
    <x:row r="75" spans="1:7" x14ac:dyDescent="0.25">
      <x:c r="A75" s="40">
        <x:f t="shared" si="0"/>
        <x:v>66</x:v>
      </x:c>
      <x:c r="B75" s="440">
        <x:v>45541</x:v>
      </x:c>
      <x:c r="C75" s="74">
        <x:v>1496736.7</x:v>
      </x:c>
      <x:c r="D75" s="440">
        <x:v>45548</x:v>
      </x:c>
      <x:c r="E75" s="377">
        <x:f t="shared" si="5"/>
        <x:v>-7</x:v>
      </x:c>
      <x:c r="F75" s="29">
        <x:f t="shared" si="6"/>
        <x:v>-10477156.9</x:v>
      </x:c>
      <x:c r="G75" s="26"/>
    </x:row>
    <x:row r="76" spans="1:7" x14ac:dyDescent="0.25">
      <x:c r="A76" s="40">
        <x:f t="shared" si="0"/>
        <x:v>67</x:v>
      </x:c>
      <x:c r="B76" s="440">
        <x:v>45555</x:v>
      </x:c>
      <x:c r="C76" s="74">
        <x:v>1493203.47</x:v>
      </x:c>
      <x:c r="D76" s="440">
        <x:v>45562</x:v>
      </x:c>
      <x:c r="E76" s="377">
        <x:f t="shared" si="5"/>
        <x:v>-7</x:v>
      </x:c>
      <x:c r="F76" s="29">
        <x:f t="shared" si="6"/>
        <x:v>-10452424.289999999</x:v>
      </x:c>
      <x:c r="G76" s="26"/>
    </x:row>
    <x:row r="77" spans="1:7" x14ac:dyDescent="0.25">
      <x:c r="A77" s="40">
        <x:f t="shared" si="0"/>
        <x:v>68</x:v>
      </x:c>
      <x:c r="B77" s="440">
        <x:v>45555</x:v>
      </x:c>
      <x:c r="C77" s="74">
        <x:v>250143.71</x:v>
      </x:c>
      <x:c r="D77" s="440">
        <x:v>45562</x:v>
      </x:c>
      <x:c r="E77" s="377">
        <x:f t="shared" si="5"/>
        <x:v>-7</x:v>
      </x:c>
      <x:c r="F77" s="29">
        <x:f t="shared" si="6"/>
        <x:v>-1751005.97</x:v>
      </x:c>
      <x:c r="G77" s="26"/>
    </x:row>
    <x:row r="78" spans="1:7" ht="13.25" thickBot="1" x14ac:dyDescent="0.3">
      <x:c r="A78" s="40">
        <x:f t="shared" si="0"/>
        <x:v>69</x:v>
      </x:c>
      <x:c r="B78" s="16" t="s">
        <x:v>26</x:v>
      </x:c>
      <x:c r="C78" s="399">
        <x:f>SUM(C10:C77)</x:f>
        <x:v>45588348.06000001</x:v>
      </x:c>
      <x:c r="D78" s="31"/>
      <x:c r="E78" s="623">
        <x:f>ROUND(F78/C78,2)</x:f>
        <x:v>-6.77</x:v>
      </x:c>
      <x:c r="F78" s="399">
        <x:f>SUM(F10:F77)</x:f>
        <x:v>-308620578.02999997</x:v>
      </x:c>
    </x:row>
    <x:row r="79" spans="1:7" ht="13.25" thickTop="1" x14ac:dyDescent="0.25">
      <x:c r="A79" s="40">
        <x:f t="shared" si="0"/>
        <x:v>70</x:v>
      </x:c>
      <x:c r="C79" s="196"/>
      <x:c r="D79" s="31"/>
      <x:c r="E79" s="161"/>
      <x:c r="F79" s="45"/>
    </x:row>
    <x:row r="80" spans="1:7" x14ac:dyDescent="0.25">
      <x:c r="A80" s="40">
        <x:f t="shared" si="0"/>
        <x:v>71</x:v>
      </x:c>
      <x:c r="B80" s="635" t="s">
        <x:v>506</x:v>
      </x:c>
      <x:c r="C80" s="196"/>
      <x:c r="D80" s="31"/>
      <x:c r="E80" s="401">
        <x:f>+ROUND(C78/365.25,0)</x:f>
        <x:v>124814</x:v>
      </x:c>
      <x:c r="F80" s="45"/>
    </x:row>
    <x:row r="81" spans="1:6" x14ac:dyDescent="0.25">
      <x:c r="A81" s="40">
        <x:f t="shared" si="0"/>
        <x:v>72</x:v>
      </x:c>
      <x:c r="C81" s="196"/>
      <x:c r="D81" s="31"/>
      <x:c r="E81" s="162"/>
      <x:c r="F81" s="45"/>
    </x:row>
    <x:row r="82" spans="1:6" x14ac:dyDescent="0.25">
      <x:c r="A82" s="40">
        <x:f t="shared" si="0"/>
        <x:v>73</x:v>
      </x:c>
      <x:c r="B82" s="635" t="s">
        <x:v>507</x:v>
      </x:c>
      <x:c r="C82" s="231"/>
      <x:c r="D82" s="31"/>
      <x:c r="E82" s="446">
        <x:f>+E78</x:f>
        <x:v>-6.77</x:v>
      </x:c>
      <x:c r="F82" s="45"/>
    </x:row>
    <x:row r="83" spans="1:6" x14ac:dyDescent="0.25">
      <x:c r="A83" s="40">
        <x:f t="shared" si="0"/>
        <x:v>74</x:v>
      </x:c>
      <x:c r="B83" s="31"/>
      <x:c r="C83" s="31"/>
      <x:c r="D83" s="31"/>
      <x:c r="E83" s="9"/>
    </x:row>
    <x:row r="84" spans="1:6" ht="13.25" thickBot="1" x14ac:dyDescent="0.3">
      <x:c r="A84" s="40">
        <x:f t="shared" si="0"/>
        <x:v>75</x:v>
      </x:c>
      <x:c r="B84" s="636" t="s">
        <x:v>508</x:v>
      </x:c>
      <x:c r="C84" s="190"/>
      <x:c r="D84" s="31"/>
      <x:c r="E84" s="402">
        <x:f>+ROUND(E80*E82,0)</x:f>
        <x:v>-844991</x:v>
      </x:c>
    </x:row>
    <x:row r="85" spans="1:6" ht="13.25" thickTop="1" x14ac:dyDescent="0.25">
      <x:c r="A85" s="40">
        <x:f t="shared" si="0"/>
        <x:v>76</x:v>
      </x:c>
    </x:row>
    <x:row r="86" spans="1:6" x14ac:dyDescent="0.25">
      <x:c r="A86" s="40">
        <x:f t="shared" si="0"/>
        <x:v>77</x:v>
      </x:c>
      <x:c r="B86" s="31" t="s">
        <x:v>230</x:v>
      </x:c>
      <x:c r="C86" s="290" t="s">
        <x:v>446</x:v>
      </x:c>
    </x:row>
    <x:row r="87" spans="1:6" x14ac:dyDescent="0.25">
      <x:c r="B87" s="31"/>
      <x:c r="C87" s="31"/>
    </x:row>
    <x:row r="88" spans="1:6" x14ac:dyDescent="0.25">
      <x:c r="B88" s="31"/>
      <x:c r="C88" s="31"/>
    </x:row>
  </x:sheetData>
  <x:mergeCells count="1">
    <x:mergeCell ref="A3:F3"/>
  </x:mergeCells>
  <x:phoneticPr fontId="0" type="noConversion"/>
  <x:hyperlinks>
    <x:hyperlink ref="C86" r:id="rId1" xr:uid="{00000000-0004-0000-3300-000000000000}"/>
  </x:hyperlinks>
  <x:printOptions horizontalCentered="1"/>
  <x:pageMargins left="0.5" right="0.5" top="1.5" bottom="0.5" header="1" footer="0.5"/>
  <x:pageSetup fitToHeight="4" orientation="landscape" r:id="rId2"/>
  <x:headerFooter alignWithMargins="0">
    <x:oddHeader>&amp;RWP/II-B-9/&amp;A
Page &amp;P of &amp;N</x:oddHeader>
  </x:headerFooter>
</x:worksheet>
</file>

<file path=xl/worksheets/sheet5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400-000000000000}" mc:Ignorable="x14ac xr xr2 xr3">
  <x:sheetPr codeName="Sheet30">
    <x:tabColor rgb="FF92D050"/>
    <x:pageSetUpPr fitToPage="1"/>
  </x:sheetPr>
  <x:dimension ref="A1:H27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00"/>
    <x:col min="2" max="2" width="20.88671875" style="100" customWidth="1"/>
    <x:col min="3" max="3" width="12" style="100" customWidth="1"/>
    <x:col min="4" max="4" width="29.5546875" style="101" customWidth="1"/>
    <x:col min="5" max="16384" width="9.109375" style="100"/>
  </x:cols>
  <x:sheetData>
    <x:row r="1" spans="1:8" s="41" customFormat="1" x14ac:dyDescent="0.25">
      <x:c r="A1" s="180" t="s">
        <x:v>523</x:v>
      </x:c>
      <x:c r="C1" s="180"/>
      <x:c r="D1" s="180"/>
    </x:row>
    <x:row r="2" spans="1:8" s="41" customFormat="1" x14ac:dyDescent="0.25">
      <x:c r="A2" s="180" t="str">
        <x:f>' '!A2</x:f>
        <x:v>ONCOR ELECTRIC DELIVERY COMPANY LLC</x:v>
      </x:c>
      <x:c r="C2" s="180"/>
      <x:c r="D2" s="180"/>
    </x:row>
    <x:row r="3" spans="1:8" s="41" customFormat="1" x14ac:dyDescent="0.25">
      <x:c r="A3" s="180" t="s">
        <x:v>5</x:v>
      </x:c>
      <x:c r="C3" s="180"/>
      <x:c r="D3" s="180"/>
    </x:row>
    <x:row r="4" spans="1:8" s="41" customFormat="1" x14ac:dyDescent="0.25">
      <x:c r="A4" s="767" t="s">
        <x:v>522</x:v>
      </x:c>
      <x:c r="C4" s="180"/>
      <x:c r="D4" s="180"/>
    </x:row>
    <x:row r="5" spans="1:8" s="41" customFormat="1" x14ac:dyDescent="0.25">
      <x:c r="A5" s="180" t="s">
        <x:v>486</x:v>
      </x:c>
      <x:c r="C5" s="180"/>
      <x:c r="D5" s="180"/>
      <x:c r="H5" s="41" t="s">
        <x:v>464</x:v>
      </x:c>
    </x:row>
    <x:row r="7" spans="1:8" ht="15.55" x14ac:dyDescent="0.3">
      <x:c r="A7" s="202" t="s">
        <x:v>40</x:v>
      </x:c>
      <x:c r="B7" s="203" t="s">
        <x:v>23</x:v>
      </x:c>
      <x:c r="C7" s="203" t="s">
        <x:v>24</x:v>
      </x:c>
      <x:c r="D7" s="203" t="s">
        <x:v>25</x:v>
      </x:c>
      <x:c r="F7" s="102"/>
    </x:row>
    <x:row r="8" spans="1:8" ht="15.55" x14ac:dyDescent="0.3">
      <x:c r="A8" s="201"/>
      <x:c r="B8" s="40" t="s">
        <x:v>50</x:v>
      </x:c>
      <x:c r="C8" s="40" t="s">
        <x:v>51</x:v>
      </x:c>
      <x:c r="D8" s="40" t="s">
        <x:v>108</x:v>
      </x:c>
      <x:c r="F8" s="102"/>
    </x:row>
    <x:row r="9" spans="1:8" ht="15.55" x14ac:dyDescent="0.3">
      <x:c r="A9" s="201"/>
      <x:c r="B9" s="40"/>
      <x:c r="C9" s="40"/>
      <x:c r="D9" s="267"/>
      <x:c r="F9" s="102"/>
    </x:row>
    <x:row r="10" spans="1:8" ht="15.55" x14ac:dyDescent="0.3">
      <x:c r="A10" s="204">
        <x:v>1</x:v>
      </x:c>
      <x:c r="B10" s="100" t="s">
        <x:v>113</x:v>
      </x:c>
      <x:c r="C10" s="74">
        <x:f>'13-2-1'!J29</x:f>
        <x:v>0</x:v>
      </x:c>
      <x:c r="D10" s="404" t="s">
        <x:v>333</x:v>
      </x:c>
      <x:c r="F10" s="102"/>
    </x:row>
    <x:row r="11" spans="1:8" ht="15.55" x14ac:dyDescent="0.3">
      <x:c r="A11" s="149">
        <x:v>2</x:v>
      </x:c>
      <x:c r="B11" s="100" t="s">
        <x:v>114</x:v>
      </x:c>
      <x:c r="C11" s="29">
        <x:f>'13-2-2'!J29</x:f>
        <x:v>0</x:v>
      </x:c>
      <x:c r="D11" s="404" t="s">
        <x:v>334</x:v>
      </x:c>
      <x:c r="F11" s="102"/>
    </x:row>
    <x:row r="12" spans="1:8" ht="15.55" x14ac:dyDescent="0.3">
      <x:c r="A12" s="205">
        <x:v>3</x:v>
      </x:c>
      <x:c r="B12" s="100" t="s">
        <x:v>116</x:v>
      </x:c>
      <x:c r="C12" s="386">
        <x:f>'13-2-3'!J29</x:f>
        <x:v>0</x:v>
      </x:c>
      <x:c r="D12" s="404" t="s">
        <x:v>335</x:v>
      </x:c>
      <x:c r="F12" s="102"/>
    </x:row>
    <x:row r="13" spans="1:8" ht="16.600000000000001" customHeight="1" x14ac:dyDescent="0.3">
      <x:c r="A13" s="204">
        <x:v>4</x:v>
      </x:c>
      <x:c r="D13" s="243"/>
      <x:c r="F13" s="102"/>
    </x:row>
    <x:row r="14" spans="1:8" ht="16.149999999999999" thickBot="1" x14ac:dyDescent="0.35">
      <x:c r="A14" s="149">
        <x:v>5</x:v>
      </x:c>
      <x:c r="C14" s="348">
        <x:f>ROUND(SUM(C10:C13),0)</x:f>
        <x:v>0</x:v>
      </x:c>
      <x:c r="D14" s="243"/>
      <x:c r="F14" s="102"/>
    </x:row>
    <x:row r="15" spans="1:8" ht="16.149999999999999" thickTop="1" x14ac:dyDescent="0.3">
      <x:c r="D15" s="267"/>
      <x:c r="F15" s="102"/>
    </x:row>
    <x:row r="16" spans="1:8" ht="15.55" x14ac:dyDescent="0.3">
      <x:c r="F16" s="102"/>
    </x:row>
    <x:row r="17" spans="2:6" ht="15.55" x14ac:dyDescent="0.3">
      <x:c r="F17" s="102"/>
    </x:row>
    <x:row r="18" spans="2:6" ht="15.55" x14ac:dyDescent="0.3">
      <x:c r="F18" s="102"/>
    </x:row>
    <x:row r="19" spans="2:6" ht="15.55" x14ac:dyDescent="0.3">
      <x:c r="F19" s="102"/>
    </x:row>
    <x:row r="20" spans="2:6" ht="15.55" x14ac:dyDescent="0.3">
      <x:c r="F20" s="102"/>
    </x:row>
    <x:row r="21" spans="2:6" ht="15.55" x14ac:dyDescent="0.3">
      <x:c r="F21" s="102"/>
    </x:row>
    <x:row r="22" spans="2:6" ht="15.55" x14ac:dyDescent="0.3">
      <x:c r="F22" s="102"/>
    </x:row>
    <x:row r="23" spans="2:6" ht="15.55" x14ac:dyDescent="0.3">
      <x:c r="F23" s="102"/>
    </x:row>
    <x:row r="24" spans="2:6" ht="15.55" x14ac:dyDescent="0.3">
      <x:c r="F24" s="102"/>
    </x:row>
    <x:row r="25" spans="2:6" ht="15.55" x14ac:dyDescent="0.3">
      <x:c r="B25" s="102"/>
      <x:c r="C25" s="102"/>
      <x:c r="D25" s="103"/>
      <x:c r="E25" s="102"/>
      <x:c r="F25" s="102"/>
    </x:row>
    <x:row r="26" spans="2:6" ht="15.55" x14ac:dyDescent="0.3">
      <x:c r="B26" s="102"/>
      <x:c r="C26" s="102"/>
      <x:c r="D26" s="103"/>
      <x:c r="E26" s="102"/>
      <x:c r="F26" s="102"/>
    </x:row>
    <x:row r="27" spans="2:6" ht="15.55" x14ac:dyDescent="0.3">
      <x:c r="B27" s="102"/>
      <x:c r="C27" s="102"/>
      <x:c r="D27" s="103"/>
      <x:c r="E27" s="102"/>
      <x:c r="F27" s="102"/>
    </x:row>
  </x:sheetData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5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500-000000000000}" mc:Ignorable="x14ac xr xr2 xr3">
  <x:sheetPr codeName="Sheet31">
    <x:tabColor rgb="FF92D050"/>
    <x:pageSetUpPr fitToPage="1"/>
  </x:sheetPr>
  <x:dimension ref="A1:K241"/>
  <x:sheetViews>
    <x:sheetView topLeftCell="A13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00"/>
    <x:col min="2" max="2" width="18" style="100" customWidth="1"/>
    <x:col min="3" max="3" width="11.109375" style="100" customWidth="1"/>
    <x:col min="4" max="4" width="14" style="100" customWidth="1"/>
    <x:col min="5" max="5" width="2.88671875" style="100" customWidth="1"/>
    <x:col min="6" max="6" width="11.109375" style="100" bestFit="1" customWidth="1"/>
    <x:col min="7" max="7" width="14" style="100" customWidth="1"/>
    <x:col min="8" max="8" width="3" style="100" customWidth="1"/>
    <x:col min="9" max="9" width="10.5546875" style="100" customWidth="1"/>
    <x:col min="10" max="10" width="12.44140625" style="100" customWidth="1"/>
    <x:col min="11" max="11" width="9.5546875" style="100" bestFit="1" customWidth="1"/>
    <x:col min="12" max="16384" width="9.109375" style="100"/>
  </x:cols>
  <x:sheetData>
    <x:row r="1" spans="1:11" s="41" customFormat="1" x14ac:dyDescent="0.25">
      <x:c r="A1" s="180" t="s">
        <x:v>523</x:v>
      </x:c>
      <x:c r="C1" s="180"/>
      <x:c r="D1" s="180"/>
      <x:c r="E1" s="180"/>
      <x:c r="F1" s="180"/>
    </x:row>
    <x:row r="2" spans="1:11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11" s="41" customFormat="1" x14ac:dyDescent="0.25">
      <x:c r="A3" s="180" t="s">
        <x:v>167</x:v>
      </x:c>
      <x:c r="C3" s="180"/>
      <x:c r="D3" s="180"/>
      <x:c r="E3" s="180"/>
      <x:c r="F3" s="180"/>
    </x:row>
    <x:row r="4" spans="1:11" s="41" customFormat="1" x14ac:dyDescent="0.25">
      <x:c r="A4" s="767" t="s">
        <x:v>522</x:v>
      </x:c>
      <x:c r="C4" s="180"/>
      <x:c r="D4" s="180"/>
      <x:c r="E4" s="180"/>
      <x:c r="F4" s="180"/>
    </x:row>
    <x:row r="5" spans="1:11" s="41" customFormat="1" x14ac:dyDescent="0.25">
      <x:c r="A5" s="180" t="s">
        <x:v>486</x:v>
      </x:c>
      <x:c r="C5" s="180"/>
      <x:c r="D5" s="180"/>
      <x:c r="E5" s="180"/>
      <x:c r="F5" s="180"/>
      <x:c r="H5" s="41" t="s">
        <x:v>464</x:v>
      </x:c>
    </x:row>
    <x:row r="7" spans="1:11" ht="27.1" customHeight="1" x14ac:dyDescent="0.25">
      <x:c r="A7" s="201" t="s">
        <x:v>197</x:v>
      </x:c>
      <x:c r="B7" s="104"/>
      <x:c r="C7" s="835" t="s">
        <x:v>118</x:v>
      </x:c>
      <x:c r="D7" s="835"/>
      <x:c r="E7" s="106"/>
      <x:c r="F7" s="835" t="s">
        <x:v>119</x:v>
      </x:c>
      <x:c r="G7" s="835"/>
      <x:c r="H7" s="106"/>
      <x:c r="I7" s="835" t="s">
        <x:v>120</x:v>
      </x:c>
      <x:c r="J7" s="835"/>
      <x:c r="K7" s="104"/>
    </x:row>
    <x:row r="8" spans="1:11" x14ac:dyDescent="0.25">
      <x:c r="A8" s="202" t="s">
        <x:v>198</x:v>
      </x:c>
      <x:c r="B8" s="203" t="s">
        <x:v>79</x:v>
      </x:c>
      <x:c r="C8" s="837">
        <x:v>1350300</x:v>
      </x:c>
      <x:c r="D8" s="837"/>
      <x:c r="E8" s="203"/>
      <x:c r="F8" s="836">
        <x:v>1350700</x:v>
      </x:c>
      <x:c r="G8" s="836"/>
      <x:c r="H8" s="203"/>
      <x:c r="I8" s="836">
        <x:v>1354000</x:v>
      </x:c>
      <x:c r="J8" s="836"/>
      <x:c r="K8" s="108"/>
    </x:row>
    <x:row r="9" spans="1:11" x14ac:dyDescent="0.25">
      <x:c r="A9" s="147"/>
      <x:c r="B9" s="40" t="s">
        <x:v>50</x:v>
      </x:c>
      <x:c r="C9" s="40" t="s">
        <x:v>51</x:v>
      </x:c>
      <x:c r="D9" s="40" t="s">
        <x:v>57</x:v>
      </x:c>
      <x:c r="E9" s="40"/>
      <x:c r="F9" s="40" t="s">
        <x:v>52</x:v>
      </x:c>
      <x:c r="G9" s="40" t="s">
        <x:v>53</x:v>
      </x:c>
      <x:c r="H9" s="40"/>
      <x:c r="I9" s="40" t="s">
        <x:v>54</x:v>
      </x:c>
      <x:c r="J9" s="40" t="s">
        <x:v>55</x:v>
      </x:c>
      <x:c r="K9" s="108"/>
    </x:row>
    <x:row r="10" spans="1:11" x14ac:dyDescent="0.25">
      <x:c r="A10" s="147"/>
      <x:c r="B10" s="104"/>
      <x:c r="C10" s="108"/>
      <x:c r="D10" s="108"/>
      <x:c r="E10" s="108"/>
      <x:c r="F10" s="108"/>
      <x:c r="G10" s="108"/>
      <x:c r="H10" s="108"/>
      <x:c r="I10" s="108"/>
      <x:c r="J10" s="108"/>
      <x:c r="K10" s="108"/>
    </x:row>
    <x:row r="11" spans="1:11" x14ac:dyDescent="0.25">
      <x:c r="A11" s="149">
        <x:v>1</x:v>
      </x:c>
      <x:c r="B11" s="109" t="s">
        <x:v>121</x:v>
      </x:c>
      <x:c r="C11" s="405"/>
      <x:c r="D11" s="405">
        <x:v>0</x:v>
      </x:c>
      <x:c r="E11" s="405"/>
      <x:c r="F11" s="405"/>
      <x:c r="G11" s="405">
        <x:v>0</x:v>
      </x:c>
      <x:c r="H11" s="405"/>
      <x:c r="I11" s="405"/>
      <x:c r="J11" s="405">
        <x:v>0</x:v>
      </x:c>
      <x:c r="K11" s="110"/>
    </x:row>
    <x:row r="12" spans="1:11" x14ac:dyDescent="0.25">
      <x:c r="A12" s="205">
        <x:f t="shared" ref="A12:A32" si="0">A11+1</x:f>
        <x:v>2</x:v>
      </x:c>
      <x:c r="B12" s="111" t="s">
        <x:v>122</x:v>
      </x:c>
      <x:c r="C12" s="406" t="s">
        <x:v>123</x:v>
      </x:c>
      <x:c r="D12" s="406"/>
      <x:c r="E12" s="406"/>
      <x:c r="F12" s="406" t="s">
        <x:v>123</x:v>
      </x:c>
      <x:c r="G12" s="406"/>
      <x:c r="H12" s="406"/>
      <x:c r="I12" s="406" t="s">
        <x:v>123</x:v>
      </x:c>
      <x:c r="J12" s="406"/>
      <x:c r="K12" s="110"/>
    </x:row>
    <x:row r="13" spans="1:11" x14ac:dyDescent="0.25">
      <x:c r="A13" s="205">
        <x:f t="shared" si="0"/>
        <x:v>3</x:v>
      </x:c>
      <x:c r="B13" s="658">
        <x:v>45292</x:v>
      </x:c>
      <x:c r="C13" s="407">
        <x:v>0</x:v>
      </x:c>
      <x:c r="D13" s="407">
        <x:f>D11+C13</x:f>
        <x:v>0</x:v>
      </x:c>
      <x:c r="E13" s="407"/>
      <x:c r="F13" s="407">
        <x:v>0</x:v>
      </x:c>
      <x:c r="G13" s="407">
        <x:f>G11+F13</x:f>
        <x:v>0</x:v>
      </x:c>
      <x:c r="H13" s="407"/>
      <x:c r="I13" s="407">
        <x:v>0</x:v>
      </x:c>
      <x:c r="J13" s="407">
        <x:f>J11+I13</x:f>
        <x:v>0</x:v>
      </x:c>
      <x:c r="K13" s="113"/>
    </x:row>
    <x:row r="14" spans="1:11" x14ac:dyDescent="0.25">
      <x:c r="A14" s="205">
        <x:f t="shared" si="0"/>
        <x:v>4</x:v>
      </x:c>
      <x:c r="B14" s="658">
        <x:v>45323</x:v>
      </x:c>
      <x:c r="C14" s="407">
        <x:v>0</x:v>
      </x:c>
      <x:c r="D14" s="407">
        <x:f t="shared" ref="D14:D24" si="1">D13+C14</x:f>
        <x:v>0</x:v>
      </x:c>
      <x:c r="E14" s="407"/>
      <x:c r="F14" s="407">
        <x:v>0</x:v>
      </x:c>
      <x:c r="G14" s="407">
        <x:f t="shared" ref="G14:G24" si="2">G13+F14</x:f>
        <x:v>0</x:v>
      </x:c>
      <x:c r="H14" s="407"/>
      <x:c r="I14" s="407">
        <x:v>0</x:v>
      </x:c>
      <x:c r="J14" s="407">
        <x:f t="shared" ref="J14:J24" si="3">J13+I14</x:f>
        <x:v>0</x:v>
      </x:c>
      <x:c r="K14" s="113"/>
    </x:row>
    <x:row r="15" spans="1:11" x14ac:dyDescent="0.25">
      <x:c r="A15" s="205">
        <x:f t="shared" si="0"/>
        <x:v>5</x:v>
      </x:c>
      <x:c r="B15" s="658">
        <x:v>45352</x:v>
      </x:c>
      <x:c r="C15" s="407">
        <x:v>0</x:v>
      </x:c>
      <x:c r="D15" s="407">
        <x:f t="shared" si="1"/>
        <x:v>0</x:v>
      </x:c>
      <x:c r="E15" s="407"/>
      <x:c r="F15" s="407">
        <x:v>0</x:v>
      </x:c>
      <x:c r="G15" s="407">
        <x:f t="shared" si="2"/>
        <x:v>0</x:v>
      </x:c>
      <x:c r="H15" s="407"/>
      <x:c r="I15" s="407">
        <x:v>0</x:v>
      </x:c>
      <x:c r="J15" s="407">
        <x:f t="shared" si="3"/>
        <x:v>0</x:v>
      </x:c>
      <x:c r="K15" s="113"/>
    </x:row>
    <x:row r="16" spans="1:11" x14ac:dyDescent="0.25">
      <x:c r="A16" s="205">
        <x:f t="shared" si="0"/>
        <x:v>6</x:v>
      </x:c>
      <x:c r="B16" s="658">
        <x:v>45383</x:v>
      </x:c>
      <x:c r="C16" s="407">
        <x:v>0</x:v>
      </x:c>
      <x:c r="D16" s="407">
        <x:f t="shared" si="1"/>
        <x:v>0</x:v>
      </x:c>
      <x:c r="E16" s="407"/>
      <x:c r="F16" s="407">
        <x:v>0</x:v>
      </x:c>
      <x:c r="G16" s="407">
        <x:f t="shared" si="2"/>
        <x:v>0</x:v>
      </x:c>
      <x:c r="H16" s="407"/>
      <x:c r="I16" s="407">
        <x:v>0</x:v>
      </x:c>
      <x:c r="J16" s="407">
        <x:f t="shared" si="3"/>
        <x:v>0</x:v>
      </x:c>
      <x:c r="K16" s="113"/>
    </x:row>
    <x:row r="17" spans="1:11" x14ac:dyDescent="0.25">
      <x:c r="A17" s="205">
        <x:f t="shared" si="0"/>
        <x:v>7</x:v>
      </x:c>
      <x:c r="B17" s="658">
        <x:v>45413</x:v>
      </x:c>
      <x:c r="C17" s="407">
        <x:v>0</x:v>
      </x:c>
      <x:c r="D17" s="407">
        <x:f t="shared" si="1"/>
        <x:v>0</x:v>
      </x:c>
      <x:c r="E17" s="407"/>
      <x:c r="F17" s="407">
        <x:v>0</x:v>
      </x:c>
      <x:c r="G17" s="407">
        <x:f t="shared" si="2"/>
        <x:v>0</x:v>
      </x:c>
      <x:c r="H17" s="407"/>
      <x:c r="I17" s="407">
        <x:v>0</x:v>
      </x:c>
      <x:c r="J17" s="407">
        <x:f t="shared" si="3"/>
        <x:v>0</x:v>
      </x:c>
      <x:c r="K17" s="113"/>
    </x:row>
    <x:row r="18" spans="1:11" x14ac:dyDescent="0.25">
      <x:c r="A18" s="205">
        <x:f t="shared" si="0"/>
        <x:v>8</x:v>
      </x:c>
      <x:c r="B18" s="658">
        <x:v>45444</x:v>
      </x:c>
      <x:c r="C18" s="407">
        <x:v>0</x:v>
      </x:c>
      <x:c r="D18" s="407">
        <x:f t="shared" si="1"/>
        <x:v>0</x:v>
      </x:c>
      <x:c r="E18" s="407"/>
      <x:c r="F18" s="407">
        <x:v>0</x:v>
      </x:c>
      <x:c r="G18" s="407">
        <x:f t="shared" si="2"/>
        <x:v>0</x:v>
      </x:c>
      <x:c r="H18" s="407"/>
      <x:c r="I18" s="407">
        <x:v>0</x:v>
      </x:c>
      <x:c r="J18" s="407">
        <x:f t="shared" si="3"/>
        <x:v>0</x:v>
      </x:c>
      <x:c r="K18" s="113"/>
    </x:row>
    <x:row r="19" spans="1:11" x14ac:dyDescent="0.25">
      <x:c r="A19" s="205">
        <x:f t="shared" si="0"/>
        <x:v>9</x:v>
      </x:c>
      <x:c r="B19" s="658">
        <x:v>45474</x:v>
      </x:c>
      <x:c r="C19" s="407">
        <x:v>0</x:v>
      </x:c>
      <x:c r="D19" s="407">
        <x:f t="shared" si="1"/>
        <x:v>0</x:v>
      </x:c>
      <x:c r="E19" s="407"/>
      <x:c r="F19" s="407">
        <x:v>0</x:v>
      </x:c>
      <x:c r="G19" s="407">
        <x:f t="shared" si="2"/>
        <x:v>0</x:v>
      </x:c>
      <x:c r="H19" s="407"/>
      <x:c r="I19" s="407">
        <x:v>0</x:v>
      </x:c>
      <x:c r="J19" s="407">
        <x:f t="shared" si="3"/>
        <x:v>0</x:v>
      </x:c>
      <x:c r="K19" s="113"/>
    </x:row>
    <x:row r="20" spans="1:11" x14ac:dyDescent="0.25">
      <x:c r="A20" s="205">
        <x:f t="shared" si="0"/>
        <x:v>10</x:v>
      </x:c>
      <x:c r="B20" s="658">
        <x:v>45505</x:v>
      </x:c>
      <x:c r="C20" s="407">
        <x:v>0</x:v>
      </x:c>
      <x:c r="D20" s="407">
        <x:f t="shared" si="1"/>
        <x:v>0</x:v>
      </x:c>
      <x:c r="E20" s="407"/>
      <x:c r="F20" s="407">
        <x:v>0</x:v>
      </x:c>
      <x:c r="G20" s="407">
        <x:f t="shared" si="2"/>
        <x:v>0</x:v>
      </x:c>
      <x:c r="H20" s="407"/>
      <x:c r="I20" s="407">
        <x:v>0</x:v>
      </x:c>
      <x:c r="J20" s="407">
        <x:f t="shared" si="3"/>
        <x:v>0</x:v>
      </x:c>
      <x:c r="K20" s="113"/>
    </x:row>
    <x:row r="21" spans="1:11" x14ac:dyDescent="0.25">
      <x:c r="A21" s="205">
        <x:f t="shared" si="0"/>
        <x:v>11</x:v>
      </x:c>
      <x:c r="B21" s="658">
        <x:v>45536</x:v>
      </x:c>
      <x:c r="C21" s="407">
        <x:v>0</x:v>
      </x:c>
      <x:c r="D21" s="407">
        <x:f t="shared" si="1"/>
        <x:v>0</x:v>
      </x:c>
      <x:c r="E21" s="407"/>
      <x:c r="F21" s="407">
        <x:v>0</x:v>
      </x:c>
      <x:c r="G21" s="407">
        <x:f t="shared" si="2"/>
        <x:v>0</x:v>
      </x:c>
      <x:c r="H21" s="407"/>
      <x:c r="I21" s="407">
        <x:v>0</x:v>
      </x:c>
      <x:c r="J21" s="407">
        <x:f t="shared" si="3"/>
        <x:v>0</x:v>
      </x:c>
      <x:c r="K21" s="113"/>
    </x:row>
    <x:row r="22" spans="1:11" x14ac:dyDescent="0.25">
      <x:c r="A22" s="205">
        <x:f t="shared" si="0"/>
        <x:v>12</x:v>
      </x:c>
      <x:c r="B22" s="658">
        <x:v>45566</x:v>
      </x:c>
      <x:c r="C22" s="407">
        <x:v>0</x:v>
      </x:c>
      <x:c r="D22" s="407">
        <x:f t="shared" si="1"/>
        <x:v>0</x:v>
      </x:c>
      <x:c r="E22" s="407"/>
      <x:c r="F22" s="407">
        <x:v>0</x:v>
      </x:c>
      <x:c r="G22" s="407">
        <x:f t="shared" si="2"/>
        <x:v>0</x:v>
      </x:c>
      <x:c r="H22" s="407"/>
      <x:c r="I22" s="407">
        <x:v>0</x:v>
      </x:c>
      <x:c r="J22" s="407">
        <x:f t="shared" si="3"/>
        <x:v>0</x:v>
      </x:c>
      <x:c r="K22" s="113"/>
    </x:row>
    <x:row r="23" spans="1:11" x14ac:dyDescent="0.25">
      <x:c r="A23" s="205">
        <x:f t="shared" si="0"/>
        <x:v>13</x:v>
      </x:c>
      <x:c r="B23" s="658">
        <x:v>45597</x:v>
      </x:c>
      <x:c r="C23" s="407">
        <x:v>0</x:v>
      </x:c>
      <x:c r="D23" s="407">
        <x:f t="shared" si="1"/>
        <x:v>0</x:v>
      </x:c>
      <x:c r="E23" s="407"/>
      <x:c r="F23" s="407">
        <x:v>0</x:v>
      </x:c>
      <x:c r="G23" s="407">
        <x:f t="shared" si="2"/>
        <x:v>0</x:v>
      </x:c>
      <x:c r="H23" s="407"/>
      <x:c r="I23" s="407">
        <x:v>0</x:v>
      </x:c>
      <x:c r="J23" s="407">
        <x:f t="shared" si="3"/>
        <x:v>0</x:v>
      </x:c>
      <x:c r="K23" s="113"/>
    </x:row>
    <x:row r="24" spans="1:11" x14ac:dyDescent="0.25">
      <x:c r="A24" s="205">
        <x:f t="shared" si="0"/>
        <x:v>14</x:v>
      </x:c>
      <x:c r="B24" s="658">
        <x:v>45627</x:v>
      </x:c>
      <x:c r="C24" s="407">
        <x:v>0</x:v>
      </x:c>
      <x:c r="D24" s="407">
        <x:f t="shared" si="1"/>
        <x:v>0</x:v>
      </x:c>
      <x:c r="E24" s="407"/>
      <x:c r="F24" s="407">
        <x:v>0</x:v>
      </x:c>
      <x:c r="G24" s="407">
        <x:f t="shared" si="2"/>
        <x:v>0</x:v>
      </x:c>
      <x:c r="H24" s="407"/>
      <x:c r="I24" s="407">
        <x:v>0</x:v>
      </x:c>
      <x:c r="J24" s="407">
        <x:f t="shared" si="3"/>
        <x:v>0</x:v>
      </x:c>
      <x:c r="K24" s="113"/>
    </x:row>
    <x:row r="25" spans="1:11" x14ac:dyDescent="0.25">
      <x:c r="A25" s="205">
        <x:f t="shared" si="0"/>
        <x:v>15</x:v>
      </x:c>
      <x:c r="B25" s="104"/>
      <x:c r="C25" s="408"/>
      <x:c r="D25" s="408"/>
      <x:c r="E25" s="408"/>
      <x:c r="F25" s="408"/>
      <x:c r="G25" s="408"/>
      <x:c r="H25" s="408"/>
      <x:c r="I25" s="408"/>
      <x:c r="J25" s="408"/>
      <x:c r="K25" s="104"/>
    </x:row>
    <x:row r="26" spans="1:11" x14ac:dyDescent="0.25">
      <x:c r="A26" s="409">
        <x:f t="shared" si="0"/>
        <x:v>16</x:v>
      </x:c>
      <x:c r="B26" s="104" t="s">
        <x:v>124</x:v>
      </x:c>
      <x:c r="C26" s="347"/>
      <x:c r="D26" s="347">
        <x:f>SUM(D11:D24)</x:f>
        <x:v>0</x:v>
      </x:c>
      <x:c r="E26" s="347"/>
      <x:c r="F26" s="347"/>
      <x:c r="G26" s="347">
        <x:f>SUM(G11:G24)</x:f>
        <x:v>0</x:v>
      </x:c>
      <x:c r="H26" s="347"/>
      <x:c r="I26" s="347"/>
      <x:c r="J26" s="347">
        <x:f>SUM(J11:J24)</x:f>
        <x:v>0</x:v>
      </x:c>
      <x:c r="K26" s="104"/>
    </x:row>
    <x:row r="27" spans="1:11" x14ac:dyDescent="0.25">
      <x:c r="A27" s="409">
        <x:f t="shared" si="0"/>
        <x:v>17</x:v>
      </x:c>
      <x:c r="B27" s="104" t="s">
        <x:v>27</x:v>
      </x:c>
      <x:c r="C27" s="347"/>
      <x:c r="D27" s="347">
        <x:f>+D26/13</x:f>
        <x:v>0</x:v>
      </x:c>
      <x:c r="E27" s="347"/>
      <x:c r="F27" s="347"/>
      <x:c r="G27" s="347">
        <x:f>+G26/13</x:f>
        <x:v>0</x:v>
      </x:c>
      <x:c r="H27" s="347"/>
      <x:c r="I27" s="347"/>
      <x:c r="J27" s="347">
        <x:f>+J26/13</x:f>
        <x:v>0</x:v>
      </x:c>
      <x:c r="K27" s="104"/>
    </x:row>
    <x:row r="28" spans="1:11" x14ac:dyDescent="0.25">
      <x:c r="A28" s="205">
        <x:f t="shared" si="0"/>
        <x:v>18</x:v>
      </x:c>
      <x:c r="B28" s="104"/>
      <x:c r="F28" s="104"/>
      <x:c r="G28" s="104"/>
      <x:c r="H28" s="104"/>
      <x:c r="I28" s="104"/>
      <x:c r="J28" s="104"/>
      <x:c r="K28" s="104"/>
    </x:row>
    <x:row r="29" spans="1:11" ht="13.25" thickBot="1" x14ac:dyDescent="0.3">
      <x:c r="A29" s="205">
        <x:f t="shared" si="0"/>
        <x:v>19</x:v>
      </x:c>
      <x:c r="B29" s="104" t="s">
        <x:v>26</x:v>
      </x:c>
      <x:c r="F29" s="104"/>
      <x:c r="G29" s="104"/>
      <x:c r="H29" s="104"/>
      <x:c r="I29" s="104"/>
      <x:c r="J29" s="348">
        <x:f>SUM(D27:J27)</x:f>
        <x:v>0</x:v>
      </x:c>
    </x:row>
    <x:row r="30" spans="1:11" ht="13.25" thickTop="1" x14ac:dyDescent="0.25">
      <x:c r="A30" s="409">
        <x:f t="shared" si="0"/>
        <x:v>20</x:v>
      </x:c>
      <x:c r="B30" s="104"/>
      <x:c r="C30" s="508"/>
      <x:c r="F30" s="104"/>
      <x:c r="G30" s="104"/>
      <x:c r="H30" s="104"/>
      <x:c r="I30" s="104"/>
      <x:c r="J30" s="117"/>
    </x:row>
    <x:row r="31" spans="1:11" x14ac:dyDescent="0.25">
      <x:c r="A31" s="409">
        <x:f t="shared" si="0"/>
        <x:v>21</x:v>
      </x:c>
      <x:c r="C31" s="508"/>
      <x:c r="F31" s="104"/>
      <x:c r="G31" s="104"/>
      <x:c r="H31" s="104"/>
      <x:c r="I31" s="104"/>
      <x:c r="J31" s="104"/>
      <x:c r="K31" s="104"/>
    </x:row>
    <x:row r="32" spans="1:11" x14ac:dyDescent="0.25">
      <x:c r="A32" s="409">
        <x:f t="shared" si="0"/>
        <x:v>22</x:v>
      </x:c>
      <x:c r="B32" t="s">
        <x:v>369</x:v>
      </x:c>
      <x:c r="C32" s="533"/>
      <x:c r="F32" s="104"/>
      <x:c r="G32" s="104"/>
      <x:c r="H32" s="104"/>
      <x:c r="I32" s="104"/>
      <x:c r="J32" s="104"/>
      <x:c r="K32" s="104"/>
    </x:row>
    <x:row r="33" spans="6:11" x14ac:dyDescent="0.25">
      <x:c r="F33" s="104"/>
      <x:c r="G33" s="104"/>
      <x:c r="H33" s="104"/>
      <x:c r="I33" s="104"/>
      <x:c r="J33" s="104"/>
      <x:c r="K33" s="104"/>
    </x:row>
    <x:row r="34" spans="6:11" x14ac:dyDescent="0.25">
      <x:c r="G34" s="104"/>
      <x:c r="H34" s="104"/>
      <x:c r="I34" s="104"/>
      <x:c r="J34" s="104"/>
      <x:c r="K34" s="104"/>
    </x:row>
    <x:row r="35" spans="6:11" x14ac:dyDescent="0.25">
      <x:c r="F35" s="104"/>
      <x:c r="G35" s="104"/>
      <x:c r="H35" s="104"/>
      <x:c r="I35" s="104"/>
      <x:c r="J35" s="104"/>
      <x:c r="K35" s="104"/>
    </x:row>
    <x:row r="36" spans="6:11" x14ac:dyDescent="0.25">
      <x:c r="F36" s="104"/>
      <x:c r="G36" s="104"/>
      <x:c r="H36" s="104"/>
      <x:c r="I36" s="104"/>
      <x:c r="J36" s="104"/>
      <x:c r="K36" s="104"/>
    </x:row>
    <x:row r="37" spans="6:11" x14ac:dyDescent="0.25">
      <x:c r="F37" s="104"/>
      <x:c r="G37" s="104"/>
      <x:c r="H37" s="104"/>
      <x:c r="I37" s="104"/>
      <x:c r="J37" s="104"/>
      <x:c r="K37" s="104"/>
    </x:row>
    <x:row r="38" spans="6:11" x14ac:dyDescent="0.25">
      <x:c r="F38" s="104"/>
      <x:c r="G38" s="104"/>
      <x:c r="H38" s="104"/>
      <x:c r="I38" s="104"/>
      <x:c r="J38" s="104"/>
      <x:c r="K38" s="104"/>
    </x:row>
    <x:row r="39" spans="6:11" x14ac:dyDescent="0.25">
      <x:c r="F39" s="104"/>
      <x:c r="G39" s="104"/>
      <x:c r="H39" s="104"/>
      <x:c r="I39" s="104"/>
      <x:c r="J39" s="104"/>
      <x:c r="K39" s="104"/>
    </x:row>
    <x:row r="40" spans="6:11" x14ac:dyDescent="0.25">
      <x:c r="F40" s="104"/>
      <x:c r="G40" s="104"/>
      <x:c r="H40" s="104"/>
      <x:c r="I40" s="104"/>
      <x:c r="J40" s="104"/>
      <x:c r="K40" s="104"/>
    </x:row>
    <x:row r="41" spans="6:11" x14ac:dyDescent="0.25">
      <x:c r="F41" s="104"/>
      <x:c r="G41" s="104"/>
      <x:c r="H41" s="104"/>
      <x:c r="I41" s="104"/>
      <x:c r="J41" s="104"/>
      <x:c r="K41" s="104"/>
    </x:row>
    <x:row r="42" spans="6:11" x14ac:dyDescent="0.25">
      <x:c r="F42" s="104"/>
      <x:c r="G42" s="104"/>
      <x:c r="H42" s="104"/>
      <x:c r="I42" s="104"/>
      <x:c r="J42" s="104"/>
      <x:c r="K42" s="104"/>
    </x:row>
    <x:row r="43" spans="6:11" x14ac:dyDescent="0.25">
      <x:c r="F43" s="104"/>
      <x:c r="G43" s="104"/>
      <x:c r="H43" s="104"/>
      <x:c r="I43" s="104"/>
      <x:c r="J43" s="104"/>
      <x:c r="K43" s="104"/>
    </x:row>
    <x:row r="44" spans="6:11" x14ac:dyDescent="0.25">
      <x:c r="F44" s="104"/>
      <x:c r="G44" s="104"/>
      <x:c r="H44" s="104"/>
      <x:c r="I44" s="104"/>
      <x:c r="J44" s="104"/>
      <x:c r="K44" s="104"/>
    </x:row>
    <x:row r="45" spans="6:11" x14ac:dyDescent="0.25">
      <x:c r="F45" s="104"/>
      <x:c r="G45" s="104"/>
      <x:c r="H45" s="104"/>
      <x:c r="I45" s="104"/>
      <x:c r="J45" s="104"/>
      <x:c r="K45" s="104"/>
    </x:row>
    <x:row r="46" spans="6:11" x14ac:dyDescent="0.25">
      <x:c r="F46" s="104"/>
      <x:c r="G46" s="104"/>
      <x:c r="H46" s="104"/>
      <x:c r="I46" s="104"/>
      <x:c r="J46" s="104"/>
      <x:c r="K46" s="104"/>
    </x:row>
    <x:row r="47" spans="6:11" x14ac:dyDescent="0.25">
      <x:c r="F47" s="104"/>
      <x:c r="G47" s="104"/>
      <x:c r="H47" s="104"/>
      <x:c r="I47" s="104"/>
      <x:c r="J47" s="104"/>
      <x:c r="K47" s="104"/>
    </x:row>
    <x:row r="48" spans="6:11" x14ac:dyDescent="0.25">
      <x:c r="F48" s="104"/>
      <x:c r="G48" s="104"/>
      <x:c r="H48" s="104"/>
      <x:c r="I48" s="104"/>
      <x:c r="J48" s="104"/>
      <x:c r="K48" s="104"/>
    </x:row>
    <x:row r="49" spans="6:11" x14ac:dyDescent="0.25">
      <x:c r="F49" s="104"/>
      <x:c r="G49" s="104"/>
      <x:c r="H49" s="104"/>
      <x:c r="I49" s="104"/>
      <x:c r="J49" s="104"/>
      <x:c r="K49" s="104"/>
    </x:row>
    <x:row r="50" spans="6:11" x14ac:dyDescent="0.25">
      <x:c r="F50" s="104"/>
      <x:c r="G50" s="104"/>
      <x:c r="H50" s="104"/>
      <x:c r="I50" s="104"/>
      <x:c r="J50" s="104"/>
      <x:c r="K50" s="104"/>
    </x:row>
    <x:row r="51" spans="6:11" x14ac:dyDescent="0.25">
      <x:c r="F51" s="104"/>
      <x:c r="G51" s="104"/>
      <x:c r="H51" s="104"/>
      <x:c r="I51" s="104"/>
      <x:c r="J51" s="104"/>
      <x:c r="K51" s="104"/>
    </x:row>
    <x:row r="52" spans="6:11" x14ac:dyDescent="0.25">
      <x:c r="F52" s="104"/>
      <x:c r="G52" s="104"/>
      <x:c r="H52" s="104"/>
      <x:c r="I52" s="104"/>
      <x:c r="J52" s="104"/>
      <x:c r="K52" s="104"/>
    </x:row>
    <x:row r="53" spans="6:11" x14ac:dyDescent="0.25">
      <x:c r="F53" s="104"/>
      <x:c r="G53" s="104"/>
      <x:c r="H53" s="104"/>
      <x:c r="I53" s="104"/>
      <x:c r="J53" s="104"/>
      <x:c r="K53" s="104"/>
    </x:row>
    <x:row r="54" spans="6:11" x14ac:dyDescent="0.25">
      <x:c r="F54" s="104"/>
      <x:c r="G54" s="104"/>
      <x:c r="H54" s="104"/>
      <x:c r="I54" s="104"/>
      <x:c r="J54" s="104"/>
      <x:c r="K54" s="104"/>
    </x:row>
    <x:row r="55" spans="6:11" x14ac:dyDescent="0.25">
      <x:c r="F55" s="104"/>
      <x:c r="G55" s="104"/>
      <x:c r="H55" s="104"/>
      <x:c r="I55" s="104"/>
      <x:c r="J55" s="104"/>
      <x:c r="K55" s="104"/>
    </x:row>
    <x:row r="56" spans="6:11" x14ac:dyDescent="0.25">
      <x:c r="F56" s="104"/>
      <x:c r="G56" s="104"/>
      <x:c r="H56" s="104"/>
      <x:c r="I56" s="104"/>
      <x:c r="J56" s="104"/>
      <x:c r="K56" s="104"/>
    </x:row>
    <x:row r="57" spans="6:11" x14ac:dyDescent="0.25">
      <x:c r="F57" s="104"/>
      <x:c r="G57" s="104"/>
      <x:c r="H57" s="104"/>
      <x:c r="I57" s="104"/>
      <x:c r="J57" s="104"/>
      <x:c r="K57" s="104"/>
    </x:row>
    <x:row r="58" spans="6:11" x14ac:dyDescent="0.25">
      <x:c r="F58" s="104"/>
      <x:c r="G58" s="104"/>
      <x:c r="H58" s="104"/>
      <x:c r="I58" s="104"/>
      <x:c r="J58" s="104"/>
      <x:c r="K58" s="104"/>
    </x:row>
    <x:row r="59" spans="6:11" x14ac:dyDescent="0.25">
      <x:c r="F59" s="104"/>
      <x:c r="G59" s="104"/>
      <x:c r="H59" s="104"/>
      <x:c r="I59" s="104"/>
      <x:c r="J59" s="104"/>
      <x:c r="K59" s="104"/>
    </x:row>
    <x:row r="60" spans="6:11" x14ac:dyDescent="0.25">
      <x:c r="F60" s="104"/>
      <x:c r="G60" s="104"/>
      <x:c r="H60" s="104"/>
      <x:c r="I60" s="104"/>
      <x:c r="J60" s="104"/>
      <x:c r="K60" s="104"/>
    </x:row>
    <x:row r="61" spans="6:11" x14ac:dyDescent="0.25">
      <x:c r="F61" s="104"/>
      <x:c r="G61" s="104"/>
      <x:c r="H61" s="104"/>
      <x:c r="I61" s="104"/>
      <x:c r="J61" s="104"/>
      <x:c r="K61" s="104"/>
    </x:row>
    <x:row r="62" spans="6:11" x14ac:dyDescent="0.25">
      <x:c r="F62" s="104"/>
      <x:c r="G62" s="104"/>
      <x:c r="H62" s="104"/>
      <x:c r="I62" s="104"/>
      <x:c r="J62" s="104"/>
      <x:c r="K62" s="104"/>
    </x:row>
    <x:row r="63" spans="6:11" x14ac:dyDescent="0.25">
      <x:c r="F63" s="104"/>
      <x:c r="G63" s="104"/>
      <x:c r="H63" s="104"/>
      <x:c r="I63" s="104"/>
      <x:c r="J63" s="104"/>
      <x:c r="K63" s="104"/>
    </x:row>
    <x:row r="64" spans="6:11" x14ac:dyDescent="0.25">
      <x:c r="F64" s="104"/>
      <x:c r="G64" s="104"/>
      <x:c r="H64" s="104"/>
      <x:c r="I64" s="104"/>
      <x:c r="J64" s="104"/>
      <x:c r="K64" s="104"/>
    </x:row>
    <x:row r="65" spans="6:11" x14ac:dyDescent="0.25">
      <x:c r="F65" s="104"/>
      <x:c r="G65" s="104"/>
      <x:c r="H65" s="104"/>
      <x:c r="I65" s="104"/>
      <x:c r="J65" s="104"/>
      <x:c r="K65" s="104"/>
    </x:row>
    <x:row r="66" spans="6:11" x14ac:dyDescent="0.25">
      <x:c r="F66" s="104"/>
      <x:c r="G66" s="104"/>
      <x:c r="H66" s="104"/>
      <x:c r="I66" s="104"/>
      <x:c r="J66" s="104"/>
      <x:c r="K66" s="104"/>
    </x:row>
    <x:row r="67" spans="6:11" x14ac:dyDescent="0.25">
      <x:c r="F67" s="104"/>
      <x:c r="G67" s="104"/>
      <x:c r="H67" s="104"/>
      <x:c r="I67" s="104"/>
      <x:c r="J67" s="104"/>
      <x:c r="K67" s="104"/>
    </x:row>
    <x:row r="68" spans="6:11" x14ac:dyDescent="0.25">
      <x:c r="F68" s="104"/>
      <x:c r="G68" s="104"/>
      <x:c r="H68" s="104"/>
      <x:c r="I68" s="104"/>
      <x:c r="J68" s="104"/>
      <x:c r="K68" s="104"/>
    </x:row>
    <x:row r="69" spans="6:11" x14ac:dyDescent="0.25">
      <x:c r="F69" s="104"/>
      <x:c r="G69" s="104"/>
      <x:c r="H69" s="104"/>
      <x:c r="I69" s="104"/>
      <x:c r="J69" s="104"/>
      <x:c r="K69" s="104"/>
    </x:row>
    <x:row r="70" spans="6:11" x14ac:dyDescent="0.25">
      <x:c r="F70" s="104"/>
      <x:c r="G70" s="104"/>
      <x:c r="H70" s="104"/>
      <x:c r="I70" s="104"/>
      <x:c r="J70" s="104"/>
      <x:c r="K70" s="104"/>
    </x:row>
    <x:row r="71" spans="6:11" x14ac:dyDescent="0.25">
      <x:c r="F71" s="104"/>
      <x:c r="G71" s="104"/>
      <x:c r="H71" s="104"/>
      <x:c r="I71" s="104"/>
      <x:c r="J71" s="104"/>
      <x:c r="K71" s="104"/>
    </x:row>
    <x:row r="72" spans="6:11" x14ac:dyDescent="0.25">
      <x:c r="F72" s="104"/>
      <x:c r="G72" s="104"/>
      <x:c r="H72" s="104"/>
      <x:c r="I72" s="104"/>
      <x:c r="J72" s="104"/>
      <x:c r="K72" s="104"/>
    </x:row>
    <x:row r="73" spans="6:11" x14ac:dyDescent="0.25">
      <x:c r="F73" s="104"/>
      <x:c r="G73" s="104"/>
      <x:c r="H73" s="104"/>
      <x:c r="I73" s="104"/>
      <x:c r="J73" s="104"/>
      <x:c r="K73" s="104"/>
    </x:row>
    <x:row r="74" spans="6:11" x14ac:dyDescent="0.25">
      <x:c r="F74" s="104"/>
      <x:c r="G74" s="104"/>
      <x:c r="H74" s="104"/>
      <x:c r="I74" s="104"/>
      <x:c r="J74" s="104"/>
      <x:c r="K74" s="104"/>
    </x:row>
    <x:row r="75" spans="6:11" x14ac:dyDescent="0.25">
      <x:c r="F75" s="104"/>
      <x:c r="G75" s="104"/>
      <x:c r="H75" s="104"/>
      <x:c r="I75" s="104"/>
      <x:c r="J75" s="104"/>
      <x:c r="K75" s="104"/>
    </x:row>
    <x:row r="76" spans="6:11" x14ac:dyDescent="0.25">
      <x:c r="F76" s="104"/>
      <x:c r="G76" s="104"/>
      <x:c r="H76" s="104"/>
      <x:c r="I76" s="104"/>
      <x:c r="J76" s="104"/>
      <x:c r="K76" s="104"/>
    </x:row>
    <x:row r="77" spans="6:11" x14ac:dyDescent="0.25">
      <x:c r="F77" s="104"/>
      <x:c r="G77" s="104"/>
      <x:c r="H77" s="104"/>
      <x:c r="I77" s="104"/>
      <x:c r="J77" s="104"/>
      <x:c r="K77" s="104"/>
    </x:row>
    <x:row r="78" spans="6:11" x14ac:dyDescent="0.25">
      <x:c r="F78" s="104"/>
      <x:c r="G78" s="104"/>
      <x:c r="H78" s="104"/>
      <x:c r="I78" s="104"/>
      <x:c r="J78" s="104"/>
      <x:c r="K78" s="104"/>
    </x:row>
    <x:row r="79" spans="6:11" x14ac:dyDescent="0.25">
      <x:c r="F79" s="104"/>
      <x:c r="G79" s="104"/>
      <x:c r="H79" s="104"/>
      <x:c r="I79" s="104"/>
      <x:c r="J79" s="104"/>
      <x:c r="K79" s="104"/>
    </x:row>
    <x:row r="80" spans="6:11" x14ac:dyDescent="0.25">
      <x:c r="F80" s="104"/>
      <x:c r="G80" s="104"/>
      <x:c r="H80" s="104"/>
      <x:c r="I80" s="104"/>
      <x:c r="J80" s="104"/>
      <x:c r="K80" s="104"/>
    </x:row>
    <x:row r="81" spans="6:11" x14ac:dyDescent="0.25">
      <x:c r="F81" s="104"/>
      <x:c r="G81" s="104"/>
      <x:c r="H81" s="104"/>
      <x:c r="I81" s="104"/>
      <x:c r="J81" s="104"/>
      <x:c r="K81" s="104"/>
    </x:row>
    <x:row r="82" spans="6:11" x14ac:dyDescent="0.25">
      <x:c r="F82" s="104"/>
      <x:c r="G82" s="104"/>
      <x:c r="H82" s="104"/>
      <x:c r="I82" s="104"/>
      <x:c r="J82" s="104"/>
      <x:c r="K82" s="104"/>
    </x:row>
    <x:row r="83" spans="6:11" x14ac:dyDescent="0.25">
      <x:c r="F83" s="104"/>
      <x:c r="G83" s="104"/>
      <x:c r="H83" s="104"/>
      <x:c r="I83" s="104"/>
      <x:c r="J83" s="104"/>
      <x:c r="K83" s="104"/>
    </x:row>
    <x:row r="84" spans="6:11" x14ac:dyDescent="0.25">
      <x:c r="F84" s="104"/>
      <x:c r="G84" s="104"/>
      <x:c r="H84" s="104"/>
      <x:c r="I84" s="104"/>
      <x:c r="J84" s="104"/>
      <x:c r="K84" s="104"/>
    </x:row>
    <x:row r="85" spans="6:11" x14ac:dyDescent="0.25">
      <x:c r="F85" s="104"/>
      <x:c r="G85" s="104"/>
      <x:c r="H85" s="104"/>
      <x:c r="I85" s="104"/>
      <x:c r="J85" s="104"/>
      <x:c r="K85" s="104"/>
    </x:row>
    <x:row r="86" spans="6:11" x14ac:dyDescent="0.25">
      <x:c r="F86" s="104"/>
      <x:c r="G86" s="104"/>
      <x:c r="H86" s="104"/>
      <x:c r="I86" s="104"/>
      <x:c r="J86" s="104"/>
      <x:c r="K86" s="104"/>
    </x:row>
    <x:row r="87" spans="6:11" x14ac:dyDescent="0.25">
      <x:c r="F87" s="104"/>
      <x:c r="G87" s="104"/>
      <x:c r="H87" s="104"/>
      <x:c r="I87" s="104"/>
      <x:c r="J87" s="104"/>
      <x:c r="K87" s="104"/>
    </x:row>
    <x:row r="88" spans="6:11" x14ac:dyDescent="0.25">
      <x:c r="F88" s="104"/>
      <x:c r="G88" s="104"/>
      <x:c r="H88" s="104"/>
      <x:c r="I88" s="104"/>
      <x:c r="J88" s="104"/>
      <x:c r="K88" s="104"/>
    </x:row>
    <x:row r="89" spans="6:11" x14ac:dyDescent="0.25">
      <x:c r="F89" s="104"/>
      <x:c r="G89" s="104"/>
      <x:c r="H89" s="104"/>
      <x:c r="I89" s="104"/>
      <x:c r="J89" s="104"/>
      <x:c r="K89" s="104"/>
    </x:row>
    <x:row r="90" spans="6:11" x14ac:dyDescent="0.25">
      <x:c r="F90" s="104"/>
      <x:c r="G90" s="104"/>
      <x:c r="H90" s="104"/>
      <x:c r="I90" s="104"/>
      <x:c r="J90" s="104"/>
      <x:c r="K90" s="104"/>
    </x:row>
    <x:row r="91" spans="6:11" x14ac:dyDescent="0.25">
      <x:c r="F91" s="104"/>
      <x:c r="G91" s="104"/>
      <x:c r="H91" s="104"/>
      <x:c r="I91" s="104"/>
      <x:c r="J91" s="104"/>
      <x:c r="K91" s="104"/>
    </x:row>
    <x:row r="92" spans="6:11" x14ac:dyDescent="0.25">
      <x:c r="F92" s="104"/>
      <x:c r="G92" s="104"/>
      <x:c r="H92" s="104"/>
      <x:c r="I92" s="104"/>
      <x:c r="J92" s="104"/>
      <x:c r="K92" s="104"/>
    </x:row>
    <x:row r="93" spans="6:11" x14ac:dyDescent="0.25">
      <x:c r="F93" s="104"/>
      <x:c r="G93" s="104"/>
      <x:c r="H93" s="104"/>
      <x:c r="I93" s="104"/>
      <x:c r="J93" s="104"/>
      <x:c r="K93" s="104"/>
    </x:row>
    <x:row r="94" spans="6:11" x14ac:dyDescent="0.25">
      <x:c r="F94" s="104"/>
      <x:c r="G94" s="104"/>
      <x:c r="H94" s="104"/>
      <x:c r="I94" s="104"/>
      <x:c r="J94" s="104"/>
      <x:c r="K94" s="104"/>
    </x:row>
    <x:row r="95" spans="6:11" x14ac:dyDescent="0.25">
      <x:c r="F95" s="104"/>
      <x:c r="G95" s="104"/>
      <x:c r="H95" s="104"/>
      <x:c r="I95" s="104"/>
      <x:c r="J95" s="104"/>
      <x:c r="K95" s="104"/>
    </x:row>
    <x:row r="96" spans="6:11" x14ac:dyDescent="0.25">
      <x:c r="F96" s="104"/>
      <x:c r="G96" s="104"/>
      <x:c r="H96" s="104"/>
      <x:c r="I96" s="104"/>
      <x:c r="J96" s="104"/>
      <x:c r="K96" s="104"/>
    </x:row>
    <x:row r="97" spans="6:11" x14ac:dyDescent="0.25">
      <x:c r="F97" s="104"/>
      <x:c r="G97" s="104"/>
      <x:c r="H97" s="104"/>
      <x:c r="I97" s="104"/>
      <x:c r="J97" s="104"/>
      <x:c r="K97" s="104"/>
    </x:row>
    <x:row r="98" spans="6:11" x14ac:dyDescent="0.25">
      <x:c r="F98" s="104"/>
      <x:c r="G98" s="104"/>
      <x:c r="H98" s="104"/>
      <x:c r="I98" s="104"/>
      <x:c r="J98" s="104"/>
      <x:c r="K98" s="104"/>
    </x:row>
    <x:row r="99" spans="6:11" x14ac:dyDescent="0.25">
      <x:c r="F99" s="104"/>
      <x:c r="G99" s="104"/>
      <x:c r="H99" s="104"/>
      <x:c r="I99" s="104"/>
      <x:c r="J99" s="104"/>
      <x:c r="K99" s="104"/>
    </x:row>
    <x:row r="100" spans="6:11" x14ac:dyDescent="0.25">
      <x:c r="F100" s="104"/>
      <x:c r="G100" s="104"/>
      <x:c r="H100" s="104"/>
      <x:c r="I100" s="104"/>
      <x:c r="J100" s="104"/>
      <x:c r="K100" s="104"/>
    </x:row>
    <x:row r="101" spans="6:11" x14ac:dyDescent="0.25">
      <x:c r="F101" s="104"/>
      <x:c r="G101" s="104"/>
      <x:c r="H101" s="104"/>
      <x:c r="I101" s="104"/>
      <x:c r="J101" s="104"/>
      <x:c r="K101" s="104"/>
    </x:row>
    <x:row r="102" spans="6:11" x14ac:dyDescent="0.25">
      <x:c r="F102" s="104"/>
      <x:c r="G102" s="104"/>
      <x:c r="H102" s="104"/>
      <x:c r="I102" s="104"/>
      <x:c r="J102" s="104"/>
      <x:c r="K102" s="104"/>
    </x:row>
    <x:row r="103" spans="6:11" x14ac:dyDescent="0.25">
      <x:c r="F103" s="104"/>
      <x:c r="G103" s="104"/>
      <x:c r="H103" s="104"/>
      <x:c r="I103" s="104"/>
      <x:c r="J103" s="104"/>
      <x:c r="K103" s="104"/>
    </x:row>
    <x:row r="104" spans="6:11" x14ac:dyDescent="0.25">
      <x:c r="F104" s="104"/>
      <x:c r="G104" s="104"/>
      <x:c r="H104" s="104"/>
      <x:c r="I104" s="104"/>
      <x:c r="J104" s="104"/>
      <x:c r="K104" s="104"/>
    </x:row>
    <x:row r="105" spans="6:11" x14ac:dyDescent="0.25">
      <x:c r="F105" s="104"/>
      <x:c r="G105" s="104"/>
      <x:c r="H105" s="104"/>
      <x:c r="I105" s="104"/>
      <x:c r="J105" s="104"/>
      <x:c r="K105" s="104"/>
    </x:row>
    <x:row r="106" spans="6:11" x14ac:dyDescent="0.25">
      <x:c r="F106" s="104"/>
      <x:c r="G106" s="104"/>
      <x:c r="H106" s="104"/>
      <x:c r="I106" s="104"/>
      <x:c r="J106" s="104"/>
      <x:c r="K106" s="104"/>
    </x:row>
    <x:row r="107" spans="6:11" x14ac:dyDescent="0.25">
      <x:c r="F107" s="104"/>
      <x:c r="G107" s="104"/>
      <x:c r="H107" s="104"/>
      <x:c r="I107" s="104"/>
      <x:c r="J107" s="104"/>
      <x:c r="K107" s="104"/>
    </x:row>
    <x:row r="108" spans="6:11" x14ac:dyDescent="0.25">
      <x:c r="F108" s="104"/>
      <x:c r="G108" s="104"/>
      <x:c r="H108" s="104"/>
      <x:c r="I108" s="104"/>
      <x:c r="J108" s="104"/>
      <x:c r="K108" s="104"/>
    </x:row>
    <x:row r="109" spans="6:11" x14ac:dyDescent="0.25">
      <x:c r="F109" s="104"/>
      <x:c r="G109" s="104"/>
      <x:c r="H109" s="104"/>
      <x:c r="I109" s="104"/>
      <x:c r="J109" s="104"/>
      <x:c r="K109" s="104"/>
    </x:row>
    <x:row r="110" spans="6:11" x14ac:dyDescent="0.25">
      <x:c r="F110" s="104"/>
      <x:c r="G110" s="104"/>
      <x:c r="H110" s="104"/>
      <x:c r="I110" s="104"/>
      <x:c r="J110" s="104"/>
      <x:c r="K110" s="104"/>
    </x:row>
    <x:row r="111" spans="6:11" x14ac:dyDescent="0.25">
      <x:c r="F111" s="104"/>
      <x:c r="G111" s="104"/>
      <x:c r="H111" s="104"/>
      <x:c r="I111" s="104"/>
      <x:c r="J111" s="104"/>
      <x:c r="K111" s="104"/>
    </x:row>
    <x:row r="112" spans="6:11" x14ac:dyDescent="0.25">
      <x:c r="F112" s="104"/>
      <x:c r="G112" s="104"/>
      <x:c r="H112" s="104"/>
      <x:c r="I112" s="104"/>
      <x:c r="J112" s="104"/>
      <x:c r="K112" s="104"/>
    </x:row>
    <x:row r="113" spans="6:11" x14ac:dyDescent="0.25">
      <x:c r="F113" s="104"/>
      <x:c r="G113" s="104"/>
      <x:c r="H113" s="104"/>
      <x:c r="I113" s="104"/>
      <x:c r="J113" s="104"/>
      <x:c r="K113" s="104"/>
    </x:row>
    <x:row r="114" spans="6:11" x14ac:dyDescent="0.25">
      <x:c r="F114" s="104"/>
      <x:c r="G114" s="104"/>
      <x:c r="H114" s="104"/>
      <x:c r="I114" s="104"/>
      <x:c r="J114" s="104"/>
      <x:c r="K114" s="104"/>
    </x:row>
    <x:row r="115" spans="6:11" x14ac:dyDescent="0.25">
      <x:c r="F115" s="104"/>
      <x:c r="G115" s="104"/>
      <x:c r="H115" s="104"/>
      <x:c r="I115" s="104"/>
      <x:c r="J115" s="104"/>
      <x:c r="K115" s="104"/>
    </x:row>
    <x:row r="116" spans="6:11" x14ac:dyDescent="0.25">
      <x:c r="F116" s="104"/>
      <x:c r="G116" s="104"/>
      <x:c r="H116" s="104"/>
      <x:c r="I116" s="104"/>
      <x:c r="J116" s="104"/>
      <x:c r="K116" s="104"/>
    </x:row>
    <x:row r="117" spans="6:11" x14ac:dyDescent="0.25">
      <x:c r="F117" s="104"/>
      <x:c r="G117" s="104"/>
      <x:c r="H117" s="104"/>
      <x:c r="I117" s="104"/>
      <x:c r="J117" s="104"/>
      <x:c r="K117" s="104"/>
    </x:row>
    <x:row r="118" spans="6:11" x14ac:dyDescent="0.25">
      <x:c r="F118" s="104"/>
      <x:c r="G118" s="104"/>
      <x:c r="H118" s="104"/>
      <x:c r="I118" s="104"/>
      <x:c r="J118" s="104"/>
      <x:c r="K118" s="104"/>
    </x:row>
    <x:row r="119" spans="6:11" x14ac:dyDescent="0.25">
      <x:c r="F119" s="104"/>
      <x:c r="G119" s="104"/>
      <x:c r="H119" s="104"/>
      <x:c r="I119" s="104"/>
      <x:c r="J119" s="104"/>
      <x:c r="K119" s="104"/>
    </x:row>
    <x:row r="120" spans="6:11" x14ac:dyDescent="0.25">
      <x:c r="F120" s="104"/>
      <x:c r="G120" s="104"/>
      <x:c r="H120" s="104"/>
      <x:c r="I120" s="104"/>
      <x:c r="J120" s="104"/>
      <x:c r="K120" s="104"/>
    </x:row>
    <x:row r="121" spans="6:11" x14ac:dyDescent="0.25">
      <x:c r="F121" s="104"/>
      <x:c r="G121" s="104"/>
      <x:c r="H121" s="104"/>
      <x:c r="I121" s="104"/>
      <x:c r="J121" s="104"/>
      <x:c r="K121" s="104"/>
    </x:row>
    <x:row r="122" spans="6:11" x14ac:dyDescent="0.25">
      <x:c r="F122" s="104"/>
      <x:c r="G122" s="104"/>
      <x:c r="H122" s="104"/>
      <x:c r="I122" s="104"/>
      <x:c r="J122" s="104"/>
      <x:c r="K122" s="104"/>
    </x:row>
    <x:row r="123" spans="6:11" x14ac:dyDescent="0.25">
      <x:c r="F123" s="104"/>
      <x:c r="G123" s="104"/>
      <x:c r="H123" s="104"/>
      <x:c r="I123" s="104"/>
      <x:c r="J123" s="104"/>
      <x:c r="K123" s="104"/>
    </x:row>
    <x:row r="124" spans="6:11" x14ac:dyDescent="0.25">
      <x:c r="F124" s="104"/>
      <x:c r="G124" s="104"/>
      <x:c r="H124" s="104"/>
      <x:c r="I124" s="104"/>
      <x:c r="J124" s="104"/>
      <x:c r="K124" s="104"/>
    </x:row>
    <x:row r="125" spans="6:11" x14ac:dyDescent="0.25">
      <x:c r="F125" s="104"/>
      <x:c r="G125" s="104"/>
      <x:c r="H125" s="104"/>
      <x:c r="I125" s="104"/>
      <x:c r="J125" s="104"/>
      <x:c r="K125" s="104"/>
    </x:row>
    <x:row r="126" spans="6:11" x14ac:dyDescent="0.25">
      <x:c r="F126" s="104"/>
      <x:c r="G126" s="104"/>
      <x:c r="H126" s="104"/>
      <x:c r="I126" s="104"/>
      <x:c r="J126" s="104"/>
      <x:c r="K126" s="104"/>
    </x:row>
    <x:row r="127" spans="6:11" x14ac:dyDescent="0.25">
      <x:c r="F127" s="104"/>
      <x:c r="G127" s="104"/>
      <x:c r="H127" s="104"/>
      <x:c r="I127" s="104"/>
      <x:c r="J127" s="104"/>
      <x:c r="K127" s="104"/>
    </x:row>
    <x:row r="128" spans="6:11" x14ac:dyDescent="0.25">
      <x:c r="F128" s="104"/>
      <x:c r="G128" s="104"/>
      <x:c r="H128" s="104"/>
      <x:c r="I128" s="104"/>
      <x:c r="J128" s="104"/>
      <x:c r="K128" s="104"/>
    </x:row>
    <x:row r="129" spans="6:11" x14ac:dyDescent="0.25">
      <x:c r="F129" s="104"/>
      <x:c r="G129" s="104"/>
      <x:c r="H129" s="104"/>
      <x:c r="I129" s="104"/>
      <x:c r="J129" s="104"/>
      <x:c r="K129" s="104"/>
    </x:row>
    <x:row r="130" spans="6:11" x14ac:dyDescent="0.25">
      <x:c r="F130" s="104"/>
      <x:c r="G130" s="104"/>
      <x:c r="H130" s="104"/>
      <x:c r="I130" s="104"/>
      <x:c r="J130" s="104"/>
      <x:c r="K130" s="104"/>
    </x:row>
    <x:row r="131" spans="6:11" x14ac:dyDescent="0.25">
      <x:c r="F131" s="104"/>
      <x:c r="G131" s="104"/>
      <x:c r="H131" s="104"/>
      <x:c r="I131" s="104"/>
      <x:c r="J131" s="104"/>
      <x:c r="K131" s="104"/>
    </x:row>
    <x:row r="132" spans="6:11" x14ac:dyDescent="0.25">
      <x:c r="F132" s="104"/>
      <x:c r="G132" s="104"/>
      <x:c r="H132" s="104"/>
      <x:c r="I132" s="104"/>
      <x:c r="J132" s="104"/>
      <x:c r="K132" s="104"/>
    </x:row>
    <x:row r="133" spans="6:11" x14ac:dyDescent="0.25">
      <x:c r="F133" s="104"/>
      <x:c r="G133" s="104"/>
      <x:c r="H133" s="104"/>
      <x:c r="I133" s="104"/>
      <x:c r="J133" s="104"/>
      <x:c r="K133" s="104"/>
    </x:row>
    <x:row r="134" spans="6:11" x14ac:dyDescent="0.25">
      <x:c r="F134" s="104"/>
      <x:c r="G134" s="104"/>
      <x:c r="H134" s="104"/>
      <x:c r="I134" s="104"/>
      <x:c r="J134" s="104"/>
      <x:c r="K134" s="104"/>
    </x:row>
    <x:row r="135" spans="6:11" x14ac:dyDescent="0.25">
      <x:c r="F135" s="104"/>
      <x:c r="G135" s="104"/>
      <x:c r="H135" s="104"/>
      <x:c r="I135" s="104"/>
      <x:c r="J135" s="104"/>
      <x:c r="K135" s="104"/>
    </x:row>
    <x:row r="136" spans="6:11" x14ac:dyDescent="0.25">
      <x:c r="F136" s="104"/>
      <x:c r="G136" s="104"/>
      <x:c r="H136" s="104"/>
      <x:c r="I136" s="104"/>
      <x:c r="J136" s="104"/>
      <x:c r="K136" s="104"/>
    </x:row>
    <x:row r="137" spans="6:11" x14ac:dyDescent="0.25">
      <x:c r="F137" s="104"/>
      <x:c r="G137" s="104"/>
      <x:c r="H137" s="104"/>
      <x:c r="I137" s="104"/>
      <x:c r="J137" s="104"/>
      <x:c r="K137" s="104"/>
    </x:row>
    <x:row r="138" spans="6:11" x14ac:dyDescent="0.25">
      <x:c r="F138" s="104"/>
      <x:c r="G138" s="104"/>
      <x:c r="H138" s="104"/>
      <x:c r="I138" s="104"/>
      <x:c r="J138" s="104"/>
      <x:c r="K138" s="104"/>
    </x:row>
    <x:row r="139" spans="6:11" x14ac:dyDescent="0.25">
      <x:c r="F139" s="104"/>
      <x:c r="G139" s="104"/>
      <x:c r="H139" s="104"/>
      <x:c r="I139" s="104"/>
      <x:c r="J139" s="104"/>
      <x:c r="K139" s="104"/>
    </x:row>
    <x:row r="140" spans="6:11" x14ac:dyDescent="0.25">
      <x:c r="F140" s="104"/>
      <x:c r="G140" s="104"/>
      <x:c r="H140" s="104"/>
      <x:c r="I140" s="104"/>
      <x:c r="J140" s="104"/>
      <x:c r="K140" s="104"/>
    </x:row>
    <x:row r="141" spans="6:11" x14ac:dyDescent="0.25">
      <x:c r="F141" s="104"/>
      <x:c r="G141" s="104"/>
      <x:c r="H141" s="104"/>
      <x:c r="I141" s="104"/>
      <x:c r="J141" s="104"/>
      <x:c r="K141" s="104"/>
    </x:row>
    <x:row r="142" spans="6:11" x14ac:dyDescent="0.25">
      <x:c r="F142" s="104"/>
      <x:c r="G142" s="104"/>
      <x:c r="H142" s="104"/>
      <x:c r="I142" s="104"/>
      <x:c r="J142" s="104"/>
      <x:c r="K142" s="104"/>
    </x:row>
    <x:row r="143" spans="6:11" x14ac:dyDescent="0.25">
      <x:c r="F143" s="104"/>
      <x:c r="G143" s="104"/>
      <x:c r="H143" s="104"/>
      <x:c r="I143" s="104"/>
      <x:c r="J143" s="104"/>
      <x:c r="K143" s="104"/>
    </x:row>
    <x:row r="144" spans="6:11" x14ac:dyDescent="0.25">
      <x:c r="F144" s="104"/>
      <x:c r="G144" s="104"/>
      <x:c r="H144" s="104"/>
      <x:c r="I144" s="104"/>
      <x:c r="J144" s="104"/>
      <x:c r="K144" s="104"/>
    </x:row>
    <x:row r="145" spans="6:11" x14ac:dyDescent="0.25">
      <x:c r="F145" s="104"/>
      <x:c r="G145" s="104"/>
      <x:c r="H145" s="104"/>
      <x:c r="I145" s="104"/>
      <x:c r="J145" s="104"/>
      <x:c r="K145" s="104"/>
    </x:row>
    <x:row r="146" spans="6:11" x14ac:dyDescent="0.25">
      <x:c r="F146" s="104"/>
      <x:c r="G146" s="104"/>
      <x:c r="H146" s="104"/>
      <x:c r="I146" s="104"/>
      <x:c r="J146" s="104"/>
      <x:c r="K146" s="104"/>
    </x:row>
    <x:row r="147" spans="6:11" x14ac:dyDescent="0.25">
      <x:c r="F147" s="104"/>
      <x:c r="G147" s="104"/>
      <x:c r="H147" s="104"/>
      <x:c r="I147" s="104"/>
      <x:c r="J147" s="104"/>
      <x:c r="K147" s="104"/>
    </x:row>
    <x:row r="148" spans="6:11" x14ac:dyDescent="0.25">
      <x:c r="F148" s="104"/>
      <x:c r="G148" s="104"/>
      <x:c r="H148" s="104"/>
      <x:c r="I148" s="104"/>
      <x:c r="J148" s="104"/>
      <x:c r="K148" s="104"/>
    </x:row>
    <x:row r="149" spans="6:11" x14ac:dyDescent="0.25">
      <x:c r="F149" s="104"/>
      <x:c r="G149" s="104"/>
      <x:c r="H149" s="104"/>
      <x:c r="I149" s="104"/>
      <x:c r="J149" s="104"/>
      <x:c r="K149" s="104"/>
    </x:row>
    <x:row r="150" spans="6:11" x14ac:dyDescent="0.25">
      <x:c r="F150" s="104"/>
      <x:c r="G150" s="104"/>
      <x:c r="H150" s="104"/>
      <x:c r="I150" s="104"/>
      <x:c r="J150" s="104"/>
      <x:c r="K150" s="104"/>
    </x:row>
    <x:row r="151" spans="6:11" x14ac:dyDescent="0.25">
      <x:c r="F151" s="104"/>
      <x:c r="G151" s="104"/>
      <x:c r="H151" s="104"/>
      <x:c r="I151" s="104"/>
      <x:c r="J151" s="104"/>
      <x:c r="K151" s="104"/>
    </x:row>
    <x:row r="152" spans="6:11" x14ac:dyDescent="0.25">
      <x:c r="F152" s="104"/>
      <x:c r="G152" s="104"/>
      <x:c r="H152" s="104"/>
      <x:c r="I152" s="104"/>
      <x:c r="J152" s="104"/>
      <x:c r="K152" s="104"/>
    </x:row>
    <x:row r="153" spans="6:11" x14ac:dyDescent="0.25">
      <x:c r="F153" s="104"/>
      <x:c r="G153" s="104"/>
      <x:c r="H153" s="104"/>
      <x:c r="I153" s="104"/>
      <x:c r="J153" s="104"/>
      <x:c r="K153" s="104"/>
    </x:row>
    <x:row r="154" spans="6:11" x14ac:dyDescent="0.25">
      <x:c r="F154" s="104"/>
      <x:c r="G154" s="104"/>
      <x:c r="H154" s="104"/>
      <x:c r="I154" s="104"/>
      <x:c r="J154" s="104"/>
      <x:c r="K154" s="104"/>
    </x:row>
    <x:row r="155" spans="6:11" x14ac:dyDescent="0.25">
      <x:c r="F155" s="104"/>
      <x:c r="G155" s="104"/>
      <x:c r="H155" s="104"/>
      <x:c r="I155" s="104"/>
      <x:c r="J155" s="104"/>
      <x:c r="K155" s="104"/>
    </x:row>
    <x:row r="156" spans="6:11" x14ac:dyDescent="0.25">
      <x:c r="F156" s="104"/>
      <x:c r="G156" s="104"/>
      <x:c r="H156" s="104"/>
      <x:c r="I156" s="104"/>
      <x:c r="J156" s="104"/>
      <x:c r="K156" s="104"/>
    </x:row>
    <x:row r="157" spans="6:11" x14ac:dyDescent="0.25">
      <x:c r="F157" s="104"/>
      <x:c r="G157" s="104"/>
      <x:c r="H157" s="104"/>
      <x:c r="I157" s="104"/>
      <x:c r="J157" s="104"/>
      <x:c r="K157" s="104"/>
    </x:row>
    <x:row r="158" spans="6:11" x14ac:dyDescent="0.25">
      <x:c r="F158" s="104"/>
      <x:c r="G158" s="104"/>
      <x:c r="H158" s="104"/>
      <x:c r="I158" s="104"/>
      <x:c r="J158" s="104"/>
      <x:c r="K158" s="104"/>
    </x:row>
    <x:row r="159" spans="6:11" x14ac:dyDescent="0.25">
      <x:c r="F159" s="104"/>
      <x:c r="G159" s="104"/>
      <x:c r="H159" s="104"/>
      <x:c r="I159" s="104"/>
      <x:c r="J159" s="104"/>
      <x:c r="K159" s="104"/>
    </x:row>
    <x:row r="160" spans="6:11" x14ac:dyDescent="0.25">
      <x:c r="F160" s="104"/>
      <x:c r="G160" s="104"/>
      <x:c r="H160" s="104"/>
      <x:c r="I160" s="104"/>
      <x:c r="J160" s="104"/>
      <x:c r="K160" s="104"/>
    </x:row>
    <x:row r="161" spans="6:11" x14ac:dyDescent="0.25">
      <x:c r="F161" s="104"/>
      <x:c r="G161" s="104"/>
      <x:c r="H161" s="104"/>
      <x:c r="I161" s="104"/>
      <x:c r="J161" s="104"/>
      <x:c r="K161" s="104"/>
    </x:row>
    <x:row r="162" spans="6:11" x14ac:dyDescent="0.25">
      <x:c r="F162" s="104"/>
      <x:c r="G162" s="104"/>
      <x:c r="H162" s="104"/>
      <x:c r="I162" s="104"/>
      <x:c r="J162" s="104"/>
      <x:c r="K162" s="104"/>
    </x:row>
    <x:row r="163" spans="6:11" x14ac:dyDescent="0.25">
      <x:c r="F163" s="104"/>
      <x:c r="G163" s="104"/>
      <x:c r="H163" s="104"/>
      <x:c r="I163" s="104"/>
      <x:c r="J163" s="104"/>
      <x:c r="K163" s="104"/>
    </x:row>
    <x:row r="164" spans="6:11" x14ac:dyDescent="0.25">
      <x:c r="F164" s="104"/>
      <x:c r="G164" s="104"/>
      <x:c r="H164" s="104"/>
      <x:c r="I164" s="104"/>
      <x:c r="J164" s="104"/>
      <x:c r="K164" s="104"/>
    </x:row>
    <x:row r="165" spans="6:11" x14ac:dyDescent="0.25">
      <x:c r="F165" s="104"/>
      <x:c r="G165" s="104"/>
      <x:c r="H165" s="104"/>
      <x:c r="I165" s="104"/>
      <x:c r="J165" s="104"/>
      <x:c r="K165" s="104"/>
    </x:row>
    <x:row r="166" spans="6:11" x14ac:dyDescent="0.25">
      <x:c r="F166" s="104"/>
      <x:c r="G166" s="104"/>
      <x:c r="H166" s="104"/>
      <x:c r="I166" s="104"/>
      <x:c r="J166" s="104"/>
      <x:c r="K166" s="104"/>
    </x:row>
    <x:row r="167" spans="6:11" x14ac:dyDescent="0.25">
      <x:c r="F167" s="104"/>
      <x:c r="G167" s="104"/>
      <x:c r="H167" s="104"/>
      <x:c r="I167" s="104"/>
      <x:c r="J167" s="104"/>
      <x:c r="K167" s="104"/>
    </x:row>
    <x:row r="168" spans="6:11" x14ac:dyDescent="0.25">
      <x:c r="F168" s="104"/>
      <x:c r="G168" s="104"/>
      <x:c r="H168" s="104"/>
      <x:c r="I168" s="104"/>
      <x:c r="J168" s="104"/>
      <x:c r="K168" s="104"/>
    </x:row>
    <x:row r="169" spans="6:11" x14ac:dyDescent="0.25">
      <x:c r="F169" s="104"/>
      <x:c r="G169" s="104"/>
      <x:c r="H169" s="104"/>
      <x:c r="I169" s="104"/>
      <x:c r="J169" s="104"/>
      <x:c r="K169" s="104"/>
    </x:row>
    <x:row r="170" spans="6:11" x14ac:dyDescent="0.25">
      <x:c r="F170" s="104"/>
      <x:c r="G170" s="104"/>
      <x:c r="H170" s="104"/>
      <x:c r="I170" s="104"/>
      <x:c r="J170" s="104"/>
      <x:c r="K170" s="104"/>
    </x:row>
    <x:row r="171" spans="6:11" x14ac:dyDescent="0.25">
      <x:c r="F171" s="104"/>
      <x:c r="G171" s="104"/>
      <x:c r="H171" s="104"/>
      <x:c r="I171" s="104"/>
      <x:c r="J171" s="104"/>
      <x:c r="K171" s="104"/>
    </x:row>
    <x:row r="172" spans="6:11" x14ac:dyDescent="0.25">
      <x:c r="F172" s="104"/>
      <x:c r="G172" s="104"/>
      <x:c r="H172" s="104"/>
      <x:c r="I172" s="104"/>
      <x:c r="J172" s="104"/>
      <x:c r="K172" s="104"/>
    </x:row>
    <x:row r="173" spans="6:11" x14ac:dyDescent="0.25">
      <x:c r="F173" s="104"/>
      <x:c r="G173" s="104"/>
      <x:c r="H173" s="104"/>
      <x:c r="I173" s="104"/>
      <x:c r="J173" s="104"/>
      <x:c r="K173" s="104"/>
    </x:row>
    <x:row r="174" spans="6:11" x14ac:dyDescent="0.25">
      <x:c r="F174" s="104"/>
      <x:c r="G174" s="104"/>
      <x:c r="H174" s="104"/>
      <x:c r="I174" s="104"/>
      <x:c r="J174" s="104"/>
      <x:c r="K174" s="104"/>
    </x:row>
    <x:row r="175" spans="6:11" x14ac:dyDescent="0.25">
      <x:c r="F175" s="104"/>
      <x:c r="G175" s="104"/>
      <x:c r="H175" s="104"/>
      <x:c r="I175" s="104"/>
      <x:c r="J175" s="104"/>
      <x:c r="K175" s="104"/>
    </x:row>
    <x:row r="176" spans="6:11" x14ac:dyDescent="0.25">
      <x:c r="F176" s="104"/>
      <x:c r="G176" s="104"/>
      <x:c r="H176" s="104"/>
      <x:c r="I176" s="104"/>
      <x:c r="J176" s="104"/>
      <x:c r="K176" s="104"/>
    </x:row>
    <x:row r="177" spans="6:11" x14ac:dyDescent="0.25">
      <x:c r="F177" s="104"/>
      <x:c r="G177" s="104"/>
      <x:c r="H177" s="104"/>
      <x:c r="I177" s="104"/>
      <x:c r="J177" s="104"/>
      <x:c r="K177" s="104"/>
    </x:row>
    <x:row r="178" spans="6:11" x14ac:dyDescent="0.25">
      <x:c r="F178" s="104"/>
      <x:c r="G178" s="104"/>
      <x:c r="H178" s="104"/>
      <x:c r="I178" s="104"/>
      <x:c r="J178" s="104"/>
      <x:c r="K178" s="104"/>
    </x:row>
    <x:row r="179" spans="6:11" x14ac:dyDescent="0.25">
      <x:c r="F179" s="104"/>
      <x:c r="G179" s="104"/>
      <x:c r="H179" s="104"/>
      <x:c r="I179" s="104"/>
      <x:c r="J179" s="104"/>
      <x:c r="K179" s="104"/>
    </x:row>
    <x:row r="180" spans="6:11" x14ac:dyDescent="0.25">
      <x:c r="F180" s="104"/>
      <x:c r="G180" s="104"/>
      <x:c r="H180" s="104"/>
      <x:c r="I180" s="104"/>
      <x:c r="J180" s="104"/>
      <x:c r="K180" s="104"/>
    </x:row>
    <x:row r="181" spans="6:11" x14ac:dyDescent="0.25">
      <x:c r="F181" s="104"/>
      <x:c r="G181" s="104"/>
      <x:c r="H181" s="104"/>
      <x:c r="I181" s="104"/>
      <x:c r="J181" s="104"/>
      <x:c r="K181" s="104"/>
    </x:row>
    <x:row r="182" spans="6:11" x14ac:dyDescent="0.25">
      <x:c r="F182" s="104"/>
      <x:c r="G182" s="104"/>
      <x:c r="H182" s="104"/>
      <x:c r="I182" s="104"/>
      <x:c r="J182" s="104"/>
      <x:c r="K182" s="104"/>
    </x:row>
    <x:row r="183" spans="6:11" x14ac:dyDescent="0.25">
      <x:c r="F183" s="104"/>
      <x:c r="G183" s="104"/>
      <x:c r="H183" s="104"/>
      <x:c r="I183" s="104"/>
      <x:c r="J183" s="104"/>
      <x:c r="K183" s="104"/>
    </x:row>
    <x:row r="184" spans="6:11" x14ac:dyDescent="0.25">
      <x:c r="F184" s="104"/>
      <x:c r="G184" s="104"/>
      <x:c r="H184" s="104"/>
      <x:c r="I184" s="104"/>
      <x:c r="J184" s="104"/>
      <x:c r="K184" s="104"/>
    </x:row>
    <x:row r="185" spans="6:11" x14ac:dyDescent="0.25">
      <x:c r="F185" s="104"/>
      <x:c r="G185" s="104"/>
      <x:c r="H185" s="104"/>
      <x:c r="I185" s="104"/>
      <x:c r="J185" s="104"/>
      <x:c r="K185" s="104"/>
    </x:row>
    <x:row r="186" spans="6:11" x14ac:dyDescent="0.25">
      <x:c r="F186" s="104"/>
      <x:c r="G186" s="104"/>
      <x:c r="H186" s="104"/>
      <x:c r="I186" s="104"/>
      <x:c r="J186" s="104"/>
      <x:c r="K186" s="104"/>
    </x:row>
    <x:row r="187" spans="6:11" x14ac:dyDescent="0.25">
      <x:c r="F187" s="104"/>
      <x:c r="G187" s="104"/>
      <x:c r="H187" s="104"/>
      <x:c r="I187" s="104"/>
      <x:c r="J187" s="104"/>
      <x:c r="K187" s="104"/>
    </x:row>
    <x:row r="188" spans="6:11" x14ac:dyDescent="0.25">
      <x:c r="F188" s="104"/>
      <x:c r="G188" s="104"/>
      <x:c r="H188" s="104"/>
      <x:c r="I188" s="104"/>
      <x:c r="J188" s="104"/>
      <x:c r="K188" s="104"/>
    </x:row>
    <x:row r="189" spans="6:11" x14ac:dyDescent="0.25">
      <x:c r="F189" s="104"/>
      <x:c r="G189" s="104"/>
      <x:c r="H189" s="104"/>
      <x:c r="I189" s="104"/>
      <x:c r="J189" s="104"/>
      <x:c r="K189" s="104"/>
    </x:row>
    <x:row r="190" spans="6:11" x14ac:dyDescent="0.25">
      <x:c r="F190" s="104"/>
      <x:c r="G190" s="104"/>
      <x:c r="H190" s="104"/>
      <x:c r="I190" s="104"/>
      <x:c r="J190" s="104"/>
      <x:c r="K190" s="104"/>
    </x:row>
    <x:row r="191" spans="6:11" x14ac:dyDescent="0.25">
      <x:c r="F191" s="104"/>
      <x:c r="G191" s="104"/>
      <x:c r="H191" s="104"/>
      <x:c r="I191" s="104"/>
      <x:c r="J191" s="104"/>
      <x:c r="K191" s="104"/>
    </x:row>
    <x:row r="192" spans="6:11" x14ac:dyDescent="0.25">
      <x:c r="F192" s="104"/>
      <x:c r="G192" s="104"/>
      <x:c r="H192" s="104"/>
      <x:c r="I192" s="104"/>
      <x:c r="J192" s="104"/>
      <x:c r="K192" s="104"/>
    </x:row>
    <x:row r="193" spans="6:11" x14ac:dyDescent="0.25">
      <x:c r="F193" s="104"/>
      <x:c r="G193" s="104"/>
      <x:c r="H193" s="104"/>
      <x:c r="I193" s="104"/>
      <x:c r="J193" s="104"/>
      <x:c r="K193" s="104"/>
    </x:row>
    <x:row r="194" spans="6:11" x14ac:dyDescent="0.25">
      <x:c r="F194" s="104"/>
      <x:c r="G194" s="104"/>
      <x:c r="H194" s="104"/>
      <x:c r="I194" s="104"/>
      <x:c r="J194" s="104"/>
      <x:c r="K194" s="104"/>
    </x:row>
    <x:row r="195" spans="6:11" x14ac:dyDescent="0.25">
      <x:c r="F195" s="104"/>
      <x:c r="G195" s="104"/>
      <x:c r="H195" s="104"/>
      <x:c r="I195" s="104"/>
      <x:c r="J195" s="104"/>
      <x:c r="K195" s="104"/>
    </x:row>
    <x:row r="196" spans="6:11" x14ac:dyDescent="0.25">
      <x:c r="F196" s="104"/>
      <x:c r="G196" s="104"/>
      <x:c r="H196" s="104"/>
      <x:c r="I196" s="104"/>
      <x:c r="J196" s="104"/>
      <x:c r="K196" s="104"/>
    </x:row>
    <x:row r="197" spans="6:11" x14ac:dyDescent="0.25">
      <x:c r="F197" s="104"/>
      <x:c r="G197" s="104"/>
      <x:c r="H197" s="104"/>
      <x:c r="I197" s="104"/>
      <x:c r="J197" s="104"/>
      <x:c r="K197" s="104"/>
    </x:row>
    <x:row r="198" spans="6:11" x14ac:dyDescent="0.25">
      <x:c r="F198" s="104"/>
      <x:c r="G198" s="104"/>
      <x:c r="H198" s="104"/>
      <x:c r="I198" s="104"/>
      <x:c r="J198" s="104"/>
      <x:c r="K198" s="104"/>
    </x:row>
    <x:row r="199" spans="6:11" x14ac:dyDescent="0.25">
      <x:c r="F199" s="104"/>
      <x:c r="G199" s="104"/>
      <x:c r="H199" s="104"/>
      <x:c r="I199" s="104"/>
      <x:c r="J199" s="104"/>
      <x:c r="K199" s="104"/>
    </x:row>
    <x:row r="200" spans="6:11" x14ac:dyDescent="0.25">
      <x:c r="F200" s="104"/>
      <x:c r="G200" s="104"/>
      <x:c r="H200" s="104"/>
      <x:c r="I200" s="104"/>
      <x:c r="J200" s="104"/>
      <x:c r="K200" s="104"/>
    </x:row>
    <x:row r="201" spans="6:11" x14ac:dyDescent="0.25">
      <x:c r="F201" s="104"/>
      <x:c r="G201" s="104"/>
      <x:c r="H201" s="104"/>
      <x:c r="I201" s="104"/>
      <x:c r="J201" s="104"/>
      <x:c r="K201" s="104"/>
    </x:row>
    <x:row r="202" spans="6:11" x14ac:dyDescent="0.25">
      <x:c r="F202" s="104"/>
      <x:c r="G202" s="104"/>
      <x:c r="H202" s="104"/>
      <x:c r="I202" s="104"/>
      <x:c r="J202" s="104"/>
      <x:c r="K202" s="104"/>
    </x:row>
    <x:row r="203" spans="6:11" x14ac:dyDescent="0.25">
      <x:c r="F203" s="104"/>
      <x:c r="G203" s="104"/>
      <x:c r="H203" s="104"/>
      <x:c r="I203" s="104"/>
      <x:c r="J203" s="104"/>
      <x:c r="K203" s="104"/>
    </x:row>
    <x:row r="204" spans="6:11" x14ac:dyDescent="0.25">
      <x:c r="F204" s="104"/>
      <x:c r="G204" s="104"/>
      <x:c r="H204" s="104"/>
      <x:c r="I204" s="104"/>
      <x:c r="J204" s="104"/>
      <x:c r="K204" s="104"/>
    </x:row>
    <x:row r="205" spans="6:11" x14ac:dyDescent="0.25">
      <x:c r="F205" s="104"/>
      <x:c r="G205" s="104"/>
      <x:c r="H205" s="104"/>
      <x:c r="I205" s="104"/>
      <x:c r="J205" s="104"/>
      <x:c r="K205" s="104"/>
    </x:row>
    <x:row r="206" spans="6:11" x14ac:dyDescent="0.25">
      <x:c r="F206" s="104"/>
      <x:c r="G206" s="104"/>
      <x:c r="H206" s="104"/>
      <x:c r="I206" s="104"/>
      <x:c r="J206" s="104"/>
      <x:c r="K206" s="104"/>
    </x:row>
    <x:row r="207" spans="6:11" x14ac:dyDescent="0.25">
      <x:c r="F207" s="104"/>
      <x:c r="G207" s="104"/>
      <x:c r="H207" s="104"/>
      <x:c r="I207" s="104"/>
      <x:c r="J207" s="104"/>
      <x:c r="K207" s="104"/>
    </x:row>
    <x:row r="208" spans="6:11" x14ac:dyDescent="0.25">
      <x:c r="F208" s="104"/>
      <x:c r="G208" s="104"/>
      <x:c r="H208" s="104"/>
      <x:c r="I208" s="104"/>
      <x:c r="J208" s="104"/>
      <x:c r="K208" s="104"/>
    </x:row>
    <x:row r="209" spans="6:11" x14ac:dyDescent="0.25">
      <x:c r="F209" s="104"/>
      <x:c r="G209" s="104"/>
      <x:c r="H209" s="104"/>
      <x:c r="I209" s="104"/>
      <x:c r="J209" s="104"/>
      <x:c r="K209" s="104"/>
    </x:row>
    <x:row r="210" spans="6:11" x14ac:dyDescent="0.25">
      <x:c r="F210" s="104"/>
      <x:c r="G210" s="104"/>
      <x:c r="H210" s="104"/>
      <x:c r="I210" s="104"/>
      <x:c r="J210" s="104"/>
      <x:c r="K210" s="104"/>
    </x:row>
    <x:row r="211" spans="6:11" x14ac:dyDescent="0.25">
      <x:c r="F211" s="104"/>
      <x:c r="G211" s="104"/>
      <x:c r="H211" s="104"/>
      <x:c r="I211" s="104"/>
      <x:c r="J211" s="104"/>
      <x:c r="K211" s="104"/>
    </x:row>
    <x:row r="212" spans="6:11" x14ac:dyDescent="0.25">
      <x:c r="F212" s="104"/>
      <x:c r="G212" s="104"/>
      <x:c r="H212" s="104"/>
      <x:c r="I212" s="104"/>
      <x:c r="J212" s="104"/>
      <x:c r="K212" s="104"/>
    </x:row>
    <x:row r="213" spans="6:11" x14ac:dyDescent="0.25">
      <x:c r="F213" s="104"/>
      <x:c r="G213" s="104"/>
      <x:c r="H213" s="104"/>
      <x:c r="I213" s="104"/>
      <x:c r="J213" s="104"/>
      <x:c r="K213" s="104"/>
    </x:row>
    <x:row r="214" spans="6:11" x14ac:dyDescent="0.25">
      <x:c r="F214" s="104"/>
      <x:c r="G214" s="104"/>
      <x:c r="H214" s="104"/>
      <x:c r="I214" s="104"/>
      <x:c r="J214" s="104"/>
      <x:c r="K214" s="104"/>
    </x:row>
    <x:row r="215" spans="6:11" x14ac:dyDescent="0.25">
      <x:c r="F215" s="104"/>
      <x:c r="G215" s="104"/>
      <x:c r="H215" s="104"/>
      <x:c r="I215" s="104"/>
      <x:c r="J215" s="104"/>
      <x:c r="K215" s="104"/>
    </x:row>
    <x:row r="216" spans="6:11" x14ac:dyDescent="0.25">
      <x:c r="F216" s="104"/>
      <x:c r="G216" s="104"/>
      <x:c r="H216" s="104"/>
      <x:c r="I216" s="104"/>
      <x:c r="J216" s="104"/>
      <x:c r="K216" s="104"/>
    </x:row>
    <x:row r="217" spans="6:11" x14ac:dyDescent="0.25">
      <x:c r="F217" s="104"/>
      <x:c r="G217" s="104"/>
      <x:c r="H217" s="104"/>
      <x:c r="I217" s="104"/>
      <x:c r="J217" s="104"/>
      <x:c r="K217" s="104"/>
    </x:row>
    <x:row r="218" spans="6:11" x14ac:dyDescent="0.25">
      <x:c r="F218" s="104"/>
      <x:c r="G218" s="104"/>
      <x:c r="H218" s="104"/>
      <x:c r="I218" s="104"/>
      <x:c r="J218" s="104"/>
      <x:c r="K218" s="104"/>
    </x:row>
    <x:row r="219" spans="6:11" x14ac:dyDescent="0.25">
      <x:c r="F219" s="104"/>
      <x:c r="G219" s="104"/>
      <x:c r="H219" s="104"/>
      <x:c r="I219" s="104"/>
      <x:c r="J219" s="104"/>
      <x:c r="K219" s="104"/>
    </x:row>
    <x:row r="220" spans="6:11" x14ac:dyDescent="0.25">
      <x:c r="F220" s="104"/>
      <x:c r="G220" s="104"/>
      <x:c r="H220" s="104"/>
      <x:c r="I220" s="104"/>
      <x:c r="J220" s="104"/>
      <x:c r="K220" s="104"/>
    </x:row>
    <x:row r="221" spans="6:11" x14ac:dyDescent="0.25">
      <x:c r="F221" s="104"/>
      <x:c r="G221" s="104"/>
      <x:c r="H221" s="104"/>
      <x:c r="I221" s="104"/>
      <x:c r="J221" s="104"/>
      <x:c r="K221" s="104"/>
    </x:row>
    <x:row r="222" spans="6:11" x14ac:dyDescent="0.25">
      <x:c r="F222" s="104"/>
      <x:c r="G222" s="104"/>
      <x:c r="H222" s="104"/>
      <x:c r="I222" s="104"/>
      <x:c r="J222" s="104"/>
      <x:c r="K222" s="104"/>
    </x:row>
    <x:row r="223" spans="6:11" x14ac:dyDescent="0.25">
      <x:c r="F223" s="104"/>
      <x:c r="G223" s="104"/>
      <x:c r="H223" s="104"/>
      <x:c r="I223" s="104"/>
      <x:c r="J223" s="104"/>
      <x:c r="K223" s="104"/>
    </x:row>
    <x:row r="224" spans="6:11" x14ac:dyDescent="0.25">
      <x:c r="F224" s="104"/>
      <x:c r="G224" s="104"/>
      <x:c r="H224" s="104"/>
      <x:c r="I224" s="104"/>
      <x:c r="J224" s="104"/>
      <x:c r="K224" s="104"/>
    </x:row>
    <x:row r="225" spans="6:11" x14ac:dyDescent="0.25">
      <x:c r="F225" s="104"/>
      <x:c r="G225" s="104"/>
      <x:c r="H225" s="104"/>
      <x:c r="I225" s="104"/>
      <x:c r="J225" s="104"/>
      <x:c r="K225" s="104"/>
    </x:row>
    <x:row r="226" spans="6:11" x14ac:dyDescent="0.25">
      <x:c r="F226" s="104"/>
      <x:c r="G226" s="104"/>
      <x:c r="H226" s="104"/>
      <x:c r="I226" s="104"/>
      <x:c r="J226" s="104"/>
      <x:c r="K226" s="104"/>
    </x:row>
    <x:row r="227" spans="6:11" x14ac:dyDescent="0.25">
      <x:c r="F227" s="104"/>
      <x:c r="G227" s="104"/>
      <x:c r="H227" s="104"/>
      <x:c r="I227" s="104"/>
      <x:c r="J227" s="104"/>
      <x:c r="K227" s="104"/>
    </x:row>
    <x:row r="228" spans="6:11" x14ac:dyDescent="0.25">
      <x:c r="F228" s="104"/>
      <x:c r="G228" s="104"/>
      <x:c r="H228" s="104"/>
      <x:c r="I228" s="104"/>
      <x:c r="J228" s="104"/>
      <x:c r="K228" s="104"/>
    </x:row>
    <x:row r="229" spans="6:11" x14ac:dyDescent="0.25">
      <x:c r="F229" s="104"/>
      <x:c r="G229" s="104"/>
      <x:c r="H229" s="104"/>
      <x:c r="I229" s="104"/>
      <x:c r="J229" s="104"/>
      <x:c r="K229" s="104"/>
    </x:row>
    <x:row r="230" spans="6:11" x14ac:dyDescent="0.25">
      <x:c r="F230" s="104"/>
      <x:c r="G230" s="104"/>
      <x:c r="H230" s="104"/>
      <x:c r="I230" s="104"/>
      <x:c r="J230" s="104"/>
      <x:c r="K230" s="104"/>
    </x:row>
    <x:row r="231" spans="6:11" x14ac:dyDescent="0.25">
      <x:c r="F231" s="104"/>
      <x:c r="G231" s="104"/>
      <x:c r="H231" s="104"/>
      <x:c r="I231" s="104"/>
      <x:c r="J231" s="104"/>
      <x:c r="K231" s="104"/>
    </x:row>
    <x:row r="232" spans="6:11" x14ac:dyDescent="0.25">
      <x:c r="F232" s="104"/>
      <x:c r="G232" s="104"/>
      <x:c r="H232" s="104"/>
      <x:c r="I232" s="104"/>
      <x:c r="J232" s="104"/>
      <x:c r="K232" s="104"/>
    </x:row>
    <x:row r="233" spans="6:11" x14ac:dyDescent="0.25">
      <x:c r="F233" s="104"/>
      <x:c r="G233" s="104"/>
      <x:c r="H233" s="104"/>
      <x:c r="I233" s="104"/>
      <x:c r="J233" s="104"/>
      <x:c r="K233" s="104"/>
    </x:row>
    <x:row r="234" spans="6:11" x14ac:dyDescent="0.25">
      <x:c r="F234" s="104"/>
      <x:c r="G234" s="104"/>
      <x:c r="H234" s="104"/>
      <x:c r="I234" s="104"/>
      <x:c r="J234" s="104"/>
      <x:c r="K234" s="104"/>
    </x:row>
    <x:row r="235" spans="6:11" x14ac:dyDescent="0.25">
      <x:c r="F235" s="104"/>
      <x:c r="G235" s="104"/>
      <x:c r="H235" s="104"/>
      <x:c r="I235" s="104"/>
      <x:c r="J235" s="104"/>
      <x:c r="K235" s="104"/>
    </x:row>
    <x:row r="236" spans="6:11" x14ac:dyDescent="0.25">
      <x:c r="F236" s="104"/>
      <x:c r="G236" s="104"/>
      <x:c r="H236" s="104"/>
      <x:c r="I236" s="104"/>
      <x:c r="J236" s="104"/>
      <x:c r="K236" s="104"/>
    </x:row>
    <x:row r="237" spans="6:11" x14ac:dyDescent="0.25">
      <x:c r="F237" s="104"/>
      <x:c r="G237" s="104"/>
      <x:c r="H237" s="104"/>
      <x:c r="I237" s="104"/>
      <x:c r="J237" s="104"/>
      <x:c r="K237" s="104"/>
    </x:row>
    <x:row r="238" spans="6:11" x14ac:dyDescent="0.25">
      <x:c r="F238" s="104"/>
      <x:c r="G238" s="104"/>
      <x:c r="H238" s="104"/>
      <x:c r="I238" s="104"/>
      <x:c r="J238" s="104"/>
      <x:c r="K238" s="104"/>
    </x:row>
    <x:row r="239" spans="6:11" x14ac:dyDescent="0.25">
      <x:c r="F239" s="104"/>
      <x:c r="G239" s="104"/>
      <x:c r="H239" s="104"/>
      <x:c r="I239" s="104"/>
      <x:c r="J239" s="104"/>
      <x:c r="K239" s="104"/>
    </x:row>
    <x:row r="240" spans="6:11" x14ac:dyDescent="0.25">
      <x:c r="F240" s="104"/>
      <x:c r="G240" s="104"/>
      <x:c r="H240" s="104"/>
      <x:c r="I240" s="104"/>
      <x:c r="J240" s="104"/>
      <x:c r="K240" s="104"/>
    </x:row>
    <x:row r="241" spans="6:11" x14ac:dyDescent="0.25">
      <x:c r="F241" s="104"/>
      <x:c r="G241" s="104"/>
      <x:c r="H241" s="104"/>
      <x:c r="I241" s="104"/>
      <x:c r="J241" s="104"/>
      <x:c r="K241" s="104"/>
    </x:row>
  </x:sheetData>
  <x:mergeCells count="6">
    <x:mergeCell ref="I7:J7"/>
    <x:mergeCell ref="I8:J8"/>
    <x:mergeCell ref="C7:D7"/>
    <x:mergeCell ref="C8:D8"/>
    <x:mergeCell ref="F7:G7"/>
    <x:mergeCell ref="F8:G8"/>
  </x:mergeCells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5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600-000000000000}" mc:Ignorable="x14ac xr xr2 xr3">
  <x:sheetPr codeName="Sheet35">
    <x:tabColor rgb="FF92D050"/>
    <x:pageSetUpPr fitToPage="1"/>
  </x:sheetPr>
  <x:dimension ref="A1:M79"/>
  <x:sheetViews>
    <x:sheetView topLeftCell="A16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00"/>
    <x:col min="2" max="2" width="18" style="100" customWidth="1"/>
    <x:col min="3" max="3" width="11.109375" style="100" customWidth="1"/>
    <x:col min="4" max="4" width="14" style="100" customWidth="1"/>
    <x:col min="5" max="5" width="3.5546875" style="100" customWidth="1"/>
    <x:col min="6" max="6" width="10.88671875" style="100" customWidth="1"/>
    <x:col min="7" max="7" width="14" style="100" customWidth="1"/>
    <x:col min="8" max="8" width="3.44140625" style="100" customWidth="1"/>
    <x:col min="9" max="9" width="11.109375" style="100" bestFit="1" customWidth="1"/>
    <x:col min="10" max="10" width="14" style="100" customWidth="1"/>
    <x:col min="11" max="11" width="8.5546875" style="100" bestFit="1" customWidth="1"/>
    <x:col min="12" max="16384" width="9.109375" style="100"/>
  </x:cols>
  <x:sheetData>
    <x:row r="1" spans="1:13" s="41" customFormat="1" x14ac:dyDescent="0.25">
      <x:c r="A1" s="180" t="s">
        <x:v>523</x:v>
      </x:c>
      <x:c r="C1" s="180"/>
      <x:c r="D1" s="180"/>
      <x:c r="E1" s="180"/>
      <x:c r="F1" s="180"/>
    </x:row>
    <x:row r="2" spans="1:13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13" s="41" customFormat="1" x14ac:dyDescent="0.25">
      <x:c r="A3" s="180" t="s">
        <x:v>168</x:v>
      </x:c>
      <x:c r="C3" s="180"/>
      <x:c r="D3" s="180"/>
      <x:c r="E3" s="180"/>
      <x:c r="F3" s="180"/>
    </x:row>
    <x:row r="4" spans="1:13" s="41" customFormat="1" x14ac:dyDescent="0.25">
      <x:c r="A4" s="767" t="s">
        <x:v>522</x:v>
      </x:c>
      <x:c r="C4" s="180"/>
      <x:c r="D4" s="180"/>
      <x:c r="E4" s="180"/>
      <x:c r="F4" s="180"/>
    </x:row>
    <x:row r="5" spans="1:13" s="41" customFormat="1" x14ac:dyDescent="0.25">
      <x:c r="A5" s="180" t="s">
        <x:v>486</x:v>
      </x:c>
      <x:c r="C5" s="180"/>
      <x:c r="D5" s="180"/>
      <x:c r="E5" s="180"/>
      <x:c r="F5" s="180"/>
      <x:c r="H5" s="41" t="s">
        <x:v>464</x:v>
      </x:c>
    </x:row>
    <x:row r="7" spans="1:13" s="107" customFormat="1" ht="25.5" customHeight="1" x14ac:dyDescent="0.25">
      <x:c r="A7" s="201" t="s">
        <x:v>197</x:v>
      </x:c>
      <x:c r="B7" s="104"/>
      <x:c r="C7" s="835" t="s">
        <x:v>118</x:v>
      </x:c>
      <x:c r="D7" s="835"/>
      <x:c r="E7" s="106"/>
      <x:c r="F7" s="835" t="s">
        <x:v>119</x:v>
      </x:c>
      <x:c r="G7" s="835"/>
      <x:c r="H7" s="106"/>
      <x:c r="I7" s="835" t="s">
        <x:v>120</x:v>
      </x:c>
      <x:c r="J7" s="835"/>
      <x:c r="K7" s="105"/>
      <x:c r="L7" s="106"/>
    </x:row>
    <x:row r="8" spans="1:13" x14ac:dyDescent="0.25">
      <x:c r="A8" s="202" t="s">
        <x:v>198</x:v>
      </x:c>
      <x:c r="B8" s="203" t="s">
        <x:v>79</x:v>
      </x:c>
      <x:c r="C8" s="837">
        <x:v>1350300</x:v>
      </x:c>
      <x:c r="D8" s="837"/>
      <x:c r="E8" s="203"/>
      <x:c r="F8" s="836">
        <x:v>1350700</x:v>
      </x:c>
      <x:c r="G8" s="836"/>
      <x:c r="H8" s="203"/>
      <x:c r="I8" s="836">
        <x:v>1354000</x:v>
      </x:c>
      <x:c r="J8" s="836"/>
      <x:c r="K8" s="108"/>
      <x:c r="L8" s="108"/>
    </x:row>
    <x:row r="9" spans="1:13" x14ac:dyDescent="0.25">
      <x:c r="A9" s="147"/>
      <x:c r="B9" s="40" t="s">
        <x:v>50</x:v>
      </x:c>
      <x:c r="C9" s="40" t="s">
        <x:v>51</x:v>
      </x:c>
      <x:c r="D9" s="40" t="s">
        <x:v>57</x:v>
      </x:c>
      <x:c r="E9" s="40"/>
      <x:c r="F9" s="40" t="s">
        <x:v>52</x:v>
      </x:c>
      <x:c r="G9" s="40" t="s">
        <x:v>53</x:v>
      </x:c>
      <x:c r="H9" s="40"/>
      <x:c r="I9" s="40" t="s">
        <x:v>54</x:v>
      </x:c>
      <x:c r="J9" s="40" t="s">
        <x:v>55</x:v>
      </x:c>
      <x:c r="K9" s="108"/>
      <x:c r="L9" s="108"/>
    </x:row>
    <x:row r="10" spans="1:13" x14ac:dyDescent="0.25">
      <x:c r="A10" s="147"/>
      <x:c r="B10" s="40"/>
      <x:c r="C10" s="40"/>
      <x:c r="D10" s="40"/>
      <x:c r="E10" s="40"/>
      <x:c r="F10" s="40"/>
      <x:c r="G10" s="40"/>
      <x:c r="H10" s="40"/>
      <x:c r="I10" s="40"/>
      <x:c r="J10" s="40"/>
      <x:c r="K10" s="108"/>
      <x:c r="L10" s="108"/>
    </x:row>
    <x:row r="11" spans="1:13" x14ac:dyDescent="0.25">
      <x:c r="A11" s="149">
        <x:v>1</x:v>
      </x:c>
      <x:c r="B11" s="109" t="s">
        <x:v>121</x:v>
      </x:c>
      <x:c r="C11" s="405"/>
      <x:c r="D11" s="405">
        <x:v>0</x:v>
      </x:c>
      <x:c r="E11" s="405"/>
      <x:c r="F11" s="405"/>
      <x:c r="G11" s="405">
        <x:v>0</x:v>
      </x:c>
      <x:c r="H11" s="405"/>
      <x:c r="I11" s="405"/>
      <x:c r="J11" s="405">
        <x:v>0</x:v>
      </x:c>
      <x:c r="K11" s="110"/>
      <x:c r="L11" s="104"/>
    </x:row>
    <x:row r="12" spans="1:13" x14ac:dyDescent="0.25">
      <x:c r="A12" s="205">
        <x:f t="shared" ref="A12:A30" si="0">A11+1</x:f>
        <x:v>2</x:v>
      </x:c>
      <x:c r="B12" s="111" t="s">
        <x:v>122</x:v>
      </x:c>
      <x:c r="C12" s="406" t="s">
        <x:v>123</x:v>
      </x:c>
      <x:c r="D12" s="406"/>
      <x:c r="E12" s="406"/>
      <x:c r="F12" s="406" t="s">
        <x:v>123</x:v>
      </x:c>
      <x:c r="G12" s="406"/>
      <x:c r="H12" s="406"/>
      <x:c r="I12" s="406" t="s">
        <x:v>123</x:v>
      </x:c>
      <x:c r="J12" s="406"/>
      <x:c r="K12" s="110"/>
      <x:c r="L12" s="104"/>
    </x:row>
    <x:row r="13" spans="1:13" x14ac:dyDescent="0.25">
      <x:c r="A13" s="205">
        <x:f t="shared" si="0"/>
        <x:v>3</x:v>
      </x:c>
      <x:c r="B13" s="658">
        <x:v>45292</x:v>
      </x:c>
      <x:c r="C13" s="407">
        <x:v>0</x:v>
      </x:c>
      <x:c r="D13" s="407">
        <x:f>D11+C13</x:f>
        <x:v>0</x:v>
      </x:c>
      <x:c r="E13" s="407"/>
      <x:c r="F13" s="407">
        <x:v>0</x:v>
      </x:c>
      <x:c r="G13" s="407">
        <x:f>G11+F13</x:f>
        <x:v>0</x:v>
      </x:c>
      <x:c r="H13" s="407"/>
      <x:c r="I13" s="407">
        <x:v>0</x:v>
      </x:c>
      <x:c r="J13" s="407">
        <x:f>J11+I13</x:f>
        <x:v>0</x:v>
      </x:c>
      <x:c r="K13" s="113"/>
      <x:c r="L13" s="113"/>
    </x:row>
    <x:row r="14" spans="1:13" x14ac:dyDescent="0.25">
      <x:c r="A14" s="205">
        <x:f t="shared" si="0"/>
        <x:v>4</x:v>
      </x:c>
      <x:c r="B14" s="658">
        <x:v>45323</x:v>
      </x:c>
      <x:c r="C14" s="407">
        <x:v>0</x:v>
      </x:c>
      <x:c r="D14" s="407">
        <x:f t="shared" ref="D14:D24" si="1">D13+C14</x:f>
        <x:v>0</x:v>
      </x:c>
      <x:c r="E14" s="407"/>
      <x:c r="F14" s="407">
        <x:v>0</x:v>
      </x:c>
      <x:c r="G14" s="407">
        <x:f t="shared" ref="G14:G24" si="2">G13+F14</x:f>
        <x:v>0</x:v>
      </x:c>
      <x:c r="H14" s="407"/>
      <x:c r="I14" s="407">
        <x:v>0</x:v>
      </x:c>
      <x:c r="J14" s="407">
        <x:f t="shared" ref="J14:J24" si="3">J13+I14</x:f>
        <x:v>0</x:v>
      </x:c>
      <x:c r="K14" s="113"/>
      <x:c r="L14" s="114"/>
    </x:row>
    <x:row r="15" spans="1:13" x14ac:dyDescent="0.25">
      <x:c r="A15" s="205">
        <x:f t="shared" si="0"/>
        <x:v>5</x:v>
      </x:c>
      <x:c r="B15" s="658">
        <x:v>45352</x:v>
      </x:c>
      <x:c r="C15" s="407">
        <x:v>0</x:v>
      </x:c>
      <x:c r="D15" s="407">
        <x:f t="shared" si="1"/>
        <x:v>0</x:v>
      </x:c>
      <x:c r="E15" s="407"/>
      <x:c r="F15" s="407">
        <x:v>0</x:v>
      </x:c>
      <x:c r="G15" s="407">
        <x:f t="shared" si="2"/>
        <x:v>0</x:v>
      </x:c>
      <x:c r="H15" s="407"/>
      <x:c r="I15" s="407">
        <x:v>0</x:v>
      </x:c>
      <x:c r="J15" s="407">
        <x:f t="shared" si="3"/>
        <x:v>0</x:v>
      </x:c>
      <x:c r="K15" s="113"/>
      <x:c r="L15" s="114"/>
      <x:c r="M15" s="116"/>
    </x:row>
    <x:row r="16" spans="1:13" x14ac:dyDescent="0.25">
      <x:c r="A16" s="205">
        <x:f t="shared" si="0"/>
        <x:v>6</x:v>
      </x:c>
      <x:c r="B16" s="658">
        <x:v>45383</x:v>
      </x:c>
      <x:c r="C16" s="407">
        <x:v>0</x:v>
      </x:c>
      <x:c r="D16" s="407">
        <x:f t="shared" si="1"/>
        <x:v>0</x:v>
      </x:c>
      <x:c r="E16" s="407"/>
      <x:c r="F16" s="407">
        <x:v>0</x:v>
      </x:c>
      <x:c r="G16" s="407">
        <x:f t="shared" si="2"/>
        <x:v>0</x:v>
      </x:c>
      <x:c r="H16" s="407"/>
      <x:c r="I16" s="407">
        <x:v>0</x:v>
      </x:c>
      <x:c r="J16" s="407">
        <x:f t="shared" si="3"/>
        <x:v>0</x:v>
      </x:c>
      <x:c r="K16" s="113"/>
      <x:c r="L16" s="114"/>
    </x:row>
    <x:row r="17" spans="1:12" x14ac:dyDescent="0.25">
      <x:c r="A17" s="205">
        <x:f t="shared" si="0"/>
        <x:v>7</x:v>
      </x:c>
      <x:c r="B17" s="658">
        <x:v>45413</x:v>
      </x:c>
      <x:c r="C17" s="407">
        <x:v>0</x:v>
      </x:c>
      <x:c r="D17" s="407">
        <x:f t="shared" si="1"/>
        <x:v>0</x:v>
      </x:c>
      <x:c r="E17" s="407"/>
      <x:c r="F17" s="407">
        <x:v>0</x:v>
      </x:c>
      <x:c r="G17" s="407">
        <x:f t="shared" si="2"/>
        <x:v>0</x:v>
      </x:c>
      <x:c r="H17" s="407"/>
      <x:c r="I17" s="407">
        <x:v>0</x:v>
      </x:c>
      <x:c r="J17" s="407">
        <x:f t="shared" si="3"/>
        <x:v>0</x:v>
      </x:c>
      <x:c r="K17" s="113"/>
      <x:c r="L17" s="114"/>
    </x:row>
    <x:row r="18" spans="1:12" x14ac:dyDescent="0.25">
      <x:c r="A18" s="205">
        <x:f t="shared" si="0"/>
        <x:v>8</x:v>
      </x:c>
      <x:c r="B18" s="658">
        <x:v>45444</x:v>
      </x:c>
      <x:c r="C18" s="407">
        <x:v>0</x:v>
      </x:c>
      <x:c r="D18" s="407">
        <x:f t="shared" si="1"/>
        <x:v>0</x:v>
      </x:c>
      <x:c r="E18" s="407"/>
      <x:c r="F18" s="407">
        <x:v>0</x:v>
      </x:c>
      <x:c r="G18" s="407">
        <x:f t="shared" si="2"/>
        <x:v>0</x:v>
      </x:c>
      <x:c r="H18" s="407"/>
      <x:c r="I18" s="407">
        <x:v>0</x:v>
      </x:c>
      <x:c r="J18" s="407">
        <x:f t="shared" si="3"/>
        <x:v>0</x:v>
      </x:c>
      <x:c r="K18" s="113"/>
      <x:c r="L18" s="114"/>
    </x:row>
    <x:row r="19" spans="1:12" x14ac:dyDescent="0.25">
      <x:c r="A19" s="205">
        <x:f t="shared" si="0"/>
        <x:v>9</x:v>
      </x:c>
      <x:c r="B19" s="658">
        <x:v>45474</x:v>
      </x:c>
      <x:c r="C19" s="407">
        <x:v>0</x:v>
      </x:c>
      <x:c r="D19" s="407">
        <x:f t="shared" si="1"/>
        <x:v>0</x:v>
      </x:c>
      <x:c r="E19" s="407"/>
      <x:c r="F19" s="407">
        <x:v>0</x:v>
      </x:c>
      <x:c r="G19" s="407">
        <x:f t="shared" si="2"/>
        <x:v>0</x:v>
      </x:c>
      <x:c r="H19" s="407"/>
      <x:c r="I19" s="407">
        <x:v>0</x:v>
      </x:c>
      <x:c r="J19" s="407">
        <x:f t="shared" si="3"/>
        <x:v>0</x:v>
      </x:c>
      <x:c r="K19" s="113"/>
      <x:c r="L19" s="114"/>
    </x:row>
    <x:row r="20" spans="1:12" x14ac:dyDescent="0.25">
      <x:c r="A20" s="205">
        <x:f t="shared" si="0"/>
        <x:v>10</x:v>
      </x:c>
      <x:c r="B20" s="658">
        <x:v>45505</x:v>
      </x:c>
      <x:c r="C20" s="407">
        <x:v>0</x:v>
      </x:c>
      <x:c r="D20" s="407">
        <x:f t="shared" si="1"/>
        <x:v>0</x:v>
      </x:c>
      <x:c r="E20" s="407"/>
      <x:c r="F20" s="407">
        <x:v>0</x:v>
      </x:c>
      <x:c r="G20" s="407">
        <x:f t="shared" si="2"/>
        <x:v>0</x:v>
      </x:c>
      <x:c r="H20" s="407"/>
      <x:c r="I20" s="407">
        <x:v>0</x:v>
      </x:c>
      <x:c r="J20" s="407">
        <x:f t="shared" si="3"/>
        <x:v>0</x:v>
      </x:c>
      <x:c r="K20" s="113"/>
      <x:c r="L20" s="114"/>
    </x:row>
    <x:row r="21" spans="1:12" x14ac:dyDescent="0.25">
      <x:c r="A21" s="205">
        <x:f t="shared" si="0"/>
        <x:v>11</x:v>
      </x:c>
      <x:c r="B21" s="658">
        <x:v>45536</x:v>
      </x:c>
      <x:c r="C21" s="407">
        <x:v>0</x:v>
      </x:c>
      <x:c r="D21" s="407">
        <x:f t="shared" si="1"/>
        <x:v>0</x:v>
      </x:c>
      <x:c r="E21" s="407"/>
      <x:c r="F21" s="407">
        <x:v>0</x:v>
      </x:c>
      <x:c r="G21" s="407">
        <x:f t="shared" si="2"/>
        <x:v>0</x:v>
      </x:c>
      <x:c r="H21" s="407"/>
      <x:c r="I21" s="407">
        <x:v>0</x:v>
      </x:c>
      <x:c r="J21" s="407">
        <x:f t="shared" si="3"/>
        <x:v>0</x:v>
      </x:c>
      <x:c r="K21" s="113"/>
      <x:c r="L21" s="114"/>
    </x:row>
    <x:row r="22" spans="1:12" x14ac:dyDescent="0.25">
      <x:c r="A22" s="205">
        <x:f t="shared" si="0"/>
        <x:v>12</x:v>
      </x:c>
      <x:c r="B22" s="658">
        <x:v>45566</x:v>
      </x:c>
      <x:c r="C22" s="407">
        <x:v>0</x:v>
      </x:c>
      <x:c r="D22" s="407">
        <x:f t="shared" si="1"/>
        <x:v>0</x:v>
      </x:c>
      <x:c r="E22" s="407"/>
      <x:c r="F22" s="407">
        <x:v>0</x:v>
      </x:c>
      <x:c r="G22" s="407">
        <x:f t="shared" si="2"/>
        <x:v>0</x:v>
      </x:c>
      <x:c r="H22" s="407"/>
      <x:c r="I22" s="407">
        <x:v>0</x:v>
      </x:c>
      <x:c r="J22" s="407">
        <x:f t="shared" si="3"/>
        <x:v>0</x:v>
      </x:c>
      <x:c r="K22" s="113"/>
      <x:c r="L22" s="114"/>
    </x:row>
    <x:row r="23" spans="1:12" x14ac:dyDescent="0.25">
      <x:c r="A23" s="205">
        <x:f t="shared" si="0"/>
        <x:v>13</x:v>
      </x:c>
      <x:c r="B23" s="658">
        <x:v>45597</x:v>
      </x:c>
      <x:c r="C23" s="407"/>
      <x:c r="D23" s="407">
        <x:f t="shared" si="1"/>
        <x:v>0</x:v>
      </x:c>
      <x:c r="E23" s="407"/>
      <x:c r="F23" s="407">
        <x:v>0</x:v>
      </x:c>
      <x:c r="G23" s="407">
        <x:f t="shared" si="2"/>
        <x:v>0</x:v>
      </x:c>
      <x:c r="H23" s="407"/>
      <x:c r="I23" s="407">
        <x:v>0</x:v>
      </x:c>
      <x:c r="J23" s="407">
        <x:f t="shared" si="3"/>
        <x:v>0</x:v>
      </x:c>
      <x:c r="K23" s="113"/>
      <x:c r="L23" s="114"/>
    </x:row>
    <x:row r="24" spans="1:12" x14ac:dyDescent="0.25">
      <x:c r="A24" s="205">
        <x:f t="shared" si="0"/>
        <x:v>14</x:v>
      </x:c>
      <x:c r="B24" s="658">
        <x:v>45627</x:v>
      </x:c>
      <x:c r="C24" s="407">
        <x:v>0</x:v>
      </x:c>
      <x:c r="D24" s="407">
        <x:f t="shared" si="1"/>
        <x:v>0</x:v>
      </x:c>
      <x:c r="E24" s="407"/>
      <x:c r="F24" s="407">
        <x:v>0</x:v>
      </x:c>
      <x:c r="G24" s="407">
        <x:f t="shared" si="2"/>
        <x:v>0</x:v>
      </x:c>
      <x:c r="H24" s="407"/>
      <x:c r="I24" s="407">
        <x:v>0</x:v>
      </x:c>
      <x:c r="J24" s="407">
        <x:f t="shared" si="3"/>
        <x:v>0</x:v>
      </x:c>
      <x:c r="K24" s="113"/>
      <x:c r="L24" s="114"/>
    </x:row>
    <x:row r="25" spans="1:12" x14ac:dyDescent="0.25">
      <x:c r="A25" s="205">
        <x:f t="shared" si="0"/>
        <x:v>15</x:v>
      </x:c>
      <x:c r="B25" s="104"/>
      <x:c r="C25" s="408"/>
      <x:c r="D25" s="408"/>
      <x:c r="E25" s="408"/>
      <x:c r="F25" s="408"/>
      <x:c r="G25" s="408"/>
      <x:c r="H25" s="408"/>
      <x:c r="I25" s="408"/>
      <x:c r="J25" s="408"/>
      <x:c r="K25" s="104"/>
      <x:c r="L25" s="104"/>
    </x:row>
    <x:row r="26" spans="1:12" x14ac:dyDescent="0.25">
      <x:c r="A26" s="205">
        <x:f t="shared" si="0"/>
        <x:v>16</x:v>
      </x:c>
      <x:c r="B26" s="104" t="s">
        <x:v>124</x:v>
      </x:c>
      <x:c r="C26" s="347"/>
      <x:c r="D26" s="347">
        <x:f>SUM(D11:D24)</x:f>
        <x:v>0</x:v>
      </x:c>
      <x:c r="E26" s="347"/>
      <x:c r="F26" s="347"/>
      <x:c r="G26" s="347">
        <x:f>SUM(G11:G24)</x:f>
        <x:v>0</x:v>
      </x:c>
      <x:c r="H26" s="347"/>
      <x:c r="I26" s="347"/>
      <x:c r="J26" s="347">
        <x:f>SUM(J11:J24)</x:f>
        <x:v>0</x:v>
      </x:c>
      <x:c r="K26" s="104"/>
      <x:c r="L26" s="104"/>
    </x:row>
    <x:row r="27" spans="1:12" x14ac:dyDescent="0.25">
      <x:c r="A27" s="205">
        <x:f t="shared" si="0"/>
        <x:v>17</x:v>
      </x:c>
      <x:c r="B27" s="104" t="s">
        <x:v>27</x:v>
      </x:c>
      <x:c r="C27" s="347"/>
      <x:c r="D27" s="347">
        <x:f>+D26/13</x:f>
        <x:v>0</x:v>
      </x:c>
      <x:c r="E27" s="347"/>
      <x:c r="F27" s="347"/>
      <x:c r="G27" s="347">
        <x:f>+G26/13</x:f>
        <x:v>0</x:v>
      </x:c>
      <x:c r="H27" s="347"/>
      <x:c r="I27" s="347"/>
      <x:c r="J27" s="347">
        <x:f>+J26/13</x:f>
        <x:v>0</x:v>
      </x:c>
      <x:c r="K27" s="104"/>
      <x:c r="L27" s="104"/>
    </x:row>
    <x:row r="28" spans="1:12" x14ac:dyDescent="0.25">
      <x:c r="A28" s="205">
        <x:f t="shared" si="0"/>
        <x:v>18</x:v>
      </x:c>
      <x:c r="B28" s="104"/>
      <x:c r="F28" s="104"/>
      <x:c r="G28" s="104"/>
      <x:c r="H28" s="104"/>
      <x:c r="I28" s="104"/>
      <x:c r="J28" s="104"/>
      <x:c r="K28" s="104"/>
      <x:c r="L28" s="104"/>
    </x:row>
    <x:row r="29" spans="1:12" ht="13.25" thickBot="1" x14ac:dyDescent="0.3">
      <x:c r="A29" s="205">
        <x:f t="shared" si="0"/>
        <x:v>19</x:v>
      </x:c>
      <x:c r="B29" s="104"/>
      <x:c r="F29" s="104"/>
      <x:c r="G29" s="104"/>
      <x:c r="H29" s="104"/>
      <x:c r="I29" s="104"/>
      <x:c r="J29" s="348">
        <x:f>SUM(D27:J27)</x:f>
        <x:v>0</x:v>
      </x:c>
      <x:c r="L29" s="104"/>
    </x:row>
    <x:row r="30" spans="1:12" ht="13.25" thickTop="1" x14ac:dyDescent="0.25">
      <x:c r="A30" s="205">
        <x:f t="shared" si="0"/>
        <x:v>20</x:v>
      </x:c>
      <x:c r="B30" t="s">
        <x:v>370</x:v>
      </x:c>
      <x:c r="C30" s="533"/>
      <x:c r="F30" s="104"/>
      <x:c r="G30" s="104"/>
      <x:c r="H30" s="104"/>
      <x:c r="I30" s="104"/>
      <x:c r="J30" s="104"/>
      <x:c r="K30" s="104"/>
      <x:c r="L30" s="104"/>
    </x:row>
    <x:row r="31" spans="1:12" x14ac:dyDescent="0.25">
      <x:c r="C31" s="111"/>
      <x:c r="D31" s="111"/>
      <x:c r="E31" s="111"/>
      <x:c r="F31" s="111"/>
      <x:c r="G31" s="111"/>
      <x:c r="H31" s="111"/>
      <x:c r="I31" s="111"/>
      <x:c r="J31" s="111"/>
      <x:c r="K31" s="104"/>
      <x:c r="L31" s="104"/>
    </x:row>
    <x:row r="32" spans="1:12" x14ac:dyDescent="0.25">
      <x:c r="C32" s="111"/>
      <x:c r="D32" s="111"/>
      <x:c r="E32" s="111"/>
      <x:c r="F32" s="111"/>
      <x:c r="G32" s="111"/>
      <x:c r="H32" s="111"/>
      <x:c r="I32" s="111"/>
      <x:c r="J32" s="111"/>
      <x:c r="K32" s="104"/>
      <x:c r="L32" s="104"/>
    </x:row>
    <x:row r="33" spans="3:12" x14ac:dyDescent="0.25">
      <x:c r="C33" s="111"/>
      <x:c r="D33" s="111"/>
      <x:c r="E33" s="111"/>
      <x:c r="F33" s="111"/>
      <x:c r="G33" s="111"/>
      <x:c r="H33" s="111"/>
      <x:c r="I33" s="111"/>
      <x:c r="J33" s="111"/>
      <x:c r="K33" s="104"/>
      <x:c r="L33" s="104"/>
    </x:row>
    <x:row r="34" spans="3:12" x14ac:dyDescent="0.25">
      <x:c r="F34" s="104"/>
      <x:c r="G34" s="104"/>
      <x:c r="H34" s="104"/>
      <x:c r="I34" s="104"/>
      <x:c r="J34" s="104"/>
      <x:c r="K34" s="104"/>
      <x:c r="L34" s="104"/>
    </x:row>
    <x:row r="35" spans="3:12" x14ac:dyDescent="0.25">
      <x:c r="F35" s="104"/>
      <x:c r="G35" s="104"/>
      <x:c r="H35" s="104"/>
      <x:c r="I35" s="104"/>
      <x:c r="J35" s="104"/>
      <x:c r="K35" s="104"/>
      <x:c r="L35" s="104"/>
    </x:row>
    <x:row r="36" spans="3:12" x14ac:dyDescent="0.25">
      <x:c r="F36" s="104"/>
      <x:c r="G36" s="104"/>
      <x:c r="H36" s="104"/>
      <x:c r="I36" s="104"/>
      <x:c r="J36" s="104"/>
      <x:c r="K36" s="104"/>
      <x:c r="L36" s="104"/>
    </x:row>
    <x:row r="37" spans="3:12" x14ac:dyDescent="0.25">
      <x:c r="F37" s="104"/>
      <x:c r="G37" s="104"/>
      <x:c r="H37" s="104"/>
      <x:c r="I37" s="104"/>
      <x:c r="J37" s="104"/>
      <x:c r="K37" s="104"/>
      <x:c r="L37" s="104"/>
    </x:row>
    <x:row r="38" spans="3:12" x14ac:dyDescent="0.25">
      <x:c r="F38" s="104"/>
      <x:c r="G38" s="104"/>
      <x:c r="H38" s="104"/>
      <x:c r="I38" s="104"/>
      <x:c r="J38" s="104"/>
      <x:c r="K38" s="104"/>
      <x:c r="L38" s="104"/>
    </x:row>
    <x:row r="39" spans="3:12" x14ac:dyDescent="0.25">
      <x:c r="F39" s="104"/>
      <x:c r="G39" s="104"/>
      <x:c r="H39" s="104"/>
      <x:c r="I39" s="104"/>
      <x:c r="J39" s="104"/>
      <x:c r="K39" s="104"/>
      <x:c r="L39" s="104"/>
    </x:row>
    <x:row r="40" spans="3:12" x14ac:dyDescent="0.25">
      <x:c r="F40" s="104"/>
      <x:c r="G40" s="104"/>
      <x:c r="H40" s="104"/>
      <x:c r="I40" s="104"/>
      <x:c r="J40" s="104"/>
      <x:c r="K40" s="104"/>
      <x:c r="L40" s="104"/>
    </x:row>
    <x:row r="41" spans="3:12" x14ac:dyDescent="0.25">
      <x:c r="F41" s="104"/>
      <x:c r="G41" s="104"/>
      <x:c r="H41" s="104"/>
      <x:c r="I41" s="104"/>
      <x:c r="J41" s="104"/>
      <x:c r="K41" s="104"/>
      <x:c r="L41" s="104"/>
    </x:row>
    <x:row r="42" spans="3:12" x14ac:dyDescent="0.25">
      <x:c r="F42" s="104"/>
      <x:c r="G42" s="104"/>
      <x:c r="H42" s="104"/>
      <x:c r="I42" s="104"/>
      <x:c r="J42" s="104"/>
      <x:c r="K42" s="104"/>
      <x:c r="L42" s="104"/>
    </x:row>
    <x:row r="43" spans="3:12" x14ac:dyDescent="0.25">
      <x:c r="F43" s="104"/>
      <x:c r="G43" s="104"/>
      <x:c r="H43" s="104"/>
      <x:c r="I43" s="104"/>
      <x:c r="J43" s="104"/>
      <x:c r="K43" s="104"/>
      <x:c r="L43" s="104"/>
    </x:row>
    <x:row r="44" spans="3:12" x14ac:dyDescent="0.25">
      <x:c r="F44" s="104"/>
      <x:c r="G44" s="104"/>
      <x:c r="H44" s="104"/>
      <x:c r="I44" s="104"/>
      <x:c r="J44" s="104"/>
      <x:c r="K44" s="104"/>
      <x:c r="L44" s="104"/>
    </x:row>
    <x:row r="45" spans="3:12" x14ac:dyDescent="0.25">
      <x:c r="F45" s="104"/>
      <x:c r="G45" s="104"/>
      <x:c r="H45" s="104"/>
      <x:c r="I45" s="104"/>
      <x:c r="J45" s="104"/>
      <x:c r="K45" s="104"/>
      <x:c r="L45" s="104"/>
    </x:row>
    <x:row r="46" spans="3:12" x14ac:dyDescent="0.25">
      <x:c r="F46" s="104"/>
      <x:c r="G46" s="104"/>
      <x:c r="H46" s="104"/>
      <x:c r="I46" s="104"/>
      <x:c r="J46" s="104"/>
      <x:c r="K46" s="104"/>
      <x:c r="L46" s="104"/>
    </x:row>
    <x:row r="47" spans="3:12" x14ac:dyDescent="0.25">
      <x:c r="F47" s="104"/>
      <x:c r="G47" s="104"/>
      <x:c r="H47" s="104"/>
      <x:c r="I47" s="104"/>
      <x:c r="J47" s="104"/>
      <x:c r="K47" s="104"/>
      <x:c r="L47" s="104"/>
    </x:row>
    <x:row r="48" spans="3:12" x14ac:dyDescent="0.25">
      <x:c r="F48" s="104"/>
      <x:c r="G48" s="104"/>
      <x:c r="H48" s="104"/>
      <x:c r="I48" s="104"/>
      <x:c r="J48" s="104"/>
      <x:c r="K48" s="104"/>
      <x:c r="L48" s="104"/>
    </x:row>
    <x:row r="49" spans="6:12" x14ac:dyDescent="0.25">
      <x:c r="F49" s="104"/>
      <x:c r="G49" s="104"/>
      <x:c r="H49" s="104"/>
      <x:c r="I49" s="104"/>
      <x:c r="J49" s="104"/>
      <x:c r="K49" s="104"/>
      <x:c r="L49" s="104"/>
    </x:row>
    <x:row r="50" spans="6:12" x14ac:dyDescent="0.25">
      <x:c r="F50" s="104"/>
      <x:c r="G50" s="104"/>
      <x:c r="H50" s="104"/>
      <x:c r="I50" s="104"/>
      <x:c r="J50" s="104"/>
      <x:c r="K50" s="104"/>
      <x:c r="L50" s="104"/>
    </x:row>
    <x:row r="51" spans="6:12" x14ac:dyDescent="0.25">
      <x:c r="F51" s="104"/>
      <x:c r="G51" s="104"/>
      <x:c r="H51" s="104"/>
      <x:c r="I51" s="104"/>
      <x:c r="J51" s="104"/>
      <x:c r="K51" s="104"/>
      <x:c r="L51" s="104"/>
    </x:row>
    <x:row r="52" spans="6:12" x14ac:dyDescent="0.25">
      <x:c r="F52" s="104"/>
      <x:c r="G52" s="104"/>
      <x:c r="H52" s="104"/>
      <x:c r="I52" s="104"/>
      <x:c r="J52" s="104"/>
      <x:c r="K52" s="104"/>
      <x:c r="L52" s="104"/>
    </x:row>
    <x:row r="53" spans="6:12" x14ac:dyDescent="0.25">
      <x:c r="F53" s="104"/>
      <x:c r="G53" s="104"/>
      <x:c r="H53" s="104"/>
      <x:c r="I53" s="104"/>
      <x:c r="J53" s="104"/>
      <x:c r="K53" s="104"/>
      <x:c r="L53" s="104"/>
    </x:row>
    <x:row r="54" spans="6:12" x14ac:dyDescent="0.25">
      <x:c r="F54" s="104"/>
      <x:c r="G54" s="104"/>
      <x:c r="H54" s="104"/>
      <x:c r="I54" s="104"/>
      <x:c r="J54" s="104"/>
      <x:c r="K54" s="104"/>
      <x:c r="L54" s="104"/>
    </x:row>
    <x:row r="55" spans="6:12" x14ac:dyDescent="0.25">
      <x:c r="F55" s="104"/>
      <x:c r="G55" s="104"/>
      <x:c r="H55" s="104"/>
      <x:c r="I55" s="104"/>
      <x:c r="J55" s="104"/>
      <x:c r="K55" s="104"/>
      <x:c r="L55" s="104"/>
    </x:row>
    <x:row r="56" spans="6:12" x14ac:dyDescent="0.25">
      <x:c r="F56" s="104"/>
      <x:c r="G56" s="104"/>
      <x:c r="H56" s="104"/>
      <x:c r="I56" s="104"/>
      <x:c r="J56" s="104"/>
      <x:c r="K56" s="104"/>
      <x:c r="L56" s="104"/>
    </x:row>
    <x:row r="57" spans="6:12" x14ac:dyDescent="0.25">
      <x:c r="F57" s="104"/>
      <x:c r="G57" s="104"/>
      <x:c r="H57" s="104"/>
      <x:c r="I57" s="104"/>
      <x:c r="J57" s="104"/>
      <x:c r="K57" s="104"/>
      <x:c r="L57" s="104"/>
    </x:row>
    <x:row r="58" spans="6:12" x14ac:dyDescent="0.25">
      <x:c r="F58" s="104"/>
      <x:c r="G58" s="104"/>
      <x:c r="H58" s="104"/>
      <x:c r="I58" s="104"/>
      <x:c r="J58" s="104"/>
      <x:c r="K58" s="104"/>
      <x:c r="L58" s="104"/>
    </x:row>
    <x:row r="59" spans="6:12" x14ac:dyDescent="0.25">
      <x:c r="F59" s="104"/>
      <x:c r="G59" s="104"/>
      <x:c r="H59" s="104"/>
      <x:c r="I59" s="104"/>
      <x:c r="J59" s="104"/>
      <x:c r="K59" s="104"/>
      <x:c r="L59" s="104"/>
    </x:row>
    <x:row r="60" spans="6:12" x14ac:dyDescent="0.25">
      <x:c r="F60" s="104"/>
      <x:c r="G60" s="104"/>
      <x:c r="H60" s="104"/>
      <x:c r="I60" s="104"/>
      <x:c r="J60" s="104"/>
      <x:c r="K60" s="104"/>
      <x:c r="L60" s="104"/>
    </x:row>
    <x:row r="61" spans="6:12" x14ac:dyDescent="0.25">
      <x:c r="F61" s="104"/>
      <x:c r="G61" s="104"/>
      <x:c r="H61" s="104"/>
      <x:c r="I61" s="104"/>
      <x:c r="J61" s="104"/>
      <x:c r="K61" s="104"/>
      <x:c r="L61" s="104"/>
    </x:row>
    <x:row r="62" spans="6:12" x14ac:dyDescent="0.25">
      <x:c r="F62" s="104"/>
      <x:c r="G62" s="104"/>
      <x:c r="H62" s="104"/>
      <x:c r="I62" s="104"/>
      <x:c r="J62" s="104"/>
      <x:c r="K62" s="104"/>
      <x:c r="L62" s="104"/>
    </x:row>
    <x:row r="63" spans="6:12" x14ac:dyDescent="0.25">
      <x:c r="F63" s="104"/>
      <x:c r="G63" s="104"/>
      <x:c r="H63" s="104"/>
      <x:c r="I63" s="104"/>
      <x:c r="J63" s="104"/>
      <x:c r="K63" s="104"/>
      <x:c r="L63" s="104"/>
    </x:row>
    <x:row r="64" spans="6:12" x14ac:dyDescent="0.25">
      <x:c r="F64" s="104"/>
      <x:c r="G64" s="104"/>
      <x:c r="H64" s="104"/>
      <x:c r="I64" s="104"/>
      <x:c r="J64" s="104"/>
      <x:c r="K64" s="104"/>
      <x:c r="L64" s="104"/>
    </x:row>
    <x:row r="65" spans="6:12" x14ac:dyDescent="0.25">
      <x:c r="F65" s="104"/>
      <x:c r="G65" s="104"/>
      <x:c r="H65" s="104"/>
      <x:c r="I65" s="104"/>
      <x:c r="J65" s="104"/>
      <x:c r="K65" s="104"/>
      <x:c r="L65" s="104"/>
    </x:row>
    <x:row r="66" spans="6:12" x14ac:dyDescent="0.25">
      <x:c r="F66" s="104"/>
      <x:c r="G66" s="104"/>
      <x:c r="H66" s="104"/>
      <x:c r="I66" s="104"/>
      <x:c r="J66" s="104"/>
      <x:c r="K66" s="104"/>
      <x:c r="L66" s="104"/>
    </x:row>
    <x:row r="67" spans="6:12" x14ac:dyDescent="0.25">
      <x:c r="F67" s="104"/>
      <x:c r="G67" s="104"/>
      <x:c r="H67" s="104"/>
      <x:c r="I67" s="104"/>
      <x:c r="J67" s="104"/>
      <x:c r="K67" s="104"/>
      <x:c r="L67" s="104"/>
    </x:row>
    <x:row r="68" spans="6:12" x14ac:dyDescent="0.25">
      <x:c r="F68" s="104"/>
      <x:c r="G68" s="104"/>
      <x:c r="H68" s="104"/>
      <x:c r="I68" s="104"/>
      <x:c r="J68" s="104"/>
      <x:c r="K68" s="104"/>
      <x:c r="L68" s="104"/>
    </x:row>
    <x:row r="69" spans="6:12" x14ac:dyDescent="0.25">
      <x:c r="F69" s="104"/>
      <x:c r="G69" s="104"/>
      <x:c r="H69" s="104"/>
      <x:c r="I69" s="104"/>
      <x:c r="J69" s="104"/>
      <x:c r="K69" s="104"/>
      <x:c r="L69" s="104"/>
    </x:row>
    <x:row r="70" spans="6:12" x14ac:dyDescent="0.25">
      <x:c r="F70" s="104"/>
      <x:c r="G70" s="104"/>
      <x:c r="H70" s="104"/>
      <x:c r="I70" s="104"/>
      <x:c r="J70" s="104"/>
      <x:c r="K70" s="104"/>
      <x:c r="L70" s="104"/>
    </x:row>
    <x:row r="71" spans="6:12" x14ac:dyDescent="0.25">
      <x:c r="F71" s="104"/>
      <x:c r="G71" s="104"/>
      <x:c r="H71" s="104"/>
      <x:c r="I71" s="104"/>
      <x:c r="J71" s="104"/>
      <x:c r="K71" s="104"/>
      <x:c r="L71" s="104"/>
    </x:row>
    <x:row r="72" spans="6:12" x14ac:dyDescent="0.25">
      <x:c r="F72" s="104"/>
      <x:c r="G72" s="104"/>
      <x:c r="H72" s="104"/>
      <x:c r="I72" s="104"/>
      <x:c r="J72" s="104"/>
      <x:c r="K72" s="104"/>
      <x:c r="L72" s="104"/>
    </x:row>
    <x:row r="73" spans="6:12" x14ac:dyDescent="0.25">
      <x:c r="F73" s="104"/>
      <x:c r="G73" s="104"/>
      <x:c r="H73" s="104"/>
      <x:c r="I73" s="104"/>
      <x:c r="J73" s="104"/>
      <x:c r="K73" s="104"/>
      <x:c r="L73" s="104"/>
    </x:row>
    <x:row r="74" spans="6:12" x14ac:dyDescent="0.25">
      <x:c r="F74" s="104"/>
      <x:c r="G74" s="104"/>
      <x:c r="H74" s="104"/>
      <x:c r="I74" s="104"/>
      <x:c r="J74" s="104"/>
      <x:c r="K74" s="104"/>
      <x:c r="L74" s="104"/>
    </x:row>
    <x:row r="75" spans="6:12" x14ac:dyDescent="0.25">
      <x:c r="F75" s="104"/>
      <x:c r="G75" s="104"/>
      <x:c r="H75" s="104"/>
      <x:c r="I75" s="104"/>
      <x:c r="J75" s="104"/>
      <x:c r="K75" s="104"/>
      <x:c r="L75" s="104"/>
    </x:row>
    <x:row r="76" spans="6:12" x14ac:dyDescent="0.25">
      <x:c r="F76" s="104"/>
      <x:c r="G76" s="104"/>
      <x:c r="H76" s="104"/>
      <x:c r="I76" s="104"/>
      <x:c r="J76" s="104"/>
      <x:c r="K76" s="104"/>
      <x:c r="L76" s="104"/>
    </x:row>
    <x:row r="77" spans="6:12" x14ac:dyDescent="0.25">
      <x:c r="F77" s="104"/>
      <x:c r="G77" s="104"/>
      <x:c r="H77" s="104"/>
      <x:c r="I77" s="104"/>
      <x:c r="J77" s="104"/>
      <x:c r="K77" s="104"/>
      <x:c r="L77" s="104"/>
    </x:row>
    <x:row r="78" spans="6:12" x14ac:dyDescent="0.25">
      <x:c r="F78" s="104"/>
      <x:c r="G78" s="104"/>
      <x:c r="H78" s="104"/>
      <x:c r="I78" s="104"/>
      <x:c r="J78" s="104"/>
      <x:c r="K78" s="104"/>
      <x:c r="L78" s="104"/>
    </x:row>
    <x:row r="79" spans="6:12" x14ac:dyDescent="0.25">
      <x:c r="F79" s="104"/>
      <x:c r="G79" s="104"/>
      <x:c r="H79" s="104"/>
      <x:c r="I79" s="104"/>
      <x:c r="J79" s="104"/>
      <x:c r="K79" s="104"/>
      <x:c r="L79" s="104"/>
    </x:row>
  </x:sheetData>
  <x:mergeCells count="6">
    <x:mergeCell ref="C7:D7"/>
    <x:mergeCell ref="F7:G7"/>
    <x:mergeCell ref="I7:J7"/>
    <x:mergeCell ref="C8:D8"/>
    <x:mergeCell ref="F8:G8"/>
    <x:mergeCell ref="I8:J8"/>
  </x:mergeCells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5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700-000000000000}" mc:Ignorable="x14ac xr xr2 xr3">
  <x:sheetPr codeName="Sheet39">
    <x:tabColor rgb="FF92D050"/>
    <x:pageSetUpPr fitToPage="1"/>
  </x:sheetPr>
  <x:dimension ref="A1:K240"/>
  <x:sheetViews>
    <x:sheetView topLeftCell="A13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00"/>
    <x:col min="2" max="2" width="18" style="100" customWidth="1"/>
    <x:col min="3" max="3" width="12.5546875" style="100" customWidth="1"/>
    <x:col min="4" max="4" width="14" style="100" customWidth="1"/>
    <x:col min="5" max="5" width="5" style="100" customWidth="1"/>
    <x:col min="6" max="6" width="11.109375" style="100" bestFit="1" customWidth="1"/>
    <x:col min="7" max="7" width="8.88671875" style="100" bestFit="1" customWidth="1"/>
    <x:col min="8" max="8" width="4.5546875" style="100" customWidth="1"/>
    <x:col min="9" max="9" width="11.109375" style="100" bestFit="1" customWidth="1"/>
    <x:col min="10" max="10" width="8.88671875" style="100" bestFit="1" customWidth="1"/>
    <x:col min="11" max="11" width="9.5546875" style="100" bestFit="1" customWidth="1"/>
    <x:col min="12" max="16384" width="9.109375" style="100"/>
  </x:cols>
  <x:sheetData>
    <x:row r="1" spans="1:11" s="41" customFormat="1" x14ac:dyDescent="0.25">
      <x:c r="A1" s="180" t="s">
        <x:v>523</x:v>
      </x:c>
      <x:c r="C1" s="180"/>
      <x:c r="D1" s="180"/>
      <x:c r="E1" s="180"/>
      <x:c r="F1" s="180"/>
    </x:row>
    <x:row r="2" spans="1:11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11" s="41" customFormat="1" x14ac:dyDescent="0.25">
      <x:c r="A3" s="180" t="s">
        <x:v>166</x:v>
      </x:c>
      <x:c r="C3" s="180"/>
      <x:c r="D3" s="180"/>
      <x:c r="E3" s="180"/>
      <x:c r="F3" s="180"/>
    </x:row>
    <x:row r="4" spans="1:11" s="41" customFormat="1" x14ac:dyDescent="0.25">
      <x:c r="A4" s="767" t="s">
        <x:v>522</x:v>
      </x:c>
      <x:c r="C4" s="180"/>
      <x:c r="D4" s="180"/>
      <x:c r="E4" s="180"/>
      <x:c r="F4" s="180"/>
    </x:row>
    <x:row r="5" spans="1:11" s="41" customFormat="1" x14ac:dyDescent="0.25">
      <x:c r="A5" s="180" t="s">
        <x:v>486</x:v>
      </x:c>
      <x:c r="C5" s="180"/>
      <x:c r="D5" s="180"/>
      <x:c r="E5" s="180"/>
      <x:c r="F5" s="180"/>
      <x:c r="H5" s="41" t="s">
        <x:v>464</x:v>
      </x:c>
    </x:row>
    <x:row r="7" spans="1:11" ht="25.5" customHeight="1" x14ac:dyDescent="0.25">
      <x:c r="A7" s="201" t="s">
        <x:v>197</x:v>
      </x:c>
      <x:c r="B7" s="104"/>
      <x:c r="C7" s="835" t="s">
        <x:v>118</x:v>
      </x:c>
      <x:c r="D7" s="835"/>
      <x:c r="E7" s="106"/>
      <x:c r="F7" s="835" t="s">
        <x:v>119</x:v>
      </x:c>
      <x:c r="G7" s="835"/>
      <x:c r="H7" s="106"/>
      <x:c r="I7" s="835" t="s">
        <x:v>120</x:v>
      </x:c>
      <x:c r="J7" s="835"/>
      <x:c r="K7" s="104"/>
    </x:row>
    <x:row r="8" spans="1:11" x14ac:dyDescent="0.25">
      <x:c r="A8" s="202" t="s">
        <x:v>198</x:v>
      </x:c>
      <x:c r="B8" s="203" t="s">
        <x:v>79</x:v>
      </x:c>
      <x:c r="C8" s="837">
        <x:v>1350300</x:v>
      </x:c>
      <x:c r="D8" s="837"/>
      <x:c r="E8" s="203"/>
      <x:c r="F8" s="836">
        <x:v>1350700</x:v>
      </x:c>
      <x:c r="G8" s="836"/>
      <x:c r="H8" s="203"/>
      <x:c r="I8" s="836">
        <x:v>1354000</x:v>
      </x:c>
      <x:c r="J8" s="836"/>
      <x:c r="K8" s="108"/>
    </x:row>
    <x:row r="9" spans="1:11" x14ac:dyDescent="0.25">
      <x:c r="A9" s="147"/>
      <x:c r="B9" s="40" t="s">
        <x:v>50</x:v>
      </x:c>
      <x:c r="C9" s="40" t="s">
        <x:v>51</x:v>
      </x:c>
      <x:c r="D9" s="40" t="s">
        <x:v>57</x:v>
      </x:c>
      <x:c r="E9" s="40"/>
      <x:c r="F9" s="40" t="s">
        <x:v>52</x:v>
      </x:c>
      <x:c r="G9" s="40" t="s">
        <x:v>53</x:v>
      </x:c>
      <x:c r="H9" s="40"/>
      <x:c r="I9" s="40" t="s">
        <x:v>54</x:v>
      </x:c>
      <x:c r="J9" s="40" t="s">
        <x:v>55</x:v>
      </x:c>
      <x:c r="K9" s="108"/>
    </x:row>
    <x:row r="10" spans="1:11" x14ac:dyDescent="0.25">
      <x:c r="A10" s="147"/>
      <x:c r="B10" s="40"/>
      <x:c r="C10" s="40"/>
      <x:c r="D10" s="40"/>
      <x:c r="E10" s="40"/>
      <x:c r="F10" s="40"/>
      <x:c r="G10" s="40"/>
      <x:c r="H10" s="40"/>
      <x:c r="I10" s="40"/>
      <x:c r="J10" s="40"/>
      <x:c r="K10" s="108"/>
    </x:row>
    <x:row r="11" spans="1:11" x14ac:dyDescent="0.25">
      <x:c r="A11" s="149">
        <x:v>1</x:v>
      </x:c>
      <x:c r="B11" s="109" t="s">
        <x:v>121</x:v>
      </x:c>
      <x:c r="C11" s="405"/>
      <x:c r="D11" s="405">
        <x:v>0</x:v>
      </x:c>
      <x:c r="E11" s="405"/>
      <x:c r="F11" s="405"/>
      <x:c r="G11" s="405">
        <x:v>0</x:v>
      </x:c>
      <x:c r="H11" s="405"/>
      <x:c r="I11" s="405"/>
      <x:c r="J11" s="405">
        <x:v>0</x:v>
      </x:c>
      <x:c r="K11" s="110"/>
    </x:row>
    <x:row r="12" spans="1:11" x14ac:dyDescent="0.25">
      <x:c r="A12" s="205">
        <x:f t="shared" ref="A12:A30" si="0">A11+1</x:f>
        <x:v>2</x:v>
      </x:c>
      <x:c r="B12" s="111" t="s">
        <x:v>122</x:v>
      </x:c>
      <x:c r="C12" s="406" t="s">
        <x:v>123</x:v>
      </x:c>
      <x:c r="D12" s="406"/>
      <x:c r="E12" s="406"/>
      <x:c r="F12" s="406" t="s">
        <x:v>123</x:v>
      </x:c>
      <x:c r="G12" s="406"/>
      <x:c r="H12" s="406"/>
      <x:c r="I12" s="406" t="s">
        <x:v>123</x:v>
      </x:c>
      <x:c r="J12" s="406"/>
      <x:c r="K12" s="110"/>
    </x:row>
    <x:row r="13" spans="1:11" x14ac:dyDescent="0.25">
      <x:c r="A13" s="205">
        <x:f t="shared" si="0"/>
        <x:v>3</x:v>
      </x:c>
      <x:c r="B13" s="658">
        <x:v>45292</x:v>
      </x:c>
      <x:c r="C13" s="407">
        <x:v>0</x:v>
      </x:c>
      <x:c r="D13" s="407">
        <x:f>D11+C13</x:f>
        <x:v>0</x:v>
      </x:c>
      <x:c r="E13" s="407"/>
      <x:c r="F13" s="407">
        <x:v>0</x:v>
      </x:c>
      <x:c r="G13" s="407">
        <x:f>G11+F13</x:f>
        <x:v>0</x:v>
      </x:c>
      <x:c r="H13" s="407"/>
      <x:c r="I13" s="407">
        <x:v>0</x:v>
      </x:c>
      <x:c r="J13" s="407">
        <x:v>0</x:v>
      </x:c>
      <x:c r="K13" s="113"/>
    </x:row>
    <x:row r="14" spans="1:11" x14ac:dyDescent="0.25">
      <x:c r="A14" s="205">
        <x:f t="shared" si="0"/>
        <x:v>4</x:v>
      </x:c>
      <x:c r="B14" s="658">
        <x:v>45323</x:v>
      </x:c>
      <x:c r="C14" s="407">
        <x:v>0</x:v>
      </x:c>
      <x:c r="D14" s="407">
        <x:f t="shared" ref="D14:D24" si="1">D13+C14</x:f>
        <x:v>0</x:v>
      </x:c>
      <x:c r="E14" s="407"/>
      <x:c r="F14" s="407">
        <x:v>0</x:v>
      </x:c>
      <x:c r="G14" s="407">
        <x:f t="shared" ref="G14:G24" si="2">G13+F14</x:f>
        <x:v>0</x:v>
      </x:c>
      <x:c r="H14" s="407"/>
      <x:c r="I14" s="407">
        <x:v>0</x:v>
      </x:c>
      <x:c r="J14" s="407">
        <x:f t="shared" ref="J14:J24" si="3">J13+I14</x:f>
        <x:v>0</x:v>
      </x:c>
      <x:c r="K14" s="113"/>
    </x:row>
    <x:row r="15" spans="1:11" x14ac:dyDescent="0.25">
      <x:c r="A15" s="205">
        <x:f t="shared" si="0"/>
        <x:v>5</x:v>
      </x:c>
      <x:c r="B15" s="658">
        <x:v>45352</x:v>
      </x:c>
      <x:c r="C15" s="407">
        <x:v>0</x:v>
      </x:c>
      <x:c r="D15" s="407">
        <x:f t="shared" si="1"/>
        <x:v>0</x:v>
      </x:c>
      <x:c r="E15" s="407"/>
      <x:c r="F15" s="407">
        <x:v>0</x:v>
      </x:c>
      <x:c r="G15" s="407">
        <x:f t="shared" si="2"/>
        <x:v>0</x:v>
      </x:c>
      <x:c r="H15" s="407"/>
      <x:c r="I15" s="407">
        <x:v>0</x:v>
      </x:c>
      <x:c r="J15" s="407">
        <x:f t="shared" si="3"/>
        <x:v>0</x:v>
      </x:c>
      <x:c r="K15" s="113"/>
    </x:row>
    <x:row r="16" spans="1:11" x14ac:dyDescent="0.25">
      <x:c r="A16" s="205">
        <x:f t="shared" si="0"/>
        <x:v>6</x:v>
      </x:c>
      <x:c r="B16" s="658">
        <x:v>45383</x:v>
      </x:c>
      <x:c r="C16" s="407">
        <x:v>0</x:v>
      </x:c>
      <x:c r="D16" s="407">
        <x:f t="shared" si="1"/>
        <x:v>0</x:v>
      </x:c>
      <x:c r="E16" s="407"/>
      <x:c r="F16" s="407">
        <x:v>0</x:v>
      </x:c>
      <x:c r="G16" s="407">
        <x:f t="shared" si="2"/>
        <x:v>0</x:v>
      </x:c>
      <x:c r="H16" s="407"/>
      <x:c r="I16" s="407">
        <x:v>0</x:v>
      </x:c>
      <x:c r="J16" s="407">
        <x:f t="shared" si="3"/>
        <x:v>0</x:v>
      </x:c>
      <x:c r="K16" s="113"/>
    </x:row>
    <x:row r="17" spans="1:11" x14ac:dyDescent="0.25">
      <x:c r="A17" s="205">
        <x:f t="shared" si="0"/>
        <x:v>7</x:v>
      </x:c>
      <x:c r="B17" s="658">
        <x:v>45413</x:v>
      </x:c>
      <x:c r="C17" s="407">
        <x:v>0</x:v>
      </x:c>
      <x:c r="D17" s="407">
        <x:f t="shared" si="1"/>
        <x:v>0</x:v>
      </x:c>
      <x:c r="E17" s="407"/>
      <x:c r="F17" s="407">
        <x:v>0</x:v>
      </x:c>
      <x:c r="G17" s="407">
        <x:f t="shared" si="2"/>
        <x:v>0</x:v>
      </x:c>
      <x:c r="H17" s="407"/>
      <x:c r="I17" s="407">
        <x:v>0</x:v>
      </x:c>
      <x:c r="J17" s="407">
        <x:f t="shared" si="3"/>
        <x:v>0</x:v>
      </x:c>
      <x:c r="K17" s="113"/>
    </x:row>
    <x:row r="18" spans="1:11" x14ac:dyDescent="0.25">
      <x:c r="A18" s="205">
        <x:f t="shared" si="0"/>
        <x:v>8</x:v>
      </x:c>
      <x:c r="B18" s="658">
        <x:v>45444</x:v>
      </x:c>
      <x:c r="C18" s="407">
        <x:v>0</x:v>
      </x:c>
      <x:c r="D18" s="407">
        <x:f t="shared" si="1"/>
        <x:v>0</x:v>
      </x:c>
      <x:c r="E18" s="407"/>
      <x:c r="F18" s="407">
        <x:v>0</x:v>
      </x:c>
      <x:c r="G18" s="407">
        <x:f t="shared" si="2"/>
        <x:v>0</x:v>
      </x:c>
      <x:c r="H18" s="407"/>
      <x:c r="I18" s="407">
        <x:v>0</x:v>
      </x:c>
      <x:c r="J18" s="407">
        <x:f t="shared" si="3"/>
        <x:v>0</x:v>
      </x:c>
      <x:c r="K18" s="113"/>
    </x:row>
    <x:row r="19" spans="1:11" x14ac:dyDescent="0.25">
      <x:c r="A19" s="205">
        <x:f t="shared" si="0"/>
        <x:v>9</x:v>
      </x:c>
      <x:c r="B19" s="658">
        <x:v>45474</x:v>
      </x:c>
      <x:c r="C19" s="407">
        <x:v>0</x:v>
      </x:c>
      <x:c r="D19" s="407">
        <x:f t="shared" si="1"/>
        <x:v>0</x:v>
      </x:c>
      <x:c r="E19" s="407"/>
      <x:c r="F19" s="407">
        <x:v>0</x:v>
      </x:c>
      <x:c r="G19" s="407">
        <x:f t="shared" si="2"/>
        <x:v>0</x:v>
      </x:c>
      <x:c r="H19" s="407"/>
      <x:c r="I19" s="407">
        <x:v>0</x:v>
      </x:c>
      <x:c r="J19" s="407">
        <x:f t="shared" si="3"/>
        <x:v>0</x:v>
      </x:c>
      <x:c r="K19" s="113"/>
    </x:row>
    <x:row r="20" spans="1:11" x14ac:dyDescent="0.25">
      <x:c r="A20" s="205">
        <x:f t="shared" si="0"/>
        <x:v>10</x:v>
      </x:c>
      <x:c r="B20" s="658">
        <x:v>45505</x:v>
      </x:c>
      <x:c r="C20" s="407">
        <x:v>0</x:v>
      </x:c>
      <x:c r="D20" s="407">
        <x:f t="shared" si="1"/>
        <x:v>0</x:v>
      </x:c>
      <x:c r="E20" s="407"/>
      <x:c r="F20" s="407">
        <x:v>0</x:v>
      </x:c>
      <x:c r="G20" s="407">
        <x:f t="shared" si="2"/>
        <x:v>0</x:v>
      </x:c>
      <x:c r="H20" s="407"/>
      <x:c r="I20" s="407">
        <x:v>0</x:v>
      </x:c>
      <x:c r="J20" s="407">
        <x:f t="shared" si="3"/>
        <x:v>0</x:v>
      </x:c>
      <x:c r="K20" s="113"/>
    </x:row>
    <x:row r="21" spans="1:11" x14ac:dyDescent="0.25">
      <x:c r="A21" s="205">
        <x:f t="shared" si="0"/>
        <x:v>11</x:v>
      </x:c>
      <x:c r="B21" s="658">
        <x:v>45536</x:v>
      </x:c>
      <x:c r="C21" s="407">
        <x:v>0</x:v>
      </x:c>
      <x:c r="D21" s="407">
        <x:f t="shared" si="1"/>
        <x:v>0</x:v>
      </x:c>
      <x:c r="E21" s="407"/>
      <x:c r="F21" s="407">
        <x:v>0</x:v>
      </x:c>
      <x:c r="G21" s="407">
        <x:f t="shared" si="2"/>
        <x:v>0</x:v>
      </x:c>
      <x:c r="H21" s="407"/>
      <x:c r="I21" s="407">
        <x:v>0</x:v>
      </x:c>
      <x:c r="J21" s="407">
        <x:f t="shared" si="3"/>
        <x:v>0</x:v>
      </x:c>
      <x:c r="K21" s="113"/>
    </x:row>
    <x:row r="22" spans="1:11" x14ac:dyDescent="0.25">
      <x:c r="A22" s="205">
        <x:f t="shared" si="0"/>
        <x:v>12</x:v>
      </x:c>
      <x:c r="B22" s="658">
        <x:v>45566</x:v>
      </x:c>
      <x:c r="C22" s="407">
        <x:v>0</x:v>
      </x:c>
      <x:c r="D22" s="407">
        <x:f t="shared" si="1"/>
        <x:v>0</x:v>
      </x:c>
      <x:c r="E22" s="407"/>
      <x:c r="F22" s="407">
        <x:v>0</x:v>
      </x:c>
      <x:c r="G22" s="407">
        <x:f t="shared" si="2"/>
        <x:v>0</x:v>
      </x:c>
      <x:c r="H22" s="407"/>
      <x:c r="I22" s="407">
        <x:v>0</x:v>
      </x:c>
      <x:c r="J22" s="407">
        <x:f t="shared" si="3"/>
        <x:v>0</x:v>
      </x:c>
      <x:c r="K22" s="113"/>
    </x:row>
    <x:row r="23" spans="1:11" x14ac:dyDescent="0.25">
      <x:c r="A23" s="205">
        <x:f t="shared" si="0"/>
        <x:v>13</x:v>
      </x:c>
      <x:c r="B23" s="658">
        <x:v>45597</x:v>
      </x:c>
      <x:c r="C23" s="407">
        <x:v>0</x:v>
      </x:c>
      <x:c r="D23" s="407">
        <x:f t="shared" si="1"/>
        <x:v>0</x:v>
      </x:c>
      <x:c r="E23" s="407"/>
      <x:c r="F23" s="407">
        <x:v>0</x:v>
      </x:c>
      <x:c r="G23" s="407">
        <x:f t="shared" si="2"/>
        <x:v>0</x:v>
      </x:c>
      <x:c r="H23" s="407"/>
      <x:c r="I23" s="407">
        <x:v>0</x:v>
      </x:c>
      <x:c r="J23" s="407">
        <x:f t="shared" si="3"/>
        <x:v>0</x:v>
      </x:c>
      <x:c r="K23" s="113"/>
    </x:row>
    <x:row r="24" spans="1:11" x14ac:dyDescent="0.25">
      <x:c r="A24" s="205">
        <x:f t="shared" si="0"/>
        <x:v>14</x:v>
      </x:c>
      <x:c r="B24" s="658">
        <x:v>45627</x:v>
      </x:c>
      <x:c r="C24" s="407">
        <x:v>0</x:v>
      </x:c>
      <x:c r="D24" s="407">
        <x:f t="shared" si="1"/>
        <x:v>0</x:v>
      </x:c>
      <x:c r="E24" s="407"/>
      <x:c r="F24" s="407">
        <x:v>0</x:v>
      </x:c>
      <x:c r="G24" s="407">
        <x:f t="shared" si="2"/>
        <x:v>0</x:v>
      </x:c>
      <x:c r="H24" s="407"/>
      <x:c r="I24" s="407">
        <x:v>0</x:v>
      </x:c>
      <x:c r="J24" s="407">
        <x:f t="shared" si="3"/>
        <x:v>0</x:v>
      </x:c>
      <x:c r="K24" s="113"/>
    </x:row>
    <x:row r="25" spans="1:11" x14ac:dyDescent="0.25">
      <x:c r="A25" s="205">
        <x:f t="shared" si="0"/>
        <x:v>15</x:v>
      </x:c>
      <x:c r="B25" s="104"/>
      <x:c r="C25" s="408"/>
      <x:c r="D25" s="408"/>
      <x:c r="E25" s="408"/>
      <x:c r="F25" s="408"/>
      <x:c r="G25" s="408"/>
      <x:c r="H25" s="408"/>
      <x:c r="I25" s="408"/>
      <x:c r="J25" s="408"/>
      <x:c r="K25" s="104"/>
    </x:row>
    <x:row r="26" spans="1:11" x14ac:dyDescent="0.25">
      <x:c r="A26" s="205">
        <x:f t="shared" si="0"/>
        <x:v>16</x:v>
      </x:c>
      <x:c r="B26" s="104" t="s">
        <x:v>124</x:v>
      </x:c>
      <x:c r="C26" s="347"/>
      <x:c r="D26" s="347">
        <x:f>SUM(D11:D24)</x:f>
        <x:v>0</x:v>
      </x:c>
      <x:c r="E26" s="347"/>
      <x:c r="F26" s="347"/>
      <x:c r="G26" s="347">
        <x:f>SUM(G11:G24)</x:f>
        <x:v>0</x:v>
      </x:c>
      <x:c r="H26" s="347"/>
      <x:c r="I26" s="347"/>
      <x:c r="J26" s="347">
        <x:f>SUM(J11:J24)</x:f>
        <x:v>0</x:v>
      </x:c>
      <x:c r="K26" s="104"/>
    </x:row>
    <x:row r="27" spans="1:11" x14ac:dyDescent="0.25">
      <x:c r="A27" s="205">
        <x:f t="shared" si="0"/>
        <x:v>17</x:v>
      </x:c>
      <x:c r="B27" s="104" t="s">
        <x:v>27</x:v>
      </x:c>
      <x:c r="C27" s="347"/>
      <x:c r="D27" s="347">
        <x:f>+D26/13</x:f>
        <x:v>0</x:v>
      </x:c>
      <x:c r="E27" s="347"/>
      <x:c r="F27" s="347"/>
      <x:c r="G27" s="347">
        <x:f>+G26/13</x:f>
        <x:v>0</x:v>
      </x:c>
      <x:c r="H27" s="347"/>
      <x:c r="I27" s="347"/>
      <x:c r="J27" s="347">
        <x:f>+J26/13</x:f>
        <x:v>0</x:v>
      </x:c>
      <x:c r="K27" s="104"/>
    </x:row>
    <x:row r="28" spans="1:11" x14ac:dyDescent="0.25">
      <x:c r="A28" s="205">
        <x:f t="shared" si="0"/>
        <x:v>18</x:v>
      </x:c>
      <x:c r="B28" s="104"/>
      <x:c r="F28" s="104"/>
      <x:c r="G28" s="104"/>
      <x:c r="H28" s="104"/>
      <x:c r="I28" s="104"/>
      <x:c r="J28" s="104"/>
      <x:c r="K28" s="104"/>
    </x:row>
    <x:row r="29" spans="1:11" ht="13.25" thickBot="1" x14ac:dyDescent="0.3">
      <x:c r="A29" s="205">
        <x:f t="shared" si="0"/>
        <x:v>19</x:v>
      </x:c>
      <x:c r="B29" s="104"/>
      <x:c r="F29" s="104"/>
      <x:c r="G29" s="104"/>
      <x:c r="H29" s="104"/>
      <x:c r="I29" s="104"/>
      <x:c r="J29" s="348">
        <x:f>SUM(D27:J27)</x:f>
        <x:v>0</x:v>
      </x:c>
    </x:row>
    <x:row r="30" spans="1:11" ht="13.25" thickTop="1" x14ac:dyDescent="0.25">
      <x:c r="A30" s="205">
        <x:f t="shared" si="0"/>
        <x:v>20</x:v>
      </x:c>
      <x:c r="B30" t="s">
        <x:v>371</x:v>
      </x:c>
      <x:c r="C30" s="533"/>
      <x:c r="F30" s="104"/>
      <x:c r="G30" s="104"/>
      <x:c r="H30" s="104"/>
      <x:c r="I30" s="104"/>
      <x:c r="J30" s="104"/>
      <x:c r="K30" s="104"/>
    </x:row>
    <x:row r="31" spans="1:11" x14ac:dyDescent="0.25">
      <x:c r="F31" s="104"/>
      <x:c r="G31" s="104"/>
      <x:c r="H31" s="104"/>
      <x:c r="I31" s="104"/>
      <x:c r="J31" s="104"/>
      <x:c r="K31" s="104"/>
    </x:row>
    <x:row r="32" spans="1:11" x14ac:dyDescent="0.25">
      <x:c r="F32" s="104"/>
      <x:c r="G32" s="104"/>
      <x:c r="H32" s="104"/>
      <x:c r="I32" s="104"/>
      <x:c r="J32" s="104"/>
      <x:c r="K32" s="104"/>
    </x:row>
    <x:row r="33" spans="6:11" x14ac:dyDescent="0.25">
      <x:c r="F33" s="104"/>
      <x:c r="G33" s="104"/>
      <x:c r="H33" s="104"/>
      <x:c r="I33" s="104"/>
      <x:c r="J33" s="104"/>
      <x:c r="K33" s="104"/>
    </x:row>
    <x:row r="34" spans="6:11" x14ac:dyDescent="0.25">
      <x:c r="F34" s="104"/>
      <x:c r="G34" s="104"/>
      <x:c r="H34" s="104"/>
      <x:c r="I34" s="104"/>
      <x:c r="J34" s="104"/>
      <x:c r="K34" s="104"/>
    </x:row>
    <x:row r="35" spans="6:11" x14ac:dyDescent="0.25">
      <x:c r="F35" s="104"/>
      <x:c r="G35" s="104"/>
      <x:c r="H35" s="104"/>
      <x:c r="I35" s="104"/>
      <x:c r="J35" s="104"/>
      <x:c r="K35" s="104"/>
    </x:row>
    <x:row r="36" spans="6:11" x14ac:dyDescent="0.25">
      <x:c r="F36" s="104"/>
      <x:c r="G36" s="104"/>
      <x:c r="H36" s="104"/>
      <x:c r="I36" s="104"/>
      <x:c r="J36" s="104"/>
      <x:c r="K36" s="104"/>
    </x:row>
    <x:row r="37" spans="6:11" x14ac:dyDescent="0.25">
      <x:c r="F37" s="104"/>
      <x:c r="G37" s="104"/>
      <x:c r="H37" s="104"/>
      <x:c r="I37" s="104"/>
      <x:c r="J37" s="104"/>
      <x:c r="K37" s="104"/>
    </x:row>
    <x:row r="38" spans="6:11" x14ac:dyDescent="0.25">
      <x:c r="F38" s="104"/>
      <x:c r="G38" s="104"/>
      <x:c r="H38" s="104"/>
      <x:c r="I38" s="104"/>
      <x:c r="J38" s="104"/>
      <x:c r="K38" s="104"/>
    </x:row>
    <x:row r="39" spans="6:11" x14ac:dyDescent="0.25">
      <x:c r="F39" s="104"/>
      <x:c r="G39" s="104"/>
      <x:c r="H39" s="104"/>
      <x:c r="I39" s="104"/>
      <x:c r="J39" s="104"/>
      <x:c r="K39" s="104"/>
    </x:row>
    <x:row r="40" spans="6:11" x14ac:dyDescent="0.25">
      <x:c r="F40" s="104"/>
      <x:c r="G40" s="104"/>
      <x:c r="H40" s="104"/>
      <x:c r="I40" s="104"/>
      <x:c r="J40" s="104"/>
      <x:c r="K40" s="104"/>
    </x:row>
    <x:row r="41" spans="6:11" x14ac:dyDescent="0.25">
      <x:c r="F41" s="104"/>
      <x:c r="G41" s="104"/>
      <x:c r="H41" s="104"/>
      <x:c r="I41" s="104"/>
      <x:c r="J41" s="104"/>
      <x:c r="K41" s="104"/>
    </x:row>
    <x:row r="42" spans="6:11" x14ac:dyDescent="0.25">
      <x:c r="F42" s="104"/>
      <x:c r="G42" s="104"/>
      <x:c r="H42" s="104"/>
      <x:c r="I42" s="104"/>
      <x:c r="J42" s="104"/>
      <x:c r="K42" s="104"/>
    </x:row>
    <x:row r="43" spans="6:11" x14ac:dyDescent="0.25">
      <x:c r="F43" s="104"/>
      <x:c r="G43" s="104"/>
      <x:c r="H43" s="104"/>
      <x:c r="I43" s="104"/>
      <x:c r="J43" s="104"/>
      <x:c r="K43" s="104"/>
    </x:row>
    <x:row r="44" spans="6:11" x14ac:dyDescent="0.25">
      <x:c r="F44" s="104"/>
      <x:c r="G44" s="104"/>
      <x:c r="H44" s="104"/>
      <x:c r="I44" s="104"/>
      <x:c r="J44" s="104"/>
      <x:c r="K44" s="104"/>
    </x:row>
    <x:row r="45" spans="6:11" x14ac:dyDescent="0.25">
      <x:c r="F45" s="104"/>
      <x:c r="G45" s="104"/>
      <x:c r="H45" s="104"/>
      <x:c r="I45" s="104"/>
      <x:c r="J45" s="104"/>
      <x:c r="K45" s="104"/>
    </x:row>
    <x:row r="46" spans="6:11" x14ac:dyDescent="0.25">
      <x:c r="F46" s="104"/>
      <x:c r="G46" s="104"/>
      <x:c r="H46" s="104"/>
      <x:c r="I46" s="104"/>
      <x:c r="J46" s="104"/>
      <x:c r="K46" s="104"/>
    </x:row>
    <x:row r="47" spans="6:11" x14ac:dyDescent="0.25">
      <x:c r="F47" s="104"/>
      <x:c r="G47" s="104"/>
      <x:c r="H47" s="104"/>
      <x:c r="I47" s="104"/>
      <x:c r="J47" s="104"/>
      <x:c r="K47" s="104"/>
    </x:row>
    <x:row r="48" spans="6:11" x14ac:dyDescent="0.25">
      <x:c r="F48" s="104"/>
      <x:c r="G48" s="104"/>
      <x:c r="H48" s="104"/>
      <x:c r="I48" s="104"/>
      <x:c r="J48" s="104"/>
      <x:c r="K48" s="104"/>
    </x:row>
    <x:row r="49" spans="6:11" x14ac:dyDescent="0.25">
      <x:c r="F49" s="104"/>
      <x:c r="G49" s="104"/>
      <x:c r="H49" s="104"/>
      <x:c r="I49" s="104"/>
      <x:c r="J49" s="104"/>
      <x:c r="K49" s="104"/>
    </x:row>
    <x:row r="50" spans="6:11" x14ac:dyDescent="0.25">
      <x:c r="F50" s="104"/>
      <x:c r="G50" s="104"/>
      <x:c r="H50" s="104"/>
      <x:c r="I50" s="104"/>
      <x:c r="J50" s="104"/>
      <x:c r="K50" s="104"/>
    </x:row>
    <x:row r="51" spans="6:11" x14ac:dyDescent="0.25">
      <x:c r="F51" s="104"/>
      <x:c r="G51" s="104"/>
      <x:c r="H51" s="104"/>
      <x:c r="I51" s="104"/>
      <x:c r="J51" s="104"/>
      <x:c r="K51" s="104"/>
    </x:row>
    <x:row r="52" spans="6:11" x14ac:dyDescent="0.25">
      <x:c r="F52" s="104"/>
      <x:c r="G52" s="104"/>
      <x:c r="H52" s="104"/>
      <x:c r="I52" s="104"/>
      <x:c r="J52" s="104"/>
      <x:c r="K52" s="104"/>
    </x:row>
    <x:row r="53" spans="6:11" x14ac:dyDescent="0.25">
      <x:c r="F53" s="104"/>
      <x:c r="G53" s="104"/>
      <x:c r="H53" s="104"/>
      <x:c r="I53" s="104"/>
      <x:c r="J53" s="104"/>
      <x:c r="K53" s="104"/>
    </x:row>
    <x:row r="54" spans="6:11" x14ac:dyDescent="0.25">
      <x:c r="F54" s="104"/>
      <x:c r="G54" s="104"/>
      <x:c r="H54" s="104"/>
      <x:c r="I54" s="104"/>
      <x:c r="J54" s="104"/>
      <x:c r="K54" s="104"/>
    </x:row>
    <x:row r="55" spans="6:11" x14ac:dyDescent="0.25">
      <x:c r="F55" s="104"/>
      <x:c r="G55" s="104"/>
      <x:c r="H55" s="104"/>
      <x:c r="I55" s="104"/>
      <x:c r="J55" s="104"/>
      <x:c r="K55" s="104"/>
    </x:row>
    <x:row r="56" spans="6:11" x14ac:dyDescent="0.25">
      <x:c r="F56" s="104"/>
      <x:c r="G56" s="104"/>
      <x:c r="H56" s="104"/>
      <x:c r="I56" s="104"/>
      <x:c r="J56" s="104"/>
      <x:c r="K56" s="104"/>
    </x:row>
    <x:row r="57" spans="6:11" x14ac:dyDescent="0.25">
      <x:c r="F57" s="104"/>
      <x:c r="G57" s="104"/>
      <x:c r="H57" s="104"/>
      <x:c r="I57" s="104"/>
      <x:c r="J57" s="104"/>
      <x:c r="K57" s="104"/>
    </x:row>
    <x:row r="58" spans="6:11" x14ac:dyDescent="0.25">
      <x:c r="F58" s="104"/>
      <x:c r="G58" s="104"/>
      <x:c r="H58" s="104"/>
      <x:c r="I58" s="104"/>
      <x:c r="J58" s="104"/>
      <x:c r="K58" s="104"/>
    </x:row>
    <x:row r="59" spans="6:11" x14ac:dyDescent="0.25">
      <x:c r="F59" s="104"/>
      <x:c r="G59" s="104"/>
      <x:c r="H59" s="104"/>
      <x:c r="I59" s="104"/>
      <x:c r="J59" s="104"/>
      <x:c r="K59" s="104"/>
    </x:row>
    <x:row r="60" spans="6:11" x14ac:dyDescent="0.25">
      <x:c r="F60" s="104"/>
      <x:c r="G60" s="104"/>
      <x:c r="H60" s="104"/>
      <x:c r="I60" s="104"/>
      <x:c r="J60" s="104"/>
      <x:c r="K60" s="104"/>
    </x:row>
    <x:row r="61" spans="6:11" x14ac:dyDescent="0.25">
      <x:c r="F61" s="104"/>
      <x:c r="G61" s="104"/>
      <x:c r="H61" s="104"/>
      <x:c r="I61" s="104"/>
      <x:c r="J61" s="104"/>
      <x:c r="K61" s="104"/>
    </x:row>
    <x:row r="62" spans="6:11" x14ac:dyDescent="0.25">
      <x:c r="F62" s="104"/>
      <x:c r="G62" s="104"/>
      <x:c r="H62" s="104"/>
      <x:c r="I62" s="104"/>
      <x:c r="J62" s="104"/>
      <x:c r="K62" s="104"/>
    </x:row>
    <x:row r="63" spans="6:11" x14ac:dyDescent="0.25">
      <x:c r="F63" s="104"/>
      <x:c r="G63" s="104"/>
      <x:c r="H63" s="104"/>
      <x:c r="I63" s="104"/>
      <x:c r="J63" s="104"/>
      <x:c r="K63" s="104"/>
    </x:row>
    <x:row r="64" spans="6:11" x14ac:dyDescent="0.25">
      <x:c r="F64" s="104"/>
      <x:c r="G64" s="104"/>
      <x:c r="H64" s="104"/>
      <x:c r="I64" s="104"/>
      <x:c r="J64" s="104"/>
      <x:c r="K64" s="104"/>
    </x:row>
    <x:row r="65" spans="6:11" x14ac:dyDescent="0.25">
      <x:c r="F65" s="104"/>
      <x:c r="G65" s="104"/>
      <x:c r="H65" s="104"/>
      <x:c r="I65" s="104"/>
      <x:c r="J65" s="104"/>
      <x:c r="K65" s="104"/>
    </x:row>
    <x:row r="66" spans="6:11" x14ac:dyDescent="0.25">
      <x:c r="F66" s="104"/>
      <x:c r="G66" s="104"/>
      <x:c r="H66" s="104"/>
      <x:c r="I66" s="104"/>
      <x:c r="J66" s="104"/>
      <x:c r="K66" s="104"/>
    </x:row>
    <x:row r="67" spans="6:11" x14ac:dyDescent="0.25">
      <x:c r="F67" s="104"/>
      <x:c r="G67" s="104"/>
      <x:c r="H67" s="104"/>
      <x:c r="I67" s="104"/>
      <x:c r="J67" s="104"/>
      <x:c r="K67" s="104"/>
    </x:row>
    <x:row r="68" spans="6:11" x14ac:dyDescent="0.25">
      <x:c r="F68" s="104"/>
      <x:c r="G68" s="104"/>
      <x:c r="H68" s="104"/>
      <x:c r="I68" s="104"/>
      <x:c r="J68" s="104"/>
      <x:c r="K68" s="104"/>
    </x:row>
    <x:row r="69" spans="6:11" x14ac:dyDescent="0.25">
      <x:c r="F69" s="104"/>
      <x:c r="G69" s="104"/>
      <x:c r="H69" s="104"/>
      <x:c r="I69" s="104"/>
      <x:c r="J69" s="104"/>
      <x:c r="K69" s="104"/>
    </x:row>
    <x:row r="70" spans="6:11" x14ac:dyDescent="0.25">
      <x:c r="F70" s="104"/>
      <x:c r="G70" s="104"/>
      <x:c r="H70" s="104"/>
      <x:c r="I70" s="104"/>
      <x:c r="J70" s="104"/>
      <x:c r="K70" s="104"/>
    </x:row>
    <x:row r="71" spans="6:11" x14ac:dyDescent="0.25">
      <x:c r="F71" s="104"/>
      <x:c r="G71" s="104"/>
      <x:c r="H71" s="104"/>
      <x:c r="I71" s="104"/>
      <x:c r="J71" s="104"/>
      <x:c r="K71" s="104"/>
    </x:row>
    <x:row r="72" spans="6:11" x14ac:dyDescent="0.25">
      <x:c r="F72" s="104"/>
      <x:c r="G72" s="104"/>
      <x:c r="H72" s="104"/>
      <x:c r="I72" s="104"/>
      <x:c r="J72" s="104"/>
      <x:c r="K72" s="104"/>
    </x:row>
    <x:row r="73" spans="6:11" x14ac:dyDescent="0.25">
      <x:c r="F73" s="104"/>
      <x:c r="G73" s="104"/>
      <x:c r="H73" s="104"/>
      <x:c r="I73" s="104"/>
      <x:c r="J73" s="104"/>
      <x:c r="K73" s="104"/>
    </x:row>
    <x:row r="74" spans="6:11" x14ac:dyDescent="0.25">
      <x:c r="F74" s="104"/>
      <x:c r="G74" s="104"/>
      <x:c r="H74" s="104"/>
      <x:c r="I74" s="104"/>
      <x:c r="J74" s="104"/>
      <x:c r="K74" s="104"/>
    </x:row>
    <x:row r="75" spans="6:11" x14ac:dyDescent="0.25">
      <x:c r="F75" s="104"/>
      <x:c r="G75" s="104"/>
      <x:c r="H75" s="104"/>
      <x:c r="I75" s="104"/>
      <x:c r="J75" s="104"/>
      <x:c r="K75" s="104"/>
    </x:row>
    <x:row r="76" spans="6:11" x14ac:dyDescent="0.25">
      <x:c r="F76" s="104"/>
      <x:c r="G76" s="104"/>
      <x:c r="H76" s="104"/>
      <x:c r="I76" s="104"/>
      <x:c r="J76" s="104"/>
      <x:c r="K76" s="104"/>
    </x:row>
    <x:row r="77" spans="6:11" x14ac:dyDescent="0.25">
      <x:c r="F77" s="104"/>
      <x:c r="G77" s="104"/>
      <x:c r="H77" s="104"/>
      <x:c r="I77" s="104"/>
      <x:c r="J77" s="104"/>
      <x:c r="K77" s="104"/>
    </x:row>
    <x:row r="78" spans="6:11" x14ac:dyDescent="0.25">
      <x:c r="F78" s="104"/>
      <x:c r="G78" s="104"/>
      <x:c r="H78" s="104"/>
      <x:c r="I78" s="104"/>
      <x:c r="J78" s="104"/>
      <x:c r="K78" s="104"/>
    </x:row>
    <x:row r="79" spans="6:11" x14ac:dyDescent="0.25">
      <x:c r="F79" s="104"/>
      <x:c r="G79" s="104"/>
      <x:c r="H79" s="104"/>
      <x:c r="I79" s="104"/>
      <x:c r="J79" s="104"/>
      <x:c r="K79" s="104"/>
    </x:row>
    <x:row r="80" spans="6:11" x14ac:dyDescent="0.25">
      <x:c r="F80" s="104"/>
      <x:c r="G80" s="104"/>
      <x:c r="H80" s="104"/>
      <x:c r="I80" s="104"/>
      <x:c r="J80" s="104"/>
      <x:c r="K80" s="104"/>
    </x:row>
    <x:row r="81" spans="6:11" x14ac:dyDescent="0.25">
      <x:c r="F81" s="104"/>
      <x:c r="G81" s="104"/>
      <x:c r="H81" s="104"/>
      <x:c r="I81" s="104"/>
      <x:c r="J81" s="104"/>
      <x:c r="K81" s="104"/>
    </x:row>
    <x:row r="82" spans="6:11" x14ac:dyDescent="0.25">
      <x:c r="F82" s="104"/>
      <x:c r="G82" s="104"/>
      <x:c r="H82" s="104"/>
      <x:c r="I82" s="104"/>
      <x:c r="J82" s="104"/>
      <x:c r="K82" s="104"/>
    </x:row>
    <x:row r="83" spans="6:11" x14ac:dyDescent="0.25">
      <x:c r="F83" s="104"/>
      <x:c r="G83" s="104"/>
      <x:c r="H83" s="104"/>
      <x:c r="I83" s="104"/>
      <x:c r="J83" s="104"/>
      <x:c r="K83" s="104"/>
    </x:row>
    <x:row r="84" spans="6:11" x14ac:dyDescent="0.25">
      <x:c r="F84" s="104"/>
      <x:c r="G84" s="104"/>
      <x:c r="H84" s="104"/>
      <x:c r="I84" s="104"/>
      <x:c r="J84" s="104"/>
      <x:c r="K84" s="104"/>
    </x:row>
    <x:row r="85" spans="6:11" x14ac:dyDescent="0.25">
      <x:c r="F85" s="104"/>
      <x:c r="G85" s="104"/>
      <x:c r="H85" s="104"/>
      <x:c r="I85" s="104"/>
      <x:c r="J85" s="104"/>
      <x:c r="K85" s="104"/>
    </x:row>
    <x:row r="86" spans="6:11" x14ac:dyDescent="0.25">
      <x:c r="F86" s="104"/>
      <x:c r="G86" s="104"/>
      <x:c r="H86" s="104"/>
      <x:c r="I86" s="104"/>
      <x:c r="J86" s="104"/>
      <x:c r="K86" s="104"/>
    </x:row>
    <x:row r="87" spans="6:11" x14ac:dyDescent="0.25">
      <x:c r="F87" s="104"/>
      <x:c r="G87" s="104"/>
      <x:c r="H87" s="104"/>
      <x:c r="I87" s="104"/>
      <x:c r="J87" s="104"/>
      <x:c r="K87" s="104"/>
    </x:row>
    <x:row r="88" spans="6:11" x14ac:dyDescent="0.25">
      <x:c r="F88" s="104"/>
      <x:c r="G88" s="104"/>
      <x:c r="H88" s="104"/>
      <x:c r="I88" s="104"/>
      <x:c r="J88" s="104"/>
      <x:c r="K88" s="104"/>
    </x:row>
    <x:row r="89" spans="6:11" x14ac:dyDescent="0.25">
      <x:c r="F89" s="104"/>
      <x:c r="G89" s="104"/>
      <x:c r="H89" s="104"/>
      <x:c r="I89" s="104"/>
      <x:c r="J89" s="104"/>
      <x:c r="K89" s="104"/>
    </x:row>
    <x:row r="90" spans="6:11" x14ac:dyDescent="0.25">
      <x:c r="F90" s="104"/>
      <x:c r="G90" s="104"/>
      <x:c r="H90" s="104"/>
      <x:c r="I90" s="104"/>
      <x:c r="J90" s="104"/>
      <x:c r="K90" s="104"/>
    </x:row>
    <x:row r="91" spans="6:11" x14ac:dyDescent="0.25">
      <x:c r="F91" s="104"/>
      <x:c r="G91" s="104"/>
      <x:c r="H91" s="104"/>
      <x:c r="I91" s="104"/>
      <x:c r="J91" s="104"/>
      <x:c r="K91" s="104"/>
    </x:row>
    <x:row r="92" spans="6:11" x14ac:dyDescent="0.25">
      <x:c r="F92" s="104"/>
      <x:c r="G92" s="104"/>
      <x:c r="H92" s="104"/>
      <x:c r="I92" s="104"/>
      <x:c r="J92" s="104"/>
      <x:c r="K92" s="104"/>
    </x:row>
    <x:row r="93" spans="6:11" x14ac:dyDescent="0.25">
      <x:c r="F93" s="104"/>
      <x:c r="G93" s="104"/>
      <x:c r="H93" s="104"/>
      <x:c r="I93" s="104"/>
      <x:c r="J93" s="104"/>
      <x:c r="K93" s="104"/>
    </x:row>
    <x:row r="94" spans="6:11" x14ac:dyDescent="0.25">
      <x:c r="F94" s="104"/>
      <x:c r="G94" s="104"/>
      <x:c r="H94" s="104"/>
      <x:c r="I94" s="104"/>
      <x:c r="J94" s="104"/>
      <x:c r="K94" s="104"/>
    </x:row>
    <x:row r="95" spans="6:11" x14ac:dyDescent="0.25">
      <x:c r="F95" s="104"/>
      <x:c r="G95" s="104"/>
      <x:c r="H95" s="104"/>
      <x:c r="I95" s="104"/>
      <x:c r="J95" s="104"/>
      <x:c r="K95" s="104"/>
    </x:row>
    <x:row r="96" spans="6:11" x14ac:dyDescent="0.25">
      <x:c r="F96" s="104"/>
      <x:c r="G96" s="104"/>
      <x:c r="H96" s="104"/>
      <x:c r="I96" s="104"/>
      <x:c r="J96" s="104"/>
      <x:c r="K96" s="104"/>
    </x:row>
    <x:row r="97" spans="6:11" x14ac:dyDescent="0.25">
      <x:c r="F97" s="104"/>
      <x:c r="G97" s="104"/>
      <x:c r="H97" s="104"/>
      <x:c r="I97" s="104"/>
      <x:c r="J97" s="104"/>
      <x:c r="K97" s="104"/>
    </x:row>
    <x:row r="98" spans="6:11" x14ac:dyDescent="0.25">
      <x:c r="F98" s="104"/>
      <x:c r="G98" s="104"/>
      <x:c r="H98" s="104"/>
      <x:c r="I98" s="104"/>
      <x:c r="J98" s="104"/>
      <x:c r="K98" s="104"/>
    </x:row>
    <x:row r="99" spans="6:11" x14ac:dyDescent="0.25">
      <x:c r="F99" s="104"/>
      <x:c r="G99" s="104"/>
      <x:c r="H99" s="104"/>
      <x:c r="I99" s="104"/>
      <x:c r="J99" s="104"/>
      <x:c r="K99" s="104"/>
    </x:row>
    <x:row r="100" spans="6:11" x14ac:dyDescent="0.25">
      <x:c r="F100" s="104"/>
      <x:c r="G100" s="104"/>
      <x:c r="H100" s="104"/>
      <x:c r="I100" s="104"/>
      <x:c r="J100" s="104"/>
      <x:c r="K100" s="104"/>
    </x:row>
    <x:row r="101" spans="6:11" x14ac:dyDescent="0.25">
      <x:c r="F101" s="104"/>
      <x:c r="G101" s="104"/>
      <x:c r="H101" s="104"/>
      <x:c r="I101" s="104"/>
      <x:c r="J101" s="104"/>
      <x:c r="K101" s="104"/>
    </x:row>
    <x:row r="102" spans="6:11" x14ac:dyDescent="0.25">
      <x:c r="F102" s="104"/>
      <x:c r="G102" s="104"/>
      <x:c r="H102" s="104"/>
      <x:c r="I102" s="104"/>
      <x:c r="J102" s="104"/>
      <x:c r="K102" s="104"/>
    </x:row>
    <x:row r="103" spans="6:11" x14ac:dyDescent="0.25">
      <x:c r="F103" s="104"/>
      <x:c r="G103" s="104"/>
      <x:c r="H103" s="104"/>
      <x:c r="I103" s="104"/>
      <x:c r="J103" s="104"/>
      <x:c r="K103" s="104"/>
    </x:row>
    <x:row r="104" spans="6:11" x14ac:dyDescent="0.25">
      <x:c r="F104" s="104"/>
      <x:c r="G104" s="104"/>
      <x:c r="H104" s="104"/>
      <x:c r="I104" s="104"/>
      <x:c r="J104" s="104"/>
      <x:c r="K104" s="104"/>
    </x:row>
    <x:row r="105" spans="6:11" x14ac:dyDescent="0.25">
      <x:c r="F105" s="104"/>
      <x:c r="G105" s="104"/>
      <x:c r="H105" s="104"/>
      <x:c r="I105" s="104"/>
      <x:c r="J105" s="104"/>
      <x:c r="K105" s="104"/>
    </x:row>
    <x:row r="106" spans="6:11" x14ac:dyDescent="0.25">
      <x:c r="F106" s="104"/>
      <x:c r="G106" s="104"/>
      <x:c r="H106" s="104"/>
      <x:c r="I106" s="104"/>
      <x:c r="J106" s="104"/>
      <x:c r="K106" s="104"/>
    </x:row>
    <x:row r="107" spans="6:11" x14ac:dyDescent="0.25">
      <x:c r="F107" s="104"/>
      <x:c r="G107" s="104"/>
      <x:c r="H107" s="104"/>
      <x:c r="I107" s="104"/>
      <x:c r="J107" s="104"/>
      <x:c r="K107" s="104"/>
    </x:row>
    <x:row r="108" spans="6:11" x14ac:dyDescent="0.25">
      <x:c r="F108" s="104"/>
      <x:c r="G108" s="104"/>
      <x:c r="H108" s="104"/>
      <x:c r="I108" s="104"/>
      <x:c r="J108" s="104"/>
      <x:c r="K108" s="104"/>
    </x:row>
    <x:row r="109" spans="6:11" x14ac:dyDescent="0.25">
      <x:c r="F109" s="104"/>
      <x:c r="G109" s="104"/>
      <x:c r="H109" s="104"/>
      <x:c r="I109" s="104"/>
      <x:c r="J109" s="104"/>
      <x:c r="K109" s="104"/>
    </x:row>
    <x:row r="110" spans="6:11" x14ac:dyDescent="0.25">
      <x:c r="F110" s="104"/>
      <x:c r="G110" s="104"/>
      <x:c r="H110" s="104"/>
      <x:c r="I110" s="104"/>
      <x:c r="J110" s="104"/>
      <x:c r="K110" s="104"/>
    </x:row>
    <x:row r="111" spans="6:11" x14ac:dyDescent="0.25">
      <x:c r="F111" s="104"/>
      <x:c r="G111" s="104"/>
      <x:c r="H111" s="104"/>
      <x:c r="I111" s="104"/>
      <x:c r="J111" s="104"/>
      <x:c r="K111" s="104"/>
    </x:row>
    <x:row r="112" spans="6:11" x14ac:dyDescent="0.25">
      <x:c r="F112" s="104"/>
      <x:c r="G112" s="104"/>
      <x:c r="H112" s="104"/>
      <x:c r="I112" s="104"/>
      <x:c r="J112" s="104"/>
      <x:c r="K112" s="104"/>
    </x:row>
    <x:row r="113" spans="6:11" x14ac:dyDescent="0.25">
      <x:c r="F113" s="104"/>
      <x:c r="G113" s="104"/>
      <x:c r="H113" s="104"/>
      <x:c r="I113" s="104"/>
      <x:c r="J113" s="104"/>
      <x:c r="K113" s="104"/>
    </x:row>
    <x:row r="114" spans="6:11" x14ac:dyDescent="0.25">
      <x:c r="F114" s="104"/>
      <x:c r="G114" s="104"/>
      <x:c r="H114" s="104"/>
      <x:c r="I114" s="104"/>
      <x:c r="J114" s="104"/>
      <x:c r="K114" s="104"/>
    </x:row>
    <x:row r="115" spans="6:11" x14ac:dyDescent="0.25">
      <x:c r="F115" s="104"/>
      <x:c r="G115" s="104"/>
      <x:c r="H115" s="104"/>
      <x:c r="I115" s="104"/>
      <x:c r="J115" s="104"/>
      <x:c r="K115" s="104"/>
    </x:row>
    <x:row r="116" spans="6:11" x14ac:dyDescent="0.25">
      <x:c r="F116" s="104"/>
      <x:c r="G116" s="104"/>
      <x:c r="H116" s="104"/>
      <x:c r="I116" s="104"/>
      <x:c r="J116" s="104"/>
      <x:c r="K116" s="104"/>
    </x:row>
    <x:row r="117" spans="6:11" x14ac:dyDescent="0.25">
      <x:c r="F117" s="104"/>
      <x:c r="G117" s="104"/>
      <x:c r="H117" s="104"/>
      <x:c r="I117" s="104"/>
      <x:c r="J117" s="104"/>
      <x:c r="K117" s="104"/>
    </x:row>
    <x:row r="118" spans="6:11" x14ac:dyDescent="0.25">
      <x:c r="F118" s="104"/>
      <x:c r="G118" s="104"/>
      <x:c r="H118" s="104"/>
      <x:c r="I118" s="104"/>
      <x:c r="J118" s="104"/>
      <x:c r="K118" s="104"/>
    </x:row>
    <x:row r="119" spans="6:11" x14ac:dyDescent="0.25">
      <x:c r="F119" s="104"/>
      <x:c r="G119" s="104"/>
      <x:c r="H119" s="104"/>
      <x:c r="I119" s="104"/>
      <x:c r="J119" s="104"/>
      <x:c r="K119" s="104"/>
    </x:row>
    <x:row r="120" spans="6:11" x14ac:dyDescent="0.25">
      <x:c r="F120" s="104"/>
      <x:c r="G120" s="104"/>
      <x:c r="H120" s="104"/>
      <x:c r="I120" s="104"/>
      <x:c r="J120" s="104"/>
      <x:c r="K120" s="104"/>
    </x:row>
    <x:row r="121" spans="6:11" x14ac:dyDescent="0.25">
      <x:c r="F121" s="104"/>
      <x:c r="G121" s="104"/>
      <x:c r="H121" s="104"/>
      <x:c r="I121" s="104"/>
      <x:c r="J121" s="104"/>
      <x:c r="K121" s="104"/>
    </x:row>
    <x:row r="122" spans="6:11" x14ac:dyDescent="0.25">
      <x:c r="F122" s="104"/>
      <x:c r="G122" s="104"/>
      <x:c r="H122" s="104"/>
      <x:c r="I122" s="104"/>
      <x:c r="J122" s="104"/>
      <x:c r="K122" s="104"/>
    </x:row>
    <x:row r="123" spans="6:11" x14ac:dyDescent="0.25">
      <x:c r="F123" s="104"/>
      <x:c r="G123" s="104"/>
      <x:c r="H123" s="104"/>
      <x:c r="I123" s="104"/>
      <x:c r="J123" s="104"/>
      <x:c r="K123" s="104"/>
    </x:row>
    <x:row r="124" spans="6:11" x14ac:dyDescent="0.25">
      <x:c r="F124" s="104"/>
      <x:c r="G124" s="104"/>
      <x:c r="H124" s="104"/>
      <x:c r="I124" s="104"/>
      <x:c r="J124" s="104"/>
      <x:c r="K124" s="104"/>
    </x:row>
    <x:row r="125" spans="6:11" x14ac:dyDescent="0.25">
      <x:c r="F125" s="104"/>
      <x:c r="G125" s="104"/>
      <x:c r="H125" s="104"/>
      <x:c r="I125" s="104"/>
      <x:c r="J125" s="104"/>
      <x:c r="K125" s="104"/>
    </x:row>
    <x:row r="126" spans="6:11" x14ac:dyDescent="0.25">
      <x:c r="F126" s="104"/>
      <x:c r="G126" s="104"/>
      <x:c r="H126" s="104"/>
      <x:c r="I126" s="104"/>
      <x:c r="J126" s="104"/>
      <x:c r="K126" s="104"/>
    </x:row>
    <x:row r="127" spans="6:11" x14ac:dyDescent="0.25">
      <x:c r="F127" s="104"/>
      <x:c r="G127" s="104"/>
      <x:c r="H127" s="104"/>
      <x:c r="I127" s="104"/>
      <x:c r="J127" s="104"/>
      <x:c r="K127" s="104"/>
    </x:row>
    <x:row r="128" spans="6:11" x14ac:dyDescent="0.25">
      <x:c r="F128" s="104"/>
      <x:c r="G128" s="104"/>
      <x:c r="H128" s="104"/>
      <x:c r="I128" s="104"/>
      <x:c r="J128" s="104"/>
      <x:c r="K128" s="104"/>
    </x:row>
    <x:row r="129" spans="6:11" x14ac:dyDescent="0.25">
      <x:c r="F129" s="104"/>
      <x:c r="G129" s="104"/>
      <x:c r="H129" s="104"/>
      <x:c r="I129" s="104"/>
      <x:c r="J129" s="104"/>
      <x:c r="K129" s="104"/>
    </x:row>
    <x:row r="130" spans="6:11" x14ac:dyDescent="0.25">
      <x:c r="F130" s="104"/>
      <x:c r="G130" s="104"/>
      <x:c r="H130" s="104"/>
      <x:c r="I130" s="104"/>
      <x:c r="J130" s="104"/>
      <x:c r="K130" s="104"/>
    </x:row>
    <x:row r="131" spans="6:11" x14ac:dyDescent="0.25">
      <x:c r="F131" s="104"/>
      <x:c r="G131" s="104"/>
      <x:c r="H131" s="104"/>
      <x:c r="I131" s="104"/>
      <x:c r="J131" s="104"/>
      <x:c r="K131" s="104"/>
    </x:row>
    <x:row r="132" spans="6:11" x14ac:dyDescent="0.25">
      <x:c r="F132" s="104"/>
      <x:c r="G132" s="104"/>
      <x:c r="H132" s="104"/>
      <x:c r="I132" s="104"/>
      <x:c r="J132" s="104"/>
      <x:c r="K132" s="104"/>
    </x:row>
    <x:row r="133" spans="6:11" x14ac:dyDescent="0.25">
      <x:c r="F133" s="104"/>
      <x:c r="G133" s="104"/>
      <x:c r="H133" s="104"/>
      <x:c r="I133" s="104"/>
      <x:c r="J133" s="104"/>
      <x:c r="K133" s="104"/>
    </x:row>
    <x:row r="134" spans="6:11" x14ac:dyDescent="0.25">
      <x:c r="F134" s="104"/>
      <x:c r="G134" s="104"/>
      <x:c r="H134" s="104"/>
      <x:c r="I134" s="104"/>
      <x:c r="J134" s="104"/>
      <x:c r="K134" s="104"/>
    </x:row>
    <x:row r="135" spans="6:11" x14ac:dyDescent="0.25">
      <x:c r="F135" s="104"/>
      <x:c r="G135" s="104"/>
      <x:c r="H135" s="104"/>
      <x:c r="I135" s="104"/>
      <x:c r="J135" s="104"/>
      <x:c r="K135" s="104"/>
    </x:row>
    <x:row r="136" spans="6:11" x14ac:dyDescent="0.25">
      <x:c r="F136" s="104"/>
      <x:c r="G136" s="104"/>
      <x:c r="H136" s="104"/>
      <x:c r="I136" s="104"/>
      <x:c r="J136" s="104"/>
      <x:c r="K136" s="104"/>
    </x:row>
    <x:row r="137" spans="6:11" x14ac:dyDescent="0.25">
      <x:c r="F137" s="104"/>
      <x:c r="G137" s="104"/>
      <x:c r="H137" s="104"/>
      <x:c r="I137" s="104"/>
      <x:c r="J137" s="104"/>
      <x:c r="K137" s="104"/>
    </x:row>
    <x:row r="138" spans="6:11" x14ac:dyDescent="0.25">
      <x:c r="F138" s="104"/>
      <x:c r="G138" s="104"/>
      <x:c r="H138" s="104"/>
      <x:c r="I138" s="104"/>
      <x:c r="J138" s="104"/>
      <x:c r="K138" s="104"/>
    </x:row>
    <x:row r="139" spans="6:11" x14ac:dyDescent="0.25">
      <x:c r="F139" s="104"/>
      <x:c r="G139" s="104"/>
      <x:c r="H139" s="104"/>
      <x:c r="I139" s="104"/>
      <x:c r="J139" s="104"/>
      <x:c r="K139" s="104"/>
    </x:row>
    <x:row r="140" spans="6:11" x14ac:dyDescent="0.25">
      <x:c r="F140" s="104"/>
      <x:c r="G140" s="104"/>
      <x:c r="H140" s="104"/>
      <x:c r="I140" s="104"/>
      <x:c r="J140" s="104"/>
      <x:c r="K140" s="104"/>
    </x:row>
    <x:row r="141" spans="6:11" x14ac:dyDescent="0.25">
      <x:c r="F141" s="104"/>
      <x:c r="G141" s="104"/>
      <x:c r="H141" s="104"/>
      <x:c r="I141" s="104"/>
      <x:c r="J141" s="104"/>
      <x:c r="K141" s="104"/>
    </x:row>
    <x:row r="142" spans="6:11" x14ac:dyDescent="0.25">
      <x:c r="F142" s="104"/>
      <x:c r="G142" s="104"/>
      <x:c r="H142" s="104"/>
      <x:c r="I142" s="104"/>
      <x:c r="J142" s="104"/>
      <x:c r="K142" s="104"/>
    </x:row>
    <x:row r="143" spans="6:11" x14ac:dyDescent="0.25">
      <x:c r="F143" s="104"/>
      <x:c r="G143" s="104"/>
      <x:c r="H143" s="104"/>
      <x:c r="I143" s="104"/>
      <x:c r="J143" s="104"/>
      <x:c r="K143" s="104"/>
    </x:row>
    <x:row r="144" spans="6:11" x14ac:dyDescent="0.25">
      <x:c r="F144" s="104"/>
      <x:c r="G144" s="104"/>
      <x:c r="H144" s="104"/>
      <x:c r="I144" s="104"/>
      <x:c r="J144" s="104"/>
      <x:c r="K144" s="104"/>
    </x:row>
    <x:row r="145" spans="6:11" x14ac:dyDescent="0.25">
      <x:c r="F145" s="104"/>
      <x:c r="G145" s="104"/>
      <x:c r="H145" s="104"/>
      <x:c r="I145" s="104"/>
      <x:c r="J145" s="104"/>
      <x:c r="K145" s="104"/>
    </x:row>
    <x:row r="146" spans="6:11" x14ac:dyDescent="0.25">
      <x:c r="F146" s="104"/>
      <x:c r="G146" s="104"/>
      <x:c r="H146" s="104"/>
      <x:c r="I146" s="104"/>
      <x:c r="J146" s="104"/>
      <x:c r="K146" s="104"/>
    </x:row>
    <x:row r="147" spans="6:11" x14ac:dyDescent="0.25">
      <x:c r="F147" s="104"/>
      <x:c r="G147" s="104"/>
      <x:c r="H147" s="104"/>
      <x:c r="I147" s="104"/>
      <x:c r="J147" s="104"/>
      <x:c r="K147" s="104"/>
    </x:row>
    <x:row r="148" spans="6:11" x14ac:dyDescent="0.25">
      <x:c r="F148" s="104"/>
      <x:c r="G148" s="104"/>
      <x:c r="H148" s="104"/>
      <x:c r="I148" s="104"/>
      <x:c r="J148" s="104"/>
      <x:c r="K148" s="104"/>
    </x:row>
    <x:row r="149" spans="6:11" x14ac:dyDescent="0.25">
      <x:c r="F149" s="104"/>
      <x:c r="G149" s="104"/>
      <x:c r="H149" s="104"/>
      <x:c r="I149" s="104"/>
      <x:c r="J149" s="104"/>
      <x:c r="K149" s="104"/>
    </x:row>
    <x:row r="150" spans="6:11" x14ac:dyDescent="0.25">
      <x:c r="F150" s="104"/>
      <x:c r="G150" s="104"/>
      <x:c r="H150" s="104"/>
      <x:c r="I150" s="104"/>
      <x:c r="J150" s="104"/>
      <x:c r="K150" s="104"/>
    </x:row>
    <x:row r="151" spans="6:11" x14ac:dyDescent="0.25">
      <x:c r="F151" s="104"/>
      <x:c r="G151" s="104"/>
      <x:c r="H151" s="104"/>
      <x:c r="I151" s="104"/>
      <x:c r="J151" s="104"/>
      <x:c r="K151" s="104"/>
    </x:row>
    <x:row r="152" spans="6:11" x14ac:dyDescent="0.25">
      <x:c r="F152" s="104"/>
      <x:c r="G152" s="104"/>
      <x:c r="H152" s="104"/>
      <x:c r="I152" s="104"/>
      <x:c r="J152" s="104"/>
      <x:c r="K152" s="104"/>
    </x:row>
    <x:row r="153" spans="6:11" x14ac:dyDescent="0.25">
      <x:c r="F153" s="104"/>
      <x:c r="G153" s="104"/>
      <x:c r="H153" s="104"/>
      <x:c r="I153" s="104"/>
      <x:c r="J153" s="104"/>
      <x:c r="K153" s="104"/>
    </x:row>
    <x:row r="154" spans="6:11" x14ac:dyDescent="0.25">
      <x:c r="F154" s="104"/>
      <x:c r="G154" s="104"/>
      <x:c r="H154" s="104"/>
      <x:c r="I154" s="104"/>
      <x:c r="J154" s="104"/>
      <x:c r="K154" s="104"/>
    </x:row>
    <x:row r="155" spans="6:11" x14ac:dyDescent="0.25">
      <x:c r="F155" s="104"/>
      <x:c r="G155" s="104"/>
      <x:c r="H155" s="104"/>
      <x:c r="I155" s="104"/>
      <x:c r="J155" s="104"/>
      <x:c r="K155" s="104"/>
    </x:row>
    <x:row r="156" spans="6:11" x14ac:dyDescent="0.25">
      <x:c r="F156" s="104"/>
      <x:c r="G156" s="104"/>
      <x:c r="H156" s="104"/>
      <x:c r="I156" s="104"/>
      <x:c r="J156" s="104"/>
      <x:c r="K156" s="104"/>
    </x:row>
    <x:row r="157" spans="6:11" x14ac:dyDescent="0.25">
      <x:c r="F157" s="104"/>
      <x:c r="G157" s="104"/>
      <x:c r="H157" s="104"/>
      <x:c r="I157" s="104"/>
      <x:c r="J157" s="104"/>
      <x:c r="K157" s="104"/>
    </x:row>
    <x:row r="158" spans="6:11" x14ac:dyDescent="0.25">
      <x:c r="F158" s="104"/>
      <x:c r="G158" s="104"/>
      <x:c r="H158" s="104"/>
      <x:c r="I158" s="104"/>
      <x:c r="J158" s="104"/>
      <x:c r="K158" s="104"/>
    </x:row>
    <x:row r="159" spans="6:11" x14ac:dyDescent="0.25">
      <x:c r="F159" s="104"/>
      <x:c r="G159" s="104"/>
      <x:c r="H159" s="104"/>
      <x:c r="I159" s="104"/>
      <x:c r="J159" s="104"/>
      <x:c r="K159" s="104"/>
    </x:row>
    <x:row r="160" spans="6:11" x14ac:dyDescent="0.25">
      <x:c r="F160" s="104"/>
      <x:c r="G160" s="104"/>
      <x:c r="H160" s="104"/>
      <x:c r="I160" s="104"/>
      <x:c r="J160" s="104"/>
      <x:c r="K160" s="104"/>
    </x:row>
    <x:row r="161" spans="6:11" x14ac:dyDescent="0.25">
      <x:c r="F161" s="104"/>
      <x:c r="G161" s="104"/>
      <x:c r="H161" s="104"/>
      <x:c r="I161" s="104"/>
      <x:c r="J161" s="104"/>
      <x:c r="K161" s="104"/>
    </x:row>
    <x:row r="162" spans="6:11" x14ac:dyDescent="0.25">
      <x:c r="F162" s="104"/>
      <x:c r="G162" s="104"/>
      <x:c r="H162" s="104"/>
      <x:c r="I162" s="104"/>
      <x:c r="J162" s="104"/>
      <x:c r="K162" s="104"/>
    </x:row>
    <x:row r="163" spans="6:11" x14ac:dyDescent="0.25">
      <x:c r="F163" s="104"/>
      <x:c r="G163" s="104"/>
      <x:c r="H163" s="104"/>
      <x:c r="I163" s="104"/>
      <x:c r="J163" s="104"/>
      <x:c r="K163" s="104"/>
    </x:row>
    <x:row r="164" spans="6:11" x14ac:dyDescent="0.25">
      <x:c r="F164" s="104"/>
      <x:c r="G164" s="104"/>
      <x:c r="H164" s="104"/>
      <x:c r="I164" s="104"/>
      <x:c r="J164" s="104"/>
      <x:c r="K164" s="104"/>
    </x:row>
    <x:row r="165" spans="6:11" x14ac:dyDescent="0.25">
      <x:c r="F165" s="104"/>
      <x:c r="G165" s="104"/>
      <x:c r="H165" s="104"/>
      <x:c r="I165" s="104"/>
      <x:c r="J165" s="104"/>
      <x:c r="K165" s="104"/>
    </x:row>
    <x:row r="166" spans="6:11" x14ac:dyDescent="0.25">
      <x:c r="F166" s="104"/>
      <x:c r="G166" s="104"/>
      <x:c r="H166" s="104"/>
      <x:c r="I166" s="104"/>
      <x:c r="J166" s="104"/>
      <x:c r="K166" s="104"/>
    </x:row>
    <x:row r="167" spans="6:11" x14ac:dyDescent="0.25">
      <x:c r="F167" s="104"/>
      <x:c r="G167" s="104"/>
      <x:c r="H167" s="104"/>
      <x:c r="I167" s="104"/>
      <x:c r="J167" s="104"/>
      <x:c r="K167" s="104"/>
    </x:row>
    <x:row r="168" spans="6:11" x14ac:dyDescent="0.25">
      <x:c r="F168" s="104"/>
      <x:c r="G168" s="104"/>
      <x:c r="H168" s="104"/>
      <x:c r="I168" s="104"/>
      <x:c r="J168" s="104"/>
      <x:c r="K168" s="104"/>
    </x:row>
    <x:row r="169" spans="6:11" x14ac:dyDescent="0.25">
      <x:c r="F169" s="104"/>
      <x:c r="G169" s="104"/>
      <x:c r="H169" s="104"/>
      <x:c r="I169" s="104"/>
      <x:c r="J169" s="104"/>
      <x:c r="K169" s="104"/>
    </x:row>
    <x:row r="170" spans="6:11" x14ac:dyDescent="0.25">
      <x:c r="F170" s="104"/>
      <x:c r="G170" s="104"/>
      <x:c r="H170" s="104"/>
      <x:c r="I170" s="104"/>
      <x:c r="J170" s="104"/>
      <x:c r="K170" s="104"/>
    </x:row>
    <x:row r="171" spans="6:11" x14ac:dyDescent="0.25">
      <x:c r="F171" s="104"/>
      <x:c r="G171" s="104"/>
      <x:c r="H171" s="104"/>
      <x:c r="I171" s="104"/>
      <x:c r="J171" s="104"/>
      <x:c r="K171" s="104"/>
    </x:row>
    <x:row r="172" spans="6:11" x14ac:dyDescent="0.25">
      <x:c r="F172" s="104"/>
      <x:c r="G172" s="104"/>
      <x:c r="H172" s="104"/>
      <x:c r="I172" s="104"/>
      <x:c r="J172" s="104"/>
      <x:c r="K172" s="104"/>
    </x:row>
    <x:row r="173" spans="6:11" x14ac:dyDescent="0.25">
      <x:c r="F173" s="104"/>
      <x:c r="G173" s="104"/>
      <x:c r="H173" s="104"/>
      <x:c r="I173" s="104"/>
      <x:c r="J173" s="104"/>
      <x:c r="K173" s="104"/>
    </x:row>
    <x:row r="174" spans="6:11" x14ac:dyDescent="0.25">
      <x:c r="F174" s="104"/>
      <x:c r="G174" s="104"/>
      <x:c r="H174" s="104"/>
      <x:c r="I174" s="104"/>
      <x:c r="J174" s="104"/>
      <x:c r="K174" s="104"/>
    </x:row>
    <x:row r="175" spans="6:11" x14ac:dyDescent="0.25">
      <x:c r="F175" s="104"/>
      <x:c r="G175" s="104"/>
      <x:c r="H175" s="104"/>
      <x:c r="I175" s="104"/>
      <x:c r="J175" s="104"/>
      <x:c r="K175" s="104"/>
    </x:row>
    <x:row r="176" spans="6:11" x14ac:dyDescent="0.25">
      <x:c r="F176" s="104"/>
      <x:c r="G176" s="104"/>
      <x:c r="H176" s="104"/>
      <x:c r="I176" s="104"/>
      <x:c r="J176" s="104"/>
      <x:c r="K176" s="104"/>
    </x:row>
    <x:row r="177" spans="6:11" x14ac:dyDescent="0.25">
      <x:c r="F177" s="104"/>
      <x:c r="G177" s="104"/>
      <x:c r="H177" s="104"/>
      <x:c r="I177" s="104"/>
      <x:c r="J177" s="104"/>
      <x:c r="K177" s="104"/>
    </x:row>
    <x:row r="178" spans="6:11" x14ac:dyDescent="0.25">
      <x:c r="F178" s="104"/>
      <x:c r="G178" s="104"/>
      <x:c r="H178" s="104"/>
      <x:c r="I178" s="104"/>
      <x:c r="J178" s="104"/>
      <x:c r="K178" s="104"/>
    </x:row>
    <x:row r="179" spans="6:11" x14ac:dyDescent="0.25">
      <x:c r="F179" s="104"/>
      <x:c r="G179" s="104"/>
      <x:c r="H179" s="104"/>
      <x:c r="I179" s="104"/>
      <x:c r="J179" s="104"/>
      <x:c r="K179" s="104"/>
    </x:row>
    <x:row r="180" spans="6:11" x14ac:dyDescent="0.25">
      <x:c r="F180" s="104"/>
      <x:c r="G180" s="104"/>
      <x:c r="H180" s="104"/>
      <x:c r="I180" s="104"/>
      <x:c r="J180" s="104"/>
      <x:c r="K180" s="104"/>
    </x:row>
    <x:row r="181" spans="6:11" x14ac:dyDescent="0.25">
      <x:c r="F181" s="104"/>
      <x:c r="G181" s="104"/>
      <x:c r="H181" s="104"/>
      <x:c r="I181" s="104"/>
      <x:c r="J181" s="104"/>
      <x:c r="K181" s="104"/>
    </x:row>
    <x:row r="182" spans="6:11" x14ac:dyDescent="0.25">
      <x:c r="F182" s="104"/>
      <x:c r="G182" s="104"/>
      <x:c r="H182" s="104"/>
      <x:c r="I182" s="104"/>
      <x:c r="J182" s="104"/>
      <x:c r="K182" s="104"/>
    </x:row>
    <x:row r="183" spans="6:11" x14ac:dyDescent="0.25">
      <x:c r="F183" s="104"/>
      <x:c r="G183" s="104"/>
      <x:c r="H183" s="104"/>
      <x:c r="I183" s="104"/>
      <x:c r="J183" s="104"/>
      <x:c r="K183" s="104"/>
    </x:row>
    <x:row r="184" spans="6:11" x14ac:dyDescent="0.25">
      <x:c r="F184" s="104"/>
      <x:c r="G184" s="104"/>
      <x:c r="H184" s="104"/>
      <x:c r="I184" s="104"/>
      <x:c r="J184" s="104"/>
      <x:c r="K184" s="104"/>
    </x:row>
    <x:row r="185" spans="6:11" x14ac:dyDescent="0.25">
      <x:c r="F185" s="104"/>
      <x:c r="G185" s="104"/>
      <x:c r="H185" s="104"/>
      <x:c r="I185" s="104"/>
      <x:c r="J185" s="104"/>
      <x:c r="K185" s="104"/>
    </x:row>
    <x:row r="186" spans="6:11" x14ac:dyDescent="0.25">
      <x:c r="F186" s="104"/>
      <x:c r="G186" s="104"/>
      <x:c r="H186" s="104"/>
      <x:c r="I186" s="104"/>
      <x:c r="J186" s="104"/>
      <x:c r="K186" s="104"/>
    </x:row>
    <x:row r="187" spans="6:11" x14ac:dyDescent="0.25">
      <x:c r="F187" s="104"/>
      <x:c r="G187" s="104"/>
      <x:c r="H187" s="104"/>
      <x:c r="I187" s="104"/>
      <x:c r="J187" s="104"/>
      <x:c r="K187" s="104"/>
    </x:row>
    <x:row r="188" spans="6:11" x14ac:dyDescent="0.25">
      <x:c r="F188" s="104"/>
      <x:c r="G188" s="104"/>
      <x:c r="H188" s="104"/>
      <x:c r="I188" s="104"/>
      <x:c r="J188" s="104"/>
      <x:c r="K188" s="104"/>
    </x:row>
    <x:row r="189" spans="6:11" x14ac:dyDescent="0.25">
      <x:c r="F189" s="104"/>
      <x:c r="G189" s="104"/>
      <x:c r="H189" s="104"/>
      <x:c r="I189" s="104"/>
      <x:c r="J189" s="104"/>
      <x:c r="K189" s="104"/>
    </x:row>
    <x:row r="190" spans="6:11" x14ac:dyDescent="0.25">
      <x:c r="F190" s="104"/>
      <x:c r="G190" s="104"/>
      <x:c r="H190" s="104"/>
      <x:c r="I190" s="104"/>
      <x:c r="J190" s="104"/>
      <x:c r="K190" s="104"/>
    </x:row>
    <x:row r="191" spans="6:11" x14ac:dyDescent="0.25">
      <x:c r="F191" s="104"/>
      <x:c r="G191" s="104"/>
      <x:c r="H191" s="104"/>
      <x:c r="I191" s="104"/>
      <x:c r="J191" s="104"/>
      <x:c r="K191" s="104"/>
    </x:row>
    <x:row r="192" spans="6:11" x14ac:dyDescent="0.25">
      <x:c r="F192" s="104"/>
      <x:c r="G192" s="104"/>
      <x:c r="H192" s="104"/>
      <x:c r="I192" s="104"/>
      <x:c r="J192" s="104"/>
      <x:c r="K192" s="104"/>
    </x:row>
    <x:row r="193" spans="6:11" x14ac:dyDescent="0.25">
      <x:c r="F193" s="104"/>
      <x:c r="G193" s="104"/>
      <x:c r="H193" s="104"/>
      <x:c r="I193" s="104"/>
      <x:c r="J193" s="104"/>
      <x:c r="K193" s="104"/>
    </x:row>
    <x:row r="194" spans="6:11" x14ac:dyDescent="0.25">
      <x:c r="F194" s="104"/>
      <x:c r="G194" s="104"/>
      <x:c r="H194" s="104"/>
      <x:c r="I194" s="104"/>
      <x:c r="J194" s="104"/>
      <x:c r="K194" s="104"/>
    </x:row>
    <x:row r="195" spans="6:11" x14ac:dyDescent="0.25">
      <x:c r="F195" s="104"/>
      <x:c r="G195" s="104"/>
      <x:c r="H195" s="104"/>
      <x:c r="I195" s="104"/>
      <x:c r="J195" s="104"/>
      <x:c r="K195" s="104"/>
    </x:row>
    <x:row r="196" spans="6:11" x14ac:dyDescent="0.25">
      <x:c r="F196" s="104"/>
      <x:c r="G196" s="104"/>
      <x:c r="H196" s="104"/>
      <x:c r="I196" s="104"/>
      <x:c r="J196" s="104"/>
      <x:c r="K196" s="104"/>
    </x:row>
    <x:row r="197" spans="6:11" x14ac:dyDescent="0.25">
      <x:c r="F197" s="104"/>
      <x:c r="G197" s="104"/>
      <x:c r="H197" s="104"/>
      <x:c r="I197" s="104"/>
      <x:c r="J197" s="104"/>
      <x:c r="K197" s="104"/>
    </x:row>
    <x:row r="198" spans="6:11" x14ac:dyDescent="0.25">
      <x:c r="F198" s="104"/>
      <x:c r="G198" s="104"/>
      <x:c r="H198" s="104"/>
      <x:c r="I198" s="104"/>
      <x:c r="J198" s="104"/>
      <x:c r="K198" s="104"/>
    </x:row>
    <x:row r="199" spans="6:11" x14ac:dyDescent="0.25">
      <x:c r="F199" s="104"/>
      <x:c r="G199" s="104"/>
      <x:c r="H199" s="104"/>
      <x:c r="I199" s="104"/>
      <x:c r="J199" s="104"/>
      <x:c r="K199" s="104"/>
    </x:row>
    <x:row r="200" spans="6:11" x14ac:dyDescent="0.25">
      <x:c r="F200" s="104"/>
      <x:c r="G200" s="104"/>
      <x:c r="H200" s="104"/>
      <x:c r="I200" s="104"/>
      <x:c r="J200" s="104"/>
      <x:c r="K200" s="104"/>
    </x:row>
    <x:row r="201" spans="6:11" x14ac:dyDescent="0.25">
      <x:c r="F201" s="104"/>
      <x:c r="G201" s="104"/>
      <x:c r="H201" s="104"/>
      <x:c r="I201" s="104"/>
      <x:c r="J201" s="104"/>
      <x:c r="K201" s="104"/>
    </x:row>
    <x:row r="202" spans="6:11" x14ac:dyDescent="0.25">
      <x:c r="F202" s="104"/>
      <x:c r="G202" s="104"/>
      <x:c r="H202" s="104"/>
      <x:c r="I202" s="104"/>
      <x:c r="J202" s="104"/>
      <x:c r="K202" s="104"/>
    </x:row>
    <x:row r="203" spans="6:11" x14ac:dyDescent="0.25">
      <x:c r="F203" s="104"/>
      <x:c r="G203" s="104"/>
      <x:c r="H203" s="104"/>
      <x:c r="I203" s="104"/>
      <x:c r="J203" s="104"/>
      <x:c r="K203" s="104"/>
    </x:row>
    <x:row r="204" spans="6:11" x14ac:dyDescent="0.25">
      <x:c r="F204" s="104"/>
      <x:c r="G204" s="104"/>
      <x:c r="H204" s="104"/>
      <x:c r="I204" s="104"/>
      <x:c r="J204" s="104"/>
      <x:c r="K204" s="104"/>
    </x:row>
    <x:row r="205" spans="6:11" x14ac:dyDescent="0.25">
      <x:c r="F205" s="104"/>
      <x:c r="G205" s="104"/>
      <x:c r="H205" s="104"/>
      <x:c r="I205" s="104"/>
      <x:c r="J205" s="104"/>
      <x:c r="K205" s="104"/>
    </x:row>
    <x:row r="206" spans="6:11" x14ac:dyDescent="0.25">
      <x:c r="F206" s="104"/>
      <x:c r="G206" s="104"/>
      <x:c r="H206" s="104"/>
      <x:c r="I206" s="104"/>
      <x:c r="J206" s="104"/>
      <x:c r="K206" s="104"/>
    </x:row>
    <x:row r="207" spans="6:11" x14ac:dyDescent="0.25">
      <x:c r="F207" s="104"/>
      <x:c r="G207" s="104"/>
      <x:c r="H207" s="104"/>
      <x:c r="I207" s="104"/>
      <x:c r="J207" s="104"/>
      <x:c r="K207" s="104"/>
    </x:row>
    <x:row r="208" spans="6:11" x14ac:dyDescent="0.25">
      <x:c r="F208" s="104"/>
      <x:c r="G208" s="104"/>
      <x:c r="H208" s="104"/>
      <x:c r="I208" s="104"/>
      <x:c r="J208" s="104"/>
      <x:c r="K208" s="104"/>
    </x:row>
    <x:row r="209" spans="6:11" x14ac:dyDescent="0.25">
      <x:c r="F209" s="104"/>
      <x:c r="G209" s="104"/>
      <x:c r="H209" s="104"/>
      <x:c r="I209" s="104"/>
      <x:c r="J209" s="104"/>
      <x:c r="K209" s="104"/>
    </x:row>
    <x:row r="210" spans="6:11" x14ac:dyDescent="0.25">
      <x:c r="F210" s="104"/>
      <x:c r="G210" s="104"/>
      <x:c r="H210" s="104"/>
      <x:c r="I210" s="104"/>
      <x:c r="J210" s="104"/>
      <x:c r="K210" s="104"/>
    </x:row>
    <x:row r="211" spans="6:11" x14ac:dyDescent="0.25">
      <x:c r="F211" s="104"/>
      <x:c r="G211" s="104"/>
      <x:c r="H211" s="104"/>
      <x:c r="I211" s="104"/>
      <x:c r="J211" s="104"/>
      <x:c r="K211" s="104"/>
    </x:row>
    <x:row r="212" spans="6:11" x14ac:dyDescent="0.25">
      <x:c r="F212" s="104"/>
      <x:c r="G212" s="104"/>
      <x:c r="H212" s="104"/>
      <x:c r="I212" s="104"/>
      <x:c r="J212" s="104"/>
      <x:c r="K212" s="104"/>
    </x:row>
    <x:row r="213" spans="6:11" x14ac:dyDescent="0.25">
      <x:c r="F213" s="104"/>
      <x:c r="G213" s="104"/>
      <x:c r="H213" s="104"/>
      <x:c r="I213" s="104"/>
      <x:c r="J213" s="104"/>
      <x:c r="K213" s="104"/>
    </x:row>
    <x:row r="214" spans="6:11" x14ac:dyDescent="0.25">
      <x:c r="F214" s="104"/>
      <x:c r="G214" s="104"/>
      <x:c r="H214" s="104"/>
      <x:c r="I214" s="104"/>
      <x:c r="J214" s="104"/>
      <x:c r="K214" s="104"/>
    </x:row>
    <x:row r="215" spans="6:11" x14ac:dyDescent="0.25">
      <x:c r="F215" s="104"/>
      <x:c r="G215" s="104"/>
      <x:c r="H215" s="104"/>
      <x:c r="I215" s="104"/>
      <x:c r="J215" s="104"/>
      <x:c r="K215" s="104"/>
    </x:row>
    <x:row r="216" spans="6:11" x14ac:dyDescent="0.25">
      <x:c r="F216" s="104"/>
      <x:c r="G216" s="104"/>
      <x:c r="H216" s="104"/>
      <x:c r="I216" s="104"/>
      <x:c r="J216" s="104"/>
      <x:c r="K216" s="104"/>
    </x:row>
    <x:row r="217" spans="6:11" x14ac:dyDescent="0.25">
      <x:c r="F217" s="104"/>
      <x:c r="G217" s="104"/>
      <x:c r="H217" s="104"/>
      <x:c r="I217" s="104"/>
      <x:c r="J217" s="104"/>
      <x:c r="K217" s="104"/>
    </x:row>
    <x:row r="218" spans="6:11" x14ac:dyDescent="0.25">
      <x:c r="F218" s="104"/>
      <x:c r="G218" s="104"/>
      <x:c r="H218" s="104"/>
      <x:c r="I218" s="104"/>
      <x:c r="J218" s="104"/>
      <x:c r="K218" s="104"/>
    </x:row>
    <x:row r="219" spans="6:11" x14ac:dyDescent="0.25">
      <x:c r="F219" s="104"/>
      <x:c r="G219" s="104"/>
      <x:c r="H219" s="104"/>
      <x:c r="I219" s="104"/>
      <x:c r="J219" s="104"/>
      <x:c r="K219" s="104"/>
    </x:row>
    <x:row r="220" spans="6:11" x14ac:dyDescent="0.25">
      <x:c r="F220" s="104"/>
      <x:c r="G220" s="104"/>
      <x:c r="H220" s="104"/>
      <x:c r="I220" s="104"/>
      <x:c r="J220" s="104"/>
      <x:c r="K220" s="104"/>
    </x:row>
    <x:row r="221" spans="6:11" x14ac:dyDescent="0.25">
      <x:c r="F221" s="104"/>
      <x:c r="G221" s="104"/>
      <x:c r="H221" s="104"/>
      <x:c r="I221" s="104"/>
      <x:c r="J221" s="104"/>
      <x:c r="K221" s="104"/>
    </x:row>
    <x:row r="222" spans="6:11" x14ac:dyDescent="0.25">
      <x:c r="F222" s="104"/>
      <x:c r="G222" s="104"/>
      <x:c r="H222" s="104"/>
      <x:c r="I222" s="104"/>
      <x:c r="J222" s="104"/>
      <x:c r="K222" s="104"/>
    </x:row>
    <x:row r="223" spans="6:11" x14ac:dyDescent="0.25">
      <x:c r="F223" s="104"/>
      <x:c r="G223" s="104"/>
      <x:c r="H223" s="104"/>
      <x:c r="I223" s="104"/>
      <x:c r="J223" s="104"/>
      <x:c r="K223" s="104"/>
    </x:row>
    <x:row r="224" spans="6:11" x14ac:dyDescent="0.25">
      <x:c r="F224" s="104"/>
      <x:c r="G224" s="104"/>
      <x:c r="H224" s="104"/>
      <x:c r="I224" s="104"/>
      <x:c r="J224" s="104"/>
      <x:c r="K224" s="104"/>
    </x:row>
    <x:row r="225" spans="6:11" x14ac:dyDescent="0.25">
      <x:c r="F225" s="104"/>
      <x:c r="G225" s="104"/>
      <x:c r="H225" s="104"/>
      <x:c r="I225" s="104"/>
      <x:c r="J225" s="104"/>
      <x:c r="K225" s="104"/>
    </x:row>
    <x:row r="226" spans="6:11" x14ac:dyDescent="0.25">
      <x:c r="F226" s="104"/>
      <x:c r="G226" s="104"/>
      <x:c r="H226" s="104"/>
      <x:c r="I226" s="104"/>
      <x:c r="J226" s="104"/>
      <x:c r="K226" s="104"/>
    </x:row>
    <x:row r="227" spans="6:11" x14ac:dyDescent="0.25">
      <x:c r="F227" s="104"/>
      <x:c r="G227" s="104"/>
      <x:c r="H227" s="104"/>
      <x:c r="I227" s="104"/>
      <x:c r="J227" s="104"/>
      <x:c r="K227" s="104"/>
    </x:row>
    <x:row r="228" spans="6:11" x14ac:dyDescent="0.25">
      <x:c r="F228" s="104"/>
      <x:c r="G228" s="104"/>
      <x:c r="H228" s="104"/>
      <x:c r="I228" s="104"/>
      <x:c r="J228" s="104"/>
      <x:c r="K228" s="104"/>
    </x:row>
    <x:row r="229" spans="6:11" x14ac:dyDescent="0.25">
      <x:c r="F229" s="104"/>
      <x:c r="G229" s="104"/>
      <x:c r="H229" s="104"/>
      <x:c r="I229" s="104"/>
      <x:c r="J229" s="104"/>
      <x:c r="K229" s="104"/>
    </x:row>
    <x:row r="230" spans="6:11" x14ac:dyDescent="0.25">
      <x:c r="F230" s="104"/>
      <x:c r="G230" s="104"/>
      <x:c r="H230" s="104"/>
      <x:c r="I230" s="104"/>
      <x:c r="J230" s="104"/>
      <x:c r="K230" s="104"/>
    </x:row>
    <x:row r="231" spans="6:11" x14ac:dyDescent="0.25">
      <x:c r="F231" s="104"/>
      <x:c r="G231" s="104"/>
      <x:c r="H231" s="104"/>
      <x:c r="I231" s="104"/>
      <x:c r="J231" s="104"/>
      <x:c r="K231" s="104"/>
    </x:row>
    <x:row r="232" spans="6:11" x14ac:dyDescent="0.25">
      <x:c r="F232" s="104"/>
      <x:c r="G232" s="104"/>
      <x:c r="H232" s="104"/>
      <x:c r="I232" s="104"/>
      <x:c r="J232" s="104"/>
      <x:c r="K232" s="104"/>
    </x:row>
    <x:row r="233" spans="6:11" x14ac:dyDescent="0.25">
      <x:c r="F233" s="104"/>
      <x:c r="G233" s="104"/>
      <x:c r="H233" s="104"/>
      <x:c r="I233" s="104"/>
      <x:c r="J233" s="104"/>
      <x:c r="K233" s="104"/>
    </x:row>
    <x:row r="234" spans="6:11" x14ac:dyDescent="0.25">
      <x:c r="F234" s="104"/>
      <x:c r="G234" s="104"/>
      <x:c r="H234" s="104"/>
      <x:c r="I234" s="104"/>
      <x:c r="J234" s="104"/>
      <x:c r="K234" s="104"/>
    </x:row>
    <x:row r="235" spans="6:11" x14ac:dyDescent="0.25">
      <x:c r="F235" s="104"/>
      <x:c r="G235" s="104"/>
      <x:c r="H235" s="104"/>
      <x:c r="I235" s="104"/>
      <x:c r="J235" s="104"/>
      <x:c r="K235" s="104"/>
    </x:row>
    <x:row r="236" spans="6:11" x14ac:dyDescent="0.25">
      <x:c r="F236" s="104"/>
      <x:c r="G236" s="104"/>
      <x:c r="H236" s="104"/>
      <x:c r="I236" s="104"/>
      <x:c r="J236" s="104"/>
      <x:c r="K236" s="104"/>
    </x:row>
    <x:row r="237" spans="6:11" x14ac:dyDescent="0.25">
      <x:c r="F237" s="104"/>
      <x:c r="G237" s="104"/>
      <x:c r="H237" s="104"/>
      <x:c r="I237" s="104"/>
      <x:c r="J237" s="104"/>
      <x:c r="K237" s="104"/>
    </x:row>
    <x:row r="238" spans="6:11" x14ac:dyDescent="0.25">
      <x:c r="F238" s="104"/>
      <x:c r="G238" s="104"/>
      <x:c r="H238" s="104"/>
      <x:c r="I238" s="104"/>
      <x:c r="J238" s="104"/>
      <x:c r="K238" s="104"/>
    </x:row>
    <x:row r="239" spans="6:11" x14ac:dyDescent="0.25">
      <x:c r="F239" s="104"/>
      <x:c r="G239" s="104"/>
      <x:c r="H239" s="104"/>
      <x:c r="I239" s="104"/>
      <x:c r="J239" s="104"/>
      <x:c r="K239" s="104"/>
    </x:row>
    <x:row r="240" spans="6:11" x14ac:dyDescent="0.25">
      <x:c r="F240" s="104"/>
      <x:c r="G240" s="104"/>
      <x:c r="H240" s="104"/>
      <x:c r="I240" s="104"/>
      <x:c r="J240" s="104"/>
      <x:c r="K240" s="104"/>
    </x:row>
  </x:sheetData>
  <x:mergeCells count="6">
    <x:mergeCell ref="C7:D7"/>
    <x:mergeCell ref="F7:G7"/>
    <x:mergeCell ref="I7:J7"/>
    <x:mergeCell ref="C8:D8"/>
    <x:mergeCell ref="F8:G8"/>
    <x:mergeCell ref="I8:J8"/>
  </x:mergeCells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  <x:drawing r:id="rId2"/>
</x:worksheet>
</file>

<file path=xl/worksheets/sheet5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800-000000000000}" mc:Ignorable="x14ac xr xr2 xr3">
  <x:sheetPr codeName="Sheet42">
    <x:tabColor rgb="FF92D050"/>
    <x:pageSetUpPr fitToPage="1"/>
  </x:sheetPr>
  <x:dimension ref="A1:I17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18"/>
    <x:col min="2" max="2" width="17.44140625" style="118" customWidth="1"/>
    <x:col min="3" max="3" width="2" style="118" customWidth="1"/>
    <x:col min="4" max="4" width="14" style="119" customWidth="1"/>
    <x:col min="5" max="5" width="1.109375" style="119" customWidth="1"/>
    <x:col min="6" max="6" width="19.109375" style="120" customWidth="1"/>
    <x:col min="7" max="7" width="9.44140625" style="118" customWidth="1"/>
    <x:col min="8" max="8" width="15.88671875" style="118" customWidth="1"/>
    <x:col min="9" max="9" width="9.109375" style="119"/>
    <x:col min="10" max="16384" width="9.109375" style="118"/>
  </x:cols>
  <x:sheetData>
    <x:row r="1" spans="1:9" s="41" customFormat="1" x14ac:dyDescent="0.25">
      <x:c r="A1" s="180" t="s">
        <x:v>523</x:v>
      </x:c>
      <x:c r="C1" s="180"/>
      <x:c r="D1" s="130"/>
      <x:c r="E1" s="130"/>
      <x:c r="F1" s="130"/>
      <x:c r="I1" s="112"/>
    </x:row>
    <x:row r="2" spans="1:9" s="41" customFormat="1" x14ac:dyDescent="0.25">
      <x:c r="A2" s="180" t="str">
        <x:f>' '!A2</x:f>
        <x:v>ONCOR ELECTRIC DELIVERY COMPANY LLC</x:v>
      </x:c>
      <x:c r="C2" s="180"/>
      <x:c r="D2" s="130"/>
      <x:c r="E2" s="130"/>
      <x:c r="F2" s="130"/>
      <x:c r="I2" s="112"/>
    </x:row>
    <x:row r="3" spans="1:9" s="41" customFormat="1" x14ac:dyDescent="0.25">
      <x:c r="A3" s="180" t="s">
        <x:v>257</x:v>
      </x:c>
      <x:c r="C3" s="180"/>
      <x:c r="D3" s="130"/>
      <x:c r="E3" s="130"/>
      <x:c r="F3" s="130"/>
      <x:c r="I3" s="112"/>
    </x:row>
    <x:row r="4" spans="1:9" s="41" customFormat="1" x14ac:dyDescent="0.25">
      <x:c r="A4" s="767" t="s">
        <x:v>522</x:v>
      </x:c>
      <x:c r="C4" s="180"/>
      <x:c r="D4" s="130"/>
      <x:c r="E4" s="130"/>
      <x:c r="F4" s="130"/>
      <x:c r="I4" s="112"/>
    </x:row>
    <x:row r="5" spans="1:9" s="41" customFormat="1" x14ac:dyDescent="0.25">
      <x:c r="A5" s="180" t="s">
        <x:v>486</x:v>
      </x:c>
      <x:c r="C5" s="180"/>
      <x:c r="D5" s="130"/>
      <x:c r="E5" s="130"/>
      <x:c r="F5" s="130"/>
      <x:c r="H5" s="41" t="s">
        <x:v>464</x:v>
      </x:c>
      <x:c r="I5" s="112"/>
    </x:row>
    <x:row r="7" spans="1:9" s="122" customFormat="1" x14ac:dyDescent="0.25">
      <x:c r="A7" s="201" t="s">
        <x:v>197</x:v>
      </x:c>
      <x:c r="B7" s="316"/>
      <x:c r="C7" s="316"/>
      <x:c r="D7" s="317"/>
      <x:c r="E7" s="317"/>
      <x:c r="F7" s="140"/>
      <x:c r="I7" s="316"/>
    </x:row>
    <x:row r="8" spans="1:9" x14ac:dyDescent="0.25">
      <x:c r="A8" s="202" t="s">
        <x:v>198</x:v>
      </x:c>
      <x:c r="B8" s="320" t="s">
        <x:v>79</x:v>
      </x:c>
      <x:c r="C8" s="321"/>
      <x:c r="D8" s="320" t="s">
        <x:v>26</x:v>
      </x:c>
      <x:c r="E8" s="320"/>
      <x:c r="F8" s="320" t="s">
        <x:v>128</x:v>
      </x:c>
    </x:row>
    <x:row r="9" spans="1:9" x14ac:dyDescent="0.25">
      <x:c r="A9" s="147"/>
      <x:c r="B9" s="40" t="s">
        <x:v>50</x:v>
      </x:c>
      <x:c r="C9" s="40"/>
      <x:c r="D9" s="40" t="s">
        <x:v>51</x:v>
      </x:c>
      <x:c r="E9" s="108"/>
      <x:c r="F9" s="40" t="s">
        <x:v>57</x:v>
      </x:c>
    </x:row>
    <x:row r="10" spans="1:9" x14ac:dyDescent="0.25">
      <x:c r="A10" s="149"/>
      <x:c r="B10" s="109"/>
      <x:c r="C10" s="124"/>
      <x:c r="D10" s="74"/>
      <x:c r="E10" s="74"/>
      <x:c r="F10" s="410"/>
    </x:row>
    <x:row r="11" spans="1:9" x14ac:dyDescent="0.25">
      <x:c r="A11" s="121">
        <x:v>1</x:v>
      </x:c>
      <x:c r="B11" s="119" t="s">
        <x:v>113</x:v>
      </x:c>
      <x:c r="C11" s="119"/>
      <x:c r="D11" s="74">
        <x:f>'13-3-1'!J26</x:f>
        <x:v>-936312.01276923029</x:v>
      </x:c>
      <x:c r="E11" s="384"/>
      <x:c r="F11" s="384" t="s">
        <x:v>336</x:v>
      </x:c>
    </x:row>
    <x:row r="12" spans="1:9" x14ac:dyDescent="0.25">
      <x:c r="A12" s="121">
        <x:v>2</x:v>
      </x:c>
      <x:c r="B12" s="119" t="s">
        <x:v>114</x:v>
      </x:c>
      <x:c r="C12" s="119"/>
      <x:c r="D12" s="386">
        <x:f>'13-3-2'!J27</x:f>
        <x:v>-1962686.90907689</x:v>
      </x:c>
      <x:c r="E12" s="129"/>
      <x:c r="F12" s="128" t="s">
        <x:v>337</x:v>
      </x:c>
    </x:row>
    <x:row r="13" spans="1:9" ht="15.7" customHeight="1" x14ac:dyDescent="0.25">
      <x:c r="A13" s="121">
        <x:f>A12+1</x:f>
        <x:v>3</x:v>
      </x:c>
      <x:c r="B13" s="119"/>
      <x:c r="C13" s="119"/>
      <x:c r="D13" s="118"/>
      <x:c r="F13" s="119"/>
    </x:row>
    <x:row r="14" spans="1:9" ht="13.25" thickBot="1" x14ac:dyDescent="0.3">
      <x:c r="A14" s="121">
        <x:f>A13+1</x:f>
        <x:v>4</x:v>
      </x:c>
      <x:c r="B14" s="119" t="s">
        <x:v>27</x:v>
      </x:c>
      <x:c r="C14" s="119"/>
      <x:c r="D14" s="348">
        <x:f>ROUND(SUM(D11:D12),0)</x:f>
        <x:v>-2898999</x:v>
      </x:c>
      <x:c r="E14" s="384"/>
      <x:c r="F14" s="384"/>
      <x:c r="G14" s="119"/>
    </x:row>
    <x:row r="15" spans="1:9" ht="13.25" thickTop="1" x14ac:dyDescent="0.25">
      <x:c r="B15" s="119"/>
      <x:c r="C15" s="119"/>
      <x:c r="G15" s="119"/>
    </x:row>
    <x:row r="16" spans="1:9" x14ac:dyDescent="0.25">
      <x:c r="B16" s="119"/>
      <x:c r="C16" s="119"/>
    </x:row>
    <x:row r="17" spans="2:3" x14ac:dyDescent="0.25">
      <x:c r="B17" s="119"/>
      <x:c r="C17" s="119"/>
    </x:row>
  </x:sheetData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5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900-000000000000}" mc:Ignorable="x14ac xr xr2 xr3">
  <x:sheetPr codeName="Sheet43">
    <x:tabColor rgb="FF92D050"/>
    <x:pageSetUpPr fitToPage="1"/>
  </x:sheetPr>
  <x:dimension ref="A1:J29"/>
  <x:sheetViews>
    <x:sheetView topLeftCell="A4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18"/>
    <x:col min="2" max="2" width="17.44140625" style="118" customWidth="1"/>
    <x:col min="3" max="3" width="2" style="118" customWidth="1"/>
    <x:col min="4" max="4" width="14" style="119" customWidth="1"/>
    <x:col min="5" max="5" width="1.5546875" style="119" customWidth="1"/>
    <x:col min="6" max="6" width="23" style="120" customWidth="1"/>
    <x:col min="7" max="7" width="14" style="118" customWidth="1"/>
    <x:col min="8" max="8" width="1.5546875" style="118" customWidth="1"/>
    <x:col min="9" max="9" width="23" style="121" customWidth="1"/>
    <x:col min="10" max="10" width="14" style="118" customWidth="1"/>
    <x:col min="11" max="12" width="9.44140625" style="118" customWidth="1"/>
    <x:col min="13" max="13" width="15.88671875" style="118" customWidth="1"/>
    <x:col min="14" max="16384" width="9.109375" style="118"/>
  </x:cols>
  <x:sheetData>
    <x:row r="1" spans="1:10" s="41" customFormat="1" x14ac:dyDescent="0.25">
      <x:c r="A1" s="180" t="s">
        <x:v>523</x:v>
      </x:c>
      <x:c r="C1" s="180"/>
      <x:c r="D1" s="130"/>
      <x:c r="E1" s="130"/>
      <x:c r="F1" s="130"/>
      <x:c r="I1" s="297"/>
    </x:row>
    <x:row r="2" spans="1:10" s="41" customFormat="1" x14ac:dyDescent="0.25">
      <x:c r="A2" s="180" t="str">
        <x:f>' '!A2</x:f>
        <x:v>ONCOR ELECTRIC DELIVERY COMPANY LLC</x:v>
      </x:c>
      <x:c r="C2" s="180"/>
      <x:c r="D2" s="130"/>
      <x:c r="E2" s="130"/>
      <x:c r="F2" s="130"/>
      <x:c r="I2" s="297"/>
    </x:row>
    <x:row r="3" spans="1:10" s="41" customFormat="1" x14ac:dyDescent="0.25">
      <x:c r="A3" s="180" t="s">
        <x:v>169</x:v>
      </x:c>
      <x:c r="C3" s="180"/>
      <x:c r="D3" s="130"/>
      <x:c r="E3" s="130"/>
      <x:c r="F3" s="130"/>
      <x:c r="I3" s="297"/>
    </x:row>
    <x:row r="4" spans="1:10" s="41" customFormat="1" x14ac:dyDescent="0.25">
      <x:c r="A4" s="767" t="s">
        <x:v>522</x:v>
      </x:c>
      <x:c r="C4" s="180"/>
      <x:c r="D4" s="130"/>
      <x:c r="E4" s="130"/>
      <x:c r="F4" s="130"/>
      <x:c r="I4" s="297"/>
    </x:row>
    <x:row r="5" spans="1:10" s="41" customFormat="1" x14ac:dyDescent="0.25">
      <x:c r="A5" s="180" t="s">
        <x:v>486</x:v>
      </x:c>
      <x:c r="C5" s="180"/>
      <x:c r="D5" s="130"/>
      <x:c r="E5" s="130"/>
      <x:c r="F5" s="130"/>
      <x:c r="H5" s="41" t="s">
        <x:v>464</x:v>
      </x:c>
      <x:c r="I5" s="297"/>
    </x:row>
    <x:row r="7" spans="1:10" s="122" customFormat="1" x14ac:dyDescent="0.25">
      <x:c r="A7" s="201" t="s">
        <x:v>197</x:v>
      </x:c>
      <x:c r="B7" s="316"/>
      <x:c r="C7" s="316"/>
      <x:c r="D7" s="317" t="s">
        <x:v>125</x:v>
      </x:c>
      <x:c r="E7" s="317"/>
      <x:c r="F7" s="140"/>
      <x:c r="G7" s="318" t="s">
        <x:v>126</x:v>
      </x:c>
      <x:c r="H7" s="318"/>
      <x:c r="I7" s="319"/>
      <x:c r="J7" s="316"/>
    </x:row>
    <x:row r="8" spans="1:10" x14ac:dyDescent="0.25">
      <x:c r="A8" s="202" t="s">
        <x:v>198</x:v>
      </x:c>
      <x:c r="B8" s="320" t="s">
        <x:v>79</x:v>
      </x:c>
      <x:c r="C8" s="321"/>
      <x:c r="D8" s="320" t="s">
        <x:v>127</x:v>
      </x:c>
      <x:c r="E8" s="320"/>
      <x:c r="F8" s="320" t="s">
        <x:v>128</x:v>
      </x:c>
      <x:c r="G8" s="322" t="s">
        <x:v>129</x:v>
      </x:c>
      <x:c r="H8" s="322"/>
      <x:c r="I8" s="320" t="s">
        <x:v>128</x:v>
      </x:c>
      <x:c r="J8" s="320" t="s">
        <x:v>26</x:v>
      </x:c>
    </x:row>
    <x:row r="9" spans="1:10" x14ac:dyDescent="0.25">
      <x:c r="A9" s="147"/>
      <x:c r="B9" s="40" t="s">
        <x:v>50</x:v>
      </x:c>
      <x:c r="C9" s="40"/>
      <x:c r="D9" s="40" t="s">
        <x:v>51</x:v>
      </x:c>
      <x:c r="E9" s="108"/>
      <x:c r="F9" s="40" t="s">
        <x:v>57</x:v>
      </x:c>
      <x:c r="G9" s="40" t="s">
        <x:v>52</x:v>
      </x:c>
      <x:c r="H9" s="108"/>
      <x:c r="I9" s="40" t="s">
        <x:v>53</x:v>
      </x:c>
      <x:c r="J9" s="40" t="s">
        <x:v>54</x:v>
      </x:c>
    </x:row>
    <x:row r="10" spans="1:10" x14ac:dyDescent="0.25">
      <x:c r="A10" s="149">
        <x:v>1</x:v>
      </x:c>
      <x:c r="B10" s="109" t="s">
        <x:v>121</x:v>
      </x:c>
      <x:c r="C10" s="124"/>
      <x:c r="D10" s="384">
        <x:f>'13-3-1-1'!D11</x:f>
        <x:v>740261.54</x:v>
      </x:c>
      <x:c r="E10" s="384"/>
      <x:c r="F10" s="415" t="s">
        <x:v>338</x:v>
      </x:c>
      <x:c r="G10" s="411">
        <x:f>'13-3-1-2'!K11</x:f>
        <x:v>-1832161.85</x:v>
      </x:c>
      <x:c r="H10" s="411"/>
      <x:c r="I10" s="415" t="s">
        <x:v>339</x:v>
      </x:c>
      <x:c r="J10" s="411">
        <x:f>SUM(D10:G10)</x:f>
        <x:v>-1091900.31</x:v>
      </x:c>
    </x:row>
    <x:row r="11" spans="1:10" x14ac:dyDescent="0.25">
      <x:c r="A11" s="121">
        <x:f t="shared" ref="A11:A29" si="0">A10+1</x:f>
        <x:v>2</x:v>
      </x:c>
      <x:c r="B11" s="124" t="s">
        <x:v>122</x:v>
      </x:c>
      <x:c r="C11" s="124"/>
      <x:c r="D11" s="131"/>
      <x:c r="E11" s="110"/>
      <x:c r="F11" s="125"/>
      <x:c r="G11" s="244"/>
      <x:c r="H11" s="244"/>
      <x:c r="I11" s="245"/>
      <x:c r="J11" s="244"/>
    </x:row>
    <x:row r="12" spans="1:10" x14ac:dyDescent="0.25">
      <x:c r="A12" s="121">
        <x:f t="shared" si="0"/>
        <x:v>3</x:v>
      </x:c>
      <x:c r="B12" s="658">
        <x:v>45292</x:v>
      </x:c>
      <x:c r="C12" s="124"/>
      <x:c r="D12" s="131">
        <x:f>'13-3-1-1'!D12</x:f>
        <x:v>0</x:v>
      </x:c>
      <x:c r="E12" s="110"/>
      <x:c r="F12" s="125" t="s">
        <x:v>338</x:v>
      </x:c>
      <x:c r="G12" s="608">
        <x:f>'13-3-1-2'!K13</x:f>
        <x:v>-1832161.85</x:v>
      </x:c>
      <x:c r="H12" s="43"/>
      <x:c r="I12" s="125" t="s">
        <x:v>339</x:v>
      </x:c>
      <x:c r="J12" s="268">
        <x:f t="shared" ref="J12:J23" si="1">SUM(D12:G12)</x:f>
        <x:v>-1832161.85</x:v>
      </x:c>
    </x:row>
    <x:row r="13" spans="1:10" x14ac:dyDescent="0.25">
      <x:c r="A13" s="121">
        <x:f t="shared" si="0"/>
        <x:v>4</x:v>
      </x:c>
      <x:c r="B13" s="658">
        <x:v>45323</x:v>
      </x:c>
      <x:c r="C13" s="124"/>
      <x:c r="D13" s="131">
        <x:f>'13-3-1-1'!D13</x:f>
        <x:v>0</x:v>
      </x:c>
      <x:c r="E13" s="110"/>
      <x:c r="F13" s="125" t="s">
        <x:v>338</x:v>
      </x:c>
      <x:c r="G13" s="608">
        <x:f>'13-3-1-2'!K14</x:f>
        <x:v>-1832161.85</x:v>
      </x:c>
      <x:c r="H13" s="43"/>
      <x:c r="I13" s="125" t="s">
        <x:v>339</x:v>
      </x:c>
      <x:c r="J13" s="268">
        <x:f t="shared" si="1"/>
        <x:v>-1832161.85</x:v>
      </x:c>
    </x:row>
    <x:row r="14" spans="1:10" x14ac:dyDescent="0.25">
      <x:c r="A14" s="121">
        <x:f t="shared" si="0"/>
        <x:v>5</x:v>
      </x:c>
      <x:c r="B14" s="658">
        <x:v>45352</x:v>
      </x:c>
      <x:c r="C14" s="124"/>
      <x:c r="D14" s="131">
        <x:f>'13-3-1-1'!D14</x:f>
        <x:v>52840.970000000088</x:v>
      </x:c>
      <x:c r="E14" s="110"/>
      <x:c r="F14" s="125" t="s">
        <x:v>338</x:v>
      </x:c>
      <x:c r="G14" s="608">
        <x:f>'13-3-1-2'!K15</x:f>
        <x:v>-1540515.5</x:v>
      </x:c>
      <x:c r="H14" s="43"/>
      <x:c r="I14" s="125" t="s">
        <x:v>339</x:v>
      </x:c>
      <x:c r="J14" s="268">
        <x:f t="shared" si="1"/>
        <x:v>-1487674.5299999998</x:v>
      </x:c>
    </x:row>
    <x:row r="15" spans="1:10" x14ac:dyDescent="0.25">
      <x:c r="A15" s="121">
        <x:f t="shared" si="0"/>
        <x:v>6</x:v>
      </x:c>
      <x:c r="B15" s="658">
        <x:v>45383</x:v>
      </x:c>
      <x:c r="C15" s="124"/>
      <x:c r="D15" s="131">
        <x:f>'13-3-1-1'!D15</x:f>
        <x:v>0</x:v>
      </x:c>
      <x:c r="E15" s="110"/>
      <x:c r="F15" s="125" t="s">
        <x:v>338</x:v>
      </x:c>
      <x:c r="G15" s="608">
        <x:f>'13-3-1-2'!K16</x:f>
        <x:v>-1540515.5</x:v>
      </x:c>
      <x:c r="H15" s="43"/>
      <x:c r="I15" s="125" t="s">
        <x:v>339</x:v>
      </x:c>
      <x:c r="J15" s="268">
        <x:f t="shared" si="1"/>
        <x:v>-1540515.5</x:v>
      </x:c>
    </x:row>
    <x:row r="16" spans="1:10" x14ac:dyDescent="0.25">
      <x:c r="A16" s="121">
        <x:f t="shared" si="0"/>
        <x:v>7</x:v>
      </x:c>
      <x:c r="B16" s="658">
        <x:v>45413</x:v>
      </x:c>
      <x:c r="C16" s="124"/>
      <x:c r="D16" s="131">
        <x:f>'13-3-1-1'!D16</x:f>
        <x:v>0</x:v>
      </x:c>
      <x:c r="E16" s="110"/>
      <x:c r="F16" s="125" t="s">
        <x:v>338</x:v>
      </x:c>
      <x:c r="G16" s="608">
        <x:f>'13-3-1-2'!K17</x:f>
        <x:v>-1540515.5</x:v>
      </x:c>
      <x:c r="H16" s="43"/>
      <x:c r="I16" s="125" t="s">
        <x:v>339</x:v>
      </x:c>
      <x:c r="J16" s="268">
        <x:f t="shared" si="1"/>
        <x:v>-1540515.5</x:v>
      </x:c>
    </x:row>
    <x:row r="17" spans="1:10" x14ac:dyDescent="0.25">
      <x:c r="A17" s="121">
        <x:f t="shared" si="0"/>
        <x:v>8</x:v>
      </x:c>
      <x:c r="B17" s="658">
        <x:v>45444</x:v>
      </x:c>
      <x:c r="C17" s="124"/>
      <x:c r="D17" s="131">
        <x:f>'13-3-1-1'!D17</x:f>
        <x:v>618585.44000000006</x:v>
      </x:c>
      <x:c r="E17" s="110"/>
      <x:c r="F17" s="125" t="s">
        <x:v>338</x:v>
      </x:c>
      <x:c r="G17" s="608">
        <x:f>'13-3-1-2'!K18</x:f>
        <x:v>-1504560.88</x:v>
      </x:c>
      <x:c r="H17" s="43"/>
      <x:c r="I17" s="125" t="s">
        <x:v>339</x:v>
      </x:c>
      <x:c r="J17" s="268">
        <x:f t="shared" si="1"/>
        <x:v>-885975.43999999983</x:v>
      </x:c>
    </x:row>
    <x:row r="18" spans="1:10" x14ac:dyDescent="0.25">
      <x:c r="A18" s="121">
        <x:f t="shared" si="0"/>
        <x:v>9</x:v>
      </x:c>
      <x:c r="B18" s="658">
        <x:v>45474</x:v>
      </x:c>
      <x:c r="C18" s="124"/>
      <x:c r="D18" s="131">
        <x:f>'13-3-1-1'!D18</x:f>
        <x:v>0</x:v>
      </x:c>
      <x:c r="E18" s="110"/>
      <x:c r="F18" s="125" t="s">
        <x:v>338</x:v>
      </x:c>
      <x:c r="G18" s="608">
        <x:f>'13-3-1-2'!K19</x:f>
        <x:v>-1504560.88</x:v>
      </x:c>
      <x:c r="H18" s="43"/>
      <x:c r="I18" s="125" t="s">
        <x:v>339</x:v>
      </x:c>
      <x:c r="J18" s="268">
        <x:f t="shared" si="1"/>
        <x:v>-1504560.88</x:v>
      </x:c>
    </x:row>
    <x:row r="19" spans="1:10" x14ac:dyDescent="0.25">
      <x:c r="A19" s="121">
        <x:f t="shared" si="0"/>
        <x:v>10</x:v>
      </x:c>
      <x:c r="B19" s="658">
        <x:v>45505</x:v>
      </x:c>
      <x:c r="C19" s="124"/>
      <x:c r="D19" s="131">
        <x:f>'13-3-1-1'!D19</x:f>
        <x:v>0</x:v>
      </x:c>
      <x:c r="E19" s="110"/>
      <x:c r="F19" s="125" t="s">
        <x:v>338</x:v>
      </x:c>
      <x:c r="G19" s="608">
        <x:f>'13-3-1-2'!K20</x:f>
        <x:v>-1504560.88</x:v>
      </x:c>
      <x:c r="H19" s="43"/>
      <x:c r="I19" s="125" t="s">
        <x:v>339</x:v>
      </x:c>
      <x:c r="J19" s="268">
        <x:f t="shared" si="1"/>
        <x:v>-1504560.88</x:v>
      </x:c>
    </x:row>
    <x:row r="20" spans="1:10" x14ac:dyDescent="0.25">
      <x:c r="A20" s="121">
        <x:f t="shared" si="0"/>
        <x:v>11</x:v>
      </x:c>
      <x:c r="B20" s="658">
        <x:v>45536</x:v>
      </x:c>
      <x:c r="C20" s="124"/>
      <x:c r="D20" s="131">
        <x:f>'13-3-1-1'!D20</x:f>
        <x:v>1659128.2</x:v>
      </x:c>
      <x:c r="E20" s="110"/>
      <x:c r="F20" s="125" t="s">
        <x:v>338</x:v>
      </x:c>
      <x:c r="G20" s="608">
        <x:f>'13-3-1-2'!K21</x:f>
        <x:v>-1320318.17</x:v>
      </x:c>
      <x:c r="H20" s="43"/>
      <x:c r="I20" s="125" t="s">
        <x:v>339</x:v>
      </x:c>
      <x:c r="J20" s="268">
        <x:f t="shared" si="1"/>
        <x:v>338810.03</x:v>
      </x:c>
    </x:row>
    <x:row r="21" spans="1:10" x14ac:dyDescent="0.25">
      <x:c r="A21" s="121">
        <x:f t="shared" si="0"/>
        <x:v>12</x:v>
      </x:c>
      <x:c r="B21" s="658">
        <x:v>45566</x:v>
      </x:c>
      <x:c r="C21" s="124"/>
      <x:c r="D21" s="131">
        <x:f>'13-3-1-1'!D21</x:f>
        <x:v>0</x:v>
      </x:c>
      <x:c r="E21" s="110"/>
      <x:c r="F21" s="125" t="s">
        <x:v>338</x:v>
      </x:c>
      <x:c r="G21" s="608">
        <x:f>'13-3-1-2'!K22</x:f>
        <x:v>-1320318.17</x:v>
      </x:c>
      <x:c r="H21" s="43"/>
      <x:c r="I21" s="125" t="s">
        <x:v>339</x:v>
      </x:c>
      <x:c r="J21" s="268">
        <x:f t="shared" si="1"/>
        <x:v>-1320318.17</x:v>
      </x:c>
    </x:row>
    <x:row r="22" spans="1:10" x14ac:dyDescent="0.25">
      <x:c r="A22" s="121">
        <x:f t="shared" si="0"/>
        <x:v>13</x:v>
      </x:c>
      <x:c r="B22" s="658">
        <x:v>45597</x:v>
      </x:c>
      <x:c r="C22" s="124"/>
      <x:c r="D22" s="131">
        <x:f>'13-3-1-1'!D22</x:f>
        <x:v>0</x:v>
      </x:c>
      <x:c r="E22" s="110"/>
      <x:c r="F22" s="125" t="s">
        <x:v>338</x:v>
      </x:c>
      <x:c r="G22" s="608">
        <x:f>'13-3-1-2'!K23</x:f>
        <x:v>-1320318.17</x:v>
      </x:c>
      <x:c r="H22" s="43"/>
      <x:c r="I22" s="125" t="s">
        <x:v>339</x:v>
      </x:c>
      <x:c r="J22" s="268">
        <x:f t="shared" si="1"/>
        <x:v>-1320318.17</x:v>
      </x:c>
    </x:row>
    <x:row r="23" spans="1:10" x14ac:dyDescent="0.25">
      <x:c r="A23" s="121">
        <x:f t="shared" si="0"/>
        <x:v>14</x:v>
      </x:c>
      <x:c r="B23" s="658">
        <x:v>45627</x:v>
      </x:c>
      <x:c r="C23" s="124"/>
      <x:c r="D23" s="131">
        <x:f>'13-3-1-1'!D23</x:f>
        <x:v>20300.290000000969</x:v>
      </x:c>
      <x:c r="E23" s="110"/>
      <x:c r="F23" s="125" t="s">
        <x:v>338</x:v>
      </x:c>
      <x:c r="G23" s="608">
        <x:f>'13-3-1-2'!K24</x:f>
        <x:v>-1616289.71</x:v>
      </x:c>
      <x:c r="H23" s="43"/>
      <x:c r="I23" s="125" t="s">
        <x:v>339</x:v>
      </x:c>
      <x:c r="J23" s="268">
        <x:f t="shared" si="1"/>
        <x:v>-1595989.419999999</x:v>
      </x:c>
    </x:row>
    <x:row r="24" spans="1:10" x14ac:dyDescent="0.25">
      <x:c r="A24" s="121">
        <x:f t="shared" si="0"/>
        <x:v>15</x:v>
      </x:c>
      <x:c r="B24" s="124"/>
      <x:c r="C24" s="124"/>
      <x:c r="D24" s="134"/>
      <x:c r="E24" s="124"/>
      <x:c r="F24" s="132"/>
      <x:c r="G24" s="246"/>
      <x:c r="H24" s="43"/>
      <x:c r="I24" s="132"/>
      <x:c r="J24" s="247"/>
    </x:row>
    <x:row r="25" spans="1:10" x14ac:dyDescent="0.25">
      <x:c r="A25" s="121">
        <x:f t="shared" si="0"/>
        <x:v>16</x:v>
      </x:c>
      <x:c r="B25" s="124" t="s">
        <x:v>400</x:v>
      </x:c>
      <x:c r="C25" s="124"/>
      <x:c r="D25" s="412">
        <x:f>SUM(D10:D23)</x:f>
        <x:v>3091116.4400000013</x:v>
      </x:c>
      <x:c r="E25" s="412"/>
      <x:c r="F25" s="413"/>
      <x:c r="G25" s="412">
        <x:f>SUM(G10:G23)</x:f>
        <x:v>-20208958.909999996</x:v>
      </x:c>
      <x:c r="H25" s="347"/>
      <x:c r="I25" s="413"/>
      <x:c r="J25" s="347">
        <x:f>SUM(J10:J23)</x:f>
        <x:v>-17117842.469999999</x:v>
      </x:c>
    </x:row>
    <x:row r="26" spans="1:10" ht="13.25" thickBot="1" x14ac:dyDescent="0.3">
      <x:c r="A26" s="121">
        <x:f t="shared" si="0"/>
        <x:v>17</x:v>
      </x:c>
      <x:c r="B26" s="124" t="s">
        <x:v>401</x:v>
      </x:c>
      <x:c r="C26" s="124"/>
      <x:c r="D26" s="663">
        <x:f>D25/5</x:f>
        <x:v>618223.28800000029</x:v>
      </x:c>
      <x:c r="E26" s="399"/>
      <x:c r="F26" s="414"/>
      <x:c r="G26" s="387">
        <x:f>G25/13</x:f>
        <x:v>-1554535.3007692306</x:v>
      </x:c>
      <x:c r="H26" s="387"/>
      <x:c r="I26" s="414"/>
      <x:c r="J26" s="399">
        <x:f>+G26+D26</x:f>
        <x:v>-936312.01276923029</x:v>
      </x:c>
    </x:row>
    <x:row r="27" spans="1:10" ht="13.25" thickTop="1" x14ac:dyDescent="0.25">
      <x:c r="A27" s="121">
        <x:f t="shared" si="0"/>
        <x:v>18</x:v>
      </x:c>
      <x:c r="D27" s="123"/>
      <x:c r="F27" s="123"/>
      <x:c r="G27" s="123"/>
      <x:c r="J27" s="123"/>
    </x:row>
    <x:row r="28" spans="1:10" x14ac:dyDescent="0.25">
      <x:c r="A28" s="121">
        <x:f t="shared" si="0"/>
        <x:v>19</x:v>
      </x:c>
    </x:row>
    <x:row r="29" spans="1:10" x14ac:dyDescent="0.25">
      <x:c r="A29" s="121">
        <x:f t="shared" si="0"/>
        <x:v>20</x:v>
      </x:c>
      <x:c r="B29" s="534" t="s">
        <x:v>372</x:v>
      </x:c>
    </x:row>
  </x:sheetData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5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A00-000000000000}" mc:Ignorable="x14ac xr xr2 xr3">
  <x:sheetPr codeName="Sheet44">
    <x:tabColor rgb="FF92D050"/>
    <x:pageSetUpPr fitToPage="1"/>
  </x:sheetPr>
  <x:dimension ref="A1:J30"/>
  <x:sheetViews>
    <x:sheetView topLeftCell="A13" zoomScaleNormal="100" workbookViewId="0">
      <x:selection activeCell="D37" sqref="D37"/>
    </x:sheetView>
  </x:sheetViews>
  <x:sheetFormatPr defaultColWidth="8" defaultRowHeight="12.7" x14ac:dyDescent="0.25"/>
  <x:cols>
    <x:col min="1" max="1" width="9.44140625" style="135" bestFit="1" customWidth="1"/>
    <x:col min="2" max="2" width="21.44140625" style="135" customWidth="1"/>
    <x:col min="3" max="3" width="15.5546875" style="135" bestFit="1" customWidth="1"/>
    <x:col min="4" max="4" width="15.44140625" style="135" customWidth="1"/>
    <x:col min="5" max="5" width="12.44140625" style="135" bestFit="1" customWidth="1"/>
    <x:col min="6" max="16384" width="8" style="135"/>
  </x:cols>
  <x:sheetData>
    <x:row r="1" spans="1:10" s="41" customFormat="1" x14ac:dyDescent="0.25">
      <x:c r="A1" s="180" t="s">
        <x:v>523</x:v>
      </x:c>
      <x:c r="C1" s="180"/>
      <x:c r="D1" s="180"/>
      <x:c r="E1" s="180"/>
    </x:row>
    <x:row r="2" spans="1:10" s="41" customFormat="1" x14ac:dyDescent="0.25">
      <x:c r="A2" s="180" t="str">
        <x:f>' '!A2</x:f>
        <x:v>ONCOR ELECTRIC DELIVERY COMPANY LLC</x:v>
      </x:c>
      <x:c r="C2" s="180"/>
      <x:c r="D2" s="180"/>
      <x:c r="E2" s="180"/>
    </x:row>
    <x:row r="3" spans="1:10" s="41" customFormat="1" x14ac:dyDescent="0.25">
      <x:c r="A3" s="180" t="s">
        <x:v>171</x:v>
      </x:c>
      <x:c r="C3" s="180"/>
      <x:c r="D3" s="180"/>
      <x:c r="E3" s="180"/>
    </x:row>
    <x:row r="4" spans="1:10" s="41" customFormat="1" x14ac:dyDescent="0.25">
      <x:c r="A4" s="767" t="s">
        <x:v>522</x:v>
      </x:c>
      <x:c r="C4" s="180"/>
      <x:c r="D4" s="180"/>
      <x:c r="E4" s="180"/>
    </x:row>
    <x:row r="5" spans="1:10" s="41" customFormat="1" x14ac:dyDescent="0.25">
      <x:c r="A5" s="180" t="s">
        <x:v>486</x:v>
      </x:c>
      <x:c r="C5" s="180"/>
      <x:c r="D5" s="180"/>
      <x:c r="E5" s="180"/>
      <x:c r="H5" s="41" t="s">
        <x:v>464</x:v>
      </x:c>
    </x:row>
    <x:row r="7" spans="1:10" s="136" customFormat="1" x14ac:dyDescent="0.25">
      <x:c r="A7" s="201" t="s">
        <x:v>197</x:v>
      </x:c>
      <x:c r="B7" s="323"/>
      <x:c r="C7" s="324" t="s">
        <x:v>130</x:v>
      </x:c>
      <x:c r="D7" s="324" t="s">
        <x:v>396</x:v>
      </x:c>
    </x:row>
    <x:row r="8" spans="1:10" x14ac:dyDescent="0.25">
      <x:c r="A8" s="202" t="s">
        <x:v>198</x:v>
      </x:c>
      <x:c r="B8" s="325" t="s">
        <x:v>79</x:v>
      </x:c>
      <x:c r="C8" s="325" t="s">
        <x:v>131</x:v>
      </x:c>
      <x:c r="D8" s="325" t="s">
        <x:v>130</x:v>
      </x:c>
    </x:row>
    <x:row r="9" spans="1:10" x14ac:dyDescent="0.25">
      <x:c r="A9" s="147"/>
      <x:c r="B9" s="40" t="s">
        <x:v>50</x:v>
      </x:c>
      <x:c r="C9" s="40" t="s">
        <x:v>51</x:v>
      </x:c>
      <x:c r="D9" s="40" t="s">
        <x:v>57</x:v>
      </x:c>
      <x:c r="E9" s="40"/>
      <x:c r="F9" s="40"/>
      <x:c r="G9" s="108"/>
      <x:c r="H9" s="40"/>
      <x:c r="I9" s="40"/>
    </x:row>
    <x:row r="10" spans="1:10" x14ac:dyDescent="0.25">
      <x:c r="A10" s="147"/>
      <x:c r="B10" s="40"/>
      <x:c r="C10" s="40"/>
      <x:c r="D10" s="108"/>
      <x:c r="E10" s="40"/>
      <x:c r="F10" s="40"/>
      <x:c r="G10" s="108"/>
      <x:c r="H10" s="40"/>
      <x:c r="I10" s="40"/>
    </x:row>
    <x:row r="11" spans="1:10" x14ac:dyDescent="0.25">
      <x:c r="A11" s="149">
        <x:v>1</x:v>
      </x:c>
      <x:c r="B11" s="137" t="s">
        <x:v>132</x:v>
      </x:c>
      <x:c r="C11" s="418">
        <x:v>740261.54</x:v>
      </x:c>
      <x:c r="D11" s="418">
        <x:v>740261.54</x:v>
      </x:c>
      <x:c r="E11" s="418"/>
    </x:row>
    <x:row r="12" spans="1:10" x14ac:dyDescent="0.25">
      <x:c r="A12" s="137">
        <x:f t="shared" ref="A12:A30" si="0">A11+1</x:f>
        <x:v>2</x:v>
      </x:c>
      <x:c r="B12" s="658">
        <x:v>45292</x:v>
      </x:c>
      <x:c r="C12" s="418">
        <x:v>689032.96000000008</x:v>
      </x:c>
      <x:c r="D12" s="418">
        <x:v>0</x:v>
      </x:c>
      <x:c r="E12" s="536"/>
    </x:row>
    <x:row r="13" spans="1:10" x14ac:dyDescent="0.25">
      <x:c r="A13" s="137">
        <x:f t="shared" si="0"/>
        <x:v>3</x:v>
      </x:c>
      <x:c r="B13" s="658">
        <x:v>45350</x:v>
      </x:c>
      <x:c r="C13" s="418">
        <x:v>763373.25000000012</x:v>
      </x:c>
      <x:c r="D13" s="418">
        <x:v>0</x:v>
      </x:c>
      <x:c r="E13" s="535"/>
      <x:c r="F13" s="535"/>
      <x:c r="G13" s="535"/>
      <x:c r="H13" s="535"/>
      <x:c r="I13" s="535"/>
      <x:c r="J13" s="537"/>
    </x:row>
    <x:row r="14" spans="1:10" x14ac:dyDescent="0.25">
      <x:c r="A14" s="137">
        <x:f t="shared" si="0"/>
        <x:v>4</x:v>
      </x:c>
      <x:c r="B14" s="658">
        <x:v>45382</x:v>
      </x:c>
      <x:c r="C14" s="418">
        <x:v>52840.970000000088</x:v>
      </x:c>
      <x:c r="D14" s="418">
        <x:v>52840.970000000088</x:v>
      </x:c>
      <x:c r="E14" s="416"/>
    </x:row>
    <x:row r="15" spans="1:10" x14ac:dyDescent="0.25">
      <x:c r="A15" s="137">
        <x:f t="shared" si="0"/>
        <x:v>5</x:v>
      </x:c>
      <x:c r="B15" s="658">
        <x:v>45412</x:v>
      </x:c>
      <x:c r="C15" s="418">
        <x:v>355412.66000000009</x:v>
      </x:c>
      <x:c r="D15" s="418">
        <x:v>0</x:v>
      </x:c>
      <x:c r="E15" s="416"/>
    </x:row>
    <x:row r="16" spans="1:10" x14ac:dyDescent="0.25">
      <x:c r="A16" s="137">
        <x:f t="shared" si="0"/>
        <x:v>6</x:v>
      </x:c>
      <x:c r="B16" s="658">
        <x:v>45443</x:v>
      </x:c>
      <x:c r="C16" s="418">
        <x:v>1208417.79</x:v>
      </x:c>
      <x:c r="D16" s="418">
        <x:v>0</x:v>
      </x:c>
      <x:c r="E16" s="416"/>
    </x:row>
    <x:row r="17" spans="1:9" x14ac:dyDescent="0.25">
      <x:c r="A17" s="137">
        <x:f t="shared" si="0"/>
        <x:v>7</x:v>
      </x:c>
      <x:c r="B17" s="658">
        <x:v>45473</x:v>
      </x:c>
      <x:c r="C17" s="418">
        <x:v>618585.44000000006</x:v>
      </x:c>
      <x:c r="D17" s="418">
        <x:v>618585.44000000006</x:v>
      </x:c>
      <x:c r="E17" s="416"/>
    </x:row>
    <x:row r="18" spans="1:9" x14ac:dyDescent="0.25">
      <x:c r="A18" s="137">
        <x:f t="shared" si="0"/>
        <x:v>8</x:v>
      </x:c>
      <x:c r="B18" s="658">
        <x:v>45504</x:v>
      </x:c>
      <x:c r="C18" s="418">
        <x:v>3220065.12</x:v>
      </x:c>
      <x:c r="D18" s="418">
        <x:v>0</x:v>
      </x:c>
      <x:c r="E18" s="416"/>
    </x:row>
    <x:row r="19" spans="1:9" x14ac:dyDescent="0.25">
      <x:c r="A19" s="137">
        <x:f t="shared" si="0"/>
        <x:v>9</x:v>
      </x:c>
      <x:c r="B19" s="658">
        <x:v>45535</x:v>
      </x:c>
      <x:c r="C19" s="418">
        <x:v>2826091.52</x:v>
      </x:c>
      <x:c r="D19" s="418">
        <x:v>0</x:v>
      </x:c>
      <x:c r="E19" s="535"/>
      <x:c r="F19" s="535"/>
      <x:c r="G19" s="535"/>
      <x:c r="H19" s="535"/>
      <x:c r="I19" s="535"/>
    </x:row>
    <x:row r="20" spans="1:9" x14ac:dyDescent="0.25">
      <x:c r="A20" s="137">
        <x:f t="shared" si="0"/>
        <x:v>10</x:v>
      </x:c>
      <x:c r="B20" s="658">
        <x:v>45565</x:v>
      </x:c>
      <x:c r="C20" s="418">
        <x:v>1659128.2</x:v>
      </x:c>
      <x:c r="D20" s="418">
        <x:v>1659128.2</x:v>
      </x:c>
      <x:c r="E20" s="416"/>
    </x:row>
    <x:row r="21" spans="1:9" x14ac:dyDescent="0.25">
      <x:c r="A21" s="137">
        <x:f t="shared" si="0"/>
        <x:v>11</x:v>
      </x:c>
      <x:c r="B21" s="658">
        <x:v>45596</x:v>
      </x:c>
      <x:c r="C21" s="418">
        <x:v>4641002.32</x:v>
      </x:c>
      <x:c r="D21" s="418">
        <x:v>0</x:v>
      </x:c>
      <x:c r="E21" s="416"/>
    </x:row>
    <x:row r="22" spans="1:9" x14ac:dyDescent="0.25">
      <x:c r="A22" s="137">
        <x:f t="shared" si="0"/>
        <x:v>12</x:v>
      </x:c>
      <x:c r="B22" s="658">
        <x:v>45626</x:v>
      </x:c>
      <x:c r="C22" s="418">
        <x:v>5033065.8100000005</x:v>
      </x:c>
      <x:c r="D22" s="418">
        <x:v>0</x:v>
      </x:c>
      <x:c r="E22" s="416"/>
    </x:row>
    <x:row r="23" spans="1:9" x14ac:dyDescent="0.25">
      <x:c r="A23" s="137">
        <x:f t="shared" si="0"/>
        <x:v>13</x:v>
      </x:c>
      <x:c r="B23" s="658">
        <x:v>45657</x:v>
      </x:c>
      <x:c r="C23" s="418">
        <x:v>20300.290000000969</x:v>
      </x:c>
      <x:c r="D23" s="418">
        <x:v>20300.290000000969</x:v>
      </x:c>
      <x:c r="E23" s="416"/>
    </x:row>
    <x:row r="24" spans="1:9" x14ac:dyDescent="0.25">
      <x:c r="A24" s="137">
        <x:f t="shared" si="0"/>
        <x:v>14</x:v>
      </x:c>
      <x:c r="B24" s="138"/>
      <x:c r="C24" s="417"/>
      <x:c r="D24" s="418"/>
    </x:row>
    <x:row r="25" spans="1:9" x14ac:dyDescent="0.25">
      <x:c r="A25" s="137">
        <x:f t="shared" si="0"/>
        <x:v>15</x:v>
      </x:c>
      <x:c r="B25" s="104" t="s">
        <x:v>402</x:v>
      </x:c>
      <x:c r="C25" s="412">
        <x:f>SUM(C11:C23)</x:f>
        <x:v>21827577.869999997</x:v>
      </x:c>
      <x:c r="D25" s="412">
        <x:f>SUM(D11:D23)</x:f>
        <x:v>3091116.4400000013</x:v>
      </x:c>
    </x:row>
    <x:row r="26" spans="1:9" ht="13.25" thickBot="1" x14ac:dyDescent="0.3">
      <x:c r="A26" s="137">
        <x:f t="shared" si="0"/>
        <x:v>16</x:v>
      </x:c>
      <x:c r="B26" s="104" t="s">
        <x:v>27</x:v>
      </x:c>
      <x:c r="C26" s="399">
        <x:f>+C25/13</x:f>
        <x:v>1679044.4515384613</x:v>
      </x:c>
    </x:row>
    <x:row r="27" spans="1:9" ht="13.85" thickTop="1" thickBot="1" x14ac:dyDescent="0.3">
      <x:c r="A27" s="137">
        <x:f t="shared" si="0"/>
        <x:v>17</x:v>
      </x:c>
      <x:c r="B27" s="419" t="s">
        <x:v>397</x:v>
      </x:c>
      <x:c r="D27" s="399">
        <x:f>+D25/5</x:f>
        <x:v>618223.28800000029</x:v>
      </x:c>
    </x:row>
    <x:row r="28" spans="1:9" ht="26.25" customHeight="1" thickTop="1" x14ac:dyDescent="0.25">
      <x:c r="A28" s="137">
        <x:f t="shared" si="0"/>
        <x:v>18</x:v>
      </x:c>
      <x:c r="B28" s="135" t="s">
        <x:v>398</x:v>
      </x:c>
    </x:row>
    <x:row r="29" spans="1:9" x14ac:dyDescent="0.25">
      <x:c r="A29" s="137">
        <x:f t="shared" si="0"/>
        <x:v>19</x:v>
      </x:c>
      <x:c r="B29" s="135" t="s">
        <x:v>399</x:v>
      </x:c>
    </x:row>
    <x:row r="30" spans="1:9" ht="24.8" customHeight="1" x14ac:dyDescent="0.25">
      <x:c r="A30" s="137">
        <x:f t="shared" si="0"/>
        <x:v>20</x:v>
      </x:c>
      <x:c r="B30" s="31" t="s">
        <x:v>230</x:v>
      </x:c>
      <x:c r="C30" s="403" t="s">
        <x:v>444</x:v>
      </x:c>
    </x:row>
  </x:sheetData>
  <x:phoneticPr fontId="19" type="noConversion"/>
  <x:hyperlinks>
    <x:hyperlink ref="C30" r:id="rId1" xr:uid="{237F8C7A-FF9E-483B-9325-08B571549139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6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B00-000000000000}" mc:Ignorable="x14ac xr xr2 xr3">
  <x:sheetPr codeName="Sheet45">
    <x:tabColor rgb="FF92D050"/>
    <x:pageSetUpPr fitToPage="1"/>
  </x:sheetPr>
  <x:dimension ref="A1:S32"/>
  <x:sheetViews>
    <x:sheetView topLeftCell="A10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18"/>
    <x:col min="2" max="2" width="21.44140625" style="118" customWidth="1"/>
    <x:col min="3" max="3" width="1.5546875" style="118" customWidth="1"/>
    <x:col min="4" max="4" width="12" style="118" customWidth="1"/>
    <x:col min="5" max="5" width="14" style="118" customWidth="1"/>
    <x:col min="6" max="6" width="3" style="118" customWidth="1"/>
    <x:col min="7" max="7" width="12" style="119" customWidth="1"/>
    <x:col min="8" max="8" width="14" style="119" customWidth="1"/>
    <x:col min="9" max="9" width="3.109375" style="118" customWidth="1"/>
    <x:col min="10" max="10" width="1.5546875" style="118" customWidth="1"/>
    <x:col min="11" max="11" width="15.88671875" style="118" bestFit="1" customWidth="1"/>
    <x:col min="12" max="12" width="7.5546875" style="118" customWidth="1"/>
    <x:col min="13" max="13" width="8.5546875" style="118" customWidth="1"/>
    <x:col min="14" max="14" width="12.109375" style="118" customWidth="1"/>
    <x:col min="15" max="16384" width="9.109375" style="118"/>
  </x:cols>
  <x:sheetData>
    <x:row r="1" spans="1:19" s="41" customFormat="1" x14ac:dyDescent="0.25">
      <x:c r="A1" s="180" t="s">
        <x:v>523</x:v>
      </x:c>
      <x:c r="C1" s="180"/>
      <x:c r="D1" s="180"/>
      <x:c r="E1" s="180"/>
      <x:c r="F1" s="180"/>
      <x:c r="G1" s="112"/>
      <x:c r="H1" s="112"/>
    </x:row>
    <x:row r="2" spans="1:19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  <x:c r="G2" s="112"/>
      <x:c r="H2" s="112"/>
      <x:c r="K2" s="535"/>
      <x:c r="L2" s="535"/>
      <x:c r="M2" s="535"/>
      <x:c r="N2" s="535"/>
      <x:c r="O2" s="535"/>
      <x:c r="P2" s="535"/>
    </x:row>
    <x:row r="3" spans="1:19" s="41" customFormat="1" x14ac:dyDescent="0.25">
      <x:c r="A3" s="180" t="s">
        <x:v>173</x:v>
      </x:c>
      <x:c r="C3" s="180"/>
      <x:c r="D3" s="180"/>
      <x:c r="E3" s="180"/>
      <x:c r="F3" s="180"/>
      <x:c r="G3" s="112"/>
      <x:c r="H3" s="112"/>
    </x:row>
    <x:row r="4" spans="1:19" s="41" customFormat="1" x14ac:dyDescent="0.25">
      <x:c r="A4" s="767" t="s">
        <x:v>522</x:v>
      </x:c>
      <x:c r="C4" s="180"/>
      <x:c r="D4" s="180"/>
      <x:c r="E4" s="180"/>
      <x:c r="F4" s="180"/>
      <x:c r="G4" s="112"/>
      <x:c r="H4" s="112"/>
      <x:c r="K4" s="535"/>
      <x:c r="L4" s="535"/>
      <x:c r="M4" s="535"/>
      <x:c r="N4" s="535"/>
      <x:c r="O4" s="535"/>
      <x:c r="P4" s="535"/>
    </x:row>
    <x:row r="5" spans="1:19" s="41" customFormat="1" x14ac:dyDescent="0.25">
      <x:c r="A5" s="180" t="s">
        <x:v>486</x:v>
      </x:c>
      <x:c r="C5" s="180"/>
      <x:c r="D5" s="180"/>
      <x:c r="E5" s="180"/>
      <x:c r="F5" s="180"/>
      <x:c r="G5" s="112"/>
      <x:c r="H5" s="112" t="s">
        <x:v>464</x:v>
      </x:c>
    </x:row>
    <x:row r="6" spans="1:19" x14ac:dyDescent="0.25">
      <x:c r="L6" s="535"/>
      <x:c r="M6" s="535"/>
      <x:c r="N6" s="535"/>
      <x:c r="O6" s="535"/>
      <x:c r="P6" s="535"/>
      <x:c r="Q6" s="535"/>
      <x:c r="R6" s="535"/>
      <x:c r="S6" s="537"/>
    </x:row>
    <x:row r="7" spans="1:19" s="122" customFormat="1" ht="27.1" customHeight="1" x14ac:dyDescent="0.25">
      <x:c r="A7" s="201" t="s">
        <x:v>197</x:v>
      </x:c>
      <x:c r="B7" s="316"/>
      <x:c r="C7" s="316"/>
      <x:c r="D7" s="838" t="s">
        <x:v>133</x:v>
      </x:c>
      <x:c r="E7" s="838"/>
      <x:c r="F7" s="319"/>
      <x:c r="G7" s="838" t="s">
        <x:v>239</x:v>
      </x:c>
      <x:c r="H7" s="838"/>
      <x:c r="I7" s="317"/>
      <x:c r="J7" s="319"/>
      <x:c r="K7" s="319"/>
      <x:c r="L7" s="113"/>
      <x:c r="M7" s="113"/>
      <x:c r="N7" s="113"/>
      <x:c r="O7" s="113"/>
    </x:row>
    <x:row r="8" spans="1:19" x14ac:dyDescent="0.25">
      <x:c r="A8" s="202" t="s">
        <x:v>198</x:v>
      </x:c>
      <x:c r="B8" s="326" t="s">
        <x:v>79</x:v>
      </x:c>
      <x:c r="C8" s="327"/>
      <x:c r="D8" s="839" t="s">
        <x:v>134</x:v>
      </x:c>
      <x:c r="E8" s="839"/>
      <x:c r="F8" s="328"/>
      <x:c r="G8" s="839" t="s">
        <x:v>135</x:v>
      </x:c>
      <x:c r="H8" s="839"/>
      <x:c r="I8" s="329"/>
      <x:c r="J8" s="328"/>
      <x:c r="K8" s="322" t="s">
        <x:v>26</x:v>
      </x:c>
      <x:c r="L8" s="113"/>
      <x:c r="M8" s="113"/>
      <x:c r="N8" s="113"/>
      <x:c r="O8" s="113"/>
    </x:row>
    <x:row r="9" spans="1:19" x14ac:dyDescent="0.25">
      <x:c r="A9" s="147"/>
      <x:c r="B9" s="40" t="s">
        <x:v>50</x:v>
      </x:c>
      <x:c r="C9" s="40"/>
      <x:c r="D9" s="40" t="s">
        <x:v>51</x:v>
      </x:c>
      <x:c r="E9" s="40" t="s">
        <x:v>57</x:v>
      </x:c>
      <x:c r="F9" s="40"/>
      <x:c r="G9" s="40" t="s">
        <x:v>52</x:v>
      </x:c>
      <x:c r="H9" s="40" t="s">
        <x:v>53</x:v>
      </x:c>
      <x:c r="I9" s="40"/>
      <x:c r="J9" s="119"/>
      <x:c r="K9" s="40" t="s">
        <x:v>54</x:v>
      </x:c>
      <x:c r="L9" s="113"/>
      <x:c r="M9" s="113"/>
      <x:c r="N9" s="113"/>
      <x:c r="O9" s="113"/>
    </x:row>
    <x:row r="10" spans="1:19" x14ac:dyDescent="0.25">
      <x:c r="A10" s="147"/>
      <x:c r="B10" s="40"/>
      <x:c r="C10" s="40"/>
      <x:c r="D10" s="40"/>
      <x:c r="E10" s="40"/>
      <x:c r="F10" s="40"/>
      <x:c r="G10" s="40"/>
      <x:c r="H10" s="40"/>
      <x:c r="I10" s="40"/>
      <x:c r="J10" s="119"/>
      <x:c r="K10" s="40"/>
      <x:c r="L10" s="113"/>
      <x:c r="M10" s="113"/>
      <x:c r="N10" s="113"/>
      <x:c r="O10" s="113"/>
    </x:row>
    <x:row r="11" spans="1:19" x14ac:dyDescent="0.25">
      <x:c r="A11" s="149">
        <x:v>1</x:v>
      </x:c>
      <x:c r="B11" s="109" t="s">
        <x:v>121</x:v>
      </x:c>
      <x:c r="C11" s="124"/>
      <x:c r="D11" s="405"/>
      <x:c r="E11" s="405">
        <x:v>-1832161.85</x:v>
      </x:c>
      <x:c r="F11" s="405"/>
      <x:c r="G11" s="405"/>
      <x:c r="H11" s="717">
        <x:v>0</x:v>
      </x:c>
      <x:c r="I11" s="405"/>
      <x:c r="J11" s="74"/>
      <x:c r="K11" s="74">
        <x:f>SUM(E11:I11)</x:f>
        <x:v>-1832161.85</x:v>
      </x:c>
      <x:c r="L11" s="113"/>
      <x:c r="M11" s="113"/>
      <x:c r="N11" s="113"/>
      <x:c r="O11" s="113"/>
    </x:row>
    <x:row r="12" spans="1:19" x14ac:dyDescent="0.25">
      <x:c r="A12" s="121">
        <x:f t="shared" ref="A12:A32" si="0">A11+1</x:f>
        <x:v>2</x:v>
      </x:c>
      <x:c r="B12" s="124" t="s">
        <x:v>122</x:v>
      </x:c>
      <x:c r="C12" s="124"/>
      <x:c r="D12" s="420" t="s">
        <x:v>123</x:v>
      </x:c>
      <x:c r="E12" s="420"/>
      <x:c r="F12" s="389"/>
      <x:c r="G12" s="420" t="s">
        <x:v>123</x:v>
      </x:c>
      <x:c r="H12" s="420"/>
      <x:c r="I12" s="389"/>
      <x:c r="J12" s="29"/>
      <x:c r="K12" s="29"/>
      <x:c r="L12" s="113"/>
      <x:c r="M12" s="113"/>
      <x:c r="N12" s="113"/>
      <x:c r="O12" s="113"/>
    </x:row>
    <x:row r="13" spans="1:19" x14ac:dyDescent="0.25">
      <x:c r="A13" s="121">
        <x:f t="shared" si="0"/>
        <x:v>3</x:v>
      </x:c>
      <x:c r="B13" s="658">
        <x:v>45292</x:v>
      </x:c>
      <x:c r="C13" s="124"/>
      <x:c r="D13" s="420">
        <x:v>0</x:v>
      </x:c>
      <x:c r="E13" s="420">
        <x:f>E11+D13</x:f>
        <x:v>-1832161.85</x:v>
      </x:c>
      <x:c r="F13" s="389"/>
      <x:c r="G13" s="420">
        <x:v>0</x:v>
      </x:c>
      <x:c r="H13" s="420">
        <x:f>G13+H11</x:f>
        <x:v>0</x:v>
      </x:c>
      <x:c r="I13" s="389"/>
      <x:c r="J13" s="29"/>
      <x:c r="K13" s="29">
        <x:f t="shared" ref="K13:K24" si="1">E13+H13</x:f>
        <x:v>-1832161.85</x:v>
      </x:c>
      <x:c r="L13" s="113"/>
      <x:c r="M13" s="113"/>
      <x:c r="N13" s="113"/>
      <x:c r="O13" s="113"/>
    </x:row>
    <x:row r="14" spans="1:19" x14ac:dyDescent="0.25">
      <x:c r="A14" s="121">
        <x:f t="shared" si="0"/>
        <x:v>4</x:v>
      </x:c>
      <x:c r="B14" s="658">
        <x:v>45323</x:v>
      </x:c>
      <x:c r="C14" s="124"/>
      <x:c r="D14" s="420">
        <x:v>0</x:v>
      </x:c>
      <x:c r="E14" s="420">
        <x:f t="shared" ref="E14:E24" si="2">E13+D14</x:f>
        <x:v>-1832161.85</x:v>
      </x:c>
      <x:c r="F14" s="407"/>
      <x:c r="G14" s="420">
        <x:v>0</x:v>
      </x:c>
      <x:c r="H14" s="407">
        <x:f t="shared" ref="H14:H24" si="3">H13+G14</x:f>
        <x:v>0</x:v>
      </x:c>
      <x:c r="I14" s="407"/>
      <x:c r="J14" s="29"/>
      <x:c r="K14" s="29">
        <x:f t="shared" si="1"/>
        <x:v>-1832161.85</x:v>
      </x:c>
      <x:c r="L14" s="113"/>
      <x:c r="M14" s="113"/>
      <x:c r="N14" s="113"/>
      <x:c r="O14" s="113"/>
    </x:row>
    <x:row r="15" spans="1:19" x14ac:dyDescent="0.25">
      <x:c r="A15" s="121">
        <x:f t="shared" si="0"/>
        <x:v>5</x:v>
      </x:c>
      <x:c r="B15" s="658">
        <x:v>45352</x:v>
      </x:c>
      <x:c r="C15" s="124"/>
      <x:c r="D15" s="420">
        <x:v>391646.35000000003</x:v>
      </x:c>
      <x:c r="E15" s="420">
        <x:f t="shared" si="2"/>
        <x:v>-1440515.5</x:v>
      </x:c>
      <x:c r="F15" s="407"/>
      <x:c r="G15" s="420">
        <x:v>-100000</x:v>
      </x:c>
      <x:c r="H15" s="407">
        <x:f t="shared" si="3"/>
        <x:v>-100000</x:v>
      </x:c>
      <x:c r="I15" s="407"/>
      <x:c r="J15" s="29"/>
      <x:c r="K15" s="29">
        <x:f t="shared" si="1"/>
        <x:v>-1540515.5</x:v>
      </x:c>
      <x:c r="L15" s="113"/>
      <x:c r="M15" s="113"/>
      <x:c r="N15" s="113"/>
      <x:c r="O15" s="113"/>
    </x:row>
    <x:row r="16" spans="1:19" x14ac:dyDescent="0.25">
      <x:c r="A16" s="121">
        <x:f t="shared" si="0"/>
        <x:v>6</x:v>
      </x:c>
      <x:c r="B16" s="658">
        <x:v>45383</x:v>
      </x:c>
      <x:c r="C16" s="124"/>
      <x:c r="D16" s="420">
        <x:v>0</x:v>
      </x:c>
      <x:c r="E16" s="420">
        <x:f t="shared" si="2"/>
        <x:v>-1440515.5</x:v>
      </x:c>
      <x:c r="F16" s="407"/>
      <x:c r="G16" s="662">
        <x:v>0</x:v>
      </x:c>
      <x:c r="H16" s="407">
        <x:f t="shared" si="3"/>
        <x:v>-100000</x:v>
      </x:c>
      <x:c r="I16" s="407"/>
      <x:c r="J16" s="29"/>
      <x:c r="K16" s="29">
        <x:f t="shared" si="1"/>
        <x:v>-1540515.5</x:v>
      </x:c>
      <x:c r="L16" s="113"/>
      <x:c r="M16" s="113"/>
      <x:c r="N16" s="113"/>
      <x:c r="O16" s="113"/>
    </x:row>
    <x:row r="17" spans="1:15" x14ac:dyDescent="0.25">
      <x:c r="A17" s="121">
        <x:f t="shared" si="0"/>
        <x:v>7</x:v>
      </x:c>
      <x:c r="B17" s="658">
        <x:v>45413</x:v>
      </x:c>
      <x:c r="C17" s="124"/>
      <x:c r="D17" s="420">
        <x:v>0</x:v>
      </x:c>
      <x:c r="E17" s="420">
        <x:f t="shared" si="2"/>
        <x:v>-1440515.5</x:v>
      </x:c>
      <x:c r="F17" s="407"/>
      <x:c r="G17" s="420">
        <x:v>0</x:v>
      </x:c>
      <x:c r="H17" s="407">
        <x:f t="shared" si="3"/>
        <x:v>-100000</x:v>
      </x:c>
      <x:c r="I17" s="407"/>
      <x:c r="J17" s="29"/>
      <x:c r="K17" s="29">
        <x:f t="shared" si="1"/>
        <x:v>-1540515.5</x:v>
      </x:c>
      <x:c r="L17" s="113"/>
      <x:c r="M17" s="113"/>
      <x:c r="N17" s="113"/>
      <x:c r="O17" s="113"/>
    </x:row>
    <x:row r="18" spans="1:15" x14ac:dyDescent="0.25">
      <x:c r="A18" s="121">
        <x:f t="shared" si="0"/>
        <x:v>8</x:v>
      </x:c>
      <x:c r="B18" s="658">
        <x:v>45444</x:v>
      </x:c>
      <x:c r="C18" s="124"/>
      <x:c r="D18" s="420">
        <x:v>-64045.380000000005</x:v>
      </x:c>
      <x:c r="E18" s="420">
        <x:f t="shared" si="2"/>
        <x:v>-1504560.88</x:v>
      </x:c>
      <x:c r="F18" s="407"/>
      <x:c r="G18" s="420">
        <x:v>100000</x:v>
      </x:c>
      <x:c r="H18" s="407">
        <x:f t="shared" si="3"/>
        <x:v>0</x:v>
      </x:c>
      <x:c r="I18" s="407"/>
      <x:c r="J18" s="29"/>
      <x:c r="K18" s="29">
        <x:f t="shared" si="1"/>
        <x:v>-1504560.88</x:v>
      </x:c>
      <x:c r="L18" s="113"/>
      <x:c r="M18" s="113"/>
      <x:c r="N18" s="113"/>
      <x:c r="O18" s="113"/>
    </x:row>
    <x:row r="19" spans="1:15" x14ac:dyDescent="0.25">
      <x:c r="A19" s="121">
        <x:f t="shared" si="0"/>
        <x:v>9</x:v>
      </x:c>
      <x:c r="B19" s="658">
        <x:v>45474</x:v>
      </x:c>
      <x:c r="C19" s="124"/>
      <x:c r="D19" s="420">
        <x:v>0</x:v>
      </x:c>
      <x:c r="E19" s="420">
        <x:f t="shared" si="2"/>
        <x:v>-1504560.88</x:v>
      </x:c>
      <x:c r="F19" s="407"/>
      <x:c r="G19" s="662">
        <x:v>0</x:v>
      </x:c>
      <x:c r="H19" s="407">
        <x:f t="shared" si="3"/>
        <x:v>0</x:v>
      </x:c>
      <x:c r="I19" s="407"/>
      <x:c r="J19" s="29"/>
      <x:c r="K19" s="29">
        <x:f t="shared" si="1"/>
        <x:v>-1504560.88</x:v>
      </x:c>
      <x:c r="L19" s="113"/>
      <x:c r="M19" s="113"/>
      <x:c r="N19" s="113"/>
      <x:c r="O19" s="113"/>
    </x:row>
    <x:row r="20" spans="1:15" x14ac:dyDescent="0.25">
      <x:c r="A20" s="121">
        <x:f t="shared" si="0"/>
        <x:v>10</x:v>
      </x:c>
      <x:c r="B20" s="658">
        <x:v>45505</x:v>
      </x:c>
      <x:c r="C20" s="124"/>
      <x:c r="D20" s="420">
        <x:v>0</x:v>
      </x:c>
      <x:c r="E20" s="420">
        <x:f t="shared" si="2"/>
        <x:v>-1504560.88</x:v>
      </x:c>
      <x:c r="F20" s="407"/>
      <x:c r="G20" s="420">
        <x:v>0</x:v>
      </x:c>
      <x:c r="H20" s="407">
        <x:f t="shared" si="3"/>
        <x:v>0</x:v>
      </x:c>
      <x:c r="I20" s="407"/>
      <x:c r="J20" s="29"/>
      <x:c r="K20" s="29">
        <x:f t="shared" si="1"/>
        <x:v>-1504560.88</x:v>
      </x:c>
      <x:c r="L20" s="113"/>
      <x:c r="M20" s="113"/>
      <x:c r="N20" s="113"/>
      <x:c r="O20" s="113"/>
    </x:row>
    <x:row r="21" spans="1:15" x14ac:dyDescent="0.25">
      <x:c r="A21" s="121">
        <x:f t="shared" si="0"/>
        <x:v>11</x:v>
      </x:c>
      <x:c r="B21" s="658">
        <x:v>45536</x:v>
      </x:c>
      <x:c r="C21" s="124"/>
      <x:c r="D21" s="420">
        <x:v>184242.71</x:v>
      </x:c>
      <x:c r="E21" s="420">
        <x:f t="shared" si="2"/>
        <x:v>-1320318.17</x:v>
      </x:c>
      <x:c r="F21" s="407"/>
      <x:c r="G21" s="420">
        <x:v>0</x:v>
      </x:c>
      <x:c r="H21" s="407">
        <x:f t="shared" si="3"/>
        <x:v>0</x:v>
      </x:c>
      <x:c r="I21" s="407"/>
      <x:c r="J21" s="29"/>
      <x:c r="K21" s="29">
        <x:f t="shared" si="1"/>
        <x:v>-1320318.17</x:v>
      </x:c>
      <x:c r="L21" s="113"/>
      <x:c r="M21" s="113"/>
      <x:c r="N21" s="113"/>
      <x:c r="O21" s="113"/>
    </x:row>
    <x:row r="22" spans="1:15" x14ac:dyDescent="0.25">
      <x:c r="A22" s="121">
        <x:f t="shared" si="0"/>
        <x:v>12</x:v>
      </x:c>
      <x:c r="B22" s="658">
        <x:v>45566</x:v>
      </x:c>
      <x:c r="C22" s="124"/>
      <x:c r="D22" s="420">
        <x:v>0</x:v>
      </x:c>
      <x:c r="E22" s="420">
        <x:f t="shared" si="2"/>
        <x:v>-1320318.17</x:v>
      </x:c>
      <x:c r="F22" s="407"/>
      <x:c r="G22" s="420">
        <x:v>0</x:v>
      </x:c>
      <x:c r="H22" s="407">
        <x:f t="shared" si="3"/>
        <x:v>0</x:v>
      </x:c>
      <x:c r="I22" s="407"/>
      <x:c r="J22" s="29"/>
      <x:c r="K22" s="29">
        <x:f t="shared" si="1"/>
        <x:v>-1320318.17</x:v>
      </x:c>
      <x:c r="L22" s="113"/>
      <x:c r="M22" s="113"/>
      <x:c r="N22" s="113"/>
      <x:c r="O22" s="113"/>
    </x:row>
    <x:row r="23" spans="1:15" x14ac:dyDescent="0.25">
      <x:c r="A23" s="121">
        <x:f t="shared" si="0"/>
        <x:v>13</x:v>
      </x:c>
      <x:c r="B23" s="658">
        <x:v>45597</x:v>
      </x:c>
      <x:c r="C23" s="124"/>
      <x:c r="D23" s="420">
        <x:v>0</x:v>
      </x:c>
      <x:c r="E23" s="420">
        <x:f t="shared" si="2"/>
        <x:v>-1320318.17</x:v>
      </x:c>
      <x:c r="F23" s="407"/>
      <x:c r="G23" s="420">
        <x:v>0</x:v>
      </x:c>
      <x:c r="H23" s="407">
        <x:f t="shared" si="3"/>
        <x:v>0</x:v>
      </x:c>
      <x:c r="I23" s="407"/>
      <x:c r="J23" s="29"/>
      <x:c r="K23" s="29">
        <x:f t="shared" si="1"/>
        <x:v>-1320318.17</x:v>
      </x:c>
      <x:c r="L23" s="113"/>
      <x:c r="M23" s="113"/>
      <x:c r="N23" s="113"/>
      <x:c r="O23" s="113"/>
    </x:row>
    <x:row r="24" spans="1:15" x14ac:dyDescent="0.25">
      <x:c r="A24" s="121">
        <x:f t="shared" si="0"/>
        <x:v>14</x:v>
      </x:c>
      <x:c r="B24" s="658">
        <x:v>45627</x:v>
      </x:c>
      <x:c r="C24" s="124"/>
      <x:c r="D24" s="420">
        <x:v>-295971.53999999998</x:v>
      </x:c>
      <x:c r="E24" s="420">
        <x:f t="shared" si="2"/>
        <x:v>-1616289.71</x:v>
      </x:c>
      <x:c r="F24" s="407"/>
      <x:c r="G24" s="420">
        <x:v>0</x:v>
      </x:c>
      <x:c r="H24" s="407">
        <x:f t="shared" si="3"/>
        <x:v>0</x:v>
      </x:c>
      <x:c r="I24" s="407"/>
      <x:c r="J24" s="29"/>
      <x:c r="K24" s="29">
        <x:f t="shared" si="1"/>
        <x:v>-1616289.71</x:v>
      </x:c>
      <x:c r="L24" s="113"/>
      <x:c r="M24" s="113"/>
      <x:c r="N24" s="113"/>
      <x:c r="O24" s="113"/>
    </x:row>
    <x:row r="25" spans="1:15" x14ac:dyDescent="0.25">
      <x:c r="A25" s="121">
        <x:f t="shared" si="0"/>
        <x:v>15</x:v>
      </x:c>
      <x:c r="B25" s="628" t="s">
        <x:v>1070</x:v>
      </x:c>
      <x:c r="C25" s="124"/>
      <x:c r="D25" s="407">
        <x:f>SUM(D13:D24)+E11</x:f>
        <x:v>-1616289.71</x:v>
      </x:c>
      <x:c r="E25" s="407"/>
      <x:c r="F25" s="407"/>
      <x:c r="G25" s="407">
        <x:v>0</x:v>
      </x:c>
      <x:c r="H25" s="407"/>
      <x:c r="I25" s="407"/>
      <x:c r="J25" s="29"/>
      <x:c r="K25" s="29"/>
      <x:c r="L25" s="113"/>
      <x:c r="M25" s="113"/>
      <x:c r="N25" s="113"/>
      <x:c r="O25" s="113"/>
    </x:row>
    <x:row r="26" spans="1:15" x14ac:dyDescent="0.25">
      <x:c r="A26" s="121">
        <x:f t="shared" si="0"/>
        <x:v>16</x:v>
      </x:c>
      <x:c r="B26" s="124" t="s">
        <x:v>124</x:v>
      </x:c>
      <x:c r="C26" s="412"/>
      <x:c r="D26" s="412"/>
      <x:c r="E26" s="412">
        <x:f>SUM(E11:E24)</x:f>
        <x:v>-19908958.909999996</x:v>
      </x:c>
      <x:c r="F26" s="412"/>
      <x:c r="G26" s="412"/>
      <x:c r="H26" s="412">
        <x:f>SUM(H11:H24)</x:f>
        <x:v>-300000</x:v>
      </x:c>
      <x:c r="I26" s="412"/>
      <x:c r="J26" s="412"/>
      <x:c r="K26" s="412">
        <x:f>SUM(K11:K24)</x:f>
        <x:v>-20208958.909999996</x:v>
      </x:c>
      <x:c r="L26" s="113"/>
      <x:c r="M26" s="113"/>
      <x:c r="N26" s="113"/>
      <x:c r="O26" s="113"/>
    </x:row>
    <x:row r="27" spans="1:15" ht="13.25" thickBot="1" x14ac:dyDescent="0.3">
      <x:c r="A27" s="121">
        <x:f t="shared" si="0"/>
        <x:v>17</x:v>
      </x:c>
      <x:c r="B27" s="124" t="s">
        <x:v>27</x:v>
      </x:c>
      <x:c r="C27" s="421"/>
      <x:c r="D27" s="422"/>
      <x:c r="E27" s="399">
        <x:f>E26/13</x:f>
        <x:v>-1531458.3776923073</x:v>
      </x:c>
      <x:c r="F27" s="399"/>
      <x:c r="G27" s="399"/>
      <x:c r="H27" s="399">
        <x:f>H26/13</x:f>
        <x:v>-23076.923076923078</x:v>
      </x:c>
      <x:c r="I27" s="399"/>
      <x:c r="J27" s="387"/>
      <x:c r="K27" s="423">
        <x:f>K26/13</x:f>
        <x:v>-1554535.3007692306</x:v>
      </x:c>
      <x:c r="L27" s="411"/>
      <x:c r="M27" s="113"/>
      <x:c r="N27" s="113"/>
      <x:c r="O27" s="113"/>
    </x:row>
    <x:row r="28" spans="1:15" ht="13.25" thickTop="1" x14ac:dyDescent="0.25">
      <x:c r="A28" s="121">
        <x:f t="shared" si="0"/>
        <x:v>18</x:v>
      </x:c>
      <x:c r="B28" s="119"/>
      <x:c r="K28" s="142"/>
      <x:c r="L28" s="113"/>
      <x:c r="M28" s="113"/>
      <x:c r="N28" s="113"/>
      <x:c r="O28" s="113"/>
    </x:row>
    <x:row r="29" spans="1:15" x14ac:dyDescent="0.25">
      <x:c r="A29" s="121">
        <x:f t="shared" si="0"/>
        <x:v>19</x:v>
      </x:c>
      <x:c r="B29" s="124" t="s">
        <x:v>136</x:v>
      </x:c>
    </x:row>
    <x:row r="30" spans="1:15" x14ac:dyDescent="0.25">
      <x:c r="A30" s="121">
        <x:f t="shared" si="0"/>
        <x:v>20</x:v>
      </x:c>
      <x:c r="B30" s="135" t="s">
        <x:v>137</x:v>
      </x:c>
    </x:row>
    <x:row r="31" spans="1:15" x14ac:dyDescent="0.25">
      <x:c r="A31" s="121">
        <x:f t="shared" si="0"/>
        <x:v>21</x:v>
      </x:c>
    </x:row>
    <x:row r="32" spans="1:15" x14ac:dyDescent="0.25">
      <x:c r="A32" s="121">
        <x:f t="shared" si="0"/>
        <x:v>22</x:v>
      </x:c>
      <x:c r="B32" s="31" t="s">
        <x:v>230</x:v>
      </x:c>
      <x:c r="D32" s="403" t="s">
        <x:v>444</x:v>
      </x:c>
    </x:row>
  </x:sheetData>
  <x:mergeCells count="4">
    <x:mergeCell ref="D7:E7"/>
    <x:mergeCell ref="G7:H7"/>
    <x:mergeCell ref="D8:E8"/>
    <x:mergeCell ref="G8:H8"/>
  </x:mergeCells>
  <x:phoneticPr fontId="19" type="noConversion"/>
  <x:hyperlinks>
    <x:hyperlink ref="D32" r:id="rId1" xr:uid="{8BA8B16A-A6C4-47F6-A95B-94DE62CEFA6C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  <x:drawing r:id="rId3"/>
</x:worksheet>
</file>

<file path=xl/worksheets/sheet6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C00-000000000000}" mc:Ignorable="x14ac xr xr2 xr3">
  <x:sheetPr codeName="Sheet46">
    <x:tabColor rgb="FF92D050"/>
    <x:pageSetUpPr fitToPage="1"/>
  </x:sheetPr>
  <x:dimension ref="A1:J30"/>
  <x:sheetViews>
    <x:sheetView topLeftCell="A4" zoomScaleNormal="100" workbookViewId="0">
      <x:selection activeCell="D37" sqref="D37"/>
    </x:sheetView>
  </x:sheetViews>
  <x:sheetFormatPr defaultColWidth="9.109375" defaultRowHeight="12.7" x14ac:dyDescent="0.25"/>
  <x:cols>
    <x:col min="1" max="1" width="9.44140625" style="118" bestFit="1" customWidth="1"/>
    <x:col min="2" max="2" width="17.5546875" style="118" customWidth="1"/>
    <x:col min="3" max="3" width="2" style="118" customWidth="1"/>
    <x:col min="4" max="4" width="15.44140625" style="119" bestFit="1" customWidth="1"/>
    <x:col min="5" max="5" width="2" style="119" customWidth="1"/>
    <x:col min="6" max="6" width="22.88671875" style="119" customWidth="1"/>
    <x:col min="7" max="7" width="15.5546875" style="118" bestFit="1" customWidth="1"/>
    <x:col min="8" max="8" width="2" style="118" customWidth="1"/>
    <x:col min="9" max="9" width="23.88671875" style="118" customWidth="1"/>
    <x:col min="10" max="10" width="15.109375" style="118" bestFit="1" customWidth="1"/>
    <x:col min="11" max="12" width="9.44140625" style="118" customWidth="1"/>
    <x:col min="13" max="13" width="15.88671875" style="118" customWidth="1"/>
    <x:col min="14" max="16384" width="9.109375" style="118"/>
  </x:cols>
  <x:sheetData>
    <x:row r="1" spans="1:10" s="41" customFormat="1" x14ac:dyDescent="0.25">
      <x:c r="A1" s="180" t="s">
        <x:v>523</x:v>
      </x:c>
      <x:c r="C1" s="180"/>
      <x:c r="D1" s="130"/>
      <x:c r="E1" s="130"/>
      <x:c r="F1" s="130"/>
    </x:row>
    <x:row r="2" spans="1:10" s="41" customFormat="1" x14ac:dyDescent="0.25">
      <x:c r="A2" s="180" t="str">
        <x:f>' '!A2</x:f>
        <x:v>ONCOR ELECTRIC DELIVERY COMPANY LLC</x:v>
      </x:c>
      <x:c r="C2" s="180"/>
      <x:c r="D2" s="130"/>
      <x:c r="E2" s="130"/>
      <x:c r="F2" s="130"/>
    </x:row>
    <x:row r="3" spans="1:10" s="41" customFormat="1" x14ac:dyDescent="0.25">
      <x:c r="A3" s="180" t="s">
        <x:v>170</x:v>
      </x:c>
      <x:c r="C3" s="180"/>
      <x:c r="D3" s="130"/>
      <x:c r="E3" s="130"/>
      <x:c r="F3" s="130"/>
    </x:row>
    <x:row r="4" spans="1:10" s="41" customFormat="1" x14ac:dyDescent="0.25">
      <x:c r="A4" s="767" t="s">
        <x:v>522</x:v>
      </x:c>
      <x:c r="C4" s="180"/>
      <x:c r="D4" s="130"/>
      <x:c r="E4" s="130"/>
      <x:c r="F4" s="130"/>
    </x:row>
    <x:row r="5" spans="1:10" s="41" customFormat="1" x14ac:dyDescent="0.25">
      <x:c r="A5" s="180" t="s">
        <x:v>486</x:v>
      </x:c>
      <x:c r="C5" s="180"/>
      <x:c r="D5" s="130"/>
      <x:c r="E5" s="130"/>
      <x:c r="F5" s="130"/>
      <x:c r="H5" s="41" t="s">
        <x:v>464</x:v>
      </x:c>
    </x:row>
    <x:row r="7" spans="1:10" s="122" customFormat="1" x14ac:dyDescent="0.25">
      <x:c r="A7" s="201" t="s">
        <x:v>197</x:v>
      </x:c>
      <x:c r="B7" s="316"/>
      <x:c r="C7" s="316"/>
      <x:c r="D7" s="317" t="s">
        <x:v>125</x:v>
      </x:c>
      <x:c r="E7" s="317"/>
      <x:c r="F7" s="140"/>
      <x:c r="G7" s="318" t="s">
        <x:v>126</x:v>
      </x:c>
      <x:c r="H7" s="318"/>
      <x:c r="I7" s="319"/>
      <x:c r="J7" s="316"/>
    </x:row>
    <x:row r="8" spans="1:10" x14ac:dyDescent="0.25">
      <x:c r="A8" s="202" t="s">
        <x:v>198</x:v>
      </x:c>
      <x:c r="B8" s="320" t="s">
        <x:v>79</x:v>
      </x:c>
      <x:c r="C8" s="321"/>
      <x:c r="D8" s="320" t="s">
        <x:v>127</x:v>
      </x:c>
      <x:c r="E8" s="320"/>
      <x:c r="F8" s="320" t="s">
        <x:v>128</x:v>
      </x:c>
      <x:c r="G8" s="322" t="s">
        <x:v>129</x:v>
      </x:c>
      <x:c r="H8" s="322"/>
      <x:c r="I8" s="320" t="s">
        <x:v>128</x:v>
      </x:c>
      <x:c r="J8" s="320" t="s">
        <x:v>26</x:v>
      </x:c>
    </x:row>
    <x:row r="9" spans="1:10" x14ac:dyDescent="0.25">
      <x:c r="A9" s="147"/>
      <x:c r="B9" s="40" t="s">
        <x:v>50</x:v>
      </x:c>
      <x:c r="C9" s="40"/>
      <x:c r="D9" s="40" t="s">
        <x:v>51</x:v>
      </x:c>
      <x:c r="E9" s="108"/>
      <x:c r="F9" s="40" t="s">
        <x:v>57</x:v>
      </x:c>
      <x:c r="G9" s="40" t="s">
        <x:v>52</x:v>
      </x:c>
      <x:c r="H9" s="108"/>
      <x:c r="I9" s="40" t="s">
        <x:v>53</x:v>
      </x:c>
      <x:c r="J9" s="40" t="s">
        <x:v>54</x:v>
      </x:c>
    </x:row>
    <x:row r="10" spans="1:10" x14ac:dyDescent="0.25">
      <x:c r="A10" s="147"/>
      <x:c r="B10" s="40"/>
      <x:c r="C10" s="40"/>
      <x:c r="D10" s="40"/>
      <x:c r="E10" s="108"/>
      <x:c r="F10" s="40"/>
      <x:c r="G10" s="40"/>
      <x:c r="H10" s="108"/>
      <x:c r="I10" s="40"/>
      <x:c r="J10" s="40"/>
    </x:row>
    <x:row r="11" spans="1:10" x14ac:dyDescent="0.25">
      <x:c r="A11" s="149">
        <x:v>1</x:v>
      </x:c>
      <x:c r="B11" s="109" t="s">
        <x:v>121</x:v>
      </x:c>
      <x:c r="C11" s="124"/>
      <x:c r="D11" s="384">
        <x:f>+'13-3-2-1'!D11</x:f>
        <x:v>6945391.4900000002</x:v>
      </x:c>
      <x:c r="E11" s="384"/>
      <x:c r="F11" s="415" t="s">
        <x:v>340</x:v>
      </x:c>
      <x:c r="G11" s="411">
        <x:f>'13-3-2-2'!J11</x:f>
        <x:v>-12605138.15</x:v>
      </x:c>
      <x:c r="H11" s="411"/>
      <x:c r="I11" s="415" t="s">
        <x:v>341</x:v>
      </x:c>
      <x:c r="J11" s="411">
        <x:f>SUM(D11:I11)</x:f>
        <x:v>-5659746.6600000001</x:v>
      </x:c>
    </x:row>
    <x:row r="12" spans="1:10" x14ac:dyDescent="0.25">
      <x:c r="A12" s="121">
        <x:f t="shared" ref="A12:A30" si="0">A11+1</x:f>
        <x:v>2</x:v>
      </x:c>
      <x:c r="B12" s="124" t="s">
        <x:v>122</x:v>
      </x:c>
      <x:c r="C12" s="124"/>
      <x:c r="D12" s="131"/>
      <x:c r="E12" s="110"/>
      <x:c r="F12" s="125"/>
      <x:c r="G12" s="244"/>
      <x:c r="H12" s="244"/>
      <x:c r="I12" s="245"/>
      <x:c r="J12" s="244"/>
    </x:row>
    <x:row r="13" spans="1:10" x14ac:dyDescent="0.25">
      <x:c r="A13" s="121">
        <x:f t="shared" si="0"/>
        <x:v>3</x:v>
      </x:c>
      <x:c r="B13" s="658">
        <x:v>45292</x:v>
      </x:c>
      <x:c r="C13" s="124"/>
      <x:c r="D13" s="131">
        <x:f>+'13-3-2-1'!D12</x:f>
        <x:v>0</x:v>
      </x:c>
      <x:c r="E13" s="110"/>
      <x:c r="F13" s="125" t="s">
        <x:v>340</x:v>
      </x:c>
      <x:c r="G13" s="608">
        <x:f>'13-3-2-2'!J13</x:f>
        <x:v>-12605138.15</x:v>
      </x:c>
      <x:c r="H13" s="43"/>
      <x:c r="I13" s="125" t="s">
        <x:v>341</x:v>
      </x:c>
      <x:c r="J13" s="268">
        <x:f t="shared" ref="J13:J24" si="1">SUM(D13:G13)</x:f>
        <x:v>-12605138.15</x:v>
      </x:c>
    </x:row>
    <x:row r="14" spans="1:10" x14ac:dyDescent="0.25">
      <x:c r="A14" s="121">
        <x:f t="shared" si="0"/>
        <x:v>4</x:v>
      </x:c>
      <x:c r="B14" s="658">
        <x:v>45323</x:v>
      </x:c>
      <x:c r="C14" s="124"/>
      <x:c r="D14" s="131">
        <x:f>+'13-3-2-1'!D13</x:f>
        <x:v>0</x:v>
      </x:c>
      <x:c r="E14" s="110"/>
      <x:c r="F14" s="125" t="s">
        <x:v>340</x:v>
      </x:c>
      <x:c r="G14" s="608">
        <x:f>'13-3-2-2'!J14</x:f>
        <x:v>-12605138.15</x:v>
      </x:c>
      <x:c r="H14" s="43"/>
      <x:c r="I14" s="125" t="s">
        <x:v>341</x:v>
      </x:c>
      <x:c r="J14" s="268">
        <x:f t="shared" si="1"/>
        <x:v>-12605138.15</x:v>
      </x:c>
    </x:row>
    <x:row r="15" spans="1:10" x14ac:dyDescent="0.25">
      <x:c r="A15" s="121">
        <x:f t="shared" si="0"/>
        <x:v>5</x:v>
      </x:c>
      <x:c r="B15" s="658">
        <x:v>45352</x:v>
      </x:c>
      <x:c r="C15" s="124"/>
      <x:c r="D15" s="131">
        <x:f>+'13-3-2-1'!D14</x:f>
        <x:v>7136023.3100000024</x:v>
      </x:c>
      <x:c r="E15" s="110"/>
      <x:c r="F15" s="125" t="s">
        <x:v>340</x:v>
      </x:c>
      <x:c r="G15" s="608">
        <x:f>'13-3-2-2'!J15</x:f>
        <x:v>-12559084.5</x:v>
      </x:c>
      <x:c r="H15" s="43"/>
      <x:c r="I15" s="125" t="s">
        <x:v>341</x:v>
      </x:c>
      <x:c r="J15" s="268">
        <x:f t="shared" si="1"/>
        <x:v>-5423061.1899999976</x:v>
      </x:c>
    </x:row>
    <x:row r="16" spans="1:10" x14ac:dyDescent="0.25">
      <x:c r="A16" s="121">
        <x:f t="shared" si="0"/>
        <x:v>6</x:v>
      </x:c>
      <x:c r="B16" s="658">
        <x:v>45383</x:v>
      </x:c>
      <x:c r="C16" s="124"/>
      <x:c r="D16" s="131">
        <x:f>+'13-3-2-1'!D15</x:f>
        <x:v>0</x:v>
      </x:c>
      <x:c r="E16" s="110"/>
      <x:c r="F16" s="125" t="s">
        <x:v>340</x:v>
      </x:c>
      <x:c r="G16" s="608">
        <x:f>'13-3-2-2'!J16</x:f>
        <x:v>-12559084.5</x:v>
      </x:c>
      <x:c r="H16" s="43"/>
      <x:c r="I16" s="125" t="s">
        <x:v>341</x:v>
      </x:c>
      <x:c r="J16" s="268">
        <x:f t="shared" si="1"/>
        <x:v>-12559084.5</x:v>
      </x:c>
    </x:row>
    <x:row r="17" spans="1:10" x14ac:dyDescent="0.25">
      <x:c r="A17" s="121">
        <x:f t="shared" si="0"/>
        <x:v>7</x:v>
      </x:c>
      <x:c r="B17" s="658">
        <x:v>45413</x:v>
      </x:c>
      <x:c r="C17" s="124"/>
      <x:c r="D17" s="131">
        <x:f>+'13-3-2-1'!D16</x:f>
        <x:v>0</x:v>
      </x:c>
      <x:c r="E17" s="110"/>
      <x:c r="F17" s="125" t="s">
        <x:v>340</x:v>
      </x:c>
      <x:c r="G17" s="608">
        <x:f>'13-3-2-2'!J17</x:f>
        <x:v>-12559084.5</x:v>
      </x:c>
      <x:c r="H17" s="43"/>
      <x:c r="I17" s="125" t="s">
        <x:v>341</x:v>
      </x:c>
      <x:c r="J17" s="268">
        <x:f t="shared" si="1"/>
        <x:v>-12559084.5</x:v>
      </x:c>
    </x:row>
    <x:row r="18" spans="1:10" x14ac:dyDescent="0.25">
      <x:c r="A18" s="121">
        <x:f t="shared" si="0"/>
        <x:v>8</x:v>
      </x:c>
      <x:c r="B18" s="658">
        <x:v>45444</x:v>
      </x:c>
      <x:c r="C18" s="124"/>
      <x:c r="D18" s="131">
        <x:f>+'13-3-2-1'!D17</x:f>
        <x:v>8066383.5900000334</x:v>
      </x:c>
      <x:c r="E18" s="110"/>
      <x:c r="F18" s="125" t="s">
        <x:v>340</x:v>
      </x:c>
      <x:c r="G18" s="608">
        <x:f>'13-3-2-2'!J18</x:f>
        <x:v>-11343339.120000001</x:v>
      </x:c>
      <x:c r="H18" s="43"/>
      <x:c r="I18" s="125" t="s">
        <x:v>341</x:v>
      </x:c>
      <x:c r="J18" s="268">
        <x:f t="shared" si="1"/>
        <x:v>-3276955.5299999677</x:v>
      </x:c>
    </x:row>
    <x:row r="19" spans="1:10" x14ac:dyDescent="0.25">
      <x:c r="A19" s="121">
        <x:f t="shared" si="0"/>
        <x:v>9</x:v>
      </x:c>
      <x:c r="B19" s="658">
        <x:v>45474</x:v>
      </x:c>
      <x:c r="C19" s="124"/>
      <x:c r="D19" s="131">
        <x:f>+'13-3-2-1'!D18</x:f>
        <x:v>0</x:v>
      </x:c>
      <x:c r="E19" s="110"/>
      <x:c r="F19" s="125" t="s">
        <x:v>340</x:v>
      </x:c>
      <x:c r="G19" s="608">
        <x:f>'13-3-2-2'!J19</x:f>
        <x:v>-11343339.120000001</x:v>
      </x:c>
      <x:c r="H19" s="43"/>
      <x:c r="I19" s="125" t="s">
        <x:v>341</x:v>
      </x:c>
      <x:c r="J19" s="268">
        <x:f t="shared" si="1"/>
        <x:v>-11343339.120000001</x:v>
      </x:c>
    </x:row>
    <x:row r="20" spans="1:10" x14ac:dyDescent="0.25">
      <x:c r="A20" s="121">
        <x:f t="shared" si="0"/>
        <x:v>10</x:v>
      </x:c>
      <x:c r="B20" s="658">
        <x:v>45505</x:v>
      </x:c>
      <x:c r="C20" s="124"/>
      <x:c r="D20" s="131">
        <x:f>+'13-3-2-1'!D19</x:f>
        <x:v>0</x:v>
      </x:c>
      <x:c r="E20" s="110"/>
      <x:c r="F20" s="125" t="s">
        <x:v>340</x:v>
      </x:c>
      <x:c r="G20" s="608">
        <x:f>'13-3-2-2'!J20</x:f>
        <x:v>-11343339.120000001</x:v>
      </x:c>
      <x:c r="H20" s="43"/>
      <x:c r="I20" s="125" t="s">
        <x:v>341</x:v>
      </x:c>
      <x:c r="J20" s="268">
        <x:f t="shared" si="1"/>
        <x:v>-11343339.120000001</x:v>
      </x:c>
    </x:row>
    <x:row r="21" spans="1:10" x14ac:dyDescent="0.25">
      <x:c r="A21" s="121">
        <x:f t="shared" si="0"/>
        <x:v>11</x:v>
      </x:c>
      <x:c r="B21" s="658">
        <x:v>45536</x:v>
      </x:c>
      <x:c r="C21" s="124"/>
      <x:c r="D21" s="131">
        <x:f>+'13-3-2-1'!D20</x:f>
        <x:v>9033686.0700000525</x:v>
      </x:c>
      <x:c r="E21" s="110"/>
      <x:c r="F21" s="125" t="s">
        <x:v>340</x:v>
      </x:c>
      <x:c r="G21" s="608">
        <x:f>'13-3-2-2'!J21</x:f>
        <x:v>-10214481.83</x:v>
      </x:c>
      <x:c r="H21" s="43"/>
      <x:c r="I21" s="125" t="s">
        <x:v>341</x:v>
      </x:c>
      <x:c r="J21" s="268">
        <x:f t="shared" si="1"/>
        <x:v>-1180795.7599999476</x:v>
      </x:c>
    </x:row>
    <x:row r="22" spans="1:10" x14ac:dyDescent="0.25">
      <x:c r="A22" s="121">
        <x:f t="shared" si="0"/>
        <x:v>12</x:v>
      </x:c>
      <x:c r="B22" s="658">
        <x:v>45566</x:v>
      </x:c>
      <x:c r="C22" s="124"/>
      <x:c r="D22" s="131">
        <x:f>+'13-3-2-1'!D21</x:f>
        <x:v>0</x:v>
      </x:c>
      <x:c r="E22" s="110"/>
      <x:c r="F22" s="125" t="s">
        <x:v>340</x:v>
      </x:c>
      <x:c r="G22" s="608">
        <x:f>'13-3-2-2'!J22</x:f>
        <x:v>-7714481.8300000001</x:v>
      </x:c>
      <x:c r="H22" s="43"/>
      <x:c r="I22" s="125" t="s">
        <x:v>341</x:v>
      </x:c>
      <x:c r="J22" s="268">
        <x:f t="shared" si="1"/>
        <x:v>-7714481.8300000001</x:v>
      </x:c>
    </x:row>
    <x:row r="23" spans="1:10" x14ac:dyDescent="0.25">
      <x:c r="A23" s="121">
        <x:f t="shared" si="0"/>
        <x:v>13</x:v>
      </x:c>
      <x:c r="B23" s="658">
        <x:v>45597</x:v>
      </x:c>
      <x:c r="C23" s="124"/>
      <x:c r="D23" s="131">
        <x:f>+'13-3-2-1'!D22</x:f>
        <x:v>0</x:v>
      </x:c>
      <x:c r="E23" s="110"/>
      <x:c r="F23" s="125" t="s">
        <x:v>340</x:v>
      </x:c>
      <x:c r="G23" s="608">
        <x:f>'13-3-2-2'!J23</x:f>
        <x:v>-7714481.8300000001</x:v>
      </x:c>
      <x:c r="H23" s="43"/>
      <x:c r="I23" s="125" t="s">
        <x:v>341</x:v>
      </x:c>
      <x:c r="J23" s="268">
        <x:f t="shared" si="1"/>
        <x:v>-7714481.8300000001</x:v>
      </x:c>
    </x:row>
    <x:row r="24" spans="1:10" x14ac:dyDescent="0.25">
      <x:c r="A24" s="121">
        <x:f t="shared" si="0"/>
        <x:v>14</x:v>
      </x:c>
      <x:c r="B24" s="658">
        <x:v>45627</x:v>
      </x:c>
      <x:c r="C24" s="124"/>
      <x:c r="D24" s="131">
        <x:f>+'13-3-2-1'!D23</x:f>
        <x:v>14249635.26000008</x:v>
      </x:c>
      <x:c r="E24" s="110"/>
      <x:c r="F24" s="125" t="s">
        <x:v>340</x:v>
      </x:c>
      <x:c r="G24" s="608">
        <x:f>'13-3-2-2'!J24</x:f>
        <x:v>-8469710.2899999991</x:v>
      </x:c>
      <x:c r="H24" s="43"/>
      <x:c r="I24" s="125" t="s">
        <x:v>341</x:v>
      </x:c>
      <x:c r="J24" s="268">
        <x:f t="shared" si="1"/>
        <x:v>5779924.9700000808</x:v>
      </x:c>
    </x:row>
    <x:row r="25" spans="1:10" x14ac:dyDescent="0.25">
      <x:c r="A25" s="121">
        <x:f t="shared" si="0"/>
        <x:v>15</x:v>
      </x:c>
      <x:c r="B25" s="124"/>
      <x:c r="C25" s="124"/>
      <x:c r="D25" s="134"/>
      <x:c r="E25" s="124"/>
      <x:c r="F25" s="132"/>
      <x:c r="G25" s="246"/>
      <x:c r="H25" s="43"/>
      <x:c r="I25" s="132"/>
      <x:c r="J25" s="247"/>
    </x:row>
    <x:row r="26" spans="1:10" x14ac:dyDescent="0.25">
      <x:c r="A26" s="121">
        <x:f t="shared" si="0"/>
        <x:v>16</x:v>
      </x:c>
      <x:c r="B26" s="124" t="s">
        <x:v>400</x:v>
      </x:c>
      <x:c r="C26" s="124"/>
      <x:c r="D26" s="412">
        <x:f>SUM(D11:D24)</x:f>
        <x:v>45431119.72000017</x:v>
      </x:c>
      <x:c r="E26" s="412"/>
      <x:c r="F26" s="413"/>
      <x:c r="G26" s="412">
        <x:f>SUM(G11:G24)</x:f>
        <x:v>-143635841.09</x:v>
      </x:c>
      <x:c r="H26" s="347"/>
      <x:c r="I26" s="413"/>
      <x:c r="J26" s="347">
        <x:f>SUM(J11:J24)</x:f>
        <x:v>-98204721.369999826</x:v>
      </x:c>
    </x:row>
    <x:row r="27" spans="1:10" ht="13.25" thickBot="1" x14ac:dyDescent="0.3">
      <x:c r="A27" s="121">
        <x:f t="shared" si="0"/>
        <x:v>17</x:v>
      </x:c>
      <x:c r="B27" s="124" t="s">
        <x:v>401</x:v>
      </x:c>
      <x:c r="C27" s="124"/>
      <x:c r="D27" s="663">
        <x:f>D26/5</x:f>
        <x:v>9086223.9440000337</x:v>
      </x:c>
      <x:c r="E27" s="399"/>
      <x:c r="F27" s="414"/>
      <x:c r="G27" s="387">
        <x:f>G26/13</x:f>
        <x:v>-11048910.853076924</x:v>
      </x:c>
      <x:c r="H27" s="387"/>
      <x:c r="I27" s="414"/>
      <x:c r="J27" s="399">
        <x:f>+D27+G27</x:f>
        <x:v>-1962686.90907689</x:v>
      </x:c>
    </x:row>
    <x:row r="28" spans="1:10" ht="13.25" thickTop="1" x14ac:dyDescent="0.25">
      <x:c r="A28" s="121">
        <x:f t="shared" si="0"/>
        <x:v>18</x:v>
      </x:c>
      <x:c r="B28" s="119"/>
      <x:c r="C28" s="119"/>
      <x:c r="D28" s="123"/>
      <x:c r="F28" s="133"/>
      <x:c r="G28" s="123"/>
      <x:c r="J28" s="123"/>
    </x:row>
    <x:row r="29" spans="1:10" x14ac:dyDescent="0.25">
      <x:c r="A29" s="121">
        <x:f t="shared" si="0"/>
        <x:v>19</x:v>
      </x:c>
      <x:c r="B29" s="119"/>
      <x:c r="C29" s="119"/>
      <x:c r="F29" s="133"/>
    </x:row>
    <x:row r="30" spans="1:10" x14ac:dyDescent="0.25">
      <x:c r="A30" s="121">
        <x:f t="shared" si="0"/>
        <x:v>20</x:v>
      </x:c>
      <x:c r="B30" s="534" t="s">
        <x:v>373</x:v>
      </x:c>
      <x:c r="C30" s="534"/>
      <x:c r="D30" s="538"/>
    </x:row>
  </x:sheetData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6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D00-000000000000}" mc:Ignorable="x14ac xr xr2 xr3">
  <x:sheetPr codeName="Sheet48">
    <x:tabColor rgb="FF92D050"/>
    <x:pageSetUpPr fitToPage="1"/>
  </x:sheetPr>
  <x:dimension ref="A1:I30"/>
  <x:sheetViews>
    <x:sheetView topLeftCell="A10" zoomScaleNormal="100" workbookViewId="0">
      <x:selection activeCell="D37" sqref="D37"/>
    </x:sheetView>
  </x:sheetViews>
  <x:sheetFormatPr defaultColWidth="8" defaultRowHeight="12.7" x14ac:dyDescent="0.25"/>
  <x:cols>
    <x:col min="1" max="1" width="9.44140625" style="135" bestFit="1" customWidth="1"/>
    <x:col min="2" max="2" width="22.44140625" style="135" customWidth="1"/>
    <x:col min="3" max="3" width="15.44140625" style="135" bestFit="1" customWidth="1"/>
    <x:col min="4" max="4" width="15.5546875" style="135" customWidth="1"/>
    <x:col min="5" max="5" width="13.5546875" style="135" bestFit="1" customWidth="1"/>
    <x:col min="6" max="16384" width="8" style="135"/>
  </x:cols>
  <x:sheetData>
    <x:row r="1" spans="1:9" s="41" customFormat="1" x14ac:dyDescent="0.25">
      <x:c r="A1" s="180" t="s">
        <x:v>523</x:v>
      </x:c>
      <x:c r="C1" s="180"/>
      <x:c r="D1" s="180"/>
    </x:row>
    <x:row r="2" spans="1:9" s="41" customFormat="1" x14ac:dyDescent="0.25">
      <x:c r="A2" s="180" t="str">
        <x:f>' '!A2</x:f>
        <x:v>ONCOR ELECTRIC DELIVERY COMPANY LLC</x:v>
      </x:c>
      <x:c r="C2" s="180"/>
      <x:c r="D2" s="180"/>
    </x:row>
    <x:row r="3" spans="1:9" s="41" customFormat="1" x14ac:dyDescent="0.25">
      <x:c r="A3" s="180" t="s">
        <x:v>172</x:v>
      </x:c>
      <x:c r="C3" s="180"/>
      <x:c r="D3" s="180"/>
    </x:row>
    <x:row r="4" spans="1:9" s="41" customFormat="1" x14ac:dyDescent="0.25">
      <x:c r="A4" s="767" t="s">
        <x:v>522</x:v>
      </x:c>
      <x:c r="C4" s="180"/>
      <x:c r="D4" s="180"/>
    </x:row>
    <x:row r="5" spans="1:9" s="41" customFormat="1" x14ac:dyDescent="0.25">
      <x:c r="A5" s="180" t="s">
        <x:v>486</x:v>
      </x:c>
      <x:c r="C5" s="535"/>
      <x:c r="D5" s="535"/>
      <x:c r="E5" s="535"/>
      <x:c r="F5" s="535"/>
      <x:c r="G5" s="535"/>
      <x:c r="H5" s="535" t="s">
        <x:v>464</x:v>
      </x:c>
      <x:c r="I5" s="537"/>
    </x:row>
    <x:row r="7" spans="1:9" s="136" customFormat="1" ht="42.05" customHeight="1" x14ac:dyDescent="0.25">
      <x:c r="A7" s="201" t="s">
        <x:v>197</x:v>
      </x:c>
      <x:c r="B7" s="323"/>
      <x:c r="C7" s="324" t="s">
        <x:v>130</x:v>
      </x:c>
      <x:c r="D7" s="324" t="s">
        <x:v>396</x:v>
      </x:c>
    </x:row>
    <x:row r="8" spans="1:9" x14ac:dyDescent="0.25">
      <x:c r="A8" s="202" t="s">
        <x:v>198</x:v>
      </x:c>
      <x:c r="B8" s="325" t="s">
        <x:v>79</x:v>
      </x:c>
      <x:c r="C8" s="325" t="s">
        <x:v>131</x:v>
      </x:c>
      <x:c r="D8" s="325" t="s">
        <x:v>130</x:v>
      </x:c>
    </x:row>
    <x:row r="9" spans="1:9" x14ac:dyDescent="0.25">
      <x:c r="A9" s="147"/>
      <x:c r="B9" s="40" t="s">
        <x:v>50</x:v>
      </x:c>
      <x:c r="C9" s="40" t="s">
        <x:v>51</x:v>
      </x:c>
      <x:c r="D9" s="40" t="s">
        <x:v>57</x:v>
      </x:c>
    </x:row>
    <x:row r="10" spans="1:9" x14ac:dyDescent="0.25">
      <x:c r="A10" s="147"/>
      <x:c r="B10" s="40"/>
      <x:c r="C10" s="40"/>
      <x:c r="D10" s="108"/>
    </x:row>
    <x:row r="11" spans="1:9" x14ac:dyDescent="0.25">
      <x:c r="A11" s="149">
        <x:v>1</x:v>
      </x:c>
      <x:c r="B11" s="137" t="s">
        <x:v>132</x:v>
      </x:c>
      <x:c r="C11" s="718">
        <x:v>6945391.4900000002</x:v>
      </x:c>
      <x:c r="D11" s="418">
        <x:v>6945391.4900000002</x:v>
      </x:c>
      <x:c r="E11" s="418"/>
    </x:row>
    <x:row r="12" spans="1:9" x14ac:dyDescent="0.25">
      <x:c r="A12" s="137">
        <x:f t="shared" ref="A12:A28" si="0">A11+1</x:f>
        <x:v>2</x:v>
      </x:c>
      <x:c r="B12" s="658">
        <x:v>45292</x:v>
      </x:c>
      <x:c r="C12" s="718">
        <x:v>57930871.640000001</x:v>
      </x:c>
      <x:c r="D12" s="418">
        <x:v>0</x:v>
      </x:c>
      <x:c r="E12" s="416"/>
    </x:row>
    <x:row r="13" spans="1:9" x14ac:dyDescent="0.25">
      <x:c r="A13" s="137">
        <x:f t="shared" si="0"/>
        <x:v>3</x:v>
      </x:c>
      <x:c r="B13" s="658">
        <x:v>45323</x:v>
      </x:c>
      <x:c r="C13" s="718">
        <x:v>56179844.280000001</x:v>
      </x:c>
      <x:c r="D13" s="418">
        <x:v>0</x:v>
      </x:c>
      <x:c r="E13" s="416"/>
    </x:row>
    <x:row r="14" spans="1:9" x14ac:dyDescent="0.25">
      <x:c r="A14" s="137">
        <x:f t="shared" si="0"/>
        <x:v>4</x:v>
      </x:c>
      <x:c r="B14" s="658">
        <x:v>45352</x:v>
      </x:c>
      <x:c r="C14" s="718">
        <x:v>7136023.3100000024</x:v>
      </x:c>
      <x:c r="D14" s="418">
        <x:v>7136023.3100000024</x:v>
      </x:c>
      <x:c r="E14" s="416"/>
    </x:row>
    <x:row r="15" spans="1:9" x14ac:dyDescent="0.25">
      <x:c r="A15" s="137">
        <x:f t="shared" si="0"/>
        <x:v>5</x:v>
      </x:c>
      <x:c r="B15" s="658">
        <x:v>45383</x:v>
      </x:c>
      <x:c r="C15" s="718">
        <x:v>51575013.510000005</x:v>
      </x:c>
      <x:c r="D15" s="418">
        <x:v>0</x:v>
      </x:c>
      <x:c r="E15" s="416"/>
    </x:row>
    <x:row r="16" spans="1:9" x14ac:dyDescent="0.25">
      <x:c r="A16" s="137">
        <x:f t="shared" si="0"/>
        <x:v>6</x:v>
      </x:c>
      <x:c r="B16" s="658">
        <x:v>45413</x:v>
      </x:c>
      <x:c r="C16" s="718">
        <x:v>143305080.98000002</x:v>
      </x:c>
      <x:c r="D16" s="418">
        <x:v>0</x:v>
      </x:c>
      <x:c r="E16" s="536"/>
    </x:row>
    <x:row r="17" spans="1:5" x14ac:dyDescent="0.25">
      <x:c r="A17" s="137">
        <x:f t="shared" si="0"/>
        <x:v>7</x:v>
      </x:c>
      <x:c r="B17" s="658">
        <x:v>45444</x:v>
      </x:c>
      <x:c r="C17" s="718">
        <x:v>8066383.5900000334</x:v>
      </x:c>
      <x:c r="D17" s="418">
        <x:v>8066383.5900000334</x:v>
      </x:c>
      <x:c r="E17" s="416"/>
    </x:row>
    <x:row r="18" spans="1:5" x14ac:dyDescent="0.25">
      <x:c r="A18" s="137">
        <x:f t="shared" si="0"/>
        <x:v>8</x:v>
      </x:c>
      <x:c r="B18" s="658">
        <x:v>45474</x:v>
      </x:c>
      <x:c r="C18" s="718">
        <x:v>344560041.19000006</x:v>
      </x:c>
      <x:c r="D18" s="418">
        <x:v>0</x:v>
      </x:c>
      <x:c r="E18" s="416"/>
    </x:row>
    <x:row r="19" spans="1:5" x14ac:dyDescent="0.25">
      <x:c r="A19" s="137">
        <x:f t="shared" si="0"/>
        <x:v>9</x:v>
      </x:c>
      <x:c r="B19" s="658">
        <x:v>45505</x:v>
      </x:c>
      <x:c r="C19" s="718">
        <x:v>327750999.08000004</x:v>
      </x:c>
      <x:c r="D19" s="418">
        <x:v>0</x:v>
      </x:c>
      <x:c r="E19" s="416"/>
    </x:row>
    <x:row r="20" spans="1:5" x14ac:dyDescent="0.25">
      <x:c r="A20" s="137">
        <x:f t="shared" si="0"/>
        <x:v>10</x:v>
      </x:c>
      <x:c r="B20" s="658">
        <x:v>45536</x:v>
      </x:c>
      <x:c r="C20" s="718">
        <x:v>9033686.0700000525</x:v>
      </x:c>
      <x:c r="D20" s="418">
        <x:v>9033686.0700000525</x:v>
      </x:c>
      <x:c r="E20" s="416"/>
    </x:row>
    <x:row r="21" spans="1:5" x14ac:dyDescent="0.25">
      <x:c r="A21" s="137">
        <x:f t="shared" si="0"/>
        <x:v>11</x:v>
      </x:c>
      <x:c r="B21" s="658">
        <x:v>45566</x:v>
      </x:c>
      <x:c r="C21" s="718">
        <x:v>248857348.38000005</x:v>
      </x:c>
      <x:c r="D21" s="418">
        <x:v>0</x:v>
      </x:c>
      <x:c r="E21" s="416"/>
    </x:row>
    <x:row r="22" spans="1:5" x14ac:dyDescent="0.25">
      <x:c r="A22" s="137">
        <x:f t="shared" si="0"/>
        <x:v>12</x:v>
      </x:c>
      <x:c r="B22" s="658">
        <x:v>45597</x:v>
      </x:c>
      <x:c r="C22" s="718">
        <x:v>263889912.74000007</x:v>
      </x:c>
      <x:c r="D22" s="418">
        <x:v>0</x:v>
      </x:c>
      <x:c r="E22" s="416"/>
    </x:row>
    <x:row r="23" spans="1:5" x14ac:dyDescent="0.25">
      <x:c r="A23" s="137">
        <x:f t="shared" si="0"/>
        <x:v>13</x:v>
      </x:c>
      <x:c r="B23" s="658">
        <x:v>45627</x:v>
      </x:c>
      <x:c r="C23" s="718">
        <x:v>14249635.26000008</x:v>
      </x:c>
      <x:c r="D23" s="418">
        <x:v>14249635.26000008</x:v>
      </x:c>
      <x:c r="E23" s="416"/>
    </x:row>
    <x:row r="24" spans="1:5" x14ac:dyDescent="0.25">
      <x:c r="A24" s="137">
        <x:f t="shared" si="0"/>
        <x:v>14</x:v>
      </x:c>
      <x:c r="B24" s="629"/>
      <x:c r="C24" s="417"/>
    </x:row>
    <x:row r="25" spans="1:5" x14ac:dyDescent="0.25">
      <x:c r="A25" s="137">
        <x:f t="shared" si="0"/>
        <x:v>15</x:v>
      </x:c>
      <x:c r="B25" s="104" t="s">
        <x:v>402</x:v>
      </x:c>
      <x:c r="C25" s="412">
        <x:f>SUM(C11:C23)</x:f>
        <x:v>1539480231.5200002</x:v>
      </x:c>
      <x:c r="D25" s="412">
        <x:f>SUM(D11:D23)</x:f>
        <x:v>45431119.72000017</x:v>
      </x:c>
    </x:row>
    <x:row r="26" spans="1:5" ht="13.25" thickBot="1" x14ac:dyDescent="0.3">
      <x:c r="A26" s="137">
        <x:f t="shared" si="0"/>
        <x:v>16</x:v>
      </x:c>
      <x:c r="B26" s="104" t="s">
        <x:v>27</x:v>
      </x:c>
      <x:c r="C26" s="399">
        <x:f>+C25/13</x:f>
        <x:v>118421556.27076925</x:v>
      </x:c>
    </x:row>
    <x:row r="27" spans="1:5" ht="13.85" thickTop="1" thickBot="1" x14ac:dyDescent="0.3">
      <x:c r="A27" s="137">
        <x:f t="shared" si="0"/>
        <x:v>17</x:v>
      </x:c>
      <x:c r="B27" s="419" t="s">
        <x:v>397</x:v>
      </x:c>
      <x:c r="D27" s="399">
        <x:f>+D25/5</x:f>
        <x:v>9086223.9440000337</x:v>
      </x:c>
    </x:row>
    <x:row r="28" spans="1:5" ht="24.8" customHeight="1" thickTop="1" x14ac:dyDescent="0.25">
      <x:c r="A28" s="137">
        <x:f t="shared" si="0"/>
        <x:v>18</x:v>
      </x:c>
      <x:c r="B28" s="135" t="s">
        <x:v>398</x:v>
      </x:c>
    </x:row>
    <x:row r="29" spans="1:5" x14ac:dyDescent="0.25">
      <x:c r="A29" s="137">
        <x:f>+A28+1</x:f>
        <x:v>19</x:v>
      </x:c>
      <x:c r="B29" s="135" t="s">
        <x:v>399</x:v>
      </x:c>
    </x:row>
    <x:row r="30" spans="1:5" ht="26.25" customHeight="1" x14ac:dyDescent="0.25">
      <x:c r="A30" s="137">
        <x:f>+A29+1</x:f>
        <x:v>20</x:v>
      </x:c>
      <x:c r="B30" s="31" t="s">
        <x:v>230</x:v>
      </x:c>
      <x:c r="C30" s="290" t="s">
        <x:v>443</x:v>
      </x:c>
    </x:row>
  </x:sheetData>
  <x:phoneticPr fontId="19" type="noConversion"/>
  <x:hyperlinks>
    <x:hyperlink ref="C30" r:id="rId1" xr:uid="{00000000-0004-0000-3D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  <x:drawing r:id="rId3"/>
</x:worksheet>
</file>

<file path=xl/worksheets/sheet6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E00-000000000000}" mc:Ignorable="x14ac xr xr2 xr3">
  <x:sheetPr codeName="Sheet49">
    <x:tabColor rgb="FF92D050"/>
    <x:pageSetUpPr fitToPage="1"/>
  </x:sheetPr>
  <x:dimension ref="A1:AH40"/>
  <x:sheetViews>
    <x:sheetView topLeftCell="A10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18"/>
    <x:col min="2" max="2" width="22" style="118" customWidth="1"/>
    <x:col min="3" max="3" width="2" style="118" customWidth="1"/>
    <x:col min="4" max="4" width="14.5546875" style="118" bestFit="1" customWidth="1"/>
    <x:col min="5" max="5" width="16.109375" style="118" bestFit="1" customWidth="1"/>
    <x:col min="6" max="6" width="3.5546875" style="118" customWidth="1"/>
    <x:col min="7" max="7" width="13.5546875" style="118" bestFit="1" customWidth="1"/>
    <x:col min="8" max="8" width="14.44140625" style="118" customWidth="1"/>
    <x:col min="9" max="9" width="3.109375" style="118" customWidth="1"/>
    <x:col min="10" max="10" width="17.5546875" style="118" bestFit="1" customWidth="1"/>
    <x:col min="11" max="11" width="9.109375" style="118"/>
    <x:col min="12" max="12" width="34.88671875" style="118" bestFit="1" customWidth="1"/>
    <x:col min="13" max="16384" width="9.109375" style="118"/>
  </x:cols>
  <x:sheetData>
    <x:row r="1" spans="1:34" s="41" customFormat="1" x14ac:dyDescent="0.25">
      <x:c r="A1" s="180" t="s">
        <x:v>523</x:v>
      </x:c>
      <x:c r="C1" s="180"/>
      <x:c r="D1" s="180"/>
      <x:c r="E1" s="180"/>
      <x:c r="F1" s="180"/>
    </x:row>
    <x:row r="2" spans="1:34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34" s="41" customFormat="1" x14ac:dyDescent="0.25">
      <x:c r="A3" s="180" t="s">
        <x:v>174</x:v>
      </x:c>
      <x:c r="C3" s="180"/>
      <x:c r="D3" s="180"/>
      <x:c r="E3" s="535"/>
      <x:c r="F3" s="535"/>
      <x:c r="G3" s="535"/>
      <x:c r="H3" s="535"/>
      <x:c r="I3" s="535"/>
      <x:c r="J3" s="535"/>
      <x:c r="K3" s="537"/>
    </x:row>
    <x:row r="4" spans="1:34" s="41" customFormat="1" x14ac:dyDescent="0.25">
      <x:c r="A4" s="767" t="s">
        <x:v>522</x:v>
      </x:c>
      <x:c r="C4" s="180"/>
      <x:c r="D4" s="180"/>
      <x:c r="E4" s="180"/>
      <x:c r="F4" s="180"/>
    </x:row>
    <x:row r="5" spans="1:34" s="41" customFormat="1" x14ac:dyDescent="0.25">
      <x:c r="A5" s="180" t="s">
        <x:v>486</x:v>
      </x:c>
      <x:c r="C5" s="180"/>
      <x:c r="D5" s="180"/>
      <x:c r="E5" s="180"/>
      <x:c r="F5" s="180"/>
      <x:c r="H5" s="41" t="s">
        <x:v>464</x:v>
      </x:c>
    </x:row>
    <x:row r="7" spans="1:34" s="122" customFormat="1" ht="26.25" customHeight="1" x14ac:dyDescent="0.25">
      <x:c r="A7" s="201" t="s">
        <x:v>197</x:v>
      </x:c>
      <x:c r="B7" s="316"/>
      <x:c r="C7" s="316"/>
      <x:c r="D7" s="838" t="s">
        <x:v>133</x:v>
      </x:c>
      <x:c r="E7" s="838"/>
      <x:c r="F7" s="319"/>
      <x:c r="G7" s="838" t="s">
        <x:v>239</x:v>
      </x:c>
      <x:c r="H7" s="838"/>
      <x:c r="I7" s="317"/>
      <x:c r="J7" s="319"/>
      <x:c r="K7" s="118"/>
      <x:c r="L7" s="118"/>
      <x:c r="M7" s="118"/>
      <x:c r="N7" s="118"/>
    </x:row>
    <x:row r="8" spans="1:34" x14ac:dyDescent="0.25">
      <x:c r="A8" s="202" t="s">
        <x:v>198</x:v>
      </x:c>
      <x:c r="B8" s="326" t="s">
        <x:v>79</x:v>
      </x:c>
      <x:c r="C8" s="327"/>
      <x:c r="D8" s="839" t="s">
        <x:v>134</x:v>
      </x:c>
      <x:c r="E8" s="839"/>
      <x:c r="F8" s="328"/>
      <x:c r="G8" s="839" t="s">
        <x:v>135</x:v>
      </x:c>
      <x:c r="H8" s="839"/>
      <x:c r="I8" s="329"/>
      <x:c r="J8" s="322" t="s">
        <x:v>26</x:v>
      </x:c>
      <x:c r="O8" s="139"/>
      <x:c r="P8" s="139"/>
      <x:c r="Q8" s="139"/>
      <x:c r="R8" s="139"/>
      <x:c r="S8" s="139"/>
      <x:c r="T8" s="139"/>
      <x:c r="U8" s="139"/>
      <x:c r="V8" s="139"/>
      <x:c r="W8" s="139"/>
      <x:c r="X8" s="139"/>
      <x:c r="Y8" s="139"/>
      <x:c r="Z8" s="139"/>
      <x:c r="AA8" s="139"/>
      <x:c r="AB8" s="139"/>
      <x:c r="AC8" s="139"/>
      <x:c r="AD8" s="139"/>
      <x:c r="AE8" s="139"/>
      <x:c r="AF8" s="139"/>
      <x:c r="AG8" s="139"/>
      <x:c r="AH8" s="139"/>
    </x:row>
    <x:row r="9" spans="1:34" x14ac:dyDescent="0.25">
      <x:c r="A9" s="147"/>
      <x:c r="B9" s="40" t="s">
        <x:v>50</x:v>
      </x:c>
      <x:c r="C9" s="40"/>
      <x:c r="D9" s="40" t="s">
        <x:v>51</x:v>
      </x:c>
      <x:c r="E9" s="40" t="s">
        <x:v>57</x:v>
      </x:c>
      <x:c r="F9" s="40"/>
      <x:c r="G9" s="40" t="s">
        <x:v>52</x:v>
      </x:c>
      <x:c r="H9" s="40" t="s">
        <x:v>53</x:v>
      </x:c>
      <x:c r="I9" s="40"/>
      <x:c r="J9" s="40" t="s">
        <x:v>54</x:v>
      </x:c>
      <x:c r="O9" s="139"/>
      <x:c r="P9" s="139"/>
      <x:c r="Q9" s="139"/>
      <x:c r="R9" s="139"/>
      <x:c r="S9" s="139"/>
      <x:c r="T9" s="139"/>
      <x:c r="U9" s="139"/>
      <x:c r="V9" s="139"/>
      <x:c r="W9" s="139"/>
      <x:c r="X9" s="139"/>
      <x:c r="Y9" s="139"/>
      <x:c r="Z9" s="139"/>
      <x:c r="AA9" s="139"/>
      <x:c r="AB9" s="139"/>
      <x:c r="AC9" s="139"/>
      <x:c r="AD9" s="139"/>
      <x:c r="AE9" s="139"/>
      <x:c r="AF9" s="139"/>
      <x:c r="AG9" s="139"/>
      <x:c r="AH9" s="139"/>
    </x:row>
    <x:row r="10" spans="1:34" x14ac:dyDescent="0.25">
      <x:c r="A10" s="147"/>
      <x:c r="B10" s="40"/>
      <x:c r="C10" s="40"/>
      <x:c r="D10" s="40"/>
      <x:c r="E10" s="40"/>
      <x:c r="F10" s="40"/>
      <x:c r="G10" s="40"/>
      <x:c r="H10" s="40"/>
      <x:c r="I10" s="40"/>
      <x:c r="J10" s="40"/>
      <x:c r="O10" s="139"/>
      <x:c r="P10" s="139"/>
      <x:c r="Q10" s="139"/>
      <x:c r="R10" s="139"/>
      <x:c r="S10" s="139"/>
      <x:c r="T10" s="139"/>
      <x:c r="U10" s="139"/>
      <x:c r="V10" s="139"/>
      <x:c r="W10" s="139"/>
      <x:c r="X10" s="139"/>
      <x:c r="Y10" s="139"/>
      <x:c r="Z10" s="139"/>
      <x:c r="AA10" s="139"/>
      <x:c r="AB10" s="139"/>
      <x:c r="AC10" s="139"/>
      <x:c r="AD10" s="139"/>
      <x:c r="AE10" s="139"/>
      <x:c r="AF10" s="139"/>
      <x:c r="AG10" s="139"/>
      <x:c r="AH10" s="139"/>
    </x:row>
    <x:row r="11" spans="1:34" x14ac:dyDescent="0.25">
      <x:c r="A11" s="149">
        <x:v>1</x:v>
      </x:c>
      <x:c r="B11" s="109" t="s">
        <x:v>121</x:v>
      </x:c>
      <x:c r="C11" s="124"/>
      <x:c r="D11" s="539"/>
      <x:c r="E11" s="405">
        <x:v>-6684438.1500000004</x:v>
      </x:c>
      <x:c r="F11" s="405"/>
      <x:c r="G11" s="405"/>
      <x:c r="H11" s="405">
        <x:v>-5920700</x:v>
      </x:c>
      <x:c r="I11" s="405"/>
      <x:c r="J11" s="74">
        <x:f>E11+H11</x:f>
        <x:v>-12605138.15</x:v>
      </x:c>
      <x:c r="L11" s="110"/>
      <x:c r="M11" s="110"/>
    </x:row>
    <x:row r="12" spans="1:34" x14ac:dyDescent="0.25">
      <x:c r="A12" s="121">
        <x:f t="shared" ref="A12:A32" si="0">A11+1</x:f>
        <x:v>2</x:v>
      </x:c>
      <x:c r="B12" s="124"/>
      <x:c r="C12" s="124"/>
      <x:c r="D12" s="420" t="s">
        <x:v>123</x:v>
      </x:c>
      <x:c r="E12" s="420"/>
      <x:c r="F12" s="389"/>
      <x:c r="G12" s="420" t="s">
        <x:v>123</x:v>
      </x:c>
      <x:c r="H12" s="420"/>
      <x:c r="I12" s="389"/>
      <x:c r="J12" s="29"/>
      <x:c r="L12" s="110"/>
      <x:c r="M12" s="110"/>
    </x:row>
    <x:row r="13" spans="1:34" x14ac:dyDescent="0.25">
      <x:c r="A13" s="121">
        <x:f t="shared" si="0"/>
        <x:v>3</x:v>
      </x:c>
      <x:c r="B13" s="658">
        <x:v>45292</x:v>
      </x:c>
      <x:c r="C13" s="124"/>
      <x:c r="D13" s="420">
        <x:v>0</x:v>
      </x:c>
      <x:c r="E13" s="420">
        <x:f>E11+D13</x:f>
        <x:v>-6684438.1500000004</x:v>
      </x:c>
      <x:c r="F13" s="389"/>
      <x:c r="G13" s="420">
        <x:v>0</x:v>
      </x:c>
      <x:c r="H13" s="420">
        <x:f>H11+G13</x:f>
        <x:v>-5920700</x:v>
      </x:c>
      <x:c r="I13" s="389"/>
      <x:c r="J13" s="29">
        <x:f t="shared" ref="J13:J24" si="1">E13+H13</x:f>
        <x:v>-12605138.15</x:v>
      </x:c>
      <x:c r="L13" s="110"/>
      <x:c r="M13" s="110"/>
    </x:row>
    <x:row r="14" spans="1:34" x14ac:dyDescent="0.25">
      <x:c r="A14" s="121">
        <x:f t="shared" si="0"/>
        <x:v>4</x:v>
      </x:c>
      <x:c r="B14" s="658">
        <x:v>45323</x:v>
      </x:c>
      <x:c r="C14" s="124"/>
      <x:c r="D14" s="420">
        <x:v>0</x:v>
      </x:c>
      <x:c r="E14" s="420">
        <x:f t="shared" ref="E14:E24" si="2">E13+D14</x:f>
        <x:v>-6684438.1500000004</x:v>
      </x:c>
      <x:c r="F14" s="407"/>
      <x:c r="G14" s="420">
        <x:v>0</x:v>
      </x:c>
      <x:c r="H14" s="407">
        <x:f t="shared" ref="H14:H24" si="3">H13+G14</x:f>
        <x:v>-5920700</x:v>
      </x:c>
      <x:c r="I14" s="407"/>
      <x:c r="J14" s="29">
        <x:f t="shared" si="1"/>
        <x:v>-12605138.15</x:v>
      </x:c>
      <x:c r="L14" s="113"/>
      <x:c r="M14" s="113"/>
    </x:row>
    <x:row r="15" spans="1:34" x14ac:dyDescent="0.25">
      <x:c r="A15" s="121">
        <x:f t="shared" si="0"/>
        <x:v>5</x:v>
      </x:c>
      <x:c r="B15" s="658">
        <x:v>45352</x:v>
      </x:c>
      <x:c r="C15" s="124"/>
      <x:c r="D15" s="420">
        <x:v>1080353.6499999999</x:v>
      </x:c>
      <x:c r="E15" s="420">
        <x:f t="shared" si="2"/>
        <x:v>-5604084.5</x:v>
      </x:c>
      <x:c r="F15" s="407"/>
      <x:c r="G15" s="420">
        <x:v>-1034300</x:v>
      </x:c>
      <x:c r="H15" s="407">
        <x:f t="shared" si="3"/>
        <x:v>-6955000</x:v>
      </x:c>
      <x:c r="I15" s="407"/>
      <x:c r="J15" s="29">
        <x:f t="shared" si="1"/>
        <x:v>-12559084.5</x:v>
      </x:c>
      <x:c r="L15" s="113"/>
      <x:c r="M15" s="113"/>
    </x:row>
    <x:row r="16" spans="1:34" x14ac:dyDescent="0.25">
      <x:c r="A16" s="121">
        <x:f t="shared" si="0"/>
        <x:v>6</x:v>
      </x:c>
      <x:c r="B16" s="658">
        <x:v>45383</x:v>
      </x:c>
      <x:c r="C16" s="124"/>
      <x:c r="D16" s="420">
        <x:v>0</x:v>
      </x:c>
      <x:c r="E16" s="420">
        <x:f t="shared" si="2"/>
        <x:v>-5604084.5</x:v>
      </x:c>
      <x:c r="F16" s="407"/>
      <x:c r="G16" s="420">
        <x:v>0</x:v>
      </x:c>
      <x:c r="H16" s="407">
        <x:f t="shared" si="3"/>
        <x:v>-6955000</x:v>
      </x:c>
      <x:c r="I16" s="407"/>
      <x:c r="J16" s="29">
        <x:f t="shared" si="1"/>
        <x:v>-12559084.5</x:v>
      </x:c>
      <x:c r="L16" s="115"/>
      <x:c r="M16" s="113"/>
    </x:row>
    <x:row r="17" spans="1:13" x14ac:dyDescent="0.25">
      <x:c r="A17" s="121">
        <x:f t="shared" si="0"/>
        <x:v>7</x:v>
      </x:c>
      <x:c r="B17" s="658">
        <x:v>45413</x:v>
      </x:c>
      <x:c r="C17" s="124"/>
      <x:c r="D17" s="420">
        <x:v>0</x:v>
      </x:c>
      <x:c r="E17" s="420">
        <x:f t="shared" si="2"/>
        <x:v>-5604084.5</x:v>
      </x:c>
      <x:c r="F17" s="407"/>
      <x:c r="G17" s="420">
        <x:v>0</x:v>
      </x:c>
      <x:c r="H17" s="407">
        <x:f t="shared" si="3"/>
        <x:v>-6955000</x:v>
      </x:c>
      <x:c r="I17" s="407"/>
      <x:c r="J17" s="29">
        <x:f t="shared" si="1"/>
        <x:v>-12559084.5</x:v>
      </x:c>
      <x:c r="L17" s="113"/>
      <x:c r="M17" s="113"/>
    </x:row>
    <x:row r="18" spans="1:13" x14ac:dyDescent="0.25">
      <x:c r="A18" s="121">
        <x:f t="shared" si="0"/>
        <x:v>8</x:v>
      </x:c>
      <x:c r="B18" s="658">
        <x:v>45444</x:v>
      </x:c>
      <x:c r="C18" s="124"/>
      <x:c r="D18" s="420">
        <x:v>150745.38</x:v>
      </x:c>
      <x:c r="E18" s="420">
        <x:f t="shared" si="2"/>
        <x:v>-5453339.1200000001</x:v>
      </x:c>
      <x:c r="F18" s="407"/>
      <x:c r="G18" s="420">
        <x:v>1065000</x:v>
      </x:c>
      <x:c r="H18" s="407">
        <x:f t="shared" si="3"/>
        <x:v>-5890000</x:v>
      </x:c>
      <x:c r="I18" s="407"/>
      <x:c r="J18" s="29">
        <x:f t="shared" si="1"/>
        <x:v>-11343339.120000001</x:v>
      </x:c>
      <x:c r="L18" s="113"/>
      <x:c r="M18" s="113"/>
    </x:row>
    <x:row r="19" spans="1:13" x14ac:dyDescent="0.25">
      <x:c r="A19" s="121">
        <x:f t="shared" si="0"/>
        <x:v>9</x:v>
      </x:c>
      <x:c r="B19" s="658">
        <x:v>45474</x:v>
      </x:c>
      <x:c r="C19" s="124"/>
      <x:c r="D19" s="420">
        <x:v>0</x:v>
      </x:c>
      <x:c r="E19" s="420">
        <x:f t="shared" si="2"/>
        <x:v>-5453339.1200000001</x:v>
      </x:c>
      <x:c r="F19" s="407"/>
      <x:c r="G19" s="420">
        <x:v>0</x:v>
      </x:c>
      <x:c r="H19" s="407">
        <x:f t="shared" si="3"/>
        <x:v>-5890000</x:v>
      </x:c>
      <x:c r="I19" s="407"/>
      <x:c r="J19" s="29">
        <x:f t="shared" si="1"/>
        <x:v>-11343339.120000001</x:v>
      </x:c>
      <x:c r="L19" s="113"/>
      <x:c r="M19" s="113"/>
    </x:row>
    <x:row r="20" spans="1:13" x14ac:dyDescent="0.25">
      <x:c r="A20" s="121">
        <x:f t="shared" si="0"/>
        <x:v>10</x:v>
      </x:c>
      <x:c r="B20" s="658">
        <x:v>45505</x:v>
      </x:c>
      <x:c r="C20" s="124"/>
      <x:c r="D20" s="420">
        <x:v>0</x:v>
      </x:c>
      <x:c r="E20" s="420">
        <x:f t="shared" si="2"/>
        <x:v>-5453339.1200000001</x:v>
      </x:c>
      <x:c r="F20" s="407"/>
      <x:c r="G20" s="420">
        <x:v>0</x:v>
      </x:c>
      <x:c r="H20" s="407">
        <x:f t="shared" si="3"/>
        <x:v>-5890000</x:v>
      </x:c>
      <x:c r="I20" s="407"/>
      <x:c r="J20" s="29">
        <x:f t="shared" si="1"/>
        <x:v>-11343339.120000001</x:v>
      </x:c>
      <x:c r="L20" s="113"/>
      <x:c r="M20" s="113"/>
    </x:row>
    <x:row r="21" spans="1:13" x14ac:dyDescent="0.25">
      <x:c r="A21" s="121">
        <x:f t="shared" si="0"/>
        <x:v>11</x:v>
      </x:c>
      <x:c r="B21" s="658">
        <x:v>45536</x:v>
      </x:c>
      <x:c r="C21" s="124"/>
      <x:c r="D21" s="420">
        <x:v>843857.29</x:v>
      </x:c>
      <x:c r="E21" s="420">
        <x:f t="shared" si="2"/>
        <x:v>-4609481.83</x:v>
      </x:c>
      <x:c r="F21" s="407"/>
      <x:c r="G21" s="420">
        <x:v>285000</x:v>
      </x:c>
      <x:c r="H21" s="407">
        <x:f t="shared" si="3"/>
        <x:v>-5605000</x:v>
      </x:c>
      <x:c r="I21" s="407"/>
      <x:c r="J21" s="29">
        <x:f t="shared" si="1"/>
        <x:v>-10214481.83</x:v>
      </x:c>
      <x:c r="L21" s="113"/>
      <x:c r="M21" s="113"/>
    </x:row>
    <x:row r="22" spans="1:13" x14ac:dyDescent="0.25">
      <x:c r="A22" s="121">
        <x:f t="shared" si="0"/>
        <x:v>12</x:v>
      </x:c>
      <x:c r="B22" s="658">
        <x:v>45566</x:v>
      </x:c>
      <x:c r="C22" s="124"/>
      <x:c r="D22" s="420">
        <x:v>0</x:v>
      </x:c>
      <x:c r="E22" s="420">
        <x:f t="shared" si="2"/>
        <x:v>-4609481.83</x:v>
      </x:c>
      <x:c r="F22" s="407"/>
      <x:c r="G22" s="420">
        <x:v>2500000</x:v>
      </x:c>
      <x:c r="H22" s="407">
        <x:f t="shared" si="3"/>
        <x:v>-3105000</x:v>
      </x:c>
      <x:c r="I22" s="407"/>
      <x:c r="J22" s="29">
        <x:f t="shared" si="1"/>
        <x:v>-7714481.8300000001</x:v>
      </x:c>
      <x:c r="L22" s="113"/>
      <x:c r="M22" s="113"/>
    </x:row>
    <x:row r="23" spans="1:13" x14ac:dyDescent="0.25">
      <x:c r="A23" s="121">
        <x:f t="shared" si="0"/>
        <x:v>13</x:v>
      </x:c>
      <x:c r="B23" s="658">
        <x:v>45597</x:v>
      </x:c>
      <x:c r="C23" s="124"/>
      <x:c r="D23" s="420">
        <x:v>0</x:v>
      </x:c>
      <x:c r="E23" s="420">
        <x:f t="shared" si="2"/>
        <x:v>-4609481.83</x:v>
      </x:c>
      <x:c r="F23" s="407"/>
      <x:c r="G23" s="420">
        <x:v>0</x:v>
      </x:c>
      <x:c r="H23" s="407">
        <x:f t="shared" si="3"/>
        <x:v>-3105000</x:v>
      </x:c>
      <x:c r="I23" s="407"/>
      <x:c r="J23" s="29">
        <x:f t="shared" si="1"/>
        <x:v>-7714481.8300000001</x:v>
      </x:c>
      <x:c r="L23" s="113"/>
      <x:c r="M23" s="113"/>
    </x:row>
    <x:row r="24" spans="1:13" x14ac:dyDescent="0.25">
      <x:c r="A24" s="121">
        <x:f t="shared" si="0"/>
        <x:v>14</x:v>
      </x:c>
      <x:c r="B24" s="658">
        <x:v>45627</x:v>
      </x:c>
      <x:c r="C24" s="124"/>
      <x:c r="D24" s="420">
        <x:v>-755228.46</x:v>
      </x:c>
      <x:c r="E24" s="420">
        <x:f t="shared" si="2"/>
        <x:v>-5364710.29</x:v>
      </x:c>
      <x:c r="F24" s="407"/>
      <x:c r="G24" s="420">
        <x:v>0</x:v>
      </x:c>
      <x:c r="H24" s="407">
        <x:f t="shared" si="3"/>
        <x:v>-3105000</x:v>
      </x:c>
      <x:c r="I24" s="407"/>
      <x:c r="J24" s="29">
        <x:f t="shared" si="1"/>
        <x:v>-8469710.2899999991</x:v>
      </x:c>
      <x:c r="L24" s="113"/>
      <x:c r="M24" s="113"/>
    </x:row>
    <x:row r="25" spans="1:13" x14ac:dyDescent="0.25">
      <x:c r="A25" s="121">
        <x:f t="shared" si="0"/>
        <x:v>15</x:v>
      </x:c>
      <x:c r="B25" s="629" t="s">
        <x:v>1070</x:v>
      </x:c>
      <x:c r="C25" s="124"/>
      <x:c r="D25" s="407">
        <x:f>E11+D15+D18+D21+D24</x:f>
        <x:v>-5364710.29</x:v>
      </x:c>
      <x:c r="E25" s="407"/>
      <x:c r="F25" s="407"/>
      <x:c r="G25" s="661">
        <x:f>+H11+G13+G14+G15+G16+G17+G18+G19+G20+G21+G22+G23+G24</x:f>
        <x:v>-3105000</x:v>
      </x:c>
      <x:c r="H25" s="407"/>
      <x:c r="I25" s="407"/>
      <x:c r="J25" s="29"/>
    </x:row>
    <x:row r="26" spans="1:13" x14ac:dyDescent="0.25">
      <x:c r="A26" s="121">
        <x:f t="shared" si="0"/>
        <x:v>16</x:v>
      </x:c>
      <x:c r="B26" s="124" t="s">
        <x:v>124</x:v>
      </x:c>
      <x:c r="C26" s="412"/>
      <x:c r="D26" s="412"/>
      <x:c r="E26" s="412">
        <x:f>SUM(E11:E24)</x:f>
        <x:v>-72418741.089999989</x:v>
      </x:c>
      <x:c r="F26" s="412"/>
      <x:c r="G26" s="412"/>
      <x:c r="H26" s="412">
        <x:f>SUM(H11:H24)</x:f>
        <x:v>-71217100</x:v>
      </x:c>
      <x:c r="I26" s="412"/>
      <x:c r="J26" s="412">
        <x:f>SUM(J11:J24)</x:f>
        <x:v>-143635841.09</x:v>
      </x:c>
    </x:row>
    <x:row r="27" spans="1:13" ht="13.25" thickBot="1" x14ac:dyDescent="0.3">
      <x:c r="A27" s="121">
        <x:f t="shared" si="0"/>
        <x:v>17</x:v>
      </x:c>
      <x:c r="B27" s="124" t="s">
        <x:v>27</x:v>
      </x:c>
      <x:c r="C27" s="421"/>
      <x:c r="D27" s="422"/>
      <x:c r="E27" s="399">
        <x:f>E26/13</x:f>
        <x:v>-5570672.3915384607</x:v>
      </x:c>
      <x:c r="F27" s="399"/>
      <x:c r="G27" s="399"/>
      <x:c r="H27" s="399">
        <x:f>H26/13</x:f>
        <x:v>-5478238.461538462</x:v>
      </x:c>
      <x:c r="I27" s="399"/>
      <x:c r="J27" s="423">
        <x:f>J26/13</x:f>
        <x:v>-11048910.853076924</x:v>
      </x:c>
    </x:row>
    <x:row r="28" spans="1:13" ht="13.25" thickTop="1" x14ac:dyDescent="0.25">
      <x:c r="A28" s="121">
        <x:f t="shared" si="0"/>
        <x:v>18</x:v>
      </x:c>
      <x:c r="B28" s="124"/>
      <x:c r="C28" s="124"/>
      <x:c r="D28" s="141"/>
      <x:c r="E28" s="141"/>
      <x:c r="F28" s="141"/>
      <x:c r="G28" s="141"/>
      <x:c r="H28" s="141"/>
      <x:c r="I28" s="141"/>
      <x:c r="J28" s="142"/>
    </x:row>
    <x:row r="29" spans="1:13" x14ac:dyDescent="0.25">
      <x:c r="A29" s="121">
        <x:f t="shared" si="0"/>
        <x:v>19</x:v>
      </x:c>
      <x:c r="B29" s="124" t="s">
        <x:v>136</x:v>
      </x:c>
      <x:c r="C29" s="124"/>
      <x:c r="D29" s="141"/>
      <x:c r="E29" s="141"/>
      <x:c r="F29" s="141"/>
      <x:c r="G29" s="141"/>
      <x:c r="H29" s="141"/>
      <x:c r="I29" s="141"/>
      <x:c r="J29" s="141"/>
    </x:row>
    <x:row r="30" spans="1:13" x14ac:dyDescent="0.25">
      <x:c r="A30" s="121">
        <x:f t="shared" si="0"/>
        <x:v>20</x:v>
      </x:c>
      <x:c r="B30" s="135" t="s">
        <x:v>1125</x:v>
      </x:c>
      <x:c r="C30" s="124"/>
      <x:c r="D30" s="141"/>
      <x:c r="E30" s="141"/>
      <x:c r="F30" s="141"/>
      <x:c r="G30" s="141"/>
      <x:c r="H30" s="141"/>
      <x:c r="I30" s="141"/>
      <x:c r="J30" s="141"/>
    </x:row>
    <x:row r="31" spans="1:13" x14ac:dyDescent="0.25">
      <x:c r="A31" s="121">
        <x:f t="shared" si="0"/>
        <x:v>21</x:v>
      </x:c>
      <x:c r="B31" s="135"/>
      <x:c r="C31" s="124"/>
      <x:c r="D31" s="141"/>
      <x:c r="E31" s="141"/>
      <x:c r="F31" s="141"/>
      <x:c r="G31" s="141"/>
      <x:c r="H31" s="141"/>
      <x:c r="I31" s="141"/>
      <x:c r="J31" s="141"/>
    </x:row>
    <x:row r="32" spans="1:13" x14ac:dyDescent="0.25">
      <x:c r="A32" s="121">
        <x:f t="shared" si="0"/>
        <x:v>22</x:v>
      </x:c>
      <x:c r="B32" s="31" t="s">
        <x:v>230</x:v>
      </x:c>
      <x:c r="D32" s="403" t="s">
        <x:v>443</x:v>
      </x:c>
      <x:c r="E32" s="141"/>
      <x:c r="F32" s="141"/>
      <x:c r="G32" s="141"/>
      <x:c r="H32" s="141"/>
      <x:c r="I32" s="141"/>
      <x:c r="J32" s="141"/>
    </x:row>
    <x:row r="33" spans="2:10" x14ac:dyDescent="0.25">
      <x:c r="B33" s="215"/>
      <x:c r="C33" s="124"/>
      <x:c r="D33" s="141"/>
      <x:c r="E33" s="141"/>
      <x:c r="F33" s="141"/>
      <x:c r="G33" s="141"/>
      <x:c r="H33" s="141"/>
      <x:c r="I33" s="141"/>
      <x:c r="J33" s="141"/>
    </x:row>
    <x:row r="34" spans="2:10" x14ac:dyDescent="0.25">
      <x:c r="C34" s="124"/>
      <x:c r="D34" s="141"/>
      <x:c r="E34" s="141"/>
      <x:c r="F34" s="141"/>
      <x:c r="G34" s="141"/>
      <x:c r="H34" s="141"/>
      <x:c r="I34" s="141"/>
      <x:c r="J34" s="141"/>
    </x:row>
    <x:row r="35" spans="2:10" x14ac:dyDescent="0.25">
      <x:c r="B35" s="135"/>
      <x:c r="C35" s="124"/>
      <x:c r="D35" s="141"/>
      <x:c r="E35" s="141"/>
      <x:c r="F35" s="141"/>
      <x:c r="G35" s="141"/>
      <x:c r="H35" s="141"/>
      <x:c r="I35" s="141"/>
      <x:c r="J35" s="141"/>
    </x:row>
    <x:row r="36" spans="2:10" x14ac:dyDescent="0.25">
      <x:c r="B36" s="124"/>
      <x:c r="C36" s="124"/>
      <x:c r="D36" s="141"/>
      <x:c r="E36" s="141"/>
      <x:c r="F36" s="141"/>
      <x:c r="G36" s="141"/>
      <x:c r="H36" s="141"/>
      <x:c r="I36" s="141"/>
      <x:c r="J36" s="141"/>
    </x:row>
    <x:row r="37" spans="2:10" x14ac:dyDescent="0.25">
      <x:c r="B37" s="135"/>
      <x:c r="C37" s="124"/>
      <x:c r="D37" s="141"/>
      <x:c r="E37" s="141"/>
      <x:c r="F37" s="141"/>
      <x:c r="G37" s="141"/>
      <x:c r="H37" s="141"/>
      <x:c r="I37" s="141"/>
      <x:c r="J37" s="141"/>
    </x:row>
    <x:row r="38" spans="2:10" x14ac:dyDescent="0.25">
      <x:c r="B38" s="124"/>
      <x:c r="C38" s="124"/>
      <x:c r="D38" s="141"/>
      <x:c r="E38" s="141"/>
      <x:c r="F38" s="141"/>
      <x:c r="G38" s="141"/>
      <x:c r="H38" s="141"/>
      <x:c r="I38" s="141"/>
      <x:c r="J38" s="141"/>
    </x:row>
    <x:row r="39" spans="2:10" x14ac:dyDescent="0.25">
      <x:c r="B39" s="124"/>
      <x:c r="C39" s="124"/>
      <x:c r="D39" s="141"/>
      <x:c r="E39" s="141"/>
      <x:c r="F39" s="141"/>
      <x:c r="G39" s="141"/>
      <x:c r="H39" s="141"/>
      <x:c r="I39" s="141"/>
      <x:c r="J39" s="141"/>
    </x:row>
    <x:row r="40" spans="2:10" x14ac:dyDescent="0.25">
      <x:c r="B40" s="124"/>
      <x:c r="C40" s="124"/>
      <x:c r="D40" s="141"/>
      <x:c r="E40" s="141"/>
      <x:c r="F40" s="141"/>
      <x:c r="G40" s="141"/>
      <x:c r="H40" s="141"/>
      <x:c r="I40" s="141"/>
      <x:c r="J40" s="141"/>
    </x:row>
  </x:sheetData>
  <x:mergeCells count="4">
    <x:mergeCell ref="D7:E7"/>
    <x:mergeCell ref="G7:H7"/>
    <x:mergeCell ref="D8:E8"/>
    <x:mergeCell ref="G8:H8"/>
  </x:mergeCells>
  <x:phoneticPr fontId="19" type="noConversion"/>
  <x:hyperlinks>
    <x:hyperlink ref="D32" r:id="rId1" xr:uid="{FE7F4D2B-6FC5-433E-8722-555801ADEACF}"/>
  </x:hyperlinks>
  <x:printOptions horizontalCentered="1"/>
  <x:pageMargins left="0.5" right="0.5" top="1.5" bottom="0.5" header="1" footer="0.5"/>
  <x:pageSetup scale="81" orientation="landscape" r:id="rId2"/>
  <x:headerFooter alignWithMargins="0">
    <x:oddHeader>&amp;RWP/II-B-9/&amp;A
Page &amp;P of &amp;N</x:oddHeader>
  </x:headerFooter>
  <x:drawing r:id="rId3"/>
</x:worksheet>
</file>

<file path=xl/worksheets/sheet6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3F00-000000000000}" mc:Ignorable="x14ac xr xr2 xr3">
  <x:sheetPr codeName="Sheet50">
    <x:tabColor rgb="FF92D050"/>
    <x:pageSetUpPr fitToPage="1"/>
  </x:sheetPr>
  <x:dimension ref="A1:R30"/>
  <x:sheetViews>
    <x:sheetView topLeftCell="A10" zoomScaleNormal="100" workbookViewId="0">
      <x:selection activeCell="D37" sqref="D37"/>
    </x:sheetView>
  </x:sheetViews>
  <x:sheetFormatPr defaultColWidth="8" defaultRowHeight="12.7" x14ac:dyDescent="0.25"/>
  <x:cols>
    <x:col min="1" max="1" width="9.109375" style="215" customWidth="1"/>
    <x:col min="2" max="2" width="21.44140625" style="215" customWidth="1"/>
    <x:col min="3" max="3" width="1.5546875" style="215" customWidth="1"/>
    <x:col min="4" max="4" width="13.44140625" style="215" customWidth="1"/>
    <x:col min="5" max="5" width="15.5546875" style="215" customWidth="1"/>
    <x:col min="6" max="6" width="1.5546875" style="215" customWidth="1"/>
    <x:col min="7" max="7" width="14" style="215" customWidth="1"/>
    <x:col min="8" max="8" width="15.88671875" style="215" customWidth="1"/>
    <x:col min="9" max="9" width="1.5546875" style="215" customWidth="1"/>
    <x:col min="10" max="10" width="18.44140625" style="215" customWidth="1"/>
    <x:col min="11" max="16384" width="8" style="215"/>
  </x:cols>
  <x:sheetData>
    <x:row r="1" spans="1:18" s="43" customFormat="1" x14ac:dyDescent="0.25">
      <x:c r="A1" s="183" t="s">
        <x:v>523</x:v>
      </x:c>
      <x:c r="C1" s="183"/>
      <x:c r="D1" s="183"/>
      <x:c r="E1" s="183"/>
      <x:c r="F1" s="183"/>
      <x:c r="G1" s="183"/>
      <x:c r="H1" s="183"/>
    </x:row>
    <x:row r="2" spans="1:18" s="43" customFormat="1" x14ac:dyDescent="0.25">
      <x:c r="A2" s="183" t="str">
        <x:f>' '!A2</x:f>
        <x:v>ONCOR ELECTRIC DELIVERY COMPANY LLC</x:v>
      </x:c>
      <x:c r="C2" s="183"/>
      <x:c r="D2" s="183"/>
      <x:c r="E2" s="183"/>
      <x:c r="F2" s="183"/>
      <x:c r="G2" s="183"/>
      <x:c r="H2" s="183"/>
    </x:row>
    <x:row r="3" spans="1:18" s="43" customFormat="1" x14ac:dyDescent="0.25">
      <x:c r="A3" s="183" t="s">
        <x:v>7</x:v>
      </x:c>
      <x:c r="C3" s="183"/>
      <x:c r="D3" s="183"/>
      <x:c r="E3" s="183"/>
      <x:c r="F3" s="183"/>
      <x:c r="G3" s="535"/>
      <x:c r="H3" s="535"/>
      <x:c r="I3" s="535"/>
      <x:c r="J3" s="535"/>
      <x:c r="K3" s="535"/>
    </x:row>
    <x:row r="4" spans="1:18" s="43" customFormat="1" x14ac:dyDescent="0.25">
      <x:c r="A4" s="767" t="s">
        <x:v>522</x:v>
      </x:c>
      <x:c r="C4" s="183"/>
      <x:c r="D4" s="183"/>
      <x:c r="E4" s="535"/>
      <x:c r="F4" s="535"/>
      <x:c r="G4" s="535"/>
      <x:c r="H4" s="535"/>
      <x:c r="I4" s="535"/>
      <x:c r="J4" s="535"/>
      <x:c r="K4" s="535"/>
      <x:c r="L4" s="535"/>
      <x:c r="M4" s="535"/>
    </x:row>
    <x:row r="5" spans="1:18" s="43" customFormat="1" x14ac:dyDescent="0.25">
      <x:c r="A5" s="183" t="s">
        <x:v>486</x:v>
      </x:c>
      <x:c r="C5" s="183"/>
      <x:c r="D5" s="183"/>
      <x:c r="E5" s="535"/>
      <x:c r="F5" s="535"/>
      <x:c r="G5" s="535"/>
      <x:c r="H5" s="535" t="s">
        <x:v>464</x:v>
      </x:c>
      <x:c r="I5" s="535"/>
      <x:c r="J5" s="535"/>
      <x:c r="K5" s="537"/>
    </x:row>
    <x:row r="6" spans="1:18" s="216" customFormat="1" x14ac:dyDescent="0.25">
      <x:c r="A6" s="330"/>
      <x:c r="B6" s="221"/>
      <x:c r="C6" s="221"/>
      <x:c r="D6" s="221"/>
      <x:c r="E6" s="221"/>
      <x:c r="F6" s="221"/>
      <x:c r="G6" s="221"/>
      <x:c r="H6" s="221"/>
      <x:c r="I6" s="221"/>
      <x:c r="J6" s="221"/>
    </x:row>
    <x:row r="7" spans="1:18" ht="25.95" thickBot="1" x14ac:dyDescent="0.3">
      <x:c r="A7" s="200" t="s">
        <x:v>40</x:v>
      </x:c>
      <x:c r="B7" s="217" t="s">
        <x:v>79</x:v>
      </x:c>
      <x:c r="C7" s="217"/>
      <x:c r="D7" s="540" t="s">
        <x:v>374</x:v>
      </x:c>
      <x:c r="E7" s="217" t="s">
        <x:v>113</x:v>
      </x:c>
      <x:c r="F7" s="217"/>
      <x:c r="G7" s="540" t="s">
        <x:v>375</x:v>
      </x:c>
      <x:c r="H7" s="217" t="s">
        <x:v>114</x:v>
      </x:c>
      <x:c r="I7" s="217"/>
      <x:c r="J7" s="217" t="s">
        <x:v>26</x:v>
      </x:c>
      <x:c r="L7" s="218"/>
    </x:row>
    <x:row r="8" spans="1:18" x14ac:dyDescent="0.25">
      <x:c r="A8" s="201"/>
      <x:c r="B8" s="218"/>
      <x:c r="C8" s="218"/>
      <x:c r="D8" s="218"/>
      <x:c r="E8" s="541" t="s">
        <x:v>376</x:v>
      </x:c>
      <x:c r="F8" s="218"/>
      <x:c r="G8" s="218"/>
      <x:c r="H8" s="541" t="s">
        <x:v>376</x:v>
      </x:c>
      <x:c r="I8" s="218"/>
      <x:c r="J8" s="218"/>
      <x:c r="L8" s="218"/>
    </x:row>
    <x:row r="9" spans="1:18" ht="18.75" customHeight="1" x14ac:dyDescent="0.25">
      <x:c r="A9" s="201"/>
      <x:c r="B9" s="51" t="s">
        <x:v>50</x:v>
      </x:c>
      <x:c r="C9" s="51"/>
      <x:c r="D9" s="51"/>
      <x:c r="E9" s="51" t="s">
        <x:v>51</x:v>
      </x:c>
      <x:c r="F9" s="51"/>
      <x:c r="G9" s="51"/>
      <x:c r="H9" s="51" t="s">
        <x:v>57</x:v>
      </x:c>
      <x:c r="I9" s="51"/>
      <x:c r="J9" s="51" t="s">
        <x:v>52</x:v>
      </x:c>
      <x:c r="K9" s="51"/>
      <x:c r="L9" s="51"/>
      <x:c r="M9" s="51"/>
      <x:c r="N9" s="219"/>
      <x:c r="O9" s="51"/>
      <x:c r="P9" s="51"/>
      <x:c r="Q9" s="124"/>
      <x:c r="R9" s="51"/>
    </x:row>
    <x:row r="10" spans="1:18" ht="18.75" customHeight="1" x14ac:dyDescent="0.25">
      <x:c r="A10" s="20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219"/>
      <x:c r="O10" s="51"/>
      <x:c r="P10" s="51"/>
      <x:c r="Q10" s="124"/>
      <x:c r="R10" s="51"/>
    </x:row>
    <x:row r="11" spans="1:18" x14ac:dyDescent="0.25">
      <x:c r="A11" s="220">
        <x:v>1</x:v>
      </x:c>
      <x:c r="B11" s="215" t="s">
        <x:v>138</x:v>
      </x:c>
      <x:c r="D11" s="36">
        <x:v>482279.57</x:v>
      </x:c>
      <x:c r="E11" s="659">
        <x:f>+D11</x:f>
        <x:v>482279.57</x:v>
      </x:c>
      <x:c r="F11" s="178"/>
      <x:c r="G11" s="178">
        <x:v>0</x:v>
      </x:c>
      <x:c r="H11" s="411">
        <x:f>+G11</x:f>
        <x:v>0</x:v>
      </x:c>
      <x:c r="I11" s="178"/>
      <x:c r="J11" s="424">
        <x:f>+H11+E11</x:f>
        <x:v>482279.57</x:v>
      </x:c>
      <x:c r="L11" s="43"/>
    </x:row>
    <x:row r="12" spans="1:18" x14ac:dyDescent="0.25">
      <x:c r="A12" s="221">
        <x:f t="shared" ref="A12:A30" si="0">A11+1</x:f>
        <x:v>2</x:v>
      </x:c>
      <x:c r="B12" s="658">
        <x:v>45292</x:v>
      </x:c>
      <x:c r="C12" s="222"/>
      <x:c r="D12" s="36">
        <x:v>-482279.57</x:v>
      </x:c>
      <x:c r="E12" s="660">
        <x:f t="shared" ref="E12:E23" si="1">E11+D12</x:f>
        <x:v>0</x:v>
      </x:c>
      <x:c r="F12" s="246"/>
      <x:c r="G12" s="178">
        <x:v>0</x:v>
      </x:c>
      <x:c r="H12" s="246">
        <x:f t="shared" ref="H12:H23" si="2">H11+G12</x:f>
        <x:v>0</x:v>
      </x:c>
      <x:c r="I12" s="246"/>
      <x:c r="J12" s="424">
        <x:f t="shared" ref="J12:J23" si="3">+H12+E12</x:f>
        <x:v>0</x:v>
      </x:c>
      <x:c r="L12" s="43"/>
    </x:row>
    <x:row r="13" spans="1:18" x14ac:dyDescent="0.25">
      <x:c r="A13" s="221">
        <x:f t="shared" si="0"/>
        <x:v>3</x:v>
      </x:c>
      <x:c r="B13" s="658">
        <x:v>45323</x:v>
      </x:c>
      <x:c r="C13" s="222"/>
      <x:c r="D13" s="36">
        <x:v>0</x:v>
      </x:c>
      <x:c r="E13" s="660">
        <x:f t="shared" si="1"/>
        <x:v>0</x:v>
      </x:c>
      <x:c r="F13" s="246"/>
      <x:c r="G13" s="178">
        <x:v>124793.74</x:v>
      </x:c>
      <x:c r="H13" s="246">
        <x:f t="shared" si="2"/>
        <x:v>124793.74</x:v>
      </x:c>
      <x:c r="I13" s="246"/>
      <x:c r="J13" s="424">
        <x:f t="shared" si="3"/>
        <x:v>124793.74</x:v>
      </x:c>
      <x:c r="L13" s="43"/>
    </x:row>
    <x:row r="14" spans="1:18" x14ac:dyDescent="0.25">
      <x:c r="A14" s="221">
        <x:f t="shared" si="0"/>
        <x:v>4</x:v>
      </x:c>
      <x:c r="B14" s="658">
        <x:v>45352</x:v>
      </x:c>
      <x:c r="C14" s="222"/>
      <x:c r="D14" s="36">
        <x:v>0</x:v>
      </x:c>
      <x:c r="E14" s="660">
        <x:f t="shared" si="1"/>
        <x:v>0</x:v>
      </x:c>
      <x:c r="F14" s="246"/>
      <x:c r="G14" s="178">
        <x:v>17775.03</x:v>
      </x:c>
      <x:c r="H14" s="246">
        <x:f t="shared" si="2"/>
        <x:v>142568.77000000002</x:v>
      </x:c>
      <x:c r="I14" s="246"/>
      <x:c r="J14" s="424">
        <x:f t="shared" si="3"/>
        <x:v>142568.77000000002</x:v>
      </x:c>
      <x:c r="L14" s="43"/>
    </x:row>
    <x:row r="15" spans="1:18" x14ac:dyDescent="0.25">
      <x:c r="A15" s="221">
        <x:f t="shared" si="0"/>
        <x:v>5</x:v>
      </x:c>
      <x:c r="B15" s="658">
        <x:v>45383</x:v>
      </x:c>
      <x:c r="C15" s="222"/>
      <x:c r="D15" s="36">
        <x:v>0</x:v>
      </x:c>
      <x:c r="E15" s="660">
        <x:f t="shared" si="1"/>
        <x:v>0</x:v>
      </x:c>
      <x:c r="F15" s="246"/>
      <x:c r="G15" s="178">
        <x:v>-60920.01</x:v>
      </x:c>
      <x:c r="H15" s="246">
        <x:f t="shared" si="2"/>
        <x:v>81648.760000000009</x:v>
      </x:c>
      <x:c r="I15" s="246"/>
      <x:c r="J15" s="424">
        <x:f t="shared" si="3"/>
        <x:v>81648.760000000009</x:v>
      </x:c>
      <x:c r="L15" s="43"/>
    </x:row>
    <x:row r="16" spans="1:18" x14ac:dyDescent="0.25">
      <x:c r="A16" s="221">
        <x:f t="shared" si="0"/>
        <x:v>6</x:v>
      </x:c>
      <x:c r="B16" s="658">
        <x:v>45413</x:v>
      </x:c>
      <x:c r="C16" s="222"/>
      <x:c r="D16" s="36">
        <x:v>0</x:v>
      </x:c>
      <x:c r="E16" s="660">
        <x:f t="shared" si="1"/>
        <x:v>0</x:v>
      </x:c>
      <x:c r="F16" s="246"/>
      <x:c r="G16" s="178">
        <x:v>148315.4</x:v>
      </x:c>
      <x:c r="H16" s="246">
        <x:f t="shared" si="2"/>
        <x:v>229964.16</x:v>
      </x:c>
      <x:c r="I16" s="246"/>
      <x:c r="J16" s="424">
        <x:f t="shared" si="3"/>
        <x:v>229964.16</x:v>
      </x:c>
      <x:c r="L16" s="43"/>
    </x:row>
    <x:row r="17" spans="1:15" x14ac:dyDescent="0.25">
      <x:c r="A17" s="221">
        <x:f t="shared" si="0"/>
        <x:v>7</x:v>
      </x:c>
      <x:c r="B17" s="658">
        <x:v>45444</x:v>
      </x:c>
      <x:c r="C17" s="222"/>
      <x:c r="D17" s="36">
        <x:v>0</x:v>
      </x:c>
      <x:c r="E17" s="660">
        <x:f t="shared" si="1"/>
        <x:v>0</x:v>
      </x:c>
      <x:c r="F17" s="246"/>
      <x:c r="G17" s="178">
        <x:v>408996.82</x:v>
      </x:c>
      <x:c r="H17" s="246">
        <x:f t="shared" si="2"/>
        <x:v>638960.98</x:v>
      </x:c>
      <x:c r="I17" s="246"/>
      <x:c r="J17" s="424">
        <x:f t="shared" si="3"/>
        <x:v>638960.98</x:v>
      </x:c>
      <x:c r="L17" s="43"/>
    </x:row>
    <x:row r="18" spans="1:15" x14ac:dyDescent="0.25">
      <x:c r="A18" s="221">
        <x:f t="shared" si="0"/>
        <x:v>8</x:v>
      </x:c>
      <x:c r="B18" s="658">
        <x:v>45474</x:v>
      </x:c>
      <x:c r="C18" s="222"/>
      <x:c r="D18" s="36">
        <x:v>0</x:v>
      </x:c>
      <x:c r="E18" s="660">
        <x:f t="shared" si="1"/>
        <x:v>0</x:v>
      </x:c>
      <x:c r="F18" s="246"/>
      <x:c r="G18" s="178">
        <x:v>-638960.98</x:v>
      </x:c>
      <x:c r="H18" s="246">
        <x:f t="shared" si="2"/>
        <x:v>0</x:v>
      </x:c>
      <x:c r="I18" s="246"/>
      <x:c r="J18" s="424">
        <x:f t="shared" si="3"/>
        <x:v>0</x:v>
      </x:c>
      <x:c r="L18" s="43"/>
    </x:row>
    <x:row r="19" spans="1:15" x14ac:dyDescent="0.25">
      <x:c r="A19" s="221">
        <x:f t="shared" si="0"/>
        <x:v>9</x:v>
      </x:c>
      <x:c r="B19" s="658">
        <x:v>45505</x:v>
      </x:c>
      <x:c r="C19" s="222"/>
      <x:c r="D19" s="36">
        <x:v>201260.11000000002</x:v>
      </x:c>
      <x:c r="E19" s="660">
        <x:f t="shared" si="1"/>
        <x:v>201260.11000000002</x:v>
      </x:c>
      <x:c r="F19" s="246"/>
      <x:c r="G19" s="178">
        <x:v>0</x:v>
      </x:c>
      <x:c r="H19" s="246">
        <x:f t="shared" si="2"/>
        <x:v>0</x:v>
      </x:c>
      <x:c r="I19" s="246"/>
      <x:c r="J19" s="424">
        <x:f t="shared" si="3"/>
        <x:v>201260.11000000002</x:v>
      </x:c>
      <x:c r="L19" s="43"/>
    </x:row>
    <x:row r="20" spans="1:15" x14ac:dyDescent="0.25">
      <x:c r="A20" s="221">
        <x:f t="shared" si="0"/>
        <x:v>10</x:v>
      </x:c>
      <x:c r="B20" s="658">
        <x:v>45536</x:v>
      </x:c>
      <x:c r="C20" s="222"/>
      <x:c r="D20" s="36">
        <x:v>-108039.36</x:v>
      </x:c>
      <x:c r="E20" s="660">
        <x:f t="shared" si="1"/>
        <x:v>93220.750000000015</x:v>
      </x:c>
      <x:c r="F20" s="246"/>
      <x:c r="G20" s="178">
        <x:v>0</x:v>
      </x:c>
      <x:c r="H20" s="246">
        <x:f t="shared" si="2"/>
        <x:v>0</x:v>
      </x:c>
      <x:c r="I20" s="246"/>
      <x:c r="J20" s="424">
        <x:f t="shared" si="3"/>
        <x:v>93220.750000000015</x:v>
      </x:c>
      <x:c r="L20" s="43"/>
    </x:row>
    <x:row r="21" spans="1:15" x14ac:dyDescent="0.25">
      <x:c r="A21" s="221">
        <x:f t="shared" si="0"/>
        <x:v>11</x:v>
      </x:c>
      <x:c r="B21" s="658">
        <x:v>45566</x:v>
      </x:c>
      <x:c r="C21" s="222"/>
      <x:c r="D21" s="36">
        <x:v>-93220.75</x:v>
      </x:c>
      <x:c r="E21" s="660">
        <x:f t="shared" si="1"/>
        <x:v>0</x:v>
      </x:c>
      <x:c r="F21" s="246"/>
      <x:c r="G21" s="178">
        <x:v>0</x:v>
      </x:c>
      <x:c r="H21" s="246">
        <x:f t="shared" si="2"/>
        <x:v>0</x:v>
      </x:c>
      <x:c r="I21" s="246"/>
      <x:c r="J21" s="424">
        <x:f t="shared" si="3"/>
        <x:v>0</x:v>
      </x:c>
      <x:c r="L21" s="43"/>
    </x:row>
    <x:row r="22" spans="1:15" x14ac:dyDescent="0.25">
      <x:c r="A22" s="221">
        <x:f t="shared" si="0"/>
        <x:v>12</x:v>
      </x:c>
      <x:c r="B22" s="658">
        <x:v>45597</x:v>
      </x:c>
      <x:c r="C22" s="222"/>
      <x:c r="D22" s="36">
        <x:v>0</x:v>
      </x:c>
      <x:c r="E22" s="660">
        <x:f t="shared" si="1"/>
        <x:v>0</x:v>
      </x:c>
      <x:c r="F22" s="246"/>
      <x:c r="G22" s="178">
        <x:v>289218.52</x:v>
      </x:c>
      <x:c r="H22" s="246">
        <x:f t="shared" si="2"/>
        <x:v>289218.52</x:v>
      </x:c>
      <x:c r="I22" s="246"/>
      <x:c r="J22" s="424">
        <x:f t="shared" si="3"/>
        <x:v>289218.52</x:v>
      </x:c>
      <x:c r="K22" s="127"/>
      <x:c r="L22" s="113"/>
      <x:c r="M22" s="127"/>
      <x:c r="N22" s="127"/>
      <x:c r="O22" s="127"/>
    </x:row>
    <x:row r="23" spans="1:15" x14ac:dyDescent="0.25">
      <x:c r="A23" s="221">
        <x:f t="shared" si="0"/>
        <x:v>13</x:v>
      </x:c>
      <x:c r="B23" s="658">
        <x:v>45627</x:v>
      </x:c>
      <x:c r="C23" s="222"/>
      <x:c r="D23" s="36">
        <x:v>0</x:v>
      </x:c>
      <x:c r="E23" s="660">
        <x:f t="shared" si="1"/>
        <x:v>0</x:v>
      </x:c>
      <x:c r="F23" s="246"/>
      <x:c r="G23" s="178">
        <x:v>-289218.52</x:v>
      </x:c>
      <x:c r="H23" s="246">
        <x:f t="shared" si="2"/>
        <x:v>0</x:v>
      </x:c>
      <x:c r="I23" s="246"/>
      <x:c r="J23" s="424">
        <x:f t="shared" si="3"/>
        <x:v>0</x:v>
      </x:c>
      <x:c r="K23" s="127"/>
      <x:c r="L23" s="113"/>
      <x:c r="M23" s="127"/>
      <x:c r="N23" s="127"/>
      <x:c r="O23" s="127"/>
    </x:row>
    <x:row r="24" spans="1:15" x14ac:dyDescent="0.25">
      <x:c r="A24" s="221">
        <x:f t="shared" si="0"/>
        <x:v>14</x:v>
      </x:c>
      <x:c r="B24" s="629" t="s">
        <x:v>1070</x:v>
      </x:c>
      <x:c r="D24" s="542">
        <x:f>SUM(D11:D23)</x:f>
        <x:v>1.4551915228366852E-11</x:v>
      </x:c>
      <x:c r="G24" s="630">
        <x:f>SUM(G11:G23)</x:f>
        <x:v>0</x:v>
      </x:c>
      <x:c r="K24" s="127"/>
      <x:c r="L24" s="127"/>
      <x:c r="M24" s="127"/>
      <x:c r="N24" s="127"/>
      <x:c r="O24" s="127"/>
    </x:row>
    <x:row r="25" spans="1:15" x14ac:dyDescent="0.25">
      <x:c r="A25" s="221">
        <x:f t="shared" si="0"/>
        <x:v>15</x:v>
      </x:c>
      <x:c r="B25" s="124" t="s">
        <x:v>124</x:v>
      </x:c>
      <x:c r="C25" s="412"/>
      <x:c r="D25" s="412"/>
      <x:c r="E25" s="412">
        <x:f>SUM(E11:E23)</x:f>
        <x:v>776760.43</x:v>
      </x:c>
      <x:c r="F25" s="412"/>
      <x:c r="G25" s="412"/>
      <x:c r="H25" s="412">
        <x:f>SUM(H11:H23)</x:f>
        <x:v>1507154.9300000002</x:v>
      </x:c>
      <x:c r="I25" s="412"/>
      <x:c r="J25" s="412">
        <x:f>SUM(J11:J23)</x:f>
        <x:v>2283915.3600000003</x:v>
      </x:c>
      <x:c r="K25" s="411"/>
      <x:c r="L25" s="411"/>
      <x:c r="M25" s="127"/>
      <x:c r="N25" s="127"/>
      <x:c r="O25" s="127"/>
    </x:row>
    <x:row r="26" spans="1:15" ht="13.25" thickBot="1" x14ac:dyDescent="0.3">
      <x:c r="A26" s="221">
        <x:f t="shared" si="0"/>
        <x:v>16</x:v>
      </x:c>
      <x:c r="B26" s="124" t="s">
        <x:v>139</x:v>
      </x:c>
      <x:c r="C26" s="421"/>
      <x:c r="D26" s="421"/>
      <x:c r="E26" s="399">
        <x:f>E25/13</x:f>
        <x:v>59750.802307692313</x:v>
      </x:c>
      <x:c r="F26" s="399"/>
      <x:c r="G26" s="399"/>
      <x:c r="H26" s="399">
        <x:f>H25/13</x:f>
        <x:v>115934.99461538462</x:v>
      </x:c>
      <x:c r="I26" s="399"/>
      <x:c r="J26" s="399">
        <x:f>ROUND(J25/13,0)</x:f>
        <x:v>175686</x:v>
      </x:c>
      <x:c r="K26" s="411"/>
      <x:c r="L26" s="411"/>
      <x:c r="M26" s="127"/>
      <x:c r="N26" s="127"/>
      <x:c r="O26" s="127"/>
    </x:row>
    <x:row r="27" spans="1:15" ht="13.25" thickTop="1" x14ac:dyDescent="0.25">
      <x:c r="A27" s="221">
        <x:f t="shared" si="0"/>
        <x:v>17</x:v>
      </x:c>
      <x:c r="F27" s="223"/>
      <x:c r="G27" s="223"/>
      <x:c r="H27" s="223"/>
      <x:c r="I27" s="224"/>
      <x:c r="J27" s="223"/>
      <x:c r="K27" s="127"/>
      <x:c r="L27" s="127"/>
      <x:c r="M27" s="127"/>
      <x:c r="N27" s="127"/>
      <x:c r="O27" s="127"/>
    </x:row>
    <x:row r="28" spans="1:15" x14ac:dyDescent="0.25">
      <x:c r="A28" s="221">
        <x:f t="shared" si="0"/>
        <x:v>18</x:v>
      </x:c>
    </x:row>
    <x:row r="29" spans="1:15" x14ac:dyDescent="0.25">
      <x:c r="A29" s="221">
        <x:f t="shared" si="0"/>
        <x:v>19</x:v>
      </x:c>
      <x:c r="B29" s="287" t="s">
        <x:v>230</x:v>
      </x:c>
      <x:c r="D29" s="403" t="s">
        <x:v>444</x:v>
      </x:c>
      <x:c r="E29" s="543"/>
    </x:row>
    <x:row r="30" spans="1:15" x14ac:dyDescent="0.25">
      <x:c r="A30" s="221">
        <x:f t="shared" si="0"/>
        <x:v>20</x:v>
      </x:c>
      <x:c r="B30" s="31"/>
      <x:c r="D30" s="403" t="s">
        <x:v>443</x:v>
      </x:c>
    </x:row>
  </x:sheetData>
  <x:phoneticPr fontId="19" type="noConversion"/>
  <x:hyperlinks>
    <x:hyperlink ref="D30" r:id="rId1" xr:uid="{C8BA0C4F-9A5F-4E15-A4DB-D32357A4625F}"/>
    <x:hyperlink ref="D29" r:id="rId2" xr:uid="{2D7E390D-F3D6-4D21-A74D-0BAB621AC8E3}"/>
  </x:hyperlinks>
  <x:printOptions horizontalCentered="1"/>
  <x:pageMargins left="0.5" right="0.5" top="1.5" bottom="0.5" header="1" footer="0.5"/>
  <x:pageSetup orientation="landscape" r:id="rId3"/>
  <x:headerFooter alignWithMargins="0">
    <x:oddHeader>&amp;RWP/II-B-9/&amp;A
Page &amp;P of &amp;N</x:oddHeader>
  </x:headerFooter>
  <x:drawing r:id="rId4"/>
</x:worksheet>
</file>

<file path=xl/worksheets/sheet6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4000-000000000000}" mc:Ignorable="x14ac xr xr2 xr3">
  <x:sheetPr codeName="Sheet51">
    <x:tabColor rgb="FF92D050"/>
    <x:pageSetUpPr fitToPage="1"/>
  </x:sheetPr>
  <x:dimension ref="A1:H14"/>
  <x:sheetViews>
    <x:sheetView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43"/>
    <x:col min="2" max="2" width="25.109375" style="143" customWidth="1"/>
    <x:col min="3" max="3" width="18.88671875" style="143" customWidth="1"/>
    <x:col min="4" max="4" width="19.44140625" style="143" customWidth="1"/>
    <x:col min="5" max="5" width="3.88671875" style="145" customWidth="1"/>
    <x:col min="6" max="6" width="16.5546875" style="143" bestFit="1" customWidth="1"/>
    <x:col min="7" max="16384" width="9.109375" style="143"/>
  </x:cols>
  <x:sheetData>
    <x:row r="1" spans="1:8" s="41" customFormat="1" x14ac:dyDescent="0.25">
      <x:c r="A1" s="183" t="s">
        <x:v>523</x:v>
      </x:c>
      <x:c r="C1" s="180"/>
      <x:c r="D1" s="180"/>
      <x:c r="E1" s="112"/>
    </x:row>
    <x:row r="2" spans="1:8" s="41" customFormat="1" x14ac:dyDescent="0.25">
      <x:c r="A2" s="183" t="str">
        <x:f>' '!A2</x:f>
        <x:v>ONCOR ELECTRIC DELIVERY COMPANY LLC</x:v>
      </x:c>
      <x:c r="C2" s="180"/>
      <x:c r="D2" s="180"/>
      <x:c r="E2" s="112"/>
    </x:row>
    <x:row r="3" spans="1:8" s="41" customFormat="1" x14ac:dyDescent="0.25">
      <x:c r="A3" s="126" t="s">
        <x:v>6</x:v>
      </x:c>
      <x:c r="C3" s="180"/>
      <x:c r="D3" s="180"/>
      <x:c r="E3" s="112"/>
    </x:row>
    <x:row r="4" spans="1:8" s="41" customFormat="1" x14ac:dyDescent="0.25">
      <x:c r="A4" s="767" t="s">
        <x:v>522</x:v>
      </x:c>
      <x:c r="C4" s="180"/>
      <x:c r="D4" s="180"/>
      <x:c r="E4" s="112"/>
    </x:row>
    <x:row r="5" spans="1:8" s="41" customFormat="1" x14ac:dyDescent="0.25">
      <x:c r="A5" s="183" t="s">
        <x:v>486</x:v>
      </x:c>
      <x:c r="C5" s="180"/>
      <x:c r="D5" s="180"/>
      <x:c r="E5" s="112"/>
      <x:c r="H5" s="41" t="s">
        <x:v>464</x:v>
      </x:c>
    </x:row>
    <x:row r="6" spans="1:8" x14ac:dyDescent="0.25">
      <x:c r="A6" s="145"/>
    </x:row>
    <x:row r="7" spans="1:8" ht="13.25" thickBot="1" x14ac:dyDescent="0.3">
      <x:c r="A7" s="200" t="s">
        <x:v>40</x:v>
      </x:c>
      <x:c r="B7" s="217" t="s">
        <x:v>23</x:v>
      </x:c>
      <x:c r="C7" s="217" t="s">
        <x:v>24</x:v>
      </x:c>
      <x:c r="D7" s="217" t="s">
        <x:v>25</x:v>
      </x:c>
      <x:c r="E7" s="147"/>
      <x:c r="F7" s="147"/>
      <x:c r="G7" s="145"/>
    </x:row>
    <x:row r="8" spans="1:8" x14ac:dyDescent="0.25">
      <x:c r="A8" s="201"/>
      <x:c r="B8" s="40" t="s">
        <x:v>50</x:v>
      </x:c>
      <x:c r="C8" s="149" t="s">
        <x:v>51</x:v>
      </x:c>
      <x:c r="D8" s="40" t="s">
        <x:v>57</x:v>
      </x:c>
      <x:c r="E8" s="147"/>
      <x:c r="F8" s="147"/>
      <x:c r="G8" s="145"/>
    </x:row>
    <x:row r="9" spans="1:8" x14ac:dyDescent="0.25">
      <x:c r="A9" s="201"/>
      <x:c r="B9" s="40"/>
      <x:c r="C9" s="40"/>
      <x:c r="D9" s="40"/>
      <x:c r="E9" s="147"/>
      <x:c r="F9" s="147"/>
      <x:c r="G9" s="145"/>
    </x:row>
    <x:row r="10" spans="1:8" x14ac:dyDescent="0.25">
      <x:c r="A10" s="149">
        <x:v>1</x:v>
      </x:c>
      <x:c r="B10" s="145" t="s">
        <x:v>8</x:v>
      </x:c>
      <x:c r="C10" s="384">
        <x:f>'13-5-1'!K26</x:f>
        <x:v>88130.150000000009</x:v>
      </x:c>
      <x:c r="D10" s="145" t="s">
        <x:v>342</x:v>
      </x:c>
      <x:c r="F10" s="145"/>
      <x:c r="G10" s="145"/>
    </x:row>
    <x:row r="11" spans="1:8" x14ac:dyDescent="0.25">
      <x:c r="A11" s="149">
        <x:v>2</x:v>
      </x:c>
      <x:c r="B11" s="145" t="s">
        <x:v>157</x:v>
      </x:c>
      <x:c r="C11" s="389">
        <x:f>'13-5-2'!K26</x:f>
        <x:v>345083.26</x:v>
      </x:c>
      <x:c r="D11" s="145" t="s">
        <x:v>343</x:v>
      </x:c>
      <x:c r="F11" s="145"/>
    </x:row>
    <x:row r="12" spans="1:8" s="145" customFormat="1" ht="13.25" thickBot="1" x14ac:dyDescent="0.3">
      <x:c r="A12" s="149">
        <x:f>A11+1</x:f>
        <x:v>3</x:v>
      </x:c>
      <x:c r="B12" s="145" t="s">
        <x:v>27</x:v>
      </x:c>
      <x:c r="C12" s="387">
        <x:f>ROUND(SUM(C10:C11),0)</x:f>
        <x:v>433213</x:v>
      </x:c>
      <x:c r="G12" s="143"/>
    </x:row>
    <x:row r="13" spans="1:8" ht="13.25" thickTop="1" x14ac:dyDescent="0.25">
      <x:c r="B13" s="145"/>
      <x:c r="C13" s="145"/>
      <x:c r="D13" s="145"/>
      <x:c r="F13" s="145"/>
    </x:row>
    <x:row r="14" spans="1:8" x14ac:dyDescent="0.25">
      <x:c r="B14" s="145"/>
      <x:c r="C14" s="145"/>
      <x:c r="D14" s="145"/>
      <x:c r="F14" s="145"/>
    </x:row>
  </x:sheetData>
  <x:phoneticPr fontId="19" type="noConversion"/>
  <x:printOptions horizontalCentered="1"/>
  <x:pageMargins left="0.5" right="0.5" top="1.5" bottom="0.5" header="1" footer="0.5"/>
  <x:pageSetup orientation="landscape" r:id="rId1"/>
  <x:headerFooter alignWithMargins="0">
    <x:oddHeader>&amp;RWP/II-B-9/&amp;A
Page &amp;P of &amp;N</x:oddHeader>
  </x:headerFooter>
</x:worksheet>
</file>

<file path=xl/worksheets/sheet6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4100-000000000000}" mc:Ignorable="x14ac xr xr2 xr3">
  <x:sheetPr codeName="Sheet52">
    <x:tabColor rgb="FF92D050"/>
    <x:pageSetUpPr fitToPage="1"/>
  </x:sheetPr>
  <x:dimension ref="A1:T40"/>
  <x:sheetViews>
    <x:sheetView topLeftCell="A16" zoomScaleNormal="100" zoomScaleSheetLayoutView="100" workbookViewId="0">
      <x:selection activeCell="D37" sqref="D37"/>
    </x:sheetView>
  </x:sheetViews>
  <x:sheetFormatPr defaultColWidth="9.109375" defaultRowHeight="12.7" x14ac:dyDescent="0.25"/>
  <x:cols>
    <x:col min="1" max="1" width="9.44140625" style="143" bestFit="1" customWidth="1"/>
    <x:col min="2" max="2" width="20.88671875" style="143" customWidth="1"/>
    <x:col min="3" max="3" width="14" style="143" bestFit="1" customWidth="1"/>
    <x:col min="4" max="4" width="11.5546875" style="143" customWidth="1"/>
    <x:col min="5" max="6" width="12.109375" style="143" bestFit="1" customWidth="1"/>
    <x:col min="7" max="7" width="13.5546875" style="143" bestFit="1" customWidth="1"/>
    <x:col min="8" max="8" width="12.5546875" style="143" bestFit="1" customWidth="1"/>
    <x:col min="9" max="10" width="12.44140625" style="143" bestFit="1" customWidth="1"/>
    <x:col min="11" max="11" width="13.109375" style="143" bestFit="1" customWidth="1"/>
    <x:col min="12" max="12" width="3.88671875" style="144" customWidth="1"/>
    <x:col min="13" max="16384" width="9.109375" style="143"/>
  </x:cols>
  <x:sheetData>
    <x:row r="1" spans="1:20" s="41" customFormat="1" x14ac:dyDescent="0.25">
      <x:c r="A1" s="180" t="s">
        <x:v>523</x:v>
      </x:c>
      <x:c r="D1" s="180"/>
      <x:c r="E1" s="180"/>
      <x:c r="F1" s="180"/>
      <x:c r="G1" s="180"/>
      <x:c r="L1" s="296"/>
    </x:row>
    <x:row r="2" spans="1:20" s="41" customFormat="1" x14ac:dyDescent="0.25">
      <x:c r="A2" s="180" t="str">
        <x:f>' '!A2</x:f>
        <x:v>ONCOR ELECTRIC DELIVERY COMPANY LLC</x:v>
      </x:c>
      <x:c r="D2" s="180"/>
      <x:c r="E2" s="180"/>
      <x:c r="F2" s="180"/>
      <x:c r="G2" s="180"/>
      <x:c r="L2" s="296"/>
    </x:row>
    <x:row r="3" spans="1:20" s="41" customFormat="1" x14ac:dyDescent="0.25">
      <x:c r="A3" s="126" t="s">
        <x:v>258</x:v>
      </x:c>
      <x:c r="D3" s="180"/>
      <x:c r="E3" s="180"/>
      <x:c r="F3" s="180"/>
      <x:c r="G3" s="180"/>
      <x:c r="L3" s="296"/>
    </x:row>
    <x:row r="4" spans="1:20" s="41" customFormat="1" x14ac:dyDescent="0.25">
      <x:c r="A4" s="767" t="s">
        <x:v>522</x:v>
      </x:c>
      <x:c r="D4" s="180"/>
      <x:c r="E4" s="535"/>
      <x:c r="F4" s="535"/>
      <x:c r="G4" s="535"/>
      <x:c r="H4" s="535"/>
      <x:c r="I4" s="535"/>
      <x:c r="J4" s="535"/>
      <x:c r="K4" s="537"/>
      <x:c r="L4" s="296"/>
    </x:row>
    <x:row r="5" spans="1:20" s="41" customFormat="1" x14ac:dyDescent="0.25">
      <x:c r="A5" s="180" t="s">
        <x:v>486</x:v>
      </x:c>
      <x:c r="D5" s="180"/>
      <x:c r="E5" s="180"/>
      <x:c r="F5" s="180"/>
      <x:c r="G5" s="180"/>
      <x:c r="H5" s="41" t="s">
        <x:v>464</x:v>
      </x:c>
      <x:c r="L5" s="296"/>
    </x:row>
    <x:row r="7" spans="1:20" s="152" customFormat="1" ht="50.7" x14ac:dyDescent="0.25">
      <x:c r="A7" s="201" t="s">
        <x:v>197</x:v>
      </x:c>
      <x:c r="B7" s="201"/>
      <x:c r="C7" s="201" t="s">
        <x:v>377</x:v>
      </x:c>
      <x:c r="D7" s="201" t="s">
        <x:v>141</x:v>
      </x:c>
      <x:c r="E7" s="201" t="s">
        <x:v>442</x:v>
      </x:c>
      <x:c r="F7" s="201" t="s">
        <x:v>441</x:v>
      </x:c>
      <x:c r="G7" s="201" t="s">
        <x:v>378</x:v>
      </x:c>
      <x:c r="H7" s="201" t="s">
        <x:v>142</x:v>
      </x:c>
      <x:c r="I7" s="201" t="s">
        <x:v>379</x:v>
      </x:c>
      <x:c r="J7" s="201" t="s">
        <x:v>143</x:v>
      </x:c>
      <x:c r="K7" s="331"/>
      <x:c r="L7" s="151"/>
      <x:c r="M7" s="151"/>
      <x:c r="N7" s="151"/>
      <x:c r="O7" s="151"/>
    </x:row>
    <x:row r="8" spans="1:20" s="147" customFormat="1" x14ac:dyDescent="0.25">
      <x:c r="A8" s="202" t="s">
        <x:v>198</x:v>
      </x:c>
      <x:c r="B8" s="202" t="s">
        <x:v>79</x:v>
      </x:c>
      <x:c r="C8" s="332">
        <x:v>1431060</x:v>
      </x:c>
      <x:c r="D8" s="332">
        <x:v>1431060</x:v>
      </x:c>
      <x:c r="E8" s="332">
        <x:v>1431000</x:v>
      </x:c>
      <x:c r="F8" s="332">
        <x:v>1431000</x:v>
      </x:c>
      <x:c r="G8" s="332">
        <x:v>1431110</x:v>
      </x:c>
      <x:c r="H8" s="332">
        <x:v>1431110</x:v>
      </x:c>
      <x:c r="I8" s="332">
        <x:v>1431600</x:v>
      </x:c>
      <x:c r="J8" s="332">
        <x:v>1431600</x:v>
      </x:c>
      <x:c r="K8" s="202" t="s">
        <x:v>26</x:v>
      </x:c>
      <x:c r="L8" s="148"/>
      <x:c r="M8" s="148"/>
      <x:c r="N8" s="148"/>
      <x:c r="O8" s="148"/>
    </x:row>
    <x:row r="9" spans="1:20" s="147" customFormat="1" x14ac:dyDescent="0.25">
      <x:c r="B9" s="40" t="s">
        <x:v>50</x:v>
      </x:c>
      <x:c r="C9" s="40"/>
      <x:c r="D9" s="40" t="s">
        <x:v>51</x:v>
      </x:c>
      <x:c r="E9" s="40"/>
      <x:c r="F9" s="40" t="s">
        <x:v>57</x:v>
      </x:c>
      <x:c r="G9" s="40"/>
      <x:c r="H9" s="40" t="s">
        <x:v>52</x:v>
      </x:c>
      <x:c r="I9" s="40"/>
      <x:c r="J9" s="40" t="s">
        <x:v>53</x:v>
      </x:c>
      <x:c r="K9" s="40" t="s">
        <x:v>54</x:v>
      </x:c>
      <x:c r="M9" s="40"/>
      <x:c r="O9" s="40"/>
      <x:c r="P9" s="140"/>
      <x:c r="Q9" s="40"/>
      <x:c r="R9" s="40"/>
      <x:c r="S9" s="119"/>
      <x:c r="T9" s="40"/>
    </x:row>
    <x:row r="10" spans="1:20" s="147" customFormat="1" x14ac:dyDescent="0.25"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M10" s="40"/>
      <x:c r="O10" s="40"/>
      <x:c r="P10" s="140"/>
      <x:c r="Q10" s="40"/>
      <x:c r="R10" s="40"/>
      <x:c r="S10" s="119"/>
      <x:c r="T10" s="40"/>
    </x:row>
    <x:row r="11" spans="1:20" x14ac:dyDescent="0.25">
      <x:c r="A11" s="149">
        <x:v>1</x:v>
      </x:c>
      <x:c r="B11" s="149" t="s">
        <x:v>138</x:v>
      </x:c>
      <x:c r="C11" s="410">
        <x:v>43238.05</x:v>
      </x:c>
      <x:c r="D11" s="405">
        <x:f>C11</x:f>
        <x:v>43238.05</x:v>
      </x:c>
      <x:c r="E11" s="420">
        <x:v>-3334.59</x:v>
      </x:c>
      <x:c r="F11" s="405">
        <x:f>+E11</x:f>
        <x:v>-3334.59</x:v>
      </x:c>
      <x:c r="G11" s="405">
        <x:v>55051.69</x:v>
      </x:c>
      <x:c r="H11" s="405">
        <x:f>G11</x:f>
        <x:v>55051.69</x:v>
      </x:c>
      <x:c r="I11" s="544"/>
      <x:c r="J11" s="405">
        <x:v>0</x:v>
      </x:c>
      <x:c r="K11" s="405">
        <x:f t="shared" ref="K11:K23" si="0">D11+F11+H11+J11</x:f>
        <x:v>94955.150000000009</x:v>
      </x:c>
      <x:c r="L11" s="153"/>
    </x:row>
    <x:row r="12" spans="1:20" x14ac:dyDescent="0.25">
      <x:c r="A12" s="149">
        <x:f t="shared" ref="A12:A35" si="1">A11+1</x:f>
        <x:v>2</x:v>
      </x:c>
      <x:c r="B12" s="658">
        <x:v>45292</x:v>
      </x:c>
      <x:c r="C12" s="410">
        <x:v>-2000.9</x:v>
      </x:c>
      <x:c r="D12" s="420">
        <x:f t="shared" ref="D12:D23" si="2">D11+C12</x:f>
        <x:v>41237.15</x:v>
      </x:c>
      <x:c r="E12" s="420">
        <x:v>3570.9300000000003</x:v>
      </x:c>
      <x:c r="F12" s="545">
        <x:f t="shared" ref="F12:H23" si="3">F11+E12</x:f>
        <x:v>236.34000000000015</x:v>
      </x:c>
      <x:c r="G12" s="405">
        <x:v>783.53</x:v>
      </x:c>
      <x:c r="H12" s="545">
        <x:f t="shared" si="3"/>
        <x:v>55835.22</x:v>
      </x:c>
      <x:c r="I12" s="420"/>
      <x:c r="J12" s="420">
        <x:v>0</x:v>
      </x:c>
      <x:c r="K12" s="420">
        <x:f t="shared" si="0"/>
        <x:v>97308.71</x:v>
      </x:c>
      <x:c r="L12" s="153"/>
    </x:row>
    <x:row r="13" spans="1:20" x14ac:dyDescent="0.25">
      <x:c r="A13" s="149">
        <x:f t="shared" si="1"/>
        <x:v>3</x:v>
      </x:c>
      <x:c r="B13" s="658">
        <x:v>45323</x:v>
      </x:c>
      <x:c r="C13" s="410">
        <x:v>-1616.02</x:v>
      </x:c>
      <x:c r="D13" s="420">
        <x:f t="shared" si="2"/>
        <x:v>39621.130000000005</x:v>
      </x:c>
      <x:c r="E13" s="420">
        <x:v>-236.34</x:v>
      </x:c>
      <x:c r="F13" s="545">
        <x:f t="shared" si="3"/>
        <x:v>0</x:v>
      </x:c>
      <x:c r="G13" s="405">
        <x:v>-1913.0900000000001</x:v>
      </x:c>
      <x:c r="H13" s="545">
        <x:f t="shared" si="3"/>
        <x:v>53922.130000000005</x:v>
      </x:c>
      <x:c r="I13" s="420"/>
      <x:c r="J13" s="420">
        <x:v>0</x:v>
      </x:c>
      <x:c r="K13" s="420">
        <x:f t="shared" si="0"/>
        <x:v>93543.260000000009</x:v>
      </x:c>
      <x:c r="L13" s="153"/>
    </x:row>
    <x:row r="14" spans="1:20" x14ac:dyDescent="0.25">
      <x:c r="A14" s="149">
        <x:f t="shared" si="1"/>
        <x:v>4</x:v>
      </x:c>
      <x:c r="B14" s="658">
        <x:v>45352</x:v>
      </x:c>
      <x:c r="C14" s="410">
        <x:v>-1500.17</x:v>
      </x:c>
      <x:c r="D14" s="420">
        <x:f t="shared" si="2"/>
        <x:v>38120.960000000006</x:v>
      </x:c>
      <x:c r="E14" s="420">
        <x:v>0</x:v>
      </x:c>
      <x:c r="F14" s="545">
        <x:f t="shared" si="3"/>
        <x:v>0</x:v>
      </x:c>
      <x:c r="G14" s="405">
        <x:v>497.24</x:v>
      </x:c>
      <x:c r="H14" s="545">
        <x:f t="shared" si="3"/>
        <x:v>54419.37</x:v>
      </x:c>
      <x:c r="I14" s="407"/>
      <x:c r="J14" s="407">
        <x:v>0</x:v>
      </x:c>
      <x:c r="K14" s="420">
        <x:f t="shared" si="0"/>
        <x:v>92540.330000000016</x:v>
      </x:c>
      <x:c r="L14" s="153"/>
      <x:c r="M14" s="546"/>
    </x:row>
    <x:row r="15" spans="1:20" x14ac:dyDescent="0.25">
      <x:c r="A15" s="149">
        <x:f t="shared" si="1"/>
        <x:v>5</x:v>
      </x:c>
      <x:c r="B15" s="658">
        <x:v>45383</x:v>
      </x:c>
      <x:c r="C15" s="410">
        <x:v>-1528.54</x:v>
      </x:c>
      <x:c r="D15" s="420">
        <x:f t="shared" si="2"/>
        <x:v>36592.420000000006</x:v>
      </x:c>
      <x:c r="E15" s="420">
        <x:v>0</x:v>
      </x:c>
      <x:c r="F15" s="545">
        <x:f t="shared" si="3"/>
        <x:v>0</x:v>
      </x:c>
      <x:c r="G15" s="405">
        <x:v>278.51</x:v>
      </x:c>
      <x:c r="H15" s="545">
        <x:f t="shared" si="3"/>
        <x:v>54697.880000000005</x:v>
      </x:c>
      <x:c r="I15" s="407"/>
      <x:c r="J15" s="407">
        <x:v>0</x:v>
      </x:c>
      <x:c r="K15" s="420">
        <x:f t="shared" si="0"/>
        <x:v>91290.300000000017</x:v>
      </x:c>
      <x:c r="L15" s="153"/>
      <x:c r="P15" s="632"/>
    </x:row>
    <x:row r="16" spans="1:20" x14ac:dyDescent="0.25">
      <x:c r="A16" s="149">
        <x:f t="shared" si="1"/>
        <x:v>6</x:v>
      </x:c>
      <x:c r="B16" s="658">
        <x:v>45413</x:v>
      </x:c>
      <x:c r="C16" s="410">
        <x:v>-1557.7</x:v>
      </x:c>
      <x:c r="D16" s="420">
        <x:f t="shared" si="2"/>
        <x:v>35034.720000000008</x:v>
      </x:c>
      <x:c r="E16" s="420">
        <x:v>0</x:v>
      </x:c>
      <x:c r="F16" s="545">
        <x:f t="shared" si="3"/>
        <x:v>0</x:v>
      </x:c>
      <x:c r="G16" s="405">
        <x:v>-4107.5</x:v>
      </x:c>
      <x:c r="H16" s="545">
        <x:f t="shared" si="3"/>
        <x:v>50590.380000000005</x:v>
      </x:c>
      <x:c r="I16" s="407"/>
      <x:c r="J16" s="407">
        <x:v>0</x:v>
      </x:c>
      <x:c r="K16" s="420">
        <x:f t="shared" si="0"/>
        <x:v>85625.1</x:v>
      </x:c>
      <x:c r="L16" s="153"/>
    </x:row>
    <x:row r="17" spans="1:13" x14ac:dyDescent="0.25">
      <x:c r="A17" s="149">
        <x:f t="shared" si="1"/>
        <x:v>7</x:v>
      </x:c>
      <x:c r="B17" s="658">
        <x:v>45444</x:v>
      </x:c>
      <x:c r="C17" s="410">
        <x:v>1856.6000000000001</x:v>
      </x:c>
      <x:c r="D17" s="420">
        <x:f t="shared" si="2"/>
        <x:v>36891.320000000007</x:v>
      </x:c>
      <x:c r="E17" s="420">
        <x:v>0</x:v>
      </x:c>
      <x:c r="F17" s="545">
        <x:f t="shared" si="3"/>
        <x:v>0</x:v>
      </x:c>
      <x:c r="G17" s="405">
        <x:v>1166.82</x:v>
      </x:c>
      <x:c r="H17" s="545">
        <x:f t="shared" si="3"/>
        <x:v>51757.200000000004</x:v>
      </x:c>
      <x:c r="I17" s="407"/>
      <x:c r="J17" s="407">
        <x:v>0</x:v>
      </x:c>
      <x:c r="K17" s="420">
        <x:f t="shared" si="0"/>
        <x:v>88648.520000000019</x:v>
      </x:c>
      <x:c r="L17" s="153"/>
    </x:row>
    <x:row r="18" spans="1:13" x14ac:dyDescent="0.25">
      <x:c r="A18" s="149">
        <x:f t="shared" si="1"/>
        <x:v>8</x:v>
      </x:c>
      <x:c r="B18" s="658">
        <x:v>45474</x:v>
      </x:c>
      <x:c r="C18" s="410">
        <x:v>-1584.38</x:v>
      </x:c>
      <x:c r="D18" s="420">
        <x:f t="shared" si="2"/>
        <x:v>35306.94000000001</x:v>
      </x:c>
      <x:c r="E18" s="420">
        <x:v>220</x:v>
      </x:c>
      <x:c r="F18" s="545">
        <x:f t="shared" si="3"/>
        <x:v>220</x:v>
      </x:c>
      <x:c r="G18" s="405">
        <x:v>1975.3600000000001</x:v>
      </x:c>
      <x:c r="H18" s="545">
        <x:f t="shared" si="3"/>
        <x:v>53732.560000000005</x:v>
      </x:c>
      <x:c r="I18" s="407"/>
      <x:c r="J18" s="407">
        <x:v>0</x:v>
      </x:c>
      <x:c r="K18" s="420">
        <x:f t="shared" si="0"/>
        <x:v>89259.500000000015</x:v>
      </x:c>
      <x:c r="L18" s="153"/>
    </x:row>
    <x:row r="19" spans="1:13" x14ac:dyDescent="0.25">
      <x:c r="A19" s="149">
        <x:f t="shared" si="1"/>
        <x:v>9</x:v>
      </x:c>
      <x:c r="B19" s="658">
        <x:v>45505</x:v>
      </x:c>
      <x:c r="C19" s="410">
        <x:v>-96.09</x:v>
      </x:c>
      <x:c r="D19" s="420">
        <x:f t="shared" si="2"/>
        <x:v>35210.850000000013</x:v>
      </x:c>
      <x:c r="E19" s="420">
        <x:v>-220</x:v>
      </x:c>
      <x:c r="F19" s="545">
        <x:f t="shared" si="3"/>
        <x:v>0</x:v>
      </x:c>
      <x:c r="G19" s="405">
        <x:v>-2739.01</x:v>
      </x:c>
      <x:c r="H19" s="545">
        <x:f t="shared" si="3"/>
        <x:v>50993.55</x:v>
      </x:c>
      <x:c r="I19" s="407"/>
      <x:c r="J19" s="407">
        <x:v>0</x:v>
      </x:c>
      <x:c r="K19" s="420">
        <x:f t="shared" si="0"/>
        <x:v>86204.400000000023</x:v>
      </x:c>
      <x:c r="L19" s="153"/>
    </x:row>
    <x:row r="20" spans="1:13" x14ac:dyDescent="0.25">
      <x:c r="A20" s="149">
        <x:f t="shared" si="1"/>
        <x:v>10</x:v>
      </x:c>
      <x:c r="B20" s="658">
        <x:v>45536</x:v>
      </x:c>
      <x:c r="C20" s="410">
        <x:v>-490.54</x:v>
      </x:c>
      <x:c r="D20" s="420">
        <x:f t="shared" si="2"/>
        <x:v>34720.310000000012</x:v>
      </x:c>
      <x:c r="E20" s="420">
        <x:v>-803.19</x:v>
      </x:c>
      <x:c r="F20" s="545">
        <x:f t="shared" si="3"/>
        <x:v>-803.19</x:v>
      </x:c>
      <x:c r="G20" s="405">
        <x:v>1550.4</x:v>
      </x:c>
      <x:c r="H20" s="545">
        <x:f t="shared" si="3"/>
        <x:v>52543.950000000004</x:v>
      </x:c>
      <x:c r="I20" s="407"/>
      <x:c r="J20" s="407">
        <x:v>0</x:v>
      </x:c>
      <x:c r="K20" s="420">
        <x:f t="shared" si="0"/>
        <x:v>86461.07</x:v>
      </x:c>
      <x:c r="L20" s="153"/>
    </x:row>
    <x:row r="21" spans="1:13" x14ac:dyDescent="0.25">
      <x:c r="A21" s="149">
        <x:f t="shared" si="1"/>
        <x:v>11</x:v>
      </x:c>
      <x:c r="B21" s="658">
        <x:v>45566</x:v>
      </x:c>
      <x:c r="C21" s="410">
        <x:v>-857.4</x:v>
      </x:c>
      <x:c r="D21" s="420">
        <x:f t="shared" si="2"/>
        <x:v>33862.910000000011</x:v>
      </x:c>
      <x:c r="E21" s="420">
        <x:v>0.01</x:v>
      </x:c>
      <x:c r="F21" s="545">
        <x:f t="shared" si="3"/>
        <x:v>-803.18000000000006</x:v>
      </x:c>
      <x:c r="G21" s="405">
        <x:v>-2256.31</x:v>
      </x:c>
      <x:c r="H21" s="545">
        <x:f t="shared" si="3"/>
        <x:v>50287.640000000007</x:v>
      </x:c>
      <x:c r="I21" s="407"/>
      <x:c r="J21" s="407">
        <x:v>0</x:v>
      </x:c>
      <x:c r="K21" s="420">
        <x:f t="shared" si="0"/>
        <x:v>83347.370000000024</x:v>
      </x:c>
      <x:c r="L21" s="153"/>
    </x:row>
    <x:row r="22" spans="1:13" x14ac:dyDescent="0.25">
      <x:c r="A22" s="149">
        <x:f t="shared" si="1"/>
        <x:v>12</x:v>
      </x:c>
      <x:c r="B22" s="658">
        <x:v>45597</x:v>
      </x:c>
      <x:c r="C22" s="410">
        <x:v>-1465.7</x:v>
      </x:c>
      <x:c r="D22" s="420">
        <x:f t="shared" si="2"/>
        <x:v>32397.21000000001</x:v>
      </x:c>
      <x:c r="E22" s="420">
        <x:v>2155.0500000000002</x:v>
      </x:c>
      <x:c r="F22" s="545">
        <x:f t="shared" si="3"/>
        <x:v>1351.8700000000001</x:v>
      </x:c>
      <x:c r="G22" s="405">
        <x:v>-4198.8</x:v>
      </x:c>
      <x:c r="H22" s="545">
        <x:f t="shared" si="3"/>
        <x:v>46088.840000000004</x:v>
      </x:c>
      <x:c r="I22" s="407"/>
      <x:c r="J22" s="407">
        <x:v>0</x:v>
      </x:c>
      <x:c r="K22" s="420">
        <x:f t="shared" si="0"/>
        <x:v>79837.920000000013</x:v>
      </x:c>
      <x:c r="L22" s="153"/>
    </x:row>
    <x:row r="23" spans="1:13" x14ac:dyDescent="0.25">
      <x:c r="A23" s="149">
        <x:f t="shared" si="1"/>
        <x:v>13</x:v>
      </x:c>
      <x:c r="B23" s="658">
        <x:v>45627</x:v>
      </x:c>
      <x:c r="C23" s="410">
        <x:v>1911.6200000000001</x:v>
      </x:c>
      <x:c r="D23" s="420">
        <x:f t="shared" si="2"/>
        <x:v>34308.830000000009</x:v>
      </x:c>
      <x:c r="E23" s="420">
        <x:v>-1309.8700000000001</x:v>
      </x:c>
      <x:c r="F23" s="545">
        <x:f t="shared" si="3"/>
        <x:v>42</x:v>
      </x:c>
      <x:c r="G23" s="405">
        <x:v>-3769.35</x:v>
      </x:c>
      <x:c r="H23" s="545">
        <x:f t="shared" si="3"/>
        <x:v>42319.490000000005</x:v>
      </x:c>
      <x:c r="I23" s="407"/>
      <x:c r="J23" s="407">
        <x:v>0</x:v>
      </x:c>
      <x:c r="K23" s="420">
        <x:f t="shared" si="0"/>
        <x:v>76670.320000000007</x:v>
      </x:c>
      <x:c r="L23" s="153"/>
    </x:row>
    <x:row r="24" spans="1:13" x14ac:dyDescent="0.25">
      <x:c r="A24" s="149">
        <x:f t="shared" si="1"/>
        <x:v>14</x:v>
      </x:c>
      <x:c r="B24" s="629" t="s">
        <x:v>1070</x:v>
      </x:c>
      <x:c r="C24" s="631">
        <x:f>SUM(C11:C23)</x:f>
        <x:v>34308.830000000009</x:v>
      </x:c>
      <x:c r="D24" s="662" t="s">
        <x:v>464</x:v>
      </x:c>
      <x:c r="E24" s="407">
        <x:f>SUM(E11:E23)</x:f>
        <x:v>42.000000000000227</x:v>
      </x:c>
      <x:c r="F24" s="407"/>
      <x:c r="G24" s="384">
        <x:f>SUM(G11:G23)</x:f>
        <x:v>42319.490000000005</x:v>
      </x:c>
      <x:c r="H24" s="407"/>
      <x:c r="I24" s="407"/>
      <x:c r="J24" s="407"/>
      <x:c r="K24" s="407"/>
      <x:c r="L24" s="153"/>
    </x:row>
    <x:row r="25" spans="1:13" x14ac:dyDescent="0.25">
      <x:c r="A25" s="149">
        <x:f t="shared" si="1"/>
        <x:v>15</x:v>
      </x:c>
      <x:c r="B25" s="426" t="s">
        <x:v>124</x:v>
      </x:c>
      <x:c r="C25" s="547"/>
      <x:c r="D25" s="412">
        <x:f>SUM(D11:D23)</x:f>
        <x:v>476542.80000000016</x:v>
      </x:c>
      <x:c r="E25" s="412"/>
      <x:c r="F25" s="412">
        <x:f>SUM(F11:F23)</x:f>
        <x:v>-3090.75</x:v>
      </x:c>
      <x:c r="G25" s="412"/>
      <x:c r="H25" s="412">
        <x:f>SUM(H11:H23)</x:f>
        <x:v>672239.9</x:v>
      </x:c>
      <x:c r="I25" s="412"/>
      <x:c r="J25" s="412">
        <x:f>SUM(J11:J23)</x:f>
        <x:v>0</x:v>
      </x:c>
      <x:c r="K25" s="412">
        <x:f>SUM(D25:J25)</x:f>
        <x:v>1145691.9500000002</x:v>
      </x:c>
      <x:c r="L25" s="146"/>
      <x:c r="M25" s="145"/>
    </x:row>
    <x:row r="26" spans="1:13" s="149" customFormat="1" ht="13.25" thickBot="1" x14ac:dyDescent="0.3">
      <x:c r="A26" s="149">
        <x:f t="shared" si="1"/>
        <x:v>16</x:v>
      </x:c>
      <x:c r="B26" s="426" t="s">
        <x:v>140</x:v>
      </x:c>
      <x:c r="C26" s="548"/>
      <x:c r="D26" s="399">
        <x:f>D25/13</x:f>
        <x:v>36657.138461538474</x:v>
      </x:c>
      <x:c r="E26" s="399"/>
      <x:c r="F26" s="399">
        <x:f>F25/13</x:f>
        <x:v>-237.75</x:v>
      </x:c>
      <x:c r="G26" s="399"/>
      <x:c r="H26" s="399">
        <x:f>H25/13</x:f>
        <x:v>51710.761538461542</x:v>
      </x:c>
      <x:c r="I26" s="399"/>
      <x:c r="J26" s="399">
        <x:f>J25/13</x:f>
        <x:v>0</x:v>
      </x:c>
      <x:c r="K26" s="399">
        <x:f>K25/13</x:f>
        <x:v>88130.150000000009</x:v>
      </x:c>
      <x:c r="L26" s="150"/>
    </x:row>
    <x:row r="27" spans="1:13" ht="13.25" thickTop="1" x14ac:dyDescent="0.25">
      <x:c r="A27" s="149">
        <x:f t="shared" si="1"/>
        <x:v>17</x:v>
      </x:c>
      <x:c r="B27" s="145"/>
      <x:c r="C27" s="145"/>
      <x:c r="D27" s="411"/>
      <x:c r="E27" s="411"/>
      <x:c r="F27" s="154"/>
      <x:c r="G27" s="154"/>
      <x:c r="H27" s="154"/>
      <x:c r="I27" s="154"/>
      <x:c r="J27" s="154"/>
      <x:c r="K27" s="154"/>
      <x:c r="L27" s="146"/>
      <x:c r="M27" s="145"/>
    </x:row>
    <x:row r="28" spans="1:13" x14ac:dyDescent="0.25">
      <x:c r="A28" s="149">
        <x:f t="shared" si="1"/>
        <x:v>18</x:v>
      </x:c>
      <x:c r="B28" s="184">
        <x:v>1431060</x:v>
      </x:c>
      <x:c r="C28" s="145" t="s">
        <x:v>144</x:v>
      </x:c>
      <x:c r="E28" s="145"/>
      <x:c r="F28" s="154"/>
      <x:c r="G28" s="154"/>
      <x:c r="H28" s="154"/>
      <x:c r="I28" s="154"/>
      <x:c r="J28" s="154"/>
      <x:c r="K28" s="154"/>
      <x:c r="L28" s="146"/>
      <x:c r="M28" s="145"/>
    </x:row>
    <x:row r="29" spans="1:13" x14ac:dyDescent="0.25">
      <x:c r="A29" s="149">
        <x:f t="shared" si="1"/>
        <x:v>19</x:v>
      </x:c>
      <x:c r="B29" s="145"/>
      <x:c r="C29" s="145" t="s">
        <x:v>145</x:v>
      </x:c>
      <x:c r="E29" s="145"/>
      <x:c r="F29" s="154"/>
      <x:c r="G29" s="154"/>
      <x:c r="H29" s="154"/>
      <x:c r="I29" s="154"/>
      <x:c r="J29" s="154"/>
      <x:c r="K29" s="154"/>
      <x:c r="L29" s="146"/>
      <x:c r="M29" s="145"/>
    </x:row>
    <x:row r="30" spans="1:13" x14ac:dyDescent="0.25">
      <x:c r="A30" s="149">
        <x:f t="shared" si="1"/>
        <x:v>20</x:v>
      </x:c>
      <x:c r="B30" s="184">
        <x:v>1431000</x:v>
      </x:c>
      <x:c r="C30" s="145" t="s">
        <x:v>445</x:v>
      </x:c>
      <x:c r="E30" s="145"/>
      <x:c r="F30" s="154"/>
      <x:c r="G30" s="154"/>
      <x:c r="H30" s="154"/>
      <x:c r="I30" s="154"/>
      <x:c r="J30" s="154"/>
      <x:c r="K30" s="154"/>
      <x:c r="L30" s="146"/>
      <x:c r="M30" s="145"/>
    </x:row>
    <x:row r="31" spans="1:13" x14ac:dyDescent="0.25">
      <x:c r="A31" s="149">
        <x:f t="shared" si="1"/>
        <x:v>21</x:v>
      </x:c>
      <x:c r="B31" s="184">
        <x:v>1431110</x:v>
      </x:c>
      <x:c r="C31" s="145" t="s">
        <x:v>268</x:v>
      </x:c>
      <x:c r="E31" s="145"/>
      <x:c r="F31" s="154"/>
      <x:c r="G31" s="154"/>
      <x:c r="H31" s="154"/>
      <x:c r="I31" s="154"/>
      <x:c r="J31" s="154"/>
      <x:c r="K31" s="154"/>
      <x:c r="L31" s="146"/>
      <x:c r="M31" s="145"/>
    </x:row>
    <x:row r="32" spans="1:13" x14ac:dyDescent="0.25">
      <x:c r="A32" s="149">
        <x:f t="shared" si="1"/>
        <x:v>22</x:v>
      </x:c>
      <x:c r="B32" s="184">
        <x:v>1431600</x:v>
      </x:c>
      <x:c r="C32" s="145" t="s">
        <x:v>146</x:v>
      </x:c>
      <x:c r="E32" s="154"/>
      <x:c r="F32" s="154"/>
      <x:c r="G32" s="154"/>
      <x:c r="H32" s="154"/>
      <x:c r="I32" s="154"/>
      <x:c r="J32" s="154"/>
      <x:c r="K32" s="154"/>
      <x:c r="L32" s="146"/>
      <x:c r="M32" s="145"/>
    </x:row>
    <x:row r="33" spans="1:13" x14ac:dyDescent="0.25">
      <x:c r="A33" s="149">
        <x:f t="shared" si="1"/>
        <x:v>23</x:v>
      </x:c>
      <x:c r="B33" s="149"/>
      <x:c r="C33" s="155"/>
      <x:c r="D33" s="154"/>
      <x:c r="E33" s="154"/>
      <x:c r="F33" s="154"/>
      <x:c r="G33" s="154"/>
      <x:c r="H33" s="154"/>
      <x:c r="I33" s="154"/>
      <x:c r="J33" s="154"/>
      <x:c r="K33" s="154"/>
      <x:c r="L33" s="146"/>
      <x:c r="M33" s="145"/>
    </x:row>
    <x:row r="34" spans="1:13" x14ac:dyDescent="0.25">
      <x:c r="A34" s="149">
        <x:f t="shared" si="1"/>
        <x:v>24</x:v>
      </x:c>
      <x:c r="B34" s="149"/>
      <x:c r="C34" s="155"/>
      <x:c r="D34" s="154"/>
      <x:c r="E34" s="154"/>
      <x:c r="F34" s="154"/>
      <x:c r="G34" s="154"/>
      <x:c r="H34" s="154"/>
      <x:c r="I34" s="154"/>
      <x:c r="J34" s="154"/>
      <x:c r="K34" s="154"/>
      <x:c r="L34" s="146"/>
      <x:c r="M34" s="145"/>
    </x:row>
    <x:row r="35" spans="1:13" x14ac:dyDescent="0.25">
      <x:c r="A35" s="149">
        <x:f t="shared" si="1"/>
        <x:v>25</x:v>
      </x:c>
      <x:c r="B35" s="31" t="s">
        <x:v>230</x:v>
      </x:c>
      <x:c r="C35" s="403" t="s">
        <x:v>465</x:v>
      </x:c>
      <x:c r="D35" s="154"/>
      <x:c r="E35" s="154"/>
      <x:c r="F35" s="154"/>
      <x:c r="G35" s="154"/>
      <x:c r="H35" s="154"/>
      <x:c r="I35" s="154"/>
      <x:c r="J35" s="154"/>
      <x:c r="K35" s="146"/>
      <x:c r="L35" s="145"/>
    </x:row>
    <x:row r="36" spans="1:13" x14ac:dyDescent="0.25">
      <x:c r="B36" s="145"/>
      <x:c r="C36" s="145"/>
      <x:c r="D36" s="154"/>
      <x:c r="E36" s="154"/>
      <x:c r="F36" s="154"/>
      <x:c r="G36" s="154"/>
      <x:c r="H36" s="154"/>
      <x:c r="I36" s="154"/>
      <x:c r="J36" s="154"/>
      <x:c r="K36" s="154"/>
      <x:c r="L36" s="146"/>
      <x:c r="M36" s="145"/>
    </x:row>
    <x:row r="37" spans="1:13" x14ac:dyDescent="0.25">
      <x:c r="B37" s="145"/>
      <x:c r="C37" s="145"/>
      <x:c r="D37" s="154"/>
      <x:c r="E37" s="154"/>
      <x:c r="F37" s="154"/>
      <x:c r="G37" s="154"/>
      <x:c r="H37" s="154"/>
      <x:c r="I37" s="154"/>
      <x:c r="J37" s="154"/>
      <x:c r="K37" s="154"/>
      <x:c r="L37" s="146"/>
      <x:c r="M37" s="145"/>
    </x:row>
    <x:row r="38" spans="1:13" x14ac:dyDescent="0.25">
      <x:c r="B38" s="145"/>
      <x:c r="C38" s="145"/>
      <x:c r="D38" s="154"/>
      <x:c r="E38" s="154"/>
      <x:c r="F38" s="154"/>
      <x:c r="G38" s="154"/>
      <x:c r="H38" s="154"/>
      <x:c r="I38" s="154"/>
      <x:c r="J38" s="154"/>
      <x:c r="K38" s="154"/>
      <x:c r="L38" s="146"/>
      <x:c r="M38" s="145"/>
    </x:row>
    <x:row r="40" spans="1:13" x14ac:dyDescent="0.25">
      <x:c r="D40" s="156"/>
      <x:c r="E40" s="156"/>
      <x:c r="F40" s="156"/>
      <x:c r="G40" s="156"/>
      <x:c r="H40" s="157"/>
      <x:c r="I40" s="157"/>
      <x:c r="J40" s="156"/>
      <x:c r="K40" s="156"/>
    </x:row>
  </x:sheetData>
  <x:phoneticPr fontId="19" type="noConversion"/>
  <x:hyperlinks>
    <x:hyperlink ref="C35" r:id="rId1" xr:uid="{707D9658-39D9-41E7-90AE-5A6353439C76}"/>
  </x:hyperlinks>
  <x:printOptions horizontalCentered="1"/>
  <x:pageMargins left="0.5" right="0.5" top="1.5" bottom="0.5" header="1" footer="0.5"/>
  <x:pageSetup scale="87" orientation="landscape" r:id="rId2"/>
  <x:headerFooter alignWithMargins="0">
    <x:oddHeader>&amp;RWP/II-B-9/&amp;A
Page &amp;P of &amp;N</x:oddHeader>
  </x:headerFooter>
  <x:drawing r:id="rId3"/>
</x:worksheet>
</file>

<file path=xl/worksheets/sheet6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4200-000000000000}" mc:Ignorable="x14ac xr xr2 xr3">
  <x:sheetPr codeName="Sheet53">
    <x:tabColor rgb="FF92D050"/>
    <x:pageSetUpPr fitToPage="1"/>
  </x:sheetPr>
  <x:dimension ref="A1:O49"/>
  <x:sheetViews>
    <x:sheetView topLeftCell="A13" zoomScaleNormal="100" workbookViewId="0">
      <x:selection activeCell="D37" sqref="D37"/>
    </x:sheetView>
  </x:sheetViews>
  <x:sheetFormatPr defaultColWidth="9.109375" defaultRowHeight="12.7" x14ac:dyDescent="0.25"/>
  <x:cols>
    <x:col min="1" max="1" width="9.109375" style="143"/>
    <x:col min="2" max="2" width="21.44140625" style="143" customWidth="1"/>
    <x:col min="3" max="3" width="13.5546875" style="143" bestFit="1" customWidth="1"/>
    <x:col min="4" max="4" width="14" style="143" customWidth="1"/>
    <x:col min="5" max="6" width="12" style="143" bestFit="1" customWidth="1"/>
    <x:col min="7" max="7" width="13.109375" style="143" bestFit="1" customWidth="1"/>
    <x:col min="8" max="8" width="13.44140625" style="143" bestFit="1" customWidth="1"/>
    <x:col min="9" max="10" width="12.109375" style="143" bestFit="1" customWidth="1"/>
    <x:col min="11" max="11" width="12.5546875" style="143" bestFit="1" customWidth="1"/>
    <x:col min="12" max="12" width="7" style="144" customWidth="1"/>
    <x:col min="13" max="16384" width="9.109375" style="143"/>
  </x:cols>
  <x:sheetData>
    <x:row r="1" spans="1:15" s="41" customFormat="1" x14ac:dyDescent="0.25">
      <x:c r="A1" s="180" t="s">
        <x:v>523</x:v>
      </x:c>
      <x:c r="D1" s="180"/>
      <x:c r="E1" s="180"/>
      <x:c r="F1" s="180"/>
      <x:c r="G1" s="180"/>
      <x:c r="L1" s="296"/>
    </x:row>
    <x:row r="2" spans="1:15" s="41" customFormat="1" x14ac:dyDescent="0.25">
      <x:c r="A2" s="180" t="str">
        <x:f>' '!A2</x:f>
        <x:v>ONCOR ELECTRIC DELIVERY COMPANY LLC</x:v>
      </x:c>
      <x:c r="D2" s="180"/>
      <x:c r="E2" s="180"/>
      <x:c r="F2" s="180"/>
      <x:c r="G2" s="180"/>
      <x:c r="L2" s="296"/>
    </x:row>
    <x:row r="3" spans="1:15" s="41" customFormat="1" x14ac:dyDescent="0.25">
      <x:c r="A3" s="126" t="s">
        <x:v>380</x:v>
      </x:c>
      <x:c r="D3" s="180"/>
      <x:c r="E3" s="535"/>
      <x:c r="F3" s="535"/>
      <x:c r="G3" s="535"/>
      <x:c r="H3" s="535"/>
      <x:c r="I3" s="535"/>
      <x:c r="J3" s="535"/>
      <x:c r="K3" s="537"/>
      <x:c r="L3" s="296"/>
    </x:row>
    <x:row r="4" spans="1:15" s="41" customFormat="1" x14ac:dyDescent="0.25">
      <x:c r="A4" s="767" t="s">
        <x:v>522</x:v>
      </x:c>
      <x:c r="D4" s="180"/>
      <x:c r="E4" s="180"/>
      <x:c r="F4" s="180"/>
      <x:c r="G4" s="180"/>
      <x:c r="L4" s="296"/>
    </x:row>
    <x:row r="5" spans="1:15" s="41" customFormat="1" x14ac:dyDescent="0.25">
      <x:c r="A5" s="180" t="s">
        <x:v>486</x:v>
      </x:c>
      <x:c r="D5" s="180"/>
      <x:c r="E5" s="180"/>
      <x:c r="F5" s="180"/>
      <x:c r="G5" s="180"/>
      <x:c r="H5" s="41" t="s">
        <x:v>464</x:v>
      </x:c>
      <x:c r="L5" s="296"/>
    </x:row>
    <x:row r="7" spans="1:15" s="152" customFormat="1" ht="50.7" x14ac:dyDescent="0.25">
      <x:c r="A7" s="201" t="s">
        <x:v>197</x:v>
      </x:c>
      <x:c r="B7" s="201"/>
      <x:c r="C7" s="201" t="s">
        <x:v>377</x:v>
      </x:c>
      <x:c r="D7" s="201" t="s">
        <x:v>141</x:v>
      </x:c>
      <x:c r="E7" s="201" t="s">
        <x:v>442</x:v>
      </x:c>
      <x:c r="F7" s="201" t="s">
        <x:v>441</x:v>
      </x:c>
      <x:c r="G7" s="201" t="s">
        <x:v>378</x:v>
      </x:c>
      <x:c r="H7" s="201" t="s">
        <x:v>142</x:v>
      </x:c>
      <x:c r="I7" s="201" t="s">
        <x:v>379</x:v>
      </x:c>
      <x:c r="J7" s="201" t="s">
        <x:v>143</x:v>
      </x:c>
      <x:c r="K7" s="331"/>
      <x:c r="L7" s="151"/>
      <x:c r="M7" s="151"/>
      <x:c r="N7" s="151"/>
      <x:c r="O7" s="151"/>
    </x:row>
    <x:row r="8" spans="1:15" s="147" customFormat="1" ht="18" customHeight="1" x14ac:dyDescent="0.25">
      <x:c r="A8" s="202" t="s">
        <x:v>198</x:v>
      </x:c>
      <x:c r="B8" s="202" t="s">
        <x:v>79</x:v>
      </x:c>
      <x:c r="C8" s="332">
        <x:v>1431060</x:v>
      </x:c>
      <x:c r="D8" s="332">
        <x:v>1431060</x:v>
      </x:c>
      <x:c r="E8" s="332">
        <x:v>1431000</x:v>
      </x:c>
      <x:c r="F8" s="332">
        <x:v>1431000</x:v>
      </x:c>
      <x:c r="G8" s="332">
        <x:v>1431110</x:v>
      </x:c>
      <x:c r="H8" s="332">
        <x:v>1431110</x:v>
      </x:c>
      <x:c r="I8" s="332">
        <x:v>1431600</x:v>
      </x:c>
      <x:c r="J8" s="332">
        <x:v>1431600</x:v>
      </x:c>
      <x:c r="K8" s="202" t="s">
        <x:v>26</x:v>
      </x:c>
      <x:c r="L8" s="148"/>
      <x:c r="M8" s="148"/>
      <x:c r="N8" s="148"/>
      <x:c r="O8" s="148"/>
    </x:row>
    <x:row r="9" spans="1:15" s="147" customFormat="1" ht="18" customHeight="1" x14ac:dyDescent="0.25">
      <x:c r="B9" s="40" t="s">
        <x:v>50</x:v>
      </x:c>
      <x:c r="C9" s="40"/>
      <x:c r="D9" s="40" t="s">
        <x:v>51</x:v>
      </x:c>
      <x:c r="E9" s="40"/>
      <x:c r="F9" s="40" t="s">
        <x:v>57</x:v>
      </x:c>
      <x:c r="G9" s="40"/>
      <x:c r="H9" s="40" t="s">
        <x:v>52</x:v>
      </x:c>
      <x:c r="I9" s="40"/>
      <x:c r="J9" s="40" t="s">
        <x:v>53</x:v>
      </x:c>
      <x:c r="K9" s="40" t="s">
        <x:v>54</x:v>
      </x:c>
      <x:c r="L9" s="148"/>
      <x:c r="M9" s="148"/>
      <x:c r="N9" s="148"/>
      <x:c r="O9" s="148"/>
    </x:row>
    <x:row r="10" spans="1:15" s="147" customFormat="1" ht="18" customHeight="1" x14ac:dyDescent="0.25"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148"/>
      <x:c r="M10" s="148"/>
      <x:c r="N10" s="148"/>
      <x:c r="O10" s="148"/>
    </x:row>
    <x:row r="11" spans="1:15" x14ac:dyDescent="0.25">
      <x:c r="A11" s="149">
        <x:v>1</x:v>
      </x:c>
      <x:c r="B11" s="149" t="s">
        <x:v>138</x:v>
      </x:c>
      <x:c r="C11" s="410">
        <x:v>140724.22</x:v>
      </x:c>
      <x:c r="D11" s="405">
        <x:f>C11</x:f>
        <x:v>140724.22</x:v>
      </x:c>
      <x:c r="E11" s="405">
        <x:v>-1624.25</x:v>
      </x:c>
      <x:c r="F11" s="405">
        <x:f>E11</x:f>
        <x:v>-1624.25</x:v>
      </x:c>
      <x:c r="G11" s="405">
        <x:v>247980.04</x:v>
      </x:c>
      <x:c r="H11" s="405">
        <x:f>G11</x:f>
        <x:v>247980.04</x:v>
      </x:c>
      <x:c r="I11" s="544"/>
      <x:c r="J11" s="405">
        <x:v>0</x:v>
      </x:c>
      <x:c r="K11" s="405">
        <x:f t="shared" ref="K11:K23" si="0">D11+F11+H11+J11</x:f>
        <x:v>387080.01</x:v>
      </x:c>
      <x:c r="L11" s="153"/>
    </x:row>
    <x:row r="12" spans="1:15" x14ac:dyDescent="0.25">
      <x:c r="A12" s="149">
        <x:f t="shared" ref="A12:A35" si="1">A11+1</x:f>
        <x:v>2</x:v>
      </x:c>
      <x:c r="B12" s="658">
        <x:v>45292</x:v>
      </x:c>
      <x:c r="C12" s="410">
        <x:v>-5518.3</x:v>
      </x:c>
      <x:c r="D12" s="420">
        <x:f t="shared" ref="D12:F23" si="2">D11+C12</x:f>
        <x:v>135205.92000000001</x:v>
      </x:c>
      <x:c r="E12" s="405">
        <x:v>-1606.43</x:v>
      </x:c>
      <x:c r="F12" s="420">
        <x:f t="shared" si="2"/>
        <x:v>-3230.6800000000003</x:v>
      </x:c>
      <x:c r="G12" s="405">
        <x:v>-10787.97</x:v>
      </x:c>
      <x:c r="H12" s="420">
        <x:f t="shared" ref="H12:H23" si="3">H11+G12</x:f>
        <x:v>237192.07</x:v>
      </x:c>
      <x:c r="I12" s="420"/>
      <x:c r="J12" s="420">
        <x:v>0</x:v>
      </x:c>
      <x:c r="K12" s="420">
        <x:f t="shared" si="0"/>
        <x:v>369167.31000000006</x:v>
      </x:c>
      <x:c r="L12" s="153"/>
    </x:row>
    <x:row r="13" spans="1:15" x14ac:dyDescent="0.25">
      <x:c r="A13" s="149">
        <x:f t="shared" si="1"/>
        <x:v>3</x:v>
      </x:c>
      <x:c r="B13" s="658">
        <x:v>45323</x:v>
      </x:c>
      <x:c r="C13" s="410">
        <x:v>-736.5</x:v>
      </x:c>
      <x:c r="D13" s="420">
        <x:f t="shared" si="2"/>
        <x:v>134469.42000000001</x:v>
      </x:c>
      <x:c r="E13" s="405">
        <x:v>1593.95</x:v>
      </x:c>
      <x:c r="F13" s="420">
        <x:f t="shared" si="2"/>
        <x:v>-1636.7300000000002</x:v>
      </x:c>
      <x:c r="G13" s="405">
        <x:v>-4791.6500000000005</x:v>
      </x:c>
      <x:c r="H13" s="420">
        <x:f t="shared" si="3"/>
        <x:v>232400.42</x:v>
      </x:c>
      <x:c r="I13" s="420"/>
      <x:c r="J13" s="420">
        <x:v>0</x:v>
      </x:c>
      <x:c r="K13" s="420">
        <x:f t="shared" si="0"/>
        <x:v>365233.11</x:v>
      </x:c>
      <x:c r="L13" s="153"/>
    </x:row>
    <x:row r="14" spans="1:15" x14ac:dyDescent="0.25">
      <x:c r="A14" s="149">
        <x:f t="shared" si="1"/>
        <x:v>4</x:v>
      </x:c>
      <x:c r="B14" s="658">
        <x:v>45352</x:v>
      </x:c>
      <x:c r="C14" s="410">
        <x:v>-2020.9</x:v>
      </x:c>
      <x:c r="D14" s="420">
        <x:f t="shared" si="2"/>
        <x:v>132448.52000000002</x:v>
      </x:c>
      <x:c r="E14" s="405">
        <x:v>1633.3400000000001</x:v>
      </x:c>
      <x:c r="F14" s="420">
        <x:f t="shared" si="2"/>
        <x:v>-3.3900000000001</x:v>
      </x:c>
      <x:c r="G14" s="405">
        <x:v>-13075.5</x:v>
      </x:c>
      <x:c r="H14" s="420">
        <x:f t="shared" si="3"/>
        <x:v>219324.92</x:v>
      </x:c>
      <x:c r="I14" s="407"/>
      <x:c r="J14" s="407">
        <x:v>0</x:v>
      </x:c>
      <x:c r="K14" s="420">
        <x:f t="shared" si="0"/>
        <x:v>351770.05000000005</x:v>
      </x:c>
      <x:c r="L14" s="153"/>
    </x:row>
    <x:row r="15" spans="1:15" x14ac:dyDescent="0.25">
      <x:c r="A15" s="149">
        <x:f t="shared" si="1"/>
        <x:v>5</x:v>
      </x:c>
      <x:c r="B15" s="658">
        <x:v>45383</x:v>
      </x:c>
      <x:c r="C15" s="410">
        <x:v>889.14</x:v>
      </x:c>
      <x:c r="D15" s="420">
        <x:f t="shared" si="2"/>
        <x:v>133337.66000000003</x:v>
      </x:c>
      <x:c r="E15" s="405">
        <x:v>-397.81</x:v>
      </x:c>
      <x:c r="F15" s="420">
        <x:f t="shared" si="2"/>
        <x:v>-401.2000000000001</x:v>
      </x:c>
      <x:c r="G15" s="405">
        <x:v>-6969.09</x:v>
      </x:c>
      <x:c r="H15" s="420">
        <x:f t="shared" si="3"/>
        <x:v>212355.83000000002</x:v>
      </x:c>
      <x:c r="I15" s="407"/>
      <x:c r="J15" s="407">
        <x:v>0</x:v>
      </x:c>
      <x:c r="K15" s="420">
        <x:f t="shared" si="0"/>
        <x:v>345292.29000000004</x:v>
      </x:c>
      <x:c r="L15" s="153"/>
    </x:row>
    <x:row r="16" spans="1:15" x14ac:dyDescent="0.25">
      <x:c r="A16" s="149">
        <x:f t="shared" si="1"/>
        <x:v>6</x:v>
      </x:c>
      <x:c r="B16" s="658">
        <x:v>45413</x:v>
      </x:c>
      <x:c r="C16" s="410">
        <x:v>-1759.17</x:v>
      </x:c>
      <x:c r="D16" s="420">
        <x:f t="shared" si="2"/>
        <x:v>131578.49000000002</x:v>
      </x:c>
      <x:c r="E16" s="405">
        <x:v>231.25</x:v>
      </x:c>
      <x:c r="F16" s="420">
        <x:f t="shared" si="2"/>
        <x:v>-169.9500000000001</x:v>
      </x:c>
      <x:c r="G16" s="405">
        <x:v>19.09</x:v>
      </x:c>
      <x:c r="H16" s="420">
        <x:f t="shared" si="3"/>
        <x:v>212374.92</x:v>
      </x:c>
      <x:c r="I16" s="407"/>
      <x:c r="J16" s="407">
        <x:v>0</x:v>
      </x:c>
      <x:c r="K16" s="420">
        <x:f t="shared" si="0"/>
        <x:v>343783.46</x:v>
      </x:c>
      <x:c r="L16" s="153"/>
    </x:row>
    <x:row r="17" spans="1:13" x14ac:dyDescent="0.25">
      <x:c r="A17" s="149">
        <x:f t="shared" si="1"/>
        <x:v>7</x:v>
      </x:c>
      <x:c r="B17" s="658">
        <x:v>45444</x:v>
      </x:c>
      <x:c r="C17" s="410">
        <x:v>-1322.69</x:v>
      </x:c>
      <x:c r="D17" s="420">
        <x:f t="shared" si="2"/>
        <x:v>130255.80000000002</x:v>
      </x:c>
      <x:c r="E17" s="405">
        <x:v>-882.96</x:v>
      </x:c>
      <x:c r="F17" s="420">
        <x:f t="shared" si="2"/>
        <x:v>-1052.9100000000001</x:v>
      </x:c>
      <x:c r="G17" s="405">
        <x:v>-2587.2600000000002</x:v>
      </x:c>
      <x:c r="H17" s="420">
        <x:f t="shared" si="3"/>
        <x:v>209787.66</x:v>
      </x:c>
      <x:c r="I17" s="407"/>
      <x:c r="J17" s="407">
        <x:v>0</x:v>
      </x:c>
      <x:c r="K17" s="420">
        <x:f t="shared" si="0"/>
        <x:v>338990.55000000005</x:v>
      </x:c>
      <x:c r="L17" s="153"/>
    </x:row>
    <x:row r="18" spans="1:13" x14ac:dyDescent="0.25">
      <x:c r="A18" s="149">
        <x:f t="shared" si="1"/>
        <x:v>8</x:v>
      </x:c>
      <x:c r="B18" s="658">
        <x:v>45474</x:v>
      </x:c>
      <x:c r="C18" s="410">
        <x:v>-6625.4800000000005</x:v>
      </x:c>
      <x:c r="D18" s="420">
        <x:f t="shared" si="2"/>
        <x:v>123630.32000000002</x:v>
      </x:c>
      <x:c r="E18" s="405">
        <x:v>-1428.03</x:v>
      </x:c>
      <x:c r="F18" s="420">
        <x:f t="shared" si="2"/>
        <x:v>-2480.94</x:v>
      </x:c>
      <x:c r="G18" s="405">
        <x:v>1207.51</x:v>
      </x:c>
      <x:c r="H18" s="420">
        <x:f t="shared" si="3"/>
        <x:v>210995.17</x:v>
      </x:c>
      <x:c r="I18" s="407"/>
      <x:c r="J18" s="407">
        <x:v>0</x:v>
      </x:c>
      <x:c r="K18" s="420">
        <x:f t="shared" si="0"/>
        <x:v>332144.55000000005</x:v>
      </x:c>
      <x:c r="L18" s="549"/>
    </x:row>
    <x:row r="19" spans="1:13" x14ac:dyDescent="0.25">
      <x:c r="A19" s="149">
        <x:f t="shared" si="1"/>
        <x:v>9</x:v>
      </x:c>
      <x:c r="B19" s="658">
        <x:v>45505</x:v>
      </x:c>
      <x:c r="C19" s="410">
        <x:v>4507.68</x:v>
      </x:c>
      <x:c r="D19" s="420">
        <x:f t="shared" si="2"/>
        <x:v>128138.00000000003</x:v>
      </x:c>
      <x:c r="E19" s="405">
        <x:v>-1317.24</x:v>
      </x:c>
      <x:c r="F19" s="420">
        <x:f t="shared" si="2"/>
        <x:v>-3798.1800000000003</x:v>
      </x:c>
      <x:c r="G19" s="405">
        <x:v>-8408.7100000000009</x:v>
      </x:c>
      <x:c r="H19" s="420">
        <x:f t="shared" si="3"/>
        <x:v>202586.46000000002</x:v>
      </x:c>
      <x:c r="I19" s="407"/>
      <x:c r="J19" s="407">
        <x:v>0</x:v>
      </x:c>
      <x:c r="K19" s="420">
        <x:f t="shared" si="0"/>
        <x:v>326926.28000000003</x:v>
      </x:c>
      <x:c r="L19" s="153"/>
    </x:row>
    <x:row r="20" spans="1:13" x14ac:dyDescent="0.25">
      <x:c r="A20" s="149">
        <x:f t="shared" si="1"/>
        <x:v>10</x:v>
      </x:c>
      <x:c r="B20" s="658">
        <x:v>45536</x:v>
      </x:c>
      <x:c r="C20" s="410">
        <x:v>-1366.22</x:v>
      </x:c>
      <x:c r="D20" s="420">
        <x:f t="shared" si="2"/>
        <x:v>126771.78000000003</x:v>
      </x:c>
      <x:c r="E20" s="405">
        <x:v>2634.48</x:v>
      </x:c>
      <x:c r="F20" s="420">
        <x:f t="shared" si="2"/>
        <x:v>-1163.7000000000003</x:v>
      </x:c>
      <x:c r="G20" s="405">
        <x:v>-3579.42</x:v>
      </x:c>
      <x:c r="H20" s="420">
        <x:f t="shared" si="3"/>
        <x:v>199007.04</x:v>
      </x:c>
      <x:c r="I20" s="407"/>
      <x:c r="J20" s="407">
        <x:v>0</x:v>
      </x:c>
      <x:c r="K20" s="420">
        <x:f t="shared" si="0"/>
        <x:v>324615.12000000005</x:v>
      </x:c>
      <x:c r="L20" s="153"/>
    </x:row>
    <x:row r="21" spans="1:13" x14ac:dyDescent="0.25">
      <x:c r="A21" s="149">
        <x:f t="shared" si="1"/>
        <x:v>11</x:v>
      </x:c>
      <x:c r="B21" s="658">
        <x:v>45566</x:v>
      </x:c>
      <x:c r="C21" s="410">
        <x:v>-2820.01</x:v>
      </x:c>
      <x:c r="D21" s="420">
        <x:f t="shared" si="2"/>
        <x:v>123951.77000000003</x:v>
      </x:c>
      <x:c r="E21" s="405">
        <x:v>0</x:v>
      </x:c>
      <x:c r="F21" s="420">
        <x:f t="shared" si="2"/>
        <x:v>-1163.7000000000003</x:v>
      </x:c>
      <x:c r="G21" s="405">
        <x:v>7536.28</x:v>
      </x:c>
      <x:c r="H21" s="420">
        <x:f t="shared" si="3"/>
        <x:v>206543.32</x:v>
      </x:c>
      <x:c r="I21" s="407"/>
      <x:c r="J21" s="407">
        <x:v>0</x:v>
      </x:c>
      <x:c r="K21" s="420">
        <x:f t="shared" si="0"/>
        <x:v>329331.39</x:v>
      </x:c>
      <x:c r="L21" s="153"/>
    </x:row>
    <x:row r="22" spans="1:13" x14ac:dyDescent="0.25">
      <x:c r="A22" s="149">
        <x:f t="shared" si="1"/>
        <x:v>12</x:v>
      </x:c>
      <x:c r="B22" s="658">
        <x:v>45597</x:v>
      </x:c>
      <x:c r="C22" s="410">
        <x:v>-3373.76</x:v>
      </x:c>
      <x:c r="D22" s="420">
        <x:f t="shared" si="2"/>
        <x:v>120578.01000000004</x:v>
      </x:c>
      <x:c r="E22" s="405">
        <x:v>504</x:v>
      </x:c>
      <x:c r="F22" s="420">
        <x:f t="shared" si="2"/>
        <x:v>-659.70000000000027</x:v>
      </x:c>
      <x:c r="G22" s="405">
        <x:v>6760.9000000000005</x:v>
      </x:c>
      <x:c r="H22" s="420">
        <x:f t="shared" si="3"/>
        <x:v>213304.22</x:v>
      </x:c>
      <x:c r="I22" s="407"/>
      <x:c r="J22" s="407">
        <x:v>0</x:v>
      </x:c>
      <x:c r="K22" s="420">
        <x:f t="shared" si="0"/>
        <x:v>333222.53000000003</x:v>
      </x:c>
      <x:c r="L22" s="153"/>
    </x:row>
    <x:row r="23" spans="1:13" x14ac:dyDescent="0.25">
      <x:c r="A23" s="149">
        <x:f t="shared" si="1"/>
        <x:v>13</x:v>
      </x:c>
      <x:c r="B23" s="658">
        <x:v>45627</x:v>
      </x:c>
      <x:c r="C23" s="410">
        <x:v>-2056.34</x:v>
      </x:c>
      <x:c r="D23" s="420">
        <x:f t="shared" si="2"/>
        <x:v>118521.67000000004</x:v>
      </x:c>
      <x:c r="E23" s="405">
        <x:v>258.5</x:v>
      </x:c>
      <x:c r="F23" s="420">
        <x:f t="shared" si="2"/>
        <x:v>-401.20000000000027</x:v>
      </x:c>
      <x:c r="G23" s="405">
        <x:v>7101.04</x:v>
      </x:c>
      <x:c r="H23" s="420">
        <x:f t="shared" si="3"/>
        <x:v>220405.26</x:v>
      </x:c>
      <x:c r="I23" s="407"/>
      <x:c r="J23" s="407">
        <x:v>0</x:v>
      </x:c>
      <x:c r="K23" s="420">
        <x:f t="shared" si="0"/>
        <x:v>338525.73000000004</x:v>
      </x:c>
      <x:c r="L23" s="153"/>
    </x:row>
    <x:row r="24" spans="1:13" x14ac:dyDescent="0.25">
      <x:c r="A24" s="149">
        <x:f t="shared" si="1"/>
        <x:v>14</x:v>
      </x:c>
      <x:c r="B24" s="629" t="s">
        <x:v>1070</x:v>
      </x:c>
      <x:c r="C24" s="631">
        <x:f>SUM(C11:C23)</x:f>
        <x:v>118521.67000000004</x:v>
      </x:c>
      <x:c r="D24" s="633"/>
      <x:c r="E24" s="631">
        <x:f>SUM(E11:E23)</x:f>
        <x:v>-401.20000000000027</x:v>
      </x:c>
      <x:c r="F24" s="633"/>
      <x:c r="G24" s="631">
        <x:f>SUM(G11:G23)</x:f>
        <x:v>220405.26</x:v>
      </x:c>
      <x:c r="H24" s="633"/>
      <x:c r="I24" s="407"/>
      <x:c r="J24" s="407"/>
      <x:c r="K24" s="407"/>
      <x:c r="L24" s="153"/>
    </x:row>
    <x:row r="25" spans="1:13" x14ac:dyDescent="0.25">
      <x:c r="A25" s="149">
        <x:f t="shared" si="1"/>
        <x:v>15</x:v>
      </x:c>
      <x:c r="B25" s="426" t="s">
        <x:v>124</x:v>
      </x:c>
      <x:c r="C25" s="550"/>
      <x:c r="D25" s="412">
        <x:f>SUM(D11:D23)</x:f>
        <x:v>1679611.58</x:v>
      </x:c>
      <x:c r="E25" s="412"/>
      <x:c r="F25" s="412">
        <x:f>SUM(F11:F23)</x:f>
        <x:v>-17786.530000000002</x:v>
      </x:c>
      <x:c r="G25" s="412"/>
      <x:c r="H25" s="412">
        <x:f>SUM(H11:H23)</x:f>
        <x:v>2824257.33</x:v>
      </x:c>
      <x:c r="I25" s="412"/>
      <x:c r="J25" s="412">
        <x:f>SUM(J11:J23)</x:f>
        <x:v>0</x:v>
      </x:c>
      <x:c r="K25" s="412">
        <x:f>SUM(D25:J25)</x:f>
        <x:v>4486082.38</x:v>
      </x:c>
      <x:c r="L25" s="146"/>
      <x:c r="M25" s="145"/>
    </x:row>
    <x:row r="26" spans="1:13" s="149" customFormat="1" ht="13.25" thickBot="1" x14ac:dyDescent="0.3">
      <x:c r="A26" s="149">
        <x:f t="shared" si="1"/>
        <x:v>16</x:v>
      </x:c>
      <x:c r="B26" s="426" t="s">
        <x:v>140</x:v>
      </x:c>
      <x:c r="C26" s="551"/>
      <x:c r="D26" s="399">
        <x:f>D25/13</x:f>
        <x:v>129200.89076923077</x:v>
      </x:c>
      <x:c r="E26" s="399"/>
      <x:c r="F26" s="399">
        <x:f>F25/13</x:f>
        <x:v>-1368.1946153846156</x:v>
      </x:c>
      <x:c r="G26" s="399"/>
      <x:c r="H26" s="399">
        <x:f>H25/13</x:f>
        <x:v>217250.56384615385</x:v>
      </x:c>
      <x:c r="I26" s="399"/>
      <x:c r="J26" s="399">
        <x:f>J25/13</x:f>
        <x:v>0</x:v>
      </x:c>
      <x:c r="K26" s="399">
        <x:f>K25/13</x:f>
        <x:v>345083.26</x:v>
      </x:c>
      <x:c r="L26" s="150"/>
    </x:row>
    <x:row r="27" spans="1:13" ht="13.25" thickTop="1" x14ac:dyDescent="0.25">
      <x:c r="A27" s="149">
        <x:f t="shared" si="1"/>
        <x:v>17</x:v>
      </x:c>
      <x:c r="B27" s="145"/>
      <x:c r="C27" s="145"/>
      <x:c r="D27" s="154"/>
      <x:c r="E27" s="154"/>
      <x:c r="F27" s="154"/>
      <x:c r="G27" s="154"/>
      <x:c r="H27" s="154"/>
      <x:c r="I27" s="154"/>
      <x:c r="J27" s="154"/>
      <x:c r="K27" s="154"/>
      <x:c r="L27" s="146"/>
      <x:c r="M27" s="145"/>
    </x:row>
    <x:row r="28" spans="1:13" x14ac:dyDescent="0.25">
      <x:c r="A28" s="149">
        <x:f t="shared" si="1"/>
        <x:v>18</x:v>
      </x:c>
      <x:c r="B28" s="184">
        <x:v>1431060</x:v>
      </x:c>
      <x:c r="C28" s="184"/>
      <x:c r="D28" s="145" t="s">
        <x:v>403</x:v>
      </x:c>
      <x:c r="E28" s="145"/>
      <x:c r="F28" s="154"/>
      <x:c r="G28" s="154"/>
      <x:c r="H28" s="154"/>
      <x:c r="I28" s="154"/>
      <x:c r="J28" s="154"/>
      <x:c r="K28" s="154"/>
      <x:c r="L28" s="146"/>
      <x:c r="M28" s="145"/>
    </x:row>
    <x:row r="29" spans="1:13" x14ac:dyDescent="0.25">
      <x:c r="A29" s="149">
        <x:f t="shared" si="1"/>
        <x:v>19</x:v>
      </x:c>
      <x:c r="B29" s="145"/>
      <x:c r="C29" s="145"/>
      <x:c r="D29" s="145" t="s">
        <x:v>404</x:v>
      </x:c>
      <x:c r="E29" s="145"/>
      <x:c r="F29" s="154"/>
      <x:c r="G29" s="154"/>
      <x:c r="H29" s="154"/>
      <x:c r="I29" s="154"/>
      <x:c r="J29" s="154"/>
      <x:c r="K29" s="154"/>
      <x:c r="L29" s="146"/>
      <x:c r="M29" s="145"/>
    </x:row>
    <x:row r="30" spans="1:13" x14ac:dyDescent="0.25">
      <x:c r="A30" s="149">
        <x:f t="shared" si="1"/>
        <x:v>20</x:v>
      </x:c>
      <x:c r="B30" s="184">
        <x:v>1431000</x:v>
      </x:c>
      <x:c r="C30" s="184"/>
      <x:c r="D30" s="145" t="s">
        <x:v>445</x:v>
      </x:c>
      <x:c r="E30" s="145"/>
      <x:c r="F30" s="154"/>
      <x:c r="G30" s="154"/>
      <x:c r="H30" s="154"/>
      <x:c r="I30" s="154"/>
      <x:c r="J30" s="154"/>
      <x:c r="K30" s="154"/>
      <x:c r="L30" s="146"/>
      <x:c r="M30" s="145"/>
    </x:row>
    <x:row r="31" spans="1:13" x14ac:dyDescent="0.25">
      <x:c r="A31" s="149">
        <x:f t="shared" si="1"/>
        <x:v>21</x:v>
      </x:c>
      <x:c r="B31" s="184">
        <x:v>1431110</x:v>
      </x:c>
      <x:c r="C31" s="184"/>
      <x:c r="D31" s="145" t="s">
        <x:v>268</x:v>
      </x:c>
      <x:c r="E31" s="145"/>
      <x:c r="F31" s="154"/>
      <x:c r="G31" s="154"/>
      <x:c r="H31" s="154"/>
      <x:c r="I31" s="154"/>
      <x:c r="J31" s="154"/>
      <x:c r="K31" s="154"/>
      <x:c r="L31" s="146"/>
      <x:c r="M31" s="145"/>
    </x:row>
    <x:row r="32" spans="1:13" x14ac:dyDescent="0.25">
      <x:c r="A32" s="149">
        <x:f t="shared" si="1"/>
        <x:v>22</x:v>
      </x:c>
      <x:c r="B32" s="184">
        <x:v>1431600</x:v>
      </x:c>
      <x:c r="C32" s="184"/>
      <x:c r="D32" s="145" t="s">
        <x:v>146</x:v>
      </x:c>
      <x:c r="E32" s="145"/>
      <x:c r="F32" s="154"/>
      <x:c r="G32" s="154"/>
      <x:c r="H32" s="154"/>
      <x:c r="I32" s="154"/>
      <x:c r="J32" s="154"/>
      <x:c r="K32" s="154"/>
      <x:c r="L32" s="146"/>
      <x:c r="M32" s="145"/>
    </x:row>
    <x:row r="33" spans="1:13" x14ac:dyDescent="0.25">
      <x:c r="A33" s="149">
        <x:f t="shared" si="1"/>
        <x:v>23</x:v>
      </x:c>
      <x:c r="B33" s="155"/>
      <x:c r="C33" s="155"/>
      <x:c r="D33" s="154"/>
      <x:c r="E33" s="154"/>
      <x:c r="F33" s="154"/>
      <x:c r="G33" s="154"/>
      <x:c r="H33" s="154"/>
      <x:c r="I33" s="154"/>
      <x:c r="J33" s="154"/>
      <x:c r="K33" s="154"/>
      <x:c r="L33" s="146"/>
      <x:c r="M33" s="145"/>
    </x:row>
    <x:row r="34" spans="1:13" x14ac:dyDescent="0.25">
      <x:c r="A34" s="149">
        <x:f t="shared" si="1"/>
        <x:v>24</x:v>
      </x:c>
      <x:c r="C34" s="145"/>
      <x:c r="D34" s="154"/>
      <x:c r="E34" s="154"/>
      <x:c r="F34" s="154"/>
      <x:c r="G34" s="154"/>
      <x:c r="H34" s="154"/>
      <x:c r="I34" s="154"/>
      <x:c r="J34" s="154"/>
      <x:c r="K34" s="154"/>
      <x:c r="L34" s="146"/>
      <x:c r="M34" s="145"/>
    </x:row>
    <x:row r="35" spans="1:13" x14ac:dyDescent="0.25">
      <x:c r="A35" s="149">
        <x:f t="shared" si="1"/>
        <x:v>25</x:v>
      </x:c>
      <x:c r="B35" s="31" t="s">
        <x:v>230</x:v>
      </x:c>
      <x:c r="C35" s="403" t="s">
        <x:v>443</x:v>
      </x:c>
      <x:c r="D35" s="154"/>
      <x:c r="E35" s="154"/>
      <x:c r="F35" s="154"/>
      <x:c r="G35" s="154"/>
      <x:c r="H35" s="154"/>
      <x:c r="I35" s="154"/>
      <x:c r="J35" s="154"/>
      <x:c r="K35" s="154"/>
      <x:c r="L35" s="146"/>
      <x:c r="M35" s="145"/>
    </x:row>
    <x:row r="36" spans="1:13" x14ac:dyDescent="0.25">
      <x:c r="B36" s="145"/>
      <x:c r="C36" s="145"/>
      <x:c r="D36" s="154"/>
      <x:c r="E36" s="154"/>
      <x:c r="F36" s="154"/>
      <x:c r="G36" s="154"/>
      <x:c r="H36" s="154"/>
      <x:c r="I36" s="154"/>
      <x:c r="J36" s="154"/>
      <x:c r="K36" s="154"/>
      <x:c r="L36" s="146"/>
      <x:c r="M36" s="145"/>
    </x:row>
    <x:row r="37" spans="1:13" x14ac:dyDescent="0.25">
      <x:c r="B37" s="145"/>
      <x:c r="C37" s="145"/>
      <x:c r="D37" s="154"/>
      <x:c r="E37" s="154"/>
      <x:c r="F37" s="154"/>
      <x:c r="G37" s="154"/>
      <x:c r="H37" s="154"/>
      <x:c r="I37" s="154"/>
      <x:c r="J37" s="154"/>
      <x:c r="K37" s="154"/>
      <x:c r="L37" s="146"/>
      <x:c r="M37" s="145"/>
    </x:row>
    <x:row r="38" spans="1:13" x14ac:dyDescent="0.25">
      <x:c r="B38" s="145"/>
      <x:c r="C38" s="145"/>
      <x:c r="D38" s="154"/>
      <x:c r="E38" s="154"/>
      <x:c r="F38" s="154"/>
      <x:c r="G38" s="154"/>
      <x:c r="H38" s="154"/>
      <x:c r="I38" s="154"/>
      <x:c r="J38" s="154"/>
      <x:c r="K38" s="154"/>
      <x:c r="L38" s="146"/>
      <x:c r="M38" s="145"/>
    </x:row>
    <x:row r="39" spans="1:13" x14ac:dyDescent="0.25">
      <x:c r="B39" s="145"/>
      <x:c r="C39" s="145"/>
      <x:c r="D39" s="154"/>
      <x:c r="E39" s="154"/>
      <x:c r="F39" s="154"/>
      <x:c r="G39" s="154"/>
      <x:c r="H39" s="154"/>
      <x:c r="I39" s="154"/>
      <x:c r="J39" s="154"/>
      <x:c r="K39" s="154"/>
      <x:c r="L39" s="146"/>
      <x:c r="M39" s="145"/>
    </x:row>
    <x:row r="40" spans="1:13" x14ac:dyDescent="0.25">
      <x:c r="B40" s="145"/>
      <x:c r="C40" s="145"/>
      <x:c r="D40" s="154"/>
      <x:c r="E40" s="154"/>
      <x:c r="F40" s="154"/>
      <x:c r="G40" s="154"/>
      <x:c r="H40" s="154"/>
      <x:c r="I40" s="154"/>
      <x:c r="J40" s="154"/>
      <x:c r="K40" s="154"/>
      <x:c r="L40" s="146"/>
      <x:c r="M40" s="145"/>
    </x:row>
    <x:row r="41" spans="1:13" x14ac:dyDescent="0.25">
      <x:c r="B41" s="145"/>
      <x:c r="C41" s="145"/>
      <x:c r="D41" s="154"/>
      <x:c r="E41" s="154"/>
      <x:c r="F41" s="154"/>
      <x:c r="G41" s="154"/>
      <x:c r="H41" s="154"/>
      <x:c r="I41" s="154"/>
      <x:c r="J41" s="154"/>
      <x:c r="K41" s="154"/>
      <x:c r="L41" s="146"/>
      <x:c r="M41" s="145"/>
    </x:row>
    <x:row r="42" spans="1:13" x14ac:dyDescent="0.25">
      <x:c r="B42" s="145"/>
      <x:c r="C42" s="145"/>
      <x:c r="D42" s="154"/>
      <x:c r="E42" s="154"/>
      <x:c r="F42" s="154"/>
      <x:c r="G42" s="154"/>
      <x:c r="H42" s="154"/>
      <x:c r="I42" s="154"/>
      <x:c r="J42" s="154"/>
      <x:c r="K42" s="154"/>
      <x:c r="L42" s="146"/>
      <x:c r="M42" s="145"/>
    </x:row>
    <x:row r="43" spans="1:13" x14ac:dyDescent="0.25">
      <x:c r="B43" s="145"/>
      <x:c r="C43" s="145"/>
      <x:c r="D43" s="154"/>
      <x:c r="E43" s="154"/>
      <x:c r="F43" s="154"/>
      <x:c r="G43" s="154"/>
      <x:c r="H43" s="154"/>
      <x:c r="I43" s="154"/>
      <x:c r="J43" s="154"/>
      <x:c r="K43" s="154"/>
      <x:c r="L43" s="146"/>
      <x:c r="M43" s="145"/>
    </x:row>
    <x:row r="44" spans="1:13" x14ac:dyDescent="0.25">
      <x:c r="B44" s="145"/>
      <x:c r="C44" s="145"/>
      <x:c r="D44" s="154"/>
      <x:c r="E44" s="154"/>
      <x:c r="F44" s="154"/>
      <x:c r="G44" s="154"/>
      <x:c r="H44" s="154"/>
      <x:c r="I44" s="154"/>
      <x:c r="J44" s="154"/>
      <x:c r="K44" s="154"/>
      <x:c r="L44" s="146"/>
      <x:c r="M44" s="145"/>
    </x:row>
    <x:row r="45" spans="1:13" x14ac:dyDescent="0.25">
      <x:c r="B45" s="145"/>
      <x:c r="C45" s="145"/>
      <x:c r="D45" s="154"/>
      <x:c r="E45" s="154"/>
      <x:c r="F45" s="154"/>
      <x:c r="G45" s="154"/>
      <x:c r="H45" s="154"/>
      <x:c r="I45" s="154"/>
      <x:c r="J45" s="154"/>
      <x:c r="K45" s="154"/>
      <x:c r="L45" s="146"/>
      <x:c r="M45" s="145"/>
    </x:row>
    <x:row r="46" spans="1:13" x14ac:dyDescent="0.25">
      <x:c r="B46" s="145"/>
      <x:c r="C46" s="145"/>
      <x:c r="D46" s="154"/>
      <x:c r="E46" s="154"/>
      <x:c r="F46" s="154"/>
      <x:c r="G46" s="154"/>
      <x:c r="H46" s="154"/>
      <x:c r="I46" s="154"/>
      <x:c r="J46" s="154"/>
      <x:c r="K46" s="154"/>
      <x:c r="L46" s="146"/>
      <x:c r="M46" s="145"/>
    </x:row>
    <x:row r="47" spans="1:13" x14ac:dyDescent="0.25">
      <x:c r="B47" s="145"/>
      <x:c r="C47" s="145"/>
      <x:c r="D47" s="154"/>
      <x:c r="E47" s="154"/>
      <x:c r="F47" s="154"/>
      <x:c r="G47" s="154"/>
      <x:c r="H47" s="154"/>
      <x:c r="I47" s="154"/>
      <x:c r="J47" s="154"/>
      <x:c r="K47" s="154"/>
      <x:c r="L47" s="146"/>
      <x:c r="M47" s="145"/>
    </x:row>
    <x:row r="49" spans="4:11" x14ac:dyDescent="0.25">
      <x:c r="D49" s="156"/>
      <x:c r="E49" s="156"/>
      <x:c r="F49" s="156"/>
      <x:c r="G49" s="156"/>
      <x:c r="H49" s="157"/>
      <x:c r="I49" s="157"/>
      <x:c r="J49" s="156"/>
      <x:c r="K49" s="156"/>
    </x:row>
  </x:sheetData>
  <x:phoneticPr fontId="19" type="noConversion"/>
  <x:hyperlinks>
    <x:hyperlink ref="C35" r:id="rId1" xr:uid="{F3DDD4FE-E295-4C57-B3E4-225D85C8F0F9}"/>
  </x:hyperlinks>
  <x:printOptions horizontalCentered="1"/>
  <x:pageMargins left="0.5" right="0.5" top="1.5" bottom="0.5" header="1" footer="0.5"/>
  <x:pageSetup scale="89" orientation="landscape" r:id="rId2"/>
  <x:headerFooter alignWithMargins="0">
    <x:oddHeader>&amp;RWP/II-B-9/&amp;A
Page &amp;P of &amp;N</x:oddHeader>
  </x:headerFooter>
  <x:drawing r:id="rId3"/>
</x:worksheet>
</file>

<file path=xl/worksheets/sheet6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4300-000000000000}" mc:Ignorable="x14ac xr xr2 xr3">
  <x:sheetPr codeName="Sheet54">
    <x:tabColor rgb="FF92D050"/>
    <x:pageSetUpPr fitToPage="1"/>
  </x:sheetPr>
  <x:dimension ref="A1:H35"/>
  <x:sheetViews>
    <x:sheetView topLeftCell="A16" zoomScaleNormal="100" workbookViewId="0">
      <x:selection activeCell="F30" sqref="F30"/>
    </x:sheetView>
  </x:sheetViews>
  <x:sheetFormatPr defaultColWidth="9.109375" defaultRowHeight="12.7" x14ac:dyDescent="0.25"/>
  <x:cols>
    <x:col min="1" max="1" width="6" style="1" customWidth="1"/>
    <x:col min="2" max="2" width="34.5546875" style="1" customWidth="1"/>
    <x:col min="3" max="3" width="2" style="1" customWidth="1"/>
    <x:col min="4" max="4" width="11.88671875" style="1" customWidth="1"/>
    <x:col min="5" max="5" width="2" style="1" customWidth="1"/>
    <x:col min="6" max="6" width="18.44140625" style="41" customWidth="1"/>
    <x:col min="7" max="7" width="9.109375" style="1" customWidth="1"/>
    <x:col min="8" max="16384" width="9.109375" style="1"/>
  </x:cols>
  <x:sheetData>
    <x:row r="1" spans="1:8" s="41" customFormat="1" x14ac:dyDescent="0.25">
      <x:c r="A1" s="180" t="s">
        <x:v>523</x:v>
      </x:c>
      <x:c r="C1" s="180"/>
      <x:c r="D1" s="180"/>
      <x:c r="E1" s="180"/>
      <x:c r="F1" s="180"/>
    </x:row>
    <x:row r="2" spans="1:8" s="41" customFormat="1" x14ac:dyDescent="0.25">
      <x:c r="A2" s="180" t="str">
        <x:f>' '!A2</x:f>
        <x:v>ONCOR ELECTRIC DELIVERY COMPANY LLC</x:v>
      </x:c>
      <x:c r="C2" s="180"/>
      <x:c r="D2" s="180"/>
      <x:c r="E2" s="180"/>
      <x:c r="F2" s="180"/>
    </x:row>
    <x:row r="3" spans="1:8" s="41" customFormat="1" x14ac:dyDescent="0.25">
      <x:c r="A3" s="180" t="s">
        <x:v>259</x:v>
      </x:c>
      <x:c r="C3" s="180"/>
      <x:c r="D3" s="180"/>
      <x:c r="E3" s="180"/>
      <x:c r="F3" s="180"/>
    </x:row>
    <x:row r="4" spans="1:8" s="41" customFormat="1" x14ac:dyDescent="0.25">
      <x:c r="A4" s="767" t="s">
        <x:v>522</x:v>
      </x:c>
      <x:c r="C4" s="180"/>
      <x:c r="D4" s="180"/>
      <x:c r="E4" s="180"/>
      <x:c r="F4" s="180"/>
    </x:row>
    <x:row r="5" spans="1:8" s="41" customFormat="1" x14ac:dyDescent="0.25">
      <x:c r="A5" s="180" t="s">
        <x:v>486</x:v>
      </x:c>
      <x:c r="C5" s="180"/>
      <x:c r="D5" s="180"/>
      <x:c r="E5" s="180"/>
      <x:c r="F5" s="180"/>
      <x:c r="H5" s="41" t="s">
        <x:v>464</x:v>
      </x:c>
    </x:row>
    <x:row r="7" spans="1:8" ht="25.35" x14ac:dyDescent="0.25">
      <x:c r="A7" s="32" t="s">
        <x:v>65</x:v>
      </x:c>
      <x:c r="B7" s="61" t="s">
        <x:v>23</x:v>
      </x:c>
      <x:c r="C7" s="75"/>
      <x:c r="D7" s="32" t="s">
        <x:v>0</x:v>
      </x:c>
      <x:c r="E7" s="61"/>
      <x:c r="F7" s="33" t="s">
        <x:v>1</x:v>
      </x:c>
    </x:row>
    <x:row r="8" spans="1:8" x14ac:dyDescent="0.25">
      <x:c r="A8" s="38"/>
      <x:c r="B8" s="40" t="s">
        <x:v>50</x:v>
      </x:c>
      <x:c r="C8" s="26"/>
      <x:c r="D8" s="40" t="s">
        <x:v>51</x:v>
      </x:c>
      <x:c r="E8" s="25"/>
      <x:c r="F8" s="40" t="s">
        <x:v>57</x:v>
      </x:c>
    </x:row>
    <x:row r="9" spans="1:8" x14ac:dyDescent="0.25">
      <x:c r="A9" s="38"/>
      <x:c r="B9" s="40"/>
      <x:c r="C9" s="26"/>
      <x:c r="D9" s="40"/>
      <x:c r="E9" s="25"/>
      <x:c r="F9" s="40"/>
    </x:row>
    <x:row r="10" spans="1:8" x14ac:dyDescent="0.25">
      <x:c r="A10" s="3">
        <x:v>1</x:v>
      </x:c>
      <x:c r="B10" s="248" t="s">
        <x:v>2</x:v>
      </x:c>
      <x:c r="C10" s="31"/>
      <x:c r="D10" s="90"/>
      <x:c r="E10" s="31"/>
      <x:c r="F10" s="246"/>
      <x:c r="G10" s="31"/>
    </x:row>
    <x:row r="11" spans="1:8" x14ac:dyDescent="0.25">
      <x:c r="A11" s="3">
        <x:f t="shared" ref="A11:A33" si="0">A10+1</x:f>
        <x:v>2</x:v>
      </x:c>
      <x:c r="B11" s="429" t="s">
        <x:v>113</x:v>
      </x:c>
      <x:c r="C11" s="31"/>
      <x:c r="D11" s="90">
        <x:v>9240000</x:v>
      </x:c>
      <x:c r="E11" s="31"/>
      <x:c r="F11" s="424">
        <x:v>2689258.6300000004</x:v>
      </x:c>
      <x:c r="G11" s="31"/>
    </x:row>
    <x:row r="12" spans="1:8" x14ac:dyDescent="0.25">
      <x:c r="A12" s="3">
        <x:f t="shared" si="0"/>
        <x:v>3</x:v>
      </x:c>
      <x:c r="B12" s="31"/>
      <x:c r="C12" s="31"/>
      <x:c r="D12" s="90">
        <x:v>9250000</x:v>
      </x:c>
      <x:c r="E12" s="31"/>
      <x:c r="F12" s="425">
        <x:v>19838561.66</x:v>
      </x:c>
      <x:c r="G12" s="31"/>
    </x:row>
    <x:row r="13" spans="1:8" x14ac:dyDescent="0.25">
      <x:c r="A13" s="3">
        <x:f t="shared" si="0"/>
        <x:v>4</x:v>
      </x:c>
      <x:c r="B13" s="429" t="s">
        <x:v>114</x:v>
      </x:c>
      <x:c r="C13" s="31"/>
      <x:c r="D13" s="90">
        <x:v>9240000</x:v>
      </x:c>
      <x:c r="E13" s="31"/>
      <x:c r="F13" s="425">
        <x:v>1883542.36</x:v>
      </x:c>
      <x:c r="G13" s="31"/>
    </x:row>
    <x:row r="14" spans="1:8" x14ac:dyDescent="0.25">
      <x:c r="A14" s="3">
        <x:f t="shared" si="0"/>
        <x:v>5</x:v>
      </x:c>
      <x:c r="B14" s="31"/>
      <x:c r="C14" s="31"/>
      <x:c r="D14" s="90">
        <x:v>9250000</x:v>
      </x:c>
      <x:c r="E14" s="31"/>
      <x:c r="F14" s="406">
        <x:v>28994754.440000001</x:v>
      </x:c>
      <x:c r="G14" s="31"/>
    </x:row>
    <x:row r="15" spans="1:8" x14ac:dyDescent="0.25">
      <x:c r="A15" s="3">
        <x:f t="shared" si="0"/>
        <x:v>6</x:v>
      </x:c>
      <x:c r="B15" s="430" t="s">
        <x:v>26</x:v>
      </x:c>
      <x:c r="C15" s="31"/>
      <x:c r="D15" s="90"/>
      <x:c r="E15" s="31"/>
      <x:c r="F15" s="178">
        <x:f>SUM(F11:F14)</x:f>
        <x:v>53406117.090000004</x:v>
      </x:c>
      <x:c r="G15" s="31"/>
    </x:row>
    <x:row r="16" spans="1:8" x14ac:dyDescent="0.25">
      <x:c r="A16" s="3">
        <x:f t="shared" si="0"/>
        <x:v>7</x:v>
      </x:c>
      <x:c r="B16" s="31"/>
      <x:c r="C16" s="31"/>
      <x:c r="D16" s="90"/>
      <x:c r="E16" s="31"/>
      <x:c r="F16" s="246"/>
      <x:c r="G16" s="31"/>
    </x:row>
    <x:row r="17" spans="1:7" x14ac:dyDescent="0.25">
      <x:c r="A17" s="3">
        <x:f t="shared" si="0"/>
        <x:v>8</x:v>
      </x:c>
      <x:c r="B17" s="248" t="s">
        <x:v>3</x:v>
      </x:c>
      <x:c r="C17" s="31"/>
      <x:c r="D17" s="90"/>
      <x:c r="E17" s="31"/>
      <x:c r="F17" s="246"/>
      <x:c r="G17" s="31"/>
    </x:row>
    <x:row r="18" spans="1:7" x14ac:dyDescent="0.25">
      <x:c r="A18" s="3">
        <x:f t="shared" si="0"/>
        <x:v>9</x:v>
      </x:c>
      <x:c r="B18" s="770" t="s">
        <x:v>113</x:v>
      </x:c>
      <x:c r="C18" s="31"/>
      <x:c r="D18" s="90">
        <x:v>9302000</x:v>
      </x:c>
      <x:c r="E18" s="31"/>
      <x:c r="F18" s="428">
        <x:v>0</x:v>
      </x:c>
      <x:c r="G18" s="31"/>
    </x:row>
    <x:row r="19" spans="1:7" x14ac:dyDescent="0.25">
      <x:c r="A19" s="3">
        <x:f t="shared" si="0"/>
        <x:v>10</x:v>
      </x:c>
      <x:c r="B19" s="429" t="s">
        <x:v>114</x:v>
      </x:c>
      <x:c r="C19" s="31"/>
      <x:c r="D19" s="90">
        <x:v>9302000</x:v>
      </x:c>
      <x:c r="E19" s="31"/>
      <x:c r="F19" s="394">
        <x:v>1514312.9399999997</x:v>
      </x:c>
      <x:c r="G19" s="31"/>
    </x:row>
    <x:row r="20" spans="1:7" x14ac:dyDescent="0.25">
      <x:c r="A20" s="3">
        <x:f t="shared" si="0"/>
        <x:v>11</x:v>
      </x:c>
      <x:c r="B20" s="430" t="s">
        <x:v>26</x:v>
      </x:c>
      <x:c r="C20" s="31"/>
      <x:c r="D20" s="90"/>
      <x:c r="E20" s="31"/>
      <x:c r="F20" s="178">
        <x:f>SUM(F18:F19)</x:f>
        <x:v>1514312.9399999997</x:v>
      </x:c>
      <x:c r="G20" s="31"/>
    </x:row>
    <x:row r="21" spans="1:7" x14ac:dyDescent="0.25">
      <x:c r="A21" s="3">
        <x:f t="shared" si="0"/>
        <x:v>12</x:v>
      </x:c>
      <x:c r="B21" s="430"/>
      <x:c r="C21" s="31"/>
      <x:c r="D21" s="90"/>
      <x:c r="E21" s="31"/>
      <x:c r="F21" s="178"/>
      <x:c r="G21" s="31"/>
    </x:row>
    <x:row r="22" spans="1:7" x14ac:dyDescent="0.25">
      <x:c r="A22" s="3">
        <x:f t="shared" si="0"/>
        <x:v>13</x:v>
      </x:c>
      <x:c r="B22" s="553" t="s">
        <x:v>382</x:v>
      </x:c>
      <x:c r="C22" s="31"/>
      <x:c r="D22" s="90"/>
      <x:c r="E22" s="31"/>
      <x:c r="F22" s="246"/>
      <x:c r="G22" s="31"/>
    </x:row>
    <x:row r="23" spans="1:7" x14ac:dyDescent="0.25">
      <x:c r="A23" s="3">
        <x:f t="shared" si="0"/>
        <x:v>14</x:v>
      </x:c>
      <x:c r="B23" s="771" t="s">
        <x:v>110</x:v>
      </x:c>
      <x:c r="C23" s="31"/>
      <x:c r="D23" s="90">
        <x:v>9230000</x:v>
      </x:c>
      <x:c r="E23" s="31"/>
      <x:c r="F23" s="178">
        <x:v>1339266.0400000007</x:v>
      </x:c>
      <x:c r="G23" s="31"/>
    </x:row>
    <x:row r="24" spans="1:7" x14ac:dyDescent="0.25">
      <x:c r="A24" s="3">
        <x:f t="shared" si="0"/>
        <x:v>15</x:v>
      </x:c>
      <x:c r="B24" s="429" t="s">
        <x:v>114</x:v>
      </x:c>
      <x:c r="C24" s="31"/>
      <x:c r="D24" s="90">
        <x:v>9230000</x:v>
      </x:c>
      <x:c r="E24" s="31"/>
      <x:c r="F24" s="442">
        <x:v>21011967.000000037</x:v>
      </x:c>
      <x:c r="G24" s="31"/>
    </x:row>
    <x:row r="25" spans="1:7" x14ac:dyDescent="0.25">
      <x:c r="A25" s="3">
        <x:f t="shared" si="0"/>
        <x:v>16</x:v>
      </x:c>
      <x:c r="B25" s="430" t="s">
        <x:v>26</x:v>
      </x:c>
      <x:c r="C25" s="31"/>
      <x:c r="D25" s="90"/>
      <x:c r="E25" s="31"/>
      <x:c r="F25" s="178">
        <x:f>SUM(F23:F24)</x:f>
        <x:v>22351233.040000036</x:v>
      </x:c>
      <x:c r="G25" s="31"/>
    </x:row>
    <x:row r="26" spans="1:7" x14ac:dyDescent="0.25">
      <x:c r="A26" s="3">
        <x:f t="shared" si="0"/>
        <x:v>17</x:v>
      </x:c>
      <x:c r="B26" s="430"/>
      <x:c r="C26" s="31"/>
      <x:c r="D26" s="90"/>
      <x:c r="E26" s="31"/>
      <x:c r="F26" s="178"/>
      <x:c r="G26" s="31"/>
    </x:row>
    <x:row r="27" spans="1:7" ht="13.25" thickBot="1" x14ac:dyDescent="0.3">
      <x:c r="A27" s="3">
        <x:f t="shared" si="0"/>
        <x:v>18</x:v>
      </x:c>
      <x:c r="B27" s="31" t="s">
        <x:v>26</x:v>
      </x:c>
      <x:c r="C27" s="31"/>
      <x:c r="D27" s="31"/>
      <x:c r="E27" s="31"/>
      <x:c r="F27" s="431">
        <x:f>+F15+F20+F25</x:f>
        <x:v>77271663.070000038</x:v>
      </x:c>
      <x:c r="G27" s="31"/>
    </x:row>
    <x:row r="28" spans="1:7" ht="13.25" thickTop="1" x14ac:dyDescent="0.25">
      <x:c r="A28" s="3">
        <x:f t="shared" si="0"/>
        <x:v>19</x:v>
      </x:c>
      <x:c r="B28" s="3"/>
      <x:c r="C28" s="31"/>
      <x:c r="D28" s="31"/>
      <x:c r="E28" s="31"/>
      <x:c r="F28" s="411"/>
      <x:c r="G28" s="31"/>
    </x:row>
    <x:row r="29" spans="1:7" x14ac:dyDescent="0.25">
      <x:c r="A29" s="3">
        <x:f t="shared" si="0"/>
        <x:v>20</x:v>
      </x:c>
      <x:c r="B29" s="636" t="s">
        <x:v>521</x:v>
      </x:c>
      <x:c r="C29" s="31"/>
      <x:c r="D29" s="31"/>
      <x:c r="E29" s="31"/>
      <x:c r="F29" s="808">
        <x:v>117329.1</x:v>
      </x:c>
      <x:c r="G29" s="31"/>
    </x:row>
    <x:row r="30" spans="1:7" x14ac:dyDescent="0.25">
      <x:c r="A30" s="3">
        <x:f t="shared" si="0"/>
        <x:v>21</x:v>
      </x:c>
      <x:c r="B30" s="1" t="s">
        <x:v>236</x:v>
      </x:c>
      <x:c r="C30" s="31"/>
      <x:c r="D30" s="31"/>
      <x:c r="E30" s="31"/>
      <x:c r="F30" s="809">
        <x:v>77154333.970000044</x:v>
      </x:c>
      <x:c r="G30" s="31"/>
    </x:row>
    <x:row r="31" spans="1:7" x14ac:dyDescent="0.25">
      <x:c r="A31" s="3">
        <x:f t="shared" si="0"/>
        <x:v>22</x:v>
      </x:c>
      <x:c r="D31" s="31"/>
      <x:c r="F31"/>
    </x:row>
    <x:row r="32" spans="1:7" x14ac:dyDescent="0.25">
      <x:c r="A32" s="3">
        <x:f t="shared" si="0"/>
        <x:v>23</x:v>
      </x:c>
      <x:c r="B32" s="594"/>
      <x:c r="D32" s="403"/>
      <x:c r="F32"/>
    </x:row>
    <x:row r="33" spans="1:6" x14ac:dyDescent="0.25">
      <x:c r="A33" s="3">
        <x:f t="shared" si="0"/>
        <x:v>24</x:v>
      </x:c>
      <x:c r="B33" s="9" t="s">
        <x:v>230</x:v>
      </x:c>
      <x:c r="D33" s="290" t="s">
        <x:v>449</x:v>
      </x:c>
      <x:c r="F33" s="171"/>
    </x:row>
    <x:row r="34" spans="1:6" x14ac:dyDescent="0.25">
      <x:c r="A34" s="3"/>
      <x:c r="B34" s="594"/>
      <x:c r="D34" s="403"/>
      <x:c r="F34" s="171"/>
    </x:row>
    <x:row r="35" spans="1:6" x14ac:dyDescent="0.25">
      <x:c r="A35" s="3"/>
      <x:c r="B35" s="594"/>
      <x:c r="D35" s="403"/>
      <x:c r="F35" s="171"/>
    </x:row>
  </x:sheetData>
  <x:phoneticPr fontId="23" type="noConversion"/>
  <x:hyperlinks>
    <x:hyperlink ref="D33" r:id="rId1" xr:uid="{00000000-0004-0000-43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xl/worksheets/sheet6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4400-000000000000}" mc:Ignorable="x14ac xr xr2 xr3">
  <x:sheetPr codeName="Sheet55">
    <x:tabColor rgb="FF92D050"/>
    <x:pageSetUpPr fitToPage="1"/>
  </x:sheetPr>
  <x:dimension ref="A1:H17"/>
  <x:sheetViews>
    <x:sheetView zoomScaleNormal="100" workbookViewId="0">
      <x:selection activeCell="D37" sqref="D37"/>
    </x:sheetView>
  </x:sheetViews>
  <x:sheetFormatPr defaultRowHeight="12.7" x14ac:dyDescent="0.25"/>
  <x:cols>
    <x:col min="1" max="1" width="6.5546875" customWidth="1"/>
    <x:col min="2" max="2" width="33.88671875" customWidth="1"/>
    <x:col min="3" max="3" width="15.109375" customWidth="1"/>
    <x:col min="4" max="4" width="1.5546875" customWidth="1"/>
    <x:col min="5" max="5" width="18.5546875" customWidth="1"/>
  </x:cols>
  <x:sheetData>
    <x:row r="1" spans="1:8" s="292" customFormat="1" x14ac:dyDescent="0.25">
      <x:c r="A1" s="180" t="s">
        <x:v>523</x:v>
      </x:c>
      <x:c r="C1" s="180"/>
      <x:c r="D1" s="180"/>
      <x:c r="E1" s="180"/>
    </x:row>
    <x:row r="2" spans="1:8" s="292" customFormat="1" x14ac:dyDescent="0.25">
      <x:c r="A2" s="180" t="str">
        <x:f>' '!A2</x:f>
        <x:v>ONCOR ELECTRIC DELIVERY COMPANY LLC</x:v>
      </x:c>
      <x:c r="C2" s="180"/>
      <x:c r="D2" s="180"/>
      <x:c r="E2" s="180"/>
    </x:row>
    <x:row r="3" spans="1:8" s="292" customFormat="1" x14ac:dyDescent="0.25">
      <x:c r="A3" s="180" t="s">
        <x:v>188</x:v>
      </x:c>
      <x:c r="C3" s="180"/>
      <x:c r="D3" s="180"/>
      <x:c r="E3" s="180"/>
    </x:row>
    <x:row r="4" spans="1:8" s="292" customFormat="1" x14ac:dyDescent="0.25">
      <x:c r="A4" s="767" t="s">
        <x:v>522</x:v>
      </x:c>
      <x:c r="C4" s="180"/>
      <x:c r="D4" s="180"/>
      <x:c r="E4" s="180"/>
    </x:row>
    <x:row r="5" spans="1:8" s="292" customFormat="1" x14ac:dyDescent="0.25">
      <x:c r="A5" s="180" t="s">
        <x:v>486</x:v>
      </x:c>
      <x:c r="C5" s="180"/>
      <x:c r="D5" s="180"/>
      <x:c r="E5" s="180"/>
      <x:c r="H5" s="292" t="s">
        <x:v>464</x:v>
      </x:c>
    </x:row>
    <x:row r="7" spans="1:8" ht="25.35" x14ac:dyDescent="0.25">
      <x:c r="A7" s="32" t="s">
        <x:v>65</x:v>
      </x:c>
      <x:c r="B7" s="61" t="s">
        <x:v>23</x:v>
      </x:c>
      <x:c r="C7" s="32" t="s">
        <x:v>0</x:v>
      </x:c>
      <x:c r="D7" s="5"/>
      <x:c r="E7" s="33" t="s">
        <x:v>1</x:v>
      </x:c>
      <x:c r="F7" s="1"/>
    </x:row>
    <x:row r="8" spans="1:8" x14ac:dyDescent="0.25">
      <x:c r="A8" s="38"/>
      <x:c r="B8" s="40" t="s">
        <x:v>50</x:v>
      </x:c>
      <x:c r="C8" s="40" t="s">
        <x:v>51</x:v>
      </x:c>
      <x:c r="D8" s="25"/>
      <x:c r="E8" s="40" t="s">
        <x:v>57</x:v>
      </x:c>
      <x:c r="F8" s="1"/>
    </x:row>
    <x:row r="9" spans="1:8" x14ac:dyDescent="0.25">
      <x:c r="A9" s="38"/>
      <x:c r="B9" s="40"/>
      <x:c r="C9" s="40"/>
      <x:c r="D9" s="25"/>
      <x:c r="E9" s="40"/>
      <x:c r="F9" s="1"/>
    </x:row>
    <x:row r="10" spans="1:8" x14ac:dyDescent="0.25">
      <x:c r="A10" s="2">
        <x:v>1</x:v>
      </x:c>
      <x:c r="B10" s="172" t="s">
        <x:v>189</x:v>
      </x:c>
      <x:c r="C10" s="2"/>
      <x:c r="E10" s="73"/>
    </x:row>
    <x:row r="11" spans="1:8" x14ac:dyDescent="0.25">
      <x:c r="A11" s="2">
        <x:f t="shared" ref="A11:A17" si="0">A10+1</x:f>
        <x:v>2</x:v>
      </x:c>
      <x:c r="B11" s="429" t="s">
        <x:v>114</x:v>
      </x:c>
      <x:c r="C11" s="90">
        <x:v>4082410</x:v>
      </x:c>
      <x:c r="D11" s="31"/>
      <x:c r="E11" s="91">
        <x:v>217503700.75000015</x:v>
      </x:c>
    </x:row>
    <x:row r="12" spans="1:8" x14ac:dyDescent="0.25">
      <x:c r="A12" s="2">
        <x:f t="shared" si="0"/>
        <x:v>3</x:v>
      </x:c>
      <x:c r="B12" s="429" t="s">
        <x:v>113</x:v>
      </x:c>
      <x:c r="C12" s="90">
        <x:v>4082410</x:v>
      </x:c>
      <x:c r="D12" s="31"/>
      <x:c r="E12" s="427">
        <x:v>0</x:v>
      </x:c>
    </x:row>
    <x:row r="13" spans="1:8" x14ac:dyDescent="0.25">
      <x:c r="A13" s="2">
        <x:f t="shared" si="0"/>
        <x:v>4</x:v>
      </x:c>
      <x:c r="B13" s="429" t="s">
        <x:v>116</x:v>
      </x:c>
      <x:c r="C13" s="90">
        <x:v>4082500</x:v>
      </x:c>
      <x:c r="D13" s="31"/>
      <x:c r="E13" s="427">
        <x:v>0</x:v>
      </x:c>
    </x:row>
    <x:row r="14" spans="1:8" ht="13.25" thickBot="1" x14ac:dyDescent="0.3">
      <x:c r="A14" s="2">
        <x:f t="shared" si="0"/>
        <x:v>5</x:v>
      </x:c>
      <x:c r="B14" s="432" t="s">
        <x:v>26</x:v>
      </x:c>
      <x:c r="C14" s="2"/>
      <x:c r="E14" s="387">
        <x:f>ROUND(SUM(E11:E12),0)</x:f>
        <x:v>217503701</x:v>
      </x:c>
    </x:row>
    <x:row r="15" spans="1:8" ht="13.25" thickTop="1" x14ac:dyDescent="0.25">
      <x:c r="A15" s="2">
        <x:f t="shared" si="0"/>
        <x:v>6</x:v>
      </x:c>
      <x:c r="C15" s="2"/>
      <x:c r="E15" s="73"/>
    </x:row>
    <x:row r="16" spans="1:8" x14ac:dyDescent="0.25">
      <x:c r="A16" s="2">
        <x:f t="shared" si="0"/>
        <x:v>7</x:v>
      </x:c>
      <x:c r="B16" s="188" t="s">
        <x:v>230</x:v>
      </x:c>
      <x:c r="E16" s="73"/>
    </x:row>
    <x:row r="17" spans="1:5" x14ac:dyDescent="0.25">
      <x:c r="A17" s="2">
        <x:f t="shared" si="0"/>
        <x:v>8</x:v>
      </x:c>
      <x:c r="B17" s="290" t="s">
        <x:v>434</x:v>
      </x:c>
      <x:c r="E17" s="73"/>
    </x:row>
  </x:sheetData>
  <x:phoneticPr fontId="23" type="noConversion"/>
  <x:hyperlinks>
    <x:hyperlink ref="B17" r:id="rId1" xr:uid="{00000000-0004-0000-4400-000000000000}"/>
  </x:hyperlinks>
  <x:printOptions horizontalCentered="1"/>
  <x:pageMargins left="0.5" right="0.5" top="1.5" bottom="0.5" header="1" footer="0.5"/>
  <x:pageSetup orientation="landscape" r:id="rId2"/>
  <x:headerFooter alignWithMargins="0">
    <x:oddHeader>&amp;RWP/II-B-9/&amp;A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2025-04-22T15:09:02.0000000Z</dcterms:modified>
</coreProperties>
</file>