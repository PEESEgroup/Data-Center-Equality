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https://intranet.corp.oncor.com/sites/Finance/Documents/Property Accounting/2024 Rate Case/Workpapers/Amber/"/>
    </mc:Choice>
  </mc:AlternateContent>
  <xr:revisionPtr revIDLastSave="0" documentId="13_ncr:1_{EDA360C3-53AA-4C13-B493-61A4A3F09365}" xr6:coauthVersionLast="47" xr6:coauthVersionMax="47" xr10:uidLastSave="{00000000-0000-0000-0000-000000000000}"/>
  <x:bookViews>
    <x:workbookView xWindow="28680" yWindow="-120" windowWidth="29040" windowHeight="15720" tabRatio="761" xr2:uid="{00000000-000D-0000-FFFF-FFFF00000000}"/>
  </x:bookViews>
  <x:sheets>
    <x:sheet name="Sale of 6.54 Acres" sheetId="3" r:id="rId1"/>
    <x:sheet name="Sale of 2.18 Acres" sheetId="10" r:id="rId2"/>
    <x:sheet name="Sale of 7.429 Acres" sheetId="11" r:id="rId3"/>
    <x:sheet name="Exchange of 97 Acres" sheetId="12" r:id="rId4"/>
    <x:sheet name="Sale of .218 Acres" sheetId="17" r:id="rId5"/>
    <x:sheet name="Sale of .0107 Acres" sheetId="13" r:id="rId6"/>
    <x:sheet name="Sale of 2.136 Acres" sheetId="14" r:id="rId7"/>
    <x:sheet name="Sale of 3.331 Acres" sheetId="15" r:id="rId8"/>
    <x:sheet name="Sale of 1.05 Acres" sheetId="16" r:id="rId9"/>
  </x:sheets>
  <x:externalReferences>
    <x:externalReference r:id="rId10"/>
  </x:externalReferences>
  <x:definedNames>
    <x:definedName name="Account">#REF!</x:definedName>
    <x:definedName name="Account2">#REF!</x:definedName>
    <x:definedName name="AccountDescr">#REF!</x:definedName>
    <x:definedName name="AccountDescr2">#REF!</x:definedName>
    <x:definedName name="Activity">#REF!</x:definedName>
    <x:definedName name="Activity2">#REF!</x:definedName>
    <x:definedName name="ActivityDescr">#REF!</x:definedName>
    <x:definedName name="ActivityDescr2">#REF!</x:definedName>
    <x:definedName name="Affiliate">#REF!</x:definedName>
    <x:definedName name="Affiliate2">#REF!</x:definedName>
    <x:definedName name="AffiliateDescr">#REF!</x:definedName>
    <x:definedName name="ASD">#REF!</x:definedName>
    <x:definedName name="CURRENTMONTH">[1]Month!$H$5</x:definedName>
    <x:definedName name="DeptDescr">#REF!</x:definedName>
    <x:definedName name="DeptDescr2">#REF!</x:definedName>
    <x:definedName name="DeptID">#REF!</x:definedName>
    <x:definedName name="DeptID2">#REF!</x:definedName>
    <x:definedName name="EC">#REF!</x:definedName>
    <x:definedName name="ECDescr">#REF!</x:definedName>
    <x:definedName name="ECDescr2">#REF!</x:definedName>
    <x:definedName name="ECID">#REF!</x:definedName>
    <x:definedName name="Location">#REF!</x:definedName>
    <x:definedName name="Location2">#REF!</x:definedName>
    <x:definedName name="LocationDescr">#REF!</x:definedName>
    <x:definedName name="LocationDescr2">#REF!</x:definedName>
    <x:definedName name="NvsASD">"V2019-12-31"</x:definedName>
    <x:definedName name="NvsAutoDrillOk">"VN"</x:definedName>
    <x:definedName name="NvsElapsedTime">0.000312499993015081</x:definedName>
    <x:definedName name="NvsEndTime">43852.4466666667</x:definedName>
    <x:definedName name="NvsInstLang">"VENG"</x:definedName>
    <x:definedName name="NvsInstSpec">"%,LTU_SUM01,SBAL,FACCOUNT,V1070000"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BusUnit">"V"</x:definedName>
    <x:definedName name="NvsPanelEffdt">"V1997-01-01"</x:definedName>
    <x:definedName name="NvsPanelSetid">"VSHARE"</x:definedName>
    <x:definedName name="NvsParentRef">"'[NTUSU Trial Balance Dec 2019.xls]Sheet1'!$O$19"</x:definedName>
    <x:definedName name="NvsReqBU">"VNTUSU"</x:definedName>
    <x:definedName name="NvsReqBUOnly">"VY"</x:definedName>
    <x:definedName name="NvsTransLed">"VY"</x:definedName>
    <x:definedName name="NvsTreeASD">"V2019-12-31"</x:definedName>
    <x:definedName name="NvsValTbl.ACCOUNT">"GL_ACCOUNT_TBL"</x:definedName>
    <x:definedName name="NvsValTbl.AFFILIATE">"BUS_UNIT_TBL_FS"</x:definedName>
    <x:definedName name="NvsValTbl.CURRENCY_CD">"CURRENCY_CD_TBL"</x:definedName>
    <x:definedName name="NvsValTbl.DEPTID">"DEPARTMENT_TBL"</x:definedName>
    <x:definedName name="NvsValTbl.PROJECT_ID">"PROJECT"</x:definedName>
    <x:definedName name="NvsValTbl.TU_EC">"TU_EC_TBL"</x:definedName>
    <x:definedName name="_xlnm.Print_Area" localSheetId="3">'Exchange of 97 Acres'!$A$1:$X$101</x:definedName>
    <x:definedName name="_xlnm.Print_Area" localSheetId="5">'Sale of .0107 Acres'!$A$1:$X$59</x:definedName>
    <x:definedName name="_xlnm.Print_Area" localSheetId="4">'Sale of .218 Acres'!$A$1:$X$63</x:definedName>
    <x:definedName name="_xlnm.Print_Area" localSheetId="8">'Sale of 1.05 Acres'!$A$1:$X$61</x:definedName>
    <x:definedName name="_xlnm.Print_Area" localSheetId="6">'Sale of 2.136 Acres'!$A$1:$X$69</x:definedName>
    <x:definedName name="_xlnm.Print_Area" localSheetId="1">'Sale of 2.18 Acres'!$A$1:$X$61</x:definedName>
    <x:definedName name="_xlnm.Print_Area" localSheetId="7">'Sale of 3.331 Acres'!$A$1:$X$57</x:definedName>
    <x:definedName name="_xlnm.Print_Area" localSheetId="0">'Sale of 6.54 Acres'!$A$1:$X$51</x:definedName>
    <x:definedName name="_xlnm.Print_Area" localSheetId="2">'Sale of 7.429 Acres'!$A$1:$X$60</x:definedName>
    <x:definedName name="Task">#REF!</x:definedName>
    <x:definedName name="Task2">#REF!</x:definedName>
    <x:definedName name="TaskDescr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L61" i="16" l="1"/>
  <x:c r="K61" i="16"/>
  <x:c r="C31" i="16"/>
  <x:c r="C30" i="16"/>
  <x:c r="C32" i="16" s="1"/>
  <x:c r="R22" i="16"/>
  <x:c r="O22" i="16"/>
  <x:c r="O24" i="16" l="1"/>
  <x:c r="O25" i="16" s="1"/>
  <x:c r="C33" i="16" s="1"/>
  <x:c r="C34" i="16"/>
</x:calcChain>
</file>

<file path=xl/sharedStrings.xml><?xml version="1.0" encoding="utf-8"?>
<sst xmlns="http://schemas.openxmlformats.org/spreadsheetml/2006/main" count="2619" uniqueCount="267">
  <si>
    <t>Unit</t>
  </si>
  <si>
    <t>Year</t>
  </si>
  <si>
    <t>T R</t>
  </si>
  <si>
    <t>DSR</t>
  </si>
  <si>
    <t>UVD2_PROJECT_CHARGES_ALL</t>
  </si>
  <si>
    <t>Dept</t>
  </si>
  <si>
    <t>Account</t>
  </si>
  <si>
    <t>EC</t>
  </si>
  <si>
    <t>Project</t>
  </si>
  <si>
    <t>Location</t>
  </si>
  <si>
    <t>Activity</t>
  </si>
  <si>
    <t>Affiliate</t>
  </si>
  <si>
    <t>BU Amount</t>
  </si>
  <si>
    <t>Journal ID</t>
  </si>
  <si>
    <t>DelivDt-PO</t>
  </si>
  <si>
    <t>Period</t>
  </si>
  <si>
    <t>Source Type</t>
  </si>
  <si>
    <t>Sys Source</t>
  </si>
  <si>
    <t>Descr</t>
  </si>
  <si>
    <t>TRN</t>
  </si>
  <si>
    <t>515660</t>
  </si>
  <si>
    <t>1070000</t>
  </si>
  <si>
    <t>856</t>
  </si>
  <si>
    <t>0000</t>
  </si>
  <si>
    <t/>
  </si>
  <si>
    <t>CIAC</t>
  </si>
  <si>
    <t>BIL</t>
  </si>
  <si>
    <t>CIAC-Sale of Oncor Facilities</t>
  </si>
  <si>
    <t>Cost of Land:</t>
  </si>
  <si>
    <t>UVD2_LAND_IN_FEE</t>
  </si>
  <si>
    <t>Deed</t>
  </si>
  <si>
    <t>Asset ID</t>
  </si>
  <si>
    <t>CnstrWrkLc</t>
  </si>
  <si>
    <t>Func code</t>
  </si>
  <si>
    <t>Plant Acct</t>
  </si>
  <si>
    <t>Sub Acct</t>
  </si>
  <si>
    <t>Prop Unit</t>
  </si>
  <si>
    <t>Trans Type</t>
  </si>
  <si>
    <t>Vntg Yr</t>
  </si>
  <si>
    <t>Gross Amt</t>
  </si>
  <si>
    <t>Net Amt</t>
  </si>
  <si>
    <t>CIAC Amt</t>
  </si>
  <si>
    <t>AFUDC Amt</t>
  </si>
  <si>
    <t>Qty</t>
  </si>
  <si>
    <t>Posted</t>
  </si>
  <si>
    <t>Reference</t>
  </si>
  <si>
    <t>User</t>
  </si>
  <si>
    <t>Easement</t>
  </si>
  <si>
    <t>1010201</t>
  </si>
  <si>
    <t>349</t>
  </si>
  <si>
    <t>7000</t>
  </si>
  <si>
    <t>0010</t>
  </si>
  <si>
    <t>FEE LAND</t>
  </si>
  <si>
    <t>AD</t>
  </si>
  <si>
    <t>BATCH UNITIZATION</t>
  </si>
  <si>
    <t>SA</t>
  </si>
  <si>
    <t>TI</t>
  </si>
  <si>
    <t>UVD2</t>
  </si>
  <si>
    <t>TRANSFER IN ALL VINTAGE YEARS</t>
  </si>
  <si>
    <t>MA</t>
  </si>
  <si>
    <t>RT</t>
  </si>
  <si>
    <t>RV</t>
  </si>
  <si>
    <t>TO</t>
  </si>
  <si>
    <t>SALE</t>
  </si>
  <si>
    <t>Cost per Acre</t>
  </si>
  <si>
    <t xml:space="preserve">Cost of Land Sold </t>
  </si>
  <si>
    <t xml:space="preserve"> Acres</t>
  </si>
  <si>
    <t>Calculation of Gain/Loss:</t>
  </si>
  <si>
    <t>Cost of Land</t>
  </si>
  <si>
    <t>Gross Proceeds</t>
  </si>
  <si>
    <t>&lt;Removal Cost&gt;</t>
  </si>
  <si>
    <t>Net Proceeds</t>
  </si>
  <si>
    <t>&lt;Cost of Land Sold&gt;</t>
  </si>
  <si>
    <t>Gain (Neg) or Loss (Pos)</t>
  </si>
  <si>
    <t>Journal Entry:</t>
  </si>
  <si>
    <t>Gain if Credit</t>
  </si>
  <si>
    <t>BU</t>
  </si>
  <si>
    <t>DeptID</t>
  </si>
  <si>
    <t>Amount</t>
  </si>
  <si>
    <t>Description</t>
  </si>
  <si>
    <t>1084201</t>
  </si>
  <si>
    <t>941</t>
  </si>
  <si>
    <t>4210100</t>
  </si>
  <si>
    <t>000</t>
  </si>
  <si>
    <t>Loss if Debit</t>
  </si>
  <si>
    <t>4210200</t>
  </si>
  <si>
    <t>Retire the Land Sold</t>
  </si>
  <si>
    <t>MISCL</t>
  </si>
  <si>
    <t>PUR</t>
  </si>
  <si>
    <t>870</t>
  </si>
  <si>
    <t>INDOH</t>
  </si>
  <si>
    <t>ALO</t>
  </si>
  <si>
    <t>Indirect Construction Overhead</t>
  </si>
  <si>
    <t>PEZ</t>
  </si>
  <si>
    <t>CONVERSN</t>
  </si>
  <si>
    <t>0000873623</t>
  </si>
  <si>
    <t>UJE</t>
  </si>
  <si>
    <t>Land Sold</t>
  </si>
  <si>
    <t>No comment,ECS</t>
  </si>
  <si>
    <t>INITIAL ADD - CONVERTED FROM ID CPR</t>
  </si>
  <si>
    <t>1010311</t>
  </si>
  <si>
    <t>374</t>
  </si>
  <si>
    <t>Land in fee</t>
  </si>
  <si>
    <t>1084311</t>
  </si>
  <si>
    <t>499</t>
  </si>
  <si>
    <t>Other Services</t>
  </si>
  <si>
    <t>ACREAGE SOLD: 6.54 acres from 68.107 acres</t>
  </si>
  <si>
    <t>0PT54615</t>
  </si>
  <si>
    <t>4</t>
  </si>
  <si>
    <t>2024</t>
  </si>
  <si>
    <t>00412672</t>
  </si>
  <si>
    <t>0005350</t>
  </si>
  <si>
    <t>TARRANT, WEST SW STA 345 KV</t>
  </si>
  <si>
    <t>1051000</t>
  </si>
  <si>
    <t>AFT</t>
  </si>
  <si>
    <t>105</t>
  </si>
  <si>
    <t>1000</t>
  </si>
  <si>
    <t>1987</t>
  </si>
  <si>
    <t>CONV2000</t>
  </si>
  <si>
    <t>2636</t>
  </si>
  <si>
    <t>Correct acreage</t>
  </si>
  <si>
    <t>U1N6</t>
  </si>
  <si>
    <t>Partial Sell of AFT Property</t>
  </si>
  <si>
    <t>00768148</t>
  </si>
  <si>
    <t>1010212</t>
  </si>
  <si>
    <t>TSR</t>
  </si>
  <si>
    <t>1084212</t>
  </si>
  <si>
    <t>Gain</t>
  </si>
  <si>
    <t>Sale of 6.54 acres</t>
  </si>
  <si>
    <t>900</t>
  </si>
  <si>
    <t>0PT51756</t>
  </si>
  <si>
    <t>859</t>
  </si>
  <si>
    <t>U46E_PROJ_TXNS</t>
  </si>
  <si>
    <t>MANUAL</t>
  </si>
  <si>
    <t>ACERAGE SOLD: 6.54 acres from 61.78 acres</t>
  </si>
  <si>
    <t>417</t>
  </si>
  <si>
    <t>PUR1004514</t>
  </si>
  <si>
    <t>Ground Surveying</t>
  </si>
  <si>
    <t>ALO1004519</t>
  </si>
  <si>
    <t>ACREAGE SOLD: 2.18 acres from 35.512 acres</t>
  </si>
  <si>
    <t>0PT52111</t>
  </si>
  <si>
    <t>PUR1002203</t>
  </si>
  <si>
    <t>0001003441</t>
  </si>
  <si>
    <t>PRJ1003577</t>
  </si>
  <si>
    <t>PRJ</t>
  </si>
  <si>
    <t>CIAC-Allocated</t>
  </si>
  <si>
    <t>ALO1003444</t>
  </si>
  <si>
    <t>Other Recoveries- Const. Acctg</t>
  </si>
  <si>
    <t>00050651</t>
  </si>
  <si>
    <t>0000210</t>
  </si>
  <si>
    <t>Tricorner Switching Station</t>
  </si>
  <si>
    <t>1978</t>
  </si>
  <si>
    <t>GRANTOR: TEXAS POWER &amp; LIGHT CO.</t>
  </si>
  <si>
    <t>003093</t>
  </si>
  <si>
    <t>GRANTOR: TEXAS POWER &amp; LIGHT.</t>
  </si>
  <si>
    <t>Sale of 2.18 acres</t>
  </si>
  <si>
    <t>ACREAGE SOLD: 7.429 acres from 62.10 acres</t>
  </si>
  <si>
    <t>0PT55261</t>
  </si>
  <si>
    <t>BIBI005337</t>
  </si>
  <si>
    <t>Miscellaneous General Expense</t>
  </si>
  <si>
    <t>*Billing charged incorrectly, correcting to 856 via journal</t>
  </si>
  <si>
    <t>00747555</t>
  </si>
  <si>
    <t>0401380</t>
  </si>
  <si>
    <t>Teal Switch</t>
  </si>
  <si>
    <t>0PT47111</t>
  </si>
  <si>
    <t>2022</t>
  </si>
  <si>
    <t>6121</t>
  </si>
  <si>
    <t>2023</t>
  </si>
  <si>
    <t>Gain Adj</t>
  </si>
  <si>
    <t>Gain on Sale of 7.429 Acres</t>
  </si>
  <si>
    <t>ACREAGE EXCHANGED: 97  acres for two large transmission line easements</t>
  </si>
  <si>
    <t>407</t>
  </si>
  <si>
    <t>0PT53434</t>
  </si>
  <si>
    <t>JPR1003115</t>
  </si>
  <si>
    <t>Market Research</t>
  </si>
  <si>
    <t>ALO1006061</t>
  </si>
  <si>
    <t>ALO1008207</t>
  </si>
  <si>
    <t>903</t>
  </si>
  <si>
    <t>PUR1006023</t>
  </si>
  <si>
    <t>Purchase of Land &amp; ROW</t>
  </si>
  <si>
    <t>PUR1007996</t>
  </si>
  <si>
    <t>00778997</t>
  </si>
  <si>
    <t>0501412</t>
  </si>
  <si>
    <t>Dunham Switch</t>
  </si>
  <si>
    <t>2021</t>
  </si>
  <si>
    <t>Xfer to 101 for Land Sale</t>
  </si>
  <si>
    <t>6055</t>
  </si>
  <si>
    <t>Xfer from 00734401 to consolidate land for sale</t>
  </si>
  <si>
    <t>Corr Amt Transferred from 105 in Error</t>
  </si>
  <si>
    <t>*Cost of Land is zero due to this property being swapped for an easement, investment transferred to easement property unit</t>
  </si>
  <si>
    <t>see details below</t>
  </si>
  <si>
    <t>Loss on Land Swap of 97 Acres</t>
  </si>
  <si>
    <t>Land Swap</t>
  </si>
  <si>
    <t>Land Exchange: TSR Owned in Fee for T Easement</t>
  </si>
  <si>
    <t>TRANSFER OUT ALL VINTAGE YEARS</t>
  </si>
  <si>
    <t>349 Total</t>
  </si>
  <si>
    <t>00779019</t>
  </si>
  <si>
    <t>1010200</t>
  </si>
  <si>
    <t>350</t>
  </si>
  <si>
    <t>TRANSMISSION LAND RIGHTS</t>
  </si>
  <si>
    <t>Adj qty for Easement rec'd in land swap 0PT53434</t>
  </si>
  <si>
    <t>0500515</t>
  </si>
  <si>
    <t>350 Total</t>
  </si>
  <si>
    <t>Grand Total</t>
  </si>
  <si>
    <t>ACREAGE SOLD: .0107 acres from .22 acres</t>
  </si>
  <si>
    <t>0PT56658</t>
  </si>
  <si>
    <t>0001011216</t>
  </si>
  <si>
    <t>12</t>
  </si>
  <si>
    <t>0001011265</t>
  </si>
  <si>
    <t>00001499</t>
  </si>
  <si>
    <t>0007100</t>
  </si>
  <si>
    <t>Bryan Avenue-Forest Hill 69Kv</t>
  </si>
  <si>
    <t>1948</t>
  </si>
  <si>
    <t>D00954</t>
  </si>
  <si>
    <t>Gain on Sale of .0107acres</t>
  </si>
  <si>
    <t>LAND SOLD</t>
  </si>
  <si>
    <t>RT CORRECT</t>
  </si>
  <si>
    <t>Reversal of RT posted over book value</t>
  </si>
  <si>
    <t>Purpose: This is an adjustment to the gain amount booked in November 2023 on JE 994710, Adjusted in September 2024 on JE 996124 due to additional charges on 0PT48466 - the original land purchase WA</t>
  </si>
  <si>
    <t>ACREAGE SOLD: 2.136 acres from 52.24 acres</t>
  </si>
  <si>
    <t>0000994710</t>
  </si>
  <si>
    <t>00751493</t>
  </si>
  <si>
    <t>0301497</t>
  </si>
  <si>
    <t>Bloomdale Switch</t>
  </si>
  <si>
    <t>0PT48466</t>
  </si>
  <si>
    <t>6132</t>
  </si>
  <si>
    <t>*Book value has changed due to additional costs incurred on WA 0PT48466 - Purchase of Bloomdale Switch land</t>
  </si>
  <si>
    <t>Gain Adjustment amount:</t>
  </si>
  <si>
    <t>Adj due to increase land cost</t>
  </si>
  <si>
    <t>Addtn'l retirement due to cost of land increase</t>
  </si>
  <si>
    <t>ACERAGE SOLD: 2.136 acres from 52.24 acres</t>
  </si>
  <si>
    <t>DECEMBER 2023 GAIN/LOSS CALCULATION</t>
  </si>
  <si>
    <t>ACREAGE SOLD: 3.331 acres from 13.307 acres</t>
  </si>
  <si>
    <t>0PT55721</t>
  </si>
  <si>
    <t>BIBI006655</t>
  </si>
  <si>
    <t>PRJ1007216</t>
  </si>
  <si>
    <t>00401999</t>
  </si>
  <si>
    <t>0301425</t>
  </si>
  <si>
    <t>Mckinney, 138Kv</t>
  </si>
  <si>
    <t>1934</t>
  </si>
  <si>
    <t>1274</t>
  </si>
  <si>
    <t>Gain on Sale of 3.331Acres</t>
  </si>
  <si>
    <t>ACREAGE SOLD: 1.05 acres from 6.90 acres</t>
  </si>
  <si>
    <t>0PT52160</t>
  </si>
  <si>
    <t>PUR1008501</t>
  </si>
  <si>
    <t>BIBI007917</t>
  </si>
  <si>
    <t>PRJ1008574</t>
  </si>
  <si>
    <t>ALO1008541</t>
  </si>
  <si>
    <t>00000297</t>
  </si>
  <si>
    <t>0005761</t>
  </si>
  <si>
    <t>Upton 138-12.5Kv</t>
  </si>
  <si>
    <t>16T80078</t>
  </si>
  <si>
    <t>1929</t>
  </si>
  <si>
    <t>SALE OF 3.10 ACRES</t>
  </si>
  <si>
    <t>D00625</t>
  </si>
  <si>
    <t>Gain on Sale of 1.05 Acres</t>
  </si>
  <si>
    <t>ACREAGE SOLD: .218 acres from 19.52</t>
  </si>
  <si>
    <t>0PT56659</t>
  </si>
  <si>
    <t>BIBI009691</t>
  </si>
  <si>
    <t>PRJ1010881</t>
  </si>
  <si>
    <t>00001536</t>
  </si>
  <si>
    <t>0007107</t>
  </si>
  <si>
    <t>Forest Hill-Everman No 1 (Sout</t>
  </si>
  <si>
    <t>1961</t>
  </si>
  <si>
    <t>D01519</t>
  </si>
  <si>
    <t>Gain on Sale of .218 acres</t>
  </si>
  <si>
    <t>ACREAGE SOLD: .218 acres from 19.52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</si>
</sst>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3" formatCode="_(* #,##0.00_);_(* \(#,##0.00\);_(* &quot;-&quot;??_);_(@_)"/>
    <numFmt numFmtId="164" formatCode="0.000"/>
    <numFmt numFmtId="165" formatCode="0.0000"/>
    <numFmt numFmtId="166" formatCode="mm/dd/yy"/>
    <numFmt numFmtId="167" formatCode="_(* #,##0.0000_);_(* \(#,##0.0000\);_(* &quot;-&quot;??_);_(@_)"/>
    <numFmt numFmtId="168" formatCode="#,##0.000_);[Red]\(#,##0.000\)"/>
    <numFmt numFmtId="169" formatCode="#,##0.0000_);[Red]\(#,##0.000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Unicode MS"/>
      <family val="2"/>
    </font>
    <font>
      <sz val="10"/>
      <name val="Arial Unicode MS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166" fontId="2" fillId="2" borderId="0"/>
    <xf numFmtId="43" fontId="2" fillId="0" borderId="0" applyFont="0" applyFill="0" applyBorder="0" applyAlignment="0" applyProtection="0"/>
    <xf numFmtId="0" fontId="4" fillId="0" borderId="0"/>
    <xf numFmtId="0" fontId="7" fillId="0" borderId="0"/>
    <xf numFmtId="0" fontId="1" fillId="0" borderId="0"/>
  </cellStyleXfs>
  <cellXfs count="173">
    <xf numFmtId="0" fontId="0" fillId="0" borderId="0" xfId="0"/>
    <xf numFmtId="0" fontId="2" fillId="0" borderId="0" xfId="1"/>
    <xf numFmtId="40" fontId="2" fillId="0" borderId="0" xfId="1" applyNumberFormat="1"/>
    <xf numFmtId="49" fontId="3" fillId="0" borderId="5" xfId="1" applyNumberFormat="1" applyFont="1" applyFill="1" applyBorder="1"/>
    <xf numFmtId="40" fontId="3" fillId="0" borderId="5" xfId="1" applyNumberFormat="1" applyFont="1" applyFill="1" applyBorder="1"/>
    <xf numFmtId="0" fontId="5" fillId="0" borderId="0" xfId="1" applyFont="1" applyFill="1"/>
    <xf numFmtId="0" fontId="4" fillId="0" borderId="0" xfId="1" applyFont="1" applyFill="1"/>
    <xf numFmtId="0" fontId="4" fillId="0" borderId="0" xfId="1" applyFont="1" applyFill="1" applyAlignment="1">
      <alignment horizontal="right"/>
    </xf>
    <xf numFmtId="0" fontId="2" fillId="0" borderId="0" xfId="1" applyFont="1" applyFill="1"/>
    <xf numFmtId="40" fontId="2" fillId="0" borderId="0" xfId="1" applyNumberFormat="1" applyFont="1" applyFill="1"/>
    <xf numFmtId="49" fontId="2" fillId="0" borderId="0" xfId="1" applyNumberFormat="1" applyFont="1" applyFill="1"/>
    <xf numFmtId="14" fontId="2" fillId="0" borderId="0" xfId="1" applyNumberFormat="1" applyFont="1" applyFill="1"/>
    <xf numFmtId="165" fontId="2" fillId="0" borderId="0" xfId="1" applyNumberFormat="1" applyFont="1" applyFill="1"/>
    <xf numFmtId="0" fontId="2" fillId="0" borderId="6" xfId="1" applyFont="1" applyFill="1" applyBorder="1"/>
    <xf numFmtId="0" fontId="2" fillId="0" borderId="7" xfId="1" applyFont="1" applyFill="1" applyBorder="1"/>
    <xf numFmtId="0" fontId="2" fillId="0" borderId="8" xfId="1" applyFont="1" applyFill="1" applyBorder="1"/>
    <xf numFmtId="0" fontId="2" fillId="0" borderId="9" xfId="1" applyFont="1" applyFill="1" applyBorder="1"/>
    <xf numFmtId="0" fontId="2" fillId="0" borderId="0" xfId="1" applyFont="1" applyFill="1" applyBorder="1"/>
    <xf numFmtId="40" fontId="2" fillId="0" borderId="11" xfId="1" applyNumberFormat="1" applyFont="1" applyFill="1" applyBorder="1"/>
    <xf numFmtId="0" fontId="2" fillId="0" borderId="13" xfId="1" applyFont="1" applyFill="1" applyBorder="1"/>
    <xf numFmtId="0" fontId="2" fillId="0" borderId="14" xfId="1" applyFont="1" applyFill="1" applyBorder="1"/>
    <xf numFmtId="0" fontId="2" fillId="0" borderId="15" xfId="1" applyFont="1" applyFill="1" applyBorder="1"/>
    <xf numFmtId="49" fontId="5" fillId="0" borderId="1" xfId="3" applyNumberFormat="1" applyFont="1" applyFill="1" applyBorder="1" applyAlignment="1" applyProtection="1">
      <alignment horizontal="center" vertical="top" wrapText="1"/>
      <protection locked="0"/>
    </xf>
    <xf numFmtId="49" fontId="2" fillId="0" borderId="1" xfId="3" applyNumberFormat="1" applyFont="1" applyFill="1" applyBorder="1" applyAlignment="1" applyProtection="1">
      <alignment horizontal="center"/>
      <protection locked="0"/>
    </xf>
    <xf numFmtId="165" fontId="5" fillId="0" borderId="0" xfId="1" applyNumberFormat="1" applyFont="1" applyFill="1" applyAlignment="1">
      <alignment horizontal="left"/>
    </xf>
    <xf numFmtId="165" fontId="5" fillId="0" borderId="12" xfId="1" applyNumberFormat="1" applyFont="1" applyFill="1" applyBorder="1"/>
    <xf numFmtId="40" fontId="2" fillId="0" borderId="0" xfId="1" applyNumberFormat="1" applyFont="1" applyFill="1" applyBorder="1"/>
    <xf numFmtId="40" fontId="5" fillId="0" borderId="1" xfId="3" applyNumberFormat="1" applyFont="1" applyFill="1" applyBorder="1" applyAlignment="1" applyProtection="1">
      <alignment horizontal="center" vertical="top" wrapText="1"/>
      <protection locked="0"/>
    </xf>
    <xf numFmtId="0" fontId="2" fillId="0" borderId="1" xfId="3" applyNumberFormat="1" applyFont="1" applyFill="1" applyBorder="1" applyAlignment="1" applyProtection="1">
      <alignment horizontal="center"/>
      <protection locked="0"/>
    </xf>
    <xf numFmtId="43" fontId="5" fillId="0" borderId="0" xfId="4" applyFont="1" applyFill="1"/>
    <xf numFmtId="0" fontId="2" fillId="0" borderId="0" xfId="1" applyFont="1" applyFill="1" applyAlignment="1">
      <alignment horizontal="left"/>
    </xf>
    <xf numFmtId="40" fontId="5" fillId="0" borderId="0" xfId="1" applyNumberFormat="1" applyFont="1" applyFill="1"/>
    <xf numFmtId="0" fontId="5" fillId="0" borderId="0" xfId="1" applyFont="1" applyFill="1" applyAlignment="1">
      <alignment horizontal="left"/>
    </xf>
    <xf numFmtId="0" fontId="5" fillId="0" borderId="10" xfId="2" applyFont="1" applyFill="1" applyBorder="1" applyAlignment="1">
      <alignment horizontal="left"/>
    </xf>
    <xf numFmtId="49" fontId="5" fillId="0" borderId="0" xfId="3" applyNumberFormat="1" applyFont="1" applyFill="1" applyBorder="1" applyAlignment="1" applyProtection="1">
      <alignment vertical="top" wrapText="1"/>
      <protection locked="0"/>
    </xf>
    <xf numFmtId="0" fontId="5" fillId="0" borderId="0" xfId="1" applyFont="1"/>
    <xf numFmtId="0" fontId="2" fillId="0" borderId="0" xfId="1" quotePrefix="1"/>
    <xf numFmtId="49" fontId="3" fillId="0" borderId="5" xfId="1" applyNumberFormat="1" applyFont="1" applyBorder="1" applyAlignment="1">
      <alignment horizontal="center"/>
    </xf>
    <xf numFmtId="40" fontId="3" fillId="0" borderId="5" xfId="1" applyNumberFormat="1" applyFont="1" applyBorder="1" applyAlignment="1">
      <alignment horizontal="center"/>
    </xf>
    <xf numFmtId="49" fontId="2" fillId="0" borderId="0" xfId="1" applyNumberFormat="1" applyAlignment="1">
      <alignment horizontal="center"/>
    </xf>
    <xf numFmtId="39" fontId="2" fillId="0" borderId="0" xfId="1" applyNumberFormat="1" applyAlignment="1">
      <alignment horizontal="center"/>
    </xf>
    <xf numFmtId="49" fontId="6" fillId="0" borderId="0" xfId="1" applyNumberFormat="1" applyFont="1"/>
    <xf numFmtId="49" fontId="2" fillId="0" borderId="0" xfId="1" applyNumberFormat="1"/>
    <xf numFmtId="165" fontId="2" fillId="0" borderId="0" xfId="1" applyNumberFormat="1"/>
    <xf numFmtId="167" fontId="2" fillId="0" borderId="0" xfId="1" applyNumberFormat="1"/>
    <xf numFmtId="0" fontId="5" fillId="0" borderId="0" xfId="2" applyFont="1"/>
    <xf numFmtId="49" fontId="3" fillId="0" borderId="5" xfId="1" applyNumberFormat="1" applyFont="1" applyBorder="1"/>
    <xf numFmtId="40" fontId="3" fillId="0" borderId="5" xfId="1" applyNumberFormat="1" applyFont="1" applyBorder="1"/>
    <xf numFmtId="49" fontId="2" fillId="0" borderId="0" xfId="1" applyNumberFormat="1" applyAlignment="1">
      <alignment horizontal="left"/>
    </xf>
    <xf numFmtId="40" fontId="2" fillId="0" borderId="0" xfId="1" applyNumberFormat="1" applyAlignment="1">
      <alignment horizontal="center"/>
    </xf>
    <xf numFmtId="14" fontId="2" fillId="0" borderId="0" xfId="1" applyNumberFormat="1" applyAlignment="1">
      <alignment horizontal="center"/>
    </xf>
    <xf numFmtId="164" fontId="2" fillId="0" borderId="0" xfId="1" applyNumberFormat="1"/>
    <xf numFmtId="40" fontId="5" fillId="0" borderId="0" xfId="2" applyNumberFormat="1" applyFont="1"/>
    <xf numFmtId="40" fontId="5" fillId="0" borderId="0" xfId="1" applyNumberFormat="1" applyFont="1"/>
    <xf numFmtId="40" fontId="2" fillId="0" borderId="11" xfId="1" applyNumberFormat="1" applyBorder="1"/>
    <xf numFmtId="165" fontId="5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/>
    <xf numFmtId="0" fontId="4" fillId="0" borderId="0" xfId="1" applyFont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39" fontId="2" fillId="0" borderId="0" xfId="2" applyNumberFormat="1" applyFont="1"/>
    <xf numFmtId="0" fontId="5" fillId="0" borderId="10" xfId="2" applyFont="1" applyBorder="1" applyAlignment="1">
      <alignment horizontal="left"/>
    </xf>
    <xf numFmtId="39" fontId="2" fillId="0" borderId="11" xfId="2" applyNumberFormat="1" applyFont="1" applyBorder="1"/>
    <xf numFmtId="0" fontId="4" fillId="0" borderId="0" xfId="1" applyFont="1" applyAlignment="1">
      <alignment horizontal="right"/>
    </xf>
    <xf numFmtId="39" fontId="2" fillId="0" borderId="12" xfId="2" applyNumberFormat="1" applyFont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5" fillId="0" borderId="0" xfId="1" applyFont="1" applyAlignment="1">
      <alignment horizontal="centerContinuous"/>
    </xf>
    <xf numFmtId="8" fontId="5" fillId="0" borderId="0" xfId="1" applyNumberFormat="1" applyFont="1"/>
    <xf numFmtId="0" fontId="2" fillId="0" borderId="0" xfId="2" applyFont="1"/>
    <xf numFmtId="40" fontId="2" fillId="0" borderId="0" xfId="2" applyNumberFormat="1" applyFont="1"/>
    <xf numFmtId="49" fontId="2" fillId="0" borderId="1" xfId="3" applyNumberFormat="1" applyFill="1" applyBorder="1" applyAlignment="1" applyProtection="1">
      <alignment horizontal="center"/>
      <protection locked="0"/>
    </xf>
    <xf numFmtId="39" fontId="2" fillId="0" borderId="1" xfId="3" applyNumberFormat="1" applyFill="1" applyBorder="1" applyAlignment="1" applyProtection="1">
      <alignment horizontal="right"/>
      <protection locked="0"/>
    </xf>
    <xf numFmtId="0" fontId="2" fillId="0" borderId="1" xfId="3" applyNumberFormat="1" applyFill="1" applyBorder="1" applyAlignment="1" applyProtection="1">
      <alignment horizontal="center"/>
      <protection locked="0"/>
    </xf>
    <xf numFmtId="49" fontId="2" fillId="0" borderId="0" xfId="3" applyNumberFormat="1" applyFill="1" applyAlignment="1" applyProtection="1">
      <alignment horizontal="center"/>
      <protection locked="0"/>
    </xf>
    <xf numFmtId="40" fontId="2" fillId="0" borderId="0" xfId="3" applyNumberFormat="1" applyFill="1" applyAlignment="1" applyProtection="1">
      <alignment horizontal="right"/>
      <protection locked="0"/>
    </xf>
    <xf numFmtId="49" fontId="2" fillId="0" borderId="0" xfId="3" applyNumberFormat="1" applyFill="1" applyAlignment="1" applyProtection="1">
      <alignment horizontal="left"/>
      <protection locked="0"/>
    </xf>
    <xf numFmtId="0" fontId="2" fillId="0" borderId="0" xfId="1" applyAlignment="1">
      <alignment horizontal="left"/>
    </xf>
    <xf numFmtId="0" fontId="2" fillId="0" borderId="0" xfId="5" applyFont="1" applyAlignment="1">
      <alignment horizontal="center"/>
    </xf>
    <xf numFmtId="0" fontId="2" fillId="0" borderId="0" xfId="5" applyFont="1" applyAlignment="1">
      <alignment horizontal="left"/>
    </xf>
    <xf numFmtId="39" fontId="2" fillId="0" borderId="0" xfId="5" applyNumberFormat="1" applyFont="1" applyAlignment="1">
      <alignment horizontal="center"/>
    </xf>
    <xf numFmtId="0" fontId="8" fillId="0" borderId="0" xfId="6" applyFont="1" applyAlignment="1">
      <alignment horizontal="left"/>
    </xf>
    <xf numFmtId="0" fontId="2" fillId="0" borderId="0" xfId="1" applyAlignment="1">
      <alignment horizontal="center"/>
    </xf>
    <xf numFmtId="39" fontId="2" fillId="0" borderId="0" xfId="1" applyNumberFormat="1"/>
    <xf numFmtId="39" fontId="5" fillId="0" borderId="12" xfId="1" applyNumberFormat="1" applyFont="1" applyBorder="1"/>
    <xf numFmtId="49" fontId="5" fillId="0" borderId="0" xfId="3" applyNumberFormat="1" applyFont="1" applyFill="1" applyAlignment="1" applyProtection="1">
      <alignment horizontal="center" vertical="top" wrapText="1"/>
      <protection locked="0"/>
    </xf>
    <xf numFmtId="0" fontId="2" fillId="0" borderId="1" xfId="3" applyNumberFormat="1" applyFont="1" applyFill="1" applyBorder="1" applyAlignment="1" applyProtection="1">
      <protection locked="0"/>
    </xf>
    <xf numFmtId="49" fontId="2" fillId="0" borderId="0" xfId="3" applyNumberFormat="1" applyFont="1" applyFill="1" applyAlignment="1" applyProtection="1">
      <alignment horizontal="center"/>
      <protection locked="0"/>
    </xf>
    <xf numFmtId="40" fontId="2" fillId="0" borderId="0" xfId="3" applyNumberFormat="1" applyFont="1" applyFill="1" applyAlignment="1" applyProtection="1">
      <alignment horizontal="right"/>
      <protection locked="0"/>
    </xf>
    <xf numFmtId="49" fontId="2" fillId="0" borderId="0" xfId="3" applyNumberFormat="1" applyFont="1" applyFill="1" applyAlignment="1" applyProtection="1">
      <alignment horizontal="left"/>
      <protection locked="0"/>
    </xf>
    <xf numFmtId="49" fontId="3" fillId="0" borderId="2" xfId="1" applyNumberFormat="1" applyFont="1" applyFill="1" applyBorder="1" applyAlignment="1"/>
    <xf numFmtId="49" fontId="3" fillId="0" borderId="3" xfId="1" applyNumberFormat="1" applyFont="1" applyFill="1" applyBorder="1" applyAlignment="1"/>
    <xf numFmtId="49" fontId="3" fillId="0" borderId="4" xfId="1" applyNumberFormat="1" applyFont="1" applyFill="1" applyBorder="1" applyAlignment="1"/>
    <xf numFmtId="0" fontId="2" fillId="0" borderId="0" xfId="1" quotePrefix="1" applyFont="1" applyFill="1"/>
    <xf numFmtId="49" fontId="3" fillId="0" borderId="5" xfId="1" applyNumberFormat="1" applyFont="1" applyFill="1" applyBorder="1" applyAlignment="1">
      <alignment horizontal="center"/>
    </xf>
    <xf numFmtId="40" fontId="3" fillId="0" borderId="5" xfId="1" applyNumberFormat="1" applyFont="1" applyFill="1" applyBorder="1" applyAlignment="1">
      <alignment horizontal="center"/>
    </xf>
    <xf numFmtId="49" fontId="2" fillId="0" borderId="0" xfId="1" applyNumberFormat="1" applyFont="1" applyFill="1" applyAlignment="1">
      <alignment horizontal="center"/>
    </xf>
    <xf numFmtId="40" fontId="2" fillId="0" borderId="0" xfId="1" applyNumberFormat="1" applyFont="1" applyFill="1" applyAlignment="1">
      <alignment horizontal="center"/>
    </xf>
    <xf numFmtId="49" fontId="6" fillId="0" borderId="0" xfId="1" applyNumberFormat="1" applyFont="1" applyFill="1"/>
    <xf numFmtId="167" fontId="2" fillId="0" borderId="0" xfId="1" applyNumberFormat="1" applyFont="1" applyFill="1"/>
    <xf numFmtId="0" fontId="2" fillId="0" borderId="0" xfId="1" applyFont="1" applyFill="1" applyAlignment="1"/>
    <xf numFmtId="0" fontId="5" fillId="0" borderId="0" xfId="2" applyFont="1" applyFill="1"/>
    <xf numFmtId="49" fontId="2" fillId="0" borderId="0" xfId="1" applyNumberFormat="1" applyFont="1" applyFill="1" applyAlignment="1">
      <alignment horizontal="left"/>
    </xf>
    <xf numFmtId="168" fontId="2" fillId="0" borderId="0" xfId="1" applyNumberFormat="1" applyFont="1" applyFill="1" applyAlignment="1">
      <alignment horizontal="center"/>
    </xf>
    <xf numFmtId="1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/>
    <xf numFmtId="40" fontId="5" fillId="0" borderId="0" xfId="2" applyNumberFormat="1" applyFont="1" applyFill="1"/>
    <xf numFmtId="0" fontId="6" fillId="0" borderId="0" xfId="1" applyFont="1" applyFill="1"/>
    <xf numFmtId="0" fontId="2" fillId="0" borderId="7" xfId="1" applyFont="1" applyFill="1" applyBorder="1" applyAlignment="1"/>
    <xf numFmtId="40" fontId="2" fillId="0" borderId="0" xfId="2" applyNumberFormat="1" applyFont="1" applyFill="1"/>
    <xf numFmtId="0" fontId="5" fillId="0" borderId="0" xfId="2" applyFont="1" applyFill="1" applyAlignment="1"/>
    <xf numFmtId="0" fontId="5" fillId="0" borderId="10" xfId="2" applyFont="1" applyFill="1" applyBorder="1" applyAlignment="1"/>
    <xf numFmtId="40" fontId="2" fillId="0" borderId="11" xfId="2" applyNumberFormat="1" applyFont="1" applyFill="1" applyBorder="1"/>
    <xf numFmtId="0" fontId="5" fillId="0" borderId="11" xfId="2" applyFont="1" applyFill="1" applyBorder="1" applyAlignment="1"/>
    <xf numFmtId="40" fontId="2" fillId="0" borderId="12" xfId="2" applyNumberFormat="1" applyFont="1" applyFill="1" applyBorder="1"/>
    <xf numFmtId="0" fontId="5" fillId="0" borderId="0" xfId="1" applyFont="1" applyFill="1" applyAlignment="1">
      <alignment horizontal="center"/>
    </xf>
    <xf numFmtId="8" fontId="5" fillId="0" borderId="0" xfId="1" applyNumberFormat="1" applyFont="1" applyFill="1"/>
    <xf numFmtId="0" fontId="2" fillId="0" borderId="0" xfId="2" applyFont="1" applyFill="1"/>
    <xf numFmtId="0" fontId="2" fillId="0" borderId="0" xfId="2" applyFont="1" applyFill="1" applyAlignment="1"/>
    <xf numFmtId="49" fontId="5" fillId="0" borderId="16" xfId="3" applyNumberFormat="1" applyFont="1" applyFill="1" applyBorder="1" applyAlignment="1" applyProtection="1">
      <alignment vertical="top" wrapText="1"/>
      <protection locked="0"/>
    </xf>
    <xf numFmtId="0" fontId="2" fillId="0" borderId="0" xfId="5" applyFont="1" applyFill="1" applyAlignment="1">
      <alignment horizontal="left"/>
    </xf>
    <xf numFmtId="40" fontId="2" fillId="0" borderId="0" xfId="1" applyNumberFormat="1" applyFont="1" applyFill="1" applyAlignment="1">
      <alignment horizontal="left"/>
    </xf>
    <xf numFmtId="0" fontId="8" fillId="0" borderId="0" xfId="6" applyFont="1" applyFill="1" applyAlignment="1">
      <alignment horizontal="left"/>
    </xf>
    <xf numFmtId="39" fontId="5" fillId="0" borderId="12" xfId="1" applyNumberFormat="1" applyFont="1" applyFill="1" applyBorder="1"/>
    <xf numFmtId="39" fontId="2" fillId="0" borderId="0" xfId="5" applyNumberFormat="1" applyFont="1" applyFill="1" applyAlignment="1">
      <alignment horizontal="left"/>
    </xf>
    <xf numFmtId="39" fontId="2" fillId="0" borderId="1" xfId="3" applyNumberFormat="1" applyFont="1" applyFill="1" applyBorder="1" applyAlignment="1" applyProtection="1">
      <alignment horizontal="right"/>
      <protection locked="0"/>
    </xf>
    <xf numFmtId="39" fontId="2" fillId="0" borderId="0" xfId="2" applyNumberFormat="1" applyFont="1" applyFill="1"/>
    <xf numFmtId="39" fontId="2" fillId="0" borderId="11" xfId="2" applyNumberFormat="1" applyFont="1" applyFill="1" applyBorder="1"/>
    <xf numFmtId="39" fontId="2" fillId="0" borderId="12" xfId="2" applyNumberFormat="1" applyFont="1" applyFill="1" applyBorder="1"/>
    <xf numFmtId="39" fontId="2" fillId="0" borderId="0" xfId="1" applyNumberFormat="1" applyFont="1" applyFill="1" applyAlignment="1">
      <alignment horizontal="center"/>
    </xf>
    <xf numFmtId="39" fontId="2" fillId="0" borderId="0" xfId="1" applyNumberFormat="1" applyFont="1" applyFill="1"/>
    <xf numFmtId="0" fontId="9" fillId="0" borderId="0" xfId="1" applyFont="1" applyFill="1"/>
    <xf numFmtId="0" fontId="2" fillId="0" borderId="0" xfId="5" applyFont="1" applyFill="1" applyAlignment="1">
      <alignment horizontal="center"/>
    </xf>
    <xf numFmtId="0" fontId="2" fillId="0" borderId="0" xfId="5" quotePrefix="1" applyFont="1" applyFill="1" applyAlignment="1">
      <alignment horizontal="center"/>
    </xf>
    <xf numFmtId="40" fontId="2" fillId="0" borderId="0" xfId="1" quotePrefix="1" applyNumberFormat="1" applyFont="1" applyFill="1" applyAlignment="1">
      <alignment horizontal="center"/>
    </xf>
    <xf numFmtId="169" fontId="2" fillId="0" borderId="0" xfId="5" applyNumberFormat="1" applyFont="1" applyFill="1" applyAlignment="1">
      <alignment horizontal="center"/>
    </xf>
    <xf numFmtId="40" fontId="2" fillId="0" borderId="0" xfId="5" applyNumberFormat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39" fontId="2" fillId="0" borderId="11" xfId="1" applyNumberFormat="1" applyFont="1" applyFill="1" applyBorder="1"/>
    <xf numFmtId="39" fontId="2" fillId="0" borderId="0" xfId="5" applyNumberFormat="1" applyFont="1" applyFill="1" applyAlignment="1">
      <alignment horizontal="center"/>
    </xf>
    <xf numFmtId="0" fontId="2" fillId="0" borderId="16" xfId="3" applyNumberFormat="1" applyFont="1" applyFill="1" applyBorder="1" applyAlignment="1" applyProtection="1">
      <protection locked="0"/>
    </xf>
    <xf numFmtId="0" fontId="8" fillId="0" borderId="0" xfId="7" applyFont="1" applyFill="1"/>
    <xf numFmtId="49" fontId="5" fillId="0" borderId="0" xfId="1" applyNumberFormat="1" applyFont="1" applyFill="1" applyAlignment="1">
      <alignment horizontal="center"/>
    </xf>
    <xf numFmtId="8" fontId="5" fillId="0" borderId="12" xfId="1" applyNumberFormat="1" applyFont="1" applyFill="1" applyBorder="1"/>
    <xf numFmtId="0" fontId="2" fillId="0" borderId="16" xfId="3" applyNumberFormat="1" applyFont="1" applyFill="1" applyBorder="1" applyAlignment="1" applyProtection="1">
      <alignment horizontal="center"/>
      <protection locked="0"/>
    </xf>
    <xf numFmtId="0" fontId="2" fillId="0" borderId="1" xfId="3" applyNumberFormat="1" applyFont="1" applyFill="1" applyBorder="1" applyProtection="1">
      <protection locked="0"/>
    </xf>
    <xf numFmtId="49" fontId="3" fillId="0" borderId="2" xfId="1" applyNumberFormat="1" applyFont="1" applyFill="1" applyBorder="1"/>
    <xf numFmtId="49" fontId="3" fillId="0" borderId="3" xfId="1" applyNumberFormat="1" applyFont="1" applyFill="1" applyBorder="1"/>
    <xf numFmtId="49" fontId="3" fillId="0" borderId="4" xfId="1" applyNumberFormat="1" applyFont="1" applyFill="1" applyBorder="1"/>
    <xf numFmtId="49" fontId="2" fillId="0" borderId="0" xfId="1" quotePrefix="1" applyNumberFormat="1" applyFont="1" applyFill="1" applyAlignment="1">
      <alignment horizontal="center"/>
    </xf>
    <xf numFmtId="0" fontId="5" fillId="0" borderId="11" xfId="2" applyFont="1" applyFill="1" applyBorder="1"/>
    <xf numFmtId="0" fontId="5" fillId="0" borderId="10" xfId="2" applyFont="1" applyFill="1" applyBorder="1"/>
    <xf numFmtId="0" fontId="2" fillId="0" borderId="16" xfId="3" applyNumberFormat="1" applyFont="1" applyFill="1" applyBorder="1" applyProtection="1">
      <protection locked="0"/>
    </xf>
    <xf numFmtId="49" fontId="5" fillId="0" borderId="17" xfId="3" applyNumberFormat="1" applyFont="1" applyFill="1" applyBorder="1" applyAlignment="1" applyProtection="1">
      <alignment vertical="top" wrapText="1"/>
      <protection locked="0"/>
    </xf>
    <xf numFmtId="49" fontId="5" fillId="0" borderId="18" xfId="3" applyNumberFormat="1" applyFont="1" applyFill="1" applyBorder="1" applyAlignment="1" applyProtection="1">
      <alignment vertical="top" wrapText="1"/>
      <protection locked="0"/>
    </xf>
    <xf numFmtId="0" fontId="2" fillId="0" borderId="0" xfId="1" applyFont="1" applyFill="1" applyAlignment="1">
      <alignment horizontal="right"/>
    </xf>
    <xf numFmtId="0" fontId="10" fillId="0" borderId="0" xfId="6" applyFont="1" applyFill="1" applyAlignment="1">
      <alignment horizontal="left"/>
    </xf>
    <xf numFmtId="49" fontId="5" fillId="0" borderId="17" xfId="3" applyNumberFormat="1" applyFont="1" applyFill="1" applyBorder="1" applyAlignment="1" applyProtection="1">
      <alignment horizontal="center" vertical="top" wrapText="1"/>
      <protection locked="0"/>
    </xf>
    <xf numFmtId="49" fontId="5" fillId="0" borderId="18" xfId="3" applyNumberFormat="1" applyFont="1" applyFill="1" applyBorder="1" applyAlignment="1" applyProtection="1">
      <alignment horizontal="center" vertical="top" wrapText="1"/>
      <protection locked="0"/>
    </xf>
    <xf numFmtId="49" fontId="3" fillId="0" borderId="2" xfId="1" applyNumberFormat="1" applyFont="1" applyBorder="1" applyAlignment="1">
      <alignment horizontal="left"/>
    </xf>
    <xf numFmtId="49" fontId="3" fillId="0" borderId="3" xfId="1" applyNumberFormat="1" applyFont="1" applyBorder="1" applyAlignment="1">
      <alignment horizontal="left"/>
    </xf>
    <xf numFmtId="49" fontId="3" fillId="0" borderId="4" xfId="1" applyNumberFormat="1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11" xfId="2" applyFont="1" applyBorder="1" applyAlignment="1">
      <alignment horizontal="left"/>
    </xf>
    <xf numFmtId="0" fontId="5" fillId="0" borderId="10" xfId="2" applyFont="1" applyBorder="1" applyAlignment="1">
      <alignment horizontal="left"/>
    </xf>
    <xf numFmtId="49" fontId="5" fillId="0" borderId="17" xfId="3" applyNumberFormat="1" applyFont="1" applyFill="1" applyBorder="1" applyAlignment="1" applyProtection="1">
      <alignment horizontal="center" vertical="top" wrapText="1"/>
      <protection locked="0"/>
    </xf>
    <xf numFmtId="49" fontId="5" fillId="0" borderId="19" xfId="3" applyNumberFormat="1" applyFont="1" applyFill="1" applyBorder="1" applyAlignment="1" applyProtection="1">
      <alignment horizontal="center" vertical="top" wrapText="1"/>
      <protection locked="0"/>
    </xf>
    <xf numFmtId="49" fontId="5" fillId="0" borderId="18" xfId="3" applyNumberFormat="1" applyFont="1" applyFill="1" applyBorder="1" applyAlignment="1" applyProtection="1">
      <alignment horizontal="center" vertical="top" wrapText="1"/>
      <protection locked="0"/>
    </xf>
    <xf numFmtId="0" fontId="2" fillId="0" borderId="1" xfId="3" applyNumberFormat="1" applyFill="1" applyBorder="1" applyAlignment="1" applyProtection="1">
      <alignment horizontal="left"/>
      <protection locked="0"/>
    </xf>
  </cellXfs>
  <cellStyles count="8">
    <cellStyle name="Comma 2" xfId="4" xr:uid="{00000000-0005-0000-0000-000001000000}"/>
    <cellStyle name="Normal" xfId="0" builtinId="0"/>
    <cellStyle name="Normal 2 3" xfId="1" xr:uid="{00000000-0005-0000-0000-000003000000}"/>
    <cellStyle name="Normal 3" xfId="2" xr:uid="{00000000-0005-0000-0000-000004000000}"/>
    <cellStyle name="Normal 3 2" xfId="5" xr:uid="{1107FF57-0664-47B4-9B43-0E4E4F8EFA40}"/>
    <cellStyle name="Normal 4 2" xfId="7" xr:uid="{AE48F0B8-FE19-454D-8BFF-CB70E1806606}"/>
    <cellStyle name="Normal 5" xfId="6" xr:uid="{202A306C-5ED7-4741-862B-5C18D8AF1432}"/>
    <cellStyle name="Normal_JE_UPLOAD_sub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5.xml" Id="rId5" /><Relationship Type="http://schemas.openxmlformats.org/officeDocument/2006/relationships/externalLink" Target="externalLinks/externalLink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calcChain" Target="calcChain.xml" Id="rId1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0</xdr:colOff>
      <xdr:row>23</xdr:row>
      <xdr:rowOff>0</xdr:rowOff>
    </xdr:from>
    <xdr:to>
      <xdr:col>21</xdr:col>
      <xdr:colOff>142875</xdr:colOff>
      <xdr:row>45</xdr:row>
      <xdr:rowOff>150792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198462F0-46B6-4EDE-AA31-5718BA33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075" y="3952875"/>
          <a:ext cx="5953125" cy="3951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0</xdr:colOff>
      <xdr:row>27</xdr:row>
      <xdr:rowOff>0</xdr:rowOff>
    </xdr:from>
    <xdr:to>
      <xdr:col>20</xdr:col>
      <xdr:colOff>628650</xdr:colOff>
      <xdr:row>51</xdr:row>
      <xdr:rowOff>61773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BAD6F4FE-D88E-4A8D-BCAC-C23790D8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4600575"/>
          <a:ext cx="6619875" cy="41860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13</xdr:col>
      <xdr:colOff>781050</xdr:colOff>
      <xdr:row>27</xdr:row>
      <xdr:rowOff>66675</xdr:rowOff>
    </xdr:from>
    <xdr:to>
      <xdr:col>20</xdr:col>
      <xdr:colOff>323850</xdr:colOff>
      <xdr:row>52</xdr:row>
      <xdr:rowOff>48372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36071188-C551-47E3-9D5D-B5127580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4667250"/>
          <a:ext cx="6543675" cy="42679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0</xdr:colOff>
      <xdr:row>41</xdr:row>
      <xdr:rowOff>0</xdr:rowOff>
    </xdr:from>
    <xdr:to>
      <xdr:col>21</xdr:col>
      <xdr:colOff>343942</xdr:colOff>
      <xdr:row>66</xdr:row>
      <xdr:rowOff>95250</xdr:rowOff>
    </xdr:to>
    <xdr:pic>
      <xdr:nvPicPr>
        <xdr:cNvPr id="4" name="Picture 3" descr="" title="">
          <a:extLst>
            <a:ext uri="{FF2B5EF4-FFF2-40B4-BE49-F238E27FC236}">
              <a16:creationId xmlns:a16="http://schemas.microsoft.com/office/drawing/2014/main" id="{0B72FA31-87B3-4A42-8030-AFEE446CC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6375" y="6867525"/>
          <a:ext cx="7468642" cy="439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14</xdr:col>
      <xdr:colOff>1</xdr:colOff>
      <xdr:row>27</xdr:row>
      <xdr:rowOff>0</xdr:rowOff>
    </xdr:from>
    <xdr:to>
      <xdr:col>19</xdr:col>
      <xdr:colOff>28576</xdr:colOff>
      <xdr:row>55</xdr:row>
      <xdr:rowOff>63738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7593B1B3-B82F-41FA-9D1B-267B3611F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2076" y="6381750"/>
          <a:ext cx="5505450" cy="48357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14</xdr:col>
      <xdr:colOff>0</xdr:colOff>
      <xdr:row>20</xdr:row>
      <xdr:rowOff>0</xdr:rowOff>
    </xdr:from>
    <xdr:to>
      <xdr:col>16</xdr:col>
      <xdr:colOff>657225</xdr:colOff>
      <xdr:row>51</xdr:row>
      <xdr:rowOff>61567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0D95B739-041E-40AA-8060-F63AC222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2075" y="3467100"/>
          <a:ext cx="5638800" cy="53288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0</xdr:colOff>
      <xdr:row>38</xdr:row>
      <xdr:rowOff>0</xdr:rowOff>
    </xdr:from>
    <xdr:to>
      <xdr:col>17</xdr:col>
      <xdr:colOff>264713</xdr:colOff>
      <xdr:row>59</xdr:row>
      <xdr:rowOff>75640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4A5D492D-D4A1-4FF1-BE5E-A465CFC11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6419850"/>
          <a:ext cx="5836838" cy="367609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35</xdr:row>
      <xdr:rowOff>104775</xdr:rowOff>
    </xdr:from>
    <xdr:to>
      <xdr:col>10</xdr:col>
      <xdr:colOff>688552</xdr:colOff>
      <xdr:row>45</xdr:row>
      <xdr:rowOff>43384</xdr:rowOff>
    </xdr:to>
    <xdr:pic>
      <xdr:nvPicPr>
        <xdr:cNvPr id="4" name="Picture 3" descr="" title="">
          <a:extLst>
            <a:ext uri="{FF2B5EF4-FFF2-40B4-BE49-F238E27FC236}">
              <a16:creationId xmlns:a16="http://schemas.microsoft.com/office/drawing/2014/main" id="{CAB3F6E8-C0B7-443C-B427-CF47D299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</a:blip>
        <a:stretch>
          <a:fillRect/>
        </a:stretch>
      </xdr:blipFill>
      <xdr:spPr>
        <a:xfrm>
          <a:off x="5019675" y="6000750"/>
          <a:ext cx="5009727" cy="17102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0</xdr:colOff>
      <xdr:row>21</xdr:row>
      <xdr:rowOff>0</xdr:rowOff>
    </xdr:from>
    <xdr:to>
      <xdr:col>21</xdr:col>
      <xdr:colOff>1039336</xdr:colOff>
      <xdr:row>51</xdr:row>
      <xdr:rowOff>105502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E6A01DAF-900D-4E63-AE2F-0AEC55277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8975" y="3629025"/>
          <a:ext cx="7964011" cy="52109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14</xdr:col>
      <xdr:colOff>1</xdr:colOff>
      <xdr:row>26</xdr:row>
      <xdr:rowOff>1</xdr:rowOff>
    </xdr:from>
    <xdr:to>
      <xdr:col>19</xdr:col>
      <xdr:colOff>628651</xdr:colOff>
      <xdr:row>55</xdr:row>
      <xdr:rowOff>149417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28BDFDC6-15B3-4545-A6FD-D5CBF7B64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6151" y="4438651"/>
          <a:ext cx="5924550" cy="5083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orp.oncor.com/Users/kevin.hunsicker/Documents/Troy/2016-07-19%20--%202016%20CapEx%20July%20Reforecast%206+6%20--%20Plan%20v3%20-TL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 with Time Lag"/>
      <sheetName val="Summary by lease -- 5 year plan"/>
      <sheetName val="TRUE UP TO 5 YEAR PLAN"/>
      <sheetName val="ISD Summary by WBS"/>
      <sheetName val="Cross Valley Recon"/>
      <sheetName val="ISD Data"/>
      <sheetName val="Projects by Lease SDTS"/>
      <sheetName val="12-31-14 TCOS SDTS DETAIL"/>
      <sheetName val="7-31-14 TCOS FILING SDTS DETAI2"/>
      <sheetName val="INTERFACE"/>
      <sheetName val="PRIOR YR DATA"/>
      <sheetName val="Ref Line Lookup"/>
      <sheetName val="MasterData"/>
      <sheetName val="2015 PIS"/>
      <sheetName val="Transmission ONLY Tab"/>
      <sheetName val="Prior Update Comparison"/>
      <sheetName val="Trans INPUT tab (2)"/>
      <sheetName val="Transmission Summary"/>
      <sheetName val="Plan Check"/>
      <sheetName val="Transmission Plan 2017"/>
      <sheetName val="Transmission Tier 2"/>
      <sheetName val="Transmission Tier 3"/>
      <sheetName val="NonPlan Transmission"/>
      <sheetName val="Julian Hoover"/>
      <sheetName val="Jason Avent"/>
      <sheetName val="Chris Reynolds"/>
      <sheetName val="Q2 Fcst"/>
      <sheetName val="Q1 Fcst"/>
      <sheetName val="2016 Project Budget-Troy"/>
      <sheetName val="New&amp;RR - Brady"/>
      <sheetName val="Footprint"/>
      <sheetName val="MPSUs"/>
      <sheetName val="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5">
          <cell r="H5" t="str">
            <v>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../drawings/drawing7.xml" Id="rI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../drawings/drawing8.xml" Id="rI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../drawings/drawing9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Y63"/>
  <x:sheetViews>
    <x:sheetView tabSelected="1" zoomScaleNormal="100" workbookViewId="0"/>
  </x:sheetViews>
  <x:sheetFormatPr defaultColWidth="9.140625" defaultRowHeight="12.75" x14ac:dyDescent="0.2"/>
  <x:cols>
    <x:col min="1" max="1" width="4.85546875" style="8" bestFit="1" customWidth="1"/>
    <x:col min="2" max="2" width="11.85546875" style="8" customWidth="1"/>
    <x:col min="3" max="3" width="11.28515625" style="8" bestFit="1" customWidth="1"/>
    <x:col min="4" max="4" width="5" style="8" customWidth="1"/>
    <x:col min="5" max="5" width="9.28515625" style="8" bestFit="1" customWidth="1"/>
    <x:col min="6" max="6" width="9.140625" style="8"/>
    <x:col min="7" max="7" width="8.42578125" style="8" bestFit="1" customWidth="1"/>
    <x:col min="8" max="8" width="8.5703125" style="8" bestFit="1" customWidth="1"/>
    <x:col min="9" max="9" width="12.28515625" style="9" bestFit="1" customWidth="1"/>
    <x:col min="10" max="10" width="10.7109375" style="8" bestFit="1" customWidth="1"/>
    <x:col min="11" max="11" width="11.7109375" style="8" bestFit="1" customWidth="1"/>
    <x:col min="12" max="12" width="11.28515625" style="8" bestFit="1" customWidth="1"/>
    <x:col min="13" max="13" width="7" style="8" customWidth="1"/>
    <x:col min="14" max="14" width="13.28515625" style="8" bestFit="1" customWidth="1"/>
    <x:col min="15" max="15" width="12.140625" style="8" bestFit="1" customWidth="1"/>
    <x:col min="16" max="16" width="17.7109375" style="8" customWidth="1"/>
    <x:col min="17" max="17" width="6.28515625" style="8" customWidth="1"/>
    <x:col min="18" max="18" width="11.28515625" style="8" bestFit="1" customWidth="1"/>
    <x:col min="19" max="19" width="10.140625" style="8" customWidth="1"/>
    <x:col min="20" max="20" width="12.140625" style="8" bestFit="1" customWidth="1"/>
    <x:col min="21" max="21" width="17.42578125" style="8" customWidth="1"/>
    <x:col min="22" max="22" width="11.7109375" style="8" customWidth="1"/>
    <x:col min="23" max="23" width="10.85546875" style="8" customWidth="1"/>
    <x:col min="24" max="16384" width="9.140625" style="8"/>
  </x:cols>
  <x:sheetData>
    <x:row r="1" spans="1:25" x14ac:dyDescent="0.2">
      <x:c r="A1" s="35" t="s">
        <x:v>106</x:v>
      </x:c>
      <x:c r="B1" s="35"/>
      <x:c r="C1" s="35"/>
      <x:c r="D1" s="35"/>
      <x:c r="E1" s="35"/>
      <x:c r="F1" s="35"/>
      <x:c r="G1" s="1"/>
      <x:c r="H1" s="1"/>
      <x:c r="I1" s="2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7"/>
      <x:c r="Y1" s="17"/>
    </x:row>
    <x:row r="2" spans="1:25" ht="13.5" thickBot="1" x14ac:dyDescent="0.25">
      <x:c r="A2" s="35"/>
      <x:c r="B2" s="1"/>
      <x:c r="C2" s="1"/>
      <x:c r="D2" s="1"/>
      <x:c r="E2" s="1"/>
      <x:c r="F2" s="1"/>
      <x:c r="G2" s="1"/>
      <x:c r="H2" s="1"/>
      <x:c r="I2" s="2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7"/>
      <x:c r="Y2" s="17"/>
    </x:row>
    <x:row r="3" spans="1:25" ht="16.5" thickTop="1" thickBot="1" x14ac:dyDescent="0.35">
      <x:c r="A3" s="163" t="s">
        <x:v>4</x:v>
      </x:c>
      <x:c r="B3" s="164"/>
      <x:c r="C3" s="164"/>
      <x:c r="D3" s="164"/>
      <x:c r="E3" s="165"/>
      <x:c r="F3" s="1"/>
      <x:c r="G3" s="1"/>
      <x:c r="H3" s="1"/>
      <x:c r="I3" s="2"/>
      <x:c r="J3" s="1"/>
      <x:c r="K3" s="1"/>
      <x:c r="L3" s="1"/>
      <x:c r="M3" s="1"/>
      <x:c r="N3" s="1"/>
      <x:c r="O3" s="1"/>
      <x:c r="P3" s="1"/>
      <x:c r="Q3" s="1"/>
      <x:c r="R3" s="36"/>
      <x:c r="S3" s="1"/>
      <x:c r="T3" s="1"/>
      <x:c r="U3" s="1"/>
      <x:c r="V3" s="1"/>
      <x:c r="W3" s="1"/>
      <x:c r="X3" s="17"/>
      <x:c r="Y3" s="17"/>
    </x:row>
    <x:row r="4" spans="1:25" ht="16.5" thickTop="1" thickBot="1" x14ac:dyDescent="0.35">
      <x:c r="A4" s="37" t="s">
        <x:v>0</x:v>
      </x:c>
      <x:c r="B4" s="37" t="s">
        <x:v>5</x:v>
      </x:c>
      <x:c r="C4" s="37" t="s">
        <x:v>6</x:v>
      </x:c>
      <x:c r="D4" s="37" t="s">
        <x:v>7</x:v>
      </x:c>
      <x:c r="E4" s="37" t="s">
        <x:v>8</x:v>
      </x:c>
      <x:c r="F4" s="37" t="s">
        <x:v>9</x:v>
      </x:c>
      <x:c r="G4" s="37" t="s">
        <x:v>10</x:v>
      </x:c>
      <x:c r="H4" s="37" t="s">
        <x:v>11</x:v>
      </x:c>
      <x:c r="I4" s="38" t="s">
        <x:v>12</x:v>
      </x:c>
      <x:c r="J4" s="37" t="s">
        <x:v>13</x:v>
      </x:c>
      <x:c r="K4" s="37" t="s">
        <x:v>14</x:v>
      </x:c>
      <x:c r="L4" s="37" t="s">
        <x:v>15</x:v>
      </x:c>
      <x:c r="M4" s="37" t="s">
        <x:v>1</x:v>
      </x:c>
      <x:c r="N4" s="37" t="s">
        <x:v>16</x:v>
      </x:c>
      <x:c r="O4" s="37" t="s">
        <x:v>17</x:v>
      </x:c>
      <x:c r="P4" s="37" t="s">
        <x:v>18</x:v>
      </x:c>
      <x:c r="Q4" s="1"/>
      <x:c r="R4" s="36"/>
      <x:c r="S4" s="1"/>
      <x:c r="T4" s="1"/>
      <x:c r="U4" s="1"/>
      <x:c r="V4" s="1"/>
      <x:c r="W4" s="1"/>
      <x:c r="X4" s="17"/>
      <x:c r="Y4" s="17"/>
    </x:row>
    <x:row r="5" spans="1:25" ht="13.5" thickTop="1" x14ac:dyDescent="0.2">
      <x:c r="A5" s="39" t="s">
        <x:v>19</x:v>
      </x:c>
      <x:c r="B5" s="39" t="s">
        <x:v>20</x:v>
      </x:c>
      <x:c r="C5" s="39" t="s">
        <x:v>21</x:v>
      </x:c>
      <x:c r="D5" s="39" t="s">
        <x:v>22</x:v>
      </x:c>
      <x:c r="E5" s="39" t="s">
        <x:v>107</x:v>
      </x:c>
      <x:c r="F5" s="39" t="s">
        <x:v>23</x:v>
      </x:c>
      <x:c r="G5" s="39" t="s">
        <x:v>23</x:v>
      </x:c>
      <x:c r="H5" s="39"/>
      <x:c r="I5" s="40">
        <x:v>-194066.5</x:v>
      </x:c>
      <x:c r="J5" s="39" t="s">
        <x:v>95</x:v>
      </x:c>
      <x:c r="K5" s="39"/>
      <x:c r="L5" s="39" t="s">
        <x:v>108</x:v>
      </x:c>
      <x:c r="M5" s="39" t="s">
        <x:v>109</x:v>
      </x:c>
      <x:c r="N5" s="39" t="s">
        <x:v>25</x:v>
      </x:c>
      <x:c r="O5" s="39" t="s">
        <x:v>96</x:v>
      </x:c>
      <x:c r="P5" s="48" t="s">
        <x:v>27</x:v>
      </x:c>
      <x:c r="Q5" s="41"/>
      <x:c r="R5" s="42"/>
      <x:c r="S5" s="42"/>
      <x:c r="T5" s="42"/>
      <x:c r="U5" s="42"/>
      <x:c r="V5" s="1"/>
      <x:c r="W5" s="1"/>
      <x:c r="X5" s="17"/>
      <x:c r="Y5" s="17"/>
    </x:row>
    <x:row r="6" spans="1:25" x14ac:dyDescent="0.2">
      <x:c r="A6" s="39" t="s">
        <x:v>19</x:v>
      </x:c>
      <x:c r="B6" s="39" t="s">
        <x:v>20</x:v>
      </x:c>
      <x:c r="C6" s="39" t="s">
        <x:v>21</x:v>
      </x:c>
      <x:c r="D6" s="39" t="s">
        <x:v>135</x:v>
      </x:c>
      <x:c r="E6" s="39" t="s">
        <x:v>107</x:v>
      </x:c>
      <x:c r="F6" s="39" t="s">
        <x:v>23</x:v>
      </x:c>
      <x:c r="G6" s="39" t="s">
        <x:v>23</x:v>
      </x:c>
      <x:c r="H6" s="39"/>
      <x:c r="I6" s="49">
        <x:v>3903.9</x:v>
      </x:c>
      <x:c r="J6" s="39" t="s">
        <x:v>136</x:v>
      </x:c>
      <x:c r="K6" s="39"/>
      <x:c r="L6" s="39">
        <x:v>7</x:v>
      </x:c>
      <x:c r="M6" s="39">
        <x:v>2024</x:v>
      </x:c>
      <x:c r="N6" s="39" t="s">
        <x:v>87</x:v>
      </x:c>
      <x:c r="O6" s="39" t="s">
        <x:v>88</x:v>
      </x:c>
      <x:c r="P6" s="48" t="s">
        <x:v>137</x:v>
      </x:c>
      <x:c r="Q6" s="42"/>
      <x:c r="R6" s="43"/>
      <x:c r="S6" s="1"/>
      <x:c r="T6" s="1"/>
      <x:c r="U6" s="1"/>
      <x:c r="V6" s="1"/>
      <x:c r="W6" s="1"/>
      <x:c r="X6" s="17"/>
      <x:c r="Y6" s="17"/>
    </x:row>
    <x:row r="7" spans="1:25" x14ac:dyDescent="0.2">
      <x:c r="A7" s="86" t="s">
        <x:v>19</x:v>
      </x:c>
      <x:c r="B7" s="86" t="s">
        <x:v>20</x:v>
      </x:c>
      <x:c r="C7" s="86" t="s">
        <x:v>21</x:v>
      </x:c>
      <x:c r="D7" s="86" t="s">
        <x:v>89</x:v>
      </x:c>
      <x:c r="E7" s="86" t="s">
        <x:v>107</x:v>
      </x:c>
      <x:c r="F7" s="86" t="s">
        <x:v>23</x:v>
      </x:c>
      <x:c r="G7" s="86" t="s">
        <x:v>23</x:v>
      </x:c>
      <x:c r="H7" s="86"/>
      <x:c r="I7" s="49">
        <x:v>167.09</x:v>
      </x:c>
      <x:c r="J7" s="86" t="s">
        <x:v>138</x:v>
      </x:c>
      <x:c r="K7" s="86"/>
      <x:c r="L7" s="86">
        <x:v>7</x:v>
      </x:c>
      <x:c r="M7" s="86">
        <x:v>2024</x:v>
      </x:c>
      <x:c r="N7" s="86" t="s">
        <x:v>90</x:v>
      </x:c>
      <x:c r="O7" s="86" t="s">
        <x:v>91</x:v>
      </x:c>
      <x:c r="P7" s="81" t="s">
        <x:v>92</x:v>
      </x:c>
      <x:c r="Q7" s="1"/>
      <x:c r="R7" s="44"/>
      <x:c r="S7" s="1"/>
      <x:c r="T7" s="1"/>
      <x:c r="U7" s="1"/>
      <x:c r="V7" s="1"/>
      <x:c r="W7" s="1"/>
      <x:c r="X7" s="17"/>
      <x:c r="Y7" s="17"/>
    </x:row>
    <x:row r="8" spans="1:25" x14ac:dyDescent="0.2">
      <x:c r="A8" s="1"/>
      <x:c r="B8" s="1"/>
      <x:c r="C8" s="1"/>
      <x:c r="D8" s="1"/>
      <x:c r="E8" s="1"/>
      <x:c r="F8" s="1"/>
      <x:c r="G8" s="1"/>
      <x:c r="H8" s="1"/>
      <x:c r="I8" s="2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7"/>
      <x:c r="Y8" s="17"/>
    </x:row>
    <x:row r="9" spans="1:25" x14ac:dyDescent="0.2">
      <x:c r="A9" s="1"/>
      <x:c r="B9" s="1"/>
      <x:c r="C9" s="1"/>
      <x:c r="D9" s="1"/>
      <x:c r="E9" s="1"/>
      <x:c r="F9" s="1"/>
      <x:c r="G9" s="1"/>
      <x:c r="H9" s="1"/>
      <x:c r="I9" s="2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7"/>
      <x:c r="Y9" s="17"/>
    </x:row>
    <x:row r="10" spans="1:25" x14ac:dyDescent="0.2">
      <x:c r="A10" s="45" t="s">
        <x:v>28</x:v>
      </x:c>
      <x:c r="B10" s="1"/>
      <x:c r="C10" s="1"/>
      <x:c r="D10" s="1"/>
      <x:c r="E10" s="1"/>
      <x:c r="F10" s="1"/>
      <x:c r="G10" s="1"/>
      <x:c r="H10" s="1"/>
      <x:c r="I10" s="2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7"/>
      <x:c r="Y10" s="17"/>
    </x:row>
    <x:row r="11" spans="1:25" ht="13.5" thickBot="1" x14ac:dyDescent="0.25">
      <x:c r="A11" s="45"/>
      <x:c r="B11" s="1"/>
      <x:c r="C11" s="1"/>
      <x:c r="D11" s="1"/>
      <x:c r="E11" s="1"/>
      <x:c r="F11" s="1"/>
      <x:c r="G11" s="1"/>
      <x:c r="H11" s="1"/>
      <x:c r="I11" s="2"/>
      <x:c r="J11" s="1"/>
      <x:c r="K11" s="1"/>
      <x:c r="L11" s="1"/>
      <x:c r="M11" s="1"/>
      <x:c r="N11" s="1"/>
      <x:c r="O11" s="1"/>
      <x:c r="P11" s="1"/>
      <x:c r="Q11" s="1"/>
      <x:c r="R11" s="44"/>
      <x:c r="S11" s="1"/>
      <x:c r="T11" s="1"/>
      <x:c r="U11" s="1"/>
      <x:c r="V11" s="1"/>
      <x:c r="W11" s="1"/>
      <x:c r="X11" s="17"/>
      <x:c r="Y11" s="17"/>
    </x:row>
    <x:row r="12" spans="1:25" ht="16.5" thickTop="1" thickBot="1" x14ac:dyDescent="0.35">
      <x:c r="A12" s="163" t="s">
        <x:v>29</x:v>
      </x:c>
      <x:c r="B12" s="164"/>
      <x:c r="C12" s="164"/>
      <x:c r="D12" s="165"/>
      <x:c r="E12" s="1"/>
      <x:c r="F12" s="1"/>
      <x:c r="G12" s="1"/>
      <x:c r="H12" s="1"/>
      <x:c r="I12" s="2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35" t="s">
        <x:v>30</x:v>
      </x:c>
      <x:c r="X12" s="17"/>
      <x:c r="Y12" s="17"/>
    </x:row>
    <x:row r="13" spans="1:25" ht="16.5" thickTop="1" thickBot="1" x14ac:dyDescent="0.35">
      <x:c r="A13" s="46" t="s">
        <x:v>0</x:v>
      </x:c>
      <x:c r="B13" s="46" t="s">
        <x:v>31</x:v>
      </x:c>
      <x:c r="C13" s="46" t="s">
        <x:v>32</x:v>
      </x:c>
      <x:c r="D13" s="46" t="s">
        <x:v>18</x:v>
      </x:c>
      <x:c r="E13" s="46" t="s">
        <x:v>6</x:v>
      </x:c>
      <x:c r="F13" s="46" t="s">
        <x:v>33</x:v>
      </x:c>
      <x:c r="G13" s="46" t="s">
        <x:v>34</x:v>
      </x:c>
      <x:c r="H13" s="46" t="s">
        <x:v>35</x:v>
      </x:c>
      <x:c r="I13" s="47" t="s">
        <x:v>36</x:v>
      </x:c>
      <x:c r="J13" s="46" t="s">
        <x:v>18</x:v>
      </x:c>
      <x:c r="K13" s="46" t="s">
        <x:v>37</x:v>
      </x:c>
      <x:c r="L13" s="46" t="s">
        <x:v>8</x:v>
      </x:c>
      <x:c r="M13" s="46" t="s">
        <x:v>38</x:v>
      </x:c>
      <x:c r="N13" s="46" t="s">
        <x:v>39</x:v>
      </x:c>
      <x:c r="O13" s="46" t="s">
        <x:v>40</x:v>
      </x:c>
      <x:c r="P13" s="46" t="s">
        <x:v>41</x:v>
      </x:c>
      <x:c r="Q13" s="46" t="s">
        <x:v>42</x:v>
      </x:c>
      <x:c r="R13" s="46" t="s">
        <x:v>43</x:v>
      </x:c>
      <x:c r="S13" s="46" t="s">
        <x:v>44</x:v>
      </x:c>
      <x:c r="T13" s="46" t="s">
        <x:v>45</x:v>
      </x:c>
      <x:c r="U13" s="46" t="s">
        <x:v>46</x:v>
      </x:c>
      <x:c r="V13" s="46" t="s">
        <x:v>18</x:v>
      </x:c>
      <x:c r="W13" s="46" t="s">
        <x:v>47</x:v>
      </x:c>
      <x:c r="X13" s="17"/>
      <x:c r="Y13" s="17"/>
    </x:row>
    <x:row r="14" spans="1:25" ht="13.5" thickTop="1" x14ac:dyDescent="0.2">
      <x:c r="A14" s="39" t="s">
        <x:v>19</x:v>
      </x:c>
      <x:c r="B14" s="39" t="s">
        <x:v>110</x:v>
      </x:c>
      <x:c r="C14" s="39" t="s">
        <x:v>111</x:v>
      </x:c>
      <x:c r="D14" s="48" t="s">
        <x:v>112</x:v>
      </x:c>
      <x:c r="E14" s="39" t="s">
        <x:v>113</x:v>
      </x:c>
      <x:c r="F14" s="39" t="s">
        <x:v>114</x:v>
      </x:c>
      <x:c r="G14" s="39" t="s">
        <x:v>115</x:v>
      </x:c>
      <x:c r="H14" s="39" t="s">
        <x:v>116</x:v>
      </x:c>
      <x:c r="I14" s="49" t="s">
        <x:v>51</x:v>
      </x:c>
      <x:c r="J14" s="39" t="s">
        <x:v>52</x:v>
      </x:c>
      <x:c r="K14" s="39" t="s">
        <x:v>59</x:v>
      </x:c>
      <x:c r="L14" s="39"/>
      <x:c r="M14" s="39" t="s">
        <x:v>117</x:v>
      </x:c>
      <x:c r="N14" s="40">
        <x:v>1158333.8400000001</x:v>
      </x:c>
      <x:c r="O14" s="40">
        <x:v>1158333.8400000001</x:v>
      </x:c>
      <x:c r="P14" s="40">
        <x:v>0</x:v>
      </x:c>
      <x:c r="Q14" s="40">
        <x:v>0</x:v>
      </x:c>
      <x:c r="R14" s="40">
        <x:v>1</x:v>
      </x:c>
      <x:c r="S14" s="50">
        <x:v>35735</x:v>
      </x:c>
      <x:c r="T14" s="39"/>
      <x:c r="U14" s="39" t="s">
        <x:v>118</x:v>
      </x:c>
      <x:c r="V14" s="48" t="s">
        <x:v>98</x:v>
      </x:c>
      <x:c r="W14" s="39" t="s">
        <x:v>119</x:v>
      </x:c>
      <x:c r="X14" s="17"/>
      <x:c r="Y14" s="17"/>
    </x:row>
    <x:row r="15" spans="1:25" x14ac:dyDescent="0.2">
      <x:c r="A15" s="39" t="s">
        <x:v>19</x:v>
      </x:c>
      <x:c r="B15" s="39" t="s">
        <x:v>110</x:v>
      </x:c>
      <x:c r="C15" s="39" t="s">
        <x:v>111</x:v>
      </x:c>
      <x:c r="D15" s="48" t="s">
        <x:v>112</x:v>
      </x:c>
      <x:c r="E15" s="39" t="s">
        <x:v>113</x:v>
      </x:c>
      <x:c r="F15" s="39" t="s">
        <x:v>114</x:v>
      </x:c>
      <x:c r="G15" s="39" t="s">
        <x:v>115</x:v>
      </x:c>
      <x:c r="H15" s="39" t="s">
        <x:v>116</x:v>
      </x:c>
      <x:c r="I15" s="49" t="s">
        <x:v>51</x:v>
      </x:c>
      <x:c r="J15" s="39" t="s">
        <x:v>52</x:v>
      </x:c>
      <x:c r="K15" s="39" t="s">
        <x:v>59</x:v>
      </x:c>
      <x:c r="L15" s="39"/>
      <x:c r="M15" s="39" t="s">
        <x:v>117</x:v>
      </x:c>
      <x:c r="N15" s="40">
        <x:v>0</x:v>
      </x:c>
      <x:c r="O15" s="40">
        <x:v>0</x:v>
      </x:c>
      <x:c r="P15" s="40">
        <x:v>0</x:v>
      </x:c>
      <x:c r="Q15" s="40">
        <x:v>0</x:v>
      </x:c>
      <x:c r="R15" s="40">
        <x:v>60.78</x:v>
      </x:c>
      <x:c r="S15" s="50">
        <x:v>41364</x:v>
      </x:c>
      <x:c r="T15" s="39"/>
      <x:c r="U15" s="39" t="s">
        <x:v>57</x:v>
      </x:c>
      <x:c r="V15" s="48" t="s">
        <x:v>120</x:v>
      </x:c>
      <x:c r="W15" s="39" t="s">
        <x:v>119</x:v>
      </x:c>
      <x:c r="X15" s="17"/>
      <x:c r="Y15" s="17"/>
    </x:row>
    <x:row r="16" spans="1:25" x14ac:dyDescent="0.2">
      <x:c r="A16" s="39" t="s">
        <x:v>19</x:v>
      </x:c>
      <x:c r="B16" s="39" t="s">
        <x:v>110</x:v>
      </x:c>
      <x:c r="C16" s="39" t="s">
        <x:v>111</x:v>
      </x:c>
      <x:c r="D16" s="48" t="s">
        <x:v>112</x:v>
      </x:c>
      <x:c r="E16" s="39" t="s">
        <x:v>113</x:v>
      </x:c>
      <x:c r="F16" s="39" t="s">
        <x:v>114</x:v>
      </x:c>
      <x:c r="G16" s="39" t="s">
        <x:v>115</x:v>
      </x:c>
      <x:c r="H16" s="39" t="s">
        <x:v>116</x:v>
      </x:c>
      <x:c r="I16" s="49" t="s">
        <x:v>51</x:v>
      </x:c>
      <x:c r="J16" s="39" t="s">
        <x:v>52</x:v>
      </x:c>
      <x:c r="K16" s="39" t="s">
        <x:v>62</x:v>
      </x:c>
      <x:c r="L16" s="39"/>
      <x:c r="M16" s="39" t="s">
        <x:v>117</x:v>
      </x:c>
      <x:c r="N16" s="40">
        <x:v>-122620.64</x:v>
      </x:c>
      <x:c r="O16" s="40">
        <x:v>-122620.64</x:v>
      </x:c>
      <x:c r="P16" s="40">
        <x:v>0</x:v>
      </x:c>
      <x:c r="Q16" s="40">
        <x:v>0</x:v>
      </x:c>
      <x:c r="R16" s="40">
        <x:v>-6.54</x:v>
      </x:c>
      <x:c r="S16" s="50">
        <x:v>45382</x:v>
      </x:c>
      <x:c r="T16" s="39" t="s">
        <x:v>107</x:v>
      </x:c>
      <x:c r="U16" s="39" t="s">
        <x:v>121</x:v>
      </x:c>
      <x:c r="V16" s="48" t="s">
        <x:v>122</x:v>
      </x:c>
      <x:c r="W16" s="39" t="s">
        <x:v>119</x:v>
      </x:c>
      <x:c r="X16" s="17"/>
      <x:c r="Y16" s="17"/>
    </x:row>
    <x:row r="17" spans="1:25" x14ac:dyDescent="0.2">
      <x:c r="A17" s="39" t="s">
        <x:v>19</x:v>
      </x:c>
      <x:c r="B17" s="39" t="s">
        <x:v>123</x:v>
      </x:c>
      <x:c r="C17" s="39" t="s">
        <x:v>111</x:v>
      </x:c>
      <x:c r="D17" s="48" t="s">
        <x:v>112</x:v>
      </x:c>
      <x:c r="E17" s="39" t="s">
        <x:v>124</x:v>
      </x:c>
      <x:c r="F17" s="39" t="s">
        <x:v>125</x:v>
      </x:c>
      <x:c r="G17" s="39" t="s">
        <x:v>49</x:v>
      </x:c>
      <x:c r="H17" s="39" t="s">
        <x:v>50</x:v>
      </x:c>
      <x:c r="I17" s="49" t="s">
        <x:v>51</x:v>
      </x:c>
      <x:c r="J17" s="39" t="s">
        <x:v>52</x:v>
      </x:c>
      <x:c r="K17" s="39" t="s">
        <x:v>56</x:v>
      </x:c>
      <x:c r="L17" s="39"/>
      <x:c r="M17" s="39" t="s">
        <x:v>117</x:v>
      </x:c>
      <x:c r="N17" s="40">
        <x:v>122620.64</x:v>
      </x:c>
      <x:c r="O17" s="40">
        <x:v>122620.64</x:v>
      </x:c>
      <x:c r="P17" s="40">
        <x:v>0</x:v>
      </x:c>
      <x:c r="Q17" s="40">
        <x:v>0</x:v>
      </x:c>
      <x:c r="R17" s="40">
        <x:v>6.54</x:v>
      </x:c>
      <x:c r="S17" s="50">
        <x:v>45382</x:v>
      </x:c>
      <x:c r="T17" s="39" t="s">
        <x:v>107</x:v>
      </x:c>
      <x:c r="U17" s="39" t="s">
        <x:v>121</x:v>
      </x:c>
      <x:c r="V17" s="48" t="s">
        <x:v>122</x:v>
      </x:c>
      <x:c r="W17" s="39" t="s">
        <x:v>119</x:v>
      </x:c>
      <x:c r="X17" s="17"/>
      <x:c r="Y17" s="17"/>
    </x:row>
    <x:row r="18" spans="1:25" x14ac:dyDescent="0.2">
      <x:c r="A18" s="39"/>
      <x:c r="B18" s="39"/>
      <x:c r="C18" s="39"/>
      <x:c r="D18" s="48"/>
      <x:c r="E18" s="39"/>
      <x:c r="F18" s="39"/>
      <x:c r="G18" s="39"/>
      <x:c r="H18" s="39"/>
      <x:c r="I18" s="49"/>
      <x:c r="J18" s="39"/>
      <x:c r="K18" s="39"/>
      <x:c r="L18" s="39"/>
      <x:c r="M18" s="39"/>
      <x:c r="N18" s="49"/>
      <x:c r="O18" s="49"/>
      <x:c r="P18" s="49"/>
      <x:c r="Q18" s="49"/>
      <x:c r="R18" s="49"/>
      <x:c r="S18" s="50"/>
      <x:c r="T18" s="39"/>
      <x:c r="U18" s="39"/>
      <x:c r="V18" s="48"/>
      <x:c r="W18" s="39"/>
      <x:c r="X18" s="17"/>
      <x:c r="Y18" s="17"/>
    </x:row>
    <x:row r="19" spans="1:25" x14ac:dyDescent="0.2">
      <x:c r="A19" s="1"/>
      <x:c r="B19" s="1"/>
      <x:c r="C19" s="1"/>
      <x:c r="D19" s="1"/>
      <x:c r="E19" s="1"/>
      <x:c r="F19" s="1"/>
      <x:c r="G19" s="1"/>
      <x:c r="H19" s="1"/>
      <x:c r="I19" s="2"/>
      <x:c r="J19" s="1"/>
      <x:c r="K19" s="1"/>
      <x:c r="L19" s="1"/>
      <x:c r="M19" s="1"/>
      <x:c r="N19" s="1"/>
      <x:c r="O19" s="2">
        <x:v>1158333.8400000001</x:v>
      </x:c>
      <x:c r="P19" s="1"/>
      <x:c r="Q19" s="2">
        <x:v>0</x:v>
      </x:c>
      <x:c r="R19" s="51">
        <x:v>61.78</x:v>
      </x:c>
      <x:c r="S19" s="1"/>
      <x:c r="T19" s="1"/>
      <x:c r="U19" s="1"/>
      <x:c r="V19" s="1"/>
      <x:c r="W19" s="1"/>
      <x:c r="X19" s="17"/>
      <x:c r="Y19" s="17"/>
    </x:row>
    <x:row r="20" spans="1:25" x14ac:dyDescent="0.2">
      <x:c r="A20" s="1"/>
      <x:c r="B20" s="1"/>
      <x:c r="C20" s="1"/>
      <x:c r="D20" s="1"/>
      <x:c r="E20" s="1"/>
      <x:c r="F20" s="1"/>
      <x:c r="G20" s="1"/>
      <x:c r="H20" s="1"/>
      <x:c r="I20" s="2"/>
      <x:c r="J20" s="1"/>
      <x:c r="K20" s="1"/>
      <x:c r="L20" s="1"/>
      <x:c r="M20" s="1"/>
      <x:c r="N20" s="1"/>
      <x:c r="O20" s="1"/>
      <x:c r="P20" s="1"/>
      <x:c r="Q20" s="1"/>
      <x:c r="R20" s="43"/>
      <x:c r="S20" s="1"/>
      <x:c r="T20" s="1"/>
      <x:c r="U20" s="1"/>
      <x:c r="V20" s="1"/>
      <x:c r="W20" s="1"/>
      <x:c r="X20" s="17"/>
      <x:c r="Y20" s="17"/>
    </x:row>
    <x:row r="21" spans="1:25" x14ac:dyDescent="0.2">
      <x:c r="A21" s="1"/>
      <x:c r="B21" s="1"/>
      <x:c r="C21" s="1"/>
      <x:c r="D21" s="1"/>
      <x:c r="E21" s="1"/>
      <x:c r="F21" s="1"/>
      <x:c r="G21" s="1"/>
      <x:c r="H21" s="1"/>
      <x:c r="I21" s="2"/>
      <x:c r="J21" s="1"/>
      <x:c r="K21" s="1"/>
      <x:c r="L21" s="1"/>
      <x:c r="M21" s="1"/>
      <x:c r="N21" s="1"/>
      <x:c r="O21" s="2">
        <x:v>18749.333764972485</x:v>
      </x:c>
      <x:c r="P21" s="52" t="s">
        <x:v>64</x:v>
      </x:c>
      <x:c r="Q21" s="1"/>
      <x:c r="R21" s="1"/>
      <x:c r="S21" s="1"/>
      <x:c r="T21" s="1"/>
      <x:c r="U21" s="1"/>
      <x:c r="V21" s="1"/>
      <x:c r="W21" s="1"/>
      <x:c r="X21" s="17"/>
      <x:c r="Y21" s="17"/>
    </x:row>
    <x:row r="22" spans="1:25" x14ac:dyDescent="0.2">
      <x:c r="A22" s="1"/>
      <x:c r="B22" s="1"/>
      <x:c r="C22" s="1"/>
      <x:c r="D22" s="1"/>
      <x:c r="E22" s="1"/>
      <x:c r="F22" s="1"/>
      <x:c r="G22" s="1"/>
      <x:c r="H22" s="35"/>
      <x:c r="I22" s="53"/>
      <x:c r="J22" s="35"/>
      <x:c r="K22" s="1"/>
      <x:c r="L22" s="1"/>
      <x:c r="M22" s="1"/>
      <x:c r="N22" s="1"/>
      <x:c r="O22" s="54">
        <x:v>122620.64</x:v>
      </x:c>
      <x:c r="P22" s="52" t="s">
        <x:v>65</x:v>
      </x:c>
      <x:c r="Q22" s="55">
        <x:v>6.54</x:v>
      </x:c>
      <x:c r="R22" s="56" t="s">
        <x:v>66</x:v>
      </x:c>
      <x:c r="S22" s="1"/>
      <x:c r="T22" s="1"/>
      <x:c r="U22" s="1"/>
      <x:c r="V22" s="1"/>
      <x:c r="W22" s="1"/>
      <x:c r="X22" s="17"/>
      <x:c r="Y22" s="17"/>
    </x:row>
    <x:row r="23" spans="1:25" x14ac:dyDescent="0.2">
      <x:c r="A23" s="1"/>
      <x:c r="B23" s="1"/>
      <x:c r="C23" s="1"/>
      <x:c r="D23" s="1"/>
      <x:c r="E23" s="1"/>
      <x:c r="F23" s="1"/>
      <x:c r="G23" s="1"/>
      <x:c r="H23" s="1"/>
      <x:c r="I23" s="2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7"/>
      <x:c r="Y23" s="17"/>
    </x:row>
    <x:row r="24" spans="1:25" x14ac:dyDescent="0.2">
      <x:c r="A24" s="45" t="s">
        <x:v>67</x:v>
      </x:c>
      <x:c r="B24" s="1"/>
      <x:c r="C24" s="1"/>
      <x:c r="D24" s="1"/>
      <x:c r="E24" s="1"/>
      <x:c r="F24" s="1"/>
      <x:c r="G24" s="1"/>
      <x:c r="H24" s="1"/>
      <x:c r="I24" s="2"/>
      <x:c r="J24" s="1"/>
      <x:c r="K24" s="1"/>
      <x:c r="L24" s="1"/>
      <x:c r="M24" s="1"/>
      <x:c r="N24" s="1"/>
      <x:c r="O24" s="57"/>
      <x:c r="P24" s="2"/>
      <x:c r="Q24" s="1"/>
      <x:c r="R24" s="1"/>
      <x:c r="S24" s="1"/>
      <x:c r="T24" s="1"/>
      <x:c r="U24" s="1"/>
      <x:c r="V24" s="1"/>
      <x:c r="W24" s="1"/>
      <x:c r="X24" s="17"/>
      <x:c r="Y24" s="17"/>
    </x:row>
    <x:row r="25" spans="1:25" ht="15.75" thickBot="1" x14ac:dyDescent="0.35">
      <x:c r="A25" s="1"/>
      <x:c r="B25" s="1"/>
      <x:c r="C25" s="1"/>
      <x:c r="D25" s="1"/>
      <x:c r="E25" s="1"/>
      <x:c r="F25" s="1"/>
      <x:c r="G25" s="1"/>
      <x:c r="H25" s="1"/>
      <x:c r="I25" s="2"/>
      <x:c r="J25" s="1"/>
      <x:c r="K25" s="1"/>
      <x:c r="L25" s="1"/>
      <x:c r="M25" s="1"/>
      <x:c r="N25" s="1"/>
      <x:c r="O25" s="58"/>
      <x:c r="P25" s="2"/>
      <x:c r="Q25" s="1"/>
      <x:c r="R25" s="1"/>
      <x:c r="S25" s="1"/>
      <x:c r="T25" s="58"/>
      <x:c r="U25" s="1"/>
      <x:c r="V25" s="1"/>
      <x:c r="W25" s="1"/>
      <x:c r="X25" s="17"/>
      <x:c r="Y25" s="17"/>
    </x:row>
    <x:row r="26" spans="1:25" x14ac:dyDescent="0.2">
      <x:c r="A26" s="1"/>
      <x:c r="B26" s="59"/>
      <x:c r="C26" s="60"/>
      <x:c r="D26" s="60"/>
      <x:c r="E26" s="60"/>
      <x:c r="F26" s="60"/>
      <x:c r="G26" s="61"/>
      <x:c r="H26" s="1"/>
      <x:c r="I26" s="2"/>
      <x:c r="J26" s="1"/>
      <x:c r="K26" s="1"/>
      <x:c r="L26" s="1"/>
      <x:c r="M26" s="1"/>
      <x:c r="N26" s="1"/>
      <x:c r="O26" s="1"/>
      <x:c r="P26" s="2"/>
      <x:c r="Q26" s="1"/>
      <x:c r="R26" s="1"/>
      <x:c r="S26" s="1"/>
      <x:c r="T26" s="1"/>
      <x:c r="U26" s="1"/>
      <x:c r="V26" s="1"/>
      <x:c r="W26" s="1"/>
      <x:c r="X26" s="17"/>
      <x:c r="Y26" s="17"/>
    </x:row>
    <x:row r="27" spans="1:25" x14ac:dyDescent="0.2">
      <x:c r="A27" s="1"/>
      <x:c r="B27" s="62"/>
      <x:c r="C27" s="63">
        <x:v>-194066.5</x:v>
      </x:c>
      <x:c r="D27" s="1"/>
      <x:c r="E27" s="166" t="s">
        <x:v>69</x:v>
      </x:c>
      <x:c r="F27" s="166"/>
      <x:c r="G27" s="64"/>
      <x:c r="H27" s="1"/>
      <x:c r="I27" s="2"/>
      <x:c r="J27" s="1"/>
      <x:c r="K27" s="1"/>
      <x:c r="L27" s="1"/>
      <x:c r="M27" s="1"/>
      <x:c r="N27" s="1"/>
      <x:c r="O27" s="1"/>
      <x:c r="P27" s="2"/>
      <x:c r="Q27" s="1"/>
      <x:c r="R27" s="1"/>
      <x:c r="S27" s="1"/>
      <x:c r="T27" s="1"/>
      <x:c r="U27" s="1"/>
      <x:c r="V27" s="1"/>
      <x:c r="W27" s="1"/>
      <x:c r="X27" s="17"/>
      <x:c r="Y27" s="17"/>
    </x:row>
    <x:row r="28" spans="1:25" x14ac:dyDescent="0.2">
      <x:c r="A28" s="1"/>
      <x:c r="B28" s="62"/>
      <x:c r="C28" s="65">
        <x:v>4070.99</x:v>
      </x:c>
      <x:c r="D28" s="1"/>
      <x:c r="E28" s="167" t="s">
        <x:v>70</x:v>
      </x:c>
      <x:c r="F28" s="167"/>
      <x:c r="G28" s="64"/>
      <x:c r="H28" s="1"/>
      <x:c r="I28" s="2"/>
      <x:c r="J28" s="1"/>
      <x:c r="K28" s="1"/>
      <x:c r="L28" s="1"/>
      <x:c r="M28" s="1"/>
      <x:c r="N28" s="1"/>
      <x:c r="O28" s="1"/>
      <x:c r="P28" s="2"/>
      <x:c r="Q28" s="1"/>
      <x:c r="R28" s="1"/>
      <x:c r="S28" s="1"/>
      <x:c r="T28" s="1"/>
      <x:c r="U28" s="1"/>
      <x:c r="V28" s="1"/>
      <x:c r="W28" s="1"/>
      <x:c r="X28" s="17"/>
      <x:c r="Y28" s="17"/>
    </x:row>
    <x:row r="29" spans="1:25" ht="15" x14ac:dyDescent="0.3">
      <x:c r="A29" s="1"/>
      <x:c r="B29" s="62"/>
      <x:c r="C29" s="63">
        <x:v>-189995.51</x:v>
      </x:c>
      <x:c r="D29" s="1"/>
      <x:c r="E29" s="166" t="s">
        <x:v>71</x:v>
      </x:c>
      <x:c r="F29" s="166"/>
      <x:c r="G29" s="64"/>
      <x:c r="H29" s="1"/>
      <x:c r="I29" s="2"/>
      <x:c r="J29" s="1"/>
      <x:c r="K29" s="1"/>
      <x:c r="L29" s="1"/>
      <x:c r="M29" s="1"/>
      <x:c r="N29" s="1"/>
      <x:c r="O29" s="66"/>
      <x:c r="P29" s="2"/>
      <x:c r="Q29" s="1"/>
      <x:c r="R29" s="1"/>
      <x:c r="S29" s="1"/>
      <x:c r="T29" s="1"/>
      <x:c r="U29" s="1"/>
      <x:c r="V29" s="1"/>
      <x:c r="W29" s="1"/>
      <x:c r="X29" s="17"/>
      <x:c r="Y29" s="17"/>
    </x:row>
    <x:row r="30" spans="1:25" ht="15" x14ac:dyDescent="0.3">
      <x:c r="A30" s="1"/>
      <x:c r="B30" s="62"/>
      <x:c r="C30" s="63">
        <x:v>122620.64</x:v>
      </x:c>
      <x:c r="D30" s="1"/>
      <x:c r="E30" s="167" t="s">
        <x:v>72</x:v>
      </x:c>
      <x:c r="F30" s="167"/>
      <x:c r="G30" s="64"/>
      <x:c r="H30" s="1"/>
      <x:c r="I30" s="2"/>
      <x:c r="J30" s="1"/>
      <x:c r="K30" s="1"/>
      <x:c r="L30" s="1"/>
      <x:c r="M30" s="1"/>
      <x:c r="N30" s="1"/>
      <x:c r="O30" s="66"/>
      <x:c r="P30" s="2"/>
      <x:c r="Q30" s="1"/>
      <x:c r="R30" s="1"/>
      <x:c r="S30" s="1"/>
      <x:c r="T30" s="1"/>
      <x:c r="U30" s="1"/>
      <x:c r="V30" s="1"/>
      <x:c r="W30" s="1"/>
      <x:c r="X30" s="17"/>
      <x:c r="Y30" s="17"/>
    </x:row>
    <x:row r="31" spans="1:25" ht="13.5" thickBot="1" x14ac:dyDescent="0.25">
      <x:c r="A31" s="1"/>
      <x:c r="B31" s="62"/>
      <x:c r="C31" s="67">
        <x:v>-67374.87</x:v>
      </x:c>
      <x:c r="D31" s="1"/>
      <x:c r="E31" s="166" t="s">
        <x:v>73</x:v>
      </x:c>
      <x:c r="F31" s="166"/>
      <x:c r="G31" s="168"/>
      <x:c r="H31" s="1"/>
      <x:c r="I31" s="2"/>
      <x:c r="J31" s="1"/>
      <x:c r="K31" s="1"/>
      <x:c r="L31" s="1"/>
      <x:c r="M31" s="1"/>
      <x:c r="N31" s="1"/>
      <x:c r="O31" s="1"/>
      <x:c r="P31" s="2"/>
      <x:c r="Q31" s="1"/>
      <x:c r="R31" s="1"/>
      <x:c r="S31" s="1"/>
      <x:c r="T31" s="1"/>
      <x:c r="U31" s="1"/>
      <x:c r="V31" s="1"/>
      <x:c r="W31" s="1"/>
      <x:c r="X31" s="17"/>
      <x:c r="Y31" s="17"/>
    </x:row>
    <x:row r="32" spans="1:25" ht="16.5" thickTop="1" thickBot="1" x14ac:dyDescent="0.35">
      <x:c r="A32" s="1"/>
      <x:c r="B32" s="68"/>
      <x:c r="C32" s="69"/>
      <x:c r="D32" s="69"/>
      <x:c r="E32" s="69"/>
      <x:c r="F32" s="69"/>
      <x:c r="G32" s="70"/>
      <x:c r="H32" s="1"/>
      <x:c r="I32" s="2"/>
      <x:c r="J32" s="1"/>
      <x:c r="K32" s="1"/>
      <x:c r="L32" s="1"/>
      <x:c r="M32" s="1"/>
      <x:c r="N32" s="1"/>
      <x:c r="O32" s="1"/>
      <x:c r="P32" s="2"/>
      <x:c r="Q32" s="58"/>
      <x:c r="R32" s="1"/>
      <x:c r="S32" s="1"/>
      <x:c r="T32" s="1"/>
      <x:c r="U32" s="1"/>
      <x:c r="V32" s="1"/>
      <x:c r="W32" s="1"/>
      <x:c r="X32" s="17"/>
      <x:c r="Y32" s="17"/>
    </x:row>
    <x:row r="33" spans="1:25" ht="15" x14ac:dyDescent="0.3">
      <x:c r="A33" s="1"/>
      <x:c r="B33" s="1"/>
      <x:c r="C33" s="1"/>
      <x:c r="D33" s="1"/>
      <x:c r="E33" s="1"/>
      <x:c r="F33" s="1"/>
      <x:c r="G33" s="1"/>
      <x:c r="H33" s="1"/>
      <x:c r="I33" s="2"/>
      <x:c r="J33" s="1"/>
      <x:c r="K33" s="1"/>
      <x:c r="L33" s="1"/>
      <x:c r="M33" s="1"/>
      <x:c r="N33" s="1"/>
      <x:c r="O33" s="1"/>
      <x:c r="P33" s="2"/>
      <x:c r="Q33" s="58"/>
      <x:c r="R33" s="1"/>
      <x:c r="S33" s="1"/>
      <x:c r="T33" s="1"/>
      <x:c r="U33" s="1"/>
      <x:c r="V33" s="1"/>
      <x:c r="W33" s="1"/>
      <x:c r="X33" s="17"/>
      <x:c r="Y33" s="17"/>
    </x:row>
    <x:row r="34" spans="1:25" ht="15" x14ac:dyDescent="0.3">
      <x:c r="A34" s="1"/>
      <x:c r="B34" s="71"/>
      <x:c r="C34" s="71"/>
      <x:c r="D34" s="72"/>
      <x:c r="E34" s="1"/>
      <x:c r="F34" s="1"/>
      <x:c r="G34" s="1"/>
      <x:c r="H34" s="1"/>
      <x:c r="I34" s="2"/>
      <x:c r="J34" s="1"/>
      <x:c r="K34" s="1"/>
      <x:c r="L34" s="1"/>
      <x:c r="M34" s="1"/>
      <x:c r="N34" s="1"/>
      <x:c r="O34" s="1"/>
      <x:c r="P34" s="2"/>
      <x:c r="Q34" s="58"/>
      <x:c r="R34" s="1"/>
      <x:c r="S34" s="1"/>
      <x:c r="T34" s="1"/>
      <x:c r="U34" s="1"/>
      <x:c r="V34" s="1"/>
      <x:c r="W34" s="1"/>
      <x:c r="X34" s="17"/>
      <x:c r="Y34" s="17"/>
    </x:row>
    <x:row r="35" spans="1:25" x14ac:dyDescent="0.2">
      <x:c r="A35" s="45" t="s">
        <x:v>74</x:v>
      </x:c>
      <x:c r="B35" s="73"/>
      <x:c r="C35" s="73"/>
      <x:c r="D35" s="73"/>
      <x:c r="E35" s="73"/>
      <x:c r="F35" s="73"/>
      <x:c r="G35" s="73"/>
      <x:c r="H35" s="73"/>
      <x:c r="I35" s="74"/>
      <x:c r="J35" s="73"/>
      <x:c r="K35" s="73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7"/>
      <x:c r="Y35" s="17"/>
    </x:row>
    <x:row r="36" spans="1:25" x14ac:dyDescent="0.2">
      <x:c r="A36" s="45"/>
      <x:c r="B36" s="73"/>
      <x:c r="C36" s="73"/>
      <x:c r="D36" s="73"/>
      <x:c r="E36" s="73"/>
      <x:c r="F36" s="73"/>
      <x:c r="G36" s="73"/>
      <x:c r="H36" s="73"/>
      <x:c r="I36" s="74"/>
      <x:c r="J36" s="73"/>
      <x:c r="K36" s="73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7"/>
      <x:c r="Y36" s="17"/>
    </x:row>
    <x:row r="37" spans="1:25" ht="15" x14ac:dyDescent="0.3">
      <x:c r="A37" s="45" t="s">
        <x:v>75</x:v>
      </x:c>
      <x:c r="B37" s="73"/>
      <x:c r="C37" s="73"/>
      <x:c r="D37" s="73"/>
      <x:c r="E37" s="73"/>
      <x:c r="F37" s="73"/>
      <x:c r="G37" s="73"/>
      <x:c r="H37" s="73"/>
      <x:c r="I37" s="74"/>
      <x:c r="J37" s="73"/>
      <x:c r="K37" s="73"/>
      <x:c r="L37" s="1"/>
      <x:c r="M37" s="1"/>
      <x:c r="N37" s="1"/>
      <x:c r="O37" s="1"/>
      <x:c r="P37" s="2"/>
      <x:c r="Q37" s="58"/>
      <x:c r="R37" s="1"/>
      <x:c r="S37" s="1"/>
      <x:c r="T37" s="1"/>
      <x:c r="U37" s="1"/>
      <x:c r="V37" s="1"/>
      <x:c r="W37" s="1"/>
      <x:c r="X37" s="17"/>
      <x:c r="Y37" s="17"/>
    </x:row>
    <x:row r="38" spans="1:25" x14ac:dyDescent="0.2">
      <x:c r="A38" s="73"/>
      <x:c r="B38" s="73"/>
      <x:c r="C38" s="73"/>
      <x:c r="D38" s="73"/>
      <x:c r="E38" s="73"/>
      <x:c r="F38" s="73"/>
      <x:c r="G38" s="73"/>
      <x:c r="H38" s="73"/>
      <x:c r="I38" s="74"/>
      <x:c r="J38" s="73"/>
      <x:c r="K38" s="73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7"/>
      <x:c r="Y38" s="17"/>
    </x:row>
    <x:row r="39" spans="1:25" x14ac:dyDescent="0.2">
      <x:c r="A39" s="22" t="s">
        <x:v>76</x:v>
      </x:c>
      <x:c r="B39" s="22" t="s">
        <x:v>77</x:v>
      </x:c>
      <x:c r="C39" s="22" t="s">
        <x:v>6</x:v>
      </x:c>
      <x:c r="D39" s="22" t="s">
        <x:v>7</x:v>
      </x:c>
      <x:c r="E39" s="22" t="s">
        <x:v>8</x:v>
      </x:c>
      <x:c r="F39" s="22" t="s">
        <x:v>9</x:v>
      </x:c>
      <x:c r="G39" s="22" t="s">
        <x:v>10</x:v>
      </x:c>
      <x:c r="H39" s="22" t="s">
        <x:v>11</x:v>
      </x:c>
      <x:c r="I39" s="27" t="s">
        <x:v>78</x:v>
      </x:c>
      <x:c r="J39" s="22" t="s">
        <x:v>45</x:v>
      </x:c>
      <x:c r="K39" s="169" t="s">
        <x:v>79</x:v>
      </x:c>
      <x:c r="L39" s="170"/>
      <x:c r="M39" s="17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7"/>
      <x:c r="Y39" s="17"/>
    </x:row>
    <x:row r="40" spans="1:25" x14ac:dyDescent="0.2">
      <x:c r="A40" s="75" t="s">
        <x:v>19</x:v>
      </x:c>
      <x:c r="B40" s="75" t="s">
        <x:v>20</x:v>
      </x:c>
      <x:c r="C40" s="75" t="s">
        <x:v>126</x:v>
      </x:c>
      <x:c r="D40" s="75" t="s">
        <x:v>81</x:v>
      </x:c>
      <x:c r="E40" s="75" t="s">
        <x:v>107</x:v>
      </x:c>
      <x:c r="F40" s="75" t="s">
        <x:v>23</x:v>
      </x:c>
      <x:c r="G40" s="75" t="s">
        <x:v>23</x:v>
      </x:c>
      <x:c r="H40" s="75" t="s">
        <x:v>24</x:v>
      </x:c>
      <x:c r="I40" s="76">
        <x:v>67374.87</x:v>
      </x:c>
      <x:c r="J40" s="77" t="s">
        <x:v>127</x:v>
      </x:c>
      <x:c r="K40" s="172" t="s">
        <x:v>128</x:v>
      </x:c>
      <x:c r="L40" s="172"/>
      <x:c r="M40" s="172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7"/>
      <x:c r="Y40" s="17"/>
    </x:row>
    <x:row r="41" spans="1:25" x14ac:dyDescent="0.2">
      <x:c r="A41" s="75" t="s">
        <x:v>19</x:v>
      </x:c>
      <x:c r="B41" s="77" t="s">
        <x:v>20</x:v>
      </x:c>
      <x:c r="C41" s="75" t="s">
        <x:v>82</x:v>
      </x:c>
      <x:c r="D41" s="75" t="s">
        <x:v>83</x:v>
      </x:c>
      <x:c r="E41" s="75" t="s">
        <x:v>107</x:v>
      </x:c>
      <x:c r="F41" s="75" t="s">
        <x:v>23</x:v>
      </x:c>
      <x:c r="G41" s="75" t="s">
        <x:v>23</x:v>
      </x:c>
      <x:c r="H41" s="75" t="s">
        <x:v>24</x:v>
      </x:c>
      <x:c r="I41" s="76">
        <x:v>-67374.87</x:v>
      </x:c>
      <x:c r="J41" s="77" t="s">
        <x:v>127</x:v>
      </x:c>
      <x:c r="K41" s="172" t="s">
        <x:v>128</x:v>
      </x:c>
      <x:c r="L41" s="172"/>
      <x:c r="M41" s="172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7"/>
      <x:c r="Y41" s="17"/>
    </x:row>
    <x:row r="42" spans="1:25" x14ac:dyDescent="0.2">
      <x:c r="A42" s="78"/>
      <x:c r="B42" s="78"/>
      <x:c r="C42" s="78"/>
      <x:c r="D42" s="78"/>
      <x:c r="E42" s="78"/>
      <x:c r="F42" s="78"/>
      <x:c r="G42" s="78"/>
      <x:c r="H42" s="78"/>
      <x:c r="I42" s="79"/>
      <x:c r="J42" s="78"/>
      <x:c r="K42" s="80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7"/>
      <x:c r="Y42" s="17"/>
    </x:row>
    <x:row r="43" spans="1:25" x14ac:dyDescent="0.2">
      <x:c r="A43" s="1"/>
      <x:c r="B43" s="1"/>
      <x:c r="C43" s="1"/>
      <x:c r="D43" s="1"/>
      <x:c r="E43" s="1"/>
      <x:c r="F43" s="1"/>
      <x:c r="G43" s="1"/>
      <x:c r="H43" s="1"/>
      <x:c r="I43" s="2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7"/>
      <x:c r="Y43" s="17"/>
    </x:row>
    <x:row r="44" spans="1:25" x14ac:dyDescent="0.2">
      <x:c r="A44" s="45" t="s">
        <x:v>86</x:v>
      </x:c>
      <x:c r="B44" s="1"/>
      <x:c r="C44" s="1"/>
      <x:c r="D44" s="1"/>
      <x:c r="E44" s="1"/>
      <x:c r="F44" s="1"/>
      <x:c r="G44" s="1"/>
      <x:c r="H44" s="1"/>
      <x:c r="I44" s="2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7"/>
      <x:c r="Y44" s="17"/>
    </x:row>
    <x:row r="45" spans="1:25" x14ac:dyDescent="0.2">
      <x:c r="A45" s="1"/>
      <x:c r="B45" s="1"/>
      <x:c r="C45" s="1"/>
      <x:c r="D45" s="1"/>
      <x:c r="E45" s="1"/>
      <x:c r="F45" s="1"/>
      <x:c r="G45" s="1"/>
      <x:c r="H45" s="1"/>
      <x:c r="I45" s="2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7"/>
      <x:c r="Y45" s="17"/>
    </x:row>
    <x:row r="46" spans="1:25" ht="13.5" thickBot="1" x14ac:dyDescent="0.25">
      <x:c r="A46" s="1"/>
      <x:c r="B46" s="1"/>
      <x:c r="C46" s="1"/>
      <x:c r="D46" s="1"/>
      <x:c r="E46" s="1"/>
      <x:c r="F46" s="1"/>
      <x:c r="G46" s="1"/>
      <x:c r="H46" s="1"/>
      <x:c r="I46" s="2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7"/>
      <x:c r="Y46" s="17"/>
    </x:row>
    <x:row r="47" spans="1:25" ht="16.5" thickTop="1" thickBot="1" x14ac:dyDescent="0.35">
      <x:c r="A47" s="46" t="s">
        <x:v>132</x:v>
      </x:c>
      <x:c r="B47" s="46"/>
      <x:c r="C47" s="46"/>
      <x:c r="D47" s="1"/>
      <x:c r="E47" s="1"/>
      <x:c r="F47" s="1"/>
      <x:c r="G47" s="1"/>
      <x:c r="H47" s="1"/>
      <x:c r="I47" s="2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7"/>
      <x:c r="Y47" s="17"/>
    </x:row>
    <x:row r="48" spans="1:25" ht="16.5" thickTop="1" thickBot="1" x14ac:dyDescent="0.35">
      <x:c r="A48" s="46" t="s">
        <x:v>0</x:v>
      </x:c>
      <x:c r="B48" s="46" t="s">
        <x:v>8</x:v>
      </x:c>
      <x:c r="C48" s="46" t="s">
        <x:v>31</x:v>
      </x:c>
      <x:c r="D48" s="46" t="s">
        <x:v>38</x:v>
      </x:c>
      <x:c r="E48" s="46" t="s">
        <x:v>6</x:v>
      </x:c>
      <x:c r="F48" s="46" t="s">
        <x:v>34</x:v>
      </x:c>
      <x:c r="G48" s="46" t="s">
        <x:v>36</x:v>
      </x:c>
      <x:c r="H48" s="46" t="s">
        <x:v>18</x:v>
      </x:c>
      <x:c r="I48" s="47" t="s">
        <x:v>35</x:v>
      </x:c>
      <x:c r="J48" s="46" t="s">
        <x:v>37</x:v>
      </x:c>
      <x:c r="K48" s="46" t="s">
        <x:v>43</x:v>
      </x:c>
      <x:c r="L48" s="46" t="s">
        <x:v>39</x:v>
      </x:c>
      <x:c r="M48" s="46" t="s">
        <x:v>45</x:v>
      </x:c>
      <x:c r="N48" s="46" t="s">
        <x:v>46</x:v>
      </x:c>
      <x:c r="O48" s="46" t="s">
        <x:v>18</x:v>
      </x:c>
      <x:c r="P48" s="46" t="s">
        <x:v>42</x:v>
      </x:c>
      <x:c r="Q48" s="46" t="s">
        <x:v>41</x:v>
      </x:c>
      <x:c r="R48" s="46" t="s">
        <x:v>40</x:v>
      </x:c>
      <x:c r="S48" s="46" t="s">
        <x:v>44</x:v>
      </x:c>
      <x:c r="T48" s="46" t="s">
        <x:v>32</x:v>
      </x:c>
      <x:c r="U48" s="1"/>
      <x:c r="V48" s="1"/>
      <x:c r="W48" s="1"/>
      <x:c r="X48" s="17"/>
      <x:c r="Y48" s="17"/>
    </x:row>
    <x:row r="49" spans="1:25" ht="15.75" thickTop="1" x14ac:dyDescent="0.25">
      <x:c r="A49" s="82" t="s">
        <x:v>19</x:v>
      </x:c>
      <x:c r="B49" s="39" t="s">
        <x:v>107</x:v>
      </x:c>
      <x:c r="C49" s="82" t="s">
        <x:v>123</x:v>
      </x:c>
      <x:c r="D49" s="82" t="s">
        <x:v>117</x:v>
      </x:c>
      <x:c r="E49" s="39" t="s">
        <x:v>124</x:v>
      </x:c>
      <x:c r="F49" s="39" t="s">
        <x:v>49</x:v>
      </x:c>
      <x:c r="G49" s="49" t="s">
        <x:v>51</x:v>
      </x:c>
      <x:c r="H49" s="83" t="s">
        <x:v>52</x:v>
      </x:c>
      <x:c r="I49" s="39" t="s">
        <x:v>50</x:v>
      </x:c>
      <x:c r="J49" s="82" t="s">
        <x:v>60</x:v>
      </x:c>
      <x:c r="K49" s="84">
        <x:v>-6.54</x:v>
      </x:c>
      <x:c r="L49" s="84">
        <x:v>-122620.64</x:v>
      </x:c>
      <x:c r="M49" s="82" t="s">
        <x:v>133</x:v>
      </x:c>
      <x:c r="N49" s="82" t="s">
        <x:v>121</x:v>
      </x:c>
      <x:c r="O49" s="85" t="s">
        <x:v>134</x:v>
      </x:c>
      <x:c r="P49" s="49">
        <x:v>0</x:v>
      </x:c>
      <x:c r="Q49" s="49">
        <x:v>0</x:v>
      </x:c>
      <x:c r="R49" s="84">
        <x:v>-122620.64</x:v>
      </x:c>
      <x:c r="S49" s="86"/>
      <x:c r="T49" s="39" t="s">
        <x:v>111</x:v>
      </x:c>
      <x:c r="U49" s="1"/>
      <x:c r="V49" s="1"/>
      <x:c r="W49" s="1"/>
      <x:c r="X49" s="17"/>
      <x:c r="Y49" s="17"/>
    </x:row>
    <x:row r="50" spans="1:25" x14ac:dyDescent="0.2">
      <x:c r="A50" s="42"/>
      <x:c r="B50" s="42"/>
      <x:c r="C50" s="42"/>
      <x:c r="D50" s="42"/>
      <x:c r="E50" s="42"/>
      <x:c r="F50" s="42"/>
      <x:c r="G50" s="42"/>
      <x:c r="H50" s="42"/>
      <x:c r="I50" s="2"/>
      <x:c r="J50" s="42"/>
      <x:c r="K50" s="87"/>
      <x:c r="L50" s="87"/>
      <x:c r="M50" s="42"/>
      <x:c r="N50" s="42"/>
      <x:c r="O50" s="42"/>
      <x:c r="P50" s="2"/>
      <x:c r="Q50" s="2"/>
      <x:c r="R50" s="2"/>
      <x:c r="S50" s="1"/>
      <x:c r="T50" s="42"/>
      <x:c r="U50" s="1"/>
      <x:c r="V50" s="1"/>
      <x:c r="W50" s="1"/>
      <x:c r="X50" s="17"/>
      <x:c r="Y50" s="17"/>
    </x:row>
    <x:row r="51" spans="1:25" ht="13.5" thickBot="1" x14ac:dyDescent="0.25">
      <x:c r="A51" s="42"/>
      <x:c r="B51" s="42"/>
      <x:c r="C51" s="42"/>
      <x:c r="D51" s="42"/>
      <x:c r="E51" s="42"/>
      <x:c r="F51" s="42"/>
      <x:c r="G51" s="42"/>
      <x:c r="H51" s="42"/>
      <x:c r="I51" s="2"/>
      <x:c r="J51" s="42"/>
      <x:c r="K51" s="88">
        <x:v>-6.54</x:v>
      </x:c>
      <x:c r="L51" s="88">
        <x:v>-122620.64</x:v>
      </x:c>
      <x:c r="M51" s="42"/>
      <x:c r="N51" s="42"/>
      <x:c r="O51" s="42"/>
      <x:c r="P51" s="2"/>
      <x:c r="Q51" s="2"/>
      <x:c r="R51" s="2"/>
      <x:c r="S51" s="1"/>
      <x:c r="T51" s="42"/>
      <x:c r="U51" s="1"/>
      <x:c r="V51" s="1"/>
      <x:c r="W51" s="1"/>
      <x:c r="X51" s="17"/>
      <x:c r="Y51" s="17"/>
    </x:row>
    <x:row r="52" spans="1:25" ht="13.5" thickTop="1" x14ac:dyDescent="0.2">
      <x:c r="A52" s="42"/>
      <x:c r="B52" s="42"/>
      <x:c r="C52" s="42"/>
      <x:c r="D52" s="42"/>
      <x:c r="E52" s="42"/>
      <x:c r="F52" s="42"/>
      <x:c r="G52" s="42"/>
      <x:c r="H52" s="42"/>
      <x:c r="I52" s="2"/>
      <x:c r="J52" s="42"/>
      <x:c r="K52" s="43"/>
      <x:c r="L52" s="2"/>
      <x:c r="M52" s="42"/>
      <x:c r="N52" s="42"/>
      <x:c r="O52" s="42"/>
      <x:c r="P52" s="2"/>
      <x:c r="Q52" s="2"/>
      <x:c r="R52" s="2"/>
      <x:c r="S52" s="1"/>
      <x:c r="T52" s="42"/>
      <x:c r="U52" s="1"/>
      <x:c r="V52" s="1"/>
      <x:c r="W52" s="1"/>
      <x:c r="X52" s="17"/>
      <x:c r="Y52" s="17"/>
    </x:row>
    <x:row r="53" spans="1:25" x14ac:dyDescent="0.2">
      <x:c r="A53" s="17"/>
      <x:c r="B53" s="17"/>
      <x:c r="C53" s="17"/>
      <x:c r="D53" s="17"/>
      <x:c r="E53" s="17"/>
      <x:c r="F53" s="17"/>
      <x:c r="G53" s="17"/>
      <x:c r="H53" s="17"/>
      <x:c r="I53" s="26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</x:row>
    <x:row r="54" spans="1:25" x14ac:dyDescent="0.2">
      <x:c r="A54" s="17"/>
      <x:c r="B54" s="17"/>
      <x:c r="C54" s="17"/>
      <x:c r="D54" s="17"/>
      <x:c r="E54" s="17"/>
      <x:c r="F54" s="17"/>
      <x:c r="G54" s="17"/>
      <x:c r="H54" s="17"/>
      <x:c r="I54" s="26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</x:row>
    <x:row r="55" spans="1:25" x14ac:dyDescent="0.2">
      <x:c r="A55" s="17"/>
      <x:c r="B55" s="17"/>
      <x:c r="C55" s="17"/>
      <x:c r="D55" s="17"/>
      <x:c r="E55" s="17"/>
      <x:c r="F55" s="17"/>
      <x:c r="G55" s="17"/>
      <x:c r="H55" s="17"/>
      <x:c r="I55" s="26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</x:row>
    <x:row r="56" spans="1:25" x14ac:dyDescent="0.2">
      <x:c r="A56" s="17"/>
      <x:c r="B56" s="17"/>
      <x:c r="C56" s="17"/>
      <x:c r="D56" s="17"/>
      <x:c r="E56" s="17"/>
      <x:c r="F56" s="17"/>
      <x:c r="G56" s="17"/>
      <x:c r="H56" s="17"/>
      <x:c r="I56" s="26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</x:row>
    <x:row r="57" spans="1:25" x14ac:dyDescent="0.2">
      <x:c r="A57" s="17"/>
      <x:c r="B57" s="17"/>
      <x:c r="C57" s="17"/>
      <x:c r="D57" s="17"/>
      <x:c r="E57" s="17"/>
      <x:c r="F57" s="17"/>
      <x:c r="G57" s="17"/>
      <x:c r="H57" s="17"/>
      <x:c r="I57" s="26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</x:row>
    <x:row r="58" spans="1:25" x14ac:dyDescent="0.2">
      <x:c r="A58" s="17"/>
      <x:c r="B58" s="17"/>
      <x:c r="C58" s="17"/>
      <x:c r="D58" s="17"/>
      <x:c r="E58" s="17"/>
      <x:c r="F58" s="17"/>
      <x:c r="G58" s="17"/>
      <x:c r="H58" s="17"/>
      <x:c r="I58" s="26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</x:row>
    <x:row r="59" spans="1:25" x14ac:dyDescent="0.2">
      <x:c r="A59" s="17"/>
      <x:c r="B59" s="17"/>
      <x:c r="C59" s="17"/>
      <x:c r="D59" s="17"/>
      <x:c r="E59" s="17"/>
      <x:c r="F59" s="17"/>
      <x:c r="G59" s="17"/>
      <x:c r="H59" s="17"/>
      <x:c r="I59" s="26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</x:row>
    <x:row r="60" spans="1:25" x14ac:dyDescent="0.2">
      <x:c r="A60" s="17"/>
      <x:c r="B60" s="17"/>
      <x:c r="C60" s="17"/>
      <x:c r="D60" s="17"/>
      <x:c r="E60" s="17"/>
      <x:c r="F60" s="17"/>
      <x:c r="G60" s="17"/>
      <x:c r="H60" s="17"/>
      <x:c r="I60" s="26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</x:row>
    <x:row r="61" spans="1:25" x14ac:dyDescent="0.2">
      <x:c r="A61" s="17"/>
      <x:c r="B61" s="17"/>
      <x:c r="C61" s="17"/>
      <x:c r="D61" s="17"/>
      <x:c r="E61" s="17"/>
      <x:c r="F61" s="17"/>
      <x:c r="G61" s="17"/>
      <x:c r="H61" s="17"/>
      <x:c r="I61" s="26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</x:row>
    <x:row r="62" spans="1:25" x14ac:dyDescent="0.2">
      <x:c r="A62" s="17"/>
      <x:c r="B62" s="17"/>
      <x:c r="C62" s="17"/>
      <x:c r="D62" s="17"/>
      <x:c r="E62" s="17"/>
      <x:c r="F62" s="17"/>
      <x:c r="G62" s="17"/>
      <x:c r="H62" s="17"/>
      <x:c r="I62" s="26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</x:row>
    <x:row r="63" spans="1:25" x14ac:dyDescent="0.2">
      <x:c r="A63" s="17"/>
      <x:c r="B63" s="17"/>
      <x:c r="C63" s="17"/>
      <x:c r="D63" s="17"/>
      <x:c r="E63" s="17"/>
      <x:c r="F63" s="17"/>
      <x:c r="G63" s="17"/>
      <x:c r="H63" s="17"/>
      <x:c r="I63" s="26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</x:row>
  </x:sheetData>
  <x:mergeCells count="10">
    <x:mergeCell ref="E30:F30"/>
    <x:mergeCell ref="E31:G31"/>
    <x:mergeCell ref="K39:M39"/>
    <x:mergeCell ref="K40:M40"/>
    <x:mergeCell ref="K41:M41"/>
    <x:mergeCell ref="A3:E3"/>
    <x:mergeCell ref="A12:D12"/>
    <x:mergeCell ref="E27:F27"/>
    <x:mergeCell ref="E28:F28"/>
    <x:mergeCell ref="E29:F29"/>
  </x:mergeCells>
  <x:dataValidations disablePrompts="1"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00000000-0002-0000-0100-000009000000}">
      <x:formula1>"NEXT"</x:formula1>
    </x:dataValidation>
  </x:dataValidations>
  <x:pageMargins left="0.7" right="0.7" top="2.5" bottom="0.75" header="1.25" footer="0.3"/>
  <x:pageSetup scale="48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B349339-1E5F-45F7-82DC-756F98163B17}" mc:Ignorable="x14ac xr xr2 xr3">
  <x:sheetPr>
    <x:pageSetUpPr fitToPage="1"/>
  </x:sheetPr>
  <x:dimension ref="A1:Y62"/>
  <x:sheetViews>
    <x:sheetView tabSelected="1" zoomScaleNormal="100" workbookViewId="0"/>
  </x:sheetViews>
  <x:sheetFormatPr defaultColWidth="9.140625" defaultRowHeight="12.75" x14ac:dyDescent="0.2"/>
  <x:cols>
    <x:col min="1" max="1" width="4.85546875" style="8" bestFit="1" customWidth="1"/>
    <x:col min="2" max="2" width="11.85546875" style="8" customWidth="1"/>
    <x:col min="3" max="3" width="12.85546875" style="8" bestFit="1" customWidth="1"/>
    <x:col min="4" max="4" width="16" style="8" bestFit="1" customWidth="1"/>
    <x:col min="5" max="5" width="9.28515625" style="8" bestFit="1" customWidth="1"/>
    <x:col min="6" max="6" width="9.140625" style="8"/>
    <x:col min="7" max="7" width="8.42578125" style="8" bestFit="1" customWidth="1"/>
    <x:col min="8" max="8" width="8.5703125" style="8" bestFit="1" customWidth="1"/>
    <x:col min="9" max="9" width="12.85546875" style="9" bestFit="1" customWidth="1"/>
    <x:col min="10" max="10" width="11.85546875" style="8" bestFit="1" customWidth="1"/>
    <x:col min="11" max="11" width="13.28515625" style="8" customWidth="1"/>
    <x:col min="12" max="12" width="13.42578125" style="8" bestFit="1" customWidth="1"/>
    <x:col min="13" max="13" width="10.7109375" style="8" bestFit="1" customWidth="1"/>
    <x:col min="14" max="14" width="13.28515625" style="8" bestFit="1" customWidth="1"/>
    <x:col min="15" max="15" width="15.42578125" style="8" customWidth="1"/>
    <x:col min="16" max="16" width="27.7109375" style="8" bestFit="1" customWidth="1"/>
    <x:col min="17" max="17" width="12.5703125" style="8" bestFit="1" customWidth="1"/>
    <x:col min="18" max="18" width="11.85546875" style="8" bestFit="1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139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5"/>
      <x:c r="X2" s="17"/>
      <x:c r="Y2" s="17"/>
    </x:row>
    <x:row r="3" spans="1:25" ht="16.5" thickTop="1" thickBot="1" x14ac:dyDescent="0.35">
      <x:c r="A3" s="94" t="s">
        <x:v>4</x:v>
      </x:c>
      <x:c r="B3" s="95"/>
      <x:c r="C3" s="95"/>
      <x:c r="D3" s="95"/>
      <x:c r="E3" s="96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135</x:v>
      </x:c>
      <x:c r="E5" s="100" t="s">
        <x:v>140</x:v>
      </x:c>
      <x:c r="F5" s="100" t="s">
        <x:v>23</x:v>
      </x:c>
      <x:c r="G5" s="100" t="s">
        <x:v>23</x:v>
      </x:c>
      <x:c r="H5" s="100"/>
      <x:c r="I5" s="133">
        <x:v>7461.13</x:v>
      </x:c>
      <x:c r="J5" s="100" t="s">
        <x:v>141</x:v>
      </x:c>
      <x:c r="K5" s="100"/>
      <x:c r="L5" s="100">
        <x:v>6</x:v>
      </x:c>
      <x:c r="M5" s="100">
        <x:v>2024</x:v>
      </x:c>
      <x:c r="N5" s="100" t="s">
        <x:v>87</x:v>
      </x:c>
      <x:c r="O5" s="100" t="s">
        <x:v>88</x:v>
      </x:c>
      <x:c r="P5" s="100" t="s">
        <x:v>137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00" t="s">
        <x:v>20</x:v>
      </x:c>
      <x:c r="C6" s="100" t="s">
        <x:v>21</x:v>
      </x:c>
      <x:c r="D6" s="100" t="s">
        <x:v>22</x:v>
      </x:c>
      <x:c r="E6" s="100" t="s">
        <x:v>140</x:v>
      </x:c>
      <x:c r="F6" s="100" t="s">
        <x:v>23</x:v>
      </x:c>
      <x:c r="G6" s="100" t="s">
        <x:v>23</x:v>
      </x:c>
      <x:c r="H6" s="100"/>
      <x:c r="I6" s="133">
        <x:v>-37077.21</x:v>
      </x:c>
      <x:c r="J6" s="100" t="s">
        <x:v>142</x:v>
      </x:c>
      <x:c r="K6" s="100"/>
      <x:c r="L6" s="100">
        <x:v>6</x:v>
      </x:c>
      <x:c r="M6" s="100">
        <x:v>2024</x:v>
      </x:c>
      <x:c r="N6" s="100" t="s">
        <x:v>25</x:v>
      </x:c>
      <x:c r="O6" s="100" t="s">
        <x:v>93</x:v>
      </x:c>
      <x:c r="P6" s="100" t="s">
        <x:v>27</x:v>
      </x:c>
      <x:c r="Q6" s="10"/>
      <x:c r="R6" s="12"/>
      <x:c r="X6" s="17"/>
      <x:c r="Y6" s="17"/>
    </x:row>
    <x:row r="7" spans="1:25" x14ac:dyDescent="0.2">
      <x:c r="A7" s="100" t="s">
        <x:v>19</x:v>
      </x:c>
      <x:c r="B7" s="100" t="s">
        <x:v>20</x:v>
      </x:c>
      <x:c r="C7" s="100" t="s">
        <x:v>21</x:v>
      </x:c>
      <x:c r="D7" s="100" t="s">
        <x:v>131</x:v>
      </x:c>
      <x:c r="E7" s="100" t="s">
        <x:v>140</x:v>
      </x:c>
      <x:c r="F7" s="100" t="s">
        <x:v>23</x:v>
      </x:c>
      <x:c r="G7" s="100" t="s">
        <x:v>23</x:v>
      </x:c>
      <x:c r="H7" s="100"/>
      <x:c r="I7" s="133">
        <x:v>37077.21</x:v>
      </x:c>
      <x:c r="J7" s="100" t="s">
        <x:v>143</x:v>
      </x:c>
      <x:c r="K7" s="100"/>
      <x:c r="L7" s="100">
        <x:v>6</x:v>
      </x:c>
      <x:c r="M7" s="100">
        <x:v>2024</x:v>
      </x:c>
      <x:c r="N7" s="100" t="s">
        <x:v>25</x:v>
      </x:c>
      <x:c r="O7" s="100" t="s">
        <x:v>144</x:v>
      </x:c>
      <x:c r="P7" s="100" t="s">
        <x:v>145</x:v>
      </x:c>
      <x:c r="R7" s="103"/>
      <x:c r="X7" s="17"/>
      <x:c r="Y7" s="17"/>
    </x:row>
    <x:row r="8" spans="1:25" x14ac:dyDescent="0.2">
      <x:c r="A8" s="100" t="s">
        <x:v>19</x:v>
      </x:c>
      <x:c r="B8" s="100" t="s">
        <x:v>20</x:v>
      </x:c>
      <x:c r="C8" s="100" t="s">
        <x:v>21</x:v>
      </x:c>
      <x:c r="D8" s="100" t="s">
        <x:v>89</x:v>
      </x:c>
      <x:c r="E8" s="100" t="s">
        <x:v>140</x:v>
      </x:c>
      <x:c r="F8" s="100" t="s">
        <x:v>23</x:v>
      </x:c>
      <x:c r="G8" s="100" t="s">
        <x:v>23</x:v>
      </x:c>
      <x:c r="H8" s="100"/>
      <x:c r="I8" s="133">
        <x:v>259.64999999999998</x:v>
      </x:c>
      <x:c r="J8" s="100" t="s">
        <x:v>146</x:v>
      </x:c>
      <x:c r="K8" s="100"/>
      <x:c r="L8" s="100">
        <x:v>6</x:v>
      </x:c>
      <x:c r="M8" s="100">
        <x:v>2024</x:v>
      </x:c>
      <x:c r="N8" s="100" t="s">
        <x:v>90</x:v>
      </x:c>
      <x:c r="O8" s="100" t="s">
        <x:v>91</x:v>
      </x:c>
      <x:c r="P8" s="100" t="s">
        <x:v>92</x:v>
      </x:c>
      <x:c r="X8" s="17"/>
      <x:c r="Y8" s="17"/>
    </x:row>
    <x:row r="9" spans="1:25" x14ac:dyDescent="0.2">
      <x:c r="A9" s="100" t="s">
        <x:v>19</x:v>
      </x:c>
      <x:c r="B9" s="100" t="s">
        <x:v>20</x:v>
      </x:c>
      <x:c r="C9" s="100" t="s">
        <x:v>126</x:v>
      </x:c>
      <x:c r="D9" s="100" t="s">
        <x:v>81</x:v>
      </x:c>
      <x:c r="E9" s="100" t="s">
        <x:v>140</x:v>
      </x:c>
      <x:c r="F9" s="100" t="s">
        <x:v>23</x:v>
      </x:c>
      <x:c r="G9" s="100" t="s">
        <x:v>23</x:v>
      </x:c>
      <x:c r="H9" s="100"/>
      <x:c r="I9" s="133">
        <x:v>-37077.21</x:v>
      </x:c>
      <x:c r="J9" s="100" t="s">
        <x:v>143</x:v>
      </x:c>
      <x:c r="K9" s="100"/>
      <x:c r="L9" s="100">
        <x:v>6</x:v>
      </x:c>
      <x:c r="M9" s="100">
        <x:v>2024</x:v>
      </x:c>
      <x:c r="N9" s="100" t="s">
        <x:v>25</x:v>
      </x:c>
      <x:c r="O9" s="100" t="s">
        <x:v>144</x:v>
      </x:c>
      <x:c r="P9" s="100" t="s">
        <x:v>147</x:v>
      </x:c>
      <x:c r="X9" s="17"/>
      <x:c r="Y9" s="17"/>
    </x:row>
    <x:row r="10" spans="1:25" x14ac:dyDescent="0.2">
      <x:c r="I10" s="134"/>
      <x:c r="X10" s="17"/>
      <x:c r="Y10" s="17"/>
    </x:row>
    <x:row r="11" spans="1:25" x14ac:dyDescent="0.2">
      <x:c r="I11" s="134"/>
      <x:c r="X11" s="17"/>
      <x:c r="Y11" s="17"/>
    </x:row>
    <x:row r="12" spans="1:25" x14ac:dyDescent="0.2">
      <x:c r="A12" s="104"/>
      <x:c r="B12" s="104"/>
      <x:c r="C12" s="104"/>
      <x:c r="D12" s="104"/>
      <x:c r="I12" s="134"/>
      <x:c r="X12" s="17"/>
      <x:c r="Y12" s="17"/>
    </x:row>
    <x:row r="13" spans="1:25" x14ac:dyDescent="0.2">
      <x:c r="X13" s="17"/>
      <x:c r="Y13" s="17"/>
    </x:row>
    <x:row r="14" spans="1:25" x14ac:dyDescent="0.2">
      <x:c r="A14" s="105" t="s">
        <x:v>28</x:v>
      </x:c>
      <x:c r="X14" s="17"/>
      <x:c r="Y14" s="17"/>
    </x:row>
    <x:row r="15" spans="1:25" ht="13.5" thickBot="1" x14ac:dyDescent="0.25">
      <x:c r="A15" s="105"/>
      <x:c r="R15" s="103"/>
      <x:c r="X15" s="17"/>
      <x:c r="Y15" s="17"/>
    </x:row>
    <x:row r="16" spans="1:25" ht="16.5" thickTop="1" thickBot="1" x14ac:dyDescent="0.35">
      <x:c r="A16" s="94" t="s">
        <x:v>29</x:v>
      </x:c>
      <x:c r="B16" s="95"/>
      <x:c r="C16" s="95"/>
      <x:c r="D16" s="96"/>
      <x:c r="W16" s="5" t="s">
        <x:v>30</x:v>
      </x:c>
      <x:c r="X16" s="17"/>
      <x:c r="Y16" s="17"/>
    </x:row>
    <x:row r="17" spans="1:25" ht="16.5" thickTop="1" thickBot="1" x14ac:dyDescent="0.35">
      <x:c r="A17" s="3" t="s">
        <x:v>0</x:v>
      </x:c>
      <x:c r="B17" s="3" t="s">
        <x:v>31</x:v>
      </x:c>
      <x:c r="C17" s="3" t="s">
        <x:v>32</x:v>
      </x:c>
      <x:c r="D17" s="3" t="s">
        <x:v>18</x:v>
      </x:c>
      <x:c r="E17" s="3" t="s">
        <x:v>6</x:v>
      </x:c>
      <x:c r="F17" s="3" t="s">
        <x:v>33</x:v>
      </x:c>
      <x:c r="G17" s="3" t="s">
        <x:v>34</x:v>
      </x:c>
      <x:c r="H17" s="3" t="s">
        <x:v>35</x:v>
      </x:c>
      <x:c r="I17" s="4" t="s">
        <x:v>36</x:v>
      </x:c>
      <x:c r="J17" s="3" t="s">
        <x:v>18</x:v>
      </x:c>
      <x:c r="K17" s="3" t="s">
        <x:v>37</x:v>
      </x:c>
      <x:c r="L17" s="3" t="s">
        <x:v>8</x:v>
      </x:c>
      <x:c r="M17" s="3" t="s">
        <x:v>38</x:v>
      </x:c>
      <x:c r="N17" s="3" t="s">
        <x:v>39</x:v>
      </x:c>
      <x:c r="O17" s="3" t="s">
        <x:v>40</x:v>
      </x:c>
      <x:c r="P17" s="3" t="s">
        <x:v>41</x:v>
      </x:c>
      <x:c r="Q17" s="3" t="s">
        <x:v>42</x:v>
      </x:c>
      <x:c r="R17" s="3" t="s">
        <x:v>43</x:v>
      </x:c>
      <x:c r="S17" s="3" t="s">
        <x:v>44</x:v>
      </x:c>
      <x:c r="T17" s="3" t="s">
        <x:v>45</x:v>
      </x:c>
      <x:c r="U17" s="3" t="s">
        <x:v>46</x:v>
      </x:c>
      <x:c r="V17" s="3" t="s">
        <x:v>18</x:v>
      </x:c>
      <x:c r="W17" s="3" t="s">
        <x:v>47</x:v>
      </x:c>
      <x:c r="X17" s="17"/>
      <x:c r="Y17" s="17"/>
    </x:row>
    <x:row r="18" spans="1:25" ht="13.5" thickTop="1" x14ac:dyDescent="0.2">
      <x:c r="A18" s="100" t="s">
        <x:v>19</x:v>
      </x:c>
      <x:c r="B18" s="100" t="s">
        <x:v>148</x:v>
      </x:c>
      <x:c r="C18" s="100" t="s">
        <x:v>149</x:v>
      </x:c>
      <x:c r="D18" s="106" t="s">
        <x:v>150</x:v>
      </x:c>
      <x:c r="E18" s="100" t="s">
        <x:v>124</x:v>
      </x:c>
      <x:c r="F18" s="100" t="s">
        <x:v>125</x:v>
      </x:c>
      <x:c r="G18" s="100" t="s">
        <x:v>49</x:v>
      </x:c>
      <x:c r="H18" s="100" t="s">
        <x:v>50</x:v>
      </x:c>
      <x:c r="I18" s="101" t="s">
        <x:v>51</x:v>
      </x:c>
      <x:c r="J18" s="100" t="s">
        <x:v>52</x:v>
      </x:c>
      <x:c r="K18" s="100" t="s">
        <x:v>53</x:v>
      </x:c>
      <x:c r="L18" s="100" t="s">
        <x:v>94</x:v>
      </x:c>
      <x:c r="M18" s="100" t="s">
        <x:v>151</x:v>
      </x:c>
      <x:c r="N18" s="133">
        <x:v>32613.360000000001</x:v>
      </x:c>
      <x:c r="O18" s="133">
        <x:v>32613.360000000001</x:v>
      </x:c>
      <x:c r="P18" s="101">
        <x:v>0</x:v>
      </x:c>
      <x:c r="Q18" s="101">
        <x:v>0</x:v>
      </x:c>
      <x:c r="R18" s="107">
        <x:v>35.512</x:v>
      </x:c>
      <x:c r="S18" s="108">
        <x:v>28703</x:v>
      </x:c>
      <x:c r="T18" s="100"/>
      <x:c r="U18" s="100" t="s">
        <x:v>118</x:v>
      </x:c>
      <x:c r="V18" s="106" t="s">
        <x:v>152</x:v>
      </x:c>
      <x:c r="W18" s="100" t="s">
        <x:v>153</x:v>
      </x:c>
      <x:c r="X18" s="17"/>
      <x:c r="Y18" s="17"/>
    </x:row>
    <x:row r="19" spans="1:25" x14ac:dyDescent="0.2">
      <x:c r="A19" s="100" t="s">
        <x:v>19</x:v>
      </x:c>
      <x:c r="B19" s="100" t="s">
        <x:v>148</x:v>
      </x:c>
      <x:c r="C19" s="100" t="s">
        <x:v>149</x:v>
      </x:c>
      <x:c r="D19" s="106" t="s">
        <x:v>150</x:v>
      </x:c>
      <x:c r="E19" s="100" t="s">
        <x:v>124</x:v>
      </x:c>
      <x:c r="F19" s="100" t="s">
        <x:v>125</x:v>
      </x:c>
      <x:c r="G19" s="100" t="s">
        <x:v>49</x:v>
      </x:c>
      <x:c r="H19" s="100" t="s">
        <x:v>50</x:v>
      </x:c>
      <x:c r="I19" s="101" t="s">
        <x:v>51</x:v>
      </x:c>
      <x:c r="J19" s="100" t="s">
        <x:v>52</x:v>
      </x:c>
      <x:c r="K19" s="100" t="s">
        <x:v>53</x:v>
      </x:c>
      <x:c r="L19" s="100" t="s">
        <x:v>94</x:v>
      </x:c>
      <x:c r="M19" s="100" t="s">
        <x:v>151</x:v>
      </x:c>
      <x:c r="N19" s="133">
        <x:v>-2200</x:v>
      </x:c>
      <x:c r="O19" s="133">
        <x:v>-2200</x:v>
      </x:c>
      <x:c r="P19" s="101">
        <x:v>0</x:v>
      </x:c>
      <x:c r="Q19" s="101">
        <x:v>0</x:v>
      </x:c>
      <x:c r="R19" s="107">
        <x:v>0</x:v>
      </x:c>
      <x:c r="S19" s="108">
        <x:v>28703</x:v>
      </x:c>
      <x:c r="T19" s="100"/>
      <x:c r="U19" s="100" t="s">
        <x:v>118</x:v>
      </x:c>
      <x:c r="V19" s="106" t="s">
        <x:v>154</x:v>
      </x:c>
      <x:c r="W19" s="100" t="s">
        <x:v>153</x:v>
      </x:c>
      <x:c r="X19" s="17"/>
      <x:c r="Y19" s="17"/>
    </x:row>
    <x:row r="20" spans="1:25" x14ac:dyDescent="0.2">
      <x:c r="A20" s="100"/>
      <x:c r="B20" s="100"/>
      <x:c r="C20" s="100"/>
      <x:c r="D20" s="106"/>
      <x:c r="E20" s="100"/>
      <x:c r="F20" s="100"/>
      <x:c r="G20" s="100"/>
      <x:c r="H20" s="100"/>
      <x:c r="I20" s="101"/>
      <x:c r="J20" s="100"/>
      <x:c r="K20" s="100"/>
      <x:c r="L20" s="100"/>
      <x:c r="M20" s="100"/>
      <x:c r="N20" s="101"/>
      <x:c r="O20" s="101"/>
      <x:c r="P20" s="101"/>
      <x:c r="Q20" s="101"/>
      <x:c r="R20" s="101"/>
      <x:c r="S20" s="108"/>
      <x:c r="T20" s="100"/>
      <x:c r="U20" s="100"/>
      <x:c r="V20" s="106"/>
      <x:c r="W20" s="100"/>
      <x:c r="X20" s="17"/>
      <x:c r="Y20" s="17"/>
    </x:row>
    <x:row r="21" spans="1:25" x14ac:dyDescent="0.2">
      <x:c r="A21" s="100"/>
      <x:c r="B21" s="100"/>
      <x:c r="C21" s="100"/>
      <x:c r="D21" s="106"/>
      <x:c r="E21" s="100"/>
      <x:c r="F21" s="100"/>
      <x:c r="G21" s="100"/>
      <x:c r="H21" s="100"/>
      <x:c r="I21" s="101"/>
      <x:c r="J21" s="100"/>
      <x:c r="K21" s="100"/>
      <x:c r="L21" s="100"/>
      <x:c r="M21" s="100"/>
      <x:c r="N21" s="101"/>
      <x:c r="O21" s="101"/>
      <x:c r="P21" s="101"/>
      <x:c r="Q21" s="101"/>
      <x:c r="R21" s="101"/>
      <x:c r="S21" s="108"/>
      <x:c r="T21" s="100"/>
      <x:c r="U21" s="100"/>
      <x:c r="V21" s="106"/>
      <x:c r="W21" s="100"/>
      <x:c r="X21" s="17"/>
      <x:c r="Y21" s="17"/>
    </x:row>
    <x:row r="22" spans="1:25" x14ac:dyDescent="0.2">
      <x:c r="A22" s="100"/>
      <x:c r="B22" s="100"/>
      <x:c r="C22" s="100"/>
      <x:c r="D22" s="106"/>
      <x:c r="E22" s="100"/>
      <x:c r="F22" s="100"/>
      <x:c r="G22" s="100"/>
      <x:c r="H22" s="100"/>
      <x:c r="I22" s="101"/>
      <x:c r="J22" s="100"/>
      <x:c r="K22" s="100"/>
      <x:c r="L22" s="100"/>
      <x:c r="M22" s="100"/>
      <x:c r="N22" s="101"/>
      <x:c r="O22" s="101"/>
      <x:c r="P22" s="101"/>
      <x:c r="Q22" s="101"/>
      <x:c r="R22" s="101"/>
      <x:c r="S22" s="108"/>
      <x:c r="T22" s="100"/>
      <x:c r="U22" s="100"/>
      <x:c r="V22" s="106"/>
      <x:c r="W22" s="100"/>
      <x:c r="X22" s="17"/>
      <x:c r="Y22" s="17"/>
    </x:row>
    <x:row r="23" spans="1:25" x14ac:dyDescent="0.2">
      <x:c r="O23" s="9">
        <x:v>30413.360000000001</x:v>
      </x:c>
      <x:c r="Q23" s="9">
        <x:v>0</x:v>
      </x:c>
      <x:c r="R23" s="109">
        <x:v>35.512</x:v>
      </x:c>
      <x:c r="X23" s="17"/>
      <x:c r="Y23" s="17"/>
    </x:row>
    <x:row r="24" spans="1:25" x14ac:dyDescent="0.2">
      <x:c r="R24" s="12"/>
      <x:c r="X24" s="17"/>
      <x:c r="Y24" s="17"/>
    </x:row>
    <x:row r="25" spans="1:25" x14ac:dyDescent="0.2">
      <x:c r="O25" s="9">
        <x:v>856.42487046632129</x:v>
      </x:c>
      <x:c r="P25" s="110" t="s">
        <x:v>64</x:v>
      </x:c>
      <x:c r="X25" s="17"/>
      <x:c r="Y25" s="17"/>
    </x:row>
    <x:row r="26" spans="1:25" x14ac:dyDescent="0.2">
      <x:c r="H26" s="5"/>
      <x:c r="I26" s="31"/>
      <x:c r="J26" s="5"/>
      <x:c r="O26" s="18">
        <x:v>1867.01</x:v>
      </x:c>
      <x:c r="P26" s="110" t="s">
        <x:v>65</x:v>
      </x:c>
      <x:c r="Q26" s="24">
        <x:v>2.1800000000000002</x:v>
      </x:c>
      <x:c r="R26" s="32" t="s">
        <x:v>66</x:v>
      </x:c>
      <x:c r="X26" s="17"/>
      <x:c r="Y26" s="17"/>
    </x:row>
    <x:row r="27" spans="1:25" x14ac:dyDescent="0.2">
      <x:c r="E27" s="104"/>
      <x:c r="F27" s="104"/>
      <x:c r="X27" s="17"/>
      <x:c r="Y27" s="17"/>
    </x:row>
    <x:row r="28" spans="1:25" x14ac:dyDescent="0.2">
      <x:c r="A28" s="105" t="s">
        <x:v>67</x:v>
      </x:c>
      <x:c r="E28" s="104"/>
      <x:c r="F28" s="104"/>
      <x:c r="O28" s="111"/>
      <x:c r="P28" s="9"/>
      <x:c r="X28" s="17"/>
      <x:c r="Y28" s="17"/>
    </x:row>
    <x:row r="29" spans="1:25" ht="15.75" thickBot="1" x14ac:dyDescent="0.35">
      <x:c r="E29" s="104"/>
      <x:c r="F29" s="104"/>
      <x:c r="O29" s="6"/>
      <x:c r="P29" s="9"/>
      <x:c r="T29" s="6"/>
      <x:c r="X29" s="17"/>
      <x:c r="Y29" s="17"/>
    </x:row>
    <x:row r="30" spans="1:25" x14ac:dyDescent="0.2">
      <x:c r="B30" s="13"/>
      <x:c r="C30" s="14"/>
      <x:c r="D30" s="14"/>
      <x:c r="E30" s="112"/>
      <x:c r="F30" s="112"/>
      <x:c r="G30" s="15"/>
      <x:c r="P30" s="9"/>
      <x:c r="X30" s="17"/>
      <x:c r="Y30" s="17"/>
    </x:row>
    <x:row r="31" spans="1:25" x14ac:dyDescent="0.2">
      <x:c r="B31" s="16"/>
      <x:c r="C31" s="130">
        <x:v>-37077.21</x:v>
      </x:c>
      <x:c r="E31" s="114" t="s">
        <x:v>69</x:v>
      </x:c>
      <x:c r="F31" s="114"/>
      <x:c r="G31" s="115"/>
      <x:c r="P31" s="9"/>
      <x:c r="X31" s="17"/>
      <x:c r="Y31" s="17"/>
    </x:row>
    <x:row r="32" spans="1:25" x14ac:dyDescent="0.2">
      <x:c r="B32" s="16"/>
      <x:c r="C32" s="131">
        <x:v>7720.78</x:v>
      </x:c>
      <x:c r="E32" s="117" t="s">
        <x:v>70</x:v>
      </x:c>
      <x:c r="F32" s="117"/>
      <x:c r="G32" s="33"/>
      <x:c r="P32" s="9"/>
      <x:c r="X32" s="17"/>
      <x:c r="Y32" s="17"/>
    </x:row>
    <x:row r="33" spans="1:25" ht="15" x14ac:dyDescent="0.3">
      <x:c r="B33" s="16"/>
      <x:c r="C33" s="130">
        <x:v>-29356.43</x:v>
      </x:c>
      <x:c r="E33" s="114" t="s">
        <x:v>71</x:v>
      </x:c>
      <x:c r="F33" s="114"/>
      <x:c r="G33" s="33"/>
      <x:c r="O33" s="7"/>
      <x:c r="P33" s="9"/>
      <x:c r="X33" s="17"/>
      <x:c r="Y33" s="17"/>
    </x:row>
    <x:row r="34" spans="1:25" ht="15" x14ac:dyDescent="0.3">
      <x:c r="B34" s="16"/>
      <x:c r="C34" s="130">
        <x:v>1867.01</x:v>
      </x:c>
      <x:c r="E34" s="117" t="s">
        <x:v>72</x:v>
      </x:c>
      <x:c r="F34" s="117"/>
      <x:c r="G34" s="33"/>
      <x:c r="O34" s="7"/>
      <x:c r="P34" s="9"/>
      <x:c r="X34" s="17"/>
      <x:c r="Y34" s="17"/>
    </x:row>
    <x:row r="35" spans="1:25" ht="13.5" thickBot="1" x14ac:dyDescent="0.25">
      <x:c r="B35" s="16"/>
      <x:c r="C35" s="132">
        <x:v>-27489.420000000002</x:v>
      </x:c>
      <x:c r="E35" s="114" t="s">
        <x:v>73</x:v>
      </x:c>
      <x:c r="F35" s="114"/>
      <x:c r="G35" s="115"/>
      <x:c r="P35" s="9"/>
      <x:c r="X35" s="17"/>
      <x:c r="Y35" s="17"/>
    </x:row>
    <x:row r="36" spans="1:25" ht="16.5" thickTop="1" thickBot="1" x14ac:dyDescent="0.35">
      <x:c r="B36" s="19"/>
      <x:c r="C36" s="20"/>
      <x:c r="D36" s="20"/>
      <x:c r="E36" s="20"/>
      <x:c r="F36" s="20"/>
      <x:c r="G36" s="21"/>
      <x:c r="P36" s="9"/>
      <x:c r="Q36" s="6"/>
      <x:c r="X36" s="17"/>
      <x:c r="Y36" s="17"/>
    </x:row>
    <x:row r="37" spans="1:25" ht="15" x14ac:dyDescent="0.3">
      <x:c r="P37" s="9"/>
      <x:c r="Q37" s="6"/>
      <x:c r="X37" s="17"/>
      <x:c r="Y37" s="17"/>
    </x:row>
    <x:row r="38" spans="1:25" ht="15" x14ac:dyDescent="0.3">
      <x:c r="B38" s="119"/>
      <x:c r="C38" s="119"/>
      <x:c r="D38" s="120"/>
      <x:c r="P38" s="9"/>
      <x:c r="Q38" s="6"/>
      <x:c r="X38" s="17"/>
      <x:c r="Y38" s="17"/>
    </x:row>
    <x:row r="39" spans="1:25" x14ac:dyDescent="0.2">
      <x:c r="A39" s="105" t="s">
        <x:v>74</x:v>
      </x:c>
      <x:c r="B39" s="121"/>
      <x:c r="C39" s="121"/>
      <x:c r="D39" s="121"/>
      <x:c r="E39" s="121"/>
      <x:c r="F39" s="121"/>
      <x:c r="G39" s="121"/>
      <x:c r="H39" s="121"/>
      <x:c r="I39" s="113"/>
      <x:c r="J39" s="121"/>
      <x:c r="K39" s="122"/>
      <x:c r="L39" s="104"/>
      <x:c r="M39" s="104"/>
      <x:c r="X39" s="17"/>
      <x:c r="Y39" s="17"/>
    </x:row>
    <x:row r="40" spans="1:25" x14ac:dyDescent="0.2">
      <x:c r="A40" s="105"/>
      <x:c r="B40" s="121"/>
      <x:c r="C40" s="121"/>
      <x:c r="D40" s="121"/>
      <x:c r="E40" s="121"/>
      <x:c r="F40" s="121"/>
      <x:c r="G40" s="121"/>
      <x:c r="H40" s="121"/>
      <x:c r="I40" s="113"/>
      <x:c r="J40" s="121"/>
      <x:c r="K40" s="122"/>
      <x:c r="L40" s="104"/>
      <x:c r="M40" s="104"/>
      <x:c r="X40" s="17"/>
      <x:c r="Y40" s="17"/>
    </x:row>
    <x:row r="41" spans="1:25" ht="15" x14ac:dyDescent="0.3">
      <x:c r="A41" s="105" t="s">
        <x:v>75</x:v>
      </x:c>
      <x:c r="B41" s="121"/>
      <x:c r="C41" s="121"/>
      <x:c r="D41" s="121"/>
      <x:c r="E41" s="121"/>
      <x:c r="F41" s="121"/>
      <x:c r="G41" s="121"/>
      <x:c r="H41" s="121"/>
      <x:c r="I41" s="113"/>
      <x:c r="J41" s="121"/>
      <x:c r="K41" s="122"/>
      <x:c r="L41" s="104"/>
      <x:c r="M41" s="104"/>
      <x:c r="P41" s="9"/>
      <x:c r="Q41" s="6"/>
      <x:c r="X41" s="17"/>
      <x:c r="Y41" s="17"/>
    </x:row>
    <x:row r="42" spans="1:25" x14ac:dyDescent="0.2">
      <x:c r="A42" s="121"/>
      <x:c r="B42" s="121"/>
      <x:c r="C42" s="121"/>
      <x:c r="D42" s="121"/>
      <x:c r="E42" s="121"/>
      <x:c r="F42" s="121"/>
      <x:c r="G42" s="121"/>
      <x:c r="H42" s="121"/>
      <x:c r="I42" s="113"/>
      <x:c r="J42" s="121"/>
      <x:c r="K42" s="121"/>
      <x:c r="X42" s="17"/>
      <x:c r="Y42" s="17"/>
    </x:row>
    <x:row r="43" spans="1:25" x14ac:dyDescent="0.2">
      <x:c r="A43" s="22" t="s">
        <x:v>76</x:v>
      </x:c>
      <x:c r="B43" s="22" t="s">
        <x:v>77</x:v>
      </x:c>
      <x:c r="C43" s="22" t="s">
        <x:v>6</x:v>
      </x:c>
      <x:c r="D43" s="22" t="s">
        <x:v>7</x:v>
      </x:c>
      <x:c r="E43" s="22" t="s">
        <x:v>8</x:v>
      </x:c>
      <x:c r="F43" s="22" t="s">
        <x:v>9</x:v>
      </x:c>
      <x:c r="G43" s="22" t="s">
        <x:v>10</x:v>
      </x:c>
      <x:c r="H43" s="22" t="s">
        <x:v>11</x:v>
      </x:c>
      <x:c r="I43" s="27" t="s">
        <x:v>78</x:v>
      </x:c>
      <x:c r="J43" s="22" t="s">
        <x:v>45</x:v>
      </x:c>
      <x:c r="K43" s="157" t="s">
        <x:v>79</x:v>
      </x:c>
      <x:c r="L43" s="158"/>
      <x:c r="M43" s="123"/>
      <x:c r="X43" s="17"/>
      <x:c r="Y43" s="17"/>
    </x:row>
    <x:row r="44" spans="1:25" x14ac:dyDescent="0.2">
      <x:c r="A44" s="23" t="s">
        <x:v>19</x:v>
      </x:c>
      <x:c r="B44" s="23" t="s">
        <x:v>20</x:v>
      </x:c>
      <x:c r="C44" s="23" t="s">
        <x:v>126</x:v>
      </x:c>
      <x:c r="D44" s="23" t="s">
        <x:v>81</x:v>
      </x:c>
      <x:c r="E44" s="23" t="s">
        <x:v>140</x:v>
      </x:c>
      <x:c r="F44" s="23" t="s">
        <x:v>23</x:v>
      </x:c>
      <x:c r="G44" s="23" t="s">
        <x:v>23</x:v>
      </x:c>
      <x:c r="H44" s="23" t="s">
        <x:v>24</x:v>
      </x:c>
      <x:c r="I44" s="129">
        <x:v>27489.42</x:v>
      </x:c>
      <x:c r="J44" s="28" t="s">
        <x:v>127</x:v>
      </x:c>
      <x:c r="K44" s="90" t="s">
        <x:v>155</x:v>
      </x:c>
      <x:c r="L44" s="90"/>
      <x:c r="M44" s="144"/>
      <x:c r="X44" s="17"/>
      <x:c r="Y44" s="17"/>
    </x:row>
    <x:row r="45" spans="1:25" x14ac:dyDescent="0.2">
      <x:c r="A45" s="23" t="s">
        <x:v>19</x:v>
      </x:c>
      <x:c r="B45" s="28" t="s">
        <x:v>20</x:v>
      </x:c>
      <x:c r="C45" s="23" t="s">
        <x:v>82</x:v>
      </x:c>
      <x:c r="D45" s="23" t="s">
        <x:v>83</x:v>
      </x:c>
      <x:c r="E45" s="23" t="s">
        <x:v>140</x:v>
      </x:c>
      <x:c r="F45" s="23" t="s">
        <x:v>23</x:v>
      </x:c>
      <x:c r="G45" s="23" t="s">
        <x:v>23</x:v>
      </x:c>
      <x:c r="H45" s="23" t="s">
        <x:v>24</x:v>
      </x:c>
      <x:c r="I45" s="129">
        <x:v>-27489.42</x:v>
      </x:c>
      <x:c r="J45" s="28" t="s">
        <x:v>127</x:v>
      </x:c>
      <x:c r="K45" s="90" t="s">
        <x:v>155</x:v>
      </x:c>
      <x:c r="L45" s="90"/>
      <x:c r="M45" s="144"/>
      <x:c r="X45" s="17"/>
      <x:c r="Y45" s="17"/>
    </x:row>
    <x:row r="46" spans="1:25" x14ac:dyDescent="0.2">
      <x:c r="A46" s="91"/>
      <x:c r="B46" s="91"/>
      <x:c r="C46" s="91"/>
      <x:c r="D46" s="91"/>
      <x:c r="E46" s="91"/>
      <x:c r="F46" s="91"/>
      <x:c r="G46" s="91"/>
      <x:c r="H46" s="91"/>
      <x:c r="I46" s="92"/>
      <x:c r="J46" s="91"/>
      <x:c r="K46" s="93"/>
      <x:c r="X46" s="17"/>
      <x:c r="Y46" s="17"/>
    </x:row>
    <x:row r="47" spans="1:25" x14ac:dyDescent="0.2">
      <x:c r="C47" s="30"/>
    </x:row>
    <x:row r="48" spans="1:25" x14ac:dyDescent="0.2">
      <x:c r="A48" s="105"/>
    </x:row>
    <x:row r="49" spans="1:20" x14ac:dyDescent="0.2">
      <x:c r="A49" s="105"/>
    </x:row>
    <x:row r="50" spans="1:20" x14ac:dyDescent="0.2">
      <x:c r="A50" s="105"/>
    </x:row>
    <x:row r="51" spans="1:20" x14ac:dyDescent="0.2">
      <x:c r="A51" s="105"/>
    </x:row>
    <x:row r="54" spans="1:20" x14ac:dyDescent="0.2">
      <x:c r="A54" s="105" t="s">
        <x:v>86</x:v>
      </x:c>
    </x:row>
    <x:row r="56" spans="1:20" ht="13.5" thickBot="1" x14ac:dyDescent="0.25"/>
    <x:row r="57" spans="1:20" ht="16.5" thickTop="1" thickBot="1" x14ac:dyDescent="0.35">
      <x:c r="A57" s="3" t="s">
        <x:v>132</x:v>
      </x:c>
      <x:c r="B57" s="3"/>
      <x:c r="C57" s="3"/>
    </x:row>
    <x:row r="58" spans="1:20" ht="16.5" thickTop="1" thickBot="1" x14ac:dyDescent="0.35">
      <x:c r="A58" s="3" t="s">
        <x:v>0</x:v>
      </x:c>
      <x:c r="B58" s="3" t="s">
        <x:v>8</x:v>
      </x:c>
      <x:c r="C58" s="3" t="s">
        <x:v>31</x:v>
      </x:c>
      <x:c r="D58" s="3" t="s">
        <x:v>38</x:v>
      </x:c>
      <x:c r="E58" s="3" t="s">
        <x:v>6</x:v>
      </x:c>
      <x:c r="F58" s="3" t="s">
        <x:v>34</x:v>
      </x:c>
      <x:c r="G58" s="3" t="s">
        <x:v>36</x:v>
      </x:c>
      <x:c r="H58" s="3" t="s">
        <x:v>18</x:v>
      </x:c>
      <x:c r="I58" s="4" t="s">
        <x:v>35</x:v>
      </x:c>
      <x:c r="J58" s="3" t="s">
        <x:v>37</x:v>
      </x:c>
      <x:c r="K58" s="3" t="s">
        <x:v>43</x:v>
      </x:c>
      <x:c r="L58" s="3" t="s">
        <x:v>39</x:v>
      </x:c>
      <x:c r="M58" s="3" t="s">
        <x:v>45</x:v>
      </x:c>
      <x:c r="N58" s="3" t="s">
        <x:v>46</x:v>
      </x:c>
      <x:c r="O58" s="3" t="s">
        <x:v>18</x:v>
      </x:c>
      <x:c r="P58" s="3" t="s">
        <x:v>42</x:v>
      </x:c>
      <x:c r="Q58" s="3" t="s">
        <x:v>41</x:v>
      </x:c>
      <x:c r="R58" s="3" t="s">
        <x:v>40</x:v>
      </x:c>
      <x:c r="S58" s="3" t="s">
        <x:v>44</x:v>
      </x:c>
      <x:c r="T58" s="3" t="s">
        <x:v>32</x:v>
      </x:c>
    </x:row>
    <x:row r="59" spans="1:20" ht="15.75" thickTop="1" x14ac:dyDescent="0.25">
      <x:c r="A59" s="124" t="s">
        <x:v>19</x:v>
      </x:c>
      <x:c r="B59" s="106" t="s">
        <x:v>140</x:v>
      </x:c>
      <x:c r="C59" s="124" t="s">
        <x:v>148</x:v>
      </x:c>
      <x:c r="D59" s="124" t="s">
        <x:v>151</x:v>
      </x:c>
      <x:c r="E59" s="106" t="s">
        <x:v>124</x:v>
      </x:c>
      <x:c r="F59" s="106" t="s">
        <x:v>49</x:v>
      </x:c>
      <x:c r="G59" s="125" t="s">
        <x:v>51</x:v>
      </x:c>
      <x:c r="H59" s="124" t="s">
        <x:v>52</x:v>
      </x:c>
      <x:c r="I59" s="106" t="s">
        <x:v>50</x:v>
      </x:c>
      <x:c r="J59" s="124" t="s">
        <x:v>60</x:v>
      </x:c>
      <x:c r="K59" s="128">
        <x:v>-2.1800000000000002</x:v>
      </x:c>
      <x:c r="L59" s="128">
        <x:v>-1867.01</x:v>
      </x:c>
      <x:c r="M59" s="124" t="s">
        <x:v>97</x:v>
      </x:c>
      <x:c r="N59" s="124" t="s">
        <x:v>121</x:v>
      </x:c>
      <x:c r="O59" s="126" t="s">
        <x:v>139</x:v>
      </x:c>
      <x:c r="P59" s="125">
        <x:v>0</x:v>
      </x:c>
      <x:c r="Q59" s="125">
        <x:v>0</x:v>
      </x:c>
      <x:c r="R59" s="128">
        <x:v>-1867.01</x:v>
      </x:c>
      <x:c r="S59" s="30"/>
      <x:c r="T59" s="106" t="s">
        <x:v>149</x:v>
      </x:c>
    </x:row>
    <x:row r="60" spans="1:20" x14ac:dyDescent="0.2">
      <x:c r="A60" s="10"/>
      <x:c r="B60" s="10"/>
      <x:c r="C60" s="10"/>
      <x:c r="D60" s="10"/>
      <x:c r="E60" s="10"/>
      <x:c r="F60" s="10"/>
      <x:c r="G60" s="10"/>
      <x:c r="H60" s="10"/>
      <x:c r="J60" s="10"/>
      <x:c r="K60" s="12"/>
      <x:c r="L60" s="9"/>
      <x:c r="M60" s="10"/>
      <x:c r="N60" s="10"/>
      <x:c r="O60" s="10"/>
      <x:c r="P60" s="9"/>
      <x:c r="Q60" s="9"/>
      <x:c r="R60" s="9"/>
      <x:c r="T60" s="10"/>
    </x:row>
    <x:row r="61" spans="1:20" ht="13.5" thickBot="1" x14ac:dyDescent="0.25">
      <x:c r="A61" s="10"/>
      <x:c r="B61" s="10"/>
      <x:c r="C61" s="10"/>
      <x:c r="D61" s="10"/>
      <x:c r="E61" s="10"/>
      <x:c r="F61" s="10"/>
      <x:c r="G61" s="10"/>
      <x:c r="H61" s="10"/>
      <x:c r="J61" s="10"/>
      <x:c r="K61" s="127">
        <x:v>-2.1800000000000002</x:v>
      </x:c>
      <x:c r="L61" s="127">
        <x:v>-1867.01</x:v>
      </x:c>
      <x:c r="M61" s="10"/>
      <x:c r="N61" s="10"/>
      <x:c r="O61" s="10"/>
      <x:c r="P61" s="9"/>
      <x:c r="Q61" s="9"/>
      <x:c r="R61" s="9"/>
      <x:c r="T61" s="10"/>
    </x:row>
    <x:row r="62" spans="1:20" ht="13.5" thickTop="1" x14ac:dyDescent="0.2"/>
  </x:sheetData>
  <x:dataValidations disablePrompts="1"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C528F709-FC47-4C1A-8D2E-5F143F44DBD1}">
      <x:formula1>"NEXT"</x:formula1>
    </x:dataValidation>
  </x:dataValidations>
  <x:pageMargins left="0.7" right="0.7" top="2.5" bottom="0.75" header="1.25" footer="0.3"/>
  <x:pageSetup scale="39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D1E7CF-41CC-40DD-B655-5AB3EEC52987}" mc:Ignorable="x14ac xr xr2 xr3">
  <x:sheetPr>
    <x:pageSetUpPr fitToPage="1"/>
  </x:sheetPr>
  <x:dimension ref="A1:Y61"/>
  <x:sheetViews>
    <x:sheetView tabSelected="1" zoomScaleNormal="100" workbookViewId="0"/>
  </x:sheetViews>
  <x:sheetFormatPr defaultColWidth="9.140625" defaultRowHeight="12.75" x14ac:dyDescent="0.2"/>
  <x:cols>
    <x:col min="1" max="1" width="6.140625" style="8" bestFit="1" customWidth="1"/>
    <x:col min="2" max="2" width="11.85546875" style="8" customWidth="1"/>
    <x:col min="3" max="3" width="13" style="8" bestFit="1" customWidth="1"/>
    <x:col min="4" max="4" width="16.140625" style="8" bestFit="1" customWidth="1"/>
    <x:col min="5" max="5" width="9.42578125" style="8" bestFit="1" customWidth="1"/>
    <x:col min="6" max="6" width="9.140625" style="8"/>
    <x:col min="7" max="7" width="8.42578125" style="8" bestFit="1" customWidth="1"/>
    <x:col min="8" max="8" width="8.5703125" style="8" bestFit="1" customWidth="1"/>
    <x:col min="9" max="9" width="13" style="9" bestFit="1" customWidth="1"/>
    <x:col min="10" max="10" width="11.85546875" style="8" bestFit="1" customWidth="1"/>
    <x:col min="11" max="11" width="17.7109375" style="8" customWidth="1"/>
    <x:col min="12" max="12" width="18" style="8" bestFit="1" customWidth="1"/>
    <x:col min="13" max="13" width="10.85546875" style="8" bestFit="1" customWidth="1"/>
    <x:col min="14" max="14" width="13.42578125" style="8" bestFit="1" customWidth="1"/>
    <x:col min="15" max="15" width="15.42578125" style="8" customWidth="1"/>
    <x:col min="16" max="16" width="27.85546875" style="8" bestFit="1" customWidth="1"/>
    <x:col min="17" max="17" width="12.7109375" style="8" bestFit="1" customWidth="1"/>
    <x:col min="18" max="18" width="13.28515625" style="8" bestFit="1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156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94" t="s">
        <x:v>4</x:v>
      </x:c>
      <x:c r="B3" s="95"/>
      <x:c r="C3" s="95"/>
      <x:c r="D3" s="95"/>
      <x:c r="E3" s="96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129</x:v>
      </x:c>
      <x:c r="E5" s="100" t="s">
        <x:v>157</x:v>
      </x:c>
      <x:c r="F5" s="100" t="s">
        <x:v>23</x:v>
      </x:c>
      <x:c r="G5" s="100" t="s">
        <x:v>23</x:v>
      </x:c>
      <x:c r="H5" s="100"/>
      <x:c r="I5" s="133">
        <x:v>-1774944.62</x:v>
      </x:c>
      <x:c r="J5" s="100" t="s">
        <x:v>158</x:v>
      </x:c>
      <x:c r="K5" s="100"/>
      <x:c r="L5" s="100">
        <x:v>8</x:v>
      </x:c>
      <x:c r="M5" s="100">
        <x:v>2024</x:v>
      </x:c>
      <x:c r="N5" s="100" t="s">
        <x:v>87</x:v>
      </x:c>
      <x:c r="O5" s="100" t="s">
        <x:v>26</x:v>
      </x:c>
      <x:c r="P5" s="100" t="s">
        <x:v>159</x:v>
      </x:c>
      <x:c r="Q5" s="102" t="s">
        <x:v>160</x:v>
      </x:c>
      <x:c r="R5" s="10"/>
      <x:c r="S5" s="10"/>
      <x:c r="T5" s="10"/>
      <x:c r="U5" s="10"/>
      <x:c r="X5" s="17"/>
      <x:c r="Y5" s="17"/>
    </x:row>
    <x:row r="6" spans="1:25" x14ac:dyDescent="0.2">
      <x:c r="A6" s="100"/>
      <x:c r="B6" s="100"/>
      <x:c r="C6" s="100"/>
      <x:c r="D6" s="100"/>
      <x:c r="E6" s="100"/>
      <x:c r="F6" s="100"/>
      <x:c r="G6" s="100"/>
      <x:c r="H6" s="100"/>
      <x:c r="I6" s="101"/>
      <x:c r="J6" s="100"/>
      <x:c r="K6" s="100"/>
      <x:c r="L6" s="100"/>
      <x:c r="M6" s="100"/>
      <x:c r="N6" s="100"/>
      <x:c r="O6" s="100"/>
      <x:c r="P6" s="100"/>
      <x:c r="Q6" s="102"/>
      <x:c r="R6" s="10"/>
      <x:c r="S6" s="10"/>
      <x:c r="T6" s="10"/>
      <x:c r="U6" s="10"/>
      <x:c r="X6" s="17"/>
      <x:c r="Y6" s="17"/>
    </x:row>
    <x:row r="7" spans="1:25" x14ac:dyDescent="0.2">
      <x:c r="R7" s="103"/>
      <x:c r="X7" s="17"/>
      <x:c r="Y7" s="17"/>
    </x:row>
    <x:row r="8" spans="1:25" x14ac:dyDescent="0.2">
      <x:c r="X8" s="17"/>
      <x:c r="Y8" s="17"/>
    </x:row>
    <x:row r="9" spans="1:25" x14ac:dyDescent="0.2">
      <x:c r="X9" s="17"/>
      <x:c r="Y9" s="17"/>
    </x:row>
    <x:row r="10" spans="1:25" x14ac:dyDescent="0.2">
      <x:c r="A10" s="105" t="s">
        <x:v>28</x:v>
      </x:c>
      <x:c r="X10" s="17"/>
      <x:c r="Y10" s="17"/>
    </x:row>
    <x:row r="11" spans="1:25" ht="13.5" thickBot="1" x14ac:dyDescent="0.25">
      <x:c r="A11" s="105"/>
      <x:c r="R11" s="103"/>
      <x:c r="X11" s="17"/>
      <x:c r="Y11" s="17"/>
    </x:row>
    <x:row r="12" spans="1:25" ht="16.5" thickTop="1" thickBot="1" x14ac:dyDescent="0.35">
      <x:c r="A12" s="94" t="s">
        <x:v>29</x:v>
      </x:c>
      <x:c r="B12" s="95"/>
      <x:c r="C12" s="95"/>
      <x:c r="D12" s="96"/>
      <x:c r="W12" s="5" t="s">
        <x:v>30</x:v>
      </x:c>
      <x:c r="X12" s="17"/>
      <x:c r="Y12" s="17"/>
    </x:row>
    <x:row r="13" spans="1:25" ht="16.5" thickTop="1" thickBot="1" x14ac:dyDescent="0.35">
      <x:c r="A13" s="3" t="s">
        <x:v>0</x:v>
      </x:c>
      <x:c r="B13" s="3" t="s">
        <x:v>31</x:v>
      </x:c>
      <x:c r="C13" s="3" t="s">
        <x:v>32</x:v>
      </x:c>
      <x:c r="D13" s="3" t="s">
        <x:v>18</x:v>
      </x:c>
      <x:c r="E13" s="3" t="s">
        <x:v>6</x:v>
      </x:c>
      <x:c r="F13" s="3" t="s">
        <x:v>33</x:v>
      </x:c>
      <x:c r="G13" s="3" t="s">
        <x:v>34</x:v>
      </x:c>
      <x:c r="H13" s="3" t="s">
        <x:v>35</x:v>
      </x:c>
      <x:c r="I13" s="4" t="s">
        <x:v>36</x:v>
      </x:c>
      <x:c r="J13" s="3" t="s">
        <x:v>18</x:v>
      </x:c>
      <x:c r="K13" s="3" t="s">
        <x:v>37</x:v>
      </x:c>
      <x:c r="L13" s="3" t="s">
        <x:v>8</x:v>
      </x:c>
      <x:c r="M13" s="3" t="s">
        <x:v>38</x:v>
      </x:c>
      <x:c r="N13" s="3" t="s">
        <x:v>39</x:v>
      </x:c>
      <x:c r="O13" s="3" t="s">
        <x:v>40</x:v>
      </x:c>
      <x:c r="P13" s="3" t="s">
        <x:v>41</x:v>
      </x:c>
      <x:c r="Q13" s="3" t="s">
        <x:v>42</x:v>
      </x:c>
      <x:c r="R13" s="3" t="s">
        <x:v>43</x:v>
      </x:c>
      <x:c r="S13" s="3" t="s">
        <x:v>44</x:v>
      </x:c>
      <x:c r="T13" s="3" t="s">
        <x:v>45</x:v>
      </x:c>
      <x:c r="U13" s="3" t="s">
        <x:v>46</x:v>
      </x:c>
      <x:c r="V13" s="3" t="s">
        <x:v>18</x:v>
      </x:c>
      <x:c r="W13" s="3" t="s">
        <x:v>47</x:v>
      </x:c>
      <x:c r="X13" s="17"/>
      <x:c r="Y13" s="17"/>
    </x:row>
    <x:row r="14" spans="1:25" ht="13.5" thickTop="1" x14ac:dyDescent="0.2">
      <x:c r="A14" s="100" t="s">
        <x:v>19</x:v>
      </x:c>
      <x:c r="B14" s="100" t="s">
        <x:v>161</x:v>
      </x:c>
      <x:c r="C14" s="100" t="s">
        <x:v>162</x:v>
      </x:c>
      <x:c r="D14" s="106" t="s">
        <x:v>163</x:v>
      </x:c>
      <x:c r="E14" s="100" t="s">
        <x:v>124</x:v>
      </x:c>
      <x:c r="F14" s="100" t="s">
        <x:v>125</x:v>
      </x:c>
      <x:c r="G14" s="100" t="s">
        <x:v>49</x:v>
      </x:c>
      <x:c r="H14" s="100" t="s">
        <x:v>50</x:v>
      </x:c>
      <x:c r="I14" s="101" t="s">
        <x:v>51</x:v>
      </x:c>
      <x:c r="J14" s="100" t="s">
        <x:v>52</x:v>
      </x:c>
      <x:c r="K14" s="100" t="s">
        <x:v>53</x:v>
      </x:c>
      <x:c r="L14" s="100" t="s">
        <x:v>164</x:v>
      </x:c>
      <x:c r="M14" s="100" t="s">
        <x:v>165</x:v>
      </x:c>
      <x:c r="N14" s="101">
        <x:v>11419247.390000001</x:v>
      </x:c>
      <x:c r="O14" s="101">
        <x:v>11419247.390000001</x:v>
      </x:c>
      <x:c r="P14" s="101">
        <x:v>0</x:v>
      </x:c>
      <x:c r="Q14" s="101">
        <x:v>0</x:v>
      </x:c>
      <x:c r="R14" s="101">
        <x:v>62.1</x:v>
      </x:c>
      <x:c r="S14" s="108">
        <x:v>44895</x:v>
      </x:c>
      <x:c r="T14" s="100"/>
      <x:c r="U14" s="100"/>
      <x:c r="V14" s="106" t="s">
        <x:v>54</x:v>
      </x:c>
      <x:c r="W14" s="100" t="s">
        <x:v>166</x:v>
      </x:c>
      <x:c r="X14" s="17"/>
      <x:c r="Y14" s="17"/>
    </x:row>
    <x:row r="15" spans="1:25" x14ac:dyDescent="0.2">
      <x:c r="A15" s="100" t="s">
        <x:v>19</x:v>
      </x:c>
      <x:c r="B15" s="100" t="s">
        <x:v>161</x:v>
      </x:c>
      <x:c r="C15" s="100" t="s">
        <x:v>162</x:v>
      </x:c>
      <x:c r="D15" s="106" t="s">
        <x:v>163</x:v>
      </x:c>
      <x:c r="E15" s="100" t="s">
        <x:v>124</x:v>
      </x:c>
      <x:c r="F15" s="100" t="s">
        <x:v>125</x:v>
      </x:c>
      <x:c r="G15" s="100" t="s">
        <x:v>49</x:v>
      </x:c>
      <x:c r="H15" s="100" t="s">
        <x:v>50</x:v>
      </x:c>
      <x:c r="I15" s="101" t="s">
        <x:v>51</x:v>
      </x:c>
      <x:c r="J15" s="100" t="s">
        <x:v>52</x:v>
      </x:c>
      <x:c r="K15" s="100" t="s">
        <x:v>55</x:v>
      </x:c>
      <x:c r="L15" s="100" t="s">
        <x:v>164</x:v>
      </x:c>
      <x:c r="M15" s="100" t="s">
        <x:v>165</x:v>
      </x:c>
      <x:c r="N15" s="101">
        <x:v>1871.1</x:v>
      </x:c>
      <x:c r="O15" s="101">
        <x:v>1871.1</x:v>
      </x:c>
      <x:c r="P15" s="101">
        <x:v>0</x:v>
      </x:c>
      <x:c r="Q15" s="101">
        <x:v>0</x:v>
      </x:c>
      <x:c r="R15" s="101">
        <x:v>0</x:v>
      </x:c>
      <x:c r="S15" s="108">
        <x:v>44926</x:v>
      </x:c>
      <x:c r="T15" s="100"/>
      <x:c r="U15" s="100"/>
      <x:c r="V15" s="106" t="s">
        <x:v>54</x:v>
      </x:c>
      <x:c r="W15" s="100" t="s">
        <x:v>166</x:v>
      </x:c>
      <x:c r="X15" s="17"/>
      <x:c r="Y15" s="17"/>
    </x:row>
    <x:row r="16" spans="1:25" x14ac:dyDescent="0.2">
      <x:c r="A16" s="100" t="s">
        <x:v>19</x:v>
      </x:c>
      <x:c r="B16" s="100" t="s">
        <x:v>161</x:v>
      </x:c>
      <x:c r="C16" s="100" t="s">
        <x:v>162</x:v>
      </x:c>
      <x:c r="D16" s="106" t="s">
        <x:v>163</x:v>
      </x:c>
      <x:c r="E16" s="100" t="s">
        <x:v>124</x:v>
      </x:c>
      <x:c r="F16" s="100" t="s">
        <x:v>125</x:v>
      </x:c>
      <x:c r="G16" s="100" t="s">
        <x:v>49</x:v>
      </x:c>
      <x:c r="H16" s="100" t="s">
        <x:v>50</x:v>
      </x:c>
      <x:c r="I16" s="101" t="s">
        <x:v>51</x:v>
      </x:c>
      <x:c r="J16" s="100" t="s">
        <x:v>52</x:v>
      </x:c>
      <x:c r="K16" s="100" t="s">
        <x:v>55</x:v>
      </x:c>
      <x:c r="L16" s="100" t="s">
        <x:v>164</x:v>
      </x:c>
      <x:c r="M16" s="100" t="s">
        <x:v>167</x:v>
      </x:c>
      <x:c r="N16" s="101">
        <x:v>23609.93</x:v>
      </x:c>
      <x:c r="O16" s="101">
        <x:v>23609.93</x:v>
      </x:c>
      <x:c r="P16" s="101">
        <x:v>0</x:v>
      </x:c>
      <x:c r="Q16" s="101">
        <x:v>0</x:v>
      </x:c>
      <x:c r="R16" s="101">
        <x:v>0</x:v>
      </x:c>
      <x:c r="S16" s="108">
        <x:v>44957</x:v>
      </x:c>
      <x:c r="T16" s="100"/>
      <x:c r="U16" s="100"/>
      <x:c r="V16" s="106" t="s">
        <x:v>54</x:v>
      </x:c>
      <x:c r="W16" s="100" t="s">
        <x:v>166</x:v>
      </x:c>
      <x:c r="X16" s="17"/>
      <x:c r="Y16" s="17"/>
    </x:row>
    <x:row r="17" spans="1:25" x14ac:dyDescent="0.2">
      <x:c r="A17" s="100" t="s">
        <x:v>19</x:v>
      </x:c>
      <x:c r="B17" s="100" t="s">
        <x:v>161</x:v>
      </x:c>
      <x:c r="C17" s="100" t="s">
        <x:v>162</x:v>
      </x:c>
      <x:c r="D17" s="106" t="s">
        <x:v>163</x:v>
      </x:c>
      <x:c r="E17" s="100" t="s">
        <x:v>124</x:v>
      </x:c>
      <x:c r="F17" s="100" t="s">
        <x:v>125</x:v>
      </x:c>
      <x:c r="G17" s="100" t="s">
        <x:v>49</x:v>
      </x:c>
      <x:c r="H17" s="100" t="s">
        <x:v>50</x:v>
      </x:c>
      <x:c r="I17" s="101" t="s">
        <x:v>51</x:v>
      </x:c>
      <x:c r="J17" s="100" t="s">
        <x:v>52</x:v>
      </x:c>
      <x:c r="K17" s="100" t="s">
        <x:v>55</x:v>
      </x:c>
      <x:c r="L17" s="100" t="s">
        <x:v>164</x:v>
      </x:c>
      <x:c r="M17" s="100" t="s">
        <x:v>167</x:v>
      </x:c>
      <x:c r="N17" s="101">
        <x:v>1322.09</x:v>
      </x:c>
      <x:c r="O17" s="101">
        <x:v>1322.09</x:v>
      </x:c>
      <x:c r="P17" s="101">
        <x:v>0</x:v>
      </x:c>
      <x:c r="Q17" s="101">
        <x:v>0</x:v>
      </x:c>
      <x:c r="R17" s="101">
        <x:v>0</x:v>
      </x:c>
      <x:c r="S17" s="108">
        <x:v>44985</x:v>
      </x:c>
      <x:c r="T17" s="100"/>
      <x:c r="U17" s="100"/>
      <x:c r="V17" s="106" t="s">
        <x:v>54</x:v>
      </x:c>
      <x:c r="W17" s="100" t="s">
        <x:v>166</x:v>
      </x:c>
      <x:c r="X17" s="17"/>
      <x:c r="Y17" s="17"/>
    </x:row>
    <x:row r="18" spans="1:25" x14ac:dyDescent="0.2">
      <x:c r="A18" s="100" t="s">
        <x:v>19</x:v>
      </x:c>
      <x:c r="B18" s="100" t="s">
        <x:v>161</x:v>
      </x:c>
      <x:c r="C18" s="100" t="s">
        <x:v>162</x:v>
      </x:c>
      <x:c r="D18" s="106" t="s">
        <x:v>163</x:v>
      </x:c>
      <x:c r="E18" s="100" t="s">
        <x:v>124</x:v>
      </x:c>
      <x:c r="F18" s="100" t="s">
        <x:v>125</x:v>
      </x:c>
      <x:c r="G18" s="100" t="s">
        <x:v>49</x:v>
      </x:c>
      <x:c r="H18" s="100" t="s">
        <x:v>50</x:v>
      </x:c>
      <x:c r="I18" s="101" t="s">
        <x:v>51</x:v>
      </x:c>
      <x:c r="J18" s="100" t="s">
        <x:v>52</x:v>
      </x:c>
      <x:c r="K18" s="100" t="s">
        <x:v>55</x:v>
      </x:c>
      <x:c r="L18" s="100" t="s">
        <x:v>164</x:v>
      </x:c>
      <x:c r="M18" s="100" t="s">
        <x:v>167</x:v>
      </x:c>
      <x:c r="N18" s="101">
        <x:v>246.29</x:v>
      </x:c>
      <x:c r="O18" s="101">
        <x:v>246.29</x:v>
      </x:c>
      <x:c r="P18" s="101">
        <x:v>0</x:v>
      </x:c>
      <x:c r="Q18" s="101">
        <x:v>0</x:v>
      </x:c>
      <x:c r="R18" s="101">
        <x:v>0</x:v>
      </x:c>
      <x:c r="S18" s="108">
        <x:v>45077</x:v>
      </x:c>
      <x:c r="T18" s="100"/>
      <x:c r="U18" s="100"/>
      <x:c r="V18" s="106" t="s">
        <x:v>54</x:v>
      </x:c>
      <x:c r="W18" s="100" t="s">
        <x:v>166</x:v>
      </x:c>
      <x:c r="X18" s="17"/>
      <x:c r="Y18" s="17"/>
    </x:row>
    <x:row r="19" spans="1:25" x14ac:dyDescent="0.2">
      <x:c r="A19" s="100" t="s">
        <x:v>19</x:v>
      </x:c>
      <x:c r="B19" s="100" t="s">
        <x:v>161</x:v>
      </x:c>
      <x:c r="C19" s="100" t="s">
        <x:v>162</x:v>
      </x:c>
      <x:c r="D19" s="106" t="s">
        <x:v>163</x:v>
      </x:c>
      <x:c r="E19" s="100" t="s">
        <x:v>124</x:v>
      </x:c>
      <x:c r="F19" s="100" t="s">
        <x:v>125</x:v>
      </x:c>
      <x:c r="G19" s="100" t="s">
        <x:v>49</x:v>
      </x:c>
      <x:c r="H19" s="100" t="s">
        <x:v>50</x:v>
      </x:c>
      <x:c r="I19" s="101" t="s">
        <x:v>51</x:v>
      </x:c>
      <x:c r="J19" s="100" t="s">
        <x:v>52</x:v>
      </x:c>
      <x:c r="K19" s="100" t="s">
        <x:v>55</x:v>
      </x:c>
      <x:c r="L19" s="100" t="s">
        <x:v>164</x:v>
      </x:c>
      <x:c r="M19" s="100" t="s">
        <x:v>167</x:v>
      </x:c>
      <x:c r="N19" s="101">
        <x:v>163.86</x:v>
      </x:c>
      <x:c r="O19" s="101">
        <x:v>163.86</x:v>
      </x:c>
      <x:c r="P19" s="101">
        <x:v>0</x:v>
      </x:c>
      <x:c r="Q19" s="101">
        <x:v>0</x:v>
      </x:c>
      <x:c r="R19" s="101">
        <x:v>0</x:v>
      </x:c>
      <x:c r="S19" s="108">
        <x:v>45046</x:v>
      </x:c>
      <x:c r="T19" s="100"/>
      <x:c r="U19" s="100"/>
      <x:c r="V19" s="106" t="s">
        <x:v>54</x:v>
      </x:c>
      <x:c r="W19" s="100" t="s">
        <x:v>166</x:v>
      </x:c>
      <x:c r="X19" s="17"/>
      <x:c r="Y19" s="17"/>
    </x:row>
    <x:row r="20" spans="1:25" x14ac:dyDescent="0.2">
      <x:c r="A20" s="100" t="s">
        <x:v>19</x:v>
      </x:c>
      <x:c r="B20" s="100" t="s">
        <x:v>161</x:v>
      </x:c>
      <x:c r="C20" s="100" t="s">
        <x:v>162</x:v>
      </x:c>
      <x:c r="D20" s="106" t="s">
        <x:v>163</x:v>
      </x:c>
      <x:c r="E20" s="100" t="s">
        <x:v>124</x:v>
      </x:c>
      <x:c r="F20" s="100" t="s">
        <x:v>125</x:v>
      </x:c>
      <x:c r="G20" s="100" t="s">
        <x:v>49</x:v>
      </x:c>
      <x:c r="H20" s="100" t="s">
        <x:v>50</x:v>
      </x:c>
      <x:c r="I20" s="101" t="s">
        <x:v>51</x:v>
      </x:c>
      <x:c r="J20" s="100" t="s">
        <x:v>52</x:v>
      </x:c>
      <x:c r="K20" s="100" t="s">
        <x:v>55</x:v>
      </x:c>
      <x:c r="L20" s="100" t="s">
        <x:v>164</x:v>
      </x:c>
      <x:c r="M20" s="100" t="s">
        <x:v>109</x:v>
      </x:c>
      <x:c r="N20" s="101">
        <x:v>1480.2</x:v>
      </x:c>
      <x:c r="O20" s="101">
        <x:v>1480.2</x:v>
      </x:c>
      <x:c r="P20" s="101">
        <x:v>0</x:v>
      </x:c>
      <x:c r="Q20" s="101">
        <x:v>0</x:v>
      </x:c>
      <x:c r="R20" s="101">
        <x:v>0</x:v>
      </x:c>
      <x:c r="S20" s="108">
        <x:v>45351</x:v>
      </x:c>
      <x:c r="T20" s="100"/>
      <x:c r="U20" s="100"/>
      <x:c r="V20" s="106" t="s">
        <x:v>54</x:v>
      </x:c>
      <x:c r="W20" s="100" t="s">
        <x:v>166</x:v>
      </x:c>
      <x:c r="X20" s="17"/>
      <x:c r="Y20" s="17"/>
    </x:row>
    <x:row r="21" spans="1:25" x14ac:dyDescent="0.2">
      <x:c r="A21" s="100" t="s">
        <x:v>19</x:v>
      </x:c>
      <x:c r="B21" s="100" t="s">
        <x:v>161</x:v>
      </x:c>
      <x:c r="C21" s="100" t="s">
        <x:v>162</x:v>
      </x:c>
      <x:c r="D21" s="106" t="s">
        <x:v>163</x:v>
      </x:c>
      <x:c r="E21" s="100" t="s">
        <x:v>124</x:v>
      </x:c>
      <x:c r="F21" s="100" t="s">
        <x:v>125</x:v>
      </x:c>
      <x:c r="G21" s="100" t="s">
        <x:v>49</x:v>
      </x:c>
      <x:c r="H21" s="100" t="s">
        <x:v>50</x:v>
      </x:c>
      <x:c r="I21" s="101" t="s">
        <x:v>51</x:v>
      </x:c>
      <x:c r="J21" s="100" t="s">
        <x:v>52</x:v>
      </x:c>
      <x:c r="K21" s="100" t="s">
        <x:v>55</x:v>
      </x:c>
      <x:c r="L21" s="100" t="s">
        <x:v>164</x:v>
      </x:c>
      <x:c r="M21" s="100" t="s">
        <x:v>109</x:v>
      </x:c>
      <x:c r="N21" s="101">
        <x:v>1063.68</x:v>
      </x:c>
      <x:c r="O21" s="101">
        <x:v>1063.68</x:v>
      </x:c>
      <x:c r="P21" s="101">
        <x:v>0</x:v>
      </x:c>
      <x:c r="Q21" s="101">
        <x:v>0</x:v>
      </x:c>
      <x:c r="R21" s="101">
        <x:v>0</x:v>
      </x:c>
      <x:c r="S21" s="108">
        <x:v>45412</x:v>
      </x:c>
      <x:c r="T21" s="100"/>
      <x:c r="U21" s="100"/>
      <x:c r="V21" s="106" t="s">
        <x:v>54</x:v>
      </x:c>
      <x:c r="W21" s="100" t="s">
        <x:v>166</x:v>
      </x:c>
      <x:c r="X21" s="17"/>
      <x:c r="Y21" s="17"/>
    </x:row>
    <x:row r="22" spans="1:25" x14ac:dyDescent="0.2">
      <x:c r="A22" s="100"/>
      <x:c r="B22" s="100"/>
      <x:c r="C22" s="100"/>
      <x:c r="D22" s="106"/>
      <x:c r="E22" s="100"/>
      <x:c r="F22" s="100"/>
      <x:c r="G22" s="100"/>
      <x:c r="H22" s="100"/>
      <x:c r="I22" s="101"/>
      <x:c r="J22" s="100"/>
      <x:c r="K22" s="100"/>
      <x:c r="L22" s="100"/>
      <x:c r="M22" s="100"/>
      <x:c r="N22" s="101"/>
      <x:c r="O22" s="101"/>
      <x:c r="P22" s="101"/>
      <x:c r="Q22" s="101"/>
      <x:c r="R22" s="101"/>
      <x:c r="S22" s="108"/>
      <x:c r="T22" s="100"/>
      <x:c r="U22" s="100"/>
      <x:c r="V22" s="106"/>
      <x:c r="W22" s="100"/>
      <x:c r="X22" s="17"/>
      <x:c r="Y22" s="17"/>
    </x:row>
    <x:row r="23" spans="1:25" x14ac:dyDescent="0.2">
      <x:c r="O23" s="9">
        <x:v>11449004.539999997</x:v>
      </x:c>
      <x:c r="Q23" s="9"/>
      <x:c r="R23" s="109">
        <x:v>62.1</x:v>
      </x:c>
      <x:c r="X23" s="17"/>
      <x:c r="Y23" s="17"/>
    </x:row>
    <x:row r="24" spans="1:25" x14ac:dyDescent="0.2">
      <x:c r="R24" s="12"/>
      <x:c r="X24" s="17"/>
      <x:c r="Y24" s="17"/>
    </x:row>
    <x:row r="25" spans="1:25" x14ac:dyDescent="0.2">
      <x:c r="O25" s="9">
        <x:v>184364.00225442828</x:v>
      </x:c>
      <x:c r="P25" s="110" t="s">
        <x:v>64</x:v>
      </x:c>
      <x:c r="X25" s="17"/>
      <x:c r="Y25" s="17"/>
    </x:row>
    <x:row r="26" spans="1:25" x14ac:dyDescent="0.2">
      <x:c r="H26" s="5"/>
      <x:c r="I26" s="5"/>
      <x:c r="J26" s="5"/>
      <x:c r="O26" s="18">
        <x:v>1369640.17</x:v>
      </x:c>
      <x:c r="P26" s="110" t="s">
        <x:v>65</x:v>
      </x:c>
      <x:c r="Q26" s="24">
        <x:v>7.4290000000000003</x:v>
      </x:c>
      <x:c r="R26" s="32" t="s">
        <x:v>66</x:v>
      </x:c>
      <x:c r="X26" s="17"/>
      <x:c r="Y26" s="17"/>
    </x:row>
    <x:row r="27" spans="1:25" x14ac:dyDescent="0.2">
      <x:c r="X27" s="17"/>
      <x:c r="Y27" s="17"/>
    </x:row>
    <x:row r="28" spans="1:25" x14ac:dyDescent="0.2">
      <x:c r="A28" s="105" t="s">
        <x:v>67</x:v>
      </x:c>
      <x:c r="O28" s="111"/>
      <x:c r="P28" s="9"/>
      <x:c r="X28" s="17"/>
      <x:c r="Y28" s="17"/>
    </x:row>
    <x:row r="29" spans="1:25" ht="15.75" thickBot="1" x14ac:dyDescent="0.35">
      <x:c r="O29" s="6"/>
      <x:c r="P29" s="9"/>
      <x:c r="T29" s="6"/>
      <x:c r="X29" s="17"/>
      <x:c r="Y29" s="17"/>
    </x:row>
    <x:row r="30" spans="1:25" x14ac:dyDescent="0.2">
      <x:c r="B30" s="13"/>
      <x:c r="C30" s="14"/>
      <x:c r="D30" s="14"/>
      <x:c r="E30" s="14"/>
      <x:c r="F30" s="14"/>
      <x:c r="G30" s="15"/>
      <x:c r="P30" s="9"/>
      <x:c r="X30" s="17"/>
      <x:c r="Y30" s="17"/>
    </x:row>
    <x:row r="31" spans="1:25" x14ac:dyDescent="0.2">
      <x:c r="B31" s="16"/>
      <x:c r="C31" s="130">
        <x:v>-1774944.62</x:v>
      </x:c>
      <x:c r="E31" s="114" t="s">
        <x:v>69</x:v>
      </x:c>
      <x:c r="F31" s="114"/>
      <x:c r="G31" s="33"/>
      <x:c r="P31" s="9"/>
      <x:c r="X31" s="17"/>
      <x:c r="Y31" s="17"/>
    </x:row>
    <x:row r="32" spans="1:25" x14ac:dyDescent="0.2">
      <x:c r="B32" s="16"/>
      <x:c r="C32" s="131">
        <x:v>0</x:v>
      </x:c>
      <x:c r="E32" s="117" t="s">
        <x:v>70</x:v>
      </x:c>
      <x:c r="F32" s="117"/>
      <x:c r="G32" s="33"/>
      <x:c r="P32" s="9"/>
      <x:c r="X32" s="17"/>
      <x:c r="Y32" s="17"/>
    </x:row>
    <x:row r="33" spans="1:25" ht="15" x14ac:dyDescent="0.3">
      <x:c r="B33" s="16"/>
      <x:c r="C33" s="130">
        <x:v>-1774944.62</x:v>
      </x:c>
      <x:c r="E33" s="114" t="s">
        <x:v>71</x:v>
      </x:c>
      <x:c r="F33" s="114"/>
      <x:c r="G33" s="33"/>
      <x:c r="O33" s="7"/>
      <x:c r="P33" s="9"/>
      <x:c r="X33" s="17"/>
      <x:c r="Y33" s="17"/>
    </x:row>
    <x:row r="34" spans="1:25" ht="15" x14ac:dyDescent="0.3">
      <x:c r="B34" s="16"/>
      <x:c r="C34" s="130">
        <x:v>1369640.17</x:v>
      </x:c>
      <x:c r="E34" s="117" t="s">
        <x:v>72</x:v>
      </x:c>
      <x:c r="F34" s="117"/>
      <x:c r="G34" s="33"/>
      <x:c r="O34" s="7"/>
      <x:c r="P34" s="9"/>
      <x:c r="X34" s="17"/>
      <x:c r="Y34" s="17"/>
    </x:row>
    <x:row r="35" spans="1:25" ht="13.5" thickBot="1" x14ac:dyDescent="0.25">
      <x:c r="B35" s="16"/>
      <x:c r="C35" s="132">
        <x:v>-405304.45000000019</x:v>
      </x:c>
      <x:c r="E35" s="114" t="s">
        <x:v>73</x:v>
      </x:c>
      <x:c r="F35" s="114"/>
      <x:c r="G35" s="115"/>
      <x:c r="P35" s="9"/>
      <x:c r="X35" s="17"/>
      <x:c r="Y35" s="17"/>
    </x:row>
    <x:row r="36" spans="1:25" ht="16.5" thickTop="1" thickBot="1" x14ac:dyDescent="0.35">
      <x:c r="B36" s="19"/>
      <x:c r="C36" s="20"/>
      <x:c r="D36" s="20"/>
      <x:c r="E36" s="20"/>
      <x:c r="F36" s="20"/>
      <x:c r="G36" s="21"/>
      <x:c r="P36" s="9"/>
      <x:c r="Q36" s="6"/>
      <x:c r="X36" s="17"/>
      <x:c r="Y36" s="17"/>
    </x:row>
    <x:row r="37" spans="1:25" ht="15" x14ac:dyDescent="0.3">
      <x:c r="P37" s="9"/>
      <x:c r="Q37" s="6"/>
      <x:c r="X37" s="17"/>
      <x:c r="Y37" s="17"/>
    </x:row>
    <x:row r="38" spans="1:25" ht="15" x14ac:dyDescent="0.3">
      <x:c r="B38" s="119"/>
      <x:c r="C38" s="119"/>
      <x:c r="D38" s="120"/>
      <x:c r="P38" s="9"/>
      <x:c r="Q38" s="6"/>
      <x:c r="X38" s="17"/>
      <x:c r="Y38" s="17"/>
    </x:row>
    <x:row r="39" spans="1:25" x14ac:dyDescent="0.2">
      <x:c r="A39" s="105" t="s">
        <x:v>74</x:v>
      </x:c>
      <x:c r="B39" s="121"/>
      <x:c r="C39" s="121"/>
      <x:c r="D39" s="121"/>
      <x:c r="E39" s="121"/>
      <x:c r="F39" s="121"/>
      <x:c r="G39" s="121"/>
      <x:c r="H39" s="121"/>
      <x:c r="I39" s="113"/>
      <x:c r="J39" s="121"/>
      <x:c r="K39" s="121"/>
      <x:c r="X39" s="17"/>
      <x:c r="Y39" s="17"/>
    </x:row>
    <x:row r="40" spans="1:25" x14ac:dyDescent="0.2">
      <x:c r="A40" s="105"/>
      <x:c r="B40" s="121"/>
      <x:c r="C40" s="121"/>
      <x:c r="D40" s="121"/>
      <x:c r="E40" s="121"/>
      <x:c r="F40" s="121"/>
      <x:c r="G40" s="121"/>
      <x:c r="H40" s="121"/>
      <x:c r="I40" s="113"/>
      <x:c r="J40" s="121"/>
      <x:c r="K40" s="121"/>
      <x:c r="X40" s="17"/>
      <x:c r="Y40" s="17"/>
    </x:row>
    <x:row r="41" spans="1:25" ht="15" x14ac:dyDescent="0.3">
      <x:c r="A41" s="105" t="s">
        <x:v>75</x:v>
      </x:c>
      <x:c r="B41" s="121"/>
      <x:c r="C41" s="121"/>
      <x:c r="D41" s="121"/>
      <x:c r="E41" s="121"/>
      <x:c r="F41" s="121"/>
      <x:c r="G41" s="121"/>
      <x:c r="H41" s="121"/>
      <x:c r="I41" s="113"/>
      <x:c r="J41" s="121"/>
      <x:c r="K41" s="121"/>
      <x:c r="P41" s="9"/>
      <x:c r="Q41" s="6"/>
      <x:c r="X41" s="17"/>
      <x:c r="Y41" s="17"/>
    </x:row>
    <x:row r="42" spans="1:25" x14ac:dyDescent="0.2">
      <x:c r="A42" s="121"/>
      <x:c r="B42" s="121"/>
      <x:c r="C42" s="121"/>
      <x:c r="D42" s="121"/>
      <x:c r="E42" s="121"/>
      <x:c r="F42" s="121"/>
      <x:c r="G42" s="121"/>
      <x:c r="H42" s="121"/>
      <x:c r="I42" s="113"/>
      <x:c r="J42" s="121"/>
      <x:c r="K42" s="121"/>
      <x:c r="X42" s="17"/>
      <x:c r="Y42" s="17"/>
    </x:row>
    <x:row r="43" spans="1:25" x14ac:dyDescent="0.2">
      <x:c r="A43" s="22" t="s">
        <x:v>76</x:v>
      </x:c>
      <x:c r="B43" s="22" t="s">
        <x:v>77</x:v>
      </x:c>
      <x:c r="C43" s="22" t="s">
        <x:v>6</x:v>
      </x:c>
      <x:c r="D43" s="22" t="s">
        <x:v>7</x:v>
      </x:c>
      <x:c r="E43" s="22" t="s">
        <x:v>8</x:v>
      </x:c>
      <x:c r="F43" s="22" t="s">
        <x:v>9</x:v>
      </x:c>
      <x:c r="G43" s="22" t="s">
        <x:v>10</x:v>
      </x:c>
      <x:c r="H43" s="22" t="s">
        <x:v>11</x:v>
      </x:c>
      <x:c r="I43" s="27" t="s">
        <x:v>78</x:v>
      </x:c>
      <x:c r="J43" s="22" t="s">
        <x:v>45</x:v>
      </x:c>
      <x:c r="K43" s="157" t="s">
        <x:v>79</x:v>
      </x:c>
      <x:c r="L43" s="158"/>
      <x:c r="M43" s="34"/>
      <x:c r="X43" s="17"/>
      <x:c r="Y43" s="17"/>
    </x:row>
    <x:row r="44" spans="1:25" x14ac:dyDescent="0.2">
      <x:c r="A44" s="23" t="s">
        <x:v>19</x:v>
      </x:c>
      <x:c r="B44" s="23" t="s">
        <x:v>20</x:v>
      </x:c>
      <x:c r="C44" s="23" t="s">
        <x:v>82</x:v>
      </x:c>
      <x:c r="D44" s="23" t="s">
        <x:v>83</x:v>
      </x:c>
      <x:c r="E44" s="23" t="s">
        <x:v>157</x:v>
      </x:c>
      <x:c r="F44" s="23" t="s">
        <x:v>23</x:v>
      </x:c>
      <x:c r="G44" s="23" t="s">
        <x:v>23</x:v>
      </x:c>
      <x:c r="H44" s="23" t="s">
        <x:v>24</x:v>
      </x:c>
      <x:c r="I44" s="129">
        <x:v>-405304.45</x:v>
      </x:c>
      <x:c r="J44" s="23"/>
      <x:c r="K44" s="90" t="s">
        <x:v>169</x:v>
      </x:c>
      <x:c r="L44" s="90"/>
      <x:c r="M44" s="144"/>
      <x:c r="X44" s="17"/>
      <x:c r="Y44" s="17"/>
    </x:row>
    <x:row r="45" spans="1:25" x14ac:dyDescent="0.2">
      <x:c r="A45" s="23" t="s">
        <x:v>19</x:v>
      </x:c>
      <x:c r="B45" s="28" t="s">
        <x:v>20</x:v>
      </x:c>
      <x:c r="C45" s="23" t="s">
        <x:v>126</x:v>
      </x:c>
      <x:c r="D45" s="23" t="s">
        <x:v>81</x:v>
      </x:c>
      <x:c r="E45" s="23" t="s">
        <x:v>157</x:v>
      </x:c>
      <x:c r="F45" s="23" t="s">
        <x:v>23</x:v>
      </x:c>
      <x:c r="G45" s="23" t="s">
        <x:v>23</x:v>
      </x:c>
      <x:c r="H45" s="23" t="s">
        <x:v>24</x:v>
      </x:c>
      <x:c r="I45" s="129">
        <x:v>405304.45</x:v>
      </x:c>
      <x:c r="J45" s="23"/>
      <x:c r="K45" s="90" t="s">
        <x:v>169</x:v>
      </x:c>
      <x:c r="L45" s="90"/>
      <x:c r="M45" s="144"/>
      <x:c r="N45" s="17"/>
      <x:c r="X45" s="17"/>
      <x:c r="Y45" s="17"/>
    </x:row>
    <x:row r="46" spans="1:25" x14ac:dyDescent="0.2">
      <x:c r="A46" s="91"/>
      <x:c r="B46" s="91"/>
      <x:c r="C46" s="91"/>
      <x:c r="D46" s="91"/>
      <x:c r="E46" s="91"/>
      <x:c r="F46" s="91"/>
      <x:c r="G46" s="91"/>
      <x:c r="H46" s="91"/>
      <x:c r="I46" s="92"/>
      <x:c r="J46" s="91"/>
      <x:c r="K46" s="93"/>
      <x:c r="M46" s="17"/>
      <x:c r="X46" s="17"/>
      <x:c r="Y46" s="17"/>
    </x:row>
    <x:row r="47" spans="1:25" x14ac:dyDescent="0.2">
      <x:c r="A47" s="105"/>
    </x:row>
    <x:row r="53" spans="1:20" x14ac:dyDescent="0.2">
      <x:c r="A53" s="105" t="s">
        <x:v>86</x:v>
      </x:c>
    </x:row>
    <x:row r="55" spans="1:20" ht="13.5" thickBot="1" x14ac:dyDescent="0.25"/>
    <x:row r="56" spans="1:20" ht="16.5" thickTop="1" thickBot="1" x14ac:dyDescent="0.35">
      <x:c r="A56" s="3" t="s">
        <x:v>132</x:v>
      </x:c>
      <x:c r="B56" s="3"/>
      <x:c r="C56" s="3"/>
    </x:row>
    <x:row r="57" spans="1:20" ht="16.5" thickTop="1" thickBot="1" x14ac:dyDescent="0.35">
      <x:c r="A57" s="3" t="s">
        <x:v>0</x:v>
      </x:c>
      <x:c r="B57" s="3" t="s">
        <x:v>8</x:v>
      </x:c>
      <x:c r="C57" s="3" t="s">
        <x:v>31</x:v>
      </x:c>
      <x:c r="D57" s="3" t="s">
        <x:v>38</x:v>
      </x:c>
      <x:c r="E57" s="3" t="s">
        <x:v>6</x:v>
      </x:c>
      <x:c r="F57" s="3" t="s">
        <x:v>34</x:v>
      </x:c>
      <x:c r="G57" s="3" t="s">
        <x:v>36</x:v>
      </x:c>
      <x:c r="H57" s="3" t="s">
        <x:v>18</x:v>
      </x:c>
      <x:c r="I57" s="4" t="s">
        <x:v>35</x:v>
      </x:c>
      <x:c r="J57" s="3" t="s">
        <x:v>37</x:v>
      </x:c>
      <x:c r="K57" s="3" t="s">
        <x:v>43</x:v>
      </x:c>
      <x:c r="L57" s="3" t="s">
        <x:v>39</x:v>
      </x:c>
      <x:c r="M57" s="3" t="s">
        <x:v>45</x:v>
      </x:c>
      <x:c r="N57" s="3" t="s">
        <x:v>46</x:v>
      </x:c>
      <x:c r="O57" s="3" t="s">
        <x:v>18</x:v>
      </x:c>
      <x:c r="P57" s="3" t="s">
        <x:v>42</x:v>
      </x:c>
      <x:c r="Q57" s="3" t="s">
        <x:v>41</x:v>
      </x:c>
      <x:c r="R57" s="3" t="s">
        <x:v>40</x:v>
      </x:c>
      <x:c r="S57" s="3" t="s">
        <x:v>44</x:v>
      </x:c>
      <x:c r="T57" s="3" t="s">
        <x:v>32</x:v>
      </x:c>
    </x:row>
    <x:row r="58" spans="1:20" ht="15.75" thickTop="1" x14ac:dyDescent="0.25">
      <x:c r="A58" s="136" t="s">
        <x:v>19</x:v>
      </x:c>
      <x:c r="B58" s="100" t="s">
        <x:v>157</x:v>
      </x:c>
      <x:c r="C58" s="137" t="s">
        <x:v>161</x:v>
      </x:c>
      <x:c r="D58" s="136">
        <x:v>2022</x:v>
      </x:c>
      <x:c r="E58" s="100" t="s">
        <x:v>124</x:v>
      </x:c>
      <x:c r="F58" s="100" t="s">
        <x:v>49</x:v>
      </x:c>
      <x:c r="G58" s="138" t="s">
        <x:v>51</x:v>
      </x:c>
      <x:c r="H58" s="124" t="s">
        <x:v>52</x:v>
      </x:c>
      <x:c r="I58" s="100" t="s">
        <x:v>50</x:v>
      </x:c>
      <x:c r="J58" s="136" t="s">
        <x:v>60</x:v>
      </x:c>
      <x:c r="K58" s="143">
        <x:v>-7.4290000000000003</x:v>
      </x:c>
      <x:c r="L58" s="143">
        <x:v>-1369640.17</x:v>
      </x:c>
      <x:c r="M58" s="136" t="s">
        <x:v>97</x:v>
      </x:c>
      <x:c r="N58" s="136" t="s">
        <x:v>121</x:v>
      </x:c>
      <x:c r="O58" s="126" t="s">
        <x:v>156</x:v>
      </x:c>
      <x:c r="P58" s="101">
        <x:v>0</x:v>
      </x:c>
      <x:c r="Q58" s="101">
        <x:v>0</x:v>
      </x:c>
      <x:c r="R58" s="143">
        <x:v>-1369640.17</x:v>
      </x:c>
      <x:c r="S58" s="141"/>
      <x:c r="T58" s="100" t="s">
        <x:v>162</x:v>
      </x:c>
    </x:row>
    <x:row r="59" spans="1:20" x14ac:dyDescent="0.2">
      <x:c r="A59" s="10"/>
      <x:c r="B59" s="10"/>
      <x:c r="C59" s="10"/>
      <x:c r="D59" s="10"/>
      <x:c r="E59" s="10"/>
      <x:c r="F59" s="10"/>
      <x:c r="G59" s="10"/>
      <x:c r="H59" s="10"/>
      <x:c r="J59" s="10"/>
      <x:c r="K59" s="134"/>
      <x:c r="L59" s="134"/>
      <x:c r="M59" s="10"/>
      <x:c r="N59" s="10"/>
      <x:c r="O59" s="10"/>
      <x:c r="P59" s="9"/>
      <x:c r="Q59" s="9"/>
      <x:c r="R59" s="9"/>
      <x:c r="T59" s="10"/>
    </x:row>
    <x:row r="60" spans="1:20" ht="13.5" thickBot="1" x14ac:dyDescent="0.25">
      <x:c r="A60" s="10"/>
      <x:c r="B60" s="10"/>
      <x:c r="C60" s="10"/>
      <x:c r="D60" s="10"/>
      <x:c r="E60" s="10"/>
      <x:c r="F60" s="10"/>
      <x:c r="G60" s="10"/>
      <x:c r="H60" s="10"/>
      <x:c r="J60" s="10"/>
      <x:c r="K60" s="127">
        <x:v>-7.4290000000000003</x:v>
      </x:c>
      <x:c r="L60" s="127">
        <x:v>-1369640.17</x:v>
      </x:c>
      <x:c r="M60" s="10"/>
      <x:c r="N60" s="10"/>
      <x:c r="O60" s="10"/>
      <x:c r="P60" s="9"/>
      <x:c r="Q60" s="9"/>
      <x:c r="R60" s="9"/>
      <x:c r="T60" s="10"/>
    </x:row>
    <x:row r="61" spans="1:20" ht="13.5" thickTop="1" x14ac:dyDescent="0.2">
      <x:c r="A61" s="10"/>
      <x:c r="B61" s="10"/>
      <x:c r="C61" s="10"/>
      <x:c r="D61" s="10"/>
      <x:c r="E61" s="10"/>
      <x:c r="F61" s="10"/>
      <x:c r="G61" s="10"/>
      <x:c r="H61" s="10"/>
      <x:c r="J61" s="10"/>
      <x:c r="K61" s="12"/>
      <x:c r="L61" s="9"/>
      <x:c r="M61" s="10"/>
      <x:c r="N61" s="10"/>
      <x:c r="O61" s="10"/>
      <x:c r="P61" s="9"/>
      <x:c r="Q61" s="9"/>
      <x:c r="R61" s="9"/>
      <x:c r="T61" s="10"/>
    </x:row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DB183200-93FF-4B36-A038-9B5B6B411CE1}">
      <x:formula1>"NEXT"</x:formula1>
    </x:dataValidation>
  </x:dataValidations>
  <x:pageMargins left="0.7" right="0.7" top="2.5" bottom="0.75" header="1.25" footer="0.3"/>
  <x:pageSetup scale="39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CBEAC0-BA40-4C60-8B81-A5907B9838B4}" mc:Ignorable="x14ac xr xr2 xr3">
  <x:sheetPr>
    <x:pageSetUpPr fitToPage="1"/>
  </x:sheetPr>
  <x:dimension ref="A1:Y102"/>
  <x:sheetViews>
    <x:sheetView tabSelected="1" zoomScaleNormal="100" workbookViewId="0"/>
  </x:sheetViews>
  <x:sheetFormatPr defaultColWidth="9.140625" defaultRowHeight="12.75" x14ac:dyDescent="0.2"/>
  <x:cols>
    <x:col min="1" max="1" width="6.140625" style="8" bestFit="1" customWidth="1"/>
    <x:col min="2" max="2" width="11.85546875" style="8" customWidth="1"/>
    <x:col min="3" max="3" width="15" style="8" customWidth="1"/>
    <x:col min="4" max="4" width="16" style="8" bestFit="1" customWidth="1"/>
    <x:col min="5" max="5" width="9.42578125" style="8" bestFit="1" customWidth="1"/>
    <x:col min="6" max="6" width="9.140625" style="8"/>
    <x:col min="7" max="7" width="8.42578125" style="8" bestFit="1" customWidth="1"/>
    <x:col min="8" max="8" width="28.140625" style="8" bestFit="1" customWidth="1"/>
    <x:col min="9" max="9" width="15.42578125" style="9" customWidth="1"/>
    <x:col min="10" max="10" width="11.85546875" style="8" bestFit="1" customWidth="1"/>
    <x:col min="11" max="11" width="21.5703125" style="8" customWidth="1"/>
    <x:col min="12" max="12" width="19.42578125" style="8" bestFit="1" customWidth="1"/>
    <x:col min="13" max="13" width="10.85546875" style="8" bestFit="1" customWidth="1"/>
    <x:col min="14" max="14" width="15.42578125" style="8" bestFit="1" customWidth="1"/>
    <x:col min="15" max="15" width="15.42578125" style="8" customWidth="1"/>
    <x:col min="16" max="16" width="27.85546875" style="8" bestFit="1" customWidth="1"/>
    <x:col min="17" max="17" width="12.7109375" style="8" bestFit="1" customWidth="1"/>
    <x:col min="18" max="18" width="16.28515625" style="8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170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94" t="s">
        <x:v>4</x:v>
      </x:c>
      <x:c r="B3" s="95"/>
      <x:c r="C3" s="95"/>
      <x:c r="D3" s="95"/>
      <x:c r="E3" s="96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171</x:v>
      </x:c>
      <x:c r="E5" s="100" t="s">
        <x:v>172</x:v>
      </x:c>
      <x:c r="F5" s="100" t="s">
        <x:v>23</x:v>
      </x:c>
      <x:c r="G5" s="100" t="s">
        <x:v>23</x:v>
      </x:c>
      <x:c r="H5" s="100"/>
      <x:c r="I5" s="101">
        <x:v>1500</x:v>
      </x:c>
      <x:c r="J5" s="100" t="s">
        <x:v>173</x:v>
      </x:c>
      <x:c r="K5" s="100"/>
      <x:c r="L5" s="100">
        <x:v>6</x:v>
      </x:c>
      <x:c r="M5" s="100">
        <x:v>2024</x:v>
      </x:c>
      <x:c r="N5" s="100" t="s">
        <x:v>87</x:v>
      </x:c>
      <x:c r="O5" s="100" t="s">
        <x:v>88</x:v>
      </x:c>
      <x:c r="P5" s="100" t="s">
        <x:v>174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00" t="s">
        <x:v>20</x:v>
      </x:c>
      <x:c r="C6" s="100" t="s">
        <x:v>21</x:v>
      </x:c>
      <x:c r="D6" s="100" t="s">
        <x:v>89</x:v>
      </x:c>
      <x:c r="E6" s="100" t="s">
        <x:v>172</x:v>
      </x:c>
      <x:c r="F6" s="100" t="s">
        <x:v>23</x:v>
      </x:c>
      <x:c r="G6" s="100" t="s">
        <x:v>23</x:v>
      </x:c>
      <x:c r="H6" s="100"/>
      <x:c r="I6" s="101">
        <x:v>52.2</x:v>
      </x:c>
      <x:c r="J6" s="100" t="s">
        <x:v>146</x:v>
      </x:c>
      <x:c r="K6" s="100"/>
      <x:c r="L6" s="100">
        <x:v>6</x:v>
      </x:c>
      <x:c r="M6" s="100">
        <x:v>2024</x:v>
      </x:c>
      <x:c r="N6" s="100" t="s">
        <x:v>90</x:v>
      </x:c>
      <x:c r="O6" s="100" t="s">
        <x:v>91</x:v>
      </x:c>
      <x:c r="P6" s="100" t="s">
        <x:v>92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0" t="s">
        <x:v>19</x:v>
      </x:c>
      <x:c r="B7" s="100" t="s">
        <x:v>20</x:v>
      </x:c>
      <x:c r="C7" s="100" t="s">
        <x:v>21</x:v>
      </x:c>
      <x:c r="D7" s="100" t="s">
        <x:v>89</x:v>
      </x:c>
      <x:c r="E7" s="100" t="s">
        <x:v>172</x:v>
      </x:c>
      <x:c r="F7" s="100" t="s">
        <x:v>23</x:v>
      </x:c>
      <x:c r="G7" s="100" t="s">
        <x:v>23</x:v>
      </x:c>
      <x:c r="H7" s="100"/>
      <x:c r="I7" s="101">
        <x:v>2853.37</x:v>
      </x:c>
      <x:c r="J7" s="100" t="s">
        <x:v>175</x:v>
      </x:c>
      <x:c r="K7" s="100"/>
      <x:c r="L7" s="100">
        <x:v>8</x:v>
      </x:c>
      <x:c r="M7" s="100">
        <x:v>2024</x:v>
      </x:c>
      <x:c r="N7" s="100" t="s">
        <x:v>90</x:v>
      </x:c>
      <x:c r="O7" s="100" t="s">
        <x:v>91</x:v>
      </x:c>
      <x:c r="P7" s="100" t="s">
        <x:v>92</x:v>
      </x:c>
      <x:c r="R7" s="103"/>
      <x:c r="X7" s="17"/>
      <x:c r="Y7" s="17"/>
    </x:row>
    <x:row r="8" spans="1:25" x14ac:dyDescent="0.2">
      <x:c r="A8" s="100" t="s">
        <x:v>19</x:v>
      </x:c>
      <x:c r="B8" s="100" t="s">
        <x:v>20</x:v>
      </x:c>
      <x:c r="C8" s="100" t="s">
        <x:v>21</x:v>
      </x:c>
      <x:c r="D8" s="100" t="s">
        <x:v>89</x:v>
      </x:c>
      <x:c r="E8" s="100" t="s">
        <x:v>172</x:v>
      </x:c>
      <x:c r="F8" s="100" t="s">
        <x:v>23</x:v>
      </x:c>
      <x:c r="G8" s="100" t="s">
        <x:v>23</x:v>
      </x:c>
      <x:c r="H8" s="100"/>
      <x:c r="I8" s="101">
        <x:v>607.66</x:v>
      </x:c>
      <x:c r="J8" s="100" t="s">
        <x:v>176</x:v>
      </x:c>
      <x:c r="K8" s="100"/>
      <x:c r="L8" s="100">
        <x:v>10</x:v>
      </x:c>
      <x:c r="M8" s="100">
        <x:v>2024</x:v>
      </x:c>
      <x:c r="N8" s="100" t="s">
        <x:v>90</x:v>
      </x:c>
      <x:c r="O8" s="100" t="s">
        <x:v>91</x:v>
      </x:c>
      <x:c r="P8" s="100" t="s">
        <x:v>92</x:v>
      </x:c>
      <x:c r="X8" s="17"/>
      <x:c r="Y8" s="17"/>
    </x:row>
    <x:row r="9" spans="1:25" x14ac:dyDescent="0.2">
      <x:c r="A9" s="100" t="s">
        <x:v>19</x:v>
      </x:c>
      <x:c r="B9" s="100" t="s">
        <x:v>20</x:v>
      </x:c>
      <x:c r="C9" s="100" t="s">
        <x:v>21</x:v>
      </x:c>
      <x:c r="D9" s="100" t="s">
        <x:v>177</x:v>
      </x:c>
      <x:c r="E9" s="100" t="s">
        <x:v>172</x:v>
      </x:c>
      <x:c r="F9" s="100" t="s">
        <x:v>23</x:v>
      </x:c>
      <x:c r="G9" s="100" t="s">
        <x:v>23</x:v>
      </x:c>
      <x:c r="H9" s="100"/>
      <x:c r="I9" s="101">
        <x:v>62849.52</x:v>
      </x:c>
      <x:c r="J9" s="100" t="s">
        <x:v>178</x:v>
      </x:c>
      <x:c r="K9" s="100"/>
      <x:c r="L9" s="100">
        <x:v>8</x:v>
      </x:c>
      <x:c r="M9" s="100">
        <x:v>2024</x:v>
      </x:c>
      <x:c r="N9" s="100" t="s">
        <x:v>87</x:v>
      </x:c>
      <x:c r="O9" s="100" t="s">
        <x:v>88</x:v>
      </x:c>
      <x:c r="P9" s="100" t="s">
        <x:v>179</x:v>
      </x:c>
      <x:c r="X9" s="17"/>
      <x:c r="Y9" s="17"/>
    </x:row>
    <x:row r="10" spans="1:25" x14ac:dyDescent="0.2">
      <x:c r="A10" s="100" t="s">
        <x:v>19</x:v>
      </x:c>
      <x:c r="B10" s="100" t="s">
        <x:v>20</x:v>
      </x:c>
      <x:c r="C10" s="100" t="s">
        <x:v>21</x:v>
      </x:c>
      <x:c r="D10" s="100" t="s">
        <x:v>177</x:v>
      </x:c>
      <x:c r="E10" s="100" t="s">
        <x:v>172</x:v>
      </x:c>
      <x:c r="F10" s="100" t="s">
        <x:v>23</x:v>
      </x:c>
      <x:c r="G10" s="100" t="s">
        <x:v>23</x:v>
      </x:c>
      <x:c r="H10" s="100"/>
      <x:c r="I10" s="101">
        <x:v>10144.58</x:v>
      </x:c>
      <x:c r="J10" s="100" t="s">
        <x:v>180</x:v>
      </x:c>
      <x:c r="K10" s="100"/>
      <x:c r="L10" s="100">
        <x:v>10</x:v>
      </x:c>
      <x:c r="M10" s="100">
        <x:v>2024</x:v>
      </x:c>
      <x:c r="N10" s="100" t="s">
        <x:v>87</x:v>
      </x:c>
      <x:c r="O10" s="100" t="s">
        <x:v>88</x:v>
      </x:c>
      <x:c r="P10" s="100" t="s">
        <x:v>179</x:v>
      </x:c>
      <x:c r="X10" s="17"/>
      <x:c r="Y10" s="17"/>
    </x:row>
    <x:row r="11" spans="1:25" x14ac:dyDescent="0.2">
      <x:c r="X11" s="17"/>
      <x:c r="Y11" s="17"/>
    </x:row>
    <x:row r="12" spans="1:25" x14ac:dyDescent="0.2">
      <x:c r="X12" s="17"/>
      <x:c r="Y12" s="17"/>
    </x:row>
    <x:row r="13" spans="1:25" x14ac:dyDescent="0.2">
      <x:c r="X13" s="17"/>
      <x:c r="Y13" s="17"/>
    </x:row>
    <x:row r="14" spans="1:25" x14ac:dyDescent="0.2">
      <x:c r="X14" s="17"/>
      <x:c r="Y14" s="17"/>
    </x:row>
    <x:row r="15" spans="1:25" x14ac:dyDescent="0.2">
      <x:c r="A15" s="105" t="s">
        <x:v>28</x:v>
      </x:c>
      <x:c r="X15" s="17"/>
      <x:c r="Y15" s="17"/>
    </x:row>
    <x:row r="16" spans="1:25" ht="13.5" thickBot="1" x14ac:dyDescent="0.25">
      <x:c r="A16" s="105"/>
      <x:c r="R16" s="103"/>
      <x:c r="X16" s="17"/>
      <x:c r="Y16" s="17"/>
    </x:row>
    <x:row r="17" spans="1:25" ht="16.5" thickTop="1" thickBot="1" x14ac:dyDescent="0.35">
      <x:c r="A17" s="94" t="s">
        <x:v>29</x:v>
      </x:c>
      <x:c r="B17" s="95"/>
      <x:c r="C17" s="95"/>
      <x:c r="D17" s="96"/>
      <x:c r="W17" s="5" t="s">
        <x:v>30</x:v>
      </x:c>
      <x:c r="X17" s="17"/>
      <x:c r="Y17" s="17"/>
    </x:row>
    <x:row r="18" spans="1:25" ht="16.5" thickTop="1" thickBot="1" x14ac:dyDescent="0.35">
      <x:c r="A18" s="3" t="s">
        <x:v>0</x:v>
      </x:c>
      <x:c r="B18" s="3" t="s">
        <x:v>31</x:v>
      </x:c>
      <x:c r="C18" s="3" t="s">
        <x:v>32</x:v>
      </x:c>
      <x:c r="D18" s="3" t="s">
        <x:v>18</x:v>
      </x:c>
      <x:c r="E18" s="3" t="s">
        <x:v>6</x:v>
      </x:c>
      <x:c r="F18" s="3" t="s">
        <x:v>33</x:v>
      </x:c>
      <x:c r="G18" s="3" t="s">
        <x:v>34</x:v>
      </x:c>
      <x:c r="H18" s="3" t="s">
        <x:v>35</x:v>
      </x:c>
      <x:c r="I18" s="4" t="s">
        <x:v>36</x:v>
      </x:c>
      <x:c r="J18" s="3" t="s">
        <x:v>18</x:v>
      </x:c>
      <x:c r="K18" s="3" t="s">
        <x:v>37</x:v>
      </x:c>
      <x:c r="L18" s="3" t="s">
        <x:v>8</x:v>
      </x:c>
      <x:c r="M18" s="3" t="s">
        <x:v>38</x:v>
      </x:c>
      <x:c r="N18" s="3" t="s">
        <x:v>39</x:v>
      </x:c>
      <x:c r="O18" s="3" t="s">
        <x:v>40</x:v>
      </x:c>
      <x:c r="P18" s="3" t="s">
        <x:v>41</x:v>
      </x:c>
      <x:c r="Q18" s="3" t="s">
        <x:v>42</x:v>
      </x:c>
      <x:c r="R18" s="3" t="s">
        <x:v>43</x:v>
      </x:c>
      <x:c r="S18" s="3" t="s">
        <x:v>44</x:v>
      </x:c>
      <x:c r="T18" s="3" t="s">
        <x:v>45</x:v>
      </x:c>
      <x:c r="U18" s="3" t="s">
        <x:v>46</x:v>
      </x:c>
      <x:c r="V18" s="3" t="s">
        <x:v>18</x:v>
      </x:c>
      <x:c r="W18" s="3" t="s">
        <x:v>47</x:v>
      </x:c>
      <x:c r="X18" s="17"/>
      <x:c r="Y18" s="17"/>
    </x:row>
    <x:row r="19" spans="1:25" ht="13.5" thickTop="1" x14ac:dyDescent="0.2">
      <x:c r="A19" s="100" t="s">
        <x:v>19</x:v>
      </x:c>
      <x:c r="B19" s="100" t="s">
        <x:v>181</x:v>
      </x:c>
      <x:c r="C19" s="100" t="s">
        <x:v>182</x:v>
      </x:c>
      <x:c r="D19" s="106" t="s">
        <x:v>183</x:v>
      </x:c>
      <x:c r="E19" s="100" t="s">
        <x:v>124</x:v>
      </x:c>
      <x:c r="F19" s="100" t="s">
        <x:v>125</x:v>
      </x:c>
      <x:c r="G19" s="100" t="s">
        <x:v>49</x:v>
      </x:c>
      <x:c r="H19" s="100" t="s">
        <x:v>50</x:v>
      </x:c>
      <x:c r="I19" s="101" t="s">
        <x:v>51</x:v>
      </x:c>
      <x:c r="J19" s="100" t="s">
        <x:v>52</x:v>
      </x:c>
      <x:c r="K19" s="100" t="s">
        <x:v>56</x:v>
      </x:c>
      <x:c r="L19" s="100"/>
      <x:c r="M19" s="100" t="s">
        <x:v>184</x:v>
      </x:c>
      <x:c r="N19" s="133">
        <x:v>8483992.75</x:v>
      </x:c>
      <x:c r="O19" s="133">
        <x:v>8483992.75</x:v>
      </x:c>
      <x:c r="P19" s="101">
        <x:v>0</x:v>
      </x:c>
      <x:c r="Q19" s="101">
        <x:v>0</x:v>
      </x:c>
      <x:c r="R19" s="133">
        <x:v>81.501999999999995</x:v>
      </x:c>
      <x:c r="S19" s="108"/>
      <x:c r="T19" s="100" t="s">
        <x:v>172</x:v>
      </x:c>
      <x:c r="U19" s="100" t="s">
        <x:v>121</x:v>
      </x:c>
      <x:c r="V19" s="106" t="s">
        <x:v>185</x:v>
      </x:c>
      <x:c r="W19" s="100" t="s">
        <x:v>186</x:v>
      </x:c>
      <x:c r="X19" s="17"/>
      <x:c r="Y19" s="17"/>
    </x:row>
    <x:row r="20" spans="1:25" x14ac:dyDescent="0.2">
      <x:c r="A20" s="100" t="s">
        <x:v>19</x:v>
      </x:c>
      <x:c r="B20" s="100" t="s">
        <x:v>181</x:v>
      </x:c>
      <x:c r="C20" s="100" t="s">
        <x:v>182</x:v>
      </x:c>
      <x:c r="D20" s="106" t="s">
        <x:v>183</x:v>
      </x:c>
      <x:c r="E20" s="100" t="s">
        <x:v>124</x:v>
      </x:c>
      <x:c r="F20" s="100" t="s">
        <x:v>125</x:v>
      </x:c>
      <x:c r="G20" s="100" t="s">
        <x:v>49</x:v>
      </x:c>
      <x:c r="H20" s="100" t="s">
        <x:v>50</x:v>
      </x:c>
      <x:c r="I20" s="101" t="s">
        <x:v>51</x:v>
      </x:c>
      <x:c r="J20" s="100" t="s">
        <x:v>52</x:v>
      </x:c>
      <x:c r="K20" s="100" t="s">
        <x:v>56</x:v>
      </x:c>
      <x:c r="L20" s="100"/>
      <x:c r="M20" s="100" t="s">
        <x:v>184</x:v>
      </x:c>
      <x:c r="N20" s="133">
        <x:v>7536734.7400000002</x:v>
      </x:c>
      <x:c r="O20" s="133">
        <x:v>7536734.7400000002</x:v>
      </x:c>
      <x:c r="P20" s="101">
        <x:v>0</x:v>
      </x:c>
      <x:c r="Q20" s="101">
        <x:v>0</x:v>
      </x:c>
      <x:c r="R20" s="133">
        <x:v>72.400000000000006</x:v>
      </x:c>
      <x:c r="S20" s="108"/>
      <x:c r="T20" s="100" t="s">
        <x:v>172</x:v>
      </x:c>
      <x:c r="U20" s="100" t="s">
        <x:v>121</x:v>
      </x:c>
      <x:c r="V20" s="106" t="s">
        <x:v>58</x:v>
      </x:c>
      <x:c r="W20" s="100" t="s">
        <x:v>186</x:v>
      </x:c>
      <x:c r="X20" s="17"/>
      <x:c r="Y20" s="17"/>
    </x:row>
    <x:row r="21" spans="1:25" x14ac:dyDescent="0.2">
      <x:c r="A21" s="100" t="s">
        <x:v>19</x:v>
      </x:c>
      <x:c r="B21" s="100" t="s">
        <x:v>181</x:v>
      </x:c>
      <x:c r="C21" s="100" t="s">
        <x:v>182</x:v>
      </x:c>
      <x:c r="D21" s="106" t="s">
        <x:v>183</x:v>
      </x:c>
      <x:c r="E21" s="100" t="s">
        <x:v>124</x:v>
      </x:c>
      <x:c r="F21" s="100" t="s">
        <x:v>125</x:v>
      </x:c>
      <x:c r="G21" s="100" t="s">
        <x:v>49</x:v>
      </x:c>
      <x:c r="H21" s="100" t="s">
        <x:v>50</x:v>
      </x:c>
      <x:c r="I21" s="101" t="s">
        <x:v>51</x:v>
      </x:c>
      <x:c r="J21" s="100" t="s">
        <x:v>52</x:v>
      </x:c>
      <x:c r="K21" s="100" t="s">
        <x:v>56</x:v>
      </x:c>
      <x:c r="L21" s="100"/>
      <x:c r="M21" s="100" t="s">
        <x:v>184</x:v>
      </x:c>
      <x:c r="N21" s="133">
        <x:v>0</x:v>
      </x:c>
      <x:c r="O21" s="133">
        <x:v>0</x:v>
      </x:c>
      <x:c r="P21" s="101">
        <x:v>0</x:v>
      </x:c>
      <x:c r="Q21" s="101">
        <x:v>0</x:v>
      </x:c>
      <x:c r="R21" s="133">
        <x:v>0</x:v>
      </x:c>
      <x:c r="S21" s="108"/>
      <x:c r="T21" s="100" t="s">
        <x:v>172</x:v>
      </x:c>
      <x:c r="U21" s="100" t="s">
        <x:v>121</x:v>
      </x:c>
      <x:c r="V21" s="106" t="s">
        <x:v>187</x:v>
      </x:c>
      <x:c r="W21" s="100" t="s">
        <x:v>186</x:v>
      </x:c>
      <x:c r="X21" s="17"/>
      <x:c r="Y21" s="17"/>
    </x:row>
    <x:row r="22" spans="1:25" x14ac:dyDescent="0.2">
      <x:c r="A22" s="100" t="s">
        <x:v>19</x:v>
      </x:c>
      <x:c r="B22" s="100" t="s">
        <x:v>181</x:v>
      </x:c>
      <x:c r="C22" s="100" t="s">
        <x:v>182</x:v>
      </x:c>
      <x:c r="D22" s="106" t="s">
        <x:v>183</x:v>
      </x:c>
      <x:c r="E22" s="100" t="s">
        <x:v>124</x:v>
      </x:c>
      <x:c r="F22" s="100" t="s">
        <x:v>125</x:v>
      </x:c>
      <x:c r="G22" s="100" t="s">
        <x:v>49</x:v>
      </x:c>
      <x:c r="H22" s="100" t="s">
        <x:v>50</x:v>
      </x:c>
      <x:c r="I22" s="101" t="s">
        <x:v>51</x:v>
      </x:c>
      <x:c r="J22" s="100" t="s">
        <x:v>52</x:v>
      </x:c>
      <x:c r="K22" s="100" t="s">
        <x:v>56</x:v>
      </x:c>
      <x:c r="L22" s="100"/>
      <x:c r="M22" s="100" t="s">
        <x:v>165</x:v>
      </x:c>
      <x:c r="N22" s="133">
        <x:v>43605.84</x:v>
      </x:c>
      <x:c r="O22" s="133">
        <x:v>43605.84</x:v>
      </x:c>
      <x:c r="P22" s="101">
        <x:v>0</x:v>
      </x:c>
      <x:c r="Q22" s="101">
        <x:v>0</x:v>
      </x:c>
      <x:c r="R22" s="133">
        <x:v>0</x:v>
      </x:c>
      <x:c r="S22" s="108"/>
      <x:c r="T22" s="100" t="s">
        <x:v>172</x:v>
      </x:c>
      <x:c r="U22" s="100" t="s">
        <x:v>121</x:v>
      </x:c>
      <x:c r="V22" s="106" t="s">
        <x:v>58</x:v>
      </x:c>
      <x:c r="W22" s="100" t="s">
        <x:v>186</x:v>
      </x:c>
      <x:c r="X22" s="17"/>
      <x:c r="Y22" s="17"/>
    </x:row>
    <x:row r="23" spans="1:25" x14ac:dyDescent="0.2">
      <x:c r="A23" s="100" t="s">
        <x:v>19</x:v>
      </x:c>
      <x:c r="B23" s="100" t="s">
        <x:v>181</x:v>
      </x:c>
      <x:c r="C23" s="100" t="s">
        <x:v>182</x:v>
      </x:c>
      <x:c r="D23" s="106" t="s">
        <x:v>183</x:v>
      </x:c>
      <x:c r="E23" s="100" t="s">
        <x:v>124</x:v>
      </x:c>
      <x:c r="F23" s="100" t="s">
        <x:v>125</x:v>
      </x:c>
      <x:c r="G23" s="100" t="s">
        <x:v>49</x:v>
      </x:c>
      <x:c r="H23" s="100" t="s">
        <x:v>50</x:v>
      </x:c>
      <x:c r="I23" s="101" t="s">
        <x:v>51</x:v>
      </x:c>
      <x:c r="J23" s="100" t="s">
        <x:v>52</x:v>
      </x:c>
      <x:c r="K23" s="100" t="s">
        <x:v>62</x:v>
      </x:c>
      <x:c r="L23" s="100"/>
      <x:c r="M23" s="100" t="s">
        <x:v>165</x:v>
      </x:c>
      <x:c r="N23" s="133">
        <x:v>-43605.84</x:v>
      </x:c>
      <x:c r="O23" s="133">
        <x:v>-43605.84</x:v>
      </x:c>
      <x:c r="P23" s="101">
        <x:v>0</x:v>
      </x:c>
      <x:c r="Q23" s="101">
        <x:v>0</x:v>
      </x:c>
      <x:c r="R23" s="133">
        <x:v>0</x:v>
      </x:c>
      <x:c r="S23" s="108"/>
      <x:c r="T23" s="100" t="s">
        <x:v>172</x:v>
      </x:c>
      <x:c r="U23" s="100" t="s">
        <x:v>121</x:v>
      </x:c>
      <x:c r="V23" s="106" t="s">
        <x:v>188</x:v>
      </x:c>
      <x:c r="W23" s="100" t="s">
        <x:v>186</x:v>
      </x:c>
      <x:c r="X23" s="17"/>
      <x:c r="Y23" s="17"/>
    </x:row>
    <x:row r="24" spans="1:25" x14ac:dyDescent="0.2">
      <x:c r="A24" s="100" t="s">
        <x:v>19</x:v>
      </x:c>
      <x:c r="B24" s="100" t="s">
        <x:v>181</x:v>
      </x:c>
      <x:c r="C24" s="100" t="s">
        <x:v>182</x:v>
      </x:c>
      <x:c r="D24" s="106" t="s">
        <x:v>183</x:v>
      </x:c>
      <x:c r="E24" s="100" t="s">
        <x:v>124</x:v>
      </x:c>
      <x:c r="F24" s="100" t="s">
        <x:v>125</x:v>
      </x:c>
      <x:c r="G24" s="100" t="s">
        <x:v>49</x:v>
      </x:c>
      <x:c r="H24" s="100" t="s">
        <x:v>50</x:v>
      </x:c>
      <x:c r="I24" s="101" t="s">
        <x:v>51</x:v>
      </x:c>
      <x:c r="J24" s="100" t="s">
        <x:v>52</x:v>
      </x:c>
      <x:c r="K24" s="100" t="s">
        <x:v>56</x:v>
      </x:c>
      <x:c r="L24" s="100"/>
      <x:c r="M24" s="100" t="s">
        <x:v>165</x:v>
      </x:c>
      <x:c r="N24" s="133">
        <x:v>0</x:v>
      </x:c>
      <x:c r="O24" s="133">
        <x:v>0</x:v>
      </x:c>
      <x:c r="P24" s="101">
        <x:v>0</x:v>
      </x:c>
      <x:c r="Q24" s="101">
        <x:v>0</x:v>
      </x:c>
      <x:c r="R24" s="133">
        <x:v>0</x:v>
      </x:c>
      <x:c r="S24" s="108"/>
      <x:c r="T24" s="100" t="s">
        <x:v>172</x:v>
      </x:c>
      <x:c r="U24" s="100" t="s">
        <x:v>121</x:v>
      </x:c>
      <x:c r="V24" s="106" t="s">
        <x:v>187</x:v>
      </x:c>
      <x:c r="W24" s="100" t="s">
        <x:v>186</x:v>
      </x:c>
      <x:c r="X24" s="17"/>
      <x:c r="Y24" s="17"/>
    </x:row>
    <x:row r="25" spans="1:25" x14ac:dyDescent="0.2">
      <x:c r="A25" s="100" t="s">
        <x:v>19</x:v>
      </x:c>
      <x:c r="B25" s="100" t="s">
        <x:v>181</x:v>
      </x:c>
      <x:c r="C25" s="100" t="s">
        <x:v>182</x:v>
      </x:c>
      <x:c r="D25" s="106" t="s">
        <x:v>183</x:v>
      </x:c>
      <x:c r="E25" s="100" t="s">
        <x:v>124</x:v>
      </x:c>
      <x:c r="F25" s="100" t="s">
        <x:v>125</x:v>
      </x:c>
      <x:c r="G25" s="100" t="s">
        <x:v>49</x:v>
      </x:c>
      <x:c r="H25" s="100" t="s">
        <x:v>50</x:v>
      </x:c>
      <x:c r="I25" s="101" t="s">
        <x:v>51</x:v>
      </x:c>
      <x:c r="J25" s="100" t="s">
        <x:v>52</x:v>
      </x:c>
      <x:c r="K25" s="100" t="s">
        <x:v>56</x:v>
      </x:c>
      <x:c r="L25" s="100"/>
      <x:c r="M25" s="100" t="s">
        <x:v>165</x:v>
      </x:c>
      <x:c r="N25" s="133">
        <x:v>49086.52</x:v>
      </x:c>
      <x:c r="O25" s="133">
        <x:v>49086.52</x:v>
      </x:c>
      <x:c r="P25" s="101">
        <x:v>0</x:v>
      </x:c>
      <x:c r="Q25" s="101">
        <x:v>0</x:v>
      </x:c>
      <x:c r="R25" s="133">
        <x:v>0</x:v>
      </x:c>
      <x:c r="S25" s="108"/>
      <x:c r="T25" s="100" t="s">
        <x:v>172</x:v>
      </x:c>
      <x:c r="U25" s="100" t="s">
        <x:v>121</x:v>
      </x:c>
      <x:c r="V25" s="106" t="s">
        <x:v>185</x:v>
      </x:c>
      <x:c r="W25" s="100" t="s">
        <x:v>186</x:v>
      </x:c>
      <x:c r="X25" s="17"/>
      <x:c r="Y25" s="17"/>
    </x:row>
    <x:row r="26" spans="1:25" x14ac:dyDescent="0.2">
      <x:c r="A26" s="100" t="s">
        <x:v>19</x:v>
      </x:c>
      <x:c r="B26" s="100" t="s">
        <x:v>181</x:v>
      </x:c>
      <x:c r="C26" s="100" t="s">
        <x:v>182</x:v>
      </x:c>
      <x:c r="D26" s="106" t="s">
        <x:v>183</x:v>
      </x:c>
      <x:c r="E26" s="100" t="s">
        <x:v>124</x:v>
      </x:c>
      <x:c r="F26" s="100" t="s">
        <x:v>125</x:v>
      </x:c>
      <x:c r="G26" s="100" t="s">
        <x:v>49</x:v>
      </x:c>
      <x:c r="H26" s="100" t="s">
        <x:v>50</x:v>
      </x:c>
      <x:c r="I26" s="101" t="s">
        <x:v>51</x:v>
      </x:c>
      <x:c r="J26" s="100" t="s">
        <x:v>52</x:v>
      </x:c>
      <x:c r="K26" s="100" t="s">
        <x:v>56</x:v>
      </x:c>
      <x:c r="L26" s="100"/>
      <x:c r="M26" s="100" t="s">
        <x:v>167</x:v>
      </x:c>
      <x:c r="N26" s="133">
        <x:v>41752.370000000003</x:v>
      </x:c>
      <x:c r="O26" s="133">
        <x:v>41752.370000000003</x:v>
      </x:c>
      <x:c r="P26" s="101">
        <x:v>0</x:v>
      </x:c>
      <x:c r="Q26" s="101">
        <x:v>0</x:v>
      </x:c>
      <x:c r="R26" s="133">
        <x:v>0</x:v>
      </x:c>
      <x:c r="S26" s="108"/>
      <x:c r="T26" s="100" t="s">
        <x:v>172</x:v>
      </x:c>
      <x:c r="U26" s="100" t="s">
        <x:v>121</x:v>
      </x:c>
      <x:c r="V26" s="106" t="s">
        <x:v>58</x:v>
      </x:c>
      <x:c r="W26" s="100" t="s">
        <x:v>186</x:v>
      </x:c>
      <x:c r="X26" s="17"/>
      <x:c r="Y26" s="17"/>
    </x:row>
    <x:row r="27" spans="1:25" x14ac:dyDescent="0.2">
      <x:c r="A27" s="100" t="s">
        <x:v>19</x:v>
      </x:c>
      <x:c r="B27" s="100" t="s">
        <x:v>181</x:v>
      </x:c>
      <x:c r="C27" s="100" t="s">
        <x:v>182</x:v>
      </x:c>
      <x:c r="D27" s="106" t="s">
        <x:v>183</x:v>
      </x:c>
      <x:c r="E27" s="100" t="s">
        <x:v>124</x:v>
      </x:c>
      <x:c r="F27" s="100" t="s">
        <x:v>125</x:v>
      </x:c>
      <x:c r="G27" s="100" t="s">
        <x:v>49</x:v>
      </x:c>
      <x:c r="H27" s="100" t="s">
        <x:v>50</x:v>
      </x:c>
      <x:c r="I27" s="101" t="s">
        <x:v>51</x:v>
      </x:c>
      <x:c r="J27" s="100" t="s">
        <x:v>52</x:v>
      </x:c>
      <x:c r="K27" s="100" t="s">
        <x:v>56</x:v>
      </x:c>
      <x:c r="L27" s="100"/>
      <x:c r="M27" s="100" t="s">
        <x:v>167</x:v>
      </x:c>
      <x:c r="N27" s="133">
        <x:v>47000.17</x:v>
      </x:c>
      <x:c r="O27" s="133">
        <x:v>47000.17</x:v>
      </x:c>
      <x:c r="P27" s="101">
        <x:v>0</x:v>
      </x:c>
      <x:c r="Q27" s="101">
        <x:v>0</x:v>
      </x:c>
      <x:c r="R27" s="133">
        <x:v>0</x:v>
      </x:c>
      <x:c r="S27" s="108"/>
      <x:c r="T27" s="100" t="s">
        <x:v>172</x:v>
      </x:c>
      <x:c r="U27" s="100" t="s">
        <x:v>121</x:v>
      </x:c>
      <x:c r="V27" s="106" t="s">
        <x:v>185</x:v>
      </x:c>
      <x:c r="W27" s="100" t="s">
        <x:v>186</x:v>
      </x:c>
      <x:c r="X27" s="17"/>
      <x:c r="Y27" s="17"/>
    </x:row>
    <x:row r="28" spans="1:25" x14ac:dyDescent="0.2">
      <x:c r="A28" s="100" t="s">
        <x:v>19</x:v>
      </x:c>
      <x:c r="B28" s="100" t="s">
        <x:v>181</x:v>
      </x:c>
      <x:c r="C28" s="100" t="s">
        <x:v>182</x:v>
      </x:c>
      <x:c r="D28" s="106" t="s">
        <x:v>183</x:v>
      </x:c>
      <x:c r="E28" s="100" t="s">
        <x:v>124</x:v>
      </x:c>
      <x:c r="F28" s="100" t="s">
        <x:v>125</x:v>
      </x:c>
      <x:c r="G28" s="100" t="s">
        <x:v>49</x:v>
      </x:c>
      <x:c r="H28" s="100" t="s">
        <x:v>50</x:v>
      </x:c>
      <x:c r="I28" s="101" t="s">
        <x:v>51</x:v>
      </x:c>
      <x:c r="J28" s="100" t="s">
        <x:v>52</x:v>
      </x:c>
      <x:c r="K28" s="100" t="s">
        <x:v>56</x:v>
      </x:c>
      <x:c r="L28" s="100"/>
      <x:c r="M28" s="100" t="s">
        <x:v>167</x:v>
      </x:c>
      <x:c r="N28" s="133">
        <x:v>0</x:v>
      </x:c>
      <x:c r="O28" s="133">
        <x:v>0</x:v>
      </x:c>
      <x:c r="P28" s="101">
        <x:v>0</x:v>
      </x:c>
      <x:c r="Q28" s="101">
        <x:v>0</x:v>
      </x:c>
      <x:c r="R28" s="133">
        <x:v>0</x:v>
      </x:c>
      <x:c r="S28" s="108"/>
      <x:c r="T28" s="100" t="s">
        <x:v>172</x:v>
      </x:c>
      <x:c r="U28" s="100" t="s">
        <x:v>121</x:v>
      </x:c>
      <x:c r="V28" s="106" t="s">
        <x:v>187</x:v>
      </x:c>
      <x:c r="W28" s="100" t="s">
        <x:v>186</x:v>
      </x:c>
      <x:c r="X28" s="17"/>
      <x:c r="Y28" s="17"/>
    </x:row>
    <x:row r="29" spans="1:25" x14ac:dyDescent="0.2">
      <x:c r="A29" s="100" t="s">
        <x:v>19</x:v>
      </x:c>
      <x:c r="B29" s="100" t="s">
        <x:v>181</x:v>
      </x:c>
      <x:c r="C29" s="100" t="s">
        <x:v>182</x:v>
      </x:c>
      <x:c r="D29" s="106" t="s">
        <x:v>183</x:v>
      </x:c>
      <x:c r="E29" s="100" t="s">
        <x:v>124</x:v>
      </x:c>
      <x:c r="F29" s="100" t="s">
        <x:v>125</x:v>
      </x:c>
      <x:c r="G29" s="100" t="s">
        <x:v>49</x:v>
      </x:c>
      <x:c r="H29" s="100" t="s">
        <x:v>50</x:v>
      </x:c>
      <x:c r="I29" s="101" t="s">
        <x:v>51</x:v>
      </x:c>
      <x:c r="J29" s="100" t="s">
        <x:v>52</x:v>
      </x:c>
      <x:c r="K29" s="100" t="s">
        <x:v>62</x:v>
      </x:c>
      <x:c r="L29" s="100"/>
      <x:c r="M29" s="100" t="s">
        <x:v>167</x:v>
      </x:c>
      <x:c r="N29" s="133">
        <x:v>-41752.370000000003</x:v>
      </x:c>
      <x:c r="O29" s="133">
        <x:v>-41752.370000000003</x:v>
      </x:c>
      <x:c r="P29" s="101">
        <x:v>0</x:v>
      </x:c>
      <x:c r="Q29" s="101">
        <x:v>0</x:v>
      </x:c>
      <x:c r="R29" s="133">
        <x:v>0</x:v>
      </x:c>
      <x:c r="S29" s="108"/>
      <x:c r="T29" s="100" t="s">
        <x:v>172</x:v>
      </x:c>
      <x:c r="U29" s="100" t="s">
        <x:v>121</x:v>
      </x:c>
      <x:c r="V29" s="106" t="s">
        <x:v>188</x:v>
      </x:c>
      <x:c r="W29" s="100" t="s">
        <x:v>186</x:v>
      </x:c>
      <x:c r="X29" s="17"/>
      <x:c r="Y29" s="17"/>
    </x:row>
    <x:row r="30" spans="1:25" x14ac:dyDescent="0.2">
      <x:c r="A30" s="100" t="s">
        <x:v>19</x:v>
      </x:c>
      <x:c r="B30" s="100" t="s">
        <x:v>181</x:v>
      </x:c>
      <x:c r="C30" s="100" t="s">
        <x:v>182</x:v>
      </x:c>
      <x:c r="D30" s="106" t="s">
        <x:v>183</x:v>
      </x:c>
      <x:c r="E30" s="100" t="s">
        <x:v>124</x:v>
      </x:c>
      <x:c r="F30" s="100" t="s">
        <x:v>125</x:v>
      </x:c>
      <x:c r="G30" s="100" t="s">
        <x:v>49</x:v>
      </x:c>
      <x:c r="H30" s="100" t="s">
        <x:v>50</x:v>
      </x:c>
      <x:c r="I30" s="101" t="s">
        <x:v>51</x:v>
      </x:c>
      <x:c r="J30" s="100" t="s">
        <x:v>52</x:v>
      </x:c>
      <x:c r="K30" s="100" t="s">
        <x:v>62</x:v>
      </x:c>
      <x:c r="L30" s="100"/>
      <x:c r="M30" s="100" t="s">
        <x:v>109</x:v>
      </x:c>
      <x:c r="N30" s="133">
        <x:v>-806.75</x:v>
      </x:c>
      <x:c r="O30" s="133">
        <x:v>-806.75</x:v>
      </x:c>
      <x:c r="P30" s="101">
        <x:v>0</x:v>
      </x:c>
      <x:c r="Q30" s="101">
        <x:v>0</x:v>
      </x:c>
      <x:c r="R30" s="133">
        <x:v>0</x:v>
      </x:c>
      <x:c r="S30" s="108"/>
      <x:c r="T30" s="100" t="s">
        <x:v>172</x:v>
      </x:c>
      <x:c r="U30" s="100" t="s">
        <x:v>121</x:v>
      </x:c>
      <x:c r="V30" s="106" t="s">
        <x:v>188</x:v>
      </x:c>
      <x:c r="W30" s="100" t="s">
        <x:v>186</x:v>
      </x:c>
      <x:c r="X30" s="17"/>
      <x:c r="Y30" s="17"/>
    </x:row>
    <x:row r="31" spans="1:25" x14ac:dyDescent="0.2">
      <x:c r="A31" s="100" t="s">
        <x:v>19</x:v>
      </x:c>
      <x:c r="B31" s="100" t="s">
        <x:v>181</x:v>
      </x:c>
      <x:c r="C31" s="100" t="s">
        <x:v>182</x:v>
      </x:c>
      <x:c r="D31" s="106" t="s">
        <x:v>183</x:v>
      </x:c>
      <x:c r="E31" s="100" t="s">
        <x:v>124</x:v>
      </x:c>
      <x:c r="F31" s="100" t="s">
        <x:v>125</x:v>
      </x:c>
      <x:c r="G31" s="100" t="s">
        <x:v>49</x:v>
      </x:c>
      <x:c r="H31" s="100" t="s">
        <x:v>50</x:v>
      </x:c>
      <x:c r="I31" s="101" t="s">
        <x:v>51</x:v>
      </x:c>
      <x:c r="J31" s="100" t="s">
        <x:v>52</x:v>
      </x:c>
      <x:c r="K31" s="100" t="s">
        <x:v>56</x:v>
      </x:c>
      <x:c r="L31" s="100"/>
      <x:c r="M31" s="100" t="s">
        <x:v>109</x:v>
      </x:c>
      <x:c r="N31" s="133">
        <x:v>908.15</x:v>
      </x:c>
      <x:c r="O31" s="133">
        <x:v>908.15</x:v>
      </x:c>
      <x:c r="P31" s="101">
        <x:v>0</x:v>
      </x:c>
      <x:c r="Q31" s="101">
        <x:v>0</x:v>
      </x:c>
      <x:c r="R31" s="133">
        <x:v>0</x:v>
      </x:c>
      <x:c r="S31" s="108"/>
      <x:c r="T31" s="100" t="s">
        <x:v>172</x:v>
      </x:c>
      <x:c r="U31" s="100" t="s">
        <x:v>121</x:v>
      </x:c>
      <x:c r="V31" s="106" t="s">
        <x:v>185</x:v>
      </x:c>
      <x:c r="W31" s="100" t="s">
        <x:v>186</x:v>
      </x:c>
      <x:c r="X31" s="17"/>
      <x:c r="Y31" s="17"/>
    </x:row>
    <x:row r="32" spans="1:25" x14ac:dyDescent="0.2">
      <x:c r="A32" s="100" t="s">
        <x:v>19</x:v>
      </x:c>
      <x:c r="B32" s="100" t="s">
        <x:v>181</x:v>
      </x:c>
      <x:c r="C32" s="100" t="s">
        <x:v>182</x:v>
      </x:c>
      <x:c r="D32" s="106" t="s">
        <x:v>183</x:v>
      </x:c>
      <x:c r="E32" s="100" t="s">
        <x:v>124</x:v>
      </x:c>
      <x:c r="F32" s="100" t="s">
        <x:v>125</x:v>
      </x:c>
      <x:c r="G32" s="100" t="s">
        <x:v>49</x:v>
      </x:c>
      <x:c r="H32" s="100" t="s">
        <x:v>50</x:v>
      </x:c>
      <x:c r="I32" s="101" t="s">
        <x:v>51</x:v>
      </x:c>
      <x:c r="J32" s="100" t="s">
        <x:v>52</x:v>
      </x:c>
      <x:c r="K32" s="100" t="s">
        <x:v>56</x:v>
      </x:c>
      <x:c r="L32" s="100"/>
      <x:c r="M32" s="100" t="s">
        <x:v>109</x:v>
      </x:c>
      <x:c r="N32" s="133">
        <x:v>6279.17</x:v>
      </x:c>
      <x:c r="O32" s="133">
        <x:v>6279.17</x:v>
      </x:c>
      <x:c r="P32" s="101">
        <x:v>0</x:v>
      </x:c>
      <x:c r="Q32" s="101">
        <x:v>0</x:v>
      </x:c>
      <x:c r="R32" s="133">
        <x:v>0</x:v>
      </x:c>
      <x:c r="S32" s="108"/>
      <x:c r="T32" s="100" t="s">
        <x:v>172</x:v>
      </x:c>
      <x:c r="U32" s="100" t="s">
        <x:v>121</x:v>
      </x:c>
      <x:c r="V32" s="106" t="s">
        <x:v>187</x:v>
      </x:c>
      <x:c r="W32" s="100" t="s">
        <x:v>186</x:v>
      </x:c>
      <x:c r="X32" s="17"/>
      <x:c r="Y32" s="17"/>
    </x:row>
    <x:row r="33" spans="1:25" x14ac:dyDescent="0.2">
      <x:c r="A33" s="100" t="s">
        <x:v>19</x:v>
      </x:c>
      <x:c r="B33" s="100" t="s">
        <x:v>181</x:v>
      </x:c>
      <x:c r="C33" s="100" t="s">
        <x:v>182</x:v>
      </x:c>
      <x:c r="D33" s="106" t="s">
        <x:v>183</x:v>
      </x:c>
      <x:c r="E33" s="100" t="s">
        <x:v>124</x:v>
      </x:c>
      <x:c r="F33" s="100" t="s">
        <x:v>125</x:v>
      </x:c>
      <x:c r="G33" s="100" t="s">
        <x:v>49</x:v>
      </x:c>
      <x:c r="H33" s="100" t="s">
        <x:v>50</x:v>
      </x:c>
      <x:c r="I33" s="101" t="s">
        <x:v>51</x:v>
      </x:c>
      <x:c r="J33" s="100" t="s">
        <x:v>52</x:v>
      </x:c>
      <x:c r="K33" s="100" t="s">
        <x:v>56</x:v>
      </x:c>
      <x:c r="L33" s="100"/>
      <x:c r="M33" s="100" t="s">
        <x:v>109</x:v>
      </x:c>
      <x:c r="N33" s="133">
        <x:v>806.75</x:v>
      </x:c>
      <x:c r="O33" s="133">
        <x:v>806.75</x:v>
      </x:c>
      <x:c r="P33" s="101">
        <x:v>0</x:v>
      </x:c>
      <x:c r="Q33" s="101">
        <x:v>0</x:v>
      </x:c>
      <x:c r="R33" s="133">
        <x:v>0</x:v>
      </x:c>
      <x:c r="S33" s="108"/>
      <x:c r="T33" s="100" t="s">
        <x:v>172</x:v>
      </x:c>
      <x:c r="U33" s="100" t="s">
        <x:v>121</x:v>
      </x:c>
      <x:c r="V33" s="106" t="s">
        <x:v>58</x:v>
      </x:c>
      <x:c r="W33" s="100" t="s">
        <x:v>186</x:v>
      </x:c>
      <x:c r="X33" s="17"/>
      <x:c r="Y33" s="17"/>
    </x:row>
    <x:row r="34" spans="1:25" x14ac:dyDescent="0.2">
      <x:c r="A34" s="100" t="s">
        <x:v>19</x:v>
      </x:c>
      <x:c r="B34" s="100" t="s">
        <x:v>181</x:v>
      </x:c>
      <x:c r="C34" s="100" t="s">
        <x:v>182</x:v>
      </x:c>
      <x:c r="D34" s="106" t="s">
        <x:v>183</x:v>
      </x:c>
      <x:c r="E34" s="100" t="s">
        <x:v>124</x:v>
      </x:c>
      <x:c r="F34" s="100" t="s">
        <x:v>125</x:v>
      </x:c>
      <x:c r="G34" s="100" t="s">
        <x:v>49</x:v>
      </x:c>
      <x:c r="H34" s="100" t="s">
        <x:v>50</x:v>
      </x:c>
      <x:c r="I34" s="101" t="s">
        <x:v>51</x:v>
      </x:c>
      <x:c r="J34" s="100" t="s">
        <x:v>52</x:v>
      </x:c>
      <x:c r="K34" s="100" t="s">
        <x:v>62</x:v>
      </x:c>
      <x:c r="L34" s="100"/>
      <x:c r="M34" s="100" t="s">
        <x:v>184</x:v>
      </x:c>
      <x:c r="N34" s="133">
        <x:v>-5904970.9299999997</x:v>
      </x:c>
      <x:c r="O34" s="133">
        <x:v>-5904970.9299999997</x:v>
      </x:c>
      <x:c r="P34" s="101">
        <x:v>0</x:v>
      </x:c>
      <x:c r="Q34" s="101">
        <x:v>0</x:v>
      </x:c>
      <x:c r="R34" s="133">
        <x:v>-56.902000000000001</x:v>
      </x:c>
      <x:c r="S34" s="108"/>
      <x:c r="T34" s="100" t="s">
        <x:v>172</x:v>
      </x:c>
      <x:c r="U34" s="100" t="s">
        <x:v>121</x:v>
      </x:c>
      <x:c r="V34" s="106" t="s">
        <x:v>188</x:v>
      </x:c>
      <x:c r="W34" s="100" t="s">
        <x:v>186</x:v>
      </x:c>
      <x:c r="X34" s="17"/>
      <x:c r="Y34" s="17"/>
    </x:row>
    <x:row r="35" spans="1:25" x14ac:dyDescent="0.2">
      <x:c r="A35" s="100"/>
      <x:c r="B35" s="100"/>
      <x:c r="C35" s="100"/>
      <x:c r="D35" s="106"/>
      <x:c r="E35" s="100"/>
      <x:c r="F35" s="100"/>
      <x:c r="G35" s="100"/>
      <x:c r="H35" s="100"/>
      <x:c r="I35" s="101"/>
      <x:c r="J35" s="100"/>
      <x:c r="K35" s="100"/>
      <x:c r="L35" s="100"/>
      <x:c r="M35" s="100"/>
      <x:c r="N35" s="101"/>
      <x:c r="O35" s="101"/>
      <x:c r="P35" s="101"/>
      <x:c r="Q35" s="101"/>
      <x:c r="R35" s="107"/>
      <x:c r="S35" s="108"/>
      <x:c r="T35" s="100"/>
      <x:c r="U35" s="100"/>
      <x:c r="V35" s="106"/>
      <x:c r="W35" s="100"/>
      <x:c r="X35" s="17"/>
      <x:c r="Y35" s="17"/>
    </x:row>
    <x:row r="36" spans="1:25" x14ac:dyDescent="0.2">
      <x:c r="A36" s="100"/>
      <x:c r="B36" s="100"/>
      <x:c r="C36" s="100"/>
      <x:c r="D36" s="106"/>
      <x:c r="E36" s="100"/>
      <x:c r="F36" s="100"/>
      <x:c r="G36" s="100"/>
      <x:c r="H36" s="100"/>
      <x:c r="I36" s="101"/>
      <x:c r="J36" s="100"/>
      <x:c r="K36" s="100"/>
      <x:c r="L36" s="100"/>
      <x:c r="M36" s="100"/>
      <x:c r="N36" s="101"/>
      <x:c r="O36" s="101"/>
      <x:c r="P36" s="101"/>
      <x:c r="Q36" s="101"/>
      <x:c r="R36" s="101"/>
      <x:c r="S36" s="108"/>
      <x:c r="T36" s="100"/>
      <x:c r="U36" s="100"/>
      <x:c r="V36" s="106"/>
      <x:c r="W36" s="100"/>
      <x:c r="X36" s="17"/>
      <x:c r="Y36" s="17"/>
    </x:row>
    <x:row r="37" spans="1:25" x14ac:dyDescent="0.2">
      <x:c r="O37" s="9">
        <x:v>10219030.57</x:v>
      </x:c>
      <x:c r="Q37" s="9"/>
      <x:c r="R37" s="109">
        <x:v>96.999999999999986</x:v>
      </x:c>
      <x:c r="X37" s="17"/>
      <x:c r="Y37" s="17"/>
    </x:row>
    <x:row r="38" spans="1:25" x14ac:dyDescent="0.2">
      <x:c r="R38" s="12"/>
      <x:c r="X38" s="17"/>
      <x:c r="Y38" s="17"/>
    </x:row>
    <x:row r="39" spans="1:25" x14ac:dyDescent="0.2">
      <x:c r="O39" s="9">
        <x:v>105350.83061855672</x:v>
      </x:c>
      <x:c r="P39" s="110" t="s">
        <x:v>64</x:v>
      </x:c>
      <x:c r="X39" s="17"/>
      <x:c r="Y39" s="17"/>
    </x:row>
    <x:row r="40" spans="1:25" x14ac:dyDescent="0.2">
      <x:c r="H40" s="5"/>
      <x:c r="I40" s="5"/>
      <x:c r="J40" s="5"/>
      <x:c r="O40" s="18">
        <x:v>10219030.57</x:v>
      </x:c>
      <x:c r="P40" s="110" t="s">
        <x:v>65</x:v>
      </x:c>
      <x:c r="Q40" s="24">
        <x:v>97</x:v>
      </x:c>
      <x:c r="R40" s="32" t="s">
        <x:v>66</x:v>
      </x:c>
      <x:c r="X40" s="17"/>
      <x:c r="Y40" s="17"/>
    </x:row>
    <x:row r="41" spans="1:25" x14ac:dyDescent="0.2">
      <x:c r="X41" s="17"/>
      <x:c r="Y41" s="17"/>
    </x:row>
    <x:row r="42" spans="1:25" x14ac:dyDescent="0.2">
      <x:c r="A42" s="105" t="s">
        <x:v>67</x:v>
      </x:c>
      <x:c r="O42" s="111"/>
      <x:c r="P42" s="9"/>
      <x:c r="X42" s="17"/>
      <x:c r="Y42" s="17"/>
    </x:row>
    <x:row r="43" spans="1:25" ht="15.75" thickBot="1" x14ac:dyDescent="0.35">
      <x:c r="O43" s="6"/>
      <x:c r="P43" s="9"/>
      <x:c r="T43" s="6"/>
      <x:c r="X43" s="17"/>
      <x:c r="Y43" s="17"/>
    </x:row>
    <x:row r="44" spans="1:25" x14ac:dyDescent="0.2">
      <x:c r="B44" s="13"/>
      <x:c r="C44" s="14"/>
      <x:c r="D44" s="14"/>
      <x:c r="E44" s="14"/>
      <x:c r="F44" s="14"/>
      <x:c r="G44" s="15"/>
      <x:c r="P44" s="9"/>
      <x:c r="X44" s="17"/>
      <x:c r="Y44" s="17"/>
    </x:row>
    <x:row r="45" spans="1:25" x14ac:dyDescent="0.2">
      <x:c r="B45" s="16"/>
      <x:c r="C45" s="113">
        <x:v>0</x:v>
      </x:c>
      <x:c r="E45" s="114" t="s">
        <x:v>69</x:v>
      </x:c>
      <x:c r="F45" s="114"/>
      <x:c r="G45" s="33"/>
      <x:c r="P45" s="9"/>
      <x:c r="X45" s="17"/>
      <x:c r="Y45" s="17"/>
    </x:row>
    <x:row r="46" spans="1:25" x14ac:dyDescent="0.2">
      <x:c r="B46" s="16"/>
      <x:c r="C46" s="116">
        <x:v>78007.33</x:v>
      </x:c>
      <x:c r="E46" s="117" t="s">
        <x:v>70</x:v>
      </x:c>
      <x:c r="F46" s="117"/>
      <x:c r="G46" s="33"/>
      <x:c r="P46" s="9"/>
      <x:c r="X46" s="17"/>
      <x:c r="Y46" s="17"/>
    </x:row>
    <x:row r="47" spans="1:25" ht="15" x14ac:dyDescent="0.3">
      <x:c r="B47" s="16"/>
      <x:c r="C47" s="113">
        <x:v>78007.33</x:v>
      </x:c>
      <x:c r="E47" s="114" t="s">
        <x:v>71</x:v>
      </x:c>
      <x:c r="F47" s="114"/>
      <x:c r="G47" s="33"/>
      <x:c r="O47" s="7"/>
      <x:c r="P47" s="9"/>
    </x:row>
    <x:row r="48" spans="1:25" ht="15" x14ac:dyDescent="0.3">
      <x:c r="B48" s="16"/>
      <x:c r="C48" s="113">
        <x:v>0</x:v>
      </x:c>
      <x:c r="E48" s="117" t="s">
        <x:v>72</x:v>
      </x:c>
      <x:c r="F48" s="117"/>
      <x:c r="G48" s="33"/>
      <x:c r="H48" s="111" t="s">
        <x:v>189</x:v>
      </x:c>
      <x:c r="O48" s="7"/>
      <x:c r="P48" s="9"/>
    </x:row>
    <x:row r="49" spans="1:17" ht="13.5" thickBot="1" x14ac:dyDescent="0.25">
      <x:c r="B49" s="16"/>
      <x:c r="C49" s="118">
        <x:v>78007.33</x:v>
      </x:c>
      <x:c r="E49" s="114" t="s">
        <x:v>73</x:v>
      </x:c>
      <x:c r="F49" s="114"/>
      <x:c r="G49" s="115"/>
      <x:c r="H49" s="111" t="s">
        <x:v>190</x:v>
      </x:c>
      <x:c r="P49" s="9"/>
    </x:row>
    <x:row r="50" spans="1:17" ht="16.5" thickTop="1" thickBot="1" x14ac:dyDescent="0.35">
      <x:c r="B50" s="19"/>
      <x:c r="C50" s="20"/>
      <x:c r="D50" s="20"/>
      <x:c r="E50" s="20"/>
      <x:c r="F50" s="20"/>
      <x:c r="G50" s="21"/>
      <x:c r="P50" s="9"/>
      <x:c r="Q50" s="6"/>
    </x:row>
    <x:row r="51" spans="1:17" ht="15" x14ac:dyDescent="0.3">
      <x:c r="P51" s="9"/>
      <x:c r="Q51" s="6"/>
    </x:row>
    <x:row r="52" spans="1:17" ht="15" x14ac:dyDescent="0.3">
      <x:c r="B52" s="119"/>
      <x:c r="C52" s="119"/>
      <x:c r="D52" s="120"/>
      <x:c r="P52" s="9"/>
      <x:c r="Q52" s="6"/>
    </x:row>
    <x:row r="53" spans="1:17" x14ac:dyDescent="0.2">
      <x:c r="A53" s="105" t="s">
        <x:v>74</x:v>
      </x:c>
      <x:c r="B53" s="121"/>
      <x:c r="C53" s="121"/>
      <x:c r="D53" s="121"/>
      <x:c r="E53" s="121"/>
      <x:c r="F53" s="121"/>
      <x:c r="G53" s="121"/>
      <x:c r="H53" s="121"/>
      <x:c r="I53" s="113"/>
      <x:c r="J53" s="121"/>
      <x:c r="K53" s="121"/>
    </x:row>
    <x:row r="54" spans="1:17" x14ac:dyDescent="0.2">
      <x:c r="A54" s="105"/>
      <x:c r="B54" s="121"/>
      <x:c r="C54" s="121"/>
      <x:c r="D54" s="121"/>
      <x:c r="E54" s="121"/>
      <x:c r="F54" s="121"/>
      <x:c r="G54" s="121"/>
      <x:c r="H54" s="121"/>
      <x:c r="I54" s="113"/>
      <x:c r="J54" s="121"/>
      <x:c r="K54" s="121"/>
    </x:row>
    <x:row r="55" spans="1:17" x14ac:dyDescent="0.2">
      <x:c r="A55" s="105" t="s">
        <x:v>84</x:v>
      </x:c>
      <x:c r="B55" s="91"/>
      <x:c r="C55" s="91"/>
      <x:c r="D55" s="91"/>
      <x:c r="E55" s="91"/>
      <x:c r="F55" s="91"/>
      <x:c r="G55" s="91"/>
      <x:c r="H55" s="91"/>
      <x:c r="I55" s="92"/>
      <x:c r="J55" s="91"/>
      <x:c r="K55" s="93"/>
    </x:row>
    <x:row r="56" spans="1:17" x14ac:dyDescent="0.2">
      <x:c r="A56" s="91"/>
      <x:c r="B56" s="91"/>
      <x:c r="C56" s="91"/>
      <x:c r="D56" s="91"/>
      <x:c r="E56" s="91"/>
      <x:c r="F56" s="91"/>
      <x:c r="G56" s="91"/>
      <x:c r="H56" s="91"/>
      <x:c r="I56" s="92"/>
      <x:c r="J56" s="91"/>
      <x:c r="K56" s="93"/>
    </x:row>
    <x:row r="57" spans="1:17" x14ac:dyDescent="0.2">
      <x:c r="A57" s="22" t="s">
        <x:v>76</x:v>
      </x:c>
      <x:c r="B57" s="22" t="s">
        <x:v>77</x:v>
      </x:c>
      <x:c r="C57" s="22" t="s">
        <x:v>6</x:v>
      </x:c>
      <x:c r="D57" s="22" t="s">
        <x:v>7</x:v>
      </x:c>
      <x:c r="E57" s="22" t="s">
        <x:v>8</x:v>
      </x:c>
      <x:c r="F57" s="22" t="s">
        <x:v>9</x:v>
      </x:c>
      <x:c r="G57" s="22" t="s">
        <x:v>10</x:v>
      </x:c>
      <x:c r="H57" s="22" t="s">
        <x:v>11</x:v>
      </x:c>
      <x:c r="I57" s="27" t="s">
        <x:v>78</x:v>
      </x:c>
      <x:c r="J57" s="22" t="s">
        <x:v>45</x:v>
      </x:c>
      <x:c r="K57" s="161" t="s">
        <x:v>79</x:v>
      </x:c>
      <x:c r="L57" s="162"/>
      <x:c r="M57" s="89"/>
      <x:c r="O57" s="29"/>
    </x:row>
    <x:row r="58" spans="1:17" x14ac:dyDescent="0.2">
      <x:c r="A58" s="23" t="s">
        <x:v>19</x:v>
      </x:c>
      <x:c r="B58" s="23" t="s">
        <x:v>20</x:v>
      </x:c>
      <x:c r="C58" s="23" t="s">
        <x:v>85</x:v>
      </x:c>
      <x:c r="D58" s="23" t="s">
        <x:v>83</x:v>
      </x:c>
      <x:c r="E58" s="23" t="s">
        <x:v>172</x:v>
      </x:c>
      <x:c r="F58" s="23" t="s">
        <x:v>23</x:v>
      </x:c>
      <x:c r="G58" s="23" t="s">
        <x:v>23</x:v>
      </x:c>
      <x:c r="H58" s="23" t="s">
        <x:v>24</x:v>
      </x:c>
      <x:c r="I58" s="129">
        <x:v>78007.33</x:v>
      </x:c>
      <x:c r="J58" s="23"/>
      <x:c r="K58" s="28" t="s">
        <x:v>191</x:v>
      </x:c>
      <x:c r="L58" s="28"/>
      <x:c r="M58" s="148"/>
      <x:c r="N58" s="17"/>
      <x:c r="O58" s="5"/>
    </x:row>
    <x:row r="59" spans="1:17" x14ac:dyDescent="0.2">
      <x:c r="A59" s="23" t="s">
        <x:v>19</x:v>
      </x:c>
      <x:c r="B59" s="23" t="s">
        <x:v>20</x:v>
      </x:c>
      <x:c r="C59" s="23" t="s">
        <x:v>126</x:v>
      </x:c>
      <x:c r="D59" s="23" t="s">
        <x:v>81</x:v>
      </x:c>
      <x:c r="E59" s="23" t="s">
        <x:v>172</x:v>
      </x:c>
      <x:c r="F59" s="23" t="s">
        <x:v>23</x:v>
      </x:c>
      <x:c r="G59" s="23" t="s">
        <x:v>23</x:v>
      </x:c>
      <x:c r="H59" s="23" t="s">
        <x:v>24</x:v>
      </x:c>
      <x:c r="I59" s="129">
        <x:v>-78007.33</x:v>
      </x:c>
      <x:c r="J59" s="23"/>
      <x:c r="K59" s="23" t="s">
        <x:v>191</x:v>
      </x:c>
      <x:c r="L59" s="28"/>
      <x:c r="M59" s="148"/>
      <x:c r="N59" s="17"/>
      <x:c r="O59" s="5"/>
    </x:row>
    <x:row r="60" spans="1:17" x14ac:dyDescent="0.2">
      <x:c r="A60" s="91"/>
      <x:c r="B60" s="91"/>
      <x:c r="C60" s="91"/>
      <x:c r="D60" s="91"/>
      <x:c r="E60" s="91"/>
      <x:c r="F60" s="91"/>
      <x:c r="G60" s="91"/>
      <x:c r="H60" s="91"/>
      <x:c r="I60" s="92"/>
      <x:c r="J60" s="91"/>
      <x:c r="K60" s="93"/>
      <x:c r="M60" s="17"/>
    </x:row>
    <x:row r="62" spans="1:17" ht="15" x14ac:dyDescent="0.25">
      <x:c r="A62" s="145"/>
    </x:row>
    <x:row r="64" spans="1:17" x14ac:dyDescent="0.2">
      <x:c r="A64" s="105" t="s">
        <x:v>86</x:v>
      </x:c>
    </x:row>
    <x:row r="66" spans="1:20" ht="13.5" thickBot="1" x14ac:dyDescent="0.25"/>
    <x:row r="67" spans="1:20" ht="16.5" thickTop="1" thickBot="1" x14ac:dyDescent="0.35">
      <x:c r="A67" s="3" t="s">
        <x:v>132</x:v>
      </x:c>
      <x:c r="B67" s="3"/>
      <x:c r="C67" s="3"/>
    </x:row>
    <x:row r="68" spans="1:20" ht="16.5" thickTop="1" thickBot="1" x14ac:dyDescent="0.35">
      <x:c r="A68" s="3" t="s">
        <x:v>0</x:v>
      </x:c>
      <x:c r="B68" s="3" t="s">
        <x:v>8</x:v>
      </x:c>
      <x:c r="C68" s="3" t="s">
        <x:v>31</x:v>
      </x:c>
      <x:c r="D68" s="3" t="s">
        <x:v>38</x:v>
      </x:c>
      <x:c r="E68" s="3" t="s">
        <x:v>6</x:v>
      </x:c>
      <x:c r="F68" s="3" t="s">
        <x:v>34</x:v>
      </x:c>
      <x:c r="G68" s="3" t="s">
        <x:v>36</x:v>
      </x:c>
      <x:c r="H68" s="3" t="s">
        <x:v>18</x:v>
      </x:c>
      <x:c r="I68" s="4" t="s">
        <x:v>35</x:v>
      </x:c>
      <x:c r="J68" s="3" t="s">
        <x:v>37</x:v>
      </x:c>
      <x:c r="K68" s="3" t="s">
        <x:v>43</x:v>
      </x:c>
      <x:c r="L68" s="3" t="s">
        <x:v>39</x:v>
      </x:c>
      <x:c r="M68" s="3" t="s">
        <x:v>45</x:v>
      </x:c>
      <x:c r="N68" s="3" t="s">
        <x:v>46</x:v>
      </x:c>
      <x:c r="O68" s="3" t="s">
        <x:v>18</x:v>
      </x:c>
      <x:c r="P68" s="3" t="s">
        <x:v>42</x:v>
      </x:c>
      <x:c r="Q68" s="3" t="s">
        <x:v>41</x:v>
      </x:c>
      <x:c r="R68" s="3" t="s">
        <x:v>40</x:v>
      </x:c>
      <x:c r="S68" s="3" t="s">
        <x:v>44</x:v>
      </x:c>
      <x:c r="T68" s="3" t="s">
        <x:v>32</x:v>
      </x:c>
    </x:row>
    <x:row r="69" spans="1:20" ht="15.75" thickTop="1" x14ac:dyDescent="0.25">
      <x:c r="A69" s="136" t="s">
        <x:v>19</x:v>
      </x:c>
      <x:c r="B69" s="100" t="s">
        <x:v>172</x:v>
      </x:c>
      <x:c r="C69" s="137" t="s">
        <x:v>181</x:v>
      </x:c>
      <x:c r="D69" s="136" t="s">
        <x:v>184</x:v>
      </x:c>
      <x:c r="E69" s="100" t="s">
        <x:v>124</x:v>
      </x:c>
      <x:c r="F69" s="100" t="s">
        <x:v>49</x:v>
      </x:c>
      <x:c r="G69" s="138" t="s">
        <x:v>51</x:v>
      </x:c>
      <x:c r="H69" s="124" t="s">
        <x:v>52</x:v>
      </x:c>
      <x:c r="I69" s="100" t="s">
        <x:v>50</x:v>
      </x:c>
      <x:c r="J69" s="136" t="s">
        <x:v>60</x:v>
      </x:c>
      <x:c r="K69" s="143">
        <x:v>-97</x:v>
      </x:c>
      <x:c r="L69" s="143">
        <x:v>0</x:v>
      </x:c>
      <x:c r="M69" s="136" t="s">
        <x:v>192</x:v>
      </x:c>
      <x:c r="N69" s="136" t="s">
        <x:v>121</x:v>
      </x:c>
      <x:c r="O69" s="126" t="s">
        <x:v>193</x:v>
      </x:c>
      <x:c r="P69" s="133">
        <x:v>0</x:v>
      </x:c>
      <x:c r="Q69" s="133">
        <x:v>0</x:v>
      </x:c>
      <x:c r="R69" s="143">
        <x:v>0</x:v>
      </x:c>
      <x:c r="S69" s="141"/>
      <x:c r="T69" s="100" t="s">
        <x:v>182</x:v>
      </x:c>
    </x:row>
    <x:row r="70" spans="1:20" ht="15" x14ac:dyDescent="0.25">
      <x:c r="A70" s="136" t="s">
        <x:v>19</x:v>
      </x:c>
      <x:c r="B70" s="100"/>
      <x:c r="C70" s="137" t="s">
        <x:v>181</x:v>
      </x:c>
      <x:c r="D70" s="136" t="s">
        <x:v>167</x:v>
      </x:c>
      <x:c r="E70" s="100" t="s">
        <x:v>124</x:v>
      </x:c>
      <x:c r="F70" s="100" t="s">
        <x:v>49</x:v>
      </x:c>
      <x:c r="G70" s="138" t="s">
        <x:v>51</x:v>
      </x:c>
      <x:c r="H70" s="124" t="s">
        <x:v>52</x:v>
      </x:c>
      <x:c r="I70" s="100" t="s">
        <x:v>50</x:v>
      </x:c>
      <x:c r="J70" s="136" t="s">
        <x:v>56</x:v>
      </x:c>
      <x:c r="K70" s="143">
        <x:v>0</x:v>
      </x:c>
      <x:c r="L70" s="143">
        <x:v>47000.17</x:v>
      </x:c>
      <x:c r="M70" s="136" t="s">
        <x:v>172</x:v>
      </x:c>
      <x:c r="N70" s="136" t="s">
        <x:v>121</x:v>
      </x:c>
      <x:c r="O70" s="126" t="s">
        <x:v>185</x:v>
      </x:c>
      <x:c r="P70" s="133">
        <x:v>0</x:v>
      </x:c>
      <x:c r="Q70" s="133">
        <x:v>0</x:v>
      </x:c>
      <x:c r="R70" s="143">
        <x:v>47000.17</x:v>
      </x:c>
      <x:c r="S70" s="141"/>
      <x:c r="T70" s="100" t="s">
        <x:v>182</x:v>
      </x:c>
    </x:row>
    <x:row r="71" spans="1:20" ht="15" x14ac:dyDescent="0.25">
      <x:c r="A71" s="136" t="s">
        <x:v>19</x:v>
      </x:c>
      <x:c r="B71" s="100"/>
      <x:c r="C71" s="137" t="s">
        <x:v>181</x:v>
      </x:c>
      <x:c r="D71" s="136" t="s">
        <x:v>165</x:v>
      </x:c>
      <x:c r="E71" s="100" t="s">
        <x:v>124</x:v>
      </x:c>
      <x:c r="F71" s="100" t="s">
        <x:v>49</x:v>
      </x:c>
      <x:c r="G71" s="138" t="s">
        <x:v>51</x:v>
      </x:c>
      <x:c r="H71" s="124" t="s">
        <x:v>52</x:v>
      </x:c>
      <x:c r="I71" s="100" t="s">
        <x:v>50</x:v>
      </x:c>
      <x:c r="J71" s="136" t="s">
        <x:v>56</x:v>
      </x:c>
      <x:c r="K71" s="143">
        <x:v>0</x:v>
      </x:c>
      <x:c r="L71" s="143">
        <x:v>43605.84</x:v>
      </x:c>
      <x:c r="M71" s="136" t="s">
        <x:v>172</x:v>
      </x:c>
      <x:c r="N71" s="136" t="s">
        <x:v>121</x:v>
      </x:c>
      <x:c r="O71" s="126" t="s">
        <x:v>58</x:v>
      </x:c>
      <x:c r="P71" s="133">
        <x:v>0</x:v>
      </x:c>
      <x:c r="Q71" s="133">
        <x:v>0</x:v>
      </x:c>
      <x:c r="R71" s="143">
        <x:v>43605.84</x:v>
      </x:c>
      <x:c r="S71" s="141"/>
      <x:c r="T71" s="100" t="s">
        <x:v>182</x:v>
      </x:c>
    </x:row>
    <x:row r="72" spans="1:20" ht="15" x14ac:dyDescent="0.25">
      <x:c r="A72" s="136" t="s">
        <x:v>19</x:v>
      </x:c>
      <x:c r="B72" s="100"/>
      <x:c r="C72" s="137" t="s">
        <x:v>181</x:v>
      </x:c>
      <x:c r="D72" s="136" t="s">
        <x:v>184</x:v>
      </x:c>
      <x:c r="E72" s="100" t="s">
        <x:v>124</x:v>
      </x:c>
      <x:c r="F72" s="100" t="s">
        <x:v>49</x:v>
      </x:c>
      <x:c r="G72" s="138" t="s">
        <x:v>51</x:v>
      </x:c>
      <x:c r="H72" s="124" t="s">
        <x:v>52</x:v>
      </x:c>
      <x:c r="I72" s="100" t="s">
        <x:v>50</x:v>
      </x:c>
      <x:c r="J72" s="136" t="s">
        <x:v>56</x:v>
      </x:c>
      <x:c r="K72" s="143">
        <x:v>72.400000000000006</x:v>
      </x:c>
      <x:c r="L72" s="143">
        <x:v>7536734.7400000002</x:v>
      </x:c>
      <x:c r="M72" s="136" t="s">
        <x:v>172</x:v>
      </x:c>
      <x:c r="N72" s="136" t="s">
        <x:v>121</x:v>
      </x:c>
      <x:c r="O72" s="126" t="s">
        <x:v>58</x:v>
      </x:c>
      <x:c r="P72" s="133">
        <x:v>0</x:v>
      </x:c>
      <x:c r="Q72" s="133">
        <x:v>0</x:v>
      </x:c>
      <x:c r="R72" s="143">
        <x:v>7536734.7400000002</x:v>
      </x:c>
      <x:c r="S72" s="141"/>
      <x:c r="T72" s="100" t="s">
        <x:v>182</x:v>
      </x:c>
    </x:row>
    <x:row r="73" spans="1:20" ht="15" x14ac:dyDescent="0.25">
      <x:c r="A73" s="136" t="s">
        <x:v>19</x:v>
      </x:c>
      <x:c r="B73" s="100"/>
      <x:c r="C73" s="137" t="s">
        <x:v>181</x:v>
      </x:c>
      <x:c r="D73" s="136" t="s">
        <x:v>167</x:v>
      </x:c>
      <x:c r="E73" s="100" t="s">
        <x:v>124</x:v>
      </x:c>
      <x:c r="F73" s="100" t="s">
        <x:v>49</x:v>
      </x:c>
      <x:c r="G73" s="138" t="s">
        <x:v>51</x:v>
      </x:c>
      <x:c r="H73" s="124" t="s">
        <x:v>52</x:v>
      </x:c>
      <x:c r="I73" s="100" t="s">
        <x:v>50</x:v>
      </x:c>
      <x:c r="J73" s="136" t="s">
        <x:v>56</x:v>
      </x:c>
      <x:c r="K73" s="143">
        <x:v>0</x:v>
      </x:c>
      <x:c r="L73" s="143">
        <x:v>41752.370000000003</x:v>
      </x:c>
      <x:c r="M73" s="136" t="s">
        <x:v>172</x:v>
      </x:c>
      <x:c r="N73" s="136" t="s">
        <x:v>121</x:v>
      </x:c>
      <x:c r="O73" s="126" t="s">
        <x:v>58</x:v>
      </x:c>
      <x:c r="P73" s="133">
        <x:v>0</x:v>
      </x:c>
      <x:c r="Q73" s="133">
        <x:v>0</x:v>
      </x:c>
      <x:c r="R73" s="143">
        <x:v>41752.370000000003</x:v>
      </x:c>
      <x:c r="S73" s="141"/>
      <x:c r="T73" s="100" t="s">
        <x:v>182</x:v>
      </x:c>
    </x:row>
    <x:row r="74" spans="1:20" ht="15" x14ac:dyDescent="0.25">
      <x:c r="A74" s="136" t="s">
        <x:v>19</x:v>
      </x:c>
      <x:c r="B74" s="100"/>
      <x:c r="C74" s="137" t="s">
        <x:v>181</x:v>
      </x:c>
      <x:c r="D74" s="136" t="s">
        <x:v>109</x:v>
      </x:c>
      <x:c r="E74" s="100" t="s">
        <x:v>124</x:v>
      </x:c>
      <x:c r="F74" s="100" t="s">
        <x:v>49</x:v>
      </x:c>
      <x:c r="G74" s="138" t="s">
        <x:v>51</x:v>
      </x:c>
      <x:c r="H74" s="124" t="s">
        <x:v>52</x:v>
      </x:c>
      <x:c r="I74" s="100" t="s">
        <x:v>50</x:v>
      </x:c>
      <x:c r="J74" s="136" t="s">
        <x:v>56</x:v>
      </x:c>
      <x:c r="K74" s="143">
        <x:v>0</x:v>
      </x:c>
      <x:c r="L74" s="143">
        <x:v>806.75</x:v>
      </x:c>
      <x:c r="M74" s="136" t="s">
        <x:v>172</x:v>
      </x:c>
      <x:c r="N74" s="136" t="s">
        <x:v>121</x:v>
      </x:c>
      <x:c r="O74" s="126" t="s">
        <x:v>58</x:v>
      </x:c>
      <x:c r="P74" s="133">
        <x:v>0</x:v>
      </x:c>
      <x:c r="Q74" s="133">
        <x:v>0</x:v>
      </x:c>
      <x:c r="R74" s="143">
        <x:v>806.75</x:v>
      </x:c>
      <x:c r="S74" s="141"/>
      <x:c r="T74" s="100" t="s">
        <x:v>182</x:v>
      </x:c>
    </x:row>
    <x:row r="75" spans="1:20" ht="15" x14ac:dyDescent="0.25">
      <x:c r="A75" s="136" t="s">
        <x:v>19</x:v>
      </x:c>
      <x:c r="B75" s="100"/>
      <x:c r="C75" s="137" t="s">
        <x:v>181</x:v>
      </x:c>
      <x:c r="D75" s="136" t="s">
        <x:v>184</x:v>
      </x:c>
      <x:c r="E75" s="100" t="s">
        <x:v>124</x:v>
      </x:c>
      <x:c r="F75" s="100" t="s">
        <x:v>49</x:v>
      </x:c>
      <x:c r="G75" s="138" t="s">
        <x:v>51</x:v>
      </x:c>
      <x:c r="H75" s="124" t="s">
        <x:v>52</x:v>
      </x:c>
      <x:c r="I75" s="100" t="s">
        <x:v>50</x:v>
      </x:c>
      <x:c r="J75" s="136" t="s">
        <x:v>56</x:v>
      </x:c>
      <x:c r="K75" s="143">
        <x:v>81.501999999999995</x:v>
      </x:c>
      <x:c r="L75" s="143">
        <x:v>8483992.75</x:v>
      </x:c>
      <x:c r="M75" s="136" t="s">
        <x:v>172</x:v>
      </x:c>
      <x:c r="N75" s="136" t="s">
        <x:v>121</x:v>
      </x:c>
      <x:c r="O75" s="126" t="s">
        <x:v>185</x:v>
      </x:c>
      <x:c r="P75" s="133">
        <x:v>0</x:v>
      </x:c>
      <x:c r="Q75" s="133">
        <x:v>0</x:v>
      </x:c>
      <x:c r="R75" s="143">
        <x:v>8483992.75</x:v>
      </x:c>
      <x:c r="S75" s="141"/>
      <x:c r="T75" s="100" t="s">
        <x:v>182</x:v>
      </x:c>
    </x:row>
    <x:row r="76" spans="1:20" ht="15" x14ac:dyDescent="0.25">
      <x:c r="A76" s="136" t="s">
        <x:v>19</x:v>
      </x:c>
      <x:c r="B76" s="100"/>
      <x:c r="C76" s="137" t="s">
        <x:v>181</x:v>
      </x:c>
      <x:c r="D76" s="136" t="s">
        <x:v>109</x:v>
      </x:c>
      <x:c r="E76" s="100" t="s">
        <x:v>124</x:v>
      </x:c>
      <x:c r="F76" s="100" t="s">
        <x:v>49</x:v>
      </x:c>
      <x:c r="G76" s="138" t="s">
        <x:v>51</x:v>
      </x:c>
      <x:c r="H76" s="124" t="s">
        <x:v>52</x:v>
      </x:c>
      <x:c r="I76" s="100" t="s">
        <x:v>50</x:v>
      </x:c>
      <x:c r="J76" s="136" t="s">
        <x:v>56</x:v>
      </x:c>
      <x:c r="K76" s="143">
        <x:v>0</x:v>
      </x:c>
      <x:c r="L76" s="143">
        <x:v>908.15</x:v>
      </x:c>
      <x:c r="M76" s="136" t="s">
        <x:v>172</x:v>
      </x:c>
      <x:c r="N76" s="136" t="s">
        <x:v>121</x:v>
      </x:c>
      <x:c r="O76" s="126" t="s">
        <x:v>185</x:v>
      </x:c>
      <x:c r="P76" s="133">
        <x:v>0</x:v>
      </x:c>
      <x:c r="Q76" s="133">
        <x:v>0</x:v>
      </x:c>
      <x:c r="R76" s="143">
        <x:v>908.15</x:v>
      </x:c>
      <x:c r="S76" s="141"/>
      <x:c r="T76" s="100" t="s">
        <x:v>182</x:v>
      </x:c>
    </x:row>
    <x:row r="77" spans="1:20" ht="15" x14ac:dyDescent="0.25">
      <x:c r="A77" s="136" t="s">
        <x:v>19</x:v>
      </x:c>
      <x:c r="B77" s="100"/>
      <x:c r="C77" s="137" t="s">
        <x:v>181</x:v>
      </x:c>
      <x:c r="D77" s="136" t="s">
        <x:v>167</x:v>
      </x:c>
      <x:c r="E77" s="100" t="s">
        <x:v>124</x:v>
      </x:c>
      <x:c r="F77" s="100" t="s">
        <x:v>49</x:v>
      </x:c>
      <x:c r="G77" s="138" t="s">
        <x:v>51</x:v>
      </x:c>
      <x:c r="H77" s="124" t="s">
        <x:v>52</x:v>
      </x:c>
      <x:c r="I77" s="100" t="s">
        <x:v>50</x:v>
      </x:c>
      <x:c r="J77" s="136" t="s">
        <x:v>56</x:v>
      </x:c>
      <x:c r="K77" s="143">
        <x:v>0</x:v>
      </x:c>
      <x:c r="L77" s="143">
        <x:v>0</x:v>
      </x:c>
      <x:c r="M77" s="136" t="s">
        <x:v>172</x:v>
      </x:c>
      <x:c r="N77" s="136" t="s">
        <x:v>121</x:v>
      </x:c>
      <x:c r="O77" s="126" t="s">
        <x:v>187</x:v>
      </x:c>
      <x:c r="P77" s="133">
        <x:v>0</x:v>
      </x:c>
      <x:c r="Q77" s="133">
        <x:v>0</x:v>
      </x:c>
      <x:c r="R77" s="143">
        <x:v>0</x:v>
      </x:c>
      <x:c r="S77" s="141"/>
      <x:c r="T77" s="100" t="s">
        <x:v>182</x:v>
      </x:c>
    </x:row>
    <x:row r="78" spans="1:20" ht="15" x14ac:dyDescent="0.25">
      <x:c r="A78" s="136" t="s">
        <x:v>19</x:v>
      </x:c>
      <x:c r="B78" s="100"/>
      <x:c r="C78" s="137" t="s">
        <x:v>181</x:v>
      </x:c>
      <x:c r="D78" s="136" t="s">
        <x:v>165</x:v>
      </x:c>
      <x:c r="E78" s="100" t="s">
        <x:v>124</x:v>
      </x:c>
      <x:c r="F78" s="100" t="s">
        <x:v>49</x:v>
      </x:c>
      <x:c r="G78" s="138" t="s">
        <x:v>51</x:v>
      </x:c>
      <x:c r="H78" s="124" t="s">
        <x:v>52</x:v>
      </x:c>
      <x:c r="I78" s="100" t="s">
        <x:v>50</x:v>
      </x:c>
      <x:c r="J78" s="136" t="s">
        <x:v>56</x:v>
      </x:c>
      <x:c r="K78" s="143">
        <x:v>0</x:v>
      </x:c>
      <x:c r="L78" s="143">
        <x:v>0</x:v>
      </x:c>
      <x:c r="M78" s="136" t="s">
        <x:v>172</x:v>
      </x:c>
      <x:c r="N78" s="136" t="s">
        <x:v>121</x:v>
      </x:c>
      <x:c r="O78" s="126" t="s">
        <x:v>187</x:v>
      </x:c>
      <x:c r="P78" s="133">
        <x:v>0</x:v>
      </x:c>
      <x:c r="Q78" s="133">
        <x:v>0</x:v>
      </x:c>
      <x:c r="R78" s="143">
        <x:v>0</x:v>
      </x:c>
      <x:c r="S78" s="141"/>
      <x:c r="T78" s="100" t="s">
        <x:v>182</x:v>
      </x:c>
    </x:row>
    <x:row r="79" spans="1:20" ht="15" x14ac:dyDescent="0.25">
      <x:c r="A79" s="136" t="s">
        <x:v>19</x:v>
      </x:c>
      <x:c r="B79" s="100"/>
      <x:c r="C79" s="137" t="s">
        <x:v>181</x:v>
      </x:c>
      <x:c r="D79" s="136" t="s">
        <x:v>165</x:v>
      </x:c>
      <x:c r="E79" s="100" t="s">
        <x:v>124</x:v>
      </x:c>
      <x:c r="F79" s="100" t="s">
        <x:v>49</x:v>
      </x:c>
      <x:c r="G79" s="138" t="s">
        <x:v>51</x:v>
      </x:c>
      <x:c r="H79" s="124" t="s">
        <x:v>52</x:v>
      </x:c>
      <x:c r="I79" s="100" t="s">
        <x:v>50</x:v>
      </x:c>
      <x:c r="J79" s="136" t="s">
        <x:v>56</x:v>
      </x:c>
      <x:c r="K79" s="143">
        <x:v>0</x:v>
      </x:c>
      <x:c r="L79" s="143">
        <x:v>49086.52</x:v>
      </x:c>
      <x:c r="M79" s="136" t="s">
        <x:v>172</x:v>
      </x:c>
      <x:c r="N79" s="136" t="s">
        <x:v>121</x:v>
      </x:c>
      <x:c r="O79" s="126" t="s">
        <x:v>185</x:v>
      </x:c>
      <x:c r="P79" s="133">
        <x:v>0</x:v>
      </x:c>
      <x:c r="Q79" s="133">
        <x:v>0</x:v>
      </x:c>
      <x:c r="R79" s="143">
        <x:v>49086.52</x:v>
      </x:c>
      <x:c r="S79" s="141"/>
      <x:c r="T79" s="100" t="s">
        <x:v>182</x:v>
      </x:c>
    </x:row>
    <x:row r="80" spans="1:20" ht="15" x14ac:dyDescent="0.25">
      <x:c r="A80" s="136" t="s">
        <x:v>19</x:v>
      </x:c>
      <x:c r="B80" s="100"/>
      <x:c r="C80" s="137" t="s">
        <x:v>181</x:v>
      </x:c>
      <x:c r="D80" s="136" t="s">
        <x:v>109</x:v>
      </x:c>
      <x:c r="E80" s="100" t="s">
        <x:v>124</x:v>
      </x:c>
      <x:c r="F80" s="100" t="s">
        <x:v>49</x:v>
      </x:c>
      <x:c r="G80" s="138" t="s">
        <x:v>51</x:v>
      </x:c>
      <x:c r="H80" s="124" t="s">
        <x:v>52</x:v>
      </x:c>
      <x:c r="I80" s="100" t="s">
        <x:v>50</x:v>
      </x:c>
      <x:c r="J80" s="136" t="s">
        <x:v>56</x:v>
      </x:c>
      <x:c r="K80" s="143">
        <x:v>0</x:v>
      </x:c>
      <x:c r="L80" s="143">
        <x:v>6279.17</x:v>
      </x:c>
      <x:c r="M80" s="136" t="s">
        <x:v>172</x:v>
      </x:c>
      <x:c r="N80" s="136" t="s">
        <x:v>121</x:v>
      </x:c>
      <x:c r="O80" s="126" t="s">
        <x:v>187</x:v>
      </x:c>
      <x:c r="P80" s="133">
        <x:v>0</x:v>
      </x:c>
      <x:c r="Q80" s="133">
        <x:v>0</x:v>
      </x:c>
      <x:c r="R80" s="143">
        <x:v>6279.17</x:v>
      </x:c>
      <x:c r="S80" s="141"/>
      <x:c r="T80" s="100" t="s">
        <x:v>182</x:v>
      </x:c>
    </x:row>
    <x:row r="81" spans="1:20" ht="15" x14ac:dyDescent="0.25">
      <x:c r="A81" s="136" t="s">
        <x:v>19</x:v>
      </x:c>
      <x:c r="B81" s="100"/>
      <x:c r="C81" s="137" t="s">
        <x:v>181</x:v>
      </x:c>
      <x:c r="D81" s="136" t="s">
        <x:v>184</x:v>
      </x:c>
      <x:c r="E81" s="100" t="s">
        <x:v>124</x:v>
      </x:c>
      <x:c r="F81" s="100" t="s">
        <x:v>49</x:v>
      </x:c>
      <x:c r="G81" s="138" t="s">
        <x:v>51</x:v>
      </x:c>
      <x:c r="H81" s="124" t="s">
        <x:v>52</x:v>
      </x:c>
      <x:c r="I81" s="100" t="s">
        <x:v>50</x:v>
      </x:c>
      <x:c r="J81" s="136" t="s">
        <x:v>56</x:v>
      </x:c>
      <x:c r="K81" s="143">
        <x:v>0</x:v>
      </x:c>
      <x:c r="L81" s="143">
        <x:v>0</x:v>
      </x:c>
      <x:c r="M81" s="136" t="s">
        <x:v>172</x:v>
      </x:c>
      <x:c r="N81" s="136" t="s">
        <x:v>121</x:v>
      </x:c>
      <x:c r="O81" s="126" t="s">
        <x:v>187</x:v>
      </x:c>
      <x:c r="P81" s="133">
        <x:v>0</x:v>
      </x:c>
      <x:c r="Q81" s="133">
        <x:v>0</x:v>
      </x:c>
      <x:c r="R81" s="143">
        <x:v>0</x:v>
      </x:c>
      <x:c r="S81" s="141"/>
      <x:c r="T81" s="100" t="s">
        <x:v>182</x:v>
      </x:c>
    </x:row>
    <x:row r="82" spans="1:20" ht="15" x14ac:dyDescent="0.25">
      <x:c r="A82" s="136" t="s">
        <x:v>19</x:v>
      </x:c>
      <x:c r="B82" s="100"/>
      <x:c r="C82" s="137" t="s">
        <x:v>181</x:v>
      </x:c>
      <x:c r="D82" s="136" t="s">
        <x:v>165</x:v>
      </x:c>
      <x:c r="E82" s="100" t="s">
        <x:v>124</x:v>
      </x:c>
      <x:c r="F82" s="100" t="s">
        <x:v>49</x:v>
      </x:c>
      <x:c r="G82" s="138" t="s">
        <x:v>51</x:v>
      </x:c>
      <x:c r="H82" s="124" t="s">
        <x:v>52</x:v>
      </x:c>
      <x:c r="I82" s="100" t="s">
        <x:v>50</x:v>
      </x:c>
      <x:c r="J82" s="136" t="s">
        <x:v>62</x:v>
      </x:c>
      <x:c r="K82" s="143">
        <x:v>0</x:v>
      </x:c>
      <x:c r="L82" s="143">
        <x:v>-49086.52</x:v>
      </x:c>
      <x:c r="M82" s="136" t="s">
        <x:v>172</x:v>
      </x:c>
      <x:c r="N82" s="136" t="s">
        <x:v>121</x:v>
      </x:c>
      <x:c r="O82" s="126" t="s">
        <x:v>194</x:v>
      </x:c>
      <x:c r="P82" s="133">
        <x:v>0</x:v>
      </x:c>
      <x:c r="Q82" s="133">
        <x:v>0</x:v>
      </x:c>
      <x:c r="R82" s="143">
        <x:v>-49086.52</x:v>
      </x:c>
      <x:c r="S82" s="141"/>
      <x:c r="T82" s="100" t="s">
        <x:v>182</x:v>
      </x:c>
    </x:row>
    <x:row r="83" spans="1:20" ht="15" x14ac:dyDescent="0.25">
      <x:c r="A83" s="136" t="s">
        <x:v>19</x:v>
      </x:c>
      <x:c r="B83" s="100"/>
      <x:c r="C83" s="137" t="s">
        <x:v>181</x:v>
      </x:c>
      <x:c r="D83" s="136" t="s">
        <x:v>167</x:v>
      </x:c>
      <x:c r="E83" s="100" t="s">
        <x:v>124</x:v>
      </x:c>
      <x:c r="F83" s="100" t="s">
        <x:v>49</x:v>
      </x:c>
      <x:c r="G83" s="138" t="s">
        <x:v>51</x:v>
      </x:c>
      <x:c r="H83" s="124" t="s">
        <x:v>52</x:v>
      </x:c>
      <x:c r="I83" s="100" t="s">
        <x:v>50</x:v>
      </x:c>
      <x:c r="J83" s="136" t="s">
        <x:v>62</x:v>
      </x:c>
      <x:c r="K83" s="143">
        <x:v>0</x:v>
      </x:c>
      <x:c r="L83" s="143">
        <x:v>-47000.17</x:v>
      </x:c>
      <x:c r="M83" s="136" t="s">
        <x:v>172</x:v>
      </x:c>
      <x:c r="N83" s="136" t="s">
        <x:v>121</x:v>
      </x:c>
      <x:c r="O83" s="126" t="s">
        <x:v>194</x:v>
      </x:c>
      <x:c r="P83" s="133">
        <x:v>0</x:v>
      </x:c>
      <x:c r="Q83" s="133">
        <x:v>0</x:v>
      </x:c>
      <x:c r="R83" s="143">
        <x:v>-47000.17</x:v>
      </x:c>
      <x:c r="S83" s="141"/>
      <x:c r="T83" s="100" t="s">
        <x:v>182</x:v>
      </x:c>
    </x:row>
    <x:row r="84" spans="1:20" ht="15" x14ac:dyDescent="0.25">
      <x:c r="A84" s="136" t="s">
        <x:v>19</x:v>
      </x:c>
      <x:c r="B84" s="100"/>
      <x:c r="C84" s="137" t="s">
        <x:v>181</x:v>
      </x:c>
      <x:c r="D84" s="136" t="s">
        <x:v>184</x:v>
      </x:c>
      <x:c r="E84" s="100" t="s">
        <x:v>124</x:v>
      </x:c>
      <x:c r="F84" s="100" t="s">
        <x:v>49</x:v>
      </x:c>
      <x:c r="G84" s="138" t="s">
        <x:v>51</x:v>
      </x:c>
      <x:c r="H84" s="124" t="s">
        <x:v>52</x:v>
      </x:c>
      <x:c r="I84" s="100" t="s">
        <x:v>50</x:v>
      </x:c>
      <x:c r="J84" s="136" t="s">
        <x:v>62</x:v>
      </x:c>
      <x:c r="K84" s="143">
        <x:v>0</x:v>
      </x:c>
      <x:c r="L84" s="143">
        <x:v>0</x:v>
      </x:c>
      <x:c r="M84" s="136" t="s">
        <x:v>172</x:v>
      </x:c>
      <x:c r="N84" s="136" t="s">
        <x:v>121</x:v>
      </x:c>
      <x:c r="O84" s="126" t="s">
        <x:v>194</x:v>
      </x:c>
      <x:c r="P84" s="133">
        <x:v>0</x:v>
      </x:c>
      <x:c r="Q84" s="133">
        <x:v>0</x:v>
      </x:c>
      <x:c r="R84" s="143">
        <x:v>0</x:v>
      </x:c>
      <x:c r="S84" s="141"/>
      <x:c r="T84" s="100" t="s">
        <x:v>182</x:v>
      </x:c>
    </x:row>
    <x:row r="85" spans="1:20" ht="15" x14ac:dyDescent="0.25">
      <x:c r="A85" s="136" t="s">
        <x:v>19</x:v>
      </x:c>
      <x:c r="B85" s="100"/>
      <x:c r="C85" s="137" t="s">
        <x:v>181</x:v>
      </x:c>
      <x:c r="D85" s="136" t="s">
        <x:v>109</x:v>
      </x:c>
      <x:c r="E85" s="100" t="s">
        <x:v>124</x:v>
      </x:c>
      <x:c r="F85" s="100" t="s">
        <x:v>49</x:v>
      </x:c>
      <x:c r="G85" s="138" t="s">
        <x:v>51</x:v>
      </x:c>
      <x:c r="H85" s="124" t="s">
        <x:v>52</x:v>
      </x:c>
      <x:c r="I85" s="100" t="s">
        <x:v>50</x:v>
      </x:c>
      <x:c r="J85" s="136" t="s">
        <x:v>62</x:v>
      </x:c>
      <x:c r="K85" s="143">
        <x:v>0</x:v>
      </x:c>
      <x:c r="L85" s="143">
        <x:v>-7187.32</x:v>
      </x:c>
      <x:c r="M85" s="136" t="s">
        <x:v>172</x:v>
      </x:c>
      <x:c r="N85" s="136" t="s">
        <x:v>121</x:v>
      </x:c>
      <x:c r="O85" s="126" t="s">
        <x:v>194</x:v>
      </x:c>
      <x:c r="P85" s="133">
        <x:v>0</x:v>
      </x:c>
      <x:c r="Q85" s="133">
        <x:v>0</x:v>
      </x:c>
      <x:c r="R85" s="143">
        <x:v>-7187.32</x:v>
      </x:c>
      <x:c r="S85" s="141"/>
      <x:c r="T85" s="100" t="s">
        <x:v>182</x:v>
      </x:c>
    </x:row>
    <x:row r="86" spans="1:20" ht="15" x14ac:dyDescent="0.25">
      <x:c r="A86" s="136" t="s">
        <x:v>19</x:v>
      </x:c>
      <x:c r="B86" s="100"/>
      <x:c r="C86" s="137" t="s">
        <x:v>181</x:v>
      </x:c>
      <x:c r="D86" s="136" t="s">
        <x:v>184</x:v>
      </x:c>
      <x:c r="E86" s="100" t="s">
        <x:v>124</x:v>
      </x:c>
      <x:c r="F86" s="100" t="s">
        <x:v>49</x:v>
      </x:c>
      <x:c r="G86" s="138" t="s">
        <x:v>51</x:v>
      </x:c>
      <x:c r="H86" s="124" t="s">
        <x:v>52</x:v>
      </x:c>
      <x:c r="I86" s="100" t="s">
        <x:v>50</x:v>
      </x:c>
      <x:c r="J86" s="136" t="s">
        <x:v>62</x:v>
      </x:c>
      <x:c r="K86" s="143">
        <x:v>0</x:v>
      </x:c>
      <x:c r="L86" s="143">
        <x:v>-10115756.560000001</x:v>
      </x:c>
      <x:c r="M86" s="136" t="s">
        <x:v>172</x:v>
      </x:c>
      <x:c r="N86" s="136" t="s">
        <x:v>121</x:v>
      </x:c>
      <x:c r="O86" s="126" t="s">
        <x:v>193</x:v>
      </x:c>
      <x:c r="P86" s="133">
        <x:v>0</x:v>
      </x:c>
      <x:c r="Q86" s="133">
        <x:v>0</x:v>
      </x:c>
      <x:c r="R86" s="143">
        <x:v>-10115756.560000001</x:v>
      </x:c>
      <x:c r="S86" s="141"/>
      <x:c r="T86" s="100" t="s">
        <x:v>182</x:v>
      </x:c>
    </x:row>
    <x:row r="87" spans="1:20" ht="15" x14ac:dyDescent="0.25">
      <x:c r="A87" s="136" t="s">
        <x:v>19</x:v>
      </x:c>
      <x:c r="B87" s="100"/>
      <x:c r="C87" s="137" t="s">
        <x:v>181</x:v>
      </x:c>
      <x:c r="D87" s="136" t="s">
        <x:v>184</x:v>
      </x:c>
      <x:c r="E87" s="100" t="s">
        <x:v>124</x:v>
      </x:c>
      <x:c r="F87" s="100" t="s">
        <x:v>49</x:v>
      </x:c>
      <x:c r="G87" s="138" t="s">
        <x:v>51</x:v>
      </x:c>
      <x:c r="H87" s="124" t="s">
        <x:v>52</x:v>
      </x:c>
      <x:c r="I87" s="100" t="s">
        <x:v>50</x:v>
      </x:c>
      <x:c r="J87" s="136" t="s">
        <x:v>62</x:v>
      </x:c>
      <x:c r="K87" s="143">
        <x:v>-56.902000000000001</x:v>
      </x:c>
      <x:c r="L87" s="143">
        <x:v>-5904970.9299999997</x:v>
      </x:c>
      <x:c r="M87" s="136" t="s">
        <x:v>172</x:v>
      </x:c>
      <x:c r="N87" s="136" t="s">
        <x:v>121</x:v>
      </x:c>
      <x:c r="O87" s="126" t="s">
        <x:v>188</x:v>
      </x:c>
      <x:c r="P87" s="133">
        <x:v>0</x:v>
      </x:c>
      <x:c r="Q87" s="133">
        <x:v>0</x:v>
      </x:c>
      <x:c r="R87" s="143">
        <x:v>-5904970.9299999997</x:v>
      </x:c>
      <x:c r="S87" s="141"/>
      <x:c r="T87" s="100" t="s">
        <x:v>182</x:v>
      </x:c>
    </x:row>
    <x:row r="88" spans="1:20" ht="15" x14ac:dyDescent="0.25">
      <x:c r="A88" s="136" t="s">
        <x:v>19</x:v>
      </x:c>
      <x:c r="B88" s="100"/>
      <x:c r="C88" s="137" t="s">
        <x:v>181</x:v>
      </x:c>
      <x:c r="D88" s="136" t="s">
        <x:v>109</x:v>
      </x:c>
      <x:c r="E88" s="100" t="s">
        <x:v>124</x:v>
      </x:c>
      <x:c r="F88" s="100" t="s">
        <x:v>49</x:v>
      </x:c>
      <x:c r="G88" s="138" t="s">
        <x:v>51</x:v>
      </x:c>
      <x:c r="H88" s="124" t="s">
        <x:v>52</x:v>
      </x:c>
      <x:c r="I88" s="100" t="s">
        <x:v>50</x:v>
      </x:c>
      <x:c r="J88" s="136" t="s">
        <x:v>62</x:v>
      </x:c>
      <x:c r="K88" s="143">
        <x:v>0</x:v>
      </x:c>
      <x:c r="L88" s="143">
        <x:v>-806.75</x:v>
      </x:c>
      <x:c r="M88" s="136" t="s">
        <x:v>172</x:v>
      </x:c>
      <x:c r="N88" s="136" t="s">
        <x:v>121</x:v>
      </x:c>
      <x:c r="O88" s="126" t="s">
        <x:v>188</x:v>
      </x:c>
      <x:c r="P88" s="133">
        <x:v>0</x:v>
      </x:c>
      <x:c r="Q88" s="133">
        <x:v>0</x:v>
      </x:c>
      <x:c r="R88" s="143">
        <x:v>-806.75</x:v>
      </x:c>
      <x:c r="S88" s="141"/>
      <x:c r="T88" s="100" t="s">
        <x:v>182</x:v>
      </x:c>
    </x:row>
    <x:row r="89" spans="1:20" ht="15" x14ac:dyDescent="0.25">
      <x:c r="A89" s="136" t="s">
        <x:v>19</x:v>
      </x:c>
      <x:c r="B89" s="100"/>
      <x:c r="C89" s="137" t="s">
        <x:v>181</x:v>
      </x:c>
      <x:c r="D89" s="136" t="s">
        <x:v>167</x:v>
      </x:c>
      <x:c r="E89" s="100" t="s">
        <x:v>124</x:v>
      </x:c>
      <x:c r="F89" s="100" t="s">
        <x:v>49</x:v>
      </x:c>
      <x:c r="G89" s="138" t="s">
        <x:v>51</x:v>
      </x:c>
      <x:c r="H89" s="124" t="s">
        <x:v>52</x:v>
      </x:c>
      <x:c r="I89" s="100" t="s">
        <x:v>50</x:v>
      </x:c>
      <x:c r="J89" s="136" t="s">
        <x:v>62</x:v>
      </x:c>
      <x:c r="K89" s="143">
        <x:v>0</x:v>
      </x:c>
      <x:c r="L89" s="143">
        <x:v>-41752.370000000003</x:v>
      </x:c>
      <x:c r="M89" s="136" t="s">
        <x:v>172</x:v>
      </x:c>
      <x:c r="N89" s="136" t="s">
        <x:v>121</x:v>
      </x:c>
      <x:c r="O89" s="126" t="s">
        <x:v>188</x:v>
      </x:c>
      <x:c r="P89" s="133">
        <x:v>0</x:v>
      </x:c>
      <x:c r="Q89" s="133">
        <x:v>0</x:v>
      </x:c>
      <x:c r="R89" s="143">
        <x:v>-41752.370000000003</x:v>
      </x:c>
      <x:c r="S89" s="141"/>
      <x:c r="T89" s="100" t="s">
        <x:v>182</x:v>
      </x:c>
    </x:row>
    <x:row r="90" spans="1:20" ht="15" x14ac:dyDescent="0.25">
      <x:c r="A90" s="136" t="s">
        <x:v>19</x:v>
      </x:c>
      <x:c r="B90" s="100"/>
      <x:c r="C90" s="137" t="s">
        <x:v>181</x:v>
      </x:c>
      <x:c r="D90" s="136" t="s">
        <x:v>165</x:v>
      </x:c>
      <x:c r="E90" s="100" t="s">
        <x:v>124</x:v>
      </x:c>
      <x:c r="F90" s="100" t="s">
        <x:v>49</x:v>
      </x:c>
      <x:c r="G90" s="138" t="s">
        <x:v>51</x:v>
      </x:c>
      <x:c r="H90" s="124" t="s">
        <x:v>52</x:v>
      </x:c>
      <x:c r="I90" s="100" t="s">
        <x:v>50</x:v>
      </x:c>
      <x:c r="J90" s="136" t="s">
        <x:v>62</x:v>
      </x:c>
      <x:c r="K90" s="143">
        <x:v>0</x:v>
      </x:c>
      <x:c r="L90" s="143">
        <x:v>-43605.84</x:v>
      </x:c>
      <x:c r="M90" s="136" t="s">
        <x:v>172</x:v>
      </x:c>
      <x:c r="N90" s="136" t="s">
        <x:v>121</x:v>
      </x:c>
      <x:c r="O90" s="126" t="s">
        <x:v>188</x:v>
      </x:c>
      <x:c r="P90" s="133">
        <x:v>0</x:v>
      </x:c>
      <x:c r="Q90" s="133">
        <x:v>0</x:v>
      </x:c>
      <x:c r="R90" s="143">
        <x:v>-43605.84</x:v>
      </x:c>
      <x:c r="S90" s="141"/>
      <x:c r="T90" s="100" t="s">
        <x:v>182</x:v>
      </x:c>
    </x:row>
    <x:row r="91" spans="1:20" ht="15" x14ac:dyDescent="0.25">
      <x:c r="A91" s="136"/>
      <x:c r="B91" s="100"/>
      <x:c r="C91" s="137"/>
      <x:c r="D91" s="136"/>
      <x:c r="E91" s="100"/>
      <x:c r="F91" s="146" t="s">
        <x:v>195</x:v>
      </x:c>
      <x:c r="G91" s="138"/>
      <x:c r="H91" s="124"/>
      <x:c r="I91" s="100"/>
      <x:c r="J91" s="136"/>
      <x:c r="K91" s="143">
        <x:v>0</x:v>
      </x:c>
      <x:c r="L91" s="143">
        <x:v>8.9494278654456139E-10</x:v>
      </x:c>
      <x:c r="M91" s="136"/>
      <x:c r="N91" s="136"/>
      <x:c r="O91" s="126"/>
      <x:c r="P91" s="133"/>
      <x:c r="Q91" s="133"/>
      <x:c r="R91" s="143"/>
      <x:c r="S91" s="141"/>
      <x:c r="T91" s="100"/>
    </x:row>
    <x:row r="92" spans="1:20" ht="15" x14ac:dyDescent="0.25">
      <x:c r="A92" s="136" t="s">
        <x:v>19</x:v>
      </x:c>
      <x:c r="B92" s="100"/>
      <x:c r="C92" s="137" t="s">
        <x:v>196</x:v>
      </x:c>
      <x:c r="D92" s="136" t="s">
        <x:v>184</x:v>
      </x:c>
      <x:c r="E92" s="100" t="s">
        <x:v>197</x:v>
      </x:c>
      <x:c r="F92" s="100" t="s">
        <x:v>198</x:v>
      </x:c>
      <x:c r="G92" s="138" t="s">
        <x:v>51</x:v>
      </x:c>
      <x:c r="H92" s="124" t="s">
        <x:v>199</x:v>
      </x:c>
      <x:c r="I92" s="100" t="s">
        <x:v>50</x:v>
      </x:c>
      <x:c r="J92" s="136" t="s">
        <x:v>59</x:v>
      </x:c>
      <x:c r="K92" s="143">
        <x:v>1</x:v>
      </x:c>
      <x:c r="L92" s="143">
        <x:v>0</x:v>
      </x:c>
      <x:c r="M92" s="136"/>
      <x:c r="N92" s="136" t="s">
        <x:v>121</x:v>
      </x:c>
      <x:c r="O92" s="126" t="s">
        <x:v>200</x:v>
      </x:c>
      <x:c r="P92" s="133">
        <x:v>0</x:v>
      </x:c>
      <x:c r="Q92" s="133">
        <x:v>0</x:v>
      </x:c>
      <x:c r="R92" s="143">
        <x:v>0</x:v>
      </x:c>
      <x:c r="S92" s="141"/>
      <x:c r="T92" s="100" t="s">
        <x:v>201</x:v>
      </x:c>
    </x:row>
    <x:row r="93" spans="1:20" ht="15" x14ac:dyDescent="0.25">
      <x:c r="A93" s="136" t="s">
        <x:v>19</x:v>
      </x:c>
      <x:c r="B93" s="100"/>
      <x:c r="C93" s="137" t="s">
        <x:v>196</x:v>
      </x:c>
      <x:c r="D93" s="136" t="s">
        <x:v>165</x:v>
      </x:c>
      <x:c r="E93" s="100" t="s">
        <x:v>197</x:v>
      </x:c>
      <x:c r="F93" s="100" t="s">
        <x:v>198</x:v>
      </x:c>
      <x:c r="G93" s="138" t="s">
        <x:v>51</x:v>
      </x:c>
      <x:c r="H93" s="124" t="s">
        <x:v>199</x:v>
      </x:c>
      <x:c r="I93" s="100" t="s">
        <x:v>50</x:v>
      </x:c>
      <x:c r="J93" s="136" t="s">
        <x:v>56</x:v>
      </x:c>
      <x:c r="K93" s="143">
        <x:v>0</x:v>
      </x:c>
      <x:c r="L93" s="143">
        <x:v>49086.52</x:v>
      </x:c>
      <x:c r="M93" s="136" t="s">
        <x:v>172</x:v>
      </x:c>
      <x:c r="N93" s="136" t="s">
        <x:v>121</x:v>
      </x:c>
      <x:c r="O93" s="126" t="s">
        <x:v>193</x:v>
      </x:c>
      <x:c r="P93" s="133">
        <x:v>0</x:v>
      </x:c>
      <x:c r="Q93" s="133">
        <x:v>0</x:v>
      </x:c>
      <x:c r="R93" s="143">
        <x:v>49086.52</x:v>
      </x:c>
      <x:c r="S93" s="141"/>
      <x:c r="T93" s="100" t="s">
        <x:v>201</x:v>
      </x:c>
    </x:row>
    <x:row r="94" spans="1:20" ht="15" x14ac:dyDescent="0.25">
      <x:c r="A94" s="136" t="s">
        <x:v>19</x:v>
      </x:c>
      <x:c r="B94" s="100"/>
      <x:c r="C94" s="137" t="s">
        <x:v>196</x:v>
      </x:c>
      <x:c r="D94" s="136" t="s">
        <x:v>109</x:v>
      </x:c>
      <x:c r="E94" s="100" t="s">
        <x:v>197</x:v>
      </x:c>
      <x:c r="F94" s="100" t="s">
        <x:v>198</x:v>
      </x:c>
      <x:c r="G94" s="138" t="s">
        <x:v>51</x:v>
      </x:c>
      <x:c r="H94" s="124" t="s">
        <x:v>199</x:v>
      </x:c>
      <x:c r="I94" s="100" t="s">
        <x:v>50</x:v>
      </x:c>
      <x:c r="J94" s="136" t="s">
        <x:v>56</x:v>
      </x:c>
      <x:c r="K94" s="143">
        <x:v>0</x:v>
      </x:c>
      <x:c r="L94" s="143">
        <x:v>7187.32</x:v>
      </x:c>
      <x:c r="M94" s="136" t="s">
        <x:v>172</x:v>
      </x:c>
      <x:c r="N94" s="136" t="s">
        <x:v>121</x:v>
      </x:c>
      <x:c r="O94" s="126" t="s">
        <x:v>193</x:v>
      </x:c>
      <x:c r="P94" s="133">
        <x:v>0</x:v>
      </x:c>
      <x:c r="Q94" s="133">
        <x:v>0</x:v>
      </x:c>
      <x:c r="R94" s="143">
        <x:v>7187.32</x:v>
      </x:c>
      <x:c r="S94" s="141"/>
      <x:c r="T94" s="100" t="s">
        <x:v>201</x:v>
      </x:c>
    </x:row>
    <x:row r="95" spans="1:20" ht="15" x14ac:dyDescent="0.25">
      <x:c r="A95" s="136" t="s">
        <x:v>19</x:v>
      </x:c>
      <x:c r="B95" s="100"/>
      <x:c r="C95" s="137" t="s">
        <x:v>196</x:v>
      </x:c>
      <x:c r="D95" s="136" t="s">
        <x:v>184</x:v>
      </x:c>
      <x:c r="E95" s="100" t="s">
        <x:v>197</x:v>
      </x:c>
      <x:c r="F95" s="100" t="s">
        <x:v>198</x:v>
      </x:c>
      <x:c r="G95" s="138" t="s">
        <x:v>51</x:v>
      </x:c>
      <x:c r="H95" s="124" t="s">
        <x:v>199</x:v>
      </x:c>
      <x:c r="I95" s="100" t="s">
        <x:v>50</x:v>
      </x:c>
      <x:c r="J95" s="136" t="s">
        <x:v>56</x:v>
      </x:c>
      <x:c r="K95" s="143">
        <x:v>0</x:v>
      </x:c>
      <x:c r="L95" s="143">
        <x:v>0</x:v>
      </x:c>
      <x:c r="M95" s="136" t="s">
        <x:v>172</x:v>
      </x:c>
      <x:c r="N95" s="136" t="s">
        <x:v>121</x:v>
      </x:c>
      <x:c r="O95" s="126" t="s">
        <x:v>193</x:v>
      </x:c>
      <x:c r="P95" s="133">
        <x:v>0</x:v>
      </x:c>
      <x:c r="Q95" s="133">
        <x:v>0</x:v>
      </x:c>
      <x:c r="R95" s="143">
        <x:v>0</x:v>
      </x:c>
      <x:c r="S95" s="141"/>
      <x:c r="T95" s="100" t="s">
        <x:v>201</x:v>
      </x:c>
    </x:row>
    <x:row r="96" spans="1:20" ht="15" x14ac:dyDescent="0.25">
      <x:c r="A96" s="136" t="s">
        <x:v>19</x:v>
      </x:c>
      <x:c r="B96" s="100"/>
      <x:c r="C96" s="137" t="s">
        <x:v>196</x:v>
      </x:c>
      <x:c r="D96" s="136" t="s">
        <x:v>184</x:v>
      </x:c>
      <x:c r="E96" s="100" t="s">
        <x:v>197</x:v>
      </x:c>
      <x:c r="F96" s="100" t="s">
        <x:v>198</x:v>
      </x:c>
      <x:c r="G96" s="138" t="s">
        <x:v>51</x:v>
      </x:c>
      <x:c r="H96" s="124" t="s">
        <x:v>199</x:v>
      </x:c>
      <x:c r="I96" s="100" t="s">
        <x:v>50</x:v>
      </x:c>
      <x:c r="J96" s="136" t="s">
        <x:v>56</x:v>
      </x:c>
      <x:c r="K96" s="143">
        <x:v>0</x:v>
      </x:c>
      <x:c r="L96" s="143">
        <x:v>10115756.560000001</x:v>
      </x:c>
      <x:c r="M96" s="136" t="s">
        <x:v>172</x:v>
      </x:c>
      <x:c r="N96" s="136" t="s">
        <x:v>121</x:v>
      </x:c>
      <x:c r="O96" s="126" t="s">
        <x:v>193</x:v>
      </x:c>
      <x:c r="P96" s="133">
        <x:v>0</x:v>
      </x:c>
      <x:c r="Q96" s="133">
        <x:v>0</x:v>
      </x:c>
      <x:c r="R96" s="143">
        <x:v>10115756.560000001</x:v>
      </x:c>
      <x:c r="S96" s="141"/>
      <x:c r="T96" s="100" t="s">
        <x:v>201</x:v>
      </x:c>
    </x:row>
    <x:row r="97" spans="1:20" ht="15" x14ac:dyDescent="0.25">
      <x:c r="A97" s="136" t="s">
        <x:v>19</x:v>
      </x:c>
      <x:c r="B97" s="100"/>
      <x:c r="C97" s="137" t="s">
        <x:v>196</x:v>
      </x:c>
      <x:c r="D97" s="136" t="s">
        <x:v>167</x:v>
      </x:c>
      <x:c r="E97" s="100" t="s">
        <x:v>197</x:v>
      </x:c>
      <x:c r="F97" s="100" t="s">
        <x:v>198</x:v>
      </x:c>
      <x:c r="G97" s="138" t="s">
        <x:v>51</x:v>
      </x:c>
      <x:c r="H97" s="124" t="s">
        <x:v>199</x:v>
      </x:c>
      <x:c r="I97" s="100" t="s">
        <x:v>50</x:v>
      </x:c>
      <x:c r="J97" s="136" t="s">
        <x:v>56</x:v>
      </x:c>
      <x:c r="K97" s="143">
        <x:v>0</x:v>
      </x:c>
      <x:c r="L97" s="143">
        <x:v>47000.17</x:v>
      </x:c>
      <x:c r="M97" s="136" t="s">
        <x:v>172</x:v>
      </x:c>
      <x:c r="N97" s="136" t="s">
        <x:v>121</x:v>
      </x:c>
      <x:c r="O97" s="126" t="s">
        <x:v>193</x:v>
      </x:c>
      <x:c r="P97" s="133">
        <x:v>0</x:v>
      </x:c>
      <x:c r="Q97" s="133">
        <x:v>0</x:v>
      </x:c>
      <x:c r="R97" s="143">
        <x:v>47000.17</x:v>
      </x:c>
      <x:c r="S97" s="141"/>
      <x:c r="T97" s="100" t="s">
        <x:v>201</x:v>
      </x:c>
    </x:row>
    <x:row r="98" spans="1:20" ht="15" x14ac:dyDescent="0.25">
      <x:c r="A98" s="136"/>
      <x:c r="B98" s="100"/>
      <x:c r="C98" s="137"/>
      <x:c r="D98" s="136"/>
      <x:c r="E98" s="100"/>
      <x:c r="F98" s="146" t="s">
        <x:v>202</x:v>
      </x:c>
      <x:c r="G98" s="138"/>
      <x:c r="H98" s="124"/>
      <x:c r="I98" s="100"/>
      <x:c r="J98" s="136"/>
      <x:c r="K98" s="143">
        <x:v>1</x:v>
      </x:c>
      <x:c r="L98" s="143">
        <x:v>10219030.57</x:v>
      </x:c>
      <x:c r="M98" s="136"/>
      <x:c r="N98" s="136"/>
      <x:c r="O98" s="126"/>
      <x:c r="P98" s="101"/>
      <x:c r="Q98" s="101"/>
      <x:c r="R98" s="140"/>
      <x:c r="S98" s="141"/>
      <x:c r="T98" s="100"/>
    </x:row>
    <x:row r="99" spans="1:20" ht="15" x14ac:dyDescent="0.25">
      <x:c r="A99" s="136"/>
      <x:c r="B99" s="100"/>
      <x:c r="C99" s="137"/>
      <x:c r="D99" s="136"/>
      <x:c r="E99" s="100"/>
      <x:c r="F99" s="146" t="s">
        <x:v>203</x:v>
      </x:c>
      <x:c r="G99" s="138"/>
      <x:c r="H99" s="124"/>
      <x:c r="I99" s="100"/>
      <x:c r="J99" s="136"/>
      <x:c r="K99" s="143">
        <x:v>1</x:v>
      </x:c>
      <x:c r="L99" s="143">
        <x:v>10219030.570000002</x:v>
      </x:c>
      <x:c r="M99" s="136"/>
      <x:c r="N99" s="136"/>
      <x:c r="O99" s="126"/>
      <x:c r="P99" s="101"/>
      <x:c r="Q99" s="101"/>
      <x:c r="R99" s="140"/>
      <x:c r="S99" s="141"/>
      <x:c r="T99" s="100"/>
    </x:row>
    <x:row r="100" spans="1:20" x14ac:dyDescent="0.2">
      <x:c r="A100" s="10"/>
      <x:c r="B100" s="10"/>
      <x:c r="C100" s="10"/>
      <x:c r="D100" s="10"/>
      <x:c r="E100" s="10"/>
      <x:c r="F100" s="10"/>
      <x:c r="G100" s="10"/>
      <x:c r="H100" s="10"/>
      <x:c r="J100" s="10"/>
      <x:c r="K100" s="134"/>
      <x:c r="L100" s="134"/>
      <x:c r="M100" s="10"/>
      <x:c r="N100" s="10"/>
      <x:c r="O100" s="10"/>
      <x:c r="P100" s="9"/>
      <x:c r="Q100" s="9"/>
      <x:c r="R100" s="9"/>
      <x:c r="T100" s="10"/>
    </x:row>
    <x:row r="101" spans="1:20" ht="13.5" thickBot="1" x14ac:dyDescent="0.25">
      <x:c r="A101" s="10"/>
      <x:c r="B101" s="10"/>
      <x:c r="C101" s="10"/>
      <x:c r="D101" s="10"/>
      <x:c r="E101" s="10"/>
      <x:c r="F101" s="10"/>
      <x:c r="G101" s="10"/>
      <x:c r="H101" s="10"/>
      <x:c r="J101" s="10"/>
      <x:c r="K101" s="25">
        <x:v>1</x:v>
      </x:c>
      <x:c r="L101" s="147">
        <x:v>10219030.57</x:v>
      </x:c>
      <x:c r="M101" s="10"/>
      <x:c r="N101" s="10"/>
      <x:c r="O101" s="10"/>
      <x:c r="P101" s="9"/>
      <x:c r="Q101" s="9"/>
      <x:c r="R101" s="9"/>
      <x:c r="T101" s="10"/>
    </x:row>
    <x:row r="102" spans="1:20" ht="13.5" thickTop="1" x14ac:dyDescent="0.2">
      <x:c r="A102" s="10"/>
      <x:c r="B102" s="10"/>
      <x:c r="C102" s="10"/>
      <x:c r="D102" s="10"/>
      <x:c r="E102" s="10"/>
      <x:c r="F102" s="10"/>
      <x:c r="G102" s="10"/>
      <x:c r="H102" s="10"/>
      <x:c r="J102" s="10"/>
      <x:c r="K102" s="12"/>
      <x:c r="L102" s="9"/>
      <x:c r="M102" s="10"/>
      <x:c r="N102" s="10"/>
      <x:c r="O102" s="10"/>
      <x:c r="P102" s="9"/>
      <x:c r="Q102" s="9"/>
      <x:c r="R102" s="9"/>
      <x:c r="T102" s="10"/>
    </x:row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A564852F-1301-420E-9D2B-D6D444CB2BFB}">
      <x:formula1>"NEXT"</x:formula1>
    </x:dataValidation>
  </x:dataValidations>
  <x:pageMargins left="0.7" right="0.7" top="2.5" bottom="0.75" header="1.25" footer="0.3"/>
  <x:pageSetup scale="35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B8549E6-0F88-446E-985E-5DA30E791111}" mc:Ignorable="x14ac xr xr2 xr3">
  <x:sheetPr>
    <x:pageSetUpPr fitToPage="1"/>
  </x:sheetPr>
  <x:dimension ref="A1:Y65"/>
  <x:sheetViews>
    <x:sheetView tabSelected="1" topLeftCell="A2" zoomScaleNormal="100" workbookViewId="0"/>
  </x:sheetViews>
  <x:sheetFormatPr defaultColWidth="9.140625" defaultRowHeight="12.75" x14ac:dyDescent="0.2"/>
  <x:cols>
    <x:col min="1" max="1" width="4.85546875" style="8" bestFit="1" customWidth="1"/>
    <x:col min="2" max="2" width="11.85546875" style="8" customWidth="1"/>
    <x:col min="3" max="3" width="15" style="8" customWidth="1"/>
    <x:col min="4" max="4" width="16" style="8" bestFit="1" customWidth="1"/>
    <x:col min="5" max="5" width="9.28515625" style="8" bestFit="1" customWidth="1"/>
    <x:col min="6" max="6" width="9.140625" style="8"/>
    <x:col min="7" max="7" width="8.42578125" style="8" bestFit="1" customWidth="1"/>
    <x:col min="8" max="8" width="28.140625" style="8" bestFit="1" customWidth="1"/>
    <x:col min="9" max="9" width="15.42578125" style="9" customWidth="1"/>
    <x:col min="10" max="10" width="11.85546875" style="8" bestFit="1" customWidth="1"/>
    <x:col min="11" max="11" width="21.5703125" style="8" customWidth="1"/>
    <x:col min="12" max="12" width="16.28515625" style="8" customWidth="1"/>
    <x:col min="13" max="13" width="10.7109375" style="8" bestFit="1" customWidth="1"/>
    <x:col min="14" max="14" width="13.28515625" style="8" bestFit="1" customWidth="1"/>
    <x:col min="15" max="15" width="15.42578125" style="8" customWidth="1"/>
    <x:col min="16" max="16" width="27.7109375" style="8" bestFit="1" customWidth="1"/>
    <x:col min="17" max="17" width="12.5703125" style="8" bestFit="1" customWidth="1"/>
    <x:col min="18" max="18" width="16.28515625" style="8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256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150" t="s">
        <x:v>4</x:v>
      </x:c>
      <x:c r="B3" s="151"/>
      <x:c r="C3" s="151"/>
      <x:c r="D3" s="151"/>
      <x:c r="E3" s="152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22</x:v>
      </x:c>
      <x:c r="E5" s="100" t="s">
        <x:v>257</x:v>
      </x:c>
      <x:c r="F5" s="100" t="s">
        <x:v>23</x:v>
      </x:c>
      <x:c r="G5" s="100" t="s">
        <x:v>23</x:v>
      </x:c>
      <x:c r="H5" s="100"/>
      <x:c r="I5" s="133">
        <x:v>-52880.46</x:v>
      </x:c>
      <x:c r="J5" s="100" t="s">
        <x:v>258</x:v>
      </x:c>
      <x:c r="K5" s="100"/>
      <x:c r="L5" s="100">
        <x:v>12</x:v>
      </x:c>
      <x:c r="M5" s="100">
        <x:v>2024</x:v>
      </x:c>
      <x:c r="N5" s="100" t="s">
        <x:v>25</x:v>
      </x:c>
      <x:c r="O5" s="100" t="s">
        <x:v>26</x:v>
      </x:c>
      <x:c r="P5" s="100" t="s">
        <x:v>27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00" t="s">
        <x:v>20</x:v>
      </x:c>
      <x:c r="C6" s="100" t="s">
        <x:v>21</x:v>
      </x:c>
      <x:c r="D6" s="100" t="s">
        <x:v>131</x:v>
      </x:c>
      <x:c r="E6" s="100" t="s">
        <x:v>257</x:v>
      </x:c>
      <x:c r="F6" s="100" t="s">
        <x:v>23</x:v>
      </x:c>
      <x:c r="G6" s="100" t="s">
        <x:v>23</x:v>
      </x:c>
      <x:c r="H6" s="100"/>
      <x:c r="I6" s="133">
        <x:v>52880.46</x:v>
      </x:c>
      <x:c r="J6" s="100" t="s">
        <x:v>259</x:v>
      </x:c>
      <x:c r="K6" s="100"/>
      <x:c r="L6" s="100">
        <x:v>12</x:v>
      </x:c>
      <x:c r="M6" s="100">
        <x:v>2024</x:v>
      </x:c>
      <x:c r="N6" s="100" t="s">
        <x:v>25</x:v>
      </x:c>
      <x:c r="O6" s="100" t="s">
        <x:v>144</x:v>
      </x:c>
      <x:c r="P6" s="100" t="s">
        <x:v>145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0" t="s">
        <x:v>19</x:v>
      </x:c>
      <x:c r="B7" s="100" t="s">
        <x:v>20</x:v>
      </x:c>
      <x:c r="C7" s="100" t="s">
        <x:v>80</x:v>
      </x:c>
      <x:c r="D7" s="100" t="s">
        <x:v>81</x:v>
      </x:c>
      <x:c r="E7" s="100" t="s">
        <x:v>257</x:v>
      </x:c>
      <x:c r="F7" s="100" t="s">
        <x:v>23</x:v>
      </x:c>
      <x:c r="G7" s="100" t="s">
        <x:v>23</x:v>
      </x:c>
      <x:c r="H7" s="100"/>
      <x:c r="I7" s="133">
        <x:v>-52880.46</x:v>
      </x:c>
      <x:c r="J7" s="100" t="s">
        <x:v>259</x:v>
      </x:c>
      <x:c r="K7" s="100"/>
      <x:c r="L7" s="100">
        <x:v>12</x:v>
      </x:c>
      <x:c r="M7" s="100">
        <x:v>2024</x:v>
      </x:c>
      <x:c r="N7" s="100" t="s">
        <x:v>25</x:v>
      </x:c>
      <x:c r="O7" s="100" t="s">
        <x:v>144</x:v>
      </x:c>
      <x:c r="P7" s="100" t="s">
        <x:v>147</x:v>
      </x:c>
      <x:c r="R7" s="103"/>
      <x:c r="X7" s="17"/>
      <x:c r="Y7" s="17"/>
    </x:row>
    <x:row r="8" spans="1:25" x14ac:dyDescent="0.2">
      <x:c r="A8" s="100"/>
      <x:c r="B8" s="100"/>
      <x:c r="C8" s="100"/>
      <x:c r="D8" s="100"/>
      <x:c r="E8" s="100"/>
      <x:c r="F8" s="100"/>
      <x:c r="G8" s="100"/>
      <x:c r="H8" s="100"/>
      <x:c r="I8" s="101"/>
      <x:c r="J8" s="100"/>
      <x:c r="K8" s="100"/>
      <x:c r="L8" s="100"/>
      <x:c r="M8" s="100"/>
      <x:c r="N8" s="100"/>
      <x:c r="O8" s="100"/>
      <x:c r="P8" s="100"/>
      <x:c r="X8" s="17"/>
      <x:c r="Y8" s="17"/>
    </x:row>
    <x:row r="9" spans="1:25" x14ac:dyDescent="0.2">
      <x:c r="A9" s="100"/>
      <x:c r="B9" s="100"/>
      <x:c r="C9" s="100"/>
      <x:c r="D9" s="100"/>
      <x:c r="E9" s="100"/>
      <x:c r="F9" s="100"/>
      <x:c r="G9" s="100"/>
      <x:c r="H9" s="100"/>
      <x:c r="I9" s="101"/>
      <x:c r="J9" s="100"/>
      <x:c r="K9" s="100"/>
      <x:c r="L9" s="100"/>
      <x:c r="M9" s="100"/>
      <x:c r="N9" s="100"/>
      <x:c r="O9" s="100"/>
      <x:c r="P9" s="100"/>
      <x:c r="X9" s="17"/>
      <x:c r="Y9" s="17"/>
    </x:row>
    <x:row r="10" spans="1:25" x14ac:dyDescent="0.2">
      <x:c r="A10" s="100"/>
      <x:c r="B10" s="100"/>
      <x:c r="C10" s="100"/>
      <x:c r="D10" s="100"/>
      <x:c r="E10" s="100"/>
      <x:c r="F10" s="100"/>
      <x:c r="G10" s="100"/>
      <x:c r="H10" s="100"/>
      <x:c r="I10" s="101"/>
      <x:c r="J10" s="100"/>
      <x:c r="K10" s="100"/>
      <x:c r="L10" s="100"/>
      <x:c r="M10" s="100"/>
      <x:c r="N10" s="100"/>
      <x:c r="O10" s="100"/>
      <x:c r="P10" s="100"/>
      <x:c r="X10" s="17"/>
      <x:c r="Y10" s="17"/>
    </x:row>
    <x:row r="11" spans="1:25" x14ac:dyDescent="0.2">
      <x:c r="X11" s="17"/>
      <x:c r="Y11" s="17"/>
    </x:row>
    <x:row r="12" spans="1:25" x14ac:dyDescent="0.2">
      <x:c r="X12" s="17"/>
      <x:c r="Y12" s="17"/>
    </x:row>
    <x:row r="13" spans="1:25" x14ac:dyDescent="0.2">
      <x:c r="X13" s="17"/>
      <x:c r="Y13" s="17"/>
    </x:row>
    <x:row r="14" spans="1:25" x14ac:dyDescent="0.2">
      <x:c r="X14" s="17"/>
      <x:c r="Y14" s="17"/>
    </x:row>
    <x:row r="15" spans="1:25" x14ac:dyDescent="0.2">
      <x:c r="A15" s="105" t="s">
        <x:v>28</x:v>
      </x:c>
      <x:c r="X15" s="17"/>
      <x:c r="Y15" s="17"/>
    </x:row>
    <x:row r="16" spans="1:25" ht="13.5" thickBot="1" x14ac:dyDescent="0.25">
      <x:c r="A16" s="105"/>
      <x:c r="R16" s="103"/>
      <x:c r="X16" s="17"/>
      <x:c r="Y16" s="17"/>
    </x:row>
    <x:row r="17" spans="1:25" ht="16.5" thickTop="1" thickBot="1" x14ac:dyDescent="0.35">
      <x:c r="A17" s="150" t="s">
        <x:v>29</x:v>
      </x:c>
      <x:c r="B17" s="151"/>
      <x:c r="C17" s="151"/>
      <x:c r="D17" s="152"/>
      <x:c r="W17" s="5" t="s">
        <x:v>30</x:v>
      </x:c>
      <x:c r="X17" s="17"/>
      <x:c r="Y17" s="17"/>
    </x:row>
    <x:row r="18" spans="1:25" ht="16.5" thickTop="1" thickBot="1" x14ac:dyDescent="0.35">
      <x:c r="A18" s="3" t="s">
        <x:v>0</x:v>
      </x:c>
      <x:c r="B18" s="3" t="s">
        <x:v>31</x:v>
      </x:c>
      <x:c r="C18" s="3" t="s">
        <x:v>32</x:v>
      </x:c>
      <x:c r="D18" s="3" t="s">
        <x:v>18</x:v>
      </x:c>
      <x:c r="E18" s="3" t="s">
        <x:v>6</x:v>
      </x:c>
      <x:c r="F18" s="3" t="s">
        <x:v>33</x:v>
      </x:c>
      <x:c r="G18" s="3" t="s">
        <x:v>34</x:v>
      </x:c>
      <x:c r="H18" s="3" t="s">
        <x:v>35</x:v>
      </x:c>
      <x:c r="I18" s="4" t="s">
        <x:v>36</x:v>
      </x:c>
      <x:c r="J18" s="3" t="s">
        <x:v>18</x:v>
      </x:c>
      <x:c r="K18" s="3" t="s">
        <x:v>37</x:v>
      </x:c>
      <x:c r="L18" s="3" t="s">
        <x:v>8</x:v>
      </x:c>
      <x:c r="M18" s="3" t="s">
        <x:v>38</x:v>
      </x:c>
      <x:c r="N18" s="3" t="s">
        <x:v>39</x:v>
      </x:c>
      <x:c r="O18" s="3" t="s">
        <x:v>40</x:v>
      </x:c>
      <x:c r="P18" s="3" t="s">
        <x:v>41</x:v>
      </x:c>
      <x:c r="Q18" s="3" t="s">
        <x:v>42</x:v>
      </x:c>
      <x:c r="R18" s="3" t="s">
        <x:v>43</x:v>
      </x:c>
      <x:c r="S18" s="3" t="s">
        <x:v>44</x:v>
      </x:c>
      <x:c r="T18" s="3" t="s">
        <x:v>45</x:v>
      </x:c>
      <x:c r="U18" s="3" t="s">
        <x:v>46</x:v>
      </x:c>
      <x:c r="V18" s="3" t="s">
        <x:v>18</x:v>
      </x:c>
      <x:c r="W18" s="3" t="s">
        <x:v>47</x:v>
      </x:c>
      <x:c r="X18" s="17"/>
      <x:c r="Y18" s="17"/>
    </x:row>
    <x:row r="19" spans="1:25" ht="13.5" thickTop="1" x14ac:dyDescent="0.2">
      <x:c r="A19" s="100" t="s">
        <x:v>19</x:v>
      </x:c>
      <x:c r="B19" s="100" t="s">
        <x:v>260</x:v>
      </x:c>
      <x:c r="C19" s="100" t="s">
        <x:v>261</x:v>
      </x:c>
      <x:c r="D19" s="106" t="s">
        <x:v>262</x:v>
      </x:c>
      <x:c r="E19" s="100" t="s">
        <x:v>48</x:v>
      </x:c>
      <x:c r="F19" s="100" t="s">
        <x:v>2</x:v>
      </x:c>
      <x:c r="G19" s="100" t="s">
        <x:v>49</x:v>
      </x:c>
      <x:c r="H19" s="100" t="s">
        <x:v>50</x:v>
      </x:c>
      <x:c r="I19" s="101" t="s">
        <x:v>51</x:v>
      </x:c>
      <x:c r="J19" s="100" t="s">
        <x:v>52</x:v>
      </x:c>
      <x:c r="K19" s="100" t="s">
        <x:v>53</x:v>
      </x:c>
      <x:c r="L19" s="100" t="s">
        <x:v>94</x:v>
      </x:c>
      <x:c r="M19" s="100" t="s">
        <x:v>263</x:v>
      </x:c>
      <x:c r="N19" s="133">
        <x:v>17145.12</x:v>
      </x:c>
      <x:c r="O19" s="133">
        <x:v>17145.12</x:v>
      </x:c>
      <x:c r="P19" s="133">
        <x:v>0</x:v>
      </x:c>
      <x:c r="Q19" s="133">
        <x:v>0</x:v>
      </x:c>
      <x:c r="R19" s="133">
        <x:v>19.52</x:v>
      </x:c>
      <x:c r="S19" s="108">
        <x:v>22282</x:v>
      </x:c>
      <x:c r="T19" s="100"/>
      <x:c r="U19" s="100" t="s">
        <x:v>118</x:v>
      </x:c>
      <x:c r="V19" s="106" t="s">
        <x:v>99</x:v>
      </x:c>
      <x:c r="W19" s="100" t="s">
        <x:v>264</x:v>
      </x:c>
      <x:c r="X19" s="17"/>
      <x:c r="Y19" s="17"/>
    </x:row>
    <x:row r="20" spans="1:25" x14ac:dyDescent="0.2">
      <x:c r="A20" s="100"/>
      <x:c r="B20" s="100"/>
      <x:c r="C20" s="100"/>
      <x:c r="D20" s="106"/>
      <x:c r="E20" s="100"/>
      <x:c r="F20" s="100"/>
      <x:c r="G20" s="100"/>
      <x:c r="H20" s="100"/>
      <x:c r="I20" s="101"/>
      <x:c r="J20" s="100"/>
      <x:c r="K20" s="100"/>
      <x:c r="L20" s="100"/>
      <x:c r="M20" s="100"/>
      <x:c r="N20" s="101"/>
      <x:c r="O20" s="101"/>
      <x:c r="P20" s="101"/>
      <x:c r="Q20" s="101"/>
      <x:c r="R20" s="107"/>
      <x:c r="S20" s="108"/>
      <x:c r="T20" s="100"/>
      <x:c r="U20" s="100"/>
      <x:c r="V20" s="106"/>
      <x:c r="W20" s="100"/>
      <x:c r="X20" s="17"/>
      <x:c r="Y20" s="17"/>
    </x:row>
    <x:row r="21" spans="1:25" x14ac:dyDescent="0.2">
      <x:c r="A21" s="100"/>
      <x:c r="B21" s="100"/>
      <x:c r="C21" s="100"/>
      <x:c r="D21" s="106"/>
      <x:c r="E21" s="100"/>
      <x:c r="F21" s="100"/>
      <x:c r="G21" s="100"/>
      <x:c r="H21" s="100"/>
      <x:c r="I21" s="101"/>
      <x:c r="J21" s="100"/>
      <x:c r="K21" s="100"/>
      <x:c r="L21" s="100"/>
      <x:c r="M21" s="100"/>
      <x:c r="N21" s="101"/>
      <x:c r="O21" s="101"/>
      <x:c r="P21" s="101"/>
      <x:c r="Q21" s="101"/>
      <x:c r="R21" s="101"/>
      <x:c r="S21" s="108"/>
      <x:c r="T21" s="100"/>
      <x:c r="U21" s="100"/>
      <x:c r="V21" s="106"/>
      <x:c r="W21" s="100"/>
      <x:c r="X21" s="17"/>
      <x:c r="Y21" s="17"/>
    </x:row>
    <x:row r="22" spans="1:25" x14ac:dyDescent="0.2">
      <x:c r="O22" s="134">
        <x:v>17145.12</x:v>
      </x:c>
      <x:c r="Q22" s="9"/>
      <x:c r="R22" s="109">
        <x:v>19.52</x:v>
      </x:c>
      <x:c r="X22" s="17"/>
      <x:c r="Y22" s="17"/>
    </x:row>
    <x:row r="23" spans="1:25" x14ac:dyDescent="0.2">
      <x:c r="O23" s="134"/>
      <x:c r="R23" s="12"/>
      <x:c r="X23" s="17"/>
      <x:c r="Y23" s="17"/>
    </x:row>
    <x:row r="24" spans="1:25" x14ac:dyDescent="0.2">
      <x:c r="O24" s="134">
        <x:v>878.3360655737705</x:v>
      </x:c>
      <x:c r="P24" s="110" t="s">
        <x:v>64</x:v>
      </x:c>
      <x:c r="X24" s="17"/>
      <x:c r="Y24" s="17"/>
    </x:row>
    <x:row r="25" spans="1:25" x14ac:dyDescent="0.2">
      <x:c r="H25" s="5"/>
      <x:c r="I25" s="5"/>
      <x:c r="J25" s="5"/>
      <x:c r="O25" s="142">
        <x:v>191.48</x:v>
      </x:c>
      <x:c r="P25" s="110" t="s">
        <x:v>65</x:v>
      </x:c>
      <x:c r="Q25" s="24">
        <x:v>0.218</x:v>
      </x:c>
      <x:c r="R25" s="32" t="s">
        <x:v>66</x:v>
      </x:c>
      <x:c r="X25" s="17"/>
      <x:c r="Y25" s="17"/>
    </x:row>
    <x:row r="26" spans="1:25" x14ac:dyDescent="0.2">
      <x:c r="X26" s="17"/>
      <x:c r="Y26" s="17"/>
    </x:row>
    <x:row r="27" spans="1:25" x14ac:dyDescent="0.2">
      <x:c r="A27" s="105" t="s">
        <x:v>67</x:v>
      </x:c>
      <x:c r="O27" s="111"/>
      <x:c r="P27" s="9"/>
      <x:c r="X27" s="17"/>
      <x:c r="Y27" s="17"/>
    </x:row>
    <x:row r="28" spans="1:25" ht="15.75" thickBot="1" x14ac:dyDescent="0.35">
      <x:c r="O28" s="6"/>
      <x:c r="P28" s="9"/>
      <x:c r="T28" s="6"/>
      <x:c r="X28" s="17"/>
      <x:c r="Y28" s="17"/>
    </x:row>
    <x:row r="29" spans="1:25" x14ac:dyDescent="0.2">
      <x:c r="B29" s="13"/>
      <x:c r="C29" s="14"/>
      <x:c r="D29" s="14"/>
      <x:c r="E29" s="14"/>
      <x:c r="F29" s="14"/>
      <x:c r="G29" s="15"/>
      <x:c r="P29" s="9"/>
      <x:c r="X29" s="17"/>
      <x:c r="Y29" s="17"/>
    </x:row>
    <x:row r="30" spans="1:25" x14ac:dyDescent="0.2">
      <x:c r="B30" s="16"/>
      <x:c r="C30" s="130">
        <x:v>-52880.46</x:v>
      </x:c>
      <x:c r="E30" s="105" t="s">
        <x:v>69</x:v>
      </x:c>
      <x:c r="F30" s="105"/>
      <x:c r="G30" s="33"/>
      <x:c r="P30" s="9"/>
      <x:c r="X30" s="17"/>
      <x:c r="Y30" s="17"/>
    </x:row>
    <x:row r="31" spans="1:25" x14ac:dyDescent="0.2">
      <x:c r="B31" s="16"/>
      <x:c r="C31" s="131">
        <x:v>0</x:v>
      </x:c>
      <x:c r="E31" s="154" t="s">
        <x:v>70</x:v>
      </x:c>
      <x:c r="F31" s="154"/>
      <x:c r="G31" s="33"/>
      <x:c r="P31" s="9"/>
      <x:c r="X31" s="17"/>
      <x:c r="Y31" s="17"/>
    </x:row>
    <x:row r="32" spans="1:25" ht="15" x14ac:dyDescent="0.3">
      <x:c r="B32" s="16"/>
      <x:c r="C32" s="130">
        <x:v>-52880.46</x:v>
      </x:c>
      <x:c r="E32" s="105" t="s">
        <x:v>71</x:v>
      </x:c>
      <x:c r="F32" s="105"/>
      <x:c r="G32" s="33"/>
      <x:c r="O32" s="7"/>
      <x:c r="P32" s="9"/>
      <x:c r="X32" s="17"/>
      <x:c r="Y32" s="17"/>
    </x:row>
    <x:row r="33" spans="1:25" ht="15" x14ac:dyDescent="0.3">
      <x:c r="B33" s="16"/>
      <x:c r="C33" s="130">
        <x:v>191.48</x:v>
      </x:c>
      <x:c r="E33" s="154" t="s">
        <x:v>72</x:v>
      </x:c>
      <x:c r="F33" s="154"/>
      <x:c r="G33" s="33"/>
      <x:c r="H33" s="111"/>
      <x:c r="O33" s="7"/>
      <x:c r="P33" s="9"/>
      <x:c r="X33" s="17"/>
      <x:c r="Y33" s="17"/>
    </x:row>
    <x:row r="34" spans="1:25" ht="13.5" thickBot="1" x14ac:dyDescent="0.25">
      <x:c r="B34" s="16"/>
      <x:c r="C34" s="132">
        <x:v>-52688.979999999996</x:v>
      </x:c>
      <x:c r="E34" s="105" t="s">
        <x:v>73</x:v>
      </x:c>
      <x:c r="F34" s="105"/>
      <x:c r="G34" s="155"/>
      <x:c r="H34" s="111"/>
      <x:c r="P34" s="9"/>
      <x:c r="X34" s="17"/>
      <x:c r="Y34" s="17"/>
    </x:row>
    <x:row r="35" spans="1:25" ht="16.5" thickTop="1" thickBot="1" x14ac:dyDescent="0.35">
      <x:c r="B35" s="19"/>
      <x:c r="C35" s="20"/>
      <x:c r="D35" s="20"/>
      <x:c r="E35" s="20"/>
      <x:c r="F35" s="20"/>
      <x:c r="G35" s="21"/>
      <x:c r="P35" s="9"/>
      <x:c r="Q35" s="6"/>
      <x:c r="X35" s="17"/>
      <x:c r="Y35" s="17"/>
    </x:row>
    <x:row r="36" spans="1:25" ht="15" x14ac:dyDescent="0.3">
      <x:c r="P36" s="9"/>
      <x:c r="Q36" s="6"/>
    </x:row>
    <x:row r="37" spans="1:25" ht="15" x14ac:dyDescent="0.3">
      <x:c r="B37" s="119"/>
      <x:c r="C37" s="119"/>
      <x:c r="D37" s="120"/>
      <x:c r="P37" s="9"/>
      <x:c r="Q37" s="6"/>
    </x:row>
    <x:row r="38" spans="1:25" x14ac:dyDescent="0.2">
      <x:c r="A38" s="105" t="s">
        <x:v>74</x:v>
      </x:c>
      <x:c r="B38" s="121"/>
      <x:c r="C38" s="121"/>
      <x:c r="D38" s="121"/>
      <x:c r="E38" s="121"/>
      <x:c r="F38" s="121"/>
      <x:c r="G38" s="121"/>
      <x:c r="H38" s="121"/>
      <x:c r="I38" s="113"/>
      <x:c r="J38" s="121"/>
      <x:c r="K38" s="121"/>
    </x:row>
    <x:row r="39" spans="1:25" x14ac:dyDescent="0.2">
      <x:c r="A39" s="105"/>
      <x:c r="B39" s="121"/>
      <x:c r="C39" s="121"/>
      <x:c r="D39" s="121"/>
      <x:c r="E39" s="121"/>
      <x:c r="F39" s="121"/>
      <x:c r="G39" s="121"/>
      <x:c r="H39" s="121"/>
      <x:c r="I39" s="113"/>
      <x:c r="J39" s="121"/>
      <x:c r="K39" s="121"/>
    </x:row>
    <x:row r="40" spans="1:25" ht="15" x14ac:dyDescent="0.3">
      <x:c r="A40" s="105" t="s">
        <x:v>75</x:v>
      </x:c>
      <x:c r="B40" s="121"/>
      <x:c r="C40" s="121"/>
      <x:c r="D40" s="121"/>
      <x:c r="E40" s="121"/>
      <x:c r="F40" s="121"/>
      <x:c r="G40" s="121"/>
      <x:c r="H40" s="121"/>
      <x:c r="I40" s="113"/>
      <x:c r="J40" s="121"/>
      <x:c r="K40" s="121"/>
      <x:c r="P40" s="9"/>
      <x:c r="Q40" s="6"/>
    </x:row>
    <x:row r="41" spans="1:25" x14ac:dyDescent="0.2">
      <x:c r="A41" s="121"/>
      <x:c r="B41" s="121"/>
      <x:c r="C41" s="121"/>
      <x:c r="D41" s="121"/>
      <x:c r="E41" s="121"/>
      <x:c r="F41" s="121"/>
      <x:c r="G41" s="121"/>
      <x:c r="H41" s="121"/>
      <x:c r="I41" s="113"/>
      <x:c r="J41" s="121"/>
      <x:c r="K41" s="121"/>
    </x:row>
    <x:row r="42" spans="1:25" x14ac:dyDescent="0.2">
      <x:c r="A42" s="22" t="s">
        <x:v>76</x:v>
      </x:c>
      <x:c r="B42" s="22" t="s">
        <x:v>77</x:v>
      </x:c>
      <x:c r="C42" s="22" t="s">
        <x:v>6</x:v>
      </x:c>
      <x:c r="D42" s="22" t="s">
        <x:v>7</x:v>
      </x:c>
      <x:c r="E42" s="22" t="s">
        <x:v>8</x:v>
      </x:c>
      <x:c r="F42" s="22" t="s">
        <x:v>9</x:v>
      </x:c>
      <x:c r="G42" s="22" t="s">
        <x:v>10</x:v>
      </x:c>
      <x:c r="H42" s="22" t="s">
        <x:v>11</x:v>
      </x:c>
      <x:c r="I42" s="27" t="s">
        <x:v>78</x:v>
      </x:c>
      <x:c r="J42" s="22" t="s">
        <x:v>45</x:v>
      </x:c>
      <x:c r="K42" s="157" t="s">
        <x:v>79</x:v>
      </x:c>
      <x:c r="L42" s="158"/>
      <x:c r="M42" s="123"/>
    </x:row>
    <x:row r="43" spans="1:25" x14ac:dyDescent="0.2">
      <x:c r="A43" s="23" t="s">
        <x:v>19</x:v>
      </x:c>
      <x:c r="B43" s="23" t="s">
        <x:v>20</x:v>
      </x:c>
      <x:c r="C43" s="23" t="s">
        <x:v>80</x:v>
      </x:c>
      <x:c r="D43" s="23" t="s">
        <x:v>81</x:v>
      </x:c>
      <x:c r="E43" s="23" t="s">
        <x:v>257</x:v>
      </x:c>
      <x:c r="F43" s="23" t="s">
        <x:v>23</x:v>
      </x:c>
      <x:c r="G43" s="23" t="s">
        <x:v>23</x:v>
      </x:c>
      <x:c r="H43" s="23" t="s">
        <x:v>24</x:v>
      </x:c>
      <x:c r="I43" s="129">
        <x:v>52688.979999999996</x:v>
      </x:c>
      <x:c r="J43" s="23" t="s">
        <x:v>127</x:v>
      </x:c>
      <x:c r="K43" s="149" t="s">
        <x:v>265</x:v>
      </x:c>
      <x:c r="L43" s="149"/>
      <x:c r="M43" s="156"/>
    </x:row>
    <x:row r="44" spans="1:25" x14ac:dyDescent="0.2">
      <x:c r="A44" s="23" t="s">
        <x:v>19</x:v>
      </x:c>
      <x:c r="B44" s="28" t="s">
        <x:v>20</x:v>
      </x:c>
      <x:c r="C44" s="23" t="s">
        <x:v>82</x:v>
      </x:c>
      <x:c r="D44" s="23" t="s">
        <x:v>83</x:v>
      </x:c>
      <x:c r="E44" s="23" t="s">
        <x:v>257</x:v>
      </x:c>
      <x:c r="F44" s="23" t="s">
        <x:v>23</x:v>
      </x:c>
      <x:c r="G44" s="23" t="s">
        <x:v>23</x:v>
      </x:c>
      <x:c r="H44" s="23" t="s">
        <x:v>24</x:v>
      </x:c>
      <x:c r="I44" s="129">
        <x:v>-52688.979999999996</x:v>
      </x:c>
      <x:c r="J44" s="23" t="s">
        <x:v>127</x:v>
      </x:c>
      <x:c r="K44" s="149" t="s">
        <x:v>265</x:v>
      </x:c>
      <x:c r="L44" s="149"/>
      <x:c r="M44" s="156"/>
    </x:row>
    <x:row r="45" spans="1:25" x14ac:dyDescent="0.2">
      <x:c r="A45" s="91"/>
      <x:c r="B45" s="91"/>
      <x:c r="C45" s="91"/>
      <x:c r="D45" s="91"/>
      <x:c r="E45" s="91"/>
      <x:c r="F45" s="91"/>
      <x:c r="G45" s="91"/>
      <x:c r="H45" s="91"/>
      <x:c r="I45" s="92"/>
      <x:c r="J45" s="91"/>
      <x:c r="K45" s="93"/>
    </x:row>
    <x:row r="54" spans="1:20" x14ac:dyDescent="0.2">
      <x:c r="A54" s="105" t="s">
        <x:v>86</x:v>
      </x:c>
    </x:row>
    <x:row r="56" spans="1:20" ht="13.5" thickBot="1" x14ac:dyDescent="0.25"/>
    <x:row r="57" spans="1:20" ht="16.5" thickTop="1" thickBot="1" x14ac:dyDescent="0.35">
      <x:c r="A57" s="3" t="s">
        <x:v>132</x:v>
      </x:c>
      <x:c r="B57" s="3"/>
      <x:c r="C57" s="3"/>
    </x:row>
    <x:row r="58" spans="1:20" ht="16.5" thickTop="1" thickBot="1" x14ac:dyDescent="0.35">
      <x:c r="A58" s="3" t="s">
        <x:v>0</x:v>
      </x:c>
      <x:c r="B58" s="3" t="s">
        <x:v>8</x:v>
      </x:c>
      <x:c r="C58" s="3" t="s">
        <x:v>31</x:v>
      </x:c>
      <x:c r="D58" s="3" t="s">
        <x:v>38</x:v>
      </x:c>
      <x:c r="E58" s="3" t="s">
        <x:v>6</x:v>
      </x:c>
      <x:c r="F58" s="3" t="s">
        <x:v>34</x:v>
      </x:c>
      <x:c r="G58" s="3" t="s">
        <x:v>36</x:v>
      </x:c>
      <x:c r="H58" s="3" t="s">
        <x:v>18</x:v>
      </x:c>
      <x:c r="I58" s="4" t="s">
        <x:v>35</x:v>
      </x:c>
      <x:c r="J58" s="3" t="s">
        <x:v>37</x:v>
      </x:c>
      <x:c r="K58" s="3" t="s">
        <x:v>43</x:v>
      </x:c>
      <x:c r="L58" s="3" t="s">
        <x:v>39</x:v>
      </x:c>
      <x:c r="M58" s="3" t="s">
        <x:v>45</x:v>
      </x:c>
      <x:c r="N58" s="3" t="s">
        <x:v>46</x:v>
      </x:c>
      <x:c r="O58" s="3" t="s">
        <x:v>18</x:v>
      </x:c>
      <x:c r="P58" s="3" t="s">
        <x:v>42</x:v>
      </x:c>
      <x:c r="Q58" s="3" t="s">
        <x:v>41</x:v>
      </x:c>
      <x:c r="R58" s="3" t="s">
        <x:v>40</x:v>
      </x:c>
      <x:c r="S58" s="3" t="s">
        <x:v>44</x:v>
      </x:c>
      <x:c r="T58" s="3" t="s">
        <x:v>32</x:v>
      </x:c>
    </x:row>
    <x:row r="59" spans="1:20" ht="15.75" thickTop="1" x14ac:dyDescent="0.25">
      <x:c r="A59" s="136" t="s">
        <x:v>19</x:v>
      </x:c>
      <x:c r="B59" s="100" t="s">
        <x:v>257</x:v>
      </x:c>
      <x:c r="C59" s="137" t="s">
        <x:v>260</x:v>
      </x:c>
      <x:c r="D59" s="136" t="s">
        <x:v>263</x:v>
      </x:c>
      <x:c r="E59" s="100" t="s">
        <x:v>48</x:v>
      </x:c>
      <x:c r="F59" s="100" t="s">
        <x:v>49</x:v>
      </x:c>
      <x:c r="G59" s="138" t="s">
        <x:v>51</x:v>
      </x:c>
      <x:c r="H59" s="124" t="s">
        <x:v>52</x:v>
      </x:c>
      <x:c r="I59" s="100" t="s">
        <x:v>50</x:v>
      </x:c>
      <x:c r="J59" s="136" t="s">
        <x:v>60</x:v>
      </x:c>
      <x:c r="K59" s="143">
        <x:v>-0.218</x:v>
      </x:c>
      <x:c r="L59" s="143">
        <x:v>-191.48</x:v>
      </x:c>
      <x:c r="M59" s="136" t="s">
        <x:v>97</x:v>
      </x:c>
      <x:c r="N59" s="136" t="s">
        <x:v>121</x:v>
      </x:c>
      <x:c r="O59" s="126" t="s">
        <x:v>266</x:v>
      </x:c>
      <x:c r="P59" s="133">
        <x:v>0</x:v>
      </x:c>
      <x:c r="Q59" s="133">
        <x:v>0</x:v>
      </x:c>
      <x:c r="R59" s="143">
        <x:v>-191.48</x:v>
      </x:c>
      <x:c r="S59" s="141"/>
      <x:c r="T59" s="100" t="s">
        <x:v>261</x:v>
      </x:c>
    </x:row>
    <x:row r="60" spans="1:20" ht="15" x14ac:dyDescent="0.25">
      <x:c r="A60" s="136"/>
      <x:c r="B60" s="100"/>
      <x:c r="C60" s="137"/>
      <x:c r="D60" s="136"/>
      <x:c r="E60" s="100"/>
      <x:c r="F60" s="146"/>
      <x:c r="G60" s="138"/>
      <x:c r="H60" s="124"/>
      <x:c r="I60" s="100"/>
      <x:c r="J60" s="136"/>
      <x:c r="K60" s="139"/>
      <x:c r="L60" s="140"/>
      <x:c r="M60" s="136"/>
      <x:c r="N60" s="136"/>
      <x:c r="O60" s="126"/>
      <x:c r="P60" s="133"/>
      <x:c r="Q60" s="133"/>
      <x:c r="R60" s="143"/>
      <x:c r="S60" s="141"/>
      <x:c r="T60" s="100"/>
    </x:row>
    <x:row r="61" spans="1:20" ht="15" x14ac:dyDescent="0.25">
      <x:c r="A61" s="136"/>
      <x:c r="B61" s="100"/>
      <x:c r="C61" s="137"/>
      <x:c r="D61" s="136"/>
      <x:c r="E61" s="100"/>
      <x:c r="F61" s="146"/>
      <x:c r="G61" s="138"/>
      <x:c r="H61" s="124"/>
      <x:c r="I61" s="100"/>
      <x:c r="J61" s="136"/>
      <x:c r="K61" s="139"/>
      <x:c r="L61" s="140"/>
      <x:c r="M61" s="136"/>
      <x:c r="N61" s="136"/>
      <x:c r="O61" s="126"/>
      <x:c r="P61" s="101"/>
      <x:c r="Q61" s="101"/>
      <x:c r="R61" s="140"/>
      <x:c r="S61" s="141"/>
      <x:c r="T61" s="100"/>
    </x:row>
    <x:row r="62" spans="1:20" x14ac:dyDescent="0.2">
      <x:c r="A62" s="10"/>
      <x:c r="B62" s="10"/>
      <x:c r="C62" s="10"/>
      <x:c r="D62" s="10"/>
      <x:c r="E62" s="10"/>
      <x:c r="F62" s="10"/>
      <x:c r="G62" s="10"/>
      <x:c r="H62" s="10"/>
      <x:c r="J62" s="10"/>
      <x:c r="K62" s="12"/>
      <x:c r="L62" s="9"/>
      <x:c r="M62" s="10"/>
      <x:c r="N62" s="10"/>
      <x:c r="O62" s="10"/>
      <x:c r="P62" s="9"/>
      <x:c r="Q62" s="9"/>
      <x:c r="R62" s="9"/>
      <x:c r="T62" s="10"/>
    </x:row>
    <x:row r="63" spans="1:20" ht="13.5" thickBot="1" x14ac:dyDescent="0.25">
      <x:c r="A63" s="10"/>
      <x:c r="B63" s="10"/>
      <x:c r="C63" s="10"/>
      <x:c r="D63" s="10"/>
      <x:c r="E63" s="10"/>
      <x:c r="F63" s="10"/>
      <x:c r="G63" s="10"/>
      <x:c r="H63" s="10"/>
      <x:c r="J63" s="10"/>
      <x:c r="K63" s="127">
        <x:v>-0.218</x:v>
      </x:c>
      <x:c r="L63" s="127">
        <x:v>-191.48</x:v>
      </x:c>
      <x:c r="M63" s="10"/>
      <x:c r="N63" s="10"/>
      <x:c r="O63" s="10"/>
      <x:c r="P63" s="9"/>
      <x:c r="Q63" s="9"/>
      <x:c r="R63" s="9"/>
      <x:c r="T63" s="10"/>
    </x:row>
    <x:row r="64" spans="1:20" ht="13.5" thickTop="1" x14ac:dyDescent="0.2">
      <x:c r="A64" s="10"/>
      <x:c r="B64" s="10"/>
      <x:c r="C64" s="10"/>
      <x:c r="D64" s="10"/>
      <x:c r="E64" s="10"/>
      <x:c r="F64" s="10"/>
      <x:c r="G64" s="10"/>
      <x:c r="H64" s="10"/>
      <x:c r="J64" s="10"/>
      <x:c r="K64" s="12"/>
      <x:c r="L64" s="9"/>
      <x:c r="M64" s="10"/>
      <x:c r="N64" s="10"/>
      <x:c r="O64" s="10"/>
      <x:c r="P64" s="9"/>
      <x:c r="Q64" s="9"/>
      <x:c r="R64" s="9"/>
      <x:c r="T64" s="10"/>
    </x:row>
    <x:row r="65" spans="1:20" x14ac:dyDescent="0.2">
      <x:c r="A65" s="10"/>
      <x:c r="B65" s="10"/>
      <x:c r="C65" s="10"/>
      <x:c r="D65" s="10"/>
      <x:c r="E65" s="10"/>
      <x:c r="F65" s="10"/>
      <x:c r="G65" s="10"/>
      <x:c r="H65" s="10"/>
      <x:c r="J65" s="10"/>
      <x:c r="K65" s="12"/>
      <x:c r="L65" s="9"/>
      <x:c r="M65" s="10"/>
      <x:c r="N65" s="10"/>
      <x:c r="O65" s="10"/>
      <x:c r="P65" s="9"/>
      <x:c r="Q65" s="9"/>
      <x:c r="R65" s="9"/>
      <x:c r="T65" s="10"/>
    </x:row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685F5F3E-4EB8-4067-A66A-797DB7DF083D}">
      <x:formula1>"NEXT"</x:formula1>
    </x:dataValidation>
  </x:dataValidations>
  <x:pageMargins left="0.7" right="0.7" top="2.5" bottom="0.75" header="1.25" footer="0.3"/>
  <x:pageSetup scale="35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8A07BCE-88ED-40FA-8E9D-6B72529E214B}" mc:Ignorable="x14ac xr xr2 xr3">
  <x:sheetPr>
    <x:pageSetUpPr fitToPage="1"/>
  </x:sheetPr>
  <x:dimension ref="A1:Y59"/>
  <x:sheetViews>
    <x:sheetView tabSelected="1" topLeftCell="A2" zoomScaleNormal="100" workbookViewId="0"/>
  </x:sheetViews>
  <x:sheetFormatPr defaultColWidth="9.140625" defaultRowHeight="12.75" x14ac:dyDescent="0.2"/>
  <x:cols>
    <x:col min="1" max="1" width="4.85546875" style="8" bestFit="1" customWidth="1"/>
    <x:col min="2" max="2" width="11.85546875" style="8" customWidth="1"/>
    <x:col min="3" max="3" width="15" style="8" customWidth="1"/>
    <x:col min="4" max="4" width="16" style="8" bestFit="1" customWidth="1"/>
    <x:col min="5" max="5" width="9.28515625" style="8" bestFit="1" customWidth="1"/>
    <x:col min="6" max="6" width="9.140625" style="8"/>
    <x:col min="7" max="7" width="8.42578125" style="8" bestFit="1" customWidth="1"/>
    <x:col min="8" max="8" width="28.140625" style="8" bestFit="1" customWidth="1"/>
    <x:col min="9" max="9" width="15.42578125" style="9" customWidth="1"/>
    <x:col min="10" max="10" width="11.85546875" style="8" bestFit="1" customWidth="1"/>
    <x:col min="11" max="11" width="21.5703125" style="8" customWidth="1"/>
    <x:col min="12" max="12" width="16.28515625" style="8" customWidth="1"/>
    <x:col min="13" max="13" width="12.7109375" style="8" bestFit="1" customWidth="1"/>
    <x:col min="14" max="14" width="13.28515625" style="8" bestFit="1" customWidth="1"/>
    <x:col min="15" max="15" width="47" style="8" bestFit="1" customWidth="1"/>
    <x:col min="16" max="16" width="27.7109375" style="8" bestFit="1" customWidth="1"/>
    <x:col min="17" max="17" width="12.5703125" style="8" bestFit="1" customWidth="1"/>
    <x:col min="18" max="18" width="16.28515625" style="8" customWidth="1"/>
    <x:col min="19" max="19" width="11.5703125" style="8" bestFit="1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204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150" t="s">
        <x:v>4</x:v>
      </x:c>
      <x:c r="B3" s="151"/>
      <x:c r="C3" s="151"/>
      <x:c r="D3" s="151"/>
      <x:c r="E3" s="152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22</x:v>
      </x:c>
      <x:c r="E5" s="100" t="s">
        <x:v>205</x:v>
      </x:c>
      <x:c r="F5" s="100" t="s">
        <x:v>23</x:v>
      </x:c>
      <x:c r="G5" s="100" t="s">
        <x:v>23</x:v>
      </x:c>
      <x:c r="H5" s="100"/>
      <x:c r="I5" s="133">
        <x:v>-6990</x:v>
      </x:c>
      <x:c r="J5" s="100" t="s">
        <x:v>206</x:v>
      </x:c>
      <x:c r="K5" s="100"/>
      <x:c r="L5" s="100" t="s">
        <x:v>207</x:v>
      </x:c>
      <x:c r="M5" s="100" t="s">
        <x:v>109</x:v>
      </x:c>
      <x:c r="N5" s="100" t="s">
        <x:v>25</x:v>
      </x:c>
      <x:c r="O5" s="100" t="s">
        <x:v>96</x:v>
      </x:c>
      <x:c r="P5" s="100" t="s">
        <x:v>27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53" t="s">
        <x:v>20</x:v>
      </x:c>
      <x:c r="C6" s="153" t="s">
        <x:v>21</x:v>
      </x:c>
      <x:c r="D6" s="153" t="s">
        <x:v>131</x:v>
      </x:c>
      <x:c r="E6" s="100" t="s">
        <x:v>205</x:v>
      </x:c>
      <x:c r="F6" s="153" t="s">
        <x:v>23</x:v>
      </x:c>
      <x:c r="G6" s="153" t="s">
        <x:v>23</x:v>
      </x:c>
      <x:c r="H6" s="100"/>
      <x:c r="I6" s="133">
        <x:v>6990</x:v>
      </x:c>
      <x:c r="J6" s="153" t="s">
        <x:v>208</x:v>
      </x:c>
      <x:c r="K6" s="100"/>
      <x:c r="L6" s="153" t="s">
        <x:v>207</x:v>
      </x:c>
      <x:c r="M6" s="153" t="s">
        <x:v>109</x:v>
      </x:c>
      <x:c r="N6" s="100" t="s">
        <x:v>25</x:v>
      </x:c>
      <x:c r="O6" s="100" t="s">
        <x:v>96</x:v>
      </x:c>
      <x:c r="P6" s="100" t="s">
        <x:v>145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0" t="s">
        <x:v>19</x:v>
      </x:c>
      <x:c r="B7" s="153" t="s">
        <x:v>20</x:v>
      </x:c>
      <x:c r="C7" s="153" t="s">
        <x:v>80</x:v>
      </x:c>
      <x:c r="D7" s="153" t="s">
        <x:v>81</x:v>
      </x:c>
      <x:c r="E7" s="100" t="s">
        <x:v>205</x:v>
      </x:c>
      <x:c r="F7" s="153" t="s">
        <x:v>23</x:v>
      </x:c>
      <x:c r="G7" s="153" t="s">
        <x:v>23</x:v>
      </x:c>
      <x:c r="H7" s="100"/>
      <x:c r="I7" s="133">
        <x:v>-6990</x:v>
      </x:c>
      <x:c r="J7" s="153" t="s">
        <x:v>208</x:v>
      </x:c>
      <x:c r="K7" s="100"/>
      <x:c r="L7" s="153" t="s">
        <x:v>207</x:v>
      </x:c>
      <x:c r="M7" s="153" t="s">
        <x:v>109</x:v>
      </x:c>
      <x:c r="N7" s="100" t="s">
        <x:v>25</x:v>
      </x:c>
      <x:c r="O7" s="100" t="s">
        <x:v>96</x:v>
      </x:c>
      <x:c r="P7" s="100" t="s">
        <x:v>147</x:v>
      </x:c>
      <x:c r="R7" s="103"/>
      <x:c r="X7" s="17"/>
      <x:c r="Y7" s="17"/>
    </x:row>
    <x:row r="8" spans="1:25" x14ac:dyDescent="0.2">
      <x:c r="X8" s="17"/>
      <x:c r="Y8" s="17"/>
    </x:row>
    <x:row r="9" spans="1:25" x14ac:dyDescent="0.2">
      <x:c r="A9" s="105" t="s">
        <x:v>28</x:v>
      </x:c>
      <x:c r="X9" s="17"/>
      <x:c r="Y9" s="17"/>
    </x:row>
    <x:row r="10" spans="1:25" ht="13.5" thickBot="1" x14ac:dyDescent="0.25">
      <x:c r="A10" s="105"/>
      <x:c r="R10" s="103"/>
      <x:c r="X10" s="17"/>
      <x:c r="Y10" s="17"/>
    </x:row>
    <x:row r="11" spans="1:25" ht="16.5" thickTop="1" thickBot="1" x14ac:dyDescent="0.35">
      <x:c r="A11" s="150" t="s">
        <x:v>29</x:v>
      </x:c>
      <x:c r="B11" s="151"/>
      <x:c r="C11" s="151"/>
      <x:c r="D11" s="152"/>
      <x:c r="W11" s="5" t="s">
        <x:v>30</x:v>
      </x:c>
      <x:c r="X11" s="17"/>
      <x:c r="Y11" s="17"/>
    </x:row>
    <x:row r="12" spans="1:25" ht="16.5" thickTop="1" thickBot="1" x14ac:dyDescent="0.35">
      <x:c r="A12" s="3" t="s">
        <x:v>0</x:v>
      </x:c>
      <x:c r="B12" s="3" t="s">
        <x:v>31</x:v>
      </x:c>
      <x:c r="C12" s="3" t="s">
        <x:v>32</x:v>
      </x:c>
      <x:c r="D12" s="3" t="s">
        <x:v>18</x:v>
      </x:c>
      <x:c r="E12" s="3" t="s">
        <x:v>6</x:v>
      </x:c>
      <x:c r="F12" s="3" t="s">
        <x:v>33</x:v>
      </x:c>
      <x:c r="G12" s="3" t="s">
        <x:v>34</x:v>
      </x:c>
      <x:c r="H12" s="3" t="s">
        <x:v>35</x:v>
      </x:c>
      <x:c r="I12" s="4" t="s">
        <x:v>36</x:v>
      </x:c>
      <x:c r="J12" s="3" t="s">
        <x:v>18</x:v>
      </x:c>
      <x:c r="K12" s="3" t="s">
        <x:v>37</x:v>
      </x:c>
      <x:c r="L12" s="3" t="s">
        <x:v>8</x:v>
      </x:c>
      <x:c r="M12" s="3" t="s">
        <x:v>38</x:v>
      </x:c>
      <x:c r="N12" s="3" t="s">
        <x:v>39</x:v>
      </x:c>
      <x:c r="O12" s="3" t="s">
        <x:v>40</x:v>
      </x:c>
      <x:c r="P12" s="3" t="s">
        <x:v>41</x:v>
      </x:c>
      <x:c r="Q12" s="3" t="s">
        <x:v>42</x:v>
      </x:c>
      <x:c r="R12" s="3" t="s">
        <x:v>43</x:v>
      </x:c>
      <x:c r="S12" s="3" t="s">
        <x:v>44</x:v>
      </x:c>
      <x:c r="T12" s="3" t="s">
        <x:v>45</x:v>
      </x:c>
      <x:c r="U12" s="3" t="s">
        <x:v>46</x:v>
      </x:c>
      <x:c r="V12" s="3" t="s">
        <x:v>18</x:v>
      </x:c>
      <x:c r="W12" s="3" t="s">
        <x:v>47</x:v>
      </x:c>
      <x:c r="X12" s="17"/>
      <x:c r="Y12" s="17"/>
    </x:row>
    <x:row r="13" spans="1:25" ht="13.5" thickTop="1" x14ac:dyDescent="0.2">
      <x:c r="A13" s="100" t="s">
        <x:v>19</x:v>
      </x:c>
      <x:c r="B13" s="100" t="s">
        <x:v>209</x:v>
      </x:c>
      <x:c r="C13" s="100" t="s">
        <x:v>210</x:v>
      </x:c>
      <x:c r="D13" s="106" t="s">
        <x:v>211</x:v>
      </x:c>
      <x:c r="E13" s="100" t="s">
        <x:v>48</x:v>
      </x:c>
      <x:c r="F13" s="100" t="s">
        <x:v>2</x:v>
      </x:c>
      <x:c r="G13" s="100" t="s">
        <x:v>49</x:v>
      </x:c>
      <x:c r="H13" s="100" t="s">
        <x:v>50</x:v>
      </x:c>
      <x:c r="I13" s="101" t="s">
        <x:v>51</x:v>
      </x:c>
      <x:c r="J13" s="100" t="s">
        <x:v>52</x:v>
      </x:c>
      <x:c r="K13" s="100" t="s">
        <x:v>53</x:v>
      </x:c>
      <x:c r="L13" s="100" t="s">
        <x:v>94</x:v>
      </x:c>
      <x:c r="M13" s="100" t="s">
        <x:v>212</x:v>
      </x:c>
      <x:c r="N13" s="101">
        <x:v>18.46</x:v>
      </x:c>
      <x:c r="O13" s="101">
        <x:v>18.46</x:v>
      </x:c>
      <x:c r="P13" s="101">
        <x:v>0</x:v>
      </x:c>
      <x:c r="Q13" s="101">
        <x:v>0</x:v>
      </x:c>
      <x:c r="R13" s="107">
        <x:v>0.22</x:v>
      </x:c>
      <x:c r="S13" s="108">
        <x:v>17533</x:v>
      </x:c>
      <x:c r="T13" s="100"/>
      <x:c r="U13" s="100" t="s">
        <x:v>118</x:v>
      </x:c>
      <x:c r="V13" s="106" t="s">
        <x:v>99</x:v>
      </x:c>
      <x:c r="W13" s="100" t="s">
        <x:v>213</x:v>
      </x:c>
      <x:c r="X13" s="17"/>
      <x:c r="Y13" s="17"/>
    </x:row>
    <x:row r="14" spans="1:25" x14ac:dyDescent="0.2">
      <x:c r="A14" s="100"/>
      <x:c r="B14" s="100"/>
      <x:c r="C14" s="100"/>
      <x:c r="D14" s="106"/>
      <x:c r="E14" s="100"/>
      <x:c r="F14" s="100"/>
      <x:c r="G14" s="100"/>
      <x:c r="H14" s="100"/>
      <x:c r="I14" s="101"/>
      <x:c r="J14" s="100"/>
      <x:c r="K14" s="100"/>
      <x:c r="L14" s="100"/>
      <x:c r="M14" s="100"/>
      <x:c r="N14" s="101"/>
      <x:c r="O14" s="101"/>
      <x:c r="P14" s="101"/>
      <x:c r="Q14" s="101"/>
      <x:c r="R14" s="107"/>
      <x:c r="S14" s="108"/>
      <x:c r="T14" s="100"/>
      <x:c r="U14" s="100"/>
      <x:c r="V14" s="106"/>
      <x:c r="W14" s="100"/>
      <x:c r="X14" s="17"/>
      <x:c r="Y14" s="17"/>
    </x:row>
    <x:row r="15" spans="1:25" x14ac:dyDescent="0.2">
      <x:c r="A15" s="100"/>
      <x:c r="B15" s="100"/>
      <x:c r="C15" s="100"/>
      <x:c r="D15" s="106"/>
      <x:c r="E15" s="100"/>
      <x:c r="F15" s="100"/>
      <x:c r="G15" s="100"/>
      <x:c r="H15" s="100"/>
      <x:c r="I15" s="101"/>
      <x:c r="J15" s="100"/>
      <x:c r="K15" s="100"/>
      <x:c r="L15" s="100"/>
      <x:c r="M15" s="100"/>
      <x:c r="N15" s="101"/>
      <x:c r="O15" s="101"/>
      <x:c r="P15" s="101"/>
      <x:c r="Q15" s="101"/>
      <x:c r="R15" s="101"/>
      <x:c r="S15" s="108"/>
      <x:c r="T15" s="100"/>
      <x:c r="U15" s="100"/>
      <x:c r="V15" s="106"/>
      <x:c r="W15" s="100"/>
      <x:c r="X15" s="17"/>
      <x:c r="Y15" s="17"/>
    </x:row>
    <x:row r="16" spans="1:25" x14ac:dyDescent="0.2">
      <x:c r="O16" s="9">
        <x:v>18.46</x:v>
      </x:c>
      <x:c r="Q16" s="9"/>
      <x:c r="R16" s="109">
        <x:v>0.22</x:v>
      </x:c>
      <x:c r="X16" s="17"/>
      <x:c r="Y16" s="17"/>
    </x:row>
    <x:row r="17" spans="1:25" x14ac:dyDescent="0.2">
      <x:c r="R17" s="12"/>
      <x:c r="X17" s="17"/>
      <x:c r="Y17" s="17"/>
    </x:row>
    <x:row r="18" spans="1:25" x14ac:dyDescent="0.2">
      <x:c r="O18" s="9">
        <x:v>83.909090909090907</x:v>
      </x:c>
      <x:c r="P18" s="110" t="s">
        <x:v>64</x:v>
      </x:c>
      <x:c r="X18" s="17"/>
      <x:c r="Y18" s="17"/>
    </x:row>
    <x:row r="19" spans="1:25" x14ac:dyDescent="0.2">
      <x:c r="H19" s="5"/>
      <x:c r="I19" s="5"/>
      <x:c r="J19" s="5"/>
      <x:c r="O19" s="18">
        <x:v>0.9</x:v>
      </x:c>
      <x:c r="P19" s="110" t="s">
        <x:v>65</x:v>
      </x:c>
      <x:c r="Q19" s="24">
        <x:v>1.0699999999999999E-2</x:v>
      </x:c>
      <x:c r="R19" s="32" t="s">
        <x:v>66</x:v>
      </x:c>
      <x:c r="X19" s="17"/>
      <x:c r="Y19" s="17"/>
    </x:row>
    <x:row r="20" spans="1:25" x14ac:dyDescent="0.2">
      <x:c r="X20" s="17"/>
      <x:c r="Y20" s="17"/>
    </x:row>
    <x:row r="21" spans="1:25" x14ac:dyDescent="0.2">
      <x:c r="A21" s="105" t="s">
        <x:v>67</x:v>
      </x:c>
      <x:c r="O21" s="111"/>
      <x:c r="P21" s="9"/>
      <x:c r="X21" s="17"/>
      <x:c r="Y21" s="17"/>
    </x:row>
    <x:row r="22" spans="1:25" ht="15.75" thickBot="1" x14ac:dyDescent="0.35">
      <x:c r="O22" s="6"/>
      <x:c r="P22" s="9"/>
      <x:c r="T22" s="6"/>
      <x:c r="X22" s="17"/>
      <x:c r="Y22" s="17"/>
    </x:row>
    <x:row r="23" spans="1:25" x14ac:dyDescent="0.2">
      <x:c r="B23" s="13"/>
      <x:c r="C23" s="14"/>
      <x:c r="D23" s="14"/>
      <x:c r="E23" s="14"/>
      <x:c r="F23" s="14"/>
      <x:c r="G23" s="15"/>
      <x:c r="P23" s="9"/>
      <x:c r="X23" s="17"/>
      <x:c r="Y23" s="17"/>
    </x:row>
    <x:row r="24" spans="1:25" x14ac:dyDescent="0.2">
      <x:c r="B24" s="16"/>
      <x:c r="C24" s="130">
        <x:v>-6990</x:v>
      </x:c>
      <x:c r="E24" s="105" t="s">
        <x:v>69</x:v>
      </x:c>
      <x:c r="F24" s="105"/>
      <x:c r="G24" s="33"/>
      <x:c r="P24" s="9"/>
      <x:c r="X24" s="17"/>
      <x:c r="Y24" s="17"/>
    </x:row>
    <x:row r="25" spans="1:25" x14ac:dyDescent="0.2">
      <x:c r="B25" s="16"/>
      <x:c r="C25" s="131">
        <x:v>0</x:v>
      </x:c>
      <x:c r="E25" s="154" t="s">
        <x:v>70</x:v>
      </x:c>
      <x:c r="F25" s="154"/>
      <x:c r="G25" s="33"/>
      <x:c r="P25" s="9"/>
      <x:c r="X25" s="17"/>
      <x:c r="Y25" s="17"/>
    </x:row>
    <x:row r="26" spans="1:25" ht="15" x14ac:dyDescent="0.3">
      <x:c r="B26" s="16"/>
      <x:c r="C26" s="130">
        <x:v>-6990</x:v>
      </x:c>
      <x:c r="E26" s="105" t="s">
        <x:v>71</x:v>
      </x:c>
      <x:c r="F26" s="105"/>
      <x:c r="G26" s="33"/>
      <x:c r="O26" s="7"/>
      <x:c r="P26" s="9"/>
      <x:c r="X26" s="17"/>
      <x:c r="Y26" s="17"/>
    </x:row>
    <x:row r="27" spans="1:25" ht="15" x14ac:dyDescent="0.3">
      <x:c r="B27" s="16"/>
      <x:c r="C27" s="130">
        <x:v>0.9</x:v>
      </x:c>
      <x:c r="E27" s="154" t="s">
        <x:v>72</x:v>
      </x:c>
      <x:c r="F27" s="154"/>
      <x:c r="G27" s="33"/>
      <x:c r="H27" s="111"/>
      <x:c r="O27" s="7"/>
      <x:c r="P27" s="9"/>
      <x:c r="X27" s="17"/>
      <x:c r="Y27" s="17"/>
    </x:row>
    <x:row r="28" spans="1:25" ht="13.5" thickBot="1" x14ac:dyDescent="0.25">
      <x:c r="B28" s="16"/>
      <x:c r="C28" s="132">
        <x:v>-6989.1</x:v>
      </x:c>
      <x:c r="E28" s="105" t="s">
        <x:v>73</x:v>
      </x:c>
      <x:c r="F28" s="105"/>
      <x:c r="G28" s="155"/>
      <x:c r="H28" s="111"/>
      <x:c r="P28" s="9"/>
      <x:c r="X28" s="17"/>
      <x:c r="Y28" s="17"/>
    </x:row>
    <x:row r="29" spans="1:25" ht="16.5" thickTop="1" thickBot="1" x14ac:dyDescent="0.35">
      <x:c r="B29" s="19"/>
      <x:c r="C29" s="20"/>
      <x:c r="D29" s="20"/>
      <x:c r="E29" s="20"/>
      <x:c r="F29" s="20"/>
      <x:c r="G29" s="21"/>
      <x:c r="P29" s="9"/>
      <x:c r="Q29" s="6"/>
      <x:c r="X29" s="17"/>
      <x:c r="Y29" s="17"/>
    </x:row>
    <x:row r="30" spans="1:25" ht="15" x14ac:dyDescent="0.3">
      <x:c r="P30" s="9"/>
      <x:c r="Q30" s="6"/>
      <x:c r="X30" s="17"/>
      <x:c r="Y30" s="17"/>
    </x:row>
    <x:row r="31" spans="1:25" ht="15" x14ac:dyDescent="0.3">
      <x:c r="B31" s="119"/>
      <x:c r="C31" s="119"/>
      <x:c r="D31" s="120"/>
      <x:c r="P31" s="9"/>
      <x:c r="Q31" s="6"/>
      <x:c r="X31" s="17"/>
      <x:c r="Y31" s="17"/>
    </x:row>
    <x:row r="32" spans="1:25" x14ac:dyDescent="0.2">
      <x:c r="A32" s="105" t="s">
        <x:v>74</x:v>
      </x:c>
      <x:c r="B32" s="121"/>
      <x:c r="C32" s="121"/>
      <x:c r="D32" s="121"/>
      <x:c r="E32" s="121"/>
      <x:c r="F32" s="121"/>
      <x:c r="G32" s="121"/>
      <x:c r="H32" s="121"/>
      <x:c r="I32" s="113"/>
      <x:c r="J32" s="121"/>
      <x:c r="K32" s="121"/>
      <x:c r="X32" s="17"/>
      <x:c r="Y32" s="17"/>
    </x:row>
    <x:row r="33" spans="1:25" x14ac:dyDescent="0.2">
      <x:c r="A33" s="105"/>
      <x:c r="B33" s="121"/>
      <x:c r="C33" s="121"/>
      <x:c r="D33" s="121"/>
      <x:c r="E33" s="121"/>
      <x:c r="F33" s="121"/>
      <x:c r="G33" s="121"/>
      <x:c r="H33" s="121"/>
      <x:c r="I33" s="113"/>
      <x:c r="J33" s="121"/>
      <x:c r="K33" s="121"/>
      <x:c r="X33" s="17"/>
      <x:c r="Y33" s="17"/>
    </x:row>
    <x:row r="34" spans="1:25" ht="15" x14ac:dyDescent="0.3">
      <x:c r="A34" s="105" t="s">
        <x:v>75</x:v>
      </x:c>
      <x:c r="B34" s="121"/>
      <x:c r="C34" s="121"/>
      <x:c r="D34" s="121"/>
      <x:c r="E34" s="121"/>
      <x:c r="F34" s="121"/>
      <x:c r="G34" s="121"/>
      <x:c r="H34" s="121"/>
      <x:c r="I34" s="113"/>
      <x:c r="J34" s="121"/>
      <x:c r="K34" s="121"/>
      <x:c r="P34" s="9"/>
      <x:c r="Q34" s="6"/>
      <x:c r="X34" s="17"/>
      <x:c r="Y34" s="17"/>
    </x:row>
    <x:row r="35" spans="1:25" x14ac:dyDescent="0.2">
      <x:c r="A35" s="121"/>
      <x:c r="B35" s="121"/>
      <x:c r="C35" s="121"/>
      <x:c r="D35" s="121"/>
      <x:c r="E35" s="121"/>
      <x:c r="F35" s="121"/>
      <x:c r="G35" s="121"/>
      <x:c r="H35" s="121"/>
      <x:c r="I35" s="113"/>
      <x:c r="J35" s="121"/>
      <x:c r="K35" s="121"/>
      <x:c r="X35" s="17"/>
      <x:c r="Y35" s="17"/>
    </x:row>
    <x:row r="36" spans="1:25" x14ac:dyDescent="0.2">
      <x:c r="A36" s="22" t="s">
        <x:v>76</x:v>
      </x:c>
      <x:c r="B36" s="22" t="s">
        <x:v>77</x:v>
      </x:c>
      <x:c r="C36" s="22" t="s">
        <x:v>6</x:v>
      </x:c>
      <x:c r="D36" s="22" t="s">
        <x:v>7</x:v>
      </x:c>
      <x:c r="E36" s="22" t="s">
        <x:v>8</x:v>
      </x:c>
      <x:c r="F36" s="22" t="s">
        <x:v>9</x:v>
      </x:c>
      <x:c r="G36" s="22" t="s">
        <x:v>10</x:v>
      </x:c>
      <x:c r="H36" s="22" t="s">
        <x:v>11</x:v>
      </x:c>
      <x:c r="I36" s="27" t="s">
        <x:v>78</x:v>
      </x:c>
      <x:c r="J36" s="22" t="s">
        <x:v>45</x:v>
      </x:c>
      <x:c r="K36" s="157" t="s">
        <x:v>79</x:v>
      </x:c>
      <x:c r="L36" s="158"/>
      <x:c r="M36" s="34"/>
      <x:c r="X36" s="17"/>
      <x:c r="Y36" s="17"/>
    </x:row>
    <x:row r="37" spans="1:25" x14ac:dyDescent="0.2">
      <x:c r="A37" s="23" t="s">
        <x:v>19</x:v>
      </x:c>
      <x:c r="B37" s="23" t="s">
        <x:v>20</x:v>
      </x:c>
      <x:c r="C37" s="23" t="s">
        <x:v>80</x:v>
      </x:c>
      <x:c r="D37" s="23" t="s">
        <x:v>81</x:v>
      </x:c>
      <x:c r="E37" s="23" t="s">
        <x:v>205</x:v>
      </x:c>
      <x:c r="F37" s="23" t="s">
        <x:v>23</x:v>
      </x:c>
      <x:c r="G37" s="23" t="s">
        <x:v>23</x:v>
      </x:c>
      <x:c r="H37" s="23" t="s">
        <x:v>24</x:v>
      </x:c>
      <x:c r="I37" s="129">
        <x:v>6989.1</x:v>
      </x:c>
      <x:c r="J37" s="23" t="s">
        <x:v>127</x:v>
      </x:c>
      <x:c r="K37" s="149" t="s">
        <x:v>214</x:v>
      </x:c>
      <x:c r="L37" s="149"/>
      <x:c r="M37" s="156"/>
      <x:c r="X37" s="17"/>
      <x:c r="Y37" s="17"/>
    </x:row>
    <x:row r="38" spans="1:25" x14ac:dyDescent="0.2">
      <x:c r="A38" s="23" t="s">
        <x:v>19</x:v>
      </x:c>
      <x:c r="B38" s="28" t="s">
        <x:v>20</x:v>
      </x:c>
      <x:c r="C38" s="23" t="s">
        <x:v>82</x:v>
      </x:c>
      <x:c r="D38" s="23" t="s">
        <x:v>83</x:v>
      </x:c>
      <x:c r="E38" s="23" t="s">
        <x:v>205</x:v>
      </x:c>
      <x:c r="F38" s="23" t="s">
        <x:v>23</x:v>
      </x:c>
      <x:c r="G38" s="23" t="s">
        <x:v>23</x:v>
      </x:c>
      <x:c r="H38" s="23" t="s">
        <x:v>24</x:v>
      </x:c>
      <x:c r="I38" s="129">
        <x:v>-6989.1</x:v>
      </x:c>
      <x:c r="J38" s="23" t="s">
        <x:v>127</x:v>
      </x:c>
      <x:c r="K38" s="149" t="s">
        <x:v>214</x:v>
      </x:c>
      <x:c r="L38" s="149"/>
      <x:c r="M38" s="156"/>
      <x:c r="X38" s="17"/>
      <x:c r="Y38" s="17"/>
    </x:row>
    <x:row r="39" spans="1:25" x14ac:dyDescent="0.2">
      <x:c r="A39" s="91"/>
      <x:c r="B39" s="91"/>
      <x:c r="C39" s="91"/>
      <x:c r="D39" s="91"/>
      <x:c r="E39" s="91"/>
      <x:c r="F39" s="91"/>
      <x:c r="G39" s="91"/>
      <x:c r="H39" s="91"/>
      <x:c r="I39" s="92"/>
      <x:c r="J39" s="91"/>
      <x:c r="K39" s="93"/>
      <x:c r="X39" s="17"/>
      <x:c r="Y39" s="17"/>
    </x:row>
    <x:row r="49" spans="1:20" x14ac:dyDescent="0.2">
      <x:c r="A49" s="105" t="s">
        <x:v>86</x:v>
      </x:c>
    </x:row>
    <x:row r="51" spans="1:20" ht="13.5" thickBot="1" x14ac:dyDescent="0.25"/>
    <x:row r="52" spans="1:20" ht="16.5" thickTop="1" thickBot="1" x14ac:dyDescent="0.35">
      <x:c r="A52" s="3" t="s">
        <x:v>132</x:v>
      </x:c>
      <x:c r="B52" s="3"/>
      <x:c r="C52" s="3"/>
    </x:row>
    <x:row r="53" spans="1:20" ht="16.5" thickTop="1" thickBot="1" x14ac:dyDescent="0.35">
      <x:c r="A53" s="3" t="s">
        <x:v>0</x:v>
      </x:c>
      <x:c r="B53" s="3" t="s">
        <x:v>8</x:v>
      </x:c>
      <x:c r="C53" s="3" t="s">
        <x:v>31</x:v>
      </x:c>
      <x:c r="D53" s="3" t="s">
        <x:v>38</x:v>
      </x:c>
      <x:c r="E53" s="3" t="s">
        <x:v>6</x:v>
      </x:c>
      <x:c r="F53" s="3" t="s">
        <x:v>34</x:v>
      </x:c>
      <x:c r="G53" s="3" t="s">
        <x:v>36</x:v>
      </x:c>
      <x:c r="H53" s="3" t="s">
        <x:v>18</x:v>
      </x:c>
      <x:c r="I53" s="4" t="s">
        <x:v>35</x:v>
      </x:c>
      <x:c r="J53" s="3" t="s">
        <x:v>37</x:v>
      </x:c>
      <x:c r="K53" s="3" t="s">
        <x:v>43</x:v>
      </x:c>
      <x:c r="L53" s="3" t="s">
        <x:v>39</x:v>
      </x:c>
      <x:c r="M53" s="3" t="s">
        <x:v>45</x:v>
      </x:c>
      <x:c r="N53" s="3" t="s">
        <x:v>46</x:v>
      </x:c>
      <x:c r="O53" s="3" t="s">
        <x:v>18</x:v>
      </x:c>
      <x:c r="P53" s="3" t="s">
        <x:v>42</x:v>
      </x:c>
      <x:c r="Q53" s="3" t="s">
        <x:v>41</x:v>
      </x:c>
      <x:c r="R53" s="3" t="s">
        <x:v>40</x:v>
      </x:c>
      <x:c r="S53" s="3" t="s">
        <x:v>44</x:v>
      </x:c>
      <x:c r="T53" s="3" t="s">
        <x:v>32</x:v>
      </x:c>
    </x:row>
    <x:row r="54" spans="1:20" ht="15.75" thickTop="1" x14ac:dyDescent="0.25">
      <x:c r="A54" s="136" t="s">
        <x:v>19</x:v>
      </x:c>
      <x:c r="B54" s="100" t="s">
        <x:v>205</x:v>
      </x:c>
      <x:c r="C54" s="137" t="s">
        <x:v>209</x:v>
      </x:c>
      <x:c r="D54" s="136" t="s">
        <x:v>212</x:v>
      </x:c>
      <x:c r="E54" s="100" t="s">
        <x:v>48</x:v>
      </x:c>
      <x:c r="F54" s="100" t="s">
        <x:v>49</x:v>
      </x:c>
      <x:c r="G54" s="138" t="s">
        <x:v>51</x:v>
      </x:c>
      <x:c r="H54" s="124" t="s">
        <x:v>52</x:v>
      </x:c>
      <x:c r="I54" s="100" t="s">
        <x:v>50</x:v>
      </x:c>
      <x:c r="J54" s="136" t="s">
        <x:v>60</x:v>
      </x:c>
      <x:c r="K54" s="143">
        <x:v>-1.0699999999999999E-2</x:v>
      </x:c>
      <x:c r="L54" s="143">
        <x:v>-9.0299999999999994</x:v>
      </x:c>
      <x:c r="M54" s="136" t="s">
        <x:v>215</x:v>
      </x:c>
      <x:c r="N54" s="136" t="s">
        <x:v>121</x:v>
      </x:c>
      <x:c r="O54" s="126" t="s">
        <x:v>204</x:v>
      </x:c>
      <x:c r="P54" s="101">
        <x:v>0</x:v>
      </x:c>
      <x:c r="Q54" s="101">
        <x:v>0</x:v>
      </x:c>
      <x:c r="R54" s="143">
        <x:v>-9.0299999999999994</x:v>
      </x:c>
      <x:c r="S54" s="108">
        <x:v>45657</x:v>
      </x:c>
      <x:c r="T54" s="100" t="s">
        <x:v>210</x:v>
      </x:c>
    </x:row>
    <x:row r="55" spans="1:20" ht="15" x14ac:dyDescent="0.25">
      <x:c r="A55" s="136" t="s">
        <x:v>19</x:v>
      </x:c>
      <x:c r="B55" s="100" t="s">
        <x:v>205</x:v>
      </x:c>
      <x:c r="C55" s="137" t="s">
        <x:v>209</x:v>
      </x:c>
      <x:c r="D55" s="137" t="s">
        <x:v>212</x:v>
      </x:c>
      <x:c r="E55" s="153" t="s">
        <x:v>48</x:v>
      </x:c>
      <x:c r="F55" s="153" t="s">
        <x:v>49</x:v>
      </x:c>
      <x:c r="G55" s="138" t="s">
        <x:v>51</x:v>
      </x:c>
      <x:c r="H55" s="124" t="s">
        <x:v>52</x:v>
      </x:c>
      <x:c r="I55" s="153" t="s">
        <x:v>50</x:v>
      </x:c>
      <x:c r="J55" s="136" t="s">
        <x:v>61</x:v>
      </x:c>
      <x:c r="K55" s="143">
        <x:v>0</x:v>
      </x:c>
      <x:c r="L55" s="143">
        <x:v>8.1300000000000008</x:v>
      </x:c>
      <x:c r="M55" s="136" t="s">
        <x:v>216</x:v>
      </x:c>
      <x:c r="N55" s="136" t="s">
        <x:v>121</x:v>
      </x:c>
      <x:c r="O55" s="126" t="s">
        <x:v>217</x:v>
      </x:c>
      <x:c r="P55" s="101">
        <x:v>0</x:v>
      </x:c>
      <x:c r="Q55" s="101">
        <x:v>0</x:v>
      </x:c>
      <x:c r="R55" s="143">
        <x:v>8.1300000000000008</x:v>
      </x:c>
      <x:c r="S55" s="108">
        <x:v>45657</x:v>
      </x:c>
      <x:c r="T55" s="153" t="s">
        <x:v>210</x:v>
      </x:c>
    </x:row>
    <x:row r="56" spans="1:20" ht="15" x14ac:dyDescent="0.25">
      <x:c r="A56" s="136"/>
      <x:c r="B56" s="100"/>
      <x:c r="C56" s="137"/>
      <x:c r="D56" s="136"/>
      <x:c r="E56" s="100"/>
      <x:c r="F56" s="146"/>
      <x:c r="G56" s="138"/>
      <x:c r="H56" s="124"/>
      <x:c r="I56" s="100"/>
      <x:c r="J56" s="136"/>
      <x:c r="K56" s="139"/>
      <x:c r="L56" s="140"/>
      <x:c r="M56" s="136"/>
      <x:c r="N56" s="136"/>
      <x:c r="O56" s="126"/>
      <x:c r="P56" s="101"/>
      <x:c r="Q56" s="101"/>
      <x:c r="R56" s="140"/>
      <x:c r="S56" s="141"/>
      <x:c r="T56" s="100"/>
    </x:row>
    <x:row r="57" spans="1:20" x14ac:dyDescent="0.2">
      <x:c r="A57" s="10"/>
      <x:c r="B57" s="10"/>
      <x:c r="C57" s="10"/>
      <x:c r="D57" s="10"/>
      <x:c r="E57" s="10"/>
      <x:c r="F57" s="10"/>
      <x:c r="G57" s="10"/>
      <x:c r="H57" s="10"/>
      <x:c r="J57" s="10"/>
      <x:c r="K57" s="12"/>
      <x:c r="L57" s="9"/>
      <x:c r="M57" s="10"/>
      <x:c r="N57" s="10"/>
      <x:c r="O57" s="10"/>
      <x:c r="P57" s="9"/>
      <x:c r="Q57" s="9"/>
      <x:c r="R57" s="9"/>
      <x:c r="T57" s="10"/>
    </x:row>
    <x:row r="58" spans="1:20" ht="13.5" thickBot="1" x14ac:dyDescent="0.25">
      <x:c r="A58" s="10"/>
      <x:c r="B58" s="10"/>
      <x:c r="C58" s="10"/>
      <x:c r="D58" s="10"/>
      <x:c r="E58" s="10"/>
      <x:c r="F58" s="10"/>
      <x:c r="G58" s="10"/>
      <x:c r="H58" s="10"/>
      <x:c r="J58" s="10"/>
      <x:c r="K58" s="127">
        <x:v>-1.0699999999999999E-2</x:v>
      </x:c>
      <x:c r="L58" s="127">
        <x:v>-0.89999999999999858</x:v>
      </x:c>
      <x:c r="M58" s="10"/>
      <x:c r="N58" s="10"/>
      <x:c r="O58" s="10"/>
      <x:c r="P58" s="9"/>
      <x:c r="Q58" s="9"/>
      <x:c r="R58" s="9"/>
      <x:c r="T58" s="10"/>
    </x:row>
    <x:row r="59" spans="1:20" ht="13.5" thickTop="1" x14ac:dyDescent="0.2"/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C654F068-CCC8-4494-A1F1-2DBC9C0346A7}">
      <x:formula1>"NEXT"</x:formula1>
    </x:dataValidation>
  </x:dataValidations>
  <x:pageMargins left="0.7" right="0.7" top="2.5" bottom="0.75" header="1.25" footer="0.3"/>
  <x:pageSetup scale="32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8DD91B-FCB0-4093-B376-D359CB9AD44B}" mc:Ignorable="x14ac xr xr2 xr3">
  <x:sheetPr>
    <x:pageSetUpPr fitToPage="1"/>
  </x:sheetPr>
  <x:dimension ref="A1:Y70"/>
  <x:sheetViews>
    <x:sheetView tabSelected="1" topLeftCell="B2" zoomScaleNormal="100" workbookViewId="0"/>
  </x:sheetViews>
  <x:sheetFormatPr defaultColWidth="9.140625" defaultRowHeight="12.75" x14ac:dyDescent="0.2"/>
  <x:cols>
    <x:col min="1" max="1" width="4.85546875" style="8" bestFit="1" customWidth="1"/>
    <x:col min="2" max="2" width="11.85546875" style="8" customWidth="1"/>
    <x:col min="3" max="3" width="14.7109375" style="8" bestFit="1" customWidth="1"/>
    <x:col min="4" max="4" width="16" style="8" bestFit="1" customWidth="1"/>
    <x:col min="5" max="5" width="9.28515625" style="8" bestFit="1" customWidth="1"/>
    <x:col min="6" max="6" width="9.140625" style="8"/>
    <x:col min="7" max="7" width="8.42578125" style="8" bestFit="1" customWidth="1"/>
    <x:col min="8" max="8" width="41.28515625" style="8" bestFit="1" customWidth="1"/>
    <x:col min="9" max="9" width="14.42578125" style="9" bestFit="1" customWidth="1"/>
    <x:col min="10" max="10" width="11.85546875" style="8" bestFit="1" customWidth="1"/>
    <x:col min="11" max="11" width="15" style="8" customWidth="1"/>
    <x:col min="12" max="12" width="14.85546875" style="8" bestFit="1" customWidth="1"/>
    <x:col min="13" max="13" width="10.7109375" style="8" bestFit="1" customWidth="1"/>
    <x:col min="14" max="14" width="13.28515625" style="8" bestFit="1" customWidth="1"/>
    <x:col min="15" max="15" width="43.28515625" style="8" bestFit="1" customWidth="1"/>
    <x:col min="16" max="16" width="27.7109375" style="8" bestFit="1" customWidth="1"/>
    <x:col min="17" max="18" width="12.5703125" style="8" bestFit="1" customWidth="1"/>
    <x:col min="19" max="19" width="11.5703125" style="8" bestFit="1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218</x:v>
      </x:c>
      <x:c r="X1" s="17"/>
      <x:c r="Y1" s="17"/>
    </x:row>
    <x:row r="2" spans="1:25" x14ac:dyDescent="0.2">
      <x:c r="A2" s="5" t="s">
        <x:v>219</x:v>
      </x:c>
      <x:c r="B2" s="5"/>
      <x:c r="C2" s="5"/>
      <x:c r="D2" s="5"/>
      <x:c r="E2" s="5"/>
      <x:c r="F2" s="5"/>
      <x:c r="X2" s="17"/>
      <x:c r="Y2" s="17"/>
    </x:row>
    <x:row r="3" spans="1:25" ht="13.5" thickBot="1" x14ac:dyDescent="0.25">
      <x:c r="A3" s="5"/>
      <x:c r="X3" s="17"/>
      <x:c r="Y3" s="17"/>
    </x:row>
    <x:row r="4" spans="1:25" ht="16.5" thickTop="1" thickBot="1" x14ac:dyDescent="0.35">
      <x:c r="A4" s="150" t="s">
        <x:v>4</x:v>
      </x:c>
      <x:c r="B4" s="151"/>
      <x:c r="C4" s="151"/>
      <x:c r="D4" s="151"/>
      <x:c r="E4" s="152"/>
      <x:c r="R4" s="97"/>
      <x:c r="X4" s="17"/>
      <x:c r="Y4" s="17"/>
    </x:row>
    <x:row r="5" spans="1:25" ht="16.5" thickTop="1" thickBot="1" x14ac:dyDescent="0.35">
      <x:c r="A5" s="3" t="s">
        <x:v>0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  <x:c r="F5" s="3" t="s">
        <x:v>9</x:v>
      </x:c>
      <x:c r="G5" s="3" t="s">
        <x:v>10</x:v>
      </x:c>
      <x:c r="H5" s="3" t="s">
        <x:v>11</x:v>
      </x:c>
      <x:c r="I5" s="4" t="s">
        <x:v>12</x:v>
      </x:c>
      <x:c r="J5" s="3" t="s">
        <x:v>13</x:v>
      </x:c>
      <x:c r="K5" s="3" t="s">
        <x:v>14</x:v>
      </x:c>
      <x:c r="L5" s="3" t="s">
        <x:v>15</x:v>
      </x:c>
      <x:c r="M5" s="3" t="s">
        <x:v>1</x:v>
      </x:c>
      <x:c r="N5" s="3" t="s">
        <x:v>16</x:v>
      </x:c>
      <x:c r="O5" s="3" t="s">
        <x:v>17</x:v>
      </x:c>
      <x:c r="P5" s="3" t="s">
        <x:v>18</x:v>
      </x:c>
      <x:c r="R5" s="97"/>
      <x:c r="X5" s="17"/>
      <x:c r="Y5" s="17"/>
    </x:row>
    <x:row r="6" spans="1:25" ht="13.5" thickTop="1" x14ac:dyDescent="0.2">
      <x:c r="A6" s="10" t="s">
        <x:v>19</x:v>
      </x:c>
      <x:c r="B6" s="10" t="s">
        <x:v>20</x:v>
      </x:c>
      <x:c r="C6" s="10" t="s">
        <x:v>21</x:v>
      </x:c>
      <x:c r="D6" s="10" t="s">
        <x:v>22</x:v>
      </x:c>
      <x:c r="E6" s="10" t="s">
        <x:v>130</x:v>
      </x:c>
      <x:c r="F6" s="10" t="s">
        <x:v>23</x:v>
      </x:c>
      <x:c r="G6" s="10" t="s">
        <x:v>23</x:v>
      </x:c>
      <x:c r="H6" s="10"/>
      <x:c r="I6" s="134">
        <x:v>-5387874.4800000004</x:v>
      </x:c>
      <x:c r="J6" s="10" t="s">
        <x:v>220</x:v>
      </x:c>
      <x:c r="K6" s="11">
        <x:v>45351</x:v>
      </x:c>
      <x:c r="L6" s="10">
        <x:v>11</x:v>
      </x:c>
      <x:c r="M6" s="10">
        <x:v>2023</x:v>
      </x:c>
      <x:c r="N6" s="10" t="s">
        <x:v>25</x:v>
      </x:c>
      <x:c r="O6" s="10" t="s">
        <x:v>93</x:v>
      </x:c>
      <x:c r="P6" s="10" t="s">
        <x:v>27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"/>
      <x:c r="B7" s="10"/>
      <x:c r="C7" s="10"/>
      <x:c r="D7" s="10"/>
      <x:c r="E7" s="10"/>
      <x:c r="F7" s="10"/>
      <x:c r="G7" s="10"/>
      <x:c r="H7" s="10"/>
      <x:c r="J7" s="10"/>
      <x:c r="K7" s="10"/>
      <x:c r="L7" s="10"/>
      <x:c r="M7" s="10"/>
      <x:c r="N7" s="10"/>
      <x:c r="O7" s="10"/>
      <x:c r="P7" s="10"/>
      <x:c r="Q7" s="10"/>
      <x:c r="R7" s="12"/>
      <x:c r="X7" s="17"/>
      <x:c r="Y7" s="17"/>
    </x:row>
    <x:row r="8" spans="1:25" x14ac:dyDescent="0.2">
      <x:c r="R8" s="103"/>
      <x:c r="X8" s="17"/>
      <x:c r="Y8" s="17"/>
    </x:row>
    <x:row r="9" spans="1:25" x14ac:dyDescent="0.2">
      <x:c r="X9" s="17"/>
      <x:c r="Y9" s="17"/>
    </x:row>
    <x:row r="10" spans="1:25" x14ac:dyDescent="0.2">
      <x:c r="X10" s="17"/>
      <x:c r="Y10" s="17"/>
    </x:row>
    <x:row r="11" spans="1:25" x14ac:dyDescent="0.2">
      <x:c r="A11" s="105" t="s">
        <x:v>68</x:v>
      </x:c>
      <x:c r="X11" s="17"/>
      <x:c r="Y11" s="17"/>
    </x:row>
    <x:row r="12" spans="1:25" ht="13.5" thickBot="1" x14ac:dyDescent="0.25">
      <x:c r="A12" s="105"/>
      <x:c r="R12" s="103"/>
      <x:c r="X12" s="17"/>
      <x:c r="Y12" s="17"/>
    </x:row>
    <x:row r="13" spans="1:25" ht="16.5" thickTop="1" thickBot="1" x14ac:dyDescent="0.35">
      <x:c r="A13" s="150" t="s">
        <x:v>29</x:v>
      </x:c>
      <x:c r="B13" s="151"/>
      <x:c r="C13" s="151"/>
      <x:c r="D13" s="152"/>
      <x:c r="W13" s="5" t="s">
        <x:v>30</x:v>
      </x:c>
      <x:c r="X13" s="17"/>
      <x:c r="Y13" s="17"/>
    </x:row>
    <x:row r="14" spans="1:25" ht="16.5" thickTop="1" thickBot="1" x14ac:dyDescent="0.35">
      <x:c r="A14" s="3" t="s">
        <x:v>0</x:v>
      </x:c>
      <x:c r="B14" s="3" t="s">
        <x:v>31</x:v>
      </x:c>
      <x:c r="C14" s="3" t="s">
        <x:v>32</x:v>
      </x:c>
      <x:c r="D14" s="3" t="s">
        <x:v>18</x:v>
      </x:c>
      <x:c r="E14" s="3" t="s">
        <x:v>6</x:v>
      </x:c>
      <x:c r="F14" s="3" t="s">
        <x:v>33</x:v>
      </x:c>
      <x:c r="G14" s="3" t="s">
        <x:v>34</x:v>
      </x:c>
      <x:c r="H14" s="3" t="s">
        <x:v>35</x:v>
      </x:c>
      <x:c r="I14" s="4" t="s">
        <x:v>36</x:v>
      </x:c>
      <x:c r="J14" s="3" t="s">
        <x:v>18</x:v>
      </x:c>
      <x:c r="K14" s="3" t="s">
        <x:v>37</x:v>
      </x:c>
      <x:c r="L14" s="3" t="s">
        <x:v>8</x:v>
      </x:c>
      <x:c r="M14" s="3" t="s">
        <x:v>38</x:v>
      </x:c>
      <x:c r="N14" s="3" t="s">
        <x:v>39</x:v>
      </x:c>
      <x:c r="O14" s="3" t="s">
        <x:v>40</x:v>
      </x:c>
      <x:c r="P14" s="3" t="s">
        <x:v>41</x:v>
      </x:c>
      <x:c r="Q14" s="3" t="s">
        <x:v>42</x:v>
      </x:c>
      <x:c r="R14" s="3" t="s">
        <x:v>43</x:v>
      </x:c>
      <x:c r="S14" s="3" t="s">
        <x:v>44</x:v>
      </x:c>
      <x:c r="T14" s="3" t="s">
        <x:v>45</x:v>
      </x:c>
      <x:c r="U14" s="3" t="s">
        <x:v>46</x:v>
      </x:c>
      <x:c r="V14" s="3" t="s">
        <x:v>18</x:v>
      </x:c>
      <x:c r="W14" s="3" t="s">
        <x:v>47</x:v>
      </x:c>
      <x:c r="X14" s="17"/>
      <x:c r="Y14" s="17"/>
    </x:row>
    <x:row r="15" spans="1:25" ht="13.5" thickTop="1" x14ac:dyDescent="0.2">
      <x:c r="A15" s="100" t="s">
        <x:v>19</x:v>
      </x:c>
      <x:c r="B15" s="100" t="s">
        <x:v>221</x:v>
      </x:c>
      <x:c r="C15" s="100" t="s">
        <x:v>222</x:v>
      </x:c>
      <x:c r="D15" s="106" t="s">
        <x:v>223</x:v>
      </x:c>
      <x:c r="E15" s="100" t="s">
        <x:v>124</x:v>
      </x:c>
      <x:c r="F15" s="100" t="s">
        <x:v>125</x:v>
      </x:c>
      <x:c r="G15" s="100" t="s">
        <x:v>49</x:v>
      </x:c>
      <x:c r="H15" s="100" t="s">
        <x:v>50</x:v>
      </x:c>
      <x:c r="I15" s="101" t="s">
        <x:v>51</x:v>
      </x:c>
      <x:c r="J15" s="100" t="s">
        <x:v>52</x:v>
      </x:c>
      <x:c r="K15" s="100" t="s">
        <x:v>55</x:v>
      </x:c>
      <x:c r="L15" s="100" t="s">
        <x:v>224</x:v>
      </x:c>
      <x:c r="M15" s="100" t="s">
        <x:v>109</x:v>
      </x:c>
      <x:c r="N15" s="133">
        <x:v>9931.2999999999993</x:v>
      </x:c>
      <x:c r="O15" s="133">
        <x:v>9931.2999999999993</x:v>
      </x:c>
      <x:c r="P15" s="133">
        <x:v>0</x:v>
      </x:c>
      <x:c r="Q15" s="133">
        <x:v>0</x:v>
      </x:c>
      <x:c r="R15" s="133">
        <x:v>0</x:v>
      </x:c>
      <x:c r="S15" s="108">
        <x:v>45535</x:v>
      </x:c>
      <x:c r="T15" s="100"/>
      <x:c r="U15" s="100"/>
      <x:c r="V15" s="106" t="s">
        <x:v>54</x:v>
      </x:c>
      <x:c r="W15" s="100" t="s">
        <x:v>225</x:v>
      </x:c>
      <x:c r="X15" s="17"/>
      <x:c r="Y15" s="17"/>
    </x:row>
    <x:row r="16" spans="1:25" x14ac:dyDescent="0.2">
      <x:c r="A16" s="100" t="s">
        <x:v>19</x:v>
      </x:c>
      <x:c r="B16" s="100" t="s">
        <x:v>221</x:v>
      </x:c>
      <x:c r="C16" s="100" t="s">
        <x:v>222</x:v>
      </x:c>
      <x:c r="D16" s="106" t="s">
        <x:v>223</x:v>
      </x:c>
      <x:c r="E16" s="100" t="s">
        <x:v>124</x:v>
      </x:c>
      <x:c r="F16" s="100" t="s">
        <x:v>125</x:v>
      </x:c>
      <x:c r="G16" s="100" t="s">
        <x:v>49</x:v>
      </x:c>
      <x:c r="H16" s="100" t="s">
        <x:v>50</x:v>
      </x:c>
      <x:c r="I16" s="101" t="s">
        <x:v>51</x:v>
      </x:c>
      <x:c r="J16" s="100" t="s">
        <x:v>52</x:v>
      </x:c>
      <x:c r="K16" s="100" t="s">
        <x:v>55</x:v>
      </x:c>
      <x:c r="L16" s="100" t="s">
        <x:v>224</x:v>
      </x:c>
      <x:c r="M16" s="100" t="s">
        <x:v>109</x:v>
      </x:c>
      <x:c r="N16" s="133">
        <x:v>0</x:v>
      </x:c>
      <x:c r="O16" s="133">
        <x:v>0</x:v>
      </x:c>
      <x:c r="P16" s="133">
        <x:v>0</x:v>
      </x:c>
      <x:c r="Q16" s="133">
        <x:v>0</x:v>
      </x:c>
      <x:c r="R16" s="133">
        <x:v>0</x:v>
      </x:c>
      <x:c r="S16" s="108">
        <x:v>45504</x:v>
      </x:c>
      <x:c r="T16" s="100"/>
      <x:c r="U16" s="100"/>
      <x:c r="V16" s="106" t="s">
        <x:v>54</x:v>
      </x:c>
      <x:c r="W16" s="100" t="s">
        <x:v>225</x:v>
      </x:c>
      <x:c r="X16" s="17"/>
      <x:c r="Y16" s="17"/>
    </x:row>
    <x:row r="17" spans="1:25" x14ac:dyDescent="0.2">
      <x:c r="A17" s="100" t="s">
        <x:v>19</x:v>
      </x:c>
      <x:c r="B17" s="100" t="s">
        <x:v>221</x:v>
      </x:c>
      <x:c r="C17" s="100" t="s">
        <x:v>222</x:v>
      </x:c>
      <x:c r="D17" s="106" t="s">
        <x:v>223</x:v>
      </x:c>
      <x:c r="E17" s="100" t="s">
        <x:v>124</x:v>
      </x:c>
      <x:c r="F17" s="100" t="s">
        <x:v>125</x:v>
      </x:c>
      <x:c r="G17" s="100" t="s">
        <x:v>49</x:v>
      </x:c>
      <x:c r="H17" s="100" t="s">
        <x:v>50</x:v>
      </x:c>
      <x:c r="I17" s="101" t="s">
        <x:v>51</x:v>
      </x:c>
      <x:c r="J17" s="100" t="s">
        <x:v>52</x:v>
      </x:c>
      <x:c r="K17" s="100" t="s">
        <x:v>55</x:v>
      </x:c>
      <x:c r="L17" s="100" t="s">
        <x:v>224</x:v>
      </x:c>
      <x:c r="M17" s="100" t="s">
        <x:v>109</x:v>
      </x:c>
      <x:c r="N17" s="133">
        <x:v>-18806.009999999998</x:v>
      </x:c>
      <x:c r="O17" s="133">
        <x:v>-18806.009999999998</x:v>
      </x:c>
      <x:c r="P17" s="133">
        <x:v>0</x:v>
      </x:c>
      <x:c r="Q17" s="133">
        <x:v>0</x:v>
      </x:c>
      <x:c r="R17" s="133">
        <x:v>0</x:v>
      </x:c>
      <x:c r="S17" s="108">
        <x:v>45351</x:v>
      </x:c>
      <x:c r="T17" s="100"/>
      <x:c r="U17" s="100"/>
      <x:c r="V17" s="106" t="s">
        <x:v>54</x:v>
      </x:c>
      <x:c r="W17" s="100" t="s">
        <x:v>225</x:v>
      </x:c>
      <x:c r="X17" s="17"/>
      <x:c r="Y17" s="17"/>
    </x:row>
    <x:row r="18" spans="1:25" x14ac:dyDescent="0.2">
      <x:c r="A18" s="100" t="s">
        <x:v>19</x:v>
      </x:c>
      <x:c r="B18" s="100" t="s">
        <x:v>221</x:v>
      </x:c>
      <x:c r="C18" s="100" t="s">
        <x:v>222</x:v>
      </x:c>
      <x:c r="D18" s="106" t="s">
        <x:v>223</x:v>
      </x:c>
      <x:c r="E18" s="100" t="s">
        <x:v>124</x:v>
      </x:c>
      <x:c r="F18" s="100" t="s">
        <x:v>125</x:v>
      </x:c>
      <x:c r="G18" s="100" t="s">
        <x:v>49</x:v>
      </x:c>
      <x:c r="H18" s="100" t="s">
        <x:v>50</x:v>
      </x:c>
      <x:c r="I18" s="101" t="s">
        <x:v>51</x:v>
      </x:c>
      <x:c r="J18" s="100" t="s">
        <x:v>52</x:v>
      </x:c>
      <x:c r="K18" s="100" t="s">
        <x:v>55</x:v>
      </x:c>
      <x:c r="L18" s="100" t="s">
        <x:v>224</x:v>
      </x:c>
      <x:c r="M18" s="100" t="s">
        <x:v>109</x:v>
      </x:c>
      <x:c r="N18" s="133">
        <x:v>17667.439999999999</x:v>
      </x:c>
      <x:c r="O18" s="133">
        <x:v>17667.439999999999</x:v>
      </x:c>
      <x:c r="P18" s="133">
        <x:v>0</x:v>
      </x:c>
      <x:c r="Q18" s="133">
        <x:v>0</x:v>
      </x:c>
      <x:c r="R18" s="133">
        <x:v>0</x:v>
      </x:c>
      <x:c r="S18" s="108">
        <x:v>45322</x:v>
      </x:c>
      <x:c r="T18" s="100"/>
      <x:c r="U18" s="100"/>
      <x:c r="V18" s="106" t="s">
        <x:v>54</x:v>
      </x:c>
      <x:c r="W18" s="100" t="s">
        <x:v>225</x:v>
      </x:c>
      <x:c r="X18" s="17"/>
      <x:c r="Y18" s="17"/>
    </x:row>
    <x:row r="19" spans="1:25" x14ac:dyDescent="0.2">
      <x:c r="A19" s="100" t="s">
        <x:v>19</x:v>
      </x:c>
      <x:c r="B19" s="100" t="s">
        <x:v>221</x:v>
      </x:c>
      <x:c r="C19" s="100" t="s">
        <x:v>222</x:v>
      </x:c>
      <x:c r="D19" s="106" t="s">
        <x:v>223</x:v>
      </x:c>
      <x:c r="E19" s="100" t="s">
        <x:v>124</x:v>
      </x:c>
      <x:c r="F19" s="100" t="s">
        <x:v>125</x:v>
      </x:c>
      <x:c r="G19" s="100" t="s">
        <x:v>49</x:v>
      </x:c>
      <x:c r="H19" s="100" t="s">
        <x:v>50</x:v>
      </x:c>
      <x:c r="I19" s="101" t="s">
        <x:v>51</x:v>
      </x:c>
      <x:c r="J19" s="100" t="s">
        <x:v>52</x:v>
      </x:c>
      <x:c r="K19" s="100" t="s">
        <x:v>55</x:v>
      </x:c>
      <x:c r="L19" s="100" t="s">
        <x:v>224</x:v>
      </x:c>
      <x:c r="M19" s="100" t="s">
        <x:v>167</x:v>
      </x:c>
      <x:c r="N19" s="133">
        <x:v>4186.6099999999997</x:v>
      </x:c>
      <x:c r="O19" s="133">
        <x:v>4186.6099999999997</x:v>
      </x:c>
      <x:c r="P19" s="133">
        <x:v>0</x:v>
      </x:c>
      <x:c r="Q19" s="133">
        <x:v>0</x:v>
      </x:c>
      <x:c r="R19" s="133">
        <x:v>0</x:v>
      </x:c>
      <x:c r="S19" s="108">
        <x:v>45291</x:v>
      </x:c>
      <x:c r="T19" s="100"/>
      <x:c r="U19" s="100"/>
      <x:c r="V19" s="106" t="s">
        <x:v>54</x:v>
      </x:c>
      <x:c r="W19" s="100" t="s">
        <x:v>225</x:v>
      </x:c>
      <x:c r="X19" s="17"/>
      <x:c r="Y19" s="17"/>
    </x:row>
    <x:row r="20" spans="1:25" x14ac:dyDescent="0.2">
      <x:c r="A20" s="100" t="s">
        <x:v>19</x:v>
      </x:c>
      <x:c r="B20" s="100" t="s">
        <x:v>221</x:v>
      </x:c>
      <x:c r="C20" s="100" t="s">
        <x:v>222</x:v>
      </x:c>
      <x:c r="D20" s="106" t="s">
        <x:v>223</x:v>
      </x:c>
      <x:c r="E20" s="100" t="s">
        <x:v>124</x:v>
      </x:c>
      <x:c r="F20" s="100" t="s">
        <x:v>125</x:v>
      </x:c>
      <x:c r="G20" s="100" t="s">
        <x:v>49</x:v>
      </x:c>
      <x:c r="H20" s="100" t="s">
        <x:v>50</x:v>
      </x:c>
      <x:c r="I20" s="101" t="s">
        <x:v>51</x:v>
      </x:c>
      <x:c r="J20" s="100" t="s">
        <x:v>52</x:v>
      </x:c>
      <x:c r="K20" s="100" t="s">
        <x:v>55</x:v>
      </x:c>
      <x:c r="L20" s="100" t="s">
        <x:v>224</x:v>
      </x:c>
      <x:c r="M20" s="100" t="s">
        <x:v>167</x:v>
      </x:c>
      <x:c r="N20" s="133">
        <x:v>17445.3</x:v>
      </x:c>
      <x:c r="O20" s="133">
        <x:v>17445.3</x:v>
      </x:c>
      <x:c r="P20" s="133">
        <x:v>0</x:v>
      </x:c>
      <x:c r="Q20" s="133">
        <x:v>0</x:v>
      </x:c>
      <x:c r="R20" s="133">
        <x:v>0</x:v>
      </x:c>
      <x:c r="S20" s="108">
        <x:v>45260</x:v>
      </x:c>
      <x:c r="T20" s="100"/>
      <x:c r="U20" s="100"/>
      <x:c r="V20" s="106" t="s">
        <x:v>54</x:v>
      </x:c>
      <x:c r="W20" s="100" t="s">
        <x:v>225</x:v>
      </x:c>
      <x:c r="X20" s="17"/>
      <x:c r="Y20" s="17"/>
    </x:row>
    <x:row r="21" spans="1:25" x14ac:dyDescent="0.2">
      <x:c r="A21" s="100" t="s">
        <x:v>19</x:v>
      </x:c>
      <x:c r="B21" s="100" t="s">
        <x:v>221</x:v>
      </x:c>
      <x:c r="C21" s="100" t="s">
        <x:v>222</x:v>
      </x:c>
      <x:c r="D21" s="106" t="s">
        <x:v>223</x:v>
      </x:c>
      <x:c r="E21" s="100" t="s">
        <x:v>124</x:v>
      </x:c>
      <x:c r="F21" s="100" t="s">
        <x:v>125</x:v>
      </x:c>
      <x:c r="G21" s="100" t="s">
        <x:v>49</x:v>
      </x:c>
      <x:c r="H21" s="100" t="s">
        <x:v>50</x:v>
      </x:c>
      <x:c r="I21" s="101" t="s">
        <x:v>51</x:v>
      </x:c>
      <x:c r="J21" s="100" t="s">
        <x:v>52</x:v>
      </x:c>
      <x:c r="K21" s="100" t="s">
        <x:v>55</x:v>
      </x:c>
      <x:c r="L21" s="100" t="s">
        <x:v>224</x:v>
      </x:c>
      <x:c r="M21" s="100" t="s">
        <x:v>167</x:v>
      </x:c>
      <x:c r="N21" s="133">
        <x:v>28301</x:v>
      </x:c>
      <x:c r="O21" s="133">
        <x:v>28301</x:v>
      </x:c>
      <x:c r="P21" s="133">
        <x:v>0</x:v>
      </x:c>
      <x:c r="Q21" s="133">
        <x:v>0</x:v>
      </x:c>
      <x:c r="R21" s="133">
        <x:v>0</x:v>
      </x:c>
      <x:c r="S21" s="108">
        <x:v>45230</x:v>
      </x:c>
      <x:c r="T21" s="100"/>
      <x:c r="U21" s="100"/>
      <x:c r="V21" s="106" t="s">
        <x:v>54</x:v>
      </x:c>
      <x:c r="W21" s="100" t="s">
        <x:v>225</x:v>
      </x:c>
      <x:c r="X21" s="17"/>
      <x:c r="Y21" s="17"/>
    </x:row>
    <x:row r="22" spans="1:25" x14ac:dyDescent="0.2">
      <x:c r="A22" s="100" t="s">
        <x:v>19</x:v>
      </x:c>
      <x:c r="B22" s="100" t="s">
        <x:v>221</x:v>
      </x:c>
      <x:c r="C22" s="100" t="s">
        <x:v>222</x:v>
      </x:c>
      <x:c r="D22" s="106" t="s">
        <x:v>223</x:v>
      </x:c>
      <x:c r="E22" s="100" t="s">
        <x:v>124</x:v>
      </x:c>
      <x:c r="F22" s="100" t="s">
        <x:v>125</x:v>
      </x:c>
      <x:c r="G22" s="100" t="s">
        <x:v>49</x:v>
      </x:c>
      <x:c r="H22" s="100" t="s">
        <x:v>50</x:v>
      </x:c>
      <x:c r="I22" s="101" t="s">
        <x:v>51</x:v>
      </x:c>
      <x:c r="J22" s="100" t="s">
        <x:v>52</x:v>
      </x:c>
      <x:c r="K22" s="100" t="s">
        <x:v>55</x:v>
      </x:c>
      <x:c r="L22" s="100" t="s">
        <x:v>224</x:v>
      </x:c>
      <x:c r="M22" s="100" t="s">
        <x:v>167</x:v>
      </x:c>
      <x:c r="N22" s="133">
        <x:v>2093.6799999999998</x:v>
      </x:c>
      <x:c r="O22" s="133">
        <x:v>2093.6799999999998</x:v>
      </x:c>
      <x:c r="P22" s="133">
        <x:v>0</x:v>
      </x:c>
      <x:c r="Q22" s="133">
        <x:v>0</x:v>
      </x:c>
      <x:c r="R22" s="133">
        <x:v>0</x:v>
      </x:c>
      <x:c r="S22" s="108">
        <x:v>45199</x:v>
      </x:c>
      <x:c r="T22" s="100"/>
      <x:c r="U22" s="100"/>
      <x:c r="V22" s="106" t="s">
        <x:v>54</x:v>
      </x:c>
      <x:c r="W22" s="100" t="s">
        <x:v>225</x:v>
      </x:c>
      <x:c r="X22" s="17"/>
      <x:c r="Y22" s="17"/>
    </x:row>
    <x:row r="23" spans="1:25" x14ac:dyDescent="0.2">
      <x:c r="A23" s="100" t="s">
        <x:v>19</x:v>
      </x:c>
      <x:c r="B23" s="100" t="s">
        <x:v>221</x:v>
      </x:c>
      <x:c r="C23" s="100" t="s">
        <x:v>222</x:v>
      </x:c>
      <x:c r="D23" s="106" t="s">
        <x:v>223</x:v>
      </x:c>
      <x:c r="E23" s="100" t="s">
        <x:v>124</x:v>
      </x:c>
      <x:c r="F23" s="100" t="s">
        <x:v>125</x:v>
      </x:c>
      <x:c r="G23" s="100" t="s">
        <x:v>49</x:v>
      </x:c>
      <x:c r="H23" s="100" t="s">
        <x:v>50</x:v>
      </x:c>
      <x:c r="I23" s="101" t="s">
        <x:v>51</x:v>
      </x:c>
      <x:c r="J23" s="100" t="s">
        <x:v>52</x:v>
      </x:c>
      <x:c r="K23" s="100" t="s">
        <x:v>55</x:v>
      </x:c>
      <x:c r="L23" s="100" t="s">
        <x:v>224</x:v>
      </x:c>
      <x:c r="M23" s="100" t="s">
        <x:v>167</x:v>
      </x:c>
      <x:c r="N23" s="133">
        <x:v>33349.94</x:v>
      </x:c>
      <x:c r="O23" s="133">
        <x:v>33349.94</x:v>
      </x:c>
      <x:c r="P23" s="133">
        <x:v>0</x:v>
      </x:c>
      <x:c r="Q23" s="133">
        <x:v>0</x:v>
      </x:c>
      <x:c r="R23" s="133">
        <x:v>0</x:v>
      </x:c>
      <x:c r="S23" s="108">
        <x:v>45169</x:v>
      </x:c>
      <x:c r="T23" s="100"/>
      <x:c r="U23" s="100"/>
      <x:c r="V23" s="106" t="s">
        <x:v>54</x:v>
      </x:c>
      <x:c r="W23" s="100" t="s">
        <x:v>225</x:v>
      </x:c>
      <x:c r="X23" s="17"/>
      <x:c r="Y23" s="17"/>
    </x:row>
    <x:row r="24" spans="1:25" x14ac:dyDescent="0.2">
      <x:c r="A24" s="100" t="s">
        <x:v>19</x:v>
      </x:c>
      <x:c r="B24" s="100" t="s">
        <x:v>221</x:v>
      </x:c>
      <x:c r="C24" s="100" t="s">
        <x:v>222</x:v>
      </x:c>
      <x:c r="D24" s="106" t="s">
        <x:v>223</x:v>
      </x:c>
      <x:c r="E24" s="100" t="s">
        <x:v>124</x:v>
      </x:c>
      <x:c r="F24" s="100" t="s">
        <x:v>125</x:v>
      </x:c>
      <x:c r="G24" s="100" t="s">
        <x:v>49</x:v>
      </x:c>
      <x:c r="H24" s="100" t="s">
        <x:v>50</x:v>
      </x:c>
      <x:c r="I24" s="101" t="s">
        <x:v>51</x:v>
      </x:c>
      <x:c r="J24" s="100" t="s">
        <x:v>52</x:v>
      </x:c>
      <x:c r="K24" s="100" t="s">
        <x:v>55</x:v>
      </x:c>
      <x:c r="L24" s="100" t="s">
        <x:v>224</x:v>
      </x:c>
      <x:c r="M24" s="100" t="s">
        <x:v>167</x:v>
      </x:c>
      <x:c r="N24" s="133">
        <x:v>21580</x:v>
      </x:c>
      <x:c r="O24" s="133">
        <x:v>21580</x:v>
      </x:c>
      <x:c r="P24" s="133">
        <x:v>0</x:v>
      </x:c>
      <x:c r="Q24" s="133">
        <x:v>0</x:v>
      </x:c>
      <x:c r="R24" s="133">
        <x:v>0</x:v>
      </x:c>
      <x:c r="S24" s="108">
        <x:v>45138</x:v>
      </x:c>
      <x:c r="T24" s="100"/>
      <x:c r="U24" s="100"/>
      <x:c r="V24" s="106" t="s">
        <x:v>54</x:v>
      </x:c>
      <x:c r="W24" s="100" t="s">
        <x:v>225</x:v>
      </x:c>
      <x:c r="X24" s="17"/>
      <x:c r="Y24" s="17"/>
    </x:row>
    <x:row r="25" spans="1:25" x14ac:dyDescent="0.2">
      <x:c r="A25" s="100" t="s">
        <x:v>19</x:v>
      </x:c>
      <x:c r="B25" s="100" t="s">
        <x:v>221</x:v>
      </x:c>
      <x:c r="C25" s="100" t="s">
        <x:v>222</x:v>
      </x:c>
      <x:c r="D25" s="106" t="s">
        <x:v>223</x:v>
      </x:c>
      <x:c r="E25" s="100" t="s">
        <x:v>124</x:v>
      </x:c>
      <x:c r="F25" s="100" t="s">
        <x:v>125</x:v>
      </x:c>
      <x:c r="G25" s="100" t="s">
        <x:v>49</x:v>
      </x:c>
      <x:c r="H25" s="100" t="s">
        <x:v>50</x:v>
      </x:c>
      <x:c r="I25" s="101" t="s">
        <x:v>51</x:v>
      </x:c>
      <x:c r="J25" s="100" t="s">
        <x:v>52</x:v>
      </x:c>
      <x:c r="K25" s="100" t="s">
        <x:v>55</x:v>
      </x:c>
      <x:c r="L25" s="100" t="s">
        <x:v>224</x:v>
      </x:c>
      <x:c r="M25" s="100" t="s">
        <x:v>167</x:v>
      </x:c>
      <x:c r="N25" s="133">
        <x:v>72037.98</x:v>
      </x:c>
      <x:c r="O25" s="133">
        <x:v>72037.98</x:v>
      </x:c>
      <x:c r="P25" s="133">
        <x:v>0</x:v>
      </x:c>
      <x:c r="Q25" s="133">
        <x:v>0</x:v>
      </x:c>
      <x:c r="R25" s="133">
        <x:v>0</x:v>
      </x:c>
      <x:c r="S25" s="108">
        <x:v>45107</x:v>
      </x:c>
      <x:c r="T25" s="100"/>
      <x:c r="U25" s="100"/>
      <x:c r="V25" s="106" t="s">
        <x:v>54</x:v>
      </x:c>
      <x:c r="W25" s="100" t="s">
        <x:v>225</x:v>
      </x:c>
      <x:c r="X25" s="17"/>
      <x:c r="Y25" s="17"/>
    </x:row>
    <x:row r="26" spans="1:25" x14ac:dyDescent="0.2">
      <x:c r="A26" s="100" t="s">
        <x:v>19</x:v>
      </x:c>
      <x:c r="B26" s="100" t="s">
        <x:v>221</x:v>
      </x:c>
      <x:c r="C26" s="100" t="s">
        <x:v>222</x:v>
      </x:c>
      <x:c r="D26" s="106" t="s">
        <x:v>223</x:v>
      </x:c>
      <x:c r="E26" s="100" t="s">
        <x:v>124</x:v>
      </x:c>
      <x:c r="F26" s="100" t="s">
        <x:v>125</x:v>
      </x:c>
      <x:c r="G26" s="100" t="s">
        <x:v>49</x:v>
      </x:c>
      <x:c r="H26" s="100" t="s">
        <x:v>50</x:v>
      </x:c>
      <x:c r="I26" s="101" t="s">
        <x:v>51</x:v>
      </x:c>
      <x:c r="J26" s="100" t="s">
        <x:v>52</x:v>
      </x:c>
      <x:c r="K26" s="100" t="s">
        <x:v>55</x:v>
      </x:c>
      <x:c r="L26" s="100" t="s">
        <x:v>224</x:v>
      </x:c>
      <x:c r="M26" s="100" t="s">
        <x:v>167</x:v>
      </x:c>
      <x:c r="N26" s="133">
        <x:v>51927.53</x:v>
      </x:c>
      <x:c r="O26" s="133">
        <x:v>51927.53</x:v>
      </x:c>
      <x:c r="P26" s="133">
        <x:v>0</x:v>
      </x:c>
      <x:c r="Q26" s="133">
        <x:v>0</x:v>
      </x:c>
      <x:c r="R26" s="133">
        <x:v>0</x:v>
      </x:c>
      <x:c r="S26" s="108">
        <x:v>45077</x:v>
      </x:c>
      <x:c r="T26" s="100"/>
      <x:c r="U26" s="100"/>
      <x:c r="V26" s="106" t="s">
        <x:v>54</x:v>
      </x:c>
      <x:c r="W26" s="100" t="s">
        <x:v>225</x:v>
      </x:c>
      <x:c r="X26" s="17"/>
      <x:c r="Y26" s="17"/>
    </x:row>
    <x:row r="27" spans="1:25" x14ac:dyDescent="0.2">
      <x:c r="A27" s="100" t="s">
        <x:v>19</x:v>
      </x:c>
      <x:c r="B27" s="100" t="s">
        <x:v>221</x:v>
      </x:c>
      <x:c r="C27" s="100" t="s">
        <x:v>222</x:v>
      </x:c>
      <x:c r="D27" s="106" t="s">
        <x:v>223</x:v>
      </x:c>
      <x:c r="E27" s="100" t="s">
        <x:v>124</x:v>
      </x:c>
      <x:c r="F27" s="100" t="s">
        <x:v>125</x:v>
      </x:c>
      <x:c r="G27" s="100" t="s">
        <x:v>49</x:v>
      </x:c>
      <x:c r="H27" s="100" t="s">
        <x:v>50</x:v>
      </x:c>
      <x:c r="I27" s="101" t="s">
        <x:v>51</x:v>
      </x:c>
      <x:c r="J27" s="100" t="s">
        <x:v>52</x:v>
      </x:c>
      <x:c r="K27" s="100" t="s">
        <x:v>55</x:v>
      </x:c>
      <x:c r="L27" s="100" t="s">
        <x:v>224</x:v>
      </x:c>
      <x:c r="M27" s="100" t="s">
        <x:v>167</x:v>
      </x:c>
      <x:c r="N27" s="133">
        <x:v>56850.080000000002</x:v>
      </x:c>
      <x:c r="O27" s="133">
        <x:v>56850.080000000002</x:v>
      </x:c>
      <x:c r="P27" s="133">
        <x:v>0</x:v>
      </x:c>
      <x:c r="Q27" s="133">
        <x:v>0</x:v>
      </x:c>
      <x:c r="R27" s="133">
        <x:v>0</x:v>
      </x:c>
      <x:c r="S27" s="108">
        <x:v>45016</x:v>
      </x:c>
      <x:c r="T27" s="100"/>
      <x:c r="U27" s="100"/>
      <x:c r="V27" s="106" t="s">
        <x:v>54</x:v>
      </x:c>
      <x:c r="W27" s="100" t="s">
        <x:v>225</x:v>
      </x:c>
      <x:c r="X27" s="17"/>
      <x:c r="Y27" s="17"/>
    </x:row>
    <x:row r="28" spans="1:25" x14ac:dyDescent="0.2">
      <x:c r="A28" s="100" t="s">
        <x:v>19</x:v>
      </x:c>
      <x:c r="B28" s="100" t="s">
        <x:v>221</x:v>
      </x:c>
      <x:c r="C28" s="100" t="s">
        <x:v>222</x:v>
      </x:c>
      <x:c r="D28" s="106" t="s">
        <x:v>223</x:v>
      </x:c>
      <x:c r="E28" s="100" t="s">
        <x:v>124</x:v>
      </x:c>
      <x:c r="F28" s="100" t="s">
        <x:v>125</x:v>
      </x:c>
      <x:c r="G28" s="100" t="s">
        <x:v>49</x:v>
      </x:c>
      <x:c r="H28" s="100" t="s">
        <x:v>50</x:v>
      </x:c>
      <x:c r="I28" s="101" t="s">
        <x:v>51</x:v>
      </x:c>
      <x:c r="J28" s="100" t="s">
        <x:v>52</x:v>
      </x:c>
      <x:c r="K28" s="100" t="s">
        <x:v>55</x:v>
      </x:c>
      <x:c r="L28" s="100" t="s">
        <x:v>224</x:v>
      </x:c>
      <x:c r="M28" s="100" t="s">
        <x:v>167</x:v>
      </x:c>
      <x:c r="N28" s="133">
        <x:v>7479.03</x:v>
      </x:c>
      <x:c r="O28" s="133">
        <x:v>7479.03</x:v>
      </x:c>
      <x:c r="P28" s="133">
        <x:v>0</x:v>
      </x:c>
      <x:c r="Q28" s="133">
        <x:v>0</x:v>
      </x:c>
      <x:c r="R28" s="133">
        <x:v>0</x:v>
      </x:c>
      <x:c r="S28" s="108">
        <x:v>44985</x:v>
      </x:c>
      <x:c r="T28" s="100"/>
      <x:c r="U28" s="100"/>
      <x:c r="V28" s="106" t="s">
        <x:v>54</x:v>
      </x:c>
      <x:c r="W28" s="100" t="s">
        <x:v>225</x:v>
      </x:c>
      <x:c r="X28" s="17"/>
      <x:c r="Y28" s="17"/>
    </x:row>
    <x:row r="29" spans="1:25" x14ac:dyDescent="0.2">
      <x:c r="A29" s="100" t="s">
        <x:v>19</x:v>
      </x:c>
      <x:c r="B29" s="100" t="s">
        <x:v>221</x:v>
      </x:c>
      <x:c r="C29" s="100" t="s">
        <x:v>222</x:v>
      </x:c>
      <x:c r="D29" s="106" t="s">
        <x:v>223</x:v>
      </x:c>
      <x:c r="E29" s="100" t="s">
        <x:v>124</x:v>
      </x:c>
      <x:c r="F29" s="100" t="s">
        <x:v>125</x:v>
      </x:c>
      <x:c r="G29" s="100" t="s">
        <x:v>49</x:v>
      </x:c>
      <x:c r="H29" s="100" t="s">
        <x:v>50</x:v>
      </x:c>
      <x:c r="I29" s="101" t="s">
        <x:v>51</x:v>
      </x:c>
      <x:c r="J29" s="100" t="s">
        <x:v>52</x:v>
      </x:c>
      <x:c r="K29" s="100" t="s">
        <x:v>55</x:v>
      </x:c>
      <x:c r="L29" s="100" t="s">
        <x:v>224</x:v>
      </x:c>
      <x:c r="M29" s="100" t="s">
        <x:v>167</x:v>
      </x:c>
      <x:c r="N29" s="133">
        <x:v>283716.81</x:v>
      </x:c>
      <x:c r="O29" s="133">
        <x:v>283716.81</x:v>
      </x:c>
      <x:c r="P29" s="133">
        <x:v>0</x:v>
      </x:c>
      <x:c r="Q29" s="133">
        <x:v>0</x:v>
      </x:c>
      <x:c r="R29" s="133">
        <x:v>0</x:v>
      </x:c>
      <x:c r="S29" s="108">
        <x:v>44957</x:v>
      </x:c>
      <x:c r="T29" s="100"/>
      <x:c r="U29" s="100"/>
      <x:c r="V29" s="106" t="s">
        <x:v>54</x:v>
      </x:c>
      <x:c r="W29" s="100" t="s">
        <x:v>225</x:v>
      </x:c>
      <x:c r="X29" s="17"/>
      <x:c r="Y29" s="17"/>
    </x:row>
    <x:row r="30" spans="1:25" x14ac:dyDescent="0.2">
      <x:c r="A30" s="100" t="s">
        <x:v>19</x:v>
      </x:c>
      <x:c r="B30" s="100" t="s">
        <x:v>221</x:v>
      </x:c>
      <x:c r="C30" s="100" t="s">
        <x:v>222</x:v>
      </x:c>
      <x:c r="D30" s="106" t="s">
        <x:v>223</x:v>
      </x:c>
      <x:c r="E30" s="100" t="s">
        <x:v>124</x:v>
      </x:c>
      <x:c r="F30" s="100" t="s">
        <x:v>125</x:v>
      </x:c>
      <x:c r="G30" s="100" t="s">
        <x:v>49</x:v>
      </x:c>
      <x:c r="H30" s="100" t="s">
        <x:v>50</x:v>
      </x:c>
      <x:c r="I30" s="101" t="s">
        <x:v>51</x:v>
      </x:c>
      <x:c r="J30" s="100" t="s">
        <x:v>52</x:v>
      </x:c>
      <x:c r="K30" s="100" t="s">
        <x:v>53</x:v>
      </x:c>
      <x:c r="L30" s="100" t="s">
        <x:v>224</x:v>
      </x:c>
      <x:c r="M30" s="100" t="s">
        <x:v>165</x:v>
      </x:c>
      <x:c r="N30" s="133">
        <x:v>11917550.24</x:v>
      </x:c>
      <x:c r="O30" s="133">
        <x:v>11917550.24</x:v>
      </x:c>
      <x:c r="P30" s="133">
        <x:v>0</x:v>
      </x:c>
      <x:c r="Q30" s="133">
        <x:v>0</x:v>
      </x:c>
      <x:c r="R30" s="133">
        <x:v>52.24</x:v>
      </x:c>
      <x:c r="S30" s="108">
        <x:v>44926</x:v>
      </x:c>
      <x:c r="T30" s="100"/>
      <x:c r="U30" s="100"/>
      <x:c r="V30" s="106" t="s">
        <x:v>54</x:v>
      </x:c>
      <x:c r="W30" s="100" t="s">
        <x:v>225</x:v>
      </x:c>
      <x:c r="X30" s="17"/>
      <x:c r="Y30" s="17"/>
    </x:row>
    <x:row r="31" spans="1:25" x14ac:dyDescent="0.2">
      <x:c r="A31" s="100"/>
      <x:c r="B31" s="100"/>
      <x:c r="C31" s="100"/>
      <x:c r="D31" s="106"/>
      <x:c r="E31" s="100"/>
      <x:c r="F31" s="100"/>
      <x:c r="G31" s="100"/>
      <x:c r="H31" s="100"/>
      <x:c r="I31" s="101"/>
      <x:c r="J31" s="100"/>
      <x:c r="K31" s="100"/>
      <x:c r="L31" s="100"/>
      <x:c r="M31" s="100"/>
      <x:c r="N31" s="133"/>
      <x:c r="O31" s="133"/>
      <x:c r="P31" s="133"/>
      <x:c r="Q31" s="133"/>
      <x:c r="R31" s="133"/>
      <x:c r="S31" s="108"/>
      <x:c r="T31" s="100"/>
      <x:c r="U31" s="100"/>
      <x:c r="V31" s="106"/>
      <x:c r="W31" s="100"/>
      <x:c r="X31" s="17"/>
      <x:c r="Y31" s="17"/>
    </x:row>
    <x:row r="32" spans="1:25" x14ac:dyDescent="0.2">
      <x:c r="N32" s="134"/>
      <x:c r="O32" s="134">
        <x:v>12505310.93</x:v>
      </x:c>
      <x:c r="P32" s="134"/>
      <x:c r="Q32" s="134">
        <x:v>0</x:v>
      </x:c>
      <x:c r="R32" s="134">
        <x:v>52.24</x:v>
      </x:c>
      <x:c r="X32" s="17"/>
      <x:c r="Y32" s="17"/>
    </x:row>
    <x:row r="33" spans="1:25" x14ac:dyDescent="0.2">
      <x:c r="N33" s="134"/>
      <x:c r="O33" s="134"/>
      <x:c r="R33" s="12"/>
      <x:c r="X33" s="17"/>
      <x:c r="Y33" s="17"/>
    </x:row>
    <x:row r="34" spans="1:25" x14ac:dyDescent="0.2">
      <x:c r="N34" s="134"/>
      <x:c r="O34" s="134">
        <x:v>239381.90907350689</x:v>
      </x:c>
      <x:c r="P34" s="110" t="s">
        <x:v>64</x:v>
      </x:c>
      <x:c r="X34" s="17"/>
      <x:c r="Y34" s="17"/>
    </x:row>
    <x:row r="35" spans="1:25" x14ac:dyDescent="0.2">
      <x:c r="H35" s="5" t="s">
        <x:v>231</x:v>
      </x:c>
      <x:c r="I35" s="31"/>
      <x:c r="J35" s="5"/>
      <x:c r="N35" s="134"/>
      <x:c r="O35" s="142">
        <x:v>511319.76</x:v>
      </x:c>
      <x:c r="P35" s="110" t="s">
        <x:v>65</x:v>
      </x:c>
      <x:c r="Q35" s="24">
        <x:v>2.1360000000000001</x:v>
      </x:c>
      <x:c r="R35" s="32" t="s">
        <x:v>66</x:v>
      </x:c>
      <x:c r="X35" s="17"/>
      <x:c r="Y35" s="17"/>
    </x:row>
    <x:row r="36" spans="1:25" x14ac:dyDescent="0.2">
      <x:c r="X36" s="17"/>
      <x:c r="Y36" s="17"/>
    </x:row>
    <x:row r="37" spans="1:25" x14ac:dyDescent="0.2">
      <x:c r="A37" s="105" t="s">
        <x:v>67</x:v>
      </x:c>
      <x:c r="O37" s="111" t="s">
        <x:v>226</x:v>
      </x:c>
      <x:c r="P37" s="9"/>
      <x:c r="X37" s="17"/>
      <x:c r="Y37" s="17"/>
    </x:row>
    <x:row r="38" spans="1:25" ht="15.75" thickBot="1" x14ac:dyDescent="0.35">
      <x:c r="O38" s="6"/>
      <x:c r="P38" s="9"/>
      <x:c r="T38" s="6"/>
      <x:c r="X38" s="17"/>
      <x:c r="Y38" s="17"/>
    </x:row>
    <x:row r="39" spans="1:25" x14ac:dyDescent="0.2">
      <x:c r="B39" s="13"/>
      <x:c r="C39" s="14"/>
      <x:c r="D39" s="14"/>
      <x:c r="E39" s="14"/>
      <x:c r="F39" s="14"/>
      <x:c r="G39" s="15"/>
      <x:c r="P39" s="9"/>
      <x:c r="X39" s="17"/>
      <x:c r="Y39" s="17"/>
    </x:row>
    <x:row r="40" spans="1:25" x14ac:dyDescent="0.2">
      <x:c r="B40" s="16"/>
      <x:c r="C40" s="130">
        <x:v>-5387874.4800000004</x:v>
      </x:c>
      <x:c r="E40" s="105" t="s">
        <x:v>69</x:v>
      </x:c>
      <x:c r="F40" s="105"/>
      <x:c r="G40" s="33"/>
      <x:c r="P40" s="9"/>
    </x:row>
    <x:row r="41" spans="1:25" x14ac:dyDescent="0.2">
      <x:c r="B41" s="16"/>
      <x:c r="C41" s="131">
        <x:v>0</x:v>
      </x:c>
      <x:c r="E41" s="154" t="s">
        <x:v>70</x:v>
      </x:c>
      <x:c r="F41" s="154"/>
      <x:c r="G41" s="33"/>
      <x:c r="P41" s="9"/>
    </x:row>
    <x:row r="42" spans="1:25" ht="15" x14ac:dyDescent="0.3">
      <x:c r="B42" s="16"/>
      <x:c r="C42" s="130">
        <x:v>-5387874.4800000004</x:v>
      </x:c>
      <x:c r="E42" s="105" t="s">
        <x:v>71</x:v>
      </x:c>
      <x:c r="F42" s="105"/>
      <x:c r="G42" s="33"/>
      <x:c r="O42" s="7"/>
      <x:c r="P42" s="9"/>
    </x:row>
    <x:row r="43" spans="1:25" ht="15" x14ac:dyDescent="0.3">
      <x:c r="B43" s="16"/>
      <x:c r="C43" s="130">
        <x:v>511319.76</x:v>
      </x:c>
      <x:c r="E43" s="154" t="s">
        <x:v>72</x:v>
      </x:c>
      <x:c r="F43" s="154"/>
      <x:c r="G43" s="33"/>
      <x:c r="O43" s="7"/>
      <x:c r="P43" s="9"/>
    </x:row>
    <x:row r="44" spans="1:25" ht="13.5" thickBot="1" x14ac:dyDescent="0.25">
      <x:c r="B44" s="16"/>
      <x:c r="C44" s="132">
        <x:v>-4876554.7200000007</x:v>
      </x:c>
      <x:c r="E44" s="105" t="s">
        <x:v>73</x:v>
      </x:c>
      <x:c r="F44" s="105"/>
      <x:c r="G44" s="155"/>
      <x:c r="P44" s="9"/>
    </x:row>
    <x:row r="45" spans="1:25" ht="16.5" thickTop="1" thickBot="1" x14ac:dyDescent="0.35">
      <x:c r="B45" s="19"/>
      <x:c r="C45" s="20"/>
      <x:c r="D45" s="20"/>
      <x:c r="E45" s="20"/>
      <x:c r="F45" s="20"/>
      <x:c r="G45" s="21"/>
      <x:c r="P45" s="9"/>
      <x:c r="Q45" s="6"/>
    </x:row>
    <x:row r="46" spans="1:25" ht="15" x14ac:dyDescent="0.3">
      <x:c r="P46" s="9"/>
      <x:c r="Q46" s="6"/>
    </x:row>
    <x:row r="47" spans="1:25" ht="15" x14ac:dyDescent="0.3">
      <x:c r="A47" s="159"/>
      <x:c r="B47" s="32" t="s">
        <x:v>227</x:v>
      </x:c>
      <x:c r="C47" s="119"/>
      <x:c r="D47" s="120">
        <x:v>359.51999999955297</x:v>
      </x:c>
      <x:c r="P47" s="9"/>
      <x:c r="Q47" s="6"/>
    </x:row>
    <x:row r="48" spans="1:25" x14ac:dyDescent="0.2">
      <x:c r="A48" s="105" t="s">
        <x:v>74</x:v>
      </x:c>
      <x:c r="B48" s="121"/>
      <x:c r="C48" s="121"/>
      <x:c r="D48" s="121"/>
      <x:c r="E48" s="121"/>
      <x:c r="F48" s="121"/>
      <x:c r="G48" s="121"/>
      <x:c r="H48" s="121"/>
      <x:c r="I48" s="113"/>
      <x:c r="J48" s="121"/>
      <x:c r="K48" s="121"/>
    </x:row>
    <x:row r="49" spans="1:17" x14ac:dyDescent="0.2">
      <x:c r="A49" s="105"/>
      <x:c r="B49" s="121"/>
      <x:c r="C49" s="121"/>
      <x:c r="D49" s="121"/>
      <x:c r="E49" s="121"/>
      <x:c r="F49" s="121"/>
      <x:c r="G49" s="121"/>
      <x:c r="H49" s="121"/>
      <x:c r="I49" s="113"/>
      <x:c r="J49" s="121"/>
      <x:c r="K49" s="121"/>
    </x:row>
    <x:row r="50" spans="1:17" ht="15" x14ac:dyDescent="0.3">
      <x:c r="A50" s="105" t="s">
        <x:v>75</x:v>
      </x:c>
      <x:c r="B50" s="121"/>
      <x:c r="C50" s="121"/>
      <x:c r="D50" s="121"/>
      <x:c r="E50" s="121"/>
      <x:c r="F50" s="121"/>
      <x:c r="G50" s="121"/>
      <x:c r="H50" s="121"/>
      <x:c r="I50" s="113"/>
      <x:c r="J50" s="121"/>
      <x:c r="K50" s="121"/>
      <x:c r="P50" s="9"/>
      <x:c r="Q50" s="6"/>
    </x:row>
    <x:row r="51" spans="1:17" x14ac:dyDescent="0.2">
      <x:c r="A51" s="121"/>
      <x:c r="B51" s="121"/>
      <x:c r="C51" s="121"/>
      <x:c r="D51" s="121"/>
      <x:c r="E51" s="121"/>
      <x:c r="F51" s="121"/>
      <x:c r="G51" s="121"/>
      <x:c r="H51" s="121"/>
      <x:c r="I51" s="113"/>
      <x:c r="J51" s="121"/>
      <x:c r="K51" s="121"/>
    </x:row>
    <x:row r="52" spans="1:17" x14ac:dyDescent="0.2">
      <x:c r="A52" s="22" t="s">
        <x:v>76</x:v>
      </x:c>
      <x:c r="B52" s="22" t="s">
        <x:v>77</x:v>
      </x:c>
      <x:c r="C52" s="22" t="s">
        <x:v>6</x:v>
      </x:c>
      <x:c r="D52" s="22" t="s">
        <x:v>7</x:v>
      </x:c>
      <x:c r="E52" s="22" t="s">
        <x:v>8</x:v>
      </x:c>
      <x:c r="F52" s="22" t="s">
        <x:v>9</x:v>
      </x:c>
      <x:c r="G52" s="22" t="s">
        <x:v>10</x:v>
      </x:c>
      <x:c r="H52" s="22" t="s">
        <x:v>11</x:v>
      </x:c>
      <x:c r="I52" s="27" t="s">
        <x:v>78</x:v>
      </x:c>
      <x:c r="J52" s="22" t="s">
        <x:v>45</x:v>
      </x:c>
      <x:c r="K52" s="157" t="s">
        <x:v>79</x:v>
      </x:c>
      <x:c r="L52" s="158"/>
      <x:c r="M52" s="123"/>
    </x:row>
    <x:row r="53" spans="1:17" x14ac:dyDescent="0.2">
      <x:c r="A53" s="23" t="s">
        <x:v>19</x:v>
      </x:c>
      <x:c r="B53" s="23" t="s">
        <x:v>20</x:v>
      </x:c>
      <x:c r="C53" s="23" t="s">
        <x:v>126</x:v>
      </x:c>
      <x:c r="D53" s="23" t="s">
        <x:v>81</x:v>
      </x:c>
      <x:c r="E53" s="23" t="s">
        <x:v>130</x:v>
      </x:c>
      <x:c r="F53" s="23" t="s">
        <x:v>23</x:v>
      </x:c>
      <x:c r="G53" s="23" t="s">
        <x:v>23</x:v>
      </x:c>
      <x:c r="H53" s="23" t="s">
        <x:v>24</x:v>
      </x:c>
      <x:c r="I53" s="129">
        <x:v>-359.52</x:v>
      </x:c>
      <x:c r="J53" s="23" t="s">
        <x:v>168</x:v>
      </x:c>
      <x:c r="K53" s="149" t="s">
        <x:v>228</x:v>
      </x:c>
      <x:c r="L53" s="149"/>
      <x:c r="M53" s="156"/>
    </x:row>
    <x:row r="54" spans="1:17" x14ac:dyDescent="0.2">
      <x:c r="A54" s="23" t="s">
        <x:v>19</x:v>
      </x:c>
      <x:c r="B54" s="28" t="s">
        <x:v>20</x:v>
      </x:c>
      <x:c r="C54" s="23" t="s">
        <x:v>82</x:v>
      </x:c>
      <x:c r="D54" s="23" t="s">
        <x:v>83</x:v>
      </x:c>
      <x:c r="E54" s="23" t="s">
        <x:v>130</x:v>
      </x:c>
      <x:c r="F54" s="23" t="s">
        <x:v>23</x:v>
      </x:c>
      <x:c r="G54" s="23" t="s">
        <x:v>23</x:v>
      </x:c>
      <x:c r="H54" s="23" t="s">
        <x:v>24</x:v>
      </x:c>
      <x:c r="I54" s="129">
        <x:v>359.52</x:v>
      </x:c>
      <x:c r="J54" s="23" t="s">
        <x:v>168</x:v>
      </x:c>
      <x:c r="K54" s="149" t="s">
        <x:v>228</x:v>
      </x:c>
      <x:c r="L54" s="149"/>
      <x:c r="M54" s="156"/>
    </x:row>
    <x:row r="55" spans="1:17" x14ac:dyDescent="0.2">
      <x:c r="A55" s="91"/>
      <x:c r="B55" s="91"/>
      <x:c r="C55" s="91"/>
      <x:c r="D55" s="91"/>
      <x:c r="E55" s="91"/>
      <x:c r="F55" s="91"/>
      <x:c r="G55" s="91"/>
      <x:c r="H55" s="91"/>
      <x:c r="I55" s="92"/>
      <x:c r="J55" s="91"/>
      <x:c r="K55" s="93"/>
    </x:row>
    <x:row r="56" spans="1:17" x14ac:dyDescent="0.2">
      <x:c r="A56" s="105"/>
    </x:row>
    <x:row r="57" spans="1:17" x14ac:dyDescent="0.2">
      <x:c r="A57" s="105"/>
    </x:row>
    <x:row r="58" spans="1:17" x14ac:dyDescent="0.2">
      <x:c r="A58" s="105"/>
    </x:row>
    <x:row r="61" spans="1:17" x14ac:dyDescent="0.2">
      <x:c r="A61" s="105" t="s">
        <x:v>86</x:v>
      </x:c>
    </x:row>
    <x:row r="63" spans="1:17" ht="13.5" thickBot="1" x14ac:dyDescent="0.25"/>
    <x:row r="64" spans="1:17" ht="16.5" thickTop="1" thickBot="1" x14ac:dyDescent="0.35">
      <x:c r="A64" s="3" t="s">
        <x:v>132</x:v>
      </x:c>
      <x:c r="B64" s="3"/>
      <x:c r="C64" s="3"/>
    </x:row>
    <x:row r="65" spans="1:20" ht="16.5" thickTop="1" thickBot="1" x14ac:dyDescent="0.35">
      <x:c r="A65" s="3" t="s">
        <x:v>0</x:v>
      </x:c>
      <x:c r="B65" s="3" t="s">
        <x:v>8</x:v>
      </x:c>
      <x:c r="C65" s="3" t="s">
        <x:v>31</x:v>
      </x:c>
      <x:c r="D65" s="3" t="s">
        <x:v>38</x:v>
      </x:c>
      <x:c r="E65" s="3" t="s">
        <x:v>6</x:v>
      </x:c>
      <x:c r="F65" s="3" t="s">
        <x:v>34</x:v>
      </x:c>
      <x:c r="G65" s="3" t="s">
        <x:v>36</x:v>
      </x:c>
      <x:c r="H65" s="3" t="s">
        <x:v>18</x:v>
      </x:c>
      <x:c r="I65" s="4" t="s">
        <x:v>35</x:v>
      </x:c>
      <x:c r="J65" s="3" t="s">
        <x:v>37</x:v>
      </x:c>
      <x:c r="K65" s="3" t="s">
        <x:v>43</x:v>
      </x:c>
      <x:c r="L65" s="3" t="s">
        <x:v>39</x:v>
      </x:c>
      <x:c r="M65" s="3" t="s">
        <x:v>45</x:v>
      </x:c>
      <x:c r="N65" s="3" t="s">
        <x:v>46</x:v>
      </x:c>
      <x:c r="O65" s="3" t="s">
        <x:v>18</x:v>
      </x:c>
      <x:c r="P65" s="3" t="s">
        <x:v>42</x:v>
      </x:c>
      <x:c r="Q65" s="3" t="s">
        <x:v>41</x:v>
      </x:c>
      <x:c r="R65" s="3" t="s">
        <x:v>40</x:v>
      </x:c>
      <x:c r="S65" s="3" t="s">
        <x:v>44</x:v>
      </x:c>
      <x:c r="T65" s="3" t="s">
        <x:v>32</x:v>
      </x:c>
    </x:row>
    <x:row r="66" spans="1:20" ht="15.75" thickTop="1" x14ac:dyDescent="0.25">
      <x:c r="A66" s="136" t="s">
        <x:v>19</x:v>
      </x:c>
      <x:c r="B66" s="100" t="s">
        <x:v>130</x:v>
      </x:c>
      <x:c r="C66" s="136" t="s">
        <x:v>221</x:v>
      </x:c>
      <x:c r="D66" s="136" t="s">
        <x:v>165</x:v>
      </x:c>
      <x:c r="E66" s="100" t="s">
        <x:v>124</x:v>
      </x:c>
      <x:c r="F66" s="100" t="s">
        <x:v>49</x:v>
      </x:c>
      <x:c r="G66" s="101" t="s">
        <x:v>51</x:v>
      </x:c>
      <x:c r="H66" s="124" t="s">
        <x:v>52</x:v>
      </x:c>
      <x:c r="I66" s="100" t="s">
        <x:v>50</x:v>
      </x:c>
      <x:c r="J66" s="136" t="s">
        <x:v>60</x:v>
      </x:c>
      <x:c r="K66" s="143">
        <x:v>0</x:v>
      </x:c>
      <x:c r="L66" s="143">
        <x:v>-171.18</x:v>
      </x:c>
      <x:c r="M66" s="136" t="s">
        <x:v>97</x:v>
      </x:c>
      <x:c r="N66" s="136" t="s">
        <x:v>121</x:v>
      </x:c>
      <x:c r="O66" s="126" t="s">
        <x:v>229</x:v>
      </x:c>
      <x:c r="P66" s="133">
        <x:v>0</x:v>
      </x:c>
      <x:c r="Q66" s="133">
        <x:v>0</x:v>
      </x:c>
      <x:c r="R66" s="143">
        <x:v>-171.18</x:v>
      </x:c>
      <x:c r="S66" s="108">
        <x:v>45291</x:v>
      </x:c>
      <x:c r="T66" s="100" t="s">
        <x:v>222</x:v>
      </x:c>
    </x:row>
    <x:row r="67" spans="1:20" ht="15" x14ac:dyDescent="0.25">
      <x:c r="A67" s="136" t="s">
        <x:v>19</x:v>
      </x:c>
      <x:c r="B67" s="100" t="s">
        <x:v>130</x:v>
      </x:c>
      <x:c r="C67" s="136" t="s">
        <x:v>221</x:v>
      </x:c>
      <x:c r="D67" s="136" t="s">
        <x:v>167</x:v>
      </x:c>
      <x:c r="E67" s="100" t="s">
        <x:v>124</x:v>
      </x:c>
      <x:c r="F67" s="100" t="s">
        <x:v>49</x:v>
      </x:c>
      <x:c r="G67" s="101" t="s">
        <x:v>51</x:v>
      </x:c>
      <x:c r="H67" s="124" t="s">
        <x:v>52</x:v>
      </x:c>
      <x:c r="I67" s="100" t="s">
        <x:v>50</x:v>
      </x:c>
      <x:c r="J67" s="136" t="s">
        <x:v>60</x:v>
      </x:c>
      <x:c r="K67" s="143">
        <x:v>-2.1360000000000001</x:v>
      </x:c>
      <x:c r="L67" s="143">
        <x:v>-510789.06</x:v>
      </x:c>
      <x:c r="M67" s="136" t="s">
        <x:v>97</x:v>
      </x:c>
      <x:c r="N67" s="136" t="s">
        <x:v>121</x:v>
      </x:c>
      <x:c r="O67" s="126" t="s">
        <x:v>230</x:v>
      </x:c>
      <x:c r="P67" s="133">
        <x:v>0</x:v>
      </x:c>
      <x:c r="Q67" s="133">
        <x:v>0</x:v>
      </x:c>
      <x:c r="R67" s="143">
        <x:v>-510789.06</x:v>
      </x:c>
      <x:c r="S67" s="108">
        <x:v>45260</x:v>
      </x:c>
      <x:c r="T67" s="100" t="s">
        <x:v>222</x:v>
      </x:c>
    </x:row>
    <x:row r="68" spans="1:20" ht="15" x14ac:dyDescent="0.25">
      <x:c r="A68" s="136" t="s">
        <x:v>19</x:v>
      </x:c>
      <x:c r="B68" s="100" t="s">
        <x:v>130</x:v>
      </x:c>
      <x:c r="C68" s="136" t="s">
        <x:v>221</x:v>
      </x:c>
      <x:c r="D68" s="136" t="s">
        <x:v>109</x:v>
      </x:c>
      <x:c r="E68" s="100" t="s">
        <x:v>124</x:v>
      </x:c>
      <x:c r="F68" s="100" t="s">
        <x:v>49</x:v>
      </x:c>
      <x:c r="G68" s="101" t="s">
        <x:v>51</x:v>
      </x:c>
      <x:c r="H68" s="124" t="s">
        <x:v>52</x:v>
      </x:c>
      <x:c r="I68" s="100" t="s">
        <x:v>50</x:v>
      </x:c>
      <x:c r="J68" s="136" t="s">
        <x:v>60</x:v>
      </x:c>
      <x:c r="K68" s="143">
        <x:v>0</x:v>
      </x:c>
      <x:c r="L68" s="143">
        <x:v>-359.52</x:v>
      </x:c>
      <x:c r="M68" s="136" t="s">
        <x:v>97</x:v>
      </x:c>
      <x:c r="N68" s="136" t="s">
        <x:v>121</x:v>
      </x:c>
      <x:c r="O68" s="126" t="s">
        <x:v>229</x:v>
      </x:c>
      <x:c r="P68" s="133">
        <x:v>0</x:v>
      </x:c>
      <x:c r="Q68" s="133">
        <x:v>0</x:v>
      </x:c>
      <x:c r="R68" s="143">
        <x:v>-359.52</x:v>
      </x:c>
      <x:c r="S68" s="108"/>
      <x:c r="T68" s="100" t="s">
        <x:v>222</x:v>
      </x:c>
    </x:row>
    <x:row r="69" spans="1:20" ht="13.5" thickBot="1" x14ac:dyDescent="0.25">
      <x:c r="A69" s="10"/>
      <x:c r="B69" s="10"/>
      <x:c r="C69" s="10"/>
      <x:c r="D69" s="10"/>
      <x:c r="E69" s="10"/>
      <x:c r="F69" s="10"/>
      <x:c r="G69" s="10"/>
      <x:c r="H69" s="10"/>
      <x:c r="J69" s="10"/>
      <x:c r="K69" s="127">
        <x:v>-2.1360000000000001</x:v>
      </x:c>
      <x:c r="L69" s="127">
        <x:v>-511319.76</x:v>
      </x:c>
      <x:c r="M69" s="10"/>
      <x:c r="N69" s="10"/>
      <x:c r="O69" s="10"/>
      <x:c r="P69" s="9"/>
      <x:c r="Q69" s="9"/>
      <x:c r="R69" s="9"/>
      <x:c r="T69" s="10"/>
    </x:row>
    <x:row r="70" spans="1:20" ht="13.5" thickTop="1" x14ac:dyDescent="0.2"/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778E509A-3B4A-4D9C-BAFE-FA2A37518C78}">
      <x:formula1>"NEXT"</x:formula1>
    </x:dataValidation>
  </x:dataValidations>
  <x:pageMargins left="0.7" right="0.7" top="2.5" bottom="0.75" header="1.25" footer="0.3"/>
  <x:pageSetup scale="33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2A6C940-78D9-4FD9-B540-771F6DF0D5E7}" mc:Ignorable="x14ac xr xr2 xr3">
  <x:sheetPr>
    <x:pageSetUpPr fitToPage="1"/>
  </x:sheetPr>
  <x:dimension ref="A1:Y57"/>
  <x:sheetViews>
    <x:sheetView tabSelected="1" zoomScaleNormal="100" workbookViewId="0"/>
  </x:sheetViews>
  <x:sheetFormatPr defaultColWidth="9.140625" defaultRowHeight="12.75" x14ac:dyDescent="0.2"/>
  <x:cols>
    <x:col min="1" max="1" width="6.140625" style="8" bestFit="1" customWidth="1"/>
    <x:col min="2" max="2" width="11.85546875" style="8" customWidth="1"/>
    <x:col min="3" max="3" width="13" style="8" bestFit="1" customWidth="1"/>
    <x:col min="4" max="4" width="16" style="8" bestFit="1" customWidth="1"/>
    <x:col min="5" max="5" width="9.42578125" style="8" bestFit="1" customWidth="1"/>
    <x:col min="6" max="6" width="9.140625" style="8"/>
    <x:col min="7" max="7" width="8.42578125" style="8" bestFit="1" customWidth="1"/>
    <x:col min="8" max="8" width="8.5703125" style="8" bestFit="1" customWidth="1"/>
    <x:col min="9" max="9" width="13" style="9" bestFit="1" customWidth="1"/>
    <x:col min="10" max="10" width="11.85546875" style="8" bestFit="1" customWidth="1"/>
    <x:col min="11" max="11" width="17.7109375" style="8" customWidth="1"/>
    <x:col min="12" max="12" width="13.28515625" style="8" bestFit="1" customWidth="1"/>
    <x:col min="13" max="13" width="10.85546875" style="8" bestFit="1" customWidth="1"/>
    <x:col min="14" max="14" width="13.42578125" style="8" bestFit="1" customWidth="1"/>
    <x:col min="15" max="15" width="15.42578125" style="8" customWidth="1"/>
    <x:col min="16" max="16" width="27.85546875" style="8" bestFit="1" customWidth="1"/>
    <x:col min="17" max="17" width="12.7109375" style="8" bestFit="1" customWidth="1"/>
    <x:col min="18" max="18" width="13.28515625" style="8" bestFit="1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232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150" t="s">
        <x:v>4</x:v>
      </x:c>
      <x:c r="B3" s="151"/>
      <x:c r="C3" s="151"/>
      <x:c r="D3" s="151"/>
      <x:c r="E3" s="152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22</x:v>
      </x:c>
      <x:c r="E5" s="100" t="s">
        <x:v>233</x:v>
      </x:c>
      <x:c r="F5" s="100" t="s">
        <x:v>23</x:v>
      </x:c>
      <x:c r="G5" s="100" t="s">
        <x:v>23</x:v>
      </x:c>
      <x:c r="H5" s="100"/>
      <x:c r="I5" s="133">
        <x:v>-157037</x:v>
      </x:c>
      <x:c r="J5" s="100" t="s">
        <x:v>234</x:v>
      </x:c>
      <x:c r="K5" s="100"/>
      <x:c r="L5" s="100">
        <x:v>9</x:v>
      </x:c>
      <x:c r="M5" s="100">
        <x:v>2024</x:v>
      </x:c>
      <x:c r="N5" s="100" t="s">
        <x:v>25</x:v>
      </x:c>
      <x:c r="O5" s="100" t="s">
        <x:v>26</x:v>
      </x:c>
      <x:c r="P5" s="100" t="s">
        <x:v>27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00" t="s">
        <x:v>20</x:v>
      </x:c>
      <x:c r="C6" s="100" t="s">
        <x:v>21</x:v>
      </x:c>
      <x:c r="D6" s="100" t="s">
        <x:v>131</x:v>
      </x:c>
      <x:c r="E6" s="100" t="s">
        <x:v>233</x:v>
      </x:c>
      <x:c r="F6" s="100" t="s">
        <x:v>23</x:v>
      </x:c>
      <x:c r="G6" s="100" t="s">
        <x:v>23</x:v>
      </x:c>
      <x:c r="H6" s="100"/>
      <x:c r="I6" s="133">
        <x:v>157037</x:v>
      </x:c>
      <x:c r="J6" s="100" t="s">
        <x:v>235</x:v>
      </x:c>
      <x:c r="K6" s="100"/>
      <x:c r="L6" s="100">
        <x:v>9</x:v>
      </x:c>
      <x:c r="M6" s="100">
        <x:v>2024</x:v>
      </x:c>
      <x:c r="N6" s="100" t="s">
        <x:v>25</x:v>
      </x:c>
      <x:c r="O6" s="100" t="s">
        <x:v>144</x:v>
      </x:c>
      <x:c r="P6" s="100" t="s">
        <x:v>145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0" t="s">
        <x:v>19</x:v>
      </x:c>
      <x:c r="B7" s="100" t="s">
        <x:v>20</x:v>
      </x:c>
      <x:c r="C7" s="100" t="s">
        <x:v>103</x:v>
      </x:c>
      <x:c r="D7" s="100" t="s">
        <x:v>81</x:v>
      </x:c>
      <x:c r="E7" s="100" t="s">
        <x:v>233</x:v>
      </x:c>
      <x:c r="F7" s="100" t="s">
        <x:v>23</x:v>
      </x:c>
      <x:c r="G7" s="100" t="s">
        <x:v>23</x:v>
      </x:c>
      <x:c r="H7" s="100"/>
      <x:c r="I7" s="133">
        <x:v>-157037</x:v>
      </x:c>
      <x:c r="J7" s="100" t="s">
        <x:v>235</x:v>
      </x:c>
      <x:c r="K7" s="100"/>
      <x:c r="L7" s="100">
        <x:v>9</x:v>
      </x:c>
      <x:c r="M7" s="100">
        <x:v>2024</x:v>
      </x:c>
      <x:c r="N7" s="100" t="s">
        <x:v>25</x:v>
      </x:c>
      <x:c r="O7" s="100" t="s">
        <x:v>144</x:v>
      </x:c>
      <x:c r="P7" s="100" t="s">
        <x:v>147</x:v>
      </x:c>
      <x:c r="R7" s="103"/>
      <x:c r="X7" s="17"/>
      <x:c r="Y7" s="17"/>
    </x:row>
    <x:row r="8" spans="1:25" x14ac:dyDescent="0.2">
      <x:c r="X8" s="17"/>
      <x:c r="Y8" s="17"/>
    </x:row>
    <x:row r="9" spans="1:25" x14ac:dyDescent="0.2">
      <x:c r="X9" s="17"/>
      <x:c r="Y9" s="17"/>
    </x:row>
    <x:row r="10" spans="1:25" x14ac:dyDescent="0.2">
      <x:c r="A10" s="105" t="s">
        <x:v>28</x:v>
      </x:c>
      <x:c r="X10" s="17"/>
      <x:c r="Y10" s="17"/>
    </x:row>
    <x:row r="11" spans="1:25" ht="13.5" thickBot="1" x14ac:dyDescent="0.25">
      <x:c r="A11" s="105"/>
      <x:c r="R11" s="103"/>
      <x:c r="X11" s="17"/>
      <x:c r="Y11" s="17"/>
    </x:row>
    <x:row r="12" spans="1:25" ht="16.5" thickTop="1" thickBot="1" x14ac:dyDescent="0.35">
      <x:c r="A12" s="150" t="s">
        <x:v>29</x:v>
      </x:c>
      <x:c r="B12" s="151"/>
      <x:c r="C12" s="151"/>
      <x:c r="D12" s="152"/>
      <x:c r="W12" s="5" t="s">
        <x:v>30</x:v>
      </x:c>
      <x:c r="X12" s="17"/>
      <x:c r="Y12" s="17"/>
    </x:row>
    <x:row r="13" spans="1:25" ht="16.5" thickTop="1" thickBot="1" x14ac:dyDescent="0.35">
      <x:c r="A13" s="3" t="s">
        <x:v>0</x:v>
      </x:c>
      <x:c r="B13" s="3" t="s">
        <x:v>31</x:v>
      </x:c>
      <x:c r="C13" s="3" t="s">
        <x:v>32</x:v>
      </x:c>
      <x:c r="D13" s="3" t="s">
        <x:v>18</x:v>
      </x:c>
      <x:c r="E13" s="3" t="s">
        <x:v>6</x:v>
      </x:c>
      <x:c r="F13" s="3" t="s">
        <x:v>33</x:v>
      </x:c>
      <x:c r="G13" s="3" t="s">
        <x:v>34</x:v>
      </x:c>
      <x:c r="H13" s="3" t="s">
        <x:v>35</x:v>
      </x:c>
      <x:c r="I13" s="4" t="s">
        <x:v>36</x:v>
      </x:c>
      <x:c r="J13" s="3" t="s">
        <x:v>18</x:v>
      </x:c>
      <x:c r="K13" s="3" t="s">
        <x:v>37</x:v>
      </x:c>
      <x:c r="L13" s="3" t="s">
        <x:v>8</x:v>
      </x:c>
      <x:c r="M13" s="3" t="s">
        <x:v>38</x:v>
      </x:c>
      <x:c r="N13" s="3" t="s">
        <x:v>39</x:v>
      </x:c>
      <x:c r="O13" s="3" t="s">
        <x:v>40</x:v>
      </x:c>
      <x:c r="P13" s="3" t="s">
        <x:v>41</x:v>
      </x:c>
      <x:c r="Q13" s="3" t="s">
        <x:v>42</x:v>
      </x:c>
      <x:c r="R13" s="3" t="s">
        <x:v>43</x:v>
      </x:c>
      <x:c r="S13" s="3" t="s">
        <x:v>44</x:v>
      </x:c>
      <x:c r="T13" s="3" t="s">
        <x:v>45</x:v>
      </x:c>
      <x:c r="U13" s="3" t="s">
        <x:v>46</x:v>
      </x:c>
      <x:c r="V13" s="3" t="s">
        <x:v>18</x:v>
      </x:c>
      <x:c r="W13" s="3" t="s">
        <x:v>47</x:v>
      </x:c>
      <x:c r="X13" s="17"/>
      <x:c r="Y13" s="17"/>
    </x:row>
    <x:row r="14" spans="1:25" ht="13.5" thickTop="1" x14ac:dyDescent="0.2">
      <x:c r="A14" s="100" t="s">
        <x:v>19</x:v>
      </x:c>
      <x:c r="B14" s="100" t="s">
        <x:v>236</x:v>
      </x:c>
      <x:c r="C14" s="100" t="s">
        <x:v>237</x:v>
      </x:c>
      <x:c r="D14" s="106" t="s">
        <x:v>238</x:v>
      </x:c>
      <x:c r="E14" s="100" t="s">
        <x:v>100</x:v>
      </x:c>
      <x:c r="F14" s="100" t="s">
        <x:v>3</x:v>
      </x:c>
      <x:c r="G14" s="100" t="s">
        <x:v>101</x:v>
      </x:c>
      <x:c r="H14" s="100" t="s">
        <x:v>50</x:v>
      </x:c>
      <x:c r="I14" s="101" t="s">
        <x:v>51</x:v>
      </x:c>
      <x:c r="J14" s="100" t="s">
        <x:v>102</x:v>
      </x:c>
      <x:c r="K14" s="100" t="s">
        <x:v>59</x:v>
      </x:c>
      <x:c r="L14" s="100"/>
      <x:c r="M14" s="100" t="s">
        <x:v>239</x:v>
      </x:c>
      <x:c r="N14" s="101">
        <x:v>1387.34</x:v>
      </x:c>
      <x:c r="O14" s="101">
        <x:v>1387.34</x:v>
      </x:c>
      <x:c r="P14" s="101">
        <x:v>0</x:v>
      </x:c>
      <x:c r="Q14" s="101">
        <x:v>0</x:v>
      </x:c>
      <x:c r="R14" s="107">
        <x:v>13.307</x:v>
      </x:c>
      <x:c r="S14" s="108">
        <x:v>34639</x:v>
      </x:c>
      <x:c r="T14" s="100"/>
      <x:c r="U14" s="100" t="s">
        <x:v>118</x:v>
      </x:c>
      <x:c r="V14" s="106" t="s">
        <x:v>98</x:v>
      </x:c>
      <x:c r="W14" s="100" t="s">
        <x:v>240</x:v>
      </x:c>
      <x:c r="X14" s="17"/>
      <x:c r="Y14" s="17"/>
    </x:row>
    <x:row r="15" spans="1:25" x14ac:dyDescent="0.2">
      <x:c r="A15" s="100"/>
      <x:c r="B15" s="100"/>
      <x:c r="C15" s="100"/>
      <x:c r="D15" s="106"/>
      <x:c r="E15" s="100"/>
      <x:c r="F15" s="100"/>
      <x:c r="G15" s="100"/>
      <x:c r="H15" s="100"/>
      <x:c r="I15" s="101"/>
      <x:c r="J15" s="100"/>
      <x:c r="K15" s="100"/>
      <x:c r="L15" s="100"/>
      <x:c r="M15" s="100"/>
      <x:c r="N15" s="101"/>
      <x:c r="O15" s="101"/>
      <x:c r="P15" s="101"/>
      <x:c r="Q15" s="101"/>
      <x:c r="R15" s="101"/>
      <x:c r="S15" s="108"/>
      <x:c r="T15" s="100"/>
      <x:c r="U15" s="100"/>
      <x:c r="V15" s="106"/>
      <x:c r="W15" s="100"/>
      <x:c r="X15" s="17"/>
      <x:c r="Y15" s="17"/>
    </x:row>
    <x:row r="16" spans="1:25" x14ac:dyDescent="0.2">
      <x:c r="O16" s="9">
        <x:v>1387.34</x:v>
      </x:c>
      <x:c r="Q16" s="9"/>
      <x:c r="R16" s="109">
        <x:v>13.307</x:v>
      </x:c>
      <x:c r="X16" s="17"/>
      <x:c r="Y16" s="17"/>
    </x:row>
    <x:row r="17" spans="1:25" x14ac:dyDescent="0.2">
      <x:c r="R17" s="12"/>
      <x:c r="X17" s="17"/>
      <x:c r="Y17" s="17"/>
    </x:row>
    <x:row r="18" spans="1:25" x14ac:dyDescent="0.2">
      <x:c r="O18" s="9">
        <x:v>104.25640640264521</x:v>
      </x:c>
      <x:c r="P18" s="110" t="s">
        <x:v>64</x:v>
      </x:c>
      <x:c r="X18" s="17"/>
      <x:c r="Y18" s="17"/>
    </x:row>
    <x:row r="19" spans="1:25" x14ac:dyDescent="0.2">
      <x:c r="H19" s="5"/>
      <x:c r="I19" s="5"/>
      <x:c r="J19" s="5"/>
      <x:c r="O19" s="18">
        <x:v>347.28</x:v>
      </x:c>
      <x:c r="P19" s="110" t="s">
        <x:v>65</x:v>
      </x:c>
      <x:c r="Q19" s="24">
        <x:v>3.331</x:v>
      </x:c>
      <x:c r="R19" s="32" t="s">
        <x:v>66</x:v>
      </x:c>
      <x:c r="X19" s="17"/>
      <x:c r="Y19" s="17"/>
    </x:row>
    <x:row r="20" spans="1:25" x14ac:dyDescent="0.2">
      <x:c r="X20" s="17"/>
      <x:c r="Y20" s="17"/>
    </x:row>
    <x:row r="21" spans="1:25" x14ac:dyDescent="0.2">
      <x:c r="A21" s="105" t="s">
        <x:v>67</x:v>
      </x:c>
      <x:c r="O21" s="111"/>
      <x:c r="P21" s="9"/>
      <x:c r="X21" s="17"/>
      <x:c r="Y21" s="17"/>
    </x:row>
    <x:row r="22" spans="1:25" ht="15.75" thickBot="1" x14ac:dyDescent="0.35">
      <x:c r="O22" s="6"/>
      <x:c r="P22" s="9"/>
      <x:c r="T22" s="6"/>
      <x:c r="X22" s="17"/>
      <x:c r="Y22" s="17"/>
    </x:row>
    <x:row r="23" spans="1:25" x14ac:dyDescent="0.2">
      <x:c r="B23" s="13"/>
      <x:c r="C23" s="14"/>
      <x:c r="D23" s="14"/>
      <x:c r="E23" s="14"/>
      <x:c r="F23" s="14"/>
      <x:c r="G23" s="15"/>
      <x:c r="P23" s="9"/>
      <x:c r="X23" s="17"/>
      <x:c r="Y23" s="17"/>
    </x:row>
    <x:row r="24" spans="1:25" x14ac:dyDescent="0.2">
      <x:c r="B24" s="16"/>
      <x:c r="C24" s="130">
        <x:v>-157037</x:v>
      </x:c>
      <x:c r="E24" s="105" t="s">
        <x:v>69</x:v>
      </x:c>
      <x:c r="F24" s="105"/>
      <x:c r="G24" s="33"/>
      <x:c r="P24" s="9"/>
      <x:c r="X24" s="17"/>
      <x:c r="Y24" s="17"/>
    </x:row>
    <x:row r="25" spans="1:25" x14ac:dyDescent="0.2">
      <x:c r="B25" s="16"/>
      <x:c r="C25" s="131">
        <x:v>0</x:v>
      </x:c>
      <x:c r="E25" s="154" t="s">
        <x:v>70</x:v>
      </x:c>
      <x:c r="F25" s="154"/>
      <x:c r="G25" s="33"/>
      <x:c r="P25" s="9"/>
      <x:c r="X25" s="17"/>
      <x:c r="Y25" s="17"/>
    </x:row>
    <x:row r="26" spans="1:25" ht="15" x14ac:dyDescent="0.3">
      <x:c r="B26" s="16"/>
      <x:c r="C26" s="130">
        <x:v>-157037</x:v>
      </x:c>
      <x:c r="E26" s="105" t="s">
        <x:v>71</x:v>
      </x:c>
      <x:c r="F26" s="105"/>
      <x:c r="G26" s="33"/>
      <x:c r="O26" s="7"/>
      <x:c r="P26" s="9"/>
      <x:c r="X26" s="17"/>
      <x:c r="Y26" s="17"/>
    </x:row>
    <x:row r="27" spans="1:25" ht="15" x14ac:dyDescent="0.3">
      <x:c r="B27" s="16"/>
      <x:c r="C27" s="130">
        <x:v>347.28</x:v>
      </x:c>
      <x:c r="E27" s="154" t="s">
        <x:v>72</x:v>
      </x:c>
      <x:c r="F27" s="154"/>
      <x:c r="G27" s="33"/>
      <x:c r="O27" s="7"/>
      <x:c r="P27" s="9"/>
      <x:c r="X27" s="17"/>
      <x:c r="Y27" s="17"/>
    </x:row>
    <x:row r="28" spans="1:25" ht="13.5" thickBot="1" x14ac:dyDescent="0.25">
      <x:c r="B28" s="16"/>
      <x:c r="C28" s="132">
        <x:v>-156689.72</x:v>
      </x:c>
      <x:c r="E28" s="105" t="s">
        <x:v>73</x:v>
      </x:c>
      <x:c r="F28" s="105"/>
      <x:c r="G28" s="155"/>
      <x:c r="P28" s="9"/>
      <x:c r="X28" s="17"/>
      <x:c r="Y28" s="17"/>
    </x:row>
    <x:row r="29" spans="1:25" ht="16.5" thickTop="1" thickBot="1" x14ac:dyDescent="0.35">
      <x:c r="B29" s="19"/>
      <x:c r="C29" s="20"/>
      <x:c r="D29" s="20"/>
      <x:c r="E29" s="20"/>
      <x:c r="F29" s="20"/>
      <x:c r="G29" s="21"/>
      <x:c r="P29" s="9"/>
      <x:c r="Q29" s="6"/>
      <x:c r="X29" s="17"/>
      <x:c r="Y29" s="17"/>
    </x:row>
    <x:row r="30" spans="1:25" ht="15" x14ac:dyDescent="0.3">
      <x:c r="P30" s="9"/>
      <x:c r="Q30" s="6"/>
      <x:c r="X30" s="17"/>
      <x:c r="Y30" s="17"/>
    </x:row>
    <x:row r="31" spans="1:25" ht="15" x14ac:dyDescent="0.3">
      <x:c r="B31" s="119"/>
      <x:c r="C31" s="119"/>
      <x:c r="D31" s="120"/>
      <x:c r="P31" s="9"/>
      <x:c r="Q31" s="6"/>
      <x:c r="X31" s="17"/>
      <x:c r="Y31" s="17"/>
    </x:row>
    <x:row r="32" spans="1:25" x14ac:dyDescent="0.2">
      <x:c r="A32" s="105" t="s">
        <x:v>74</x:v>
      </x:c>
      <x:c r="B32" s="121"/>
      <x:c r="C32" s="121"/>
      <x:c r="D32" s="121"/>
      <x:c r="E32" s="121"/>
      <x:c r="F32" s="121"/>
      <x:c r="G32" s="121"/>
      <x:c r="H32" s="121"/>
      <x:c r="I32" s="113"/>
      <x:c r="J32" s="121"/>
      <x:c r="K32" s="121"/>
      <x:c r="X32" s="17"/>
      <x:c r="Y32" s="17"/>
    </x:row>
    <x:row r="33" spans="1:25" x14ac:dyDescent="0.2">
      <x:c r="A33" s="105"/>
      <x:c r="B33" s="121"/>
      <x:c r="C33" s="121"/>
      <x:c r="D33" s="121"/>
      <x:c r="E33" s="121"/>
      <x:c r="F33" s="121"/>
      <x:c r="G33" s="121"/>
      <x:c r="H33" s="121"/>
      <x:c r="I33" s="113"/>
      <x:c r="J33" s="121"/>
      <x:c r="K33" s="121"/>
      <x:c r="X33" s="17"/>
      <x:c r="Y33" s="17"/>
    </x:row>
    <x:row r="34" spans="1:25" ht="15" x14ac:dyDescent="0.3">
      <x:c r="A34" s="105" t="s">
        <x:v>75</x:v>
      </x:c>
      <x:c r="B34" s="121"/>
      <x:c r="C34" s="121"/>
      <x:c r="D34" s="121"/>
      <x:c r="E34" s="121"/>
      <x:c r="F34" s="121"/>
      <x:c r="G34" s="121"/>
      <x:c r="H34" s="121"/>
      <x:c r="I34" s="113"/>
      <x:c r="J34" s="121"/>
      <x:c r="K34" s="121"/>
      <x:c r="P34" s="9"/>
      <x:c r="Q34" s="6"/>
      <x:c r="X34" s="17"/>
      <x:c r="Y34" s="17"/>
    </x:row>
    <x:row r="35" spans="1:25" x14ac:dyDescent="0.2">
      <x:c r="A35" s="121"/>
      <x:c r="B35" s="121"/>
      <x:c r="C35" s="121"/>
      <x:c r="D35" s="121"/>
      <x:c r="E35" s="121"/>
      <x:c r="F35" s="121"/>
      <x:c r="G35" s="121"/>
      <x:c r="H35" s="121"/>
      <x:c r="I35" s="113"/>
      <x:c r="J35" s="121"/>
      <x:c r="K35" s="121"/>
      <x:c r="X35" s="17"/>
      <x:c r="Y35" s="17"/>
    </x:row>
    <x:row r="36" spans="1:25" x14ac:dyDescent="0.2">
      <x:c r="A36" s="22" t="s">
        <x:v>76</x:v>
      </x:c>
      <x:c r="B36" s="22" t="s">
        <x:v>77</x:v>
      </x:c>
      <x:c r="C36" s="22" t="s">
        <x:v>6</x:v>
      </x:c>
      <x:c r="D36" s="22" t="s">
        <x:v>7</x:v>
      </x:c>
      <x:c r="E36" s="22" t="s">
        <x:v>8</x:v>
      </x:c>
      <x:c r="F36" s="22" t="s">
        <x:v>9</x:v>
      </x:c>
      <x:c r="G36" s="22" t="s">
        <x:v>10</x:v>
      </x:c>
      <x:c r="H36" s="22" t="s">
        <x:v>11</x:v>
      </x:c>
      <x:c r="I36" s="27" t="s">
        <x:v>78</x:v>
      </x:c>
      <x:c r="J36" s="22" t="s">
        <x:v>45</x:v>
      </x:c>
      <x:c r="K36" s="157" t="s">
        <x:v>79</x:v>
      </x:c>
      <x:c r="L36" s="158"/>
      <x:c r="M36" s="123"/>
      <x:c r="X36" s="17"/>
      <x:c r="Y36" s="17"/>
    </x:row>
    <x:row r="37" spans="1:25" x14ac:dyDescent="0.2">
      <x:c r="A37" s="23" t="s">
        <x:v>19</x:v>
      </x:c>
      <x:c r="B37" s="23" t="s">
        <x:v>20</x:v>
      </x:c>
      <x:c r="C37" s="23" t="s">
        <x:v>82</x:v>
      </x:c>
      <x:c r="D37" s="23" t="s">
        <x:v>83</x:v>
      </x:c>
      <x:c r="E37" s="23" t="s">
        <x:v>233</x:v>
      </x:c>
      <x:c r="F37" s="23" t="s">
        <x:v>23</x:v>
      </x:c>
      <x:c r="G37" s="23" t="s">
        <x:v>23</x:v>
      </x:c>
      <x:c r="H37" s="23" t="s">
        <x:v>24</x:v>
      </x:c>
      <x:c r="I37" s="129">
        <x:v>-156689.72</x:v>
      </x:c>
      <x:c r="J37" s="23"/>
      <x:c r="K37" s="149" t="s">
        <x:v>241</x:v>
      </x:c>
      <x:c r="L37" s="149"/>
      <x:c r="M37" s="156"/>
      <x:c r="X37" s="17"/>
      <x:c r="Y37" s="17"/>
    </x:row>
    <x:row r="38" spans="1:25" x14ac:dyDescent="0.2">
      <x:c r="A38" s="23" t="s">
        <x:v>19</x:v>
      </x:c>
      <x:c r="B38" s="28" t="s">
        <x:v>20</x:v>
      </x:c>
      <x:c r="C38" s="23" t="s">
        <x:v>103</x:v>
      </x:c>
      <x:c r="D38" s="23" t="s">
        <x:v>81</x:v>
      </x:c>
      <x:c r="E38" s="23" t="s">
        <x:v>233</x:v>
      </x:c>
      <x:c r="F38" s="23" t="s">
        <x:v>23</x:v>
      </x:c>
      <x:c r="G38" s="23" t="s">
        <x:v>23</x:v>
      </x:c>
      <x:c r="H38" s="23" t="s">
        <x:v>24</x:v>
      </x:c>
      <x:c r="I38" s="129">
        <x:v>156689.72</x:v>
      </x:c>
      <x:c r="J38" s="23"/>
      <x:c r="K38" s="149" t="s">
        <x:v>241</x:v>
      </x:c>
      <x:c r="L38" s="149"/>
      <x:c r="M38" s="156"/>
      <x:c r="X38" s="17"/>
      <x:c r="Y38" s="17"/>
    </x:row>
    <x:row r="39" spans="1:25" x14ac:dyDescent="0.2">
      <x:c r="A39" s="91"/>
      <x:c r="B39" s="91"/>
      <x:c r="C39" s="91"/>
      <x:c r="D39" s="91"/>
      <x:c r="E39" s="91"/>
      <x:c r="F39" s="91"/>
      <x:c r="G39" s="91"/>
      <x:c r="H39" s="91"/>
      <x:c r="I39" s="92"/>
      <x:c r="J39" s="91"/>
      <x:c r="K39" s="93"/>
      <x:c r="X39" s="17"/>
      <x:c r="Y39" s="17"/>
    </x:row>
    <x:row r="49" spans="1:20" x14ac:dyDescent="0.2">
      <x:c r="A49" s="105" t="s">
        <x:v>86</x:v>
      </x:c>
    </x:row>
    <x:row r="51" spans="1:20" ht="13.5" thickBot="1" x14ac:dyDescent="0.25"/>
    <x:row r="52" spans="1:20" ht="16.5" thickTop="1" thickBot="1" x14ac:dyDescent="0.35">
      <x:c r="A52" s="3" t="s">
        <x:v>132</x:v>
      </x:c>
      <x:c r="B52" s="3"/>
      <x:c r="C52" s="3"/>
    </x:row>
    <x:row r="53" spans="1:20" ht="16.5" thickTop="1" thickBot="1" x14ac:dyDescent="0.35">
      <x:c r="A53" s="3" t="s">
        <x:v>0</x:v>
      </x:c>
      <x:c r="B53" s="3" t="s">
        <x:v>8</x:v>
      </x:c>
      <x:c r="C53" s="3" t="s">
        <x:v>31</x:v>
      </x:c>
      <x:c r="D53" s="3" t="s">
        <x:v>38</x:v>
      </x:c>
      <x:c r="E53" s="3" t="s">
        <x:v>6</x:v>
      </x:c>
      <x:c r="F53" s="3" t="s">
        <x:v>34</x:v>
      </x:c>
      <x:c r="G53" s="3" t="s">
        <x:v>36</x:v>
      </x:c>
      <x:c r="H53" s="3" t="s">
        <x:v>18</x:v>
      </x:c>
      <x:c r="I53" s="4" t="s">
        <x:v>35</x:v>
      </x:c>
      <x:c r="J53" s="3" t="s">
        <x:v>37</x:v>
      </x:c>
      <x:c r="K53" s="3" t="s">
        <x:v>43</x:v>
      </x:c>
      <x:c r="L53" s="3" t="s">
        <x:v>39</x:v>
      </x:c>
      <x:c r="M53" s="3" t="s">
        <x:v>45</x:v>
      </x:c>
      <x:c r="N53" s="3" t="s">
        <x:v>46</x:v>
      </x:c>
      <x:c r="O53" s="3" t="s">
        <x:v>18</x:v>
      </x:c>
      <x:c r="P53" s="3" t="s">
        <x:v>42</x:v>
      </x:c>
      <x:c r="Q53" s="3" t="s">
        <x:v>41</x:v>
      </x:c>
      <x:c r="R53" s="3" t="s">
        <x:v>40</x:v>
      </x:c>
      <x:c r="S53" s="3" t="s">
        <x:v>44</x:v>
      </x:c>
      <x:c r="T53" s="3" t="s">
        <x:v>32</x:v>
      </x:c>
    </x:row>
    <x:row r="54" spans="1:20" ht="15.75" thickTop="1" x14ac:dyDescent="0.25">
      <x:c r="A54" s="136" t="s">
        <x:v>19</x:v>
      </x:c>
      <x:c r="B54" s="100" t="s">
        <x:v>233</x:v>
      </x:c>
      <x:c r="C54" s="137" t="s">
        <x:v>236</x:v>
      </x:c>
      <x:c r="D54" s="136" t="s">
        <x:v>239</x:v>
      </x:c>
      <x:c r="E54" s="100" t="s">
        <x:v>100</x:v>
      </x:c>
      <x:c r="F54" s="100" t="s">
        <x:v>101</x:v>
      </x:c>
      <x:c r="G54" s="138" t="s">
        <x:v>51</x:v>
      </x:c>
      <x:c r="H54" s="124" t="s">
        <x:v>102</x:v>
      </x:c>
      <x:c r="I54" s="100" t="s">
        <x:v>50</x:v>
      </x:c>
      <x:c r="J54" s="136" t="s">
        <x:v>60</x:v>
      </x:c>
      <x:c r="K54" s="143">
        <x:v>-3.331</x:v>
      </x:c>
      <x:c r="L54" s="143">
        <x:v>-347.28</x:v>
      </x:c>
      <x:c r="M54" s="136" t="s">
        <x:v>97</x:v>
      </x:c>
      <x:c r="N54" s="136" t="s">
        <x:v>121</x:v>
      </x:c>
      <x:c r="O54" s="126" t="s">
        <x:v>232</x:v>
      </x:c>
      <x:c r="P54" s="101">
        <x:v>0</x:v>
      </x:c>
      <x:c r="Q54" s="101">
        <x:v>0</x:v>
      </x:c>
      <x:c r="R54" s="143">
        <x:v>-347.28</x:v>
      </x:c>
      <x:c r="S54" s="141"/>
      <x:c r="T54" s="100" t="s">
        <x:v>237</x:v>
      </x:c>
    </x:row>
    <x:row r="55" spans="1:20" x14ac:dyDescent="0.2">
      <x:c r="A55" s="10"/>
      <x:c r="B55" s="10"/>
      <x:c r="C55" s="10"/>
      <x:c r="D55" s="10"/>
      <x:c r="E55" s="10"/>
      <x:c r="F55" s="10"/>
      <x:c r="G55" s="10"/>
      <x:c r="H55" s="10"/>
      <x:c r="J55" s="10"/>
      <x:c r="K55" s="12"/>
      <x:c r="L55" s="9"/>
      <x:c r="M55" s="10"/>
      <x:c r="N55" s="10"/>
      <x:c r="O55" s="10"/>
      <x:c r="P55" s="9"/>
      <x:c r="Q55" s="9"/>
      <x:c r="R55" s="9"/>
      <x:c r="T55" s="10"/>
    </x:row>
    <x:row r="56" spans="1:20" ht="13.5" thickBot="1" x14ac:dyDescent="0.25">
      <x:c r="A56" s="10"/>
      <x:c r="B56" s="10"/>
      <x:c r="C56" s="10"/>
      <x:c r="D56" s="10"/>
      <x:c r="E56" s="10"/>
      <x:c r="F56" s="10"/>
      <x:c r="G56" s="10"/>
      <x:c r="H56" s="10"/>
      <x:c r="J56" s="10"/>
      <x:c r="K56" s="127">
        <x:v>-3.331</x:v>
      </x:c>
      <x:c r="L56" s="127">
        <x:v>-347.28</x:v>
      </x:c>
      <x:c r="M56" s="10"/>
      <x:c r="N56" s="10"/>
      <x:c r="O56" s="10"/>
      <x:c r="P56" s="9"/>
      <x:c r="Q56" s="9"/>
      <x:c r="R56" s="9"/>
      <x:c r="T56" s="10"/>
    </x:row>
    <x:row r="57" spans="1:20" ht="13.5" thickTop="1" x14ac:dyDescent="0.2"/>
  </x:sheetData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33590C35-210B-4545-AE8C-D85242E307A1}">
      <x:formula1>"NEXT"</x:formula1>
    </x:dataValidation>
  </x:dataValidations>
  <x:pageMargins left="0.7" right="0.7" top="2.5" bottom="0.75" header="1.25" footer="0.3"/>
  <x:pageSetup scale="39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FAF0B1-D8E4-4A4F-8BE3-B0C9BD9A2F6F}" mc:Ignorable="x14ac xr xr2 xr3">
  <x:sheetPr>
    <x:pageSetUpPr fitToPage="1"/>
  </x:sheetPr>
  <x:dimension ref="A1:Y62"/>
  <x:sheetViews>
    <x:sheetView tabSelected="1" zoomScaleNormal="100" workbookViewId="0"/>
  </x:sheetViews>
  <x:sheetFormatPr defaultColWidth="9.140625" defaultRowHeight="12.75" x14ac:dyDescent="0.2"/>
  <x:cols>
    <x:col min="1" max="1" width="6.140625" style="8" bestFit="1" customWidth="1"/>
    <x:col min="2" max="2" width="11.85546875" style="8" customWidth="1"/>
    <x:col min="3" max="3" width="13" style="8" bestFit="1" customWidth="1"/>
    <x:col min="4" max="4" width="16" style="8" bestFit="1" customWidth="1"/>
    <x:col min="5" max="5" width="9.42578125" style="8" bestFit="1" customWidth="1"/>
    <x:col min="6" max="6" width="9.140625" style="8"/>
    <x:col min="7" max="7" width="8.42578125" style="8" bestFit="1" customWidth="1"/>
    <x:col min="8" max="8" width="8.5703125" style="8" bestFit="1" customWidth="1"/>
    <x:col min="9" max="9" width="13" style="9" bestFit="1" customWidth="1"/>
    <x:col min="10" max="10" width="11.85546875" style="8" bestFit="1" customWidth="1"/>
    <x:col min="11" max="11" width="21.5703125" style="8" customWidth="1"/>
    <x:col min="12" max="12" width="13.28515625" style="8" bestFit="1" customWidth="1"/>
    <x:col min="13" max="13" width="10.85546875" style="8" bestFit="1" customWidth="1"/>
    <x:col min="14" max="14" width="13.42578125" style="8" bestFit="1" customWidth="1"/>
    <x:col min="15" max="15" width="15.42578125" style="8" customWidth="1"/>
    <x:col min="16" max="16" width="27.85546875" style="8" bestFit="1" customWidth="1"/>
    <x:col min="17" max="17" width="12.7109375" style="8" bestFit="1" customWidth="1"/>
    <x:col min="18" max="18" width="13.28515625" style="8" bestFit="1" customWidth="1"/>
    <x:col min="19" max="19" width="10.140625" style="8" customWidth="1"/>
    <x:col min="20" max="20" width="12.140625" style="8" bestFit="1" customWidth="1"/>
    <x:col min="21" max="21" width="12.28515625" style="8" customWidth="1"/>
    <x:col min="22" max="22" width="24" style="8" bestFit="1" customWidth="1"/>
    <x:col min="23" max="23" width="11.7109375" style="8" customWidth="1"/>
    <x:col min="24" max="16384" width="9.140625" style="8"/>
  </x:cols>
  <x:sheetData>
    <x:row r="1" spans="1:25" x14ac:dyDescent="0.2">
      <x:c r="A1" s="5" t="s">
        <x:v>242</x:v>
      </x:c>
      <x:c r="B1" s="5"/>
      <x:c r="C1" s="5"/>
      <x:c r="D1" s="5"/>
      <x:c r="E1" s="5"/>
      <x:c r="F1" s="5"/>
      <x:c r="X1" s="17"/>
      <x:c r="Y1" s="17"/>
    </x:row>
    <x:row r="2" spans="1:25" ht="13.5" thickBot="1" x14ac:dyDescent="0.25">
      <x:c r="A2" s="135"/>
      <x:c r="X2" s="17"/>
      <x:c r="Y2" s="17"/>
    </x:row>
    <x:row r="3" spans="1:25" ht="16.5" thickTop="1" thickBot="1" x14ac:dyDescent="0.35">
      <x:c r="A3" s="150" t="s">
        <x:v>4</x:v>
      </x:c>
      <x:c r="B3" s="151"/>
      <x:c r="C3" s="151"/>
      <x:c r="D3" s="151"/>
      <x:c r="E3" s="152"/>
      <x:c r="R3" s="97"/>
      <x:c r="X3" s="17"/>
      <x:c r="Y3" s="17"/>
    </x:row>
    <x:row r="4" spans="1:25" ht="16.5" thickTop="1" thickBot="1" x14ac:dyDescent="0.35">
      <x:c r="A4" s="98" t="s">
        <x:v>0</x:v>
      </x:c>
      <x:c r="B4" s="98" t="s">
        <x:v>5</x:v>
      </x:c>
      <x:c r="C4" s="98" t="s">
        <x:v>6</x:v>
      </x:c>
      <x:c r="D4" s="98" t="s">
        <x:v>7</x:v>
      </x:c>
      <x:c r="E4" s="98" t="s">
        <x:v>8</x:v>
      </x:c>
      <x:c r="F4" s="98" t="s">
        <x:v>9</x:v>
      </x:c>
      <x:c r="G4" s="98" t="s">
        <x:v>10</x:v>
      </x:c>
      <x:c r="H4" s="98" t="s">
        <x:v>11</x:v>
      </x:c>
      <x:c r="I4" s="99" t="s">
        <x:v>12</x:v>
      </x:c>
      <x:c r="J4" s="98" t="s">
        <x:v>13</x:v>
      </x:c>
      <x:c r="K4" s="98" t="s">
        <x:v>14</x:v>
      </x:c>
      <x:c r="L4" s="98" t="s">
        <x:v>15</x:v>
      </x:c>
      <x:c r="M4" s="98" t="s">
        <x:v>1</x:v>
      </x:c>
      <x:c r="N4" s="98" t="s">
        <x:v>16</x:v>
      </x:c>
      <x:c r="O4" s="98" t="s">
        <x:v>17</x:v>
      </x:c>
      <x:c r="P4" s="98" t="s">
        <x:v>18</x:v>
      </x:c>
      <x:c r="R4" s="97"/>
      <x:c r="X4" s="17"/>
      <x:c r="Y4" s="17"/>
    </x:row>
    <x:row r="5" spans="1:25" ht="13.5" thickTop="1" x14ac:dyDescent="0.2">
      <x:c r="A5" s="100" t="s">
        <x:v>19</x:v>
      </x:c>
      <x:c r="B5" s="100" t="s">
        <x:v>20</x:v>
      </x:c>
      <x:c r="C5" s="100" t="s">
        <x:v>21</x:v>
      </x:c>
      <x:c r="D5" s="100" t="s">
        <x:v>104</x:v>
      </x:c>
      <x:c r="E5" s="100" t="s">
        <x:v>243</x:v>
      </x:c>
      <x:c r="F5" s="100" t="s">
        <x:v>23</x:v>
      </x:c>
      <x:c r="G5" s="100" t="s">
        <x:v>23</x:v>
      </x:c>
      <x:c r="H5" s="100"/>
      <x:c r="I5" s="133">
        <x:v>998.5</x:v>
      </x:c>
      <x:c r="J5" s="100" t="s">
        <x:v>244</x:v>
      </x:c>
      <x:c r="K5" s="100"/>
      <x:c r="L5" s="100">
        <x:v>10</x:v>
      </x:c>
      <x:c r="M5" s="100">
        <x:v>2024</x:v>
      </x:c>
      <x:c r="N5" s="100" t="s">
        <x:v>87</x:v>
      </x:c>
      <x:c r="O5" s="100" t="s">
        <x:v>88</x:v>
      </x:c>
      <x:c r="P5" s="100" t="s">
        <x:v>105</x:v>
      </x:c>
      <x:c r="Q5" s="102"/>
      <x:c r="R5" s="10"/>
      <x:c r="S5" s="10"/>
      <x:c r="T5" s="10"/>
      <x:c r="U5" s="10"/>
      <x:c r="X5" s="17"/>
      <x:c r="Y5" s="17"/>
    </x:row>
    <x:row r="6" spans="1:25" x14ac:dyDescent="0.2">
      <x:c r="A6" s="100" t="s">
        <x:v>19</x:v>
      </x:c>
      <x:c r="B6" s="100" t="s">
        <x:v>20</x:v>
      </x:c>
      <x:c r="C6" s="100" t="s">
        <x:v>21</x:v>
      </x:c>
      <x:c r="D6" s="100" t="s">
        <x:v>22</x:v>
      </x:c>
      <x:c r="E6" s="100" t="s">
        <x:v>243</x:v>
      </x:c>
      <x:c r="F6" s="100" t="s">
        <x:v>23</x:v>
      </x:c>
      <x:c r="G6" s="100" t="s">
        <x:v>23</x:v>
      </x:c>
      <x:c r="H6" s="100"/>
      <x:c r="I6" s="133">
        <x:v>-2035.21</x:v>
      </x:c>
      <x:c r="J6" s="100" t="s">
        <x:v>245</x:v>
      </x:c>
      <x:c r="K6" s="100"/>
      <x:c r="L6" s="100">
        <x:v>10</x:v>
      </x:c>
      <x:c r="M6" s="100">
        <x:v>2024</x:v>
      </x:c>
      <x:c r="N6" s="100" t="s">
        <x:v>25</x:v>
      </x:c>
      <x:c r="O6" s="100" t="s">
        <x:v>26</x:v>
      </x:c>
      <x:c r="P6" s="100" t="s">
        <x:v>27</x:v>
      </x:c>
      <x:c r="Q6" s="102"/>
      <x:c r="R6" s="10"/>
      <x:c r="S6" s="10"/>
      <x:c r="T6" s="10"/>
      <x:c r="U6" s="10"/>
      <x:c r="X6" s="17"/>
      <x:c r="Y6" s="17"/>
    </x:row>
    <x:row r="7" spans="1:25" x14ac:dyDescent="0.2">
      <x:c r="A7" s="100" t="s">
        <x:v>19</x:v>
      </x:c>
      <x:c r="B7" s="100" t="s">
        <x:v>20</x:v>
      </x:c>
      <x:c r="C7" s="100" t="s">
        <x:v>21</x:v>
      </x:c>
      <x:c r="D7" s="100" t="s">
        <x:v>131</x:v>
      </x:c>
      <x:c r="E7" s="100" t="s">
        <x:v>243</x:v>
      </x:c>
      <x:c r="F7" s="100" t="s">
        <x:v>23</x:v>
      </x:c>
      <x:c r="G7" s="100" t="s">
        <x:v>23</x:v>
      </x:c>
      <x:c r="H7" s="100"/>
      <x:c r="I7" s="133">
        <x:v>2035.21</x:v>
      </x:c>
      <x:c r="J7" s="100" t="s">
        <x:v>246</x:v>
      </x:c>
      <x:c r="K7" s="100"/>
      <x:c r="L7" s="100">
        <x:v>10</x:v>
      </x:c>
      <x:c r="M7" s="100">
        <x:v>2024</x:v>
      </x:c>
      <x:c r="N7" s="100" t="s">
        <x:v>25</x:v>
      </x:c>
      <x:c r="O7" s="100" t="s">
        <x:v>144</x:v>
      </x:c>
      <x:c r="P7" s="100" t="s">
        <x:v>145</x:v>
      </x:c>
      <x:c r="R7" s="103"/>
      <x:c r="X7" s="17"/>
      <x:c r="Y7" s="17"/>
    </x:row>
    <x:row r="8" spans="1:25" x14ac:dyDescent="0.2">
      <x:c r="A8" s="100" t="s">
        <x:v>19</x:v>
      </x:c>
      <x:c r="B8" s="100" t="s">
        <x:v>20</x:v>
      </x:c>
      <x:c r="C8" s="100" t="s">
        <x:v>21</x:v>
      </x:c>
      <x:c r="D8" s="100" t="s">
        <x:v>89</x:v>
      </x:c>
      <x:c r="E8" s="100" t="s">
        <x:v>243</x:v>
      </x:c>
      <x:c r="F8" s="100" t="s">
        <x:v>23</x:v>
      </x:c>
      <x:c r="G8" s="100" t="s">
        <x:v>23</x:v>
      </x:c>
      <x:c r="H8" s="100"/>
      <x:c r="I8" s="133">
        <x:v>59.81</x:v>
      </x:c>
      <x:c r="J8" s="100" t="s">
        <x:v>247</x:v>
      </x:c>
      <x:c r="K8" s="100"/>
      <x:c r="L8" s="100">
        <x:v>10</x:v>
      </x:c>
      <x:c r="M8" s="100">
        <x:v>2024</x:v>
      </x:c>
      <x:c r="N8" s="100" t="s">
        <x:v>90</x:v>
      </x:c>
      <x:c r="O8" s="100" t="s">
        <x:v>91</x:v>
      </x:c>
      <x:c r="P8" s="100" t="s">
        <x:v>92</x:v>
      </x:c>
      <x:c r="X8" s="17"/>
      <x:c r="Y8" s="17"/>
    </x:row>
    <x:row r="9" spans="1:25" x14ac:dyDescent="0.2">
      <x:c r="A9" s="100" t="s">
        <x:v>19</x:v>
      </x:c>
      <x:c r="B9" s="100" t="s">
        <x:v>20</x:v>
      </x:c>
      <x:c r="C9" s="100" t="s">
        <x:v>103</x:v>
      </x:c>
      <x:c r="D9" s="100" t="s">
        <x:v>81</x:v>
      </x:c>
      <x:c r="E9" s="100" t="s">
        <x:v>243</x:v>
      </x:c>
      <x:c r="F9" s="100" t="s">
        <x:v>23</x:v>
      </x:c>
      <x:c r="G9" s="100" t="s">
        <x:v>23</x:v>
      </x:c>
      <x:c r="H9" s="100"/>
      <x:c r="I9" s="133">
        <x:v>-2035.21</x:v>
      </x:c>
      <x:c r="J9" s="100" t="s">
        <x:v>246</x:v>
      </x:c>
      <x:c r="K9" s="100"/>
      <x:c r="L9" s="100">
        <x:v>10</x:v>
      </x:c>
      <x:c r="M9" s="100">
        <x:v>2024</x:v>
      </x:c>
      <x:c r="N9" s="100" t="s">
        <x:v>25</x:v>
      </x:c>
      <x:c r="O9" s="100" t="s">
        <x:v>144</x:v>
      </x:c>
      <x:c r="P9" s="100" t="s">
        <x:v>147</x:v>
      </x:c>
      <x:c r="X9" s="17"/>
      <x:c r="Y9" s="17"/>
    </x:row>
    <x:row r="10" spans="1:25" x14ac:dyDescent="0.2">
      <x:c r="X10" s="17"/>
      <x:c r="Y10" s="17"/>
    </x:row>
    <x:row r="11" spans="1:25" x14ac:dyDescent="0.2">
      <x:c r="X11" s="17"/>
      <x:c r="Y11" s="17"/>
    </x:row>
    <x:row r="12" spans="1:25" x14ac:dyDescent="0.2">
      <x:c r="X12" s="17"/>
      <x:c r="Y12" s="17"/>
    </x:row>
    <x:row r="13" spans="1:25" x14ac:dyDescent="0.2">
      <x:c r="X13" s="17"/>
      <x:c r="Y13" s="17"/>
    </x:row>
    <x:row r="14" spans="1:25" x14ac:dyDescent="0.2">
      <x:c r="X14" s="17"/>
      <x:c r="Y14" s="17"/>
    </x:row>
    <x:row r="15" spans="1:25" x14ac:dyDescent="0.2">
      <x:c r="A15" s="105" t="s">
        <x:v>28</x:v>
      </x:c>
      <x:c r="X15" s="17"/>
      <x:c r="Y15" s="17"/>
    </x:row>
    <x:row r="16" spans="1:25" ht="13.5" thickBot="1" x14ac:dyDescent="0.25">
      <x:c r="A16" s="105"/>
      <x:c r="R16" s="103"/>
      <x:c r="X16" s="17"/>
      <x:c r="Y16" s="17"/>
    </x:row>
    <x:row r="17" spans="1:25" ht="16.5" thickTop="1" thickBot="1" x14ac:dyDescent="0.35">
      <x:c r="A17" s="150" t="s">
        <x:v>29</x:v>
      </x:c>
      <x:c r="B17" s="151"/>
      <x:c r="C17" s="151"/>
      <x:c r="D17" s="152"/>
      <x:c r="W17" s="5" t="s">
        <x:v>30</x:v>
      </x:c>
      <x:c r="X17" s="17"/>
      <x:c r="Y17" s="17"/>
    </x:row>
    <x:row r="18" spans="1:25" ht="16.5" thickTop="1" thickBot="1" x14ac:dyDescent="0.35">
      <x:c r="A18" s="3" t="s">
        <x:v>0</x:v>
      </x:c>
      <x:c r="B18" s="3" t="s">
        <x:v>31</x:v>
      </x:c>
      <x:c r="C18" s="3" t="s">
        <x:v>32</x:v>
      </x:c>
      <x:c r="D18" s="3" t="s">
        <x:v>18</x:v>
      </x:c>
      <x:c r="E18" s="3" t="s">
        <x:v>6</x:v>
      </x:c>
      <x:c r="F18" s="3" t="s">
        <x:v>33</x:v>
      </x:c>
      <x:c r="G18" s="3" t="s">
        <x:v>34</x:v>
      </x:c>
      <x:c r="H18" s="3" t="s">
        <x:v>35</x:v>
      </x:c>
      <x:c r="I18" s="4" t="s">
        <x:v>36</x:v>
      </x:c>
      <x:c r="J18" s="3" t="s">
        <x:v>18</x:v>
      </x:c>
      <x:c r="K18" s="3" t="s">
        <x:v>37</x:v>
      </x:c>
      <x:c r="L18" s="3" t="s">
        <x:v>8</x:v>
      </x:c>
      <x:c r="M18" s="3" t="s">
        <x:v>38</x:v>
      </x:c>
      <x:c r="N18" s="3" t="s">
        <x:v>39</x:v>
      </x:c>
      <x:c r="O18" s="3" t="s">
        <x:v>40</x:v>
      </x:c>
      <x:c r="P18" s="3" t="s">
        <x:v>41</x:v>
      </x:c>
      <x:c r="Q18" s="3" t="s">
        <x:v>42</x:v>
      </x:c>
      <x:c r="R18" s="3" t="s">
        <x:v>43</x:v>
      </x:c>
      <x:c r="S18" s="3" t="s">
        <x:v>44</x:v>
      </x:c>
      <x:c r="T18" s="3" t="s">
        <x:v>45</x:v>
      </x:c>
      <x:c r="U18" s="3" t="s">
        <x:v>46</x:v>
      </x:c>
      <x:c r="V18" s="3" t="s">
        <x:v>18</x:v>
      </x:c>
      <x:c r="W18" s="3" t="s">
        <x:v>47</x:v>
      </x:c>
      <x:c r="X18" s="17"/>
      <x:c r="Y18" s="17"/>
    </x:row>
    <x:row r="19" spans="1:25" ht="13.5" thickTop="1" x14ac:dyDescent="0.2">
      <x:c r="A19" s="100" t="s">
        <x:v>19</x:v>
      </x:c>
      <x:c r="B19" s="100" t="s">
        <x:v>248</x:v>
      </x:c>
      <x:c r="C19" s="100" t="s">
        <x:v>249</x:v>
      </x:c>
      <x:c r="D19" s="106" t="s">
        <x:v>250</x:v>
      </x:c>
      <x:c r="E19" s="100" t="s">
        <x:v>100</x:v>
      </x:c>
      <x:c r="F19" s="100" t="s">
        <x:v>3</x:v>
      </x:c>
      <x:c r="G19" s="100" t="s">
        <x:v>101</x:v>
      </x:c>
      <x:c r="H19" s="100" t="s">
        <x:v>50</x:v>
      </x:c>
      <x:c r="I19" s="101" t="s">
        <x:v>51</x:v>
      </x:c>
      <x:c r="J19" s="100" t="s">
        <x:v>102</x:v>
      </x:c>
      <x:c r="K19" s="100" t="s">
        <x:v>60</x:v>
      </x:c>
      <x:c r="L19" s="100" t="s">
        <x:v>251</x:v>
      </x:c>
      <x:c r="M19" s="100" t="s">
        <x:v>252</x:v>
      </x:c>
      <x:c r="N19" s="133">
        <x:v>-217.1</x:v>
      </x:c>
      <x:c r="O19" s="133">
        <x:v>-217.1</x:v>
      </x:c>
      <x:c r="P19" s="101">
        <x:v>0</x:v>
      </x:c>
      <x:c r="Q19" s="101">
        <x:v>0</x:v>
      </x:c>
      <x:c r="R19" s="133">
        <x:v>-3.1</x:v>
      </x:c>
      <x:c r="S19" s="108">
        <x:v>42886</x:v>
      </x:c>
      <x:c r="T19" s="100" t="s">
        <x:v>63</x:v>
      </x:c>
      <x:c r="U19" s="100" t="s">
        <x:v>57</x:v>
      </x:c>
      <x:c r="V19" s="106" t="s">
        <x:v>253</x:v>
      </x:c>
      <x:c r="W19" s="100" t="s">
        <x:v>254</x:v>
      </x:c>
      <x:c r="X19" s="17"/>
      <x:c r="Y19" s="17"/>
    </x:row>
    <x:row r="20" spans="1:25" x14ac:dyDescent="0.2">
      <x:c r="A20" s="100" t="s">
        <x:v>19</x:v>
      </x:c>
      <x:c r="B20" s="100" t="s">
        <x:v>248</x:v>
      </x:c>
      <x:c r="C20" s="100" t="s">
        <x:v>249</x:v>
      </x:c>
      <x:c r="D20" s="106" t="s">
        <x:v>250</x:v>
      </x:c>
      <x:c r="E20" s="100" t="s">
        <x:v>100</x:v>
      </x:c>
      <x:c r="F20" s="100" t="s">
        <x:v>3</x:v>
      </x:c>
      <x:c r="G20" s="100" t="s">
        <x:v>101</x:v>
      </x:c>
      <x:c r="H20" s="100" t="s">
        <x:v>50</x:v>
      </x:c>
      <x:c r="I20" s="101" t="s">
        <x:v>51</x:v>
      </x:c>
      <x:c r="J20" s="100" t="s">
        <x:v>102</x:v>
      </x:c>
      <x:c r="K20" s="100" t="s">
        <x:v>53</x:v>
      </x:c>
      <x:c r="L20" s="100" t="s">
        <x:v>94</x:v>
      </x:c>
      <x:c r="M20" s="100" t="s">
        <x:v>252</x:v>
      </x:c>
      <x:c r="N20" s="133">
        <x:v>700.33</x:v>
      </x:c>
      <x:c r="O20" s="133">
        <x:v>700.33</x:v>
      </x:c>
      <x:c r="P20" s="101">
        <x:v>0</x:v>
      </x:c>
      <x:c r="Q20" s="101">
        <x:v>0</x:v>
      </x:c>
      <x:c r="R20" s="133">
        <x:v>10</x:v>
      </x:c>
      <x:c r="S20" s="108">
        <x:v>10594</x:v>
      </x:c>
      <x:c r="T20" s="100"/>
      <x:c r="U20" s="100" t="s">
        <x:v>118</x:v>
      </x:c>
      <x:c r="V20" s="106" t="s">
        <x:v>99</x:v>
      </x:c>
      <x:c r="W20" s="100" t="s">
        <x:v>254</x:v>
      </x:c>
      <x:c r="X20" s="17"/>
      <x:c r="Y20" s="17"/>
    </x:row>
    <x:row r="21" spans="1:25" x14ac:dyDescent="0.2">
      <x:c r="A21" s="100"/>
      <x:c r="B21" s="100"/>
      <x:c r="C21" s="100"/>
      <x:c r="D21" s="106"/>
      <x:c r="E21" s="100"/>
      <x:c r="F21" s="100"/>
      <x:c r="G21" s="100"/>
      <x:c r="H21" s="100"/>
      <x:c r="I21" s="101"/>
      <x:c r="J21" s="100"/>
      <x:c r="K21" s="100"/>
      <x:c r="L21" s="100"/>
      <x:c r="M21" s="100"/>
      <x:c r="N21" s="133"/>
      <x:c r="O21" s="133"/>
      <x:c r="P21" s="101"/>
      <x:c r="Q21" s="101"/>
      <x:c r="R21" s="133"/>
      <x:c r="S21" s="108"/>
      <x:c r="T21" s="100"/>
      <x:c r="U21" s="100"/>
      <x:c r="V21" s="106"/>
      <x:c r="W21" s="100"/>
      <x:c r="X21" s="17"/>
      <x:c r="Y21" s="17"/>
    </x:row>
    <x:row r="22" spans="1:25" x14ac:dyDescent="0.2">
      <x:c r="N22" s="134"/>
      <x:c r="O22" s="134">
        <x:f>SUM(O19:O20)</x:f>
        <x:v>483.23</x:v>
      </x:c>
      <x:c r="Q22" s="9"/>
      <x:c r="R22" s="134">
        <x:f>SUM(R19:R20)</x:f>
        <x:v>6.9</x:v>
      </x:c>
      <x:c r="X22" s="17"/>
      <x:c r="Y22" s="17"/>
    </x:row>
    <x:row r="23" spans="1:25" x14ac:dyDescent="0.2">
      <x:c r="R23" s="12"/>
      <x:c r="X23" s="17"/>
      <x:c r="Y23" s="17"/>
    </x:row>
    <x:row r="24" spans="1:25" x14ac:dyDescent="0.2">
      <x:c r="O24" s="9">
        <x:f>O22/R22</x:f>
        <x:v>70.033333333333331</x:v>
      </x:c>
      <x:c r="P24" s="110" t="s">
        <x:v>64</x:v>
      </x:c>
      <x:c r="X24" s="17"/>
      <x:c r="Y24" s="17"/>
    </x:row>
    <x:row r="25" spans="1:25" x14ac:dyDescent="0.2">
      <x:c r="H25" s="5"/>
      <x:c r="I25" s="5"/>
      <x:c r="J25" s="5"/>
      <x:c r="O25" s="18">
        <x:f>ROUND(O24*Q25,2)</x:f>
        <x:v>73.540000000000006</x:v>
      </x:c>
      <x:c r="P25" s="110" t="s">
        <x:v>65</x:v>
      </x:c>
      <x:c r="Q25" s="24">
        <x:v>1.05</x:v>
      </x:c>
      <x:c r="R25" s="32" t="s">
        <x:v>66</x:v>
      </x:c>
      <x:c r="X25" s="17"/>
      <x:c r="Y25" s="17"/>
    </x:row>
    <x:row r="26" spans="1:25" x14ac:dyDescent="0.2">
      <x:c r="X26" s="17"/>
      <x:c r="Y26" s="17"/>
    </x:row>
    <x:row r="27" spans="1:25" x14ac:dyDescent="0.2">
      <x:c r="A27" s="105" t="s">
        <x:v>67</x:v>
      </x:c>
      <x:c r="O27" s="111"/>
      <x:c r="P27" s="9"/>
      <x:c r="X27" s="17"/>
      <x:c r="Y27" s="17"/>
    </x:row>
    <x:row r="28" spans="1:25" ht="15.75" thickBot="1" x14ac:dyDescent="0.35">
      <x:c r="O28" s="6"/>
      <x:c r="P28" s="9"/>
      <x:c r="T28" s="6"/>
      <x:c r="X28" s="17"/>
      <x:c r="Y28" s="17"/>
    </x:row>
    <x:row r="29" spans="1:25" x14ac:dyDescent="0.2">
      <x:c r="B29" s="13"/>
      <x:c r="C29" s="14"/>
      <x:c r="D29" s="14"/>
      <x:c r="E29" s="14"/>
      <x:c r="F29" s="14"/>
      <x:c r="G29" s="15"/>
      <x:c r="P29" s="9"/>
      <x:c r="X29" s="17"/>
      <x:c r="Y29" s="17"/>
    </x:row>
    <x:row r="30" spans="1:25" x14ac:dyDescent="0.2">
      <x:c r="B30" s="16"/>
      <x:c r="C30" s="130">
        <x:f>I6</x:f>
        <x:v>-2035.21</x:v>
      </x:c>
      <x:c r="E30" s="105" t="s">
        <x:v>69</x:v>
      </x:c>
      <x:c r="F30" s="105"/>
      <x:c r="G30" s="33"/>
      <x:c r="P30" s="9"/>
      <x:c r="X30" s="17"/>
      <x:c r="Y30" s="17"/>
    </x:row>
    <x:row r="31" spans="1:25" x14ac:dyDescent="0.2">
      <x:c r="B31" s="16"/>
      <x:c r="C31" s="131">
        <x:f>I5+I8</x:f>
        <x:v>1058.31</x:v>
      </x:c>
      <x:c r="E31" s="154" t="s">
        <x:v>70</x:v>
      </x:c>
      <x:c r="F31" s="154"/>
      <x:c r="G31" s="33"/>
      <x:c r="P31" s="9"/>
      <x:c r="X31" s="17"/>
      <x:c r="Y31" s="17"/>
    </x:row>
    <x:row r="32" spans="1:25" ht="15" x14ac:dyDescent="0.3">
      <x:c r="B32" s="16"/>
      <x:c r="C32" s="130">
        <x:f>C30+C31</x:f>
        <x:v>-976.90000000000009</x:v>
      </x:c>
      <x:c r="E32" s="105" t="s">
        <x:v>71</x:v>
      </x:c>
      <x:c r="F32" s="105"/>
      <x:c r="G32" s="33"/>
      <x:c r="O32" s="7"/>
      <x:c r="P32" s="9"/>
      <x:c r="X32" s="17"/>
      <x:c r="Y32" s="17"/>
    </x:row>
    <x:row r="33" spans="1:25" ht="15" x14ac:dyDescent="0.3">
      <x:c r="B33" s="16"/>
      <x:c r="C33" s="130">
        <x:f>O25</x:f>
        <x:v>73.540000000000006</x:v>
      </x:c>
      <x:c r="E33" s="154" t="s">
        <x:v>72</x:v>
      </x:c>
      <x:c r="F33" s="154"/>
      <x:c r="G33" s="33"/>
      <x:c r="O33" s="7"/>
      <x:c r="P33" s="9"/>
      <x:c r="X33" s="17"/>
      <x:c r="Y33" s="17"/>
    </x:row>
    <x:row r="34" spans="1:25" ht="13.5" thickBot="1" x14ac:dyDescent="0.25">
      <x:c r="B34" s="16"/>
      <x:c r="C34" s="132">
        <x:f>SUM(C32:C33)</x:f>
        <x:v>-903.36000000000013</x:v>
      </x:c>
      <x:c r="E34" s="105" t="s">
        <x:v>73</x:v>
      </x:c>
      <x:c r="F34" s="105"/>
      <x:c r="G34" s="155"/>
      <x:c r="P34" s="9"/>
      <x:c r="X34" s="17"/>
      <x:c r="Y34" s="17"/>
    </x:row>
    <x:row r="35" spans="1:25" ht="16.5" thickTop="1" thickBot="1" x14ac:dyDescent="0.35">
      <x:c r="B35" s="19"/>
      <x:c r="C35" s="20"/>
      <x:c r="D35" s="20"/>
      <x:c r="E35" s="20"/>
      <x:c r="F35" s="20"/>
      <x:c r="G35" s="21"/>
      <x:c r="P35" s="9"/>
      <x:c r="Q35" s="6"/>
      <x:c r="X35" s="17"/>
      <x:c r="Y35" s="17"/>
    </x:row>
    <x:row r="36" spans="1:25" ht="15" x14ac:dyDescent="0.3">
      <x:c r="P36" s="9"/>
      <x:c r="Q36" s="6"/>
      <x:c r="X36" s="17"/>
      <x:c r="Y36" s="17"/>
    </x:row>
    <x:row r="37" spans="1:25" ht="15" x14ac:dyDescent="0.3">
      <x:c r="B37" s="119"/>
      <x:c r="C37" s="119"/>
      <x:c r="D37" s="120"/>
      <x:c r="P37" s="9"/>
      <x:c r="Q37" s="6"/>
      <x:c r="X37" s="17"/>
      <x:c r="Y37" s="17"/>
    </x:row>
    <x:row r="38" spans="1:25" x14ac:dyDescent="0.2">
      <x:c r="A38" s="105" t="s">
        <x:v>74</x:v>
      </x:c>
      <x:c r="B38" s="121"/>
      <x:c r="C38" s="121"/>
      <x:c r="D38" s="121"/>
      <x:c r="E38" s="121"/>
      <x:c r="F38" s="121"/>
      <x:c r="G38" s="121"/>
      <x:c r="H38" s="121"/>
      <x:c r="I38" s="113"/>
      <x:c r="J38" s="121"/>
      <x:c r="K38" s="121"/>
      <x:c r="X38" s="17"/>
      <x:c r="Y38" s="17"/>
    </x:row>
    <x:row r="39" spans="1:25" x14ac:dyDescent="0.2">
      <x:c r="A39" s="105"/>
      <x:c r="B39" s="121"/>
      <x:c r="C39" s="121"/>
      <x:c r="D39" s="121"/>
      <x:c r="E39" s="121"/>
      <x:c r="F39" s="121"/>
      <x:c r="G39" s="121"/>
      <x:c r="H39" s="121"/>
      <x:c r="I39" s="113"/>
      <x:c r="J39" s="121"/>
      <x:c r="K39" s="121"/>
      <x:c r="X39" s="17"/>
      <x:c r="Y39" s="17"/>
    </x:row>
    <x:row r="40" spans="1:25" ht="15" x14ac:dyDescent="0.3">
      <x:c r="A40" s="105" t="s">
        <x:v>75</x:v>
      </x:c>
      <x:c r="B40" s="121"/>
      <x:c r="C40" s="121"/>
      <x:c r="D40" s="121"/>
      <x:c r="E40" s="121"/>
      <x:c r="F40" s="121"/>
      <x:c r="G40" s="121"/>
      <x:c r="H40" s="121"/>
      <x:c r="I40" s="113"/>
      <x:c r="J40" s="121"/>
      <x:c r="K40" s="121"/>
      <x:c r="P40" s="9"/>
      <x:c r="Q40" s="6"/>
    </x:row>
    <x:row r="41" spans="1:25" x14ac:dyDescent="0.2">
      <x:c r="A41" s="121"/>
      <x:c r="B41" s="121"/>
      <x:c r="C41" s="121"/>
      <x:c r="D41" s="121"/>
      <x:c r="E41" s="121"/>
      <x:c r="F41" s="121"/>
      <x:c r="G41" s="121"/>
      <x:c r="H41" s="121"/>
      <x:c r="I41" s="113"/>
      <x:c r="J41" s="121"/>
      <x:c r="K41" s="121"/>
    </x:row>
    <x:row r="42" spans="1:25" x14ac:dyDescent="0.2">
      <x:c r="A42" s="22" t="s">
        <x:v>76</x:v>
      </x:c>
      <x:c r="B42" s="22" t="s">
        <x:v>77</x:v>
      </x:c>
      <x:c r="C42" s="22" t="s">
        <x:v>6</x:v>
      </x:c>
      <x:c r="D42" s="22" t="s">
        <x:v>7</x:v>
      </x:c>
      <x:c r="E42" s="22" t="s">
        <x:v>8</x:v>
      </x:c>
      <x:c r="F42" s="22" t="s">
        <x:v>9</x:v>
      </x:c>
      <x:c r="G42" s="22" t="s">
        <x:v>10</x:v>
      </x:c>
      <x:c r="H42" s="22" t="s">
        <x:v>11</x:v>
      </x:c>
      <x:c r="I42" s="27" t="s">
        <x:v>78</x:v>
      </x:c>
      <x:c r="J42" s="22" t="s">
        <x:v>45</x:v>
      </x:c>
      <x:c r="K42" s="157" t="s">
        <x:v>79</x:v>
      </x:c>
      <x:c r="L42" s="158"/>
      <x:c r="M42" s="123"/>
    </x:row>
    <x:row r="43" spans="1:25" x14ac:dyDescent="0.2">
      <x:c r="A43" s="23" t="s">
        <x:v>19</x:v>
      </x:c>
      <x:c r="B43" s="23" t="s">
        <x:v>20</x:v>
      </x:c>
      <x:c r="C43" s="23" t="s">
        <x:v>82</x:v>
      </x:c>
      <x:c r="D43" s="23" t="s">
        <x:v>83</x:v>
      </x:c>
      <x:c r="E43" s="23" t="s">
        <x:v>243</x:v>
      </x:c>
      <x:c r="F43" s="23" t="s">
        <x:v>23</x:v>
      </x:c>
      <x:c r="G43" s="23" t="s">
        <x:v>23</x:v>
      </x:c>
      <x:c r="H43" s="23" t="s">
        <x:v>24</x:v>
      </x:c>
      <x:c r="I43" s="129">
        <x:v>-903.36</x:v>
      </x:c>
      <x:c r="J43" s="23"/>
      <x:c r="K43" s="149" t="s">
        <x:v>255</x:v>
      </x:c>
      <x:c r="L43" s="149"/>
      <x:c r="M43" s="156"/>
    </x:row>
    <x:row r="44" spans="1:25" x14ac:dyDescent="0.2">
      <x:c r="A44" s="23" t="s">
        <x:v>19</x:v>
      </x:c>
      <x:c r="B44" s="28" t="s">
        <x:v>20</x:v>
      </x:c>
      <x:c r="C44" s="23" t="s">
        <x:v>103</x:v>
      </x:c>
      <x:c r="D44" s="23" t="s">
        <x:v>81</x:v>
      </x:c>
      <x:c r="E44" s="23" t="s">
        <x:v>243</x:v>
      </x:c>
      <x:c r="F44" s="23" t="s">
        <x:v>23</x:v>
      </x:c>
      <x:c r="G44" s="23" t="s">
        <x:v>23</x:v>
      </x:c>
      <x:c r="H44" s="23" t="s">
        <x:v>24</x:v>
      </x:c>
      <x:c r="I44" s="129">
        <x:v>903.36</x:v>
      </x:c>
      <x:c r="J44" s="23"/>
      <x:c r="K44" s="149" t="s">
        <x:v>255</x:v>
      </x:c>
      <x:c r="L44" s="149"/>
      <x:c r="M44" s="156"/>
    </x:row>
    <x:row r="45" spans="1:25" x14ac:dyDescent="0.2">
      <x:c r="A45" s="91"/>
      <x:c r="B45" s="91"/>
      <x:c r="C45" s="91"/>
      <x:c r="D45" s="91"/>
      <x:c r="E45" s="91"/>
      <x:c r="F45" s="91"/>
      <x:c r="G45" s="91"/>
      <x:c r="H45" s="91"/>
      <x:c r="I45" s="92"/>
      <x:c r="J45" s="91"/>
      <x:c r="K45" s="93"/>
    </x:row>
    <x:row r="54" spans="1:20" x14ac:dyDescent="0.2">
      <x:c r="A54" s="105" t="s">
        <x:v>86</x:v>
      </x:c>
    </x:row>
    <x:row r="56" spans="1:20" ht="13.5" thickBot="1" x14ac:dyDescent="0.25"/>
    <x:row r="57" spans="1:20" ht="16.5" thickTop="1" thickBot="1" x14ac:dyDescent="0.35">
      <x:c r="A57" s="3" t="s">
        <x:v>132</x:v>
      </x:c>
      <x:c r="B57" s="3"/>
      <x:c r="C57" s="3"/>
    </x:row>
    <x:row r="58" spans="1:20" ht="16.5" thickTop="1" thickBot="1" x14ac:dyDescent="0.35">
      <x:c r="A58" s="3" t="s">
        <x:v>0</x:v>
      </x:c>
      <x:c r="B58" s="3" t="s">
        <x:v>8</x:v>
      </x:c>
      <x:c r="C58" s="3" t="s">
        <x:v>31</x:v>
      </x:c>
      <x:c r="D58" s="3" t="s">
        <x:v>38</x:v>
      </x:c>
      <x:c r="E58" s="3" t="s">
        <x:v>6</x:v>
      </x:c>
      <x:c r="F58" s="3" t="s">
        <x:v>34</x:v>
      </x:c>
      <x:c r="G58" s="3" t="s">
        <x:v>36</x:v>
      </x:c>
      <x:c r="H58" s="3" t="s">
        <x:v>18</x:v>
      </x:c>
      <x:c r="I58" s="4" t="s">
        <x:v>35</x:v>
      </x:c>
      <x:c r="J58" s="3" t="s">
        <x:v>37</x:v>
      </x:c>
      <x:c r="K58" s="3" t="s">
        <x:v>43</x:v>
      </x:c>
      <x:c r="L58" s="3" t="s">
        <x:v>39</x:v>
      </x:c>
      <x:c r="M58" s="3" t="s">
        <x:v>45</x:v>
      </x:c>
      <x:c r="N58" s="3" t="s">
        <x:v>46</x:v>
      </x:c>
      <x:c r="O58" s="3" t="s">
        <x:v>18</x:v>
      </x:c>
      <x:c r="P58" s="3" t="s">
        <x:v>42</x:v>
      </x:c>
      <x:c r="Q58" s="3" t="s">
        <x:v>41</x:v>
      </x:c>
      <x:c r="R58" s="3" t="s">
        <x:v>40</x:v>
      </x:c>
      <x:c r="S58" s="3" t="s">
        <x:v>44</x:v>
      </x:c>
      <x:c r="T58" s="3" t="s">
        <x:v>32</x:v>
      </x:c>
    </x:row>
    <x:row r="59" spans="1:20" ht="15.75" thickTop="1" x14ac:dyDescent="0.25">
      <x:c r="A59" s="136" t="s">
        <x:v>19</x:v>
      </x:c>
      <x:c r="B59" s="100" t="s">
        <x:v>243</x:v>
      </x:c>
      <x:c r="C59" s="137" t="s">
        <x:v>248</x:v>
      </x:c>
      <x:c r="D59" s="136" t="s">
        <x:v>252</x:v>
      </x:c>
      <x:c r="E59" s="100" t="s">
        <x:v>100</x:v>
      </x:c>
      <x:c r="F59" s="100" t="s">
        <x:v>101</x:v>
      </x:c>
      <x:c r="G59" s="138" t="s">
        <x:v>51</x:v>
      </x:c>
      <x:c r="H59" s="124" t="s">
        <x:v>102</x:v>
      </x:c>
      <x:c r="I59" s="100" t="s">
        <x:v>50</x:v>
      </x:c>
      <x:c r="J59" s="136" t="s">
        <x:v>60</x:v>
      </x:c>
      <x:c r="K59" s="143">
        <x:v>-1.05</x:v>
      </x:c>
      <x:c r="L59" s="143">
        <x:v>-73.540000000000006</x:v>
      </x:c>
      <x:c r="M59" s="136" t="s">
        <x:v>97</x:v>
      </x:c>
      <x:c r="N59" s="136" t="s">
        <x:v>121</x:v>
      </x:c>
      <x:c r="O59" s="160" t="s">
        <x:v>242</x:v>
      </x:c>
      <x:c r="P59" s="133">
        <x:v>0</x:v>
      </x:c>
      <x:c r="Q59" s="133">
        <x:v>0</x:v>
      </x:c>
      <x:c r="R59" s="143">
        <x:v>-73.540000000000006</x:v>
      </x:c>
      <x:c r="S59" s="141"/>
      <x:c r="T59" s="100" t="s">
        <x:v>249</x:v>
      </x:c>
    </x:row>
    <x:row r="60" spans="1:20" x14ac:dyDescent="0.2">
      <x:c r="A60" s="10"/>
      <x:c r="B60" s="10"/>
      <x:c r="C60" s="10"/>
      <x:c r="D60" s="10"/>
      <x:c r="E60" s="10"/>
      <x:c r="F60" s="10"/>
      <x:c r="G60" s="10"/>
      <x:c r="H60" s="10"/>
      <x:c r="J60" s="10"/>
      <x:c r="K60" s="134"/>
      <x:c r="L60" s="134"/>
      <x:c r="M60" s="10"/>
      <x:c r="N60" s="10"/>
      <x:c r="O60" s="10"/>
      <x:c r="P60" s="9"/>
      <x:c r="Q60" s="9"/>
      <x:c r="R60" s="9"/>
      <x:c r="T60" s="10"/>
    </x:row>
    <x:row r="61" spans="1:20" ht="13.5" thickBot="1" x14ac:dyDescent="0.25">
      <x:c r="A61" s="10"/>
      <x:c r="B61" s="10"/>
      <x:c r="C61" s="10"/>
      <x:c r="D61" s="10"/>
      <x:c r="E61" s="10"/>
      <x:c r="F61" s="10"/>
      <x:c r="G61" s="10"/>
      <x:c r="H61" s="10"/>
      <x:c r="J61" s="10"/>
      <x:c r="K61" s="127">
        <x:f>SUM(K59:K60)</x:f>
        <x:v>-1.05</x:v>
      </x:c>
      <x:c r="L61" s="127">
        <x:f>SUM(L59:L60)</x:f>
        <x:v>-73.540000000000006</x:v>
      </x:c>
      <x:c r="M61" s="10"/>
      <x:c r="N61" s="10"/>
      <x:c r="O61" s="10"/>
      <x:c r="P61" s="9"/>
      <x:c r="Q61" s="9"/>
      <x:c r="R61" s="9"/>
      <x:c r="T61" s="10"/>
    </x:row>
    <x:row r="62" spans="1:20" ht="13.5" thickTop="1" x14ac:dyDescent="0.2">
      <x:c r="A62" s="10"/>
      <x:c r="B62" s="10"/>
      <x:c r="C62" s="10"/>
      <x:c r="D62" s="10"/>
      <x:c r="E62" s="10"/>
      <x:c r="F62" s="10"/>
      <x:c r="G62" s="10"/>
      <x:c r="H62" s="10"/>
      <x:c r="J62" s="10"/>
      <x:c r="K62" s="12"/>
      <x:c r="L62" s="9"/>
      <x:c r="M62" s="10"/>
      <x:c r="N62" s="10"/>
      <x:c r="O62" s="10"/>
      <x:c r="P62" s="9"/>
      <x:c r="Q62" s="9"/>
      <x:c r="R62" s="9"/>
      <x:c r="T62" s="10"/>
    </x:row>
  </x:sheetData>
  <x:dataValidations count="10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" xr:uid="{49395406-CDCC-4F46-8BFC-5FD0DD717C1B}">
      <x:formula1>"NEXT"</x:formula1>
    </x:dataValidation>
    <x:dataValidation type="textLength" showDropDown="1" showInputMessage="1" showErrorMessage="1" error="Text exceeds maximum character length of 30 characters" sqref="K43:K45" xr:uid="{32860EB0-A948-4D6F-8E81-30ED7842B989}">
      <x:formula1>0</x:formula1>
      <x:formula2>30</x:formula2>
    </x:dataValidation>
    <x:dataValidation type="textLength" showDropDown="1" showInputMessage="1" showErrorMessage="1" error="Text exceeds maximum character length of 10 characters" sqref="J43:J45" xr:uid="{8C4B96E6-F6CD-485E-8880-113709477906}">
      <x:formula1>0</x:formula1>
      <x:formula2>10</x:formula2>
    </x:dataValidation>
    <x:dataValidation type="textLength" showDropDown="1" showInputMessage="1" showErrorMessage="1" error="Text exceeds maximum character length of 23 characters" sqref="I43:I45" xr:uid="{E9949583-CD9F-4314-8087-FAA97F6C2209}">
      <x:formula1>0</x:formula1>
      <x:formula2>23</x:formula2>
    </x:dataValidation>
    <x:dataValidation type="textLength" showDropDown="1" showInputMessage="1" showErrorMessage="1" error="Text exceeds maximum character length of 5 characters" sqref="A43:A45 H43:H45" xr:uid="{F3A7652E-1029-4594-A65A-08C3C93415EA}">
      <x:formula1>0</x:formula1>
      <x:formula2>5</x:formula2>
    </x:dataValidation>
    <x:dataValidation type="textLength" showDropDown="1" showInputMessage="1" showErrorMessage="1" error="Text exceeds maximum character length of 4 characters" sqref="F43:G45" xr:uid="{01601CF1-C0D6-41FD-A38E-89A6E196C560}">
      <x:formula1>0</x:formula1>
      <x:formula2>4</x:formula2>
    </x:dataValidation>
    <x:dataValidation type="textLength" showDropDown="1" showInputMessage="1" showErrorMessage="1" error="Text exceeds maximum character length of 8 characters" sqref="E43:E45" xr:uid="{CB91F8ED-C16D-4291-951D-F9807843D1B6}">
      <x:formula1>0</x:formula1>
      <x:formula2>8</x:formula2>
    </x:dataValidation>
    <x:dataValidation type="textLength" showDropDown="1" showInputMessage="1" showErrorMessage="1" error="Text exceeds maximum character length of 3 characters" sqref="D43:D45" xr:uid="{DC835A33-B86C-4B9E-A4C6-014D355FB865}">
      <x:formula1>0</x:formula1>
      <x:formula2>3</x:formula2>
    </x:dataValidation>
    <x:dataValidation type="textLength" showDropDown="1" showInputMessage="1" showErrorMessage="1" error="Text exceeds maximum character length of 7 characters" sqref="C43:C45" xr:uid="{1CD870D1-3810-4D19-8827-656B6D28ECDF}">
      <x:formula1>0</x:formula1>
      <x:formula2>7</x:formula2>
    </x:dataValidation>
    <x:dataValidation type="textLength" showDropDown="1" showInputMessage="1" showErrorMessage="1" error="Text exceeds maximum character length of 6 characters" sqref="B43:B45" xr:uid="{DEF3A9B4-CFD2-4FFF-BA51-C63C5533A1F0}">
      <x:formula1>0</x:formula1>
      <x:formula2>6</x:formula2>
    </x:dataValidation>
  </x:dataValidations>
  <x:pageMargins left="0.7" right="0.7" top="2.5" bottom="0.75" header="1.25" footer="0.3"/>
  <x:pageSetup scale="39" fitToHeight="0" orientation="landscape" r:id="rId1"/>
  <x:headerFooter>
    <x:oddHeader>&amp;C&amp;"Arial,Bold"&amp;12 
2025 RATE CASE
ONCOR ELECTRIC DELIVERY COMPANY LLC
GAIN OR LOSS ON SALE OF UTILITY ASSETS
FOR THE TEST YEAR ENDING DECEMBER 31, 2024
SPONSOR: W. A. LEDBETTER &amp;&amp; R. PRACHYL&amp;"-,Regular"&amp;11
&amp;R&amp;"Arial,Bold"&amp;12WP/II-B-13/01
Page &amp;P of &amp;N</x:oddHeader>
  </x:headerFooter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2025-05-05T18:21:39.0000000Z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