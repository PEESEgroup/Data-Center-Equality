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Z:\2025 Rate Case\Section II (Test Year Data)\Schedule B (Rate Base)\Sch II-B WP\"/>
    </mc:Choice>
  </mc:AlternateContent>
  <xr:revisionPtr revIDLastSave="0" documentId="8_{1E95B64A-2DD5-412A-BD2B-069D6AD29F26}" xr6:coauthVersionLast="47" xr6:coauthVersionMax="47" xr10:uidLastSave="{00000000-0000-0000-0000-000000000000}"/>
  <x:bookViews>
    <x:workbookView xWindow="-104" yWindow="-104" windowWidth="22326" windowHeight="11947" xr2:uid="{00000000-000D-0000-FFFF-FFFF00000000}"/>
  </x:bookViews>
  <x:sheets>
    <x:sheet name="WP II-B-8_03" sheetId="2" r:id="rId1"/>
  </x:sheets>
  <x:definedNames>
    <x:definedName name="_xlnm._FilterDatabase" localSheetId="0" hidden="1">'WP II-B-8_03'!$A$8:$O$77</x:definedName>
    <x:definedName name="_xlnm.Print_Area" localSheetId="0">'WP II-B-8_03'!$A$6:$R$77</x:definedName>
    <x:definedName name="_xlnm.Print_Titles" localSheetId="0">'WP II-B-8_03'!$A:$B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R42" i="2" l="1"/>
  <x:c r="R76" i="2"/>
  <x:c r="S76" i="2" s="1"/>
  <x:c r="S75" i="2"/>
  <x:c r="S74" i="2"/>
  <x:c r="S73" i="2"/>
  <x:c r="S72" i="2"/>
  <x:c r="S71" i="2"/>
  <x:c r="S70" i="2"/>
  <x:c r="S69" i="2"/>
  <x:c r="S68" i="2"/>
  <x:c r="S67" i="2"/>
  <x:c r="S66" i="2"/>
  <x:c r="S65" i="2"/>
  <x:c r="S64" i="2"/>
  <x:c r="S63" i="2"/>
  <x:c r="S62" i="2"/>
  <x:c r="S61" i="2"/>
  <x:c r="S60" i="2"/>
  <x:c r="S59" i="2"/>
  <x:c r="S58" i="2"/>
  <x:c r="S57" i="2"/>
  <x:c r="S56" i="2"/>
  <x:c r="S55" i="2"/>
  <x:c r="S54" i="2"/>
  <x:c r="S53" i="2"/>
  <x:c r="S52" i="2"/>
  <x:c r="S51" i="2"/>
  <x:c r="S50" i="2"/>
  <x:c r="S49" i="2"/>
  <x:c r="S48" i="2"/>
  <x:c r="S47" i="2"/>
  <x:c r="S46" i="2"/>
  <x:c r="S45" i="2"/>
  <x:c r="S44" i="2"/>
  <x:c r="S43" i="2"/>
  <x:c r="S41" i="2"/>
  <x:c r="S40" i="2"/>
  <x:c r="S39" i="2"/>
  <x:c r="S38" i="2"/>
  <x:c r="S37" i="2"/>
  <x:c r="S36" i="2"/>
  <x:c r="S35" i="2"/>
  <x:c r="S34" i="2"/>
  <x:c r="S33" i="2"/>
  <x:c r="S32" i="2"/>
  <x:c r="S31" i="2"/>
  <x:c r="S30" i="2"/>
  <x:c r="S29" i="2"/>
  <x:c r="S28" i="2"/>
  <x:c r="S27" i="2"/>
  <x:c r="S26" i="2"/>
  <x:c r="S25" i="2"/>
  <x:c r="S24" i="2"/>
  <x:c r="S23" i="2"/>
  <x:c r="S22" i="2"/>
  <x:c r="S21" i="2"/>
  <x:c r="S20" i="2"/>
  <x:c r="S19" i="2"/>
  <x:c r="S18" i="2"/>
  <x:c r="S17" i="2"/>
  <x:c r="S16" i="2"/>
  <x:c r="S15" i="2"/>
  <x:c r="S14" i="2"/>
  <x:c r="S13" i="2"/>
  <x:c r="S12" i="2"/>
  <x:c r="S11" i="2"/>
  <x:c r="S10" i="2"/>
  <x:c r="S9" i="2"/>
  <x:c r="Q42" i="2"/>
  <x:c r="Q76" i="2"/>
  <x:c r="P76" i="2"/>
  <x:c r="P77" i="2" s="1"/>
  <x:c r="P42" i="2"/>
  <x:c r="R77" i="2" l="1"/>
  <x:c r="Q77" i="2"/>
  <x:c r="L76" i="2"/>
  <x:c r="S42" i="2" l="1"/>
  <x:c r="O42" i="2"/>
  <x:c r="N42" i="2"/>
  <x:c r="M42" i="2"/>
  <x:c r="L42" i="2"/>
  <x:c r="K42" i="2"/>
  <x:c r="J42" i="2"/>
  <x:c r="I42" i="2"/>
  <x:c r="H42" i="2"/>
  <x:c r="G42" i="2"/>
  <x:c r="F42" i="2"/>
  <x:c r="E42" i="2"/>
  <x:c r="D42" i="2"/>
  <x:c r="C42" i="2"/>
  <x:c r="N76" i="2" l="1"/>
  <x:c r="N77" i="2" s="1"/>
  <x:c r="M76" i="2"/>
  <x:c r="M77" i="2" s="1"/>
  <x:c r="L77" i="2"/>
  <x:c r="K76" i="2"/>
  <x:c r="K77" i="2" s="1"/>
  <x:c r="J76" i="2"/>
  <x:c r="J77" i="2" s="1"/>
  <x:c r="I76" i="2"/>
  <x:c r="I77" i="2" s="1"/>
  <x:c r="H76" i="2"/>
  <x:c r="H77" i="2" s="1"/>
  <x:c r="G76" i="2"/>
  <x:c r="G77" i="2" s="1"/>
  <x:c r="F76" i="2"/>
  <x:c r="F77" i="2" s="1"/>
  <x:c r="E76" i="2"/>
  <x:c r="E77" i="2" s="1"/>
  <x:c r="D76" i="2"/>
  <x:c r="D77" i="2" s="1"/>
  <x:c r="C76" i="2"/>
  <x:c r="O76" i="2"/>
  <x:c r="O77" i="2" s="1"/>
  <x:c r="C77" i="2" l="1"/>
  <x:c r="S77" i="2" l="1"/>
</x:calcChain>
</file>

<file path=xl/sharedStrings.xml><?xml version="1.0" encoding="utf-8"?>
<sst xmlns="http://schemas.openxmlformats.org/spreadsheetml/2006/main" count="161" uniqueCount="65">
  <si>
    <t>SITEID</t>
  </si>
  <si>
    <t>DIS</t>
  </si>
  <si>
    <t>CAPACITORS,  TRANSFORMERS,  REGULATORS,  REACTORS</t>
  </si>
  <si>
    <t>CHAIN,  WIRE ROPE  &amp;  FITTINGS</t>
  </si>
  <si>
    <t>CHEMICALS  &amp;  LAB EQUIPMENT</t>
  </si>
  <si>
    <t>CIRCUIT BREAKERS,  INTERRUPTING DEVICES,  SWITCHES &amp; FUSES</t>
  </si>
  <si>
    <t>CONDUCTORS,  CABLE  &amp;  WIRE</t>
  </si>
  <si>
    <t>CONNECTORS  &amp;  DEVICES,  ELECTRICAL CONDUCTOR</t>
  </si>
  <si>
    <t>DISTRIBUTION  &amp;  TRANSMISSION STRUCTURES</t>
  </si>
  <si>
    <t>ELECTRICAL SUPPLIES</t>
  </si>
  <si>
    <t>FASTENERS</t>
  </si>
  <si>
    <t>INDUSTRIAL,  BUILDING SUPPLIES  &amp;  PAINTS</t>
  </si>
  <si>
    <t>INSTRUMENTATION,  ELECTRONIC,  COMPUTERS &amp; CONTROL EQUIPMENT</t>
  </si>
  <si>
    <t>INSULATORS &amp; ARRESTORS</t>
  </si>
  <si>
    <t xml:space="preserve">JANITORIAL &amp;  BREAK ROOM SUPPLIES  &amp;  BOTTLED WATER </t>
  </si>
  <si>
    <t>LIFTING  &amp;  PULLING EQUIPMENT</t>
  </si>
  <si>
    <t>LIGHTING</t>
  </si>
  <si>
    <t>LINE HARDWARE,  T &amp; D</t>
  </si>
  <si>
    <t>METALS</t>
  </si>
  <si>
    <t>METERING EQUIPMENT,  CUSTOMER BILLING</t>
  </si>
  <si>
    <t>OFFICE SUPPLIES</t>
  </si>
  <si>
    <t>OIL,  LUBRICANTS,  FUEL  &amp;  GASES</t>
  </si>
  <si>
    <t>PACKING,  GASKET MATERIAL,  GASKETS,  O-RINGS,  INSULATION MATERIAL</t>
  </si>
  <si>
    <t>PIPE,  TUBING,  HOSE,  VALVES,  FITTINGS</t>
  </si>
  <si>
    <t>SAFETY SUPPLIES, SECURITY EQUIPMENT/SUPPLIES</t>
  </si>
  <si>
    <t>TOOLS  &amp;  SURVEY EQUIPMENT</t>
  </si>
  <si>
    <t>VAULTS,  MANHOLES,  ENCLOSURES,  BUSSWAYS PADS</t>
  </si>
  <si>
    <t>VEHICLES  &amp;  RELATED EQUIPMENT</t>
  </si>
  <si>
    <t>MOTORS  &amp;  ELECTRIC GENERATORS</t>
  </si>
  <si>
    <t>TELECOMMUNICATION SYSTEMS &amp; EQUIPMENT</t>
  </si>
  <si>
    <t>INSTRUMENT  &amp;  SERVICE AIR</t>
  </si>
  <si>
    <t>POWER TRANSMISSION MATERIALS &amp; SUPPLIES</t>
  </si>
  <si>
    <t>PUMPS,  PARTS  &amp;  REPAIRS</t>
  </si>
  <si>
    <t>TURBINE,  GENERATOR,  AUXILIARIES SYSTEMS,  PARTS &amp; REPAIRS</t>
  </si>
  <si>
    <t>TRN</t>
  </si>
  <si>
    <t>BOILERS  &amp;  AUXILIARIES</t>
  </si>
  <si>
    <t>Grand Total</t>
  </si>
  <si>
    <t>ONCOR ELECTRIC DELIVERY COMPANY LLC</t>
  </si>
  <si>
    <t>CONSOLIDATED COMMODITY REPORT</t>
  </si>
  <si>
    <t>PARTICULATE REMOVAL,  ASH HANDLING,  TRAVELING WATER SCREENS,  EQUIPMENT  &amp; REPAIR, ( EXCLUDING AUTOMOTIVE )</t>
  </si>
  <si>
    <t>TRN TOTAL</t>
  </si>
  <si>
    <t>DIS TOTAL</t>
  </si>
  <si>
    <t>Commodity Code</t>
  </si>
  <si>
    <t>ITEMS NOT TO BE REORDERED</t>
  </si>
  <si>
    <t>CAPACITORS,  TRANSFORMERS,  REGULATORS,  REACTORS PARTS</t>
  </si>
  <si>
    <t>SPONSOR: A. THENMADATHIL</t>
  </si>
  <si>
    <t>2024 RATE CASE</t>
  </si>
  <si>
    <t>FOR THE TEST YEAR ENDING DECEMBER 31, 2024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</si>
  <si>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</si>
  <si>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</si>
  <si>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</si>
  <si>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</si>
  <si>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</si>
  <si>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</si>
  <si>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</si>
  <si>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</si>
  <si>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</si>
  <si>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</si>
  <si>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</si>
  <si>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</si>
  <si>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2023.12</t>
  </si>
  <si>
    <t>TURBINE, GENERATOR, AUXILIARIES SYSTEMS, PARTS &amp; REPAIRS</t>
  </si>
  <si>
    <t>2025.01</t>
  </si>
  <si>
    <t>2025.02</t>
  </si>
  <si>
    <t>2025.03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</si>
</sst>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7" fillId="0" borderId="0"/>
    <xf numFmtId="0" fontId="8" fillId="0" borderId="0"/>
    <xf numFmtId="43" fontId="8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Continuous" vertical="center"/>
    </xf>
    <xf numFmtId="0" fontId="3" fillId="0" borderId="0" xfId="0" applyFont="1" applyFill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3" fontId="3" fillId="0" borderId="0" xfId="1" applyFont="1" applyFill="1" applyAlignment="1">
      <alignment horizontal="centerContinuous" vertical="center"/>
    </xf>
    <xf numFmtId="0" fontId="3" fillId="0" borderId="0" xfId="0" applyFont="1" applyFill="1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43" fontId="3" fillId="0" borderId="0" xfId="1" applyFont="1" applyFill="1"/>
    <xf numFmtId="0" fontId="2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17" fontId="2" fillId="0" borderId="0" xfId="0" quotePrefix="1" applyNumberFormat="1" applyFont="1"/>
    <xf numFmtId="17" fontId="2" fillId="0" borderId="0" xfId="0" quotePrefix="1" applyNumberFormat="1" applyFont="1" applyFill="1"/>
    <xf numFmtId="39" fontId="3" fillId="0" borderId="0" xfId="3" applyNumberFormat="1" applyFont="1" applyFill="1"/>
    <xf numFmtId="39" fontId="3" fillId="0" borderId="0" xfId="0" applyNumberFormat="1" applyFont="1"/>
    <xf numFmtId="39" fontId="4" fillId="0" borderId="0" xfId="3" applyNumberFormat="1" applyFont="1" applyBorder="1"/>
    <xf numFmtId="39" fontId="4" fillId="0" borderId="0" xfId="3" applyNumberFormat="1" applyFont="1" applyFill="1" applyBorder="1"/>
    <xf numFmtId="39" fontId="4" fillId="0" borderId="0" xfId="0" applyNumberFormat="1" applyFont="1"/>
    <xf numFmtId="39" fontId="3" fillId="0" borderId="0" xfId="2" applyNumberFormat="1" applyFont="1" applyFill="1"/>
    <xf numFmtId="39" fontId="3" fillId="0" borderId="0" xfId="1" applyNumberFormat="1" applyFont="1"/>
    <xf numFmtId="39" fontId="4" fillId="0" borderId="0" xfId="3" applyNumberFormat="1" applyFont="1"/>
    <xf numFmtId="39" fontId="5" fillId="0" borderId="0" xfId="0" applyNumberFormat="1" applyFont="1"/>
    <xf numFmtId="39" fontId="4" fillId="0" borderId="0" xfId="0" applyNumberFormat="1" applyFont="1" applyBorder="1"/>
    <xf numFmtId="39" fontId="3" fillId="0" borderId="0" xfId="2" applyNumberFormat="1" applyFont="1" applyFill="1" applyBorder="1"/>
    <xf numFmtId="39" fontId="4" fillId="0" borderId="0" xfId="0" applyNumberFormat="1" applyFont="1" applyFill="1"/>
    <xf numFmtId="39" fontId="2" fillId="0" borderId="0" xfId="0" applyNumberFormat="1" applyFont="1"/>
    <xf numFmtId="39" fontId="2" fillId="0" borderId="1" xfId="0" applyNumberFormat="1" applyFont="1" applyBorder="1"/>
    <xf numFmtId="39" fontId="3" fillId="0" borderId="0" xfId="0" applyNumberFormat="1" applyFont="1" applyFill="1"/>
  </cellXfs>
  <cellStyles count="8">
    <cellStyle name="Comma" xfId="1" builtinId="3"/>
    <cellStyle name="Comma 2" xfId="2" xr:uid="{00000000-0005-0000-0000-000001000000}"/>
    <cellStyle name="Comma 2 2" xfId="7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3" xfId="3" xr:uid="{00000000-0005-0000-0000-000006000000}"/>
    <cellStyle name="Normal 3 2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S78"/>
  <x:sheetViews>
    <x:sheetView tabSelected="1" zoomScaleNormal="100" workbookViewId="0">
      <x:pane xSplit="2" ySplit="8" topLeftCell="C9" activePane="bottomRight" state="frozen"/>
      <x:selection pane="topRight" activeCell="C1" sqref="C1"/>
      <x:selection pane="bottomLeft" activeCell="A8" sqref="A8"/>
      <x:selection pane="bottomRight" activeCell="F15" sqref="F15"/>
    </x:sheetView>
  </x:sheetViews>
  <x:sheetFormatPr defaultColWidth="9.09765625" defaultRowHeight="15.55" x14ac:dyDescent="0.3"/>
  <x:cols>
    <x:col min="1" max="1" width="13.8984375" style="7" bestFit="1" customWidth="1"/>
    <x:col min="2" max="2" width="89" style="5" bestFit="1" customWidth="1"/>
    <x:col min="3" max="4" width="22.3984375" style="6" bestFit="1" customWidth="1"/>
    <x:col min="5" max="7" width="23" style="6" bestFit="1" customWidth="1"/>
    <x:col min="8" max="8" width="22.3984375" style="6" bestFit="1" customWidth="1"/>
    <x:col min="9" max="12" width="23" style="6" bestFit="1" customWidth="1"/>
    <x:col min="13" max="13" width="22" style="9" bestFit="1" customWidth="1"/>
    <x:col min="14" max="14" width="22" style="5" bestFit="1" customWidth="1"/>
    <x:col min="15" max="18" width="22.3984375" style="5" customWidth="1"/>
    <x:col min="19" max="19" width="19.3984375" style="6" bestFit="1" customWidth="1"/>
    <x:col min="20" max="16384" width="9.09765625" style="6"/>
  </x:cols>
  <x:sheetData>
    <x:row r="1" spans="1:19" x14ac:dyDescent="0.3">
      <x:c r="A1" s="1" t="s">
        <x:v>46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  <x:c r="N1" s="2"/>
      <x:c r="O1" s="2"/>
      <x:c r="P1" s="2"/>
      <x:c r="Q1" s="2"/>
      <x:c r="R1" s="2"/>
    </x:row>
    <x:row r="2" spans="1:19" x14ac:dyDescent="0.3">
      <x:c r="A2" s="1" t="s">
        <x:v>37</x:v>
      </x:c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  <x:c r="N2" s="2"/>
      <x:c r="O2" s="2"/>
      <x:c r="P2" s="2"/>
      <x:c r="Q2" s="2"/>
      <x:c r="R2" s="2"/>
    </x:row>
    <x:row r="3" spans="1:19" x14ac:dyDescent="0.3">
      <x:c r="A3" s="1" t="s">
        <x:v>38</x:v>
      </x:c>
      <x:c r="B3" s="2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4"/>
      <x:c r="N3" s="2"/>
      <x:c r="O3" s="2"/>
      <x:c r="P3" s="2"/>
      <x:c r="Q3" s="2"/>
      <x:c r="R3" s="2"/>
    </x:row>
    <x:row r="4" spans="1:19" x14ac:dyDescent="0.3">
      <x:c r="A4" s="1" t="s">
        <x:v>47</x:v>
      </x:c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4"/>
      <x:c r="N4" s="2"/>
      <x:c r="O4" s="2"/>
      <x:c r="P4" s="2"/>
      <x:c r="Q4" s="2"/>
      <x:c r="R4" s="2"/>
    </x:row>
    <x:row r="5" spans="1:19" x14ac:dyDescent="0.3">
      <x:c r="A5" s="1" t="s">
        <x:v>45</x:v>
      </x:c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4"/>
      <x:c r="N5" s="2"/>
      <x:c r="O5" s="2"/>
      <x:c r="P5" s="2"/>
      <x:c r="Q5" s="2"/>
      <x:c r="R5" s="2"/>
    </x:row>
    <x:row r="6" spans="1:19" x14ac:dyDescent="0.3">
      <x:c r="A6" s="1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4"/>
      <x:c r="N6" s="2"/>
      <x:c r="O6" s="2"/>
      <x:c r="P6" s="2"/>
      <x:c r="Q6" s="2"/>
      <x:c r="R6" s="2"/>
    </x:row>
    <x:row r="7" spans="1:19" x14ac:dyDescent="0.3">
      <x:c r="C7" s="8"/>
    </x:row>
    <x:row r="8" spans="1:19" s="7" customFormat="1" x14ac:dyDescent="0.3">
      <x:c r="A8" s="7" t="s">
        <x:v>0</x:v>
      </x:c>
      <x:c r="B8" s="10" t="s">
        <x:v>42</x:v>
      </x:c>
      <x:c r="C8" s="15" t="s">
        <x:v>60</x:v>
      </x:c>
      <x:c r="D8" s="15" t="s">
        <x:v>48</x:v>
      </x:c>
      <x:c r="E8" s="15" t="s">
        <x:v>49</x:v>
      </x:c>
      <x:c r="F8" s="15" t="s">
        <x:v>50</x:v>
      </x:c>
      <x:c r="G8" s="15" t="s">
        <x:v>51</x:v>
      </x:c>
      <x:c r="H8" s="15" t="s">
        <x:v>52</x:v>
      </x:c>
      <x:c r="I8" s="15" t="s">
        <x:v>53</x:v>
      </x:c>
      <x:c r="J8" s="15" t="s">
        <x:v>54</x:v>
      </x:c>
      <x:c r="K8" s="15" t="s">
        <x:v>55</x:v>
      </x:c>
      <x:c r="L8" s="15" t="s">
        <x:v>56</x:v>
      </x:c>
      <x:c r="M8" s="16" t="s">
        <x:v>57</x:v>
      </x:c>
      <x:c r="N8" s="16" t="s">
        <x:v>58</x:v>
      </x:c>
      <x:c r="O8" s="16" t="s">
        <x:v>59</x:v>
      </x:c>
      <x:c r="P8" s="16" t="s">
        <x:v>62</x:v>
      </x:c>
      <x:c r="Q8" s="16" t="s">
        <x:v>63</x:v>
      </x:c>
      <x:c r="R8" s="16" t="s">
        <x:v>64</x:v>
      </x:c>
      <x:c r="S8" s="7" t="s">
        <x:v>36</x:v>
      </x:c>
    </x:row>
    <x:row r="9" spans="1:19" x14ac:dyDescent="0.3">
      <x:c r="A9" s="7" t="s">
        <x:v>1</x:v>
      </x:c>
      <x:c r="B9" s="11" t="s">
        <x:v>43</x:v>
      </x:c>
      <x:c r="C9" s="19">
        <x:v>2894335.37</x:v>
      </x:c>
      <x:c r="D9" s="19">
        <x:v>4342312.93</x:v>
      </x:c>
      <x:c r="E9" s="19">
        <x:v>4068439.71</x:v>
      </x:c>
      <x:c r="F9" s="19">
        <x:v>4065195.97</x:v>
      </x:c>
      <x:c r="G9" s="19">
        <x:v>4018343.86</x:v>
      </x:c>
      <x:c r="H9" s="19">
        <x:v>3908335.38</x:v>
      </x:c>
      <x:c r="I9" s="19">
        <x:v>3932797.36</x:v>
      </x:c>
      <x:c r="J9" s="19">
        <x:v>3976154.31</x:v>
      </x:c>
      <x:c r="K9" s="19">
        <x:v>3886253.82</x:v>
      </x:c>
      <x:c r="L9" s="19">
        <x:v>3726747.08</x:v>
      </x:c>
      <x:c r="M9" s="19">
        <x:v>3526969.37</x:v>
      </x:c>
      <x:c r="N9" s="19">
        <x:v>3483821.64</x:v>
      </x:c>
      <x:c r="O9" s="20">
        <x:v>3516321.86</x:v>
      </x:c>
      <x:c r="P9" s="20">
        <x:v>3513154.5</x:v>
      </x:c>
      <x:c r="Q9" s="20">
        <x:v>3524309.57</x:v>
      </x:c>
      <x:c r="R9" s="20">
        <x:v>3606441.33</x:v>
      </x:c>
      <x:c r="S9" s="18">
        <x:f>ROUND(SUM(C9:R9),2)</x:f>
        <x:v>59989934.060000002</x:v>
      </x:c>
    </x:row>
    <x:row r="10" spans="1:19" x14ac:dyDescent="0.3">
      <x:c r="A10" s="7" t="s">
        <x:v>1</x:v>
      </x:c>
      <x:c r="B10" s="11" t="s">
        <x:v>44</x:v>
      </x:c>
      <x:c r="C10" s="21">
        <x:v>10353909.439999999</x:v>
      </x:c>
      <x:c r="D10" s="19">
        <x:v>9980714.9100000001</x:v>
      </x:c>
      <x:c r="E10" s="21">
        <x:v>9130877.9499999993</x:v>
      </x:c>
      <x:c r="F10" s="21">
        <x:v>8819351.5800000001</x:v>
      </x:c>
      <x:c r="G10" s="21">
        <x:v>8763104.0099999998</x:v>
      </x:c>
      <x:c r="H10" s="21">
        <x:v>9857624.6300000008</x:v>
      </x:c>
      <x:c r="I10" s="21">
        <x:v>8978727.9700000007</x:v>
      </x:c>
      <x:c r="J10" s="21">
        <x:v>9518929.8499999996</x:v>
      </x:c>
      <x:c r="K10" s="21">
        <x:v>8699110.0099999998</x:v>
      </x:c>
      <x:c r="L10" s="22">
        <x:v>8211936.3099999996</x:v>
      </x:c>
      <x:c r="M10" s="22">
        <x:v>7839923.4000000004</x:v>
      </x:c>
      <x:c r="N10" s="22">
        <x:v>6122815.9299999997</x:v>
      </x:c>
      <x:c r="O10" s="22">
        <x:v>8047241.3300000001</x:v>
      </x:c>
      <x:c r="P10" s="22">
        <x:v>9148413.1500000004</x:v>
      </x:c>
      <x:c r="Q10" s="22">
        <x:v>7993507.8899999997</x:v>
      </x:c>
      <x:c r="R10" s="22">
        <x:v>8000613.1200000001</x:v>
      </x:c>
      <x:c r="S10" s="18">
        <x:f t="shared" ref="S10:S73" si="0">ROUND(SUM(C10:R10),2)</x:f>
        <x:v>139466801.47999999</x:v>
      </x:c>
    </x:row>
    <x:row r="11" spans="1:19" x14ac:dyDescent="0.3">
      <x:c r="A11" s="7" t="s">
        <x:v>1</x:v>
      </x:c>
      <x:c r="B11" s="11" t="s">
        <x:v>3</x:v>
      </x:c>
      <x:c r="C11" s="21">
        <x:v>6238.06</x:v>
      </x:c>
      <x:c r="D11" s="21">
        <x:v>6406.09</x:v>
      </x:c>
      <x:c r="E11" s="21">
        <x:v>8827.07</x:v>
      </x:c>
      <x:c r="F11" s="21">
        <x:v>6907.86</x:v>
      </x:c>
      <x:c r="G11" s="21">
        <x:v>6337.87</x:v>
      </x:c>
      <x:c r="H11" s="21">
        <x:v>6831.62</x:v>
      </x:c>
      <x:c r="I11" s="21">
        <x:v>8354.84</x:v>
      </x:c>
      <x:c r="J11" s="21">
        <x:v>8936.7000000000007</x:v>
      </x:c>
      <x:c r="K11" s="21">
        <x:v>8099.6</x:v>
      </x:c>
      <x:c r="L11" s="22">
        <x:v>8099.6</x:v>
      </x:c>
      <x:c r="M11" s="22">
        <x:v>7138.44</x:v>
      </x:c>
      <x:c r="N11" s="22">
        <x:v>7138.44</x:v>
      </x:c>
      <x:c r="O11" s="22">
        <x:v>6877.72</x:v>
      </x:c>
      <x:c r="P11" s="22">
        <x:v>7777.28</x:v>
      </x:c>
      <x:c r="Q11" s="22">
        <x:v>7868.59</x:v>
      </x:c>
      <x:c r="R11" s="22">
        <x:v>8294</x:v>
      </x:c>
      <x:c r="S11" s="18">
        <x:f t="shared" si="0"/>
        <x:v>120133.78</x:v>
      </x:c>
    </x:row>
    <x:row r="12" spans="1:19" x14ac:dyDescent="0.3">
      <x:c r="A12" s="7" t="s">
        <x:v>1</x:v>
      </x:c>
      <x:c r="B12" s="11" t="s">
        <x:v>4</x:v>
      </x:c>
      <x:c r="C12" s="21">
        <x:v>48040.91</x:v>
      </x:c>
      <x:c r="D12" s="21">
        <x:v>45633.57</x:v>
      </x:c>
      <x:c r="E12" s="21">
        <x:v>46476.81</x:v>
      </x:c>
      <x:c r="F12" s="21">
        <x:v>49893.01</x:v>
      </x:c>
      <x:c r="G12" s="21">
        <x:v>44767.96</x:v>
      </x:c>
      <x:c r="H12" s="21">
        <x:v>47262.77</x:v>
      </x:c>
      <x:c r="I12" s="21">
        <x:v>45200.46</x:v>
      </x:c>
      <x:c r="J12" s="21">
        <x:v>42896.26</x:v>
      </x:c>
      <x:c r="K12" s="21">
        <x:v>43856.800000000003</x:v>
      </x:c>
      <x:c r="L12" s="22">
        <x:v>39523.53</x:v>
      </x:c>
      <x:c r="M12" s="22">
        <x:v>38047.71</x:v>
      </x:c>
      <x:c r="N12" s="22">
        <x:v>42482.09</x:v>
      </x:c>
      <x:c r="O12" s="22">
        <x:v>43878.68</x:v>
      </x:c>
      <x:c r="P12" s="22">
        <x:v>37649.58</x:v>
      </x:c>
      <x:c r="Q12" s="22">
        <x:v>40032.94</x:v>
      </x:c>
      <x:c r="R12" s="22">
        <x:v>37788.15</x:v>
      </x:c>
      <x:c r="S12" s="18">
        <x:f t="shared" si="0"/>
        <x:v>693431.23</x:v>
      </x:c>
    </x:row>
    <x:row r="13" spans="1:19" x14ac:dyDescent="0.3">
      <x:c r="A13" s="7" t="s">
        <x:v>1</x:v>
      </x:c>
      <x:c r="B13" s="11" t="s">
        <x:v>5</x:v>
      </x:c>
      <x:c r="C13" s="21">
        <x:v>21704579.309999999</x:v>
      </x:c>
      <x:c r="D13" s="21">
        <x:v>20835058.300000001</x:v>
      </x:c>
      <x:c r="E13" s="21">
        <x:v>20878229.460000001</x:v>
      </x:c>
      <x:c r="F13" s="21">
        <x:v>21655963.030000001</x:v>
      </x:c>
      <x:c r="G13" s="21">
        <x:v>22314866.539999999</x:v>
      </x:c>
      <x:c r="H13" s="21">
        <x:v>23176873.800000001</x:v>
      </x:c>
      <x:c r="I13" s="21">
        <x:v>26451913.949999999</x:v>
      </x:c>
      <x:c r="J13" s="21">
        <x:v>27529866.25</x:v>
      </x:c>
      <x:c r="K13" s="21">
        <x:v>28192308.73</x:v>
      </x:c>
      <x:c r="L13" s="22">
        <x:v>28526789.640000001</x:v>
      </x:c>
      <x:c r="M13" s="22">
        <x:v>27473038.52</x:v>
      </x:c>
      <x:c r="N13" s="22">
        <x:v>28958583.539999999</x:v>
      </x:c>
      <x:c r="O13" s="22">
        <x:v>29758450.129999999</x:v>
      </x:c>
      <x:c r="P13" s="22">
        <x:v>30923005.079999998</x:v>
      </x:c>
      <x:c r="Q13" s="22">
        <x:v>32788077.050000001</x:v>
      </x:c>
      <x:c r="R13" s="22">
        <x:v>34317982.619999997</x:v>
      </x:c>
      <x:c r="S13" s="18">
        <x:f t="shared" si="0"/>
        <x:v>425485585.94999999</x:v>
      </x:c>
    </x:row>
    <x:row r="14" spans="1:19" x14ac:dyDescent="0.3">
      <x:c r="A14" s="7" t="s">
        <x:v>1</x:v>
      </x:c>
      <x:c r="B14" s="11" t="s">
        <x:v>6</x:v>
      </x:c>
      <x:c r="C14" s="21">
        <x:v>35626836.520000003</x:v>
      </x:c>
      <x:c r="D14" s="21">
        <x:v>33648711.93</x:v>
      </x:c>
      <x:c r="E14" s="21">
        <x:v>32396005.600000001</x:v>
      </x:c>
      <x:c r="F14" s="21">
        <x:v>34732724.57</x:v>
      </x:c>
      <x:c r="G14" s="21">
        <x:v>37176443.729999997</x:v>
      </x:c>
      <x:c r="H14" s="21">
        <x:v>39364439.43</x:v>
      </x:c>
      <x:c r="I14" s="21">
        <x:v>40357268.43</x:v>
      </x:c>
      <x:c r="J14" s="21">
        <x:v>372099554.99000001</x:v>
      </x:c>
      <x:c r="K14" s="21">
        <x:v>35987691.609999999</x:v>
      </x:c>
      <x:c r="L14" s="22">
        <x:v>38748368.990000002</x:v>
      </x:c>
      <x:c r="M14" s="22">
        <x:v>37945986.939999998</x:v>
      </x:c>
      <x:c r="N14" s="22">
        <x:v>36693205.130000003</x:v>
      </x:c>
      <x:c r="O14" s="22">
        <x:v>40468239.009999998</x:v>
      </x:c>
      <x:c r="P14" s="22">
        <x:v>42411398.939999998</x:v>
      </x:c>
      <x:c r="Q14" s="22">
        <x:v>48866361.229999997</x:v>
      </x:c>
      <x:c r="R14" s="22">
        <x:v>57340737.780000001</x:v>
      </x:c>
      <x:c r="S14" s="18">
        <x:f t="shared" si="0"/>
        <x:v>963863974.83000004</x:v>
      </x:c>
    </x:row>
    <x:row r="15" spans="1:19" x14ac:dyDescent="0.3">
      <x:c r="A15" s="7" t="s">
        <x:v>1</x:v>
      </x:c>
      <x:c r="B15" s="11" t="s">
        <x:v>7</x:v>
      </x:c>
      <x:c r="C15" s="21">
        <x:v>7828306.6699999999</x:v>
      </x:c>
      <x:c r="D15" s="21">
        <x:v>8104965.29</x:v>
      </x:c>
      <x:c r="E15" s="21">
        <x:v>8247922.0199999996</x:v>
      </x:c>
      <x:c r="F15" s="21">
        <x:v>11398084.6</x:v>
      </x:c>
      <x:c r="G15" s="21">
        <x:v>11281394.560000001</x:v>
      </x:c>
      <x:c r="H15" s="21">
        <x:v>10123402.289999999</x:v>
      </x:c>
      <x:c r="I15" s="21">
        <x:v>11118351.42</x:v>
      </x:c>
      <x:c r="J15" s="21">
        <x:v>11655257.960000001</x:v>
      </x:c>
      <x:c r="K15" s="21">
        <x:v>11721816.880000001</x:v>
      </x:c>
      <x:c r="L15" s="22">
        <x:v>11636863.17</x:v>
      </x:c>
      <x:c r="M15" s="22">
        <x:v>11181050.550000001</x:v>
      </x:c>
      <x:c r="N15" s="22">
        <x:v>11708896.369999999</x:v>
      </x:c>
      <x:c r="O15" s="22">
        <x:v>12354368.77</x:v>
      </x:c>
      <x:c r="P15" s="22">
        <x:v>12784288.07</x:v>
      </x:c>
      <x:c r="Q15" s="22">
        <x:v>13808002.17</x:v>
      </x:c>
      <x:c r="R15" s="22">
        <x:v>14487982.42</x:v>
      </x:c>
      <x:c r="S15" s="18">
        <x:f t="shared" si="0"/>
        <x:v>179440953.21000001</x:v>
      </x:c>
    </x:row>
    <x:row r="16" spans="1:19" x14ac:dyDescent="0.3">
      <x:c r="A16" s="7" t="s">
        <x:v>1</x:v>
      </x:c>
      <x:c r="B16" s="11" t="s">
        <x:v>8</x:v>
      </x:c>
      <x:c r="C16" s="21">
        <x:v>14331170.880000001</x:v>
      </x:c>
      <x:c r="D16" s="21">
        <x:v>14597851.800000001</x:v>
      </x:c>
      <x:c r="E16" s="21">
        <x:v>14653221.210000001</x:v>
      </x:c>
      <x:c r="F16" s="21">
        <x:v>16561394.33</x:v>
      </x:c>
      <x:c r="G16" s="21">
        <x:v>15523830.41</x:v>
      </x:c>
      <x:c r="H16" s="21">
        <x:v>17873639.890000001</x:v>
      </x:c>
      <x:c r="I16" s="21">
        <x:v>19049270.739999998</x:v>
      </x:c>
      <x:c r="J16" s="21">
        <x:v>18191376.510000002</x:v>
      </x:c>
      <x:c r="K16" s="21">
        <x:v>18827027.010000002</x:v>
      </x:c>
      <x:c r="L16" s="22">
        <x:v>19398700.989999998</x:v>
      </x:c>
      <x:c r="M16" s="22">
        <x:v>18928479.18</x:v>
      </x:c>
      <x:c r="N16" s="22">
        <x:v>19360334.800000001</x:v>
      </x:c>
      <x:c r="O16" s="22">
        <x:v>18605329.379999999</x:v>
      </x:c>
      <x:c r="P16" s="22">
        <x:v>18181685.27</x:v>
      </x:c>
      <x:c r="Q16" s="22">
        <x:v>19019332.489999998</x:v>
      </x:c>
      <x:c r="R16" s="22">
        <x:v>20336228.530000001</x:v>
      </x:c>
      <x:c r="S16" s="18">
        <x:f t="shared" si="0"/>
        <x:v>283438873.42000002</x:v>
      </x:c>
    </x:row>
    <x:row r="17" spans="1:19" x14ac:dyDescent="0.3">
      <x:c r="A17" s="7" t="s">
        <x:v>1</x:v>
      </x:c>
      <x:c r="B17" s="11" t="s">
        <x:v>9</x:v>
      </x:c>
      <x:c r="C17" s="21">
        <x:v>4632184.6100000003</x:v>
      </x:c>
      <x:c r="D17" s="21">
        <x:v>5941572.8300000001</x:v>
      </x:c>
      <x:c r="E17" s="21">
        <x:v>4947572.4000000004</x:v>
      </x:c>
      <x:c r="F17" s="21">
        <x:v>5189487.3099999996</x:v>
      </x:c>
      <x:c r="G17" s="21">
        <x:v>4812218.1500000004</x:v>
      </x:c>
      <x:c r="H17" s="21">
        <x:v>5143752.37</x:v>
      </x:c>
      <x:c r="I17" s="21">
        <x:v>4357747.46</x:v>
      </x:c>
      <x:c r="J17" s="21">
        <x:v>4471476.7699999996</x:v>
      </x:c>
      <x:c r="K17" s="21">
        <x:v>4054585.15</x:v>
      </x:c>
      <x:c r="L17" s="22">
        <x:v>3945188.99</x:v>
      </x:c>
      <x:c r="M17" s="22">
        <x:v>4102253.94</x:v>
      </x:c>
      <x:c r="N17" s="22">
        <x:v>5407040.0700000003</x:v>
      </x:c>
      <x:c r="O17" s="22">
        <x:v>4237557.17</x:v>
      </x:c>
      <x:c r="P17" s="22">
        <x:v>4395751.7699999996</x:v>
      </x:c>
      <x:c r="Q17" s="22">
        <x:v>4635633.18</x:v>
      </x:c>
      <x:c r="R17" s="22">
        <x:v>4366212.03</x:v>
      </x:c>
      <x:c r="S17" s="18">
        <x:f t="shared" si="0"/>
        <x:v>74640234.200000003</x:v>
      </x:c>
    </x:row>
    <x:row r="18" spans="1:19" x14ac:dyDescent="0.3">
      <x:c r="A18" s="7" t="s">
        <x:v>1</x:v>
      </x:c>
      <x:c r="B18" s="11" t="s">
        <x:v>10</x:v>
      </x:c>
      <x:c r="C18" s="21">
        <x:v>41357.67</x:v>
      </x:c>
      <x:c r="D18" s="21">
        <x:v>46289.89</x:v>
      </x:c>
      <x:c r="E18" s="21">
        <x:v>42881.74</x:v>
      </x:c>
      <x:c r="F18" s="21">
        <x:v>44180.54</x:v>
      </x:c>
      <x:c r="G18" s="21">
        <x:v>40494.629999999997</x:v>
      </x:c>
      <x:c r="H18" s="21">
        <x:v>45072.12</x:v>
      </x:c>
      <x:c r="I18" s="21">
        <x:v>44301.93</x:v>
      </x:c>
      <x:c r="J18" s="21">
        <x:v>49165.36</x:v>
      </x:c>
      <x:c r="K18" s="21">
        <x:v>50864.59</x:v>
      </x:c>
      <x:c r="L18" s="22">
        <x:v>44587.63</x:v>
      </x:c>
      <x:c r="M18" s="22">
        <x:v>41036.980000000003</x:v>
      </x:c>
      <x:c r="N18" s="22">
        <x:v>54269.5</x:v>
      </x:c>
      <x:c r="O18" s="22">
        <x:v>48337.87</x:v>
      </x:c>
      <x:c r="P18" s="22">
        <x:v>43757.19</x:v>
      </x:c>
      <x:c r="Q18" s="22">
        <x:v>43671.75</x:v>
      </x:c>
      <x:c r="R18" s="22">
        <x:v>49204.66</x:v>
      </x:c>
      <x:c r="S18" s="18">
        <x:f t="shared" si="0"/>
        <x:v>729474.05</x:v>
      </x:c>
    </x:row>
    <x:row r="19" spans="1:19" x14ac:dyDescent="0.3">
      <x:c r="A19" s="7" t="s">
        <x:v>1</x:v>
      </x:c>
      <x:c r="B19" s="11" t="s">
        <x:v>11</x:v>
      </x:c>
      <x:c r="C19" s="23">
        <x:v>972758.92</x:v>
      </x:c>
      <x:c r="D19" s="23">
        <x:v>976499.64</x:v>
      </x:c>
      <x:c r="E19" s="23">
        <x:v>1021400.89</x:v>
      </x:c>
      <x:c r="F19" s="23">
        <x:v>1036524.77</x:v>
      </x:c>
      <x:c r="G19" s="23">
        <x:v>977982.71</x:v>
      </x:c>
      <x:c r="H19" s="23">
        <x:v>1085019.3400000001</x:v>
      </x:c>
      <x:c r="I19" s="23">
        <x:v>1018570.88</x:v>
      </x:c>
      <x:c r="J19" s="23">
        <x:v>981947.15</x:v>
      </x:c>
      <x:c r="K19" s="23">
        <x:v>921062</x:v>
      </x:c>
      <x:c r="L19" s="22">
        <x:v>967240.89</x:v>
      </x:c>
      <x:c r="M19" s="22">
        <x:v>972697.99</x:v>
      </x:c>
      <x:c r="N19" s="22">
        <x:v>988112.49</x:v>
      </x:c>
      <x:c r="O19" s="22">
        <x:v>1107753.98</x:v>
      </x:c>
      <x:c r="P19" s="22">
        <x:v>1105521.26</x:v>
      </x:c>
      <x:c r="Q19" s="22">
        <x:v>997176.86</x:v>
      </x:c>
      <x:c r="R19" s="22">
        <x:v>911471.89</x:v>
      </x:c>
      <x:c r="S19" s="18">
        <x:f t="shared" si="0"/>
        <x:v>16041741.66</x:v>
      </x:c>
    </x:row>
    <x:row r="20" spans="1:19" x14ac:dyDescent="0.3">
      <x:c r="A20" s="7" t="s">
        <x:v>1</x:v>
      </x:c>
      <x:c r="B20" s="11" t="s">
        <x:v>30</x:v>
      </x:c>
      <x:c r="C20" s="21">
        <x:v>27542.58</x:v>
      </x:c>
      <x:c r="D20" s="21">
        <x:v>21808.1</x:v>
      </x:c>
      <x:c r="E20" s="21">
        <x:v>21808.1</x:v>
      </x:c>
      <x:c r="F20" s="21">
        <x:v>16033.96</x:v>
      </x:c>
      <x:c r="G20" s="21">
        <x:v>29095.18</x:v>
      </x:c>
      <x:c r="H20" s="21">
        <x:v>18115.98</x:v>
      </x:c>
      <x:c r="I20" s="21">
        <x:v>31291.02</x:v>
      </x:c>
      <x:c r="J20" s="21">
        <x:v>24703.5</x:v>
      </x:c>
      <x:c r="K20" s="21">
        <x:v>31291.02</x:v>
      </x:c>
      <x:c r="L20" s="22">
        <x:v>29095.18</x:v>
      </x:c>
      <x:c r="M20" s="22">
        <x:v>40074.379999999997</x:v>
      </x:c>
      <x:c r="N20" s="22">
        <x:v>26785.52</x:v>
      </x:c>
      <x:c r="O20" s="22">
        <x:v>26785.52</x:v>
      </x:c>
      <x:c r="P20" s="22">
        <x:v>26785.52</x:v>
      </x:c>
      <x:c r="Q20" s="22">
        <x:v>17660.7</x:v>
      </x:c>
      <x:c r="R20" s="22">
        <x:v>50785.5</x:v>
      </x:c>
      <x:c r="S20" s="18">
        <x:f t="shared" si="0"/>
        <x:v>439661.76</x:v>
      </x:c>
    </x:row>
    <x:row r="21" spans="1:19" x14ac:dyDescent="0.3">
      <x:c r="A21" s="7" t="s">
        <x:v>1</x:v>
      </x:c>
      <x:c r="B21" s="11" t="s">
        <x:v>12</x:v>
      </x:c>
      <x:c r="C21" s="21">
        <x:v>2783861.8</x:v>
      </x:c>
      <x:c r="D21" s="21">
        <x:v>3266003.5</x:v>
      </x:c>
      <x:c r="E21" s="21">
        <x:v>3250697.07</x:v>
      </x:c>
      <x:c r="F21" s="21">
        <x:v>2869322.07</x:v>
      </x:c>
      <x:c r="G21" s="21">
        <x:v>4299711.62</x:v>
      </x:c>
      <x:c r="H21" s="21">
        <x:v>4230296.68</x:v>
      </x:c>
      <x:c r="I21" s="21">
        <x:v>4052642.63</x:v>
      </x:c>
      <x:c r="J21" s="21">
        <x:v>4029055.86</x:v>
      </x:c>
      <x:c r="K21" s="21">
        <x:v>3989790.78</x:v>
      </x:c>
      <x:c r="L21" s="22">
        <x:v>4827714.37</x:v>
      </x:c>
      <x:c r="M21" s="22">
        <x:v>4136255.8</x:v>
      </x:c>
      <x:c r="N21" s="22">
        <x:v>4081163.77</x:v>
      </x:c>
      <x:c r="O21" s="22">
        <x:v>4423266</x:v>
      </x:c>
      <x:c r="P21" s="22">
        <x:v>3442018.59</x:v>
      </x:c>
      <x:c r="Q21" s="22">
        <x:v>3209559.63</x:v>
      </x:c>
      <x:c r="R21" s="22">
        <x:v>3973603.27</x:v>
      </x:c>
      <x:c r="S21" s="18">
        <x:f t="shared" si="0"/>
        <x:v>60864963.439999998</x:v>
      </x:c>
    </x:row>
    <x:row r="22" spans="1:19" x14ac:dyDescent="0.3">
      <x:c r="A22" s="7" t="s">
        <x:v>1</x:v>
      </x:c>
      <x:c r="B22" s="11" t="s">
        <x:v>13</x:v>
      </x:c>
      <x:c r="C22" s="21">
        <x:v>1303133.6000000001</x:v>
      </x:c>
      <x:c r="D22" s="21">
        <x:v>1321609.71</x:v>
      </x:c>
      <x:c r="E22" s="21">
        <x:v>1339944.73</x:v>
      </x:c>
      <x:c r="F22" s="21">
        <x:v>1825036.69</x:v>
      </x:c>
      <x:c r="G22" s="21">
        <x:v>1720432.59</x:v>
      </x:c>
      <x:c r="H22" s="21">
        <x:v>1712932.69</x:v>
      </x:c>
      <x:c r="I22" s="21">
        <x:v>2334181.31</x:v>
      </x:c>
      <x:c r="J22" s="21">
        <x:v>2275650.9700000002</x:v>
      </x:c>
      <x:c r="K22" s="21">
        <x:v>2321301.4500000002</x:v>
      </x:c>
      <x:c r="L22" s="22">
        <x:v>2281120.44</x:v>
      </x:c>
      <x:c r="M22" s="22">
        <x:v>2203910.5299999998</x:v>
      </x:c>
      <x:c r="N22" s="22">
        <x:v>3042109.23</x:v>
      </x:c>
      <x:c r="O22" s="22">
        <x:v>3941285.37</x:v>
      </x:c>
      <x:c r="P22" s="22">
        <x:v>4191248.45</x:v>
      </x:c>
      <x:c r="Q22" s="22">
        <x:v>4513350.45</x:v>
      </x:c>
      <x:c r="R22" s="22">
        <x:v>4543660.03</x:v>
      </x:c>
      <x:c r="S22" s="18">
        <x:f t="shared" si="0"/>
        <x:v>40870908.240000002</x:v>
      </x:c>
    </x:row>
    <x:row r="23" spans="1:19" x14ac:dyDescent="0.3">
      <x:c r="A23" s="7" t="s">
        <x:v>1</x:v>
      </x:c>
      <x:c r="B23" s="11" t="s">
        <x:v>14</x:v>
      </x:c>
      <x:c r="C23" s="21">
        <x:v>85361.14</x:v>
      </x:c>
      <x:c r="D23" s="21">
        <x:v>71499.17</x:v>
      </x:c>
      <x:c r="E23" s="21">
        <x:v>56825.98</x:v>
      </x:c>
      <x:c r="F23" s="21">
        <x:v>54747.33</x:v>
      </x:c>
      <x:c r="G23" s="21">
        <x:v>42538.71</x:v>
      </x:c>
      <x:c r="H23" s="21">
        <x:v>38202.83</x:v>
      </x:c>
      <x:c r="I23" s="21">
        <x:v>40636.47</x:v>
      </x:c>
      <x:c r="J23" s="21">
        <x:v>34291.480000000003</x:v>
      </x:c>
      <x:c r="K23" s="21">
        <x:v>34986.15</x:v>
      </x:c>
      <x:c r="L23" s="22">
        <x:v>28670</x:v>
      </x:c>
      <x:c r="M23" s="22">
        <x:v>22440.13</x:v>
      </x:c>
      <x:c r="N23" s="22">
        <x:v>27029.919999999998</x:v>
      </x:c>
      <x:c r="O23" s="22">
        <x:v>23767.39</x:v>
      </x:c>
      <x:c r="P23" s="22">
        <x:v>30232.21</x:v>
      </x:c>
      <x:c r="Q23" s="22">
        <x:v>68150.149999999994</x:v>
      </x:c>
      <x:c r="R23" s="22">
        <x:v>60884</x:v>
      </x:c>
      <x:c r="S23" s="18">
        <x:f t="shared" si="0"/>
        <x:v>720263.06</x:v>
      </x:c>
    </x:row>
    <x:row r="24" spans="1:19" x14ac:dyDescent="0.3">
      <x:c r="A24" s="7" t="s">
        <x:v>1</x:v>
      </x:c>
      <x:c r="B24" s="11" t="s">
        <x:v>15</x:v>
      </x:c>
      <x:c r="C24" s="21">
        <x:v>5347.1</x:v>
      </x:c>
      <x:c r="D24" s="21">
        <x:v>4907.6499999999996</x:v>
      </x:c>
      <x:c r="E24" s="21">
        <x:v>5391.45</x:v>
      </x:c>
      <x:c r="F24" s="21">
        <x:v>5268.67</x:v>
      </x:c>
      <x:c r="G24" s="21">
        <x:v>4688.4799999999996</x:v>
      </x:c>
      <x:c r="H24" s="21">
        <x:v>3977.47</x:v>
      </x:c>
      <x:c r="I24" s="21">
        <x:v>4219.37</x:v>
      </x:c>
      <x:c r="J24" s="21">
        <x:v>4461.2700000000004</x:v>
      </x:c>
      <x:c r="K24" s="21">
        <x:v>4461.2700000000004</x:v>
      </x:c>
      <x:c r="L24" s="22">
        <x:v>4685.03</x:v>
      </x:c>
      <x:c r="M24" s="22">
        <x:v>4685.03</x:v>
      </x:c>
      <x:c r="N24" s="22">
        <x:v>4564.08</x:v>
      </x:c>
      <x:c r="O24" s="22">
        <x:v>4585.71</x:v>
      </x:c>
      <x:c r="P24" s="22">
        <x:v>4354.8100000000004</x:v>
      </x:c>
      <x:c r="Q24" s="22">
        <x:v>3070.7</x:v>
      </x:c>
      <x:c r="R24" s="22">
        <x:v>3020.42</x:v>
      </x:c>
      <x:c r="S24" s="18">
        <x:f t="shared" si="0"/>
        <x:v>71688.509999999995</x:v>
      </x:c>
    </x:row>
    <x:row r="25" spans="1:19" x14ac:dyDescent="0.3">
      <x:c r="A25" s="7" t="s">
        <x:v>1</x:v>
      </x:c>
      <x:c r="B25" s="11" t="s">
        <x:v>16</x:v>
      </x:c>
      <x:c r="C25" s="21">
        <x:v>6200045.1900000004</x:v>
      </x:c>
      <x:c r="D25" s="21">
        <x:v>6239326.1100000003</x:v>
      </x:c>
      <x:c r="E25" s="21">
        <x:v>5758236.6799999997</x:v>
      </x:c>
      <x:c r="F25" s="21">
        <x:v>6724198.7999999998</x:v>
      </x:c>
      <x:c r="G25" s="21">
        <x:v>7264527.4900000002</x:v>
      </x:c>
      <x:c r="H25" s="21">
        <x:v>7121574.21</x:v>
      </x:c>
      <x:c r="I25" s="21">
        <x:v>6633232.7300000004</x:v>
      </x:c>
      <x:c r="J25" s="21">
        <x:v>6255970.0999999996</x:v>
      </x:c>
      <x:c r="K25" s="21">
        <x:v>6337361.7300000004</x:v>
      </x:c>
      <x:c r="L25" s="22">
        <x:v>6812090.1600000001</x:v>
      </x:c>
      <x:c r="M25" s="22">
        <x:v>6911032.54</x:v>
      </x:c>
      <x:c r="N25" s="22">
        <x:v>7347102.4800000004</x:v>
      </x:c>
      <x:c r="O25" s="22">
        <x:v>7751334</x:v>
      </x:c>
      <x:c r="P25" s="22">
        <x:v>7617840.2199999997</x:v>
      </x:c>
      <x:c r="Q25" s="22">
        <x:v>8009782.4500000002</x:v>
      </x:c>
      <x:c r="R25" s="22">
        <x:v>7876394.7999999998</x:v>
      </x:c>
      <x:c r="S25" s="18">
        <x:f t="shared" si="0"/>
        <x:v>110860049.69</x:v>
      </x:c>
    </x:row>
    <x:row r="26" spans="1:19" x14ac:dyDescent="0.3">
      <x:c r="A26" s="7" t="s">
        <x:v>1</x:v>
      </x:c>
      <x:c r="B26" s="11" t="s">
        <x:v>17</x:v>
      </x:c>
      <x:c r="C26" s="21">
        <x:v>3656196.91</x:v>
      </x:c>
      <x:c r="D26" s="21">
        <x:v>3419766.75</x:v>
      </x:c>
      <x:c r="E26" s="21">
        <x:v>3855532.42</x:v>
      </x:c>
      <x:c r="F26" s="21">
        <x:v>3853772.13</x:v>
      </x:c>
      <x:c r="G26" s="21">
        <x:v>4205603.93</x:v>
      </x:c>
      <x:c r="H26" s="21">
        <x:v>4056043.53</x:v>
      </x:c>
      <x:c r="I26" s="21">
        <x:v>5095377.1500000004</x:v>
      </x:c>
      <x:c r="J26" s="21">
        <x:v>4625012.09</x:v>
      </x:c>
      <x:c r="K26" s="21">
        <x:v>4644548.88</x:v>
      </x:c>
      <x:c r="L26" s="22">
        <x:v>4777186.6100000003</x:v>
      </x:c>
      <x:c r="M26" s="22">
        <x:v>4629677.41</x:v>
      </x:c>
      <x:c r="N26" s="22">
        <x:v>5049471.18</x:v>
      </x:c>
      <x:c r="O26" s="22">
        <x:v>4794086.92</x:v>
      </x:c>
      <x:c r="P26" s="22">
        <x:v>4495037.43</x:v>
      </x:c>
      <x:c r="Q26" s="22">
        <x:v>4713200.49</x:v>
      </x:c>
      <x:c r="R26" s="22">
        <x:v>4295845.25</x:v>
      </x:c>
      <x:c r="S26" s="18">
        <x:f t="shared" si="0"/>
        <x:v>70166359.079999998</x:v>
      </x:c>
    </x:row>
    <x:row r="27" spans="1:19" x14ac:dyDescent="0.3">
      <x:c r="A27" s="7" t="s">
        <x:v>1</x:v>
      </x:c>
      <x:c r="B27" s="11" t="s">
        <x:v>18</x:v>
      </x:c>
      <x:c r="C27" s="21">
        <x:v>7244.89</x:v>
      </x:c>
      <x:c r="D27" s="21">
        <x:v>6361.39</x:v>
      </x:c>
      <x:c r="E27" s="21">
        <x:v>6659.87</x:v>
      </x:c>
      <x:c r="F27" s="21">
        <x:v>4784.43</x:v>
      </x:c>
      <x:c r="G27" s="21">
        <x:v>6467.57</x:v>
      </x:c>
      <x:c r="H27" s="21">
        <x:v>4214.6099999999997</x:v>
      </x:c>
      <x:c r="I27" s="21">
        <x:v>3651.7</x:v>
      </x:c>
      <x:c r="J27" s="21">
        <x:v>3572.72</x:v>
      </x:c>
      <x:c r="K27" s="21">
        <x:v>4145.05</x:v>
      </x:c>
      <x:c r="L27" s="22">
        <x:v>5511.6</x:v>
      </x:c>
      <x:c r="M27" s="22">
        <x:v>3927.99</x:v>
      </x:c>
      <x:c r="N27" s="22">
        <x:v>6045.41</x:v>
      </x:c>
      <x:c r="O27" s="22">
        <x:v>6815.15</x:v>
      </x:c>
      <x:c r="P27" s="22">
        <x:v>6243.03</x:v>
      </x:c>
      <x:c r="Q27" s="22">
        <x:v>6879.9</x:v>
      </x:c>
      <x:c r="R27" s="22">
        <x:v>6875.98</x:v>
      </x:c>
      <x:c r="S27" s="18">
        <x:f t="shared" si="0"/>
        <x:v>89401.29</x:v>
      </x:c>
    </x:row>
    <x:row r="28" spans="1:19" s="5" customFormat="1" x14ac:dyDescent="0.3">
      <x:c r="A28" s="10" t="s">
        <x:v>1</x:v>
      </x:c>
      <x:c r="B28" s="11" t="s">
        <x:v>19</x:v>
      </x:c>
      <x:c r="C28" s="28">
        <x:v>700171.54</x:v>
      </x:c>
      <x:c r="D28" s="28">
        <x:v>671860.11</x:v>
      </x:c>
      <x:c r="E28" s="28">
        <x:v>790646.98</x:v>
      </x:c>
      <x:c r="F28" s="28">
        <x:v>1167544.3700000001</x:v>
      </x:c>
      <x:c r="G28" s="28">
        <x:v>1150979.1599999999</x:v>
      </x:c>
      <x:c r="H28" s="28">
        <x:v>1178869.19</x:v>
      </x:c>
      <x:c r="I28" s="28">
        <x:v>1222459.74</x:v>
      </x:c>
      <x:c r="J28" s="28">
        <x:v>1251435.06</x:v>
      </x:c>
      <x:c r="K28" s="28">
        <x:v>1157379.76</x:v>
      </x:c>
      <x:c r="L28" s="22">
        <x:v>1118828.1299999999</x:v>
      </x:c>
      <x:c r="M28" s="22">
        <x:v>1093227.28</x:v>
      </x:c>
      <x:c r="N28" s="22">
        <x:v>1154742.9099999999</x:v>
      </x:c>
      <x:c r="O28" s="22">
        <x:v>1261212.44</x:v>
      </x:c>
      <x:c r="P28" s="22">
        <x:v>1463987.42</x:v>
      </x:c>
      <x:c r="Q28" s="22">
        <x:v>1497486.12</x:v>
      </x:c>
      <x:c r="R28" s="22">
        <x:v>1388381.98</x:v>
      </x:c>
      <x:c r="S28" s="31">
        <x:f t="shared" si="0"/>
        <x:v>18269212.190000001</x:v>
      </x:c>
    </x:row>
    <x:row r="29" spans="1:19" x14ac:dyDescent="0.3">
      <x:c r="A29" s="7" t="s">
        <x:v>1</x:v>
      </x:c>
      <x:c r="B29" s="11" t="s">
        <x:v>28</x:v>
      </x:c>
      <x:c r="C29" s="21">
        <x:v>10775.28</x:v>
      </x:c>
      <x:c r="D29" s="21">
        <x:v>10775.28</x:v>
      </x:c>
      <x:c r="E29" s="21">
        <x:v>9223.31</x:v>
      </x:c>
      <x:c r="F29" s="21">
        <x:v>7671.33</x:v>
      </x:c>
      <x:c r="G29" s="21">
        <x:v>10846.54</x:v>
      </x:c>
      <x:c r="H29" s="21">
        <x:v>9278.1200000000008</x:v>
      </x:c>
      <x:c r="I29" s="21">
        <x:v>9278.1200000000008</x:v>
      </x:c>
      <x:c r="J29" s="21">
        <x:v>6664.08</x:v>
      </x:c>
      <x:c r="K29" s="21">
        <x:v>11389.81</x:v>
      </x:c>
      <x:c r="L29" s="22">
        <x:v>11389.81</x:v>
      </x:c>
      <x:c r="M29" s="22">
        <x:v>11389.81</x:v>
      </x:c>
      <x:c r="N29" s="22">
        <x:v>11389.81</x:v>
      </x:c>
      <x:c r="O29" s="22">
        <x:v>11389.81</x:v>
      </x:c>
      <x:c r="P29" s="22">
        <x:v>9817</x:v>
      </x:c>
      <x:c r="Q29" s="22">
        <x:v>9817</x:v>
      </x:c>
      <x:c r="R29" s="22">
        <x:v>6671.39</x:v>
      </x:c>
      <x:c r="S29" s="18">
        <x:f t="shared" si="0"/>
        <x:v>157766.5</x:v>
      </x:c>
    </x:row>
    <x:row r="30" spans="1:19" x14ac:dyDescent="0.3">
      <x:c r="A30" s="7" t="s">
        <x:v>1</x:v>
      </x:c>
      <x:c r="B30" s="11" t="s">
        <x:v>20</x:v>
      </x:c>
      <x:c r="C30" s="21">
        <x:v>13122.88</x:v>
      </x:c>
      <x:c r="D30" s="21">
        <x:v>15289.54</x:v>
      </x:c>
      <x:c r="E30" s="21">
        <x:v>14276.71</x:v>
      </x:c>
      <x:c r="F30" s="21">
        <x:v>13870.3</x:v>
      </x:c>
      <x:c r="G30" s="21">
        <x:v>13733.03</x:v>
      </x:c>
      <x:c r="H30" s="21">
        <x:v>13706.17</x:v>
      </x:c>
      <x:c r="I30" s="21">
        <x:v>12106.17</x:v>
      </x:c>
      <x:c r="J30" s="21">
        <x:v>13890.01</x:v>
      </x:c>
      <x:c r="K30" s="21">
        <x:v>14160.12</x:v>
      </x:c>
      <x:c r="L30" s="22">
        <x:v>13475.92</x:v>
      </x:c>
      <x:c r="M30" s="22">
        <x:v>13091.6</x:v>
      </x:c>
      <x:c r="N30" s="22">
        <x:v>12718.89</x:v>
      </x:c>
      <x:c r="O30" s="22">
        <x:v>14006.37</x:v>
      </x:c>
      <x:c r="P30" s="22">
        <x:v>13270.01</x:v>
      </x:c>
      <x:c r="Q30" s="22">
        <x:v>12237.53</x:v>
      </x:c>
      <x:c r="R30" s="22">
        <x:v>12805.4</x:v>
      </x:c>
      <x:c r="S30" s="18">
        <x:f t="shared" si="0"/>
        <x:v>215760.65</x:v>
      </x:c>
    </x:row>
    <x:row r="31" spans="1:19" x14ac:dyDescent="0.3">
      <x:c r="A31" s="7" t="s">
        <x:v>1</x:v>
      </x:c>
      <x:c r="B31" s="11" t="s">
        <x:v>21</x:v>
      </x:c>
      <x:c r="C31" s="21">
        <x:v>1056556.1299999999</x:v>
      </x:c>
      <x:c r="D31" s="21">
        <x:v>1044784.17</x:v>
      </x:c>
      <x:c r="E31" s="21">
        <x:v>1271468.69</x:v>
      </x:c>
      <x:c r="F31" s="21">
        <x:v>1208967.53</x:v>
      </x:c>
      <x:c r="G31" s="21">
        <x:v>1180790.46</x:v>
      </x:c>
      <x:c r="H31" s="21">
        <x:v>1175183.1299999999</x:v>
      </x:c>
      <x:c r="I31" s="21">
        <x:v>1231954.27</x:v>
      </x:c>
      <x:c r="J31" s="21">
        <x:v>1207593.29</x:v>
      </x:c>
      <x:c r="K31" s="21">
        <x:v>1107992.1100000001</x:v>
      </x:c>
      <x:c r="L31" s="22">
        <x:v>1194497.97</x:v>
      </x:c>
      <x:c r="M31" s="22">
        <x:v>1145307.8700000001</x:v>
      </x:c>
      <x:c r="N31" s="22">
        <x:v>1115238.54</x:v>
      </x:c>
      <x:c r="O31" s="22">
        <x:v>1073388.46</x:v>
      </x:c>
      <x:c r="P31" s="22">
        <x:v>925950.61</x:v>
      </x:c>
      <x:c r="Q31" s="22">
        <x:v>1093798.33</x:v>
      </x:c>
      <x:c r="R31" s="22">
        <x:v>1138563.3899999999</x:v>
      </x:c>
      <x:c r="S31" s="18">
        <x:f t="shared" si="0"/>
        <x:v>18172034.949999999</x:v>
      </x:c>
    </x:row>
    <x:row r="32" spans="1:19" x14ac:dyDescent="0.3">
      <x:c r="A32" s="7" t="s">
        <x:v>1</x:v>
      </x:c>
      <x:c r="B32" s="11" t="s">
        <x:v>22</x:v>
      </x:c>
      <x:c r="C32" s="21">
        <x:v>49869.32</x:v>
      </x:c>
      <x:c r="D32" s="21">
        <x:v>49873.72</x:v>
      </x:c>
      <x:c r="E32" s="21">
        <x:v>47394.239999999998</x:v>
      </x:c>
      <x:c r="F32" s="21">
        <x:v>48449.5</x:v>
      </x:c>
      <x:c r="G32" s="21">
        <x:v>44226.66</x:v>
      </x:c>
      <x:c r="H32" s="21">
        <x:v>44249.07</x:v>
      </x:c>
      <x:c r="I32" s="21">
        <x:v>46750.37</x:v>
      </x:c>
      <x:c r="J32" s="21">
        <x:v>48806.81</x:v>
      </x:c>
      <x:c r="K32" s="21">
        <x:v>45156.94</x:v>
      </x:c>
      <x:c r="L32" s="22">
        <x:v>42031.66</x:v>
      </x:c>
      <x:c r="M32" s="22">
        <x:v>45466.239999999998</x:v>
      </x:c>
      <x:c r="N32" s="22">
        <x:v>42685.63</x:v>
      </x:c>
      <x:c r="O32" s="22">
        <x:v>46292.55</x:v>
      </x:c>
      <x:c r="P32" s="22">
        <x:v>46945.68</x:v>
      </x:c>
      <x:c r="Q32" s="22">
        <x:v>43222.96</x:v>
      </x:c>
      <x:c r="R32" s="22">
        <x:v>49347.16</x:v>
      </x:c>
      <x:c r="S32" s="18">
        <x:f t="shared" si="0"/>
        <x:v>740768.51</x:v>
      </x:c>
    </x:row>
    <x:row r="33" spans="1:19" ht="31.1" x14ac:dyDescent="0.3">
      <x:c r="A33" s="7" t="s">
        <x:v>1</x:v>
      </x:c>
      <x:c r="B33" s="11" t="s">
        <x:v>39</x:v>
      </x:c>
      <x:c r="C33" s="21">
        <x:v>33721.21</x:v>
      </x:c>
      <x:c r="D33" s="21">
        <x:v>31988.84</x:v>
      </x:c>
      <x:c r="E33" s="21">
        <x:v>31988.84</x:v>
      </x:c>
      <x:c r="F33" s="21">
        <x:v>31988.84</x:v>
      </x:c>
      <x:c r="G33" s="21">
        <x:v>30562.799999999999</x:v>
      </x:c>
      <x:c r="H33" s="21">
        <x:v>30562.799999999999</x:v>
      </x:c>
      <x:c r="I33" s="21">
        <x:v>35894.9</x:v>
      </x:c>
      <x:c r="J33" s="21">
        <x:v>34782.75</x:v>
      </x:c>
      <x:c r="K33" s="21">
        <x:v>34782.75</x:v>
      </x:c>
      <x:c r="L33" s="22">
        <x:v>33197.760000000002</x:v>
      </x:c>
      <x:c r="M33" s="22">
        <x:v>33197.760000000002</x:v>
      </x:c>
      <x:c r="N33" s="22">
        <x:v>32085.61</x:v>
      </x:c>
      <x:c r="O33" s="22">
        <x:v>32085.61</x:v>
      </x:c>
      <x:c r="P33" s="22">
        <x:v>32085.61</x:v>
      </x:c>
      <x:c r="Q33" s="22">
        <x:v>33500.33</x:v>
      </x:c>
      <x:c r="R33" s="22">
        <x:v>31926.61</x:v>
      </x:c>
      <x:c r="S33" s="18">
        <x:f t="shared" si="0"/>
        <x:v>524353.02</x:v>
      </x:c>
    </x:row>
    <x:row r="34" spans="1:19" x14ac:dyDescent="0.3">
      <x:c r="A34" s="7" t="s">
        <x:v>1</x:v>
      </x:c>
      <x:c r="B34" s="11" t="s">
        <x:v>23</x:v>
      </x:c>
      <x:c r="C34" s="21">
        <x:v>68640.7</x:v>
      </x:c>
      <x:c r="D34" s="21">
        <x:v>59997.8</x:v>
      </x:c>
      <x:c r="E34" s="21">
        <x:v>54490.37</x:v>
      </x:c>
      <x:c r="F34" s="21">
        <x:v>56526.9</x:v>
      </x:c>
      <x:c r="G34" s="21">
        <x:v>54417.82</x:v>
      </x:c>
      <x:c r="H34" s="21">
        <x:v>51630.75</x:v>
      </x:c>
      <x:c r="I34" s="21">
        <x:v>50426.85</x:v>
      </x:c>
      <x:c r="J34" s="21">
        <x:v>61137.31</x:v>
      </x:c>
      <x:c r="K34" s="21">
        <x:v>56227.54</x:v>
      </x:c>
      <x:c r="L34" s="22">
        <x:v>51445.37</x:v>
      </x:c>
      <x:c r="M34" s="22">
        <x:v>69461.31</x:v>
      </x:c>
      <x:c r="N34" s="22">
        <x:v>61347.37</x:v>
      </x:c>
      <x:c r="O34" s="22">
        <x:v>64482.239999999998</x:v>
      </x:c>
      <x:c r="P34" s="22">
        <x:v>61218.38</x:v>
      </x:c>
      <x:c r="Q34" s="22">
        <x:v>64581.54</x:v>
      </x:c>
      <x:c r="R34" s="22">
        <x:v>62882.58</x:v>
      </x:c>
      <x:c r="S34" s="18">
        <x:f t="shared" si="0"/>
        <x:v>948914.83</x:v>
      </x:c>
    </x:row>
    <x:row r="35" spans="1:19" x14ac:dyDescent="0.3">
      <x:c r="A35" s="7" t="s">
        <x:v>1</x:v>
      </x:c>
      <x:c r="B35" s="11" t="s">
        <x:v>32</x:v>
      </x:c>
      <x:c r="C35" s="21">
        <x:v>35727.879999999997</x:v>
      </x:c>
      <x:c r="D35" s="21">
        <x:v>35727.879999999997</x:v>
      </x:c>
      <x:c r="E35" s="21">
        <x:v>33556.86</x:v>
      </x:c>
      <x:c r="F35" s="21">
        <x:v>30046.07</x:v>
      </x:c>
      <x:c r="G35" s="21">
        <x:v>58235.08</x:v>
      </x:c>
      <x:c r="H35" s="21">
        <x:v>48160.12</x:v>
      </x:c>
      <x:c r="I35" s="21">
        <x:v>54841.120000000003</x:v>
      </x:c>
      <x:c r="J35" s="21">
        <x:v>50419.12</x:v>
      </x:c>
      <x:c r="K35" s="21">
        <x:v>60815.12</x:v>
      </x:c>
      <x:c r="L35" s="22">
        <x:v>66733.119999999995</x:v>
      </x:c>
      <x:c r="M35" s="22">
        <x:v>65984.12</x:v>
      </x:c>
      <x:c r="N35" s="22">
        <x:v>64516.12</x:v>
      </x:c>
      <x:c r="O35" s="22">
        <x:v>92708.12</x:v>
      </x:c>
      <x:c r="P35" s="22">
        <x:v>80844.12</x:v>
      </x:c>
      <x:c r="Q35" s="22">
        <x:v>59469.8</x:v>
      </x:c>
      <x:c r="R35" s="22">
        <x:v>50412.4</x:v>
      </x:c>
      <x:c r="S35" s="18">
        <x:f t="shared" si="0"/>
        <x:v>888197.05</x:v>
      </x:c>
    </x:row>
    <x:row r="36" spans="1:19" x14ac:dyDescent="0.3">
      <x:c r="A36" s="7" t="s">
        <x:v>1</x:v>
      </x:c>
      <x:c r="B36" s="11" t="s">
        <x:v>24</x:v>
      </x:c>
      <x:c r="C36" s="23">
        <x:v>2704424.27</x:v>
      </x:c>
      <x:c r="D36" s="23">
        <x:v>2495265.38</x:v>
      </x:c>
      <x:c r="E36" s="23">
        <x:v>2477406.36</x:v>
      </x:c>
      <x:c r="F36" s="23">
        <x:v>2475183.9900000002</x:v>
      </x:c>
      <x:c r="G36" s="23">
        <x:v>2433560.2000000002</x:v>
      </x:c>
      <x:c r="H36" s="23">
        <x:v>2531566.3199999998</x:v>
      </x:c>
      <x:c r="I36" s="23">
        <x:v>2553247.44</x:v>
      </x:c>
      <x:c r="J36" s="23">
        <x:v>2655405.42</x:v>
      </x:c>
      <x:c r="K36" s="23">
        <x:v>2251372.19</x:v>
      </x:c>
      <x:c r="L36" s="22">
        <x:v>2374627.85</x:v>
      </x:c>
      <x:c r="M36" s="22">
        <x:v>2387111.88</x:v>
      </x:c>
      <x:c r="N36" s="22">
        <x:v>2582881.58</x:v>
      </x:c>
      <x:c r="O36" s="22">
        <x:v>2785415.99</x:v>
      </x:c>
      <x:c r="P36" s="22">
        <x:v>2480688.89</x:v>
      </x:c>
      <x:c r="Q36" s="22">
        <x:v>2383373.9900000002</x:v>
      </x:c>
      <x:c r="R36" s="22">
        <x:v>2290653.9</x:v>
      </x:c>
      <x:c r="S36" s="18">
        <x:f t="shared" si="0"/>
        <x:v>39862185.649999999</x:v>
      </x:c>
    </x:row>
    <x:row r="37" spans="1:19" x14ac:dyDescent="0.3">
      <x:c r="A37" s="7" t="s">
        <x:v>1</x:v>
      </x:c>
      <x:c r="B37" s="11" t="s">
        <x:v>29</x:v>
      </x:c>
      <x:c r="C37" s="21">
        <x:v>2873575.9</x:v>
      </x:c>
      <x:c r="D37" s="21">
        <x:v>2845891.14</x:v>
      </x:c>
      <x:c r="E37" s="21">
        <x:v>2756859.4</x:v>
      </x:c>
      <x:c r="F37" s="21">
        <x:v>2876483.9</x:v>
      </x:c>
      <x:c r="G37" s="21">
        <x:v>3156310.05</x:v>
      </x:c>
      <x:c r="H37" s="21">
        <x:v>3429954.73</x:v>
      </x:c>
      <x:c r="I37" s="21">
        <x:v>4155007.55</x:v>
      </x:c>
      <x:c r="J37" s="21">
        <x:v>4705929.8099999996</x:v>
      </x:c>
      <x:c r="K37" s="21">
        <x:v>4622989.32</x:v>
      </x:c>
      <x:c r="L37" s="22">
        <x:v>4918299.84</x:v>
      </x:c>
      <x:c r="M37" s="22">
        <x:v>5319531.7</x:v>
      </x:c>
      <x:c r="N37" s="22">
        <x:v>5557229.9400000004</x:v>
      </x:c>
      <x:c r="O37" s="22">
        <x:v>5946852.5899999999</x:v>
      </x:c>
      <x:c r="P37" s="22">
        <x:v>6221001.2400000002</x:v>
      </x:c>
      <x:c r="Q37" s="22">
        <x:v>6524048.5800000001</x:v>
      </x:c>
      <x:c r="R37" s="22">
        <x:v>6882688.4199999999</x:v>
      </x:c>
      <x:c r="S37" s="18">
        <x:f t="shared" si="0"/>
        <x:v>72792654.109999999</x:v>
      </x:c>
    </x:row>
    <x:row r="38" spans="1:19" x14ac:dyDescent="0.3">
      <x:c r="A38" s="7" t="s">
        <x:v>1</x:v>
      </x:c>
      <x:c r="B38" s="11" t="s">
        <x:v>25</x:v>
      </x:c>
      <x:c r="C38" s="24">
        <x:v>173024</x:v>
      </x:c>
      <x:c r="D38" s="24">
        <x:v>167069.32</x:v>
      </x:c>
      <x:c r="E38" s="24">
        <x:v>178440.34</x:v>
      </x:c>
      <x:c r="F38" s="24">
        <x:v>178553.7</x:v>
      </x:c>
      <x:c r="G38" s="24">
        <x:v>171362.18</x:v>
      </x:c>
      <x:c r="H38" s="24">
        <x:v>165994.47</x:v>
      </x:c>
      <x:c r="I38" s="24">
        <x:v>169942.22</x:v>
      </x:c>
      <x:c r="J38" s="24">
        <x:v>181875.16</x:v>
      </x:c>
      <x:c r="K38" s="24">
        <x:v>179429.23</x:v>
      </x:c>
      <x:c r="L38" s="22">
        <x:v>183552.75</x:v>
      </x:c>
      <x:c r="M38" s="22">
        <x:v>188195.39</x:v>
      </x:c>
      <x:c r="N38" s="22">
        <x:v>189384.68</x:v>
      </x:c>
      <x:c r="O38" s="22">
        <x:v>194489.89</x:v>
      </x:c>
      <x:c r="P38" s="22">
        <x:v>188486.13</x:v>
      </x:c>
      <x:c r="Q38" s="22">
        <x:v>216913.51</x:v>
      </x:c>
      <x:c r="R38" s="22">
        <x:v>211579.55</x:v>
      </x:c>
      <x:c r="S38" s="18">
        <x:f t="shared" si="0"/>
        <x:v>2938292.52</x:v>
      </x:c>
    </x:row>
    <x:row r="39" spans="1:19" x14ac:dyDescent="0.3">
      <x:c r="A39" s="7" t="s">
        <x:v>1</x:v>
      </x:c>
      <x:c r="B39" s="11" t="s">
        <x:v>33</x:v>
      </x:c>
      <x:c r="C39" s="21">
        <x:v>354.68</x:v>
      </x:c>
      <x:c r="D39" s="21">
        <x:v>354.68</x:v>
      </x:c>
      <x:c r="E39" s="21">
        <x:v>354.68</x:v>
      </x:c>
      <x:c r="F39" s="21">
        <x:v>354.68</x:v>
      </x:c>
      <x:c r="G39" s="21">
        <x:v>354.68</x:v>
      </x:c>
      <x:c r="H39" s="21">
        <x:v>354.68</x:v>
      </x:c>
      <x:c r="I39" s="21">
        <x:v>354.68</x:v>
      </x:c>
      <x:c r="J39" s="21">
        <x:v>317.92</x:v>
      </x:c>
      <x:c r="K39" s="21">
        <x:v>317.92</x:v>
      </x:c>
      <x:c r="L39" s="22">
        <x:v>279.33</x:v>
      </x:c>
      <x:c r="M39" s="22">
        <x:v>279.33</x:v>
      </x:c>
      <x:c r="N39" s="22">
        <x:v>279.33</x:v>
      </x:c>
      <x:c r="O39" s="22">
        <x:v>279.33</x:v>
      </x:c>
      <x:c r="P39" s="22">
        <x:v>279.33</x:v>
      </x:c>
      <x:c r="Q39" s="22">
        <x:v>260.95</x:v>
      </x:c>
      <x:c r="R39" s="22">
        <x:v>224.2</x:v>
      </x:c>
      <x:c r="S39" s="18">
        <x:f t="shared" si="0"/>
        <x:v>5000.3999999999996</x:v>
      </x:c>
    </x:row>
    <x:row r="40" spans="1:19" x14ac:dyDescent="0.3">
      <x:c r="A40" s="7" t="s">
        <x:v>1</x:v>
      </x:c>
      <x:c r="B40" s="11" t="s">
        <x:v>26</x:v>
      </x:c>
      <x:c r="C40" s="21">
        <x:v>2286906.5299999998</x:v>
      </x:c>
      <x:c r="D40" s="21">
        <x:v>2212334.04</x:v>
      </x:c>
      <x:c r="E40" s="21">
        <x:v>1788338.01</x:v>
      </x:c>
      <x:c r="F40" s="21">
        <x:v>2001390.33</x:v>
      </x:c>
      <x:c r="G40" s="21">
        <x:v>2607712.48</x:v>
      </x:c>
      <x:c r="H40" s="21">
        <x:v>2198930.12</x:v>
      </x:c>
      <x:c r="I40" s="21">
        <x:v>2052866.08</x:v>
      </x:c>
      <x:c r="J40" s="21">
        <x:v>2210369.62</x:v>
      </x:c>
      <x:c r="K40" s="21">
        <x:v>2317019.69</x:v>
      </x:c>
      <x:c r="L40" s="22">
        <x:v>2031505.9</x:v>
      </x:c>
      <x:c r="M40" s="22">
        <x:v>2178390.16</x:v>
      </x:c>
      <x:c r="N40" s="22">
        <x:v>2055979.35</x:v>
      </x:c>
      <x:c r="O40" s="22">
        <x:v>2549966.52</x:v>
      </x:c>
      <x:c r="P40" s="22">
        <x:v>2335073.9</x:v>
      </x:c>
      <x:c r="Q40" s="22">
        <x:v>2206180.48</x:v>
      </x:c>
      <x:c r="R40" s="22">
        <x:v>1974605.59</x:v>
      </x:c>
      <x:c r="S40" s="18">
        <x:f t="shared" si="0"/>
        <x:v>35007568.799999997</x:v>
      </x:c>
    </x:row>
    <x:row r="41" spans="1:19" x14ac:dyDescent="0.3">
      <x:c r="A41" s="7" t="s">
        <x:v>1</x:v>
      </x:c>
      <x:c r="B41" s="11" t="s">
        <x:v>27</x:v>
      </x:c>
      <x:c r="C41" s="21">
        <x:v>2235.9</x:v>
      </x:c>
      <x:c r="D41" s="21">
        <x:v>2069.06</x:v>
      </x:c>
      <x:c r="E41" s="21">
        <x:v>2323.89</x:v>
      </x:c>
      <x:c r="F41" s="21">
        <x:v>2323.89</x:v>
      </x:c>
      <x:c r="G41" s="21">
        <x:v>2323.89</x:v>
      </x:c>
      <x:c r="H41" s="21">
        <x:v>2278.4299999999998</x:v>
      </x:c>
      <x:c r="I41" s="21">
        <x:v>2278.4299999999998</x:v>
      </x:c>
      <x:c r="J41" s="21">
        <x:v>2278.4299999999998</x:v>
      </x:c>
      <x:c r="K41" s="21">
        <x:v>2278.4299999999998</x:v>
      </x:c>
      <x:c r="L41" s="22">
        <x:v>2278.4299999999998</x:v>
      </x:c>
      <x:c r="M41" s="22">
        <x:v>2244.3000000000002</x:v>
      </x:c>
      <x:c r="N41" s="22">
        <x:v>2244.3000000000002</x:v>
      </x:c>
      <x:c r="O41" s="22">
        <x:v>1916.93</x:v>
      </x:c>
      <x:c r="P41" s="22">
        <x:v>1927.53</x:v>
      </x:c>
      <x:c r="Q41" s="22">
        <x:v>1882.06</x:v>
      </x:c>
      <x:c r="R41" s="22">
        <x:v>1882.06</x:v>
      </x:c>
      <x:c r="S41" s="18">
        <x:f t="shared" si="0"/>
        <x:v>34765.96</x:v>
      </x:c>
    </x:row>
    <x:row r="42" spans="1:19" s="7" customFormat="1" x14ac:dyDescent="0.3">
      <x:c r="A42" s="7" t="s">
        <x:v>1</x:v>
      </x:c>
      <x:c r="B42" s="14" t="s">
        <x:v>41</x:v>
      </x:c>
      <x:c r="C42" s="25">
        <x:f t="shared" ref="C42:S42" si="1">ROUND(SUM(C9:C41),2)</x:f>
        <x:v>122517557.79000001</x:v>
      </x:c>
      <x:c r="D42" s="25">
        <x:f t="shared" si="1"/>
        <x:v>122520580.52</x:v>
      </x:c>
      <x:c r="E42" s="25">
        <x:f t="shared" si="1"/>
        <x:v>119193719.84</x:v>
      </x:c>
      <x:c r="F42" s="25">
        <x:f t="shared" si="1"/>
        <x:v>129012226.98</x:v>
      </x:c>
      <x:c r="G42" s="25">
        <x:f t="shared" si="1"/>
        <x:v>133448265.03</x:v>
      </x:c>
      <x:c r="H42" s="25">
        <x:f t="shared" si="1"/>
        <x:v>138698329.74000001</x:v>
      </x:c>
      <x:c r="I42" s="25">
        <x:f t="shared" si="1"/>
        <x:v>145155145.75999999</x:v>
      </x:c>
      <x:c r="J42" s="25">
        <x:f t="shared" si="1"/>
        <x:v>478209184.88999999</x:v>
      </x:c>
      <x:c r="K42" s="25">
        <x:f t="shared" si="1"/>
        <x:v>141621873.46000001</x:v>
      </x:c>
      <x:c r="L42" s="25">
        <x:f t="shared" si="1"/>
        <x:v>146062264.05000001</x:v>
      </x:c>
      <x:c r="M42" s="25">
        <x:f t="shared" si="1"/>
        <x:v>142561505.58000001</x:v>
      </x:c>
      <x:c r="N42" s="25">
        <x:f t="shared" si="1"/>
        <x:v>145293695.65000001</x:v>
      </x:c>
      <x:c r="O42" s="25">
        <x:f t="shared" si="1"/>
        <x:v>153240768.81</x:v>
      </x:c>
      <x:c r="P42" s="25">
        <x:f t="shared" si="1"/>
        <x:v>156227738.19999999</x:v>
      </x:c>
      <x:c r="Q42" s="25">
        <x:f t="shared" si="1"/>
        <x:v>166412401.37</x:v>
      </x:c>
      <x:c r="R42" s="25">
        <x:f t="shared" si="1"/>
        <x:v>178376650.41</x:v>
      </x:c>
      <x:c r="S42" s="25">
        <x:f t="shared" si="1"/>
        <x:v>2618551908.0799999</x:v>
      </x:c>
    </x:row>
    <x:row r="43" spans="1:19" x14ac:dyDescent="0.3">
      <x:c r="A43" s="7" t="s">
        <x:v>34</x:v>
      </x:c>
      <x:c r="B43" s="11" t="s">
        <x:v>35</x:v>
      </x:c>
      <x:c r="C43" s="21">
        <x:v>2698.4</x:v>
      </x:c>
      <x:c r="D43" s="21">
        <x:v>2698.4</x:v>
      </x:c>
      <x:c r="E43" s="21">
        <x:v>2698.4</x:v>
      </x:c>
      <x:c r="F43" s="21">
        <x:v>2698.4</x:v>
      </x:c>
      <x:c r="G43" s="21">
        <x:v>2698.4</x:v>
      </x:c>
      <x:c r="H43" s="21">
        <x:v>2698.4</x:v>
      </x:c>
      <x:c r="I43" s="21">
        <x:v>2698.4</x:v>
      </x:c>
      <x:c r="J43" s="21">
        <x:v>2698.4</x:v>
      </x:c>
      <x:c r="K43" s="21">
        <x:v>2698.4</x:v>
      </x:c>
      <x:c r="L43" s="22">
        <x:v>2698.4</x:v>
      </x:c>
      <x:c r="M43" s="22">
        <x:v>2698.4</x:v>
      </x:c>
      <x:c r="N43" s="22">
        <x:v>2698.4</x:v>
      </x:c>
      <x:c r="O43" s="22">
        <x:v>2698.4</x:v>
      </x:c>
      <x:c r="P43" s="22">
        <x:v>2698.4</x:v>
      </x:c>
      <x:c r="Q43" s="22">
        <x:v>2698.4</x:v>
      </x:c>
      <x:c r="R43" s="22">
        <x:v>2698.4</x:v>
      </x:c>
      <x:c r="S43" s="18">
        <x:f t="shared" si="0"/>
        <x:v>43174.400000000001</x:v>
      </x:c>
    </x:row>
    <x:row r="44" spans="1:19" x14ac:dyDescent="0.3">
      <x:c r="A44" s="7" t="s">
        <x:v>34</x:v>
      </x:c>
      <x:c r="B44" s="11" t="s">
        <x:v>43</x:v>
      </x:c>
      <x:c r="C44" s="21">
        <x:v>390922.09</x:v>
      </x:c>
      <x:c r="D44" s="21">
        <x:v>533026.91</x:v>
      </x:c>
      <x:c r="E44" s="21">
        <x:v>524217.09</x:v>
      </x:c>
      <x:c r="F44" s="21">
        <x:v>532944.31999999995</x:v>
      </x:c>
      <x:c r="G44" s="21">
        <x:v>832721.31</x:v>
      </x:c>
      <x:c r="H44" s="21">
        <x:v>822562.24</x:v>
      </x:c>
      <x:c r="I44" s="21">
        <x:v>814171.78</x:v>
      </x:c>
      <x:c r="J44" s="21">
        <x:v>847607.88</x:v>
      </x:c>
      <x:c r="K44" s="21">
        <x:v>869471.3</x:v>
      </x:c>
      <x:c r="L44" s="22">
        <x:v>779797.16</x:v>
      </x:c>
      <x:c r="M44" s="22">
        <x:v>757904.87</x:v>
      </x:c>
      <x:c r="N44" s="22">
        <x:v>743683.66</x:v>
      </x:c>
      <x:c r="O44" s="22">
        <x:v>747735.71</x:v>
      </x:c>
      <x:c r="P44" s="22">
        <x:v>722011.25</x:v>
      </x:c>
      <x:c r="Q44" s="22">
        <x:v>748759.55</x:v>
      </x:c>
      <x:c r="R44" s="22">
        <x:v>782777.33</x:v>
      </x:c>
      <x:c r="S44" s="18">
        <x:f t="shared" si="0"/>
        <x:v>11450314.449999999</x:v>
      </x:c>
    </x:row>
    <x:row r="45" spans="1:19" x14ac:dyDescent="0.3">
      <x:c r="A45" s="7" t="s">
        <x:v>34</x:v>
      </x:c>
      <x:c r="B45" s="11" t="s">
        <x:v>2</x:v>
      </x:c>
      <x:c r="C45" s="26">
        <x:v>10617576.300000001</x:v>
      </x:c>
      <x:c r="D45" s="21">
        <x:v>10710050</x:v>
      </x:c>
      <x:c r="E45" s="21">
        <x:v>11490879.210000001</x:v>
      </x:c>
      <x:c r="F45" s="21">
        <x:v>10386686.210000001</x:v>
      </x:c>
      <x:c r="G45" s="21">
        <x:v>10477340.24</x:v>
      </x:c>
      <x:c r="H45" s="21">
        <x:v>9864990.6899999995</x:v>
      </x:c>
      <x:c r="I45" s="21">
        <x:v>10203889.02</x:v>
      </x:c>
      <x:c r="J45" s="21">
        <x:v>9793291.9900000002</x:v>
      </x:c>
      <x:c r="K45" s="21">
        <x:v>9619533.2799999993</x:v>
      </x:c>
      <x:c r="L45" s="27">
        <x:v>9220380.3900000006</x:v>
      </x:c>
      <x:c r="M45" s="27">
        <x:v>10190733.890000001</x:v>
      </x:c>
      <x:c r="N45" s="17">
        <x:v>10542789.4</x:v>
      </x:c>
      <x:c r="O45" s="17">
        <x:v>10669399.74</x:v>
      </x:c>
      <x:c r="P45" s="17">
        <x:v>12038180.699999999</x:v>
      </x:c>
      <x:c r="Q45" s="17">
        <x:v>11231679.300000001</x:v>
      </x:c>
      <x:c r="R45" s="17">
        <x:v>11009057.26</x:v>
      </x:c>
      <x:c r="S45" s="18">
        <x:f t="shared" si="0"/>
        <x:v>168066457.62</x:v>
      </x:c>
    </x:row>
    <x:row r="46" spans="1:19" x14ac:dyDescent="0.3">
      <x:c r="A46" s="7" t="s">
        <x:v>34</x:v>
      </x:c>
      <x:c r="B46" s="11" t="s">
        <x:v>3</x:v>
      </x:c>
      <x:c r="C46" s="21">
        <x:v>1749967.54</x:v>
      </x:c>
      <x:c r="D46" s="21">
        <x:v>1672139.1</x:v>
      </x:c>
      <x:c r="E46" s="21">
        <x:v>1458313.31</x:v>
      </x:c>
      <x:c r="F46" s="21">
        <x:v>1249058.3500000001</x:v>
      </x:c>
      <x:c r="G46" s="21">
        <x:v>924852.78</x:v>
      </x:c>
      <x:c r="H46" s="21">
        <x:v>1037553.1</x:v>
      </x:c>
      <x:c r="I46" s="21">
        <x:v>1074961.71</x:v>
      </x:c>
      <x:c r="J46" s="21">
        <x:v>1284764.22</x:v>
      </x:c>
      <x:c r="K46" s="21">
        <x:v>1766554.38</x:v>
      </x:c>
      <x:c r="L46" s="21">
        <x:v>2063101.63</x:v>
      </x:c>
      <x:c r="M46" s="21">
        <x:v>1798359.56</x:v>
      </x:c>
      <x:c r="N46" s="21">
        <x:v>1562593.43</x:v>
      </x:c>
      <x:c r="O46" s="28">
        <x:v>1408075.72</x:v>
      </x:c>
      <x:c r="P46" s="28">
        <x:v>1091678.18</x:v>
      </x:c>
      <x:c r="Q46" s="28">
        <x:v>882634.01</x:v>
      </x:c>
      <x:c r="R46" s="28">
        <x:v>824237.64</x:v>
      </x:c>
      <x:c r="S46" s="18">
        <x:f t="shared" si="0"/>
        <x:v>21848844.66</x:v>
      </x:c>
    </x:row>
    <x:row r="47" spans="1:19" x14ac:dyDescent="0.3">
      <x:c r="A47" s="7" t="s">
        <x:v>34</x:v>
      </x:c>
      <x:c r="B47" s="11" t="s">
        <x:v>4</x:v>
      </x:c>
      <x:c r="C47" s="21">
        <x:v>40379.29</x:v>
      </x:c>
      <x:c r="D47" s="21">
        <x:v>40312.080000000002</x:v>
      </x:c>
      <x:c r="E47" s="21">
        <x:v>38377.47</x:v>
      </x:c>
      <x:c r="F47" s="21">
        <x:v>37969.69</x:v>
      </x:c>
      <x:c r="G47" s="21">
        <x:v>36854.28</x:v>
      </x:c>
      <x:c r="H47" s="21">
        <x:v>35461.5</x:v>
      </x:c>
      <x:c r="I47" s="21">
        <x:v>33846.28</x:v>
      </x:c>
      <x:c r="J47" s="21">
        <x:v>32737.47</x:v>
      </x:c>
      <x:c r="K47" s="21">
        <x:v>32910.04</x:v>
      </x:c>
      <x:c r="L47" s="27">
        <x:v>30655.84</x:v>
      </x:c>
      <x:c r="M47" s="27">
        <x:v>30145.9</x:v>
      </x:c>
      <x:c r="N47" s="17">
        <x:v>29347.66</x:v>
      </x:c>
      <x:c r="O47" s="17">
        <x:v>28737.48</x:v>
      </x:c>
      <x:c r="P47" s="17">
        <x:v>26461.84</x:v>
      </x:c>
      <x:c r="Q47" s="17">
        <x:v>27849.66</x:v>
      </x:c>
      <x:c r="R47" s="17">
        <x:v>27764.560000000001</x:v>
      </x:c>
      <x:c r="S47" s="18">
        <x:f t="shared" si="0"/>
        <x:v>529811.04</x:v>
      </x:c>
    </x:row>
    <x:row r="48" spans="1:19" x14ac:dyDescent="0.3">
      <x:c r="A48" s="7" t="s">
        <x:v>34</x:v>
      </x:c>
      <x:c r="B48" s="11" t="s">
        <x:v>5</x:v>
      </x:c>
      <x:c r="C48" s="21">
        <x:v>19134320.120000001</x:v>
      </x:c>
      <x:c r="D48" s="21">
        <x:v>21292166.48</x:v>
      </x:c>
      <x:c r="E48" s="21">
        <x:v>20713987.510000002</x:v>
      </x:c>
      <x:c r="F48" s="21">
        <x:v>22099156.57</x:v>
      </x:c>
      <x:c r="G48" s="21">
        <x:v>23790099.670000002</x:v>
      </x:c>
      <x:c r="H48" s="21">
        <x:v>24122822.41</x:v>
      </x:c>
      <x:c r="I48" s="21">
        <x:v>27947893.91</x:v>
      </x:c>
      <x:c r="J48" s="21">
        <x:v>27934302.129999999</x:v>
      </x:c>
      <x:c r="K48" s="21">
        <x:v>26092742.41</x:v>
      </x:c>
      <x:c r="L48" s="27">
        <x:v>29484062.510000002</x:v>
      </x:c>
      <x:c r="M48" s="27">
        <x:v>33156250</x:v>
      </x:c>
      <x:c r="N48" s="17">
        <x:v>37582373.060000002</x:v>
      </x:c>
      <x:c r="O48" s="17">
        <x:v>47589726.380000003</x:v>
      </x:c>
      <x:c r="P48" s="17">
        <x:v>49624628.869999997</x:v>
      </x:c>
      <x:c r="Q48" s="17">
        <x:v>52362308.829999998</x:v>
      </x:c>
      <x:c r="R48" s="17">
        <x:v>55415166.530000001</x:v>
      </x:c>
      <x:c r="S48" s="18">
        <x:f t="shared" si="0"/>
        <x:v>518342007.38999999</x:v>
      </x:c>
    </x:row>
    <x:row r="49" spans="1:19" x14ac:dyDescent="0.3">
      <x:c r="A49" s="7" t="s">
        <x:v>34</x:v>
      </x:c>
      <x:c r="B49" s="11" t="s">
        <x:v>6</x:v>
      </x:c>
      <x:c r="C49" s="21">
        <x:v>56006240.539999999</x:v>
      </x:c>
      <x:c r="D49" s="21">
        <x:v>59439496.399999999</x:v>
      </x:c>
      <x:c r="E49" s="21">
        <x:v>59308197.899999999</x:v>
      </x:c>
      <x:c r="F49" s="21">
        <x:v>57574381</x:v>
      </x:c>
      <x:c r="G49" s="21">
        <x:v>52920766.399999999</x:v>
      </x:c>
      <x:c r="H49" s="21">
        <x:v>50653643.25</x:v>
      </x:c>
      <x:c r="I49" s="21">
        <x:v>48721350.609999999</x:v>
      </x:c>
      <x:c r="J49" s="21">
        <x:v>51998195.560000002</x:v>
      </x:c>
      <x:c r="K49" s="21">
        <x:v>51598073.020000003</x:v>
      </x:c>
      <x:c r="L49" s="27">
        <x:v>50365600.409999996</x:v>
      </x:c>
      <x:c r="M49" s="27">
        <x:v>51058079.880000003</x:v>
      </x:c>
      <x:c r="N49" s="17">
        <x:v>52684423.210000001</x:v>
      </x:c>
      <x:c r="O49" s="17">
        <x:v>65889874.909999996</x:v>
      </x:c>
      <x:c r="P49" s="17">
        <x:v>63425712.060000002</x:v>
      </x:c>
      <x:c r="Q49" s="17">
        <x:v>60823573.329999998</x:v>
      </x:c>
      <x:c r="R49" s="17">
        <x:v>54776137.829999998</x:v>
      </x:c>
      <x:c r="S49" s="18">
        <x:f t="shared" si="0"/>
        <x:v>887243746.30999994</x:v>
      </x:c>
    </x:row>
    <x:row r="50" spans="1:19" x14ac:dyDescent="0.3">
      <x:c r="A50" s="7" t="s">
        <x:v>34</x:v>
      </x:c>
      <x:c r="B50" s="11" t="s">
        <x:v>7</x:v>
      </x:c>
      <x:c r="C50" s="21">
        <x:v>20503882.949999999</x:v>
      </x:c>
      <x:c r="D50" s="21">
        <x:v>21495081.32</x:v>
      </x:c>
      <x:c r="E50" s="21">
        <x:v>22443503.809999999</x:v>
      </x:c>
      <x:c r="F50" s="21">
        <x:v>22185097.210000001</x:v>
      </x:c>
      <x:c r="G50" s="21">
        <x:v>21326245.460000001</x:v>
      </x:c>
      <x:c r="H50" s="21">
        <x:v>19743273.5</x:v>
      </x:c>
      <x:c r="I50" s="21">
        <x:v>19323881.309999999</x:v>
      </x:c>
      <x:c r="J50" s="21">
        <x:v>20567597.199999999</x:v>
      </x:c>
      <x:c r="K50" s="21">
        <x:v>23290587.07</x:v>
      </x:c>
      <x:c r="L50" s="27">
        <x:v>21779466.190000001</x:v>
      </x:c>
      <x:c r="M50" s="27">
        <x:v>21841916.719999999</x:v>
      </x:c>
      <x:c r="N50" s="17">
        <x:v>23713588.199999999</x:v>
      </x:c>
      <x:c r="O50" s="17">
        <x:v>25150925.41</x:v>
      </x:c>
      <x:c r="P50" s="17">
        <x:v>24913894.379999999</x:v>
      </x:c>
      <x:c r="Q50" s="17">
        <x:v>22247430.239999998</x:v>
      </x:c>
      <x:c r="R50" s="17">
        <x:v>20486561.809999999</x:v>
      </x:c>
      <x:c r="S50" s="18">
        <x:f t="shared" si="0"/>
        <x:v>351012932.77999997</x:v>
      </x:c>
    </x:row>
    <x:row r="51" spans="1:19" x14ac:dyDescent="0.3">
      <x:c r="A51" s="7" t="s">
        <x:v>34</x:v>
      </x:c>
      <x:c r="B51" s="11" t="s">
        <x:v>8</x:v>
      </x:c>
      <x:c r="C51" s="21">
        <x:v>16231753.720000001</x:v>
      </x:c>
      <x:c r="D51" s="21">
        <x:v>15821274.939999999</x:v>
      </x:c>
      <x:c r="E51" s="21">
        <x:v>16441796.24</x:v>
      </x:c>
      <x:c r="F51" s="21">
        <x:v>16847604</x:v>
      </x:c>
      <x:c r="G51" s="21">
        <x:v>17342623.789999999</x:v>
      </x:c>
      <x:c r="H51" s="21">
        <x:v>18006506</x:v>
      </x:c>
      <x:c r="I51" s="21">
        <x:v>16817352.440000001</x:v>
      </x:c>
      <x:c r="J51" s="21">
        <x:v>19310460.050000001</x:v>
      </x:c>
      <x:c r="K51" s="21">
        <x:v>19953724.030000001</x:v>
      </x:c>
      <x:c r="L51" s="27">
        <x:v>20780440.57</x:v>
      </x:c>
      <x:c r="M51" s="27">
        <x:v>21658792.59</x:v>
      </x:c>
      <x:c r="N51" s="17">
        <x:v>21427971.879999999</x:v>
      </x:c>
      <x:c r="O51" s="17">
        <x:v>21268700.48</x:v>
      </x:c>
      <x:c r="P51" s="17">
        <x:v>22841890.5</x:v>
      </x:c>
      <x:c r="Q51" s="17">
        <x:v>21996541.149999999</x:v>
      </x:c>
      <x:c r="R51" s="17">
        <x:v>21763740.75</x:v>
      </x:c>
      <x:c r="S51" s="18">
        <x:f t="shared" si="0"/>
        <x:v>308511173.13</x:v>
      </x:c>
    </x:row>
    <x:row r="52" spans="1:19" x14ac:dyDescent="0.3">
      <x:c r="A52" s="7" t="s">
        <x:v>34</x:v>
      </x:c>
      <x:c r="B52" s="11" t="s">
        <x:v>9</x:v>
      </x:c>
      <x:c r="C52" s="21">
        <x:v>2737820.48</x:v>
      </x:c>
      <x:c r="D52" s="21">
        <x:v>2887480.12</x:v>
      </x:c>
      <x:c r="E52" s="21">
        <x:v>2976926.76</x:v>
      </x:c>
      <x:c r="F52" s="21">
        <x:v>2721958.41</x:v>
      </x:c>
      <x:c r="G52" s="21">
        <x:v>2395090.4</x:v>
      </x:c>
      <x:c r="H52" s="21">
        <x:v>2032645.02</x:v>
      </x:c>
      <x:c r="I52" s="21">
        <x:v>2045787.26</x:v>
      </x:c>
      <x:c r="J52" s="21">
        <x:v>2362697.39</x:v>
      </x:c>
      <x:c r="K52" s="21">
        <x:v>2751620.06</x:v>
      </x:c>
      <x:c r="L52" s="27">
        <x:v>2613773.81</x:v>
      </x:c>
      <x:c r="M52" s="27">
        <x:v>2611371.73</x:v>
      </x:c>
      <x:c r="N52" s="17">
        <x:v>2626771.4300000002</x:v>
      </x:c>
      <x:c r="O52" s="17">
        <x:v>3601853.32</x:v>
      </x:c>
      <x:c r="P52" s="17">
        <x:v>3544593.71</x:v>
      </x:c>
      <x:c r="Q52" s="17">
        <x:v>3253040.52</x:v>
      </x:c>
      <x:c r="R52" s="17">
        <x:v>3027397.94</x:v>
      </x:c>
      <x:c r="S52" s="18">
        <x:f t="shared" si="0"/>
        <x:v>44190828.359999999</x:v>
      </x:c>
    </x:row>
    <x:row r="53" spans="1:19" x14ac:dyDescent="0.3">
      <x:c r="A53" s="7" t="s">
        <x:v>34</x:v>
      </x:c>
      <x:c r="B53" s="11" t="s">
        <x:v>10</x:v>
      </x:c>
      <x:c r="C53" s="21">
        <x:v>235956</x:v>
      </x:c>
      <x:c r="D53" s="21">
        <x:v>224772.51</x:v>
      </x:c>
      <x:c r="E53" s="21">
        <x:v>197329.97</x:v>
      </x:c>
      <x:c r="F53" s="21">
        <x:v>204380.44</x:v>
      </x:c>
      <x:c r="G53" s="21">
        <x:v>187447.72</x:v>
      </x:c>
      <x:c r="H53" s="21">
        <x:v>163037.57</x:v>
      </x:c>
      <x:c r="I53" s="21">
        <x:v>153252.76</x:v>
      </x:c>
      <x:c r="J53" s="21">
        <x:v>213091.49</x:v>
      </x:c>
      <x:c r="K53" s="21">
        <x:v>231926.89</x:v>
      </x:c>
      <x:c r="L53" s="27">
        <x:v>225753.16</x:v>
      </x:c>
      <x:c r="M53" s="27">
        <x:v>220810.18</x:v>
      </x:c>
      <x:c r="N53" s="17">
        <x:v>207788.97</x:v>
      </x:c>
      <x:c r="O53" s="17">
        <x:v>220721.51</x:v>
      </x:c>
      <x:c r="P53" s="17">
        <x:v>216907.08</x:v>
      </x:c>
      <x:c r="Q53" s="17">
        <x:v>178590.69</x:v>
      </x:c>
      <x:c r="R53" s="17">
        <x:v>167060.28</x:v>
      </x:c>
      <x:c r="S53" s="18">
        <x:f t="shared" si="0"/>
        <x:v>3248827.22</x:v>
      </x:c>
    </x:row>
    <x:row r="54" spans="1:19" x14ac:dyDescent="0.3">
      <x:c r="A54" s="7" t="s">
        <x:v>34</x:v>
      </x:c>
      <x:c r="B54" s="11" t="s">
        <x:v>11</x:v>
      </x:c>
      <x:c r="C54" s="21">
        <x:v>1959759.09</x:v>
      </x:c>
      <x:c r="D54" s="21">
        <x:v>2077587.47</x:v>
      </x:c>
      <x:c r="E54" s="21">
        <x:v>1973842.59</x:v>
      </x:c>
      <x:c r="F54" s="21">
        <x:v>1899328.43</x:v>
      </x:c>
      <x:c r="G54" s="21">
        <x:v>1796031.69</x:v>
      </x:c>
      <x:c r="H54" s="21">
        <x:v>1629978.36</x:v>
      </x:c>
      <x:c r="I54" s="21">
        <x:v>2075143.45</x:v>
      </x:c>
      <x:c r="J54" s="21">
        <x:v>2004722.66</x:v>
      </x:c>
      <x:c r="K54" s="21">
        <x:v>1978648.2</x:v>
      </x:c>
      <x:c r="L54" s="27">
        <x:v>1910718.76</x:v>
      </x:c>
      <x:c r="M54" s="27">
        <x:v>1875602.16</x:v>
      </x:c>
      <x:c r="N54" s="17">
        <x:v>1639308.06</x:v>
      </x:c>
      <x:c r="O54" s="17">
        <x:v>1672750.69</x:v>
      </x:c>
      <x:c r="P54" s="17">
        <x:v>1535694.47</x:v>
      </x:c>
      <x:c r="Q54" s="17">
        <x:v>1287019.45</x:v>
      </x:c>
      <x:c r="R54" s="17">
        <x:v>1229418.5</x:v>
      </x:c>
      <x:c r="S54" s="18">
        <x:f t="shared" si="0"/>
        <x:v>28545554.030000001</x:v>
      </x:c>
    </x:row>
    <x:row r="55" spans="1:19" x14ac:dyDescent="0.3">
      <x:c r="A55" s="7" t="s">
        <x:v>34</x:v>
      </x:c>
      <x:c r="B55" s="11" t="s">
        <x:v>12</x:v>
      </x:c>
      <x:c r="C55" s="21">
        <x:v>18265388.260000002</x:v>
      </x:c>
      <x:c r="D55" s="21">
        <x:v>18452495.489999998</x:v>
      </x:c>
      <x:c r="E55" s="21">
        <x:v>18418484.359999999</x:v>
      </x:c>
      <x:c r="F55" s="21">
        <x:v>18073144.579999998</x:v>
      </x:c>
      <x:c r="G55" s="21">
        <x:v>18095655.440000001</x:v>
      </x:c>
      <x:c r="H55" s="21">
        <x:v>18800842.09</x:v>
      </x:c>
      <x:c r="I55" s="21">
        <x:v>18603027.43</x:v>
      </x:c>
      <x:c r="J55" s="21">
        <x:v>19883164.210000001</x:v>
      </x:c>
      <x:c r="K55" s="21">
        <x:v>21636526.379999999</x:v>
      </x:c>
      <x:c r="L55" s="27">
        <x:v>24519872.850000001</x:v>
      </x:c>
      <x:c r="M55" s="27">
        <x:v>23902103.739999998</x:v>
      </x:c>
      <x:c r="N55" s="17">
        <x:v>24962489.989999998</x:v>
      </x:c>
      <x:c r="O55" s="17">
        <x:v>24919273.27</x:v>
      </x:c>
      <x:c r="P55" s="17">
        <x:v>24634876.289999999</x:v>
      </x:c>
      <x:c r="Q55" s="17">
        <x:v>25759444.309999999</x:v>
      </x:c>
      <x:c r="R55" s="17">
        <x:v>24402594.129999999</x:v>
      </x:c>
      <x:c r="S55" s="18">
        <x:f t="shared" si="0"/>
        <x:v>343329382.81999999</x:v>
      </x:c>
    </x:row>
    <x:row r="56" spans="1:19" x14ac:dyDescent="0.3">
      <x:c r="A56" s="7" t="s">
        <x:v>34</x:v>
      </x:c>
      <x:c r="B56" s="11" t="s">
        <x:v>13</x:v>
      </x:c>
      <x:c r="C56" s="21">
        <x:v>11323759.369999999</x:v>
      </x:c>
      <x:c r="D56" s="21">
        <x:v>12564238.369999999</x:v>
      </x:c>
      <x:c r="E56" s="21">
        <x:v>12701914.449999999</x:v>
      </x:c>
      <x:c r="F56" s="21">
        <x:v>13243844.75</x:v>
      </x:c>
      <x:c r="G56" s="21">
        <x:v>13575692.01</x:v>
      </x:c>
      <x:c r="H56" s="21">
        <x:v>13554502.130000001</x:v>
      </x:c>
      <x:c r="I56" s="21">
        <x:v>14189800.59</x:v>
      </x:c>
      <x:c r="J56" s="21">
        <x:v>16855295.210000001</x:v>
      </x:c>
      <x:c r="K56" s="21">
        <x:v>18567609.82</x:v>
      </x:c>
      <x:c r="L56" s="27">
        <x:v>19036872.859999999</x:v>
      </x:c>
      <x:c r="M56" s="27">
        <x:v>19636712.600000001</x:v>
      </x:c>
      <x:c r="N56" s="17">
        <x:v>20823371.949999999</x:v>
      </x:c>
      <x:c r="O56" s="17">
        <x:v>24959387.420000002</x:v>
      </x:c>
      <x:c r="P56" s="17">
        <x:v>25648677.079999998</x:v>
      </x:c>
      <x:c r="Q56" s="17">
        <x:v>22537465.899999999</x:v>
      </x:c>
      <x:c r="R56" s="17">
        <x:v>22061390.699999999</x:v>
      </x:c>
      <x:c r="S56" s="18">
        <x:f t="shared" si="0"/>
        <x:v>281280535.20999998</x:v>
      </x:c>
    </x:row>
    <x:row r="57" spans="1:19" x14ac:dyDescent="0.3">
      <x:c r="A57" s="7" t="s">
        <x:v>34</x:v>
      </x:c>
      <x:c r="B57" s="11" t="s">
        <x:v>14</x:v>
      </x:c>
      <x:c r="C57" s="23">
        <x:v>20548.13</x:v>
      </x:c>
      <x:c r="D57" s="23">
        <x:v>20842.66</x:v>
      </x:c>
      <x:c r="E57" s="23">
        <x:v>20170.72</x:v>
      </x:c>
      <x:c r="F57" s="23">
        <x:v>19185.060000000001</x:v>
      </x:c>
      <x:c r="G57" s="23">
        <x:v>17840.96</x:v>
      </x:c>
      <x:c r="H57" s="23">
        <x:v>17857.22</x:v>
      </x:c>
      <x:c r="I57" s="23">
        <x:v>16294.93</x:v>
      </x:c>
      <x:c r="J57" s="23">
        <x:v>14142.08</x:v>
      </x:c>
      <x:c r="K57" s="23">
        <x:v>13728.02</x:v>
      </x:c>
      <x:c r="L57" s="27">
        <x:v>13069.16</x:v>
      </x:c>
      <x:c r="M57" s="27">
        <x:v>13666.82</x:v>
      </x:c>
      <x:c r="N57" s="17">
        <x:v>14016.74</x:v>
      </x:c>
      <x:c r="O57" s="17">
        <x:v>12464.04</x:v>
      </x:c>
      <x:c r="P57" s="17">
        <x:v>11842.16</x:v>
      </x:c>
      <x:c r="Q57" s="17">
        <x:v>13770.93</x:v>
      </x:c>
      <x:c r="R57" s="17">
        <x:v>18200.169999999998</x:v>
      </x:c>
      <x:c r="S57" s="18">
        <x:f t="shared" si="0"/>
        <x:v>257639.8</x:v>
      </x:c>
    </x:row>
    <x:row r="58" spans="1:19" x14ac:dyDescent="0.3">
      <x:c r="A58" s="7" t="s">
        <x:v>34</x:v>
      </x:c>
      <x:c r="B58" s="11" t="s">
        <x:v>15</x:v>
      </x:c>
      <x:c r="C58" s="21">
        <x:v>178709</x:v>
      </x:c>
      <x:c r="D58" s="21">
        <x:v>164123.32999999999</x:v>
      </x:c>
      <x:c r="E58" s="21">
        <x:v>284153.01</x:v>
      </x:c>
      <x:c r="F58" s="21">
        <x:v>283646.12</x:v>
      </x:c>
      <x:c r="G58" s="21">
        <x:v>261277.93</x:v>
      </x:c>
      <x:c r="H58" s="21">
        <x:v>216411.24</x:v>
      </x:c>
      <x:c r="I58" s="21">
        <x:v>177167.41</x:v>
      </x:c>
      <x:c r="J58" s="21">
        <x:v>156761.69</x:v>
      </x:c>
      <x:c r="K58" s="21">
        <x:v>248756.1</x:v>
      </x:c>
      <x:c r="L58" s="27">
        <x:v>230809.1</x:v>
      </x:c>
      <x:c r="M58" s="27">
        <x:v>216040.55</x:v>
      </x:c>
      <x:c r="N58" s="17">
        <x:v>187379.98</x:v>
      </x:c>
      <x:c r="O58" s="17">
        <x:v>348530.86</x:v>
      </x:c>
      <x:c r="P58" s="17">
        <x:v>312479.53999999998</x:v>
      </x:c>
      <x:c r="Q58" s="17">
        <x:v>273807.7</x:v>
      </x:c>
      <x:c r="R58" s="17">
        <x:v>262432.49</x:v>
      </x:c>
      <x:c r="S58" s="18">
        <x:f t="shared" si="0"/>
        <x:v>3802486.05</x:v>
      </x:c>
    </x:row>
    <x:row r="59" spans="1:19" x14ac:dyDescent="0.3">
      <x:c r="A59" s="7" t="s">
        <x:v>34</x:v>
      </x:c>
      <x:c r="B59" s="11" t="s">
        <x:v>16</x:v>
      </x:c>
      <x:c r="C59" s="21">
        <x:v>4825449.8499999996</x:v>
      </x:c>
      <x:c r="D59" s="21">
        <x:v>5400498.5199999996</x:v>
      </x:c>
      <x:c r="E59" s="21">
        <x:v>5213684.8899999997</x:v>
      </x:c>
      <x:c r="F59" s="21">
        <x:v>5131478.79</x:v>
      </x:c>
      <x:c r="G59" s="21">
        <x:v>4630762.3899999997</x:v>
      </x:c>
      <x:c r="H59" s="21">
        <x:v>4477463.34</x:v>
      </x:c>
      <x:c r="I59" s="21">
        <x:v>4383722.9400000004</x:v>
      </x:c>
      <x:c r="J59" s="21">
        <x:v>4884936.25</x:v>
      </x:c>
      <x:c r="K59" s="21">
        <x:v>6220952.0899999999</x:v>
      </x:c>
      <x:c r="L59" s="27">
        <x:v>5901466.7699999996</x:v>
      </x:c>
      <x:c r="M59" s="27">
        <x:v>6107285.6500000004</x:v>
      </x:c>
      <x:c r="N59" s="17">
        <x:v>5937082.5</x:v>
      </x:c>
      <x:c r="O59" s="17">
        <x:v>6391414.8700000001</x:v>
      </x:c>
      <x:c r="P59" s="17">
        <x:v>6457836.3600000003</x:v>
      </x:c>
      <x:c r="Q59" s="17">
        <x:v>6143849.1699999999</x:v>
      </x:c>
      <x:c r="R59" s="17">
        <x:v>5562511.5199999996</x:v>
      </x:c>
      <x:c r="S59" s="18">
        <x:f t="shared" si="0"/>
        <x:v>87670395.900000006</x:v>
      </x:c>
    </x:row>
    <x:row r="60" spans="1:19" x14ac:dyDescent="0.3">
      <x:c r="A60" s="7" t="s">
        <x:v>34</x:v>
      </x:c>
      <x:c r="B60" s="11" t="s">
        <x:v>17</x:v>
      </x:c>
      <x:c r="C60" s="21">
        <x:v>15077.8</x:v>
      </x:c>
      <x:c r="D60" s="21">
        <x:v>14526.98</x:v>
      </x:c>
      <x:c r="E60" s="21">
        <x:v>14907.84</x:v>
      </x:c>
      <x:c r="F60" s="21">
        <x:v>14607.68</x:v>
      </x:c>
      <x:c r="G60" s="21">
        <x:v>14524.81</x:v>
      </x:c>
      <x:c r="H60" s="21">
        <x:v>14415.43</x:v>
      </x:c>
      <x:c r="I60" s="21">
        <x:v>11944.09</x:v>
      </x:c>
      <x:c r="J60" s="21">
        <x:v>21227.040000000001</x:v>
      </x:c>
      <x:c r="K60" s="21">
        <x:v>18175.61</x:v>
      </x:c>
      <x:c r="L60" s="27">
        <x:v>17870.23</x:v>
      </x:c>
      <x:c r="M60" s="27">
        <x:v>17324.12</x:v>
      </x:c>
      <x:c r="N60" s="17">
        <x:v>17168.02</x:v>
      </x:c>
      <x:c r="O60" s="17">
        <x:v>17037.66</x:v>
      </x:c>
      <x:c r="P60" s="17">
        <x:v>17510.61</x:v>
      </x:c>
      <x:c r="Q60" s="17">
        <x:v>16764.36</x:v>
      </x:c>
      <x:c r="R60" s="17">
        <x:v>16264.41</x:v>
      </x:c>
      <x:c r="S60" s="18">
        <x:f t="shared" si="0"/>
        <x:v>259346.69</x:v>
      </x:c>
    </x:row>
    <x:row r="61" spans="1:19" x14ac:dyDescent="0.3">
      <x:c r="A61" s="7" t="s">
        <x:v>34</x:v>
      </x:c>
      <x:c r="B61" s="11" t="s">
        <x:v>18</x:v>
      </x:c>
      <x:c r="C61" s="21">
        <x:v>15309342.4</x:v>
      </x:c>
      <x:c r="D61" s="21">
        <x:v>16265584.99</x:v>
      </x:c>
      <x:c r="E61" s="21">
        <x:v>16800745.09</x:v>
      </x:c>
      <x:c r="F61" s="21">
        <x:v>16174510.140000001</x:v>
      </x:c>
      <x:c r="G61" s="21">
        <x:v>17020824.879999999</x:v>
      </x:c>
      <x:c r="H61" s="21">
        <x:v>15907464.58</x:v>
      </x:c>
      <x:c r="I61" s="21">
        <x:v>16085436.41</x:v>
      </x:c>
      <x:c r="J61" s="21">
        <x:v>16614013.4</x:v>
      </x:c>
      <x:c r="K61" s="21">
        <x:v>16217185.91</x:v>
      </x:c>
      <x:c r="L61" s="27">
        <x:v>16565033.109999999</x:v>
      </x:c>
      <x:c r="M61" s="27">
        <x:v>16380017.630000001</x:v>
      </x:c>
      <x:c r="N61" s="17">
        <x:v>17371942.280000001</x:v>
      </x:c>
      <x:c r="O61" s="17">
        <x:v>17395518.059999999</x:v>
      </x:c>
      <x:c r="P61" s="17">
        <x:v>17942922.66</x:v>
      </x:c>
      <x:c r="Q61" s="17">
        <x:v>19249261.289999999</x:v>
      </x:c>
      <x:c r="R61" s="17">
        <x:v>19823331.609999999</x:v>
      </x:c>
      <x:c r="S61" s="18">
        <x:f t="shared" si="0"/>
        <x:v>271123134.44</x:v>
      </x:c>
    </x:row>
    <x:row r="62" spans="1:19" x14ac:dyDescent="0.3">
      <x:c r="A62" s="7" t="s">
        <x:v>34</x:v>
      </x:c>
      <x:c r="B62" s="11" t="s">
        <x:v>19</x:v>
      </x:c>
      <x:c r="C62" s="21">
        <x:v>4591.05</x:v>
      </x:c>
      <x:c r="D62" s="21">
        <x:v>4591.05</x:v>
      </x:c>
      <x:c r="E62" s="21">
        <x:v>4591.05</x:v>
      </x:c>
      <x:c r="F62" s="21">
        <x:v>4591.05</x:v>
      </x:c>
      <x:c r="G62" s="21">
        <x:v>4591.05</x:v>
      </x:c>
      <x:c r="H62" s="21">
        <x:v>4591.05</x:v>
      </x:c>
      <x:c r="I62" s="21">
        <x:v>4591.05</x:v>
      </x:c>
      <x:c r="J62" s="21">
        <x:v>3737.05</x:v>
      </x:c>
      <x:c r="K62" s="21">
        <x:v>3737.05</x:v>
      </x:c>
      <x:c r="L62" s="27">
        <x:v>3737.05</x:v>
      </x:c>
      <x:c r="M62" s="27">
        <x:v>3737.05</x:v>
      </x:c>
      <x:c r="N62" s="17">
        <x:v>3737.05</x:v>
      </x:c>
      <x:c r="O62" s="17">
        <x:v>3737.05</x:v>
      </x:c>
      <x:c r="P62" s="17">
        <x:v>3737.05</x:v>
      </x:c>
      <x:c r="Q62" s="17">
        <x:v>3737.05</x:v>
      </x:c>
      <x:c r="R62" s="17">
        <x:v>4937.05</x:v>
      </x:c>
      <x:c r="S62" s="18">
        <x:f t="shared" si="0"/>
        <x:v>66970.8</x:v>
      </x:c>
    </x:row>
    <x:row r="63" spans="1:19" x14ac:dyDescent="0.3">
      <x:c r="A63" s="7" t="s">
        <x:v>34</x:v>
      </x:c>
      <x:c r="B63" s="11" t="s">
        <x:v>28</x:v>
      </x:c>
      <x:c r="C63" s="21">
        <x:v>11465.82</x:v>
      </x:c>
      <x:c r="D63" s="21">
        <x:v>11465.82</x:v>
      </x:c>
      <x:c r="E63" s="21">
        <x:v>10191.84</x:v>
      </x:c>
      <x:c r="F63" s="21">
        <x:v>7643.88</x:v>
      </x:c>
      <x:c r="G63" s="21">
        <x:v>6369.9</x:v>
      </x:c>
      <x:c r="H63" s="21">
        <x:v>3821.94</x:v>
      </x:c>
      <x:c r="I63" s="21">
        <x:v>2547.96</x:v>
      </x:c>
      <x:c r="J63" s="21">
        <x:v>2547.96</x:v>
      </x:c>
      <x:c r="K63" s="21">
        <x:v>2547.96</x:v>
      </x:c>
      <x:c r="L63" s="27">
        <x:v>8917.86</x:v>
      </x:c>
      <x:c r="M63" s="27">
        <x:v>8917.86</x:v>
      </x:c>
      <x:c r="N63" s="17">
        <x:v>8917.86</x:v>
      </x:c>
      <x:c r="O63" s="17">
        <x:v>7643.88</x:v>
      </x:c>
      <x:c r="P63" s="17">
        <x:v>7643.88</x:v>
      </x:c>
      <x:c r="Q63" s="17">
        <x:v>6369.9</x:v>
      </x:c>
      <x:c r="R63" s="17">
        <x:v>1273.98</x:v>
      </x:c>
      <x:c r="S63" s="18">
        <x:f t="shared" si="0"/>
        <x:v>108288.3</x:v>
      </x:c>
    </x:row>
    <x:row r="64" spans="1:19" x14ac:dyDescent="0.3">
      <x:c r="A64" s="7" t="s">
        <x:v>34</x:v>
      </x:c>
      <x:c r="B64" s="11" t="s">
        <x:v>20</x:v>
      </x:c>
      <x:c r="C64" s="21">
        <x:v>269549.14</x:v>
      </x:c>
      <x:c r="D64" s="21">
        <x:v>269483.84000000003</x:v>
      </x:c>
      <x:c r="E64" s="21">
        <x:v>269556.45</x:v>
      </x:c>
      <x:c r="F64" s="21">
        <x:v>269621.07</x:v>
      </x:c>
      <x:c r="G64" s="21">
        <x:v>269742.83</x:v>
      </x:c>
      <x:c r="H64" s="21">
        <x:v>270026.49</x:v>
      </x:c>
      <x:c r="I64" s="21">
        <x:v>269465.48</x:v>
      </x:c>
      <x:c r="J64" s="21">
        <x:v>269484.5</x:v>
      </x:c>
      <x:c r="K64" s="21">
        <x:v>269783.51</x:v>
      </x:c>
      <x:c r="L64" s="27">
        <x:v>269808.51</x:v>
      </x:c>
      <x:c r="M64" s="27">
        <x:v>269895.78999999998</x:v>
      </x:c>
      <x:c r="N64" s="17">
        <x:v>270298.95</x:v>
      </x:c>
      <x:c r="O64" s="17">
        <x:v>270259.31</x:v>
      </x:c>
      <x:c r="P64" s="17">
        <x:v>270202.21000000002</x:v>
      </x:c>
      <x:c r="Q64" s="17">
        <x:v>269890.53999999998</x:v>
      </x:c>
      <x:c r="R64" s="17">
        <x:v>269893.28000000003</x:v>
      </x:c>
      <x:c r="S64" s="18">
        <x:f t="shared" si="0"/>
        <x:v>4316961.9000000004</x:v>
      </x:c>
    </x:row>
    <x:row r="65" spans="1:19" x14ac:dyDescent="0.3">
      <x:c r="A65" s="7" t="s">
        <x:v>34</x:v>
      </x:c>
      <x:c r="B65" s="11" t="s">
        <x:v>21</x:v>
      </x:c>
      <x:c r="C65" s="21">
        <x:v>449079.9</x:v>
      </x:c>
      <x:c r="D65" s="21">
        <x:v>477464.8</x:v>
      </x:c>
      <x:c r="E65" s="21">
        <x:v>471286.72</x:v>
      </x:c>
      <x:c r="F65" s="21">
        <x:v>505078.1</x:v>
      </x:c>
      <x:c r="G65" s="21">
        <x:v>510901.97</x:v>
      </x:c>
      <x:c r="H65" s="21">
        <x:v>523038.18</x:v>
      </x:c>
      <x:c r="I65" s="21">
        <x:v>572466.51</x:v>
      </x:c>
      <x:c r="J65" s="21">
        <x:v>507115.69</x:v>
      </x:c>
      <x:c r="K65" s="21">
        <x:v>470976.81</x:v>
      </x:c>
      <x:c r="L65" s="27">
        <x:v>530459.77</x:v>
      </x:c>
      <x:c r="M65" s="27">
        <x:v>496180.93</x:v>
      </x:c>
      <x:c r="N65" s="17">
        <x:v>493653.08</x:v>
      </x:c>
      <x:c r="O65" s="17">
        <x:v>523000.19</x:v>
      </x:c>
      <x:c r="P65" s="17">
        <x:v>585262.54</x:v>
      </x:c>
      <x:c r="Q65" s="17">
        <x:v>646134.46</x:v>
      </x:c>
      <x:c r="R65" s="17">
        <x:v>628325.96</x:v>
      </x:c>
      <x:c r="S65" s="18">
        <x:f t="shared" si="0"/>
        <x:v>8390425.6099999994</x:v>
      </x:c>
    </x:row>
    <x:row r="66" spans="1:19" x14ac:dyDescent="0.3">
      <x:c r="A66" s="7" t="s">
        <x:v>34</x:v>
      </x:c>
      <x:c r="B66" s="11" t="s">
        <x:v>22</x:v>
      </x:c>
      <x:c r="C66" s="21">
        <x:v>52821.02</x:v>
      </x:c>
      <x:c r="D66" s="21">
        <x:v>53745.120000000003</x:v>
      </x:c>
      <x:c r="E66" s="21">
        <x:v>45026.54</x:v>
      </x:c>
      <x:c r="F66" s="21">
        <x:v>54263.09</x:v>
      </x:c>
      <x:c r="G66" s="21">
        <x:v>54623.97</x:v>
      </x:c>
      <x:c r="H66" s="21">
        <x:v>54786.6</x:v>
      </x:c>
      <x:c r="I66" s="21">
        <x:v>54502.03</x:v>
      </x:c>
      <x:c r="J66" s="21">
        <x:v>54670.35</x:v>
      </x:c>
      <x:c r="K66" s="21">
        <x:v>49446.19</x:v>
      </x:c>
      <x:c r="L66" s="27">
        <x:v>49610.2</x:v>
      </x:c>
      <x:c r="M66" s="27">
        <x:v>48811.92</x:v>
      </x:c>
      <x:c r="N66" s="17">
        <x:v>47119.53</x:v>
      </x:c>
      <x:c r="O66" s="17">
        <x:v>57689.38</x:v>
      </x:c>
      <x:c r="P66" s="17">
        <x:v>60431</x:v>
      </x:c>
      <x:c r="Q66" s="17">
        <x:v>62794.85</x:v>
      </x:c>
      <x:c r="R66" s="17">
        <x:v>61253.96</x:v>
      </x:c>
      <x:c r="S66" s="18">
        <x:f t="shared" si="0"/>
        <x:v>861595.75</x:v>
      </x:c>
    </x:row>
    <x:row r="67" spans="1:19" ht="31.1" x14ac:dyDescent="0.3">
      <x:c r="A67" s="7" t="s">
        <x:v>34</x:v>
      </x:c>
      <x:c r="B67" s="11" t="s">
        <x:v>39</x:v>
      </x:c>
      <x:c r="C67" s="21">
        <x:v>165092.95000000001</x:v>
      </x:c>
      <x:c r="D67" s="21">
        <x:v>202479.77</x:v>
      </x:c>
      <x:c r="E67" s="21">
        <x:v>192385.11</x:v>
      </x:c>
      <x:c r="F67" s="21">
        <x:v>178838.52</x:v>
      </x:c>
      <x:c r="G67" s="21">
        <x:v>182213.35</x:v>
      </x:c>
      <x:c r="H67" s="21">
        <x:v>182333.01</x:v>
      </x:c>
      <x:c r="I67" s="21">
        <x:v>194474.6</x:v>
      </x:c>
      <x:c r="J67" s="21">
        <x:v>179947.51999999999</x:v>
      </x:c>
      <x:c r="K67" s="21">
        <x:v>163450.23000000001</x:v>
      </x:c>
      <x:c r="L67" s="27">
        <x:v>163855.59</x:v>
      </x:c>
      <x:c r="M67" s="27">
        <x:v>163716.29</x:v>
      </x:c>
      <x:c r="N67" s="17">
        <x:v>159389.73000000001</x:v>
      </x:c>
      <x:c r="O67" s="17">
        <x:v>195166.76</x:v>
      </x:c>
      <x:c r="P67" s="17">
        <x:v>224915.26</x:v>
      </x:c>
      <x:c r="Q67" s="17">
        <x:v>259312.22</x:v>
      </x:c>
      <x:c r="R67" s="17">
        <x:v>239765.86</x:v>
      </x:c>
      <x:c r="S67" s="18">
        <x:f t="shared" si="0"/>
        <x:v>3047336.77</x:v>
      </x:c>
    </x:row>
    <x:row r="68" spans="1:19" x14ac:dyDescent="0.3">
      <x:c r="A68" s="7" t="s">
        <x:v>34</x:v>
      </x:c>
      <x:c r="B68" s="11" t="s">
        <x:v>23</x:v>
      </x:c>
      <x:c r="C68" s="21">
        <x:v>21603.08</x:v>
      </x:c>
      <x:c r="D68" s="21">
        <x:v>27669.599999999999</x:v>
      </x:c>
      <x:c r="E68" s="21">
        <x:v>27773.200000000001</x:v>
      </x:c>
      <x:c r="F68" s="21">
        <x:v>27347.42</x:v>
      </x:c>
      <x:c r="G68" s="21">
        <x:v>25206.39</x:v>
      </x:c>
      <x:c r="H68" s="21">
        <x:v>24046.94</x:v>
      </x:c>
      <x:c r="I68" s="21">
        <x:v>22505.31</x:v>
      </x:c>
      <x:c r="J68" s="21">
        <x:v>22141.58</x:v>
      </x:c>
      <x:c r="K68" s="21">
        <x:v>21591.8</x:v>
      </x:c>
      <x:c r="L68" s="27">
        <x:v>20869.64</x:v>
      </x:c>
      <x:c r="M68" s="27">
        <x:v>19442.14</x:v>
      </x:c>
      <x:c r="N68" s="17">
        <x:v>18749.3</x:v>
      </x:c>
      <x:c r="O68" s="17">
        <x:v>20399.46</x:v>
      </x:c>
      <x:c r="P68" s="17">
        <x:v>21103.9</x:v>
      </x:c>
      <x:c r="Q68" s="17">
        <x:v>21499.63</x:v>
      </x:c>
      <x:c r="R68" s="17">
        <x:v>19436.96</x:v>
      </x:c>
      <x:c r="S68" s="18">
        <x:f t="shared" si="0"/>
        <x:v>361386.35</x:v>
      </x:c>
    </x:row>
    <x:row r="69" spans="1:19" x14ac:dyDescent="0.3">
      <x:c r="A69" s="7" t="s">
        <x:v>34</x:v>
      </x:c>
      <x:c r="B69" s="11" t="s">
        <x:v>31</x:v>
      </x:c>
      <x:c r="C69" s="21">
        <x:v>1194.74</x:v>
      </x:c>
      <x:c r="D69" s="21">
        <x:v>1194.74</x:v>
      </x:c>
      <x:c r="E69" s="21">
        <x:v>1194.74</x:v>
      </x:c>
      <x:c r="F69" s="21">
        <x:v>1194.74</x:v>
      </x:c>
      <x:c r="G69" s="21">
        <x:v>1194.74</x:v>
      </x:c>
      <x:c r="H69" s="21">
        <x:v>1194.74</x:v>
      </x:c>
      <x:c r="I69" s="21">
        <x:v>1194.74</x:v>
      </x:c>
      <x:c r="J69" s="21">
        <x:v>1194.74</x:v>
      </x:c>
      <x:c r="K69" s="21">
        <x:v>1194.74</x:v>
      </x:c>
      <x:c r="L69" s="27">
        <x:v>1194.74</x:v>
      </x:c>
      <x:c r="M69" s="27">
        <x:v>1194.74</x:v>
      </x:c>
      <x:c r="N69" s="17">
        <x:v>1194.74</x:v>
      </x:c>
      <x:c r="O69" s="17">
        <x:v>1194.74</x:v>
      </x:c>
      <x:c r="P69" s="17">
        <x:v>1194.74</x:v>
      </x:c>
      <x:c r="Q69" s="17">
        <x:v>1194.74</x:v>
      </x:c>
      <x:c r="R69" s="17">
        <x:v>1194.74</x:v>
      </x:c>
      <x:c r="S69" s="18">
        <x:f t="shared" si="0"/>
        <x:v>19115.84</x:v>
      </x:c>
    </x:row>
    <x:row r="70" spans="1:19" x14ac:dyDescent="0.3">
      <x:c r="A70" s="7" t="s">
        <x:v>34</x:v>
      </x:c>
      <x:c r="B70" s="11" t="s">
        <x:v>24</x:v>
      </x:c>
      <x:c r="C70" s="21">
        <x:v>148376.98000000001</x:v>
      </x:c>
      <x:c r="D70" s="21">
        <x:v>148267.57</x:v>
      </x:c>
      <x:c r="E70" s="21">
        <x:v>152557.56</x:v>
      </x:c>
      <x:c r="F70" s="21">
        <x:v>168274.36</x:v>
      </x:c>
      <x:c r="G70" s="21">
        <x:v>169453.76</x:v>
      </x:c>
      <x:c r="H70" s="21">
        <x:v>179815.82</x:v>
      </x:c>
      <x:c r="I70" s="21">
        <x:v>180427.76</x:v>
      </x:c>
      <x:c r="J70" s="21">
        <x:v>185405.47</x:v>
      </x:c>
      <x:c r="K70" s="21">
        <x:v>183006.44</x:v>
      </x:c>
      <x:c r="L70" s="27">
        <x:v>180768.12</x:v>
      </x:c>
      <x:c r="M70" s="27">
        <x:v>179768.86</x:v>
      </x:c>
      <x:c r="N70" s="17">
        <x:v>183648.4</x:v>
      </x:c>
      <x:c r="O70" s="17">
        <x:v>194575.02</x:v>
      </x:c>
      <x:c r="P70" s="17">
        <x:v>206239.54</x:v>
      </x:c>
      <x:c r="Q70" s="17">
        <x:v>221877.24</x:v>
      </x:c>
      <x:c r="R70" s="17">
        <x:v>237078.5</x:v>
      </x:c>
      <x:c r="S70" s="18">
        <x:f t="shared" si="0"/>
        <x:v>2919541.4</x:v>
      </x:c>
    </x:row>
    <x:row r="71" spans="1:19" x14ac:dyDescent="0.3">
      <x:c r="A71" s="7" t="s">
        <x:v>34</x:v>
      </x:c>
      <x:c r="B71" s="11" t="s">
        <x:v>29</x:v>
      </x:c>
      <x:c r="C71" s="21">
        <x:v>2577756.7599999998</x:v>
      </x:c>
      <x:c r="D71" s="21">
        <x:v>3086381.32</x:v>
      </x:c>
      <x:c r="E71" s="21">
        <x:v>3055258.65</x:v>
      </x:c>
      <x:c r="F71" s="21">
        <x:v>2977018.64</x:v>
      </x:c>
      <x:c r="G71" s="21">
        <x:v>3065208.04</x:v>
      </x:c>
      <x:c r="H71" s="21">
        <x:v>3045844.11</x:v>
      </x:c>
      <x:c r="I71" s="21">
        <x:v>3159825.47</x:v>
      </x:c>
      <x:c r="J71" s="21">
        <x:v>3166702.9</x:v>
      </x:c>
      <x:c r="K71" s="21">
        <x:v>3031760.78</x:v>
      </x:c>
      <x:c r="L71" s="27">
        <x:v>3220863.67</x:v>
      </x:c>
      <x:c r="M71" s="27">
        <x:v>3127359.14</x:v>
      </x:c>
      <x:c r="N71" s="17">
        <x:v>3087726.71</x:v>
      </x:c>
      <x:c r="O71" s="17">
        <x:v>3092672.72</x:v>
      </x:c>
      <x:c r="P71" s="17">
        <x:v>2904118.03</x:v>
      </x:c>
      <x:c r="Q71" s="17">
        <x:v>2837993.53</x:v>
      </x:c>
      <x:c r="R71" s="17">
        <x:v>3080782.13</x:v>
      </x:c>
      <x:c r="S71" s="18">
        <x:f t="shared" si="0"/>
        <x:v>48517272.600000001</x:v>
      </x:c>
    </x:row>
    <x:row r="72" spans="1:19" x14ac:dyDescent="0.3">
      <x:c r="A72" s="7" t="s">
        <x:v>34</x:v>
      </x:c>
      <x:c r="B72" s="11" t="s">
        <x:v>25</x:v>
      </x:c>
      <x:c r="C72" s="21">
        <x:v>580634.18999999994</x:v>
      </x:c>
      <x:c r="D72" s="21">
        <x:v>572169.51</x:v>
      </x:c>
      <x:c r="E72" s="21">
        <x:v>576448.19999999995</x:v>
      </x:c>
      <x:c r="F72" s="21">
        <x:v>545202.11</x:v>
      </x:c>
      <x:c r="G72" s="21">
        <x:v>490561.18</x:v>
      </x:c>
      <x:c r="H72" s="21">
        <x:v>457542.9</x:v>
      </x:c>
      <x:c r="I72" s="21">
        <x:v>437080.25</x:v>
      </x:c>
      <x:c r="J72" s="21">
        <x:v>404786.17</x:v>
      </x:c>
      <x:c r="K72" s="21">
        <x:v>404939.63</x:v>
      </x:c>
      <x:c r="L72" s="27">
        <x:v>349445.74</x:v>
      </x:c>
      <x:c r="M72" s="27">
        <x:v>339451.37</x:v>
      </x:c>
      <x:c r="N72" s="17">
        <x:v>341920.99</x:v>
      </x:c>
      <x:c r="O72" s="17">
        <x:v>323045.75</x:v>
      </x:c>
      <x:c r="P72" s="17">
        <x:v>268390.84000000003</x:v>
      </x:c>
      <x:c r="Q72" s="17">
        <x:v>212009.96</x:v>
      </x:c>
      <x:c r="R72" s="17">
        <x:v>149824.73000000001</x:v>
      </x:c>
      <x:c r="S72" s="18">
        <x:f t="shared" si="0"/>
        <x:v>6453453.5199999996</x:v>
      </x:c>
    </x:row>
    <x:row r="73" spans="1:19" x14ac:dyDescent="0.3">
      <x:c r="A73" s="7" t="s">
        <x:v>34</x:v>
      </x:c>
      <x:c r="B73" s="11" t="s">
        <x:v>61</x:v>
      </x:c>
      <x:c r="C73" s="21">
        <x:v>0</x:v>
      </x:c>
      <x:c r="D73" s="21">
        <x:v>0</x:v>
      </x:c>
      <x:c r="E73" s="21">
        <x:v>0</x:v>
      </x:c>
      <x:c r="F73" s="21">
        <x:v>0</x:v>
      </x:c>
      <x:c r="G73" s="21">
        <x:v>0</x:v>
      </x:c>
      <x:c r="H73" s="21">
        <x:v>0</x:v>
      </x:c>
      <x:c r="I73" s="21">
        <x:v>0</x:v>
      </x:c>
      <x:c r="J73" s="21">
        <x:v>0</x:v>
      </x:c>
      <x:c r="K73" s="21">
        <x:v>0</x:v>
      </x:c>
      <x:c r="L73" s="27">
        <x:v>32269</x:v>
      </x:c>
      <x:c r="M73" s="27">
        <x:v>32269</x:v>
      </x:c>
      <x:c r="N73" s="17">
        <x:v>32269</x:v>
      </x:c>
      <x:c r="O73" s="17">
        <x:v>32269</x:v>
      </x:c>
      <x:c r="P73" s="17">
        <x:v>32269</x:v>
      </x:c>
      <x:c r="Q73" s="17">
        <x:v>32269</x:v>
      </x:c>
      <x:c r="R73" s="17">
        <x:v>32269</x:v>
      </x:c>
      <x:c r="S73" s="18">
        <x:f t="shared" si="0"/>
        <x:v>225883</x:v>
      </x:c>
    </x:row>
    <x:row r="74" spans="1:19" x14ac:dyDescent="0.3">
      <x:c r="A74" s="7" t="s">
        <x:v>34</x:v>
      </x:c>
      <x:c r="B74" s="11" t="s">
        <x:v>26</x:v>
      </x:c>
      <x:c r="C74" s="21">
        <x:v>139299.57999999999</x:v>
      </x:c>
      <x:c r="D74" s="21">
        <x:v>147762.07</x:v>
      </x:c>
      <x:c r="E74" s="23">
        <x:v>152668.54</x:v>
      </x:c>
      <x:c r="F74" s="21">
        <x:v>131970.21</x:v>
      </x:c>
      <x:c r="G74" s="21">
        <x:v>133171.04</x:v>
      </x:c>
      <x:c r="H74" s="21">
        <x:v>129812.27</x:v>
      </x:c>
      <x:c r="I74" s="21">
        <x:v>131230.39000000001</x:v>
      </x:c>
      <x:c r="J74" s="21">
        <x:v>111490.47</x:v>
      </x:c>
      <x:c r="K74" s="21">
        <x:v>86793.38</x:v>
      </x:c>
      <x:c r="L74" s="27">
        <x:v>51622.33</x:v>
      </x:c>
      <x:c r="M74" s="27">
        <x:v>878216.98</x:v>
      </x:c>
      <x:c r="N74" s="17">
        <x:v>868446.24</x:v>
      </x:c>
      <x:c r="O74" s="17">
        <x:v>926426.97</x:v>
      </x:c>
      <x:c r="P74" s="17">
        <x:v>888403.83</x:v>
      </x:c>
      <x:c r="Q74" s="17">
        <x:v>1024216.67</x:v>
      </x:c>
      <x:c r="R74" s="17">
        <x:v>1057444.3</x:v>
      </x:c>
      <x:c r="S74" s="18">
        <x:f t="shared" ref="S74:S75" si="2">ROUND(SUM(C74:R74),2)</x:f>
        <x:v>6858975.2699999996</x:v>
      </x:c>
    </x:row>
    <x:row r="75" spans="1:19" x14ac:dyDescent="0.3">
      <x:c r="A75" s="7" t="s">
        <x:v>34</x:v>
      </x:c>
      <x:c r="B75" s="11" t="s">
        <x:v>27</x:v>
      </x:c>
      <x:c r="C75" s="23">
        <x:v>2613.66</x:v>
      </x:c>
      <x:c r="D75" s="21">
        <x:v>2555.4499999999998</x:v>
      </x:c>
      <x:c r="E75" s="21">
        <x:v>1606.04</x:v>
      </x:c>
      <x:c r="F75" s="23">
        <x:v>2082.36</x:v>
      </x:c>
      <x:c r="G75" s="23">
        <x:v>2073.09</x:v>
      </x:c>
      <x:c r="H75" s="23">
        <x:v>2073.09</x:v>
      </x:c>
      <x:c r="I75" s="23">
        <x:v>2073.09</x:v>
      </x:c>
      <x:c r="J75" s="23">
        <x:v>2073.09</x:v>
      </x:c>
      <x:c r="K75" s="23">
        <x:v>1989.63</x:v>
      </x:c>
      <x:c r="L75" s="27">
        <x:v>2098.75</x:v>
      </x:c>
      <x:c r="M75" s="27">
        <x:v>2098.75</x:v>
      </x:c>
      <x:c r="N75" s="17">
        <x:v>2074.71</x:v>
      </x:c>
      <x:c r="O75" s="17">
        <x:v>2173.75</x:v>
      </x:c>
      <x:c r="P75" s="17">
        <x:v>2227.84</x:v>
      </x:c>
      <x:c r="Q75" s="17">
        <x:v>1963.76</x:v>
      </x:c>
      <x:c r="R75" s="17">
        <x:v>1985.35</x:v>
      </x:c>
      <x:c r="S75" s="18">
        <x:f t="shared" si="2"/>
        <x:v>33762.410000000003</x:v>
      </x:c>
    </x:row>
    <x:row r="76" spans="1:19" s="7" customFormat="1" x14ac:dyDescent="0.3">
      <x:c r="A76" s="7" t="s">
        <x:v>34</x:v>
      </x:c>
      <x:c r="B76" s="14" t="s">
        <x:v>40</x:v>
      </x:c>
      <x:c r="C76" s="25">
        <x:f t="shared" ref="C76:O76" si="3">ROUND(SUM(C43:C75),2)</x:f>
        <x:v>183973630.19999999</x:v>
      </x:c>
      <x:c r="D76" s="25">
        <x:f t="shared" si="3"/>
        <x:v>194083626.72999999</x:v>
      </x:c>
      <x:c r="E76" s="25">
        <x:f t="shared" si="3"/>
        <x:v>195984675.25999999</x:v>
      </x:c>
      <x:c r="F76" s="25">
        <x:f t="shared" si="3"/>
        <x:v>193554805.69999999</x:v>
      </x:c>
      <x:c r="G76" s="25">
        <x:f t="shared" si="3"/>
        <x:v>190564661.87</x:v>
      </x:c>
      <x:c r="H76" s="25">
        <x:f t="shared" si="3"/>
        <x:v>185983055.21000001</x:v>
      </x:c>
      <x:c r="I76" s="25">
        <x:f t="shared" si="3"/>
        <x:v>187714007.37</x:v>
      </x:c>
      <x:c r="J76" s="25">
        <x:f t="shared" si="3"/>
        <x:v>199693003.81</x:v>
      </x:c>
      <x:c r="K76" s="25">
        <x:f t="shared" si="3"/>
        <x:v>205802641.16</x:v>
      </x:c>
      <x:c r="L76" s="25">
        <x:f t="shared" si="3"/>
        <x:v>210426963.88</x:v>
      </x:c>
      <x:c r="M76" s="25">
        <x:f t="shared" si="3"/>
        <x:v>217046877.81</x:v>
      </x:c>
      <x:c r="N76" s="25">
        <x:f t="shared" si="3"/>
        <x:v>227595935.11000001</x:v>
      </x:c>
      <x:c r="O76" s="25">
        <x:f t="shared" si="3"/>
        <x:v>257945079.91</x:v>
      </x:c>
      <x:c r="P76" s="25">
        <x:f t="shared" ref="P76:R76" si="4">ROUND(SUM(P43:P75),2)</x:f>
        <x:v>260486635.80000001</x:v>
      </x:c>
      <x:c r="Q76" s="25">
        <x:f t="shared" si="4"/>
        <x:v>254637752.34</x:v>
      </x:c>
      <x:c r="R76" s="25">
        <x:f t="shared" si="4"/>
        <x:v>247444209.66</x:v>
      </x:c>
      <x:c r="S76" s="29">
        <x:f>ROUND(SUM(C76:R76),2)</x:f>
        <x:v>3412937561.8200002</x:v>
      </x:c>
    </x:row>
    <x:row r="77" spans="1:19" ht="16.149999999999999" thickBot="1" x14ac:dyDescent="0.35">
      <x:c r="A77" s="12" t="s">
        <x:v>36</x:v>
      </x:c>
      <x:c r="B77" s="11"/>
      <x:c r="C77" s="30">
        <x:f t="shared" ref="C77:S77" si="5">ROUND(C42+C76,2)</x:f>
        <x:v>306491187.99000001</x:v>
      </x:c>
      <x:c r="D77" s="30">
        <x:f t="shared" si="5"/>
        <x:v>316604207.25</x:v>
      </x:c>
      <x:c r="E77" s="30">
        <x:f t="shared" si="5"/>
        <x:v>315178395.10000002</x:v>
      </x:c>
      <x:c r="F77" s="30">
        <x:f t="shared" si="5"/>
        <x:v>322567032.68000001</x:v>
      </x:c>
      <x:c r="G77" s="30">
        <x:f t="shared" si="5"/>
        <x:v>324012926.89999998</x:v>
      </x:c>
      <x:c r="H77" s="30">
        <x:f t="shared" si="5"/>
        <x:v>324681384.94999999</x:v>
      </x:c>
      <x:c r="I77" s="30">
        <x:f t="shared" si="5"/>
        <x:v>332869153.13</x:v>
      </x:c>
      <x:c r="J77" s="30">
        <x:f t="shared" si="5"/>
        <x:v>677902188.70000005</x:v>
      </x:c>
      <x:c r="K77" s="30">
        <x:f t="shared" si="5"/>
        <x:v>347424514.62</x:v>
      </x:c>
      <x:c r="L77" s="30">
        <x:f t="shared" si="5"/>
        <x:v>356489227.93000001</x:v>
      </x:c>
      <x:c r="M77" s="30">
        <x:f t="shared" si="5"/>
        <x:v>359608383.38999999</x:v>
      </x:c>
      <x:c r="N77" s="30">
        <x:f t="shared" si="5"/>
        <x:v>372889630.75999999</x:v>
      </x:c>
      <x:c r="O77" s="30">
        <x:f t="shared" si="5"/>
        <x:v>411185848.72000003</x:v>
      </x:c>
      <x:c r="P77" s="30">
        <x:f t="shared" ref="P77:R77" si="6">ROUND(P42+P76,2)</x:f>
        <x:v>416714374</x:v>
      </x:c>
      <x:c r="Q77" s="30">
        <x:f t="shared" si="6"/>
        <x:v>421050153.70999998</x:v>
      </x:c>
      <x:c r="R77" s="30">
        <x:f t="shared" si="6"/>
        <x:v>425820860.06999999</x:v>
      </x:c>
      <x:c r="S77" s="30">
        <x:f t="shared" si="5"/>
        <x:v>6031489469.8999996</x:v>
      </x:c>
    </x:row>
    <x:row r="78" spans="1:19" ht="16.149999999999999" thickTop="1" x14ac:dyDescent="0.3">
      <x:c r="B78" s="13"/>
    </x:row>
  </x:sheetData>
  <x:printOptions horizontalCentered="1"/>
  <x:pageMargins left="0.7" right="0.7" top="1.75" bottom="0.75" header="1" footer="0.3"/>
  <x:pageSetup scale="38" fitToWidth="0" orientation="landscape" r:id="rId1"/>
  <x:headerFooter>
    <x:oddHeader>&amp;C&amp;"Arial,Bold"&amp;12
2025 RATE CASE
ONCOR ELECTRIC DELIVERY COMPANY LLC
CONSOLIDATED COMMODITY REPORT
FOR THE TEST YEAR ENDING DECEMBER 31, 2024
SPONSOR: A. THENMADATHIL&amp;R&amp;"Arial,Bold"&amp;12WP II-B-8/03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2025-04-30T20:03:47.0000000Z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