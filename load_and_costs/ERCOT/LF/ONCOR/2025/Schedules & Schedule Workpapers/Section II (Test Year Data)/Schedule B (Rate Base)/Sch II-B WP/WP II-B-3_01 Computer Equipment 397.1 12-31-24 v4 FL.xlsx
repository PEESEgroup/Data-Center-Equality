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13_ncr:1_{07CCEF59-24CF-46CB-9387-1F5FAAA92149}" xr6:coauthVersionLast="47" xr6:coauthVersionMax="47" xr10:uidLastSave="{00000000-0000-0000-0000-000000000000}"/>
  <x:bookViews>
    <x:workbookView xWindow="25974" yWindow="-109" windowWidth="26301" windowHeight="14169" xr2:uid="{FDF178F7-84BE-490B-837D-572860B30C4E}"/>
  </x:bookViews>
  <x:sheets>
    <x:sheet name="WP II-B-3_01" sheetId="1" r:id="rId1"/>
  </x:sheets>
  <x:definedNames>
    <x:definedName name="_xlnm._FilterDatabase" localSheetId="0" hidden="1">'WP II-B-3_01'!$A$1:$M$159</x:definedName>
    <x:definedName name="_xlnm.Print_Titles" localSheetId="0">'WP II-B-3_01'!$1:$1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J98" i="1" l="1"/>
  <x:c r="M175" i="1" l="1"/>
  <x:c r="L175" i="1"/>
  <x:c r="J175" i="1"/>
  <x:c r="I175" i="1"/>
  <x:c r="G175" i="1"/>
  <x:c r="F175" i="1"/>
  <x:c r="E175" i="1"/>
  <x:c r="D175" i="1"/>
  <x:c r="K173" i="1"/>
  <x:c r="H173" i="1"/>
  <x:c r="K172" i="1"/>
  <x:c r="H172" i="1"/>
  <x:c r="K171" i="1"/>
  <x:c r="H171" i="1"/>
  <x:c r="N171" i="1" s="1"/>
  <x:c r="K170" i="1"/>
  <x:c r="H170" i="1"/>
  <x:c r="N170" i="1" s="1"/>
  <x:c r="H161" i="1"/>
  <x:c r="N172" i="1" l="1"/>
  <x:c r="E177" i="1"/>
  <x:c r="M177" i="1"/>
  <x:c r="N173" i="1"/>
  <x:c r="L177" i="1"/>
  <x:c r="F177" i="1"/>
  <x:c r="J177" i="1"/>
  <x:c r="I177" i="1"/>
  <x:c r="G177" i="1"/>
  <x:c r="M98" i="1"/>
  <x:c r="H175" i="1"/>
  <x:c r="H177" i="1" s="1"/>
  <x:c r="K175" i="1"/>
  <x:c r="K177" i="1" s="1"/>
  <x:c r="N177" i="1" l="1"/>
  <x:c r="J157" i="1"/>
  <x:c r="J155" i="1"/>
  <x:c r="J153" i="1"/>
  <x:c r="J151" i="1"/>
  <x:c r="J149" i="1"/>
  <x:c r="J147" i="1"/>
  <x:c r="J145" i="1"/>
  <x:c r="J143" i="1"/>
  <x:c r="J141" i="1"/>
  <x:c r="J139" i="1"/>
  <x:c r="J137" i="1"/>
  <x:c r="J135" i="1"/>
  <x:c r="J133" i="1"/>
  <x:c r="J131" i="1"/>
  <x:c r="J129" i="1"/>
  <x:c r="J127" i="1"/>
  <x:c r="J125" i="1"/>
  <x:c r="J123" i="1"/>
  <x:c r="J121" i="1"/>
  <x:c r="J119" i="1"/>
  <x:c r="J117" i="1"/>
  <x:c r="J115" i="1"/>
  <x:c r="J113" i="1"/>
  <x:c r="J111" i="1"/>
  <x:c r="J109" i="1"/>
  <x:c r="J107" i="1"/>
  <x:c r="J105" i="1"/>
  <x:c r="J103" i="1"/>
  <x:c r="J101" i="1"/>
  <x:c r="J99" i="1"/>
  <x:c r="J96" i="1"/>
  <x:c r="J94" i="1"/>
  <x:c r="J92" i="1"/>
  <x:c r="J90" i="1"/>
  <x:c r="J88" i="1"/>
  <x:c r="J86" i="1"/>
  <x:c r="J84" i="1"/>
  <x:c r="J82" i="1"/>
  <x:c r="J80" i="1"/>
  <x:c r="J78" i="1"/>
  <x:c r="J76" i="1"/>
  <x:c r="J74" i="1"/>
  <x:c r="J72" i="1"/>
  <x:c r="J70" i="1"/>
  <x:c r="J68" i="1"/>
  <x:c r="J66" i="1"/>
  <x:c r="J64" i="1"/>
  <x:c r="J62" i="1"/>
  <x:c r="J60" i="1"/>
  <x:c r="J58" i="1"/>
  <x:c r="J56" i="1"/>
  <x:c r="J54" i="1"/>
  <x:c r="J52" i="1"/>
  <x:c r="J50" i="1"/>
  <x:c r="J48" i="1"/>
  <x:c r="J46" i="1"/>
  <x:c r="J44" i="1"/>
  <x:c r="J42" i="1"/>
  <x:c r="J40" i="1"/>
  <x:c r="J38" i="1"/>
  <x:c r="J36" i="1"/>
  <x:c r="J34" i="1"/>
  <x:c r="J32" i="1"/>
  <x:c r="J30" i="1"/>
  <x:c r="J28" i="1"/>
  <x:c r="J26" i="1"/>
  <x:c r="J24" i="1"/>
  <x:c r="J22" i="1"/>
  <x:c r="J20" i="1"/>
  <x:c r="J18" i="1"/>
  <x:c r="J16" i="1"/>
  <x:c r="J14" i="1"/>
  <x:c r="J12" i="1"/>
  <x:c r="J10" i="1"/>
  <x:c r="J8" i="1"/>
  <x:c r="J6" i="1"/>
  <x:c r="J4" i="1"/>
  <x:c r="J2" i="1"/>
  <x:c r="J159" i="1"/>
  <x:c r="J158" i="1"/>
  <x:c r="J156" i="1"/>
  <x:c r="J154" i="1"/>
  <x:c r="J152" i="1"/>
  <x:c r="J150" i="1"/>
  <x:c r="J148" i="1"/>
  <x:c r="J146" i="1"/>
  <x:c r="J144" i="1"/>
  <x:c r="J142" i="1"/>
  <x:c r="J140" i="1"/>
  <x:c r="J138" i="1"/>
  <x:c r="J136" i="1"/>
  <x:c r="J134" i="1"/>
  <x:c r="J132" i="1"/>
  <x:c r="J130" i="1"/>
  <x:c r="J128" i="1"/>
  <x:c r="J126" i="1"/>
  <x:c r="J124" i="1"/>
  <x:c r="J122" i="1"/>
  <x:c r="J120" i="1"/>
  <x:c r="J118" i="1"/>
  <x:c r="J116" i="1"/>
  <x:c r="J114" i="1"/>
  <x:c r="J112" i="1"/>
  <x:c r="J110" i="1"/>
  <x:c r="J108" i="1"/>
  <x:c r="J106" i="1"/>
  <x:c r="J104" i="1"/>
  <x:c r="J102" i="1"/>
  <x:c r="J100" i="1"/>
  <x:c r="J97" i="1"/>
  <x:c r="J95" i="1"/>
  <x:c r="J93" i="1"/>
  <x:c r="J91" i="1"/>
  <x:c r="J89" i="1"/>
  <x:c r="J87" i="1"/>
  <x:c r="J85" i="1"/>
  <x:c r="J83" i="1"/>
  <x:c r="J81" i="1"/>
  <x:c r="J79" i="1"/>
  <x:c r="J77" i="1"/>
  <x:c r="J75" i="1"/>
  <x:c r="J73" i="1"/>
  <x:c r="J71" i="1"/>
  <x:c r="J69" i="1"/>
  <x:c r="J67" i="1"/>
  <x:c r="J65" i="1"/>
  <x:c r="J63" i="1"/>
  <x:c r="J61" i="1"/>
  <x:c r="J59" i="1"/>
  <x:c r="J57" i="1"/>
  <x:c r="J55" i="1"/>
  <x:c r="J53" i="1"/>
  <x:c r="J51" i="1"/>
  <x:c r="J49" i="1"/>
  <x:c r="J47" i="1"/>
  <x:c r="J45" i="1"/>
  <x:c r="J43" i="1"/>
  <x:c r="J41" i="1"/>
  <x:c r="J39" i="1"/>
  <x:c r="J37" i="1"/>
  <x:c r="J35" i="1"/>
  <x:c r="J33" i="1"/>
  <x:c r="J31" i="1"/>
  <x:c r="J29" i="1"/>
  <x:c r="J27" i="1"/>
  <x:c r="J25" i="1"/>
  <x:c r="J23" i="1"/>
  <x:c r="J7" i="1"/>
  <x:c r="J21" i="1"/>
  <x:c r="J13" i="1"/>
  <x:c r="J5" i="1"/>
  <x:c r="J17" i="1"/>
  <x:c r="J3" i="1"/>
  <x:c r="J15" i="1"/>
  <x:c r="J11" i="1"/>
  <x:c r="J9" i="1"/>
  <x:c r="J19" i="1"/>
  <x:c r="I159" i="1"/>
  <x:c r="I157" i="1"/>
  <x:c r="I155" i="1"/>
  <x:c r="I153" i="1"/>
  <x:c r="I151" i="1"/>
  <x:c r="I149" i="1"/>
  <x:c r="I147" i="1"/>
  <x:c r="I145" i="1"/>
  <x:c r="I143" i="1"/>
  <x:c r="I141" i="1"/>
  <x:c r="I139" i="1"/>
  <x:c r="I137" i="1"/>
  <x:c r="I135" i="1"/>
  <x:c r="I133" i="1"/>
  <x:c r="I131" i="1"/>
  <x:c r="I129" i="1"/>
  <x:c r="I127" i="1"/>
  <x:c r="I125" i="1"/>
  <x:c r="I123" i="1"/>
  <x:c r="I121" i="1"/>
  <x:c r="I119" i="1"/>
  <x:c r="I117" i="1"/>
  <x:c r="I115" i="1"/>
  <x:c r="I113" i="1"/>
  <x:c r="I111" i="1"/>
  <x:c r="I109" i="1"/>
  <x:c r="I107" i="1"/>
  <x:c r="I105" i="1"/>
  <x:c r="I103" i="1"/>
  <x:c r="I101" i="1"/>
  <x:c r="I99" i="1"/>
  <x:c r="I96" i="1"/>
  <x:c r="I94" i="1"/>
  <x:c r="I92" i="1"/>
  <x:c r="I90" i="1"/>
  <x:c r="I88" i="1"/>
  <x:c r="I86" i="1"/>
  <x:c r="I84" i="1"/>
  <x:c r="I82" i="1"/>
  <x:c r="I80" i="1"/>
  <x:c r="I78" i="1"/>
  <x:c r="I76" i="1"/>
  <x:c r="I74" i="1"/>
  <x:c r="I72" i="1"/>
  <x:c r="I70" i="1"/>
  <x:c r="I68" i="1"/>
  <x:c r="I66" i="1"/>
  <x:c r="I64" i="1"/>
  <x:c r="I62" i="1"/>
  <x:c r="I60" i="1"/>
  <x:c r="I58" i="1"/>
  <x:c r="I56" i="1"/>
  <x:c r="I54" i="1"/>
  <x:c r="I52" i="1"/>
  <x:c r="I50" i="1"/>
  <x:c r="I48" i="1"/>
  <x:c r="I46" i="1"/>
  <x:c r="I44" i="1"/>
  <x:c r="I42" i="1"/>
  <x:c r="I40" i="1"/>
  <x:c r="I38" i="1"/>
  <x:c r="I36" i="1"/>
  <x:c r="I34" i="1"/>
  <x:c r="I32" i="1"/>
  <x:c r="I30" i="1"/>
  <x:c r="I28" i="1"/>
  <x:c r="I26" i="1"/>
  <x:c r="I24" i="1"/>
  <x:c r="I22" i="1"/>
  <x:c r="I20" i="1"/>
  <x:c r="I18" i="1"/>
  <x:c r="I16" i="1"/>
  <x:c r="I14" i="1"/>
  <x:c r="I12" i="1"/>
  <x:c r="I10" i="1"/>
  <x:c r="I8" i="1"/>
  <x:c r="I6" i="1"/>
  <x:c r="I4" i="1"/>
  <x:c r="I2" i="1"/>
  <x:c r="I158" i="1"/>
  <x:c r="I156" i="1"/>
  <x:c r="I154" i="1"/>
  <x:c r="I152" i="1"/>
  <x:c r="I150" i="1"/>
  <x:c r="I148" i="1"/>
  <x:c r="I146" i="1"/>
  <x:c r="I144" i="1"/>
  <x:c r="I142" i="1"/>
  <x:c r="I140" i="1"/>
  <x:c r="I138" i="1"/>
  <x:c r="I136" i="1"/>
  <x:c r="I134" i="1"/>
  <x:c r="I132" i="1"/>
  <x:c r="I130" i="1"/>
  <x:c r="I128" i="1"/>
  <x:c r="I126" i="1"/>
  <x:c r="I124" i="1"/>
  <x:c r="I122" i="1"/>
  <x:c r="I120" i="1"/>
  <x:c r="I118" i="1"/>
  <x:c r="I116" i="1"/>
  <x:c r="I114" i="1"/>
  <x:c r="I112" i="1"/>
  <x:c r="I110" i="1"/>
  <x:c r="I108" i="1"/>
  <x:c r="I106" i="1"/>
  <x:c r="I104" i="1"/>
  <x:c r="I102" i="1"/>
  <x:c r="I100" i="1"/>
  <x:c r="I97" i="1"/>
  <x:c r="I95" i="1"/>
  <x:c r="I93" i="1"/>
  <x:c r="I91" i="1"/>
  <x:c r="I89" i="1"/>
  <x:c r="I87" i="1"/>
  <x:c r="I85" i="1"/>
  <x:c r="I83" i="1"/>
  <x:c r="I81" i="1"/>
  <x:c r="I79" i="1"/>
  <x:c r="I77" i="1"/>
  <x:c r="I75" i="1"/>
  <x:c r="I73" i="1"/>
  <x:c r="I71" i="1"/>
  <x:c r="I69" i="1"/>
  <x:c r="I67" i="1"/>
  <x:c r="I65" i="1"/>
  <x:c r="I63" i="1"/>
  <x:c r="I61" i="1"/>
  <x:c r="I59" i="1"/>
  <x:c r="I57" i="1"/>
  <x:c r="I55" i="1"/>
  <x:c r="I53" i="1"/>
  <x:c r="I51" i="1"/>
  <x:c r="I49" i="1"/>
  <x:c r="I47" i="1"/>
  <x:c r="I45" i="1"/>
  <x:c r="I43" i="1"/>
  <x:c r="I41" i="1"/>
  <x:c r="I39" i="1"/>
  <x:c r="I37" i="1"/>
  <x:c r="I35" i="1"/>
  <x:c r="I33" i="1"/>
  <x:c r="I31" i="1"/>
  <x:c r="I29" i="1"/>
  <x:c r="I27" i="1"/>
  <x:c r="I25" i="1"/>
  <x:c r="I23" i="1"/>
  <x:c r="I21" i="1"/>
  <x:c r="I19" i="1"/>
  <x:c r="I17" i="1"/>
  <x:c r="I15" i="1"/>
  <x:c r="I13" i="1"/>
  <x:c r="I11" i="1"/>
  <x:c r="I7" i="1"/>
  <x:c r="I5" i="1"/>
  <x:c r="I9" i="1"/>
  <x:c r="I3" i="1"/>
  <x:c r="L157" i="1"/>
  <x:c r="L155" i="1"/>
  <x:c r="L153" i="1"/>
  <x:c r="L151" i="1"/>
  <x:c r="L149" i="1"/>
  <x:c r="L147" i="1"/>
  <x:c r="L145" i="1"/>
  <x:c r="L143" i="1"/>
  <x:c r="L141" i="1"/>
  <x:c r="L139" i="1"/>
  <x:c r="L137" i="1"/>
  <x:c r="L135" i="1"/>
  <x:c r="L133" i="1"/>
  <x:c r="L131" i="1"/>
  <x:c r="L129" i="1"/>
  <x:c r="L127" i="1"/>
  <x:c r="L125" i="1"/>
  <x:c r="L123" i="1"/>
  <x:c r="L121" i="1"/>
  <x:c r="L119" i="1"/>
  <x:c r="L117" i="1"/>
  <x:c r="L115" i="1"/>
  <x:c r="L113" i="1"/>
  <x:c r="L111" i="1"/>
  <x:c r="L109" i="1"/>
  <x:c r="L107" i="1"/>
  <x:c r="L105" i="1"/>
  <x:c r="L103" i="1"/>
  <x:c r="L101" i="1"/>
  <x:c r="L99" i="1"/>
  <x:c r="L96" i="1"/>
  <x:c r="L94" i="1"/>
  <x:c r="L92" i="1"/>
  <x:c r="L90" i="1"/>
  <x:c r="L88" i="1"/>
  <x:c r="L86" i="1"/>
  <x:c r="L84" i="1"/>
  <x:c r="L82" i="1"/>
  <x:c r="L80" i="1"/>
  <x:c r="L78" i="1"/>
  <x:c r="L76" i="1"/>
  <x:c r="L74" i="1"/>
  <x:c r="L72" i="1"/>
  <x:c r="L70" i="1"/>
  <x:c r="L68" i="1"/>
  <x:c r="L66" i="1"/>
  <x:c r="L64" i="1"/>
  <x:c r="L62" i="1"/>
  <x:c r="L60" i="1"/>
  <x:c r="L58" i="1"/>
  <x:c r="L56" i="1"/>
  <x:c r="L54" i="1"/>
  <x:c r="L52" i="1"/>
  <x:c r="L50" i="1"/>
  <x:c r="L48" i="1"/>
  <x:c r="L46" i="1"/>
  <x:c r="L44" i="1"/>
  <x:c r="L42" i="1"/>
  <x:c r="L40" i="1"/>
  <x:c r="L38" i="1"/>
  <x:c r="L36" i="1"/>
  <x:c r="L34" i="1"/>
  <x:c r="L32" i="1"/>
  <x:c r="L30" i="1"/>
  <x:c r="L28" i="1"/>
  <x:c r="L26" i="1"/>
  <x:c r="L24" i="1"/>
  <x:c r="L22" i="1"/>
  <x:c r="L20" i="1"/>
  <x:c r="L18" i="1"/>
  <x:c r="L16" i="1"/>
  <x:c r="L14" i="1"/>
  <x:c r="L12" i="1"/>
  <x:c r="L10" i="1"/>
  <x:c r="L8" i="1"/>
  <x:c r="L6" i="1"/>
  <x:c r="L4" i="1"/>
  <x:c r="L2" i="1"/>
  <x:c r="L159" i="1"/>
  <x:c r="L158" i="1"/>
  <x:c r="L156" i="1"/>
  <x:c r="L154" i="1"/>
  <x:c r="L152" i="1"/>
  <x:c r="L150" i="1"/>
  <x:c r="L148" i="1"/>
  <x:c r="L146" i="1"/>
  <x:c r="L144" i="1"/>
  <x:c r="L142" i="1"/>
  <x:c r="L140" i="1"/>
  <x:c r="L138" i="1"/>
  <x:c r="L136" i="1"/>
  <x:c r="L134" i="1"/>
  <x:c r="L132" i="1"/>
  <x:c r="L130" i="1"/>
  <x:c r="L128" i="1"/>
  <x:c r="L126" i="1"/>
  <x:c r="L124" i="1"/>
  <x:c r="L122" i="1"/>
  <x:c r="L120" i="1"/>
  <x:c r="L118" i="1"/>
  <x:c r="L116" i="1"/>
  <x:c r="L114" i="1"/>
  <x:c r="L112" i="1"/>
  <x:c r="L110" i="1"/>
  <x:c r="L108" i="1"/>
  <x:c r="L106" i="1"/>
  <x:c r="L104" i="1"/>
  <x:c r="L102" i="1"/>
  <x:c r="L100" i="1"/>
  <x:c r="L97" i="1"/>
  <x:c r="L95" i="1"/>
  <x:c r="L93" i="1"/>
  <x:c r="L91" i="1"/>
  <x:c r="L89" i="1"/>
  <x:c r="L87" i="1"/>
  <x:c r="L85" i="1"/>
  <x:c r="L83" i="1"/>
  <x:c r="L81" i="1"/>
  <x:c r="L79" i="1"/>
  <x:c r="L77" i="1"/>
  <x:c r="L75" i="1"/>
  <x:c r="L73" i="1"/>
  <x:c r="L71" i="1"/>
  <x:c r="L69" i="1"/>
  <x:c r="L67" i="1"/>
  <x:c r="L65" i="1"/>
  <x:c r="L63" i="1"/>
  <x:c r="L61" i="1"/>
  <x:c r="L59" i="1"/>
  <x:c r="L57" i="1"/>
  <x:c r="L55" i="1"/>
  <x:c r="L53" i="1"/>
  <x:c r="L51" i="1"/>
  <x:c r="L49" i="1"/>
  <x:c r="L47" i="1"/>
  <x:c r="L45" i="1"/>
  <x:c r="L43" i="1"/>
  <x:c r="L41" i="1"/>
  <x:c r="L39" i="1"/>
  <x:c r="L37" i="1"/>
  <x:c r="L35" i="1"/>
  <x:c r="L33" i="1"/>
  <x:c r="L31" i="1"/>
  <x:c r="L29" i="1"/>
  <x:c r="L27" i="1"/>
  <x:c r="L25" i="1"/>
  <x:c r="L23" i="1"/>
  <x:c r="L21" i="1"/>
  <x:c r="L19" i="1"/>
  <x:c r="L17" i="1"/>
  <x:c r="L15" i="1"/>
  <x:c r="L13" i="1"/>
  <x:c r="L11" i="1"/>
  <x:c r="L9" i="1"/>
  <x:c r="L7" i="1"/>
  <x:c r="L5" i="1"/>
  <x:c r="L3" i="1"/>
  <x:c r="K122" i="1"/>
  <x:c r="K93" i="1"/>
  <x:c r="K83" i="1"/>
  <x:c r="K71" i="1"/>
  <x:c r="K55" i="1"/>
  <x:c r="K43" i="1"/>
  <x:c r="K157" i="1"/>
  <x:c r="K155" i="1"/>
  <x:c r="K153" i="1"/>
  <x:c r="K151" i="1"/>
  <x:c r="K149" i="1"/>
  <x:c r="K147" i="1"/>
  <x:c r="K145" i="1"/>
  <x:c r="K143" i="1"/>
  <x:c r="K141" i="1"/>
  <x:c r="K139" i="1"/>
  <x:c r="K137" i="1"/>
  <x:c r="K135" i="1"/>
  <x:c r="K133" i="1"/>
  <x:c r="K131" i="1"/>
  <x:c r="K129" i="1"/>
  <x:c r="K127" i="1"/>
  <x:c r="K125" i="1"/>
  <x:c r="K123" i="1"/>
  <x:c r="K121" i="1"/>
  <x:c r="K119" i="1"/>
  <x:c r="K117" i="1"/>
  <x:c r="K115" i="1"/>
  <x:c r="K113" i="1"/>
  <x:c r="K111" i="1"/>
  <x:c r="K109" i="1"/>
  <x:c r="K107" i="1"/>
  <x:c r="K105" i="1"/>
  <x:c r="K103" i="1"/>
  <x:c r="K101" i="1"/>
  <x:c r="K99" i="1"/>
  <x:c r="K96" i="1"/>
  <x:c r="K94" i="1"/>
  <x:c r="K92" i="1"/>
  <x:c r="K90" i="1"/>
  <x:c r="K88" i="1"/>
  <x:c r="K86" i="1"/>
  <x:c r="K84" i="1"/>
  <x:c r="K82" i="1"/>
  <x:c r="K80" i="1"/>
  <x:c r="K78" i="1"/>
  <x:c r="K76" i="1"/>
  <x:c r="K74" i="1"/>
  <x:c r="K72" i="1"/>
  <x:c r="K70" i="1"/>
  <x:c r="K68" i="1"/>
  <x:c r="K66" i="1"/>
  <x:c r="K64" i="1"/>
  <x:c r="K62" i="1"/>
  <x:c r="K60" i="1"/>
  <x:c r="K58" i="1"/>
  <x:c r="K56" i="1"/>
  <x:c r="K54" i="1"/>
  <x:c r="K52" i="1"/>
  <x:c r="K50" i="1"/>
  <x:c r="K48" i="1"/>
  <x:c r="K46" i="1"/>
  <x:c r="K44" i="1"/>
  <x:c r="K42" i="1"/>
  <x:c r="K40" i="1"/>
  <x:c r="K38" i="1"/>
  <x:c r="K36" i="1"/>
  <x:c r="K34" i="1"/>
  <x:c r="K32" i="1"/>
  <x:c r="K30" i="1"/>
  <x:c r="K28" i="1"/>
  <x:c r="K26" i="1"/>
  <x:c r="K24" i="1"/>
  <x:c r="K22" i="1"/>
  <x:c r="K20" i="1"/>
  <x:c r="K18" i="1"/>
  <x:c r="K16" i="1"/>
  <x:c r="K14" i="1"/>
  <x:c r="K12" i="1"/>
  <x:c r="K10" i="1"/>
  <x:c r="K8" i="1"/>
  <x:c r="K6" i="1"/>
  <x:c r="K4" i="1"/>
  <x:c r="K2" i="1"/>
  <x:c r="K126" i="1"/>
  <x:c r="K91" i="1"/>
  <x:c r="K75" i="1"/>
  <x:c r="K57" i="1"/>
  <x:c r="K159" i="1"/>
  <x:c r="K124" i="1"/>
  <x:c r="K89" i="1"/>
  <x:c r="K77" i="1"/>
  <x:c r="K65" i="1"/>
  <x:c r="K53" i="1"/>
  <x:c r="K41" i="1"/>
  <x:c r="K128" i="1"/>
  <x:c r="K85" i="1"/>
  <x:c r="K73" i="1"/>
  <x:c r="K63" i="1"/>
  <x:c r="K49" i="1"/>
  <x:c r="K108" i="1"/>
  <x:c r="K81" i="1"/>
  <x:c r="K69" i="1"/>
  <x:c r="K61" i="1"/>
  <x:c r="K51" i="1"/>
  <x:c r="K47" i="1"/>
  <x:c r="K35" i="1"/>
  <x:c r="K158" i="1"/>
  <x:c r="K156" i="1"/>
  <x:c r="K154" i="1"/>
  <x:c r="K152" i="1"/>
  <x:c r="K150" i="1"/>
  <x:c r="K148" i="1"/>
  <x:c r="K146" i="1"/>
  <x:c r="K144" i="1"/>
  <x:c r="K142" i="1"/>
  <x:c r="K140" i="1"/>
  <x:c r="K138" i="1"/>
  <x:c r="K136" i="1"/>
  <x:c r="K134" i="1"/>
  <x:c r="K132" i="1"/>
  <x:c r="K130" i="1"/>
  <x:c r="K120" i="1"/>
  <x:c r="K118" i="1"/>
  <x:c r="K116" i="1"/>
  <x:c r="K114" i="1"/>
  <x:c r="K112" i="1"/>
  <x:c r="K110" i="1"/>
  <x:c r="K106" i="1"/>
  <x:c r="K104" i="1"/>
  <x:c r="K102" i="1"/>
  <x:c r="K100" i="1"/>
  <x:c r="K97" i="1"/>
  <x:c r="K95" i="1"/>
  <x:c r="K87" i="1"/>
  <x:c r="K79" i="1"/>
  <x:c r="K67" i="1"/>
  <x:c r="K59" i="1"/>
  <x:c r="K45" i="1"/>
  <x:c r="K39" i="1"/>
  <x:c r="K21" i="1"/>
  <x:c r="K13" i="1"/>
  <x:c r="K31" i="1"/>
  <x:c r="K9" i="1"/>
  <x:c r="K37" i="1"/>
  <x:c r="K17" i="1"/>
  <x:c r="K27" i="1"/>
  <x:c r="K3" i="1"/>
  <x:c r="K23" i="1"/>
  <x:c r="K33" i="1"/>
  <x:c r="K19" i="1"/>
  <x:c r="K11" i="1"/>
  <x:c r="K5" i="1"/>
  <x:c r="K25" i="1"/>
  <x:c r="K7" i="1"/>
  <x:c r="K15" i="1"/>
  <x:c r="K29" i="1"/>
  <x:c r="M23" i="1" l="1"/>
  <x:c r="M39" i="1"/>
  <x:c r="M55" i="1"/>
  <x:c r="M71" i="1"/>
  <x:c r="M87" i="1"/>
  <x:c r="M120" i="1"/>
  <x:c r="M136" i="1"/>
  <x:c r="M152" i="1"/>
  <x:c r="M10" i="1"/>
  <x:c r="M26" i="1"/>
  <x:c r="M42" i="1"/>
  <x:c r="M74" i="1"/>
  <x:c r="M90" i="1"/>
  <x:c r="M107" i="1"/>
  <x:c r="M123" i="1"/>
  <x:c r="M139" i="1"/>
  <x:c r="M155" i="1"/>
  <x:c r="M58" i="1"/>
  <x:c r="M9" i="1"/>
  <x:c r="M21" i="1"/>
  <x:c r="M53" i="1"/>
  <x:c r="M69" i="1"/>
  <x:c r="M85" i="1"/>
  <x:c r="M102" i="1"/>
  <x:c r="M118" i="1"/>
  <x:c r="M134" i="1"/>
  <x:c r="M150" i="1"/>
  <x:c r="M8" i="1"/>
  <x:c r="M24" i="1"/>
  <x:c r="M40" i="1"/>
  <x:c r="M56" i="1"/>
  <x:c r="M72" i="1"/>
  <x:c r="M88" i="1"/>
  <x:c r="M105" i="1"/>
  <x:c r="M121" i="1"/>
  <x:c r="M137" i="1"/>
  <x:c r="M153" i="1"/>
  <x:c r="L161" i="1"/>
  <x:c r="M20" i="1"/>
  <x:c r="M133" i="1"/>
  <x:c r="M7" i="1"/>
  <x:c r="M25" i="1"/>
  <x:c r="M41" i="1"/>
  <x:c r="M57" i="1"/>
  <x:c r="M73" i="1"/>
  <x:c r="M89" i="1"/>
  <x:c r="M106" i="1"/>
  <x:c r="M122" i="1"/>
  <x:c r="M138" i="1"/>
  <x:c r="M154" i="1"/>
  <x:c r="M12" i="1"/>
  <x:c r="M28" i="1"/>
  <x:c r="M44" i="1"/>
  <x:c r="M60" i="1"/>
  <x:c r="M76" i="1"/>
  <x:c r="M92" i="1"/>
  <x:c r="M125" i="1"/>
  <x:c r="M141" i="1"/>
  <x:c r="M157" i="1"/>
  <x:c r="M37" i="1"/>
  <x:c r="M11" i="1"/>
  <x:c r="M27" i="1"/>
  <x:c r="M43" i="1"/>
  <x:c r="M59" i="1"/>
  <x:c r="M75" i="1"/>
  <x:c r="M91" i="1"/>
  <x:c r="M108" i="1"/>
  <x:c r="M124" i="1"/>
  <x:c r="M140" i="1"/>
  <x:c r="M156" i="1"/>
  <x:c r="M14" i="1"/>
  <x:c r="M30" i="1"/>
  <x:c r="M46" i="1"/>
  <x:c r="M62" i="1"/>
  <x:c r="M78" i="1"/>
  <x:c r="M94" i="1"/>
  <x:c r="M111" i="1"/>
  <x:c r="M127" i="1"/>
  <x:c r="M143" i="1"/>
  <x:c r="M159" i="1"/>
  <x:c r="J161" i="1"/>
  <x:c r="M5" i="1"/>
  <x:c r="M2" i="1"/>
  <x:c r="M13" i="1"/>
  <x:c r="M29" i="1"/>
  <x:c r="M45" i="1"/>
  <x:c r="M61" i="1"/>
  <x:c r="M77" i="1"/>
  <x:c r="M93" i="1"/>
  <x:c r="M110" i="1"/>
  <x:c r="M126" i="1"/>
  <x:c r="M142" i="1"/>
  <x:c r="M158" i="1"/>
  <x:c r="M16" i="1"/>
  <x:c r="M32" i="1"/>
  <x:c r="M48" i="1"/>
  <x:c r="M64" i="1"/>
  <x:c r="M80" i="1"/>
  <x:c r="M96" i="1"/>
  <x:c r="M113" i="1"/>
  <x:c r="M129" i="1"/>
  <x:c r="M145" i="1"/>
  <x:c r="M104" i="1"/>
  <x:c r="M15" i="1"/>
  <x:c r="M31" i="1"/>
  <x:c r="M47" i="1"/>
  <x:c r="M63" i="1"/>
  <x:c r="M79" i="1"/>
  <x:c r="M95" i="1"/>
  <x:c r="M112" i="1"/>
  <x:c r="M128" i="1"/>
  <x:c r="I161" i="1"/>
  <x:c r="M18" i="1"/>
  <x:c r="M34" i="1"/>
  <x:c r="M50" i="1"/>
  <x:c r="M66" i="1"/>
  <x:c r="M82" i="1"/>
  <x:c r="M99" i="1"/>
  <x:c r="M115" i="1"/>
  <x:c r="M131" i="1"/>
  <x:c r="M147" i="1"/>
  <x:c r="K161" i="1"/>
  <x:c r="M109" i="1"/>
  <x:c r="M17" i="1"/>
  <x:c r="M33" i="1"/>
  <x:c r="M49" i="1"/>
  <x:c r="M65" i="1"/>
  <x:c r="M81" i="1"/>
  <x:c r="M97" i="1"/>
  <x:c r="M114" i="1"/>
  <x:c r="M130" i="1"/>
  <x:c r="M146" i="1"/>
  <x:c r="M4" i="1"/>
  <x:c r="M36" i="1"/>
  <x:c r="M52" i="1"/>
  <x:c r="M68" i="1"/>
  <x:c r="M84" i="1"/>
  <x:c r="M101" i="1"/>
  <x:c r="M117" i="1"/>
  <x:c r="M149" i="1"/>
  <x:c r="M144" i="1"/>
  <x:c r="M3" i="1"/>
  <x:c r="M19" i="1"/>
  <x:c r="M35" i="1"/>
  <x:c r="M51" i="1"/>
  <x:c r="M67" i="1"/>
  <x:c r="M83" i="1"/>
  <x:c r="M100" i="1"/>
  <x:c r="M116" i="1"/>
  <x:c r="M132" i="1"/>
  <x:c r="M148" i="1"/>
  <x:c r="M6" i="1"/>
  <x:c r="M22" i="1"/>
  <x:c r="M38" i="1"/>
  <x:c r="M54" i="1"/>
  <x:c r="M70" i="1"/>
  <x:c r="M86" i="1"/>
  <x:c r="M103" i="1"/>
  <x:c r="M119" i="1"/>
  <x:c r="M135" i="1"/>
  <x:c r="M151" i="1"/>
  <x:c r="M161" i="1" l="1"/>
</x:calcChain>
</file>

<file path=xl/sharedStrings.xml><?xml version="1.0" encoding="utf-8"?>
<sst xmlns="http://schemas.openxmlformats.org/spreadsheetml/2006/main" count="975" uniqueCount="219">
  <si>
    <t>LEASED: 777 Main St - Ft Worth</t>
  </si>
  <si>
    <t>L000777</t>
  </si>
  <si>
    <t>2021</t>
  </si>
  <si>
    <t>1010798</t>
  </si>
  <si>
    <t>TRAN</t>
  </si>
  <si>
    <t>2020</t>
  </si>
  <si>
    <t>LEASED: Lubbock 4415 Idalou Rd</t>
  </si>
  <si>
    <t>L000056</t>
  </si>
  <si>
    <t>2022</t>
  </si>
  <si>
    <t>Leased:260 Gilbert Road WH</t>
  </si>
  <si>
    <t>L000055</t>
  </si>
  <si>
    <t>2019</t>
  </si>
  <si>
    <t>LEASED:Forney 905 E. Broad St.</t>
  </si>
  <si>
    <t>L000003</t>
  </si>
  <si>
    <t>2018</t>
  </si>
  <si>
    <t>Windom Repeater</t>
  </si>
  <si>
    <t>0007918</t>
  </si>
  <si>
    <t>Van Alystyne Repeater</t>
  </si>
  <si>
    <t>0007916</t>
  </si>
  <si>
    <t>Valley SES</t>
  </si>
  <si>
    <t>0007914</t>
  </si>
  <si>
    <t>Temple T&amp;D Satellite</t>
  </si>
  <si>
    <t>0007902</t>
  </si>
  <si>
    <t>Sulphur Springs</t>
  </si>
  <si>
    <t>0007896</t>
  </si>
  <si>
    <t>River Crest SES</t>
  </si>
  <si>
    <t>0007882</t>
  </si>
  <si>
    <t>Paris Switch</t>
  </si>
  <si>
    <t>0007876</t>
  </si>
  <si>
    <t>Northeast Service Center</t>
  </si>
  <si>
    <t>0007866</t>
  </si>
  <si>
    <t>Monticello Microwave</t>
  </si>
  <si>
    <t>0007860</t>
  </si>
  <si>
    <t>Mesquite DPC</t>
  </si>
  <si>
    <t>0007856</t>
  </si>
  <si>
    <t>Merit Repeater</t>
  </si>
  <si>
    <t>0007854</t>
  </si>
  <si>
    <t>McKinney Microwave</t>
  </si>
  <si>
    <t>0007852</t>
  </si>
  <si>
    <t>Lancaster, Toc</t>
  </si>
  <si>
    <t>0007847</t>
  </si>
  <si>
    <t>Lake Dallas Service Center</t>
  </si>
  <si>
    <t>0007844</t>
  </si>
  <si>
    <t>Greenwood Repeater</t>
  </si>
  <si>
    <t>0007830</t>
  </si>
  <si>
    <t>Sherman Microwave</t>
  </si>
  <si>
    <t>0007827</t>
  </si>
  <si>
    <t>Plano Parkway Microwave</t>
  </si>
  <si>
    <t>0007823</t>
  </si>
  <si>
    <t>TGM Microwave</t>
  </si>
  <si>
    <t>0007815</t>
  </si>
  <si>
    <t>North Lake SES Microwave</t>
  </si>
  <si>
    <t>0007813</t>
  </si>
  <si>
    <t>Commerce Switch</t>
  </si>
  <si>
    <t>0007812</t>
  </si>
  <si>
    <t>Collin SES</t>
  </si>
  <si>
    <t>0007810</t>
  </si>
  <si>
    <t>Irving Microwave</t>
  </si>
  <si>
    <t>0007808</t>
  </si>
  <si>
    <t>1616 Woodall Rodgers</t>
  </si>
  <si>
    <t>0005020</t>
  </si>
  <si>
    <t>2024</t>
  </si>
  <si>
    <t>2023</t>
  </si>
  <si>
    <t>Transmission Grid Management</t>
  </si>
  <si>
    <t>0004932</t>
  </si>
  <si>
    <t>System Materials Center,Ligget</t>
  </si>
  <si>
    <t>0003886</t>
  </si>
  <si>
    <t>Sulphur Springs Transmission</t>
  </si>
  <si>
    <t>0003882</t>
  </si>
  <si>
    <t>Irving Serv Ctr,2525 W. Story</t>
  </si>
  <si>
    <t>0003460</t>
  </si>
  <si>
    <t>T&amp;D Complex,100 N. Irving Hgts</t>
  </si>
  <si>
    <t>0003120</t>
  </si>
  <si>
    <t>North Fort Worth Transmission</t>
  </si>
  <si>
    <t>0002528</t>
  </si>
  <si>
    <t>Amarillo Trans Service Center</t>
  </si>
  <si>
    <t>0002450</t>
  </si>
  <si>
    <t>Graham Transmission</t>
  </si>
  <si>
    <t>0002438</t>
  </si>
  <si>
    <t>Sweetwater T&amp;D Service Center</t>
  </si>
  <si>
    <t>0002430</t>
  </si>
  <si>
    <t>Big Spring Service Center</t>
  </si>
  <si>
    <t>0002420</t>
  </si>
  <si>
    <t>Wichita Falls 1900 Jacksboro H</t>
  </si>
  <si>
    <t>0002310</t>
  </si>
  <si>
    <t>Fort Worth Operations Center</t>
  </si>
  <si>
    <t>0002010</t>
  </si>
  <si>
    <t>Electric Service Building</t>
  </si>
  <si>
    <t>0002000</t>
  </si>
  <si>
    <t>N006800</t>
  </si>
  <si>
    <t>NTUSU</t>
  </si>
  <si>
    <t>DIST</t>
  </si>
  <si>
    <t>Mexia Distributuion</t>
  </si>
  <si>
    <t>0005140</t>
  </si>
  <si>
    <t>Jacksonville Service Center</t>
  </si>
  <si>
    <t>0005122</t>
  </si>
  <si>
    <t>Waco Service Center</t>
  </si>
  <si>
    <t>0003911</t>
  </si>
  <si>
    <t>Waxahachie Service Center</t>
  </si>
  <si>
    <t>0003903</t>
  </si>
  <si>
    <t>Tyler Service Center</t>
  </si>
  <si>
    <t>0003898</t>
  </si>
  <si>
    <t>Denison and Texoma Distributio</t>
  </si>
  <si>
    <t>0003894</t>
  </si>
  <si>
    <t>Terrell Service Center</t>
  </si>
  <si>
    <t>0003893</t>
  </si>
  <si>
    <t>Taylor Distribution</t>
  </si>
  <si>
    <t>0003891</t>
  </si>
  <si>
    <t>Temple Distribution</t>
  </si>
  <si>
    <t>0003889</t>
  </si>
  <si>
    <t>System Operating Serv Facility</t>
  </si>
  <si>
    <t>0003883</t>
  </si>
  <si>
    <t>Stephenville Customer Opr</t>
  </si>
  <si>
    <t>0003880</t>
  </si>
  <si>
    <t>Sulphur Springs Service Center</t>
  </si>
  <si>
    <t>0003870</t>
  </si>
  <si>
    <t>Round Rock Service Center</t>
  </si>
  <si>
    <t>0003820</t>
  </si>
  <si>
    <t>Paris Service Center</t>
  </si>
  <si>
    <t>0003760</t>
  </si>
  <si>
    <t>Palestine Service Center</t>
  </si>
  <si>
    <t>0003740</t>
  </si>
  <si>
    <t>Nacogdoches Customer Operation</t>
  </si>
  <si>
    <t>0003680</t>
  </si>
  <si>
    <t>Mineral Wells Distribution</t>
  </si>
  <si>
    <t>0003670</t>
  </si>
  <si>
    <t>Mesquite Service Center</t>
  </si>
  <si>
    <t>0003640</t>
  </si>
  <si>
    <t>Celeste Service Center</t>
  </si>
  <si>
    <t>0003627</t>
  </si>
  <si>
    <t>McKinney SC Hwy 121</t>
  </si>
  <si>
    <t>0003621</t>
  </si>
  <si>
    <t>Lufkin Service Center</t>
  </si>
  <si>
    <t>0003580</t>
  </si>
  <si>
    <t>Desoto Service Center</t>
  </si>
  <si>
    <t>0003560</t>
  </si>
  <si>
    <t>0003540</t>
  </si>
  <si>
    <t>Killeen Distribution</t>
  </si>
  <si>
    <t>0003520</t>
  </si>
  <si>
    <t>Hillsboro Service Center</t>
  </si>
  <si>
    <t>0003440</t>
  </si>
  <si>
    <t>Gainsville Service Center</t>
  </si>
  <si>
    <t>0003381</t>
  </si>
  <si>
    <t>Farmers Branch Service Center</t>
  </si>
  <si>
    <t>0003340</t>
  </si>
  <si>
    <t>HEB - Bedford</t>
  </si>
  <si>
    <t>0003320</t>
  </si>
  <si>
    <t>Decatur Customer Operations</t>
  </si>
  <si>
    <t>0003240</t>
  </si>
  <si>
    <t>Corsicana Service Center</t>
  </si>
  <si>
    <t>0003210</t>
  </si>
  <si>
    <t>Cleburne Service Center</t>
  </si>
  <si>
    <t>0003150</t>
  </si>
  <si>
    <t>Brownwood Distribution</t>
  </si>
  <si>
    <t>0003060</t>
  </si>
  <si>
    <t>Brady Service Center</t>
  </si>
  <si>
    <t>0003055</t>
  </si>
  <si>
    <t>Bonham Distribution</t>
  </si>
  <si>
    <t>0003040</t>
  </si>
  <si>
    <t>Athens Service Center</t>
  </si>
  <si>
    <t>0003020</t>
  </si>
  <si>
    <t>HUB Central Warehouse</t>
  </si>
  <si>
    <t>0002525</t>
  </si>
  <si>
    <t>Snyder Service Center</t>
  </si>
  <si>
    <t>0002431</t>
  </si>
  <si>
    <t>Stanton Service Center</t>
  </si>
  <si>
    <t>0002417</t>
  </si>
  <si>
    <t>Monahans Service Center</t>
  </si>
  <si>
    <t>0002412</t>
  </si>
  <si>
    <t>Odessa Service Center</t>
  </si>
  <si>
    <t>0002411</t>
  </si>
  <si>
    <t>Midland Service Center</t>
  </si>
  <si>
    <t>0002410</t>
  </si>
  <si>
    <t>Graham Distribution</t>
  </si>
  <si>
    <t>0002322</t>
  </si>
  <si>
    <t>Eastland T&amp;D Center</t>
  </si>
  <si>
    <t>0002320</t>
  </si>
  <si>
    <t>Wichita Falls 1905 Bluff St</t>
  </si>
  <si>
    <t>0002308</t>
  </si>
  <si>
    <t>Trinity Warehouse, Ft Worth</t>
  </si>
  <si>
    <t>0002073</t>
  </si>
  <si>
    <t>Ft Worth Serv Ctr (Benbrook)</t>
  </si>
  <si>
    <t>0002072</t>
  </si>
  <si>
    <t>FW-North North Service Center</t>
  </si>
  <si>
    <t>0002037</t>
  </si>
  <si>
    <t>East Service Center, Arlington</t>
  </si>
  <si>
    <t>0002036</t>
  </si>
  <si>
    <t>Ft Worth 2109 E 4th St</t>
  </si>
  <si>
    <t>0002005</t>
  </si>
  <si>
    <t>Dallas North</t>
  </si>
  <si>
    <t>0000985</t>
  </si>
  <si>
    <t>Dallas Southwest Service Ctr</t>
  </si>
  <si>
    <t>0000965</t>
  </si>
  <si>
    <t>Ne. Serv Center &amp; Warehouse #5</t>
  </si>
  <si>
    <t>0000964</t>
  </si>
  <si>
    <t>TDCS</t>
  </si>
  <si>
    <t>MET</t>
  </si>
  <si>
    <t>Adjusted T&amp;D Electric</t>
  </si>
  <si>
    <t>Allocation Methodology</t>
  </si>
  <si>
    <t>Location Description</t>
  </si>
  <si>
    <t>Location</t>
  </si>
  <si>
    <t>Vintage</t>
  </si>
  <si>
    <t>Ledger Account</t>
  </si>
  <si>
    <t>FERC Account</t>
  </si>
  <si>
    <t>Business Unit</t>
  </si>
  <si>
    <t>Allocate based on Intangible Investment</t>
  </si>
  <si>
    <t>Allocation to Texas</t>
  </si>
  <si>
    <t>NTU TRAN</t>
  </si>
  <si>
    <t>DC TIE</t>
  </si>
  <si>
    <t>Consol TRAN</t>
  </si>
  <si>
    <t>NTU DIST</t>
  </si>
  <si>
    <t>Consol DIST</t>
  </si>
  <si>
    <t>Miscellaneous Intangible Plant (303) from Schedule II-B-1 Line 4</t>
  </si>
  <si>
    <t>Computer Software (351.2) from Schedule II-B-1 Line 12</t>
  </si>
  <si>
    <t>Computer Software (363.2) from Schedule II-B-1 Line 30</t>
  </si>
  <si>
    <t>Computer Software (397.2) from Schedule II-B-3 Line 3</t>
  </si>
  <si>
    <t>Total Intangible Plant and Computer Software</t>
  </si>
  <si>
    <t>Computer Equipment</t>
  </si>
  <si>
    <t>Direct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</si>
</sst>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6">
    <font>
      <sz val="10"/>
      <name val="Arial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6">
    <xf numFmtId="0" fontId="0" fillId="0" borderId="0" xfId="0"/>
    <xf numFmtId="0" fontId="3" fillId="0" borderId="0" xfId="0" applyFont="1" applyAlignment="1">
      <alignment horizontal="center"/>
    </xf>
    <xf numFmtId="40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0" xfId="2" applyFont="1"/>
    <xf numFmtId="40" fontId="3" fillId="0" borderId="0" xfId="0" applyNumberFormat="1" applyFont="1" applyAlignment="1">
      <alignment horizontal="center"/>
    </xf>
    <xf numFmtId="0" fontId="5" fillId="0" borderId="0" xfId="2" applyFont="1" applyAlignment="1">
      <alignment horizontal="center"/>
    </xf>
    <xf numFmtId="40" fontId="4" fillId="0" borderId="0" xfId="0" applyNumberFormat="1" applyFont="1" applyAlignment="1">
      <alignment horizontal="center" wrapText="1"/>
    </xf>
    <xf numFmtId="40" fontId="3" fillId="0" borderId="0" xfId="0" applyNumberFormat="1" applyFont="1"/>
    <xf numFmtId="10" fontId="4" fillId="0" borderId="0" xfId="1" applyNumberFormat="1" applyFont="1" applyAlignment="1">
      <alignment horizontal="center"/>
    </xf>
    <xf numFmtId="10" fontId="0" fillId="0" borderId="0" xfId="0" applyNumberFormat="1"/>
    <xf numFmtId="39" fontId="3" fillId="0" borderId="2" xfId="0" applyNumberFormat="1" applyFont="1" applyBorder="1"/>
    <xf numFmtId="39" fontId="3" fillId="0" borderId="0" xfId="0" applyNumberFormat="1" applyFont="1" applyBorder="1"/>
    <xf numFmtId="39" fontId="0" fillId="0" borderId="0" xfId="0" applyNumberFormat="1"/>
    <xf numFmtId="0" fontId="4" fillId="0" borderId="0" xfId="0" applyFont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wrapText="1"/>
    </xf>
    <xf numFmtId="4" fontId="3" fillId="0" borderId="0" xfId="0" applyNumberFormat="1" applyFont="1" applyBorder="1"/>
    <xf numFmtId="0" fontId="0" fillId="0" borderId="0" xfId="0" applyAlignment="1"/>
    <xf numFmtId="0" fontId="4" fillId="0" borderId="0" xfId="0" applyFont="1" applyAlignment="1">
      <alignment horizontal="right"/>
    </xf>
    <xf numFmtId="40" fontId="4" fillId="0" borderId="0" xfId="0" applyNumberFormat="1" applyFont="1" applyAlignment="1">
      <alignment horizontal="right"/>
    </xf>
    <xf numFmtId="39" fontId="5" fillId="0" borderId="0" xfId="2" applyNumberFormat="1" applyFont="1"/>
    <xf numFmtId="39" fontId="3" fillId="0" borderId="0" xfId="0" applyNumberFormat="1" applyFont="1"/>
    <xf numFmtId="164" fontId="4" fillId="0" borderId="0" xfId="1" applyNumberFormat="1" applyFont="1"/>
    <xf numFmtId="39" fontId="4" fillId="0" borderId="0" xfId="1" applyNumberFormat="1" applyFont="1" applyAlignment="1">
      <alignment horizontal="center"/>
    </xf>
    <xf numFmtId="164" fontId="3" fillId="0" borderId="0" xfId="1" applyNumberFormat="1" applyFont="1"/>
  </cellXfs>
  <cellStyles count="3">
    <cellStyle name="Normal" xfId="0" builtinId="0"/>
    <cellStyle name="Normal 4" xfId="2" xr:uid="{AC1CC893-0862-4A0D-934B-5B448FF3EAD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5F8B859-9285-4661-AD95-9B0219B420F4}" mc:Ignorable="x14ac xr xr2 xr3">
  <x:sheetPr>
    <x:pageSetUpPr fitToPage="1"/>
  </x:sheetPr>
  <x:dimension ref="A1:R181"/>
  <x:sheetViews>
    <x:sheetView tabSelected="1" topLeftCell="D1" zoomScaleNormal="100" zoomScaleSheetLayoutView="70" workbookViewId="0">
      <x:pane ySplit="1" topLeftCell="A149" activePane="bottomLeft" state="frozen"/>
      <x:selection pane="bottomLeft" activeCell="N177" sqref="N177"/>
    </x:sheetView>
  </x:sheetViews>
  <x:sheetFormatPr defaultRowHeight="12.9"/>
  <x:cols>
    <x:col min="1" max="1" width="15.125" customWidth="1"/>
    <x:col min="2" max="2" width="11.125" customWidth="1"/>
    <x:col min="3" max="3" width="46.75" customWidth="1"/>
    <x:col min="4" max="4" width="23.25" bestFit="1" customWidth="1"/>
    <x:col min="5" max="5" width="19.125" bestFit="1" customWidth="1"/>
    <x:col min="6" max="6" width="17.25" bestFit="1" customWidth="1"/>
    <x:col min="7" max="7" width="36.375" bestFit="1" customWidth="1"/>
    <x:col min="8" max="8" width="20.25" bestFit="1" customWidth="1"/>
    <x:col min="9" max="9" width="17.25" bestFit="1" customWidth="1"/>
    <x:col min="10" max="10" width="11.875" bestFit="1" customWidth="1"/>
    <x:col min="11" max="12" width="17.25" bestFit="1" customWidth="1"/>
    <x:col min="13" max="13" width="17.25" customWidth="1"/>
    <x:col min="14" max="14" width="11.25" style="13" bestFit="1" customWidth="1"/>
  </x:cols>
  <x:sheetData>
    <x:row r="1" spans="1:18" ht="31.25">
      <x:c r="A1" s="3" t="s">
        <x:v>204</x:v>
      </x:c>
      <x:c r="B1" s="3" t="s">
        <x:v>203</x:v>
      </x:c>
      <x:c r="C1" s="2" t="s">
        <x:v>198</x:v>
      </x:c>
      <x:c r="D1" s="3" t="s">
        <x:v>202</x:v>
      </x:c>
      <x:c r="E1" s="3" t="s">
        <x:v>201</x:v>
      </x:c>
      <x:c r="F1" s="3" t="s">
        <x:v>200</x:v>
      </x:c>
      <x:c r="G1" s="3" t="s">
        <x:v>199</x:v>
      </x:c>
      <x:c r="H1" s="2" t="s">
        <x:v>197</x:v>
      </x:c>
      <x:c r="I1" s="2" t="s">
        <x:v>4</x:v>
      </x:c>
      <x:c r="J1" s="2" t="s">
        <x:v>207</x:v>
      </x:c>
      <x:c r="K1" s="2" t="s">
        <x:v>91</x:v>
      </x:c>
      <x:c r="L1" s="2" t="s">
        <x:v>196</x:v>
      </x:c>
      <x:c r="M1" s="2" t="s">
        <x:v>195</x:v>
      </x:c>
    </x:row>
    <x:row r="2" spans="1:18" ht="15.65">
      <x:c r="A2" s="1" t="s">
        <x:v>91</x:v>
      </x:c>
      <x:c r="B2" s="6">
        <x:v>397.1</x:v>
      </x:c>
      <x:c r="C2" s="5" t="s">
        <x:v>205</x:v>
      </x:c>
      <x:c r="D2" s="6" t="s">
        <x:v>3</x:v>
      </x:c>
      <x:c r="E2" s="6" t="s">
        <x:v>5</x:v>
      </x:c>
      <x:c r="F2" s="6" t="s">
        <x:v>194</x:v>
      </x:c>
      <x:c r="G2" s="4" t="s">
        <x:v>193</x:v>
      </x:c>
      <x:c r="H2" s="21">
        <x:v>3236.31</x:v>
      </x:c>
      <x:c r="I2" s="21">
        <x:f>ROUND(H2*$E$177,2)</x:f>
        <x:v>800.63</x:v>
      </x:c>
      <x:c r="J2" s="22">
        <x:f>ROUND(H2*$F$177,2)</x:f>
        <x:v>0</x:v>
      </x:c>
      <x:c r="K2" s="21">
        <x:f>ROUND(H2*$I$177,2)</x:f>
        <x:v>1294.94</x:v>
      </x:c>
      <x:c r="L2" s="21">
        <x:f>ROUND(H2*$L$177,2)</x:f>
        <x:v>312.56</x:v>
      </x:c>
      <x:c r="M2" s="21">
        <x:f t="shared" ref="M2" si="0">H2-I2-J2-K2-L2</x:f>
        <x:v>828.17999999999984</x:v>
      </x:c>
      <x:c r="N2" s="21"/>
      <x:c r="O2" s="4"/>
      <x:c r="P2" s="4"/>
      <x:c r="Q2" s="4"/>
      <x:c r="R2" s="4"/>
    </x:row>
    <x:row r="3" spans="1:18" ht="15.65">
      <x:c r="A3" s="1" t="s">
        <x:v>91</x:v>
      </x:c>
      <x:c r="B3" s="6">
        <x:v>397.1</x:v>
      </x:c>
      <x:c r="C3" s="5" t="s">
        <x:v>205</x:v>
      </x:c>
      <x:c r="D3" s="6" t="s">
        <x:v>3</x:v>
      </x:c>
      <x:c r="E3" s="6" t="s">
        <x:v>2</x:v>
      </x:c>
      <x:c r="F3" s="6" t="s">
        <x:v>194</x:v>
      </x:c>
      <x:c r="G3" s="4" t="s">
        <x:v>193</x:v>
      </x:c>
      <x:c r="H3" s="21">
        <x:v>2028.22</x:v>
      </x:c>
      <x:c r="I3" s="21">
        <x:f>ROUND(H3*$E$177,2)</x:f>
        <x:v>501.76</x:v>
      </x:c>
      <x:c r="J3" s="22">
        <x:f>ROUND(H3*$F$177,2)</x:f>
        <x:v>0</x:v>
      </x:c>
      <x:c r="K3" s="21">
        <x:f>ROUND(H3*$I$177,2)</x:f>
        <x:v>811.55</x:v>
      </x:c>
      <x:c r="L3" s="21">
        <x:f>ROUND(H3*$L$177,2)</x:f>
        <x:v>195.89</x:v>
      </x:c>
      <x:c r="M3" s="21">
        <x:f t="shared" ref="M3:M66" si="1">H3-I3-J3-K3-L3</x:f>
        <x:v>519.0200000000001</x:v>
      </x:c>
      <x:c r="N3" s="21"/>
      <x:c r="O3" s="4"/>
      <x:c r="P3" s="4"/>
      <x:c r="Q3" s="4"/>
      <x:c r="R3" s="4"/>
    </x:row>
    <x:row r="4" spans="1:18" ht="15.65">
      <x:c r="A4" s="1" t="s">
        <x:v>91</x:v>
      </x:c>
      <x:c r="B4" s="6">
        <x:v>397.1</x:v>
      </x:c>
      <x:c r="C4" s="5" t="s">
        <x:v>205</x:v>
      </x:c>
      <x:c r="D4" s="6" t="s">
        <x:v>3</x:v>
      </x:c>
      <x:c r="E4" s="6" t="s">
        <x:v>62</x:v>
      </x:c>
      <x:c r="F4" s="6" t="s">
        <x:v>194</x:v>
      </x:c>
      <x:c r="G4" s="4" t="s">
        <x:v>193</x:v>
      </x:c>
      <x:c r="H4" s="21">
        <x:v>8986.4699999999993</x:v>
      </x:c>
      <x:c r="I4" s="21">
        <x:f>ROUND(H4*$E$177,2)</x:f>
        <x:v>2223.16</x:v>
      </x:c>
      <x:c r="J4" s="22">
        <x:f>ROUND(H4*$F$177,2)</x:f>
        <x:v>0</x:v>
      </x:c>
      <x:c r="K4" s="21">
        <x:f>ROUND(H4*$I$177,2)</x:f>
        <x:v>3595.76</x:v>
      </x:c>
      <x:c r="L4" s="21">
        <x:f>ROUND(H4*$L$177,2)</x:f>
        <x:v>867.91</x:v>
      </x:c>
      <x:c r="M4" s="21">
        <x:f t="shared" si="1"/>
        <x:v>2299.6399999999994</x:v>
      </x:c>
      <x:c r="N4" s="21"/>
      <x:c r="O4" s="4"/>
      <x:c r="P4" s="4"/>
      <x:c r="Q4" s="4"/>
      <x:c r="R4" s="4"/>
    </x:row>
    <x:row r="5" spans="1:18" ht="15.65">
      <x:c r="A5" s="1" t="s">
        <x:v>91</x:v>
      </x:c>
      <x:c r="B5" s="6">
        <x:v>397.1</x:v>
      </x:c>
      <x:c r="C5" s="5" t="s">
        <x:v>205</x:v>
      </x:c>
      <x:c r="D5" s="6" t="s">
        <x:v>3</x:v>
      </x:c>
      <x:c r="E5" s="6" t="s">
        <x:v>5</x:v>
      </x:c>
      <x:c r="F5" s="6" t="s">
        <x:v>192</x:v>
      </x:c>
      <x:c r="G5" s="4" t="s">
        <x:v>191</x:v>
      </x:c>
      <x:c r="H5" s="21">
        <x:v>9045.3700000000008</x:v>
      </x:c>
      <x:c r="I5" s="21">
        <x:f>ROUND(H5*$E$177,2)</x:f>
        <x:v>2237.73</x:v>
      </x:c>
      <x:c r="J5" s="22">
        <x:f>ROUND(H5*$F$177,2)</x:f>
        <x:v>0</x:v>
      </x:c>
      <x:c r="K5" s="21">
        <x:f>ROUND(H5*$I$177,2)</x:f>
        <x:v>3619.32</x:v>
      </x:c>
      <x:c r="L5" s="21">
        <x:f>ROUND(H5*$L$177,2)</x:f>
        <x:v>873.6</x:v>
      </x:c>
      <x:c r="M5" s="21">
        <x:f t="shared" si="1"/>
        <x:v>2314.7200000000012</x:v>
      </x:c>
      <x:c r="N5" s="21"/>
      <x:c r="O5" s="4"/>
      <x:c r="P5" s="4"/>
      <x:c r="Q5" s="4"/>
      <x:c r="R5" s="4"/>
    </x:row>
    <x:row r="6" spans="1:18" ht="15.65">
      <x:c r="A6" s="1" t="s">
        <x:v>91</x:v>
      </x:c>
      <x:c r="B6" s="6">
        <x:v>397.1</x:v>
      </x:c>
      <x:c r="C6" s="5" t="s">
        <x:v>205</x:v>
      </x:c>
      <x:c r="D6" s="6" t="s">
        <x:v>3</x:v>
      </x:c>
      <x:c r="E6" s="6" t="s">
        <x:v>62</x:v>
      </x:c>
      <x:c r="F6" s="6" t="s">
        <x:v>192</x:v>
      </x:c>
      <x:c r="G6" s="4" t="s">
        <x:v>191</x:v>
      </x:c>
      <x:c r="H6" s="21">
        <x:v>15726.33</x:v>
      </x:c>
      <x:c r="I6" s="21">
        <x:f>ROUND(H6*$E$177,2)</x:f>
        <x:v>3890.54</x:v>
      </x:c>
      <x:c r="J6" s="22">
        <x:f>ROUND(H6*$F$177,2)</x:f>
        <x:v>0</x:v>
      </x:c>
      <x:c r="K6" s="21">
        <x:f>ROUND(H6*$I$177,2)</x:f>
        <x:v>6292.58</x:v>
      </x:c>
      <x:c r="L6" s="21">
        <x:f>ROUND(H6*$L$177,2)</x:f>
        <x:v>1518.85</x:v>
      </x:c>
      <x:c r="M6" s="21">
        <x:f t="shared" si="1"/>
        <x:v>4024.360000000001</x:v>
      </x:c>
      <x:c r="N6" s="21"/>
      <x:c r="O6" s="4"/>
      <x:c r="P6" s="4"/>
      <x:c r="Q6" s="4"/>
      <x:c r="R6" s="4"/>
    </x:row>
    <x:row r="7" spans="1:18" ht="15.65">
      <x:c r="A7" s="1" t="s">
        <x:v>91</x:v>
      </x:c>
      <x:c r="B7" s="6">
        <x:v>397.1</x:v>
      </x:c>
      <x:c r="C7" s="5" t="s">
        <x:v>205</x:v>
      </x:c>
      <x:c r="D7" s="6" t="s">
        <x:v>3</x:v>
      </x:c>
      <x:c r="E7" s="6" t="s">
        <x:v>62</x:v>
      </x:c>
      <x:c r="F7" s="6" t="s">
        <x:v>190</x:v>
      </x:c>
      <x:c r="G7" s="4" t="s">
        <x:v>189</x:v>
      </x:c>
      <x:c r="H7" s="21">
        <x:v>6739.85</x:v>
      </x:c>
      <x:c r="I7" s="21">
        <x:f>ROUND(H7*$E$177,2)</x:f>
        <x:v>1667.37</x:v>
      </x:c>
      <x:c r="J7" s="22">
        <x:f>ROUND(H7*$F$177,2)</x:f>
        <x:v>0</x:v>
      </x:c>
      <x:c r="K7" s="21">
        <x:f>ROUND(H7*$I$177,2)</x:f>
        <x:v>2696.82</x:v>
      </x:c>
      <x:c r="L7" s="21">
        <x:f>ROUND(H7*$L$177,2)</x:f>
        <x:v>650.92999999999995</x:v>
      </x:c>
      <x:c r="M7" s="21">
        <x:f t="shared" si="1"/>
        <x:v>1724.7300000000005</x:v>
      </x:c>
      <x:c r="N7" s="21"/>
      <x:c r="O7" s="4"/>
      <x:c r="P7" s="4"/>
      <x:c r="Q7" s="4"/>
      <x:c r="R7" s="4"/>
    </x:row>
    <x:row r="8" spans="1:18" ht="15.65">
      <x:c r="A8" s="1" t="s">
        <x:v>91</x:v>
      </x:c>
      <x:c r="B8" s="6">
        <x:v>397.1</x:v>
      </x:c>
      <x:c r="C8" s="5" t="s">
        <x:v>205</x:v>
      </x:c>
      <x:c r="D8" s="6" t="s">
        <x:v>3</x:v>
      </x:c>
      <x:c r="E8" s="6" t="s">
        <x:v>14</x:v>
      </x:c>
      <x:c r="F8" s="6" t="s">
        <x:v>88</x:v>
      </x:c>
      <x:c r="G8" s="4" t="s">
        <x:v>87</x:v>
      </x:c>
      <x:c r="H8" s="21">
        <x:v>9090.2000000000007</x:v>
      </x:c>
      <x:c r="I8" s="21">
        <x:f>ROUND(H8*$E$177,2)</x:f>
        <x:v>2248.8200000000002</x:v>
      </x:c>
      <x:c r="J8" s="22">
        <x:f>ROUND(H8*$F$177,2)</x:f>
        <x:v>0</x:v>
      </x:c>
      <x:c r="K8" s="21">
        <x:f>ROUND(H8*$I$177,2)</x:f>
        <x:v>3637.26</x:v>
      </x:c>
      <x:c r="L8" s="21">
        <x:f>ROUND(H8*$L$177,2)</x:f>
        <x:v>877.93</x:v>
      </x:c>
      <x:c r="M8" s="21">
        <x:f t="shared" si="1"/>
        <x:v>2326.190000000001</x:v>
      </x:c>
      <x:c r="N8" s="21"/>
      <x:c r="O8" s="4"/>
      <x:c r="P8" s="4"/>
      <x:c r="Q8" s="4"/>
      <x:c r="R8" s="4"/>
    </x:row>
    <x:row r="9" spans="1:18" ht="15.65">
      <x:c r="A9" s="1" t="s">
        <x:v>91</x:v>
      </x:c>
      <x:c r="B9" s="6">
        <x:v>397.1</x:v>
      </x:c>
      <x:c r="C9" s="5" t="s">
        <x:v>205</x:v>
      </x:c>
      <x:c r="D9" s="6" t="s">
        <x:v>3</x:v>
      </x:c>
      <x:c r="E9" s="6" t="s">
        <x:v>5</x:v>
      </x:c>
      <x:c r="F9" s="6" t="s">
        <x:v>88</x:v>
      </x:c>
      <x:c r="G9" s="4" t="s">
        <x:v>87</x:v>
      </x:c>
      <x:c r="H9" s="21">
        <x:v>9170.7099999999991</x:v>
      </x:c>
      <x:c r="I9" s="21">
        <x:f>ROUND(H9*$E$177,2)</x:f>
        <x:v>2268.7399999999998</x:v>
      </x:c>
      <x:c r="J9" s="22">
        <x:f>ROUND(H9*$F$177,2)</x:f>
        <x:v>0</x:v>
      </x:c>
      <x:c r="K9" s="21">
        <x:f>ROUND(H9*$I$177,2)</x:f>
        <x:v>3669.48</x:v>
      </x:c>
      <x:c r="L9" s="21">
        <x:f>ROUND(H9*$L$177,2)</x:f>
        <x:v>885.71</x:v>
      </x:c>
      <x:c r="M9" s="21">
        <x:f t="shared" si="1"/>
        <x:v>2346.7799999999993</x:v>
      </x:c>
      <x:c r="N9" s="21"/>
      <x:c r="O9" s="4"/>
      <x:c r="P9" s="4"/>
      <x:c r="Q9" s="4"/>
      <x:c r="R9" s="4"/>
    </x:row>
    <x:row r="10" spans="1:18" ht="15.65">
      <x:c r="A10" s="1" t="s">
        <x:v>91</x:v>
      </x:c>
      <x:c r="B10" s="6">
        <x:v>397.1</x:v>
      </x:c>
      <x:c r="C10" s="5" t="s">
        <x:v>205</x:v>
      </x:c>
      <x:c r="D10" s="6" t="s">
        <x:v>3</x:v>
      </x:c>
      <x:c r="E10" s="6" t="s">
        <x:v>8</x:v>
      </x:c>
      <x:c r="F10" s="6" t="s">
        <x:v>188</x:v>
      </x:c>
      <x:c r="G10" s="4" t="s">
        <x:v>187</x:v>
      </x:c>
      <x:c r="H10" s="21">
        <x:v>24300.31</x:v>
      </x:c>
      <x:c r="I10" s="21">
        <x:f>ROUND(H10*$E$177,2)</x:f>
        <x:v>6011.65</x:v>
      </x:c>
      <x:c r="J10" s="22">
        <x:f>ROUND(H10*$F$177,2)</x:f>
        <x:v>0</x:v>
      </x:c>
      <x:c r="K10" s="21">
        <x:f>ROUND(H10*$I$177,2)</x:f>
        <x:v>9723.2800000000007</x:v>
      </x:c>
      <x:c r="L10" s="21">
        <x:f>ROUND(H10*$L$177,2)</x:f>
        <x:v>2346.92</x:v>
      </x:c>
      <x:c r="M10" s="21">
        <x:f t="shared" si="1"/>
        <x:v>6218.4600000000028</x:v>
      </x:c>
      <x:c r="N10" s="21"/>
      <x:c r="O10" s="4"/>
      <x:c r="P10" s="4"/>
      <x:c r="Q10" s="4"/>
      <x:c r="R10" s="4"/>
    </x:row>
    <x:row r="11" spans="1:18" ht="15.65">
      <x:c r="A11" s="1" t="s">
        <x:v>91</x:v>
      </x:c>
      <x:c r="B11" s="6">
        <x:v>397.1</x:v>
      </x:c>
      <x:c r="C11" s="5" t="s">
        <x:v>205</x:v>
      </x:c>
      <x:c r="D11" s="6" t="s">
        <x:v>3</x:v>
      </x:c>
      <x:c r="E11" s="6" t="s">
        <x:v>62</x:v>
      </x:c>
      <x:c r="F11" s="6" t="s">
        <x:v>188</x:v>
      </x:c>
      <x:c r="G11" s="4" t="s">
        <x:v>187</x:v>
      </x:c>
      <x:c r="H11" s="21">
        <x:v>4745.22</x:v>
      </x:c>
      <x:c r="I11" s="21">
        <x:f>ROUND(H11*$E$177,2)</x:f>
        <x:v>1173.92</x:v>
      </x:c>
      <x:c r="J11" s="22">
        <x:f>ROUND(H11*$F$177,2)</x:f>
        <x:v>0</x:v>
      </x:c>
      <x:c r="K11" s="21">
        <x:f>ROUND(H11*$I$177,2)</x:f>
        <x:v>1898.7</x:v>
      </x:c>
      <x:c r="L11" s="21">
        <x:f>ROUND(H11*$L$177,2)</x:f>
        <x:v>458.29</x:v>
      </x:c>
      <x:c r="M11" s="21">
        <x:f t="shared" si="1"/>
        <x:v>1214.3100000000002</x:v>
      </x:c>
      <x:c r="N11" s="21"/>
      <x:c r="O11" s="4"/>
      <x:c r="P11" s="4"/>
      <x:c r="Q11" s="4"/>
      <x:c r="R11" s="4"/>
    </x:row>
    <x:row r="12" spans="1:18" ht="15.65">
      <x:c r="A12" s="1" t="s">
        <x:v>91</x:v>
      </x:c>
      <x:c r="B12" s="6">
        <x:v>397.1</x:v>
      </x:c>
      <x:c r="C12" s="5" t="s">
        <x:v>205</x:v>
      </x:c>
      <x:c r="D12" s="6" t="s">
        <x:v>3</x:v>
      </x:c>
      <x:c r="E12" s="6" t="s">
        <x:v>62</x:v>
      </x:c>
      <x:c r="F12" s="6" t="s">
        <x:v>86</x:v>
      </x:c>
      <x:c r="G12" s="4" t="s">
        <x:v>85</x:v>
      </x:c>
      <x:c r="H12" s="21">
        <x:v>9906.49</x:v>
      </x:c>
      <x:c r="I12" s="21">
        <x:f>ROUND(H12*$E$177,2)</x:f>
        <x:v>2450.77</x:v>
      </x:c>
      <x:c r="J12" s="22">
        <x:f>ROUND(H12*$F$177,2)</x:f>
        <x:v>0</x:v>
      </x:c>
      <x:c r="K12" s="21">
        <x:f>ROUND(H12*$I$177,2)</x:f>
        <x:v>3963.88</x:v>
      </x:c>
      <x:c r="L12" s="21">
        <x:f>ROUND(H12*$L$177,2)</x:f>
        <x:v>956.77</x:v>
      </x:c>
      <x:c r="M12" s="21">
        <x:f t="shared" si="1"/>
        <x:v>2535.0699999999993</x:v>
      </x:c>
      <x:c r="N12" s="21"/>
      <x:c r="O12" s="4"/>
      <x:c r="P12" s="4"/>
      <x:c r="Q12" s="4"/>
      <x:c r="R12" s="4"/>
    </x:row>
    <x:row r="13" spans="1:18" ht="15.65">
      <x:c r="A13" s="1" t="s">
        <x:v>91</x:v>
      </x:c>
      <x:c r="B13" s="6">
        <x:v>397.1</x:v>
      </x:c>
      <x:c r="C13" s="5" t="s">
        <x:v>205</x:v>
      </x:c>
      <x:c r="D13" s="6" t="s">
        <x:v>3</x:v>
      </x:c>
      <x:c r="E13" s="6" t="s">
        <x:v>62</x:v>
      </x:c>
      <x:c r="F13" s="6" t="s">
        <x:v>186</x:v>
      </x:c>
      <x:c r="G13" s="4" t="s">
        <x:v>185</x:v>
      </x:c>
      <x:c r="H13" s="21">
        <x:v>6739.85</x:v>
      </x:c>
      <x:c r="I13" s="21">
        <x:f>ROUND(H13*$E$177,2)</x:f>
        <x:v>1667.37</x:v>
      </x:c>
      <x:c r="J13" s="22">
        <x:f>ROUND(H13*$F$177,2)</x:f>
        <x:v>0</x:v>
      </x:c>
      <x:c r="K13" s="21">
        <x:f>ROUND(H13*$I$177,2)</x:f>
        <x:v>2696.82</x:v>
      </x:c>
      <x:c r="L13" s="21">
        <x:f>ROUND(H13*$L$177,2)</x:f>
        <x:v>650.92999999999995</x:v>
      </x:c>
      <x:c r="M13" s="21">
        <x:f t="shared" si="1"/>
        <x:v>1724.7300000000005</x:v>
      </x:c>
      <x:c r="N13" s="21"/>
      <x:c r="O13" s="4"/>
      <x:c r="P13" s="4"/>
      <x:c r="Q13" s="4"/>
      <x:c r="R13" s="4"/>
    </x:row>
    <x:row r="14" spans="1:18" ht="15.65">
      <x:c r="A14" s="1" t="s">
        <x:v>91</x:v>
      </x:c>
      <x:c r="B14" s="6">
        <x:v>397.1</x:v>
      </x:c>
      <x:c r="C14" s="5" t="s">
        <x:v>205</x:v>
      </x:c>
      <x:c r="D14" s="6" t="s">
        <x:v>3</x:v>
      </x:c>
      <x:c r="E14" s="6" t="s">
        <x:v>5</x:v>
      </x:c>
      <x:c r="F14" s="6" t="s">
        <x:v>184</x:v>
      </x:c>
      <x:c r="G14" s="4" t="s">
        <x:v>183</x:v>
      </x:c>
      <x:c r="H14" s="21">
        <x:v>3236.34</x:v>
      </x:c>
      <x:c r="I14" s="21">
        <x:f>ROUND(H14*$E$177,2)</x:f>
        <x:v>800.64</x:v>
      </x:c>
      <x:c r="J14" s="22">
        <x:f>ROUND(H14*$F$177,2)</x:f>
        <x:v>0</x:v>
      </x:c>
      <x:c r="K14" s="21">
        <x:f>ROUND(H14*$I$177,2)</x:f>
        <x:v>1294.96</x:v>
      </x:c>
      <x:c r="L14" s="21">
        <x:f>ROUND(H14*$L$177,2)</x:f>
        <x:v>312.57</x:v>
      </x:c>
      <x:c r="M14" s="21">
        <x:f t="shared" si="1"/>
        <x:v>828.1700000000003</x:v>
      </x:c>
      <x:c r="N14" s="21"/>
      <x:c r="O14" s="4"/>
      <x:c r="P14" s="4"/>
      <x:c r="Q14" s="4"/>
      <x:c r="R14" s="4"/>
    </x:row>
    <x:row r="15" spans="1:18" ht="15.65">
      <x:c r="A15" s="1" t="s">
        <x:v>91</x:v>
      </x:c>
      <x:c r="B15" s="6">
        <x:v>397.1</x:v>
      </x:c>
      <x:c r="C15" s="5" t="s">
        <x:v>205</x:v>
      </x:c>
      <x:c r="D15" s="6" t="s">
        <x:v>3</x:v>
      </x:c>
      <x:c r="E15" s="6" t="s">
        <x:v>62</x:v>
      </x:c>
      <x:c r="F15" s="6" t="s">
        <x:v>184</x:v>
      </x:c>
      <x:c r="G15" s="4" t="s">
        <x:v>183</x:v>
      </x:c>
      <x:c r="H15" s="21">
        <x:v>6739.85</x:v>
      </x:c>
      <x:c r="I15" s="21">
        <x:f>ROUND(H15*$E$177,2)</x:f>
        <x:v>1667.37</x:v>
      </x:c>
      <x:c r="J15" s="22">
        <x:f>ROUND(H15*$F$177,2)</x:f>
        <x:v>0</x:v>
      </x:c>
      <x:c r="K15" s="21">
        <x:f>ROUND(H15*$I$177,2)</x:f>
        <x:v>2696.82</x:v>
      </x:c>
      <x:c r="L15" s="21">
        <x:f>ROUND(H15*$L$177,2)</x:f>
        <x:v>650.92999999999995</x:v>
      </x:c>
      <x:c r="M15" s="21">
        <x:f t="shared" si="1"/>
        <x:v>1724.7300000000005</x:v>
      </x:c>
      <x:c r="N15" s="21"/>
      <x:c r="O15" s="4"/>
      <x:c r="P15" s="4"/>
      <x:c r="Q15" s="4"/>
      <x:c r="R15" s="4"/>
    </x:row>
    <x:row r="16" spans="1:18" ht="15.65">
      <x:c r="A16" s="1" t="s">
        <x:v>91</x:v>
      </x:c>
      <x:c r="B16" s="6">
        <x:v>397.1</x:v>
      </x:c>
      <x:c r="C16" s="5" t="s">
        <x:v>205</x:v>
      </x:c>
      <x:c r="D16" s="6" t="s">
        <x:v>3</x:v>
      </x:c>
      <x:c r="E16" s="6" t="s">
        <x:v>2</x:v>
      </x:c>
      <x:c r="F16" s="6" t="s">
        <x:v>182</x:v>
      </x:c>
      <x:c r="G16" s="4" t="s">
        <x:v>181</x:v>
      </x:c>
      <x:c r="H16" s="21">
        <x:v>1822.98</x:v>
      </x:c>
      <x:c r="I16" s="21">
        <x:f>ROUND(H16*$E$177,2)</x:f>
        <x:v>450.99</x:v>
      </x:c>
      <x:c r="J16" s="22">
        <x:f>ROUND(H16*$F$177,2)</x:f>
        <x:v>0</x:v>
      </x:c>
      <x:c r="K16" s="21">
        <x:f>ROUND(H16*$I$177,2)</x:f>
        <x:v>729.43</x:v>
      </x:c>
      <x:c r="L16" s="21">
        <x:f>ROUND(H16*$L$177,2)</x:f>
        <x:v>176.06</x:v>
      </x:c>
      <x:c r="M16" s="21">
        <x:f t="shared" si="1"/>
        <x:v>466.50000000000006</x:v>
      </x:c>
      <x:c r="N16" s="21"/>
      <x:c r="O16" s="4"/>
      <x:c r="P16" s="4"/>
      <x:c r="Q16" s="4"/>
      <x:c r="R16" s="4"/>
    </x:row>
    <x:row r="17" spans="1:18" ht="15.65">
      <x:c r="A17" s="1" t="s">
        <x:v>91</x:v>
      </x:c>
      <x:c r="B17" s="6">
        <x:v>397.1</x:v>
      </x:c>
      <x:c r="C17" s="5" t="s">
        <x:v>205</x:v>
      </x:c>
      <x:c r="D17" s="6" t="s">
        <x:v>3</x:v>
      </x:c>
      <x:c r="E17" s="6" t="s">
        <x:v>62</x:v>
      </x:c>
      <x:c r="F17" s="6" t="s">
        <x:v>182</x:v>
      </x:c>
      <x:c r="G17" s="4" t="s">
        <x:v>181</x:v>
      </x:c>
      <x:c r="H17" s="21">
        <x:v>6739.85</x:v>
      </x:c>
      <x:c r="I17" s="21">
        <x:f>ROUND(H17*$E$177,2)</x:f>
        <x:v>1667.37</x:v>
      </x:c>
      <x:c r="J17" s="22">
        <x:f>ROUND(H17*$F$177,2)</x:f>
        <x:v>0</x:v>
      </x:c>
      <x:c r="K17" s="21">
        <x:f>ROUND(H17*$I$177,2)</x:f>
        <x:v>2696.82</x:v>
      </x:c>
      <x:c r="L17" s="21">
        <x:f>ROUND(H17*$L$177,2)</x:f>
        <x:v>650.92999999999995</x:v>
      </x:c>
      <x:c r="M17" s="21">
        <x:f t="shared" si="1"/>
        <x:v>1724.7300000000005</x:v>
      </x:c>
      <x:c r="N17" s="21"/>
      <x:c r="O17" s="4"/>
      <x:c r="P17" s="4"/>
      <x:c r="Q17" s="4"/>
      <x:c r="R17" s="4"/>
    </x:row>
    <x:row r="18" spans="1:18" ht="15.65">
      <x:c r="A18" s="1" t="s">
        <x:v>91</x:v>
      </x:c>
      <x:c r="B18" s="6">
        <x:v>397.1</x:v>
      </x:c>
      <x:c r="C18" s="5" t="s">
        <x:v>205</x:v>
      </x:c>
      <x:c r="D18" s="6" t="s">
        <x:v>3</x:v>
      </x:c>
      <x:c r="E18" s="6" t="s">
        <x:v>11</x:v>
      </x:c>
      <x:c r="F18" s="6" t="s">
        <x:v>180</x:v>
      </x:c>
      <x:c r="G18" s="4" t="s">
        <x:v>179</x:v>
      </x:c>
      <x:c r="H18" s="21">
        <x:v>1869.18</x:v>
      </x:c>
      <x:c r="I18" s="21">
        <x:f>ROUND(H18*$E$177,2)</x:f>
        <x:v>462.42</x:v>
      </x:c>
      <x:c r="J18" s="22">
        <x:f>ROUND(H18*$F$177,2)</x:f>
        <x:v>0</x:v>
      </x:c>
      <x:c r="K18" s="21">
        <x:f>ROUND(H18*$I$177,2)</x:f>
        <x:v>747.91</x:v>
      </x:c>
      <x:c r="L18" s="21">
        <x:f>ROUND(H18*$L$177,2)</x:f>
        <x:v>180.53</x:v>
      </x:c>
      <x:c r="M18" s="21">
        <x:f t="shared" si="1"/>
        <x:v>478.32000000000005</x:v>
      </x:c>
      <x:c r="N18" s="21"/>
      <x:c r="O18" s="4"/>
      <x:c r="P18" s="4"/>
      <x:c r="Q18" s="4"/>
      <x:c r="R18" s="4"/>
    </x:row>
    <x:row r="19" spans="1:18" ht="15.65">
      <x:c r="A19" s="1" t="s">
        <x:v>91</x:v>
      </x:c>
      <x:c r="B19" s="6">
        <x:v>397.1</x:v>
      </x:c>
      <x:c r="C19" s="5" t="s">
        <x:v>205</x:v>
      </x:c>
      <x:c r="D19" s="6" t="s">
        <x:v>3</x:v>
      </x:c>
      <x:c r="E19" s="6" t="s">
        <x:v>5</x:v>
      </x:c>
      <x:c r="F19" s="6" t="s">
        <x:v>180</x:v>
      </x:c>
      <x:c r="G19" s="4" t="s">
        <x:v>179</x:v>
      </x:c>
      <x:c r="H19" s="21">
        <x:v>51285.39</x:v>
      </x:c>
      <x:c r="I19" s="21">
        <x:f>ROUND(H19*$E$177,2)</x:f>
        <x:v>12687.49</x:v>
      </x:c>
      <x:c r="J19" s="22">
        <x:f>ROUND(H19*$F$177,2)</x:f>
        <x:v>0</x:v>
      </x:c>
      <x:c r="K19" s="21">
        <x:f>ROUND(H19*$I$177,2)</x:f>
        <x:v>20520.82</x:v>
      </x:c>
      <x:c r="L19" s="21">
        <x:f>ROUND(H19*$L$177,2)</x:f>
        <x:v>4953.1400000000003</x:v>
      </x:c>
      <x:c r="M19" s="21">
        <x:f t="shared" si="1"/>
        <x:v>13123.940000000002</x:v>
      </x:c>
      <x:c r="N19" s="21"/>
      <x:c r="O19" s="4"/>
      <x:c r="P19" s="4"/>
      <x:c r="Q19" s="4"/>
      <x:c r="R19" s="4"/>
    </x:row>
    <x:row r="20" spans="1:18" ht="15.65">
      <x:c r="A20" s="1" t="s">
        <x:v>91</x:v>
      </x:c>
      <x:c r="B20" s="6">
        <x:v>397.1</x:v>
      </x:c>
      <x:c r="C20" s="5" t="s">
        <x:v>205</x:v>
      </x:c>
      <x:c r="D20" s="6" t="s">
        <x:v>3</x:v>
      </x:c>
      <x:c r="E20" s="6" t="s">
        <x:v>62</x:v>
      </x:c>
      <x:c r="F20" s="6" t="s">
        <x:v>180</x:v>
      </x:c>
      <x:c r="G20" s="4" t="s">
        <x:v>179</x:v>
      </x:c>
      <x:c r="H20" s="21">
        <x:v>39167.269999999997</x:v>
      </x:c>
      <x:c r="I20" s="21">
        <x:f>ROUND(H20*$E$177,2)</x:f>
        <x:v>9689.59</x:v>
      </x:c>
      <x:c r="J20" s="22">
        <x:f>ROUND(H20*$F$177,2)</x:f>
        <x:v>0</x:v>
      </x:c>
      <x:c r="K20" s="21">
        <x:f>ROUND(H20*$I$177,2)</x:f>
        <x:v>15672</x:v>
      </x:c>
      <x:c r="L20" s="21">
        <x:f>ROUND(H20*$L$177,2)</x:f>
        <x:v>3782.77</x:v>
      </x:c>
      <x:c r="M20" s="21">
        <x:f t="shared" si="1"/>
        <x:v>10022.909999999996</x:v>
      </x:c>
      <x:c r="N20" s="21"/>
      <x:c r="O20" s="4"/>
      <x:c r="P20" s="4"/>
      <x:c r="Q20" s="4"/>
      <x:c r="R20" s="4"/>
    </x:row>
    <x:row r="21" spans="1:18" ht="15.65">
      <x:c r="A21" s="1" t="s">
        <x:v>91</x:v>
      </x:c>
      <x:c r="B21" s="6">
        <x:v>397.1</x:v>
      </x:c>
      <x:c r="C21" s="5" t="s">
        <x:v>205</x:v>
      </x:c>
      <x:c r="D21" s="6" t="s">
        <x:v>3</x:v>
      </x:c>
      <x:c r="E21" s="6" t="s">
        <x:v>61</x:v>
      </x:c>
      <x:c r="F21" s="6" t="s">
        <x:v>180</x:v>
      </x:c>
      <x:c r="G21" s="4" t="s">
        <x:v>179</x:v>
      </x:c>
      <x:c r="H21" s="21">
        <x:v>-9489.0300000000007</x:v>
      </x:c>
      <x:c r="I21" s="21">
        <x:f>ROUND(H21*$E$177,2)</x:f>
        <x:v>-2347.4899999999998</x:v>
      </x:c>
      <x:c r="J21" s="22">
        <x:f>ROUND(H21*$F$177,2)</x:f>
        <x:v>0</x:v>
      </x:c>
      <x:c r="K21" s="21">
        <x:f>ROUND(H21*$I$177,2)</x:f>
        <x:v>-3796.85</x:v>
      </x:c>
      <x:c r="L21" s="21">
        <x:f>ROUND(H21*$L$177,2)</x:f>
        <x:v>-916.45</x:v>
      </x:c>
      <x:c r="M21" s="21">
        <x:f t="shared" si="1"/>
        <x:v>-2428.2400000000007</x:v>
      </x:c>
      <x:c r="N21" s="21"/>
      <x:c r="O21" s="4"/>
      <x:c r="P21" s="4"/>
      <x:c r="Q21" s="4"/>
      <x:c r="R21" s="4"/>
    </x:row>
    <x:row r="22" spans="1:18" ht="15.65">
      <x:c r="A22" s="1" t="s">
        <x:v>91</x:v>
      </x:c>
      <x:c r="B22" s="6">
        <x:v>397.1</x:v>
      </x:c>
      <x:c r="C22" s="5" t="s">
        <x:v>205</x:v>
      </x:c>
      <x:c r="D22" s="6" t="s">
        <x:v>3</x:v>
      </x:c>
      <x:c r="E22" s="6" t="s">
        <x:v>62</x:v>
      </x:c>
      <x:c r="F22" s="6" t="s">
        <x:v>178</x:v>
      </x:c>
      <x:c r="G22" s="4" t="s">
        <x:v>177</x:v>
      </x:c>
      <x:c r="H22" s="21">
        <x:v>4493.2299999999996</x:v>
      </x:c>
      <x:c r="I22" s="21">
        <x:f>ROUND(H22*$E$177,2)</x:f>
        <x:v>1111.58</x:v>
      </x:c>
      <x:c r="J22" s="22">
        <x:f>ROUND(H22*$F$177,2)</x:f>
        <x:v>0</x:v>
      </x:c>
      <x:c r="K22" s="21">
        <x:f>ROUND(H22*$I$177,2)</x:f>
        <x:v>1797.88</x:v>
      </x:c>
      <x:c r="L22" s="21">
        <x:f>ROUND(H22*$L$177,2)</x:f>
        <x:v>433.96</x:v>
      </x:c>
      <x:c r="M22" s="21">
        <x:f t="shared" si="1"/>
        <x:v>1149.8099999999995</x:v>
      </x:c>
      <x:c r="N22" s="21"/>
      <x:c r="O22" s="4"/>
      <x:c r="P22" s="4"/>
      <x:c r="Q22" s="4"/>
      <x:c r="R22" s="4"/>
    </x:row>
    <x:row r="23" spans="1:18" ht="15.65">
      <x:c r="A23" s="1" t="s">
        <x:v>91</x:v>
      </x:c>
      <x:c r="B23" s="6">
        <x:v>397.1</x:v>
      </x:c>
      <x:c r="C23" s="5" t="s">
        <x:v>205</x:v>
      </x:c>
      <x:c r="D23" s="6" t="s">
        <x:v>3</x:v>
      </x:c>
      <x:c r="E23" s="6" t="s">
        <x:v>14</x:v>
      </x:c>
      <x:c r="F23" s="6" t="s">
        <x:v>176</x:v>
      </x:c>
      <x:c r="G23" s="4" t="s">
        <x:v>175</x:v>
      </x:c>
      <x:c r="H23" s="21">
        <x:v>6028.91</x:v>
      </x:c>
      <x:c r="I23" s="21">
        <x:f>ROUND(H23*$E$177,2)</x:f>
        <x:v>1491.49</x:v>
      </x:c>
      <x:c r="J23" s="22">
        <x:f>ROUND(H23*$F$177,2)</x:f>
        <x:v>0</x:v>
      </x:c>
      <x:c r="K23" s="21">
        <x:f>ROUND(H23*$I$177,2)</x:f>
        <x:v>2412.35</x:v>
      </x:c>
      <x:c r="L23" s="21">
        <x:f>ROUND(H23*$L$177,2)</x:f>
        <x:v>582.27</x:v>
      </x:c>
      <x:c r="M23" s="21">
        <x:f t="shared" si="1"/>
        <x:v>1542.8000000000002</x:v>
      </x:c>
      <x:c r="N23" s="21"/>
      <x:c r="O23" s="4"/>
      <x:c r="P23" s="4"/>
      <x:c r="Q23" s="4"/>
      <x:c r="R23" s="4"/>
    </x:row>
    <x:row r="24" spans="1:18" ht="15.65">
      <x:c r="A24" s="1" t="s">
        <x:v>91</x:v>
      </x:c>
      <x:c r="B24" s="6">
        <x:v>397.1</x:v>
      </x:c>
      <x:c r="C24" s="5" t="s">
        <x:v>205</x:v>
      </x:c>
      <x:c r="D24" s="6" t="s">
        <x:v>3</x:v>
      </x:c>
      <x:c r="E24" s="6" t="s">
        <x:v>62</x:v>
      </x:c>
      <x:c r="F24" s="6" t="s">
        <x:v>176</x:v>
      </x:c>
      <x:c r="G24" s="4" t="s">
        <x:v>175</x:v>
      </x:c>
      <x:c r="H24" s="21">
        <x:v>2246.61</x:v>
      </x:c>
      <x:c r="I24" s="21">
        <x:f>ROUND(H24*$E$177,2)</x:f>
        <x:v>555.79</x:v>
      </x:c>
      <x:c r="J24" s="22">
        <x:f>ROUND(H24*$F$177,2)</x:f>
        <x:v>0</x:v>
      </x:c>
      <x:c r="K24" s="21">
        <x:f>ROUND(H24*$I$177,2)</x:f>
        <x:v>898.94</x:v>
      </x:c>
      <x:c r="L24" s="21">
        <x:f>ROUND(H24*$L$177,2)</x:f>
        <x:v>216.98</x:v>
      </x:c>
      <x:c r="M24" s="21">
        <x:f t="shared" si="1"/>
        <x:v>574.90000000000009</x:v>
      </x:c>
      <x:c r="N24" s="21"/>
      <x:c r="O24" s="4"/>
      <x:c r="P24" s="4"/>
      <x:c r="Q24" s="4"/>
      <x:c r="R24" s="4"/>
    </x:row>
    <x:row r="25" spans="1:18" ht="15.65">
      <x:c r="A25" s="1" t="s">
        <x:v>91</x:v>
      </x:c>
      <x:c r="B25" s="6">
        <x:v>397.1</x:v>
      </x:c>
      <x:c r="C25" s="5" t="s">
        <x:v>205</x:v>
      </x:c>
      <x:c r="D25" s="6" t="s">
        <x:v>3</x:v>
      </x:c>
      <x:c r="E25" s="6" t="s">
        <x:v>62</x:v>
      </x:c>
      <x:c r="F25" s="6" t="s">
        <x:v>174</x:v>
      </x:c>
      <x:c r="G25" s="4" t="s">
        <x:v>173</x:v>
      </x:c>
      <x:c r="H25" s="21">
        <x:v>2246.61</x:v>
      </x:c>
      <x:c r="I25" s="21">
        <x:f>ROUND(H25*$E$177,2)</x:f>
        <x:v>555.79</x:v>
      </x:c>
      <x:c r="J25" s="22">
        <x:f>ROUND(H25*$F$177,2)</x:f>
        <x:v>0</x:v>
      </x:c>
      <x:c r="K25" s="21">
        <x:f>ROUND(H25*$I$177,2)</x:f>
        <x:v>898.94</x:v>
      </x:c>
      <x:c r="L25" s="21">
        <x:f>ROUND(H25*$L$177,2)</x:f>
        <x:v>216.98</x:v>
      </x:c>
      <x:c r="M25" s="21">
        <x:f t="shared" si="1"/>
        <x:v>574.90000000000009</x:v>
      </x:c>
      <x:c r="N25" s="21"/>
      <x:c r="O25" s="4"/>
      <x:c r="P25" s="4"/>
      <x:c r="Q25" s="4"/>
      <x:c r="R25" s="4"/>
    </x:row>
    <x:row r="26" spans="1:18" ht="15.65">
      <x:c r="A26" s="1" t="s">
        <x:v>91</x:v>
      </x:c>
      <x:c r="B26" s="6">
        <x:v>397.1</x:v>
      </x:c>
      <x:c r="C26" s="5" t="s">
        <x:v>205</x:v>
      </x:c>
      <x:c r="D26" s="6" t="s">
        <x:v>3</x:v>
      </x:c>
      <x:c r="E26" s="6" t="s">
        <x:v>62</x:v>
      </x:c>
      <x:c r="F26" s="6" t="s">
        <x:v>172</x:v>
      </x:c>
      <x:c r="G26" s="4" t="s">
        <x:v>171</x:v>
      </x:c>
      <x:c r="H26" s="21">
        <x:v>8986.4699999999993</x:v>
      </x:c>
      <x:c r="I26" s="21">
        <x:f>ROUND(H26*$E$177,2)</x:f>
        <x:v>2223.16</x:v>
      </x:c>
      <x:c r="J26" s="22">
        <x:f>ROUND(H26*$F$177,2)</x:f>
        <x:v>0</x:v>
      </x:c>
      <x:c r="K26" s="21">
        <x:f>ROUND(H26*$I$177,2)</x:f>
        <x:v>3595.76</x:v>
      </x:c>
      <x:c r="L26" s="21">
        <x:f>ROUND(H26*$L$177,2)</x:f>
        <x:v>867.91</x:v>
      </x:c>
      <x:c r="M26" s="21">
        <x:f t="shared" si="1"/>
        <x:v>2299.6399999999994</x:v>
      </x:c>
      <x:c r="N26" s="21"/>
      <x:c r="O26" s="4"/>
      <x:c r="P26" s="4"/>
      <x:c r="Q26" s="4"/>
      <x:c r="R26" s="4"/>
    </x:row>
    <x:row r="27" spans="1:18" ht="15.65">
      <x:c r="A27" s="1" t="s">
        <x:v>91</x:v>
      </x:c>
      <x:c r="B27" s="6">
        <x:v>397.1</x:v>
      </x:c>
      <x:c r="C27" s="5" t="s">
        <x:v>205</x:v>
      </x:c>
      <x:c r="D27" s="6" t="s">
        <x:v>3</x:v>
      </x:c>
      <x:c r="E27" s="6" t="s">
        <x:v>61</x:v>
      </x:c>
      <x:c r="F27" s="6" t="s">
        <x:v>172</x:v>
      </x:c>
      <x:c r="G27" s="4" t="s">
        <x:v>171</x:v>
      </x:c>
      <x:c r="H27" s="21">
        <x:v>1533.33</x:v>
      </x:c>
      <x:c r="I27" s="21">
        <x:f>ROUND(H27*$E$177,2)</x:f>
        <x:v>379.33</x:v>
      </x:c>
      <x:c r="J27" s="22">
        <x:f>ROUND(H27*$F$177,2)</x:f>
        <x:v>0</x:v>
      </x:c>
      <x:c r="K27" s="21">
        <x:f>ROUND(H27*$I$177,2)</x:f>
        <x:v>613.53</x:v>
      </x:c>
      <x:c r="L27" s="21">
        <x:f>ROUND(H27*$L$177,2)</x:f>
        <x:v>148.09</x:v>
      </x:c>
      <x:c r="M27" s="21">
        <x:f t="shared" si="1"/>
        <x:v>392.38</x:v>
      </x:c>
      <x:c r="N27" s="21"/>
      <x:c r="O27" s="4"/>
      <x:c r="P27" s="4"/>
      <x:c r="Q27" s="4"/>
      <x:c r="R27" s="4"/>
    </x:row>
    <x:row r="28" spans="1:18" ht="15.65">
      <x:c r="A28" s="1" t="s">
        <x:v>91</x:v>
      </x:c>
      <x:c r="B28" s="6">
        <x:v>397.1</x:v>
      </x:c>
      <x:c r="C28" s="5" t="s">
        <x:v>205</x:v>
      </x:c>
      <x:c r="D28" s="6" t="s">
        <x:v>3</x:v>
      </x:c>
      <x:c r="E28" s="6" t="s">
        <x:v>62</x:v>
      </x:c>
      <x:c r="F28" s="6" t="s">
        <x:v>170</x:v>
      </x:c>
      <x:c r="G28" s="4" t="s">
        <x:v>169</x:v>
      </x:c>
      <x:c r="H28" s="21">
        <x:v>6739.85</x:v>
      </x:c>
      <x:c r="I28" s="21">
        <x:f>ROUND(H28*$E$177,2)</x:f>
        <x:v>1667.37</x:v>
      </x:c>
      <x:c r="J28" s="22">
        <x:f>ROUND(H28*$F$177,2)</x:f>
        <x:v>0</x:v>
      </x:c>
      <x:c r="K28" s="21">
        <x:f>ROUND(H28*$I$177,2)</x:f>
        <x:v>2696.82</x:v>
      </x:c>
      <x:c r="L28" s="21">
        <x:f>ROUND(H28*$L$177,2)</x:f>
        <x:v>650.92999999999995</x:v>
      </x:c>
      <x:c r="M28" s="21">
        <x:f t="shared" si="1"/>
        <x:v>1724.7300000000005</x:v>
      </x:c>
      <x:c r="N28" s="21"/>
      <x:c r="O28" s="4"/>
      <x:c r="P28" s="4"/>
      <x:c r="Q28" s="4"/>
      <x:c r="R28" s="4"/>
    </x:row>
    <x:row r="29" spans="1:18" ht="15.65">
      <x:c r="A29" s="1" t="s">
        <x:v>91</x:v>
      </x:c>
      <x:c r="B29" s="6">
        <x:v>397.1</x:v>
      </x:c>
      <x:c r="C29" s="5" t="s">
        <x:v>205</x:v>
      </x:c>
      <x:c r="D29" s="6" t="s">
        <x:v>3</x:v>
      </x:c>
      <x:c r="E29" s="6" t="s">
        <x:v>62</x:v>
      </x:c>
      <x:c r="F29" s="6" t="s">
        <x:v>168</x:v>
      </x:c>
      <x:c r="G29" s="4" t="s">
        <x:v>167</x:v>
      </x:c>
      <x:c r="H29" s="21">
        <x:v>6739.85</x:v>
      </x:c>
      <x:c r="I29" s="21">
        <x:f>ROUND(H29*$E$177,2)</x:f>
        <x:v>1667.37</x:v>
      </x:c>
      <x:c r="J29" s="22">
        <x:f>ROUND(H29*$F$177,2)</x:f>
        <x:v>0</x:v>
      </x:c>
      <x:c r="K29" s="21">
        <x:f>ROUND(H29*$I$177,2)</x:f>
        <x:v>2696.82</x:v>
      </x:c>
      <x:c r="L29" s="21">
        <x:f>ROUND(H29*$L$177,2)</x:f>
        <x:v>650.92999999999995</x:v>
      </x:c>
      <x:c r="M29" s="21">
        <x:f t="shared" si="1"/>
        <x:v>1724.7300000000005</x:v>
      </x:c>
      <x:c r="N29" s="21"/>
      <x:c r="O29" s="4"/>
      <x:c r="P29" s="4"/>
      <x:c r="Q29" s="4"/>
      <x:c r="R29" s="4"/>
    </x:row>
    <x:row r="30" spans="1:18" ht="15.65">
      <x:c r="A30" s="1" t="s">
        <x:v>91</x:v>
      </x:c>
      <x:c r="B30" s="6">
        <x:v>397.1</x:v>
      </x:c>
      <x:c r="C30" s="5" t="s">
        <x:v>205</x:v>
      </x:c>
      <x:c r="D30" s="6" t="s">
        <x:v>3</x:v>
      </x:c>
      <x:c r="E30" s="6" t="s">
        <x:v>5</x:v>
      </x:c>
      <x:c r="F30" s="6" t="s">
        <x:v>166</x:v>
      </x:c>
      <x:c r="G30" s="4" t="s">
        <x:v>165</x:v>
      </x:c>
      <x:c r="H30" s="21">
        <x:v>7606.05</x:v>
      </x:c>
      <x:c r="I30" s="21">
        <x:f>ROUND(H30*$E$177,2)</x:f>
        <x:v>1881.66</x:v>
      </x:c>
      <x:c r="J30" s="22">
        <x:f>ROUND(H30*$F$177,2)</x:f>
        <x:v>0</x:v>
      </x:c>
      <x:c r="K30" s="21">
        <x:f>ROUND(H30*$I$177,2)</x:f>
        <x:v>3043.41</x:v>
      </x:c>
      <x:c r="L30" s="21">
        <x:f>ROUND(H30*$L$177,2)</x:f>
        <x:v>734.59</x:v>
      </x:c>
      <x:c r="M30" s="21">
        <x:f t="shared" si="1"/>
        <x:v>1946.3900000000003</x:v>
      </x:c>
      <x:c r="N30" s="21"/>
      <x:c r="O30" s="4"/>
      <x:c r="P30" s="4"/>
      <x:c r="Q30" s="4"/>
      <x:c r="R30" s="4"/>
    </x:row>
    <x:row r="31" spans="1:18" ht="15.65">
      <x:c r="A31" s="1" t="s">
        <x:v>91</x:v>
      </x:c>
      <x:c r="B31" s="6">
        <x:v>397.1</x:v>
      </x:c>
      <x:c r="C31" s="5" t="s">
        <x:v>205</x:v>
      </x:c>
      <x:c r="D31" s="6" t="s">
        <x:v>3</x:v>
      </x:c>
      <x:c r="E31" s="6" t="s">
        <x:v>62</x:v>
      </x:c>
      <x:c r="F31" s="6" t="s">
        <x:v>166</x:v>
      </x:c>
      <x:c r="G31" s="4" t="s">
        <x:v>165</x:v>
      </x:c>
      <x:c r="H31" s="21">
        <x:v>8986.4699999999993</x:v>
      </x:c>
      <x:c r="I31" s="21">
        <x:f>ROUND(H31*$E$177,2)</x:f>
        <x:v>2223.16</x:v>
      </x:c>
      <x:c r="J31" s="22">
        <x:f>ROUND(H31*$F$177,2)</x:f>
        <x:v>0</x:v>
      </x:c>
      <x:c r="K31" s="21">
        <x:f>ROUND(H31*$I$177,2)</x:f>
        <x:v>3595.76</x:v>
      </x:c>
      <x:c r="L31" s="21">
        <x:f>ROUND(H31*$L$177,2)</x:f>
        <x:v>867.91</x:v>
      </x:c>
      <x:c r="M31" s="21">
        <x:f t="shared" si="1"/>
        <x:v>2299.6399999999994</x:v>
      </x:c>
      <x:c r="N31" s="21"/>
      <x:c r="O31" s="4"/>
      <x:c r="P31" s="4"/>
      <x:c r="Q31" s="4"/>
      <x:c r="R31" s="4"/>
    </x:row>
    <x:row r="32" spans="1:18" ht="15.65">
      <x:c r="A32" s="1" t="s">
        <x:v>91</x:v>
      </x:c>
      <x:c r="B32" s="6">
        <x:v>397.1</x:v>
      </x:c>
      <x:c r="C32" s="5" t="s">
        <x:v>205</x:v>
      </x:c>
      <x:c r="D32" s="6" t="s">
        <x:v>3</x:v>
      </x:c>
      <x:c r="E32" s="6" t="s">
        <x:v>62</x:v>
      </x:c>
      <x:c r="F32" s="6" t="s">
        <x:v>82</x:v>
      </x:c>
      <x:c r="G32" s="4" t="s">
        <x:v>81</x:v>
      </x:c>
      <x:c r="H32" s="21">
        <x:v>2246.61</x:v>
      </x:c>
      <x:c r="I32" s="21">
        <x:f>ROUND(H32*$E$177,2)</x:f>
        <x:v>555.79</x:v>
      </x:c>
      <x:c r="J32" s="22">
        <x:f>ROUND(H32*$F$177,2)</x:f>
        <x:v>0</x:v>
      </x:c>
      <x:c r="K32" s="21">
        <x:f>ROUND(H32*$I$177,2)</x:f>
        <x:v>898.94</x:v>
      </x:c>
      <x:c r="L32" s="21">
        <x:f>ROUND(H32*$L$177,2)</x:f>
        <x:v>216.98</x:v>
      </x:c>
      <x:c r="M32" s="21">
        <x:f t="shared" si="1"/>
        <x:v>574.90000000000009</x:v>
      </x:c>
      <x:c r="N32" s="21"/>
      <x:c r="O32" s="4"/>
      <x:c r="P32" s="4"/>
      <x:c r="Q32" s="4"/>
      <x:c r="R32" s="4"/>
    </x:row>
    <x:row r="33" spans="1:18" ht="15.65">
      <x:c r="A33" s="1" t="s">
        <x:v>91</x:v>
      </x:c>
      <x:c r="B33" s="6">
        <x:v>397.1</x:v>
      </x:c>
      <x:c r="C33" s="5" t="s">
        <x:v>205</x:v>
      </x:c>
      <x:c r="D33" s="6" t="s">
        <x:v>3</x:v>
      </x:c>
      <x:c r="E33" s="6" t="s">
        <x:v>61</x:v>
      </x:c>
      <x:c r="F33" s="6" t="s">
        <x:v>82</x:v>
      </x:c>
      <x:c r="G33" s="4" t="s">
        <x:v>81</x:v>
      </x:c>
      <x:c r="H33" s="21">
        <x:v>1469.67</x:v>
      </x:c>
      <x:c r="I33" s="21">
        <x:f>ROUND(H33*$E$177,2)</x:f>
        <x:v>363.58</x:v>
      </x:c>
      <x:c r="J33" s="22">
        <x:f>ROUND(H33*$F$177,2)</x:f>
        <x:v>0</x:v>
      </x:c>
      <x:c r="K33" s="21">
        <x:f>ROUND(H33*$I$177,2)</x:f>
        <x:v>588.05999999999995</x:v>
      </x:c>
      <x:c r="L33" s="21">
        <x:f>ROUND(H33*$L$177,2)</x:f>
        <x:v>141.94</x:v>
      </x:c>
      <x:c r="M33" s="21">
        <x:f t="shared" si="1"/>
        <x:v>376.0900000000002</x:v>
      </x:c>
      <x:c r="N33" s="21"/>
      <x:c r="O33" s="4"/>
      <x:c r="P33" s="4"/>
      <x:c r="Q33" s="4"/>
      <x:c r="R33" s="4"/>
    </x:row>
    <x:row r="34" spans="1:18" ht="15.65">
      <x:c r="A34" s="1" t="s">
        <x:v>91</x:v>
      </x:c>
      <x:c r="B34" s="6">
        <x:v>397.1</x:v>
      </x:c>
      <x:c r="C34" s="5" t="s">
        <x:v>205</x:v>
      </x:c>
      <x:c r="D34" s="6" t="s">
        <x:v>3</x:v>
      </x:c>
      <x:c r="E34" s="6" t="s">
        <x:v>62</x:v>
      </x:c>
      <x:c r="F34" s="6" t="s">
        <x:v>164</x:v>
      </x:c>
      <x:c r="G34" s="4" t="s">
        <x:v>163</x:v>
      </x:c>
      <x:c r="H34" s="21">
        <x:v>4493.2299999999996</x:v>
      </x:c>
      <x:c r="I34" s="21">
        <x:f>ROUND(H34*$E$177,2)</x:f>
        <x:v>1111.58</x:v>
      </x:c>
      <x:c r="J34" s="22">
        <x:f>ROUND(H34*$F$177,2)</x:f>
        <x:v>0</x:v>
      </x:c>
      <x:c r="K34" s="21">
        <x:f>ROUND(H34*$I$177,2)</x:f>
        <x:v>1797.88</x:v>
      </x:c>
      <x:c r="L34" s="21">
        <x:f>ROUND(H34*$L$177,2)</x:f>
        <x:v>433.96</x:v>
      </x:c>
      <x:c r="M34" s="21">
        <x:f t="shared" si="1"/>
        <x:v>1149.8099999999995</x:v>
      </x:c>
      <x:c r="N34" s="21"/>
      <x:c r="O34" s="4"/>
      <x:c r="P34" s="4"/>
      <x:c r="Q34" s="4"/>
      <x:c r="R34" s="4"/>
    </x:row>
    <x:row r="35" spans="1:18" ht="15.65">
      <x:c r="A35" s="1" t="s">
        <x:v>91</x:v>
      </x:c>
      <x:c r="B35" s="6">
        <x:v>397.1</x:v>
      </x:c>
      <x:c r="C35" s="5" t="s">
        <x:v>205</x:v>
      </x:c>
      <x:c r="D35" s="6" t="s">
        <x:v>3</x:v>
      </x:c>
      <x:c r="E35" s="6" t="s">
        <x:v>61</x:v>
      </x:c>
      <x:c r="F35" s="6" t="s">
        <x:v>162</x:v>
      </x:c>
      <x:c r="G35" s="4" t="s">
        <x:v>161</x:v>
      </x:c>
      <x:c r="H35" s="21">
        <x:v>285618.59999999998</x:v>
      </x:c>
      <x:c r="I35" s="21">
        <x:f>ROUND(H35*$E$177,2)</x:f>
        <x:v>70659.19</x:v>
      </x:c>
      <x:c r="J35" s="22">
        <x:f>ROUND(H35*$F$177,2)</x:f>
        <x:v>0</x:v>
      </x:c>
      <x:c r="K35" s="21">
        <x:f>ROUND(H35*$I$177,2)</x:f>
        <x:v>114284.57</x:v>
      </x:c>
      <x:c r="L35" s="21">
        <x:f>ROUND(H35*$L$177,2)</x:f>
        <x:v>27585.040000000001</x:v>
      </x:c>
      <x:c r="M35" s="21">
        <x:f t="shared" si="1"/>
        <x:v>73089.799999999959</x:v>
      </x:c>
      <x:c r="N35" s="21"/>
      <x:c r="O35" s="4"/>
      <x:c r="P35" s="4"/>
      <x:c r="Q35" s="4"/>
      <x:c r="R35" s="4"/>
    </x:row>
    <x:row r="36" spans="1:18" ht="15.65">
      <x:c r="A36" s="1" t="s">
        <x:v>91</x:v>
      </x:c>
      <x:c r="B36" s="6">
        <x:v>397.1</x:v>
      </x:c>
      <x:c r="C36" s="5" t="s">
        <x:v>205</x:v>
      </x:c>
      <x:c r="D36" s="6" t="s">
        <x:v>3</x:v>
      </x:c>
      <x:c r="E36" s="6" t="s">
        <x:v>62</x:v>
      </x:c>
      <x:c r="F36" s="6" t="s">
        <x:v>160</x:v>
      </x:c>
      <x:c r="G36" s="4" t="s">
        <x:v>159</x:v>
      </x:c>
      <x:c r="H36" s="21">
        <x:v>2246.61</x:v>
      </x:c>
      <x:c r="I36" s="21">
        <x:f>ROUND(H36*$E$177,2)</x:f>
        <x:v>555.79</x:v>
      </x:c>
      <x:c r="J36" s="22">
        <x:f>ROUND(H36*$F$177,2)</x:f>
        <x:v>0</x:v>
      </x:c>
      <x:c r="K36" s="21">
        <x:f>ROUND(H36*$I$177,2)</x:f>
        <x:v>898.94</x:v>
      </x:c>
      <x:c r="L36" s="21">
        <x:f>ROUND(H36*$L$177,2)</x:f>
        <x:v>216.98</x:v>
      </x:c>
      <x:c r="M36" s="21">
        <x:f t="shared" si="1"/>
        <x:v>574.90000000000009</x:v>
      </x:c>
      <x:c r="N36" s="21"/>
      <x:c r="O36" s="4"/>
      <x:c r="P36" s="4"/>
      <x:c r="Q36" s="4"/>
      <x:c r="R36" s="4"/>
    </x:row>
    <x:row r="37" spans="1:18" ht="15.65">
      <x:c r="A37" s="1" t="s">
        <x:v>91</x:v>
      </x:c>
      <x:c r="B37" s="6">
        <x:v>397.1</x:v>
      </x:c>
      <x:c r="C37" s="5" t="s">
        <x:v>205</x:v>
      </x:c>
      <x:c r="D37" s="6" t="s">
        <x:v>3</x:v>
      </x:c>
      <x:c r="E37" s="6" t="s">
        <x:v>62</x:v>
      </x:c>
      <x:c r="F37" s="6" t="s">
        <x:v>158</x:v>
      </x:c>
      <x:c r="G37" s="4" t="s">
        <x:v>157</x:v>
      </x:c>
      <x:c r="H37" s="21">
        <x:v>2246.61</x:v>
      </x:c>
      <x:c r="I37" s="21">
        <x:f>ROUND(H37*$E$177,2)</x:f>
        <x:v>555.79</x:v>
      </x:c>
      <x:c r="J37" s="22">
        <x:f>ROUND(H37*$F$177,2)</x:f>
        <x:v>0</x:v>
      </x:c>
      <x:c r="K37" s="21">
        <x:f>ROUND(H37*$I$177,2)</x:f>
        <x:v>898.94</x:v>
      </x:c>
      <x:c r="L37" s="21">
        <x:f>ROUND(H37*$L$177,2)</x:f>
        <x:v>216.98</x:v>
      </x:c>
      <x:c r="M37" s="21">
        <x:f t="shared" si="1"/>
        <x:v>574.90000000000009</x:v>
      </x:c>
      <x:c r="N37" s="21"/>
      <x:c r="O37" s="4"/>
      <x:c r="P37" s="4"/>
      <x:c r="Q37" s="4"/>
      <x:c r="R37" s="4"/>
    </x:row>
    <x:row r="38" spans="1:18" ht="15.65">
      <x:c r="A38" s="1" t="s">
        <x:v>91</x:v>
      </x:c>
      <x:c r="B38" s="6">
        <x:v>397.1</x:v>
      </x:c>
      <x:c r="C38" s="5" t="s">
        <x:v>205</x:v>
      </x:c>
      <x:c r="D38" s="6" t="s">
        <x:v>3</x:v>
      </x:c>
      <x:c r="E38" s="6" t="s">
        <x:v>62</x:v>
      </x:c>
      <x:c r="F38" s="6" t="s">
        <x:v>156</x:v>
      </x:c>
      <x:c r="G38" s="4" t="s">
        <x:v>155</x:v>
      </x:c>
      <x:c r="H38" s="21">
        <x:v>2246.61</x:v>
      </x:c>
      <x:c r="I38" s="21">
        <x:f>ROUND(H38*$E$177,2)</x:f>
        <x:v>555.79</x:v>
      </x:c>
      <x:c r="J38" s="22">
        <x:f>ROUND(H38*$F$177,2)</x:f>
        <x:v>0</x:v>
      </x:c>
      <x:c r="K38" s="21">
        <x:f>ROUND(H38*$I$177,2)</x:f>
        <x:v>898.94</x:v>
      </x:c>
      <x:c r="L38" s="21">
        <x:f>ROUND(H38*$L$177,2)</x:f>
        <x:v>216.98</x:v>
      </x:c>
      <x:c r="M38" s="21">
        <x:f t="shared" si="1"/>
        <x:v>574.90000000000009</x:v>
      </x:c>
      <x:c r="N38" s="21"/>
      <x:c r="O38" s="4"/>
      <x:c r="P38" s="4"/>
      <x:c r="Q38" s="4"/>
      <x:c r="R38" s="4"/>
    </x:row>
    <x:row r="39" spans="1:18" ht="15.65">
      <x:c r="A39" s="1" t="s">
        <x:v>91</x:v>
      </x:c>
      <x:c r="B39" s="6">
        <x:v>397.1</x:v>
      </x:c>
      <x:c r="C39" s="5" t="s">
        <x:v>205</x:v>
      </x:c>
      <x:c r="D39" s="6" t="s">
        <x:v>3</x:v>
      </x:c>
      <x:c r="E39" s="6" t="s">
        <x:v>11</x:v>
      </x:c>
      <x:c r="F39" s="6" t="s">
        <x:v>154</x:v>
      </x:c>
      <x:c r="G39" s="4" t="s">
        <x:v>153</x:v>
      </x:c>
      <x:c r="H39" s="21">
        <x:v>-481.79</x:v>
      </x:c>
      <x:c r="I39" s="21">
        <x:f>ROUND(H39*$E$177,2)</x:f>
        <x:v>-119.19</x:v>
      </x:c>
      <x:c r="J39" s="22">
        <x:f>ROUND(H39*$F$177,2)</x:f>
        <x:v>0</x:v>
      </x:c>
      <x:c r="K39" s="21">
        <x:f>ROUND(H39*$I$177,2)</x:f>
        <x:v>-192.78</x:v>
      </x:c>
      <x:c r="L39" s="21">
        <x:f>ROUND(H39*$L$177,2)</x:f>
        <x:v>-46.53</x:v>
      </x:c>
      <x:c r="M39" s="21">
        <x:f t="shared" si="1"/>
        <x:v>-123.29000000000002</x:v>
      </x:c>
      <x:c r="N39" s="21"/>
      <x:c r="O39" s="4"/>
      <x:c r="P39" s="4"/>
      <x:c r="Q39" s="4"/>
      <x:c r="R39" s="4"/>
    </x:row>
    <x:row r="40" spans="1:18" ht="15.65">
      <x:c r="A40" s="1" t="s">
        <x:v>91</x:v>
      </x:c>
      <x:c r="B40" s="6">
        <x:v>397.1</x:v>
      </x:c>
      <x:c r="C40" s="5" t="s">
        <x:v>205</x:v>
      </x:c>
      <x:c r="D40" s="6" t="s">
        <x:v>3</x:v>
      </x:c>
      <x:c r="E40" s="6" t="s">
        <x:v>62</x:v>
      </x:c>
      <x:c r="F40" s="6" t="s">
        <x:v>154</x:v>
      </x:c>
      <x:c r="G40" s="4" t="s">
        <x:v>153</x:v>
      </x:c>
      <x:c r="H40" s="21">
        <x:v>2246.61</x:v>
      </x:c>
      <x:c r="I40" s="21">
        <x:f>ROUND(H40*$E$177,2)</x:f>
        <x:v>555.79</x:v>
      </x:c>
      <x:c r="J40" s="22">
        <x:f>ROUND(H40*$F$177,2)</x:f>
        <x:v>0</x:v>
      </x:c>
      <x:c r="K40" s="21">
        <x:f>ROUND(H40*$I$177,2)</x:f>
        <x:v>898.94</x:v>
      </x:c>
      <x:c r="L40" s="21">
        <x:f>ROUND(H40*$L$177,2)</x:f>
        <x:v>216.98</x:v>
      </x:c>
      <x:c r="M40" s="21">
        <x:f t="shared" si="1"/>
        <x:v>574.90000000000009</x:v>
      </x:c>
      <x:c r="N40" s="21"/>
      <x:c r="O40" s="4"/>
      <x:c r="P40" s="4"/>
      <x:c r="Q40" s="4"/>
      <x:c r="R40" s="4"/>
    </x:row>
    <x:row r="41" spans="1:18" ht="15.65">
      <x:c r="A41" s="1" t="s">
        <x:v>91</x:v>
      </x:c>
      <x:c r="B41" s="6">
        <x:v>397.1</x:v>
      </x:c>
      <x:c r="C41" s="5" t="s">
        <x:v>205</x:v>
      </x:c>
      <x:c r="D41" s="6" t="s">
        <x:v>3</x:v>
      </x:c>
      <x:c r="E41" s="6" t="s">
        <x:v>62</x:v>
      </x:c>
      <x:c r="F41" s="6" t="s">
        <x:v>152</x:v>
      </x:c>
      <x:c r="G41" s="4" t="s">
        <x:v>151</x:v>
      </x:c>
      <x:c r="H41" s="21">
        <x:v>2246.61</x:v>
      </x:c>
      <x:c r="I41" s="21">
        <x:f>ROUND(H41*$E$177,2)</x:f>
        <x:v>555.79</x:v>
      </x:c>
      <x:c r="J41" s="22">
        <x:f>ROUND(H41*$F$177,2)</x:f>
        <x:v>0</x:v>
      </x:c>
      <x:c r="K41" s="21">
        <x:f>ROUND(H41*$I$177,2)</x:f>
        <x:v>898.94</x:v>
      </x:c>
      <x:c r="L41" s="21">
        <x:f>ROUND(H41*$L$177,2)</x:f>
        <x:v>216.98</x:v>
      </x:c>
      <x:c r="M41" s="21">
        <x:f t="shared" si="1"/>
        <x:v>574.90000000000009</x:v>
      </x:c>
      <x:c r="N41" s="21"/>
      <x:c r="O41" s="4"/>
      <x:c r="P41" s="4"/>
      <x:c r="Q41" s="4"/>
      <x:c r="R41" s="4"/>
    </x:row>
    <x:row r="42" spans="1:18" ht="15.65">
      <x:c r="A42" s="1" t="s">
        <x:v>91</x:v>
      </x:c>
      <x:c r="B42" s="6">
        <x:v>397.1</x:v>
      </x:c>
      <x:c r="C42" s="5" t="s">
        <x:v>205</x:v>
      </x:c>
      <x:c r="D42" s="6" t="s">
        <x:v>3</x:v>
      </x:c>
      <x:c r="E42" s="6" t="s">
        <x:v>62</x:v>
      </x:c>
      <x:c r="F42" s="6" t="s">
        <x:v>150</x:v>
      </x:c>
      <x:c r="G42" s="4" t="s">
        <x:v>149</x:v>
      </x:c>
      <x:c r="H42" s="21">
        <x:v>4493.2299999999996</x:v>
      </x:c>
      <x:c r="I42" s="21">
        <x:f>ROUND(H42*$E$177,2)</x:f>
        <x:v>1111.58</x:v>
      </x:c>
      <x:c r="J42" s="22">
        <x:f>ROUND(H42*$F$177,2)</x:f>
        <x:v>0</x:v>
      </x:c>
      <x:c r="K42" s="21">
        <x:f>ROUND(H42*$I$177,2)</x:f>
        <x:v>1797.88</x:v>
      </x:c>
      <x:c r="L42" s="21">
        <x:f>ROUND(H42*$L$177,2)</x:f>
        <x:v>433.96</x:v>
      </x:c>
      <x:c r="M42" s="21">
        <x:f t="shared" si="1"/>
        <x:v>1149.8099999999995</x:v>
      </x:c>
      <x:c r="N42" s="21"/>
      <x:c r="O42" s="4"/>
      <x:c r="P42" s="4"/>
      <x:c r="Q42" s="4"/>
      <x:c r="R42" s="4"/>
    </x:row>
    <x:row r="43" spans="1:18" ht="15.65">
      <x:c r="A43" s="1" t="s">
        <x:v>91</x:v>
      </x:c>
      <x:c r="B43" s="6">
        <x:v>397.1</x:v>
      </x:c>
      <x:c r="C43" s="5" t="s">
        <x:v>205</x:v>
      </x:c>
      <x:c r="D43" s="6" t="s">
        <x:v>3</x:v>
      </x:c>
      <x:c r="E43" s="6" t="s">
        <x:v>62</x:v>
      </x:c>
      <x:c r="F43" s="6" t="s">
        <x:v>148</x:v>
      </x:c>
      <x:c r="G43" s="4" t="s">
        <x:v>147</x:v>
      </x:c>
      <x:c r="H43" s="21">
        <x:v>2246.61</x:v>
      </x:c>
      <x:c r="I43" s="21">
        <x:f>ROUND(H43*$E$177,2)</x:f>
        <x:v>555.79</x:v>
      </x:c>
      <x:c r="J43" s="22">
        <x:f>ROUND(H43*$F$177,2)</x:f>
        <x:v>0</x:v>
      </x:c>
      <x:c r="K43" s="21">
        <x:f>ROUND(H43*$I$177,2)</x:f>
        <x:v>898.94</x:v>
      </x:c>
      <x:c r="L43" s="21">
        <x:f>ROUND(H43*$L$177,2)</x:f>
        <x:v>216.98</x:v>
      </x:c>
      <x:c r="M43" s="21">
        <x:f t="shared" si="1"/>
        <x:v>574.90000000000009</x:v>
      </x:c>
      <x:c r="N43" s="21"/>
      <x:c r="O43" s="4"/>
      <x:c r="P43" s="4"/>
      <x:c r="Q43" s="4"/>
      <x:c r="R43" s="4"/>
    </x:row>
    <x:row r="44" spans="1:18" ht="15.65">
      <x:c r="A44" s="1" t="s">
        <x:v>91</x:v>
      </x:c>
      <x:c r="B44" s="6">
        <x:v>397.1</x:v>
      </x:c>
      <x:c r="C44" s="5" t="s">
        <x:v>205</x:v>
      </x:c>
      <x:c r="D44" s="6" t="s">
        <x:v>3</x:v>
      </x:c>
      <x:c r="E44" s="6" t="s">
        <x:v>14</x:v>
      </x:c>
      <x:c r="F44" s="6" t="s">
        <x:v>146</x:v>
      </x:c>
      <x:c r="G44" s="4" t="s">
        <x:v>145</x:v>
      </x:c>
      <x:c r="H44" s="21">
        <x:v>7193.21</x:v>
      </x:c>
      <x:c r="I44" s="21">
        <x:f>ROUND(H44*$E$177,2)</x:f>
        <x:v>1779.53</x:v>
      </x:c>
      <x:c r="J44" s="22">
        <x:f>ROUND(H44*$F$177,2)</x:f>
        <x:v>0</x:v>
      </x:c>
      <x:c r="K44" s="21">
        <x:f>ROUND(H44*$I$177,2)</x:f>
        <x:v>2878.22</x:v>
      </x:c>
      <x:c r="L44" s="21">
        <x:f>ROUND(H44*$L$177,2)</x:f>
        <x:v>694.72</x:v>
      </x:c>
      <x:c r="M44" s="21">
        <x:f t="shared" si="1"/>
        <x:v>1840.7400000000005</x:v>
      </x:c>
      <x:c r="N44" s="21"/>
      <x:c r="O44" s="4"/>
      <x:c r="P44" s="4"/>
      <x:c r="Q44" s="4"/>
      <x:c r="R44" s="4"/>
    </x:row>
    <x:row r="45" spans="1:18" ht="15.65">
      <x:c r="A45" s="1" t="s">
        <x:v>91</x:v>
      </x:c>
      <x:c r="B45" s="6">
        <x:v>397.1</x:v>
      </x:c>
      <x:c r="C45" s="5" t="s">
        <x:v>205</x:v>
      </x:c>
      <x:c r="D45" s="6" t="s">
        <x:v>3</x:v>
      </x:c>
      <x:c r="E45" s="6" t="s">
        <x:v>62</x:v>
      </x:c>
      <x:c r="F45" s="6" t="s">
        <x:v>146</x:v>
      </x:c>
      <x:c r="G45" s="4" t="s">
        <x:v>145</x:v>
      </x:c>
      <x:c r="H45" s="21">
        <x:v>4493.2299999999996</x:v>
      </x:c>
      <x:c r="I45" s="21">
        <x:f>ROUND(H45*$E$177,2)</x:f>
        <x:v>1111.58</x:v>
      </x:c>
      <x:c r="J45" s="22">
        <x:f>ROUND(H45*$F$177,2)</x:f>
        <x:v>0</x:v>
      </x:c>
      <x:c r="K45" s="21">
        <x:f>ROUND(H45*$I$177,2)</x:f>
        <x:v>1797.88</x:v>
      </x:c>
      <x:c r="L45" s="21">
        <x:f>ROUND(H45*$L$177,2)</x:f>
        <x:v>433.96</x:v>
      </x:c>
      <x:c r="M45" s="21">
        <x:f t="shared" si="1"/>
        <x:v>1149.8099999999995</x:v>
      </x:c>
      <x:c r="N45" s="21"/>
      <x:c r="O45" s="4"/>
      <x:c r="P45" s="4"/>
      <x:c r="Q45" s="4"/>
      <x:c r="R45" s="4"/>
    </x:row>
    <x:row r="46" spans="1:18" ht="15.65">
      <x:c r="A46" s="1" t="s">
        <x:v>91</x:v>
      </x:c>
      <x:c r="B46" s="6">
        <x:v>397.1</x:v>
      </x:c>
      <x:c r="C46" s="5" t="s">
        <x:v>205</x:v>
      </x:c>
      <x:c r="D46" s="6" t="s">
        <x:v>3</x:v>
      </x:c>
      <x:c r="E46" s="6" t="s">
        <x:v>8</x:v>
      </x:c>
      <x:c r="F46" s="6" t="s">
        <x:v>144</x:v>
      </x:c>
      <x:c r="G46" s="4" t="s">
        <x:v>143</x:v>
      </x:c>
      <x:c r="H46" s="21">
        <x:v>9950.81</x:v>
      </x:c>
      <x:c r="I46" s="21">
        <x:f>ROUND(H46*$E$177,2)</x:f>
        <x:v>2461.73</x:v>
      </x:c>
      <x:c r="J46" s="22">
        <x:f>ROUND(H46*$F$177,2)</x:f>
        <x:v>0</x:v>
      </x:c>
      <x:c r="K46" s="21">
        <x:f>ROUND(H46*$I$177,2)</x:f>
        <x:v>3981.62</x:v>
      </x:c>
      <x:c r="L46" s="21">
        <x:f>ROUND(H46*$L$177,2)</x:f>
        <x:v>961.05</x:v>
      </x:c>
      <x:c r="M46" s="21">
        <x:f t="shared" si="1"/>
        <x:v>2546.41</x:v>
      </x:c>
      <x:c r="N46" s="21"/>
      <x:c r="O46" s="4"/>
      <x:c r="P46" s="4"/>
      <x:c r="Q46" s="4"/>
      <x:c r="R46" s="4"/>
    </x:row>
    <x:row r="47" spans="1:18" ht="15.65">
      <x:c r="A47" s="1" t="s">
        <x:v>91</x:v>
      </x:c>
      <x:c r="B47" s="6">
        <x:v>397.1</x:v>
      </x:c>
      <x:c r="C47" s="5" t="s">
        <x:v>205</x:v>
      </x:c>
      <x:c r="D47" s="6" t="s">
        <x:v>3</x:v>
      </x:c>
      <x:c r="E47" s="6" t="s">
        <x:v>62</x:v>
      </x:c>
      <x:c r="F47" s="6" t="s">
        <x:v>144</x:v>
      </x:c>
      <x:c r="G47" s="4" t="s">
        <x:v>143</x:v>
      </x:c>
      <x:c r="H47" s="21">
        <x:v>6739.85</x:v>
      </x:c>
      <x:c r="I47" s="21">
        <x:f>ROUND(H47*$E$177,2)</x:f>
        <x:v>1667.37</x:v>
      </x:c>
      <x:c r="J47" s="22">
        <x:f>ROUND(H47*$F$177,2)</x:f>
        <x:v>0</x:v>
      </x:c>
      <x:c r="K47" s="21">
        <x:f>ROUND(H47*$I$177,2)</x:f>
        <x:v>2696.82</x:v>
      </x:c>
      <x:c r="L47" s="21">
        <x:f>ROUND(H47*$L$177,2)</x:f>
        <x:v>650.92999999999995</x:v>
      </x:c>
      <x:c r="M47" s="21">
        <x:f t="shared" si="1"/>
        <x:v>1724.7300000000005</x:v>
      </x:c>
      <x:c r="N47" s="21"/>
      <x:c r="O47" s="4"/>
      <x:c r="P47" s="4"/>
      <x:c r="Q47" s="4"/>
      <x:c r="R47" s="4"/>
    </x:row>
    <x:row r="48" spans="1:18" ht="15.65">
      <x:c r="A48" s="1" t="s">
        <x:v>91</x:v>
      </x:c>
      <x:c r="B48" s="6">
        <x:v>397.1</x:v>
      </x:c>
      <x:c r="C48" s="5" t="s">
        <x:v>205</x:v>
      </x:c>
      <x:c r="D48" s="6" t="s">
        <x:v>3</x:v>
      </x:c>
      <x:c r="E48" s="6" t="s">
        <x:v>62</x:v>
      </x:c>
      <x:c r="F48" s="6" t="s">
        <x:v>142</x:v>
      </x:c>
      <x:c r="G48" s="4" t="s">
        <x:v>141</x:v>
      </x:c>
      <x:c r="H48" s="21">
        <x:v>2246.61</x:v>
      </x:c>
      <x:c r="I48" s="21">
        <x:f>ROUND(H48*$E$177,2)</x:f>
        <x:v>555.79</x:v>
      </x:c>
      <x:c r="J48" s="22">
        <x:f>ROUND(H48*$F$177,2)</x:f>
        <x:v>0</x:v>
      </x:c>
      <x:c r="K48" s="21">
        <x:f>ROUND(H48*$I$177,2)</x:f>
        <x:v>898.94</x:v>
      </x:c>
      <x:c r="L48" s="21">
        <x:f>ROUND(H48*$L$177,2)</x:f>
        <x:v>216.98</x:v>
      </x:c>
      <x:c r="M48" s="21">
        <x:f t="shared" si="1"/>
        <x:v>574.90000000000009</x:v>
      </x:c>
      <x:c r="N48" s="21"/>
      <x:c r="O48" s="4"/>
      <x:c r="P48" s="4"/>
      <x:c r="Q48" s="4"/>
      <x:c r="R48" s="4"/>
    </x:row>
    <x:row r="49" spans="1:18" ht="15.65">
      <x:c r="A49" s="1" t="s">
        <x:v>91</x:v>
      </x:c>
      <x:c r="B49" s="6">
        <x:v>397.1</x:v>
      </x:c>
      <x:c r="C49" s="5" t="s">
        <x:v>205</x:v>
      </x:c>
      <x:c r="D49" s="6" t="s">
        <x:v>3</x:v>
      </x:c>
      <x:c r="E49" s="6" t="s">
        <x:v>62</x:v>
      </x:c>
      <x:c r="F49" s="6" t="s">
        <x:v>140</x:v>
      </x:c>
      <x:c r="G49" s="4" t="s">
        <x:v>139</x:v>
      </x:c>
      <x:c r="H49" s="21">
        <x:v>2246.61</x:v>
      </x:c>
      <x:c r="I49" s="21">
        <x:f>ROUND(H49*$E$177,2)</x:f>
        <x:v>555.79</x:v>
      </x:c>
      <x:c r="J49" s="22">
        <x:f>ROUND(H49*$F$177,2)</x:f>
        <x:v>0</x:v>
      </x:c>
      <x:c r="K49" s="21">
        <x:f>ROUND(H49*$I$177,2)</x:f>
        <x:v>898.94</x:v>
      </x:c>
      <x:c r="L49" s="21">
        <x:f>ROUND(H49*$L$177,2)</x:f>
        <x:v>216.98</x:v>
      </x:c>
      <x:c r="M49" s="21">
        <x:f t="shared" si="1"/>
        <x:v>574.90000000000009</x:v>
      </x:c>
      <x:c r="N49" s="21"/>
      <x:c r="O49" s="4"/>
      <x:c r="P49" s="4"/>
      <x:c r="Q49" s="4"/>
      <x:c r="R49" s="4"/>
    </x:row>
    <x:row r="50" spans="1:18" ht="15.65">
      <x:c r="A50" s="1" t="s">
        <x:v>91</x:v>
      </x:c>
      <x:c r="B50" s="6">
        <x:v>397.1</x:v>
      </x:c>
      <x:c r="C50" s="5" t="s">
        <x:v>205</x:v>
      </x:c>
      <x:c r="D50" s="6" t="s">
        <x:v>3</x:v>
      </x:c>
      <x:c r="E50" s="6" t="s">
        <x:v>61</x:v>
      </x:c>
      <x:c r="F50" s="6" t="s">
        <x:v>70</x:v>
      </x:c>
      <x:c r="G50" s="4" t="s">
        <x:v>69</x:v>
      </x:c>
      <x:c r="H50" s="21">
        <x:v>300076.98</x:v>
      </x:c>
      <x:c r="I50" s="21">
        <x:f>ROUND(H50*$E$177,2)</x:f>
        <x:v>74236.039999999994</x:v>
      </x:c>
      <x:c r="J50" s="22">
        <x:f>ROUND(H50*$F$177,2)</x:f>
        <x:v>0</x:v>
      </x:c>
      <x:c r="K50" s="21">
        <x:f>ROUND(H50*$I$177,2)</x:f>
        <x:v>120069.8</x:v>
      </x:c>
      <x:c r="L50" s="21">
        <x:f>ROUND(H50*$L$177,2)</x:f>
        <x:v>28981.43</x:v>
      </x:c>
      <x:c r="M50" s="21">
        <x:f t="shared" si="1"/>
        <x:v>76789.709999999992</x:v>
      </x:c>
      <x:c r="N50" s="21"/>
      <x:c r="O50" s="4"/>
      <x:c r="P50" s="4"/>
      <x:c r="Q50" s="4"/>
      <x:c r="R50" s="4"/>
    </x:row>
    <x:row r="51" spans="1:18" ht="15.65">
      <x:c r="A51" s="1" t="s">
        <x:v>91</x:v>
      </x:c>
      <x:c r="B51" s="6">
        <x:v>397.1</x:v>
      </x:c>
      <x:c r="C51" s="5" t="s">
        <x:v>205</x:v>
      </x:c>
      <x:c r="D51" s="6" t="s">
        <x:v>3</x:v>
      </x:c>
      <x:c r="E51" s="6" t="s">
        <x:v>62</x:v>
      </x:c>
      <x:c r="F51" s="6" t="s">
        <x:v>138</x:v>
      </x:c>
      <x:c r="G51" s="4" t="s">
        <x:v>137</x:v>
      </x:c>
      <x:c r="H51" s="21">
        <x:v>4493.2299999999996</x:v>
      </x:c>
      <x:c r="I51" s="21">
        <x:f>ROUND(H51*$E$177,2)</x:f>
        <x:v>1111.58</x:v>
      </x:c>
      <x:c r="J51" s="22">
        <x:f>ROUND(H51*$F$177,2)</x:f>
        <x:v>0</x:v>
      </x:c>
      <x:c r="K51" s="21">
        <x:f>ROUND(H51*$I$177,2)</x:f>
        <x:v>1797.88</x:v>
      </x:c>
      <x:c r="L51" s="21">
        <x:f>ROUND(H51*$L$177,2)</x:f>
        <x:v>433.96</x:v>
      </x:c>
      <x:c r="M51" s="21">
        <x:f t="shared" si="1"/>
        <x:v>1149.8099999999995</x:v>
      </x:c>
      <x:c r="N51" s="21"/>
      <x:c r="O51" s="4"/>
      <x:c r="P51" s="4"/>
      <x:c r="Q51" s="4"/>
      <x:c r="R51" s="4"/>
    </x:row>
    <x:row r="52" spans="1:18" ht="15.65">
      <x:c r="A52" s="1" t="s">
        <x:v>91</x:v>
      </x:c>
      <x:c r="B52" s="6">
        <x:v>397.1</x:v>
      </x:c>
      <x:c r="C52" s="5" t="s">
        <x:v>205</x:v>
      </x:c>
      <x:c r="D52" s="6" t="s">
        <x:v>3</x:v>
      </x:c>
      <x:c r="E52" s="6" t="s">
        <x:v>8</x:v>
      </x:c>
      <x:c r="F52" s="6" t="s">
        <x:v>136</x:v>
      </x:c>
      <x:c r="G52" s="4" t="s">
        <x:v>41</x:v>
      </x:c>
      <x:c r="H52" s="21">
        <x:v>9772.6200000000008</x:v>
      </x:c>
      <x:c r="I52" s="21">
        <x:f>ROUND(H52*$E$177,2)</x:f>
        <x:v>2417.65</x:v>
      </x:c>
      <x:c r="J52" s="22">
        <x:f>ROUND(H52*$F$177,2)</x:f>
        <x:v>0</x:v>
      </x:c>
      <x:c r="K52" s="21">
        <x:f>ROUND(H52*$I$177,2)</x:f>
        <x:v>3910.32</x:v>
      </x:c>
      <x:c r="L52" s="21">
        <x:f>ROUND(H52*$L$177,2)</x:f>
        <x:v>943.84</x:v>
      </x:c>
      <x:c r="M52" s="21">
        <x:f t="shared" si="1"/>
        <x:v>2500.8100000000009</x:v>
      </x:c>
      <x:c r="N52" s="21"/>
      <x:c r="O52" s="4"/>
      <x:c r="P52" s="4"/>
      <x:c r="Q52" s="4"/>
      <x:c r="R52" s="4"/>
    </x:row>
    <x:row r="53" spans="1:18" ht="15.65">
      <x:c r="A53" s="1" t="s">
        <x:v>91</x:v>
      </x:c>
      <x:c r="B53" s="6">
        <x:v>397.1</x:v>
      </x:c>
      <x:c r="C53" s="5" t="s">
        <x:v>205</x:v>
      </x:c>
      <x:c r="D53" s="6" t="s">
        <x:v>3</x:v>
      </x:c>
      <x:c r="E53" s="6" t="s">
        <x:v>62</x:v>
      </x:c>
      <x:c r="F53" s="6" t="s">
        <x:v>136</x:v>
      </x:c>
      <x:c r="G53" s="4" t="s">
        <x:v>41</x:v>
      </x:c>
      <x:c r="H53" s="21">
        <x:v>4493.2299999999996</x:v>
      </x:c>
      <x:c r="I53" s="21">
        <x:f>ROUND(H53*$E$177,2)</x:f>
        <x:v>1111.58</x:v>
      </x:c>
      <x:c r="J53" s="22">
        <x:f>ROUND(H53*$F$177,2)</x:f>
        <x:v>0</x:v>
      </x:c>
      <x:c r="K53" s="21">
        <x:f>ROUND(H53*$I$177,2)</x:f>
        <x:v>1797.88</x:v>
      </x:c>
      <x:c r="L53" s="21">
        <x:f>ROUND(H53*$L$177,2)</x:f>
        <x:v>433.96</x:v>
      </x:c>
      <x:c r="M53" s="21">
        <x:f t="shared" si="1"/>
        <x:v>1149.8099999999995</x:v>
      </x:c>
      <x:c r="N53" s="21"/>
      <x:c r="O53" s="4"/>
      <x:c r="P53" s="4"/>
      <x:c r="Q53" s="4"/>
      <x:c r="R53" s="4"/>
    </x:row>
    <x:row r="54" spans="1:18" ht="15.65">
      <x:c r="A54" s="1" t="s">
        <x:v>91</x:v>
      </x:c>
      <x:c r="B54" s="6">
        <x:v>397.1</x:v>
      </x:c>
      <x:c r="C54" s="5" t="s">
        <x:v>205</x:v>
      </x:c>
      <x:c r="D54" s="6" t="s">
        <x:v>3</x:v>
      </x:c>
      <x:c r="E54" s="6" t="s">
        <x:v>11</x:v>
      </x:c>
      <x:c r="F54" s="6" t="s">
        <x:v>135</x:v>
      </x:c>
      <x:c r="G54" s="4" t="s">
        <x:v>134</x:v>
      </x:c>
      <x:c r="H54" s="21">
        <x:v>7386.93</x:v>
      </x:c>
      <x:c r="I54" s="21">
        <x:f>ROUND(H54*$E$177,2)</x:f>
        <x:v>1827.45</x:v>
      </x:c>
      <x:c r="J54" s="22">
        <x:f>ROUND(H54*$F$177,2)</x:f>
        <x:v>0</x:v>
      </x:c>
      <x:c r="K54" s="21">
        <x:f>ROUND(H54*$I$177,2)</x:f>
        <x:v>2955.73</x:v>
      </x:c>
      <x:c r="L54" s="21">
        <x:f>ROUND(H54*$L$177,2)</x:f>
        <x:v>713.43</x:v>
      </x:c>
      <x:c r="M54" s="21">
        <x:f t="shared" si="1"/>
        <x:v>1890.3200000000006</x:v>
      </x:c>
      <x:c r="N54" s="21"/>
      <x:c r="O54" s="4"/>
      <x:c r="P54" s="4"/>
      <x:c r="Q54" s="4"/>
      <x:c r="R54" s="4"/>
    </x:row>
    <x:row r="55" spans="1:18" ht="15.65">
      <x:c r="A55" s="1" t="s">
        <x:v>91</x:v>
      </x:c>
      <x:c r="B55" s="6">
        <x:v>397.1</x:v>
      </x:c>
      <x:c r="C55" s="5" t="s">
        <x:v>205</x:v>
      </x:c>
      <x:c r="D55" s="6" t="s">
        <x:v>3</x:v>
      </x:c>
      <x:c r="E55" s="6" t="s">
        <x:v>62</x:v>
      </x:c>
      <x:c r="F55" s="6" t="s">
        <x:v>135</x:v>
      </x:c>
      <x:c r="G55" s="4" t="s">
        <x:v>134</x:v>
      </x:c>
      <x:c r="H55" s="21">
        <x:v>6739.85</x:v>
      </x:c>
      <x:c r="I55" s="21">
        <x:f>ROUND(H55*$E$177,2)</x:f>
        <x:v>1667.37</x:v>
      </x:c>
      <x:c r="J55" s="22">
        <x:f>ROUND(H55*$F$177,2)</x:f>
        <x:v>0</x:v>
      </x:c>
      <x:c r="K55" s="21">
        <x:f>ROUND(H55*$I$177,2)</x:f>
        <x:v>2696.82</x:v>
      </x:c>
      <x:c r="L55" s="21">
        <x:f>ROUND(H55*$L$177,2)</x:f>
        <x:v>650.92999999999995</x:v>
      </x:c>
      <x:c r="M55" s="21">
        <x:f t="shared" si="1"/>
        <x:v>1724.7300000000005</x:v>
      </x:c>
      <x:c r="N55" s="21"/>
      <x:c r="O55" s="4"/>
      <x:c r="P55" s="4"/>
      <x:c r="Q55" s="4"/>
      <x:c r="R55" s="4"/>
    </x:row>
    <x:row r="56" spans="1:18" ht="15.65">
      <x:c r="A56" s="1" t="s">
        <x:v>91</x:v>
      </x:c>
      <x:c r="B56" s="6">
        <x:v>397.1</x:v>
      </x:c>
      <x:c r="C56" s="5" t="s">
        <x:v>205</x:v>
      </x:c>
      <x:c r="D56" s="6" t="s">
        <x:v>3</x:v>
      </x:c>
      <x:c r="E56" s="6" t="s">
        <x:v>62</x:v>
      </x:c>
      <x:c r="F56" s="6" t="s">
        <x:v>133</x:v>
      </x:c>
      <x:c r="G56" s="4" t="s">
        <x:v>132</x:v>
      </x:c>
      <x:c r="H56" s="21">
        <x:v>4493.2299999999996</x:v>
      </x:c>
      <x:c r="I56" s="21">
        <x:f>ROUND(H56*$E$177,2)</x:f>
        <x:v>1111.58</x:v>
      </x:c>
      <x:c r="J56" s="22">
        <x:f>ROUND(H56*$F$177,2)</x:f>
        <x:v>0</x:v>
      </x:c>
      <x:c r="K56" s="21">
        <x:f>ROUND(H56*$I$177,2)</x:f>
        <x:v>1797.88</x:v>
      </x:c>
      <x:c r="L56" s="21">
        <x:f>ROUND(H56*$L$177,2)</x:f>
        <x:v>433.96</x:v>
      </x:c>
      <x:c r="M56" s="21">
        <x:f t="shared" si="1"/>
        <x:v>1149.8099999999995</x:v>
      </x:c>
      <x:c r="N56" s="21"/>
      <x:c r="O56" s="4"/>
      <x:c r="P56" s="4"/>
      <x:c r="Q56" s="4"/>
      <x:c r="R56" s="4"/>
    </x:row>
    <x:row r="57" spans="1:18" ht="15.65">
      <x:c r="A57" s="1" t="s">
        <x:v>91</x:v>
      </x:c>
      <x:c r="B57" s="6">
        <x:v>397.1</x:v>
      </x:c>
      <x:c r="C57" s="5" t="s">
        <x:v>205</x:v>
      </x:c>
      <x:c r="D57" s="6" t="s">
        <x:v>3</x:v>
      </x:c>
      <x:c r="E57" s="6" t="s">
        <x:v>62</x:v>
      </x:c>
      <x:c r="F57" s="6" t="s">
        <x:v>131</x:v>
      </x:c>
      <x:c r="G57" s="4" t="s">
        <x:v>130</x:v>
      </x:c>
      <x:c r="H57" s="21">
        <x:v>6739.85</x:v>
      </x:c>
      <x:c r="I57" s="21">
        <x:f>ROUND(H57*$E$177,2)</x:f>
        <x:v>1667.37</x:v>
      </x:c>
      <x:c r="J57" s="22">
        <x:f>ROUND(H57*$F$177,2)</x:f>
        <x:v>0</x:v>
      </x:c>
      <x:c r="K57" s="21">
        <x:f>ROUND(H57*$I$177,2)</x:f>
        <x:v>2696.82</x:v>
      </x:c>
      <x:c r="L57" s="21">
        <x:f>ROUND(H57*$L$177,2)</x:f>
        <x:v>650.92999999999995</x:v>
      </x:c>
      <x:c r="M57" s="21">
        <x:f t="shared" si="1"/>
        <x:v>1724.7300000000005</x:v>
      </x:c>
      <x:c r="N57" s="21"/>
      <x:c r="O57" s="4"/>
      <x:c r="P57" s="4"/>
      <x:c r="Q57" s="4"/>
      <x:c r="R57" s="4"/>
    </x:row>
    <x:row r="58" spans="1:18" ht="15.65">
      <x:c r="A58" s="1" t="s">
        <x:v>91</x:v>
      </x:c>
      <x:c r="B58" s="6">
        <x:v>397.1</x:v>
      </x:c>
      <x:c r="C58" s="5" t="s">
        <x:v>205</x:v>
      </x:c>
      <x:c r="D58" s="6" t="s">
        <x:v>3</x:v>
      </x:c>
      <x:c r="E58" s="6" t="s">
        <x:v>14</x:v>
      </x:c>
      <x:c r="F58" s="6" t="s">
        <x:v>129</x:v>
      </x:c>
      <x:c r="G58" s="4" t="s">
        <x:v>128</x:v>
      </x:c>
      <x:c r="H58" s="21">
        <x:v>6511.22</x:v>
      </x:c>
      <x:c r="I58" s="21">
        <x:f>ROUND(H58*$E$177,2)</x:f>
        <x:v>1610.81</x:v>
      </x:c>
      <x:c r="J58" s="22">
        <x:f>ROUND(H58*$F$177,2)</x:f>
        <x:v>0</x:v>
      </x:c>
      <x:c r="K58" s="21">
        <x:f>ROUND(H58*$I$177,2)</x:f>
        <x:v>2605.33</x:v>
      </x:c>
      <x:c r="L58" s="21">
        <x:f>ROUND(H58*$L$177,2)</x:f>
        <x:v>628.85</x:v>
      </x:c>
      <x:c r="M58" s="21">
        <x:f t="shared" si="1"/>
        <x:v>1666.23</x:v>
      </x:c>
      <x:c r="N58" s="21"/>
      <x:c r="O58" s="4"/>
      <x:c r="P58" s="4"/>
      <x:c r="Q58" s="4"/>
      <x:c r="R58" s="4"/>
    </x:row>
    <x:row r="59" spans="1:18" ht="15.65">
      <x:c r="A59" s="1" t="s">
        <x:v>91</x:v>
      </x:c>
      <x:c r="B59" s="6">
        <x:v>397.1</x:v>
      </x:c>
      <x:c r="C59" s="5" t="s">
        <x:v>205</x:v>
      </x:c>
      <x:c r="D59" s="6" t="s">
        <x:v>3</x:v>
      </x:c>
      <x:c r="E59" s="6" t="s">
        <x:v>62</x:v>
      </x:c>
      <x:c r="F59" s="6" t="s">
        <x:v>129</x:v>
      </x:c>
      <x:c r="G59" s="4" t="s">
        <x:v>128</x:v>
      </x:c>
      <x:c r="H59" s="21">
        <x:v>2246.61</x:v>
      </x:c>
      <x:c r="I59" s="21">
        <x:f>ROUND(H59*$E$177,2)</x:f>
        <x:v>555.79</x:v>
      </x:c>
      <x:c r="J59" s="22">
        <x:f>ROUND(H59*$F$177,2)</x:f>
        <x:v>0</x:v>
      </x:c>
      <x:c r="K59" s="21">
        <x:f>ROUND(H59*$I$177,2)</x:f>
        <x:v>898.94</x:v>
      </x:c>
      <x:c r="L59" s="21">
        <x:f>ROUND(H59*$L$177,2)</x:f>
        <x:v>216.98</x:v>
      </x:c>
      <x:c r="M59" s="21">
        <x:f t="shared" si="1"/>
        <x:v>574.90000000000009</x:v>
      </x:c>
      <x:c r="N59" s="21"/>
      <x:c r="O59" s="4"/>
      <x:c r="P59" s="4"/>
      <x:c r="Q59" s="4"/>
      <x:c r="R59" s="4"/>
    </x:row>
    <x:row r="60" spans="1:18" ht="15.65">
      <x:c r="A60" s="1" t="s">
        <x:v>91</x:v>
      </x:c>
      <x:c r="B60" s="6">
        <x:v>397.1</x:v>
      </x:c>
      <x:c r="C60" s="5" t="s">
        <x:v>205</x:v>
      </x:c>
      <x:c r="D60" s="6" t="s">
        <x:v>3</x:v>
      </x:c>
      <x:c r="E60" s="6" t="s">
        <x:v>62</x:v>
      </x:c>
      <x:c r="F60" s="6" t="s">
        <x:v>127</x:v>
      </x:c>
      <x:c r="G60" s="4" t="s">
        <x:v>126</x:v>
      </x:c>
      <x:c r="H60" s="21">
        <x:v>8986.4699999999993</x:v>
      </x:c>
      <x:c r="I60" s="21">
        <x:f>ROUND(H60*$E$177,2)</x:f>
        <x:v>2223.16</x:v>
      </x:c>
      <x:c r="J60" s="22">
        <x:f>ROUND(H60*$F$177,2)</x:f>
        <x:v>0</x:v>
      </x:c>
      <x:c r="K60" s="21">
        <x:f>ROUND(H60*$I$177,2)</x:f>
        <x:v>3595.76</x:v>
      </x:c>
      <x:c r="L60" s="21">
        <x:f>ROUND(H60*$L$177,2)</x:f>
        <x:v>867.91</x:v>
      </x:c>
      <x:c r="M60" s="21">
        <x:f t="shared" si="1"/>
        <x:v>2299.6399999999994</x:v>
      </x:c>
      <x:c r="N60" s="21"/>
      <x:c r="O60" s="4"/>
      <x:c r="P60" s="4"/>
      <x:c r="Q60" s="4"/>
      <x:c r="R60" s="4"/>
    </x:row>
    <x:row r="61" spans="1:18" ht="15.65">
      <x:c r="A61" s="1" t="s">
        <x:v>91</x:v>
      </x:c>
      <x:c r="B61" s="6">
        <x:v>397.1</x:v>
      </x:c>
      <x:c r="C61" s="5" t="s">
        <x:v>205</x:v>
      </x:c>
      <x:c r="D61" s="6" t="s">
        <x:v>3</x:v>
      </x:c>
      <x:c r="E61" s="6" t="s">
        <x:v>62</x:v>
      </x:c>
      <x:c r="F61" s="6" t="s">
        <x:v>125</x:v>
      </x:c>
      <x:c r="G61" s="4" t="s">
        <x:v>124</x:v>
      </x:c>
      <x:c r="H61" s="21">
        <x:v>2246.61</x:v>
      </x:c>
      <x:c r="I61" s="21">
        <x:f>ROUND(H61*$E$177,2)</x:f>
        <x:v>555.79</x:v>
      </x:c>
      <x:c r="J61" s="22">
        <x:f>ROUND(H61*$F$177,2)</x:f>
        <x:v>0</x:v>
      </x:c>
      <x:c r="K61" s="21">
        <x:f>ROUND(H61*$I$177,2)</x:f>
        <x:v>898.94</x:v>
      </x:c>
      <x:c r="L61" s="21">
        <x:f>ROUND(H61*$L$177,2)</x:f>
        <x:v>216.98</x:v>
      </x:c>
      <x:c r="M61" s="21">
        <x:f t="shared" si="1"/>
        <x:v>574.90000000000009</x:v>
      </x:c>
      <x:c r="N61" s="21"/>
      <x:c r="O61" s="4"/>
      <x:c r="P61" s="4"/>
      <x:c r="Q61" s="4"/>
      <x:c r="R61" s="4"/>
    </x:row>
    <x:row r="62" spans="1:18" ht="15.65">
      <x:c r="A62" s="1" t="s">
        <x:v>91</x:v>
      </x:c>
      <x:c r="B62" s="6">
        <x:v>397.1</x:v>
      </x:c>
      <x:c r="C62" s="5" t="s">
        <x:v>205</x:v>
      </x:c>
      <x:c r="D62" s="6" t="s">
        <x:v>3</x:v>
      </x:c>
      <x:c r="E62" s="6" t="s">
        <x:v>14</x:v>
      </x:c>
      <x:c r="F62" s="6" t="s">
        <x:v>123</x:v>
      </x:c>
      <x:c r="G62" s="4" t="s">
        <x:v>122</x:v>
      </x:c>
      <x:c r="H62" s="21">
        <x:v>7093.54</x:v>
      </x:c>
      <x:c r="I62" s="21">
        <x:f>ROUND(H62*$E$177,2)</x:f>
        <x:v>1754.87</x:v>
      </x:c>
      <x:c r="J62" s="22">
        <x:f>ROUND(H62*$F$177,2)</x:f>
        <x:v>0</x:v>
      </x:c>
      <x:c r="K62" s="21">
        <x:f>ROUND(H62*$I$177,2)</x:f>
        <x:v>2838.34</x:v>
      </x:c>
      <x:c r="L62" s="21">
        <x:f>ROUND(H62*$L$177,2)</x:f>
        <x:v>685.09</x:v>
      </x:c>
      <x:c r="M62" s="21">
        <x:f t="shared" si="1"/>
        <x:v>1815.2399999999998</x:v>
      </x:c>
      <x:c r="N62" s="21"/>
      <x:c r="O62" s="4"/>
      <x:c r="P62" s="4"/>
      <x:c r="Q62" s="4"/>
      <x:c r="R62" s="4"/>
    </x:row>
    <x:row r="63" spans="1:18" ht="15.65">
      <x:c r="A63" s="1" t="s">
        <x:v>91</x:v>
      </x:c>
      <x:c r="B63" s="6">
        <x:v>397.1</x:v>
      </x:c>
      <x:c r="C63" s="5" t="s">
        <x:v>205</x:v>
      </x:c>
      <x:c r="D63" s="6" t="s">
        <x:v>3</x:v>
      </x:c>
      <x:c r="E63" s="6" t="s">
        <x:v>62</x:v>
      </x:c>
      <x:c r="F63" s="6" t="s">
        <x:v>123</x:v>
      </x:c>
      <x:c r="G63" s="4" t="s">
        <x:v>122</x:v>
      </x:c>
      <x:c r="H63" s="21">
        <x:v>2246.61</x:v>
      </x:c>
      <x:c r="I63" s="21">
        <x:f>ROUND(H63*$E$177,2)</x:f>
        <x:v>555.79</x:v>
      </x:c>
      <x:c r="J63" s="22">
        <x:f>ROUND(H63*$F$177,2)</x:f>
        <x:v>0</x:v>
      </x:c>
      <x:c r="K63" s="21">
        <x:f>ROUND(H63*$I$177,2)</x:f>
        <x:v>898.94</x:v>
      </x:c>
      <x:c r="L63" s="21">
        <x:f>ROUND(H63*$L$177,2)</x:f>
        <x:v>216.98</x:v>
      </x:c>
      <x:c r="M63" s="21">
        <x:f t="shared" si="1"/>
        <x:v>574.90000000000009</x:v>
      </x:c>
      <x:c r="N63" s="21"/>
      <x:c r="O63" s="4"/>
      <x:c r="P63" s="4"/>
      <x:c r="Q63" s="4"/>
      <x:c r="R63" s="4"/>
    </x:row>
    <x:row r="64" spans="1:18" ht="15.65">
      <x:c r="A64" s="1" t="s">
        <x:v>91</x:v>
      </x:c>
      <x:c r="B64" s="6">
        <x:v>397.1</x:v>
      </x:c>
      <x:c r="C64" s="5" t="s">
        <x:v>205</x:v>
      </x:c>
      <x:c r="D64" s="6" t="s">
        <x:v>3</x:v>
      </x:c>
      <x:c r="E64" s="6" t="s">
        <x:v>62</x:v>
      </x:c>
      <x:c r="F64" s="6" t="s">
        <x:v>121</x:v>
      </x:c>
      <x:c r="G64" s="4" t="s">
        <x:v>120</x:v>
      </x:c>
      <x:c r="H64" s="21">
        <x:v>2246.61</x:v>
      </x:c>
      <x:c r="I64" s="21">
        <x:f>ROUND(H64*$E$177,2)</x:f>
        <x:v>555.79</x:v>
      </x:c>
      <x:c r="J64" s="22">
        <x:f>ROUND(H64*$F$177,2)</x:f>
        <x:v>0</x:v>
      </x:c>
      <x:c r="K64" s="21">
        <x:f>ROUND(H64*$I$177,2)</x:f>
        <x:v>898.94</x:v>
      </x:c>
      <x:c r="L64" s="21">
        <x:f>ROUND(H64*$L$177,2)</x:f>
        <x:v>216.98</x:v>
      </x:c>
      <x:c r="M64" s="21">
        <x:f t="shared" si="1"/>
        <x:v>574.90000000000009</x:v>
      </x:c>
      <x:c r="N64" s="21"/>
      <x:c r="O64" s="4"/>
      <x:c r="P64" s="4"/>
      <x:c r="Q64" s="4"/>
      <x:c r="R64" s="4"/>
    </x:row>
    <x:row r="65" spans="1:18" ht="15.65">
      <x:c r="A65" s="1" t="s">
        <x:v>91</x:v>
      </x:c>
      <x:c r="B65" s="6">
        <x:v>397.1</x:v>
      </x:c>
      <x:c r="C65" s="5" t="s">
        <x:v>205</x:v>
      </x:c>
      <x:c r="D65" s="6" t="s">
        <x:v>3</x:v>
      </x:c>
      <x:c r="E65" s="6" t="s">
        <x:v>11</x:v>
      </x:c>
      <x:c r="F65" s="6" t="s">
        <x:v>119</x:v>
      </x:c>
      <x:c r="G65" s="4" t="s">
        <x:v>118</x:v>
      </x:c>
      <x:c r="H65" s="21">
        <x:v>2540.5300000000002</x:v>
      </x:c>
      <x:c r="I65" s="21">
        <x:f>ROUND(H65*$E$177,2)</x:f>
        <x:v>628.5</x:v>
      </x:c>
      <x:c r="J65" s="22">
        <x:f>ROUND(H65*$F$177,2)</x:f>
        <x:v>0</x:v>
      </x:c>
      <x:c r="K65" s="21">
        <x:f>ROUND(H65*$I$177,2)</x:f>
        <x:v>1016.54</x:v>
      </x:c>
      <x:c r="L65" s="21">
        <x:f>ROUND(H65*$L$177,2)</x:f>
        <x:v>245.36</x:v>
      </x:c>
      <x:c r="M65" s="21">
        <x:f t="shared" si="1"/>
        <x:v>650.13000000000022</x:v>
      </x:c>
      <x:c r="N65" s="21"/>
      <x:c r="O65" s="4"/>
      <x:c r="P65" s="4"/>
      <x:c r="Q65" s="4"/>
      <x:c r="R65" s="4"/>
    </x:row>
    <x:row r="66" spans="1:18" ht="15.65">
      <x:c r="A66" s="1" t="s">
        <x:v>91</x:v>
      </x:c>
      <x:c r="B66" s="6">
        <x:v>397.1</x:v>
      </x:c>
      <x:c r="C66" s="5" t="s">
        <x:v>205</x:v>
      </x:c>
      <x:c r="D66" s="6" t="s">
        <x:v>3</x:v>
      </x:c>
      <x:c r="E66" s="6" t="s">
        <x:v>62</x:v>
      </x:c>
      <x:c r="F66" s="6" t="s">
        <x:v>119</x:v>
      </x:c>
      <x:c r="G66" s="4" t="s">
        <x:v>118</x:v>
      </x:c>
      <x:c r="H66" s="21">
        <x:v>2246.61</x:v>
      </x:c>
      <x:c r="I66" s="21">
        <x:f>ROUND(H66*$E$177,2)</x:f>
        <x:v>555.79</x:v>
      </x:c>
      <x:c r="J66" s="22">
        <x:f>ROUND(H66*$F$177,2)</x:f>
        <x:v>0</x:v>
      </x:c>
      <x:c r="K66" s="21">
        <x:f>ROUND(H66*$I$177,2)</x:f>
        <x:v>898.94</x:v>
      </x:c>
      <x:c r="L66" s="21">
        <x:f>ROUND(H66*$L$177,2)</x:f>
        <x:v>216.98</x:v>
      </x:c>
      <x:c r="M66" s="21">
        <x:f t="shared" si="1"/>
        <x:v>574.90000000000009</x:v>
      </x:c>
      <x:c r="N66" s="21"/>
      <x:c r="O66" s="4"/>
      <x:c r="P66" s="4"/>
      <x:c r="Q66" s="4"/>
      <x:c r="R66" s="4"/>
    </x:row>
    <x:row r="67" spans="1:18" ht="15.65">
      <x:c r="A67" s="1" t="s">
        <x:v>91</x:v>
      </x:c>
      <x:c r="B67" s="6">
        <x:v>397.1</x:v>
      </x:c>
      <x:c r="C67" s="5" t="s">
        <x:v>205</x:v>
      </x:c>
      <x:c r="D67" s="6" t="s">
        <x:v>3</x:v>
      </x:c>
      <x:c r="E67" s="6" t="s">
        <x:v>11</x:v>
      </x:c>
      <x:c r="F67" s="6" t="s">
        <x:v>117</x:v>
      </x:c>
      <x:c r="G67" s="4" t="s">
        <x:v>116</x:v>
      </x:c>
      <x:c r="H67" s="21">
        <x:v>7740.95</x:v>
      </x:c>
      <x:c r="I67" s="21">
        <x:f>ROUND(H67*$E$177,2)</x:f>
        <x:v>1915.03</x:v>
      </x:c>
      <x:c r="J67" s="22">
        <x:f>ROUND(H67*$F$177,2)</x:f>
        <x:v>0</x:v>
      </x:c>
      <x:c r="K67" s="21">
        <x:f>ROUND(H67*$I$177,2)</x:f>
        <x:v>3097.39</x:v>
      </x:c>
      <x:c r="L67" s="21">
        <x:f>ROUND(H67*$L$177,2)</x:f>
        <x:v>747.62</x:v>
      </x:c>
      <x:c r="M67" s="21">
        <x:f t="shared" ref="M67:M130" si="2">H67-I67-J67-K67-L67</x:f>
        <x:v>1980.9100000000003</x:v>
      </x:c>
      <x:c r="N67" s="21"/>
      <x:c r="O67" s="4"/>
      <x:c r="P67" s="4"/>
      <x:c r="Q67" s="4"/>
      <x:c r="R67" s="4"/>
    </x:row>
    <x:row r="68" spans="1:18" ht="15.65">
      <x:c r="A68" s="1" t="s">
        <x:v>91</x:v>
      </x:c>
      <x:c r="B68" s="6">
        <x:v>397.1</x:v>
      </x:c>
      <x:c r="C68" s="5" t="s">
        <x:v>205</x:v>
      </x:c>
      <x:c r="D68" s="6" t="s">
        <x:v>3</x:v>
      </x:c>
      <x:c r="E68" s="6" t="s">
        <x:v>62</x:v>
      </x:c>
      <x:c r="F68" s="6" t="s">
        <x:v>117</x:v>
      </x:c>
      <x:c r="G68" s="4" t="s">
        <x:v>116</x:v>
      </x:c>
      <x:c r="H68" s="21">
        <x:v>6739.85</x:v>
      </x:c>
      <x:c r="I68" s="21">
        <x:f>ROUND(H68*$E$177,2)</x:f>
        <x:v>1667.37</x:v>
      </x:c>
      <x:c r="J68" s="22">
        <x:f>ROUND(H68*$F$177,2)</x:f>
        <x:v>0</x:v>
      </x:c>
      <x:c r="K68" s="21">
        <x:f>ROUND(H68*$I$177,2)</x:f>
        <x:v>2696.82</x:v>
      </x:c>
      <x:c r="L68" s="21">
        <x:f>ROUND(H68*$L$177,2)</x:f>
        <x:v>650.92999999999995</x:v>
      </x:c>
      <x:c r="M68" s="21">
        <x:f t="shared" si="2"/>
        <x:v>1724.7300000000005</x:v>
      </x:c>
      <x:c r="N68" s="21"/>
      <x:c r="O68" s="4"/>
      <x:c r="P68" s="4"/>
      <x:c r="Q68" s="4"/>
      <x:c r="R68" s="4"/>
    </x:row>
    <x:row r="69" spans="1:18" ht="15.65">
      <x:c r="A69" s="1" t="s">
        <x:v>91</x:v>
      </x:c>
      <x:c r="B69" s="6">
        <x:v>397.1</x:v>
      </x:c>
      <x:c r="C69" s="5" t="s">
        <x:v>205</x:v>
      </x:c>
      <x:c r="D69" s="6" t="s">
        <x:v>3</x:v>
      </x:c>
      <x:c r="E69" s="6" t="s">
        <x:v>62</x:v>
      </x:c>
      <x:c r="F69" s="6" t="s">
        <x:v>115</x:v>
      </x:c>
      <x:c r="G69" s="4" t="s">
        <x:v>114</x:v>
      </x:c>
      <x:c r="H69" s="21">
        <x:v>2246.61</x:v>
      </x:c>
      <x:c r="I69" s="21">
        <x:f>ROUND(H69*$E$177,2)</x:f>
        <x:v>555.79</x:v>
      </x:c>
      <x:c r="J69" s="22">
        <x:f>ROUND(H69*$F$177,2)</x:f>
        <x:v>0</x:v>
      </x:c>
      <x:c r="K69" s="21">
        <x:f>ROUND(H69*$I$177,2)</x:f>
        <x:v>898.94</x:v>
      </x:c>
      <x:c r="L69" s="21">
        <x:f>ROUND(H69*$L$177,2)</x:f>
        <x:v>216.98</x:v>
      </x:c>
      <x:c r="M69" s="21">
        <x:f t="shared" si="2"/>
        <x:v>574.90000000000009</x:v>
      </x:c>
      <x:c r="N69" s="21"/>
      <x:c r="O69" s="4"/>
      <x:c r="P69" s="4"/>
      <x:c r="Q69" s="4"/>
      <x:c r="R69" s="4"/>
    </x:row>
    <x:row r="70" spans="1:18" ht="15.65">
      <x:c r="A70" s="1" t="s">
        <x:v>91</x:v>
      </x:c>
      <x:c r="B70" s="6">
        <x:v>397.1</x:v>
      </x:c>
      <x:c r="C70" s="5" t="s">
        <x:v>205</x:v>
      </x:c>
      <x:c r="D70" s="6" t="s">
        <x:v>3</x:v>
      </x:c>
      <x:c r="E70" s="6" t="s">
        <x:v>62</x:v>
      </x:c>
      <x:c r="F70" s="6" t="s">
        <x:v>113</x:v>
      </x:c>
      <x:c r="G70" s="4" t="s">
        <x:v>112</x:v>
      </x:c>
      <x:c r="H70" s="21">
        <x:v>2246.61</x:v>
      </x:c>
      <x:c r="I70" s="21">
        <x:f>ROUND(H70*$E$177,2)</x:f>
        <x:v>555.79</x:v>
      </x:c>
      <x:c r="J70" s="22">
        <x:f>ROUND(H70*$F$177,2)</x:f>
        <x:v>0</x:v>
      </x:c>
      <x:c r="K70" s="21">
        <x:f>ROUND(H70*$I$177,2)</x:f>
        <x:v>898.94</x:v>
      </x:c>
      <x:c r="L70" s="21">
        <x:f>ROUND(H70*$L$177,2)</x:f>
        <x:v>216.98</x:v>
      </x:c>
      <x:c r="M70" s="21">
        <x:f t="shared" si="2"/>
        <x:v>574.90000000000009</x:v>
      </x:c>
      <x:c r="N70" s="21"/>
      <x:c r="O70" s="4"/>
      <x:c r="P70" s="4"/>
      <x:c r="Q70" s="4"/>
      <x:c r="R70" s="4"/>
    </x:row>
    <x:row r="71" spans="1:18" ht="15.65">
      <x:c r="A71" s="1" t="s">
        <x:v>91</x:v>
      </x:c>
      <x:c r="B71" s="6">
        <x:v>397.1</x:v>
      </x:c>
      <x:c r="C71" s="5" t="s">
        <x:v>205</x:v>
      </x:c>
      <x:c r="D71" s="6" t="s">
        <x:v>3</x:v>
      </x:c>
      <x:c r="E71" s="6" t="s">
        <x:v>14</x:v>
      </x:c>
      <x:c r="F71" s="6" t="s">
        <x:v>111</x:v>
      </x:c>
      <x:c r="G71" s="4" t="s">
        <x:v>110</x:v>
      </x:c>
      <x:c r="H71" s="21">
        <x:v>1515.29</x:v>
      </x:c>
      <x:c r="I71" s="21">
        <x:f>ROUND(H71*$E$177,2)</x:f>
        <x:v>374.87</x:v>
      </x:c>
      <x:c r="J71" s="22">
        <x:f>ROUND(H71*$F$177,2)</x:f>
        <x:v>0</x:v>
      </x:c>
      <x:c r="K71" s="21">
        <x:f>ROUND(H71*$I$177,2)</x:f>
        <x:v>606.30999999999995</x:v>
      </x:c>
      <x:c r="L71" s="21">
        <x:f>ROUND(H71*$L$177,2)</x:f>
        <x:v>146.35</x:v>
      </x:c>
      <x:c r="M71" s="21">
        <x:f t="shared" si="2"/>
        <x:v>387.7600000000001</x:v>
      </x:c>
      <x:c r="N71" s="21"/>
      <x:c r="O71" s="4"/>
      <x:c r="P71" s="4"/>
      <x:c r="Q71" s="4"/>
      <x:c r="R71" s="4"/>
    </x:row>
    <x:row r="72" spans="1:18" ht="15.65">
      <x:c r="A72" s="1" t="s">
        <x:v>91</x:v>
      </x:c>
      <x:c r="B72" s="6">
        <x:v>397.1</x:v>
      </x:c>
      <x:c r="C72" s="5" t="s">
        <x:v>205</x:v>
      </x:c>
      <x:c r="D72" s="6" t="s">
        <x:v>3</x:v>
      </x:c>
      <x:c r="E72" s="6" t="s">
        <x:v>11</x:v>
      </x:c>
      <x:c r="F72" s="6" t="s">
        <x:v>111</x:v>
      </x:c>
      <x:c r="G72" s="4" t="s">
        <x:v>110</x:v>
      </x:c>
      <x:c r="H72" s="21">
        <x:v>19310.72</x:v>
      </x:c>
      <x:c r="I72" s="21">
        <x:f>ROUND(H72*$E$177,2)</x:f>
        <x:v>4777.28</x:v>
      </x:c>
      <x:c r="J72" s="22">
        <x:f>ROUND(H72*$F$177,2)</x:f>
        <x:v>0</x:v>
      </x:c>
      <x:c r="K72" s="21">
        <x:f>ROUND(H72*$I$177,2)</x:f>
        <x:v>7726.8</x:v>
      </x:c>
      <x:c r="L72" s="21">
        <x:f>ROUND(H72*$L$177,2)</x:f>
        <x:v>1865.03</x:v>
      </x:c>
      <x:c r="M72" s="21">
        <x:f t="shared" si="2"/>
        <x:v>4941.6100000000024</x:v>
      </x:c>
      <x:c r="N72" s="21"/>
      <x:c r="O72" s="4"/>
      <x:c r="P72" s="4"/>
      <x:c r="Q72" s="4"/>
      <x:c r="R72" s="4"/>
    </x:row>
    <x:row r="73" spans="1:18" ht="15.65">
      <x:c r="A73" s="1" t="s">
        <x:v>91</x:v>
      </x:c>
      <x:c r="B73" s="6">
        <x:v>397.1</x:v>
      </x:c>
      <x:c r="C73" s="5" t="s">
        <x:v>205</x:v>
      </x:c>
      <x:c r="D73" s="6" t="s">
        <x:v>3</x:v>
      </x:c>
      <x:c r="E73" s="6" t="s">
        <x:v>5</x:v>
      </x:c>
      <x:c r="F73" s="6" t="s">
        <x:v>111</x:v>
      </x:c>
      <x:c r="G73" s="4" t="s">
        <x:v>110</x:v>
      </x:c>
      <x:c r="H73" s="21">
        <x:v>14865.41</x:v>
      </x:c>
      <x:c r="I73" s="21">
        <x:f>ROUND(H73*$E$177,2)</x:f>
        <x:v>3677.55</x:v>
      </x:c>
      <x:c r="J73" s="22">
        <x:f>ROUND(H73*$F$177,2)</x:f>
        <x:v>0</x:v>
      </x:c>
      <x:c r="K73" s="21">
        <x:f>ROUND(H73*$I$177,2)</x:f>
        <x:v>5948.1</x:v>
      </x:c>
      <x:c r="L73" s="21">
        <x:f>ROUND(H73*$L$177,2)</x:f>
        <x:v>1435.7</x:v>
      </x:c>
      <x:c r="M73" s="21">
        <x:f t="shared" si="2"/>
        <x:v>3804.0600000000004</x:v>
      </x:c>
      <x:c r="N73" s="21"/>
      <x:c r="O73" s="4"/>
      <x:c r="P73" s="4"/>
      <x:c r="Q73" s="4"/>
      <x:c r="R73" s="4"/>
    </x:row>
    <x:row r="74" spans="1:18" ht="15.65">
      <x:c r="A74" s="1" t="s">
        <x:v>91</x:v>
      </x:c>
      <x:c r="B74" s="6">
        <x:v>397.1</x:v>
      </x:c>
      <x:c r="C74" s="5" t="s">
        <x:v>205</x:v>
      </x:c>
      <x:c r="D74" s="6" t="s">
        <x:v>3</x:v>
      </x:c>
      <x:c r="E74" s="6" t="s">
        <x:v>2</x:v>
      </x:c>
      <x:c r="F74" s="6" t="s">
        <x:v>111</x:v>
      </x:c>
      <x:c r="G74" s="4" t="s">
        <x:v>110</x:v>
      </x:c>
      <x:c r="H74" s="21">
        <x:v>45261.59</x:v>
      </x:c>
      <x:c r="I74" s="21">
        <x:f>ROUND(H74*$E$177,2)</x:f>
        <x:v>11197.26</x:v>
      </x:c>
      <x:c r="J74" s="22">
        <x:f>ROUND(H74*$F$177,2)</x:f>
        <x:v>0</x:v>
      </x:c>
      <x:c r="K74" s="21">
        <x:f>ROUND(H74*$I$177,2)</x:f>
        <x:v>18110.52</x:v>
      </x:c>
      <x:c r="L74" s="21">
        <x:f>ROUND(H74*$L$177,2)</x:f>
        <x:v>4371.3599999999997</x:v>
      </x:c>
      <x:c r="M74" s="21">
        <x:f t="shared" si="2"/>
        <x:v>11582.449999999993</x:v>
      </x:c>
      <x:c r="N74" s="21"/>
      <x:c r="O74" s="4"/>
      <x:c r="P74" s="4"/>
      <x:c r="Q74" s="4"/>
      <x:c r="R74" s="4"/>
    </x:row>
    <x:row r="75" spans="1:18" ht="15.65">
      <x:c r="A75" s="1" t="s">
        <x:v>91</x:v>
      </x:c>
      <x:c r="B75" s="6">
        <x:v>397.1</x:v>
      </x:c>
      <x:c r="C75" s="5" t="s">
        <x:v>205</x:v>
      </x:c>
      <x:c r="D75" s="6" t="s">
        <x:v>3</x:v>
      </x:c>
      <x:c r="E75" s="6" t="s">
        <x:v>8</x:v>
      </x:c>
      <x:c r="F75" s="6" t="s">
        <x:v>111</x:v>
      </x:c>
      <x:c r="G75" s="4" t="s">
        <x:v>110</x:v>
      </x:c>
      <x:c r="H75" s="21">
        <x:v>10275.73</x:v>
      </x:c>
      <x:c r="I75" s="21">
        <x:f>ROUND(H75*$E$177,2)</x:f>
        <x:v>2542.11</x:v>
      </x:c>
      <x:c r="J75" s="22">
        <x:f>ROUND(H75*$F$177,2)</x:f>
        <x:v>0</x:v>
      </x:c>
      <x:c r="K75" s="21">
        <x:f>ROUND(H75*$I$177,2)</x:f>
        <x:v>4111.63</x:v>
      </x:c>
      <x:c r="L75" s="21">
        <x:f>ROUND(H75*$L$177,2)</x:f>
        <x:v>992.43</x:v>
      </x:c>
      <x:c r="M75" s="21">
        <x:f t="shared" si="2"/>
        <x:v>2629.559999999999</x:v>
      </x:c>
      <x:c r="N75" s="21"/>
      <x:c r="O75" s="4"/>
      <x:c r="P75" s="4"/>
      <x:c r="Q75" s="4"/>
      <x:c r="R75" s="4"/>
    </x:row>
    <x:row r="76" spans="1:18" ht="15.65">
      <x:c r="A76" s="1" t="s">
        <x:v>91</x:v>
      </x:c>
      <x:c r="B76" s="6">
        <x:v>397.1</x:v>
      </x:c>
      <x:c r="C76" s="5" t="s">
        <x:v>205</x:v>
      </x:c>
      <x:c r="D76" s="6" t="s">
        <x:v>3</x:v>
      </x:c>
      <x:c r="E76" s="6" t="s">
        <x:v>62</x:v>
      </x:c>
      <x:c r="F76" s="6" t="s">
        <x:v>111</x:v>
      </x:c>
      <x:c r="G76" s="4" t="s">
        <x:v>110</x:v>
      </x:c>
      <x:c r="H76" s="21">
        <x:v>69133.22</x:v>
      </x:c>
      <x:c r="I76" s="21">
        <x:f>ROUND(H76*$E$177,2)</x:f>
        <x:v>17102.87</x:v>
      </x:c>
      <x:c r="J76" s="22">
        <x:f>ROUND(H76*$F$177,2)</x:f>
        <x:v>0</x:v>
      </x:c>
      <x:c r="K76" s="21">
        <x:f>ROUND(H76*$I$177,2)</x:f>
        <x:v>27662.28</x:v>
      </x:c>
      <x:c r="L76" s="21">
        <x:f>ROUND(H76*$L$177,2)</x:f>
        <x:v>6676.89</x:v>
      </x:c>
      <x:c r="M76" s="21">
        <x:f t="shared" si="2"/>
        <x:v>17691.180000000008</x:v>
      </x:c>
      <x:c r="N76" s="21"/>
      <x:c r="O76" s="4"/>
      <x:c r="P76" s="4"/>
      <x:c r="Q76" s="4"/>
      <x:c r="R76" s="4"/>
    </x:row>
    <x:row r="77" spans="1:18" ht="15.65">
      <x:c r="A77" s="1" t="s">
        <x:v>91</x:v>
      </x:c>
      <x:c r="B77" s="6">
        <x:v>397.1</x:v>
      </x:c>
      <x:c r="C77" s="5" t="s">
        <x:v>205</x:v>
      </x:c>
      <x:c r="D77" s="6" t="s">
        <x:v>3</x:v>
      </x:c>
      <x:c r="E77" s="6" t="s">
        <x:v>61</x:v>
      </x:c>
      <x:c r="F77" s="6" t="s">
        <x:v>111</x:v>
      </x:c>
      <x:c r="G77" s="4" t="s">
        <x:v>110</x:v>
      </x:c>
      <x:c r="H77" s="21">
        <x:v>2020.48</x:v>
      </x:c>
      <x:c r="I77" s="21">
        <x:f>ROUND(H77*$E$177,2)</x:f>
        <x:v>499.85</x:v>
      </x:c>
      <x:c r="J77" s="22">
        <x:f>ROUND(H77*$F$177,2)</x:f>
        <x:v>0</x:v>
      </x:c>
      <x:c r="K77" s="21">
        <x:f>ROUND(H77*$I$177,2)</x:f>
        <x:v>808.45</x:v>
      </x:c>
      <x:c r="L77" s="21">
        <x:f>ROUND(H77*$L$177,2)</x:f>
        <x:v>195.14</x:v>
      </x:c>
      <x:c r="M77" s="21">
        <x:f t="shared" si="2"/>
        <x:v>517.04000000000008</x:v>
      </x:c>
      <x:c r="N77" s="21"/>
      <x:c r="O77" s="4"/>
      <x:c r="P77" s="4"/>
      <x:c r="Q77" s="4"/>
      <x:c r="R77" s="4"/>
    </x:row>
    <x:row r="78" spans="1:18" ht="15.65">
      <x:c r="A78" s="1" t="s">
        <x:v>91</x:v>
      </x:c>
      <x:c r="B78" s="6">
        <x:v>397.1</x:v>
      </x:c>
      <x:c r="C78" s="5" t="s">
        <x:v>205</x:v>
      </x:c>
      <x:c r="D78" s="6" t="s">
        <x:v>3</x:v>
      </x:c>
      <x:c r="E78" s="6" t="s">
        <x:v>62</x:v>
      </x:c>
      <x:c r="F78" s="6" t="s">
        <x:v>109</x:v>
      </x:c>
      <x:c r="G78" s="4" t="s">
        <x:v>108</x:v>
      </x:c>
      <x:c r="H78" s="21">
        <x:v>2246.61</x:v>
      </x:c>
      <x:c r="I78" s="21">
        <x:f>ROUND(H78*$E$177,2)</x:f>
        <x:v>555.79</x:v>
      </x:c>
      <x:c r="J78" s="22">
        <x:f>ROUND(H78*$F$177,2)</x:f>
        <x:v>0</x:v>
      </x:c>
      <x:c r="K78" s="21">
        <x:f>ROUND(H78*$I$177,2)</x:f>
        <x:v>898.94</x:v>
      </x:c>
      <x:c r="L78" s="21">
        <x:f>ROUND(H78*$L$177,2)</x:f>
        <x:v>216.98</x:v>
      </x:c>
      <x:c r="M78" s="21">
        <x:f t="shared" si="2"/>
        <x:v>574.90000000000009</x:v>
      </x:c>
      <x:c r="N78" s="21"/>
      <x:c r="O78" s="4"/>
      <x:c r="P78" s="4"/>
      <x:c r="Q78" s="4"/>
      <x:c r="R78" s="4"/>
    </x:row>
    <x:row r="79" spans="1:18" ht="15.65">
      <x:c r="A79" s="1" t="s">
        <x:v>91</x:v>
      </x:c>
      <x:c r="B79" s="6">
        <x:v>397.1</x:v>
      </x:c>
      <x:c r="C79" s="5" t="s">
        <x:v>205</x:v>
      </x:c>
      <x:c r="D79" s="6" t="s">
        <x:v>3</x:v>
      </x:c>
      <x:c r="E79" s="6" t="s">
        <x:v>11</x:v>
      </x:c>
      <x:c r="F79" s="6" t="s">
        <x:v>107</x:v>
      </x:c>
      <x:c r="G79" s="4" t="s">
        <x:v>106</x:v>
      </x:c>
      <x:c r="H79" s="21">
        <x:v>7151</x:v>
      </x:c>
      <x:c r="I79" s="21">
        <x:f>ROUND(H79*$E$177,2)</x:f>
        <x:v>1769.09</x:v>
      </x:c>
      <x:c r="J79" s="22">
        <x:f>ROUND(H79*$F$177,2)</x:f>
        <x:v>0</x:v>
      </x:c>
      <x:c r="K79" s="21">
        <x:f>ROUND(H79*$I$177,2)</x:f>
        <x:v>2861.33</x:v>
      </x:c>
      <x:c r="L79" s="21">
        <x:f>ROUND(H79*$L$177,2)</x:f>
        <x:v>690.64</x:v>
      </x:c>
      <x:c r="M79" s="21">
        <x:f t="shared" si="2"/>
        <x:v>1829.94</x:v>
      </x:c>
      <x:c r="N79" s="21"/>
      <x:c r="O79" s="4"/>
      <x:c r="P79" s="4"/>
      <x:c r="Q79" s="4"/>
      <x:c r="R79" s="4"/>
    </x:row>
    <x:row r="80" spans="1:18" ht="15.65">
      <x:c r="A80" s="1" t="s">
        <x:v>91</x:v>
      </x:c>
      <x:c r="B80" s="6">
        <x:v>397.1</x:v>
      </x:c>
      <x:c r="C80" s="5" t="s">
        <x:v>205</x:v>
      </x:c>
      <x:c r="D80" s="6" t="s">
        <x:v>3</x:v>
      </x:c>
      <x:c r="E80" s="6" t="s">
        <x:v>62</x:v>
      </x:c>
      <x:c r="F80" s="6" t="s">
        <x:v>107</x:v>
      </x:c>
      <x:c r="G80" s="4" t="s">
        <x:v>106</x:v>
      </x:c>
      <x:c r="H80" s="21">
        <x:v>2246.61</x:v>
      </x:c>
      <x:c r="I80" s="21">
        <x:f>ROUND(H80*$E$177,2)</x:f>
        <x:v>555.79</x:v>
      </x:c>
      <x:c r="J80" s="22">
        <x:f>ROUND(H80*$F$177,2)</x:f>
        <x:v>0</x:v>
      </x:c>
      <x:c r="K80" s="21">
        <x:f>ROUND(H80*$I$177,2)</x:f>
        <x:v>898.94</x:v>
      </x:c>
      <x:c r="L80" s="21">
        <x:f>ROUND(H80*$L$177,2)</x:f>
        <x:v>216.98</x:v>
      </x:c>
      <x:c r="M80" s="21">
        <x:f t="shared" si="2"/>
        <x:v>574.90000000000009</x:v>
      </x:c>
      <x:c r="N80" s="21"/>
      <x:c r="O80" s="4"/>
      <x:c r="P80" s="4"/>
      <x:c r="Q80" s="4"/>
      <x:c r="R80" s="4"/>
    </x:row>
    <x:row r="81" spans="1:18" ht="15.65">
      <x:c r="A81" s="1" t="s">
        <x:v>91</x:v>
      </x:c>
      <x:c r="B81" s="6">
        <x:v>397.1</x:v>
      </x:c>
      <x:c r="C81" s="5" t="s">
        <x:v>205</x:v>
      </x:c>
      <x:c r="D81" s="6" t="s">
        <x:v>3</x:v>
      </x:c>
      <x:c r="E81" s="6" t="s">
        <x:v>62</x:v>
      </x:c>
      <x:c r="F81" s="6" t="s">
        <x:v>105</x:v>
      </x:c>
      <x:c r="G81" s="4" t="s">
        <x:v>104</x:v>
      </x:c>
      <x:c r="H81" s="21">
        <x:v>2246.61</x:v>
      </x:c>
      <x:c r="I81" s="21">
        <x:f>ROUND(H81*$E$177,2)</x:f>
        <x:v>555.79</x:v>
      </x:c>
      <x:c r="J81" s="22">
        <x:f>ROUND(H81*$F$177,2)</x:f>
        <x:v>0</x:v>
      </x:c>
      <x:c r="K81" s="21">
        <x:f>ROUND(H81*$I$177,2)</x:f>
        <x:v>898.94</x:v>
      </x:c>
      <x:c r="L81" s="21">
        <x:f>ROUND(H81*$L$177,2)</x:f>
        <x:v>216.98</x:v>
      </x:c>
      <x:c r="M81" s="21">
        <x:f t="shared" si="2"/>
        <x:v>574.90000000000009</x:v>
      </x:c>
      <x:c r="N81" s="21"/>
      <x:c r="O81" s="4"/>
      <x:c r="P81" s="4"/>
      <x:c r="Q81" s="4"/>
      <x:c r="R81" s="4"/>
    </x:row>
    <x:row r="82" spans="1:18" ht="15.65">
      <x:c r="A82" s="1" t="s">
        <x:v>91</x:v>
      </x:c>
      <x:c r="B82" s="6">
        <x:v>397.1</x:v>
      </x:c>
      <x:c r="C82" s="5" t="s">
        <x:v>205</x:v>
      </x:c>
      <x:c r="D82" s="6" t="s">
        <x:v>3</x:v>
      </x:c>
      <x:c r="E82" s="6" t="s">
        <x:v>62</x:v>
      </x:c>
      <x:c r="F82" s="6" t="s">
        <x:v>103</x:v>
      </x:c>
      <x:c r="G82" s="4" t="s">
        <x:v>102</x:v>
      </x:c>
      <x:c r="H82" s="21">
        <x:v>2246.61</x:v>
      </x:c>
      <x:c r="I82" s="21">
        <x:f>ROUND(H82*$E$177,2)</x:f>
        <x:v>555.79</x:v>
      </x:c>
      <x:c r="J82" s="22">
        <x:f>ROUND(H82*$F$177,2)</x:f>
        <x:v>0</x:v>
      </x:c>
      <x:c r="K82" s="21">
        <x:f>ROUND(H82*$I$177,2)</x:f>
        <x:v>898.94</x:v>
      </x:c>
      <x:c r="L82" s="21">
        <x:f>ROUND(H82*$L$177,2)</x:f>
        <x:v>216.98</x:v>
      </x:c>
      <x:c r="M82" s="21">
        <x:f t="shared" si="2"/>
        <x:v>574.90000000000009</x:v>
      </x:c>
      <x:c r="N82" s="21"/>
      <x:c r="O82" s="4"/>
      <x:c r="P82" s="4"/>
      <x:c r="Q82" s="4"/>
      <x:c r="R82" s="4"/>
    </x:row>
    <x:row r="83" spans="1:18" ht="15.65">
      <x:c r="A83" s="1" t="s">
        <x:v>91</x:v>
      </x:c>
      <x:c r="B83" s="6">
        <x:v>397.1</x:v>
      </x:c>
      <x:c r="C83" s="5" t="s">
        <x:v>205</x:v>
      </x:c>
      <x:c r="D83" s="6" t="s">
        <x:v>3</x:v>
      </x:c>
      <x:c r="E83" s="6" t="s">
        <x:v>5</x:v>
      </x:c>
      <x:c r="F83" s="6" t="s">
        <x:v>101</x:v>
      </x:c>
      <x:c r="G83" s="4" t="s">
        <x:v>100</x:v>
      </x:c>
      <x:c r="H83" s="21">
        <x:v>3236.31</x:v>
      </x:c>
      <x:c r="I83" s="21">
        <x:f>ROUND(H83*$E$177,2)</x:f>
        <x:v>800.63</x:v>
      </x:c>
      <x:c r="J83" s="22">
        <x:f>ROUND(H83*$F$177,2)</x:f>
        <x:v>0</x:v>
      </x:c>
      <x:c r="K83" s="21">
        <x:f>ROUND(H83*$I$177,2)</x:f>
        <x:v>1294.94</x:v>
      </x:c>
      <x:c r="L83" s="21">
        <x:f>ROUND(H83*$L$177,2)</x:f>
        <x:v>312.56</x:v>
      </x:c>
      <x:c r="M83" s="21">
        <x:f t="shared" si="2"/>
        <x:v>828.17999999999984</x:v>
      </x:c>
      <x:c r="N83" s="21"/>
      <x:c r="O83" s="4"/>
      <x:c r="P83" s="4"/>
      <x:c r="Q83" s="4"/>
      <x:c r="R83" s="4"/>
    </x:row>
    <x:row r="84" spans="1:18" ht="15.65">
      <x:c r="A84" s="1" t="s">
        <x:v>91</x:v>
      </x:c>
      <x:c r="B84" s="6">
        <x:v>397.1</x:v>
      </x:c>
      <x:c r="C84" s="5" t="s">
        <x:v>205</x:v>
      </x:c>
      <x:c r="D84" s="6" t="s">
        <x:v>3</x:v>
      </x:c>
      <x:c r="E84" s="6" t="s">
        <x:v>62</x:v>
      </x:c>
      <x:c r="F84" s="6" t="s">
        <x:v>101</x:v>
      </x:c>
      <x:c r="G84" s="4" t="s">
        <x:v>100</x:v>
      </x:c>
      <x:c r="H84" s="21">
        <x:v>6739.85</x:v>
      </x:c>
      <x:c r="I84" s="21">
        <x:f>ROUND(H84*$E$177,2)</x:f>
        <x:v>1667.37</x:v>
      </x:c>
      <x:c r="J84" s="22">
        <x:f>ROUND(H84*$F$177,2)</x:f>
        <x:v>0</x:v>
      </x:c>
      <x:c r="K84" s="21">
        <x:f>ROUND(H84*$I$177,2)</x:f>
        <x:v>2696.82</x:v>
      </x:c>
      <x:c r="L84" s="21">
        <x:f>ROUND(H84*$L$177,2)</x:f>
        <x:v>650.92999999999995</x:v>
      </x:c>
      <x:c r="M84" s="21">
        <x:f t="shared" si="2"/>
        <x:v>1724.7300000000005</x:v>
      </x:c>
      <x:c r="N84" s="21"/>
      <x:c r="O84" s="4"/>
      <x:c r="P84" s="4"/>
      <x:c r="Q84" s="4"/>
      <x:c r="R84" s="4"/>
    </x:row>
    <x:row r="85" spans="1:18" ht="15.65">
      <x:c r="A85" s="1" t="s">
        <x:v>91</x:v>
      </x:c>
      <x:c r="B85" s="6">
        <x:v>397.1</x:v>
      </x:c>
      <x:c r="C85" s="5" t="s">
        <x:v>205</x:v>
      </x:c>
      <x:c r="D85" s="6" t="s">
        <x:v>3</x:v>
      </x:c>
      <x:c r="E85" s="6" t="s">
        <x:v>62</x:v>
      </x:c>
      <x:c r="F85" s="6" t="s">
        <x:v>99</x:v>
      </x:c>
      <x:c r="G85" s="4" t="s">
        <x:v>98</x:v>
      </x:c>
      <x:c r="H85" s="21">
        <x:v>4493.2299999999996</x:v>
      </x:c>
      <x:c r="I85" s="21">
        <x:f>ROUND(H85*$E$177,2)</x:f>
        <x:v>1111.58</x:v>
      </x:c>
      <x:c r="J85" s="22">
        <x:f>ROUND(H85*$F$177,2)</x:f>
        <x:v>0</x:v>
      </x:c>
      <x:c r="K85" s="21">
        <x:f>ROUND(H85*$I$177,2)</x:f>
        <x:v>1797.88</x:v>
      </x:c>
      <x:c r="L85" s="21">
        <x:f>ROUND(H85*$L$177,2)</x:f>
        <x:v>433.96</x:v>
      </x:c>
      <x:c r="M85" s="21">
        <x:f t="shared" si="2"/>
        <x:v>1149.8099999999995</x:v>
      </x:c>
      <x:c r="N85" s="21"/>
      <x:c r="O85" s="4"/>
      <x:c r="P85" s="4"/>
      <x:c r="Q85" s="4"/>
      <x:c r="R85" s="4"/>
    </x:row>
    <x:row r="86" spans="1:18" ht="15.65">
      <x:c r="A86" s="1" t="s">
        <x:v>91</x:v>
      </x:c>
      <x:c r="B86" s="6">
        <x:v>397.1</x:v>
      </x:c>
      <x:c r="C86" s="5" t="s">
        <x:v>205</x:v>
      </x:c>
      <x:c r="D86" s="6" t="s">
        <x:v>3</x:v>
      </x:c>
      <x:c r="E86" s="6" t="s">
        <x:v>2</x:v>
      </x:c>
      <x:c r="F86" s="6" t="s">
        <x:v>97</x:v>
      </x:c>
      <x:c r="G86" s="4" t="s">
        <x:v>96</x:v>
      </x:c>
      <x:c r="H86" s="21">
        <x:v>10868.34</x:v>
      </x:c>
      <x:c r="I86" s="21">
        <x:f>ROUND(H86*$E$177,2)</x:f>
        <x:v>2688.72</x:v>
      </x:c>
      <x:c r="J86" s="22">
        <x:f>ROUND(H86*$F$177,2)</x:f>
        <x:v>0</x:v>
      </x:c>
      <x:c r="K86" s="21">
        <x:f>ROUND(H86*$I$177,2)</x:f>
        <x:v>4348.75</x:v>
      </x:c>
      <x:c r="L86" s="21">
        <x:f>ROUND(H86*$L$177,2)</x:f>
        <x:v>1049.6600000000001</x:v>
      </x:c>
      <x:c r="M86" s="21">
        <x:f t="shared" si="2"/>
        <x:v>2781.2100000000009</x:v>
      </x:c>
      <x:c r="N86" s="21"/>
      <x:c r="O86" s="4"/>
      <x:c r="P86" s="4"/>
      <x:c r="Q86" s="4"/>
      <x:c r="R86" s="4"/>
    </x:row>
    <x:row r="87" spans="1:18" ht="15.65">
      <x:c r="A87" s="1" t="s">
        <x:v>91</x:v>
      </x:c>
      <x:c r="B87" s="6">
        <x:v>397.1</x:v>
      </x:c>
      <x:c r="C87" s="5" t="s">
        <x:v>205</x:v>
      </x:c>
      <x:c r="D87" s="6" t="s">
        <x:v>3</x:v>
      </x:c>
      <x:c r="E87" s="6" t="s">
        <x:v>62</x:v>
      </x:c>
      <x:c r="F87" s="6" t="s">
        <x:v>97</x:v>
      </x:c>
      <x:c r="G87" s="4" t="s">
        <x:v>96</x:v>
      </x:c>
      <x:c r="H87" s="21">
        <x:v>4493.2299999999996</x:v>
      </x:c>
      <x:c r="I87" s="21">
        <x:f>ROUND(H87*$E$177,2)</x:f>
        <x:v>1111.58</x:v>
      </x:c>
      <x:c r="J87" s="22">
        <x:f>ROUND(H87*$F$177,2)</x:f>
        <x:v>0</x:v>
      </x:c>
      <x:c r="K87" s="21">
        <x:f>ROUND(H87*$I$177,2)</x:f>
        <x:v>1797.88</x:v>
      </x:c>
      <x:c r="L87" s="21">
        <x:f>ROUND(H87*$L$177,2)</x:f>
        <x:v>433.96</x:v>
      </x:c>
      <x:c r="M87" s="21">
        <x:f t="shared" si="2"/>
        <x:v>1149.8099999999995</x:v>
      </x:c>
      <x:c r="N87" s="21"/>
      <x:c r="O87" s="4"/>
      <x:c r="P87" s="4"/>
      <x:c r="Q87" s="4"/>
      <x:c r="R87" s="4"/>
    </x:row>
    <x:row r="88" spans="1:18" ht="15.65">
      <x:c r="A88" s="1" t="s">
        <x:v>91</x:v>
      </x:c>
      <x:c r="B88" s="6">
        <x:v>397.1</x:v>
      </x:c>
      <x:c r="C88" s="5" t="s">
        <x:v>205</x:v>
      </x:c>
      <x:c r="D88" s="6" t="s">
        <x:v>3</x:v>
      </x:c>
      <x:c r="E88" s="6" t="s">
        <x:v>14</x:v>
      </x:c>
      <x:c r="F88" s="6" t="s">
        <x:v>60</x:v>
      </x:c>
      <x:c r="G88" s="4" t="s">
        <x:v>59</x:v>
      </x:c>
      <x:c r="H88" s="21">
        <x:v>13140785.99</x:v>
      </x:c>
      <x:c r="I88" s="21">
        <x:f>ROUND(H88*$E$177,2)</x:f>
        <x:v>3250899.05</x:v>
      </x:c>
      <x:c r="J88" s="22">
        <x:f>ROUND(H88*$F$177,2)</x:f>
        <x:v>0</x:v>
      </x:c>
      <x:c r="K88" s="21">
        <x:f>ROUND(H88*$I$177,2)</x:f>
        <x:v>5258022.7</x:v>
      </x:c>
      <x:c r="L88" s="21">
        <x:f>ROUND(H88*$L$177,2)</x:f>
        <x:v>1269137.1100000001</x:v>
      </x:c>
      <x:c r="M88" s="21">
        <x:f t="shared" si="2"/>
        <x:v>3362727.1300000008</x:v>
      </x:c>
      <x:c r="N88" s="21"/>
      <x:c r="O88" s="4"/>
      <x:c r="P88" s="4"/>
      <x:c r="Q88" s="4"/>
      <x:c r="R88" s="4"/>
    </x:row>
    <x:row r="89" spans="1:18" ht="15.65">
      <x:c r="A89" s="1" t="s">
        <x:v>91</x:v>
      </x:c>
      <x:c r="B89" s="6">
        <x:v>397.1</x:v>
      </x:c>
      <x:c r="C89" s="5" t="s">
        <x:v>205</x:v>
      </x:c>
      <x:c r="D89" s="6" t="s">
        <x:v>3</x:v>
      </x:c>
      <x:c r="E89" s="6" t="s">
        <x:v>11</x:v>
      </x:c>
      <x:c r="F89" s="6" t="s">
        <x:v>60</x:v>
      </x:c>
      <x:c r="G89" s="4" t="s">
        <x:v>59</x:v>
      </x:c>
      <x:c r="H89" s="21">
        <x:v>7757352.2199999997</x:v>
      </x:c>
      <x:c r="I89" s="21">
        <x:f>ROUND(H89*$E$177,2)</x:f>
        <x:v>1919091.37</x:v>
      </x:c>
      <x:c r="J89" s="22">
        <x:f>ROUND(H89*$F$177,2)</x:f>
        <x:v>0</x:v>
      </x:c>
      <x:c r="K89" s="21">
        <x:f>ROUND(H89*$I$177,2)</x:f>
        <x:v>3103949.34</x:v>
      </x:c>
      <x:c r="L89" s="21">
        <x:f>ROUND(H89*$L$177,2)</x:f>
        <x:v>749205.08</x:v>
      </x:c>
      <x:c r="M89" s="21">
        <x:f t="shared" si="2"/>
        <x:v>1985106.4299999997</x:v>
      </x:c>
      <x:c r="N89" s="21"/>
      <x:c r="O89" s="4"/>
      <x:c r="P89" s="4"/>
      <x:c r="Q89" s="4"/>
      <x:c r="R89" s="4"/>
    </x:row>
    <x:row r="90" spans="1:18" ht="15.65">
      <x:c r="A90" s="1" t="s">
        <x:v>91</x:v>
      </x:c>
      <x:c r="B90" s="6">
        <x:v>397.1</x:v>
      </x:c>
      <x:c r="C90" s="5" t="s">
        <x:v>205</x:v>
      </x:c>
      <x:c r="D90" s="6" t="s">
        <x:v>3</x:v>
      </x:c>
      <x:c r="E90" s="6" t="s">
        <x:v>5</x:v>
      </x:c>
      <x:c r="F90" s="6" t="s">
        <x:v>60</x:v>
      </x:c>
      <x:c r="G90" s="4" t="s">
        <x:v>59</x:v>
      </x:c>
      <x:c r="H90" s="21">
        <x:v>27658762.300000001</x:v>
      </x:c>
      <x:c r="I90" s="21">
        <x:f>ROUND(H90*$E$177,2)</x:f>
        <x:v>6842501.21</x:v>
      </x:c>
      <x:c r="J90" s="22">
        <x:f>ROUND(H90*$F$177,2)</x:f>
        <x:v>0</x:v>
      </x:c>
      <x:c r="K90" s="21">
        <x:f>ROUND(H90*$I$177,2)</x:f>
        <x:v>11067100.560000001</x:v>
      </x:c>
      <x:c r="L90" s="21">
        <x:f>ROUND(H90*$L$177,2)</x:f>
        <x:v>2671283.2599999998</x:v>
      </x:c>
      <x:c r="M90" s="21">
        <x:f t="shared" si="2"/>
        <x:v>7077877.2699999996</x:v>
      </x:c>
      <x:c r="N90" s="21"/>
      <x:c r="O90" s="4"/>
      <x:c r="P90" s="4"/>
      <x:c r="Q90" s="4"/>
      <x:c r="R90" s="4"/>
    </x:row>
    <x:row r="91" spans="1:18" ht="15.65">
      <x:c r="A91" s="1" t="s">
        <x:v>91</x:v>
      </x:c>
      <x:c r="B91" s="6">
        <x:v>397.1</x:v>
      </x:c>
      <x:c r="C91" s="5" t="s">
        <x:v>205</x:v>
      </x:c>
      <x:c r="D91" s="6" t="s">
        <x:v>3</x:v>
      </x:c>
      <x:c r="E91" s="6" t="s">
        <x:v>2</x:v>
      </x:c>
      <x:c r="F91" s="6" t="s">
        <x:v>60</x:v>
      </x:c>
      <x:c r="G91" s="4" t="s">
        <x:v>59</x:v>
      </x:c>
      <x:c r="H91" s="21">
        <x:v>18366193.59</x:v>
      </x:c>
      <x:c r="I91" s="21">
        <x:f>ROUND(H91*$E$177,2)</x:f>
        <x:v>4543612.63</x:v>
      </x:c>
      <x:c r="J91" s="22">
        <x:f>ROUND(H91*$F$177,2)</x:f>
        <x:v>0</x:v>
      </x:c>
      <x:c r="K91" s="21">
        <x:f>ROUND(H91*$I$177,2)</x:f>
        <x:v>7348865.04</x:v>
      </x:c>
      <x:c r="L91" s="21">
        <x:f>ROUND(H91*$L$177,2)</x:f>
        <x:v>1773806.98</x:v>
      </x:c>
      <x:c r="M91" s="21">
        <x:f t="shared" si="2"/>
        <x:v>4699908.9400000013</x:v>
      </x:c>
      <x:c r="N91" s="21"/>
      <x:c r="O91" s="4"/>
      <x:c r="P91" s="4"/>
      <x:c r="Q91" s="4"/>
      <x:c r="R91" s="4"/>
    </x:row>
    <x:row r="92" spans="1:18" ht="15.65">
      <x:c r="A92" s="1" t="s">
        <x:v>91</x:v>
      </x:c>
      <x:c r="B92" s="6">
        <x:v>397.1</x:v>
      </x:c>
      <x:c r="C92" s="5" t="s">
        <x:v>205</x:v>
      </x:c>
      <x:c r="D92" s="6" t="s">
        <x:v>3</x:v>
      </x:c>
      <x:c r="E92" s="6" t="s">
        <x:v>8</x:v>
      </x:c>
      <x:c r="F92" s="6" t="s">
        <x:v>60</x:v>
      </x:c>
      <x:c r="G92" s="4" t="s">
        <x:v>59</x:v>
      </x:c>
      <x:c r="H92" s="21">
        <x:v>17838978.149999999</x:v>
      </x:c>
      <x:c r="I92" s="21">
        <x:f>ROUND(H92*$E$177,2)</x:f>
        <x:v>4413184.8</x:v>
      </x:c>
      <x:c r="J92" s="22">
        <x:f>ROUND(H92*$F$177,2)</x:f>
        <x:v>0</x:v>
      </x:c>
      <x:c r="K92" s="21">
        <x:f>ROUND(H92*$I$177,2)</x:f>
        <x:v>7137910.3300000001</x:v>
      </x:c>
      <x:c r="L92" s="21">
        <x:f>ROUND(H92*$L$177,2)</x:f>
        <x:v>1722888.51</x:v>
      </x:c>
      <x:c r="M92" s="21">
        <x:f t="shared" si="2"/>
        <x:v>4564994.5099999979</x:v>
      </x:c>
      <x:c r="N92" s="21"/>
      <x:c r="O92" s="4"/>
      <x:c r="P92" s="4"/>
      <x:c r="Q92" s="4"/>
      <x:c r="R92" s="4"/>
    </x:row>
    <x:row r="93" spans="1:18" ht="15.65">
      <x:c r="A93" s="1" t="s">
        <x:v>91</x:v>
      </x:c>
      <x:c r="B93" s="6">
        <x:v>397.1</x:v>
      </x:c>
      <x:c r="C93" s="5" t="s">
        <x:v>205</x:v>
      </x:c>
      <x:c r="D93" s="6" t="s">
        <x:v>3</x:v>
      </x:c>
      <x:c r="E93" s="6" t="s">
        <x:v>62</x:v>
      </x:c>
      <x:c r="F93" s="6" t="s">
        <x:v>60</x:v>
      </x:c>
      <x:c r="G93" s="4" t="s">
        <x:v>59</x:v>
      </x:c>
      <x:c r="H93" s="21">
        <x:v>10490117.810000001</x:v>
      </x:c>
      <x:c r="I93" s="21">
        <x:f>ROUND(H93*$E$177,2)</x:f>
        <x:v>2595150.25</x:v>
      </x:c>
      <x:c r="J93" s="22">
        <x:f>ROUND(H93*$F$177,2)</x:f>
        <x:v>0</x:v>
      </x:c>
      <x:c r="K93" s="21">
        <x:f>ROUND(H93*$I$177,2)</x:f>
        <x:v>4197410.84</x:v>
      </x:c>
      <x:c r="L93" s="21">
        <x:f>ROUND(H93*$L$177,2)</x:f>
        <x:v>1013135.58</x:v>
      </x:c>
      <x:c r="M93" s="21">
        <x:f t="shared" si="2"/>
        <x:v>2684421.1400000006</x:v>
      </x:c>
      <x:c r="N93" s="21"/>
      <x:c r="O93" s="4"/>
      <x:c r="P93" s="4"/>
      <x:c r="Q93" s="4"/>
      <x:c r="R93" s="4"/>
    </x:row>
    <x:row r="94" spans="1:18" ht="15.65">
      <x:c r="A94" s="1" t="s">
        <x:v>91</x:v>
      </x:c>
      <x:c r="B94" s="6">
        <x:v>397.1</x:v>
      </x:c>
      <x:c r="C94" s="5" t="s">
        <x:v>205</x:v>
      </x:c>
      <x:c r="D94" s="6" t="s">
        <x:v>3</x:v>
      </x:c>
      <x:c r="E94" s="6" t="s">
        <x:v>61</x:v>
      </x:c>
      <x:c r="F94" s="6" t="s">
        <x:v>60</x:v>
      </x:c>
      <x:c r="G94" s="4" t="s">
        <x:v>59</x:v>
      </x:c>
      <x:c r="H94" s="21">
        <x:v>16751507.560000001</x:v>
      </x:c>
      <x:c r="I94" s="21">
        <x:f>ROUND(H94*$E$177,2)</x:f>
        <x:v>4144155.46</x:v>
      </x:c>
      <x:c r="J94" s="22">
        <x:f>ROUND(H94*$F$177,2)</x:f>
        <x:v>0</x:v>
      </x:c>
      <x:c r="K94" s="21">
        <x:f>ROUND(H94*$I$177,2)</x:f>
        <x:v>6702780.7199999997</x:v>
      </x:c>
      <x:c r="L94" s="21">
        <x:f>ROUND(H94*$L$177,2)</x:f>
        <x:v>1617860.6</x:v>
      </x:c>
      <x:c r="M94" s="21">
        <x:f t="shared" si="2"/>
        <x:v>4286710.7800000012</x:v>
      </x:c>
      <x:c r="N94" s="21"/>
      <x:c r="O94" s="4"/>
      <x:c r="P94" s="4"/>
      <x:c r="Q94" s="4"/>
      <x:c r="R94" s="4"/>
    </x:row>
    <x:row r="95" spans="1:18" ht="15.65">
      <x:c r="A95" s="1" t="s">
        <x:v>91</x:v>
      </x:c>
      <x:c r="B95" s="6">
        <x:v>397.1</x:v>
      </x:c>
      <x:c r="C95" s="5" t="s">
        <x:v>205</x:v>
      </x:c>
      <x:c r="D95" s="6" t="s">
        <x:v>3</x:v>
      </x:c>
      <x:c r="E95" s="6" t="s">
        <x:v>62</x:v>
      </x:c>
      <x:c r="F95" s="6" t="s">
        <x:v>95</x:v>
      </x:c>
      <x:c r="G95" s="4" t="s">
        <x:v>94</x:v>
      </x:c>
      <x:c r="H95" s="21">
        <x:v>2246.61</x:v>
      </x:c>
      <x:c r="I95" s="21">
        <x:f>ROUND(H95*$E$177,2)</x:f>
        <x:v>555.79</x:v>
      </x:c>
      <x:c r="J95" s="22">
        <x:f>ROUND(H95*$F$177,2)</x:f>
        <x:v>0</x:v>
      </x:c>
      <x:c r="K95" s="21">
        <x:f>ROUND(H95*$I$177,2)</x:f>
        <x:v>898.94</x:v>
      </x:c>
      <x:c r="L95" s="21">
        <x:f>ROUND(H95*$L$177,2)</x:f>
        <x:v>216.98</x:v>
      </x:c>
      <x:c r="M95" s="21">
        <x:f t="shared" si="2"/>
        <x:v>574.90000000000009</x:v>
      </x:c>
      <x:c r="N95" s="21"/>
      <x:c r="O95" s="4"/>
      <x:c r="P95" s="4"/>
      <x:c r="Q95" s="4"/>
      <x:c r="R95" s="4"/>
    </x:row>
    <x:row r="96" spans="1:18" ht="15.65">
      <x:c r="A96" s="1" t="s">
        <x:v>91</x:v>
      </x:c>
      <x:c r="B96" s="6">
        <x:v>397.1</x:v>
      </x:c>
      <x:c r="C96" s="5" t="s">
        <x:v>205</x:v>
      </x:c>
      <x:c r="D96" s="6" t="s">
        <x:v>3</x:v>
      </x:c>
      <x:c r="E96" s="6" t="s">
        <x:v>62</x:v>
      </x:c>
      <x:c r="F96" s="6" t="s">
        <x:v>93</x:v>
      </x:c>
      <x:c r="G96" s="4" t="s">
        <x:v>92</x:v>
      </x:c>
      <x:c r="H96" s="21">
        <x:v>2246.61</x:v>
      </x:c>
      <x:c r="I96" s="21">
        <x:f>ROUND(H96*$E$177,2)</x:f>
        <x:v>555.79</x:v>
      </x:c>
      <x:c r="J96" s="22">
        <x:f>ROUND(H96*$F$177,2)</x:f>
        <x:v>0</x:v>
      </x:c>
      <x:c r="K96" s="21">
        <x:f>ROUND(H96*$I$177,2)</x:f>
        <x:v>898.94</x:v>
      </x:c>
      <x:c r="L96" s="21">
        <x:f>ROUND(H96*$L$177,2)</x:f>
        <x:v>216.98</x:v>
      </x:c>
      <x:c r="M96" s="21">
        <x:f t="shared" si="2"/>
        <x:v>574.90000000000009</x:v>
      </x:c>
      <x:c r="N96" s="21"/>
      <x:c r="O96" s="4"/>
      <x:c r="P96" s="4"/>
      <x:c r="Q96" s="4"/>
      <x:c r="R96" s="4"/>
    </x:row>
    <x:row r="97" spans="1:18" ht="15.65">
      <x:c r="A97" s="1" t="s">
        <x:v>91</x:v>
      </x:c>
      <x:c r="B97" s="6">
        <x:v>397.1</x:v>
      </x:c>
      <x:c r="C97" s="5" t="s">
        <x:v>205</x:v>
      </x:c>
      <x:c r="D97" s="6" t="s">
        <x:v>3</x:v>
      </x:c>
      <x:c r="E97" s="6" t="s">
        <x:v>61</x:v>
      </x:c>
      <x:c r="F97" s="6" t="s">
        <x:v>1</x:v>
      </x:c>
      <x:c r="G97" s="4" t="s">
        <x:v>0</x:v>
      </x:c>
      <x:c r="H97" s="21">
        <x:v>2613.2600000000002</x:v>
      </x:c>
      <x:c r="I97" s="21">
        <x:f>ROUND(H97*$E$177,2)</x:f>
        <x:v>646.49</x:v>
      </x:c>
      <x:c r="J97" s="22">
        <x:f>ROUND(H97*$F$177,2)</x:f>
        <x:v>0</x:v>
      </x:c>
      <x:c r="K97" s="21">
        <x:f>ROUND(H97*$I$177,2)</x:f>
        <x:v>1045.6400000000001</x:v>
      </x:c>
      <x:c r="L97" s="21">
        <x:f>ROUND(H97*$L$177,2)</x:f>
        <x:v>252.39</x:v>
      </x:c>
      <x:c r="M97" s="21">
        <x:f t="shared" si="2"/>
        <x:v>668.74000000000012</x:v>
      </x:c>
      <x:c r="N97" s="21"/>
      <x:c r="O97" s="4"/>
      <x:c r="P97" s="4"/>
      <x:c r="Q97" s="4"/>
      <x:c r="R97" s="4"/>
    </x:row>
    <x:row r="98" spans="1:18" ht="15.65">
      <x:c r="A98" s="6" t="s">
        <x:v>90</x:v>
      </x:c>
      <x:c r="B98" s="6">
        <x:v>397.1</x:v>
      </x:c>
      <x:c r="C98" s="5" t="s">
        <x:v>218</x:v>
      </x:c>
      <x:c r="D98" s="6" t="s">
        <x:v>3</x:v>
      </x:c>
      <x:c r="E98" s="6" t="s">
        <x:v>14</x:v>
      </x:c>
      <x:c r="F98" s="6" t="s">
        <x:v>89</x:v>
      </x:c>
      <x:c r="G98" s="4" t="s">
        <x:v>75</x:v>
      </x:c>
      <x:c r="H98" s="21">
        <x:v>14047.69</x:v>
      </x:c>
      <x:c r="I98" s="21">
        <x:v>0</x:v>
      </x:c>
      <x:c r="J98" s="22">
        <x:f>H98</x:f>
        <x:v>14047.69</x:v>
      </x:c>
      <x:c r="K98" s="21">
        <x:v>0</x:v>
      </x:c>
      <x:c r="L98" s="21">
        <x:v>0</x:v>
      </x:c>
      <x:c r="M98" s="21">
        <x:f t="shared" si="2"/>
        <x:v>0</x:v>
      </x:c>
      <x:c r="N98" s="21"/>
      <x:c r="O98" s="4"/>
      <x:c r="P98" s="4"/>
      <x:c r="Q98" s="4"/>
      <x:c r="R98" s="4"/>
    </x:row>
    <x:row r="99" spans="1:18" ht="15.65">
      <x:c r="A99" s="1" t="s">
        <x:v>4</x:v>
      </x:c>
      <x:c r="B99" s="6">
        <x:v>397.1</x:v>
      </x:c>
      <x:c r="C99" s="5" t="s">
        <x:v>205</x:v>
      </x:c>
      <x:c r="D99" s="6" t="s">
        <x:v>3</x:v>
      </x:c>
      <x:c r="E99" s="6" t="s">
        <x:v>14</x:v>
      </x:c>
      <x:c r="F99" s="6" t="s">
        <x:v>88</x:v>
      </x:c>
      <x:c r="G99" s="4" t="s">
        <x:v>87</x:v>
      </x:c>
      <x:c r="H99" s="21">
        <x:v>622359.9</x:v>
      </x:c>
      <x:c r="I99" s="21">
        <x:f>ROUND(H99*$E$177,2)</x:f>
        <x:v>153965.62</x:v>
      </x:c>
      <x:c r="J99" s="22">
        <x:f>ROUND(H99*$F$177,2)</x:f>
        <x:v>0</x:v>
      </x:c>
      <x:c r="K99" s="21">
        <x:f>ROUND(H99*$I$177,2)</x:f>
        <x:v>249024.87</x:v>
      </x:c>
      <x:c r="L99" s="21">
        <x:f>ROUND(H99*$L$177,2)</x:f>
        <x:v>60107.519999999997</x:v>
      </x:c>
      <x:c r="M99" s="21">
        <x:f t="shared" si="2"/>
        <x:v>159261.89000000004</x:v>
      </x:c>
      <x:c r="N99" s="21"/>
      <x:c r="O99" s="4"/>
      <x:c r="P99" s="4"/>
      <x:c r="Q99" s="4"/>
      <x:c r="R99" s="4"/>
    </x:row>
    <x:row r="100" spans="1:18" ht="15.65">
      <x:c r="A100" s="1" t="s">
        <x:v>4</x:v>
      </x:c>
      <x:c r="B100" s="6">
        <x:v>397.1</x:v>
      </x:c>
      <x:c r="C100" s="5" t="s">
        <x:v>205</x:v>
      </x:c>
      <x:c r="D100" s="6" t="s">
        <x:v>3</x:v>
      </x:c>
      <x:c r="E100" s="6" t="s">
        <x:v>11</x:v>
      </x:c>
      <x:c r="F100" s="6" t="s">
        <x:v>88</x:v>
      </x:c>
      <x:c r="G100" s="4" t="s">
        <x:v>87</x:v>
      </x:c>
      <x:c r="H100" s="21">
        <x:v>123836.22</x:v>
      </x:c>
      <x:c r="I100" s="21">
        <x:f>ROUND(H100*$E$177,2)</x:f>
        <x:v>30635.84</x:v>
      </x:c>
      <x:c r="J100" s="22">
        <x:f>ROUND(H100*$F$177,2)</x:f>
        <x:v>0</x:v>
      </x:c>
      <x:c r="K100" s="21">
        <x:f>ROUND(H100*$I$177,2)</x:f>
        <x:v>49550.59</x:v>
      </x:c>
      <x:c r="L100" s="21">
        <x:f>ROUND(H100*$L$177,2)</x:f>
        <x:v>11960.1</x:v>
      </x:c>
      <x:c r="M100" s="21">
        <x:f t="shared" si="2"/>
        <x:v>31689.69000000001</x:v>
      </x:c>
      <x:c r="N100" s="21"/>
      <x:c r="O100" s="4"/>
      <x:c r="P100" s="4"/>
      <x:c r="Q100" s="4"/>
      <x:c r="R100" s="4"/>
    </x:row>
    <x:row r="101" spans="1:18" ht="15.65">
      <x:c r="A101" s="1" t="s">
        <x:v>4</x:v>
      </x:c>
      <x:c r="B101" s="6">
        <x:v>397.1</x:v>
      </x:c>
      <x:c r="C101" s="5" t="s">
        <x:v>205</x:v>
      </x:c>
      <x:c r="D101" s="6" t="s">
        <x:v>3</x:v>
      </x:c>
      <x:c r="E101" s="6" t="s">
        <x:v>14</x:v>
      </x:c>
      <x:c r="F101" s="6" t="s">
        <x:v>86</x:v>
      </x:c>
      <x:c r="G101" s="4" t="s">
        <x:v>85</x:v>
      </x:c>
      <x:c r="H101" s="21">
        <x:v>598689.74</x:v>
      </x:c>
      <x:c r="I101" s="21">
        <x:f>ROUND(H101*$E$177,2)</x:f>
        <x:v>148109.85</x:v>
      </x:c>
      <x:c r="J101" s="22">
        <x:f>ROUND(H101*$F$177,2)</x:f>
        <x:v>0</x:v>
      </x:c>
      <x:c r="K101" s="21">
        <x:f>ROUND(H101*$I$177,2)</x:f>
        <x:v>239553.73</x:v>
      </x:c>
      <x:c r="L101" s="21">
        <x:f>ROUND(H101*$L$177,2)</x:f>
        <x:v>57821.46</x:v>
      </x:c>
      <x:c r="M101" s="21">
        <x:f t="shared" si="2"/>
        <x:v>153204.70000000001</x:v>
      </x:c>
      <x:c r="N101" s="21"/>
      <x:c r="O101" s="4"/>
      <x:c r="P101" s="4"/>
      <x:c r="Q101" s="4"/>
      <x:c r="R101" s="4"/>
    </x:row>
    <x:row r="102" spans="1:18" ht="15.65">
      <x:c r="A102" s="1" t="s">
        <x:v>4</x:v>
      </x:c>
      <x:c r="B102" s="6">
        <x:v>397.1</x:v>
      </x:c>
      <x:c r="C102" s="5" t="s">
        <x:v>205</x:v>
      </x:c>
      <x:c r="D102" s="6" t="s">
        <x:v>3</x:v>
      </x:c>
      <x:c r="E102" s="6" t="s">
        <x:v>11</x:v>
      </x:c>
      <x:c r="F102" s="6" t="s">
        <x:v>86</x:v>
      </x:c>
      <x:c r="G102" s="4" t="s">
        <x:v>85</x:v>
      </x:c>
      <x:c r="H102" s="21">
        <x:v>-253.83</x:v>
      </x:c>
      <x:c r="I102" s="21">
        <x:f>ROUND(H102*$E$177,2)</x:f>
        <x:v>-62.8</x:v>
      </x:c>
      <x:c r="J102" s="22">
        <x:f>ROUND(H102*$F$177,2)</x:f>
        <x:v>0</x:v>
      </x:c>
      <x:c r="K102" s="21">
        <x:f>ROUND(H102*$I$177,2)</x:f>
        <x:v>-101.56</x:v>
      </x:c>
      <x:c r="L102" s="21">
        <x:f>ROUND(H102*$L$177,2)</x:f>
        <x:v>-24.51</x:v>
      </x:c>
      <x:c r="M102" s="21">
        <x:f t="shared" si="2"/>
        <x:v>-64.960000000000022</x:v>
      </x:c>
      <x:c r="N102" s="21"/>
      <x:c r="O102" s="4"/>
      <x:c r="P102" s="4"/>
      <x:c r="Q102" s="4"/>
      <x:c r="R102" s="4"/>
    </x:row>
    <x:row r="103" spans="1:18" ht="15.65">
      <x:c r="A103" s="1" t="s">
        <x:v>4</x:v>
      </x:c>
      <x:c r="B103" s="6">
        <x:v>397.1</x:v>
      </x:c>
      <x:c r="C103" s="5" t="s">
        <x:v>205</x:v>
      </x:c>
      <x:c r="D103" s="6" t="s">
        <x:v>3</x:v>
      </x:c>
      <x:c r="E103" s="6" t="s">
        <x:v>2</x:v>
      </x:c>
      <x:c r="F103" s="6" t="s">
        <x:v>86</x:v>
      </x:c>
      <x:c r="G103" s="4" t="s">
        <x:v>85</x:v>
      </x:c>
      <x:c r="H103" s="21">
        <x:v>13300.46</x:v>
      </x:c>
      <x:c r="I103" s="21">
        <x:f>ROUND(H103*$E$177,2)</x:f>
        <x:v>3290.4</x:v>
      </x:c>
      <x:c r="J103" s="22">
        <x:f>ROUND(H103*$F$177,2)</x:f>
        <x:v>0</x:v>
      </x:c>
      <x:c r="K103" s="21">
        <x:f>ROUND(H103*$I$177,2)</x:f>
        <x:v>5321.91</x:v>
      </x:c>
      <x:c r="L103" s="21">
        <x:f>ROUND(H103*$L$177,2)</x:f>
        <x:v>1284.56</x:v>
      </x:c>
      <x:c r="M103" s="21">
        <x:f t="shared" si="2"/>
        <x:v>3403.5899999999997</x:v>
      </x:c>
      <x:c r="N103" s="21"/>
      <x:c r="O103" s="4"/>
      <x:c r="P103" s="4"/>
      <x:c r="Q103" s="4"/>
      <x:c r="R103" s="4"/>
    </x:row>
    <x:row r="104" spans="1:18" ht="15.65">
      <x:c r="A104" s="1" t="s">
        <x:v>4</x:v>
      </x:c>
      <x:c r="B104" s="6">
        <x:v>397.1</x:v>
      </x:c>
      <x:c r="C104" s="5" t="s">
        <x:v>205</x:v>
      </x:c>
      <x:c r="D104" s="6" t="s">
        <x:v>3</x:v>
      </x:c>
      <x:c r="E104" s="6" t="s">
        <x:v>14</x:v>
      </x:c>
      <x:c r="F104" s="6" t="s">
        <x:v>84</x:v>
      </x:c>
      <x:c r="G104" s="4" t="s">
        <x:v>83</x:v>
      </x:c>
      <x:c r="H104" s="21">
        <x:v>6968.03</x:v>
      </x:c>
      <x:c r="I104" s="21">
        <x:f>ROUND(H104*$E$177,2)</x:f>
        <x:v>1723.82</x:v>
      </x:c>
      <x:c r="J104" s="22">
        <x:f>ROUND(H104*$F$177,2)</x:f>
        <x:v>0</x:v>
      </x:c>
      <x:c r="K104" s="21">
        <x:f>ROUND(H104*$I$177,2)</x:f>
        <x:v>2788.12</x:v>
      </x:c>
      <x:c r="L104" s="21">
        <x:f>ROUND(H104*$L$177,2)</x:f>
        <x:v>672.97</x:v>
      </x:c>
      <x:c r="M104" s="21">
        <x:f t="shared" si="2"/>
        <x:v>1783.1200000000001</x:v>
      </x:c>
      <x:c r="N104" s="21"/>
      <x:c r="O104" s="4"/>
      <x:c r="P104" s="4"/>
      <x:c r="Q104" s="4"/>
      <x:c r="R104" s="4"/>
    </x:row>
    <x:row r="105" spans="1:18" ht="15.65">
      <x:c r="A105" s="1" t="s">
        <x:v>4</x:v>
      </x:c>
      <x:c r="B105" s="6">
        <x:v>397.1</x:v>
      </x:c>
      <x:c r="C105" s="5" t="s">
        <x:v>205</x:v>
      </x:c>
      <x:c r="D105" s="6" t="s">
        <x:v>3</x:v>
      </x:c>
      <x:c r="E105" s="6" t="s">
        <x:v>14</x:v>
      </x:c>
      <x:c r="F105" s="6" t="s">
        <x:v>82</x:v>
      </x:c>
      <x:c r="G105" s="4" t="s">
        <x:v>81</x:v>
      </x:c>
      <x:c r="H105" s="21">
        <x:v>13094.43</x:v>
      </x:c>
      <x:c r="I105" s="21">
        <x:f>ROUND(H105*$E$177,2)</x:f>
        <x:v>3239.43</x:v>
      </x:c>
      <x:c r="J105" s="22">
        <x:f>ROUND(H105*$F$177,2)</x:f>
        <x:v>0</x:v>
      </x:c>
      <x:c r="K105" s="21">
        <x:f>ROUND(H105*$I$177,2)</x:f>
        <x:v>5239.47</x:v>
      </x:c>
      <x:c r="L105" s="21">
        <x:f>ROUND(H105*$L$177,2)</x:f>
        <x:v>1264.6600000000001</x:v>
      </x:c>
      <x:c r="M105" s="21">
        <x:f t="shared" si="2"/>
        <x:v>3350.87</x:v>
      </x:c>
      <x:c r="N105" s="21"/>
      <x:c r="O105" s="4"/>
      <x:c r="P105" s="4"/>
      <x:c r="Q105" s="4"/>
      <x:c r="R105" s="4"/>
    </x:row>
    <x:row r="106" spans="1:18" ht="15.65">
      <x:c r="A106" s="1" t="s">
        <x:v>4</x:v>
      </x:c>
      <x:c r="B106" s="6">
        <x:v>397.1</x:v>
      </x:c>
      <x:c r="C106" s="5" t="s">
        <x:v>205</x:v>
      </x:c>
      <x:c r="D106" s="6" t="s">
        <x:v>3</x:v>
      </x:c>
      <x:c r="E106" s="6" t="s">
        <x:v>61</x:v>
      </x:c>
      <x:c r="F106" s="6" t="s">
        <x:v>82</x:v>
      </x:c>
      <x:c r="G106" s="4" t="s">
        <x:v>81</x:v>
      </x:c>
      <x:c r="H106" s="21">
        <x:v>3002.31</x:v>
      </x:c>
      <x:c r="I106" s="21">
        <x:f>ROUND(H106*$E$177,2)</x:f>
        <x:v>742.74</x:v>
      </x:c>
      <x:c r="J106" s="22">
        <x:f>ROUND(H106*$F$177,2)</x:f>
        <x:v>0</x:v>
      </x:c>
      <x:c r="K106" s="21">
        <x:f>ROUND(H106*$I$177,2)</x:f>
        <x:v>1201.31</x:v>
      </x:c>
      <x:c r="L106" s="21">
        <x:f>ROUND(H106*$L$177,2)</x:f>
        <x:v>289.95999999999998</x:v>
      </x:c>
      <x:c r="M106" s="21">
        <x:f t="shared" si="2"/>
        <x:v>768.29999999999973</x:v>
      </x:c>
      <x:c r="N106" s="21"/>
      <x:c r="O106" s="4"/>
      <x:c r="P106" s="4"/>
      <x:c r="Q106" s="4"/>
      <x:c r="R106" s="4"/>
    </x:row>
    <x:row r="107" spans="1:18" ht="15.65">
      <x:c r="A107" s="1" t="s">
        <x:v>4</x:v>
      </x:c>
      <x:c r="B107" s="6">
        <x:v>397.1</x:v>
      </x:c>
      <x:c r="C107" s="5" t="s">
        <x:v>205</x:v>
      </x:c>
      <x:c r="D107" s="6" t="s">
        <x:v>3</x:v>
      </x:c>
      <x:c r="E107" s="6" t="s">
        <x:v>14</x:v>
      </x:c>
      <x:c r="F107" s="6" t="s">
        <x:v>80</x:v>
      </x:c>
      <x:c r="G107" s="4" t="s">
        <x:v>79</x:v>
      </x:c>
      <x:c r="H107" s="21">
        <x:v>8637.27</x:v>
      </x:c>
      <x:c r="I107" s="21">
        <x:f>ROUND(H107*$E$177,2)</x:f>
        <x:v>2136.77</x:v>
      </x:c>
      <x:c r="J107" s="22">
        <x:f>ROUND(H107*$F$177,2)</x:f>
        <x:v>0</x:v>
      </x:c>
      <x:c r="K107" s="21">
        <x:f>ROUND(H107*$I$177,2)</x:f>
        <x:v>3456.03</x:v>
      </x:c>
      <x:c r="L107" s="21">
        <x:f>ROUND(H107*$L$177,2)</x:f>
        <x:v>834.19</x:v>
      </x:c>
      <x:c r="M107" s="21">
        <x:f t="shared" si="2"/>
        <x:v>2210.2799999999997</x:v>
      </x:c>
      <x:c r="N107" s="21"/>
      <x:c r="O107" s="4"/>
      <x:c r="P107" s="4"/>
      <x:c r="Q107" s="4"/>
      <x:c r="R107" s="4"/>
    </x:row>
    <x:row r="108" spans="1:18" ht="15.65">
      <x:c r="A108" s="1" t="s">
        <x:v>4</x:v>
      </x:c>
      <x:c r="B108" s="6">
        <x:v>397.1</x:v>
      </x:c>
      <x:c r="C108" s="5" t="s">
        <x:v>205</x:v>
      </x:c>
      <x:c r="D108" s="6" t="s">
        <x:v>3</x:v>
      </x:c>
      <x:c r="E108" s="6" t="s">
        <x:v>14</x:v>
      </x:c>
      <x:c r="F108" s="6" t="s">
        <x:v>78</x:v>
      </x:c>
      <x:c r="G108" s="4" t="s">
        <x:v>77</x:v>
      </x:c>
      <x:c r="H108" s="21">
        <x:v>6973.99</x:v>
      </x:c>
      <x:c r="I108" s="21">
        <x:f>ROUND(H108*$E$177,2)</x:f>
        <x:v>1725.3</x:v>
      </x:c>
      <x:c r="J108" s="22">
        <x:f>ROUND(H108*$F$177,2)</x:f>
        <x:v>0</x:v>
      </x:c>
      <x:c r="K108" s="21">
        <x:f>ROUND(H108*$I$177,2)</x:f>
        <x:v>2790.5</x:v>
      </x:c>
      <x:c r="L108" s="21">
        <x:f>ROUND(H108*$L$177,2)</x:f>
        <x:v>673.55</x:v>
      </x:c>
      <x:c r="M108" s="21">
        <x:f t="shared" si="2"/>
        <x:v>1784.6399999999996</x:v>
      </x:c>
      <x:c r="N108" s="21"/>
      <x:c r="O108" s="4"/>
      <x:c r="P108" s="4"/>
      <x:c r="Q108" s="4"/>
      <x:c r="R108" s="4"/>
    </x:row>
    <x:row r="109" spans="1:18" ht="15.65">
      <x:c r="A109" s="1" t="s">
        <x:v>4</x:v>
      </x:c>
      <x:c r="B109" s="6">
        <x:v>397.1</x:v>
      </x:c>
      <x:c r="C109" s="5" t="s">
        <x:v>205</x:v>
      </x:c>
      <x:c r="D109" s="6" t="s">
        <x:v>3</x:v>
      </x:c>
      <x:c r="E109" s="6" t="s">
        <x:v>8</x:v>
      </x:c>
      <x:c r="F109" s="6" t="s">
        <x:v>76</x:v>
      </x:c>
      <x:c r="G109" s="4" t="s">
        <x:v>75</x:v>
      </x:c>
      <x:c r="H109" s="21">
        <x:v>28470.83</x:v>
      </x:c>
      <x:c r="I109" s="21">
        <x:f>ROUND(H109*$E$177,2)</x:f>
        <x:v>7043.4</x:v>
      </x:c>
      <x:c r="J109" s="22">
        <x:f>ROUND(H109*$F$177,2)</x:f>
        <x:v>0</x:v>
      </x:c>
      <x:c r="K109" s="21">
        <x:f>ROUND(H109*$I$177,2)</x:f>
        <x:v>11392.03</x:v>
      </x:c>
      <x:c r="L109" s="21">
        <x:f>ROUND(H109*$L$177,2)</x:f>
        <x:v>2749.71</x:v>
      </x:c>
      <x:c r="M109" s="21">
        <x:f t="shared" si="2"/>
        <x:v>7285.69</x:v>
      </x:c>
      <x:c r="N109" s="21"/>
      <x:c r="O109" s="4"/>
      <x:c r="P109" s="4"/>
      <x:c r="Q109" s="4"/>
      <x:c r="R109" s="4"/>
    </x:row>
    <x:row r="110" spans="1:18" ht="15.65">
      <x:c r="A110" s="1" t="s">
        <x:v>4</x:v>
      </x:c>
      <x:c r="B110" s="6">
        <x:v>397.1</x:v>
      </x:c>
      <x:c r="C110" s="5" t="s">
        <x:v>205</x:v>
      </x:c>
      <x:c r="D110" s="6" t="s">
        <x:v>3</x:v>
      </x:c>
      <x:c r="E110" s="6" t="s">
        <x:v>61</x:v>
      </x:c>
      <x:c r="F110" s="6" t="s">
        <x:v>74</x:v>
      </x:c>
      <x:c r="G110" s="4" t="s">
        <x:v>73</x:v>
      </x:c>
      <x:c r="H110" s="21">
        <x:v>59632.51</x:v>
      </x:c>
      <x:c r="I110" s="21">
        <x:f>ROUND(H110*$E$177,2)</x:f>
        <x:v>14752.49</x:v>
      </x:c>
      <x:c r="J110" s="22">
        <x:f>ROUND(H110*$F$177,2)</x:f>
        <x:v>0</x:v>
      </x:c>
      <x:c r="K110" s="21">
        <x:f>ROUND(H110*$I$177,2)</x:f>
        <x:v>23860.76</x:v>
      </x:c>
      <x:c r="L110" s="21">
        <x:f>ROUND(H110*$L$177,2)</x:f>
        <x:v>5759.31</x:v>
      </x:c>
      <x:c r="M110" s="21">
        <x:f t="shared" si="2"/>
        <x:v>15259.950000000004</x:v>
      </x:c>
      <x:c r="N110" s="21"/>
      <x:c r="O110" s="4"/>
      <x:c r="P110" s="4"/>
      <x:c r="Q110" s="4"/>
      <x:c r="R110" s="4"/>
    </x:row>
    <x:row r="111" spans="1:18" ht="15.65">
      <x:c r="A111" s="1" t="s">
        <x:v>4</x:v>
      </x:c>
      <x:c r="B111" s="6">
        <x:v>397.1</x:v>
      </x:c>
      <x:c r="C111" s="5" t="s">
        <x:v>205</x:v>
      </x:c>
      <x:c r="D111" s="6" t="s">
        <x:v>3</x:v>
      </x:c>
      <x:c r="E111" s="6" t="s">
        <x:v>14</x:v>
      </x:c>
      <x:c r="F111" s="6" t="s">
        <x:v>72</x:v>
      </x:c>
      <x:c r="G111" s="4" t="s">
        <x:v>71</x:v>
      </x:c>
      <x:c r="H111" s="21">
        <x:v>20756.169999999998</x:v>
      </x:c>
      <x:c r="I111" s="21">
        <x:f>ROUND(H111*$E$177,2)</x:f>
        <x:v>5134.87</x:v>
      </x:c>
      <x:c r="J111" s="22">
        <x:f>ROUND(H111*$F$177,2)</x:f>
        <x:v>0</x:v>
      </x:c>
      <x:c r="K111" s="21">
        <x:f>ROUND(H111*$I$177,2)</x:f>
        <x:v>8305.17</x:v>
      </x:c>
      <x:c r="L111" s="21">
        <x:f>ROUND(H111*$L$177,2)</x:f>
        <x:v>2004.63</x:v>
      </x:c>
      <x:c r="M111" s="21">
        <x:f t="shared" si="2"/>
        <x:v>5311.4999999999991</x:v>
      </x:c>
      <x:c r="N111" s="21"/>
      <x:c r="O111" s="4"/>
      <x:c r="P111" s="4"/>
      <x:c r="Q111" s="4"/>
      <x:c r="R111" s="4"/>
    </x:row>
    <x:row r="112" spans="1:18" ht="15.65">
      <x:c r="A112" s="1" t="s">
        <x:v>4</x:v>
      </x:c>
      <x:c r="B112" s="6">
        <x:v>397.1</x:v>
      </x:c>
      <x:c r="C112" s="5" t="s">
        <x:v>205</x:v>
      </x:c>
      <x:c r="D112" s="6" t="s">
        <x:v>3</x:v>
      </x:c>
      <x:c r="E112" s="6" t="s">
        <x:v>14</x:v>
      </x:c>
      <x:c r="F112" s="6" t="s">
        <x:v>70</x:v>
      </x:c>
      <x:c r="G112" s="4" t="s">
        <x:v>69</x:v>
      </x:c>
      <x:c r="H112" s="21">
        <x:v>598689.76</x:v>
      </x:c>
      <x:c r="I112" s="21">
        <x:f>ROUND(H112*$E$177,2)</x:f>
        <x:v>148109.85999999999</x:v>
      </x:c>
      <x:c r="J112" s="22">
        <x:f>ROUND(H112*$F$177,2)</x:f>
        <x:v>0</x:v>
      </x:c>
      <x:c r="K112" s="21">
        <x:f>ROUND(H112*$I$177,2)</x:f>
        <x:v>239553.73</x:v>
      </x:c>
      <x:c r="L112" s="21">
        <x:f>ROUND(H112*$L$177,2)</x:f>
        <x:v>57821.46</x:v>
      </x:c>
      <x:c r="M112" s="21">
        <x:f t="shared" si="2"/>
        <x:v>153204.71000000002</x:v>
      </x:c>
      <x:c r="N112" s="21"/>
      <x:c r="O112" s="4"/>
      <x:c r="P112" s="4"/>
      <x:c r="Q112" s="4"/>
      <x:c r="R112" s="4"/>
    </x:row>
    <x:row r="113" spans="1:18" ht="15.65">
      <x:c r="A113" s="1" t="s">
        <x:v>4</x:v>
      </x:c>
      <x:c r="B113" s="6">
        <x:v>397.1</x:v>
      </x:c>
      <x:c r="C113" s="5" t="s">
        <x:v>205</x:v>
      </x:c>
      <x:c r="D113" s="6" t="s">
        <x:v>3</x:v>
      </x:c>
      <x:c r="E113" s="6" t="s">
        <x:v>11</x:v>
      </x:c>
      <x:c r="F113" s="6" t="s">
        <x:v>70</x:v>
      </x:c>
      <x:c r="G113" s="4" t="s">
        <x:v>69</x:v>
      </x:c>
      <x:c r="H113" s="21">
        <x:v>-253.79</x:v>
      </x:c>
      <x:c r="I113" s="21">
        <x:f>ROUND(H113*$E$177,2)</x:f>
        <x:v>-62.79</x:v>
      </x:c>
      <x:c r="J113" s="22">
        <x:f>ROUND(H113*$F$177,2)</x:f>
        <x:v>0</x:v>
      </x:c>
      <x:c r="K113" s="21">
        <x:f>ROUND(H113*$I$177,2)</x:f>
        <x:v>-101.55</x:v>
      </x:c>
      <x:c r="L113" s="21">
        <x:f>ROUND(H113*$L$177,2)</x:f>
        <x:v>-24.51</x:v>
      </x:c>
      <x:c r="M113" s="21">
        <x:f t="shared" si="2"/>
        <x:v>-64.94</x:v>
      </x:c>
      <x:c r="N113" s="21"/>
      <x:c r="O113" s="4"/>
      <x:c r="P113" s="4"/>
      <x:c r="Q113" s="4"/>
      <x:c r="R113" s="4"/>
    </x:row>
    <x:row r="114" spans="1:18" ht="15.65">
      <x:c r="A114" s="1" t="s">
        <x:v>4</x:v>
      </x:c>
      <x:c r="B114" s="6">
        <x:v>397.1</x:v>
      </x:c>
      <x:c r="C114" s="5" t="s">
        <x:v>205</x:v>
      </x:c>
      <x:c r="D114" s="6" t="s">
        <x:v>3</x:v>
      </x:c>
      <x:c r="E114" s="6" t="s">
        <x:v>2</x:v>
      </x:c>
      <x:c r="F114" s="6" t="s">
        <x:v>70</x:v>
      </x:c>
      <x:c r="G114" s="4" t="s">
        <x:v>69</x:v>
      </x:c>
      <x:c r="H114" s="21">
        <x:v>13300.46</x:v>
      </x:c>
      <x:c r="I114" s="21">
        <x:f>ROUND(H114*$E$177,2)</x:f>
        <x:v>3290.4</x:v>
      </x:c>
      <x:c r="J114" s="22">
        <x:f>ROUND(H114*$F$177,2)</x:f>
        <x:v>0</x:v>
      </x:c>
      <x:c r="K114" s="21">
        <x:f>ROUND(H114*$I$177,2)</x:f>
        <x:v>5321.91</x:v>
      </x:c>
      <x:c r="L114" s="21">
        <x:f>ROUND(H114*$L$177,2)</x:f>
        <x:v>1284.56</x:v>
      </x:c>
      <x:c r="M114" s="21">
        <x:f t="shared" si="2"/>
        <x:v>3403.5899999999997</x:v>
      </x:c>
      <x:c r="N114" s="21"/>
      <x:c r="O114" s="4"/>
      <x:c r="P114" s="4"/>
      <x:c r="Q114" s="4"/>
      <x:c r="R114" s="4"/>
    </x:row>
    <x:row r="115" spans="1:18" ht="15.65">
      <x:c r="A115" s="1" t="s">
        <x:v>4</x:v>
      </x:c>
      <x:c r="B115" s="6">
        <x:v>397.1</x:v>
      </x:c>
      <x:c r="C115" s="5" t="s">
        <x:v>205</x:v>
      </x:c>
      <x:c r="D115" s="6" t="s">
        <x:v>3</x:v>
      </x:c>
      <x:c r="E115" s="6" t="s">
        <x:v>14</x:v>
      </x:c>
      <x:c r="F115" s="6" t="s">
        <x:v>68</x:v>
      </x:c>
      <x:c r="G115" s="4" t="s">
        <x:v>67</x:v>
      </x:c>
      <x:c r="H115" s="21">
        <x:v>24.08</x:v>
      </x:c>
      <x:c r="I115" s="21">
        <x:f>ROUND(H115*$E$177,2)</x:f>
        <x:v>5.96</x:v>
      </x:c>
      <x:c r="J115" s="22">
        <x:f>ROUND(H115*$F$177,2)</x:f>
        <x:v>0</x:v>
      </x:c>
      <x:c r="K115" s="21">
        <x:f>ROUND(H115*$I$177,2)</x:f>
        <x:v>9.64</x:v>
      </x:c>
      <x:c r="L115" s="21">
        <x:f>ROUND(H115*$L$177,2)</x:f>
        <x:v>2.33</x:v>
      </x:c>
      <x:c r="M115" s="21">
        <x:f t="shared" si="2"/>
        <x:v>6.1499999999999968</x:v>
      </x:c>
      <x:c r="N115" s="21"/>
      <x:c r="O115" s="4"/>
      <x:c r="P115" s="4"/>
      <x:c r="Q115" s="4"/>
      <x:c r="R115" s="4"/>
    </x:row>
    <x:row r="116" spans="1:18" ht="15.65">
      <x:c r="A116" s="1" t="s">
        <x:v>4</x:v>
      </x:c>
      <x:c r="B116" s="6">
        <x:v>397.1</x:v>
      </x:c>
      <x:c r="C116" s="5" t="s">
        <x:v>205</x:v>
      </x:c>
      <x:c r="D116" s="6" t="s">
        <x:v>3</x:v>
      </x:c>
      <x:c r="E116" s="6" t="s">
        <x:v>11</x:v>
      </x:c>
      <x:c r="F116" s="6" t="s">
        <x:v>66</x:v>
      </x:c>
      <x:c r="G116" s="4" t="s">
        <x:v>65</x:v>
      </x:c>
      <x:c r="H116" s="21">
        <x:v>1869.18</x:v>
      </x:c>
      <x:c r="I116" s="21">
        <x:f>ROUND(H116*$E$177,2)</x:f>
        <x:v>462.42</x:v>
      </x:c>
      <x:c r="J116" s="22">
        <x:f>ROUND(H116*$F$177,2)</x:f>
        <x:v>0</x:v>
      </x:c>
      <x:c r="K116" s="21">
        <x:f>ROUND(H116*$I$177,2)</x:f>
        <x:v>747.91</x:v>
      </x:c>
      <x:c r="L116" s="21">
        <x:f>ROUND(H116*$L$177,2)</x:f>
        <x:v>180.53</x:v>
      </x:c>
      <x:c r="M116" s="21">
        <x:f t="shared" si="2"/>
        <x:v>478.32000000000005</x:v>
      </x:c>
      <x:c r="N116" s="21"/>
      <x:c r="O116" s="4"/>
      <x:c r="P116" s="4"/>
      <x:c r="Q116" s="4"/>
      <x:c r="R116" s="4"/>
    </x:row>
    <x:row r="117" spans="1:18" ht="15.65">
      <x:c r="A117" s="1" t="s">
        <x:v>4</x:v>
      </x:c>
      <x:c r="B117" s="6">
        <x:v>397.1</x:v>
      </x:c>
      <x:c r="C117" s="5" t="s">
        <x:v>205</x:v>
      </x:c>
      <x:c r="D117" s="6" t="s">
        <x:v>3</x:v>
      </x:c>
      <x:c r="E117" s="6" t="s">
        <x:v>14</x:v>
      </x:c>
      <x:c r="F117" s="6" t="s">
        <x:v>64</x:v>
      </x:c>
      <x:c r="G117" s="4" t="s">
        <x:v>63</x:v>
      </x:c>
      <x:c r="H117" s="21">
        <x:v>777069.9</x:v>
      </x:c>
      <x:c r="I117" s="21">
        <x:f>ROUND(H117*$E$177,2)</x:f>
        <x:v>192239.32</x:v>
      </x:c>
      <x:c r="J117" s="22">
        <x:f>ROUND(H117*$F$177,2)</x:f>
        <x:v>0</x:v>
      </x:c>
      <x:c r="K117" s="21">
        <x:f>ROUND(H117*$I$177,2)</x:f>
        <x:v>310928.98</x:v>
      </x:c>
      <x:c r="L117" s="21">
        <x:f>ROUND(H117*$L$177,2)</x:f>
        <x:v>75049.41</x:v>
      </x:c>
      <x:c r="M117" s="21">
        <x:f t="shared" si="2"/>
        <x:v>198852.19000000009</x:v>
      </x:c>
      <x:c r="N117" s="21"/>
      <x:c r="O117" s="4"/>
      <x:c r="P117" s="4"/>
      <x:c r="Q117" s="4"/>
      <x:c r="R117" s="4"/>
    </x:row>
    <x:row r="118" spans="1:18" ht="15.65">
      <x:c r="A118" s="1" t="s">
        <x:v>4</x:v>
      </x:c>
      <x:c r="B118" s="6">
        <x:v>397.1</x:v>
      </x:c>
      <x:c r="C118" s="5" t="s">
        <x:v>205</x:v>
      </x:c>
      <x:c r="D118" s="6" t="s">
        <x:v>3</x:v>
      </x:c>
      <x:c r="E118" s="6" t="s">
        <x:v>11</x:v>
      </x:c>
      <x:c r="F118" s="6" t="s">
        <x:v>64</x:v>
      </x:c>
      <x:c r="G118" s="4" t="s">
        <x:v>63</x:v>
      </x:c>
      <x:c r="H118" s="21">
        <x:v>88818.63</x:v>
      </x:c>
      <x:c r="I118" s="21">
        <x:f>ROUND(H118*$E$177,2)</x:f>
        <x:v>21972.84</x:v>
      </x:c>
      <x:c r="J118" s="22">
        <x:f>ROUND(H118*$F$177,2)</x:f>
        <x:v>0</x:v>
      </x:c>
      <x:c r="K118" s="21">
        <x:f>ROUND(H118*$I$177,2)</x:f>
        <x:v>35539</x:v>
      </x:c>
      <x:c r="L118" s="21">
        <x:f>ROUND(H118*$L$177,2)</x:f>
        <x:v>8578.1</x:v>
      </x:c>
      <x:c r="M118" s="21">
        <x:f t="shared" si="2"/>
        <x:v>22728.69000000001</x:v>
      </x:c>
      <x:c r="N118" s="21"/>
      <x:c r="O118" s="4"/>
      <x:c r="P118" s="4"/>
      <x:c r="Q118" s="4"/>
      <x:c r="R118" s="4"/>
    </x:row>
    <x:row r="119" spans="1:18" ht="15.65">
      <x:c r="A119" s="1" t="s">
        <x:v>4</x:v>
      </x:c>
      <x:c r="B119" s="6">
        <x:v>397.1</x:v>
      </x:c>
      <x:c r="C119" s="5" t="s">
        <x:v>205</x:v>
      </x:c>
      <x:c r="D119" s="6" t="s">
        <x:v>3</x:v>
      </x:c>
      <x:c r="E119" s="6" t="s">
        <x:v>2</x:v>
      </x:c>
      <x:c r="F119" s="6" t="s">
        <x:v>64</x:v>
      </x:c>
      <x:c r="G119" s="4" t="s">
        <x:v>63</x:v>
      </x:c>
      <x:c r="H119" s="21">
        <x:v>46551.66</x:v>
      </x:c>
      <x:c r="I119" s="21">
        <x:f>ROUND(H119*$E$177,2)</x:f>
        <x:v>11516.42</x:v>
      </x:c>
      <x:c r="J119" s="22">
        <x:f>ROUND(H119*$F$177,2)</x:f>
        <x:v>0</x:v>
      </x:c>
      <x:c r="K119" s="21">
        <x:f>ROUND(H119*$I$177,2)</x:f>
        <x:v>18626.72</x:v>
      </x:c>
      <x:c r="L119" s="21">
        <x:f>ROUND(H119*$L$177,2)</x:f>
        <x:v>4495.96</x:v>
      </x:c>
      <x:c r="M119" s="21">
        <x:f t="shared" si="2"/>
        <x:v>11912.560000000005</x:v>
      </x:c>
      <x:c r="N119" s="21"/>
      <x:c r="O119" s="4"/>
      <x:c r="P119" s="4"/>
      <x:c r="Q119" s="4"/>
      <x:c r="R119" s="4"/>
    </x:row>
    <x:row r="120" spans="1:18" ht="15.65">
      <x:c r="A120" s="1" t="s">
        <x:v>4</x:v>
      </x:c>
      <x:c r="B120" s="6">
        <x:v>397.1</x:v>
      </x:c>
      <x:c r="C120" s="5" t="s">
        <x:v>205</x:v>
      </x:c>
      <x:c r="D120" s="6" t="s">
        <x:v>3</x:v>
      </x:c>
      <x:c r="E120" s="6" t="s">
        <x:v>62</x:v>
      </x:c>
      <x:c r="F120" s="6" t="s">
        <x:v>64</x:v>
      </x:c>
      <x:c r="G120" s="4" t="s">
        <x:v>63</x:v>
      </x:c>
      <x:c r="H120" s="21">
        <x:v>97785.29</x:v>
      </x:c>
      <x:c r="I120" s="21">
        <x:f>ROUND(H120*$E$177,2)</x:f>
        <x:v>24191.1</x:v>
      </x:c>
      <x:c r="J120" s="22">
        <x:f>ROUND(H120*$F$177,2)</x:f>
        <x:v>0</x:v>
      </x:c>
      <x:c r="K120" s="21">
        <x:f>ROUND(H120*$I$177,2)</x:f>
        <x:v>39126.83</x:v>
      </x:c>
      <x:c r="L120" s="21">
        <x:f>ROUND(H120*$L$177,2)</x:f>
        <x:v>9444.1</x:v>
      </x:c>
      <x:c r="M120" s="21">
        <x:f t="shared" si="2"/>
        <x:v>25023.260000000002</x:v>
      </x:c>
      <x:c r="N120" s="21"/>
      <x:c r="O120" s="4"/>
      <x:c r="P120" s="4"/>
      <x:c r="Q120" s="4"/>
      <x:c r="R120" s="4"/>
    </x:row>
    <x:row r="121" spans="1:18" ht="15.65">
      <x:c r="A121" s="1" t="s">
        <x:v>4</x:v>
      </x:c>
      <x:c r="B121" s="6">
        <x:v>397.1</x:v>
      </x:c>
      <x:c r="C121" s="5" t="s">
        <x:v>205</x:v>
      </x:c>
      <x:c r="D121" s="6" t="s">
        <x:v>3</x:v>
      </x:c>
      <x:c r="E121" s="6" t="s">
        <x:v>14</x:v>
      </x:c>
      <x:c r="F121" s="6" t="s">
        <x:v>60</x:v>
      </x:c>
      <x:c r="G121" s="4" t="s">
        <x:v>59</x:v>
      </x:c>
      <x:c r="H121" s="21">
        <x:v>10269199.49</x:v>
      </x:c>
      <x:c r="I121" s="21">
        <x:f>ROUND(H121*$E$177,2)</x:f>
        <x:v>2540497.2599999998</x:v>
      </x:c>
      <x:c r="J121" s="22">
        <x:f>ROUND(H121*$F$177,2)</x:f>
        <x:v>0</x:v>
      </x:c>
      <x:c r="K121" s="21">
        <x:f>ROUND(H121*$I$177,2)</x:f>
        <x:v>4109014.79</x:v>
      </x:c>
      <x:c r="L121" s="21">
        <x:f>ROUND(H121*$L$177,2)</x:f>
        <x:v>991799.29</x:v>
      </x:c>
      <x:c r="M121" s="21">
        <x:f t="shared" si="2"/>
        <x:v>2627888.1500000004</x:v>
      </x:c>
      <x:c r="N121" s="21"/>
      <x:c r="O121" s="4"/>
      <x:c r="P121" s="4"/>
      <x:c r="Q121" s="4"/>
      <x:c r="R121" s="4"/>
    </x:row>
    <x:row r="122" spans="1:18" ht="15.65">
      <x:c r="A122" s="1" t="s">
        <x:v>4</x:v>
      </x:c>
      <x:c r="B122" s="6">
        <x:v>397.1</x:v>
      </x:c>
      <x:c r="C122" s="5" t="s">
        <x:v>205</x:v>
      </x:c>
      <x:c r="D122" s="6" t="s">
        <x:v>3</x:v>
      </x:c>
      <x:c r="E122" s="6" t="s">
        <x:v>11</x:v>
      </x:c>
      <x:c r="F122" s="6" t="s">
        <x:v>60</x:v>
      </x:c>
      <x:c r="G122" s="4" t="s">
        <x:v>59</x:v>
      </x:c>
      <x:c r="H122" s="21">
        <x:v>460949.09</x:v>
      </x:c>
      <x:c r="I122" s="21">
        <x:f>ROUND(H122*$E$177,2)</x:f>
        <x:v>114034.2</x:v>
      </x:c>
      <x:c r="J122" s="22">
        <x:f>ROUND(H122*$F$177,2)</x:f>
        <x:v>0</x:v>
      </x:c>
      <x:c r="K122" s="21">
        <x:f>ROUND(H122*$I$177,2)</x:f>
        <x:v>184439.56</x:v>
      </x:c>
      <x:c r="L122" s="21">
        <x:f>ROUND(H122*$L$177,2)</x:f>
        <x:v>44518.46</x:v>
      </x:c>
      <x:c r="M122" s="21">
        <x:f t="shared" si="2"/>
        <x:v>117956.87000000002</x:v>
      </x:c>
      <x:c r="N122" s="21"/>
      <x:c r="O122" s="4"/>
      <x:c r="P122" s="4"/>
      <x:c r="Q122" s="4"/>
      <x:c r="R122" s="4"/>
    </x:row>
    <x:row r="123" spans="1:18" ht="15.65">
      <x:c r="A123" s="1" t="s">
        <x:v>4</x:v>
      </x:c>
      <x:c r="B123" s="6">
        <x:v>397.1</x:v>
      </x:c>
      <x:c r="C123" s="5" t="s">
        <x:v>205</x:v>
      </x:c>
      <x:c r="D123" s="6" t="s">
        <x:v>3</x:v>
      </x:c>
      <x:c r="E123" s="6" t="s">
        <x:v>5</x:v>
      </x:c>
      <x:c r="F123" s="6" t="s">
        <x:v>60</x:v>
      </x:c>
      <x:c r="G123" s="4" t="s">
        <x:v>59</x:v>
      </x:c>
      <x:c r="H123" s="21">
        <x:v>29671533.489999998</x:v>
      </x:c>
      <x:c r="I123" s="21">
        <x:f>ROUND(H123*$E$177,2)</x:f>
        <x:v>7340440.6699999999</x:v>
      </x:c>
      <x:c r="J123" s="22">
        <x:f>ROUND(H123*$F$177,2)</x:f>
        <x:v>0</x:v>
      </x:c>
      <x:c r="K123" s="21">
        <x:f>ROUND(H123*$I$177,2)</x:f>
        <x:v>11872470.699999999</x:v>
      </x:c>
      <x:c r="L123" s="21">
        <x:f>ROUND(H123*$L$177,2)</x:f>
        <x:v>2865676.7</x:v>
      </x:c>
      <x:c r="M123" s="21">
        <x:f t="shared" si="2"/>
        <x:v>7592945.4200000009</x:v>
      </x:c>
      <x:c r="N123" s="21"/>
      <x:c r="O123" s="4"/>
      <x:c r="P123" s="4"/>
      <x:c r="Q123" s="4"/>
      <x:c r="R123" s="4"/>
    </x:row>
    <x:row r="124" spans="1:18" ht="15.65">
      <x:c r="A124" s="1" t="s">
        <x:v>4</x:v>
      </x:c>
      <x:c r="B124" s="6">
        <x:v>397.1</x:v>
      </x:c>
      <x:c r="C124" s="5" t="s">
        <x:v>205</x:v>
      </x:c>
      <x:c r="D124" s="6" t="s">
        <x:v>3</x:v>
      </x:c>
      <x:c r="E124" s="6" t="s">
        <x:v>2</x:v>
      </x:c>
      <x:c r="F124" s="6" t="s">
        <x:v>60</x:v>
      </x:c>
      <x:c r="G124" s="4" t="s">
        <x:v>59</x:v>
      </x:c>
      <x:c r="H124" s="21">
        <x:v>369761.71</x:v>
      </x:c>
      <x:c r="I124" s="21">
        <x:f>ROUND(H124*$E$177,2)</x:f>
        <x:v>91475.35</x:v>
      </x:c>
      <x:c r="J124" s="22">
        <x:f>ROUND(H124*$F$177,2)</x:f>
        <x:v>0</x:v>
      </x:c>
      <x:c r="K124" s="21">
        <x:f>ROUND(H124*$I$177,2)</x:f>
        <x:v>147952.75</x:v>
      </x:c>
      <x:c r="L124" s="21">
        <x:f>ROUND(H124*$L$177,2)</x:f>
        <x:v>35711.589999999997</x:v>
      </x:c>
      <x:c r="M124" s="21">
        <x:f t="shared" si="2"/>
        <x:v>94622.01999999999</x:v>
      </x:c>
      <x:c r="N124" s="21"/>
      <x:c r="O124" s="4"/>
      <x:c r="P124" s="4"/>
      <x:c r="Q124" s="4"/>
      <x:c r="R124" s="4"/>
    </x:row>
    <x:row r="125" spans="1:18" ht="15.65">
      <x:c r="A125" s="1" t="s">
        <x:v>4</x:v>
      </x:c>
      <x:c r="B125" s="6">
        <x:v>397.1</x:v>
      </x:c>
      <x:c r="C125" s="5" t="s">
        <x:v>205</x:v>
      </x:c>
      <x:c r="D125" s="6" t="s">
        <x:v>3</x:v>
      </x:c>
      <x:c r="E125" s="6" t="s">
        <x:v>8</x:v>
      </x:c>
      <x:c r="F125" s="6" t="s">
        <x:v>60</x:v>
      </x:c>
      <x:c r="G125" s="4" t="s">
        <x:v>59</x:v>
      </x:c>
      <x:c r="H125" s="21">
        <x:v>5895603.5999999996</x:v>
      </x:c>
      <x:c r="I125" s="21">
        <x:f>ROUND(H125*$E$177,2)</x:f>
        <x:v>1458513.37</x:v>
      </x:c>
      <x:c r="J125" s="22">
        <x:f>ROUND(H125*$F$177,2)</x:f>
        <x:v>0</x:v>
      </x:c>
      <x:c r="K125" s="21">
        <x:f>ROUND(H125*$I$177,2)</x:f>
        <x:v>2359007.87</x:v>
      </x:c>
      <x:c r="L125" s="21">
        <x:f>ROUND(H125*$L$177,2)</x:f>
        <x:v>569397.4</x:v>
      </x:c>
      <x:c r="M125" s="21">
        <x:f t="shared" si="2"/>
        <x:v>1508684.9599999995</x:v>
      </x:c>
      <x:c r="N125" s="21"/>
      <x:c r="O125" s="4"/>
      <x:c r="P125" s="4"/>
      <x:c r="Q125" s="4"/>
      <x:c r="R125" s="4"/>
    </x:row>
    <x:row r="126" spans="1:18" ht="15.65">
      <x:c r="A126" s="1" t="s">
        <x:v>4</x:v>
      </x:c>
      <x:c r="B126" s="6">
        <x:v>397.1</x:v>
      </x:c>
      <x:c r="C126" s="5" t="s">
        <x:v>205</x:v>
      </x:c>
      <x:c r="D126" s="6" t="s">
        <x:v>3</x:v>
      </x:c>
      <x:c r="E126" s="6" t="s">
        <x:v>62</x:v>
      </x:c>
      <x:c r="F126" s="6" t="s">
        <x:v>60</x:v>
      </x:c>
      <x:c r="G126" s="4" t="s">
        <x:v>59</x:v>
      </x:c>
      <x:c r="H126" s="21">
        <x:v>1650473.94</x:v>
      </x:c>
      <x:c r="I126" s="21">
        <x:f>ROUND(H126*$E$177,2)</x:f>
        <x:v>408310.75</x:v>
      </x:c>
      <x:c r="J126" s="22">
        <x:f>ROUND(H126*$F$177,2)</x:f>
        <x:v>0</x:v>
      </x:c>
      <x:c r="K126" s="21">
        <x:f>ROUND(H126*$I$177,2)</x:f>
        <x:v>660404.14</x:v>
      </x:c>
      <x:c r="L126" s="21">
        <x:f>ROUND(H126*$L$177,2)</x:f>
        <x:v>159402.76999999999</x:v>
      </x:c>
      <x:c r="M126" s="21">
        <x:f t="shared" si="2"/>
        <x:v>422356.27999999991</x:v>
      </x:c>
      <x:c r="N126" s="21"/>
      <x:c r="O126" s="4"/>
      <x:c r="P126" s="4"/>
      <x:c r="Q126" s="4"/>
      <x:c r="R126" s="4"/>
    </x:row>
    <x:row r="127" spans="1:18" ht="15.65">
      <x:c r="A127" s="1" t="s">
        <x:v>4</x:v>
      </x:c>
      <x:c r="B127" s="6">
        <x:v>397.1</x:v>
      </x:c>
      <x:c r="C127" s="5" t="s">
        <x:v>205</x:v>
      </x:c>
      <x:c r="D127" s="6" t="s">
        <x:v>3</x:v>
      </x:c>
      <x:c r="E127" s="6" t="s">
        <x:v>61</x:v>
      </x:c>
      <x:c r="F127" s="6" t="s">
        <x:v>60</x:v>
      </x:c>
      <x:c r="G127" s="4" t="s">
        <x:v>59</x:v>
      </x:c>
      <x:c r="H127" s="21">
        <x:v>4014338.59</x:v>
      </x:c>
      <x:c r="I127" s="21">
        <x:f>ROUND(H127*$E$177,2)</x:f>
        <x:v>993107.22</x:v>
      </x:c>
      <x:c r="J127" s="22">
        <x:f>ROUND(H127*$F$177,2)</x:f>
        <x:v>0</x:v>
      </x:c>
      <x:c r="K127" s="21">
        <x:f>ROUND(H127*$I$177,2)</x:f>
        <x:v>1606257.3</x:v>
      </x:c>
      <x:c r="L127" s="21">
        <x:f>ROUND(H127*$L$177,2)</x:f>
        <x:v>387704.82</x:v>
      </x:c>
      <x:c r="M127" s="21">
        <x:f t="shared" si="2"/>
        <x:v>1027269.25</x:v>
      </x:c>
      <x:c r="N127" s="21"/>
      <x:c r="O127" s="4"/>
      <x:c r="P127" s="4"/>
      <x:c r="Q127" s="4"/>
      <x:c r="R127" s="4"/>
    </x:row>
    <x:row r="128" spans="1:18" ht="15.65">
      <x:c r="A128" s="1" t="s">
        <x:v>4</x:v>
      </x:c>
      <x:c r="B128" s="6">
        <x:v>397.1</x:v>
      </x:c>
      <x:c r="C128" s="5" t="s">
        <x:v>205</x:v>
      </x:c>
      <x:c r="D128" s="6" t="s">
        <x:v>3</x:v>
      </x:c>
      <x:c r="E128" s="6" t="s">
        <x:v>2</x:v>
      </x:c>
      <x:c r="F128" s="6" t="s">
        <x:v>58</x:v>
      </x:c>
      <x:c r="G128" s="4" t="s">
        <x:v>57</x:v>
      </x:c>
      <x:c r="H128" s="21">
        <x:v>17710.43</x:v>
      </x:c>
      <x:c r="I128" s="21">
        <x:f>ROUND(H128*$E$177,2)</x:f>
        <x:v>4381.38</x:v>
      </x:c>
      <x:c r="J128" s="22">
        <x:f>ROUND(H128*$F$177,2)</x:f>
        <x:v>0</x:v>
      </x:c>
      <x:c r="K128" s="21">
        <x:f>ROUND(H128*$I$177,2)</x:f>
        <x:v>7086.47</x:v>
      </x:c>
      <x:c r="L128" s="21">
        <x:f>ROUND(H128*$L$177,2)</x:f>
        <x:v>1710.47</x:v>
      </x:c>
      <x:c r="M128" s="21">
        <x:f t="shared" si="2"/>
        <x:v>4532.1099999999988</x:v>
      </x:c>
      <x:c r="N128" s="21"/>
      <x:c r="O128" s="4"/>
      <x:c r="P128" s="4"/>
      <x:c r="Q128" s="4"/>
      <x:c r="R128" s="4"/>
    </x:row>
    <x:row r="129" spans="1:18" ht="15.65">
      <x:c r="A129" s="1" t="s">
        <x:v>4</x:v>
      </x:c>
      <x:c r="B129" s="6">
        <x:v>397.1</x:v>
      </x:c>
      <x:c r="C129" s="5" t="s">
        <x:v>205</x:v>
      </x:c>
      <x:c r="D129" s="6" t="s">
        <x:v>3</x:v>
      </x:c>
      <x:c r="E129" s="6" t="s">
        <x:v>2</x:v>
      </x:c>
      <x:c r="F129" s="6" t="s">
        <x:v>56</x:v>
      </x:c>
      <x:c r="G129" s="4" t="s">
        <x:v>55</x:v>
      </x:c>
      <x:c r="H129" s="21">
        <x:v>17710.43</x:v>
      </x:c>
      <x:c r="I129" s="21">
        <x:f>ROUND(H129*$E$177,2)</x:f>
        <x:v>4381.38</x:v>
      </x:c>
      <x:c r="J129" s="22">
        <x:f>ROUND(H129*$F$177,2)</x:f>
        <x:v>0</x:v>
      </x:c>
      <x:c r="K129" s="21">
        <x:f>ROUND(H129*$I$177,2)</x:f>
        <x:v>7086.47</x:v>
      </x:c>
      <x:c r="L129" s="21">
        <x:f>ROUND(H129*$L$177,2)</x:f>
        <x:v>1710.47</x:v>
      </x:c>
      <x:c r="M129" s="21">
        <x:f t="shared" si="2"/>
        <x:v>4532.1099999999988</x:v>
      </x:c>
      <x:c r="N129" s="21"/>
      <x:c r="O129" s="4"/>
      <x:c r="P129" s="4"/>
      <x:c r="Q129" s="4"/>
      <x:c r="R129" s="4"/>
    </x:row>
    <x:row r="130" spans="1:18" ht="15.65">
      <x:c r="A130" s="1" t="s">
        <x:v>4</x:v>
      </x:c>
      <x:c r="B130" s="6">
        <x:v>397.1</x:v>
      </x:c>
      <x:c r="C130" s="5" t="s">
        <x:v>205</x:v>
      </x:c>
      <x:c r="D130" s="6" t="s">
        <x:v>3</x:v>
      </x:c>
      <x:c r="E130" s="6" t="s">
        <x:v>2</x:v>
      </x:c>
      <x:c r="F130" s="6" t="s">
        <x:v>54</x:v>
      </x:c>
      <x:c r="G130" s="4" t="s">
        <x:v>53</x:v>
      </x:c>
      <x:c r="H130" s="21">
        <x:v>17710.43</x:v>
      </x:c>
      <x:c r="I130" s="21">
        <x:f>ROUND(H130*$E$177,2)</x:f>
        <x:v>4381.38</x:v>
      </x:c>
      <x:c r="J130" s="22">
        <x:f>ROUND(H130*$F$177,2)</x:f>
        <x:v>0</x:v>
      </x:c>
      <x:c r="K130" s="21">
        <x:f>ROUND(H130*$I$177,2)</x:f>
        <x:v>7086.47</x:v>
      </x:c>
      <x:c r="L130" s="21">
        <x:f>ROUND(H130*$L$177,2)</x:f>
        <x:v>1710.47</x:v>
      </x:c>
      <x:c r="M130" s="21">
        <x:f t="shared" si="2"/>
        <x:v>4532.1099999999988</x:v>
      </x:c>
      <x:c r="N130" s="21"/>
      <x:c r="O130" s="4"/>
      <x:c r="P130" s="4"/>
      <x:c r="Q130" s="4"/>
      <x:c r="R130" s="4"/>
    </x:row>
    <x:row r="131" spans="1:18" ht="15.65">
      <x:c r="A131" s="1" t="s">
        <x:v>4</x:v>
      </x:c>
      <x:c r="B131" s="6">
        <x:v>397.1</x:v>
      </x:c>
      <x:c r="C131" s="5" t="s">
        <x:v>205</x:v>
      </x:c>
      <x:c r="D131" s="6" t="s">
        <x:v>3</x:v>
      </x:c>
      <x:c r="E131" s="6" t="s">
        <x:v>2</x:v>
      </x:c>
      <x:c r="F131" s="6" t="s">
        <x:v>52</x:v>
      </x:c>
      <x:c r="G131" s="4" t="s">
        <x:v>51</x:v>
      </x:c>
      <x:c r="H131" s="21">
        <x:v>17710.43</x:v>
      </x:c>
      <x:c r="I131" s="21">
        <x:f>ROUND(H131*$E$177,2)</x:f>
        <x:v>4381.38</x:v>
      </x:c>
      <x:c r="J131" s="22">
        <x:f>ROUND(H131*$F$177,2)</x:f>
        <x:v>0</x:v>
      </x:c>
      <x:c r="K131" s="21">
        <x:f>ROUND(H131*$I$177,2)</x:f>
        <x:v>7086.47</x:v>
      </x:c>
      <x:c r="L131" s="21">
        <x:f>ROUND(H131*$L$177,2)</x:f>
        <x:v>1710.47</x:v>
      </x:c>
      <x:c r="M131" s="21">
        <x:f t="shared" ref="M131:M159" si="3">H131-I131-J131-K131-L131</x:f>
        <x:v>4532.1099999999988</x:v>
      </x:c>
      <x:c r="N131" s="21"/>
      <x:c r="O131" s="4"/>
      <x:c r="P131" s="4"/>
      <x:c r="Q131" s="4"/>
      <x:c r="R131" s="4"/>
    </x:row>
    <x:row r="132" spans="1:18" ht="15.65">
      <x:c r="A132" s="1" t="s">
        <x:v>4</x:v>
      </x:c>
      <x:c r="B132" s="6">
        <x:v>397.1</x:v>
      </x:c>
      <x:c r="C132" s="5" t="s">
        <x:v>205</x:v>
      </x:c>
      <x:c r="D132" s="6" t="s">
        <x:v>3</x:v>
      </x:c>
      <x:c r="E132" s="6" t="s">
        <x:v>2</x:v>
      </x:c>
      <x:c r="F132" s="6" t="s">
        <x:v>50</x:v>
      </x:c>
      <x:c r="G132" s="4" t="s">
        <x:v>49</x:v>
      </x:c>
      <x:c r="H132" s="21">
        <x:v>17710.43</x:v>
      </x:c>
      <x:c r="I132" s="21">
        <x:f>ROUND(H132*$E$177,2)</x:f>
        <x:v>4381.38</x:v>
      </x:c>
      <x:c r="J132" s="22">
        <x:f>ROUND(H132*$F$177,2)</x:f>
        <x:v>0</x:v>
      </x:c>
      <x:c r="K132" s="21">
        <x:f>ROUND(H132*$I$177,2)</x:f>
        <x:v>7086.47</x:v>
      </x:c>
      <x:c r="L132" s="21">
        <x:f>ROUND(H132*$L$177,2)</x:f>
        <x:v>1710.47</x:v>
      </x:c>
      <x:c r="M132" s="21">
        <x:f t="shared" si="3"/>
        <x:v>4532.1099999999988</x:v>
      </x:c>
      <x:c r="N132" s="21"/>
      <x:c r="O132" s="4"/>
      <x:c r="P132" s="4"/>
      <x:c r="Q132" s="4"/>
      <x:c r="R132" s="4"/>
    </x:row>
    <x:row r="133" spans="1:18" ht="15.65">
      <x:c r="A133" s="1" t="s">
        <x:v>4</x:v>
      </x:c>
      <x:c r="B133" s="6">
        <x:v>397.1</x:v>
      </x:c>
      <x:c r="C133" s="5" t="s">
        <x:v>205</x:v>
      </x:c>
      <x:c r="D133" s="6" t="s">
        <x:v>3</x:v>
      </x:c>
      <x:c r="E133" s="6" t="s">
        <x:v>2</x:v>
      </x:c>
      <x:c r="F133" s="6" t="s">
        <x:v>48</x:v>
      </x:c>
      <x:c r="G133" s="4" t="s">
        <x:v>47</x:v>
      </x:c>
      <x:c r="H133" s="21">
        <x:v>17710.5</x:v>
      </x:c>
      <x:c r="I133" s="21">
        <x:f>ROUND(H133*$E$177,2)</x:f>
        <x:v>4381.3999999999996</x:v>
      </x:c>
      <x:c r="J133" s="22">
        <x:f>ROUND(H133*$F$177,2)</x:f>
        <x:v>0</x:v>
      </x:c>
      <x:c r="K133" s="21">
        <x:f>ROUND(H133*$I$177,2)</x:f>
        <x:v>7086.5</x:v>
      </x:c>
      <x:c r="L133" s="21">
        <x:f>ROUND(H133*$L$177,2)</x:f>
        <x:v>1710.48</x:v>
      </x:c>
      <x:c r="M133" s="21">
        <x:f t="shared" si="3"/>
        <x:v>4532.1200000000008</x:v>
      </x:c>
      <x:c r="N133" s="21"/>
      <x:c r="O133" s="4"/>
      <x:c r="P133" s="4"/>
      <x:c r="Q133" s="4"/>
      <x:c r="R133" s="4"/>
    </x:row>
    <x:row r="134" spans="1:18" ht="15.65">
      <x:c r="A134" s="1" t="s">
        <x:v>4</x:v>
      </x:c>
      <x:c r="B134" s="6">
        <x:v>397.1</x:v>
      </x:c>
      <x:c r="C134" s="5" t="s">
        <x:v>205</x:v>
      </x:c>
      <x:c r="D134" s="6" t="s">
        <x:v>3</x:v>
      </x:c>
      <x:c r="E134" s="6" t="s">
        <x:v>2</x:v>
      </x:c>
      <x:c r="F134" s="6" t="s">
        <x:v>46</x:v>
      </x:c>
      <x:c r="G134" s="4" t="s">
        <x:v>45</x:v>
      </x:c>
      <x:c r="H134" s="21">
        <x:v>17710.43</x:v>
      </x:c>
      <x:c r="I134" s="21">
        <x:f>ROUND(H134*$E$177,2)</x:f>
        <x:v>4381.38</x:v>
      </x:c>
      <x:c r="J134" s="22">
        <x:f>ROUND(H134*$F$177,2)</x:f>
        <x:v>0</x:v>
      </x:c>
      <x:c r="K134" s="21">
        <x:f>ROUND(H134*$I$177,2)</x:f>
        <x:v>7086.47</x:v>
      </x:c>
      <x:c r="L134" s="21">
        <x:f>ROUND(H134*$L$177,2)</x:f>
        <x:v>1710.47</x:v>
      </x:c>
      <x:c r="M134" s="21">
        <x:f t="shared" si="3"/>
        <x:v>4532.1099999999988</x:v>
      </x:c>
      <x:c r="N134" s="21"/>
      <x:c r="O134" s="4"/>
      <x:c r="P134" s="4"/>
      <x:c r="Q134" s="4"/>
      <x:c r="R134" s="4"/>
    </x:row>
    <x:row r="135" spans="1:18" ht="15.65">
      <x:c r="A135" s="1" t="s">
        <x:v>4</x:v>
      </x:c>
      <x:c r="B135" s="6">
        <x:v>397.1</x:v>
      </x:c>
      <x:c r="C135" s="5" t="s">
        <x:v>205</x:v>
      </x:c>
      <x:c r="D135" s="6" t="s">
        <x:v>3</x:v>
      </x:c>
      <x:c r="E135" s="6" t="s">
        <x:v>2</x:v>
      </x:c>
      <x:c r="F135" s="6" t="s">
        <x:v>44</x:v>
      </x:c>
      <x:c r="G135" s="4" t="s">
        <x:v>43</x:v>
      </x:c>
      <x:c r="H135" s="21">
        <x:v>17710.43</x:v>
      </x:c>
      <x:c r="I135" s="21">
        <x:f>ROUND(H135*$E$177,2)</x:f>
        <x:v>4381.38</x:v>
      </x:c>
      <x:c r="J135" s="22">
        <x:f>ROUND(H135*$F$177,2)</x:f>
        <x:v>0</x:v>
      </x:c>
      <x:c r="K135" s="21">
        <x:f>ROUND(H135*$I$177,2)</x:f>
        <x:v>7086.47</x:v>
      </x:c>
      <x:c r="L135" s="21">
        <x:f>ROUND(H135*$L$177,2)</x:f>
        <x:v>1710.47</x:v>
      </x:c>
      <x:c r="M135" s="21">
        <x:f t="shared" si="3"/>
        <x:v>4532.1099999999988</x:v>
      </x:c>
      <x:c r="N135" s="21"/>
      <x:c r="O135" s="4"/>
      <x:c r="P135" s="4"/>
      <x:c r="Q135" s="4"/>
      <x:c r="R135" s="4"/>
    </x:row>
    <x:row r="136" spans="1:18" ht="15.65">
      <x:c r="A136" s="1" t="s">
        <x:v>4</x:v>
      </x:c>
      <x:c r="B136" s="6">
        <x:v>397.1</x:v>
      </x:c>
      <x:c r="C136" s="5" t="s">
        <x:v>205</x:v>
      </x:c>
      <x:c r="D136" s="6" t="s">
        <x:v>3</x:v>
      </x:c>
      <x:c r="E136" s="6" t="s">
        <x:v>2</x:v>
      </x:c>
      <x:c r="F136" s="6" t="s">
        <x:v>42</x:v>
      </x:c>
      <x:c r="G136" s="4" t="s">
        <x:v>41</x:v>
      </x:c>
      <x:c r="H136" s="21">
        <x:v>17710.43</x:v>
      </x:c>
      <x:c r="I136" s="21">
        <x:f>ROUND(H136*$E$177,2)</x:f>
        <x:v>4381.38</x:v>
      </x:c>
      <x:c r="J136" s="22">
        <x:f>ROUND(H136*$F$177,2)</x:f>
        <x:v>0</x:v>
      </x:c>
      <x:c r="K136" s="21">
        <x:f>ROUND(H136*$I$177,2)</x:f>
        <x:v>7086.47</x:v>
      </x:c>
      <x:c r="L136" s="21">
        <x:f>ROUND(H136*$L$177,2)</x:f>
        <x:v>1710.47</x:v>
      </x:c>
      <x:c r="M136" s="21">
        <x:f t="shared" si="3"/>
        <x:v>4532.1099999999988</x:v>
      </x:c>
      <x:c r="N136" s="21"/>
      <x:c r="O136" s="4"/>
      <x:c r="P136" s="4"/>
      <x:c r="Q136" s="4"/>
      <x:c r="R136" s="4"/>
    </x:row>
    <x:row r="137" spans="1:18" ht="15.65">
      <x:c r="A137" s="1" t="s">
        <x:v>4</x:v>
      </x:c>
      <x:c r="B137" s="6">
        <x:v>397.1</x:v>
      </x:c>
      <x:c r="C137" s="5" t="s">
        <x:v>205</x:v>
      </x:c>
      <x:c r="D137" s="6" t="s">
        <x:v>3</x:v>
      </x:c>
      <x:c r="E137" s="6" t="s">
        <x:v>14</x:v>
      </x:c>
      <x:c r="F137" s="6" t="s">
        <x:v>40</x:v>
      </x:c>
      <x:c r="G137" s="4" t="s">
        <x:v>39</x:v>
      </x:c>
      <x:c r="H137" s="21">
        <x:v>598689.74</x:v>
      </x:c>
      <x:c r="I137" s="21">
        <x:f>ROUND(H137*$E$177,2)</x:f>
        <x:v>148109.85</x:v>
      </x:c>
      <x:c r="J137" s="22">
        <x:f>ROUND(H137*$F$177,2)</x:f>
        <x:v>0</x:v>
      </x:c>
      <x:c r="K137" s="21">
        <x:f>ROUND(H137*$I$177,2)</x:f>
        <x:v>239553.73</x:v>
      </x:c>
      <x:c r="L137" s="21">
        <x:f>ROUND(H137*$L$177,2)</x:f>
        <x:v>57821.46</x:v>
      </x:c>
      <x:c r="M137" s="21">
        <x:f t="shared" si="3"/>
        <x:v>153204.70000000001</x:v>
      </x:c>
      <x:c r="N137" s="21"/>
      <x:c r="O137" s="4"/>
      <x:c r="P137" s="4"/>
      <x:c r="Q137" s="4"/>
      <x:c r="R137" s="4"/>
    </x:row>
    <x:row r="138" spans="1:18" ht="15.65">
      <x:c r="A138" s="1" t="s">
        <x:v>4</x:v>
      </x:c>
      <x:c r="B138" s="6">
        <x:v>397.1</x:v>
      </x:c>
      <x:c r="C138" s="5" t="s">
        <x:v>205</x:v>
      </x:c>
      <x:c r="D138" s="6" t="s">
        <x:v>3</x:v>
      </x:c>
      <x:c r="E138" s="6" t="s">
        <x:v>11</x:v>
      </x:c>
      <x:c r="F138" s="6" t="s">
        <x:v>40</x:v>
      </x:c>
      <x:c r="G138" s="4" t="s">
        <x:v>39</x:v>
      </x:c>
      <x:c r="H138" s="21">
        <x:v>-253.83</x:v>
      </x:c>
      <x:c r="I138" s="21">
        <x:f>ROUND(H138*$E$177,2)</x:f>
        <x:v>-62.8</x:v>
      </x:c>
      <x:c r="J138" s="22">
        <x:f>ROUND(H138*$F$177,2)</x:f>
        <x:v>0</x:v>
      </x:c>
      <x:c r="K138" s="21">
        <x:f>ROUND(H138*$I$177,2)</x:f>
        <x:v>-101.56</x:v>
      </x:c>
      <x:c r="L138" s="21">
        <x:f>ROUND(H138*$L$177,2)</x:f>
        <x:v>-24.51</x:v>
      </x:c>
      <x:c r="M138" s="21">
        <x:f t="shared" si="3"/>
        <x:v>-64.960000000000022</x:v>
      </x:c>
      <x:c r="N138" s="21"/>
      <x:c r="O138" s="4"/>
      <x:c r="P138" s="4"/>
      <x:c r="Q138" s="4"/>
      <x:c r="R138" s="4"/>
    </x:row>
    <x:row r="139" spans="1:18" ht="15.65">
      <x:c r="A139" s="1" t="s">
        <x:v>4</x:v>
      </x:c>
      <x:c r="B139" s="6">
        <x:v>397.1</x:v>
      </x:c>
      <x:c r="C139" s="5" t="s">
        <x:v>205</x:v>
      </x:c>
      <x:c r="D139" s="6" t="s">
        <x:v>3</x:v>
      </x:c>
      <x:c r="E139" s="6" t="s">
        <x:v>2</x:v>
      </x:c>
      <x:c r="F139" s="6" t="s">
        <x:v>40</x:v>
      </x:c>
      <x:c r="G139" s="4" t="s">
        <x:v>39</x:v>
      </x:c>
      <x:c r="H139" s="21">
        <x:v>31010.89</x:v>
      </x:c>
      <x:c r="I139" s="21">
        <x:f>ROUND(H139*$E$177,2)</x:f>
        <x:v>7671.78</x:v>
      </x:c>
      <x:c r="J139" s="22">
        <x:f>ROUND(H139*$F$177,2)</x:f>
        <x:v>0</x:v>
      </x:c>
      <x:c r="K139" s="21">
        <x:f>ROUND(H139*$I$177,2)</x:f>
        <x:v>12408.39</x:v>
      </x:c>
      <x:c r="L139" s="21">
        <x:f>ROUND(H139*$L$177,2)</x:f>
        <x:v>2995.03</x:v>
      </x:c>
      <x:c r="M139" s="21">
        <x:f t="shared" si="3"/>
        <x:v>7935.6900000000005</x:v>
      </x:c>
      <x:c r="N139" s="21"/>
      <x:c r="O139" s="4"/>
      <x:c r="P139" s="4"/>
      <x:c r="Q139" s="4"/>
      <x:c r="R139" s="4"/>
    </x:row>
    <x:row r="140" spans="1:18" ht="15.65">
      <x:c r="A140" s="1" t="s">
        <x:v>4</x:v>
      </x:c>
      <x:c r="B140" s="6">
        <x:v>397.1</x:v>
      </x:c>
      <x:c r="C140" s="5" t="s">
        <x:v>205</x:v>
      </x:c>
      <x:c r="D140" s="6" t="s">
        <x:v>3</x:v>
      </x:c>
      <x:c r="E140" s="6" t="s">
        <x:v>2</x:v>
      </x:c>
      <x:c r="F140" s="6" t="s">
        <x:v>38</x:v>
      </x:c>
      <x:c r="G140" s="4" t="s">
        <x:v>37</x:v>
      </x:c>
      <x:c r="H140" s="21">
        <x:v>17710.43</x:v>
      </x:c>
      <x:c r="I140" s="21">
        <x:f>ROUND(H140*$E$177,2)</x:f>
        <x:v>4381.38</x:v>
      </x:c>
      <x:c r="J140" s="22">
        <x:f>ROUND(H140*$F$177,2)</x:f>
        <x:v>0</x:v>
      </x:c>
      <x:c r="K140" s="21">
        <x:f>ROUND(H140*$I$177,2)</x:f>
        <x:v>7086.47</x:v>
      </x:c>
      <x:c r="L140" s="21">
        <x:f>ROUND(H140*$L$177,2)</x:f>
        <x:v>1710.47</x:v>
      </x:c>
      <x:c r="M140" s="21">
        <x:f t="shared" si="3"/>
        <x:v>4532.1099999999988</x:v>
      </x:c>
      <x:c r="N140" s="21"/>
      <x:c r="O140" s="4"/>
      <x:c r="P140" s="4"/>
      <x:c r="Q140" s="4"/>
      <x:c r="R140" s="4"/>
    </x:row>
    <x:row r="141" spans="1:18" ht="15.65">
      <x:c r="A141" s="1" t="s">
        <x:v>4</x:v>
      </x:c>
      <x:c r="B141" s="6">
        <x:v>397.1</x:v>
      </x:c>
      <x:c r="C141" s="5" t="s">
        <x:v>205</x:v>
      </x:c>
      <x:c r="D141" s="6" t="s">
        <x:v>3</x:v>
      </x:c>
      <x:c r="E141" s="6" t="s">
        <x:v>2</x:v>
      </x:c>
      <x:c r="F141" s="6" t="s">
        <x:v>36</x:v>
      </x:c>
      <x:c r="G141" s="4" t="s">
        <x:v>35</x:v>
      </x:c>
      <x:c r="H141" s="21">
        <x:v>17710.43</x:v>
      </x:c>
      <x:c r="I141" s="21">
        <x:f>ROUND(H141*$E$177,2)</x:f>
        <x:v>4381.38</x:v>
      </x:c>
      <x:c r="J141" s="22">
        <x:f>ROUND(H141*$F$177,2)</x:f>
        <x:v>0</x:v>
      </x:c>
      <x:c r="K141" s="21">
        <x:f>ROUND(H141*$I$177,2)</x:f>
        <x:v>7086.47</x:v>
      </x:c>
      <x:c r="L141" s="21">
        <x:f>ROUND(H141*$L$177,2)</x:f>
        <x:v>1710.47</x:v>
      </x:c>
      <x:c r="M141" s="21">
        <x:f t="shared" si="3"/>
        <x:v>4532.1099999999988</x:v>
      </x:c>
      <x:c r="N141" s="21"/>
      <x:c r="O141" s="4"/>
      <x:c r="P141" s="4"/>
      <x:c r="Q141" s="4"/>
      <x:c r="R141" s="4"/>
    </x:row>
    <x:row r="142" spans="1:18" ht="15.65">
      <x:c r="A142" s="1" t="s">
        <x:v>4</x:v>
      </x:c>
      <x:c r="B142" s="6">
        <x:v>397.1</x:v>
      </x:c>
      <x:c r="C142" s="5" t="s">
        <x:v>205</x:v>
      </x:c>
      <x:c r="D142" s="6" t="s">
        <x:v>3</x:v>
      </x:c>
      <x:c r="E142" s="6" t="s">
        <x:v>11</x:v>
      </x:c>
      <x:c r="F142" s="6" t="s">
        <x:v>34</x:v>
      </x:c>
      <x:c r="G142" s="4" t="s">
        <x:v>33</x:v>
      </x:c>
      <x:c r="H142" s="21">
        <x:v>144288.25</x:v>
      </x:c>
      <x:c r="I142" s="21">
        <x:f>ROUND(H142*$E$177,2)</x:f>
        <x:v>35695.47</x:v>
      </x:c>
      <x:c r="J142" s="22">
        <x:f>ROUND(H142*$F$177,2)</x:f>
        <x:v>0</x:v>
      </x:c>
      <x:c r="K142" s="21">
        <x:f>ROUND(H142*$I$177,2)</x:f>
        <x:v>57734.06</x:v>
      </x:c>
      <x:c r="L142" s="21">
        <x:f>ROUND(H142*$L$177,2)</x:f>
        <x:v>13935.36</x:v>
      </x:c>
      <x:c r="M142" s="21">
        <x:f t="shared" si="3"/>
        <x:v>36923.360000000001</x:v>
      </x:c>
      <x:c r="N142" s="21"/>
      <x:c r="O142" s="4"/>
      <x:c r="P142" s="4"/>
      <x:c r="Q142" s="4"/>
      <x:c r="R142" s="4"/>
    </x:row>
    <x:row r="143" spans="1:18" ht="15.65">
      <x:c r="A143" s="1" t="s">
        <x:v>4</x:v>
      </x:c>
      <x:c r="B143" s="6">
        <x:v>397.1</x:v>
      </x:c>
      <x:c r="C143" s="5" t="s">
        <x:v>205</x:v>
      </x:c>
      <x:c r="D143" s="6" t="s">
        <x:v>3</x:v>
      </x:c>
      <x:c r="E143" s="6" t="s">
        <x:v>5</x:v>
      </x:c>
      <x:c r="F143" s="6" t="s">
        <x:v>34</x:v>
      </x:c>
      <x:c r="G143" s="4" t="s">
        <x:v>33</x:v>
      </x:c>
      <x:c r="H143" s="21">
        <x:v>-32.69</x:v>
      </x:c>
      <x:c r="I143" s="21">
        <x:f>ROUND(H143*$E$177,2)</x:f>
        <x:v>-8.09</x:v>
      </x:c>
      <x:c r="J143" s="22">
        <x:f>ROUND(H143*$F$177,2)</x:f>
        <x:v>0</x:v>
      </x:c>
      <x:c r="K143" s="21">
        <x:f>ROUND(H143*$I$177,2)</x:f>
        <x:v>-13.08</x:v>
      </x:c>
      <x:c r="L143" s="21">
        <x:f>ROUND(H143*$L$177,2)</x:f>
        <x:v>-3.16</x:v>
      </x:c>
      <x:c r="M143" s="21">
        <x:f t="shared" si="3"/>
        <x:v>-8.3599999999999977</x:v>
      </x:c>
      <x:c r="N143" s="21"/>
      <x:c r="O143" s="4"/>
      <x:c r="P143" s="4"/>
      <x:c r="Q143" s="4"/>
      <x:c r="R143" s="4"/>
    </x:row>
    <x:row r="144" spans="1:18" ht="15.65">
      <x:c r="A144" s="1" t="s">
        <x:v>4</x:v>
      </x:c>
      <x:c r="B144" s="6">
        <x:v>397.1</x:v>
      </x:c>
      <x:c r="C144" s="5" t="s">
        <x:v>205</x:v>
      </x:c>
      <x:c r="D144" s="6" t="s">
        <x:v>3</x:v>
      </x:c>
      <x:c r="E144" s="6" t="s">
        <x:v>2</x:v>
      </x:c>
      <x:c r="F144" s="6" t="s">
        <x:v>32</x:v>
      </x:c>
      <x:c r="G144" s="4" t="s">
        <x:v>31</x:v>
      </x:c>
      <x:c r="H144" s="21">
        <x:v>17710.43</x:v>
      </x:c>
      <x:c r="I144" s="21">
        <x:f>ROUND(H144*$E$177,2)</x:f>
        <x:v>4381.38</x:v>
      </x:c>
      <x:c r="J144" s="22">
        <x:f>ROUND(H144*$F$177,2)</x:f>
        <x:v>0</x:v>
      </x:c>
      <x:c r="K144" s="21">
        <x:f>ROUND(H144*$I$177,2)</x:f>
        <x:v>7086.47</x:v>
      </x:c>
      <x:c r="L144" s="21">
        <x:f>ROUND(H144*$L$177,2)</x:f>
        <x:v>1710.47</x:v>
      </x:c>
      <x:c r="M144" s="21">
        <x:f t="shared" si="3"/>
        <x:v>4532.1099999999988</x:v>
      </x:c>
      <x:c r="N144" s="21"/>
      <x:c r="O144" s="4"/>
      <x:c r="P144" s="4"/>
      <x:c r="Q144" s="4"/>
      <x:c r="R144" s="4"/>
    </x:row>
    <x:row r="145" spans="1:18" ht="15.65">
      <x:c r="A145" s="1" t="s">
        <x:v>4</x:v>
      </x:c>
      <x:c r="B145" s="6">
        <x:v>397.1</x:v>
      </x:c>
      <x:c r="C145" s="5" t="s">
        <x:v>205</x:v>
      </x:c>
      <x:c r="D145" s="6" t="s">
        <x:v>3</x:v>
      </x:c>
      <x:c r="E145" s="6" t="s">
        <x:v>2</x:v>
      </x:c>
      <x:c r="F145" s="6" t="s">
        <x:v>30</x:v>
      </x:c>
      <x:c r="G145" s="4" t="s">
        <x:v>29</x:v>
      </x:c>
      <x:c r="H145" s="21">
        <x:v>17710.43</x:v>
      </x:c>
      <x:c r="I145" s="21">
        <x:f>ROUND(H145*$E$177,2)</x:f>
        <x:v>4381.38</x:v>
      </x:c>
      <x:c r="J145" s="22">
        <x:f>ROUND(H145*$F$177,2)</x:f>
        <x:v>0</x:v>
      </x:c>
      <x:c r="K145" s="21">
        <x:f>ROUND(H145*$I$177,2)</x:f>
        <x:v>7086.47</x:v>
      </x:c>
      <x:c r="L145" s="21">
        <x:f>ROUND(H145*$L$177,2)</x:f>
        <x:v>1710.47</x:v>
      </x:c>
      <x:c r="M145" s="21">
        <x:f t="shared" si="3"/>
        <x:v>4532.1099999999988</x:v>
      </x:c>
      <x:c r="N145" s="21"/>
      <x:c r="O145" s="4"/>
      <x:c r="P145" s="4"/>
      <x:c r="Q145" s="4"/>
      <x:c r="R145" s="4"/>
    </x:row>
    <x:row r="146" spans="1:18" ht="15.65">
      <x:c r="A146" s="1" t="s">
        <x:v>4</x:v>
      </x:c>
      <x:c r="B146" s="6">
        <x:v>397.1</x:v>
      </x:c>
      <x:c r="C146" s="5" t="s">
        <x:v>205</x:v>
      </x:c>
      <x:c r="D146" s="6" t="s">
        <x:v>3</x:v>
      </x:c>
      <x:c r="E146" s="6" t="s">
        <x:v>2</x:v>
      </x:c>
      <x:c r="F146" s="6" t="s">
        <x:v>28</x:v>
      </x:c>
      <x:c r="G146" s="4" t="s">
        <x:v>27</x:v>
      </x:c>
      <x:c r="H146" s="21">
        <x:v>17710.43</x:v>
      </x:c>
      <x:c r="I146" s="21">
        <x:f>ROUND(H146*$E$177,2)</x:f>
        <x:v>4381.38</x:v>
      </x:c>
      <x:c r="J146" s="22">
        <x:f>ROUND(H146*$F$177,2)</x:f>
        <x:v>0</x:v>
      </x:c>
      <x:c r="K146" s="21">
        <x:f>ROUND(H146*$I$177,2)</x:f>
        <x:v>7086.47</x:v>
      </x:c>
      <x:c r="L146" s="21">
        <x:f>ROUND(H146*$L$177,2)</x:f>
        <x:v>1710.47</x:v>
      </x:c>
      <x:c r="M146" s="21">
        <x:f t="shared" si="3"/>
        <x:v>4532.1099999999988</x:v>
      </x:c>
      <x:c r="N146" s="21"/>
      <x:c r="O146" s="4"/>
      <x:c r="P146" s="4"/>
      <x:c r="Q146" s="4"/>
      <x:c r="R146" s="4"/>
    </x:row>
    <x:row r="147" spans="1:18" ht="15.65">
      <x:c r="A147" s="1" t="s">
        <x:v>4</x:v>
      </x:c>
      <x:c r="B147" s="6">
        <x:v>397.1</x:v>
      </x:c>
      <x:c r="C147" s="5" t="s">
        <x:v>205</x:v>
      </x:c>
      <x:c r="D147" s="6" t="s">
        <x:v>3</x:v>
      </x:c>
      <x:c r="E147" s="6" t="s">
        <x:v>2</x:v>
      </x:c>
      <x:c r="F147" s="6" t="s">
        <x:v>26</x:v>
      </x:c>
      <x:c r="G147" s="4" t="s">
        <x:v>25</x:v>
      </x:c>
      <x:c r="H147" s="21">
        <x:v>17710.43</x:v>
      </x:c>
      <x:c r="I147" s="21">
        <x:f>ROUND(H147*$E$177,2)</x:f>
        <x:v>4381.38</x:v>
      </x:c>
      <x:c r="J147" s="22">
        <x:f>ROUND(H147*$F$177,2)</x:f>
        <x:v>0</x:v>
      </x:c>
      <x:c r="K147" s="21">
        <x:f>ROUND(H147*$I$177,2)</x:f>
        <x:v>7086.47</x:v>
      </x:c>
      <x:c r="L147" s="21">
        <x:f>ROUND(H147*$L$177,2)</x:f>
        <x:v>1710.47</x:v>
      </x:c>
      <x:c r="M147" s="21">
        <x:f t="shared" si="3"/>
        <x:v>4532.1099999999988</x:v>
      </x:c>
      <x:c r="N147" s="21"/>
      <x:c r="O147" s="4"/>
      <x:c r="P147" s="4"/>
      <x:c r="Q147" s="4"/>
      <x:c r="R147" s="4"/>
    </x:row>
    <x:row r="148" spans="1:18" ht="15.65">
      <x:c r="A148" s="1" t="s">
        <x:v>4</x:v>
      </x:c>
      <x:c r="B148" s="6">
        <x:v>397.1</x:v>
      </x:c>
      <x:c r="C148" s="5" t="s">
        <x:v>205</x:v>
      </x:c>
      <x:c r="D148" s="6" t="s">
        <x:v>3</x:v>
      </x:c>
      <x:c r="E148" s="6" t="s">
        <x:v>2</x:v>
      </x:c>
      <x:c r="F148" s="6" t="s">
        <x:v>24</x:v>
      </x:c>
      <x:c r="G148" s="4" t="s">
        <x:v>23</x:v>
      </x:c>
      <x:c r="H148" s="21">
        <x:v>17710.43</x:v>
      </x:c>
      <x:c r="I148" s="21">
        <x:f>ROUND(H148*$E$177,2)</x:f>
        <x:v>4381.38</x:v>
      </x:c>
      <x:c r="J148" s="22">
        <x:f>ROUND(H148*$F$177,2)</x:f>
        <x:v>0</x:v>
      </x:c>
      <x:c r="K148" s="21">
        <x:f>ROUND(H148*$I$177,2)</x:f>
        <x:v>7086.47</x:v>
      </x:c>
      <x:c r="L148" s="21">
        <x:f>ROUND(H148*$L$177,2)</x:f>
        <x:v>1710.47</x:v>
      </x:c>
      <x:c r="M148" s="21">
        <x:f t="shared" si="3"/>
        <x:v>4532.1099999999988</x:v>
      </x:c>
      <x:c r="N148" s="21"/>
      <x:c r="O148" s="4"/>
      <x:c r="P148" s="4"/>
      <x:c r="Q148" s="4"/>
      <x:c r="R148" s="4"/>
    </x:row>
    <x:row r="149" spans="1:18" ht="15.65">
      <x:c r="A149" s="1" t="s">
        <x:v>4</x:v>
      </x:c>
      <x:c r="B149" s="6">
        <x:v>397.1</x:v>
      </x:c>
      <x:c r="C149" s="5" t="s">
        <x:v>205</x:v>
      </x:c>
      <x:c r="D149" s="6" t="s">
        <x:v>3</x:v>
      </x:c>
      <x:c r="E149" s="6" t="s">
        <x:v>14</x:v>
      </x:c>
      <x:c r="F149" s="6" t="s">
        <x:v>22</x:v>
      </x:c>
      <x:c r="G149" s="4" t="s">
        <x:v>21</x:v>
      </x:c>
      <x:c r="H149" s="21">
        <x:v>7385.29</x:v>
      </x:c>
      <x:c r="I149" s="21">
        <x:f>ROUND(H149*$E$177,2)</x:f>
        <x:v>1827.05</x:v>
      </x:c>
      <x:c r="J149" s="22">
        <x:f>ROUND(H149*$F$177,2)</x:f>
        <x:v>0</x:v>
      </x:c>
      <x:c r="K149" s="21">
        <x:f>ROUND(H149*$I$177,2)</x:f>
        <x:v>2955.08</x:v>
      </x:c>
      <x:c r="L149" s="21">
        <x:f>ROUND(H149*$L$177,2)</x:f>
        <x:v>713.27</x:v>
      </x:c>
      <x:c r="M149" s="21">
        <x:f t="shared" si="3"/>
        <x:v>1889.8899999999999</x:v>
      </x:c>
      <x:c r="N149" s="21"/>
      <x:c r="O149" s="4"/>
      <x:c r="P149" s="4"/>
      <x:c r="Q149" s="4"/>
      <x:c r="R149" s="4"/>
    </x:row>
    <x:row r="150" spans="1:18" ht="15.65">
      <x:c r="A150" s="1" t="s">
        <x:v>4</x:v>
      </x:c>
      <x:c r="B150" s="6">
        <x:v>397.1</x:v>
      </x:c>
      <x:c r="C150" s="5" t="s">
        <x:v>205</x:v>
      </x:c>
      <x:c r="D150" s="6" t="s">
        <x:v>3</x:v>
      </x:c>
      <x:c r="E150" s="6" t="s">
        <x:v>2</x:v>
      </x:c>
      <x:c r="F150" s="6" t="s">
        <x:v>20</x:v>
      </x:c>
      <x:c r="G150" s="4" t="s">
        <x:v>19</x:v>
      </x:c>
      <x:c r="H150" s="21">
        <x:v>17710.43</x:v>
      </x:c>
      <x:c r="I150" s="21">
        <x:f>ROUND(H150*$E$177,2)</x:f>
        <x:v>4381.38</x:v>
      </x:c>
      <x:c r="J150" s="22">
        <x:f>ROUND(H150*$F$177,2)</x:f>
        <x:v>0</x:v>
      </x:c>
      <x:c r="K150" s="21">
        <x:f>ROUND(H150*$I$177,2)</x:f>
        <x:v>7086.47</x:v>
      </x:c>
      <x:c r="L150" s="21">
        <x:f>ROUND(H150*$L$177,2)</x:f>
        <x:v>1710.47</x:v>
      </x:c>
      <x:c r="M150" s="21">
        <x:f t="shared" si="3"/>
        <x:v>4532.1099999999988</x:v>
      </x:c>
      <x:c r="N150" s="21"/>
      <x:c r="O150" s="4"/>
      <x:c r="P150" s="4"/>
      <x:c r="Q150" s="4"/>
      <x:c r="R150" s="4"/>
    </x:row>
    <x:row r="151" spans="1:18" ht="15.65">
      <x:c r="A151" s="1" t="s">
        <x:v>4</x:v>
      </x:c>
      <x:c r="B151" s="6">
        <x:v>397.1</x:v>
      </x:c>
      <x:c r="C151" s="5" t="s">
        <x:v>205</x:v>
      </x:c>
      <x:c r="D151" s="6" t="s">
        <x:v>3</x:v>
      </x:c>
      <x:c r="E151" s="6" t="s">
        <x:v>2</x:v>
      </x:c>
      <x:c r="F151" s="6" t="s">
        <x:v>18</x:v>
      </x:c>
      <x:c r="G151" s="4" t="s">
        <x:v>17</x:v>
      </x:c>
      <x:c r="H151" s="21">
        <x:v>17710.43</x:v>
      </x:c>
      <x:c r="I151" s="21">
        <x:f>ROUND(H151*$E$177,2)</x:f>
        <x:v>4381.38</x:v>
      </x:c>
      <x:c r="J151" s="22">
        <x:f>ROUND(H151*$F$177,2)</x:f>
        <x:v>0</x:v>
      </x:c>
      <x:c r="K151" s="21">
        <x:f>ROUND(H151*$I$177,2)</x:f>
        <x:v>7086.47</x:v>
      </x:c>
      <x:c r="L151" s="21">
        <x:f>ROUND(H151*$L$177,2)</x:f>
        <x:v>1710.47</x:v>
      </x:c>
      <x:c r="M151" s="21">
        <x:f t="shared" si="3"/>
        <x:v>4532.1099999999988</x:v>
      </x:c>
      <x:c r="N151" s="21"/>
      <x:c r="O151" s="4"/>
      <x:c r="P151" s="4"/>
      <x:c r="Q151" s="4"/>
      <x:c r="R151" s="4"/>
    </x:row>
    <x:row r="152" spans="1:18" ht="15.65">
      <x:c r="A152" s="1" t="s">
        <x:v>4</x:v>
      </x:c>
      <x:c r="B152" s="6">
        <x:v>397.1</x:v>
      </x:c>
      <x:c r="C152" s="5" t="s">
        <x:v>205</x:v>
      </x:c>
      <x:c r="D152" s="6" t="s">
        <x:v>3</x:v>
      </x:c>
      <x:c r="E152" s="6" t="s">
        <x:v>2</x:v>
      </x:c>
      <x:c r="F152" s="6" t="s">
        <x:v>16</x:v>
      </x:c>
      <x:c r="G152" s="4" t="s">
        <x:v>15</x:v>
      </x:c>
      <x:c r="H152" s="21">
        <x:v>17710.43</x:v>
      </x:c>
      <x:c r="I152" s="21">
        <x:f>ROUND(H152*$E$177,2)</x:f>
        <x:v>4381.38</x:v>
      </x:c>
      <x:c r="J152" s="22">
        <x:f>ROUND(H152*$F$177,2)</x:f>
        <x:v>0</x:v>
      </x:c>
      <x:c r="K152" s="21">
        <x:f>ROUND(H152*$I$177,2)</x:f>
        <x:v>7086.47</x:v>
      </x:c>
      <x:c r="L152" s="21">
        <x:f>ROUND(H152*$L$177,2)</x:f>
        <x:v>1710.47</x:v>
      </x:c>
      <x:c r="M152" s="21">
        <x:f t="shared" si="3"/>
        <x:v>4532.1099999999988</x:v>
      </x:c>
      <x:c r="N152" s="21"/>
      <x:c r="O152" s="4"/>
      <x:c r="P152" s="4"/>
      <x:c r="Q152" s="4"/>
      <x:c r="R152" s="4"/>
    </x:row>
    <x:row r="153" spans="1:18" ht="15.65">
      <x:c r="A153" s="1" t="s">
        <x:v>4</x:v>
      </x:c>
      <x:c r="B153" s="6">
        <x:v>397.1</x:v>
      </x:c>
      <x:c r="C153" s="5" t="s">
        <x:v>205</x:v>
      </x:c>
      <x:c r="D153" s="6" t="s">
        <x:v>3</x:v>
      </x:c>
      <x:c r="E153" s="6" t="s">
        <x:v>14</x:v>
      </x:c>
      <x:c r="F153" s="6" t="s">
        <x:v>13</x:v>
      </x:c>
      <x:c r="G153" s="4" t="s">
        <x:v>12</x:v>
      </x:c>
      <x:c r="H153" s="21">
        <x:v>5948.34</x:v>
      </x:c>
      <x:c r="I153" s="21">
        <x:f>ROUND(H153*$E$177,2)</x:f>
        <x:v>1471.56</x:v>
      </x:c>
      <x:c r="J153" s="22">
        <x:f>ROUND(H153*$F$177,2)</x:f>
        <x:v>0</x:v>
      </x:c>
      <x:c r="K153" s="21">
        <x:f>ROUND(H153*$I$177,2)</x:f>
        <x:v>2380.11</x:v>
      </x:c>
      <x:c r="L153" s="21">
        <x:f>ROUND(H153*$L$177,2)</x:f>
        <x:v>574.49</x:v>
      </x:c>
      <x:c r="M153" s="21">
        <x:f t="shared" si="3"/>
        <x:v>1522.1800000000005</x:v>
      </x:c>
      <x:c r="N153" s="21"/>
      <x:c r="O153" s="4"/>
      <x:c r="P153" s="4"/>
      <x:c r="Q153" s="4"/>
      <x:c r="R153" s="4"/>
    </x:row>
    <x:row r="154" spans="1:18" ht="15.65">
      <x:c r="A154" s="1" t="s">
        <x:v>4</x:v>
      </x:c>
      <x:c r="B154" s="6">
        <x:v>397.1</x:v>
      </x:c>
      <x:c r="C154" s="5" t="s">
        <x:v>205</x:v>
      </x:c>
      <x:c r="D154" s="6" t="s">
        <x:v>3</x:v>
      </x:c>
      <x:c r="E154" s="6" t="s">
        <x:v>11</x:v>
      </x:c>
      <x:c r="F154" s="6" t="s">
        <x:v>10</x:v>
      </x:c>
      <x:c r="G154" s="4" t="s">
        <x:v>9</x:v>
      </x:c>
      <x:c r="H154" s="21">
        <x:v>3323.34</x:v>
      </x:c>
      <x:c r="I154" s="21">
        <x:f>ROUND(H154*$E$177,2)</x:f>
        <x:v>822.16</x:v>
      </x:c>
      <x:c r="J154" s="22">
        <x:f>ROUND(H154*$F$177,2)</x:f>
        <x:v>0</x:v>
      </x:c>
      <x:c r="K154" s="21">
        <x:f>ROUND(H154*$I$177,2)</x:f>
        <x:v>1329.77</x:v>
      </x:c>
      <x:c r="L154" s="21">
        <x:f>ROUND(H154*$L$177,2)</x:f>
        <x:v>320.97000000000003</x:v>
      </x:c>
      <x:c r="M154" s="21">
        <x:f t="shared" si="3"/>
        <x:v>850.44000000000028</x:v>
      </x:c>
      <x:c r="N154" s="21"/>
      <x:c r="O154" s="4"/>
      <x:c r="P154" s="4"/>
      <x:c r="Q154" s="4"/>
      <x:c r="R154" s="4"/>
    </x:row>
    <x:row r="155" spans="1:18" ht="15.65">
      <x:c r="A155" s="1" t="s">
        <x:v>4</x:v>
      </x:c>
      <x:c r="B155" s="6">
        <x:v>397.1</x:v>
      </x:c>
      <x:c r="C155" s="5" t="s">
        <x:v>205</x:v>
      </x:c>
      <x:c r="D155" s="6" t="s">
        <x:v>3</x:v>
      </x:c>
      <x:c r="E155" s="6" t="s">
        <x:v>2</x:v>
      </x:c>
      <x:c r="F155" s="6" t="s">
        <x:v>7</x:v>
      </x:c>
      <x:c r="G155" s="4" t="s">
        <x:v>6</x:v>
      </x:c>
      <x:c r="H155" s="21">
        <x:v>17835.34</x:v>
      </x:c>
      <x:c r="I155" s="21">
        <x:f>ROUND(H155*$E$177,2)</x:f>
        <x:v>4412.28</x:v>
      </x:c>
      <x:c r="J155" s="22">
        <x:f>ROUND(H155*$F$177,2)</x:f>
        <x:v>0</x:v>
      </x:c>
      <x:c r="K155" s="21">
        <x:f>ROUND(H155*$I$177,2)</x:f>
        <x:v>7136.45</x:v>
      </x:c>
      <x:c r="L155" s="21">
        <x:f>ROUND(H155*$L$177,2)</x:f>
        <x:v>1722.54</x:v>
      </x:c>
      <x:c r="M155" s="21">
        <x:f t="shared" si="3"/>
        <x:v>4564.0700000000015</x:v>
      </x:c>
      <x:c r="N155" s="21"/>
      <x:c r="O155" s="4"/>
      <x:c r="P155" s="4"/>
      <x:c r="Q155" s="4"/>
      <x:c r="R155" s="4"/>
    </x:row>
    <x:row r="156" spans="1:18" ht="15.65">
      <x:c r="A156" s="1" t="s">
        <x:v>4</x:v>
      </x:c>
      <x:c r="B156" s="6">
        <x:v>397.1</x:v>
      </x:c>
      <x:c r="C156" s="5" t="s">
        <x:v>205</x:v>
      </x:c>
      <x:c r="D156" s="6" t="s">
        <x:v>3</x:v>
      </x:c>
      <x:c r="E156" s="6" t="s">
        <x:v>8</x:v>
      </x:c>
      <x:c r="F156" s="6" t="s">
        <x:v>7</x:v>
      </x:c>
      <x:c r="G156" s="4" t="s">
        <x:v>6</x:v>
      </x:c>
      <x:c r="H156" s="21">
        <x:v>2387.0100000000002</x:v>
      </x:c>
      <x:c r="I156" s="21">
        <x:f>ROUND(H156*$E$177,2)</x:f>
        <x:v>590.52</x:v>
      </x:c>
      <x:c r="J156" s="22">
        <x:f>ROUND(H156*$F$177,2)</x:f>
        <x:v>0</x:v>
      </x:c>
      <x:c r="K156" s="21">
        <x:f>ROUND(H156*$I$177,2)</x:f>
        <x:v>955.11</x:v>
      </x:c>
      <x:c r="L156" s="21">
        <x:f>ROUND(H156*$L$177,2)</x:f>
        <x:v>230.54</x:v>
      </x:c>
      <x:c r="M156" s="21">
        <x:f t="shared" si="3"/>
        <x:v>610.84000000000026</x:v>
      </x:c>
      <x:c r="N156" s="21"/>
      <x:c r="O156" s="4"/>
      <x:c r="P156" s="4"/>
      <x:c r="Q156" s="4"/>
      <x:c r="R156" s="4"/>
    </x:row>
    <x:row r="157" spans="1:18" ht="15.65">
      <x:c r="A157" s="1" t="s">
        <x:v>4</x:v>
      </x:c>
      <x:c r="B157" s="6">
        <x:v>397.1</x:v>
      </x:c>
      <x:c r="C157" s="5" t="s">
        <x:v>205</x:v>
      </x:c>
      <x:c r="D157" s="6" t="s">
        <x:v>3</x:v>
      </x:c>
      <x:c r="E157" s="6" t="s">
        <x:v>5</x:v>
      </x:c>
      <x:c r="F157" s="6" t="s">
        <x:v>1</x:v>
      </x:c>
      <x:c r="G157" s="4" t="s">
        <x:v>0</x:v>
      </x:c>
      <x:c r="H157" s="21">
        <x:v>30153.81</x:v>
      </x:c>
      <x:c r="I157" s="21">
        <x:f>ROUND(H157*$E$177,2)</x:f>
        <x:v>7459.75</x:v>
      </x:c>
      <x:c r="J157" s="22">
        <x:f>ROUND(H157*$F$177,2)</x:f>
        <x:v>0</x:v>
      </x:c>
      <x:c r="K157" s="21">
        <x:f>ROUND(H157*$I$177,2)</x:f>
        <x:v>12065.44</x:v>
      </x:c>
      <x:c r="L157" s="21">
        <x:f>ROUND(H157*$L$177,2)</x:f>
        <x:v>2912.25</x:v>
      </x:c>
      <x:c r="M157" s="21">
        <x:f t="shared" si="3"/>
        <x:v>7716.3700000000008</x:v>
      </x:c>
      <x:c r="N157" s="21"/>
      <x:c r="O157" s="4"/>
      <x:c r="P157" s="4"/>
      <x:c r="Q157" s="4"/>
      <x:c r="R157" s="4"/>
    </x:row>
    <x:row r="158" spans="1:18" ht="15.65">
      <x:c r="A158" s="1" t="s">
        <x:v>4</x:v>
      </x:c>
      <x:c r="B158" s="6">
        <x:v>397.1</x:v>
      </x:c>
      <x:c r="C158" s="5" t="s">
        <x:v>205</x:v>
      </x:c>
      <x:c r="D158" s="6" t="s">
        <x:v>3</x:v>
      </x:c>
      <x:c r="E158" s="6" t="s">
        <x:v>2</x:v>
      </x:c>
      <x:c r="F158" s="6" t="s">
        <x:v>1</x:v>
      </x:c>
      <x:c r="G158" s="4" t="s">
        <x:v>0</x:v>
      </x:c>
      <x:c r="H158" s="21">
        <x:v>48928.46</x:v>
      </x:c>
      <x:c r="I158" s="21">
        <x:f>ROUND(H158*$E$177,2)</x:f>
        <x:v>12104.41</x:v>
      </x:c>
      <x:c r="J158" s="22">
        <x:f>ROUND(H158*$F$177,2)</x:f>
        <x:v>0</x:v>
      </x:c>
      <x:c r="K158" s="21">
        <x:f>ROUND(H158*$I$177,2)</x:f>
        <x:v>19577.740000000002</x:v>
      </x:c>
      <x:c r="L158" s="21">
        <x:f>ROUND(H158*$L$177,2)</x:f>
        <x:v>4725.51</x:v>
      </x:c>
      <x:c r="M158" s="21">
        <x:f t="shared" si="3"/>
        <x:v>12520.800000000001</x:v>
      </x:c>
      <x:c r="N158" s="21"/>
      <x:c r="O158" s="4"/>
      <x:c r="P158" s="4"/>
      <x:c r="Q158" s="4"/>
      <x:c r="R158" s="4"/>
    </x:row>
    <x:row r="159" spans="1:18" ht="15.65">
      <x:c r="A159" s="1" t="s">
        <x:v>91</x:v>
      </x:c>
      <x:c r="B159" s="6">
        <x:v>397.1</x:v>
      </x:c>
      <x:c r="C159" s="5" t="s">
        <x:v>205</x:v>
      </x:c>
      <x:c r="D159" s="6">
        <x:v>1010798</x:v>
      </x:c>
      <x:c r="E159" s="6">
        <x:v>2024</x:v>
      </x:c>
      <x:c r="F159" s="6" t="s">
        <x:v>60</x:v>
      </x:c>
      <x:c r="G159" s="4" t="s">
        <x:v>59</x:v>
      </x:c>
      <x:c r="H159" s="21">
        <x:v>106991.18</x:v>
      </x:c>
      <x:c r="I159" s="21">
        <x:f>ROUND(H159*$E$177,2)</x:f>
        <x:v>26468.55</x:v>
      </x:c>
      <x:c r="J159" s="22">
        <x:f>ROUND(H159*$F$177,2)</x:f>
        <x:v>0</x:v>
      </x:c>
      <x:c r="K159" s="21">
        <x:f>ROUND(H159*$I$177,2)</x:f>
        <x:v>42810.38</x:v>
      </x:c>
      <x:c r="L159" s="21">
        <x:f>ROUND(H159*$L$177,2)</x:f>
        <x:v>10333.209999999999</x:v>
      </x:c>
      <x:c r="M159" s="21">
        <x:f t="shared" si="3"/>
        <x:v>27379.039999999994</x:v>
      </x:c>
      <x:c r="N159" s="21"/>
      <x:c r="O159" s="4"/>
      <x:c r="P159" s="4"/>
      <x:c r="Q159" s="4"/>
      <x:c r="R159" s="4"/>
    </x:row>
    <x:row r="160" spans="1:18">
      <x:c r="H160" s="13"/>
      <x:c r="I160" s="13"/>
      <x:c r="J160" s="13"/>
      <x:c r="K160" s="13"/>
      <x:c r="L160" s="13"/>
      <x:c r="M160" s="13"/>
    </x:row>
    <x:row r="161" spans="2:14" ht="16.3" thickBot="1">
      <x:c r="G161" s="20" t="s">
        <x:v>217</x:v>
      </x:c>
      <x:c r="H161" s="11">
        <x:f>SUM(H2:H159)</x:f>
        <x:v>170037957.93000013</x:v>
      </x:c>
      <x:c r="I161" s="11">
        <x:f t="shared" ref="I161:M161" si="4">SUM(I2:I159)</x:f>
        <x:v>42062215.060000032</x:v>
      </x:c>
      <x:c r="J161" s="11">
        <x:f t="shared" si="4"/>
        <x:v>14047.69</x:v>
      </x:c>
      <x:c r="K161" s="11">
        <x:f t="shared" si="4"/>
        <x:v>68031667.299999937</x:v>
      </x:c>
      <x:c r="L161" s="11">
        <x:f t="shared" si="4"/>
        <x:v>16420909.21000002</x:v>
      </x:c>
      <x:c r="M161" s="11">
        <x:f t="shared" si="4"/>
        <x:v>43509118.669999987</x:v>
      </x:c>
    </x:row>
    <x:row r="162" spans="2:14" ht="13.6" thickTop="1">
      <x:c r="H162" s="13"/>
      <x:c r="I162" s="13"/>
      <x:c r="J162" s="13"/>
      <x:c r="K162" s="13"/>
      <x:c r="L162" s="13"/>
      <x:c r="M162" s="13"/>
    </x:row>
    <x:row r="163" spans="2:14">
      <x:c r="H163" s="13"/>
      <x:c r="I163" s="13"/>
      <x:c r="J163" s="13"/>
      <x:c r="K163" s="13"/>
      <x:c r="L163" s="13"/>
      <x:c r="M163" s="13"/>
    </x:row>
    <x:row r="164" spans="2:14">
      <x:c r="H164" s="13"/>
      <x:c r="I164" s="13"/>
      <x:c r="J164" s="13"/>
      <x:c r="K164" s="13"/>
      <x:c r="L164" s="13"/>
      <x:c r="M164" s="13"/>
    </x:row>
    <x:row r="165" spans="2:14">
      <x:c r="H165" s="13"/>
      <x:c r="I165" s="13"/>
      <x:c r="J165" s="13"/>
      <x:c r="K165" s="13"/>
      <x:c r="L165" s="13"/>
      <x:c r="M165" s="13"/>
    </x:row>
    <x:row r="166" spans="2:14" ht="15.65">
      <x:c r="I166" s="12"/>
      <x:c r="J166" s="17"/>
      <x:c r="K166" s="17"/>
      <x:c r="L166" s="17"/>
      <x:c r="M166" s="17"/>
      <x:c r="N166" s="12"/>
    </x:row>
    <x:row r="167" spans="2:14" ht="15.65">
      <x:c r="I167" s="12"/>
      <x:c r="J167" s="17"/>
      <x:c r="K167" s="17"/>
      <x:c r="L167" s="17"/>
      <x:c r="M167" s="17"/>
      <x:c r="N167" s="12"/>
    </x:row>
    <x:row r="168" spans="2:14" ht="15.65">
      <x:c r="C168" s="14"/>
      <x:c r="D168" s="2" t="s">
        <x:v>206</x:v>
      </x:c>
      <x:c r="E168" s="2" t="s">
        <x:v>4</x:v>
      </x:c>
      <x:c r="F168" s="2" t="s">
        <x:v>207</x:v>
      </x:c>
      <x:c r="G168" s="2" t="s">
        <x:v>208</x:v>
      </x:c>
      <x:c r="H168" s="2" t="s">
        <x:v>209</x:v>
      </x:c>
      <x:c r="I168" s="2" t="s">
        <x:v>91</x:v>
      </x:c>
      <x:c r="J168" s="2" t="s">
        <x:v>210</x:v>
      </x:c>
      <x:c r="K168" s="2" t="s">
        <x:v>211</x:v>
      </x:c>
      <x:c r="L168" s="2" t="s">
        <x:v>196</x:v>
      </x:c>
      <x:c r="M168" s="2" t="s">
        <x:v>195</x:v>
      </x:c>
    </x:row>
    <x:row r="169" spans="2:14" ht="15.65">
      <x:c r="C169" s="1"/>
      <x:c r="D169" s="8"/>
      <x:c r="E169" s="8"/>
      <x:c r="F169" s="8"/>
      <x:c r="G169" s="8"/>
      <x:c r="H169" s="8"/>
      <x:c r="I169" s="8"/>
      <x:c r="J169" s="15"/>
      <x:c r="K169" s="15"/>
      <x:c r="L169" s="15"/>
      <x:c r="M169" s="15"/>
    </x:row>
    <x:row r="170" spans="2:14" ht="18" customHeight="1">
      <x:c r="B170" s="18"/>
      <x:c r="C170" s="19" t="s">
        <x:v>212</x:v>
      </x:c>
      <x:c r="D170" s="8">
        <x:v>15899999.999999523</x:v>
      </x:c>
      <x:c r="E170" s="8">
        <x:v>6784530</x:v>
      </x:c>
      <x:c r="F170" s="8">
        <x:v>0</x:v>
      </x:c>
      <x:c r="G170" s="8">
        <x:v>0</x:v>
      </x:c>
      <x:c r="H170" s="8">
        <x:f>SUM(E170:G170)</x:f>
        <x:v>6784530</x:v>
      </x:c>
      <x:c r="I170" s="8">
        <x:v>8645784</x:v>
      </x:c>
      <x:c r="J170" s="8">
        <x:v>0</x:v>
      </x:c>
      <x:c r="K170" s="8">
        <x:f>SUM(I170:J170)</x:f>
        <x:v>8645784</x:v>
      </x:c>
      <x:c r="L170" s="8">
        <x:v>324360</x:v>
      </x:c>
      <x:c r="M170" s="8">
        <x:v>145326</x:v>
      </x:c>
      <x:c r="N170" s="13">
        <x:f>D170-H170-K170-L170-M170</x:f>
        <x:v>-4.76837158203125E-7</x:v>
      </x:c>
    </x:row>
    <x:row r="171" spans="2:14" ht="15.65">
      <x:c r="C171" s="19" t="s">
        <x:v>213</x:v>
      </x:c>
      <x:c r="D171" s="8">
        <x:v>150825746.09999999</x:v>
      </x:c>
      <x:c r="E171" s="8">
        <x:v>150825746.09999999</x:v>
      </x:c>
      <x:c r="F171" s="8">
        <x:v>0</x:v>
      </x:c>
      <x:c r="G171" s="8">
        <x:v>0</x:v>
      </x:c>
      <x:c r="H171" s="8">
        <x:f>SUM(E171:G171)</x:f>
        <x:v>150825746.09999999</x:v>
      </x:c>
      <x:c r="I171" s="8">
        <x:v>0</x:v>
      </x:c>
      <x:c r="J171" s="8">
        <x:v>0</x:v>
      </x:c>
      <x:c r="K171" s="8">
        <x:f>SUM(I171:J171)</x:f>
        <x:v>0</x:v>
      </x:c>
      <x:c r="L171" s="8">
        <x:v>0</x:v>
      </x:c>
      <x:c r="M171" s="8">
        <x:v>0</x:v>
      </x:c>
      <x:c r="N171" s="13">
        <x:f t="shared" ref="N171:N173" si="5">D171-H171-K171-L171-M171</x:f>
        <x:v>0</x:v>
      </x:c>
    </x:row>
    <x:row r="172" spans="2:14" ht="15.65">
      <x:c r="C172" s="19" t="s">
        <x:v>214</x:v>
      </x:c>
      <x:c r="D172" s="8">
        <x:v>783527550.65000021</x:v>
      </x:c>
      <x:c r="E172" s="8">
        <x:v>0</x:v>
      </x:c>
      <x:c r="F172" s="8">
        <x:v>0</x:v>
      </x:c>
      <x:c r="G172" s="8">
        <x:v>0</x:v>
      </x:c>
      <x:c r="H172" s="8">
        <x:f>SUM(E172:G172)</x:f>
        <x:v>0</x:v>
      </x:c>
      <x:c r="I172" s="8">
        <x:v>327580421.52000022</x:v>
      </x:c>
      <x:c r="J172" s="8">
        <x:v>0</x:v>
      </x:c>
      <x:c r="K172" s="8">
        <x:f>SUM(I172:J172)</x:f>
        <x:v>327580421.52000022</x:v>
      </x:c>
      <x:c r="L172" s="8">
        <x:v>121073893.45000005</x:v>
      </x:c>
      <x:c r="M172" s="8">
        <x:v>334873235.67999995</x:v>
      </x:c>
      <x:c r="N172" s="13">
        <x:f t="shared" si="5"/>
        <x:v>0</x:v>
      </x:c>
    </x:row>
    <x:row r="173" spans="2:14" ht="15.65">
      <x:c r="C173" s="19" t="s">
        <x:v>215</x:v>
      </x:c>
      <x:c r="D173" s="8">
        <x:v>360398299.32000005</x:v>
      </x:c>
      <x:c r="E173" s="8">
        <x:v>166633757.63999996</x:v>
      </x:c>
      <x:c r="F173" s="8">
        <x:v>0</x:v>
      </x:c>
      <x:c r="G173" s="8">
        <x:v>0</x:v>
      </x:c>
      <x:c r="H173" s="8">
        <x:f>SUM(E173:G173)</x:f>
        <x:v>166633757.63999996</x:v>
      </x:c>
      <x:c r="I173" s="8">
        <x:v>188210803.86999995</x:v>
      </x:c>
      <x:c r="J173" s="8">
        <x:v>0</x:v>
      </x:c>
      <x:c r="K173" s="8">
        <x:f>SUM(I173:J173)</x:f>
        <x:v>188210803.86999995</x:v>
      </x:c>
      <x:c r="L173" s="8">
        <x:v>5189735.49</x:v>
      </x:c>
      <x:c r="M173" s="8">
        <x:v>364002.32</x:v>
      </x:c>
      <x:c r="N173" s="13">
        <x:f t="shared" si="5"/>
        <x:v>1.5116529539227486E-7</x:v>
      </x:c>
    </x:row>
    <x:row r="174" spans="2:14" ht="15.65">
      <x:c r="C174" s="16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</x:row>
    <x:row r="175" spans="2:14" ht="15.65">
      <x:c r="C175" s="19" t="s">
        <x:v>216</x:v>
      </x:c>
      <x:c r="D175" s="8">
        <x:f>SUM(D170:D173)</x:f>
        <x:v>1310651596.0699997</x:v>
      </x:c>
      <x:c r="E175" s="8">
        <x:f t="shared" ref="E175:M175" si="6">SUM(E170:E173)</x:f>
        <x:v>324244033.73999995</x:v>
      </x:c>
      <x:c r="F175" s="8">
        <x:f t="shared" si="6"/>
        <x:v>0</x:v>
      </x:c>
      <x:c r="G175" s="8">
        <x:f t="shared" si="6"/>
        <x:v>0</x:v>
      </x:c>
      <x:c r="H175" s="8">
        <x:f t="shared" si="6"/>
        <x:v>324244033.73999995</x:v>
      </x:c>
      <x:c r="I175" s="8">
        <x:f t="shared" si="6"/>
        <x:v>524437009.39000016</x:v>
      </x:c>
      <x:c r="J175" s="8">
        <x:f t="shared" si="6"/>
        <x:v>0</x:v>
      </x:c>
      <x:c r="K175" s="8">
        <x:f t="shared" si="6"/>
        <x:v>524437009.39000016</x:v>
      </x:c>
      <x:c r="L175" s="8">
        <x:f t="shared" si="6"/>
        <x:v>126587988.94000004</x:v>
      </x:c>
      <x:c r="M175" s="8">
        <x:f t="shared" si="6"/>
        <x:v>335382563.99999994</x:v>
      </x:c>
    </x:row>
    <x:row r="176" spans="2:14" ht="15.65">
      <x:c r="D176" s="1"/>
      <x:c r="E176" s="8"/>
      <x:c r="F176" s="8"/>
      <x:c r="G176" s="8"/>
      <x:c r="H176" s="8"/>
      <x:c r="I176" s="8"/>
      <x:c r="J176" s="8"/>
      <x:c r="K176" s="15"/>
      <x:c r="L176" s="15"/>
      <x:c r="M176" s="15"/>
      <x:c r="N176" s="22"/>
    </x:row>
    <x:row r="177" spans="3:15" ht="15.65">
      <x:c r="C177" s="1"/>
      <x:c r="D177" s="8"/>
      <x:c r="E177" s="23">
        <x:f>ROUND(E175/$D$175,5)</x:f>
        <x:v>0.24739</x:v>
      </x:c>
      <x:c r="F177" s="23">
        <x:f>ROUND(F175/$D$175,5)</x:f>
        <x:v>0</x:v>
      </x:c>
      <x:c r="G177" s="23">
        <x:f>ROUND(G175/$D$175,5)</x:f>
        <x:v>0</x:v>
      </x:c>
      <x:c r="H177" s="23">
        <x:f>ROUND(H175/$D$175,5)</x:f>
        <x:v>0.24739</x:v>
      </x:c>
      <x:c r="I177" s="23">
        <x:f>ROUND(I175/$D$175,5)</x:f>
        <x:v>0.40012999999999999</x:v>
      </x:c>
      <x:c r="J177" s="23">
        <x:f>ROUND(J175/$D$175,5)</x:f>
        <x:v>0</x:v>
      </x:c>
      <x:c r="K177" s="23">
        <x:f>ROUND(K175/$D$175,5)</x:f>
        <x:v>0.40012999999999999</x:v>
      </x:c>
      <x:c r="L177" s="23">
        <x:f>ROUND(L175/$D$175,5)</x:f>
        <x:v>9.6579999999999999E-2</x:v>
      </x:c>
      <x:c r="M177" s="23">
        <x:f>ROUND(M175/$D$175,5)+0.00001</x:f>
        <x:v>0.25590000000000002</x:v>
      </x:c>
      <x:c r="N177" s="25">
        <x:f>H177+K177+L177+M177</x:f>
        <x:v>1</x:v>
      </x:c>
    </x:row>
    <x:row r="178" spans="3:15" ht="15.65">
      <x:c r="I178" s="12"/>
      <x:c r="J178" s="12"/>
      <x:c r="K178" s="12"/>
      <x:c r="L178" s="12"/>
      <x:c r="M178" s="12"/>
      <x:c r="N178" s="12"/>
    </x:row>
    <x:row r="179" spans="3:15" ht="15.65">
      <x:c r="H179" s="7"/>
      <x:c r="I179" s="8"/>
      <x:c r="J179" s="9"/>
      <x:c r="K179" s="9"/>
      <x:c r="L179" s="9"/>
      <x:c r="M179" s="9"/>
      <x:c r="N179" s="24"/>
      <x:c r="O179" s="10"/>
    </x:row>
    <x:row r="181" spans="3:15">
      <x:c r="I181" s="13"/>
    </x:row>
  </x:sheetData>
  <x:pageMargins left="0.7" right="0.7" top="2.5" bottom="0.75" header="1.2" footer="0.3"/>
  <x:pageSetup scale="44" fitToHeight="0" orientation="landscape" r:id="rId1"/>
  <x:headerFooter>
    <x:oddHeader>&amp;C&amp;"Arial,Bold"&amp;12
 2025 RATE CASE
ONCOR ELECTRIC DELIVERY COMPANY LLC
COMPUTER EQUIPMENT 
FOR THE TEST YEAR ENDING DECEMBER 31, 2024
SPONSOR: W. A. LEDBETTER&amp;R&amp;"Arial,Bold"&amp;12WP/II-B-3/01
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2025-04-02T19:20:49.0000000Z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