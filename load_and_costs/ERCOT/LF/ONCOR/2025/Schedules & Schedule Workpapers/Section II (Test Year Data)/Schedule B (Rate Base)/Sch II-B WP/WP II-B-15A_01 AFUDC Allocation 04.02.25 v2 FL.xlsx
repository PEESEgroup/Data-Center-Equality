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13527DB2-C176-4DC0-9939-BEC65103E557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5A_01 AFUDC Generated" sheetId="4" r:id="rId1"/>
    <x:sheet name="WP II-B-15A_01 AFUDC To Plant" sheetId="5" r:id="rId2"/>
  </x:sheets>
  <x:definedNames>
    <x:definedName name="_xlnm._FilterDatabase" localSheetId="0" hidden="1">'WP II-B-15A_01 AFUDC Generated'!$A$1:$I$91</x:definedName>
    <x:definedName name="_xlnm._FilterDatabase" localSheetId="1" hidden="1">'WP II-B-15A_01 AFUDC To Plant'!$A$1:$I$81</x:definedName>
    <x:definedName name="_xlnm.Print_Titles" localSheetId="0">'WP II-B-15A_01 AFUDC Generated'!$1:$1</x:definedName>
    <x:definedName name="_xlnm.Print_Titles" localSheetId="1">'WP II-B-15A_01 AFUDC To Plant'!$1:$1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89" i="5" l="1"/>
  <x:c r="G89" i="5"/>
  <x:c r="F89" i="5"/>
  <x:c r="E89" i="5"/>
  <x:c r="H76" i="5"/>
  <x:c r="G76" i="5"/>
  <x:c r="F76" i="5"/>
  <x:c r="E76" i="5"/>
  <x:c r="H61" i="5"/>
  <x:c r="G61" i="5"/>
  <x:c r="F61" i="5"/>
  <x:c r="E61" i="5"/>
  <x:c r="H48" i="5"/>
  <x:c r="G48" i="5"/>
  <x:c r="F48" i="5"/>
  <x:c r="E48" i="5"/>
  <x:c r="H35" i="5"/>
  <x:c r="G35" i="5"/>
  <x:c r="F35" i="5"/>
  <x:c r="E35" i="5"/>
  <x:c r="H22" i="5"/>
  <x:c r="G22" i="5"/>
  <x:c r="F22" i="5"/>
  <x:c r="E22" i="5"/>
  <x:c r="H17" i="5"/>
  <x:c r="G17" i="5"/>
  <x:c r="F17" i="5"/>
  <x:c r="E17" i="5"/>
  <x:c r="H13" i="5"/>
  <x:c r="G13" i="5"/>
  <x:c r="F13" i="5"/>
  <x:c r="E13" i="5"/>
  <x:c r="H9" i="5"/>
  <x:c r="G9" i="5"/>
  <x:c r="F9" i="5"/>
  <x:c r="E9" i="5"/>
  <x:c r="E90" i="5" s="1"/>
  <x:c r="H5" i="5"/>
  <x:c r="H90" i="5" s="1"/>
  <x:c r="G5" i="5"/>
  <x:c r="G90" i="5" s="1"/>
  <x:c r="F5" i="5"/>
  <x:c r="F90" i="5" s="1"/>
  <x:c r="E5" i="5"/>
  <x:c r="H92" i="4"/>
  <x:c r="G92" i="4"/>
  <x:c r="F92" i="4"/>
  <x:c r="E92" i="4"/>
  <x:c r="H78" i="4"/>
  <x:c r="G78" i="4"/>
  <x:c r="F78" i="4"/>
  <x:c r="E78" i="4"/>
  <x:c r="H62" i="4"/>
  <x:c r="G62" i="4"/>
  <x:c r="F62" i="4"/>
  <x:c r="E62" i="4"/>
  <x:c r="H47" i="4"/>
  <x:c r="G47" i="4"/>
  <x:c r="F47" i="4"/>
  <x:c r="E47" i="4"/>
  <x:c r="H35" i="4"/>
  <x:c r="G35" i="4"/>
  <x:c r="F35" i="4"/>
  <x:c r="E35" i="4"/>
  <x:c r="H22" i="4"/>
  <x:c r="G22" i="4"/>
  <x:c r="F22" i="4"/>
  <x:c r="E22" i="4"/>
  <x:c r="H17" i="4"/>
  <x:c r="G17" i="4"/>
  <x:c r="F17" i="4"/>
  <x:c r="E17" i="4"/>
  <x:c r="H13" i="4"/>
  <x:c r="G13" i="4"/>
  <x:c r="F13" i="4"/>
  <x:c r="E13" i="4"/>
  <x:c r="H9" i="4"/>
  <x:c r="H93" i="4" s="1"/>
  <x:c r="G9" i="4"/>
  <x:c r="G93" i="4" s="1"/>
  <x:c r="F9" i="4"/>
  <x:c r="F93" i="4" s="1"/>
  <x:c r="E9" i="4"/>
  <x:c r="E93" i="4" s="1"/>
  <x:c r="H5" i="4"/>
  <x:c r="G5" i="4"/>
  <x:c r="F5" i="4"/>
  <x:c r="E5" i="4"/>
</x:calcChain>
</file>

<file path=xl/sharedStrings.xml><?xml version="1.0" encoding="utf-8"?>
<sst xmlns="http://schemas.openxmlformats.org/spreadsheetml/2006/main" count="571" uniqueCount="44">
  <si>
    <t>Unit</t>
  </si>
  <si>
    <t>I</t>
  </si>
  <si>
    <t>DISTRIBUTION</t>
  </si>
  <si>
    <t>DISTRIBUTION - ALLO</t>
  </si>
  <si>
    <t>AMS</t>
  </si>
  <si>
    <t>TD-CUSTOMER</t>
  </si>
  <si>
    <t>TRANSMISSION</t>
  </si>
  <si>
    <t>Year</t>
  </si>
  <si>
    <t>Distribution</t>
  </si>
  <si>
    <t>Transmission</t>
  </si>
  <si>
    <t>Metering</t>
  </si>
  <si>
    <t>Customer Service &amp; Billing</t>
  </si>
  <si>
    <t>NTUSU</t>
  </si>
  <si>
    <t>DS</t>
  </si>
  <si>
    <t>T</t>
  </si>
  <si>
    <t>TS</t>
  </si>
  <si>
    <t>Oncor</t>
  </si>
  <si>
    <t>D</t>
  </si>
  <si>
    <t>G</t>
  </si>
  <si>
    <t>DSR</t>
  </si>
  <si>
    <t>TSR</t>
  </si>
  <si>
    <t>Function code</t>
  </si>
  <si>
    <t>Direct Assigned</t>
  </si>
  <si>
    <t>Functionalization for Intangible only</t>
  </si>
  <si>
    <t>Grand Total</t>
  </si>
  <si>
    <t>2020  Total</t>
  </si>
  <si>
    <t>2021  Total</t>
  </si>
  <si>
    <t>Allocation Methodology</t>
  </si>
  <si>
    <t>Follows allocation in WP II-B-1_10 TCOS Allocation of FERC Account 362 NTUSU only</t>
  </si>
  <si>
    <t>SVC</t>
  </si>
  <si>
    <t>GTC</t>
  </si>
  <si>
    <t>DCT</t>
  </si>
  <si>
    <t>GTE</t>
  </si>
  <si>
    <t>TD - BILLING (TBILL)</t>
  </si>
  <si>
    <t>Follows allocation in WP II-B-1_05 TCOS Allocation of FERC Account 353 without NTUSU</t>
  </si>
  <si>
    <t>Follows allocation in WP II-B-1_01 Net Plant Factors for Intangible Plant</t>
  </si>
  <si>
    <t>Follows allocation in WP II-B-1_09 TCOS Allocation of FERC Account 362 without NTUSU</t>
  </si>
  <si>
    <t>2022  Total</t>
  </si>
  <si>
    <t>2023  Total</t>
  </si>
  <si>
    <t>2024  Total</t>
  </si>
  <si>
    <t>Follows allocation in WP II-B-1_06 TCOS Allocation of FERC Account 353 NTUSU only</t>
  </si>
  <si>
    <t>Follows allocation in Docket 53601 WP II-B-1_09 TCOS Allocation of FERC Account 362 without NTUSU</t>
  </si>
  <si>
    <t>Follows allocation in Docket 53601 WP II-B-1_05 TCOS Allocation of FERC Account 353 without NTUSU</t>
  </si>
  <si>
    <t>Follows allocation in Docket 53601 WP II-B-1_01 Net Plant Factors for Intangible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</si>
</sst>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23">
    <xf numFmtId="0" fontId="0" fillId="0" borderId="0" xfId="0"/>
    <xf numFmtId="40" fontId="2" fillId="0" borderId="1" xfId="2" applyNumberFormat="1" applyFont="1" applyFill="1" applyBorder="1" applyAlignment="1">
      <alignment horizontal="center" vertical="top" wrapText="1"/>
    </xf>
    <xf numFmtId="164" fontId="2" fillId="0" borderId="1" xfId="2" applyNumberFormat="1" applyFont="1" applyFill="1" applyBorder="1" applyAlignment="1">
      <alignment horizontal="center" vertical="top" wrapText="1"/>
    </xf>
    <xf numFmtId="39" fontId="2" fillId="0" borderId="1" xfId="2" applyNumberFormat="1" applyFont="1" applyFill="1" applyBorder="1" applyAlignment="1">
      <alignment horizontal="center" vertical="top" wrapText="1"/>
    </xf>
    <xf numFmtId="38" fontId="2" fillId="0" borderId="1" xfId="2" applyNumberFormat="1" applyFont="1" applyFill="1" applyBorder="1" applyAlignment="1">
      <alignment horizontal="center" vertical="top" wrapText="1"/>
    </xf>
    <xf numFmtId="38" fontId="1" fillId="0" borderId="0" xfId="2" applyNumberFormat="1" applyFont="1" applyFill="1" applyAlignment="1">
      <alignment vertical="top"/>
    </xf>
    <xf numFmtId="0" fontId="1" fillId="0" borderId="0" xfId="2" applyFont="1" applyFill="1" applyAlignment="1">
      <alignment vertical="top"/>
    </xf>
    <xf numFmtId="40" fontId="1" fillId="0" borderId="0" xfId="2" applyNumberFormat="1" applyFont="1" applyFill="1" applyAlignment="1">
      <alignment vertical="top"/>
    </xf>
    <xf numFmtId="164" fontId="1" fillId="0" borderId="0" xfId="2" applyNumberFormat="1" applyFont="1" applyFill="1" applyAlignment="1">
      <alignment vertical="top"/>
    </xf>
    <xf numFmtId="39" fontId="1" fillId="0" borderId="0" xfId="2" applyNumberFormat="1" applyFont="1" applyFill="1" applyAlignment="1">
      <alignment vertical="top"/>
    </xf>
    <xf numFmtId="164" fontId="2" fillId="0" borderId="0" xfId="2" applyNumberFormat="1" applyFont="1" applyFill="1" applyAlignment="1">
      <alignment vertical="top"/>
    </xf>
    <xf numFmtId="0" fontId="4" fillId="0" borderId="0" xfId="2"/>
    <xf numFmtId="39" fontId="2" fillId="0" borderId="0" xfId="2" applyNumberFormat="1" applyFont="1" applyFill="1" applyBorder="1" applyAlignment="1">
      <alignment horizontal="center" vertical="top" wrapText="1"/>
    </xf>
    <xf numFmtId="40" fontId="2" fillId="0" borderId="1" xfId="3" applyNumberFormat="1" applyFont="1" applyBorder="1" applyAlignment="1">
      <alignment horizontal="center" vertical="top"/>
    </xf>
    <xf numFmtId="164" fontId="2" fillId="0" borderId="1" xfId="3" applyNumberFormat="1" applyFont="1" applyBorder="1" applyAlignment="1">
      <alignment horizontal="center" vertical="top"/>
    </xf>
    <xf numFmtId="39" fontId="2" fillId="0" borderId="1" xfId="3" applyNumberFormat="1" applyFont="1" applyBorder="1" applyAlignment="1">
      <alignment horizontal="center" vertical="top"/>
    </xf>
    <xf numFmtId="38" fontId="2" fillId="0" borderId="1" xfId="3" applyNumberFormat="1" applyFont="1" applyBorder="1" applyAlignment="1">
      <alignment horizontal="center" vertical="top"/>
    </xf>
    <xf numFmtId="40" fontId="1" fillId="0" borderId="0" xfId="3" applyNumberFormat="1" applyFont="1" applyAlignment="1">
      <alignment vertical="top"/>
    </xf>
    <xf numFmtId="164" fontId="1" fillId="0" borderId="0" xfId="3" applyNumberFormat="1" applyFont="1" applyAlignment="1">
      <alignment vertical="top"/>
    </xf>
    <xf numFmtId="39" fontId="1" fillId="0" borderId="0" xfId="3" applyNumberFormat="1" applyFont="1" applyAlignment="1">
      <alignment vertical="top"/>
    </xf>
    <xf numFmtId="38" fontId="1" fillId="0" borderId="0" xfId="3" applyNumberFormat="1" applyFont="1" applyAlignment="1">
      <alignment vertical="top"/>
    </xf>
    <xf numFmtId="164" fontId="2" fillId="0" borderId="0" xfId="3" applyNumberFormat="1" applyFont="1" applyAlignment="1">
      <alignment vertical="top"/>
    </xf>
    <xf numFmtId="39" fontId="2" fillId="0" borderId="1" xfId="3" applyNumberFormat="1" applyFont="1" applyBorder="1" applyAlignment="1">
      <alignment horizontal="center" vertical="top" wrapText="1"/>
    </xf>
  </cellXfs>
  <cellStyles count="4">
    <cellStyle name="Normal" xfId="0" builtinId="0"/>
    <cellStyle name="Normal 2" xfId="2" xr:uid="{00000000-0005-0000-0000-000001000000}"/>
    <cellStyle name="Normal 2 2" xfId="1" xr:uid="{00000000-0005-0000-0000-000002000000}"/>
    <cellStyle name="Normal 2 3" xfId="3" xr:uid="{1D218CA5-6207-46A4-8C21-CF45560DA300}"/>
  </cellStyles>
  <dxfs count="6"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J237"/>
  <x:sheetViews>
    <x:sheetView tabSelected="1" zoomScaleNormal="100" workbookViewId="0">
      <x:pane ySplit="1" topLeftCell="A2" activePane="bottomLeft" state="frozen"/>
      <x:selection pane="bottomLeft" activeCell="A2" sqref="A2"/>
    </x:sheetView>
  </x:sheetViews>
  <x:sheetFormatPr defaultColWidth="9.125" defaultRowHeight="15.65" outlineLevelRow="2"/>
  <x:cols>
    <x:col min="1" max="1" width="15" style="7" bestFit="1" customWidth="1"/>
    <x:col min="2" max="2" width="17.375" style="8" bestFit="1" customWidth="1"/>
    <x:col min="3" max="3" width="16.875" style="7" bestFit="1" customWidth="1"/>
    <x:col min="4" max="4" width="25.75" style="9" customWidth="1"/>
    <x:col min="5" max="5" width="23.375" style="9" bestFit="1" customWidth="1"/>
    <x:col min="6" max="6" width="22.125" style="9" bestFit="1" customWidth="1"/>
    <x:col min="7" max="7" width="15.375" style="9" bestFit="1" customWidth="1"/>
    <x:col min="8" max="8" width="31.125" style="9" customWidth="1"/>
    <x:col min="9" max="9" width="108.375" style="5" bestFit="1" customWidth="1"/>
    <x:col min="10" max="16384" width="9.125" style="6"/>
  </x:cols>
  <x:sheetData>
    <x:row r="1" spans="1:10" ht="31.75" customHeight="1">
      <x:c r="A1" s="13" t="s">
        <x:v>0</x:v>
      </x:c>
      <x:c r="B1" s="14" t="s">
        <x:v>7</x:v>
      </x:c>
      <x:c r="C1" s="13" t="s">
        <x:v>21</x:v>
      </x:c>
      <x:c r="D1" s="22" t="s">
        <x:v>23</x:v>
      </x:c>
      <x:c r="E1" s="15" t="s">
        <x:v>8</x:v>
      </x:c>
      <x:c r="F1" s="15" t="s">
        <x:v>9</x:v>
      </x:c>
      <x:c r="G1" s="15" t="s">
        <x:v>10</x:v>
      </x:c>
      <x:c r="H1" s="15" t="s">
        <x:v>11</x:v>
      </x:c>
      <x:c r="I1" s="16" t="s">
        <x:v>27</x:v>
      </x:c>
      <x:c r="J1" s="5"/>
    </x:row>
    <x:row r="2" spans="1:10" outlineLevel="2">
      <x:c r="A2" s="17" t="s">
        <x:v>12</x:v>
      </x:c>
      <x:c r="B2" s="18">
        <x:v>2020</x:v>
      </x:c>
      <x:c r="C2" s="17" t="s">
        <x:v>13</x:v>
      </x:c>
      <x:c r="D2" s="17"/>
      <x:c r="E2" s="19">
        <x:v>578.88</x:v>
      </x:c>
      <x:c r="F2" s="19">
        <x:v>184.68</x:v>
      </x:c>
      <x:c r="G2" s="19"/>
      <x:c r="H2" s="19"/>
      <x:c r="I2" s="20" t="s">
        <x:v>41</x:v>
      </x:c>
      <x:c r="J2" s="5"/>
    </x:row>
    <x:row r="3" spans="1:10" outlineLevel="2">
      <x:c r="A3" s="17" t="s">
        <x:v>12</x:v>
      </x:c>
      <x:c r="B3" s="18">
        <x:v>2020</x:v>
      </x:c>
      <x:c r="C3" s="17" t="s">
        <x:v>14</x:v>
      </x:c>
      <x:c r="D3" s="17"/>
      <x:c r="E3" s="19"/>
      <x:c r="F3" s="19">
        <x:v>1923.65</x:v>
      </x:c>
      <x:c r="G3" s="19"/>
      <x:c r="H3" s="19"/>
      <x:c r="I3" s="20" t="s">
        <x:v>22</x:v>
      </x:c>
      <x:c r="J3" s="5"/>
    </x:row>
    <x:row r="4" spans="1:10" outlineLevel="2">
      <x:c r="A4" s="17" t="s">
        <x:v>12</x:v>
      </x:c>
      <x:c r="B4" s="18">
        <x:v>2020</x:v>
      </x:c>
      <x:c r="C4" s="17" t="s">
        <x:v>15</x:v>
      </x:c>
      <x:c r="D4" s="17"/>
      <x:c r="E4" s="19">
        <x:v>133.03</x:v>
      </x:c>
      <x:c r="F4" s="19">
        <x:v>1077.1099999999999</x:v>
      </x:c>
      <x:c r="G4" s="19"/>
      <x:c r="H4" s="19"/>
      <x:c r="I4" s="20" t="s">
        <x:v>42</x:v>
      </x:c>
      <x:c r="J4" s="5"/>
    </x:row>
    <x:row r="5" spans="1:10" outlineLevel="1">
      <x:c r="A5" s="17"/>
      <x:c r="B5" s="21" t="s">
        <x:v>25</x:v>
      </x:c>
      <x:c r="C5" s="17"/>
      <x:c r="D5" s="17"/>
      <x:c r="E5" s="19">
        <x:f>SUBTOTAL(9,E2:E4)</x:f>
        <x:v>711.91</x:v>
      </x:c>
      <x:c r="F5" s="19">
        <x:f>SUBTOTAL(9,F2:F4)</x:f>
        <x:v>3185.4399999999996</x:v>
      </x:c>
      <x:c r="G5" s="19">
        <x:f>SUBTOTAL(9,G2:G4)</x:f>
        <x:v>0</x:v>
      </x:c>
      <x:c r="H5" s="19">
        <x:f>SUBTOTAL(9,H2:H4)</x:f>
        <x:v>0</x:v>
      </x:c>
      <x:c r="I5" s="20"/>
      <x:c r="J5" s="5"/>
    </x:row>
    <x:row r="6" spans="1:10" outlineLevel="2">
      <x:c r="A6" s="17" t="s">
        <x:v>12</x:v>
      </x:c>
      <x:c r="B6" s="18">
        <x:v>2021</x:v>
      </x:c>
      <x:c r="C6" s="17" t="s">
        <x:v>13</x:v>
      </x:c>
      <x:c r="D6" s="17"/>
      <x:c r="E6" s="19">
        <x:v>1779.91</x:v>
      </x:c>
      <x:c r="F6" s="19">
        <x:v>557.72</x:v>
      </x:c>
      <x:c r="G6" s="19"/>
      <x:c r="H6" s="19"/>
      <x:c r="I6" s="20" t="s">
        <x:v>41</x:v>
      </x:c>
      <x:c r="J6" s="5"/>
    </x:row>
    <x:row r="7" spans="1:10" outlineLevel="2">
      <x:c r="A7" s="17" t="s">
        <x:v>12</x:v>
      </x:c>
      <x:c r="B7" s="18">
        <x:v>2021</x:v>
      </x:c>
      <x:c r="C7" s="17" t="s">
        <x:v>14</x:v>
      </x:c>
      <x:c r="D7" s="17"/>
      <x:c r="E7" s="19"/>
      <x:c r="F7" s="19">
        <x:v>2306.94</x:v>
      </x:c>
      <x:c r="G7" s="19"/>
      <x:c r="H7" s="19"/>
      <x:c r="I7" s="20" t="s">
        <x:v>22</x:v>
      </x:c>
      <x:c r="J7" s="5"/>
    </x:row>
    <x:row r="8" spans="1:10" outlineLevel="2">
      <x:c r="A8" s="17" t="s">
        <x:v>12</x:v>
      </x:c>
      <x:c r="B8" s="18">
        <x:v>2021</x:v>
      </x:c>
      <x:c r="C8" s="17" t="s">
        <x:v>15</x:v>
      </x:c>
      <x:c r="D8" s="17"/>
      <x:c r="E8" s="19">
        <x:v>13.58</x:v>
      </x:c>
      <x:c r="F8" s="19">
        <x:v>109.95</x:v>
      </x:c>
      <x:c r="G8" s="19"/>
      <x:c r="H8" s="19"/>
      <x:c r="I8" s="20" t="s">
        <x:v>42</x:v>
      </x:c>
      <x:c r="J8" s="5"/>
    </x:row>
    <x:row r="9" spans="1:10" outlineLevel="1">
      <x:c r="A9" s="17"/>
      <x:c r="B9" s="21" t="s">
        <x:v>26</x:v>
      </x:c>
      <x:c r="C9" s="17"/>
      <x:c r="D9" s="17"/>
      <x:c r="E9" s="19">
        <x:f>SUBTOTAL(9,E6:E8)</x:f>
        <x:v>1793.49</x:v>
      </x:c>
      <x:c r="F9" s="19">
        <x:f>SUBTOTAL(9,F6:F8)</x:f>
        <x:v>2974.6099999999997</x:v>
      </x:c>
      <x:c r="G9" s="19">
        <x:f>SUBTOTAL(9,G6:G8)</x:f>
        <x:v>0</x:v>
      </x:c>
      <x:c r="H9" s="19">
        <x:f>SUBTOTAL(9,H6:H8)</x:f>
        <x:v>0</x:v>
      </x:c>
      <x:c r="I9" s="20"/>
      <x:c r="J9" s="5"/>
    </x:row>
    <x:row r="10" spans="1:10" outlineLevel="2">
      <x:c r="A10" s="17" t="s">
        <x:v>12</x:v>
      </x:c>
      <x:c r="B10" s="18">
        <x:v>2022</x:v>
      </x:c>
      <x:c r="C10" s="17" t="s">
        <x:v>13</x:v>
      </x:c>
      <x:c r="D10" s="17"/>
      <x:c r="E10" s="19">
        <x:v>1148.02</x:v>
      </x:c>
      <x:c r="F10" s="19">
        <x:v>663.72</x:v>
      </x:c>
      <x:c r="G10" s="19"/>
      <x:c r="H10" s="19"/>
      <x:c r="I10" s="20" t="s">
        <x:v>28</x:v>
      </x:c>
      <x:c r="J10" s="5"/>
    </x:row>
    <x:row r="11" spans="1:10" outlineLevel="2">
      <x:c r="A11" s="17" t="s">
        <x:v>12</x:v>
      </x:c>
      <x:c r="B11" s="18">
        <x:v>2022</x:v>
      </x:c>
      <x:c r="C11" s="17" t="s">
        <x:v>14</x:v>
      </x:c>
      <x:c r="D11" s="17"/>
      <x:c r="E11" s="19"/>
      <x:c r="F11" s="19">
        <x:v>130.11000000000001</x:v>
      </x:c>
      <x:c r="G11" s="19"/>
      <x:c r="H11" s="19"/>
      <x:c r="I11" s="20" t="s">
        <x:v>22</x:v>
      </x:c>
      <x:c r="J11" s="5"/>
    </x:row>
    <x:row r="12" spans="1:10" outlineLevel="2">
      <x:c r="A12" s="17" t="s">
        <x:v>12</x:v>
      </x:c>
      <x:c r="B12" s="18">
        <x:v>2022</x:v>
      </x:c>
      <x:c r="C12" s="17" t="s">
        <x:v>15</x:v>
      </x:c>
      <x:c r="D12" s="17"/>
      <x:c r="E12" s="19">
        <x:v>891.99</x:v>
      </x:c>
      <x:c r="F12" s="19">
        <x:v>5112.3100000000004</x:v>
      </x:c>
      <x:c r="G12" s="19"/>
      <x:c r="H12" s="19"/>
      <x:c r="I12" s="20" t="s">
        <x:v>40</x:v>
      </x:c>
      <x:c r="J12" s="5"/>
    </x:row>
    <x:row r="13" spans="1:10" outlineLevel="1">
      <x:c r="A13" s="17"/>
      <x:c r="B13" s="21" t="s">
        <x:v>37</x:v>
      </x:c>
      <x:c r="C13" s="17"/>
      <x:c r="D13" s="17"/>
      <x:c r="E13" s="19">
        <x:f>SUBTOTAL(9,E10:E12)</x:f>
        <x:v>2040.01</x:v>
      </x:c>
      <x:c r="F13" s="19">
        <x:f>SUBTOTAL(9,F10:F12)</x:f>
        <x:v>5906.14</x:v>
      </x:c>
      <x:c r="G13" s="19">
        <x:f>SUBTOTAL(9,G10:G12)</x:f>
        <x:v>0</x:v>
      </x:c>
      <x:c r="H13" s="19">
        <x:f>SUBTOTAL(9,H10:H12)</x:f>
        <x:v>0</x:v>
      </x:c>
      <x:c r="I13" s="20"/>
      <x:c r="J13" s="5"/>
    </x:row>
    <x:row r="14" spans="1:10" outlineLevel="2">
      <x:c r="A14" s="17" t="s">
        <x:v>12</x:v>
      </x:c>
      <x:c r="B14" s="18">
        <x:v>2023</x:v>
      </x:c>
      <x:c r="C14" s="17" t="s">
        <x:v>13</x:v>
      </x:c>
      <x:c r="D14" s="17"/>
      <x:c r="E14" s="19">
        <x:v>727.14</x:v>
      </x:c>
      <x:c r="F14" s="19">
        <x:v>420.4</x:v>
      </x:c>
      <x:c r="G14" s="19"/>
      <x:c r="H14" s="19"/>
      <x:c r="I14" s="20" t="s">
        <x:v>28</x:v>
      </x:c>
      <x:c r="J14" s="5"/>
    </x:row>
    <x:row r="15" spans="1:10" outlineLevel="2">
      <x:c r="A15" s="17" t="s">
        <x:v>12</x:v>
      </x:c>
      <x:c r="B15" s="18">
        <x:v>2023</x:v>
      </x:c>
      <x:c r="C15" s="17" t="s">
        <x:v>14</x:v>
      </x:c>
      <x:c r="D15" s="17"/>
      <x:c r="E15" s="19"/>
      <x:c r="F15" s="19">
        <x:v>495.55</x:v>
      </x:c>
      <x:c r="G15" s="19"/>
      <x:c r="H15" s="19"/>
      <x:c r="I15" s="20" t="s">
        <x:v>22</x:v>
      </x:c>
      <x:c r="J15" s="5"/>
    </x:row>
    <x:row r="16" spans="1:10" outlineLevel="2">
      <x:c r="A16" s="17" t="s">
        <x:v>12</x:v>
      </x:c>
      <x:c r="B16" s="18">
        <x:v>2023</x:v>
      </x:c>
      <x:c r="C16" s="17" t="s">
        <x:v>15</x:v>
      </x:c>
      <x:c r="D16" s="17"/>
      <x:c r="E16" s="19">
        <x:v>573.11</x:v>
      </x:c>
      <x:c r="F16" s="19">
        <x:v>3284.66</x:v>
      </x:c>
      <x:c r="G16" s="19"/>
      <x:c r="H16" s="19"/>
      <x:c r="I16" s="20" t="s">
        <x:v>40</x:v>
      </x:c>
      <x:c r="J16" s="5"/>
    </x:row>
    <x:row r="17" spans="1:10" outlineLevel="1">
      <x:c r="A17" s="17"/>
      <x:c r="B17" s="21" t="s">
        <x:v>38</x:v>
      </x:c>
      <x:c r="C17" s="17"/>
      <x:c r="D17" s="17"/>
      <x:c r="E17" s="19">
        <x:f>SUBTOTAL(9,E14:E16)</x:f>
        <x:v>1300.25</x:v>
      </x:c>
      <x:c r="F17" s="19">
        <x:f>SUBTOTAL(9,F14:F16)</x:f>
        <x:v>4200.6099999999997</x:v>
      </x:c>
      <x:c r="G17" s="19">
        <x:f>SUBTOTAL(9,G14:G16)</x:f>
        <x:v>0</x:v>
      </x:c>
      <x:c r="H17" s="19">
        <x:f>SUBTOTAL(9,H14:H16)</x:f>
        <x:v>0</x:v>
      </x:c>
      <x:c r="I17" s="20"/>
      <x:c r="J17" s="5"/>
    </x:row>
    <x:row r="18" spans="1:10" outlineLevel="2">
      <x:c r="A18" s="17" t="s">
        <x:v>12</x:v>
      </x:c>
      <x:c r="B18" s="18">
        <x:v>2024</x:v>
      </x:c>
      <x:c r="C18" s="17" t="s">
        <x:v>13</x:v>
      </x:c>
      <x:c r="D18" s="17"/>
      <x:c r="E18" s="19">
        <x:v>1150.4000000000001</x:v>
      </x:c>
      <x:c r="F18" s="19">
        <x:v>665.1</x:v>
      </x:c>
      <x:c r="G18" s="19"/>
      <x:c r="H18" s="19"/>
      <x:c r="I18" s="20" t="s">
        <x:v>28</x:v>
      </x:c>
      <x:c r="J18" s="5"/>
    </x:row>
    <x:row r="19" spans="1:10" outlineLevel="2">
      <x:c r="A19" s="17" t="s">
        <x:v>12</x:v>
      </x:c>
      <x:c r="B19" s="18">
        <x:v>2024</x:v>
      </x:c>
      <x:c r="C19" s="17" t="s">
        <x:v>29</x:v>
      </x:c>
      <x:c r="D19" s="17"/>
      <x:c r="E19" s="19"/>
      <x:c r="F19" s="19">
        <x:v>1960.75</x:v>
      </x:c>
      <x:c r="G19" s="19"/>
      <x:c r="H19" s="19"/>
      <x:c r="I19" s="20" t="s">
        <x:v>22</x:v>
      </x:c>
      <x:c r="J19" s="5"/>
    </x:row>
    <x:row r="20" spans="1:10" outlineLevel="2">
      <x:c r="A20" s="17" t="s">
        <x:v>12</x:v>
      </x:c>
      <x:c r="B20" s="18">
        <x:v>2024</x:v>
      </x:c>
      <x:c r="C20" s="17" t="s">
        <x:v>14</x:v>
      </x:c>
      <x:c r="D20" s="17"/>
      <x:c r="E20" s="19"/>
      <x:c r="F20" s="19">
        <x:v>5268.98</x:v>
      </x:c>
      <x:c r="G20" s="19"/>
      <x:c r="H20" s="19"/>
      <x:c r="I20" s="20" t="s">
        <x:v>22</x:v>
      </x:c>
    </x:row>
    <x:row r="21" spans="1:10" outlineLevel="2">
      <x:c r="A21" s="17" t="s">
        <x:v>12</x:v>
      </x:c>
      <x:c r="B21" s="18">
        <x:v>2024</x:v>
      </x:c>
      <x:c r="C21" s="17" t="s">
        <x:v>15</x:v>
      </x:c>
      <x:c r="D21" s="17"/>
      <x:c r="E21" s="19">
        <x:v>587.16999999999996</x:v>
      </x:c>
      <x:c r="F21" s="19">
        <x:v>3365.26</x:v>
      </x:c>
      <x:c r="G21" s="19"/>
      <x:c r="H21" s="19"/>
      <x:c r="I21" s="20" t="s">
        <x:v>40</x:v>
      </x:c>
    </x:row>
    <x:row r="22" spans="1:10" outlineLevel="1">
      <x:c r="A22" s="17"/>
      <x:c r="B22" s="21" t="s">
        <x:v>39</x:v>
      </x:c>
      <x:c r="C22" s="17"/>
      <x:c r="D22" s="17"/>
      <x:c r="E22" s="19">
        <x:f>SUBTOTAL(9,E18:E21)</x:f>
        <x:v>1737.5700000000002</x:v>
      </x:c>
      <x:c r="F22" s="19">
        <x:f>SUBTOTAL(9,F18:F21)</x:f>
        <x:v>11260.09</x:v>
      </x:c>
      <x:c r="G22" s="19">
        <x:f>SUBTOTAL(9,G18:G21)</x:f>
        <x:v>0</x:v>
      </x:c>
      <x:c r="H22" s="19">
        <x:f>SUBTOTAL(9,H18:H21)</x:f>
        <x:v>0</x:v>
      </x:c>
      <x:c r="I22" s="20"/>
    </x:row>
    <x:row r="23" spans="1:10" outlineLevel="2">
      <x:c r="A23" s="17" t="s">
        <x:v>16</x:v>
      </x:c>
      <x:c r="B23" s="18">
        <x:v>2020</x:v>
      </x:c>
      <x:c r="C23" s="17" t="s">
        <x:v>17</x:v>
      </x:c>
      <x:c r="D23" s="17"/>
      <x:c r="E23" s="19">
        <x:v>8679263.5700000003</x:v>
      </x:c>
      <x:c r="F23" s="19"/>
      <x:c r="G23" s="19"/>
      <x:c r="H23" s="19"/>
      <x:c r="I23" s="20" t="s">
        <x:v>22</x:v>
      </x:c>
    </x:row>
    <x:row r="24" spans="1:10" outlineLevel="2">
      <x:c r="A24" s="17" t="s">
        <x:v>16</x:v>
      </x:c>
      <x:c r="B24" s="18">
        <x:v>2020</x:v>
      </x:c>
      <x:c r="C24" s="17" t="s">
        <x:v>13</x:v>
      </x:c>
      <x:c r="D24" s="17"/>
      <x:c r="E24" s="19">
        <x:v>4463417.8</x:v>
      </x:c>
      <x:c r="F24" s="19">
        <x:v>1495195.87</x:v>
      </x:c>
      <x:c r="G24" s="19"/>
      <x:c r="H24" s="19"/>
      <x:c r="I24" s="20" t="s">
        <x:v>41</x:v>
      </x:c>
    </x:row>
    <x:row r="25" spans="1:10" outlineLevel="2">
      <x:c r="A25" s="17" t="s">
        <x:v>16</x:v>
      </x:c>
      <x:c r="B25" s="18">
        <x:v>2020</x:v>
      </x:c>
      <x:c r="C25" s="17" t="s">
        <x:v>19</x:v>
      </x:c>
      <x:c r="D25" s="17"/>
      <x:c r="E25" s="19">
        <x:v>824.1</x:v>
      </x:c>
      <x:c r="F25" s="19"/>
      <x:c r="G25" s="19"/>
      <x:c r="H25" s="19"/>
      <x:c r="I25" s="20" t="s">
        <x:v>22</x:v>
      </x:c>
    </x:row>
    <x:row r="26" spans="1:10" outlineLevel="2">
      <x:c r="A26" s="17" t="s">
        <x:v>16</x:v>
      </x:c>
      <x:c r="B26" s="18">
        <x:v>2020</x:v>
      </x:c>
      <x:c r="C26" s="17" t="s">
        <x:v>18</x:v>
      </x:c>
      <x:c r="D26" s="17"/>
      <x:c r="E26" s="19">
        <x:v>800673.65</x:v>
      </x:c>
      <x:c r="F26" s="19"/>
      <x:c r="G26" s="19"/>
      <x:c r="H26" s="19"/>
      <x:c r="I26" s="20" t="s">
        <x:v>22</x:v>
      </x:c>
    </x:row>
    <x:row r="27" spans="1:10" outlineLevel="2">
      <x:c r="A27" s="17" t="s">
        <x:v>16</x:v>
      </x:c>
      <x:c r="B27" s="18">
        <x:v>2020</x:v>
      </x:c>
      <x:c r="C27" s="17" t="s">
        <x:v>1</x:v>
      </x:c>
      <x:c r="D27" s="17" t="s">
        <x:v>4</x:v>
      </x:c>
      <x:c r="E27" s="19"/>
      <x:c r="F27" s="19"/>
      <x:c r="G27" s="19">
        <x:v>435135.84</x:v>
      </x:c>
      <x:c r="H27" s="19"/>
      <x:c r="I27" s="20" t="s">
        <x:v>22</x:v>
      </x:c>
    </x:row>
    <x:row r="28" spans="1:10" outlineLevel="2">
      <x:c r="A28" s="17" t="s">
        <x:v>16</x:v>
      </x:c>
      <x:c r="B28" s="18">
        <x:v>2020</x:v>
      </x:c>
      <x:c r="C28" s="17" t="s">
        <x:v>1</x:v>
      </x:c>
      <x:c r="D28" s="17" t="s">
        <x:v>2</x:v>
      </x:c>
      <x:c r="E28" s="19">
        <x:v>1070454.81</x:v>
      </x:c>
      <x:c r="F28" s="19"/>
      <x:c r="G28" s="19"/>
      <x:c r="H28" s="19"/>
      <x:c r="I28" s="20" t="s">
        <x:v>22</x:v>
      </x:c>
    </x:row>
    <x:row r="29" spans="1:10" outlineLevel="2">
      <x:c r="A29" s="17" t="s">
        <x:v>16</x:v>
      </x:c>
      <x:c r="B29" s="18">
        <x:v>2020</x:v>
      </x:c>
      <x:c r="C29" s="17" t="s">
        <x:v>1</x:v>
      </x:c>
      <x:c r="D29" s="17" t="s">
        <x:v>3</x:v>
      </x:c>
      <x:c r="E29" s="19">
        <x:v>1621895.63</x:v>
      </x:c>
      <x:c r="F29" s="19">
        <x:v>1506404.71</x:v>
      </x:c>
      <x:c r="G29" s="19">
        <x:v>47334.43</x:v>
      </x:c>
      <x:c r="H29" s="19">
        <x:v>3306.1</x:v>
      </x:c>
      <x:c r="I29" s="20" t="s">
        <x:v>43</x:v>
      </x:c>
    </x:row>
    <x:row r="30" spans="1:10" outlineLevel="2">
      <x:c r="A30" s="17" t="s">
        <x:v>16</x:v>
      </x:c>
      <x:c r="B30" s="18">
        <x:v>2020</x:v>
      </x:c>
      <x:c r="C30" s="17" t="s">
        <x:v>1</x:v>
      </x:c>
      <x:c r="D30" s="17" t="s">
        <x:v>5</x:v>
      </x:c>
      <x:c r="E30" s="19"/>
      <x:c r="F30" s="19"/>
      <x:c r="G30" s="19"/>
      <x:c r="H30" s="19">
        <x:v>608422.64</x:v>
      </x:c>
      <x:c r="I30" s="20" t="s">
        <x:v>22</x:v>
      </x:c>
    </x:row>
    <x:row r="31" spans="1:10" outlineLevel="2">
      <x:c r="A31" s="17" t="s">
        <x:v>16</x:v>
      </x:c>
      <x:c r="B31" s="18">
        <x:v>2020</x:v>
      </x:c>
      <x:c r="C31" s="17" t="s">
        <x:v>1</x:v>
      </x:c>
      <x:c r="D31" s="17" t="s">
        <x:v>6</x:v>
      </x:c>
      <x:c r="E31" s="19"/>
      <x:c r="F31" s="19">
        <x:v>304572.52</x:v>
      </x:c>
      <x:c r="G31" s="19"/>
      <x:c r="H31" s="19"/>
      <x:c r="I31" s="20" t="s">
        <x:v>22</x:v>
      </x:c>
    </x:row>
    <x:row r="32" spans="1:10" outlineLevel="2">
      <x:c r="A32" s="17" t="s">
        <x:v>16</x:v>
      </x:c>
      <x:c r="B32" s="18">
        <x:v>2020</x:v>
      </x:c>
      <x:c r="C32" s="17" t="s">
        <x:v>14</x:v>
      </x:c>
      <x:c r="D32" s="17"/>
      <x:c r="E32" s="19"/>
      <x:c r="F32" s="19">
        <x:v>17217471.609999999</x:v>
      </x:c>
      <x:c r="G32" s="19"/>
      <x:c r="H32" s="19"/>
      <x:c r="I32" s="20" t="s">
        <x:v>22</x:v>
      </x:c>
    </x:row>
    <x:row r="33" spans="1:9" outlineLevel="2">
      <x:c r="A33" s="17" t="s">
        <x:v>16</x:v>
      </x:c>
      <x:c r="B33" s="18">
        <x:v>2020</x:v>
      </x:c>
      <x:c r="C33" s="17" t="s">
        <x:v>15</x:v>
      </x:c>
      <x:c r="D33" s="17"/>
      <x:c r="E33" s="19">
        <x:v>595865.53</x:v>
      </x:c>
      <x:c r="F33" s="19">
        <x:v>9008348.5899999999</x:v>
      </x:c>
      <x:c r="G33" s="19"/>
      <x:c r="H33" s="19"/>
      <x:c r="I33" s="20" t="s">
        <x:v>42</x:v>
      </x:c>
    </x:row>
    <x:row r="34" spans="1:9" outlineLevel="2">
      <x:c r="A34" s="17" t="s">
        <x:v>16</x:v>
      </x:c>
      <x:c r="B34" s="18">
        <x:v>2020</x:v>
      </x:c>
      <x:c r="C34" s="17" t="s">
        <x:v>20</x:v>
      </x:c>
      <x:c r="D34" s="17"/>
      <x:c r="E34" s="19"/>
      <x:c r="F34" s="19">
        <x:v>111.26</x:v>
      </x:c>
      <x:c r="G34" s="19"/>
      <x:c r="H34" s="19"/>
      <x:c r="I34" s="20" t="s">
        <x:v>22</x:v>
      </x:c>
    </x:row>
    <x:row r="35" spans="1:9" outlineLevel="1">
      <x:c r="A35" s="17"/>
      <x:c r="B35" s="21" t="s">
        <x:v>25</x:v>
      </x:c>
      <x:c r="C35" s="17"/>
      <x:c r="D35" s="17"/>
      <x:c r="E35" s="19">
        <x:f>SUBTOTAL(9,E23:E34)</x:f>
        <x:v>17232395.090000004</x:v>
      </x:c>
      <x:c r="F35" s="19">
        <x:f>SUBTOTAL(9,F23:F34)</x:f>
        <x:v>29532104.560000002</x:v>
      </x:c>
      <x:c r="G35" s="19">
        <x:f>SUBTOTAL(9,G23:G34)</x:f>
        <x:v>482470.27</x:v>
      </x:c>
      <x:c r="H35" s="19">
        <x:f>SUBTOTAL(9,H23:H34)</x:f>
        <x:v>611728.74</x:v>
      </x:c>
      <x:c r="I35" s="20"/>
    </x:row>
    <x:row r="36" spans="1:9" outlineLevel="2">
      <x:c r="A36" s="17" t="s">
        <x:v>16</x:v>
      </x:c>
      <x:c r="B36" s="18">
        <x:v>2021</x:v>
      </x:c>
      <x:c r="C36" s="17" t="s">
        <x:v>17</x:v>
      </x:c>
      <x:c r="D36" s="17"/>
      <x:c r="E36" s="19">
        <x:v>9685370.2100000009</x:v>
      </x:c>
      <x:c r="F36" s="19"/>
      <x:c r="G36" s="19"/>
      <x:c r="H36" s="19"/>
      <x:c r="I36" s="20" t="s">
        <x:v>22</x:v>
      </x:c>
    </x:row>
    <x:row r="37" spans="1:9" outlineLevel="2">
      <x:c r="A37" s="17" t="s">
        <x:v>16</x:v>
      </x:c>
      <x:c r="B37" s="18">
        <x:v>2021</x:v>
      </x:c>
      <x:c r="C37" s="17" t="s">
        <x:v>13</x:v>
      </x:c>
      <x:c r="D37" s="17"/>
      <x:c r="E37" s="19">
        <x:v>4885627.9400000004</x:v>
      </x:c>
      <x:c r="F37" s="19">
        <x:v>1507515.64</x:v>
      </x:c>
      <x:c r="G37" s="19"/>
      <x:c r="H37" s="19"/>
      <x:c r="I37" s="20" t="s">
        <x:v>41</x:v>
      </x:c>
    </x:row>
    <x:row r="38" spans="1:9" outlineLevel="2">
      <x:c r="A38" s="17" t="s">
        <x:v>16</x:v>
      </x:c>
      <x:c r="B38" s="18">
        <x:v>2021</x:v>
      </x:c>
      <x:c r="C38" s="17" t="s">
        <x:v>19</x:v>
      </x:c>
      <x:c r="D38" s="17"/>
      <x:c r="E38" s="19">
        <x:v>366.7</x:v>
      </x:c>
      <x:c r="F38" s="19"/>
      <x:c r="G38" s="19"/>
      <x:c r="H38" s="19"/>
      <x:c r="I38" s="20" t="s">
        <x:v>22</x:v>
      </x:c>
    </x:row>
    <x:row r="39" spans="1:9" outlineLevel="2">
      <x:c r="A39" s="17" t="s">
        <x:v>16</x:v>
      </x:c>
      <x:c r="B39" s="18">
        <x:v>2021</x:v>
      </x:c>
      <x:c r="C39" s="17" t="s">
        <x:v>18</x:v>
      </x:c>
      <x:c r="D39" s="17"/>
      <x:c r="E39" s="19">
        <x:v>16958.43</x:v>
      </x:c>
      <x:c r="F39" s="19"/>
      <x:c r="G39" s="19"/>
      <x:c r="H39" s="19"/>
      <x:c r="I39" s="20" t="s">
        <x:v>22</x:v>
      </x:c>
    </x:row>
    <x:row r="40" spans="1:9" outlineLevel="2">
      <x:c r="A40" s="17" t="s">
        <x:v>16</x:v>
      </x:c>
      <x:c r="B40" s="18">
        <x:v>2021</x:v>
      </x:c>
      <x:c r="C40" s="17" t="s">
        <x:v>1</x:v>
      </x:c>
      <x:c r="D40" s="17" t="s">
        <x:v>4</x:v>
      </x:c>
      <x:c r="E40" s="19"/>
      <x:c r="F40" s="19"/>
      <x:c r="G40" s="19">
        <x:v>547054.57999999996</x:v>
      </x:c>
      <x:c r="H40" s="19"/>
      <x:c r="I40" s="20" t="s">
        <x:v>22</x:v>
      </x:c>
    </x:row>
    <x:row r="41" spans="1:9" outlineLevel="2">
      <x:c r="A41" s="17" t="s">
        <x:v>16</x:v>
      </x:c>
      <x:c r="B41" s="18">
        <x:v>2021</x:v>
      </x:c>
      <x:c r="C41" s="17" t="s">
        <x:v>1</x:v>
      </x:c>
      <x:c r="D41" s="17" t="s">
        <x:v>2</x:v>
      </x:c>
      <x:c r="E41" s="19">
        <x:v>2723722.42</x:v>
      </x:c>
      <x:c r="F41" s="19"/>
      <x:c r="G41" s="19"/>
      <x:c r="H41" s="19"/>
      <x:c r="I41" s="20" t="s">
        <x:v>22</x:v>
      </x:c>
    </x:row>
    <x:row r="42" spans="1:9" outlineLevel="2">
      <x:c r="A42" s="17" t="s">
        <x:v>16</x:v>
      </x:c>
      <x:c r="B42" s="18">
        <x:v>2021</x:v>
      </x:c>
      <x:c r="C42" s="17" t="s">
        <x:v>1</x:v>
      </x:c>
      <x:c r="D42" s="17" t="s">
        <x:v>3</x:v>
      </x:c>
      <x:c r="E42" s="19">
        <x:v>820178.75</x:v>
      </x:c>
      <x:c r="F42" s="19">
        <x:v>761775.98</x:v>
      </x:c>
      <x:c r="G42" s="19">
        <x:v>23936.62</x:v>
      </x:c>
      <x:c r="H42" s="19">
        <x:v>1671.87</x:v>
      </x:c>
      <x:c r="I42" s="20" t="s">
        <x:v>43</x:v>
      </x:c>
    </x:row>
    <x:row r="43" spans="1:9" outlineLevel="2">
      <x:c r="A43" s="17" t="s">
        <x:v>16</x:v>
      </x:c>
      <x:c r="B43" s="18">
        <x:v>2021</x:v>
      </x:c>
      <x:c r="C43" s="17" t="s">
        <x:v>1</x:v>
      </x:c>
      <x:c r="D43" s="17" t="s">
        <x:v>5</x:v>
      </x:c>
      <x:c r="E43" s="19"/>
      <x:c r="F43" s="19"/>
      <x:c r="G43" s="19"/>
      <x:c r="H43" s="19">
        <x:v>677487.99</x:v>
      </x:c>
      <x:c r="I43" s="20" t="s">
        <x:v>22</x:v>
      </x:c>
    </x:row>
    <x:row r="44" spans="1:9" outlineLevel="2">
      <x:c r="A44" s="17" t="s">
        <x:v>16</x:v>
      </x:c>
      <x:c r="B44" s="18">
        <x:v>2021</x:v>
      </x:c>
      <x:c r="C44" s="17" t="s">
        <x:v>1</x:v>
      </x:c>
      <x:c r="D44" s="17" t="s">
        <x:v>6</x:v>
      </x:c>
      <x:c r="E44" s="19"/>
      <x:c r="F44" s="19">
        <x:v>317445.64</x:v>
      </x:c>
      <x:c r="G44" s="19"/>
      <x:c r="H44" s="19"/>
      <x:c r="I44" s="20" t="s">
        <x:v>22</x:v>
      </x:c>
    </x:row>
    <x:row r="45" spans="1:9" outlineLevel="2">
      <x:c r="A45" s="17" t="s">
        <x:v>16</x:v>
      </x:c>
      <x:c r="B45" s="18">
        <x:v>2021</x:v>
      </x:c>
      <x:c r="C45" s="17" t="s">
        <x:v>14</x:v>
      </x:c>
      <x:c r="D45" s="17"/>
      <x:c r="E45" s="19"/>
      <x:c r="F45" s="19">
        <x:v>11428232.49</x:v>
      </x:c>
      <x:c r="G45" s="19"/>
      <x:c r="H45" s="19"/>
      <x:c r="I45" s="20" t="s">
        <x:v>22</x:v>
      </x:c>
    </x:row>
    <x:row r="46" spans="1:9" outlineLevel="2">
      <x:c r="A46" s="17" t="s">
        <x:v>16</x:v>
      </x:c>
      <x:c r="B46" s="18">
        <x:v>2021</x:v>
      </x:c>
      <x:c r="C46" s="17" t="s">
        <x:v>15</x:v>
      </x:c>
      <x:c r="D46" s="17"/>
      <x:c r="E46" s="19">
        <x:v>761354.27</x:v>
      </x:c>
      <x:c r="F46" s="19">
        <x:v>7248458.0300000003</x:v>
      </x:c>
      <x:c r="G46" s="19"/>
      <x:c r="H46" s="19"/>
      <x:c r="I46" s="20" t="s">
        <x:v>42</x:v>
      </x:c>
    </x:row>
    <x:row r="47" spans="1:9" outlineLevel="1">
      <x:c r="A47" s="17"/>
      <x:c r="B47" s="21" t="s">
        <x:v>26</x:v>
      </x:c>
      <x:c r="C47" s="17"/>
      <x:c r="D47" s="17"/>
      <x:c r="E47" s="19">
        <x:f>SUBTOTAL(9,E36:E46)</x:f>
        <x:v>18893578.720000003</x:v>
      </x:c>
      <x:c r="F47" s="19">
        <x:f>SUBTOTAL(9,F36:F46)</x:f>
        <x:v>21263427.780000001</x:v>
      </x:c>
      <x:c r="G47" s="19">
        <x:f>SUBTOTAL(9,G36:G46)</x:f>
        <x:v>570991.19999999995</x:v>
      </x:c>
      <x:c r="H47" s="19">
        <x:f>SUBTOTAL(9,H36:H46)</x:f>
        <x:v>679159.86</x:v>
      </x:c>
      <x:c r="I47" s="20"/>
    </x:row>
    <x:row r="48" spans="1:9" outlineLevel="2">
      <x:c r="A48" s="17" t="s">
        <x:v>16</x:v>
      </x:c>
      <x:c r="B48" s="18">
        <x:v>2022</x:v>
      </x:c>
      <x:c r="C48" s="17" t="s">
        <x:v>17</x:v>
      </x:c>
      <x:c r="D48" s="17"/>
      <x:c r="E48" s="19">
        <x:v>15943062.689999999</x:v>
      </x:c>
      <x:c r="F48" s="19"/>
      <x:c r="G48" s="19"/>
      <x:c r="H48" s="19"/>
      <x:c r="I48" s="20" t="s">
        <x:v>22</x:v>
      </x:c>
    </x:row>
    <x:row r="49" spans="1:9" outlineLevel="2">
      <x:c r="A49" s="17" t="s">
        <x:v>16</x:v>
      </x:c>
      <x:c r="B49" s="18">
        <x:v>2022</x:v>
      </x:c>
      <x:c r="C49" s="17" t="s">
        <x:v>13</x:v>
      </x:c>
      <x:c r="D49" s="17"/>
      <x:c r="E49" s="19">
        <x:v>6189094.8700000001</x:v>
      </x:c>
      <x:c r="F49" s="19">
        <x:v>2127202.09</x:v>
      </x:c>
      <x:c r="G49" s="19"/>
      <x:c r="H49" s="19"/>
      <x:c r="I49" s="20" t="s">
        <x:v>36</x:v>
      </x:c>
    </x:row>
    <x:row r="50" spans="1:9" outlineLevel="2">
      <x:c r="A50" s="17" t="s">
        <x:v>16</x:v>
      </x:c>
      <x:c r="B50" s="18">
        <x:v>2022</x:v>
      </x:c>
      <x:c r="C50" s="17" t="s">
        <x:v>19</x:v>
      </x:c>
      <x:c r="D50" s="17"/>
      <x:c r="E50" s="19">
        <x:v>1133.96</x:v>
      </x:c>
      <x:c r="F50" s="19">
        <x:v>389.75</x:v>
      </x:c>
      <x:c r="G50" s="19"/>
      <x:c r="H50" s="19"/>
      <x:c r="I50" s="20" t="s">
        <x:v>36</x:v>
      </x:c>
    </x:row>
    <x:row r="51" spans="1:9" outlineLevel="2">
      <x:c r="A51" s="17" t="s">
        <x:v>16</x:v>
      </x:c>
      <x:c r="B51" s="18">
        <x:v>2022</x:v>
      </x:c>
      <x:c r="C51" s="17" t="s">
        <x:v>18</x:v>
      </x:c>
      <x:c r="D51" s="17"/>
      <x:c r="E51" s="19">
        <x:v>11156.24</x:v>
      </x:c>
      <x:c r="F51" s="19">
        <x:v>436.5</x:v>
      </x:c>
      <x:c r="G51" s="19"/>
      <x:c r="H51" s="19"/>
      <x:c r="I51" s="20" t="s">
        <x:v>22</x:v>
      </x:c>
    </x:row>
    <x:row r="52" spans="1:9" outlineLevel="2">
      <x:c r="A52" s="17" t="s">
        <x:v>16</x:v>
      </x:c>
      <x:c r="B52" s="18">
        <x:v>2022</x:v>
      </x:c>
      <x:c r="C52" s="17" t="s">
        <x:v>30</x:v>
      </x:c>
      <x:c r="D52" s="17"/>
      <x:c r="E52" s="19"/>
      <x:c r="F52" s="19">
        <x:v>18624.560000000001</x:v>
      </x:c>
      <x:c r="G52" s="19"/>
      <x:c r="H52" s="19"/>
      <x:c r="I52" s="20" t="s">
        <x:v>22</x:v>
      </x:c>
    </x:row>
    <x:row r="53" spans="1:9" outlineLevel="2">
      <x:c r="A53" s="17" t="s">
        <x:v>16</x:v>
      </x:c>
      <x:c r="B53" s="18">
        <x:v>2022</x:v>
      </x:c>
      <x:c r="C53" s="17" t="s">
        <x:v>1</x:v>
      </x:c>
      <x:c r="D53" s="17" t="s">
        <x:v>4</x:v>
      </x:c>
      <x:c r="E53" s="19"/>
      <x:c r="F53" s="19"/>
      <x:c r="G53" s="19">
        <x:v>87636.57</x:v>
      </x:c>
      <x:c r="H53" s="19"/>
      <x:c r="I53" s="20" t="s">
        <x:v>22</x:v>
      </x:c>
    </x:row>
    <x:row r="54" spans="1:9" outlineLevel="2">
      <x:c r="A54" s="17" t="s">
        <x:v>16</x:v>
      </x:c>
      <x:c r="B54" s="18">
        <x:v>2022</x:v>
      </x:c>
      <x:c r="C54" s="17" t="s">
        <x:v>1</x:v>
      </x:c>
      <x:c r="D54" s="17" t="s">
        <x:v>2</x:v>
      </x:c>
      <x:c r="E54" s="19">
        <x:v>4915824.3899999997</x:v>
      </x:c>
      <x:c r="F54" s="19"/>
      <x:c r="G54" s="19"/>
      <x:c r="H54" s="19"/>
      <x:c r="I54" s="20" t="s">
        <x:v>22</x:v>
      </x:c>
    </x:row>
    <x:row r="55" spans="1:9" outlineLevel="2">
      <x:c r="A55" s="17" t="s">
        <x:v>16</x:v>
      </x:c>
      <x:c r="B55" s="18">
        <x:v>2022</x:v>
      </x:c>
      <x:c r="C55" s="17" t="s">
        <x:v>1</x:v>
      </x:c>
      <x:c r="D55" s="17" t="s">
        <x:v>3</x:v>
      </x:c>
      <x:c r="E55" s="19">
        <x:v>984547.02</x:v>
      </x:c>
      <x:c r="F55" s="19">
        <x:v>871675.62</x:v>
      </x:c>
      <x:c r="G55" s="19">
        <x:v>27147.96</x:v>
      </x:c>
      <x:c r="H55" s="19">
        <x:v>1904.13</x:v>
      </x:c>
      <x:c r="I55" s="20" t="s">
        <x:v>35</x:v>
      </x:c>
    </x:row>
    <x:row r="56" spans="1:9" outlineLevel="2">
      <x:c r="A56" s="17" t="s">
        <x:v>16</x:v>
      </x:c>
      <x:c r="B56" s="18">
        <x:v>2022</x:v>
      </x:c>
      <x:c r="C56" s="17" t="s">
        <x:v>1</x:v>
      </x:c>
      <x:c r="D56" s="17" t="s">
        <x:v>5</x:v>
      </x:c>
      <x:c r="E56" s="19"/>
      <x:c r="F56" s="19"/>
      <x:c r="G56" s="19"/>
      <x:c r="H56" s="19">
        <x:v>908773.77</x:v>
      </x:c>
      <x:c r="I56" s="20" t="s">
        <x:v>22</x:v>
      </x:c>
    </x:row>
    <x:row r="57" spans="1:9" outlineLevel="2">
      <x:c r="A57" s="17" t="s">
        <x:v>16</x:v>
      </x:c>
      <x:c r="B57" s="18">
        <x:v>2022</x:v>
      </x:c>
      <x:c r="C57" s="17" t="s">
        <x:v>1</x:v>
      </x:c>
      <x:c r="D57" s="17" t="s">
        <x:v>6</x:v>
      </x:c>
      <x:c r="E57" s="19"/>
      <x:c r="F57" s="19">
        <x:v>546851.75</x:v>
      </x:c>
      <x:c r="G57" s="19"/>
      <x:c r="H57" s="19"/>
      <x:c r="I57" s="20" t="s">
        <x:v>22</x:v>
      </x:c>
    </x:row>
    <x:row r="58" spans="1:9" outlineLevel="2">
      <x:c r="A58" s="17" t="s">
        <x:v>16</x:v>
      </x:c>
      <x:c r="B58" s="18">
        <x:v>2022</x:v>
      </x:c>
      <x:c r="C58" s="17" t="s">
        <x:v>29</x:v>
      </x:c>
      <x:c r="D58" s="17"/>
      <x:c r="E58" s="19"/>
      <x:c r="F58" s="19">
        <x:v>329.98</x:v>
      </x:c>
      <x:c r="G58" s="19"/>
      <x:c r="H58" s="19"/>
      <x:c r="I58" s="20" t="s">
        <x:v>22</x:v>
      </x:c>
    </x:row>
    <x:row r="59" spans="1:9" outlineLevel="2">
      <x:c r="A59" s="17" t="s">
        <x:v>16</x:v>
      </x:c>
      <x:c r="B59" s="18">
        <x:v>2022</x:v>
      </x:c>
      <x:c r="C59" s="17" t="s">
        <x:v>14</x:v>
      </x:c>
      <x:c r="D59" s="17"/>
      <x:c r="E59" s="19"/>
      <x:c r="F59" s="19">
        <x:v>12017164.75</x:v>
      </x:c>
      <x:c r="G59" s="19"/>
      <x:c r="H59" s="19"/>
      <x:c r="I59" s="20" t="s">
        <x:v>22</x:v>
      </x:c>
    </x:row>
    <x:row r="60" spans="1:9" outlineLevel="2">
      <x:c r="A60" s="17" t="s">
        <x:v>16</x:v>
      </x:c>
      <x:c r="B60" s="18">
        <x:v>2022</x:v>
      </x:c>
      <x:c r="C60" s="17" t="s">
        <x:v>15</x:v>
      </x:c>
      <x:c r="D60" s="17"/>
      <x:c r="E60" s="19">
        <x:v>949180.42</x:v>
      </x:c>
      <x:c r="F60" s="19">
        <x:v>8480342.1300000008</x:v>
      </x:c>
      <x:c r="G60" s="19"/>
      <x:c r="H60" s="19"/>
      <x:c r="I60" s="20" t="s">
        <x:v>34</x:v>
      </x:c>
    </x:row>
    <x:row r="61" spans="1:9" outlineLevel="2">
      <x:c r="A61" s="17" t="s">
        <x:v>16</x:v>
      </x:c>
      <x:c r="B61" s="18">
        <x:v>2022</x:v>
      </x:c>
      <x:c r="C61" s="17" t="s">
        <x:v>20</x:v>
      </x:c>
      <x:c r="D61" s="17"/>
      <x:c r="E61" s="19"/>
      <x:c r="F61" s="19">
        <x:v>604.71</x:v>
      </x:c>
      <x:c r="G61" s="19"/>
      <x:c r="H61" s="19"/>
      <x:c r="I61" s="20" t="s">
        <x:v>22</x:v>
      </x:c>
    </x:row>
    <x:row r="62" spans="1:9" outlineLevel="1">
      <x:c r="A62" s="17"/>
      <x:c r="B62" s="21" t="s">
        <x:v>37</x:v>
      </x:c>
      <x:c r="C62" s="17"/>
      <x:c r="D62" s="17"/>
      <x:c r="E62" s="19">
        <x:f>SUBTOTAL(9,E48:E61)</x:f>
        <x:v>28993999.59</x:v>
      </x:c>
      <x:c r="F62" s="19">
        <x:f>SUBTOTAL(9,F48:F61)</x:f>
        <x:v>24063621.840000004</x:v>
      </x:c>
      <x:c r="G62" s="19">
        <x:f>SUBTOTAL(9,G48:G61)</x:f>
        <x:v>114784.53</x:v>
      </x:c>
      <x:c r="H62" s="19">
        <x:f>SUBTOTAL(9,H48:H61)</x:f>
        <x:v>910677.9</x:v>
      </x:c>
      <x:c r="I62" s="20"/>
    </x:row>
    <x:row r="63" spans="1:9" outlineLevel="2">
      <x:c r="A63" s="17" t="s">
        <x:v>16</x:v>
      </x:c>
      <x:c r="B63" s="18">
        <x:v>2023</x:v>
      </x:c>
      <x:c r="C63" s="17" t="s">
        <x:v>17</x:v>
      </x:c>
      <x:c r="D63" s="17"/>
      <x:c r="E63" s="19">
        <x:v>23184707.300000001</x:v>
      </x:c>
      <x:c r="F63" s="19"/>
      <x:c r="G63" s="19"/>
      <x:c r="H63" s="19"/>
      <x:c r="I63" s="20" t="s">
        <x:v>22</x:v>
      </x:c>
    </x:row>
    <x:row r="64" spans="1:9" outlineLevel="2">
      <x:c r="A64" s="17" t="s">
        <x:v>16</x:v>
      </x:c>
      <x:c r="B64" s="18">
        <x:v>2023</x:v>
      </x:c>
      <x:c r="C64" s="17" t="s">
        <x:v>31</x:v>
      </x:c>
      <x:c r="D64" s="17"/>
      <x:c r="E64" s="19"/>
      <x:c r="F64" s="19">
        <x:v>11.47</x:v>
      </x:c>
      <x:c r="G64" s="19"/>
      <x:c r="H64" s="19"/>
      <x:c r="I64" s="20" t="s">
        <x:v>34</x:v>
      </x:c>
    </x:row>
    <x:row r="65" spans="1:9" outlineLevel="2">
      <x:c r="A65" s="17" t="s">
        <x:v>16</x:v>
      </x:c>
      <x:c r="B65" s="18">
        <x:v>2023</x:v>
      </x:c>
      <x:c r="C65" s="17" t="s">
        <x:v>13</x:v>
      </x:c>
      <x:c r="D65" s="17"/>
      <x:c r="E65" s="19">
        <x:v>10728733.300000001</x:v>
      </x:c>
      <x:c r="F65" s="19">
        <x:v>3687483.34</x:v>
      </x:c>
      <x:c r="G65" s="19"/>
      <x:c r="H65" s="19"/>
      <x:c r="I65" s="20" t="s">
        <x:v>36</x:v>
      </x:c>
    </x:row>
    <x:row r="66" spans="1:9" outlineLevel="2">
      <x:c r="A66" s="17" t="s">
        <x:v>16</x:v>
      </x:c>
      <x:c r="B66" s="18">
        <x:v>2023</x:v>
      </x:c>
      <x:c r="C66" s="17" t="s">
        <x:v>19</x:v>
      </x:c>
      <x:c r="D66" s="17"/>
      <x:c r="E66" s="19">
        <x:v>2252.67</x:v>
      </x:c>
      <x:c r="F66" s="19">
        <x:v>774.25</x:v>
      </x:c>
      <x:c r="G66" s="19"/>
      <x:c r="H66" s="19"/>
      <x:c r="I66" s="20" t="s">
        <x:v>36</x:v>
      </x:c>
    </x:row>
    <x:row r="67" spans="1:9" outlineLevel="2">
      <x:c r="A67" s="17" t="s">
        <x:v>16</x:v>
      </x:c>
      <x:c r="B67" s="18">
        <x:v>2023</x:v>
      </x:c>
      <x:c r="C67" s="17" t="s">
        <x:v>18</x:v>
      </x:c>
      <x:c r="D67" s="17"/>
      <x:c r="E67" s="19">
        <x:v>28644.92</x:v>
      </x:c>
      <x:c r="F67" s="19">
        <x:v>17676.12</x:v>
      </x:c>
      <x:c r="G67" s="19"/>
      <x:c r="H67" s="19"/>
      <x:c r="I67" s="20" t="s">
        <x:v>22</x:v>
      </x:c>
    </x:row>
    <x:row r="68" spans="1:9" outlineLevel="2">
      <x:c r="A68" s="17" t="s">
        <x:v>16</x:v>
      </x:c>
      <x:c r="B68" s="18">
        <x:v>2023</x:v>
      </x:c>
      <x:c r="C68" s="17" t="s">
        <x:v>32</x:v>
      </x:c>
      <x:c r="D68" s="17"/>
      <x:c r="E68" s="19"/>
      <x:c r="F68" s="19">
        <x:v>2146.4499999999998</x:v>
      </x:c>
      <x:c r="G68" s="19"/>
      <x:c r="H68" s="19"/>
      <x:c r="I68" s="20" t="s">
        <x:v>22</x:v>
      </x:c>
    </x:row>
    <x:row r="69" spans="1:9" outlineLevel="2">
      <x:c r="A69" s="17" t="s">
        <x:v>16</x:v>
      </x:c>
      <x:c r="B69" s="18">
        <x:v>2023</x:v>
      </x:c>
      <x:c r="C69" s="17" t="s">
        <x:v>1</x:v>
      </x:c>
      <x:c r="D69" s="17" t="s">
        <x:v>4</x:v>
      </x:c>
      <x:c r="E69" s="19"/>
      <x:c r="F69" s="19"/>
      <x:c r="G69" s="19">
        <x:v>208173.05</x:v>
      </x:c>
      <x:c r="H69" s="19"/>
      <x:c r="I69" s="20" t="s">
        <x:v>22</x:v>
      </x:c>
    </x:row>
    <x:row r="70" spans="1:9" outlineLevel="2">
      <x:c r="A70" s="17" t="s">
        <x:v>16</x:v>
      </x:c>
      <x:c r="B70" s="18">
        <x:v>2023</x:v>
      </x:c>
      <x:c r="C70" s="17" t="s">
        <x:v>1</x:v>
      </x:c>
      <x:c r="D70" s="17" t="s">
        <x:v>2</x:v>
      </x:c>
      <x:c r="E70" s="19">
        <x:v>1699456.89</x:v>
      </x:c>
      <x:c r="F70" s="19"/>
      <x:c r="G70" s="19"/>
      <x:c r="H70" s="19"/>
      <x:c r="I70" s="20" t="s">
        <x:v>22</x:v>
      </x:c>
    </x:row>
    <x:row r="71" spans="1:9" outlineLevel="2">
      <x:c r="A71" s="17" t="s">
        <x:v>16</x:v>
      </x:c>
      <x:c r="B71" s="18">
        <x:v>2023</x:v>
      </x:c>
      <x:c r="C71" s="17" t="s">
        <x:v>1</x:v>
      </x:c>
      <x:c r="D71" s="17" t="s">
        <x:v>3</x:v>
      </x:c>
      <x:c r="E71" s="19">
        <x:v>1350773.89</x:v>
      </x:c>
      <x:c r="F71" s="19">
        <x:v>1195917.1599999999</x:v>
      </x:c>
      <x:c r="G71" s="19">
        <x:v>37246.32</x:v>
      </x:c>
      <x:c r="H71" s="19">
        <x:v>2612.42</x:v>
      </x:c>
      <x:c r="I71" s="20" t="s">
        <x:v>35</x:v>
      </x:c>
    </x:row>
    <x:row r="72" spans="1:9" outlineLevel="2">
      <x:c r="A72" s="17" t="s">
        <x:v>16</x:v>
      </x:c>
      <x:c r="B72" s="18">
        <x:v>2023</x:v>
      </x:c>
      <x:c r="C72" s="17" t="s">
        <x:v>1</x:v>
      </x:c>
      <x:c r="D72" s="17" t="s">
        <x:v>33</x:v>
      </x:c>
      <x:c r="E72" s="19"/>
      <x:c r="F72" s="19"/>
      <x:c r="G72" s="19"/>
      <x:c r="H72" s="19">
        <x:v>3066.39</x:v>
      </x:c>
      <x:c r="I72" s="20" t="s">
        <x:v>22</x:v>
      </x:c>
    </x:row>
    <x:row r="73" spans="1:9" outlineLevel="2">
      <x:c r="A73" s="17" t="s">
        <x:v>16</x:v>
      </x:c>
      <x:c r="B73" s="18">
        <x:v>2023</x:v>
      </x:c>
      <x:c r="C73" s="17" t="s">
        <x:v>1</x:v>
      </x:c>
      <x:c r="D73" s="17" t="s">
        <x:v>5</x:v>
      </x:c>
      <x:c r="E73" s="19"/>
      <x:c r="F73" s="19"/>
      <x:c r="G73" s="19"/>
      <x:c r="H73" s="19">
        <x:v>693878.02</x:v>
      </x:c>
      <x:c r="I73" s="20" t="s">
        <x:v>22</x:v>
      </x:c>
    </x:row>
    <x:row r="74" spans="1:9" outlineLevel="2">
      <x:c r="A74" s="17" t="s">
        <x:v>16</x:v>
      </x:c>
      <x:c r="B74" s="18">
        <x:v>2023</x:v>
      </x:c>
      <x:c r="C74" s="17" t="s">
        <x:v>1</x:v>
      </x:c>
      <x:c r="D74" s="17" t="s">
        <x:v>6</x:v>
      </x:c>
      <x:c r="E74" s="19"/>
      <x:c r="F74" s="19">
        <x:v>721474</x:v>
      </x:c>
      <x:c r="G74" s="19"/>
      <x:c r="H74" s="19"/>
      <x:c r="I74" s="20" t="s">
        <x:v>22</x:v>
      </x:c>
    </x:row>
    <x:row r="75" spans="1:9" outlineLevel="2">
      <x:c r="A75" s="17" t="s">
        <x:v>16</x:v>
      </x:c>
      <x:c r="B75" s="18">
        <x:v>2023</x:v>
      </x:c>
      <x:c r="C75" s="17" t="s">
        <x:v>29</x:v>
      </x:c>
      <x:c r="D75" s="17"/>
      <x:c r="E75" s="19"/>
      <x:c r="F75" s="19">
        <x:v>4717.07</x:v>
      </x:c>
      <x:c r="G75" s="19"/>
      <x:c r="H75" s="19"/>
      <x:c r="I75" s="20" t="s">
        <x:v>22</x:v>
      </x:c>
    </x:row>
    <x:row r="76" spans="1:9" outlineLevel="2">
      <x:c r="A76" s="17" t="s">
        <x:v>16</x:v>
      </x:c>
      <x:c r="B76" s="18">
        <x:v>2023</x:v>
      </x:c>
      <x:c r="C76" s="17" t="s">
        <x:v>14</x:v>
      </x:c>
      <x:c r="D76" s="17"/>
      <x:c r="E76" s="19"/>
      <x:c r="F76" s="19">
        <x:v>19370362.960000001</x:v>
      </x:c>
      <x:c r="G76" s="19"/>
      <x:c r="H76" s="19"/>
      <x:c r="I76" s="20" t="s">
        <x:v>22</x:v>
      </x:c>
    </x:row>
    <x:row r="77" spans="1:9" outlineLevel="2">
      <x:c r="A77" s="17" t="s">
        <x:v>16</x:v>
      </x:c>
      <x:c r="B77" s="18">
        <x:v>2023</x:v>
      </x:c>
      <x:c r="C77" s="17" t="s">
        <x:v>15</x:v>
      </x:c>
      <x:c r="D77" s="17"/>
      <x:c r="E77" s="19">
        <x:v>1584996.03</x:v>
      </x:c>
      <x:c r="F77" s="19">
        <x:v>14160962.74</x:v>
      </x:c>
      <x:c r="G77" s="19"/>
      <x:c r="H77" s="19"/>
      <x:c r="I77" s="20" t="s">
        <x:v>34</x:v>
      </x:c>
    </x:row>
    <x:row r="78" spans="1:9" outlineLevel="1">
      <x:c r="A78" s="17"/>
      <x:c r="B78" s="21" t="s">
        <x:v>38</x:v>
      </x:c>
      <x:c r="C78" s="17"/>
      <x:c r="D78" s="17"/>
      <x:c r="E78" s="19">
        <x:f>SUBTOTAL(9,E63:E77)</x:f>
        <x:v>38579565.000000007</x:v>
      </x:c>
      <x:c r="F78" s="19">
        <x:f>SUBTOTAL(9,F63:F77)</x:f>
        <x:v>39161525.560000002</x:v>
      </x:c>
      <x:c r="G78" s="19">
        <x:f>SUBTOTAL(9,G63:G77)</x:f>
        <x:v>245419.37</x:v>
      </x:c>
      <x:c r="H78" s="19">
        <x:f>SUBTOTAL(9,H63:H77)</x:f>
        <x:v>699556.83000000007</x:v>
      </x:c>
      <x:c r="I78" s="20"/>
    </x:row>
    <x:row r="79" spans="1:9" outlineLevel="2">
      <x:c r="A79" s="17" t="s">
        <x:v>16</x:v>
      </x:c>
      <x:c r="B79" s="18">
        <x:v>2024</x:v>
      </x:c>
      <x:c r="C79" s="17" t="s">
        <x:v>17</x:v>
      </x:c>
      <x:c r="D79" s="17"/>
      <x:c r="E79" s="19">
        <x:v>27196407.649999999</x:v>
      </x:c>
      <x:c r="F79" s="19"/>
      <x:c r="G79" s="19"/>
      <x:c r="H79" s="19"/>
      <x:c r="I79" s="20" t="s">
        <x:v>22</x:v>
      </x:c>
    </x:row>
    <x:row r="80" spans="1:9" outlineLevel="2">
      <x:c r="A80" s="17" t="s">
        <x:v>16</x:v>
      </x:c>
      <x:c r="B80" s="18">
        <x:v>2024</x:v>
      </x:c>
      <x:c r="C80" s="17" t="s">
        <x:v>13</x:v>
      </x:c>
      <x:c r="D80" s="17"/>
      <x:c r="E80" s="19">
        <x:v>14044466.49</x:v>
      </x:c>
      <x:c r="F80" s="19">
        <x:v>4827106.3</x:v>
      </x:c>
      <x:c r="G80" s="19"/>
      <x:c r="H80" s="19"/>
      <x:c r="I80" s="20" t="s">
        <x:v>36</x:v>
      </x:c>
    </x:row>
    <x:row r="81" spans="1:9" outlineLevel="2">
      <x:c r="A81" s="17" t="s">
        <x:v>16</x:v>
      </x:c>
      <x:c r="B81" s="18">
        <x:v>2024</x:v>
      </x:c>
      <x:c r="C81" s="17" t="s">
        <x:v>18</x:v>
      </x:c>
      <x:c r="D81" s="17"/>
      <x:c r="E81" s="19">
        <x:v>8318.7999999999993</x:v>
      </x:c>
      <x:c r="F81" s="19">
        <x:v>15486.79</x:v>
      </x:c>
      <x:c r="G81" s="19"/>
      <x:c r="H81" s="19"/>
      <x:c r="I81" s="20" t="s">
        <x:v>22</x:v>
      </x:c>
    </x:row>
    <x:row r="82" spans="1:9" outlineLevel="2">
      <x:c r="A82" s="17" t="s">
        <x:v>16</x:v>
      </x:c>
      <x:c r="B82" s="18">
        <x:v>2024</x:v>
      </x:c>
      <x:c r="C82" s="17" t="s">
        <x:v>1</x:v>
      </x:c>
      <x:c r="D82" s="17" t="s">
        <x:v>4</x:v>
      </x:c>
      <x:c r="E82" s="19"/>
      <x:c r="F82" s="19"/>
      <x:c r="G82" s="19">
        <x:v>99114.87</x:v>
      </x:c>
      <x:c r="H82" s="19"/>
      <x:c r="I82" s="20" t="s">
        <x:v>22</x:v>
      </x:c>
    </x:row>
    <x:row r="83" spans="1:9" outlineLevel="2">
      <x:c r="A83" s="17" t="s">
        <x:v>16</x:v>
      </x:c>
      <x:c r="B83" s="18">
        <x:v>2024</x:v>
      </x:c>
      <x:c r="C83" s="17" t="s">
        <x:v>1</x:v>
      </x:c>
      <x:c r="D83" s="17" t="s">
        <x:v>2</x:v>
      </x:c>
      <x:c r="E83" s="19">
        <x:v>2195886.69</x:v>
      </x:c>
      <x:c r="F83" s="19"/>
      <x:c r="G83" s="19"/>
      <x:c r="H83" s="19"/>
      <x:c r="I83" s="20" t="s">
        <x:v>22</x:v>
      </x:c>
    </x:row>
    <x:row r="84" spans="1:9" outlineLevel="2">
      <x:c r="A84" s="17" t="s">
        <x:v>16</x:v>
      </x:c>
      <x:c r="B84" s="18">
        <x:v>2024</x:v>
      </x:c>
      <x:c r="C84" s="17" t="s">
        <x:v>1</x:v>
      </x:c>
      <x:c r="D84" s="17" t="s">
        <x:v>3</x:v>
      </x:c>
      <x:c r="E84" s="19">
        <x:v>2328591.33</x:v>
      </x:c>
      <x:c r="F84" s="19">
        <x:v>2061634.69</x:v>
      </x:c>
      <x:c r="G84" s="19">
        <x:v>64208.71</x:v>
      </x:c>
      <x:c r="H84" s="19">
        <x:v>4503.53</x:v>
      </x:c>
      <x:c r="I84" s="20" t="s">
        <x:v>35</x:v>
      </x:c>
    </x:row>
    <x:row r="85" spans="1:9" outlineLevel="2">
      <x:c r="A85" s="17" t="s">
        <x:v>16</x:v>
      </x:c>
      <x:c r="B85" s="18">
        <x:v>2024</x:v>
      </x:c>
      <x:c r="C85" s="17" t="s">
        <x:v>1</x:v>
      </x:c>
      <x:c r="D85" s="17" t="s">
        <x:v>33</x:v>
      </x:c>
      <x:c r="E85" s="19"/>
      <x:c r="F85" s="19"/>
      <x:c r="G85" s="19"/>
      <x:c r="H85" s="19">
        <x:v>25565.23</x:v>
      </x:c>
      <x:c r="I85" s="20" t="s">
        <x:v>22</x:v>
      </x:c>
    </x:row>
    <x:row r="86" spans="1:9" outlineLevel="2">
      <x:c r="A86" s="17" t="s">
        <x:v>16</x:v>
      </x:c>
      <x:c r="B86" s="18">
        <x:v>2024</x:v>
      </x:c>
      <x:c r="C86" s="17" t="s">
        <x:v>1</x:v>
      </x:c>
      <x:c r="D86" s="17" t="s">
        <x:v>5</x:v>
      </x:c>
      <x:c r="E86" s="19"/>
      <x:c r="F86" s="19"/>
      <x:c r="G86" s="19"/>
      <x:c r="H86" s="19">
        <x:v>399452.55</x:v>
      </x:c>
      <x:c r="I86" s="20" t="s">
        <x:v>22</x:v>
      </x:c>
    </x:row>
    <x:row r="87" spans="1:9" outlineLevel="2">
      <x:c r="A87" s="17" t="s">
        <x:v>16</x:v>
      </x:c>
      <x:c r="B87" s="18">
        <x:v>2024</x:v>
      </x:c>
      <x:c r="C87" s="17" t="s">
        <x:v>1</x:v>
      </x:c>
      <x:c r="D87" s="17" t="s">
        <x:v>6</x:v>
      </x:c>
      <x:c r="E87" s="19"/>
      <x:c r="F87" s="19">
        <x:v>602666.89</x:v>
      </x:c>
      <x:c r="G87" s="19"/>
      <x:c r="H87" s="19"/>
      <x:c r="I87" s="20" t="s">
        <x:v>22</x:v>
      </x:c>
    </x:row>
    <x:row r="88" spans="1:9" outlineLevel="2">
      <x:c r="A88" s="17" t="s">
        <x:v>16</x:v>
      </x:c>
      <x:c r="B88" s="18">
        <x:v>2024</x:v>
      </x:c>
      <x:c r="C88" s="17" t="s">
        <x:v>1</x:v>
      </x:c>
      <x:c r="D88" s="17" t="s">
        <x:v>6</x:v>
      </x:c>
      <x:c r="E88" s="19"/>
      <x:c r="F88" s="19">
        <x:v>10706</x:v>
      </x:c>
      <x:c r="G88" s="19"/>
      <x:c r="H88" s="19"/>
      <x:c r="I88" s="20" t="s">
        <x:v>22</x:v>
      </x:c>
    </x:row>
    <x:row r="89" spans="1:9" outlineLevel="2">
      <x:c r="A89" s="17" t="s">
        <x:v>16</x:v>
      </x:c>
      <x:c r="B89" s="18">
        <x:v>2024</x:v>
      </x:c>
      <x:c r="C89" s="17" t="s">
        <x:v>29</x:v>
      </x:c>
      <x:c r="D89" s="17"/>
      <x:c r="E89" s="19"/>
      <x:c r="F89" s="19">
        <x:v>1018784.05</x:v>
      </x:c>
      <x:c r="G89" s="19"/>
      <x:c r="H89" s="19"/>
      <x:c r="I89" s="20" t="s">
        <x:v>22</x:v>
      </x:c>
    </x:row>
    <x:row r="90" spans="1:9" outlineLevel="2">
      <x:c r="A90" s="17" t="s">
        <x:v>16</x:v>
      </x:c>
      <x:c r="B90" s="18">
        <x:v>2024</x:v>
      </x:c>
      <x:c r="C90" s="17" t="s">
        <x:v>14</x:v>
      </x:c>
      <x:c r="D90" s="17"/>
      <x:c r="E90" s="19"/>
      <x:c r="F90" s="19">
        <x:v>24329351.920000002</x:v>
      </x:c>
      <x:c r="G90" s="19"/>
      <x:c r="H90" s="19"/>
      <x:c r="I90" s="20" t="s">
        <x:v>22</x:v>
      </x:c>
    </x:row>
    <x:row r="91" spans="1:9" outlineLevel="2">
      <x:c r="A91" s="17" t="s">
        <x:v>16</x:v>
      </x:c>
      <x:c r="B91" s="18">
        <x:v>2024</x:v>
      </x:c>
      <x:c r="C91" s="17" t="s">
        <x:v>15</x:v>
      </x:c>
      <x:c r="D91" s="17"/>
      <x:c r="E91" s="19">
        <x:v>2403924.36</x:v>
      </x:c>
      <x:c r="F91" s="19">
        <x:v>21477582.699999999</x:v>
      </x:c>
      <x:c r="G91" s="19"/>
      <x:c r="H91" s="19"/>
      <x:c r="I91" s="20" t="s">
        <x:v>34</x:v>
      </x:c>
    </x:row>
    <x:row r="92" spans="1:9" outlineLevel="1">
      <x:c r="A92" s="17"/>
      <x:c r="B92" s="21" t="s">
        <x:v>39</x:v>
      </x:c>
      <x:c r="C92" s="17"/>
      <x:c r="D92" s="17"/>
      <x:c r="E92" s="19">
        <x:f>SUBTOTAL(9,E79:E91)</x:f>
        <x:v>48177595.319999993</x:v>
      </x:c>
      <x:c r="F92" s="19">
        <x:f>SUBTOTAL(9,F79:F91)</x:f>
        <x:v>54343319.340000004</x:v>
      </x:c>
      <x:c r="G92" s="19">
        <x:f>SUBTOTAL(9,G79:G91)</x:f>
        <x:v>163323.57999999999</x:v>
      </x:c>
      <x:c r="H92" s="19">
        <x:f>SUBTOTAL(9,H79:H91)</x:f>
        <x:v>429521.31</x:v>
      </x:c>
      <x:c r="I92" s="20"/>
    </x:row>
    <x:row r="93" spans="1:9">
      <x:c r="A93" s="17"/>
      <x:c r="B93" s="21" t="s">
        <x:v>24</x:v>
      </x:c>
      <x:c r="C93" s="17"/>
      <x:c r="D93" s="17"/>
      <x:c r="E93" s="19">
        <x:f>SUBTOTAL(9,E2:E91)</x:f>
        <x:v>151884716.95000005</x:v>
      </x:c>
      <x:c r="F93" s="19">
        <x:f>SUBTOTAL(9,F2:F91)</x:f>
        <x:v>168391525.96999997</x:v>
      </x:c>
      <x:c r="G93" s="19">
        <x:f>SUBTOTAL(9,G2:G91)</x:f>
        <x:v>1576988.9500000002</x:v>
      </x:c>
      <x:c r="H93" s="19">
        <x:f>SUBTOTAL(9,H2:H91)</x:f>
        <x:v>3330644.6399999997</x:v>
      </x:c>
      <x:c r="I93" s="20"/>
    </x:row>
    <x:row r="94" spans="1:9">
      <x:c r="E94" s="19"/>
      <x:c r="F94" s="19"/>
      <x:c r="G94" s="19"/>
      <x:c r="H94" s="19"/>
    </x:row>
    <x:row r="95" spans="1:9">
      <x:c r="E95" s="19"/>
      <x:c r="F95" s="19"/>
      <x:c r="G95" s="19"/>
      <x:c r="H95" s="19"/>
    </x:row>
    <x:row r="96" spans="1:9">
      <x:c r="E96" s="19"/>
      <x:c r="F96" s="19"/>
      <x:c r="G96" s="19"/>
      <x:c r="H96" s="19"/>
    </x:row>
    <x:row r="97" spans="5:8">
      <x:c r="E97" s="19"/>
      <x:c r="F97" s="19"/>
      <x:c r="G97" s="19"/>
      <x:c r="H97" s="19"/>
    </x:row>
    <x:row r="98" spans="5:8">
      <x:c r="E98" s="19"/>
      <x:c r="F98" s="19"/>
      <x:c r="G98" s="19"/>
      <x:c r="H98" s="19"/>
    </x:row>
    <x:row r="99" spans="5:8">
      <x:c r="E99" s="19"/>
      <x:c r="F99" s="19"/>
      <x:c r="G99" s="19"/>
      <x:c r="H99" s="19"/>
    </x:row>
    <x:row r="100" spans="5:8">
      <x:c r="E100" s="19"/>
      <x:c r="F100" s="19"/>
      <x:c r="G100" s="19"/>
      <x:c r="H100" s="19"/>
    </x:row>
    <x:row r="101" spans="5:8">
      <x:c r="E101" s="19"/>
      <x:c r="F101" s="19"/>
      <x:c r="G101" s="19"/>
      <x:c r="H101" s="19"/>
    </x:row>
    <x:row r="102" spans="5:8">
      <x:c r="E102" s="19"/>
      <x:c r="F102" s="19"/>
      <x:c r="G102" s="19"/>
      <x:c r="H102" s="19"/>
    </x:row>
    <x:row r="103" spans="5:8">
      <x:c r="E103" s="19"/>
      <x:c r="F103" s="19"/>
      <x:c r="G103" s="19"/>
      <x:c r="H103" s="19"/>
    </x:row>
    <x:row r="104" spans="5:8">
      <x:c r="E104" s="19"/>
      <x:c r="F104" s="19"/>
      <x:c r="G104" s="19"/>
      <x:c r="H104" s="19"/>
    </x:row>
    <x:row r="105" spans="5:8">
      <x:c r="E105" s="19"/>
      <x:c r="F105" s="19"/>
      <x:c r="G105" s="19"/>
      <x:c r="H105" s="19"/>
    </x:row>
    <x:row r="106" spans="5:8">
      <x:c r="E106" s="19"/>
      <x:c r="F106" s="19"/>
      <x:c r="G106" s="19"/>
      <x:c r="H106" s="19"/>
    </x:row>
    <x:row r="107" spans="5:8">
      <x:c r="E107" s="19"/>
      <x:c r="F107" s="19"/>
      <x:c r="G107" s="19"/>
      <x:c r="H107" s="19"/>
    </x:row>
    <x:row r="108" spans="5:8">
      <x:c r="E108" s="19"/>
      <x:c r="F108" s="19"/>
      <x:c r="G108" s="19"/>
      <x:c r="H108" s="19"/>
    </x:row>
    <x:row r="109" spans="5:8">
      <x:c r="E109" s="19"/>
      <x:c r="F109" s="19"/>
      <x:c r="G109" s="19"/>
      <x:c r="H109" s="19"/>
    </x:row>
    <x:row r="110" spans="5:8">
      <x:c r="E110" s="19"/>
      <x:c r="F110" s="19"/>
      <x:c r="G110" s="19"/>
      <x:c r="H110" s="19"/>
    </x:row>
    <x:row r="111" spans="5:8">
      <x:c r="E111" s="19"/>
      <x:c r="F111" s="19"/>
      <x:c r="G111" s="19"/>
      <x:c r="H111" s="19"/>
    </x:row>
    <x:row r="112" spans="5:8">
      <x:c r="E112" s="19"/>
      <x:c r="F112" s="19"/>
      <x:c r="G112" s="19"/>
      <x:c r="H112" s="19"/>
    </x:row>
    <x:row r="113" spans="5:8">
      <x:c r="E113" s="19"/>
      <x:c r="F113" s="19"/>
      <x:c r="G113" s="19"/>
      <x:c r="H113" s="19"/>
    </x:row>
    <x:row r="114" spans="5:8">
      <x:c r="E114" s="19"/>
      <x:c r="F114" s="19"/>
      <x:c r="G114" s="19"/>
      <x:c r="H114" s="19"/>
    </x:row>
    <x:row r="115" spans="5:8">
      <x:c r="E115" s="19"/>
      <x:c r="F115" s="19"/>
      <x:c r="G115" s="19"/>
      <x:c r="H115" s="19"/>
    </x:row>
    <x:row r="116" spans="5:8">
      <x:c r="E116" s="19"/>
      <x:c r="F116" s="19"/>
      <x:c r="G116" s="19"/>
      <x:c r="H116" s="19"/>
    </x:row>
    <x:row r="117" spans="5:8">
      <x:c r="E117" s="19"/>
      <x:c r="F117" s="19"/>
      <x:c r="G117" s="19"/>
      <x:c r="H117" s="19"/>
    </x:row>
    <x:row r="118" spans="5:8">
      <x:c r="E118" s="19"/>
      <x:c r="F118" s="19"/>
      <x:c r="G118" s="19"/>
      <x:c r="H118" s="19"/>
    </x:row>
    <x:row r="119" spans="5:8">
      <x:c r="E119" s="19"/>
      <x:c r="F119" s="19"/>
      <x:c r="G119" s="19"/>
      <x:c r="H119" s="19"/>
    </x:row>
    <x:row r="120" spans="5:8">
      <x:c r="E120" s="19"/>
      <x:c r="F120" s="19"/>
      <x:c r="G120" s="19"/>
      <x:c r="H120" s="19"/>
    </x:row>
    <x:row r="121" spans="5:8">
      <x:c r="E121" s="19"/>
      <x:c r="F121" s="19"/>
      <x:c r="G121" s="19"/>
      <x:c r="H121" s="19"/>
    </x:row>
    <x:row r="122" spans="5:8">
      <x:c r="E122" s="19"/>
      <x:c r="F122" s="19"/>
      <x:c r="G122" s="19"/>
      <x:c r="H122" s="19"/>
    </x:row>
    <x:row r="123" spans="5:8">
      <x:c r="E123" s="19"/>
      <x:c r="F123" s="19"/>
      <x:c r="G123" s="19"/>
      <x:c r="H123" s="19"/>
    </x:row>
    <x:row r="124" spans="5:8">
      <x:c r="E124" s="19"/>
      <x:c r="F124" s="19"/>
      <x:c r="G124" s="19"/>
      <x:c r="H124" s="19"/>
    </x:row>
    <x:row r="125" spans="5:8">
      <x:c r="E125" s="19"/>
      <x:c r="F125" s="19"/>
      <x:c r="G125" s="19"/>
      <x:c r="H125" s="19"/>
    </x:row>
    <x:row r="126" spans="5:8">
      <x:c r="E126" s="19"/>
      <x:c r="F126" s="19"/>
      <x:c r="G126" s="19"/>
      <x:c r="H126" s="19"/>
    </x:row>
    <x:row r="127" spans="5:8">
      <x:c r="E127" s="19"/>
      <x:c r="F127" s="19"/>
      <x:c r="G127" s="19"/>
      <x:c r="H127" s="19"/>
    </x:row>
    <x:row r="128" spans="5:8">
      <x:c r="E128" s="19"/>
      <x:c r="F128" s="19"/>
      <x:c r="G128" s="19"/>
      <x:c r="H128" s="19"/>
    </x:row>
    <x:row r="129" spans="5:8">
      <x:c r="E129" s="19"/>
      <x:c r="F129" s="19"/>
      <x:c r="G129" s="19"/>
      <x:c r="H129" s="19"/>
    </x:row>
    <x:row r="130" spans="5:8">
      <x:c r="E130" s="19"/>
      <x:c r="F130" s="19"/>
      <x:c r="G130" s="19"/>
      <x:c r="H130" s="19"/>
    </x:row>
    <x:row r="131" spans="5:8">
      <x:c r="E131" s="19"/>
      <x:c r="F131" s="19"/>
      <x:c r="G131" s="19"/>
      <x:c r="H131" s="19"/>
    </x:row>
    <x:row r="132" spans="5:8">
      <x:c r="E132" s="19"/>
      <x:c r="F132" s="19"/>
      <x:c r="G132" s="19"/>
      <x:c r="H132" s="19"/>
    </x:row>
    <x:row r="133" spans="5:8">
      <x:c r="E133" s="19"/>
      <x:c r="F133" s="19"/>
      <x:c r="G133" s="19"/>
      <x:c r="H133" s="19"/>
    </x:row>
    <x:row r="134" spans="5:8">
      <x:c r="E134" s="19"/>
      <x:c r="F134" s="19"/>
      <x:c r="G134" s="19"/>
      <x:c r="H134" s="19"/>
    </x:row>
    <x:row r="135" spans="5:8">
      <x:c r="E135" s="19"/>
      <x:c r="F135" s="19"/>
      <x:c r="G135" s="19"/>
      <x:c r="H135" s="19"/>
    </x:row>
    <x:row r="136" spans="5:8">
      <x:c r="E136" s="19"/>
      <x:c r="F136" s="19"/>
      <x:c r="G136" s="19"/>
      <x:c r="H136" s="19"/>
    </x:row>
    <x:row r="137" spans="5:8">
      <x:c r="E137" s="19"/>
      <x:c r="F137" s="19"/>
      <x:c r="G137" s="19"/>
      <x:c r="H137" s="19"/>
    </x:row>
    <x:row r="138" spans="5:8">
      <x:c r="E138" s="19"/>
      <x:c r="F138" s="19"/>
      <x:c r="G138" s="19"/>
      <x:c r="H138" s="19"/>
    </x:row>
    <x:row r="139" spans="5:8">
      <x:c r="E139" s="19"/>
      <x:c r="F139" s="19"/>
      <x:c r="G139" s="19"/>
      <x:c r="H139" s="19"/>
    </x:row>
    <x:row r="140" spans="5:8">
      <x:c r="E140" s="19"/>
      <x:c r="F140" s="19"/>
      <x:c r="G140" s="19"/>
      <x:c r="H140" s="19"/>
    </x:row>
    <x:row r="141" spans="5:8">
      <x:c r="E141" s="19"/>
      <x:c r="F141" s="19"/>
      <x:c r="G141" s="19"/>
      <x:c r="H141" s="19"/>
    </x:row>
    <x:row r="142" spans="5:8">
      <x:c r="E142" s="19"/>
      <x:c r="F142" s="19"/>
      <x:c r="G142" s="19"/>
      <x:c r="H142" s="19"/>
    </x:row>
    <x:row r="143" spans="5:8">
      <x:c r="E143" s="19"/>
      <x:c r="F143" s="19"/>
      <x:c r="G143" s="19"/>
      <x:c r="H143" s="19"/>
    </x:row>
    <x:row r="144" spans="5:8">
      <x:c r="E144" s="19"/>
      <x:c r="F144" s="19"/>
      <x:c r="G144" s="19"/>
      <x:c r="H144" s="19"/>
    </x:row>
    <x:row r="145" spans="5:8">
      <x:c r="E145" s="19"/>
      <x:c r="F145" s="19"/>
      <x:c r="G145" s="19"/>
      <x:c r="H145" s="19"/>
    </x:row>
    <x:row r="146" spans="5:8">
      <x:c r="E146" s="19"/>
      <x:c r="F146" s="19"/>
      <x:c r="G146" s="19"/>
      <x:c r="H146" s="19"/>
    </x:row>
    <x:row r="147" spans="5:8">
      <x:c r="E147" s="19"/>
      <x:c r="F147" s="19"/>
      <x:c r="G147" s="19"/>
      <x:c r="H147" s="19"/>
    </x:row>
    <x:row r="148" spans="5:8">
      <x:c r="E148" s="19"/>
      <x:c r="F148" s="19"/>
      <x:c r="G148" s="19"/>
      <x:c r="H148" s="19"/>
    </x:row>
    <x:row r="149" spans="5:8">
      <x:c r="E149" s="19"/>
      <x:c r="F149" s="19"/>
      <x:c r="G149" s="19"/>
      <x:c r="H149" s="19"/>
    </x:row>
    <x:row r="150" spans="5:8">
      <x:c r="E150" s="19"/>
      <x:c r="F150" s="19"/>
      <x:c r="G150" s="19"/>
      <x:c r="H150" s="19"/>
    </x:row>
    <x:row r="151" spans="5:8">
      <x:c r="E151" s="19"/>
      <x:c r="F151" s="19"/>
      <x:c r="G151" s="19"/>
      <x:c r="H151" s="19"/>
    </x:row>
    <x:row r="152" spans="5:8">
      <x:c r="E152" s="19"/>
      <x:c r="F152" s="19"/>
      <x:c r="G152" s="19"/>
      <x:c r="H152" s="19"/>
    </x:row>
    <x:row r="153" spans="5:8">
      <x:c r="E153" s="19"/>
      <x:c r="F153" s="19"/>
      <x:c r="G153" s="19"/>
      <x:c r="H153" s="19"/>
    </x:row>
    <x:row r="154" spans="5:8">
      <x:c r="E154" s="19"/>
      <x:c r="F154" s="19"/>
      <x:c r="G154" s="19"/>
      <x:c r="H154" s="19"/>
    </x:row>
    <x:row r="155" spans="5:8">
      <x:c r="E155" s="19"/>
      <x:c r="F155" s="19"/>
      <x:c r="G155" s="19"/>
      <x:c r="H155" s="19"/>
    </x:row>
    <x:row r="156" spans="5:8">
      <x:c r="E156" s="19"/>
      <x:c r="F156" s="19"/>
      <x:c r="G156" s="19"/>
      <x:c r="H156" s="19"/>
    </x:row>
    <x:row r="157" spans="5:8">
      <x:c r="E157" s="19"/>
      <x:c r="F157" s="19"/>
      <x:c r="G157" s="19"/>
      <x:c r="H157" s="19"/>
    </x:row>
    <x:row r="158" spans="5:8">
      <x:c r="E158" s="19"/>
      <x:c r="F158" s="19"/>
      <x:c r="G158" s="19"/>
      <x:c r="H158" s="19"/>
    </x:row>
    <x:row r="159" spans="5:8">
      <x:c r="E159" s="19"/>
      <x:c r="F159" s="19"/>
      <x:c r="G159" s="19"/>
      <x:c r="H159" s="19"/>
    </x:row>
    <x:row r="160" spans="5:8">
      <x:c r="E160" s="19"/>
      <x:c r="F160" s="19"/>
      <x:c r="G160" s="19"/>
      <x:c r="H160" s="19"/>
    </x:row>
    <x:row r="161" spans="5:8">
      <x:c r="E161" s="19"/>
      <x:c r="F161" s="19"/>
      <x:c r="G161" s="19"/>
      <x:c r="H161" s="19"/>
    </x:row>
    <x:row r="162" spans="5:8">
      <x:c r="E162" s="19"/>
      <x:c r="F162" s="19"/>
      <x:c r="G162" s="19"/>
      <x:c r="H162" s="19"/>
    </x:row>
    <x:row r="163" spans="5:8">
      <x:c r="E163" s="19"/>
      <x:c r="F163" s="19"/>
      <x:c r="G163" s="19"/>
      <x:c r="H163" s="19"/>
    </x:row>
    <x:row r="164" spans="5:8">
      <x:c r="E164" s="19"/>
      <x:c r="F164" s="19"/>
      <x:c r="G164" s="19"/>
      <x:c r="H164" s="19"/>
    </x:row>
    <x:row r="165" spans="5:8">
      <x:c r="E165" s="19"/>
      <x:c r="F165" s="19"/>
      <x:c r="G165" s="19"/>
      <x:c r="H165" s="19"/>
    </x:row>
    <x:row r="166" spans="5:8">
      <x:c r="E166" s="19"/>
      <x:c r="F166" s="19"/>
      <x:c r="G166" s="19"/>
      <x:c r="H166" s="19"/>
    </x:row>
    <x:row r="167" spans="5:8">
      <x:c r="E167" s="19"/>
      <x:c r="F167" s="19"/>
      <x:c r="G167" s="19"/>
      <x:c r="H167" s="19"/>
    </x:row>
    <x:row r="168" spans="5:8">
      <x:c r="E168" s="19"/>
      <x:c r="F168" s="19"/>
      <x:c r="G168" s="19"/>
      <x:c r="H168" s="19"/>
    </x:row>
    <x:row r="169" spans="5:8">
      <x:c r="E169" s="19"/>
      <x:c r="F169" s="19"/>
      <x:c r="G169" s="19"/>
      <x:c r="H169" s="19"/>
    </x:row>
    <x:row r="170" spans="5:8">
      <x:c r="E170" s="19"/>
      <x:c r="F170" s="19"/>
      <x:c r="G170" s="19"/>
      <x:c r="H170" s="19"/>
    </x:row>
    <x:row r="171" spans="5:8">
      <x:c r="E171" s="19"/>
      <x:c r="F171" s="19"/>
      <x:c r="G171" s="19"/>
      <x:c r="H171" s="19"/>
    </x:row>
    <x:row r="172" spans="5:8">
      <x:c r="E172" s="19"/>
      <x:c r="F172" s="19"/>
      <x:c r="G172" s="19"/>
      <x:c r="H172" s="19"/>
    </x:row>
    <x:row r="173" spans="5:8">
      <x:c r="E173" s="19"/>
      <x:c r="F173" s="19"/>
      <x:c r="G173" s="19"/>
      <x:c r="H173" s="19"/>
    </x:row>
    <x:row r="174" spans="5:8">
      <x:c r="E174" s="19"/>
      <x:c r="F174" s="19"/>
      <x:c r="G174" s="19"/>
      <x:c r="H174" s="19"/>
    </x:row>
    <x:row r="175" spans="5:8">
      <x:c r="E175" s="19"/>
      <x:c r="F175" s="19"/>
      <x:c r="G175" s="19"/>
      <x:c r="H175" s="19"/>
    </x:row>
    <x:row r="176" spans="5:8">
      <x:c r="E176" s="19"/>
      <x:c r="F176" s="19"/>
      <x:c r="G176" s="19"/>
      <x:c r="H176" s="19"/>
    </x:row>
    <x:row r="177" spans="5:8">
      <x:c r="E177" s="19"/>
      <x:c r="F177" s="19"/>
      <x:c r="G177" s="19"/>
      <x:c r="H177" s="19"/>
    </x:row>
    <x:row r="178" spans="5:8">
      <x:c r="E178" s="19"/>
      <x:c r="F178" s="19"/>
      <x:c r="G178" s="19"/>
      <x:c r="H178" s="19"/>
    </x:row>
    <x:row r="179" spans="5:8">
      <x:c r="E179" s="19"/>
      <x:c r="F179" s="19"/>
      <x:c r="G179" s="19"/>
      <x:c r="H179" s="19"/>
    </x:row>
    <x:row r="180" spans="5:8">
      <x:c r="E180" s="19"/>
      <x:c r="F180" s="19"/>
      <x:c r="G180" s="19"/>
      <x:c r="H180" s="19"/>
    </x:row>
    <x:row r="181" spans="5:8">
      <x:c r="E181" s="19"/>
      <x:c r="F181" s="19"/>
      <x:c r="G181" s="19"/>
      <x:c r="H181" s="19"/>
    </x:row>
    <x:row r="182" spans="5:8">
      <x:c r="E182" s="19"/>
      <x:c r="F182" s="19"/>
      <x:c r="G182" s="19"/>
      <x:c r="H182" s="19"/>
    </x:row>
    <x:row r="183" spans="5:8">
      <x:c r="E183" s="19"/>
      <x:c r="F183" s="19"/>
      <x:c r="G183" s="19"/>
      <x:c r="H183" s="19"/>
    </x:row>
    <x:row r="184" spans="5:8">
      <x:c r="E184" s="19"/>
      <x:c r="F184" s="19"/>
      <x:c r="G184" s="19"/>
      <x:c r="H184" s="19"/>
    </x:row>
    <x:row r="185" spans="5:8">
      <x:c r="E185" s="19"/>
      <x:c r="F185" s="19"/>
      <x:c r="G185" s="19"/>
      <x:c r="H185" s="19"/>
    </x:row>
    <x:row r="186" spans="5:8">
      <x:c r="E186" s="19"/>
      <x:c r="F186" s="19"/>
      <x:c r="G186" s="19"/>
      <x:c r="H186" s="19"/>
    </x:row>
    <x:row r="187" spans="5:8">
      <x:c r="E187" s="19"/>
      <x:c r="F187" s="19"/>
      <x:c r="G187" s="19"/>
      <x:c r="H187" s="19"/>
    </x:row>
    <x:row r="188" spans="5:8">
      <x:c r="E188" s="19"/>
      <x:c r="F188" s="19"/>
      <x:c r="G188" s="19"/>
      <x:c r="H188" s="19"/>
    </x:row>
    <x:row r="189" spans="5:8">
      <x:c r="E189" s="19"/>
      <x:c r="F189" s="19"/>
      <x:c r="G189" s="19"/>
      <x:c r="H189" s="19"/>
    </x:row>
    <x:row r="190" spans="5:8">
      <x:c r="E190" s="19"/>
      <x:c r="F190" s="19"/>
      <x:c r="G190" s="19"/>
      <x:c r="H190" s="19"/>
    </x:row>
    <x:row r="191" spans="5:8">
      <x:c r="E191" s="19"/>
      <x:c r="F191" s="19"/>
      <x:c r="G191" s="19"/>
      <x:c r="H191" s="19"/>
    </x:row>
    <x:row r="192" spans="5:8">
      <x:c r="E192" s="19"/>
      <x:c r="F192" s="19"/>
      <x:c r="G192" s="19"/>
      <x:c r="H192" s="19"/>
    </x:row>
    <x:row r="193" spans="5:8">
      <x:c r="E193" s="19"/>
      <x:c r="F193" s="19"/>
      <x:c r="G193" s="19"/>
      <x:c r="H193" s="19"/>
    </x:row>
    <x:row r="194" spans="5:8">
      <x:c r="E194" s="19"/>
      <x:c r="F194" s="19"/>
      <x:c r="G194" s="19"/>
      <x:c r="H194" s="19"/>
    </x:row>
    <x:row r="195" spans="5:8">
      <x:c r="E195" s="19"/>
      <x:c r="F195" s="19"/>
      <x:c r="G195" s="19"/>
      <x:c r="H195" s="19"/>
    </x:row>
    <x:row r="196" spans="5:8">
      <x:c r="E196" s="19"/>
      <x:c r="F196" s="19"/>
      <x:c r="G196" s="19"/>
      <x:c r="H196" s="19"/>
    </x:row>
    <x:row r="197" spans="5:8">
      <x:c r="E197" s="19"/>
      <x:c r="F197" s="19"/>
      <x:c r="G197" s="19"/>
      <x:c r="H197" s="19"/>
    </x:row>
    <x:row r="198" spans="5:8">
      <x:c r="E198" s="19"/>
      <x:c r="F198" s="19"/>
      <x:c r="G198" s="19"/>
      <x:c r="H198" s="19"/>
    </x:row>
    <x:row r="199" spans="5:8">
      <x:c r="E199" s="19"/>
      <x:c r="F199" s="19"/>
      <x:c r="G199" s="19"/>
      <x:c r="H199" s="19"/>
    </x:row>
    <x:row r="200" spans="5:8">
      <x:c r="E200" s="19"/>
      <x:c r="F200" s="19"/>
      <x:c r="G200" s="19"/>
      <x:c r="H200" s="19"/>
    </x:row>
    <x:row r="201" spans="5:8">
      <x:c r="E201" s="19"/>
      <x:c r="F201" s="19"/>
      <x:c r="G201" s="19"/>
      <x:c r="H201" s="19"/>
    </x:row>
    <x:row r="202" spans="5:8">
      <x:c r="E202" s="19"/>
      <x:c r="F202" s="19"/>
      <x:c r="G202" s="19"/>
      <x:c r="H202" s="19"/>
    </x:row>
    <x:row r="203" spans="5:8">
      <x:c r="E203" s="19"/>
      <x:c r="F203" s="19"/>
      <x:c r="G203" s="19"/>
      <x:c r="H203" s="19"/>
    </x:row>
    <x:row r="204" spans="5:8">
      <x:c r="E204" s="19"/>
      <x:c r="F204" s="19"/>
      <x:c r="G204" s="19"/>
      <x:c r="H204" s="19"/>
    </x:row>
    <x:row r="205" spans="5:8">
      <x:c r="E205" s="19"/>
      <x:c r="F205" s="19"/>
      <x:c r="G205" s="19"/>
      <x:c r="H205" s="19"/>
    </x:row>
    <x:row r="206" spans="5:8">
      <x:c r="E206" s="19"/>
      <x:c r="F206" s="19"/>
      <x:c r="G206" s="19"/>
      <x:c r="H206" s="19"/>
    </x:row>
    <x:row r="207" spans="5:8">
      <x:c r="E207" s="19"/>
      <x:c r="F207" s="19"/>
      <x:c r="G207" s="19"/>
      <x:c r="H207" s="19"/>
    </x:row>
    <x:row r="208" spans="5:8">
      <x:c r="E208" s="19"/>
      <x:c r="F208" s="19"/>
      <x:c r="G208" s="19"/>
      <x:c r="H208" s="19"/>
    </x:row>
    <x:row r="209" spans="5:8">
      <x:c r="E209" s="19"/>
      <x:c r="F209" s="19"/>
      <x:c r="G209" s="19"/>
      <x:c r="H209" s="19"/>
    </x:row>
    <x:row r="210" spans="5:8">
      <x:c r="E210" s="19"/>
      <x:c r="F210" s="19"/>
      <x:c r="G210" s="19"/>
      <x:c r="H210" s="19"/>
    </x:row>
    <x:row r="211" spans="5:8">
      <x:c r="E211" s="19"/>
      <x:c r="F211" s="19"/>
      <x:c r="G211" s="19"/>
      <x:c r="H211" s="19"/>
    </x:row>
    <x:row r="212" spans="5:8">
      <x:c r="E212" s="19"/>
      <x:c r="F212" s="19"/>
      <x:c r="G212" s="19"/>
      <x:c r="H212" s="19"/>
    </x:row>
    <x:row r="213" spans="5:8">
      <x:c r="E213" s="19"/>
      <x:c r="F213" s="19"/>
      <x:c r="G213" s="19"/>
      <x:c r="H213" s="19"/>
    </x:row>
    <x:row r="214" spans="5:8">
      <x:c r="E214" s="19"/>
      <x:c r="F214" s="19"/>
      <x:c r="G214" s="19"/>
      <x:c r="H214" s="19"/>
    </x:row>
    <x:row r="215" spans="5:8">
      <x:c r="E215" s="19"/>
      <x:c r="F215" s="19"/>
      <x:c r="G215" s="19"/>
      <x:c r="H215" s="19"/>
    </x:row>
    <x:row r="216" spans="5:8">
      <x:c r="E216" s="19"/>
      <x:c r="F216" s="19"/>
      <x:c r="G216" s="19"/>
      <x:c r="H216" s="19"/>
    </x:row>
    <x:row r="217" spans="5:8">
      <x:c r="E217" s="19"/>
      <x:c r="F217" s="19"/>
      <x:c r="G217" s="19"/>
      <x:c r="H217" s="19"/>
    </x:row>
    <x:row r="218" spans="5:8">
      <x:c r="E218" s="19"/>
      <x:c r="F218" s="19"/>
      <x:c r="G218" s="19"/>
      <x:c r="H218" s="19"/>
    </x:row>
    <x:row r="219" spans="5:8">
      <x:c r="E219" s="19"/>
      <x:c r="F219" s="19"/>
      <x:c r="G219" s="19"/>
      <x:c r="H219" s="19"/>
    </x:row>
    <x:row r="220" spans="5:8">
      <x:c r="E220" s="19"/>
      <x:c r="F220" s="19"/>
      <x:c r="G220" s="19"/>
      <x:c r="H220" s="19"/>
    </x:row>
    <x:row r="221" spans="5:8">
      <x:c r="E221" s="19"/>
      <x:c r="F221" s="19"/>
      <x:c r="G221" s="19"/>
      <x:c r="H221" s="19"/>
    </x:row>
    <x:row r="222" spans="5:8">
      <x:c r="E222" s="19"/>
      <x:c r="F222" s="19"/>
      <x:c r="G222" s="19"/>
      <x:c r="H222" s="19"/>
    </x:row>
    <x:row r="223" spans="5:8">
      <x:c r="E223" s="19"/>
      <x:c r="F223" s="19"/>
      <x:c r="G223" s="19"/>
      <x:c r="H223" s="19"/>
    </x:row>
    <x:row r="224" spans="5:8">
      <x:c r="E224" s="19"/>
      <x:c r="F224" s="19"/>
      <x:c r="G224" s="19"/>
      <x:c r="H224" s="19"/>
    </x:row>
    <x:row r="225" spans="5:8">
      <x:c r="E225" s="19"/>
      <x:c r="F225" s="19"/>
      <x:c r="G225" s="19"/>
      <x:c r="H225" s="19"/>
    </x:row>
    <x:row r="226" spans="5:8">
      <x:c r="E226" s="19"/>
      <x:c r="F226" s="19"/>
      <x:c r="G226" s="19"/>
      <x:c r="H226" s="19"/>
    </x:row>
    <x:row r="227" spans="5:8">
      <x:c r="E227" s="19"/>
      <x:c r="F227" s="19"/>
      <x:c r="G227" s="19"/>
      <x:c r="H227" s="19"/>
    </x:row>
    <x:row r="228" spans="5:8">
      <x:c r="E228" s="19"/>
      <x:c r="F228" s="19"/>
      <x:c r="G228" s="19"/>
      <x:c r="H228" s="19"/>
    </x:row>
    <x:row r="229" spans="5:8">
      <x:c r="E229" s="19"/>
      <x:c r="F229" s="19"/>
      <x:c r="G229" s="19"/>
      <x:c r="H229" s="19"/>
    </x:row>
    <x:row r="230" spans="5:8">
      <x:c r="E230" s="19"/>
      <x:c r="F230" s="19"/>
      <x:c r="G230" s="19"/>
      <x:c r="H230" s="19"/>
    </x:row>
    <x:row r="231" spans="5:8">
      <x:c r="E231" s="19"/>
      <x:c r="F231" s="19"/>
      <x:c r="G231" s="19"/>
      <x:c r="H231" s="19"/>
    </x:row>
    <x:row r="232" spans="5:8">
      <x:c r="E232" s="19"/>
      <x:c r="F232" s="19"/>
      <x:c r="G232" s="19"/>
      <x:c r="H232" s="19"/>
    </x:row>
    <x:row r="233" spans="5:8">
      <x:c r="E233" s="19"/>
      <x:c r="F233" s="19"/>
      <x:c r="G233" s="19"/>
      <x:c r="H233" s="19"/>
    </x:row>
    <x:row r="234" spans="5:8">
      <x:c r="E234" s="19"/>
      <x:c r="F234" s="19"/>
      <x:c r="G234" s="19"/>
      <x:c r="H234" s="19"/>
    </x:row>
    <x:row r="235" spans="5:8">
      <x:c r="E235" s="19"/>
      <x:c r="F235" s="19"/>
      <x:c r="G235" s="19"/>
      <x:c r="H235" s="19"/>
    </x:row>
    <x:row r="236" spans="5:8">
      <x:c r="E236" s="19"/>
      <x:c r="F236" s="19"/>
      <x:c r="G236" s="19"/>
      <x:c r="H236" s="19"/>
    </x:row>
    <x:row r="237" spans="5:8">
      <x:c r="E237" s="19"/>
      <x:c r="F237" s="19"/>
      <x:c r="G237" s="19"/>
      <x:c r="H237" s="19"/>
    </x:row>
  </x:sheetData>
  <x:autoFilter ref="A1:I91" xr:uid="{00000000-0009-0000-0000-000000000000}"/>
  <x:conditionalFormatting sqref="E2 E3:H237">
    <x:cfRule type="expression" dxfId="5" priority="7">
      <x:formula>SEARCH("Total",$B2)</x:formula>
    </x:cfRule>
    <x:cfRule type="expression" dxfId="4" priority="8">
      <x:formula>SEARCH("Total",$B2)</x:formula>
    </x:cfRule>
  </x:conditionalFormatting>
  <x:conditionalFormatting sqref="F2:H2">
    <x:cfRule type="expression" dxfId="3" priority="5">
      <x:formula>SEARCH("Total",$B2)</x:formula>
    </x:cfRule>
    <x:cfRule type="expression" dxfId="2" priority="6">
      <x:formula>SEARCH("Total",$B2)</x:formula>
    </x:cfRule>
  </x:conditionalFormatting>
  <x:pageMargins left="0.7" right="0.7" top="2.5" bottom="0.75" header="1.5" footer="0.3"/>
  <x:pageSetup scale="45" fitToHeight="0" orientation="landscape" r:id="rId1"/>
  <x:headerFooter>
    <x:oddHeader>&amp;C
&amp;"Arial,Bold"&amp;12 2025 RATE CASE
ONCOR ELECTRIC DELIVERY COMPANY LLC
AFUDC ALLOCATION - GENERATED
FOR THE TEST YEAR ENDING DECEMBER 31, 2024
SPONSOR: W. A. LEDBETTER&amp;R&amp;"Arial,Bold"&amp;12WP/II-B-15A/01
Page &amp;P of &amp;N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J111"/>
  <x:sheetViews>
    <x:sheetView zoomScaleNormal="100" workbookViewId="0">
      <x:pane ySplit="1" topLeftCell="A2" activePane="bottomLeft" state="frozen"/>
      <x:selection pane="bottomLeft" activeCell="A2" sqref="A2"/>
    </x:sheetView>
  </x:sheetViews>
  <x:sheetFormatPr defaultColWidth="9.125" defaultRowHeight="15.65" outlineLevelRow="2"/>
  <x:cols>
    <x:col min="1" max="1" width="15" style="7" bestFit="1" customWidth="1"/>
    <x:col min="2" max="2" width="17.375" style="8" bestFit="1" customWidth="1"/>
    <x:col min="3" max="3" width="16.875" style="7" bestFit="1" customWidth="1"/>
    <x:col min="4" max="4" width="24.625" style="9" bestFit="1" customWidth="1"/>
    <x:col min="5" max="5" width="22.125" style="9" bestFit="1" customWidth="1"/>
    <x:col min="6" max="6" width="23.375" style="9" bestFit="1" customWidth="1"/>
    <x:col min="7" max="7" width="21.125" style="9" bestFit="1" customWidth="1"/>
    <x:col min="8" max="8" width="31.125" style="9" customWidth="1"/>
    <x:col min="9" max="9" width="108.375" style="5" bestFit="1" customWidth="1"/>
    <x:col min="10" max="16384" width="9.125" style="6"/>
  </x:cols>
  <x:sheetData>
    <x:row r="1" spans="1:10" ht="31.25">
      <x:c r="A1" s="1" t="s">
        <x:v>0</x:v>
      </x:c>
      <x:c r="B1" s="2" t="s">
        <x:v>7</x:v>
      </x:c>
      <x:c r="C1" s="1" t="s">
        <x:v>21</x:v>
      </x:c>
      <x:c r="D1" s="3" t="s">
        <x:v>23</x:v>
      </x:c>
      <x:c r="E1" s="3" t="s">
        <x:v>8</x:v>
      </x:c>
      <x:c r="F1" s="3" t="s">
        <x:v>9</x:v>
      </x:c>
      <x:c r="G1" s="3" t="s">
        <x:v>10</x:v>
      </x:c>
      <x:c r="H1" s="3" t="s">
        <x:v>11</x:v>
      </x:c>
      <x:c r="I1" s="4" t="s">
        <x:v>27</x:v>
      </x:c>
      <x:c r="J1" s="5"/>
    </x:row>
    <x:row r="2" spans="1:10" outlineLevel="2">
      <x:c r="A2" s="7" t="s">
        <x:v>12</x:v>
      </x:c>
      <x:c r="B2" s="8">
        <x:v>2020</x:v>
      </x:c>
      <x:c r="C2" s="7" t="s">
        <x:v>13</x:v>
      </x:c>
      <x:c r="D2" s="12"/>
      <x:c r="E2" s="19">
        <x:v>584.9</x:v>
      </x:c>
      <x:c r="F2" s="19">
        <x:v>186.59</x:v>
      </x:c>
      <x:c r="G2" s="19"/>
      <x:c r="H2" s="19"/>
      <x:c r="I2" s="7" t="s">
        <x:v>41</x:v>
      </x:c>
      <x:c r="J2" s="5"/>
    </x:row>
    <x:row r="3" spans="1:10" outlineLevel="2">
      <x:c r="A3" s="7" t="s">
        <x:v>12</x:v>
      </x:c>
      <x:c r="B3" s="8">
        <x:v>2020</x:v>
      </x:c>
      <x:c r="C3" s="7" t="s">
        <x:v>14</x:v>
      </x:c>
      <x:c r="D3" s="12"/>
      <x:c r="E3" s="19"/>
      <x:c r="F3" s="19">
        <x:v>1923.65</x:v>
      </x:c>
      <x:c r="G3" s="19"/>
      <x:c r="H3" s="19"/>
      <x:c r="I3" s="5" t="s">
        <x:v>22</x:v>
      </x:c>
      <x:c r="J3" s="5"/>
    </x:row>
    <x:row r="4" spans="1:10" outlineLevel="2">
      <x:c r="A4" s="7" t="s">
        <x:v>12</x:v>
      </x:c>
      <x:c r="B4" s="8">
        <x:v>2020</x:v>
      </x:c>
      <x:c r="C4" s="7" t="s">
        <x:v>15</x:v>
      </x:c>
      <x:c r="D4" s="12"/>
      <x:c r="E4" s="19">
        <x:v>133.38999999999999</x:v>
      </x:c>
      <x:c r="F4" s="19">
        <x:v>1080.02</x:v>
      </x:c>
      <x:c r="G4" s="19"/>
      <x:c r="H4" s="19"/>
      <x:c r="I4" s="5" t="s">
        <x:v>42</x:v>
      </x:c>
      <x:c r="J4" s="5"/>
    </x:row>
    <x:row r="5" spans="1:10" outlineLevel="1">
      <x:c r="B5" s="10" t="s">
        <x:v>25</x:v>
      </x:c>
      <x:c r="D5" s="12"/>
      <x:c r="E5" s="19">
        <x:f>SUBTOTAL(9,E2:E4)</x:f>
        <x:v>718.29</x:v>
      </x:c>
      <x:c r="F5" s="19">
        <x:f>SUBTOTAL(9,F2:F4)</x:f>
        <x:v>3190.26</x:v>
      </x:c>
      <x:c r="G5" s="19">
        <x:f>SUBTOTAL(9,G2:G4)</x:f>
        <x:v>0</x:v>
      </x:c>
      <x:c r="H5" s="19">
        <x:f>SUBTOTAL(9,H2:H4)</x:f>
        <x:v>0</x:v>
      </x:c>
      <x:c r="J5" s="5"/>
    </x:row>
    <x:row r="6" spans="1:10" outlineLevel="2">
      <x:c r="A6" s="7" t="s">
        <x:v>12</x:v>
      </x:c>
      <x:c r="B6" s="8">
        <x:v>2021</x:v>
      </x:c>
      <x:c r="C6" s="7" t="s">
        <x:v>13</x:v>
      </x:c>
      <x:c r="D6" s="12"/>
      <x:c r="E6" s="19">
        <x:v>1381.09</x:v>
      </x:c>
      <x:c r="F6" s="19">
        <x:v>430.48</x:v>
      </x:c>
      <x:c r="G6" s="19"/>
      <x:c r="H6" s="19"/>
      <x:c r="I6" s="7" t="s">
        <x:v>41</x:v>
      </x:c>
      <x:c r="J6" s="5"/>
    </x:row>
    <x:row r="7" spans="1:10" outlineLevel="2">
      <x:c r="A7" s="7" t="s">
        <x:v>12</x:v>
      </x:c>
      <x:c r="B7" s="8">
        <x:v>2021</x:v>
      </x:c>
      <x:c r="C7" s="7" t="s">
        <x:v>14</x:v>
      </x:c>
      <x:c r="D7" s="12"/>
      <x:c r="E7" s="19"/>
      <x:c r="F7" s="19">
        <x:v>2306.94</x:v>
      </x:c>
      <x:c r="G7" s="19"/>
      <x:c r="H7" s="19"/>
      <x:c r="I7" s="5" t="s">
        <x:v>22</x:v>
      </x:c>
      <x:c r="J7" s="5"/>
    </x:row>
    <x:row r="8" spans="1:10" outlineLevel="2">
      <x:c r="A8" s="7" t="s">
        <x:v>12</x:v>
      </x:c>
      <x:c r="B8" s="8">
        <x:v>2021</x:v>
      </x:c>
      <x:c r="C8" s="7" t="s">
        <x:v>15</x:v>
      </x:c>
      <x:c r="D8" s="12"/>
      <x:c r="E8" s="19">
        <x:v>13.58</x:v>
      </x:c>
      <x:c r="F8" s="19">
        <x:v>109.95</x:v>
      </x:c>
      <x:c r="G8" s="19"/>
      <x:c r="H8" s="19"/>
      <x:c r="I8" s="5" t="s">
        <x:v>42</x:v>
      </x:c>
      <x:c r="J8" s="5"/>
    </x:row>
    <x:row r="9" spans="1:10" outlineLevel="1">
      <x:c r="B9" s="10" t="s">
        <x:v>26</x:v>
      </x:c>
      <x:c r="D9" s="12"/>
      <x:c r="E9" s="19">
        <x:f>SUBTOTAL(9,E6:E8)</x:f>
        <x:v>1394.6699999999998</x:v>
      </x:c>
      <x:c r="F9" s="19">
        <x:f>SUBTOTAL(9,F6:F8)</x:f>
        <x:v>2847.37</x:v>
      </x:c>
      <x:c r="G9" s="19">
        <x:f>SUBTOTAL(9,G6:G8)</x:f>
        <x:v>0</x:v>
      </x:c>
      <x:c r="H9" s="19">
        <x:f>SUBTOTAL(9,H6:H8)</x:f>
        <x:v>0</x:v>
      </x:c>
      <x:c r="J9" s="5"/>
    </x:row>
    <x:row r="10" spans="1:10" outlineLevel="2">
      <x:c r="A10" s="7" t="s">
        <x:v>12</x:v>
      </x:c>
      <x:c r="B10" s="8">
        <x:v>2022</x:v>
      </x:c>
      <x:c r="C10" s="7" t="s">
        <x:v>13</x:v>
      </x:c>
      <x:c r="E10" s="19">
        <x:v>818.97</x:v>
      </x:c>
      <x:c r="F10" s="19">
        <x:v>473.49</x:v>
      </x:c>
      <x:c r="G10" s="19"/>
      <x:c r="H10" s="19"/>
      <x:c r="I10" s="7" t="s">
        <x:v>28</x:v>
      </x:c>
    </x:row>
    <x:row r="11" spans="1:10" outlineLevel="2">
      <x:c r="A11" s="7" t="s">
        <x:v>12</x:v>
      </x:c>
      <x:c r="B11" s="8">
        <x:v>2022</x:v>
      </x:c>
      <x:c r="C11" s="7" t="s">
        <x:v>14</x:v>
      </x:c>
      <x:c r="E11" s="19"/>
      <x:c r="F11" s="19">
        <x:v>126.03</x:v>
      </x:c>
      <x:c r="G11" s="19"/>
      <x:c r="H11" s="19"/>
      <x:c r="I11" s="5" t="s">
        <x:v>22</x:v>
      </x:c>
    </x:row>
    <x:row r="12" spans="1:10" outlineLevel="2">
      <x:c r="A12" s="7" t="s">
        <x:v>12</x:v>
      </x:c>
      <x:c r="B12" s="8">
        <x:v>2022</x:v>
      </x:c>
      <x:c r="C12" s="7" t="s">
        <x:v>15</x:v>
      </x:c>
      <x:c r="E12" s="19">
        <x:v>891.99</x:v>
      </x:c>
      <x:c r="F12" s="19">
        <x:v>5112.3100000000004</x:v>
      </x:c>
      <x:c r="G12" s="19"/>
      <x:c r="H12" s="19"/>
      <x:c r="I12" s="5" t="s">
        <x:v>40</x:v>
      </x:c>
    </x:row>
    <x:row r="13" spans="1:10" outlineLevel="1">
      <x:c r="B13" s="10" t="s">
        <x:v>37</x:v>
      </x:c>
      <x:c r="E13" s="19">
        <x:f>SUBTOTAL(9,E10:E12)</x:f>
        <x:v>1710.96</x:v>
      </x:c>
      <x:c r="F13" s="19">
        <x:f>SUBTOTAL(9,F10:F12)</x:f>
        <x:v>5711.83</x:v>
      </x:c>
      <x:c r="G13" s="19">
        <x:f>SUBTOTAL(9,G10:G12)</x:f>
        <x:v>0</x:v>
      </x:c>
      <x:c r="H13" s="19">
        <x:f>SUBTOTAL(9,H10:H12)</x:f>
        <x:v>0</x:v>
      </x:c>
    </x:row>
    <x:row r="14" spans="1:10" outlineLevel="2">
      <x:c r="A14" s="7" t="s">
        <x:v>12</x:v>
      </x:c>
      <x:c r="B14" s="8">
        <x:v>2023</x:v>
      </x:c>
      <x:c r="C14" s="7" t="s">
        <x:v>13</x:v>
      </x:c>
      <x:c r="E14" s="19">
        <x:v>1385.82</x:v>
      </x:c>
      <x:c r="F14" s="19">
        <x:v>801.2</x:v>
      </x:c>
      <x:c r="G14" s="19"/>
      <x:c r="H14" s="19"/>
      <x:c r="I14" s="7" t="s">
        <x:v>28</x:v>
      </x:c>
    </x:row>
    <x:row r="15" spans="1:10" outlineLevel="2">
      <x:c r="A15" s="7" t="s">
        <x:v>12</x:v>
      </x:c>
      <x:c r="B15" s="8">
        <x:v>2023</x:v>
      </x:c>
      <x:c r="C15" s="7" t="s">
        <x:v>14</x:v>
      </x:c>
      <x:c r="E15" s="19"/>
      <x:c r="F15" s="19">
        <x:v>499.63</x:v>
      </x:c>
      <x:c r="G15" s="19"/>
      <x:c r="H15" s="19"/>
      <x:c r="I15" s="5" t="s">
        <x:v>22</x:v>
      </x:c>
    </x:row>
    <x:row r="16" spans="1:10" outlineLevel="2">
      <x:c r="A16" s="7" t="s">
        <x:v>12</x:v>
      </x:c>
      <x:c r="B16" s="8">
        <x:v>2023</x:v>
      </x:c>
      <x:c r="C16" s="7" t="s">
        <x:v>15</x:v>
      </x:c>
      <x:c r="E16" s="19">
        <x:v>573.11</x:v>
      </x:c>
      <x:c r="F16" s="19">
        <x:v>3284.67</x:v>
      </x:c>
      <x:c r="G16" s="19"/>
      <x:c r="H16" s="19"/>
      <x:c r="I16" s="5" t="s">
        <x:v>40</x:v>
      </x:c>
    </x:row>
    <x:row r="17" spans="1:9" outlineLevel="1">
      <x:c r="B17" s="10" t="s">
        <x:v>38</x:v>
      </x:c>
      <x:c r="E17" s="19">
        <x:f>SUBTOTAL(9,E14:E16)</x:f>
        <x:v>1958.9299999999998</x:v>
      </x:c>
      <x:c r="F17" s="19">
        <x:f>SUBTOTAL(9,F14:F16)</x:f>
        <x:v>4585.5</x:v>
      </x:c>
      <x:c r="G17" s="19">
        <x:f>SUBTOTAL(9,G14:G16)</x:f>
        <x:v>0</x:v>
      </x:c>
      <x:c r="H17" s="19">
        <x:f>SUBTOTAL(9,H14:H16)</x:f>
        <x:v>0</x:v>
      </x:c>
    </x:row>
    <x:row r="18" spans="1:9" outlineLevel="2">
      <x:c r="A18" s="7" t="s">
        <x:v>12</x:v>
      </x:c>
      <x:c r="B18" s="8">
        <x:v>2024</x:v>
      </x:c>
      <x:c r="C18" s="7" t="s">
        <x:v>13</x:v>
      </x:c>
      <x:c r="E18" s="19">
        <x:v>1154.1099999999999</x:v>
      </x:c>
      <x:c r="F18" s="19">
        <x:v>667.25</x:v>
      </x:c>
      <x:c r="G18" s="19"/>
      <x:c r="H18" s="19"/>
      <x:c r="I18" s="7" t="s">
        <x:v>28</x:v>
      </x:c>
    </x:row>
    <x:row r="19" spans="1:9" outlineLevel="2">
      <x:c r="A19" s="7" t="s">
        <x:v>12</x:v>
      </x:c>
      <x:c r="B19" s="8">
        <x:v>2024</x:v>
      </x:c>
      <x:c r="C19" s="7" t="s">
        <x:v>29</x:v>
      </x:c>
      <x:c r="E19" s="19"/>
      <x:c r="F19" s="19">
        <x:v>1960.75</x:v>
      </x:c>
      <x:c r="G19" s="19"/>
      <x:c r="H19" s="19"/>
      <x:c r="I19" s="5" t="s">
        <x:v>22</x:v>
      </x:c>
    </x:row>
    <x:row r="20" spans="1:9" outlineLevel="2">
      <x:c r="A20" s="7" t="s">
        <x:v>12</x:v>
      </x:c>
      <x:c r="B20" s="8">
        <x:v>2024</x:v>
      </x:c>
      <x:c r="C20" s="7" t="s">
        <x:v>14</x:v>
      </x:c>
      <x:c r="E20" s="19"/>
      <x:c r="F20" s="19">
        <x:v>130.41999999999999</x:v>
      </x:c>
      <x:c r="G20" s="19"/>
      <x:c r="H20" s="19"/>
      <x:c r="I20" s="5" t="s">
        <x:v>22</x:v>
      </x:c>
    </x:row>
    <x:row r="21" spans="1:9" outlineLevel="2">
      <x:c r="A21" s="7" t="s">
        <x:v>12</x:v>
      </x:c>
      <x:c r="B21" s="8">
        <x:v>2024</x:v>
      </x:c>
      <x:c r="C21" s="7" t="s">
        <x:v>15</x:v>
      </x:c>
      <x:c r="E21" s="19">
        <x:v>573.16999999999996</x:v>
      </x:c>
      <x:c r="F21" s="19">
        <x:v>3285</x:v>
      </x:c>
      <x:c r="G21" s="19"/>
      <x:c r="H21" s="19"/>
      <x:c r="I21" s="5" t="s">
        <x:v>40</x:v>
      </x:c>
    </x:row>
    <x:row r="22" spans="1:9" outlineLevel="1">
      <x:c r="B22" s="10" t="s">
        <x:v>39</x:v>
      </x:c>
      <x:c r="E22" s="19">
        <x:f>SUBTOTAL(9,E18:E21)</x:f>
        <x:v>1727.2799999999997</x:v>
      </x:c>
      <x:c r="F22" s="19">
        <x:f>SUBTOTAL(9,F18:F21)</x:f>
        <x:v>6043.42</x:v>
      </x:c>
      <x:c r="G22" s="19">
        <x:f>SUBTOTAL(9,G18:G21)</x:f>
        <x:v>0</x:v>
      </x:c>
      <x:c r="H22" s="19">
        <x:f>SUBTOTAL(9,H18:H21)</x:f>
        <x:v>0</x:v>
      </x:c>
    </x:row>
    <x:row r="23" spans="1:9" outlineLevel="2">
      <x:c r="A23" s="7" t="s">
        <x:v>16</x:v>
      </x:c>
      <x:c r="B23" s="8">
        <x:v>2020</x:v>
      </x:c>
      <x:c r="C23" s="7" t="s">
        <x:v>17</x:v>
      </x:c>
      <x:c r="E23" s="19">
        <x:v>7653699.0499999998</x:v>
      </x:c>
      <x:c r="F23" s="19"/>
      <x:c r="G23" s="19"/>
      <x:c r="H23" s="19"/>
      <x:c r="I23" s="5" t="s">
        <x:v>22</x:v>
      </x:c>
    </x:row>
    <x:row r="24" spans="1:9" outlineLevel="2">
      <x:c r="A24" s="7" t="s">
        <x:v>16</x:v>
      </x:c>
      <x:c r="B24" s="8">
        <x:v>2020</x:v>
      </x:c>
      <x:c r="C24" s="7" t="s">
        <x:v>13</x:v>
      </x:c>
      <x:c r="E24" s="19">
        <x:v>3465130.08</x:v>
      </x:c>
      <x:c r="F24" s="19">
        <x:v>1281057.49</x:v>
      </x:c>
      <x:c r="G24" s="19"/>
      <x:c r="H24" s="19"/>
      <x:c r="I24" s="5" t="s">
        <x:v>41</x:v>
      </x:c>
    </x:row>
    <x:row r="25" spans="1:9" outlineLevel="2">
      <x:c r="A25" s="7" t="s">
        <x:v>16</x:v>
      </x:c>
      <x:c r="B25" s="8">
        <x:v>2020</x:v>
      </x:c>
      <x:c r="C25" s="7" t="s">
        <x:v>19</x:v>
      </x:c>
      <x:c r="E25" s="19">
        <x:v>790.51</x:v>
      </x:c>
      <x:c r="F25" s="19"/>
      <x:c r="G25" s="19"/>
      <x:c r="H25" s="19"/>
      <x:c r="I25" s="5" t="s">
        <x:v>22</x:v>
      </x:c>
    </x:row>
    <x:row r="26" spans="1:9" outlineLevel="2">
      <x:c r="A26" s="7" t="s">
        <x:v>16</x:v>
      </x:c>
      <x:c r="B26" s="8">
        <x:v>2020</x:v>
      </x:c>
      <x:c r="C26" s="7" t="s">
        <x:v>18</x:v>
      </x:c>
      <x:c r="E26" s="19">
        <x:v>1001043.96</x:v>
      </x:c>
      <x:c r="F26" s="19"/>
      <x:c r="G26" s="19"/>
      <x:c r="H26" s="19"/>
      <x:c r="I26" s="5" t="s">
        <x:v>22</x:v>
      </x:c>
    </x:row>
    <x:row r="27" spans="1:9" outlineLevel="2">
      <x:c r="A27" s="7" t="s">
        <x:v>16</x:v>
      </x:c>
      <x:c r="B27" s="8">
        <x:v>2020</x:v>
      </x:c>
      <x:c r="C27" s="7" t="s">
        <x:v>1</x:v>
      </x:c>
      <x:c r="D27" s="9" t="s">
        <x:v>4</x:v>
      </x:c>
      <x:c r="E27" s="19"/>
      <x:c r="F27" s="19"/>
      <x:c r="G27" s="19">
        <x:v>189785.17</x:v>
      </x:c>
      <x:c r="H27" s="19"/>
      <x:c r="I27" s="5" t="s">
        <x:v>22</x:v>
      </x:c>
    </x:row>
    <x:row r="28" spans="1:9" outlineLevel="2">
      <x:c r="A28" s="7" t="s">
        <x:v>16</x:v>
      </x:c>
      <x:c r="B28" s="8">
        <x:v>2020</x:v>
      </x:c>
      <x:c r="C28" s="7" t="s">
        <x:v>1</x:v>
      </x:c>
      <x:c r="D28" s="9" t="s">
        <x:v>2</x:v>
      </x:c>
      <x:c r="E28" s="19">
        <x:v>269302.71000000002</x:v>
      </x:c>
      <x:c r="F28" s="19"/>
      <x:c r="G28" s="19"/>
      <x:c r="H28" s="19"/>
      <x:c r="I28" s="5" t="s">
        <x:v>22</x:v>
      </x:c>
    </x:row>
    <x:row r="29" spans="1:9" outlineLevel="2">
      <x:c r="A29" s="7" t="s">
        <x:v>16</x:v>
      </x:c>
      <x:c r="B29" s="8">
        <x:v>2020</x:v>
      </x:c>
      <x:c r="C29" s="7" t="s">
        <x:v>1</x:v>
      </x:c>
      <x:c r="D29" s="9" t="s">
        <x:v>3</x:v>
      </x:c>
      <x:c r="E29" s="19">
        <x:v>499615.21</x:v>
      </x:c>
      <x:c r="F29" s="19">
        <x:v>464038.92</x:v>
      </x:c>
      <x:c r="G29" s="19">
        <x:v>14581.09</x:v>
      </x:c>
      <x:c r="H29" s="19">
        <x:v>1018.42</x:v>
      </x:c>
      <x:c r="I29" s="5" t="s">
        <x:v>43</x:v>
      </x:c>
    </x:row>
    <x:row r="30" spans="1:9" outlineLevel="2">
      <x:c r="A30" s="7" t="s">
        <x:v>16</x:v>
      </x:c>
      <x:c r="B30" s="8">
        <x:v>2020</x:v>
      </x:c>
      <x:c r="C30" s="7" t="s">
        <x:v>1</x:v>
      </x:c>
      <x:c r="D30" s="9" t="s">
        <x:v>5</x:v>
      </x:c>
      <x:c r="E30" s="19"/>
      <x:c r="F30" s="19"/>
      <x:c r="G30" s="19"/>
      <x:c r="H30" s="19">
        <x:v>435535.57</x:v>
      </x:c>
      <x:c r="I30" s="5" t="s">
        <x:v>22</x:v>
      </x:c>
    </x:row>
    <x:row r="31" spans="1:9" outlineLevel="2">
      <x:c r="A31" s="7" t="s">
        <x:v>16</x:v>
      </x:c>
      <x:c r="B31" s="8">
        <x:v>2020</x:v>
      </x:c>
      <x:c r="C31" s="7" t="s">
        <x:v>1</x:v>
      </x:c>
      <x:c r="D31" s="9" t="s">
        <x:v>6</x:v>
      </x:c>
      <x:c r="E31" s="19"/>
      <x:c r="F31" s="19">
        <x:v>2305771.46</x:v>
      </x:c>
      <x:c r="G31" s="19"/>
      <x:c r="H31" s="19"/>
      <x:c r="I31" s="5" t="s">
        <x:v>22</x:v>
      </x:c>
    </x:row>
    <x:row r="32" spans="1:9" outlineLevel="2">
      <x:c r="A32" s="7" t="s">
        <x:v>16</x:v>
      </x:c>
      <x:c r="B32" s="8">
        <x:v>2020</x:v>
      </x:c>
      <x:c r="C32" s="7" t="s">
        <x:v>14</x:v>
      </x:c>
      <x:c r="E32" s="19"/>
      <x:c r="F32" s="19">
        <x:v>16118773.550000001</x:v>
      </x:c>
      <x:c r="G32" s="19"/>
      <x:c r="H32" s="19"/>
      <x:c r="I32" s="5" t="s">
        <x:v>22</x:v>
      </x:c>
    </x:row>
    <x:row r="33" spans="1:9" outlineLevel="2">
      <x:c r="A33" s="7" t="s">
        <x:v>16</x:v>
      </x:c>
      <x:c r="B33" s="8">
        <x:v>2020</x:v>
      </x:c>
      <x:c r="C33" s="7" t="s">
        <x:v>15</x:v>
      </x:c>
      <x:c r="E33" s="19">
        <x:v>464212.13</x:v>
      </x:c>
      <x:c r="F33" s="19">
        <x:v>7703208.7999999998</x:v>
      </x:c>
      <x:c r="G33" s="19"/>
      <x:c r="H33" s="19"/>
      <x:c r="I33" s="5" t="s">
        <x:v>42</x:v>
      </x:c>
    </x:row>
    <x:row r="34" spans="1:9" outlineLevel="2">
      <x:c r="A34" s="7" t="s">
        <x:v>16</x:v>
      </x:c>
      <x:c r="B34" s="8">
        <x:v>2020</x:v>
      </x:c>
      <x:c r="C34" s="7" t="s">
        <x:v>20</x:v>
      </x:c>
      <x:c r="E34" s="19"/>
      <x:c r="F34" s="19">
        <x:v>111.26</x:v>
      </x:c>
      <x:c r="G34" s="19"/>
      <x:c r="H34" s="19"/>
      <x:c r="I34" s="5" t="s">
        <x:v>22</x:v>
      </x:c>
    </x:row>
    <x:row r="35" spans="1:9" outlineLevel="1">
      <x:c r="B35" s="10" t="s">
        <x:v>25</x:v>
      </x:c>
      <x:c r="E35" s="19">
        <x:f>SUBTOTAL(9,E23:E34)</x:f>
        <x:v>13353793.65</x:v>
      </x:c>
      <x:c r="F35" s="19">
        <x:f>SUBTOTAL(9,F23:F34)</x:f>
        <x:v>27872961.480000004</x:v>
      </x:c>
      <x:c r="G35" s="19">
        <x:f>SUBTOTAL(9,G23:G34)</x:f>
        <x:v>204366.26</x:v>
      </x:c>
      <x:c r="H35" s="19">
        <x:f>SUBTOTAL(9,H23:H34)</x:f>
        <x:v>436553.99</x:v>
      </x:c>
    </x:row>
    <x:row r="36" spans="1:9" outlineLevel="2">
      <x:c r="A36" s="7" t="s">
        <x:v>16</x:v>
      </x:c>
      <x:c r="B36" s="8">
        <x:v>2021</x:v>
      </x:c>
      <x:c r="C36" s="7" t="s">
        <x:v>17</x:v>
      </x:c>
      <x:c r="E36" s="19">
        <x:v>8179902.5599999996</x:v>
      </x:c>
      <x:c r="F36" s="19"/>
      <x:c r="G36" s="19"/>
      <x:c r="H36" s="19"/>
      <x:c r="I36" s="5" t="s">
        <x:v>22</x:v>
      </x:c>
    </x:row>
    <x:row r="37" spans="1:9" outlineLevel="2">
      <x:c r="A37" s="7" t="s">
        <x:v>16</x:v>
      </x:c>
      <x:c r="B37" s="8">
        <x:v>2021</x:v>
      </x:c>
      <x:c r="C37" s="7" t="s">
        <x:v>13</x:v>
      </x:c>
      <x:c r="E37" s="19">
        <x:v>4956557.2300000004</x:v>
      </x:c>
      <x:c r="F37" s="19">
        <x:v>1521928.49</x:v>
      </x:c>
      <x:c r="G37" s="19"/>
      <x:c r="H37" s="19"/>
      <x:c r="I37" s="5" t="s">
        <x:v>41</x:v>
      </x:c>
    </x:row>
    <x:row r="38" spans="1:9" outlineLevel="2">
      <x:c r="A38" s="7" t="s">
        <x:v>16</x:v>
      </x:c>
      <x:c r="B38" s="8">
        <x:v>2021</x:v>
      </x:c>
      <x:c r="C38" s="7" t="s">
        <x:v>19</x:v>
      </x:c>
      <x:c r="E38" s="19">
        <x:v>467.02</x:v>
      </x:c>
      <x:c r="F38" s="19"/>
      <x:c r="G38" s="19"/>
      <x:c r="H38" s="19"/>
      <x:c r="I38" s="5" t="s">
        <x:v>22</x:v>
      </x:c>
    </x:row>
    <x:row r="39" spans="1:9" outlineLevel="2">
      <x:c r="A39" s="7" t="s">
        <x:v>16</x:v>
      </x:c>
      <x:c r="B39" s="8">
        <x:v>2021</x:v>
      </x:c>
      <x:c r="C39" s="7" t="s">
        <x:v>18</x:v>
      </x:c>
      <x:c r="E39" s="19">
        <x:v>21662.17</x:v>
      </x:c>
      <x:c r="F39" s="19"/>
      <x:c r="G39" s="19"/>
      <x:c r="H39" s="19"/>
      <x:c r="I39" s="5" t="s">
        <x:v>22</x:v>
      </x:c>
    </x:row>
    <x:row r="40" spans="1:9" outlineLevel="2">
      <x:c r="A40" s="7" t="s">
        <x:v>16</x:v>
      </x:c>
      <x:c r="B40" s="8">
        <x:v>2021</x:v>
      </x:c>
      <x:c r="C40" s="7" t="s">
        <x:v>1</x:v>
      </x:c>
      <x:c r="D40" s="9" t="s">
        <x:v>4</x:v>
      </x:c>
      <x:c r="E40" s="19"/>
      <x:c r="F40" s="19"/>
      <x:c r="G40" s="19">
        <x:v>877521.2</x:v>
      </x:c>
      <x:c r="H40" s="19"/>
      <x:c r="I40" s="5" t="s">
        <x:v>22</x:v>
      </x:c>
    </x:row>
    <x:row r="41" spans="1:9" outlineLevel="2">
      <x:c r="A41" s="7" t="s">
        <x:v>16</x:v>
      </x:c>
      <x:c r="B41" s="8">
        <x:v>2021</x:v>
      </x:c>
      <x:c r="C41" s="7" t="s">
        <x:v>1</x:v>
      </x:c>
      <x:c r="D41" s="9" t="s">
        <x:v>2</x:v>
      </x:c>
      <x:c r="E41" s="19">
        <x:v>218143.16</x:v>
      </x:c>
      <x:c r="F41" s="19"/>
      <x:c r="G41" s="19"/>
      <x:c r="H41" s="19"/>
      <x:c r="I41" s="5" t="s">
        <x:v>22</x:v>
      </x:c>
    </x:row>
    <x:row r="42" spans="1:9" outlineLevel="2">
      <x:c r="A42" s="7" t="s">
        <x:v>16</x:v>
      </x:c>
      <x:c r="B42" s="8">
        <x:v>2021</x:v>
      </x:c>
      <x:c r="C42" s="7" t="s">
        <x:v>1</x:v>
      </x:c>
      <x:c r="D42" s="9" t="s">
        <x:v>3</x:v>
      </x:c>
      <x:c r="E42" s="19">
        <x:v>1075489.1399999999</x:v>
      </x:c>
      <x:c r="F42" s="19">
        <x:v>998906.39</x:v>
      </x:c>
      <x:c r="G42" s="19">
        <x:v>31387.759999999998</x:v>
      </x:c>
      <x:c r="H42" s="19">
        <x:v>2192.29</x:v>
      </x:c>
      <x:c r="I42" s="5" t="s">
        <x:v>43</x:v>
      </x:c>
    </x:row>
    <x:row r="43" spans="1:9" outlineLevel="2">
      <x:c r="A43" s="7" t="s">
        <x:v>16</x:v>
      </x:c>
      <x:c r="B43" s="8">
        <x:v>2021</x:v>
      </x:c>
      <x:c r="C43" s="7" t="s">
        <x:v>1</x:v>
      </x:c>
      <x:c r="D43" s="9" t="s">
        <x:v>5</x:v>
      </x:c>
      <x:c r="E43" s="19"/>
      <x:c r="F43" s="19"/>
      <x:c r="G43" s="19"/>
      <x:c r="H43" s="19">
        <x:v>289362.64</x:v>
      </x:c>
      <x:c r="I43" s="5" t="s">
        <x:v>22</x:v>
      </x:c>
    </x:row>
    <x:row r="44" spans="1:9" outlineLevel="2">
      <x:c r="A44" s="7" t="s">
        <x:v>16</x:v>
      </x:c>
      <x:c r="B44" s="8">
        <x:v>2021</x:v>
      </x:c>
      <x:c r="C44" s="7" t="s">
        <x:v>1</x:v>
      </x:c>
      <x:c r="D44" s="9" t="s">
        <x:v>6</x:v>
      </x:c>
      <x:c r="E44" s="19"/>
      <x:c r="F44" s="19">
        <x:v>332812.23</x:v>
      </x:c>
      <x:c r="G44" s="19"/>
      <x:c r="H44" s="19"/>
      <x:c r="I44" s="5" t="s">
        <x:v>22</x:v>
      </x:c>
    </x:row>
    <x:row r="45" spans="1:9" outlineLevel="2">
      <x:c r="A45" s="7" t="s">
        <x:v>16</x:v>
      </x:c>
      <x:c r="B45" s="8">
        <x:v>2021</x:v>
      </x:c>
      <x:c r="C45" s="7" t="s">
        <x:v>14</x:v>
      </x:c>
      <x:c r="E45" s="19"/>
      <x:c r="F45" s="19">
        <x:v>13638235.07</x:v>
      </x:c>
      <x:c r="G45" s="19"/>
      <x:c r="H45" s="19"/>
      <x:c r="I45" s="5" t="s">
        <x:v>22</x:v>
      </x:c>
    </x:row>
    <x:row r="46" spans="1:9" outlineLevel="2">
      <x:c r="A46" s="7" t="s">
        <x:v>16</x:v>
      </x:c>
      <x:c r="B46" s="8">
        <x:v>2021</x:v>
      </x:c>
      <x:c r="C46" s="7" t="s">
        <x:v>15</x:v>
      </x:c>
      <x:c r="E46" s="19">
        <x:v>697224.22</x:v>
      </x:c>
      <x:c r="F46" s="19">
        <x:v>8163866.3399999999</x:v>
      </x:c>
      <x:c r="G46" s="19"/>
      <x:c r="H46" s="19"/>
      <x:c r="I46" s="5" t="s">
        <x:v>42</x:v>
      </x:c>
    </x:row>
    <x:row r="47" spans="1:9" outlineLevel="2">
      <x:c r="A47" s="7" t="s">
        <x:v>16</x:v>
      </x:c>
      <x:c r="B47" s="8">
        <x:v>2021</x:v>
      </x:c>
      <x:c r="C47" s="7" t="s">
        <x:v>20</x:v>
      </x:c>
      <x:c r="E47" s="19"/>
      <x:c r="F47" s="19">
        <x:v>548.66</x:v>
      </x:c>
      <x:c r="G47" s="19"/>
      <x:c r="H47" s="19"/>
      <x:c r="I47" s="5" t="s">
        <x:v>22</x:v>
      </x:c>
    </x:row>
    <x:row r="48" spans="1:9" outlineLevel="1">
      <x:c r="B48" s="10" t="s">
        <x:v>26</x:v>
      </x:c>
      <x:c r="E48" s="19">
        <x:f>SUBTOTAL(9,E36:E47)</x:f>
        <x:v>15149445.5</x:v>
      </x:c>
      <x:c r="F48" s="19">
        <x:f>SUBTOTAL(9,F36:F47)</x:f>
        <x:v>24656297.18</x:v>
      </x:c>
      <x:c r="G48" s="19">
        <x:f>SUBTOTAL(9,G36:G47)</x:f>
        <x:v>908908.96</x:v>
      </x:c>
      <x:c r="H48" s="19">
        <x:f>SUBTOTAL(9,H36:H47)</x:f>
        <x:v>291554.93</x:v>
      </x:c>
    </x:row>
    <x:row r="49" spans="1:9" outlineLevel="2">
      <x:c r="A49" s="7" t="s">
        <x:v>16</x:v>
      </x:c>
      <x:c r="B49" s="8">
        <x:v>2022</x:v>
      </x:c>
      <x:c r="C49" s="7" t="s">
        <x:v>17</x:v>
      </x:c>
      <x:c r="E49" s="19">
        <x:v>11721912.880000001</x:v>
      </x:c>
      <x:c r="F49" s="19"/>
      <x:c r="G49" s="19"/>
      <x:c r="H49" s="19"/>
      <x:c r="I49" s="5" t="s">
        <x:v>22</x:v>
      </x:c>
    </x:row>
    <x:row r="50" spans="1:9" outlineLevel="2">
      <x:c r="A50" s="7" t="s">
        <x:v>16</x:v>
      </x:c>
      <x:c r="B50" s="8">
        <x:v>2022</x:v>
      </x:c>
      <x:c r="C50" s="7" t="s">
        <x:v>13</x:v>
      </x:c>
      <x:c r="E50" s="19">
        <x:v>4827551.7</x:v>
      </x:c>
      <x:c r="F50" s="19">
        <x:v>1659237.47</x:v>
      </x:c>
      <x:c r="G50" s="19"/>
      <x:c r="H50" s="19"/>
      <x:c r="I50" s="5" t="s">
        <x:v>36</x:v>
      </x:c>
    </x:row>
    <x:row r="51" spans="1:9" outlineLevel="2">
      <x:c r="A51" s="7" t="s">
        <x:v>16</x:v>
      </x:c>
      <x:c r="B51" s="8">
        <x:v>2022</x:v>
      </x:c>
      <x:c r="C51" s="7" t="s">
        <x:v>18</x:v>
      </x:c>
      <x:c r="E51" s="19">
        <x:v>8386.0300000000007</x:v>
      </x:c>
      <x:c r="F51" s="19"/>
      <x:c r="G51" s="19"/>
      <x:c r="H51" s="19"/>
      <x:c r="I51" s="5" t="s">
        <x:v>22</x:v>
      </x:c>
    </x:row>
    <x:row r="52" spans="1:9" outlineLevel="2">
      <x:c r="A52" s="7" t="s">
        <x:v>16</x:v>
      </x:c>
      <x:c r="B52" s="8">
        <x:v>2022</x:v>
      </x:c>
      <x:c r="C52" s="7" t="s">
        <x:v>30</x:v>
      </x:c>
      <x:c r="E52" s="19"/>
      <x:c r="F52" s="19">
        <x:v>23029.62</x:v>
      </x:c>
      <x:c r="G52" s="19"/>
      <x:c r="H52" s="19"/>
      <x:c r="I52" s="5" t="s">
        <x:v>22</x:v>
      </x:c>
    </x:row>
    <x:row r="53" spans="1:9" outlineLevel="2">
      <x:c r="A53" s="7" t="s">
        <x:v>16</x:v>
      </x:c>
      <x:c r="B53" s="8">
        <x:v>2022</x:v>
      </x:c>
      <x:c r="C53" s="7" t="s">
        <x:v>1</x:v>
      </x:c>
      <x:c r="D53" s="9" t="s">
        <x:v>4</x:v>
      </x:c>
      <x:c r="E53" s="19"/>
      <x:c r="F53" s="19"/>
      <x:c r="G53" s="19">
        <x:v>117098.17</x:v>
      </x:c>
      <x:c r="H53" s="19"/>
      <x:c r="I53" s="5" t="s">
        <x:v>22</x:v>
      </x:c>
    </x:row>
    <x:row r="54" spans="1:9" outlineLevel="2">
      <x:c r="A54" s="7" t="s">
        <x:v>16</x:v>
      </x:c>
      <x:c r="B54" s="8">
        <x:v>2022</x:v>
      </x:c>
      <x:c r="C54" s="7" t="s">
        <x:v>1</x:v>
      </x:c>
      <x:c r="D54" s="9" t="s">
        <x:v>2</x:v>
      </x:c>
      <x:c r="E54" s="19">
        <x:v>7722318.3600000003</x:v>
      </x:c>
      <x:c r="F54" s="19"/>
      <x:c r="G54" s="19"/>
      <x:c r="H54" s="19"/>
      <x:c r="I54" s="5" t="s">
        <x:v>22</x:v>
      </x:c>
    </x:row>
    <x:row r="55" spans="1:9" outlineLevel="2">
      <x:c r="A55" s="7" t="s">
        <x:v>16</x:v>
      </x:c>
      <x:c r="B55" s="8">
        <x:v>2022</x:v>
      </x:c>
      <x:c r="C55" s="7" t="s">
        <x:v>1</x:v>
      </x:c>
      <x:c r="D55" s="9" t="s">
        <x:v>3</x:v>
      </x:c>
      <x:c r="E55" s="19">
        <x:v>870088.57</x:v>
      </x:c>
      <x:c r="F55" s="19">
        <x:v>770339.03</x:v>
      </x:c>
      <x:c r="G55" s="19">
        <x:v>23991.87</x:v>
      </x:c>
      <x:c r="H55" s="19">
        <x:v>1682.76</x:v>
      </x:c>
      <x:c r="I55" s="5" t="s">
        <x:v>35</x:v>
      </x:c>
    </x:row>
    <x:row r="56" spans="1:9" outlineLevel="2">
      <x:c r="A56" s="7" t="s">
        <x:v>16</x:v>
      </x:c>
      <x:c r="B56" s="8">
        <x:v>2022</x:v>
      </x:c>
      <x:c r="C56" s="7" t="s">
        <x:v>1</x:v>
      </x:c>
      <x:c r="D56" s="9" t="s">
        <x:v>5</x:v>
      </x:c>
      <x:c r="E56" s="19"/>
      <x:c r="F56" s="19"/>
      <x:c r="G56" s="19"/>
      <x:c r="H56" s="19">
        <x:v>1518562.98</x:v>
      </x:c>
      <x:c r="I56" s="5" t="s">
        <x:v>22</x:v>
      </x:c>
    </x:row>
    <x:row r="57" spans="1:9" outlineLevel="2">
      <x:c r="A57" s="7" t="s">
        <x:v>16</x:v>
      </x:c>
      <x:c r="B57" s="8">
        <x:v>2022</x:v>
      </x:c>
      <x:c r="C57" s="7" t="s">
        <x:v>1</x:v>
      </x:c>
      <x:c r="D57" s="9" t="s">
        <x:v>6</x:v>
      </x:c>
      <x:c r="E57" s="19"/>
      <x:c r="F57" s="19">
        <x:v>332113.36</x:v>
      </x:c>
      <x:c r="G57" s="19"/>
      <x:c r="H57" s="19"/>
      <x:c r="I57" s="5" t="s">
        <x:v>22</x:v>
      </x:c>
    </x:row>
    <x:row r="58" spans="1:9" outlineLevel="2">
      <x:c r="A58" s="7" t="s">
        <x:v>16</x:v>
      </x:c>
      <x:c r="B58" s="8">
        <x:v>2022</x:v>
      </x:c>
      <x:c r="C58" s="7" t="s">
        <x:v>14</x:v>
      </x:c>
      <x:c r="E58" s="19"/>
      <x:c r="F58" s="19">
        <x:v>10049403.59</x:v>
      </x:c>
      <x:c r="G58" s="19"/>
      <x:c r="H58" s="19"/>
      <x:c r="I58" s="5" t="s">
        <x:v>22</x:v>
      </x:c>
    </x:row>
    <x:row r="59" spans="1:9" outlineLevel="2">
      <x:c r="A59" s="7" t="s">
        <x:v>16</x:v>
      </x:c>
      <x:c r="B59" s="8">
        <x:v>2022</x:v>
      </x:c>
      <x:c r="C59" s="7" t="s">
        <x:v>15</x:v>
      </x:c>
      <x:c r="E59" s="19">
        <x:v>673151.06</x:v>
      </x:c>
      <x:c r="F59" s="19">
        <x:v>6014189.8600000003</x:v>
      </x:c>
      <x:c r="G59" s="19"/>
      <x:c r="H59" s="19"/>
      <x:c r="I59" s="5" t="s">
        <x:v>34</x:v>
      </x:c>
    </x:row>
    <x:row r="60" spans="1:9" outlineLevel="2">
      <x:c r="A60" s="7" t="s">
        <x:v>16</x:v>
      </x:c>
      <x:c r="B60" s="8">
        <x:v>2022</x:v>
      </x:c>
      <x:c r="C60" s="7" t="s">
        <x:v>20</x:v>
      </x:c>
      <x:c r="E60" s="19"/>
      <x:c r="F60" s="19">
        <x:v>604.71</x:v>
      </x:c>
      <x:c r="G60" s="19"/>
      <x:c r="H60" s="19"/>
      <x:c r="I60" s="5" t="s">
        <x:v>22</x:v>
      </x:c>
    </x:row>
    <x:row r="61" spans="1:9" outlineLevel="1">
      <x:c r="B61" s="10" t="s">
        <x:v>37</x:v>
      </x:c>
      <x:c r="E61" s="19">
        <x:f>SUBTOTAL(9,E49:E60)</x:f>
        <x:v>25823408.600000001</x:v>
      </x:c>
      <x:c r="F61" s="19">
        <x:f>SUBTOTAL(9,F49:F60)</x:f>
        <x:v>18848917.640000001</x:v>
      </x:c>
      <x:c r="G61" s="19">
        <x:f>SUBTOTAL(9,G49:G60)</x:f>
        <x:v>141090.04</x:v>
      </x:c>
      <x:c r="H61" s="19">
        <x:f>SUBTOTAL(9,H49:H60)</x:f>
        <x:v>1520245.74</x:v>
      </x:c>
    </x:row>
    <x:row r="62" spans="1:9" outlineLevel="2">
      <x:c r="A62" s="7" t="s">
        <x:v>16</x:v>
      </x:c>
      <x:c r="B62" s="8">
        <x:v>2023</x:v>
      </x:c>
      <x:c r="C62" s="7" t="s">
        <x:v>17</x:v>
      </x:c>
      <x:c r="E62" s="19">
        <x:v>20127780.52</x:v>
      </x:c>
      <x:c r="F62" s="19"/>
      <x:c r="G62" s="19"/>
      <x:c r="H62" s="19"/>
      <x:c r="I62" s="5" t="s">
        <x:v>22</x:v>
      </x:c>
    </x:row>
    <x:row r="63" spans="1:9" outlineLevel="2">
      <x:c r="A63" s="7" t="s">
        <x:v>16</x:v>
      </x:c>
      <x:c r="B63" s="8">
        <x:v>2023</x:v>
      </x:c>
      <x:c r="C63" s="7" t="s">
        <x:v>31</x:v>
      </x:c>
      <x:c r="E63" s="19"/>
      <x:c r="F63" s="19">
        <x:v>11.47</x:v>
      </x:c>
      <x:c r="G63" s="19"/>
      <x:c r="H63" s="19"/>
      <x:c r="I63" s="5" t="s">
        <x:v>22</x:v>
      </x:c>
    </x:row>
    <x:row r="64" spans="1:9" outlineLevel="2">
      <x:c r="A64" s="7" t="s">
        <x:v>16</x:v>
      </x:c>
      <x:c r="B64" s="8">
        <x:v>2023</x:v>
      </x:c>
      <x:c r="C64" s="7" t="s">
        <x:v>13</x:v>
      </x:c>
      <x:c r="E64" s="19">
        <x:v>8527138.25</x:v>
      </x:c>
      <x:c r="F64" s="19">
        <x:v>2930791.65</x:v>
      </x:c>
      <x:c r="G64" s="19"/>
      <x:c r="H64" s="19"/>
      <x:c r="I64" s="5" t="s">
        <x:v>36</x:v>
      </x:c>
    </x:row>
    <x:row r="65" spans="1:9" outlineLevel="2">
      <x:c r="A65" s="7" t="s">
        <x:v>16</x:v>
      </x:c>
      <x:c r="B65" s="8">
        <x:v>2023</x:v>
      </x:c>
      <x:c r="C65" s="7" t="s">
        <x:v>18</x:v>
      </x:c>
      <x:c r="E65" s="19">
        <x:v>31475.200000000001</x:v>
      </x:c>
      <x:c r="F65" s="19">
        <x:v>18112.62</x:v>
      </x:c>
      <x:c r="G65" s="19"/>
      <x:c r="H65" s="19"/>
      <x:c r="I65" s="5" t="s">
        <x:v>22</x:v>
      </x:c>
    </x:row>
    <x:row r="66" spans="1:9" outlineLevel="2">
      <x:c r="A66" s="7" t="s">
        <x:v>16</x:v>
      </x:c>
      <x:c r="B66" s="8">
        <x:v>2023</x:v>
      </x:c>
      <x:c r="C66" s="7" t="s">
        <x:v>32</x:v>
      </x:c>
      <x:c r="E66" s="19"/>
      <x:c r="F66" s="19">
        <x:v>2146.4499999999998</x:v>
      </x:c>
      <x:c r="G66" s="19"/>
      <x:c r="H66" s="19"/>
      <x:c r="I66" s="5" t="s">
        <x:v>22</x:v>
      </x:c>
    </x:row>
    <x:row r="67" spans="1:9" outlineLevel="2">
      <x:c r="A67" s="7" t="s">
        <x:v>16</x:v>
      </x:c>
      <x:c r="B67" s="8">
        <x:v>2023</x:v>
      </x:c>
      <x:c r="C67" s="7" t="s">
        <x:v>1</x:v>
      </x:c>
      <x:c r="D67" s="9" t="s">
        <x:v>4</x:v>
      </x:c>
      <x:c r="E67" s="19"/>
      <x:c r="F67" s="19"/>
      <x:c r="G67" s="19">
        <x:v>99880.8</x:v>
      </x:c>
      <x:c r="H67" s="19"/>
      <x:c r="I67" s="5" t="s">
        <x:v>22</x:v>
      </x:c>
    </x:row>
    <x:row r="68" spans="1:9" outlineLevel="2">
      <x:c r="A68" s="7" t="s">
        <x:v>16</x:v>
      </x:c>
      <x:c r="B68" s="8">
        <x:v>2023</x:v>
      </x:c>
      <x:c r="C68" s="7" t="s">
        <x:v>1</x:v>
      </x:c>
      <x:c r="D68" s="9" t="s">
        <x:v>2</x:v>
      </x:c>
      <x:c r="E68" s="19">
        <x:v>1581771.77</x:v>
      </x:c>
      <x:c r="F68" s="19"/>
      <x:c r="G68" s="19"/>
      <x:c r="H68" s="19"/>
      <x:c r="I68" s="5" t="s">
        <x:v>22</x:v>
      </x:c>
    </x:row>
    <x:row r="69" spans="1:9" outlineLevel="2">
      <x:c r="A69" s="7" t="s">
        <x:v>16</x:v>
      </x:c>
      <x:c r="B69" s="8">
        <x:v>2023</x:v>
      </x:c>
      <x:c r="C69" s="7" t="s">
        <x:v>1</x:v>
      </x:c>
      <x:c r="D69" s="9" t="s">
        <x:v>3</x:v>
      </x:c>
      <x:c r="E69" s="19">
        <x:v>1025470.88</x:v>
      </x:c>
      <x:c r="F69" s="19">
        <x:v>907907.85</x:v>
      </x:c>
      <x:c r="G69" s="19">
        <x:v>28276.39</x:v>
      </x:c>
      <x:c r="H69" s="19">
        <x:v>1983.27</x:v>
      </x:c>
      <x:c r="I69" s="5" t="s">
        <x:v>35</x:v>
      </x:c>
    </x:row>
    <x:row r="70" spans="1:9" outlineLevel="2">
      <x:c r="A70" s="7" t="s">
        <x:v>16</x:v>
      </x:c>
      <x:c r="B70" s="8">
        <x:v>2023</x:v>
      </x:c>
      <x:c r="C70" s="7" t="s">
        <x:v>1</x:v>
      </x:c>
      <x:c r="D70" s="9" t="s">
        <x:v>33</x:v>
      </x:c>
      <x:c r="E70" s="19"/>
      <x:c r="F70" s="19"/>
      <x:c r="G70" s="19"/>
      <x:c r="H70" s="19">
        <x:v>3066.39</x:v>
      </x:c>
      <x:c r="I70" s="5" t="s">
        <x:v>22</x:v>
      </x:c>
    </x:row>
    <x:row r="71" spans="1:9" outlineLevel="2">
      <x:c r="A71" s="7" t="s">
        <x:v>16</x:v>
      </x:c>
      <x:c r="B71" s="8">
        <x:v>2023</x:v>
      </x:c>
      <x:c r="C71" s="7" t="s">
        <x:v>1</x:v>
      </x:c>
      <x:c r="D71" s="9" t="s">
        <x:v>5</x:v>
      </x:c>
      <x:c r="E71" s="19"/>
      <x:c r="F71" s="19"/>
      <x:c r="G71" s="19"/>
      <x:c r="H71" s="19">
        <x:v>782719.32</x:v>
      </x:c>
      <x:c r="I71" s="5" t="s">
        <x:v>22</x:v>
      </x:c>
    </x:row>
    <x:row r="72" spans="1:9" outlineLevel="2">
      <x:c r="A72" s="7" t="s">
        <x:v>16</x:v>
      </x:c>
      <x:c r="B72" s="8">
        <x:v>2023</x:v>
      </x:c>
      <x:c r="C72" s="7" t="s">
        <x:v>1</x:v>
      </x:c>
      <x:c r="D72" s="9" t="s">
        <x:v>6</x:v>
      </x:c>
      <x:c r="E72" s="19"/>
      <x:c r="F72" s="19">
        <x:v>1174243.01</x:v>
      </x:c>
      <x:c r="G72" s="19"/>
      <x:c r="H72" s="19"/>
      <x:c r="I72" s="5" t="s">
        <x:v>22</x:v>
      </x:c>
    </x:row>
    <x:row r="73" spans="1:9" outlineLevel="2">
      <x:c r="A73" s="7" t="s">
        <x:v>16</x:v>
      </x:c>
      <x:c r="B73" s="8">
        <x:v>2023</x:v>
      </x:c>
      <x:c r="C73" s="7" t="s">
        <x:v>29</x:v>
      </x:c>
      <x:c r="E73" s="19"/>
      <x:c r="F73" s="19">
        <x:v>719.9</x:v>
      </x:c>
      <x:c r="G73" s="19"/>
      <x:c r="H73" s="19"/>
      <x:c r="I73" s="5" t="s">
        <x:v>22</x:v>
      </x:c>
    </x:row>
    <x:row r="74" spans="1:9" outlineLevel="2">
      <x:c r="A74" s="7" t="s">
        <x:v>16</x:v>
      </x:c>
      <x:c r="B74" s="8">
        <x:v>2023</x:v>
      </x:c>
      <x:c r="C74" s="7" t="s">
        <x:v>14</x:v>
      </x:c>
      <x:c r="E74" s="19"/>
      <x:c r="F74" s="19">
        <x:v>14894497.25</x:v>
      </x:c>
      <x:c r="G74" s="19"/>
      <x:c r="H74" s="19"/>
      <x:c r="I74" s="5" t="s">
        <x:v>22</x:v>
      </x:c>
    </x:row>
    <x:row r="75" spans="1:9" outlineLevel="2">
      <x:c r="A75" s="7" t="s">
        <x:v>16</x:v>
      </x:c>
      <x:c r="B75" s="8">
        <x:v>2023</x:v>
      </x:c>
      <x:c r="C75" s="7" t="s">
        <x:v>15</x:v>
      </x:c>
      <x:c r="E75" s="19">
        <x:v>1224168.8</x:v>
      </x:c>
      <x:c r="F75" s="19">
        <x:v>10937193.789999999</x:v>
      </x:c>
      <x:c r="G75" s="19"/>
      <x:c r="H75" s="19"/>
      <x:c r="I75" s="5" t="s">
        <x:v>34</x:v>
      </x:c>
    </x:row>
    <x:row r="76" spans="1:9" outlineLevel="1">
      <x:c r="B76" s="10" t="s">
        <x:v>38</x:v>
      </x:c>
      <x:c r="E76" s="19">
        <x:f>SUBTOTAL(9,E62:E75)</x:f>
        <x:v>32517805.419999998</x:v>
      </x:c>
      <x:c r="F76" s="19">
        <x:f>SUBTOTAL(9,F62:F75)</x:f>
        <x:v>30865623.990000002</x:v>
      </x:c>
      <x:c r="G76" s="19">
        <x:f>SUBTOTAL(9,G62:G75)</x:f>
        <x:v>128157.19</x:v>
      </x:c>
      <x:c r="H76" s="19">
        <x:f>SUBTOTAL(9,H62:H75)</x:f>
        <x:v>787768.98</x:v>
      </x:c>
    </x:row>
    <x:row r="77" spans="1:9" outlineLevel="2">
      <x:c r="A77" s="7" t="s">
        <x:v>16</x:v>
      </x:c>
      <x:c r="B77" s="8">
        <x:v>2024</x:v>
      </x:c>
      <x:c r="C77" s="7" t="s">
        <x:v>17</x:v>
      </x:c>
      <x:c r="E77" s="19">
        <x:v>24926599.780000001</x:v>
      </x:c>
      <x:c r="F77" s="19"/>
      <x:c r="G77" s="19"/>
      <x:c r="H77" s="19"/>
      <x:c r="I77" s="5" t="s">
        <x:v>22</x:v>
      </x:c>
    </x:row>
    <x:row r="78" spans="1:9" outlineLevel="2">
      <x:c r="A78" s="7" t="s">
        <x:v>16</x:v>
      </x:c>
      <x:c r="B78" s="8">
        <x:v>2024</x:v>
      </x:c>
      <x:c r="C78" s="7" t="s">
        <x:v>13</x:v>
      </x:c>
      <x:c r="E78" s="19">
        <x:v>13022187.550000001</x:v>
      </x:c>
      <x:c r="F78" s="19">
        <x:v>4475747.3</x:v>
      </x:c>
      <x:c r="G78" s="19"/>
      <x:c r="H78" s="19"/>
      <x:c r="I78" s="5" t="s">
        <x:v>36</x:v>
      </x:c>
    </x:row>
    <x:row r="79" spans="1:9" outlineLevel="2">
      <x:c r="A79" s="7" t="s">
        <x:v>16</x:v>
      </x:c>
      <x:c r="B79" s="8">
        <x:v>2024</x:v>
      </x:c>
      <x:c r="C79" s="7" t="s">
        <x:v>19</x:v>
      </x:c>
      <x:c r="E79" s="19">
        <x:v>3386.64</x:v>
      </x:c>
      <x:c r="F79" s="19">
        <x:v>1163.99</x:v>
      </x:c>
      <x:c r="G79" s="19"/>
      <x:c r="H79" s="19"/>
      <x:c r="I79" s="5" t="s">
        <x:v>36</x:v>
      </x:c>
    </x:row>
    <x:row r="80" spans="1:9" outlineLevel="2">
      <x:c r="A80" s="7" t="s">
        <x:v>16</x:v>
      </x:c>
      <x:c r="B80" s="8">
        <x:v>2024</x:v>
      </x:c>
      <x:c r="C80" s="7" t="s">
        <x:v>18</x:v>
      </x:c>
      <x:c r="E80" s="19">
        <x:v>8318.7999999999993</x:v>
      </x:c>
      <x:c r="F80" s="19">
        <x:v>15486.79</x:v>
      </x:c>
      <x:c r="G80" s="19"/>
      <x:c r="H80" s="19"/>
      <x:c r="I80" s="5" t="s">
        <x:v>22</x:v>
      </x:c>
    </x:row>
    <x:row r="81" spans="1:9" outlineLevel="2">
      <x:c r="A81" s="7" t="s">
        <x:v>16</x:v>
      </x:c>
      <x:c r="B81" s="8">
        <x:v>2024</x:v>
      </x:c>
      <x:c r="C81" s="7" t="s">
        <x:v>1</x:v>
      </x:c>
      <x:c r="D81" s="9" t="s">
        <x:v>4</x:v>
      </x:c>
      <x:c r="E81" s="19"/>
      <x:c r="F81" s="19"/>
      <x:c r="G81" s="19">
        <x:v>213548.64</x:v>
      </x:c>
      <x:c r="H81" s="19"/>
      <x:c r="I81" s="5" t="s">
        <x:v>22</x:v>
      </x:c>
    </x:row>
    <x:row r="82" spans="1:9" outlineLevel="2">
      <x:c r="A82" s="7" t="s">
        <x:v>16</x:v>
      </x:c>
      <x:c r="B82" s="8">
        <x:v>2024</x:v>
      </x:c>
      <x:c r="C82" s="7" t="s">
        <x:v>1</x:v>
      </x:c>
      <x:c r="D82" s="9" t="s">
        <x:v>2</x:v>
      </x:c>
      <x:c r="E82" s="19">
        <x:v>417555.88</x:v>
      </x:c>
      <x:c r="F82" s="19"/>
      <x:c r="G82" s="19"/>
      <x:c r="H82" s="19"/>
      <x:c r="I82" s="5" t="s">
        <x:v>22</x:v>
      </x:c>
    </x:row>
    <x:row r="83" spans="1:9" outlineLevel="2">
      <x:c r="A83" s="7" t="s">
        <x:v>16</x:v>
      </x:c>
      <x:c r="B83" s="8">
        <x:v>2024</x:v>
      </x:c>
      <x:c r="C83" s="7" t="s">
        <x:v>1</x:v>
      </x:c>
      <x:c r="D83" s="9" t="s">
        <x:v>3</x:v>
      </x:c>
      <x:c r="E83" s="19">
        <x:v>1495533.81</x:v>
      </x:c>
      <x:c r="F83" s="19">
        <x:v>1324081.3700000001</x:v>
      </x:c>
      <x:c r="G83" s="19">
        <x:v>41237.94</x:v>
      </x:c>
      <x:c r="H83" s="19">
        <x:v>2892.38</x:v>
      </x:c>
      <x:c r="I83" s="5" t="s">
        <x:v>35</x:v>
      </x:c>
    </x:row>
    <x:row r="84" spans="1:9" outlineLevel="2">
      <x:c r="A84" s="7" t="s">
        <x:v>16</x:v>
      </x:c>
      <x:c r="B84" s="8">
        <x:v>2024</x:v>
      </x:c>
      <x:c r="C84" s="7" t="s">
        <x:v>1</x:v>
      </x:c>
      <x:c r="D84" s="9" t="s">
        <x:v>5</x:v>
      </x:c>
      <x:c r="E84" s="19"/>
      <x:c r="F84" s="19"/>
      <x:c r="G84" s="19"/>
      <x:c r="H84" s="19">
        <x:v>331901.99</x:v>
      </x:c>
      <x:c r="I84" s="5" t="s">
        <x:v>22</x:v>
      </x:c>
    </x:row>
    <x:row r="85" spans="1:9" outlineLevel="2">
      <x:c r="A85" s="7" t="s">
        <x:v>16</x:v>
      </x:c>
      <x:c r="B85" s="8">
        <x:v>2024</x:v>
      </x:c>
      <x:c r="C85" s="7" t="s">
        <x:v>1</x:v>
      </x:c>
      <x:c r="D85" s="9" t="s">
        <x:v>6</x:v>
      </x:c>
      <x:c r="E85" s="19"/>
      <x:c r="F85" s="19">
        <x:v>571194.49</x:v>
      </x:c>
      <x:c r="G85" s="19"/>
      <x:c r="H85" s="19"/>
      <x:c r="I85" s="5" t="s">
        <x:v>22</x:v>
      </x:c>
    </x:row>
    <x:row r="86" spans="1:9" outlineLevel="2">
      <x:c r="A86" s="7" t="s">
        <x:v>16</x:v>
      </x:c>
      <x:c r="B86" s="8">
        <x:v>2024</x:v>
      </x:c>
      <x:c r="C86" s="7" t="s">
        <x:v>29</x:v>
      </x:c>
      <x:c r="E86" s="19"/>
      <x:c r="F86" s="19">
        <x:v>15047.09</x:v>
      </x:c>
      <x:c r="G86" s="19"/>
      <x:c r="H86" s="19"/>
      <x:c r="I86" s="5" t="s">
        <x:v>22</x:v>
      </x:c>
    </x:row>
    <x:row r="87" spans="1:9" outlineLevel="2">
      <x:c r="A87" s="7" t="s">
        <x:v>16</x:v>
      </x:c>
      <x:c r="B87" s="8">
        <x:v>2024</x:v>
      </x:c>
      <x:c r="C87" s="7" t="s">
        <x:v>14</x:v>
      </x:c>
      <x:c r="E87" s="19"/>
      <x:c r="F87" s="19">
        <x:v>20305090.52</x:v>
      </x:c>
      <x:c r="G87" s="19"/>
      <x:c r="H87" s="19"/>
      <x:c r="I87" s="5" t="s">
        <x:v>22</x:v>
      </x:c>
    </x:row>
    <x:row r="88" spans="1:9" outlineLevel="2">
      <x:c r="A88" s="7" t="s">
        <x:v>16</x:v>
      </x:c>
      <x:c r="B88" s="8">
        <x:v>2024</x:v>
      </x:c>
      <x:c r="C88" s="7" t="s">
        <x:v>15</x:v>
      </x:c>
      <x:c r="E88" s="19">
        <x:v>1840951.09</x:v>
      </x:c>
      <x:c r="F88" s="19">
        <x:v>16447763.470000001</x:v>
      </x:c>
      <x:c r="G88" s="19"/>
      <x:c r="H88" s="19"/>
      <x:c r="I88" s="5" t="s">
        <x:v>34</x:v>
      </x:c>
    </x:row>
    <x:row r="89" spans="1:9" outlineLevel="1">
      <x:c r="B89" s="10" t="s">
        <x:v>39</x:v>
      </x:c>
      <x:c r="E89" s="19">
        <x:f>SUBTOTAL(9,E77:E88)</x:f>
        <x:v>41714533.550000004</x:v>
      </x:c>
      <x:c r="F89" s="19">
        <x:f>SUBTOTAL(9,F77:F88)</x:f>
        <x:v>43155575.020000003</x:v>
      </x:c>
      <x:c r="G89" s="19">
        <x:f>SUBTOTAL(9,G77:G88)</x:f>
        <x:v>254786.58000000002</x:v>
      </x:c>
      <x:c r="H89" s="19">
        <x:f>SUBTOTAL(9,H77:H88)</x:f>
        <x:v>334794.37</x:v>
      </x:c>
    </x:row>
    <x:row r="90" spans="1:9">
      <x:c r="B90" s="10" t="s">
        <x:v>24</x:v>
      </x:c>
      <x:c r="E90" s="19">
        <x:f>SUBTOTAL(9,E2:E88)</x:f>
        <x:v>128566496.84999999</x:v>
      </x:c>
      <x:c r="F90" s="19">
        <x:f>SUBTOTAL(9,F2:F88)</x:f>
        <x:v>145421753.69000003</x:v>
      </x:c>
      <x:c r="G90" s="19">
        <x:f>SUBTOTAL(9,G2:G88)</x:f>
        <x:v>1637309.0299999998</x:v>
      </x:c>
      <x:c r="H90" s="19">
        <x:f>SUBTOTAL(9,H2:H88)</x:f>
        <x:v>3370918.01</x:v>
      </x:c>
    </x:row>
    <x:row r="91" spans="1:9">
      <x:c r="A91" s="5"/>
      <x:c r="I91" s="11"/>
    </x:row>
    <x:row r="92" spans="1:9">
      <x:c r="A92" s="5"/>
      <x:c r="I92" s="11"/>
    </x:row>
    <x:row r="93" spans="1:9">
      <x:c r="A93" s="5"/>
      <x:c r="I93" s="11"/>
    </x:row>
    <x:row r="94" spans="1:9">
      <x:c r="I94" s="11"/>
    </x:row>
    <x:row r="95" spans="1:9">
      <x:c r="I95" s="11"/>
    </x:row>
    <x:row r="96" spans="1:9">
      <x:c r="I96" s="11"/>
    </x:row>
    <x:row r="97" spans="9:9">
      <x:c r="I97" s="11"/>
    </x:row>
    <x:row r="98" spans="9:9">
      <x:c r="I98" s="11"/>
    </x:row>
    <x:row r="99" spans="9:9">
      <x:c r="I99" s="11"/>
    </x:row>
    <x:row r="100" spans="9:9">
      <x:c r="I100" s="11"/>
    </x:row>
    <x:row r="101" spans="9:9">
      <x:c r="I101" s="11"/>
    </x:row>
    <x:row r="102" spans="9:9">
      <x:c r="I102" s="11"/>
    </x:row>
    <x:row r="103" spans="9:9">
      <x:c r="I103" s="11"/>
    </x:row>
    <x:row r="104" spans="9:9">
      <x:c r="I104" s="11"/>
    </x:row>
    <x:row r="105" spans="9:9">
      <x:c r="I105" s="11"/>
    </x:row>
    <x:row r="106" spans="9:9">
      <x:c r="I106" s="11"/>
    </x:row>
    <x:row r="107" spans="9:9">
      <x:c r="I107" s="11"/>
    </x:row>
    <x:row r="108" spans="9:9">
      <x:c r="I108" s="11"/>
    </x:row>
    <x:row r="109" spans="9:9">
      <x:c r="I109" s="11"/>
    </x:row>
    <x:row r="110" spans="9:9">
      <x:c r="I110" s="11"/>
    </x:row>
    <x:row r="111" spans="9:9">
      <x:c r="I111" s="11"/>
    </x:row>
  </x:sheetData>
  <x:autoFilter ref="A1:I81" xr:uid="{00000000-0009-0000-0000-000001000000}"/>
  <x:conditionalFormatting sqref="E2:H90">
    <x:cfRule type="expression" dxfId="1" priority="5">
      <x:formula>SEARCH("Total",$B2)</x:formula>
    </x:cfRule>
    <x:cfRule type="expression" dxfId="0" priority="6">
      <x:formula>SEARCH("Total",$B2)</x:formula>
    </x:cfRule>
  </x:conditionalFormatting>
  <x:pageMargins left="0.7" right="0.7" top="2.5" bottom="0.75" header="1.5" footer="0.3"/>
  <x:pageSetup scale="44" fitToHeight="0" orientation="landscape" r:id="rId1"/>
  <x:headerFooter>
    <x:oddHeader>&amp;C
&amp;"Arial,Bold"&amp;12 2025 RATE CASE
ONCOR ELECTRIC DELIVERY COMPANY LLC
AFUDC ALLOCATION - TO PLANT
FOR THE TEST YEAR ENDING DECEMBER 31, 2024
SPONSOR: W. A. LEDBETTER&amp;R&amp;"Arial,Bold"&amp;12WP/II-B-15A/01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2025-04-02T22:04:11.0000000Z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