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B (Rate Base)\Sch II-B WP\"/>
    </mc:Choice>
  </mc:AlternateContent>
  <xr:revisionPtr revIDLastSave="0" documentId="13_ncr:1_{72DEDDC9-8396-4CAC-90BE-534F9A124BDB}" xr6:coauthVersionLast="47" xr6:coauthVersionMax="47" xr10:uidLastSave="{00000000-0000-0000-0000-000000000000}"/>
  <x:bookViews>
    <x:workbookView xWindow="25974" yWindow="-109" windowWidth="26301" windowHeight="14169" xr2:uid="{C4F63C22-98C2-42CA-8B64-E5FBBD4C45B4}"/>
  </x:bookViews>
  <x:sheets>
    <x:sheet name="WP II-B-5_04" sheetId="1" r:id="rId1"/>
  </x:sheets>
  <x:definedNames>
    <x:definedName name="_xlnm.Print_Area" localSheetId="0">'WP II-B-5_04'!$A$3:$M$48</x:definedName>
    <x:definedName name="_xlnm.Print_Titles" localSheetId="0">'WP II-B-5_04'!$2:$2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K41" i="1" l="1"/>
  <x:c r="M41" i="1"/>
  <x:c r="L41" i="1"/>
  <x:c r="M18" i="1"/>
  <x:c r="L18" i="1"/>
  <x:c r="K18" i="1"/>
  <x:c r="E41" i="1"/>
  <x:c r="D41" i="1"/>
  <x:c r="E18" i="1"/>
  <x:c r="D18" i="1"/>
  <x:c r="C41" i="1"/>
  <x:c r="C18" i="1"/>
  <x:c r="O4" i="1"/>
  <x:c r="O5" i="1"/>
  <x:c r="O6" i="1"/>
  <x:c r="O7" i="1"/>
  <x:c r="O8" i="1"/>
  <x:c r="O9" i="1"/>
  <x:c r="O10" i="1"/>
  <x:c r="O11" i="1"/>
  <x:c r="O12" i="1"/>
  <x:c r="O13" i="1"/>
  <x:c r="O14" i="1"/>
  <x:c r="O15" i="1"/>
  <x:c r="O16" i="1"/>
  <x:c r="O17" i="1"/>
  <x:c r="O3" i="1"/>
  <x:c r="O19" i="1"/>
  <x:c r="O18" i="1" l="1"/>
  <x:c r="C42" i="1"/>
  <x:c r="J23" i="1"/>
  <x:c r="I23" i="1"/>
  <x:c r="J22" i="1"/>
  <x:c r="I22" i="1"/>
  <x:c r="K22" i="1" s="1"/>
  <x:c r="J21" i="1"/>
  <x:c r="I21" i="1"/>
  <x:c r="K21" i="1" s="1"/>
  <x:c r="J20" i="1"/>
  <x:c r="I20" i="1"/>
  <x:c r="E42" i="1"/>
  <x:c r="D42" i="1"/>
  <x:c r="J3" i="1"/>
  <x:c r="J4" i="1"/>
  <x:c r="J5" i="1"/>
  <x:c r="J6" i="1"/>
  <x:c r="J7" i="1"/>
  <x:c r="J8" i="1"/>
  <x:c r="J9" i="1"/>
  <x:c r="J10" i="1"/>
  <x:c r="J11" i="1"/>
  <x:c r="J12" i="1"/>
  <x:c r="J13" i="1"/>
  <x:c r="J14" i="1"/>
  <x:c r="J15" i="1"/>
  <x:c r="J16" i="1"/>
  <x:c r="J17" i="1"/>
  <x:c r="J19" i="1"/>
  <x:c r="J24" i="1"/>
  <x:c r="J25" i="1"/>
  <x:c r="J26" i="1"/>
  <x:c r="J27" i="1"/>
  <x:c r="J28" i="1"/>
  <x:c r="J29" i="1"/>
  <x:c r="J30" i="1"/>
  <x:c r="J31" i="1"/>
  <x:c r="J32" i="1"/>
  <x:c r="J33" i="1"/>
  <x:c r="J34" i="1"/>
  <x:c r="J35" i="1"/>
  <x:c r="J36" i="1"/>
  <x:c r="J37" i="1"/>
  <x:c r="J38" i="1"/>
  <x:c r="J39" i="1"/>
  <x:c r="J40" i="1"/>
  <x:c r="I40" i="1"/>
  <x:c r="I39" i="1"/>
  <x:c r="I38" i="1"/>
  <x:c r="I37" i="1"/>
  <x:c r="I36" i="1"/>
  <x:c r="I35" i="1"/>
  <x:c r="I34" i="1"/>
  <x:c r="I33" i="1"/>
  <x:c r="I32" i="1"/>
  <x:c r="I31" i="1"/>
  <x:c r="I30" i="1"/>
  <x:c r="I29" i="1"/>
  <x:c r="I28" i="1"/>
  <x:c r="I27" i="1"/>
  <x:c r="I26" i="1"/>
  <x:c r="I25" i="1"/>
  <x:c r="I24" i="1"/>
  <x:c r="I19" i="1"/>
  <x:c r="I17" i="1"/>
  <x:c r="I16" i="1"/>
  <x:c r="I15" i="1"/>
  <x:c r="I14" i="1"/>
  <x:c r="I13" i="1"/>
  <x:c r="I12" i="1"/>
  <x:c r="I11" i="1"/>
  <x:c r="I10" i="1"/>
  <x:c r="I9" i="1"/>
  <x:c r="I8" i="1"/>
  <x:c r="I7" i="1"/>
  <x:c r="I6" i="1"/>
  <x:c r="I5" i="1"/>
  <x:c r="K5" i="1" s="1"/>
  <x:c r="I4" i="1"/>
  <x:c r="I3" i="1"/>
  <x:c r="K3" i="1" s="1"/>
  <x:c r="K23" i="1" l="1"/>
  <x:c r="K7" i="1"/>
  <x:c r="K20" i="1"/>
  <x:c r="K9" i="1"/>
  <x:c r="K11" i="1"/>
  <x:c r="K40" i="1"/>
  <x:c r="L40" i="1"/>
  <x:c r="M20" i="1"/>
  <x:c r="L20" i="1"/>
  <x:c r="O20" i="1" s="1"/>
  <x:c r="M21" i="1"/>
  <x:c r="L21" i="1"/>
  <x:c r="M22" i="1"/>
  <x:c r="L22" i="1"/>
  <x:c r="M23" i="1"/>
  <x:c r="L23" i="1"/>
  <x:c r="I41" i="1"/>
  <x:c r="K13" i="1"/>
  <x:c r="K15" i="1"/>
  <x:c r="K17" i="1"/>
  <x:c r="M17" i="1" s="1"/>
  <x:c r="I18" i="1"/>
  <x:c r="I42" i="1" s="1"/>
  <x:c r="K24" i="1"/>
  <x:c r="K26" i="1"/>
  <x:c r="K28" i="1"/>
  <x:c r="K30" i="1"/>
  <x:c r="K32" i="1"/>
  <x:c r="K34" i="1"/>
  <x:c r="K36" i="1"/>
  <x:c r="K38" i="1"/>
  <x:c r="K4" i="1"/>
  <x:c r="M4" i="1" s="1"/>
  <x:c r="K6" i="1"/>
  <x:c r="M6" i="1" s="1"/>
  <x:c r="K8" i="1"/>
  <x:c r="L8" i="1" s="1"/>
  <x:c r="K10" i="1"/>
  <x:c r="M10" i="1" s="1"/>
  <x:c r="K12" i="1"/>
  <x:c r="L12" i="1" s="1"/>
  <x:c r="K14" i="1"/>
  <x:c r="M14" i="1" s="1"/>
  <x:c r="K16" i="1"/>
  <x:c r="L16" i="1" s="1"/>
  <x:c r="K19" i="1"/>
  <x:c r="K25" i="1"/>
  <x:c r="K27" i="1"/>
  <x:c r="K29" i="1"/>
  <x:c r="K31" i="1"/>
  <x:c r="K33" i="1"/>
  <x:c r="K35" i="1"/>
  <x:c r="K37" i="1"/>
  <x:c r="K39" i="1"/>
  <x:c r="L3" i="1"/>
  <x:c r="M3" i="1"/>
  <x:c r="M5" i="1"/>
  <x:c r="L5" i="1"/>
  <x:c r="M7" i="1"/>
  <x:c r="L7" i="1"/>
  <x:c r="M9" i="1"/>
  <x:c r="L9" i="1"/>
  <x:c r="M11" i="1"/>
  <x:c r="L11" i="1"/>
  <x:c r="M13" i="1"/>
  <x:c r="L13" i="1"/>
  <x:c r="M15" i="1"/>
  <x:c r="L15" i="1"/>
  <x:c r="M40" i="1" l="1"/>
  <x:c r="O40" i="1" s="1"/>
  <x:c r="O21" i="1"/>
  <x:c r="L17" i="1"/>
  <x:c r="O22" i="1"/>
  <x:c r="L14" i="1"/>
  <x:c r="L10" i="1"/>
  <x:c r="M8" i="1"/>
  <x:c r="L6" i="1"/>
  <x:c r="O23" i="1"/>
  <x:c r="L39" i="1"/>
  <x:c r="M39" i="1"/>
  <x:c r="M37" i="1"/>
  <x:c r="L37" i="1"/>
  <x:c r="O37" i="1" s="1"/>
  <x:c r="M35" i="1"/>
  <x:c r="L35" i="1"/>
  <x:c r="M33" i="1"/>
  <x:c r="L33" i="1"/>
  <x:c r="O33" i="1" s="1"/>
  <x:c r="M31" i="1"/>
  <x:c r="L31" i="1"/>
  <x:c r="O31" i="1" s="1"/>
  <x:c r="M29" i="1"/>
  <x:c r="L29" i="1"/>
  <x:c r="O29" i="1" s="1"/>
  <x:c r="M27" i="1"/>
  <x:c r="L27" i="1"/>
  <x:c r="O27" i="1" s="1"/>
  <x:c r="M25" i="1"/>
  <x:c r="L25" i="1"/>
  <x:c r="O25" i="1" s="1"/>
  <x:c r="M19" i="1"/>
  <x:c r="L19" i="1"/>
  <x:c r="M38" i="1"/>
  <x:c r="L38" i="1"/>
  <x:c r="O38" i="1" s="1"/>
  <x:c r="M36" i="1"/>
  <x:c r="L36" i="1"/>
  <x:c r="O36" i="1" s="1"/>
  <x:c r="M34" i="1"/>
  <x:c r="L34" i="1"/>
  <x:c r="O34" i="1" s="1"/>
  <x:c r="M32" i="1"/>
  <x:c r="L32" i="1"/>
  <x:c r="M30" i="1"/>
  <x:c r="L30" i="1"/>
  <x:c r="O30" i="1" s="1"/>
  <x:c r="M28" i="1"/>
  <x:c r="L28" i="1"/>
  <x:c r="O28" i="1" s="1"/>
  <x:c r="M26" i="1"/>
  <x:c r="L26" i="1"/>
  <x:c r="O26" i="1" s="1"/>
  <x:c r="M24" i="1"/>
  <x:c r="L24" i="1"/>
  <x:c r="O24" i="1" s="1"/>
  <x:c r="K42" i="1"/>
  <x:c r="M16" i="1"/>
  <x:c r="M12" i="1"/>
  <x:c r="L4" i="1"/>
  <x:c r="O32" i="1" l="1"/>
  <x:c r="O39" i="1"/>
  <x:c r="L42" i="1"/>
  <x:c r="M42" i="1"/>
  <x:c r="O35" i="1"/>
  <x:c r="O41" i="1"/>
  <x:c r="K48" i="1"/>
  <x:c r="O42" i="1" l="1"/>
</x:calcChain>
</file>

<file path=xl/sharedStrings.xml><?xml version="1.0" encoding="utf-8"?>
<sst xmlns="http://schemas.openxmlformats.org/spreadsheetml/2006/main" count="58" uniqueCount="42">
  <si>
    <t>NTU DIST</t>
  </si>
  <si>
    <t>NTU TRAN</t>
  </si>
  <si>
    <t>Grand Total</t>
  </si>
  <si>
    <t>1993</t>
  </si>
  <si>
    <t>2004</t>
  </si>
  <si>
    <t>2005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</si>
  <si>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</si>
  <si>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</si>
  <si>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</si>
  <si>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</si>
  <si>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</si>
  <si>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</si>
  <si>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</si>
  <si>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</si>
  <si>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</si>
  <si>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2016</t>
  </si>
  <si>
    <t>2017</t>
  </si>
  <si>
    <t>2018</t>
  </si>
  <si>
    <t>2011</t>
  </si>
  <si>
    <t>2019</t>
  </si>
  <si>
    <t>2020</t>
  </si>
  <si>
    <t>2021</t>
  </si>
  <si>
    <t>Account</t>
  </si>
  <si>
    <t>Vintage Year</t>
  </si>
  <si>
    <t>ASL</t>
  </si>
  <si>
    <t>RL</t>
  </si>
  <si>
    <t>Net Salvage</t>
  </si>
  <si>
    <t>Theo Reser</t>
  </si>
  <si>
    <t>Proration</t>
  </si>
  <si>
    <t>Allloc Res</t>
  </si>
  <si>
    <t xml:space="preserve">NTUSU DIST </t>
  </si>
  <si>
    <t>NTUSU TRAN</t>
  </si>
  <si>
    <t>361 Total</t>
  </si>
  <si>
    <t>362 Total</t>
  </si>
  <si>
    <t>Plant</t>
  </si>
  <si>
    <t>RESERVE</t>
  </si>
  <si>
    <t>2024</t>
  </si>
  <si>
    <t>2023</t>
  </si>
  <si>
    <t>2022</t>
  </si>
  <si>
    <t>Per Book Reserve</t>
  </si>
  <si>
    <t>Difference</t>
  </si>
  <si>
    <t>Proration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</si>
</sst>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3" fontId="2" fillId="0" borderId="0" xfId="1" applyFont="1"/>
    <xf numFmtId="0" fontId="3" fillId="0" borderId="0" xfId="0" applyFont="1"/>
    <xf numFmtId="43" fontId="3" fillId="0" borderId="0" xfId="1" applyFont="1"/>
    <xf numFmtId="0" fontId="2" fillId="0" borderId="0" xfId="0" applyFont="1"/>
    <xf numFmtId="0" fontId="2" fillId="0" borderId="0" xfId="0" applyNumberFormat="1" applyFont="1"/>
    <xf numFmtId="0" fontId="3" fillId="0" borderId="0" xfId="0" applyNumberFormat="1" applyFont="1"/>
    <xf numFmtId="10" fontId="3" fillId="0" borderId="0" xfId="0" applyNumberFormat="1" applyFont="1"/>
    <xf numFmtId="10" fontId="2" fillId="0" borderId="0" xfId="0" applyNumberFormat="1" applyFont="1"/>
    <xf numFmtId="43" fontId="2" fillId="0" borderId="0" xfId="0" applyNumberFormat="1" applyFont="1"/>
    <xf numFmtId="43" fontId="3" fillId="0" borderId="1" xfId="1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750130F-517E-4F32-B173-BCA9380FFA05}" mc:Ignorable="x14ac xr xr2 xr3">
  <x:sheetPr>
    <x:pageSetUpPr fitToPage="1"/>
  </x:sheetPr>
  <x:dimension ref="A1:O48"/>
  <x:sheetViews>
    <x:sheetView tabSelected="1" workbookViewId="0">
      <x:selection activeCell="H20" sqref="H20"/>
    </x:sheetView>
  </x:sheetViews>
  <x:sheetFormatPr defaultColWidth="9.125" defaultRowHeight="15.65" outlineLevelRow="2" x14ac:dyDescent="0.25"/>
  <x:cols>
    <x:col min="1" max="1" width="14.125" style="4" bestFit="1" customWidth="1"/>
    <x:col min="2" max="2" width="15.125" style="4" bestFit="1" customWidth="1"/>
    <x:col min="3" max="3" width="18.875" style="1" bestFit="1" customWidth="1"/>
    <x:col min="4" max="5" width="17.625" style="1" bestFit="1" customWidth="1"/>
    <x:col min="6" max="7" width="8.375" style="1" bestFit="1" customWidth="1"/>
    <x:col min="8" max="8" width="14.375" style="8" bestFit="1" customWidth="1"/>
    <x:col min="9" max="9" width="17.625" style="1" bestFit="1" customWidth="1"/>
    <x:col min="10" max="10" width="12.875" style="1" bestFit="1" customWidth="1"/>
    <x:col min="11" max="11" width="18.25" style="1" bestFit="1" customWidth="1"/>
    <x:col min="12" max="12" width="17.625" style="1" bestFit="1" customWidth="1"/>
    <x:col min="13" max="13" width="29" style="1" customWidth="1"/>
    <x:col min="14" max="14" width="9.125" style="4"/>
    <x:col min="15" max="15" width="16.25" style="4" customWidth="1"/>
    <x:col min="16" max="16384" width="9.125" style="4"/>
  </x:cols>
  <x:sheetData>
    <x:row r="1" spans="1:15" x14ac:dyDescent="0.25">
      <x:c r="C1" s="10" t="s">
        <x:v>34</x:v>
      </x:c>
      <x:c r="D1" s="11"/>
      <x:c r="E1" s="12"/>
      <x:c r="K1" s="10" t="s">
        <x:v>35</x:v>
      </x:c>
      <x:c r="L1" s="11"/>
      <x:c r="M1" s="12"/>
    </x:row>
    <x:row r="2" spans="1:15" x14ac:dyDescent="0.25">
      <x:c r="A2" s="2" t="s">
        <x:v>22</x:v>
      </x:c>
      <x:c r="B2" s="2" t="s">
        <x:v>23</x:v>
      </x:c>
      <x:c r="C2" s="3" t="s">
        <x:v>2</x:v>
      </x:c>
      <x:c r="D2" s="3" t="s">
        <x:v>0</x:v>
      </x:c>
      <x:c r="E2" s="3" t="s">
        <x:v>1</x:v>
      </x:c>
      <x:c r="F2" s="3" t="s">
        <x:v>24</x:v>
      </x:c>
      <x:c r="G2" s="3" t="s">
        <x:v>25</x:v>
      </x:c>
      <x:c r="H2" s="7" t="s">
        <x:v>26</x:v>
      </x:c>
      <x:c r="I2" s="3" t="s">
        <x:v>27</x:v>
      </x:c>
      <x:c r="J2" s="3" t="s">
        <x:v>28</x:v>
      </x:c>
      <x:c r="K2" s="3" t="s">
        <x:v>29</x:v>
      </x:c>
      <x:c r="L2" s="3" t="s">
        <x:v>30</x:v>
      </x:c>
      <x:c r="M2" s="3" t="s">
        <x:v>31</x:v>
      </x:c>
    </x:row>
    <x:row r="3" spans="1:15" outlineLevel="2" x14ac:dyDescent="0.25">
      <x:c r="A3" s="4">
        <x:v>361</x:v>
      </x:c>
      <x:c r="B3" s="4" t="s">
        <x:v>17</x:v>
      </x:c>
      <x:c r="C3" s="1">
        <x:v>548908.31999999995</x:v>
      </x:c>
      <x:c r="D3" s="1">
        <x:v>384548.20546295249</x:v>
      </x:c>
      <x:c r="E3" s="1">
        <x:v>164360.11453704748</x:v>
      </x:c>
      <x:c r="F3" s="1">
        <x:v>65</x:v>
      </x:c>
      <x:c r="G3" s="1">
        <x:v>58.510458</x:v>
      </x:c>
      <x:c r="H3" s="8">
        <x:v>-0.4</x:v>
      </x:c>
      <x:c r="I3" s="1">
        <x:f t="shared" ref="I3:I17" si="0">+(1-H3)*(1-G3/F3)*C3</x:f>
        <x:v>76723.523623157205</x:v>
      </x:c>
      <x:c r="J3" s="1">
        <x:f t="shared" ref="J3:J17" si="1">$K$44</x:f>
        <x:v>1.3477397814985097</x:v>
      </x:c>
      <x:c r="K3" s="1">
        <x:f t="shared" ref="K3:K17" si="2">IF((C3*(1-H3)-I3*J3)&lt;0,C3*(1-H3),I3*J3)</x:f>
        <x:v>103403.34496366965</x:v>
      </x:c>
      <x:c r="L3" s="1">
        <x:f t="shared" ref="L3:L17" si="3">+K3*D3/C3</x:f>
        <x:v>72441.187892079673</x:v>
      </x:c>
      <x:c r="M3" s="1">
        <x:f t="shared" ref="M3:M17" si="4">+K3*E3/C3</x:f>
        <x:v>30962.15707158998</x:v>
      </x:c>
      <x:c r="O3" s="9">
        <x:f>+K3-L3-M3</x:f>
        <x:v>0</x:v>
      </x:c>
    </x:row>
    <x:row r="4" spans="1:15" outlineLevel="2" x14ac:dyDescent="0.25">
      <x:c r="A4" s="4">
        <x:v>361</x:v>
      </x:c>
      <x:c r="B4" s="4" t="s">
        <x:v>16</x:v>
      </x:c>
      <x:c r="C4" s="1">
        <x:v>806888.29</x:v>
      </x:c>
      <x:c r="D4" s="1">
        <x:v>532235.5446960564</x:v>
      </x:c>
      <x:c r="E4" s="1">
        <x:v>274652.74530394364</x:v>
      </x:c>
      <x:c r="F4" s="1">
        <x:v>65</x:v>
      </x:c>
      <x:c r="G4" s="1">
        <x:v>57.513595000000002</x:v>
      </x:c>
      <x:c r="H4" s="8">
        <x:v>-0.4</x:v>
      </x:c>
      <x:c r="I4" s="1">
        <x:f t="shared" si="0"/>
        <x:v>130107.22369502194</x:v>
      </x:c>
      <x:c r="J4" s="1">
        <x:f t="shared" si="1"/>
        <x:v>1.3477397814985097</x:v>
      </x:c>
      <x:c r="K4" s="1">
        <x:f t="shared" si="2"/>
        <x:v>175350.6812341066</x:v>
      </x:c>
      <x:c r="L4" s="1">
        <x:f t="shared" si="3"/>
        <x:v>115663.92336597086</x:v>
      </x:c>
      <x:c r="M4" s="1">
        <x:f t="shared" si="4"/>
        <x:v>59686.757868135734</x:v>
      </x:c>
      <x:c r="O4" s="9">
        <x:f t="shared" ref="O4:O18" si="5">+K4-L4-M4</x:f>
        <x:v>0</x:v>
      </x:c>
    </x:row>
    <x:row r="5" spans="1:15" outlineLevel="2" x14ac:dyDescent="0.25">
      <x:c r="A5" s="4">
        <x:v>361</x:v>
      </x:c>
      <x:c r="B5" s="4" t="s">
        <x:v>15</x:v>
      </x:c>
      <x:c r="C5" s="1">
        <x:v>6277065.7999999989</x:v>
      </x:c>
      <x:c r="D5" s="1">
        <x:v>4394165.764852047</x:v>
      </x:c>
      <x:c r="E5" s="1">
        <x:v>1882900.0351479524</x:v>
      </x:c>
      <x:c r="F5" s="1">
        <x:v>65</x:v>
      </x:c>
      <x:c r="G5" s="1">
        <x:v>56.517285000000001</x:v>
      </x:c>
      <x:c r="H5" s="8">
        <x:v>-0.4</x:v>
      </x:c>
      <x:c r="I5" s="1">
        <x:f t="shared" si="0"/>
        <x:v>1146848.9893031656</x:v>
      </x:c>
      <x:c r="J5" s="1">
        <x:f t="shared" si="1"/>
        <x:v>1.3477397814985097</x:v>
      </x:c>
      <x:c r="K5" s="1">
        <x:f t="shared" si="2"/>
        <x:v>1545654.0062552351</x:v>
      </x:c>
      <x:c r="L5" s="1">
        <x:f t="shared" si="3"/>
        <x:v>1082011.9041277482</x:v>
      </x:c>
      <x:c r="M5" s="1">
        <x:f t="shared" si="4"/>
        <x:v>463642.10212748707</x:v>
      </x:c>
      <x:c r="O5" s="9">
        <x:f t="shared" si="5"/>
        <x:v>0</x:v>
      </x:c>
    </x:row>
    <x:row r="6" spans="1:15" outlineLevel="2" x14ac:dyDescent="0.25">
      <x:c r="A6" s="4">
        <x:v>361</x:v>
      </x:c>
      <x:c r="B6" s="4" t="s">
        <x:v>14</x:v>
      </x:c>
      <x:c r="C6" s="1">
        <x:v>9435470.5599999987</x:v>
      </x:c>
      <x:c r="D6" s="1">
        <x:v>4720157.5343305003</x:v>
      </x:c>
      <x:c r="E6" s="1">
        <x:v>4715313.0256694993</x:v>
      </x:c>
      <x:c r="F6" s="1">
        <x:v>65</x:v>
      </x:c>
      <x:c r="G6" s="1">
        <x:v>55.521743000000001</x:v>
      </x:c>
      <x:c r="H6" s="8">
        <x:v>-0.4</x:v>
      </x:c>
      <x:c r="I6" s="1">
        <x:f t="shared" si="0"/>
        <x:v>1926223.7051855307</x:v>
      </x:c>
      <x:c r="J6" s="1">
        <x:f t="shared" si="1"/>
        <x:v>1.3477397814985097</x:v>
      </x:c>
      <x:c r="K6" s="1">
        <x:f t="shared" si="2"/>
        <x:v>2596048.3155439971</x:v>
      </x:c>
      <x:c r="L6" s="1">
        <x:f t="shared" si="3"/>
        <x:v>1298690.6098831603</x:v>
      </x:c>
      <x:c r="M6" s="1">
        <x:f t="shared" si="4"/>
        <x:v>1297357.7056608372</x:v>
      </x:c>
      <x:c r="O6" s="9">
        <x:f t="shared" si="5"/>
        <x:v>0</x:v>
      </x:c>
    </x:row>
    <x:row r="7" spans="1:15" outlineLevel="2" x14ac:dyDescent="0.25">
      <x:c r="A7" s="4">
        <x:v>361</x:v>
      </x:c>
      <x:c r="B7" s="4" t="s">
        <x:v>13</x:v>
      </x:c>
      <x:c r="C7" s="1">
        <x:v>12544557.540000001</x:v>
      </x:c>
      <x:c r="D7" s="1">
        <x:v>6973519.6545446776</x:v>
      </x:c>
      <x:c r="E7" s="1">
        <x:v>5571037.8854553234</x:v>
      </x:c>
      <x:c r="F7" s="1">
        <x:v>65</x:v>
      </x:c>
      <x:c r="G7" s="1">
        <x:v>54.526969999999999</x:v>
      </x:c>
      <x:c r="H7" s="8">
        <x:v>-0.4</x:v>
      </x:c>
      <x:c r="I7" s="1">
        <x:f t="shared" si="0"/>
        <x:v>2829712.8989908416</x:v>
      </x:c>
      <x:c r="J7" s="1">
        <x:f t="shared" si="1"/>
        <x:v>1.3477397814985097</x:v>
      </x:c>
      <x:c r="K7" s="1">
        <x:f t="shared" si="2"/>
        <x:v>3813716.6441894313</x:v>
      </x:c>
      <x:c r="L7" s="1">
        <x:f t="shared" si="3"/>
        <x:v>2120045.1183963534</x:v>
      </x:c>
      <x:c r="M7" s="1">
        <x:f t="shared" si="4"/>
        <x:v>1693671.5257930781</x:v>
      </x:c>
      <x:c r="O7" s="9">
        <x:f t="shared" si="5"/>
        <x:v>0</x:v>
      </x:c>
    </x:row>
    <x:row r="8" spans="1:15" outlineLevel="2" x14ac:dyDescent="0.25">
      <x:c r="A8" s="4">
        <x:v>361</x:v>
      </x:c>
      <x:c r="B8" s="4" t="s">
        <x:v>12</x:v>
      </x:c>
      <x:c r="C8" s="1">
        <x:v>6072012.5199999996</x:v>
      </x:c>
      <x:c r="D8" s="1">
        <x:v>3618289.0254895925</x:v>
      </x:c>
      <x:c r="E8" s="1">
        <x:v>2453723.4945104071</x:v>
      </x:c>
      <x:c r="F8" s="1">
        <x:v>65</x:v>
      </x:c>
      <x:c r="G8" s="1">
        <x:v>53.533188000000003</x:v>
      </x:c>
      <x:c r="H8" s="8">
        <x:v>-0.4</x:v>
      </x:c>
      <x:c r="I8" s="1">
        <x:f t="shared" si="0"/>
        <x:v>1499650.4067673956</x:v>
      </x:c>
      <x:c r="J8" s="1">
        <x:f t="shared" si="1"/>
        <x:v>1.3477397814985097</x:v>
      </x:c>
      <x:c r="K8" s="1">
        <x:f t="shared" si="2"/>
        <x:v>2021138.5115408408</x:v>
      </x:c>
      <x:c r="L8" s="1">
        <x:f t="shared" si="3"/>
        <x:v>1204388.7049334666</x:v>
      </x:c>
      <x:c r="M8" s="1">
        <x:f t="shared" si="4"/>
        <x:v>816749.80660737422</x:v>
      </x:c>
      <x:c r="O8" s="9">
        <x:f t="shared" si="5"/>
        <x:v>0</x:v>
      </x:c>
    </x:row>
    <x:row r="9" spans="1:15" outlineLevel="2" x14ac:dyDescent="0.25">
      <x:c r="A9" s="4">
        <x:v>361</x:v>
      </x:c>
      <x:c r="B9" s="4" t="s">
        <x:v>11</x:v>
      </x:c>
      <x:c r="C9" s="1">
        <x:v>517826.47</x:v>
      </x:c>
      <x:c r="D9" s="1">
        <x:v>225321.89773151753</x:v>
      </x:c>
      <x:c r="E9" s="1">
        <x:v>292504.57226848247</x:v>
      </x:c>
      <x:c r="F9" s="1">
        <x:v>65</x:v>
      </x:c>
      <x:c r="G9" s="1">
        <x:v>52.540466000000002</x:v>
      </x:c>
      <x:c r="H9" s="8">
        <x:v>-0.4</x:v>
      </x:c>
      <x:c r="I9" s="1">
        <x:f t="shared" si="0"/>
        <x:v>138963.49404139954</x:v>
      </x:c>
      <x:c r="J9" s="1">
        <x:f t="shared" si="1"/>
        <x:v>1.3477397814985097</x:v>
      </x:c>
      <x:c r="K9" s="1">
        <x:f t="shared" si="2"/>
        <x:v>187286.62909562528</x:v>
      </x:c>
      <x:c r="L9" s="1">
        <x:f t="shared" si="3"/>
        <x:v>81494.054731433745</x:v>
      </x:c>
      <x:c r="M9" s="1">
        <x:f t="shared" si="4"/>
        <x:v>105792.57436419153</x:v>
      </x:c>
      <x:c r="O9" s="9">
        <x:f t="shared" si="5"/>
        <x:v>0</x:v>
      </x:c>
    </x:row>
    <x:row r="10" spans="1:15" outlineLevel="2" x14ac:dyDescent="0.25">
      <x:c r="A10" s="4">
        <x:v>361</x:v>
      </x:c>
      <x:c r="B10" s="4" t="s">
        <x:v>10</x:v>
      </x:c>
      <x:c r="C10" s="1">
        <x:v>827583.22</x:v>
      </x:c>
      <x:c r="D10" s="1">
        <x:v>461333.49910322763</x:v>
      </x:c>
      <x:c r="E10" s="1">
        <x:v>366249.72089677234</x:v>
      </x:c>
      <x:c r="F10" s="1">
        <x:v>65</x:v>
      </x:c>
      <x:c r="G10" s="1">
        <x:v>50.558951</x:v>
      </x:c>
      <x:c r="H10" s="8">
        <x:v>-0.4</x:v>
      </x:c>
      <x:c r="I10" s="1">
        <x:f t="shared" si="0"/>
        <x:v>257409.81175749065</x:v>
      </x:c>
      <x:c r="J10" s="1">
        <x:f t="shared" si="1"/>
        <x:v>1.3477397814985097</x:v>
      </x:c>
      <x:c r="K10" s="1">
        <x:f t="shared" si="2"/>
        <x:v>346921.44345361297</x:v>
      </x:c>
      <x:c r="L10" s="1">
        <x:f t="shared" si="3"/>
        <x:v>193390.19877952311</x:v>
      </x:c>
      <x:c r="M10" s="1">
        <x:f t="shared" si="4"/>
        <x:v>153531.24467408986</x:v>
      </x:c>
      <x:c r="O10" s="9">
        <x:f t="shared" si="5"/>
        <x:v>0</x:v>
      </x:c>
    </x:row>
    <x:row r="11" spans="1:15" outlineLevel="2" x14ac:dyDescent="0.25">
      <x:c r="A11" s="4">
        <x:v>361</x:v>
      </x:c>
      <x:c r="B11" s="4" t="s">
        <x:v>9</x:v>
      </x:c>
      <x:c r="C11" s="1">
        <x:v>79275.350000000006</x:v>
      </x:c>
      <x:c r="D11" s="1">
        <x:v>22702.886221270626</x:v>
      </x:c>
      <x:c r="E11" s="1">
        <x:v>56572.463778729376</x:v>
      </x:c>
      <x:c r="F11" s="1">
        <x:v>65</x:v>
      </x:c>
      <x:c r="G11" s="1">
        <x:v>49.570459999999997</x:v>
      </x:c>
      <x:c r="H11" s="8">
        <x:v>-0.4</x:v>
      </x:c>
      <x:c r="I11" s="1">
        <x:f t="shared" si="0"/>
        <x:v>26345.462421147698</x:v>
      </x:c>
      <x:c r="J11" s="1">
        <x:f t="shared" si="1"/>
        <x:v>1.3477397814985097</x:v>
      </x:c>
      <x:c r="K11" s="1">
        <x:f t="shared" si="2"/>
        <x:v>35506.827766954797</x:v>
      </x:c>
      <x:c r="L11" s="1">
        <x:f t="shared" si="3"/>
        <x:v>10168.45048140976</x:v>
      </x:c>
      <x:c r="M11" s="1">
        <x:f t="shared" si="4"/>
        <x:v>25338.377285545037</x:v>
      </x:c>
      <x:c r="O11" s="9">
        <x:f t="shared" si="5"/>
        <x:v>0</x:v>
      </x:c>
    </x:row>
    <x:row r="12" spans="1:15" outlineLevel="2" x14ac:dyDescent="0.25">
      <x:c r="A12" s="4">
        <x:v>361</x:v>
      </x:c>
      <x:c r="B12" s="4" t="s">
        <x:v>8</x:v>
      </x:c>
      <x:c r="C12" s="1">
        <x:v>304351.73000000004</x:v>
      </x:c>
      <x:c r="D12" s="1">
        <x:v>232473.71780045881</x:v>
      </x:c>
      <x:c r="E12" s="1">
        <x:v>71878.012199541219</x:v>
      </x:c>
      <x:c r="F12" s="1">
        <x:v>65</x:v>
      </x:c>
      <x:c r="G12" s="1">
        <x:v>48.583865000000003</x:v>
      </x:c>
      <x:c r="H12" s="8">
        <x:v>-0.4</x:v>
      </x:c>
      <x:c r="I12" s="1">
        <x:f t="shared" si="0"/>
        <x:v>107612.16495429182</x:v>
      </x:c>
      <x:c r="J12" s="1">
        <x:f t="shared" si="1"/>
        <x:v>1.3477397814985097</x:v>
      </x:c>
      <x:c r="K12" s="1">
        <x:f t="shared" si="2"/>
        <x:v>145033.19568207883</x:v>
      </x:c>
      <x:c r="L12" s="1">
        <x:f t="shared" si="3"/>
        <x:v>110781.05652527197</x:v>
      </x:c>
      <x:c r="M12" s="1">
        <x:f t="shared" si="4"/>
        <x:v>34252.139156806865</x:v>
      </x:c>
      <x:c r="O12" s="9">
        <x:f t="shared" si="5"/>
        <x:v>0</x:v>
      </x:c>
    </x:row>
    <x:row r="13" spans="1:15" outlineLevel="2" x14ac:dyDescent="0.25">
      <x:c r="A13" s="4">
        <x:v>361</x:v>
      </x:c>
      <x:c r="B13" s="4" t="s">
        <x:v>7</x:v>
      </x:c>
      <x:c r="C13" s="1">
        <x:v>1074.33</x:v>
      </x:c>
      <x:c r="D13" s="1">
        <x:v>641.66994297111455</x:v>
      </x:c>
      <x:c r="E13" s="1">
        <x:v>432.66005702888532</x:v>
      </x:c>
      <x:c r="F13" s="1">
        <x:v>65</x:v>
      </x:c>
      <x:c r="G13" s="1">
        <x:v>47.599161000000002</x:v>
      </x:c>
      <x:c r="H13" s="8">
        <x:v>-0.4</x:v>
      </x:c>
      <x:c r="I13" s="1">
        <x:f t="shared" si="0"/>
        <x:v>402.64524166181525</x:v>
      </x:c>
      <x:c r="J13" s="1">
        <x:f t="shared" si="1"/>
        <x:v>1.3477397814985097</x:v>
      </x:c>
      <x:c r="K13" s="1">
        <x:f t="shared" si="2"/>
        <x:v>542.66101001870948</x:v>
      </x:c>
      <x:c r="L13" s="1">
        <x:f t="shared" si="3"/>
        <x:v>324.11759827180919</x:v>
      </x:c>
      <x:c r="M13" s="1">
        <x:f t="shared" si="4"/>
        <x:v>218.54341174690029</x:v>
      </x:c>
      <x:c r="O13" s="9">
        <x:f t="shared" si="5"/>
        <x:v>0</x:v>
      </x:c>
    </x:row>
    <x:row r="14" spans="1:15" outlineLevel="2" x14ac:dyDescent="0.25">
      <x:c r="A14" s="4">
        <x:v>361</x:v>
      </x:c>
      <x:c r="B14" s="4" t="s">
        <x:v>6</x:v>
      </x:c>
      <x:c r="C14" s="1">
        <x:v>821.55</x:v>
      </x:c>
      <x:c r="D14" s="1">
        <x:v>189.52508347540538</x:v>
      </x:c>
      <x:c r="E14" s="1">
        <x:v>632.02491652459457</x:v>
      </x:c>
      <x:c r="F14" s="1">
        <x:v>65</x:v>
      </x:c>
      <x:c r="G14" s="1">
        <x:v>46.616928999999999</x:v>
      </x:c>
      <x:c r="H14" s="8">
        <x:v>-0.4</x:v>
      </x:c>
      <x:c r="I14" s="1">
        <x:f t="shared" si="0"/>
        <x:v>325.28702726261542</x:v>
      </x:c>
      <x:c r="J14" s="1">
        <x:f t="shared" si="1"/>
        <x:v>1.3477397814985097</x:v>
      </x:c>
      <x:c r="K14" s="1">
        <x:f t="shared" si="2"/>
        <x:v>438.40226704721709</x:v>
      </x:c>
      <x:c r="L14" s="1">
        <x:f t="shared" si="3"/>
        <x:v>101.13593361077328</x:v>
      </x:c>
      <x:c r="M14" s="1">
        <x:f t="shared" si="4"/>
        <x:v>337.26633343644386</x:v>
      </x:c>
      <x:c r="O14" s="9">
        <x:f t="shared" si="5"/>
        <x:v>0</x:v>
      </x:c>
    </x:row>
    <x:row r="15" spans="1:15" outlineLevel="2" x14ac:dyDescent="0.25">
      <x:c r="A15" s="4">
        <x:v>361</x:v>
      </x:c>
      <x:c r="B15" s="4" t="s">
        <x:v>5</x:v>
      </x:c>
      <x:c r="C15" s="1">
        <x:v>725.54</x:v>
      </x:c>
      <x:c r="D15" s="1">
        <x:v>586.89139862883189</x:v>
      </x:c>
      <x:c r="E15" s="1">
        <x:v>138.64860137116807</x:v>
      </x:c>
      <x:c r="F15" s="1">
        <x:v>65</x:v>
      </x:c>
      <x:c r="G15" s="1">
        <x:v>45.636958</x:v>
      </x:c>
      <x:c r="H15" s="8">
        <x:v>-0.4</x:v>
      </x:c>
      <x:c r="I15" s="1">
        <x:f t="shared" si="0"/>
        <x:v>302.58655522695386</x:v>
      </x:c>
      <x:c r="J15" s="1">
        <x:f t="shared" si="1"/>
        <x:v>1.3477397814985097</x:v>
      </x:c>
      <x:c r="K15" s="1">
        <x:f t="shared" si="2"/>
        <x:v>407.80793782596152</x:v>
      </x:c>
      <x:c r="L15" s="1">
        <x:f t="shared" si="3"/>
        <x:v>329.87701712189306</x:v>
      </x:c>
      <x:c r="M15" s="1">
        <x:f t="shared" si="4"/>
        <x:v>77.93092070406847</x:v>
      </x:c>
      <x:c r="O15" s="9">
        <x:f t="shared" si="5"/>
        <x:v>0</x:v>
      </x:c>
    </x:row>
    <x:row r="16" spans="1:15" outlineLevel="2" x14ac:dyDescent="0.25">
      <x:c r="A16" s="4">
        <x:v>361</x:v>
      </x:c>
      <x:c r="B16" s="4" t="s">
        <x:v>4</x:v>
      </x:c>
      <x:c r="C16" s="1">
        <x:v>5802.31</x:v>
      </x:c>
      <x:c r="D16" s="1">
        <x:v>3713.9510847614561</x:v>
      </x:c>
      <x:c r="E16" s="1">
        <x:v>2088.3589152385443</x:v>
      </x:c>
      <x:c r="F16" s="1">
        <x:v>65</x:v>
      </x:c>
      <x:c r="G16" s="1">
        <x:v>44.660153000000001</x:v>
      </x:c>
      <x:c r="H16" s="8">
        <x:v>-0.4</x:v>
      </x:c>
      <x:c r="I16" s="1">
        <x:f t="shared" si="0"/>
        <x:v>2541.9282570030464</x:v>
      </x:c>
      <x:c r="J16" s="1">
        <x:f t="shared" si="1"/>
        <x:v>1.3477397814985097</x:v>
      </x:c>
      <x:c r="K16" s="1">
        <x:f t="shared" si="2"/>
        <x:v>3425.8578336781734</x:v>
      </x:c>
      <x:c r="L16" s="1">
        <x:f t="shared" si="3"/>
        <x:v>2192.8281008128802</x:v>
      </x:c>
      <x:c r="M16" s="1">
        <x:f t="shared" si="4"/>
        <x:v>1233.0297328652932</x:v>
      </x:c>
      <x:c r="O16" s="9">
        <x:f t="shared" si="5"/>
        <x:v>0</x:v>
      </x:c>
    </x:row>
    <x:row r="17" spans="1:15" outlineLevel="2" x14ac:dyDescent="0.25">
      <x:c r="A17" s="4">
        <x:v>361</x:v>
      </x:c>
      <x:c r="B17" s="4" t="s">
        <x:v>3</x:v>
      </x:c>
      <x:c r="C17" s="1">
        <x:v>250640.91999999998</x:v>
      </x:c>
      <x:c r="D17" s="1">
        <x:v>147403.33361193776</x:v>
      </x:c>
      <x:c r="E17" s="1">
        <x:v>103237.58638806222</x:v>
      </x:c>
      <x:c r="F17" s="1">
        <x:v>65</x:v>
      </x:c>
      <x:c r="G17" s="1">
        <x:v>34.196973</x:v>
      </x:c>
      <x:c r="H17" s="8">
        <x:v>-0.4</x:v>
      </x:c>
      <x:c r="I17" s="1">
        <x:f t="shared" si="0"/>
        <x:v>166287.67133062732</x:v>
      </x:c>
      <x:c r="J17" s="1">
        <x:f t="shared" si="1"/>
        <x:v>1.3477397814985097</x:v>
      </x:c>
      <x:c r="K17" s="1">
        <x:f t="shared" si="2"/>
        <x:v>224112.50982503567</x:v>
      </x:c>
      <x:c r="L17" s="1">
        <x:f t="shared" si="3"/>
        <x:v>131801.8265028249</x:v>
      </x:c>
      <x:c r="M17" s="1">
        <x:f t="shared" si="4"/>
        <x:v>92310.683322210767</x:v>
      </x:c>
      <x:c r="O17" s="9">
        <x:f t="shared" si="5"/>
        <x:v>0</x:v>
      </x:c>
    </x:row>
    <x:row r="18" spans="1:15" outlineLevel="1" x14ac:dyDescent="0.25">
      <x:c r="A18" s="2" t="s">
        <x:v>32</x:v>
      </x:c>
      <x:c r="C18" s="1">
        <x:f>SUBTOTAL(9,C3:C17)</x:f>
        <x:v>37673004.449999996</x:v>
      </x:c>
      <x:c r="D18" s="1">
        <x:f>SUBTOTAL(9,D3:D17)</x:f>
        <x:v>21717283.101354074</x:v>
      </x:c>
      <x:c r="E18" s="1">
        <x:f>SUBTOTAL(9,E3:E17)</x:f>
        <x:v>15955721.348645924</x:v>
      </x:c>
      <x:c r="I18" s="1">
        <x:f>SUBTOTAL(9,I3:I17)</x:f>
        <x:v>8309457.7991512232</x:v>
      </x:c>
      <x:c r="K18" s="1">
        <x:f>SUBTOTAL(9,K3:K17)</x:f>
        <x:v>11198986.838599158</x:v>
      </x:c>
      <x:c r="L18" s="1">
        <x:f>SUBTOTAL(9,L3:L17)</x:f>
        <x:v>6423824.99426906</x:v>
      </x:c>
      <x:c r="M18" s="1">
        <x:f>SUBTOTAL(9,M3:M17)</x:f>
        <x:v>4775161.8443301003</x:v>
      </x:c>
      <x:c r="O18" s="9">
        <x:f t="shared" si="5"/>
        <x:v>0</x:v>
      </x:c>
    </x:row>
    <x:row r="19" spans="1:15" outlineLevel="2" x14ac:dyDescent="0.25">
      <x:c r="A19" s="5">
        <x:v>362</x:v>
      </x:c>
      <x:c r="B19" s="4" t="s">
        <x:v>36</x:v>
      </x:c>
      <x:c r="C19" s="1">
        <x:v>105640.59</x:v>
      </x:c>
      <x:c r="D19" s="1">
        <x:v>69433.185087220423</x:v>
      </x:c>
      <x:c r="E19" s="1">
        <x:v>36207.404912779581</x:v>
      </x:c>
      <x:c r="F19" s="1">
        <x:v>55</x:v>
      </x:c>
      <x:c r="G19" s="1">
        <x:v>54.628754999999998</x:v>
      </x:c>
      <x:c r="H19" s="8">
        <x:v>-0.3</x:v>
      </x:c>
      <x:c r="I19" s="1">
        <x:f>+(1-H19)*(1-G19/F19)*C19</x:f>
        <x:v>926.98369245300285</x:v>
      </x:c>
      <x:c r="J19" s="1">
        <x:f t="shared" ref="J19:J40" si="6">$K$44</x:f>
        <x:v>1.3477397814985097</x:v>
      </x:c>
      <x:c r="K19" s="1">
        <x:f>IF((C19*(1-H19)-I19*J19)&lt;0,C19*(1-H19),I19*J19)</x:f>
        <x:v>1249.3327991192918</x:v>
      </x:c>
      <x:c r="L19" s="1">
        <x:f t="shared" ref="L19:L39" si="7">+K19*D19/C19</x:f>
        <x:v>821.13471229936295</x:v>
      </x:c>
      <x:c r="M19" s="1">
        <x:f t="shared" ref="M19:M39" si="8">+K19*E19/C19</x:f>
        <x:v>428.1980868199289</x:v>
      </x:c>
      <x:c r="O19" s="9">
        <x:f>+K19-L19-M19</x:f>
        <x:v>0</x:v>
      </x:c>
    </x:row>
    <x:row r="20" spans="1:15" outlineLevel="2" x14ac:dyDescent="0.25">
      <x:c r="A20" s="5">
        <x:v>362</x:v>
      </x:c>
      <x:c r="B20" s="4" t="s">
        <x:v>37</x:v>
      </x:c>
      <x:c r="C20" s="1">
        <x:v>77874.090000000011</x:v>
      </x:c>
      <x:c r="D20" s="1">
        <x:v>10746.070138304622</x:v>
      </x:c>
      <x:c r="E20" s="1">
        <x:v>67128.019861695386</x:v>
      </x:c>
      <x:c r="F20" s="1">
        <x:v>55</x:v>
      </x:c>
      <x:c r="G20" s="1">
        <x:v>53.889442000000003</x:v>
      </x:c>
      <x:c r="H20" s="8">
        <x:v>-0.3</x:v>
      </x:c>
      <x:c r="I20" s="1">
        <x:f t="shared" ref="I20:I23" si="9">+(1-H20)*(1-G20/F20)*C20</x:f>
        <x:v>2044.1600315433736</x:v>
      </x:c>
      <x:c r="J20" s="1">
        <x:f t="shared" si="6"/>
        <x:v>1.3477397814985097</x:v>
      </x:c>
      <x:c r="K20" s="1">
        <x:f t="shared" ref="K20:K23" si="10">IF((C20*(1-H20)-I20*J20)&lt;0,C20*(1-H20),I20*J20)</x:f>
        <x:v>2754.9957942602532</x:v>
      </x:c>
      <x:c r="L20" s="1">
        <x:f t="shared" si="7"/>
        <x:v>380.16981047040071</x:v>
      </x:c>
      <x:c r="M20" s="1">
        <x:f t="shared" si="8"/>
        <x:v>2374.8259837898527</x:v>
      </x:c>
      <x:c r="O20" s="9">
        <x:f t="shared" ref="O20:O42" si="11">+K20-L20-M20</x:f>
        <x:v>0</x:v>
      </x:c>
    </x:row>
    <x:row r="21" spans="1:15" outlineLevel="2" x14ac:dyDescent="0.25">
      <x:c r="A21" s="5">
        <x:v>362</x:v>
      </x:c>
      <x:c r="B21" s="4" t="s">
        <x:v>38</x:v>
      </x:c>
      <x:c r="C21" s="1">
        <x:v>34191.81</x:v>
      </x:c>
      <x:c r="D21" s="1">
        <x:v>43655.18</x:v>
      </x:c>
      <x:c r="E21" s="1">
        <x:v>-9463.3700000000026</x:v>
      </x:c>
      <x:c r="F21" s="1">
        <x:v>55</x:v>
      </x:c>
      <x:c r="G21" s="1">
        <x:v>53.154283</x:v>
      </x:c>
      <x:c r="H21" s="8">
        <x:v>-0.3</x:v>
      </x:c>
      <x:c r="I21" s="1">
        <x:f t="shared" si="9"/>
        <x:v>1491.6532085654728</x:v>
      </x:c>
      <x:c r="J21" s="1">
        <x:f t="shared" si="6"/>
        <x:v>1.3477397814985097</x:v>
      </x:c>
      <x:c r="K21" s="1">
        <x:f t="shared" si="10"/>
        <x:v>2010.3603693835812</x:v>
      </x:c>
      <x:c r="L21" s="1">
        <x:f t="shared" si="7"/>
        <x:v>2566.7738499455495</x:v>
      </x:c>
      <x:c r="M21" s="1">
        <x:f t="shared" si="8"/>
        <x:v>-556.41348056196819</x:v>
      </x:c>
      <x:c r="O21" s="9">
        <x:f t="shared" si="11"/>
        <x:v>0</x:v>
      </x:c>
    </x:row>
    <x:row r="22" spans="1:15" outlineLevel="2" x14ac:dyDescent="0.25">
      <x:c r="A22" s="5">
        <x:v>362</x:v>
      </x:c>
      <x:c r="B22" s="4" t="s">
        <x:v>21</x:v>
      </x:c>
      <x:c r="C22" s="1">
        <x:v>318887.8</x:v>
      </x:c>
      <x:c r="D22" s="1">
        <x:v>194463.97999999998</x:v>
      </x:c>
      <x:c r="E22" s="1">
        <x:v>124423.82</x:v>
      </x:c>
      <x:c r="F22" s="1">
        <x:v>55</x:v>
      </x:c>
      <x:c r="G22" s="1">
        <x:v>52.423191000000003</x:v>
      </x:c>
      <x:c r="H22" s="8">
        <x:v>-0.3</x:v>
      </x:c>
      <x:c r="I22" s="1">
        <x:f t="shared" si="9"/>
        <x:v>19422.306162531957</x:v>
      </x:c>
      <x:c r="J22" s="1">
        <x:f t="shared" si="6"/>
        <x:v>1.3477397814985097</x:v>
      </x:c>
      <x:c r="K22" s="1">
        <x:f t="shared" si="10"/>
        <x:v>26176.214663687977</x:v>
      </x:c>
      <x:c r="L22" s="1">
        <x:f t="shared" si="7"/>
        <x:v>15962.764598818534</x:v>
      </x:c>
      <x:c r="M22" s="1">
        <x:f t="shared" si="8"/>
        <x:v>10213.450064869443</x:v>
      </x:c>
      <x:c r="O22" s="9">
        <x:f t="shared" si="11"/>
        <x:v>0</x:v>
      </x:c>
    </x:row>
    <x:row r="23" spans="1:15" outlineLevel="2" x14ac:dyDescent="0.25">
      <x:c r="A23" s="5">
        <x:v>362</x:v>
      </x:c>
      <x:c r="B23" s="4" t="s">
        <x:v>20</x:v>
      </x:c>
      <x:c r="C23" s="1">
        <x:v>27597.1</x:v>
      </x:c>
      <x:c r="D23" s="1">
        <x:v>27597.1</x:v>
      </x:c>
      <x:c r="F23" s="1">
        <x:v>55</x:v>
      </x:c>
      <x:c r="G23" s="1">
        <x:v>51.696072999999998</x:v>
      </x:c>
      <x:c r="H23" s="8">
        <x:v>-0.3</x:v>
      </x:c>
      <x:c r="I23" s="1">
        <x:f t="shared" si="9"/>
        <x:v>2155.1353628219995</x:v>
      </x:c>
      <x:c r="J23" s="1">
        <x:f t="shared" si="6"/>
        <x:v>1.3477397814985097</x:v>
      </x:c>
      <x:c r="K23" s="1">
        <x:f t="shared" si="10"/>
        <x:v>2904.561662989433</x:v>
      </x:c>
      <x:c r="L23" s="1">
        <x:f t="shared" si="7"/>
        <x:v>2904.561662989433</x:v>
      </x:c>
      <x:c r="M23" s="1">
        <x:f t="shared" si="8"/>
        <x:v>0</x:v>
      </x:c>
      <x:c r="O23" s="9">
        <x:f t="shared" si="11"/>
        <x:v>0</x:v>
      </x:c>
    </x:row>
    <x:row r="24" spans="1:15" outlineLevel="2" x14ac:dyDescent="0.25">
      <x:c r="A24" s="5">
        <x:v>362</x:v>
      </x:c>
      <x:c r="B24" s="4" t="s">
        <x:v>19</x:v>
      </x:c>
      <x:c r="C24" s="1">
        <x:v>660415.21</x:v>
      </x:c>
      <x:c r="D24" s="1">
        <x:v>7640.1466725727314</x:v>
      </x:c>
      <x:c r="E24" s="1">
        <x:v>652775.06332742725</x:v>
      </x:c>
      <x:c r="F24" s="1">
        <x:v>55</x:v>
      </x:c>
      <x:c r="G24" s="1">
        <x:v>50.972836999999998</x:v>
      </x:c>
      <x:c r="H24" s="8">
        <x:v>-0.3</x:v>
      </x:c>
      <x:c r="I24" s="1">
        <x:f t="shared" ref="I24:I40" si="12">+(1-H24)*(1-G24/F24)*C24</x:f>
        <x:v>62863.265597345475</x:v>
      </x:c>
      <x:c r="J24" s="1">
        <x:f t="shared" si="6"/>
        <x:v>1.3477397814985097</x:v>
      </x:c>
      <x:c r="K24" s="1">
        <x:f t="shared" ref="K24:K40" si="13">IF((C24*(1-H24)-I24*J24)&lt;0,C24*(1-H24),I24*J24)</x:f>
        <x:v>84723.323840449171</x:v>
      </x:c>
      <x:c r="L24" s="1">
        <x:f t="shared" si="7"/>
        <x:v>980.13887464661775</x:v>
      </x:c>
      <x:c r="M24" s="1">
        <x:f t="shared" si="8"/>
        <x:v>83743.18496580256</x:v>
      </x:c>
      <x:c r="O24" s="9">
        <x:f t="shared" si="11"/>
        <x:v>0</x:v>
      </x:c>
    </x:row>
    <x:row r="25" spans="1:15" outlineLevel="2" x14ac:dyDescent="0.25">
      <x:c r="A25" s="5">
        <x:v>362</x:v>
      </x:c>
      <x:c r="B25" s="4" t="s">
        <x:v>17</x:v>
      </x:c>
      <x:c r="C25" s="1">
        <x:v>4690015.24</x:v>
      </x:c>
      <x:c r="D25" s="1">
        <x:v>3052988.393395653</x:v>
      </x:c>
      <x:c r="E25" s="1">
        <x:v>1637026.8466043468</x:v>
      </x:c>
      <x:c r="F25" s="1">
        <x:v>55</x:v>
      </x:c>
      <x:c r="G25" s="1">
        <x:v>50.253726</x:v>
      </x:c>
      <x:c r="H25" s="8">
        <x:v>-0.3</x:v>
      </x:c>
      <x:c r="I25" s="1">
        <x:f t="shared" si="12"/>
        <x:v>526147.75656691834</x:v>
      </x:c>
      <x:c r="J25" s="1">
        <x:f t="shared" si="6"/>
        <x:v>1.3477397814985097</x:v>
      </x:c>
      <x:c r="K25" s="1">
        <x:f t="shared" si="13"/>
        <x:v>709110.26247142954</x:v>
      </x:c>
      <x:c r="L25" s="1">
        <x:f t="shared" si="7"/>
        <x:v>461598.79876275611</x:v>
      </x:c>
      <x:c r="M25" s="1">
        <x:f t="shared" si="8"/>
        <x:v>247511.46370867334</x:v>
      </x:c>
      <x:c r="O25" s="9">
        <x:f t="shared" si="11"/>
        <x:v>0</x:v>
      </x:c>
    </x:row>
    <x:row r="26" spans="1:15" outlineLevel="2" x14ac:dyDescent="0.25">
      <x:c r="A26" s="5">
        <x:v>362</x:v>
      </x:c>
      <x:c r="B26" s="4" t="s">
        <x:v>16</x:v>
      </x:c>
      <x:c r="C26" s="1">
        <x:v>12985848.09</x:v>
      </x:c>
      <x:c r="D26" s="1">
        <x:v>9149848.0644475948</x:v>
      </x:c>
      <x:c r="E26" s="1">
        <x:v>3836000.025552406</x:v>
      </x:c>
      <x:c r="F26" s="1">
        <x:v>55</x:v>
      </x:c>
      <x:c r="G26" s="1">
        <x:v>49.538302999999999</x:v>
      </x:c>
      <x:c r="H26" s="8">
        <x:v>-0.3</x:v>
      </x:c>
      <x:c r="I26" s="1">
        <x:f t="shared" si="12"/>
        <x:v>1676403.5967689347</x:v>
      </x:c>
      <x:c r="J26" s="1">
        <x:f t="shared" si="6"/>
        <x:v>1.3477397814985097</x:v>
      </x:c>
      <x:c r="K26" s="1">
        <x:f t="shared" si="13"/>
        <x:v>2259355.8172126799</x:v>
      </x:c>
      <x:c r="L26" s="1">
        <x:f t="shared" si="7"/>
        <x:v>1591945.5015757736</x:v>
      </x:c>
      <x:c r="M26" s="1">
        <x:f t="shared" si="8"/>
        <x:v>667410.31563690631</x:v>
      </x:c>
      <x:c r="O26" s="9">
        <x:f t="shared" si="11"/>
        <x:v>0</x:v>
      </x:c>
    </x:row>
    <x:row r="27" spans="1:15" outlineLevel="2" x14ac:dyDescent="0.25">
      <x:c r="A27" s="5">
        <x:v>362</x:v>
      </x:c>
      <x:c r="B27" s="4" t="s">
        <x:v>15</x:v>
      </x:c>
      <x:c r="C27" s="1">
        <x:v>18737878.990000002</x:v>
      </x:c>
      <x:c r="D27" s="1">
        <x:v>15117155.325396447</x:v>
      </x:c>
      <x:c r="E27" s="1">
        <x:v>3620723.6646035542</x:v>
      </x:c>
      <x:c r="F27" s="1">
        <x:v>55</x:v>
      </x:c>
      <x:c r="G27" s="1">
        <x:v>48.826461999999999</x:v>
      </x:c>
      <x:c r="H27" s="8">
        <x:v>-0.3</x:v>
      </x:c>
      <x:c r="I27" s="1">
        <x:f t="shared" si="12"/>
        <x:v>2734231.0978075755</x:v>
      </x:c>
      <x:c r="J27" s="1">
        <x:f t="shared" si="6"/>
        <x:v>1.3477397814985097</x:v>
      </x:c>
      <x:c r="K27" s="1">
        <x:f t="shared" si="13"/>
        <x:v>3685032.0223256121</x:v>
      </x:c>
      <x:c r="L27" s="1">
        <x:f t="shared" si="7"/>
        <x:v>2972972.6342178741</x:v>
      </x:c>
      <x:c r="M27" s="1">
        <x:f t="shared" si="8"/>
        <x:v>712059.38810773776</x:v>
      </x:c>
      <x:c r="O27" s="9">
        <x:f t="shared" si="11"/>
        <x:v>0</x:v>
      </x:c>
    </x:row>
    <x:row r="28" spans="1:15" outlineLevel="2" x14ac:dyDescent="0.25">
      <x:c r="A28" s="5">
        <x:v>362</x:v>
      </x:c>
      <x:c r="B28" s="4" t="s">
        <x:v>14</x:v>
      </x:c>
      <x:c r="C28" s="1">
        <x:v>18890652.670000002</x:v>
      </x:c>
      <x:c r="D28" s="1">
        <x:v>11384224.849548982</x:v>
      </x:c>
      <x:c r="E28" s="1">
        <x:v>7506427.8204510175</x:v>
      </x:c>
      <x:c r="F28" s="1">
        <x:v>55</x:v>
      </x:c>
      <x:c r="G28" s="1">
        <x:v>48.118098000000003</x:v>
      </x:c>
      <x:c r="H28" s="8">
        <x:v>-0.3</x:v>
      </x:c>
      <x:c r="I28" s="1">
        <x:f t="shared" si="12"/>
        <x:v>3072812.8456049417</x:v>
      </x:c>
      <x:c r="J28" s="1">
        <x:f t="shared" si="6"/>
        <x:v>1.3477397814985097</x:v>
      </x:c>
      <x:c r="K28" s="1">
        <x:f t="shared" si="13"/>
        <x:v>4141352.1131214178</x:v>
      </x:c>
      <x:c r="L28" s="1">
        <x:f t="shared" si="7"/>
        <x:v>2495736.0902517205</x:v>
      </x:c>
      <x:c r="M28" s="1">
        <x:f t="shared" si="8"/>
        <x:v>1645616.0228696966</x:v>
      </x:c>
      <x:c r="O28" s="9">
        <x:f t="shared" si="11"/>
        <x:v>0</x:v>
      </x:c>
    </x:row>
    <x:row r="29" spans="1:15" outlineLevel="2" x14ac:dyDescent="0.25">
      <x:c r="A29" s="5">
        <x:v>362</x:v>
      </x:c>
      <x:c r="B29" s="4" t="s">
        <x:v>13</x:v>
      </x:c>
      <x:c r="C29" s="1">
        <x:v>20977731.309999999</x:v>
      </x:c>
      <x:c r="D29" s="1">
        <x:v>9352156.6196183991</x:v>
      </x:c>
      <x:c r="E29" s="1">
        <x:v>11625574.6903816</x:v>
      </x:c>
      <x:c r="F29" s="1">
        <x:v>55</x:v>
      </x:c>
      <x:c r="G29" s="1">
        <x:v>47.413103999999997</x:v>
      </x:c>
      <x:c r="H29" s="8">
        <x:v>-0.3</x:v>
      </x:c>
      <x:c r="I29" s="1">
        <x:f t="shared" si="12"/>
        <x:v>3761865.9180797823</x:v>
      </x:c>
      <x:c r="J29" s="1">
        <x:f t="shared" si="6"/>
        <x:v>1.3477397814985097</x:v>
      </x:c>
      <x:c r="K29" s="1">
        <x:f t="shared" si="13"/>
        <x:v>5070016.3504595365</x:v>
      </x:c>
      <x:c r="L29" s="1">
        <x:f t="shared" si="7"/>
        <x:v>2260281.9281473425</x:v>
      </x:c>
      <x:c r="M29" s="1">
        <x:f t="shared" si="8"/>
        <x:v>2809734.422312194</x:v>
      </x:c>
      <x:c r="O29" s="9">
        <x:f t="shared" si="11"/>
        <x:v>0</x:v>
      </x:c>
    </x:row>
    <x:row r="30" spans="1:15" outlineLevel="2" x14ac:dyDescent="0.25">
      <x:c r="A30" s="5">
        <x:v>362</x:v>
      </x:c>
      <x:c r="B30" s="4" t="s">
        <x:v>12</x:v>
      </x:c>
      <x:c r="C30" s="1">
        <x:v>13686198.93</x:v>
      </x:c>
      <x:c r="D30" s="1">
        <x:v>8738035.3087610491</x:v>
      </x:c>
      <x:c r="E30" s="1">
        <x:v>4948163.6212389497</x:v>
      </x:c>
      <x:c r="F30" s="1">
        <x:v>55</x:v>
      </x:c>
      <x:c r="G30" s="1">
        <x:v>46.711534999999998</x:v>
      </x:c>
      <x:c r="H30" s="8">
        <x:v>-0.3</x:v>
      </x:c>
      <x:c r="I30" s="1">
        <x:f t="shared" si="12"/>
        <x:v>2681251.9101571869</x:v>
      </x:c>
      <x:c r="J30" s="1">
        <x:f t="shared" si="6"/>
        <x:v>1.3477397814985097</x:v>
      </x:c>
      <x:c r="K30" s="1">
        <x:f t="shared" si="13"/>
        <x:v>3613629.8635377088</x:v>
      </x:c>
      <x:c r="L30" s="1">
        <x:f t="shared" si="7"/>
        <x:v>2307143.5321001778</x:v>
      </x:c>
      <x:c r="M30" s="1">
        <x:f t="shared" si="8"/>
        <x:v>1306486.3314375309</x:v>
      </x:c>
      <x:c r="O30" s="9">
        <x:f t="shared" si="11"/>
        <x:v>0</x:v>
      </x:c>
    </x:row>
    <x:row r="31" spans="1:15" outlineLevel="2" x14ac:dyDescent="0.25">
      <x:c r="A31" s="5">
        <x:v>362</x:v>
      </x:c>
      <x:c r="B31" s="4" t="s">
        <x:v>11</x:v>
      </x:c>
      <x:c r="C31" s="1">
        <x:v>846090.94000000006</x:v>
      </x:c>
      <x:c r="D31" s="1">
        <x:v>113317.26135144266</x:v>
      </x:c>
      <x:c r="E31" s="1">
        <x:v>732773.6786485574</x:v>
      </x:c>
      <x:c r="F31" s="1">
        <x:v>55</x:v>
      </x:c>
      <x:c r="G31" s="1">
        <x:v>46.013267999999997</x:v>
      </x:c>
      <x:c r="H31" s="8">
        <x:v>-0.3</x:v>
      </x:c>
      <x:c r="I31" s="1">
        <x:f t="shared" si="12"/>
        <x:v>179721.27787328194</x:v>
      </x:c>
      <x:c r="J31" s="1">
        <x:f t="shared" si="6"/>
        <x:v>1.3477397814985097</x:v>
      </x:c>
      <x:c r="K31" s="1">
        <x:f t="shared" si="13"/>
        <x:v>242217.51577156995</x:v>
      </x:c>
      <x:c r="L31" s="1">
        <x:f t="shared" si="7"/>
        <x:v>32440.278273851003</x:v>
      </x:c>
      <x:c r="M31" s="1">
        <x:f t="shared" si="8"/>
        <x:v>209777.23749771895</x:v>
      </x:c>
      <x:c r="O31" s="9">
        <x:f t="shared" si="11"/>
        <x:v>0</x:v>
      </x:c>
    </x:row>
    <x:row r="32" spans="1:15" outlineLevel="2" x14ac:dyDescent="0.25">
      <x:c r="A32" s="5">
        <x:v>362</x:v>
      </x:c>
      <x:c r="B32" s="4" t="s">
        <x:v>18</x:v>
      </x:c>
      <x:c r="C32" s="1">
        <x:v>46433.26</x:v>
      </x:c>
      <x:c r="D32" s="1">
        <x:v>2541.0090100011994</x:v>
      </x:c>
      <x:c r="E32" s="1">
        <x:v>43892.2509899988</x:v>
      </x:c>
      <x:c r="F32" s="1">
        <x:v>55</x:v>
      </x:c>
      <x:c r="G32" s="1">
        <x:v>45.318030999999998</x:v>
      </x:c>
      <x:c r="H32" s="8">
        <x:v>-0.3</x:v>
      </x:c>
      <x:c r="I32" s="1">
        <x:f t="shared" si="12"/>
        <x:v>10626.090891920405</x:v>
      </x:c>
      <x:c r="J32" s="1">
        <x:f t="shared" si="6"/>
        <x:v>1.3477397814985097</x:v>
      </x:c>
      <x:c r="K32" s="1">
        <x:f t="shared" si="13"/>
        <x:v>14321.20541686011</x:v>
      </x:c>
      <x:c r="L32" s="1">
        <x:f t="shared" si="7"/>
        <x:v>783.71219247409124</x:v>
      </x:c>
      <x:c r="M32" s="1">
        <x:f t="shared" si="8"/>
        <x:v>13537.493224386017</x:v>
      </x:c>
      <x:c r="O32" s="9">
        <x:f t="shared" si="11"/>
        <x:v>0</x:v>
      </x:c>
    </x:row>
    <x:row r="33" spans="1:15" outlineLevel="2" x14ac:dyDescent="0.25">
      <x:c r="A33" s="5">
        <x:v>362</x:v>
      </x:c>
      <x:c r="B33" s="4" t="s">
        <x:v>10</x:v>
      </x:c>
      <x:c r="C33" s="1">
        <x:v>2100043.6</x:v>
      </x:c>
      <x:c r="D33" s="1">
        <x:v>1258949.4112851191</x:v>
      </x:c>
      <x:c r="E33" s="1">
        <x:v>841094.18871488096</x:v>
      </x:c>
      <x:c r="F33" s="1">
        <x:v>55</x:v>
      </x:c>
      <x:c r="G33" s="1">
        <x:v>44.625705000000004</x:v>
      </x:c>
      <x:c r="H33" s="8">
        <x:v>-0.3</x:v>
      </x:c>
      <x:c r="I33" s="1">
        <x:f t="shared" si="12"/>
        <x:v>514952.97027346533</x:v>
      </x:c>
      <x:c r="J33" s="1">
        <x:f t="shared" si="6"/>
        <x:v>1.3477397814985097</x:v>
      </x:c>
      <x:c r="K33" s="1">
        <x:f t="shared" si="13"/>
        <x:v>694022.60363836878</x:v>
      </x:c>
      <x:c r="L33" s="1">
        <x:f t="shared" si="7"/>
        <x:v>416057.71816789417</x:v>
      </x:c>
      <x:c r="M33" s="1">
        <x:f t="shared" si="8"/>
        <x:v>277964.8854704746</x:v>
      </x:c>
      <x:c r="O33" s="9">
        <x:f t="shared" si="11"/>
        <x:v>0</x:v>
      </x:c>
    </x:row>
    <x:row r="34" spans="1:15" outlineLevel="2" x14ac:dyDescent="0.25">
      <x:c r="A34" s="5">
        <x:v>362</x:v>
      </x:c>
      <x:c r="B34" s="4" t="s">
        <x:v>9</x:v>
      </x:c>
      <x:c r="C34" s="1">
        <x:v>114405.98999999999</x:v>
      </x:c>
      <x:c r="D34" s="1">
        <x:v>94853.518910350409</x:v>
      </x:c>
      <x:c r="E34" s="1">
        <x:v>19552.471089649585</x:v>
      </x:c>
      <x:c r="F34" s="1">
        <x:v>55</x:v>
      </x:c>
      <x:c r="G34" s="1">
        <x:v>43.936168000000002</x:v>
      </x:c>
      <x:c r="H34" s="8">
        <x:v>-0.3</x:v>
      </x:c>
      <x:c r="I34" s="1">
        <x:f t="shared" si="12"/>
        <x:v>29918.168165450606</x:v>
      </x:c>
      <x:c r="J34" s="1">
        <x:f t="shared" si="6"/>
        <x:v>1.3477397814985097</x:v>
      </x:c>
      <x:c r="K34" s="1">
        <x:f t="shared" si="13"/>
        <x:v>40321.905426140067</x:v>
      </x:c>
      <x:c r="L34" s="1">
        <x:f t="shared" si="7"/>
        <x:v>33430.720007228098</x:v>
      </x:c>
      <x:c r="M34" s="1">
        <x:f t="shared" si="8"/>
        <x:v>6891.1854189119686</x:v>
      </x:c>
      <x:c r="O34" s="9">
        <x:f t="shared" si="11"/>
        <x:v>0</x:v>
      </x:c>
    </x:row>
    <x:row r="35" spans="1:15" outlineLevel="2" x14ac:dyDescent="0.25">
      <x:c r="A35" s="5">
        <x:v>362</x:v>
      </x:c>
      <x:c r="B35" s="4" t="s">
        <x:v>8</x:v>
      </x:c>
      <x:c r="C35" s="1">
        <x:v>1730688.67</x:v>
      </x:c>
      <x:c r="D35" s="1">
        <x:v>948899.3625633776</x:v>
      </x:c>
      <x:c r="E35" s="1">
        <x:v>781789.30743662245</x:v>
      </x:c>
      <x:c r="F35" s="1">
        <x:v>55</x:v>
      </x:c>
      <x:c r="G35" s="1">
        <x:v>43.249312000000003</x:v>
      </x:c>
      <x:c r="H35" s="8">
        <x:v>-0.3</x:v>
      </x:c>
      <x:c r="I35" s="1">
        <x:f t="shared" si="12"/>
        <x:v>480687.58840357151</x:v>
      </x:c>
      <x:c r="J35" s="1">
        <x:f t="shared" si="6"/>
        <x:v>1.3477397814985097</x:v>
      </x:c>
      <x:c r="K35" s="1">
        <x:f t="shared" si="13"/>
        <x:v>647841.78536407498</x:v>
      </x:c>
      <x:c r="L35" s="1">
        <x:f t="shared" si="7"/>
        <x:v>355197.7128121439</x:v>
      </x:c>
      <x:c r="M35" s="1">
        <x:f t="shared" si="8"/>
        <x:v>292644.07255193114</x:v>
      </x:c>
      <x:c r="O35" s="9">
        <x:f t="shared" si="11"/>
        <x:v>0</x:v>
      </x:c>
    </x:row>
    <x:row r="36" spans="1:15" outlineLevel="2" x14ac:dyDescent="0.25">
      <x:c r="A36" s="5">
        <x:v>362</x:v>
      </x:c>
      <x:c r="B36" s="4" t="s">
        <x:v>7</x:v>
      </x:c>
      <x:c r="C36" s="1">
        <x:v>117420.16</x:v>
      </x:c>
      <x:c r="D36" s="1">
        <x:v>64843.899999999994</x:v>
      </x:c>
      <x:c r="E36" s="1">
        <x:v>52576.26</x:v>
      </x:c>
      <x:c r="F36" s="1">
        <x:v>55</x:v>
      </x:c>
      <x:c r="G36" s="1">
        <x:v>42.565390999999998</x:v>
      </x:c>
      <x:c r="H36" s="8">
        <x:v>-0.3</x:v>
      </x:c>
      <x:c r="I36" s="1">
        <x:f t="shared" si="12"/>
        <x:v>34510.834760230406</x:v>
      </x:c>
      <x:c r="J36" s="1">
        <x:f t="shared" si="6"/>
        <x:v>1.3477397814985097</x:v>
      </x:c>
      <x:c r="K36" s="1">
        <x:f t="shared" si="13"/>
        <x:v>46511.624899084098</x:v>
      </x:c>
      <x:c r="L36" s="1">
        <x:f t="shared" si="7"/>
        <x:v>25685.496883956883</x:v>
      </x:c>
      <x:c r="M36" s="1">
        <x:f t="shared" si="8"/>
        <x:v>20826.128015127208</x:v>
      </x:c>
      <x:c r="O36" s="9">
        <x:f t="shared" si="11"/>
        <x:v>0</x:v>
      </x:c>
    </x:row>
    <x:row r="37" spans="1:15" outlineLevel="2" x14ac:dyDescent="0.25">
      <x:c r="A37" s="5">
        <x:v>362</x:v>
      </x:c>
      <x:c r="B37" s="4" t="s">
        <x:v>6</x:v>
      </x:c>
      <x:c r="C37" s="1">
        <x:v>473874.51000000007</x:v>
      </x:c>
      <x:c r="D37" s="1">
        <x:v>460526.54906099872</x:v>
      </x:c>
      <x:c r="E37" s="1">
        <x:v>13347.960939001343</x:v>
      </x:c>
      <x:c r="F37" s="1">
        <x:v>55</x:v>
      </x:c>
      <x:c r="G37" s="1">
        <x:v>41.884146000000001</x:v>
      </x:c>
      <x:c r="H37" s="8">
        <x:v>-0.3</x:v>
      </x:c>
      <x:c r="I37" s="1">
        <x:f t="shared" si="12"/>
        <x:v>146906.35552229098</x:v>
      </x:c>
      <x:c r="J37" s="1">
        <x:f t="shared" si="6"/>
        <x:v>1.3477397814985097</x:v>
      </x:c>
      <x:c r="K37" s="1">
        <x:f t="shared" si="13"/>
        <x:v>197991.53949235482</x:v>
      </x:c>
      <x:c r="L37" s="1">
        <x:f t="shared" si="7"/>
        <x:v>192414.57073875653</x:v>
      </x:c>
      <x:c r="M37" s="1">
        <x:f t="shared" si="8"/>
        <x:v>5576.9687535982748</x:v>
      </x:c>
      <x:c r="O37" s="9">
        <x:f t="shared" si="11"/>
        <x:v>0</x:v>
      </x:c>
    </x:row>
    <x:row r="38" spans="1:15" outlineLevel="2" x14ac:dyDescent="0.25">
      <x:c r="A38" s="5">
        <x:v>362</x:v>
      </x:c>
      <x:c r="B38" s="4" t="s">
        <x:v>5</x:v>
      </x:c>
      <x:c r="C38" s="1">
        <x:v>96778.780000000013</x:v>
      </x:c>
      <x:c r="D38" s="1">
        <x:v>90259.442091258592</x:v>
      </x:c>
      <x:c r="E38" s="1">
        <x:v>6519.3379087414278</x:v>
      </x:c>
      <x:c r="F38" s="1">
        <x:v>55</x:v>
      </x:c>
      <x:c r="G38" s="1">
        <x:v>41.205655</x:v>
      </x:c>
      <x:c r="H38" s="8">
        <x:v>-0.3</x:v>
      </x:c>
      <x:c r="I38" s="1">
        <x:f t="shared" si="12"/>
        <x:v>31554.542618160551</x:v>
      </x:c>
      <x:c r="J38" s="1">
        <x:f t="shared" si="6"/>
        <x:v>1.3477397814985097</x:v>
      </x:c>
      <x:c r="K38" s="1">
        <x:f t="shared" si="13"/>
        <x:v>42527.312373485111</x:v>
      </x:c>
      <x:c r="L38" s="1">
        <x:f t="shared" si="7"/>
        <x:v>39662.532307923735</x:v>
      </x:c>
      <x:c r="M38" s="1">
        <x:f t="shared" si="8"/>
        <x:v>2864.7800655613746</x:v>
      </x:c>
      <x:c r="O38" s="9">
        <x:f t="shared" si="11"/>
        <x:v>0</x:v>
      </x:c>
    </x:row>
    <x:row r="39" spans="1:15" outlineLevel="2" x14ac:dyDescent="0.25">
      <x:c r="A39" s="5">
        <x:v>362</x:v>
      </x:c>
      <x:c r="B39" s="4" t="s">
        <x:v>4</x:v>
      </x:c>
      <x:c r="C39" s="1">
        <x:v>676043.35</x:v>
      </x:c>
      <x:c r="D39" s="1">
        <x:v>409703.95047643292</x:v>
      </x:c>
      <x:c r="E39" s="1">
        <x:v>266339.39952356706</x:v>
      </x:c>
      <x:c r="F39" s="1">
        <x:v>55</x:v>
      </x:c>
      <x:c r="G39" s="1">
        <x:v>40.530034000000001</x:v>
      </x:c>
      <x:c r="H39" s="8">
        <x:v>-0.3</x:v>
      </x:c>
      <x:c r="I39" s="1">
        <x:f t="shared" si="12"/>
        <x:v>231218.57410425326</x:v>
      </x:c>
      <x:c r="J39" s="1">
        <x:f t="shared" si="6"/>
        <x:v>1.3477397814985097</x:v>
      </x:c>
      <x:c r="K39" s="1">
        <x:f t="shared" si="13"/>
        <x:v>311622.47054166324</x:v>
      </x:c>
      <x:c r="L39" s="1">
        <x:f t="shared" si="7"/>
        <x:v>188853.21072701222</x:v>
      </x:c>
      <x:c r="M39" s="1">
        <x:f t="shared" si="8"/>
        <x:v>122769.25981465101</x:v>
      </x:c>
      <x:c r="O39" s="9">
        <x:f t="shared" si="11"/>
        <x:v>0</x:v>
      </x:c>
    </x:row>
    <x:row r="40" spans="1:15" outlineLevel="2" x14ac:dyDescent="0.25">
      <x:c r="A40" s="5">
        <x:v>362</x:v>
      </x:c>
      <x:c r="B40" s="4" t="s">
        <x:v>3</x:v>
      </x:c>
      <x:c r="C40" s="1">
        <x:v>5762853.6299999999</x:v>
      </x:c>
      <x:c r="D40" s="1">
        <x:v>4195236.96442293</x:v>
      </x:c>
      <x:c r="E40" s="1">
        <x:v>1567616.6655770696</x:v>
      </x:c>
      <x:c r="F40" s="1">
        <x:v>55</x:v>
      </x:c>
      <x:c r="G40" s="1">
        <x:v>33.342480999999999</x:v>
      </x:c>
      <x:c r="H40" s="8">
        <x:v>-0.3</x:v>
      </x:c>
      <x:c r="I40" s="1">
        <x:f t="shared" si="12"/>
        <x:v>2950033.5560314022</x:v>
      </x:c>
      <x:c r="J40" s="1">
        <x:f t="shared" si="6"/>
        <x:v>1.3477397814985097</x:v>
      </x:c>
      <x:c r="K40" s="1">
        <x:f t="shared" si="13"/>
        <x:v>3975877.5802190336</x:v>
      </x:c>
      <x:c r="L40" s="1">
        <x:f t="shared" ref="L40" si="14">+K40*D40/C40</x:f>
        <x:v>2894355.7587033985</x:v>
      </x:c>
      <x:c r="M40" s="1">
        <x:f t="shared" ref="M40" si="15">+K40*E40/C40</x:f>
        <x:v>1081521.8215156351</x:v>
      </x:c>
      <x:c r="O40" s="9">
        <x:f t="shared" si="11"/>
        <x:v>0</x:v>
      </x:c>
    </x:row>
    <x:row r="41" spans="1:15" outlineLevel="1" x14ac:dyDescent="0.25">
      <x:c r="A41" s="6" t="s">
        <x:v>33</x:v>
      </x:c>
      <x:c r="C41" s="1">
        <x:f>SUBTOTAL(9,C19:C40)</x:f>
        <x:v>103157564.72</x:v>
      </x:c>
      <x:c r="D41" s="1">
        <x:f>SUBTOTAL(9,D19:D40)</x:f>
        <x:v>64787075.592238128</x:v>
      </x:c>
      <x:c r="E41" s="1">
        <x:f>SUBTOTAL(9,E19:E40)</x:f>
        <x:v>38370489.127761856</x:v>
      </x:c>
      <x:c r="I41" s="1">
        <x:f>SUBTOTAL(9,I19:I40)</x:f>
        <x:v>19151746.587684628</x:v>
      </x:c>
      <x:c r="K41" s="1">
        <x:f>SUBTOTAL(9,K19:K40)</x:f>
        <x:v>25811570.761400919</x:v>
      </x:c>
      <x:c r="L41" s="1">
        <x:f>SUBTOTAL(9,L19:L40)</x:f>
        <x:v>16292175.739379451</x:v>
      </x:c>
      <x:c r="M41" s="1">
        <x:f>SUBTOTAL(9,M19:M40)</x:f>
        <x:v>9519395.0220214557</x:v>
      </x:c>
      <x:c r="O41" s="9">
        <x:f t="shared" si="11"/>
        <x:v>0</x:v>
      </x:c>
    </x:row>
    <x:row r="42" spans="1:15" x14ac:dyDescent="0.25">
      <x:c r="A42" s="6" t="s">
        <x:v>2</x:v>
      </x:c>
      <x:c r="C42" s="1">
        <x:f>SUBTOTAL(9,C3:C40)</x:f>
        <x:v>140830569.16999999</x:v>
      </x:c>
      <x:c r="D42" s="1">
        <x:f>SUBTOTAL(9,D3:D40)</x:f>
        <x:v>86504358.693592191</x:v>
      </x:c>
      <x:c r="E42" s="1">
        <x:f>SUBTOTAL(9,E3:E40)</x:f>
        <x:v>54326210.476407781</x:v>
      </x:c>
      <x:c r="I42" s="1">
        <x:f>SUBTOTAL(9,I3:I40)</x:f>
        <x:v>27461204.386835847</x:v>
      </x:c>
      <x:c r="K42" s="1">
        <x:f>SUBTOTAL(9,K3:K40)</x:f>
        <x:v>37010557.600000076</x:v>
      </x:c>
      <x:c r="L42" s="1">
        <x:f>SUBTOTAL(9,L3:L40)</x:f>
        <x:v>22716000.73364852</x:v>
      </x:c>
      <x:c r="M42" s="1">
        <x:f>SUBTOTAL(9,M3:M40)</x:f>
        <x:v>14294556.866351554</x:v>
      </x:c>
      <x:c r="O42" s="9">
        <x:f t="shared" si="11"/>
        <x:v>0</x:v>
      </x:c>
    </x:row>
    <x:row r="44" spans="1:15" x14ac:dyDescent="0.25">
      <x:c r="K44" s="1">
        <x:v>1.3477397814985097</x:v>
      </x:c>
      <x:c r="L44" s="1" t="s">
        <x:v>41</x:v>
      </x:c>
    </x:row>
    <x:row r="46" spans="1:15" x14ac:dyDescent="0.25">
      <x:c r="K46" s="1">
        <x:v>-37010557.600000001</x:v>
      </x:c>
      <x:c r="L46" s="1" t="s">
        <x:v>39</x:v>
      </x:c>
    </x:row>
    <x:row r="48" spans="1:15" x14ac:dyDescent="0.25">
      <x:c r="K48" s="1">
        <x:f>+K42+K46</x:f>
        <x:v>7.4505805969238281E-8</x:v>
      </x:c>
      <x:c r="L48" s="1" t="s">
        <x:v>40</x:v>
      </x:c>
    </x:row>
  </x:sheetData>
  <x:sortState xmlns:xlrd2="http://schemas.microsoft.com/office/spreadsheetml/2017/richdata2" ref="A3:E40">
    <x:sortCondition ref="A3:A40"/>
    <x:sortCondition descending="1" ref="B3:B40"/>
  </x:sortState>
  <x:mergeCells count="2">
    <x:mergeCell ref="C1:E1"/>
    <x:mergeCell ref="K1:M1"/>
  </x:mergeCells>
  <x:pageMargins left="0.75" right="0.75" top="2" bottom="1" header="0.75" footer="0.5"/>
  <x:pageSetup scale="53" orientation="landscape" r:id="rId1"/>
  <x:headerFooter>
    <x:oddHeader>&amp;C
2025 RATE CASE
ONCOR ELECTRIC DELIVERY COMPANY LLC
WP/II-B-5_4  ACCUMULATED DEPRECIATION NTUSU DISTRIBUTION SUBSTATION
TEST YEAR ENDING DECEMBER 31, 2024
SPONSOR: D. A. WATSON
&amp;RWP/II-B-5/4 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2025-04-04T19:00:31.0000000Z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