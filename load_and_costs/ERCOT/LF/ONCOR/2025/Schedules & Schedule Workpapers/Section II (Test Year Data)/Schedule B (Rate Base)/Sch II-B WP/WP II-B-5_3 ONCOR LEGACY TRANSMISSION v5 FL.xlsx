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A5C804AA-2957-4D01-9182-D4C91FE70F4A}" xr6:coauthVersionLast="47" xr6:coauthVersionMax="47" xr10:uidLastSave="{00000000-0000-0000-0000-000000000000}"/>
  <x:bookViews>
    <x:workbookView xWindow="25974" yWindow="-109" windowWidth="26301" windowHeight="14169" xr2:uid="{E0EBA10E-C1DC-4FC9-8AE5-FE6D2685A509}"/>
  </x:bookViews>
  <x:sheets>
    <x:sheet name="WP II-B-5_03" sheetId="1" r:id="rId1"/>
  </x:sheets>
  <x:definedNames>
    <x:definedName name="_xlnm.Print_Area" localSheetId="0">'WP II-B-5_03'!$A$3:$R$708</x:definedName>
    <x:definedName name="_xlnm.Print_Titles" localSheetId="0">'WP II-B-5_03'!$A:$B,'WP II-B-5_03'!$1:$2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770" i="1" l="1"/>
  <x:c r="T770" i="1" l="1"/>
  <x:c r="S769" i="1"/>
  <x:c r="S770" i="1" s="1"/>
  <x:c r="P769" i="1"/>
  <x:c r="P770" i="1" s="1"/>
  <x:c r="M769" i="1"/>
  <x:c r="M768" i="1"/>
  <x:c r="M767" i="1"/>
  <x:c r="M770" i="1" s="1"/>
  <x:c r="N767" i="1" s="1"/>
  <x:c r="N768" i="1" l="1"/>
  <x:c r="O768" i="1" s="1"/>
  <x:c r="N769" i="1"/>
  <x:c r="O769" i="1" s="1"/>
  <x:c r="O767" i="1"/>
  <x:c r="R769" i="1" l="1"/>
  <x:c r="Q769" i="1"/>
  <x:c r="R768" i="1"/>
  <x:c r="Q768" i="1"/>
  <x:c r="O770" i="1"/>
  <x:c r="Q770" i="1" s="1"/>
  <x:c r="R767" i="1"/>
  <x:c r="Q767" i="1"/>
  <x:c r="F770" i="1"/>
  <x:c r="R770" i="1" s="1"/>
  <x:c r="N114" i="1" l="1"/>
  <x:c r="N115" i="1"/>
  <x:c r="N116" i="1"/>
  <x:c r="N117" i="1"/>
  <x:c r="N118" i="1"/>
  <x:c r="N119" i="1"/>
  <x:c r="N120" i="1"/>
  <x:c r="N121" i="1"/>
  <x:c r="N122" i="1"/>
  <x:c r="N123" i="1"/>
  <x:c r="N124" i="1"/>
  <x:c r="N125" i="1"/>
  <x:c r="N126" i="1"/>
  <x:c r="N127" i="1"/>
  <x:c r="N128" i="1"/>
  <x:c r="N129" i="1"/>
  <x:c r="N130" i="1"/>
  <x:c r="N131" i="1"/>
  <x:c r="N132" i="1"/>
  <x:c r="N133" i="1"/>
  <x:c r="N134" i="1"/>
  <x:c r="N135" i="1"/>
  <x:c r="N136" i="1"/>
  <x:c r="N137" i="1"/>
  <x:c r="N138" i="1"/>
  <x:c r="N139" i="1"/>
  <x:c r="N140" i="1"/>
  <x:c r="N141" i="1"/>
  <x:c r="N142" i="1"/>
  <x:c r="N143" i="1"/>
  <x:c r="N144" i="1"/>
  <x:c r="N145" i="1"/>
  <x:c r="N146" i="1"/>
  <x:c r="N147" i="1"/>
  <x:c r="N148" i="1"/>
  <x:c r="N149" i="1"/>
  <x:c r="N150" i="1"/>
  <x:c r="N151" i="1"/>
  <x:c r="N152" i="1"/>
  <x:c r="N153" i="1"/>
  <x:c r="N154" i="1"/>
  <x:c r="N155" i="1"/>
  <x:c r="N156" i="1"/>
  <x:c r="N157" i="1"/>
  <x:c r="N158" i="1"/>
  <x:c r="N159" i="1"/>
  <x:c r="N160" i="1"/>
  <x:c r="N161" i="1"/>
  <x:c r="N162" i="1"/>
  <x:c r="N163" i="1"/>
  <x:c r="N164" i="1"/>
  <x:c r="N165" i="1"/>
  <x:c r="N166" i="1"/>
  <x:c r="N167" i="1"/>
  <x:c r="N168" i="1"/>
  <x:c r="N169" i="1"/>
  <x:c r="N170" i="1"/>
  <x:c r="N171" i="1"/>
  <x:c r="N172" i="1"/>
  <x:c r="N173" i="1"/>
  <x:c r="N174" i="1"/>
  <x:c r="N175" i="1"/>
  <x:c r="N176" i="1"/>
  <x:c r="N177" i="1"/>
  <x:c r="N178" i="1"/>
  <x:c r="N179" i="1"/>
  <x:c r="N180" i="1"/>
  <x:c r="N181" i="1"/>
  <x:c r="N182" i="1"/>
  <x:c r="N183" i="1"/>
  <x:c r="N184" i="1"/>
  <x:c r="N185" i="1"/>
  <x:c r="N186" i="1"/>
  <x:c r="N187" i="1"/>
  <x:c r="N188" i="1"/>
  <x:c r="N189" i="1"/>
  <x:c r="N190" i="1"/>
  <x:c r="N191" i="1"/>
  <x:c r="N192" i="1"/>
  <x:c r="N193" i="1"/>
  <x:c r="N194" i="1"/>
  <x:c r="N195" i="1"/>
  <x:c r="N196" i="1"/>
  <x:c r="N197" i="1"/>
  <x:c r="N198" i="1"/>
  <x:c r="N199" i="1"/>
  <x:c r="N200" i="1"/>
  <x:c r="N201" i="1"/>
  <x:c r="N202" i="1"/>
  <x:c r="N203" i="1"/>
  <x:c r="N204" i="1"/>
  <x:c r="N205" i="1"/>
  <x:c r="N206" i="1"/>
  <x:c r="N207" i="1"/>
  <x:c r="N208" i="1"/>
  <x:c r="N209" i="1"/>
  <x:c r="N606" i="1" l="1"/>
  <x:c r="N607" i="1"/>
  <x:c r="N608" i="1"/>
  <x:c r="N609" i="1"/>
  <x:c r="N610" i="1"/>
  <x:c r="N611" i="1"/>
  <x:c r="N612" i="1"/>
  <x:c r="N613" i="1"/>
  <x:c r="N614" i="1"/>
  <x:c r="N615" i="1"/>
  <x:c r="N616" i="1"/>
  <x:c r="N617" i="1"/>
  <x:c r="N618" i="1"/>
  <x:c r="N619" i="1"/>
  <x:c r="N620" i="1"/>
  <x:c r="N621" i="1"/>
  <x:c r="N622" i="1"/>
  <x:c r="N623" i="1"/>
  <x:c r="N624" i="1"/>
  <x:c r="N625" i="1"/>
  <x:c r="N626" i="1"/>
  <x:c r="N627" i="1"/>
  <x:c r="N628" i="1"/>
  <x:c r="N629" i="1"/>
  <x:c r="N630" i="1"/>
  <x:c r="N631" i="1"/>
  <x:c r="N632" i="1"/>
  <x:c r="N633" i="1"/>
  <x:c r="N634" i="1"/>
  <x:c r="N635" i="1"/>
  <x:c r="N636" i="1"/>
  <x:c r="N637" i="1"/>
  <x:c r="N638" i="1"/>
  <x:c r="N639" i="1"/>
  <x:c r="N640" i="1"/>
  <x:c r="N641" i="1"/>
  <x:c r="N642" i="1"/>
  <x:c r="N643" i="1"/>
  <x:c r="N644" i="1"/>
  <x:c r="N645" i="1"/>
  <x:c r="N646" i="1"/>
  <x:c r="N647" i="1"/>
  <x:c r="N648" i="1"/>
  <x:c r="N649" i="1"/>
  <x:c r="N650" i="1"/>
  <x:c r="N651" i="1"/>
  <x:c r="N652" i="1"/>
  <x:c r="N658" i="1"/>
  <x:c r="N659" i="1"/>
  <x:c r="N660" i="1"/>
  <x:c r="N661" i="1"/>
  <x:c r="N662" i="1"/>
  <x:c r="N663" i="1"/>
  <x:c r="N664" i="1"/>
  <x:c r="N665" i="1"/>
  <x:c r="N666" i="1"/>
  <x:c r="N667" i="1"/>
  <x:c r="N668" i="1"/>
  <x:c r="N669" i="1"/>
  <x:c r="N670" i="1"/>
  <x:c r="N671" i="1"/>
  <x:c r="N672" i="1"/>
  <x:c r="N673" i="1"/>
  <x:c r="N674" i="1"/>
  <x:c r="N675" i="1"/>
  <x:c r="N676" i="1"/>
  <x:c r="N677" i="1"/>
  <x:c r="N678" i="1"/>
  <x:c r="N679" i="1"/>
  <x:c r="N680" i="1"/>
  <x:c r="N681" i="1"/>
  <x:c r="N682" i="1"/>
  <x:c r="N683" i="1"/>
  <x:c r="N684" i="1"/>
  <x:c r="N685" i="1"/>
  <x:c r="N686" i="1"/>
  <x:c r="N687" i="1"/>
  <x:c r="N688" i="1"/>
  <x:c r="N689" i="1"/>
  <x:c r="N690" i="1"/>
  <x:c r="N691" i="1"/>
  <x:c r="N692" i="1"/>
  <x:c r="N693" i="1"/>
  <x:c r="N694" i="1"/>
  <x:c r="N695" i="1"/>
  <x:c r="N696" i="1"/>
  <x:c r="N697" i="1"/>
  <x:c r="N698" i="1"/>
  <x:c r="N699" i="1"/>
  <x:c r="N700" i="1"/>
  <x:c r="N701" i="1"/>
  <x:c r="N702" i="1"/>
  <x:c r="N703" i="1"/>
  <x:c r="N704" i="1"/>
  <x:c r="N705" i="1"/>
  <x:c r="F657" i="1" l="1"/>
  <x:c r="C657" i="1"/>
  <x:c r="D720" i="1"/>
  <x:c r="C720" i="1"/>
  <x:c r="F749" i="1"/>
  <x:c r="E749" i="1"/>
  <x:c r="D749" i="1"/>
  <x:c r="C749" i="1"/>
  <x:c r="M748" i="1"/>
  <x:c r="O748" i="1" s="1"/>
  <x:c r="G748" i="1"/>
  <x:c r="M747" i="1"/>
  <x:c r="O747" i="1" s="1"/>
  <x:c r="G747" i="1"/>
  <x:c r="M746" i="1"/>
  <x:c r="O746" i="1" s="1"/>
  <x:c r="G746" i="1"/>
  <x:c r="M745" i="1"/>
  <x:c r="O745" i="1" s="1"/>
  <x:c r="G745" i="1"/>
  <x:c r="M744" i="1"/>
  <x:c r="O744" i="1" s="1"/>
  <x:c r="G744" i="1"/>
  <x:c r="M743" i="1"/>
  <x:c r="O743" i="1" s="1"/>
  <x:c r="G743" i="1"/>
  <x:c r="M742" i="1"/>
  <x:c r="G742" i="1"/>
  <x:c r="F764" i="1"/>
  <x:c r="E764" i="1"/>
  <x:c r="D764" i="1"/>
  <x:c r="C764" i="1"/>
  <x:c r="M763" i="1"/>
  <x:c r="O763" i="1" s="1"/>
  <x:c r="G763" i="1"/>
  <x:c r="M762" i="1"/>
  <x:c r="O762" i="1" s="1"/>
  <x:c r="G762" i="1"/>
  <x:c r="M761" i="1"/>
  <x:c r="O761" i="1" s="1"/>
  <x:c r="G761" i="1"/>
  <x:c r="M760" i="1"/>
  <x:c r="O760" i="1" s="1"/>
  <x:c r="G760" i="1"/>
  <x:c r="M759" i="1"/>
  <x:c r="O759" i="1" s="1"/>
  <x:c r="G759" i="1"/>
  <x:c r="M758" i="1"/>
  <x:c r="O758" i="1" s="1"/>
  <x:c r="M757" i="1"/>
  <x:c r="O757" i="1" s="1"/>
  <x:c r="G757" i="1"/>
  <x:c r="M756" i="1"/>
  <x:c r="O756" i="1" s="1"/>
  <x:c r="G756" i="1"/>
  <x:c r="M755" i="1"/>
  <x:c r="O755" i="1" s="1"/>
  <x:c r="G755" i="1"/>
  <x:c r="M754" i="1"/>
  <x:c r="O754" i="1" s="1"/>
  <x:c r="G754" i="1"/>
  <x:c r="M753" i="1"/>
  <x:c r="O753" i="1" s="1"/>
  <x:c r="G753" i="1"/>
  <x:c r="M752" i="1"/>
  <x:c r="O752" i="1" s="1"/>
  <x:c r="G752" i="1"/>
  <x:c r="M751" i="1"/>
  <x:c r="O751" i="1" s="1"/>
  <x:c r="G751" i="1"/>
  <x:c r="M750" i="1"/>
  <x:c r="G750" i="1"/>
  <x:c r="M714" i="1"/>
  <x:c r="M713" i="1"/>
  <x:c r="M120" i="1"/>
  <x:c r="O120" i="1" s="1"/>
  <x:c r="M119" i="1"/>
  <x:c r="O119" i="1" s="1"/>
  <x:c r="M118" i="1"/>
  <x:c r="O118" i="1" s="1"/>
  <x:c r="M117" i="1"/>
  <x:c r="O117" i="1" s="1"/>
  <x:c r="M116" i="1"/>
  <x:c r="O116" i="1" s="1"/>
  <x:c r="M115" i="1"/>
  <x:c r="O115" i="1" s="1"/>
  <x:c r="M725" i="1"/>
  <x:c r="M724" i="1"/>
  <x:c r="M723" i="1"/>
  <x:c r="M722" i="1"/>
  <x:c r="M217" i="1"/>
  <x:c r="O217" i="1" s="1"/>
  <x:c r="M216" i="1"/>
  <x:c r="O216" i="1" s="1"/>
  <x:c r="M215" i="1"/>
  <x:c r="O215" i="1" s="1"/>
  <x:c r="M214" i="1"/>
  <x:c r="O214" i="1" s="1"/>
  <x:c r="M213" i="1"/>
  <x:c r="O213" i="1" s="1"/>
  <x:c r="M212" i="1"/>
  <x:c r="O212" i="1" s="1"/>
  <x:c r="M323" i="1"/>
  <x:c r="O323" i="1" s="1"/>
  <x:c r="M322" i="1"/>
  <x:c r="O322" i="1" s="1"/>
  <x:c r="M321" i="1"/>
  <x:c r="O321" i="1" s="1"/>
  <x:c r="M320" i="1"/>
  <x:c r="O320" i="1" s="1"/>
  <x:c r="M319" i="1"/>
  <x:c r="O319" i="1" s="1"/>
  <x:c r="M407" i="1"/>
  <x:c r="O407" i="1" s="1"/>
  <x:c r="R407" i="1" s="1"/>
  <x:c r="M406" i="1"/>
  <x:c r="O406" i="1" s="1"/>
  <x:c r="R406" i="1" s="1"/>
  <x:c r="M405" i="1"/>
  <x:c r="O405" i="1" s="1"/>
  <x:c r="M404" i="1"/>
  <x:c r="O404" i="1" s="1"/>
  <x:c r="M403" i="1"/>
  <x:c r="O403" i="1" s="1"/>
  <x:c r="M402" i="1"/>
  <x:c r="O402" i="1" s="1"/>
  <x:c r="M401" i="1"/>
  <x:c r="O401" i="1" s="1"/>
  <x:c r="M414" i="1"/>
  <x:c r="O414" i="1" s="1"/>
  <x:c r="M413" i="1"/>
  <x:c r="O413" i="1" s="1"/>
  <x:c r="M412" i="1"/>
  <x:c r="O412" i="1" s="1"/>
  <x:c r="M411" i="1"/>
  <x:c r="O411" i="1" s="1"/>
  <x:c r="M410" i="1"/>
  <x:c r="O410" i="1" s="1"/>
  <x:c r="M502" i="1"/>
  <x:c r="O502" i="1" s="1"/>
  <x:c r="M501" i="1"/>
  <x:c r="O501" i="1" s="1"/>
  <x:c r="M500" i="1"/>
  <x:c r="O500" i="1" s="1"/>
  <x:c r="M499" i="1"/>
  <x:c r="O499" i="1" s="1"/>
  <x:c r="M498" i="1"/>
  <x:c r="O498" i="1" s="1"/>
  <x:c r="M508" i="1"/>
  <x:c r="O508" i="1" s="1"/>
  <x:c r="M507" i="1"/>
  <x:c r="O507" i="1" s="1"/>
  <x:c r="M506" i="1"/>
  <x:c r="O506" i="1" s="1"/>
  <x:c r="M505" i="1"/>
  <x:c r="O505" i="1" s="1"/>
  <x:c r="M602" i="1"/>
  <x:c r="O602" i="1" s="1"/>
  <x:c r="M601" i="1"/>
  <x:c r="O601" i="1" s="1"/>
  <x:c r="M600" i="1"/>
  <x:c r="O600" i="1" s="1"/>
  <x:c r="M599" i="1"/>
  <x:c r="O599" i="1" s="1"/>
  <x:c r="M610" i="1"/>
  <x:c r="O610" i="1" s="1"/>
  <x:c r="M609" i="1"/>
  <x:c r="O609" i="1" s="1"/>
  <x:c r="M608" i="1"/>
  <x:c r="O608" i="1" s="1"/>
  <x:c r="M607" i="1"/>
  <x:c r="O607" i="1" s="1"/>
  <x:c r="M656" i="1"/>
  <x:c r="O656" i="1" s="1"/>
  <x:c r="M655" i="1"/>
  <x:c r="O655" i="1" s="1"/>
  <x:c r="M654" i="1"/>
  <x:c r="O654" i="1" s="1"/>
  <x:c r="M653" i="1"/>
  <x:c r="O653" i="1" s="1"/>
  <x:c r="M663" i="1"/>
  <x:c r="O663" i="1" s="1"/>
  <x:c r="M662" i="1"/>
  <x:c r="O662" i="1" s="1"/>
  <x:c r="M661" i="1"/>
  <x:c r="O661" i="1" s="1"/>
  <x:c r="M660" i="1"/>
  <x:c r="O660" i="1" s="1"/>
  <x:c r="M706" i="1"/>
  <x:c r="O706" i="1" s="1"/>
  <x:c r="M705" i="1"/>
  <x:c r="O705" i="1" s="1"/>
  <x:c r="M704" i="1"/>
  <x:c r="O704" i="1" s="1"/>
  <x:c r="G764" i="1" l="1"/>
  <x:c r="R704" i="1"/>
  <x:c r="Q704" i="1"/>
  <x:c r="P704" i="1"/>
  <x:c r="S704" i="1" s="1"/>
  <x:c r="R705" i="1"/>
  <x:c r="Q705" i="1"/>
  <x:c r="P705" i="1"/>
  <x:c r="S705" i="1" s="1"/>
  <x:c r="R706" i="1"/>
  <x:c r="Q706" i="1"/>
  <x:c r="P706" i="1"/>
  <x:c r="R660" i="1"/>
  <x:c r="Q660" i="1"/>
  <x:c r="P660" i="1"/>
  <x:c r="R661" i="1"/>
  <x:c r="Q661" i="1"/>
  <x:c r="P661" i="1"/>
  <x:c r="S661" i="1" s="1"/>
  <x:c r="R662" i="1"/>
  <x:c r="Q662" i="1"/>
  <x:c r="P662" i="1"/>
  <x:c r="S662" i="1" s="1"/>
  <x:c r="R663" i="1"/>
  <x:c r="Q663" i="1"/>
  <x:c r="P663" i="1"/>
  <x:c r="R653" i="1"/>
  <x:c r="Q653" i="1"/>
  <x:c r="P653" i="1"/>
  <x:c r="R654" i="1"/>
  <x:c r="Q654" i="1"/>
  <x:c r="P654" i="1"/>
  <x:c r="S654" i="1" s="1"/>
  <x:c r="R655" i="1"/>
  <x:c r="Q655" i="1"/>
  <x:c r="P655" i="1"/>
  <x:c r="S655" i="1" s="1"/>
  <x:c r="R656" i="1"/>
  <x:c r="Q656" i="1"/>
  <x:c r="P656" i="1"/>
  <x:c r="R607" i="1"/>
  <x:c r="Q607" i="1"/>
  <x:c r="P607" i="1"/>
  <x:c r="R608" i="1"/>
  <x:c r="Q608" i="1"/>
  <x:c r="P608" i="1"/>
  <x:c r="S608" i="1" s="1"/>
  <x:c r="R609" i="1"/>
  <x:c r="Q609" i="1"/>
  <x:c r="P609" i="1"/>
  <x:c r="S609" i="1" s="1"/>
  <x:c r="R610" i="1"/>
  <x:c r="Q610" i="1"/>
  <x:c r="P610" i="1"/>
  <x:c r="R599" i="1"/>
  <x:c r="Q599" i="1"/>
  <x:c r="P599" i="1"/>
  <x:c r="R600" i="1"/>
  <x:c r="Q600" i="1"/>
  <x:c r="P600" i="1"/>
  <x:c r="S600" i="1" s="1"/>
  <x:c r="R601" i="1"/>
  <x:c r="Q601" i="1"/>
  <x:c r="P601" i="1"/>
  <x:c r="S601" i="1" s="1"/>
  <x:c r="R602" i="1"/>
  <x:c r="Q602" i="1"/>
  <x:c r="P602" i="1"/>
  <x:c r="R505" i="1"/>
  <x:c r="Q505" i="1"/>
  <x:c r="P505" i="1"/>
  <x:c r="R506" i="1"/>
  <x:c r="Q506" i="1"/>
  <x:c r="P506" i="1"/>
  <x:c r="S506" i="1" s="1"/>
  <x:c r="R507" i="1"/>
  <x:c r="Q507" i="1"/>
  <x:c r="P507" i="1"/>
  <x:c r="S507" i="1" s="1"/>
  <x:c r="R508" i="1"/>
  <x:c r="Q508" i="1"/>
  <x:c r="P508" i="1"/>
  <x:c r="R498" i="1"/>
  <x:c r="Q498" i="1"/>
  <x:c r="P498" i="1"/>
  <x:c r="R499" i="1"/>
  <x:c r="Q499" i="1"/>
  <x:c r="P499" i="1"/>
  <x:c r="S499" i="1" s="1"/>
  <x:c r="R500" i="1"/>
  <x:c r="Q500" i="1"/>
  <x:c r="P500" i="1"/>
  <x:c r="S500" i="1" s="1"/>
  <x:c r="R501" i="1"/>
  <x:c r="Q501" i="1"/>
  <x:c r="P501" i="1"/>
  <x:c r="R502" i="1"/>
  <x:c r="Q502" i="1"/>
  <x:c r="P502" i="1"/>
  <x:c r="R410" i="1"/>
  <x:c r="Q410" i="1"/>
  <x:c r="P410" i="1"/>
  <x:c r="S410" i="1" s="1"/>
  <x:c r="R411" i="1"/>
  <x:c r="Q411" i="1"/>
  <x:c r="P411" i="1"/>
  <x:c r="S411" i="1" s="1"/>
  <x:c r="R412" i="1"/>
  <x:c r="Q412" i="1"/>
  <x:c r="P412" i="1"/>
  <x:c r="R413" i="1"/>
  <x:c r="Q413" i="1"/>
  <x:c r="P413" i="1"/>
  <x:c r="R414" i="1"/>
  <x:c r="Q414" i="1"/>
  <x:c r="P414" i="1"/>
  <x:c r="S414" i="1" s="1"/>
  <x:c r="R401" i="1"/>
  <x:c r="Q401" i="1"/>
  <x:c r="P401" i="1"/>
  <x:c r="S401" i="1" s="1"/>
  <x:c r="R402" i="1"/>
  <x:c r="Q402" i="1"/>
  <x:c r="P402" i="1"/>
  <x:c r="R403" i="1"/>
  <x:c r="Q403" i="1"/>
  <x:c r="P403" i="1"/>
  <x:c r="R404" i="1"/>
  <x:c r="Q404" i="1"/>
  <x:c r="P404" i="1"/>
  <x:c r="S404" i="1" s="1"/>
  <x:c r="R405" i="1"/>
  <x:c r="Q405" i="1"/>
  <x:c r="P405" i="1"/>
  <x:c r="S405" i="1" s="1"/>
  <x:c r="R319" i="1"/>
  <x:c r="Q319" i="1"/>
  <x:c r="P319" i="1"/>
  <x:c r="R320" i="1"/>
  <x:c r="Q320" i="1"/>
  <x:c r="P320" i="1"/>
  <x:c r="R321" i="1"/>
  <x:c r="Q321" i="1"/>
  <x:c r="P321" i="1"/>
  <x:c r="S321" i="1" s="1"/>
  <x:c r="R322" i="1"/>
  <x:c r="Q322" i="1"/>
  <x:c r="P322" i="1"/>
  <x:c r="S322" i="1" s="1"/>
  <x:c r="R323" i="1"/>
  <x:c r="Q323" i="1"/>
  <x:c r="P323" i="1"/>
  <x:c r="R212" i="1"/>
  <x:c r="Q212" i="1"/>
  <x:c r="P212" i="1"/>
  <x:c r="R213" i="1"/>
  <x:c r="Q213" i="1"/>
  <x:c r="P213" i="1"/>
  <x:c r="S213" i="1" s="1"/>
  <x:c r="R214" i="1"/>
  <x:c r="Q214" i="1"/>
  <x:c r="P214" i="1"/>
  <x:c r="S214" i="1" s="1"/>
  <x:c r="R215" i="1"/>
  <x:c r="Q215" i="1"/>
  <x:c r="P215" i="1"/>
  <x:c r="R216" i="1"/>
  <x:c r="Q216" i="1"/>
  <x:c r="P216" i="1"/>
  <x:c r="R217" i="1"/>
  <x:c r="Q217" i="1"/>
  <x:c r="P217" i="1"/>
  <x:c r="S217" i="1" s="1"/>
  <x:c r="R115" i="1"/>
  <x:c r="Q115" i="1"/>
  <x:c r="P115" i="1"/>
  <x:c r="S115" i="1" s="1"/>
  <x:c r="R116" i="1"/>
  <x:c r="Q116" i="1"/>
  <x:c r="P116" i="1"/>
  <x:c r="R117" i="1"/>
  <x:c r="Q117" i="1"/>
  <x:c r="P117" i="1"/>
  <x:c r="R118" i="1"/>
  <x:c r="Q118" i="1"/>
  <x:c r="P118" i="1"/>
  <x:c r="S118" i="1" s="1"/>
  <x:c r="R119" i="1"/>
  <x:c r="Q119" i="1"/>
  <x:c r="P119" i="1"/>
  <x:c r="S119" i="1" s="1"/>
  <x:c r="R120" i="1"/>
  <x:c r="Q120" i="1"/>
  <x:c r="P120" i="1"/>
  <x:c r="R751" i="1"/>
  <x:c r="Q751" i="1"/>
  <x:c r="P751" i="1"/>
  <x:c r="R752" i="1"/>
  <x:c r="Q752" i="1"/>
  <x:c r="P752" i="1"/>
  <x:c r="S752" i="1" s="1"/>
  <x:c r="R753" i="1"/>
  <x:c r="Q753" i="1"/>
  <x:c r="P753" i="1"/>
  <x:c r="S753" i="1" s="1"/>
  <x:c r="R754" i="1"/>
  <x:c r="Q754" i="1"/>
  <x:c r="P754" i="1"/>
  <x:c r="S754" i="1" s="1"/>
  <x:c r="R755" i="1"/>
  <x:c r="Q755" i="1"/>
  <x:c r="P755" i="1"/>
  <x:c r="R756" i="1"/>
  <x:c r="Q756" i="1"/>
  <x:c r="P756" i="1"/>
  <x:c r="S756" i="1" s="1"/>
  <x:c r="R757" i="1"/>
  <x:c r="Q757" i="1"/>
  <x:c r="P757" i="1"/>
  <x:c r="S757" i="1" s="1"/>
  <x:c r="R758" i="1"/>
  <x:c r="Q758" i="1"/>
  <x:c r="P758" i="1"/>
  <x:c r="S758" i="1" s="1"/>
  <x:c r="R759" i="1"/>
  <x:c r="Q759" i="1"/>
  <x:c r="P759" i="1"/>
  <x:c r="R760" i="1"/>
  <x:c r="Q760" i="1"/>
  <x:c r="P760" i="1"/>
  <x:c r="S760" i="1" s="1"/>
  <x:c r="R761" i="1"/>
  <x:c r="Q761" i="1"/>
  <x:c r="P761" i="1"/>
  <x:c r="S761" i="1" s="1"/>
  <x:c r="R762" i="1"/>
  <x:c r="Q762" i="1"/>
  <x:c r="P762" i="1"/>
  <x:c r="R763" i="1"/>
  <x:c r="Q763" i="1"/>
  <x:c r="P763" i="1"/>
  <x:c r="R743" i="1"/>
  <x:c r="Q743" i="1"/>
  <x:c r="P743" i="1"/>
  <x:c r="S743" i="1" s="1"/>
  <x:c r="R744" i="1"/>
  <x:c r="Q744" i="1"/>
  <x:c r="P744" i="1"/>
  <x:c r="S744" i="1" s="1"/>
  <x:c r="R745" i="1"/>
  <x:c r="Q745" i="1"/>
  <x:c r="P745" i="1"/>
  <x:c r="S745" i="1" s="1"/>
  <x:c r="R746" i="1"/>
  <x:c r="Q746" i="1"/>
  <x:c r="P746" i="1"/>
  <x:c r="R747" i="1"/>
  <x:c r="Q747" i="1"/>
  <x:c r="P747" i="1"/>
  <x:c r="S747" i="1" s="1"/>
  <x:c r="R748" i="1"/>
  <x:c r="Q748" i="1"/>
  <x:c r="P748" i="1"/>
  <x:c r="S748" i="1" s="1"/>
  <x:c r="G749" i="1"/>
  <x:c r="M749" i="1"/>
  <x:c r="O742" i="1"/>
  <x:c r="M764" i="1"/>
  <x:c r="O750" i="1"/>
  <x:c r="M10" i="1"/>
  <x:c r="O10" i="1" s="1"/>
  <x:c r="M9" i="1"/>
  <x:c r="O9" i="1" s="1"/>
  <x:c r="M8" i="1"/>
  <x:c r="O8" i="1" s="1"/>
  <x:c r="M7" i="1"/>
  <x:c r="O7" i="1" s="1"/>
  <x:c r="M6" i="1"/>
  <x:c r="O6" i="1" s="1"/>
  <x:c r="F317" i="1"/>
  <x:c r="E317" i="1"/>
  <x:c r="C605" i="1"/>
  <x:c r="F605" i="1"/>
  <x:c r="F707" i="1"/>
  <x:c r="E707" i="1"/>
  <x:c r="D707" i="1"/>
  <x:c r="C707" i="1"/>
  <x:c r="C408" i="1"/>
  <x:c r="F408" i="1"/>
  <x:c r="S120" i="1" l="1"/>
  <x:c r="S116" i="1"/>
  <x:c r="S215" i="1"/>
  <x:c r="S323" i="1"/>
  <x:c r="S319" i="1"/>
  <x:c r="S402" i="1"/>
  <x:c r="S412" i="1"/>
  <x:c r="S501" i="1"/>
  <x:c r="S508" i="1"/>
  <x:c r="S602" i="1"/>
  <x:c r="S610" i="1"/>
  <x:c r="S656" i="1"/>
  <x:c r="S663" i="1"/>
  <x:c r="S706" i="1"/>
  <x:c r="S762" i="1"/>
  <x:c r="S746" i="1"/>
  <x:c r="S763" i="1"/>
  <x:c r="S759" i="1"/>
  <x:c r="S755" i="1"/>
  <x:c r="S751" i="1"/>
  <x:c r="S117" i="1"/>
  <x:c r="S216" i="1"/>
  <x:c r="S212" i="1"/>
  <x:c r="S320" i="1"/>
  <x:c r="S403" i="1"/>
  <x:c r="S413" i="1"/>
  <x:c r="S502" i="1"/>
  <x:c r="S498" i="1"/>
  <x:c r="S505" i="1"/>
  <x:c r="S599" i="1"/>
  <x:c r="S607" i="1"/>
  <x:c r="S653" i="1"/>
  <x:c r="S660" i="1"/>
  <x:c r="R6" i="1"/>
  <x:c r="Q6" i="1"/>
  <x:c r="P6" i="1"/>
  <x:c r="R7" i="1"/>
  <x:c r="Q7" i="1"/>
  <x:c r="P7" i="1"/>
  <x:c r="S7" i="1" s="1"/>
  <x:c r="R8" i="1"/>
  <x:c r="Q8" i="1"/>
  <x:c r="P8" i="1"/>
  <x:c r="S8" i="1" s="1"/>
  <x:c r="R9" i="1"/>
  <x:c r="Q9" i="1"/>
  <x:c r="P9" i="1"/>
  <x:c r="S9" i="1" s="1"/>
  <x:c r="R10" i="1"/>
  <x:c r="Q10" i="1"/>
  <x:c r="P10" i="1"/>
  <x:c r="S10" i="1" s="1"/>
  <x:c r="O764" i="1"/>
  <x:c r="R750" i="1"/>
  <x:c r="R764" i="1" s="1"/>
  <x:c r="Q750" i="1"/>
  <x:c r="Q764" i="1" s="1"/>
  <x:c r="P750" i="1"/>
  <x:c r="R742" i="1"/>
  <x:c r="Q742" i="1"/>
  <x:c r="P742" i="1"/>
  <x:c r="S742" i="1" s="1"/>
  <x:c r="O749" i="1"/>
  <x:c r="S6" i="1" l="1"/>
  <x:c r="S750" i="1"/>
  <x:c r="P749" i="1"/>
  <x:c r="Q749" i="1"/>
  <x:c r="R749" i="1"/>
  <x:c r="P764" i="1"/>
  <x:c r="S764" i="1" l="1"/>
  <x:c r="S749" i="1"/>
  <x:c r="G703" i="1"/>
  <x:c r="G702" i="1"/>
  <x:c r="G701" i="1"/>
  <x:c r="G700" i="1"/>
  <x:c r="G699" i="1"/>
  <x:c r="G698" i="1"/>
  <x:c r="G697" i="1"/>
  <x:c r="G696" i="1"/>
  <x:c r="G695" i="1"/>
  <x:c r="G694" i="1"/>
  <x:c r="G693" i="1"/>
  <x:c r="G692" i="1"/>
  <x:c r="G691" i="1"/>
  <x:c r="G690" i="1"/>
  <x:c r="G689" i="1"/>
  <x:c r="G688" i="1"/>
  <x:c r="G687" i="1"/>
  <x:c r="G686" i="1"/>
  <x:c r="G685" i="1"/>
  <x:c r="G684" i="1"/>
  <x:c r="G683" i="1"/>
  <x:c r="G682" i="1"/>
  <x:c r="G681" i="1"/>
  <x:c r="G680" i="1"/>
  <x:c r="G679" i="1"/>
  <x:c r="G678" i="1"/>
  <x:c r="G677" i="1"/>
  <x:c r="G676" i="1"/>
  <x:c r="G675" i="1"/>
  <x:c r="G674" i="1"/>
  <x:c r="G673" i="1"/>
  <x:c r="G672" i="1"/>
  <x:c r="G671" i="1"/>
  <x:c r="G670" i="1"/>
  <x:c r="G669" i="1"/>
  <x:c r="G668" i="1"/>
  <x:c r="G667" i="1"/>
  <x:c r="G666" i="1"/>
  <x:c r="G665" i="1"/>
  <x:c r="G664" i="1"/>
  <x:c r="G663" i="1"/>
  <x:c r="G662" i="1"/>
  <x:c r="G661" i="1"/>
  <x:c r="G660" i="1"/>
  <x:c r="G659" i="1"/>
  <x:c r="G658" i="1"/>
  <x:c r="G652" i="1"/>
  <x:c r="G651" i="1"/>
  <x:c r="G650" i="1"/>
  <x:c r="G649" i="1"/>
  <x:c r="G648" i="1"/>
  <x:c r="G647" i="1"/>
  <x:c r="G646" i="1"/>
  <x:c r="G645" i="1"/>
  <x:c r="G644" i="1"/>
  <x:c r="G643" i="1"/>
  <x:c r="G642" i="1"/>
  <x:c r="G641" i="1"/>
  <x:c r="G640" i="1"/>
  <x:c r="G639" i="1"/>
  <x:c r="G638" i="1"/>
  <x:c r="G637" i="1"/>
  <x:c r="G636" i="1"/>
  <x:c r="G635" i="1"/>
  <x:c r="G634" i="1"/>
  <x:c r="G633" i="1"/>
  <x:c r="G632" i="1"/>
  <x:c r="G631" i="1"/>
  <x:c r="G630" i="1"/>
  <x:c r="G629" i="1"/>
  <x:c r="G628" i="1"/>
  <x:c r="G627" i="1"/>
  <x:c r="G626" i="1"/>
  <x:c r="G625" i="1"/>
  <x:c r="G624" i="1"/>
  <x:c r="G623" i="1"/>
  <x:c r="G622" i="1"/>
  <x:c r="G621" i="1"/>
  <x:c r="G620" i="1"/>
  <x:c r="G619" i="1"/>
  <x:c r="G618" i="1"/>
  <x:c r="G617" i="1"/>
  <x:c r="G616" i="1"/>
  <x:c r="G615" i="1"/>
  <x:c r="G614" i="1"/>
  <x:c r="G613" i="1"/>
  <x:c r="G612" i="1"/>
  <x:c r="G611" i="1"/>
  <x:c r="G610" i="1"/>
  <x:c r="G609" i="1"/>
  <x:c r="G608" i="1"/>
  <x:c r="G607" i="1"/>
  <x:c r="G606" i="1"/>
  <x:c r="G604" i="1"/>
  <x:c r="G603" i="1"/>
  <x:c r="G598" i="1"/>
  <x:c r="G597" i="1"/>
  <x:c r="G596" i="1"/>
  <x:c r="G595" i="1"/>
  <x:c r="G594" i="1"/>
  <x:c r="G593" i="1"/>
  <x:c r="G592" i="1"/>
  <x:c r="G591" i="1"/>
  <x:c r="G590" i="1"/>
  <x:c r="G589" i="1"/>
  <x:c r="G588" i="1"/>
  <x:c r="G587" i="1"/>
  <x:c r="G586" i="1"/>
  <x:c r="G585" i="1"/>
  <x:c r="G584" i="1"/>
  <x:c r="G583" i="1"/>
  <x:c r="G582" i="1"/>
  <x:c r="G581" i="1"/>
  <x:c r="G580" i="1"/>
  <x:c r="G579" i="1"/>
  <x:c r="G578" i="1"/>
  <x:c r="G577" i="1"/>
  <x:c r="G576" i="1"/>
  <x:c r="G575" i="1"/>
  <x:c r="G574" i="1"/>
  <x:c r="G573" i="1"/>
  <x:c r="G572" i="1"/>
  <x:c r="G571" i="1"/>
  <x:c r="G570" i="1"/>
  <x:c r="G569" i="1"/>
  <x:c r="G568" i="1"/>
  <x:c r="G567" i="1"/>
  <x:c r="G566" i="1"/>
  <x:c r="G565" i="1"/>
  <x:c r="G564" i="1"/>
  <x:c r="G563" i="1"/>
  <x:c r="G562" i="1"/>
  <x:c r="G561" i="1"/>
  <x:c r="G560" i="1"/>
  <x:c r="G559" i="1"/>
  <x:c r="G558" i="1"/>
  <x:c r="G557" i="1"/>
  <x:c r="G556" i="1"/>
  <x:c r="G555" i="1"/>
  <x:c r="G554" i="1"/>
  <x:c r="G553" i="1"/>
  <x:c r="G552" i="1"/>
  <x:c r="G551" i="1"/>
  <x:c r="G550" i="1"/>
  <x:c r="G549" i="1"/>
  <x:c r="G548" i="1"/>
  <x:c r="G547" i="1"/>
  <x:c r="G546" i="1"/>
  <x:c r="G545" i="1"/>
  <x:c r="G544" i="1"/>
  <x:c r="G543" i="1"/>
  <x:c r="G542" i="1"/>
  <x:c r="G541" i="1"/>
  <x:c r="G540" i="1"/>
  <x:c r="G539" i="1"/>
  <x:c r="G538" i="1"/>
  <x:c r="G537" i="1"/>
  <x:c r="G536" i="1"/>
  <x:c r="G535" i="1"/>
  <x:c r="G534" i="1"/>
  <x:c r="G533" i="1"/>
  <x:c r="G532" i="1"/>
  <x:c r="G531" i="1"/>
  <x:c r="G530" i="1"/>
  <x:c r="G529" i="1"/>
  <x:c r="G528" i="1"/>
  <x:c r="G527" i="1"/>
  <x:c r="G526" i="1"/>
  <x:c r="G525" i="1"/>
  <x:c r="G524" i="1"/>
  <x:c r="G523" i="1"/>
  <x:c r="G522" i="1"/>
  <x:c r="G521" i="1"/>
  <x:c r="G520" i="1"/>
  <x:c r="G519" i="1"/>
  <x:c r="G518" i="1"/>
  <x:c r="G517" i="1"/>
  <x:c r="G516" i="1"/>
  <x:c r="G515" i="1"/>
  <x:c r="G514" i="1"/>
  <x:c r="G513" i="1"/>
  <x:c r="G512" i="1"/>
  <x:c r="G511" i="1"/>
  <x:c r="G510" i="1"/>
  <x:c r="G509" i="1"/>
  <x:c r="G508" i="1"/>
  <x:c r="G507" i="1"/>
  <x:c r="G506" i="1"/>
  <x:c r="G505" i="1"/>
  <x:c r="G497" i="1"/>
  <x:c r="G496" i="1"/>
  <x:c r="G495" i="1"/>
  <x:c r="G494" i="1"/>
  <x:c r="G493" i="1"/>
  <x:c r="G492" i="1"/>
  <x:c r="G491" i="1"/>
  <x:c r="G490" i="1"/>
  <x:c r="G489" i="1"/>
  <x:c r="G488" i="1"/>
  <x:c r="G487" i="1"/>
  <x:c r="G486" i="1"/>
  <x:c r="G485" i="1"/>
  <x:c r="G484" i="1"/>
  <x:c r="G483" i="1"/>
  <x:c r="G482" i="1"/>
  <x:c r="G481" i="1"/>
  <x:c r="G480" i="1"/>
  <x:c r="G479" i="1"/>
  <x:c r="G478" i="1"/>
  <x:c r="G477" i="1"/>
  <x:c r="G476" i="1"/>
  <x:c r="G475" i="1"/>
  <x:c r="G474" i="1"/>
  <x:c r="G473" i="1"/>
  <x:c r="G472" i="1"/>
  <x:c r="G471" i="1"/>
  <x:c r="G470" i="1"/>
  <x:c r="G469" i="1"/>
  <x:c r="G468" i="1"/>
  <x:c r="G467" i="1"/>
  <x:c r="G466" i="1"/>
  <x:c r="G465" i="1"/>
  <x:c r="G464" i="1"/>
  <x:c r="G463" i="1"/>
  <x:c r="G462" i="1"/>
  <x:c r="G461" i="1"/>
  <x:c r="G460" i="1"/>
  <x:c r="G459" i="1"/>
  <x:c r="G458" i="1"/>
  <x:c r="G457" i="1"/>
  <x:c r="G456" i="1"/>
  <x:c r="G455" i="1"/>
  <x:c r="G454" i="1"/>
  <x:c r="G453" i="1"/>
  <x:c r="G452" i="1"/>
  <x:c r="G451" i="1"/>
  <x:c r="G450" i="1"/>
  <x:c r="G449" i="1"/>
  <x:c r="G448" i="1"/>
  <x:c r="G447" i="1"/>
  <x:c r="G446" i="1"/>
  <x:c r="G445" i="1"/>
  <x:c r="G444" i="1"/>
  <x:c r="G443" i="1"/>
  <x:c r="G442" i="1"/>
  <x:c r="G441" i="1"/>
  <x:c r="G440" i="1"/>
  <x:c r="G439" i="1"/>
  <x:c r="G438" i="1"/>
  <x:c r="G437" i="1"/>
  <x:c r="G436" i="1"/>
  <x:c r="G435" i="1"/>
  <x:c r="G434" i="1"/>
  <x:c r="G433" i="1"/>
  <x:c r="G432" i="1"/>
  <x:c r="G431" i="1"/>
  <x:c r="G430" i="1"/>
  <x:c r="G429" i="1"/>
  <x:c r="G428" i="1"/>
  <x:c r="G427" i="1"/>
  <x:c r="G426" i="1"/>
  <x:c r="G425" i="1"/>
  <x:c r="G424" i="1"/>
  <x:c r="G423" i="1"/>
  <x:c r="G422" i="1"/>
  <x:c r="G421" i="1"/>
  <x:c r="G420" i="1"/>
  <x:c r="G419" i="1"/>
  <x:c r="G418" i="1"/>
  <x:c r="G417" i="1"/>
  <x:c r="G416" i="1"/>
  <x:c r="G415" i="1"/>
  <x:c r="G414" i="1"/>
  <x:c r="G413" i="1"/>
  <x:c r="G412" i="1"/>
  <x:c r="G411" i="1"/>
  <x:c r="G410" i="1"/>
  <x:c r="G409" i="1"/>
  <x:c r="G405" i="1"/>
  <x:c r="G404" i="1"/>
  <x:c r="G400" i="1"/>
  <x:c r="G399" i="1"/>
  <x:c r="G398" i="1"/>
  <x:c r="G397" i="1"/>
  <x:c r="G396" i="1"/>
  <x:c r="G395" i="1"/>
  <x:c r="G394" i="1"/>
  <x:c r="G393" i="1"/>
  <x:c r="G392" i="1"/>
  <x:c r="G391" i="1"/>
  <x:c r="G390" i="1"/>
  <x:c r="G389" i="1"/>
  <x:c r="G388" i="1"/>
  <x:c r="G387" i="1"/>
  <x:c r="G386" i="1"/>
  <x:c r="G385" i="1"/>
  <x:c r="G384" i="1"/>
  <x:c r="G383" i="1"/>
  <x:c r="G382" i="1"/>
  <x:c r="G381" i="1"/>
  <x:c r="G380" i="1"/>
  <x:c r="G379" i="1"/>
  <x:c r="G378" i="1"/>
  <x:c r="G377" i="1"/>
  <x:c r="G376" i="1"/>
  <x:c r="G375" i="1"/>
  <x:c r="G374" i="1"/>
  <x:c r="G373" i="1"/>
  <x:c r="G372" i="1"/>
  <x:c r="G371" i="1"/>
  <x:c r="G370" i="1"/>
  <x:c r="G369" i="1"/>
  <x:c r="G368" i="1"/>
  <x:c r="G367" i="1"/>
  <x:c r="G366" i="1"/>
  <x:c r="G365" i="1"/>
  <x:c r="G364" i="1"/>
  <x:c r="G363" i="1"/>
  <x:c r="G362" i="1"/>
  <x:c r="G361" i="1"/>
  <x:c r="G360" i="1"/>
  <x:c r="G359" i="1"/>
  <x:c r="G358" i="1"/>
  <x:c r="G357" i="1"/>
  <x:c r="G356" i="1"/>
  <x:c r="G355" i="1"/>
  <x:c r="G354" i="1"/>
  <x:c r="G353" i="1"/>
  <x:c r="G352" i="1"/>
  <x:c r="G351" i="1"/>
  <x:c r="G350" i="1"/>
  <x:c r="G349" i="1"/>
  <x:c r="G348" i="1"/>
  <x:c r="G347" i="1"/>
  <x:c r="G346" i="1"/>
  <x:c r="G345" i="1"/>
  <x:c r="G344" i="1"/>
  <x:c r="G343" i="1"/>
  <x:c r="G342" i="1"/>
  <x:c r="G341" i="1"/>
  <x:c r="G340" i="1"/>
  <x:c r="G339" i="1"/>
  <x:c r="G338" i="1"/>
  <x:c r="G337" i="1"/>
  <x:c r="G336" i="1"/>
  <x:c r="G335" i="1"/>
  <x:c r="G334" i="1"/>
  <x:c r="G333" i="1"/>
  <x:c r="G332" i="1"/>
  <x:c r="G331" i="1"/>
  <x:c r="G330" i="1"/>
  <x:c r="G329" i="1"/>
  <x:c r="G328" i="1"/>
  <x:c r="G327" i="1"/>
  <x:c r="G326" i="1"/>
  <x:c r="G325" i="1"/>
  <x:c r="G324" i="1"/>
  <x:c r="G323" i="1"/>
  <x:c r="G322" i="1"/>
  <x:c r="G321" i="1"/>
  <x:c r="G320" i="1"/>
  <x:c r="G319" i="1"/>
  <x:c r="G318" i="1"/>
  <x:c r="G316" i="1"/>
  <x:c r="G315" i="1"/>
  <x:c r="G314" i="1"/>
  <x:c r="G313" i="1"/>
  <x:c r="G312" i="1"/>
  <x:c r="G311" i="1"/>
  <x:c r="G310" i="1"/>
  <x:c r="G309" i="1"/>
  <x:c r="G308" i="1"/>
  <x:c r="G307" i="1"/>
  <x:c r="G306" i="1"/>
  <x:c r="G305" i="1"/>
  <x:c r="G304" i="1"/>
  <x:c r="G303" i="1"/>
  <x:c r="G302" i="1"/>
  <x:c r="G301" i="1"/>
  <x:c r="G299" i="1"/>
  <x:c r="G298" i="1"/>
  <x:c r="G297" i="1"/>
  <x:c r="G296" i="1"/>
  <x:c r="G295" i="1"/>
  <x:c r="G294" i="1"/>
  <x:c r="G293" i="1"/>
  <x:c r="G292" i="1"/>
  <x:c r="G291" i="1"/>
  <x:c r="G290" i="1"/>
  <x:c r="G289" i="1"/>
  <x:c r="G288" i="1"/>
  <x:c r="G287" i="1"/>
  <x:c r="G286" i="1"/>
  <x:c r="G285" i="1"/>
  <x:c r="G284" i="1"/>
  <x:c r="G283" i="1"/>
  <x:c r="G282" i="1"/>
  <x:c r="G281" i="1"/>
  <x:c r="G280" i="1"/>
  <x:c r="G279" i="1"/>
  <x:c r="G278" i="1"/>
  <x:c r="G277" i="1"/>
  <x:c r="G276" i="1"/>
  <x:c r="G275" i="1"/>
  <x:c r="G274" i="1"/>
  <x:c r="G273" i="1"/>
  <x:c r="G272" i="1"/>
  <x:c r="G271" i="1"/>
  <x:c r="G270" i="1"/>
  <x:c r="G269" i="1"/>
  <x:c r="G268" i="1"/>
  <x:c r="G267" i="1"/>
  <x:c r="G266" i="1"/>
  <x:c r="G265" i="1"/>
  <x:c r="G264" i="1"/>
  <x:c r="G263" i="1"/>
  <x:c r="G262" i="1"/>
  <x:c r="G261" i="1"/>
  <x:c r="G260" i="1"/>
  <x:c r="G259" i="1"/>
  <x:c r="G258" i="1"/>
  <x:c r="G257" i="1"/>
  <x:c r="G256" i="1"/>
  <x:c r="G255" i="1"/>
  <x:c r="G254" i="1"/>
  <x:c r="G253" i="1"/>
  <x:c r="G252" i="1"/>
  <x:c r="G251" i="1"/>
  <x:c r="G250" i="1"/>
  <x:c r="G249" i="1"/>
  <x:c r="G248" i="1"/>
  <x:c r="G247" i="1"/>
  <x:c r="G246" i="1"/>
  <x:c r="G245" i="1"/>
  <x:c r="G244" i="1"/>
  <x:c r="G243" i="1"/>
  <x:c r="G242" i="1"/>
  <x:c r="G241" i="1"/>
  <x:c r="G240" i="1"/>
  <x:c r="G239" i="1"/>
  <x:c r="G238" i="1"/>
  <x:c r="G237" i="1"/>
  <x:c r="G236" i="1"/>
  <x:c r="G235" i="1"/>
  <x:c r="G234" i="1"/>
  <x:c r="G233" i="1"/>
  <x:c r="G232" i="1"/>
  <x:c r="G231" i="1"/>
  <x:c r="G230" i="1"/>
  <x:c r="G229" i="1"/>
  <x:c r="G228" i="1"/>
  <x:c r="G227" i="1"/>
  <x:c r="G226" i="1"/>
  <x:c r="G225" i="1"/>
  <x:c r="G224" i="1"/>
  <x:c r="G223" i="1"/>
  <x:c r="G222" i="1"/>
  <x:c r="G221" i="1"/>
  <x:c r="G220" i="1"/>
  <x:c r="G219" i="1"/>
  <x:c r="G218" i="1"/>
  <x:c r="G217" i="1"/>
  <x:c r="G216" i="1"/>
  <x:c r="G215" i="1"/>
  <x:c r="G214" i="1"/>
  <x:c r="G213" i="1"/>
  <x:c r="G212" i="1"/>
  <x:c r="G211" i="1"/>
  <x:c r="G736" i="1"/>
  <x:c r="G735" i="1"/>
  <x:c r="G734" i="1"/>
  <x:c r="G733" i="1"/>
  <x:c r="G732" i="1"/>
  <x:c r="G731" i="1"/>
  <x:c r="G730" i="1"/>
  <x:c r="G729" i="1"/>
  <x:c r="G728" i="1"/>
  <x:c r="G727" i="1"/>
  <x:c r="G726" i="1"/>
  <x:c r="G721" i="1"/>
  <x:c r="G209" i="1"/>
  <x:c r="G208" i="1"/>
  <x:c r="G207" i="1"/>
  <x:c r="G206" i="1"/>
  <x:c r="G205" i="1"/>
  <x:c r="G204" i="1"/>
  <x:c r="G203" i="1"/>
  <x:c r="G202" i="1"/>
  <x:c r="G201" i="1"/>
  <x:c r="G200" i="1"/>
  <x:c r="G199" i="1"/>
  <x:c r="G198" i="1"/>
  <x:c r="G197" i="1"/>
  <x:c r="G196" i="1"/>
  <x:c r="G195" i="1"/>
  <x:c r="G194" i="1"/>
  <x:c r="G193" i="1"/>
  <x:c r="G192" i="1"/>
  <x:c r="G191" i="1"/>
  <x:c r="G190" i="1"/>
  <x:c r="G189" i="1"/>
  <x:c r="G188" i="1"/>
  <x:c r="G187" i="1"/>
  <x:c r="G186" i="1"/>
  <x:c r="G185" i="1"/>
  <x:c r="G184" i="1"/>
  <x:c r="G183" i="1"/>
  <x:c r="G182" i="1"/>
  <x:c r="G181" i="1"/>
  <x:c r="G180" i="1"/>
  <x:c r="G179" i="1"/>
  <x:c r="G178" i="1"/>
  <x:c r="G177" i="1"/>
  <x:c r="G176" i="1"/>
  <x:c r="G175" i="1"/>
  <x:c r="G174" i="1"/>
  <x:c r="G173" i="1"/>
  <x:c r="G172" i="1"/>
  <x:c r="G171" i="1"/>
  <x:c r="G170" i="1"/>
  <x:c r="G169" i="1"/>
  <x:c r="G168" i="1"/>
  <x:c r="G167" i="1"/>
  <x:c r="G166" i="1"/>
  <x:c r="G165" i="1"/>
  <x:c r="G164" i="1"/>
  <x:c r="G163" i="1"/>
  <x:c r="G162" i="1"/>
  <x:c r="G161" i="1"/>
  <x:c r="G160" i="1"/>
  <x:c r="G159" i="1"/>
  <x:c r="G158" i="1"/>
  <x:c r="G157" i="1"/>
  <x:c r="G156" i="1"/>
  <x:c r="G155" i="1"/>
  <x:c r="G154" i="1"/>
  <x:c r="G153" i="1"/>
  <x:c r="G152" i="1"/>
  <x:c r="G151" i="1"/>
  <x:c r="G150" i="1"/>
  <x:c r="G149" i="1"/>
  <x:c r="G148" i="1"/>
  <x:c r="G147" i="1"/>
  <x:c r="G146" i="1"/>
  <x:c r="G145" i="1"/>
  <x:c r="G144" i="1"/>
  <x:c r="G143" i="1"/>
  <x:c r="G142" i="1"/>
  <x:c r="G141" i="1"/>
  <x:c r="G140" i="1"/>
  <x:c r="G139" i="1"/>
  <x:c r="G138" i="1"/>
  <x:c r="G137" i="1"/>
  <x:c r="G136" i="1"/>
  <x:c r="G135" i="1"/>
  <x:c r="G134" i="1"/>
  <x:c r="G133" i="1"/>
  <x:c r="G132" i="1"/>
  <x:c r="G131" i="1"/>
  <x:c r="G130" i="1"/>
  <x:c r="G129" i="1"/>
  <x:c r="G128" i="1"/>
  <x:c r="G127" i="1"/>
  <x:c r="G126" i="1"/>
  <x:c r="G125" i="1"/>
  <x:c r="G124" i="1"/>
  <x:c r="G123" i="1"/>
  <x:c r="G122" i="1"/>
  <x:c r="G121" i="1"/>
  <x:c r="G120" i="1"/>
  <x:c r="G119" i="1"/>
  <x:c r="G118" i="1"/>
  <x:c r="G117" i="1"/>
  <x:c r="G116" i="1"/>
  <x:c r="G115" i="1"/>
  <x:c r="G114" i="1"/>
  <x:c r="G719" i="1"/>
  <x:c r="G718" i="1"/>
  <x:c r="G717" i="1"/>
  <x:c r="G716" i="1"/>
  <x:c r="G715" i="1"/>
  <x:c r="G712" i="1"/>
  <x:c r="G112" i="1"/>
  <x:c r="G111" i="1"/>
  <x:c r="G110" i="1"/>
  <x:c r="G109" i="1"/>
  <x:c r="G108" i="1"/>
  <x:c r="G107" i="1"/>
  <x:c r="G106" i="1"/>
  <x:c r="G105" i="1"/>
  <x:c r="G104" i="1"/>
  <x:c r="G103" i="1"/>
  <x:c r="G102" i="1"/>
  <x:c r="G101" i="1"/>
  <x:c r="G100" i="1"/>
  <x:c r="G99" i="1"/>
  <x:c r="G98" i="1"/>
  <x:c r="G97" i="1"/>
  <x:c r="G96" i="1"/>
  <x:c r="G95" i="1"/>
  <x:c r="G94" i="1"/>
  <x:c r="G93" i="1"/>
  <x:c r="G92" i="1"/>
  <x:c r="G91" i="1"/>
  <x:c r="G90" i="1"/>
  <x:c r="G89" i="1"/>
  <x:c r="G88" i="1"/>
  <x:c r="G87" i="1"/>
  <x:c r="G86" i="1"/>
  <x:c r="G85" i="1"/>
  <x:c r="G84" i="1"/>
  <x:c r="G83" i="1"/>
  <x:c r="G82" i="1"/>
  <x:c r="G81" i="1"/>
  <x:c r="G80" i="1"/>
  <x:c r="G79" i="1"/>
  <x:c r="G78" i="1"/>
  <x:c r="G77" i="1"/>
  <x:c r="G76" i="1"/>
  <x:c r="G75" i="1"/>
  <x:c r="G74" i="1"/>
  <x:c r="G73" i="1"/>
  <x:c r="G72" i="1"/>
  <x:c r="G71" i="1"/>
  <x:c r="G70" i="1"/>
  <x:c r="G69" i="1"/>
  <x:c r="G68" i="1"/>
  <x:c r="G67" i="1"/>
  <x:c r="G66" i="1"/>
  <x:c r="G65" i="1"/>
  <x:c r="G64" i="1"/>
  <x:c r="G63" i="1"/>
  <x:c r="G62" i="1"/>
  <x:c r="G61" i="1"/>
  <x:c r="G60" i="1"/>
  <x:c r="G59" i="1"/>
  <x:c r="G58" i="1"/>
  <x:c r="G57" i="1"/>
  <x:c r="G56" i="1"/>
  <x:c r="G55" i="1"/>
  <x:c r="G54" i="1"/>
  <x:c r="G53" i="1"/>
  <x:c r="G52" i="1"/>
  <x:c r="G51" i="1"/>
  <x:c r="G50" i="1"/>
  <x:c r="G49" i="1"/>
  <x:c r="G48" i="1"/>
  <x:c r="G47" i="1"/>
  <x:c r="G46" i="1"/>
  <x:c r="G45" i="1"/>
  <x:c r="G44" i="1"/>
  <x:c r="G43" i="1"/>
  <x:c r="G42" i="1"/>
  <x:c r="G41" i="1"/>
  <x:c r="G40" i="1"/>
  <x:c r="G39" i="1"/>
  <x:c r="G38" i="1"/>
  <x:c r="G37" i="1"/>
  <x:c r="G36" i="1"/>
  <x:c r="G35" i="1"/>
  <x:c r="G34" i="1"/>
  <x:c r="G33" i="1"/>
  <x:c r="G32" i="1"/>
  <x:c r="G31" i="1"/>
  <x:c r="G30" i="1"/>
  <x:c r="G29" i="1"/>
  <x:c r="G28" i="1"/>
  <x:c r="G27" i="1"/>
  <x:c r="G26" i="1"/>
  <x:c r="G25" i="1"/>
  <x:c r="G24" i="1"/>
  <x:c r="G23" i="1"/>
  <x:c r="G22" i="1"/>
  <x:c r="G21" i="1"/>
  <x:c r="G20" i="1"/>
  <x:c r="G19" i="1"/>
  <x:c r="G18" i="1"/>
  <x:c r="G17" i="1"/>
  <x:c r="G16" i="1"/>
  <x:c r="G15" i="1"/>
  <x:c r="G14" i="1"/>
  <x:c r="G13" i="1"/>
  <x:c r="G12" i="1"/>
  <x:c r="G11" i="1"/>
  <x:c r="G10" i="1"/>
  <x:c r="G9" i="1"/>
  <x:c r="G8" i="1"/>
  <x:c r="G7" i="1"/>
  <x:c r="G6" i="1"/>
  <x:c r="G5" i="1"/>
  <x:c r="G4" i="1"/>
  <x:c r="G3" i="1"/>
  <x:c r="E113" i="1"/>
  <x:c r="D113" i="1"/>
  <x:c r="G504" i="1"/>
  <x:c r="G657" i="1" l="1"/>
  <x:c r="G707" i="1"/>
  <x:c r="E657" i="1"/>
  <x:c r="D657" i="1"/>
  <x:c r="E605" i="1"/>
  <x:c r="D605" i="1"/>
  <x:c r="G605" i="1"/>
  <x:c r="F503" i="1"/>
  <x:c r="E503" i="1"/>
  <x:c r="D503" i="1"/>
  <x:c r="C503" i="1"/>
  <x:c r="G503" i="1" s="1"/>
  <x:c r="E408" i="1"/>
  <x:c r="D408" i="1"/>
  <x:c r="D317" i="1"/>
  <x:c r="C317" i="1"/>
  <x:c r="F737" i="1"/>
  <x:c r="E737" i="1"/>
  <x:c r="D737" i="1"/>
  <x:c r="C737" i="1"/>
  <x:c r="F210" i="1"/>
  <x:c r="E210" i="1"/>
  <x:c r="D210" i="1"/>
  <x:c r="D708" i="1" s="1"/>
  <x:c r="C210" i="1"/>
  <x:c r="G210" i="1" s="1"/>
  <x:c r="F720" i="1"/>
  <x:c r="E720" i="1"/>
  <x:c r="G720" i="1" s="1"/>
  <x:c r="F113" i="1"/>
  <x:c r="C113" i="1"/>
  <x:c r="M719" i="1"/>
  <x:c r="M718" i="1"/>
  <x:c r="M717" i="1"/>
  <x:c r="M716" i="1"/>
  <x:c r="M715" i="1"/>
  <x:c r="M712" i="1"/>
  <x:c r="M720" i="1" s="1"/>
  <x:c r="G300" i="1"/>
  <x:c r="M112" i="1"/>
  <x:c r="O112" i="1" s="1"/>
  <x:c r="M111" i="1"/>
  <x:c r="O111" i="1" s="1"/>
  <x:c r="M110" i="1"/>
  <x:c r="O110" i="1" s="1"/>
  <x:c r="M109" i="1"/>
  <x:c r="O109" i="1" s="1"/>
  <x:c r="M108" i="1"/>
  <x:c r="O108" i="1" s="1"/>
  <x:c r="M107" i="1"/>
  <x:c r="O107" i="1" s="1"/>
  <x:c r="M106" i="1"/>
  <x:c r="O106" i="1" s="1"/>
  <x:c r="M105" i="1"/>
  <x:c r="O105" i="1" s="1"/>
  <x:c r="M104" i="1"/>
  <x:c r="O104" i="1" s="1"/>
  <x:c r="M103" i="1"/>
  <x:c r="O103" i="1" s="1"/>
  <x:c r="M102" i="1"/>
  <x:c r="O102" i="1" s="1"/>
  <x:c r="M101" i="1"/>
  <x:c r="O101" i="1" s="1"/>
  <x:c r="M100" i="1"/>
  <x:c r="O100" i="1" s="1"/>
  <x:c r="M99" i="1"/>
  <x:c r="O99" i="1" s="1"/>
  <x:c r="M98" i="1"/>
  <x:c r="O98" i="1" s="1"/>
  <x:c r="M97" i="1"/>
  <x:c r="O97" i="1" s="1"/>
  <x:c r="M96" i="1"/>
  <x:c r="O96" i="1" s="1"/>
  <x:c r="M95" i="1"/>
  <x:c r="O95" i="1" s="1"/>
  <x:c r="M94" i="1"/>
  <x:c r="O94" i="1" s="1"/>
  <x:c r="M93" i="1"/>
  <x:c r="O93" i="1" s="1"/>
  <x:c r="M92" i="1"/>
  <x:c r="O92" i="1" s="1"/>
  <x:c r="M91" i="1"/>
  <x:c r="O91" i="1" s="1"/>
  <x:c r="M90" i="1"/>
  <x:c r="O90" i="1" s="1"/>
  <x:c r="M89" i="1"/>
  <x:c r="O89" i="1" s="1"/>
  <x:c r="M88" i="1"/>
  <x:c r="O88" i="1" s="1"/>
  <x:c r="M87" i="1"/>
  <x:c r="O87" i="1" s="1"/>
  <x:c r="M86" i="1"/>
  <x:c r="O86" i="1" s="1"/>
  <x:c r="M85" i="1"/>
  <x:c r="O85" i="1" s="1"/>
  <x:c r="M84" i="1"/>
  <x:c r="O84" i="1" s="1"/>
  <x:c r="M83" i="1"/>
  <x:c r="O83" i="1" s="1"/>
  <x:c r="M82" i="1"/>
  <x:c r="O82" i="1" s="1"/>
  <x:c r="M81" i="1"/>
  <x:c r="O81" i="1" s="1"/>
  <x:c r="M80" i="1"/>
  <x:c r="O80" i="1" s="1"/>
  <x:c r="M79" i="1"/>
  <x:c r="O79" i="1" s="1"/>
  <x:c r="M78" i="1"/>
  <x:c r="O78" i="1" s="1"/>
  <x:c r="M77" i="1"/>
  <x:c r="O77" i="1" s="1"/>
  <x:c r="M76" i="1"/>
  <x:c r="O76" i="1" s="1"/>
  <x:c r="M75" i="1"/>
  <x:c r="O75" i="1" s="1"/>
  <x:c r="M74" i="1"/>
  <x:c r="O74" i="1" s="1"/>
  <x:c r="M73" i="1"/>
  <x:c r="O73" i="1" s="1"/>
  <x:c r="M72" i="1"/>
  <x:c r="O72" i="1" s="1"/>
  <x:c r="M71" i="1"/>
  <x:c r="O71" i="1" s="1"/>
  <x:c r="M70" i="1"/>
  <x:c r="O70" i="1" s="1"/>
  <x:c r="M69" i="1"/>
  <x:c r="O69" i="1" s="1"/>
  <x:c r="M68" i="1"/>
  <x:c r="O68" i="1" s="1"/>
  <x:c r="M67" i="1"/>
  <x:c r="O67" i="1" s="1"/>
  <x:c r="M66" i="1"/>
  <x:c r="O66" i="1" s="1"/>
  <x:c r="M65" i="1"/>
  <x:c r="O65" i="1" s="1"/>
  <x:c r="M64" i="1"/>
  <x:c r="O64" i="1" s="1"/>
  <x:c r="M63" i="1"/>
  <x:c r="O63" i="1" s="1"/>
  <x:c r="M62" i="1"/>
  <x:c r="O62" i="1" s="1"/>
  <x:c r="M61" i="1"/>
  <x:c r="O61" i="1" s="1"/>
  <x:c r="M60" i="1"/>
  <x:c r="O60" i="1" s="1"/>
  <x:c r="M59" i="1"/>
  <x:c r="O59" i="1" s="1"/>
  <x:c r="M58" i="1"/>
  <x:c r="O58" i="1" s="1"/>
  <x:c r="M57" i="1"/>
  <x:c r="O57" i="1" s="1"/>
  <x:c r="M56" i="1"/>
  <x:c r="O56" i="1" s="1"/>
  <x:c r="M55" i="1"/>
  <x:c r="O55" i="1" s="1"/>
  <x:c r="M54" i="1"/>
  <x:c r="O54" i="1" s="1"/>
  <x:c r="M53" i="1"/>
  <x:c r="O53" i="1" s="1"/>
  <x:c r="M52" i="1"/>
  <x:c r="O52" i="1" s="1"/>
  <x:c r="M51" i="1"/>
  <x:c r="O51" i="1" s="1"/>
  <x:c r="M50" i="1"/>
  <x:c r="O50" i="1" s="1"/>
  <x:c r="M49" i="1"/>
  <x:c r="O49" i="1" s="1"/>
  <x:c r="M48" i="1"/>
  <x:c r="O48" i="1" s="1"/>
  <x:c r="M47" i="1"/>
  <x:c r="O47" i="1" s="1"/>
  <x:c r="M46" i="1"/>
  <x:c r="O46" i="1" s="1"/>
  <x:c r="M45" i="1"/>
  <x:c r="O45" i="1" s="1"/>
  <x:c r="M44" i="1"/>
  <x:c r="O44" i="1" s="1"/>
  <x:c r="M43" i="1"/>
  <x:c r="O43" i="1" s="1"/>
  <x:c r="M42" i="1"/>
  <x:c r="O42" i="1" s="1"/>
  <x:c r="M41" i="1"/>
  <x:c r="O41" i="1" s="1"/>
  <x:c r="M40" i="1"/>
  <x:c r="O40" i="1" s="1"/>
  <x:c r="M39" i="1"/>
  <x:c r="O39" i="1" s="1"/>
  <x:c r="M38" i="1"/>
  <x:c r="O38" i="1" s="1"/>
  <x:c r="M37" i="1"/>
  <x:c r="O37" i="1" s="1"/>
  <x:c r="M36" i="1"/>
  <x:c r="O36" i="1" s="1"/>
  <x:c r="M35" i="1"/>
  <x:c r="O35" i="1" s="1"/>
  <x:c r="M34" i="1"/>
  <x:c r="O34" i="1" s="1"/>
  <x:c r="M33" i="1"/>
  <x:c r="O33" i="1" s="1"/>
  <x:c r="M32" i="1"/>
  <x:c r="O32" i="1" s="1"/>
  <x:c r="M31" i="1"/>
  <x:c r="O31" i="1" s="1"/>
  <x:c r="M30" i="1"/>
  <x:c r="O30" i="1" s="1"/>
  <x:c r="M29" i="1"/>
  <x:c r="O29" i="1" s="1"/>
  <x:c r="M28" i="1"/>
  <x:c r="O28" i="1" s="1"/>
  <x:c r="M27" i="1"/>
  <x:c r="O27" i="1" s="1"/>
  <x:c r="M26" i="1"/>
  <x:c r="O26" i="1" s="1"/>
  <x:c r="M25" i="1"/>
  <x:c r="O25" i="1" s="1"/>
  <x:c r="M24" i="1"/>
  <x:c r="O24" i="1" s="1"/>
  <x:c r="M23" i="1"/>
  <x:c r="O23" i="1" s="1"/>
  <x:c r="M22" i="1"/>
  <x:c r="O22" i="1" s="1"/>
  <x:c r="M21" i="1"/>
  <x:c r="O21" i="1" s="1"/>
  <x:c r="M20" i="1"/>
  <x:c r="O20" i="1" s="1"/>
  <x:c r="M19" i="1"/>
  <x:c r="O19" i="1" s="1"/>
  <x:c r="M18" i="1"/>
  <x:c r="O18" i="1" s="1"/>
  <x:c r="M17" i="1"/>
  <x:c r="O17" i="1" s="1"/>
  <x:c r="M16" i="1"/>
  <x:c r="O16" i="1" s="1"/>
  <x:c r="M15" i="1"/>
  <x:c r="O15" i="1" s="1"/>
  <x:c r="M14" i="1"/>
  <x:c r="O14" i="1" s="1"/>
  <x:c r="M13" i="1"/>
  <x:c r="O13" i="1" s="1"/>
  <x:c r="M12" i="1"/>
  <x:c r="O12" i="1" s="1"/>
  <x:c r="M11" i="1"/>
  <x:c r="O11" i="1" s="1"/>
  <x:c r="M5" i="1"/>
  <x:c r="O5" i="1" s="1"/>
  <x:c r="M4" i="1"/>
  <x:c r="O4" i="1" s="1"/>
  <x:c r="M3" i="1"/>
  <x:c r="F708" i="1" l="1"/>
  <x:c r="G408" i="1"/>
  <x:c r="R4" i="1"/>
  <x:c r="Q4" i="1"/>
  <x:c r="P4" i="1"/>
  <x:c r="S4" i="1" s="1"/>
  <x:c r="R5" i="1"/>
  <x:c r="Q5" i="1"/>
  <x:c r="P5" i="1"/>
  <x:c r="R11" i="1"/>
  <x:c r="Q11" i="1"/>
  <x:c r="P11" i="1"/>
  <x:c r="S11" i="1" s="1"/>
  <x:c r="R12" i="1"/>
  <x:c r="Q12" i="1"/>
  <x:c r="P12" i="1"/>
  <x:c r="R13" i="1"/>
  <x:c r="Q13" i="1"/>
  <x:c r="P13" i="1"/>
  <x:c r="S13" i="1" s="1"/>
  <x:c r="R14" i="1"/>
  <x:c r="Q14" i="1"/>
  <x:c r="P14" i="1"/>
  <x:c r="E708" i="1"/>
  <x:c r="G737" i="1"/>
  <x:c r="G113" i="1"/>
  <x:c r="C708" i="1"/>
  <x:c r="R18" i="1"/>
  <x:c r="P18" i="1"/>
  <x:c r="Q18" i="1"/>
  <x:c r="R24" i="1"/>
  <x:c r="P24" i="1"/>
  <x:c r="Q24" i="1"/>
  <x:c r="R28" i="1"/>
  <x:c r="P28" i="1"/>
  <x:c r="Q28" i="1"/>
  <x:c r="R32" i="1"/>
  <x:c r="P32" i="1"/>
  <x:c r="Q32" i="1"/>
  <x:c r="R34" i="1"/>
  <x:c r="P34" i="1"/>
  <x:c r="Q34" i="1"/>
  <x:c r="R38" i="1"/>
  <x:c r="P38" i="1"/>
  <x:c r="Q38" i="1"/>
  <x:c r="R42" i="1"/>
  <x:c r="P42" i="1"/>
  <x:c r="Q42" i="1"/>
  <x:c r="R46" i="1"/>
  <x:c r="P46" i="1"/>
  <x:c r="Q46" i="1"/>
  <x:c r="R52" i="1"/>
  <x:c r="P52" i="1"/>
  <x:c r="Q52" i="1"/>
  <x:c r="R56" i="1"/>
  <x:c r="P56" i="1"/>
  <x:c r="Q56" i="1"/>
  <x:c r="R60" i="1"/>
  <x:c r="P60" i="1"/>
  <x:c r="Q60" i="1"/>
  <x:c r="R64" i="1"/>
  <x:c r="P64" i="1"/>
  <x:c r="Q64" i="1"/>
  <x:c r="R68" i="1"/>
  <x:c r="P68" i="1"/>
  <x:c r="Q68" i="1"/>
  <x:c r="O3" i="1"/>
  <x:c r="M113" i="1"/>
  <x:c r="Q15" i="1"/>
  <x:c r="R15" i="1"/>
  <x:c r="P15" i="1"/>
  <x:c r="Q17" i="1"/>
  <x:c r="R17" i="1"/>
  <x:c r="P17" i="1"/>
  <x:c r="Q19" i="1"/>
  <x:c r="R19" i="1"/>
  <x:c r="P19" i="1"/>
  <x:c r="Q21" i="1"/>
  <x:c r="R21" i="1"/>
  <x:c r="P21" i="1"/>
  <x:c r="Q23" i="1"/>
  <x:c r="R23" i="1"/>
  <x:c r="P23" i="1"/>
  <x:c r="Q25" i="1"/>
  <x:c r="R25" i="1"/>
  <x:c r="P25" i="1"/>
  <x:c r="Q27" i="1"/>
  <x:c r="R27" i="1"/>
  <x:c r="P27" i="1"/>
  <x:c r="Q29" i="1"/>
  <x:c r="R29" i="1"/>
  <x:c r="P29" i="1"/>
  <x:c r="Q31" i="1"/>
  <x:c r="R31" i="1"/>
  <x:c r="P31" i="1"/>
  <x:c r="Q33" i="1"/>
  <x:c r="R33" i="1"/>
  <x:c r="P33" i="1"/>
  <x:c r="Q35" i="1"/>
  <x:c r="R35" i="1"/>
  <x:c r="P35" i="1"/>
  <x:c r="Q37" i="1"/>
  <x:c r="R37" i="1"/>
  <x:c r="P37" i="1"/>
  <x:c r="Q39" i="1"/>
  <x:c r="R39" i="1"/>
  <x:c r="P39" i="1"/>
  <x:c r="Q41" i="1"/>
  <x:c r="R41" i="1"/>
  <x:c r="P41" i="1"/>
  <x:c r="Q43" i="1"/>
  <x:c r="R43" i="1"/>
  <x:c r="P43" i="1"/>
  <x:c r="Q45" i="1"/>
  <x:c r="R45" i="1"/>
  <x:c r="P45" i="1"/>
  <x:c r="Q47" i="1"/>
  <x:c r="R47" i="1"/>
  <x:c r="P47" i="1"/>
  <x:c r="Q49" i="1"/>
  <x:c r="R49" i="1"/>
  <x:c r="P49" i="1"/>
  <x:c r="Q51" i="1"/>
  <x:c r="R51" i="1"/>
  <x:c r="P51" i="1"/>
  <x:c r="Q53" i="1"/>
  <x:c r="R53" i="1"/>
  <x:c r="P53" i="1"/>
  <x:c r="Q55" i="1"/>
  <x:c r="R55" i="1"/>
  <x:c r="P55" i="1"/>
  <x:c r="Q57" i="1"/>
  <x:c r="R57" i="1"/>
  <x:c r="P57" i="1"/>
  <x:c r="Q59" i="1"/>
  <x:c r="R59" i="1"/>
  <x:c r="P59" i="1"/>
  <x:c r="Q61" i="1"/>
  <x:c r="R61" i="1"/>
  <x:c r="P61" i="1"/>
  <x:c r="Q63" i="1"/>
  <x:c r="R63" i="1"/>
  <x:c r="P63" i="1"/>
  <x:c r="Q65" i="1"/>
  <x:c r="R65" i="1"/>
  <x:c r="P65" i="1"/>
  <x:c r="Q67" i="1"/>
  <x:c r="R67" i="1"/>
  <x:c r="P67" i="1"/>
  <x:c r="Q69" i="1"/>
  <x:c r="R69" i="1"/>
  <x:c r="P69" i="1"/>
  <x:c r="Q71" i="1"/>
  <x:c r="R71" i="1"/>
  <x:c r="P71" i="1"/>
  <x:c r="Q73" i="1"/>
  <x:c r="R73" i="1"/>
  <x:c r="P73" i="1"/>
  <x:c r="Q75" i="1"/>
  <x:c r="R75" i="1"/>
  <x:c r="P75" i="1"/>
  <x:c r="Q77" i="1"/>
  <x:c r="R77" i="1"/>
  <x:c r="P77" i="1"/>
  <x:c r="Q79" i="1"/>
  <x:c r="R79" i="1"/>
  <x:c r="P79" i="1"/>
  <x:c r="Q81" i="1"/>
  <x:c r="R81" i="1"/>
  <x:c r="P81" i="1"/>
  <x:c r="Q83" i="1"/>
  <x:c r="R83" i="1"/>
  <x:c r="P83" i="1"/>
  <x:c r="Q85" i="1"/>
  <x:c r="R85" i="1"/>
  <x:c r="P85" i="1"/>
  <x:c r="Q87" i="1"/>
  <x:c r="R87" i="1"/>
  <x:c r="P87" i="1"/>
  <x:c r="Q89" i="1"/>
  <x:c r="R89" i="1"/>
  <x:c r="P89" i="1"/>
  <x:c r="Q91" i="1"/>
  <x:c r="R91" i="1"/>
  <x:c r="P91" i="1"/>
  <x:c r="Q93" i="1"/>
  <x:c r="R93" i="1"/>
  <x:c r="P93" i="1"/>
  <x:c r="Q95" i="1"/>
  <x:c r="R95" i="1"/>
  <x:c r="P95" i="1"/>
  <x:c r="Q97" i="1"/>
  <x:c r="R97" i="1"/>
  <x:c r="P97" i="1"/>
  <x:c r="Q99" i="1"/>
  <x:c r="R99" i="1"/>
  <x:c r="P99" i="1"/>
  <x:c r="Q101" i="1"/>
  <x:c r="R101" i="1"/>
  <x:c r="P101" i="1"/>
  <x:c r="Q103" i="1"/>
  <x:c r="R103" i="1"/>
  <x:c r="P103" i="1"/>
  <x:c r="Q105" i="1"/>
  <x:c r="R105" i="1"/>
  <x:c r="P105" i="1"/>
  <x:c r="Q107" i="1"/>
  <x:c r="R107" i="1"/>
  <x:c r="P107" i="1"/>
  <x:c r="Q109" i="1"/>
  <x:c r="R109" i="1"/>
  <x:c r="P109" i="1"/>
  <x:c r="Q111" i="1"/>
  <x:c r="R111" i="1"/>
  <x:c r="P111" i="1"/>
  <x:c r="R16" i="1"/>
  <x:c r="P16" i="1"/>
  <x:c r="Q16" i="1"/>
  <x:c r="R20" i="1"/>
  <x:c r="P20" i="1"/>
  <x:c r="Q20" i="1"/>
  <x:c r="R22" i="1"/>
  <x:c r="P22" i="1"/>
  <x:c r="Q22" i="1"/>
  <x:c r="R26" i="1"/>
  <x:c r="P26" i="1"/>
  <x:c r="Q26" i="1"/>
  <x:c r="R30" i="1"/>
  <x:c r="P30" i="1"/>
  <x:c r="Q30" i="1"/>
  <x:c r="R36" i="1"/>
  <x:c r="P36" i="1"/>
  <x:c r="Q36" i="1"/>
  <x:c r="R40" i="1"/>
  <x:c r="P40" i="1"/>
  <x:c r="Q40" i="1"/>
  <x:c r="R44" i="1"/>
  <x:c r="P44" i="1"/>
  <x:c r="Q44" i="1"/>
  <x:c r="R48" i="1"/>
  <x:c r="P48" i="1"/>
  <x:c r="Q48" i="1"/>
  <x:c r="R50" i="1"/>
  <x:c r="P50" i="1"/>
  <x:c r="Q50" i="1"/>
  <x:c r="R54" i="1"/>
  <x:c r="P54" i="1"/>
  <x:c r="Q54" i="1"/>
  <x:c r="R58" i="1"/>
  <x:c r="P58" i="1"/>
  <x:c r="Q58" i="1"/>
  <x:c r="R62" i="1"/>
  <x:c r="P62" i="1"/>
  <x:c r="Q62" i="1"/>
  <x:c r="R66" i="1"/>
  <x:c r="P66" i="1"/>
  <x:c r="Q66" i="1"/>
  <x:c r="R70" i="1"/>
  <x:c r="P70" i="1"/>
  <x:c r="Q70" i="1"/>
  <x:c r="R72" i="1"/>
  <x:c r="P72" i="1"/>
  <x:c r="Q72" i="1"/>
  <x:c r="R74" i="1"/>
  <x:c r="P74" i="1"/>
  <x:c r="Q74" i="1"/>
  <x:c r="R76" i="1"/>
  <x:c r="P76" i="1"/>
  <x:c r="Q76" i="1"/>
  <x:c r="R78" i="1"/>
  <x:c r="P78" i="1"/>
  <x:c r="Q78" i="1"/>
  <x:c r="R80" i="1"/>
  <x:c r="P80" i="1"/>
  <x:c r="Q80" i="1"/>
  <x:c r="R82" i="1"/>
  <x:c r="P82" i="1"/>
  <x:c r="Q82" i="1"/>
  <x:c r="R84" i="1"/>
  <x:c r="P84" i="1"/>
  <x:c r="Q84" i="1"/>
  <x:c r="R86" i="1"/>
  <x:c r="P86" i="1"/>
  <x:c r="Q86" i="1"/>
  <x:c r="R88" i="1"/>
  <x:c r="P88" i="1"/>
  <x:c r="Q88" i="1"/>
  <x:c r="R90" i="1"/>
  <x:c r="P90" i="1"/>
  <x:c r="Q90" i="1"/>
  <x:c r="R92" i="1"/>
  <x:c r="P92" i="1"/>
  <x:c r="Q92" i="1"/>
  <x:c r="R94" i="1"/>
  <x:c r="P94" i="1"/>
  <x:c r="Q94" i="1"/>
  <x:c r="R96" i="1"/>
  <x:c r="P96" i="1"/>
  <x:c r="Q96" i="1"/>
  <x:c r="R98" i="1"/>
  <x:c r="P98" i="1"/>
  <x:c r="Q98" i="1"/>
  <x:c r="R100" i="1"/>
  <x:c r="P100" i="1"/>
  <x:c r="Q100" i="1"/>
  <x:c r="R102" i="1"/>
  <x:c r="P102" i="1"/>
  <x:c r="Q102" i="1"/>
  <x:c r="R104" i="1"/>
  <x:c r="P104" i="1"/>
  <x:c r="Q104" i="1"/>
  <x:c r="R106" i="1"/>
  <x:c r="P106" i="1"/>
  <x:c r="Q106" i="1"/>
  <x:c r="R108" i="1"/>
  <x:c r="P108" i="1"/>
  <x:c r="Q108" i="1"/>
  <x:c r="R110" i="1"/>
  <x:c r="P110" i="1"/>
  <x:c r="Q110" i="1"/>
  <x:c r="R112" i="1"/>
  <x:c r="P112" i="1"/>
  <x:c r="Q112" i="1"/>
  <x:c r="S14" i="1" l="1"/>
  <x:c r="S5" i="1"/>
  <x:c r="S12" i="1"/>
  <x:c r="R3" i="1"/>
  <x:c r="Q3" i="1"/>
  <x:c r="P3" i="1"/>
  <x:c r="S3" i="1" s="1"/>
  <x:c r="G317" i="1"/>
  <x:c r="O113" i="1"/>
  <x:c r="R113" i="1" l="1"/>
  <x:c r="P113" i="1"/>
  <x:c r="Q113" i="1"/>
  <x:c r="S113" i="1" l="1"/>
  <x:c r="G708" i="1"/>
  <x:c r="M730" i="1" l="1"/>
  <x:c r="M124" i="1"/>
  <x:c r="M424" i="1"/>
  <x:c r="M249" i="1"/>
  <x:c r="M167" i="1"/>
  <x:c r="O167" i="1" s="1"/>
  <x:c r="M201" i="1"/>
  <x:c r="M698" i="1"/>
  <x:c r="O698" i="1" s="1"/>
  <x:c r="M378" i="1"/>
  <x:c r="M316" i="1"/>
  <x:c r="O316" i="1" s="1"/>
  <x:c r="Q316" i="1" s="1"/>
  <x:c r="M274" i="1"/>
  <x:c r="M677" i="1"/>
  <x:c r="O677" i="1" s="1"/>
  <x:c r="M700" i="1"/>
  <x:c r="O700" i="1" s="1"/>
  <x:c r="M284" i="1"/>
  <x:c r="M573" i="1"/>
  <x:c r="O573" i="1" s="1"/>
  <x:c r="M625" i="1"/>
  <x:c r="M531" i="1"/>
  <x:c r="M234" i="1"/>
  <x:c r="M616" i="1"/>
  <x:c r="O616" i="1" s="1"/>
  <x:c r="M668" i="1"/>
  <x:c r="O668" i="1" s="1"/>
  <x:c r="M519" i="1"/>
  <x:c r="O519" i="1" s="1"/>
  <x:c r="M552" i="1"/>
  <x:c r="O552" i="1" s="1"/>
  <x:c r="M467" i="1"/>
  <x:c r="O467" i="1" s="1"/>
  <x:c r="M436" i="1"/>
  <x:c r="O436" i="1" s="1"/>
  <x:c r="M639" i="1"/>
  <x:c r="O639" i="1" s="1"/>
  <x:c r="M147" i="1"/>
  <x:c r="M471" i="1"/>
  <x:c r="M594" i="1"/>
  <x:c r="O594" i="1" s="1"/>
  <x:c r="M400" i="1"/>
  <x:c r="O400" i="1" s="1"/>
  <x:c r="M486" i="1"/>
  <x:c r="M491" i="1"/>
  <x:c r="O491" i="1" s="1"/>
  <x:c r="M356" i="1"/>
  <x:c r="M732" i="1"/>
  <x:c r="M683" i="1"/>
  <x:c r="O625" i="1"/>
  <x:c r="M554" i="1"/>
  <x:c r="O554" i="1" s="1"/>
  <x:c r="M635" i="1"/>
  <x:c r="O635" i="1" s="1"/>
  <x:c r="M452" i="1"/>
  <x:c r="M515" i="1"/>
  <x:c r="M280" i="1"/>
  <x:c r="M701" i="1"/>
  <x:c r="O701" i="1" s="1"/>
  <x:c r="M130" i="1"/>
  <x:c r="M175" i="1"/>
  <x:c r="M493" i="1"/>
  <x:c r="O493" i="1" s="1"/>
  <x:c r="M627" i="1"/>
  <x:c r="O627" i="1" s="1"/>
  <x:c r="M386" i="1"/>
  <x:c r="O386" i="1" s="1"/>
  <x:c r="M679" i="1"/>
  <x:c r="O679" i="1" s="1"/>
  <x:c r="M658" i="1"/>
  <x:c r="M157" i="1"/>
  <x:c r="M604" i="1"/>
  <x:c r="O604" i="1" s="1"/>
  <x:c r="M582" i="1"/>
  <x:c r="O582" i="1" s="1"/>
  <x:c r="M270" i="1"/>
  <x:c r="M364" i="1"/>
  <x:c r="M640" i="1"/>
  <x:c r="O640" i="1" s="1"/>
  <x:c r="M302" i="1"/>
  <x:c r="O302" i="1" s="1"/>
  <x:c r="M632" i="1"/>
  <x:c r="O632" i="1" s="1"/>
  <x:c r="M695" i="1"/>
  <x:c r="O695" i="1" s="1"/>
  <x:c r="M182" i="1"/>
  <x:c r="M428" i="1"/>
  <x:c r="O683" i="1"/>
  <x:c r="M558" i="1"/>
  <x:c r="O558" i="1" s="1"/>
  <x:c r="M512" i="1"/>
  <x:c r="O512" i="1" s="1"/>
  <x:c r="O531" i="1"/>
  <x:c r="O515" i="1"/>
  <x:c r="O471" i="1"/>
  <x:c r="O378" i="1"/>
  <x:c r="M462" i="1"/>
  <x:c r="O364" i="1"/>
  <x:c r="M372" i="1"/>
  <x:c r="O372" i="1" s="1"/>
  <x:c r="O356" i="1"/>
  <x:c r="M252" i="1"/>
  <x:c r="M646" i="1"/>
  <x:c r="O646" i="1" s="1"/>
  <x:c r="M588" i="1"/>
  <x:c r="O588" i="1" s="1"/>
  <x:c r="M675" i="1"/>
  <x:c r="O675" i="1" s="1"/>
  <x:c r="M156" i="1"/>
  <x:c r="M423" i="1"/>
  <x:c r="O423" i="1" s="1"/>
  <x:c r="O486" i="1"/>
  <x:c r="O462" i="1"/>
  <x:c r="O452" i="1"/>
  <x:c r="O428" i="1"/>
  <x:c r="O424" i="1"/>
  <x:c r="M357" i="1"/>
  <x:c r="O357" i="1" s="1"/>
  <x:c r="M331" i="1"/>
  <x:c r="O331" i="1" s="1"/>
  <x:c r="O284" i="1"/>
  <x:c r="R284" i="1" s="1"/>
  <x:c r="O280" i="1"/>
  <x:c r="O274" i="1"/>
  <x:c r="M570" i="1"/>
  <x:c r="O570" i="1" s="1"/>
  <x:c r="O270" i="1"/>
  <x:c r="M521" i="1"/>
  <x:c r="O521" i="1" s="1"/>
  <x:c r="M638" i="1"/>
  <x:c r="O638" i="1" s="1"/>
  <x:c r="O252" i="1"/>
  <x:c r="M682" i="1"/>
  <x:c r="O682" i="1" s="1"/>
  <x:c r="M250" i="1"/>
  <x:c r="O250" i="1" s="1"/>
  <x:c r="M699" i="1"/>
  <x:c r="O699" i="1" s="1"/>
  <x:c r="M650" i="1"/>
  <x:c r="O650" i="1" s="1"/>
  <x:c r="M441" i="1"/>
  <x:c r="O441" i="1" s="1"/>
  <x:c r="M541" i="1"/>
  <x:c r="O541" i="1" s="1"/>
  <x:c r="M327" i="1"/>
  <x:c r="O327" i="1" s="1"/>
  <x:c r="M540" i="1"/>
  <x:c r="O540" i="1" s="1"/>
  <x:c r="M242" i="1"/>
  <x:c r="O242" i="1" s="1"/>
  <x:c r="M435" i="1"/>
  <x:c r="O435" i="1" s="1"/>
  <x:c r="M544" i="1"/>
  <x:c r="O544" i="1" s="1"/>
  <x:c r="O234" i="1"/>
  <x:c r="O201" i="1"/>
  <x:c r="O175" i="1"/>
  <x:c r="O157" i="1"/>
  <x:c r="O147" i="1"/>
  <x:c r="M328" i="1"/>
  <x:c r="O328" i="1" s="1"/>
  <x:c r="M297" i="1"/>
  <x:c r="O297" i="1" s="1"/>
  <x:c r="M543" i="1"/>
  <x:c r="O543" i="1" s="1"/>
  <x:c r="M278" i="1"/>
  <x:c r="O278" i="1" s="1"/>
  <x:c r="M285" i="1"/>
  <x:c r="O285" i="1" s="1"/>
  <x:c r="M391" i="1"/>
  <x:c r="O391" i="1" s="1"/>
  <x:c r="M449" i="1"/>
  <x:c r="O449" i="1" s="1"/>
  <x:c r="M434" i="1"/>
  <x:c r="O434" i="1" s="1"/>
  <x:c r="M245" i="1"/>
  <x:c r="O245" i="1" s="1"/>
  <x:c r="M300" i="1"/>
  <x:c r="O300" i="1" s="1"/>
  <x:c r="M556" i="1"/>
  <x:c r="O556" i="1" s="1"/>
  <x:c r="M671" i="1"/>
  <x:c r="O671" i="1" s="1"/>
  <x:c r="M420" i="1"/>
  <x:c r="O420" i="1" s="1"/>
  <x:c r="M301" i="1"/>
  <x:c r="O301" i="1" s="1"/>
  <x:c r="M557" i="1"/>
  <x:c r="O557" i="1" s="1"/>
  <x:c r="M622" i="1"/>
  <x:c r="O622" i="1" s="1"/>
  <x:c r="M470" i="1"/>
  <x:c r="O470" i="1" s="1"/>
  <x:c r="M464" i="1"/>
  <x:c r="O464" i="1" s="1"/>
  <x:c r="M179" i="1"/>
  <x:c r="O179" i="1" s="1"/>
  <x:c r="M687" i="1"/>
  <x:c r="O687" i="1" s="1"/>
  <x:c r="M352" i="1"/>
  <x:c r="O352" i="1" s="1"/>
  <x:c r="M510" i="1"/>
  <x:c r="O510" i="1" s="1"/>
  <x:c r="M204" i="1"/>
  <x:c r="M721" i="1"/>
  <x:c r="M529" i="1"/>
  <x:c r="O529" i="1" s="1"/>
  <x:c r="M383" i="1"/>
  <x:c r="O383" i="1" s="1"/>
  <x:c r="M728" i="1"/>
  <x:c r="M288" i="1"/>
  <x:c r="O288" i="1" s="1"/>
  <x:c r="M422" i="1"/>
  <x:c r="O422" i="1" s="1"/>
  <x:c r="M439" i="1"/>
  <x:c r="O439" i="1" s="1"/>
  <x:c r="M631" i="1"/>
  <x:c r="O631" i="1" s="1"/>
  <x:c r="M415" i="1"/>
  <x:c r="O415" i="1" s="1"/>
  <x:c r="M205" i="1"/>
  <x:c r="O205" i="1" s="1"/>
  <x:c r="M689" i="1"/>
  <x:c r="O689" i="1" s="1"/>
  <x:c r="M520" i="1"/>
  <x:c r="O520" i="1" s="1"/>
  <x:c r="M126" i="1"/>
  <x:c r="M351" i="1"/>
  <x:c r="O351" i="1" s="1"/>
  <x:c r="M238" i="1"/>
  <x:c r="O238" i="1" s="1"/>
  <x:c r="M549" i="1"/>
  <x:c r="O549" i="1" s="1"/>
  <x:c r="M458" i="1"/>
  <x:c r="O458" i="1" s="1"/>
  <x:c r="M518" i="1"/>
  <x:c r="O518" i="1" s="1"/>
  <x:c r="M524" i="1"/>
  <x:c r="O524" i="1" s="1"/>
  <x:c r="M277" i="1"/>
  <x:c r="M379" i="1"/>
  <x:c r="O379" i="1" s="1"/>
  <x:c r="M517" i="1"/>
  <x:c r="O517" i="1" s="1"/>
  <x:c r="M191" i="1"/>
  <x:c r="O191" i="1" s="1"/>
  <x:c r="M563" i="1"/>
  <x:c r="O563" i="1" s="1"/>
  <x:c r="M338" i="1"/>
  <x:c r="O338" i="1" s="1"/>
  <x:c r="M479" i="1"/>
  <x:c r="O479" i="1" s="1"/>
  <x:c r="M652" i="1"/>
  <x:c r="O652" i="1" s="1"/>
  <x:c r="M324" i="1"/>
  <x:c r="O324" i="1" s="1"/>
  <x:c r="M262" i="1"/>
  <x:c r="O262" i="1" s="1"/>
  <x:c r="M642" i="1"/>
  <x:c r="O642" i="1" s="1"/>
  <x:c r="M648" i="1"/>
  <x:c r="O648" i="1" s="1"/>
  <x:c r="M575" i="1"/>
  <x:c r="O575" i="1" s="1"/>
  <x:c r="O277" i="1"/>
  <x:c r="R277" i="1" s="1"/>
  <x:c r="M271" i="1"/>
  <x:c r="O271" i="1" s="1"/>
  <x:c r="M207" i="1"/>
  <x:c r="O207" i="1" s="1"/>
  <x:c r="M345" i="1"/>
  <x:c r="O345" i="1" s="1"/>
  <x:c r="O249" i="1"/>
  <x:c r="M241" i="1"/>
  <x:c r="O241" i="1" s="1"/>
  <x:c r="M239" i="1"/>
  <x:c r="O239" i="1" s="1"/>
  <x:c r="M235" i="1"/>
  <x:c r="O235" i="1" s="1"/>
  <x:c r="M392" i="1"/>
  <x:c r="O392" i="1" s="1"/>
  <x:c r="M465" i="1"/>
  <x:c r="O465" i="1" s="1"/>
  <x:c r="M564" i="1"/>
  <x:c r="O564" i="1" s="1"/>
  <x:c r="M409" i="1"/>
  <x:c r="O409" i="1" s="1"/>
  <x:c r="M684" i="1"/>
  <x:c r="O684" i="1" s="1"/>
  <x:c r="M394" i="1"/>
  <x:c r="O394" i="1" s="1"/>
  <x:c r="M223" i="1"/>
  <x:c r="M437" i="1"/>
  <x:c r="O437" i="1" s="1"/>
  <x:c r="M353" i="1"/>
  <x:c r="O353" i="1" s="1"/>
  <x:c r="M626" i="1"/>
  <x:c r="O626" i="1" s="1"/>
  <x:c r="M685" i="1"/>
  <x:c r="O685" i="1" s="1"/>
  <x:c r="M246" i="1"/>
  <x:c r="O246" i="1" s="1"/>
  <x:c r="M469" i="1"/>
  <x:c r="O469" i="1" s="1"/>
  <x:c r="M219" i="1"/>
  <x:c r="O219" i="1" s="1"/>
  <x:c r="M218" i="1"/>
  <x:c r="O218" i="1" s="1"/>
  <x:c r="M461" i="1"/>
  <x:c r="O461" i="1" s="1"/>
  <x:c r="M169" i="1"/>
  <x:c r="O169" i="1" s="1"/>
  <x:c r="M664" i="1"/>
  <x:c r="O664" i="1" s="1"/>
  <x:c r="M431" i="1"/>
  <x:c r="O431" i="1" s="1"/>
  <x:c r="M127" i="1"/>
  <x:c r="O127" i="1" s="1"/>
  <x:c r="M295" i="1"/>
  <x:c r="O295" i="1" s="1"/>
  <x:c r="O223" i="1"/>
  <x:c r="Q223" i="1" s="1"/>
  <x:c r="M729" i="1"/>
  <x:c r="O204" i="1"/>
  <x:c r="M264" i="1"/>
  <x:c r="O264" i="1" s="1"/>
  <x:c r="M291" i="1"/>
  <x:c r="O291" i="1" s="1"/>
  <x:c r="M397" i="1"/>
  <x:c r="O397" i="1" s="1"/>
  <x:c r="M289" i="1"/>
  <x:c r="O289" i="1" s="1"/>
  <x:c r="M343" i="1"/>
  <x:c r="O343" i="1" s="1"/>
  <x:c r="M446" i="1"/>
  <x:c r="O446" i="1" s="1"/>
  <x:c r="M618" i="1"/>
  <x:c r="O618" i="1" s="1"/>
  <x:c r="M504" i="1"/>
  <x:c r="O504" i="1" s="1"/>
  <x:c r="M617" i="1"/>
  <x:c r="O617" i="1" s="1"/>
  <x:c r="M361" i="1"/>
  <x:c r="O361" i="1" s="1"/>
  <x:c r="M442" i="1"/>
  <x:c r="O442" i="1" s="1"/>
  <x:c r="M376" i="1"/>
  <x:c r="O376" i="1" s="1"/>
  <x:c r="M162" i="1"/>
  <x:c r="O162" i="1" s="1"/>
  <x:c r="M628" i="1"/>
  <x:c r="O628" i="1" s="1"/>
  <x:c r="M141" i="1"/>
  <x:c r="O141" i="1" s="1"/>
  <x:c r="M160" i="1"/>
  <x:c r="O160" i="1" s="1"/>
  <x:c r="M244" i="1"/>
  <x:c r="O244" i="1" s="1"/>
  <x:c r="M487" i="1"/>
  <x:c r="O487" i="1" s="1"/>
  <x:c r="M231" i="1"/>
  <x:c r="O231" i="1" s="1"/>
  <x:c r="M690" i="1"/>
  <x:c r="O690" i="1" s="1"/>
  <x:c r="M134" i="1"/>
  <x:c r="O134" i="1" s="1"/>
  <x:c r="M164" i="1"/>
  <x:c r="O164" i="1" s="1"/>
  <x:c r="M149" i="1"/>
  <x:c r="O149" i="1" s="1"/>
  <x:c r="M380" i="1"/>
  <x:c r="O380" i="1" s="1"/>
  <x:c r="M597" i="1"/>
  <x:c r="O597" i="1" s="1"/>
  <x:c r="M649" i="1"/>
  <x:c r="O649" i="1" s="1"/>
  <x:c r="M645" i="1"/>
  <x:c r="O645" i="1" s="1"/>
  <x:c r="M680" i="1"/>
  <x:c r="O680" i="1" s="1"/>
  <x:c r="M460" i="1"/>
  <x:c r="O460" i="1" s="1"/>
  <x:c r="M237" i="1"/>
  <x:c r="O237" i="1" s="1"/>
  <x:c r="M261" i="1"/>
  <x:c r="O261" i="1" s="1"/>
  <x:c r="M581" i="1"/>
  <x:c r="O581" i="1" s="1"/>
  <x:c r="M282" i="1"/>
  <x:c r="O282" i="1" s="1"/>
  <x:c r="M497" i="1"/>
  <x:c r="O497" i="1" s="1"/>
  <x:c r="M251" i="1"/>
  <x:c r="O251" i="1" s="1"/>
  <x:c r="M673" i="1"/>
  <x:c r="O673" i="1" s="1"/>
  <x:c r="M509" i="1"/>
  <x:c r="O509" i="1" s="1"/>
  <x:c r="M131" i="1"/>
  <x:c r="O131" i="1" s="1"/>
  <x:c r="M643" i="1"/>
  <x:c r="O643" i="1" s="1"/>
  <x:c r="M619" i="1"/>
  <x:c r="O619" i="1" s="1"/>
  <x:c r="M125" i="1"/>
  <x:c r="O125" i="1" s="1"/>
  <x:c r="M193" i="1"/>
  <x:c r="O193" i="1" s="1"/>
  <x:c r="M514" i="1"/>
  <x:c r="O514" i="1" s="1"/>
  <x:c r="M313" i="1"/>
  <x:c r="O313" i="1" s="1"/>
  <x:c r="M678" i="1"/>
  <x:c r="O678" i="1" s="1"/>
  <x:c r="M253" i="1"/>
  <x:c r="O253" i="1" s="1"/>
  <x:c r="M269" i="1"/>
  <x:c r="O269" i="1" s="1"/>
  <x:c r="M266" i="1"/>
  <x:c r="O266" i="1" s="1"/>
  <x:c r="M670" i="1"/>
  <x:c r="O670" i="1" s="1"/>
  <x:c r="M307" i="1"/>
  <x:c r="O307" i="1" s="1"/>
  <x:c r="M676" i="1"/>
  <x:c r="O676" i="1" s="1"/>
  <x:c r="M562" i="1"/>
  <x:c r="O562" i="1" s="1"/>
  <x:c r="M694" i="1"/>
  <x:c r="O694" i="1" s="1"/>
  <x:c r="M171" i="1"/>
  <x:c r="O171" i="1" s="1"/>
  <x:c r="M354" i="1"/>
  <x:c r="O354" i="1" s="1"/>
  <x:c r="M477" i="1"/>
  <x:c r="O477" i="1" s="1"/>
  <x:c r="M455" i="1"/>
  <x:c r="O455" i="1" s="1"/>
  <x:c r="M309" i="1"/>
  <x:c r="O309" i="1" s="1"/>
  <x:c r="M369" i="1"/>
  <x:c r="O369" i="1" s="1"/>
  <x:c r="M350" i="1"/>
  <x:c r="O350" i="1" s="1"/>
  <x:c r="M220" i="1"/>
  <x:c r="O220" i="1" s="1"/>
  <x:c r="M318" i="1"/>
  <x:c r="M665" i="1"/>
  <x:c r="O665" i="1" s="1"/>
  <x:c r="M526" i="1"/>
  <x:c r="O526" i="1" s="1"/>
  <x:c r="M693" i="1"/>
  <x:c r="O693" i="1" s="1"/>
  <x:c r="M374" i="1"/>
  <x:c r="O374" i="1" s="1"/>
  <x:c r="M691" i="1"/>
  <x:c r="O691" i="1" s="1"/>
  <x:c r="M225" i="1"/>
  <x:c r="O225" i="1" s="1"/>
  <x:c r="M473" i="1"/>
  <x:c r="O473" i="1" s="1"/>
  <x:c r="M187" i="1"/>
  <x:c r="O187" i="1" s="1"/>
  <x:c r="M281" i="1"/>
  <x:c r="O281" i="1" s="1"/>
  <x:c r="M696" i="1"/>
  <x:c r="O696" i="1" s="1"/>
  <x:c r="M342" i="1"/>
  <x:c r="O342" i="1" s="1"/>
  <x:c r="M539" i="1"/>
  <x:c r="O539" i="1" s="1"/>
  <x:c r="M155" i="1"/>
  <x:c r="O155" i="1" s="1"/>
  <x:c r="M152" i="1"/>
  <x:c r="O152" i="1" s="1"/>
  <x:c r="M186" i="1"/>
  <x:c r="O186" i="1" s="1"/>
  <x:c r="O182" i="1"/>
  <x:c r="M176" i="1"/>
  <x:c r="O176" i="1" s="1"/>
  <x:c r="M172" i="1"/>
  <x:c r="O172" i="1" s="1"/>
  <x:c r="M170" i="1"/>
  <x:c r="O170" i="1" s="1"/>
  <x:c r="M168" i="1"/>
  <x:c r="O168" i="1" s="1"/>
  <x:c r="M166" i="1"/>
  <x:c r="O166" i="1" s="1"/>
  <x:c r="M158" i="1"/>
  <x:c r="O158" i="1" s="1"/>
  <x:c r="O156" i="1"/>
  <x:c r="M154" i="1"/>
  <x:c r="O154" i="1" s="1"/>
  <x:c r="M140" i="1"/>
  <x:c r="O140" i="1" s="1"/>
  <x:c r="M132" i="1"/>
  <x:c r="O132" i="1" s="1"/>
  <x:c r="O130" i="1"/>
  <x:c r="O126" i="1"/>
  <x:c r="O124" i="1"/>
  <x:c r="M247" i="1"/>
  <x:c r="O247" i="1" s="1"/>
  <x:c r="M734" i="1"/>
  <x:c r="M454" i="1"/>
  <x:c r="O454" i="1" s="1"/>
  <x:c r="M571" i="1"/>
  <x:c r="O571" i="1" s="1"/>
  <x:c r="M692" i="1"/>
  <x:c r="O692" i="1" s="1"/>
  <x:c r="M536" i="1"/>
  <x:c r="O536" i="1" s="1"/>
  <x:c r="M230" i="1"/>
  <x:c r="O230" i="1" s="1"/>
  <x:c r="M255" i="1"/>
  <x:c r="O255" i="1" s="1"/>
  <x:c r="M592" i="1"/>
  <x:c r="O592" i="1" s="1"/>
  <x:c r="M283" i="1"/>
  <x:c r="O283" i="1" s="1"/>
  <x:c r="M516" i="1"/>
  <x:c r="O516" i="1" s="1"/>
  <x:c r="M304" i="1"/>
  <x:c r="O304" i="1" s="1"/>
  <x:c r="M173" i="1"/>
  <x:c r="O173" i="1" s="1"/>
  <x:c r="M303" i="1"/>
  <x:c r="O303" i="1" s="1"/>
  <x:c r="M240" i="1"/>
  <x:c r="O240" i="1" s="1"/>
  <x:c r="M148" i="1"/>
  <x:c r="O148" i="1" s="1"/>
  <x:c r="M666" i="1"/>
  <x:c r="O666" i="1" s="1"/>
  <x:c r="M659" i="1"/>
  <x:c r="O659" i="1" s="1"/>
  <x:c r="M370" i="1"/>
  <x:c r="O370" i="1" s="1"/>
  <x:c r="M236" i="1"/>
  <x:c r="O236" i="1" s="1"/>
  <x:c r="M703" i="1"/>
  <x:c r="O703" i="1" s="1"/>
  <x:c r="M595" i="1"/>
  <x:c r="O595" i="1" s="1"/>
  <x:c r="M306" i="1"/>
  <x:c r="O306" i="1" s="1"/>
  <x:c r="M572" i="1"/>
  <x:c r="O572" i="1" s="1"/>
  <x:c r="M615" i="1"/>
  <x:c r="O615" i="1" s="1"/>
  <x:c r="M196" i="1"/>
  <x:c r="O196" i="1" s="1"/>
  <x:c r="M135" i="1"/>
  <x:c r="O135" i="1" s="1"/>
  <x:c r="M494" i="1"/>
  <x:c r="O494" i="1" s="1"/>
  <x:c r="M188" i="1"/>
  <x:c r="O188" i="1" s="1"/>
  <x:c r="M312" i="1"/>
  <x:c r="O312" i="1" s="1"/>
  <x:c r="M221" i="1"/>
  <x:c r="O221" i="1" s="1"/>
  <x:c r="M593" i="1"/>
  <x:c r="O593" i="1" s="1"/>
  <x:c r="M224" i="1"/>
  <x:c r="O224" i="1" s="1"/>
  <x:c r="M299" i="1"/>
  <x:c r="O299" i="1" s="1"/>
  <x:c r="M459" i="1"/>
  <x:c r="O459" i="1" s="1"/>
  <x:c r="M183" i="1"/>
  <x:c r="O183" i="1" s="1"/>
  <x:c r="M538" i="1"/>
  <x:c r="O538" i="1" s="1"/>
  <x:c r="M528" i="1"/>
  <x:c r="O528" i="1" s="1"/>
  <x:c r="M198" i="1"/>
  <x:c r="O198" i="1" s="1"/>
  <x:c r="M334" i="1"/>
  <x:c r="O334" i="1" s="1"/>
  <x:c r="M259" i="1"/>
  <x:c r="O259" i="1" s="1"/>
  <x:c r="M587" i="1"/>
  <x:c r="O587" i="1" s="1"/>
  <x:c r="M636" i="1"/>
  <x:c r="O636" i="1" s="1"/>
  <x:c r="M399" i="1"/>
  <x:c r="O399" i="1" s="1"/>
  <x:c r="M644" i="1"/>
  <x:c r="O644" i="1" s="1"/>
  <x:c r="M329" i="1"/>
  <x:c r="O329" i="1" s="1"/>
  <x:c r="M226" i="1"/>
  <x:c r="O226" i="1" s="1"/>
  <x:c r="M349" i="1"/>
  <x:c r="O349" i="1" s="1"/>
  <x:c r="M620" i="1"/>
  <x:c r="O620" i="1" s="1"/>
  <x:c r="M533" i="1"/>
  <x:c r="O533" i="1" s="1"/>
  <x:c r="M153" i="1"/>
  <x:c r="O153" i="1" s="1"/>
  <x:c r="M621" i="1"/>
  <x:c r="O621" i="1" s="1"/>
  <x:c r="M535" i="1"/>
  <x:c r="O535" i="1" s="1"/>
  <x:c r="M525" i="1"/>
  <x:c r="O525" i="1" s="1"/>
  <x:c r="M257" i="1"/>
  <x:c r="O257" i="1" s="1"/>
  <x:c r="M598" i="1"/>
  <x:c r="O598" i="1" s="1"/>
  <x:c r="M468" i="1"/>
  <x:c r="O468" i="1" s="1"/>
  <x:c r="M308" i="1"/>
  <x:c r="O308" i="1" s="1"/>
  <x:c r="M232" i="1"/>
  <x:c r="O232" i="1" s="1"/>
  <x:c r="M133" i="1"/>
  <x:c r="O133" i="1" s="1"/>
  <x:c r="M287" i="1"/>
  <x:c r="O287" i="1" s="1"/>
  <x:c r="M260" i="1"/>
  <x:c r="O260" i="1" s="1"/>
  <x:c r="M438" i="1"/>
  <x:c r="O438" i="1" s="1"/>
  <x:c r="M495" i="1"/>
  <x:c r="O495" i="1" s="1"/>
  <x:c r="M542" i="1"/>
  <x:c r="O542" i="1" s="1"/>
  <x:c r="M276" i="1"/>
  <x:c r="O276" i="1" s="1"/>
  <x:c r="M453" i="1"/>
  <x:c r="O453" i="1" s="1"/>
  <x:c r="M123" i="1"/>
  <x:c r="O123" i="1" s="1"/>
  <x:c r="M387" i="1"/>
  <x:c r="O387" i="1" s="1"/>
  <x:c r="M286" i="1"/>
  <x:c r="O286" i="1" s="1"/>
  <x:c r="M555" i="1"/>
  <x:c r="O555" i="1" s="1"/>
  <x:c r="M315" i="1"/>
  <x:c r="O315" i="1" s="1"/>
  <x:c r="M137" i="1"/>
  <x:c r="O137" i="1" s="1"/>
  <x:c r="M603" i="1"/>
  <x:c r="O603" i="1" s="1"/>
  <x:c r="M121" i="1"/>
  <x:c r="O121" i="1" s="1"/>
  <x:c r="M310" i="1"/>
  <x:c r="O310" i="1" s="1"/>
  <x:c r="M580" i="1"/>
  <x:c r="O580" i="1" s="1"/>
  <x:c r="M553" i="1"/>
  <x:c r="O553" i="1" s="1"/>
  <x:c r="M589" i="1"/>
  <x:c r="O589" i="1" s="1"/>
  <x:c r="M623" i="1"/>
  <x:c r="O623" i="1" s="1"/>
  <x:c r="M129" i="1"/>
  <x:c r="O129" i="1" s="1"/>
  <x:c r="M590" i="1"/>
  <x:c r="O590" i="1" s="1"/>
  <x:c r="M444" i="1"/>
  <x:c r="O444" i="1" s="1"/>
  <x:c r="M584" i="1"/>
  <x:c r="O584" i="1" s="1"/>
  <x:c r="M624" i="1"/>
  <x:c r="O624" i="1" s="1"/>
  <x:c r="M702" i="1"/>
  <x:c r="O702" i="1" s="1"/>
  <x:c r="M523" i="1"/>
  <x:c r="O523" i="1" s="1"/>
  <x:c r="M667" i="1"/>
  <x:c r="O667" i="1" s="1"/>
  <x:c r="M475" i="1"/>
  <x:c r="O475" i="1" s="1"/>
  <x:c r="M366" i="1"/>
  <x:c r="O366" i="1" s="1"/>
  <x:c r="M385" i="1"/>
  <x:c r="O385" i="1" s="1"/>
  <x:c r="M537" i="1"/>
  <x:c r="O537" i="1" s="1"/>
  <x:c r="M396" i="1"/>
  <x:c r="O396" i="1" s="1"/>
  <x:c r="M567" i="1"/>
  <x:c r="O567" i="1" s="1"/>
  <x:c r="M267" i="1"/>
  <x:c r="O267" i="1" s="1"/>
  <x:c r="M341" i="1"/>
  <x:c r="O341" i="1" s="1"/>
  <x:c r="M330" i="1"/>
  <x:c r="O330" i="1" s="1"/>
  <x:c r="M448" i="1"/>
  <x:c r="O448" i="1" s="1"/>
  <x:c r="M591" i="1"/>
  <x:c r="O591" i="1" s="1"/>
  <x:c r="M565" i="1"/>
  <x:c r="O565" i="1" s="1"/>
  <x:c r="M560" i="1"/>
  <x:c r="O560" i="1" s="1"/>
  <x:c r="M482" i="1"/>
  <x:c r="O482" i="1" s="1"/>
  <x:c r="M256" i="1"/>
  <x:c r="O256" i="1" s="1"/>
  <x:c r="M485" i="1"/>
  <x:c r="O485" i="1" s="1"/>
  <x:c r="M151" i="1"/>
  <x:c r="O151" i="1" s="1"/>
  <x:c r="M305" i="1"/>
  <x:c r="O305" i="1" s="1"/>
  <x:c r="M488" i="1"/>
  <x:c r="O488" i="1" s="1"/>
  <x:c r="M375" i="1"/>
  <x:c r="O375" i="1" s="1"/>
  <x:c r="M138" i="1"/>
  <x:c r="O138" i="1" s="1"/>
  <x:c r="M355" i="1"/>
  <x:c r="O355" i="1" s="1"/>
  <x:c r="M388" i="1"/>
  <x:c r="O388" i="1" s="1"/>
  <x:c r="M613" i="1"/>
  <x:c r="O613" i="1" s="1"/>
  <x:c r="M450" i="1"/>
  <x:c r="O450" i="1" s="1"/>
  <x:c r="M463" i="1"/>
  <x:c r="O463" i="1" s="1"/>
  <x:c r="M292" i="1"/>
  <x:c r="O292" i="1" s="1"/>
  <x:c r="M561" i="1"/>
  <x:c r="O561" i="1" s="1"/>
  <x:c r="M298" i="1"/>
  <x:c r="O298" i="1" s="1"/>
  <x:c r="M492" i="1"/>
  <x:c r="O492" i="1" s="1"/>
  <x:c r="M398" i="1"/>
  <x:c r="O398" i="1" s="1"/>
  <x:c r="M433" i="1"/>
  <x:c r="O433" i="1" s="1"/>
  <x:c r="M273" i="1"/>
  <x:c r="O273" i="1" s="1"/>
  <x:c r="M416" i="1"/>
  <x:c r="O416" i="1" s="1"/>
  <x:c r="M630" i="1"/>
  <x:c r="O630" i="1" s="1"/>
  <x:c r="M144" i="1"/>
  <x:c r="O144" i="1" s="1"/>
  <x:c r="M272" i="1"/>
  <x:c r="O272" i="1" s="1"/>
  <x:c r="M611" i="1"/>
  <x:c r="O611" i="1" s="1"/>
  <x:c r="M440" i="1"/>
  <x:c r="O440" i="1" s="1"/>
  <x:c r="M426" i="1"/>
  <x:c r="O426" i="1" s="1"/>
  <x:c r="M293" i="1"/>
  <x:c r="O293" i="1" s="1"/>
  <x:c r="M161" i="1"/>
  <x:c r="O161" i="1" s="1"/>
  <x:c r="M346" i="1"/>
  <x:c r="O346" i="1" s="1"/>
  <x:c r="M697" i="1"/>
  <x:c r="O697" i="1" s="1"/>
  <x:c r="M228" i="1"/>
  <x:c r="O228" i="1" s="1"/>
  <x:c r="M326" i="1"/>
  <x:c r="O326" i="1" s="1"/>
  <x:c r="M184" i="1"/>
  <x:c r="O184" i="1" s="1"/>
  <x:c r="M254" i="1"/>
  <x:c r="O254" i="1" s="1"/>
  <x:c r="M159" i="1"/>
  <x:c r="O159" i="1" s="1"/>
  <x:c r="M365" i="1"/>
  <x:c r="O365" i="1" s="1"/>
  <x:c r="M192" i="1"/>
  <x:c r="O192" i="1" s="1"/>
  <x:c r="M233" i="1"/>
  <x:c r="O233" i="1" s="1"/>
  <x:c r="M180" i="1"/>
  <x:c r="O180" i="1" s="1"/>
  <x:c r="M686" i="1"/>
  <x:c r="O686" i="1" s="1"/>
  <x:c r="M367" i="1"/>
  <x:c r="O367" i="1" s="1"/>
  <x:c r="M672" i="1"/>
  <x:c r="O672" i="1" s="1"/>
  <x:c r="M419" i="1"/>
  <x:c r="O419" i="1" s="1"/>
  <x:c r="M258" i="1"/>
  <x:c r="O258" i="1" s="1"/>
  <x:c r="M443" i="1"/>
  <x:c r="O443" i="1" s="1"/>
  <x:c r="M430" i="1"/>
  <x:c r="O430" i="1" s="1"/>
  <x:c r="M279" i="1"/>
  <x:c r="O279" i="1" s="1"/>
  <x:c r="M194" i="1"/>
  <x:c r="O194" i="1" s="1"/>
  <x:c r="M421" i="1"/>
  <x:c r="O421" i="1" s="1"/>
  <x:c r="M633" i="1"/>
  <x:c r="O633" i="1" s="1"/>
  <x:c r="M731" i="1"/>
  <x:c r="M480" i="1"/>
  <x:c r="O480" i="1" s="1"/>
  <x:c r="M265" i="1"/>
  <x:c r="O265" i="1" s="1"/>
  <x:c r="M432" i="1"/>
  <x:c r="O432" i="1" s="1"/>
  <x:c r="M456" i="1"/>
  <x:c r="O456" i="1" s="1"/>
  <x:c r="M527" i="1"/>
  <x:c r="O527" i="1" s="1"/>
  <x:c r="M476" i="1"/>
  <x:c r="O476" i="1" s="1"/>
  <x:c r="M550" i="1"/>
  <x:c r="O550" i="1" s="1"/>
  <x:c r="M336" i="1"/>
  <x:c r="O336" i="1" s="1"/>
  <x:c r="M390" i="1"/>
  <x:c r="O390" i="1" s="1"/>
  <x:c r="M566" i="1"/>
  <x:c r="O566" i="1" s="1"/>
  <x:c r="M472" i="1"/>
  <x:c r="O472" i="1" s="1"/>
  <x:c r="M688" i="1"/>
  <x:c r="O688" i="1" s="1"/>
  <x:c r="M203" i="1"/>
  <x:c r="O203" i="1" s="1"/>
  <x:c r="M128" i="1"/>
  <x:c r="O128" i="1" s="1"/>
  <x:c r="M363" i="1"/>
  <x:c r="O363" i="1" s="1"/>
  <x:c r="M669" i="1"/>
  <x:c r="O669" i="1" s="1"/>
  <x:c r="M359" i="1"/>
  <x:c r="O359" i="1" s="1"/>
  <x:c r="M614" i="1"/>
  <x:c r="O614" i="1" s="1"/>
  <x:c r="M547" i="1"/>
  <x:c r="O547" i="1" s="1"/>
  <x:c r="M559" i="1"/>
  <x:c r="O559" i="1" s="1"/>
  <x:c r="M548" i="1"/>
  <x:c r="O548" i="1" s="1"/>
  <x:c r="M189" i="1"/>
  <x:c r="O189" i="1" s="1"/>
  <x:c r="M163" i="1"/>
  <x:c r="O163" i="1" s="1"/>
  <x:c r="M551" i="1"/>
  <x:c r="O551" i="1" s="1"/>
  <x:c r="M199" i="1"/>
  <x:c r="O199" i="1" s="1"/>
  <x:c r="M178" i="1"/>
  <x:c r="O178" i="1" s="1"/>
  <x:c r="M447" i="1"/>
  <x:c r="O447" i="1" s="1"/>
  <x:c r="M484" i="1"/>
  <x:c r="O484" i="1" s="1"/>
  <x:c r="M612" i="1"/>
  <x:c r="O612" i="1" s="1"/>
  <x:c r="M522" i="1"/>
  <x:c r="O522" i="1" s="1"/>
  <x:c r="M290" i="1"/>
  <x:c r="O290" i="1" s="1"/>
  <x:c r="M335" i="1"/>
  <x:c r="O335" i="1" s="1"/>
  <x:c r="M208" i="1"/>
  <x:c r="O208" i="1" s="1"/>
  <x:c r="M371" i="1"/>
  <x:c r="O371" i="1" s="1"/>
  <x:c r="M243" i="1"/>
  <x:c r="O243" i="1" s="1"/>
  <x:c r="M165" i="1"/>
  <x:c r="O165" i="1" s="1"/>
  <x:c r="M511" i="1"/>
  <x:c r="O511" i="1" s="1"/>
  <x:c r="M651" i="1"/>
  <x:c r="O651" i="1" s="1"/>
  <x:c r="M583" i="1"/>
  <x:c r="O583" i="1" s="1"/>
  <x:c r="M362" i="1"/>
  <x:c r="O362" i="1" s="1"/>
  <x:c r="M311" i="1"/>
  <x:c r="O311" i="1" s="1"/>
  <x:c r="M393" i="1"/>
  <x:c r="O393" i="1" s="1"/>
  <x:c r="M445" i="1"/>
  <x:c r="O445" i="1" s="1"/>
  <x:c r="M143" i="1"/>
  <x:c r="O143" i="1" s="1"/>
  <x:c r="M578" i="1"/>
  <x:c r="O578" i="1" s="1"/>
  <x:c r="M736" i="1"/>
  <x:c r="M451" i="1"/>
  <x:c r="O451" i="1" s="1"/>
  <x:c r="M586" i="1"/>
  <x:c r="O586" i="1" s="1"/>
  <x:c r="M314" i="1"/>
  <x:c r="O314" i="1" s="1"/>
  <x:c r="M139" i="1"/>
  <x:c r="O139" i="1" s="1"/>
  <x:c r="M360" i="1"/>
  <x:c r="O360" i="1" s="1"/>
  <x:c r="M568" i="1"/>
  <x:c r="O568" i="1" s="1"/>
  <x:c r="M337" i="1"/>
  <x:c r="O337" i="1" s="1"/>
  <x:c r="M576" i="1"/>
  <x:c r="O576" i="1" s="1"/>
  <x:c r="M209" i="1"/>
  <x:c r="O209" i="1" s="1"/>
  <x:c r="M248" i="1"/>
  <x:c r="O248" i="1" s="1"/>
  <x:c r="M122" i="1"/>
  <x:c r="O122" i="1" s="1"/>
  <x:c r="M202" i="1"/>
  <x:c r="O202" i="1" s="1"/>
  <x:c r="M574" i="1"/>
  <x:c r="O574" i="1" s="1"/>
  <x:c r="M733" i="1"/>
  <x:c r="M489" i="1"/>
  <x:c r="O489" i="1" s="1"/>
  <x:c r="M429" i="1"/>
  <x:c r="O429" i="1" s="1"/>
  <x:c r="M389" i="1"/>
  <x:c r="O389" i="1" s="1"/>
  <x:c r="M596" i="1"/>
  <x:c r="O596" i="1" s="1"/>
  <x:c r="M490" i="1"/>
  <x:c r="O490" i="1" s="1"/>
  <x:c r="M227" i="1"/>
  <x:c r="O227" i="1" s="1"/>
  <x:c r="M577" i="1"/>
  <x:c r="O577" i="1" s="1"/>
  <x:c r="M418" i="1"/>
  <x:c r="O418" i="1" s="1"/>
  <x:c r="M377" i="1"/>
  <x:c r="O377" i="1" s="1"/>
  <x:c r="M641" i="1"/>
  <x:c r="O641" i="1" s="1"/>
  <x:c r="M347" i="1"/>
  <x:c r="O347" i="1" s="1"/>
  <x:c r="M348" i="1"/>
  <x:c r="O348" i="1" s="1"/>
  <x:c r="M384" i="1"/>
  <x:c r="O384" i="1" s="1"/>
  <x:c r="M457" i="1"/>
  <x:c r="O457" i="1" s="1"/>
  <x:c r="M229" i="1"/>
  <x:c r="O229" i="1" s="1"/>
  <x:c r="M674" i="1"/>
  <x:c r="O674" i="1" s="1"/>
  <x:c r="M373" i="1"/>
  <x:c r="O373" i="1" s="1"/>
  <x:c r="M381" i="1"/>
  <x:c r="O381" i="1" s="1"/>
  <x:c r="M483" i="1"/>
  <x:c r="O483" i="1" s="1"/>
  <x:c r="M534" i="1"/>
  <x:c r="O534" i="1" s="1"/>
  <x:c r="M629" i="1"/>
  <x:c r="O629" i="1" s="1"/>
  <x:c r="M340" i="1"/>
  <x:c r="O340" i="1" s="1"/>
  <x:c r="M637" i="1"/>
  <x:c r="O637" i="1" s="1"/>
  <x:c r="M530" i="1"/>
  <x:c r="O530" i="1" s="1"/>
  <x:c r="M606" i="1"/>
  <x:c r="M344" i="1"/>
  <x:c r="O344" i="1" s="1"/>
  <x:c r="M200" i="1"/>
  <x:c r="O200" i="1" s="1"/>
  <x:c r="M263" i="1"/>
  <x:c r="O263" i="1" s="1"/>
  <x:c r="M395" i="1"/>
  <x:c r="O395" i="1" s="1"/>
  <x:c r="M177" i="1"/>
  <x:c r="O177" i="1" s="1"/>
  <x:c r="M333" i="1"/>
  <x:c r="O333" i="1" s="1"/>
  <x:c r="M474" i="1"/>
  <x:c r="O474" i="1" s="1"/>
  <x:c r="M427" i="1"/>
  <x:c r="O427" i="1" s="1"/>
  <x:c r="M222" i="1"/>
  <x:c r="O222" i="1" s="1"/>
  <x:c r="M727" i="1"/>
  <x:c r="M206" i="1"/>
  <x:c r="O206" i="1" s="1"/>
  <x:c r="M181" i="1"/>
  <x:c r="O181" i="1" s="1"/>
  <x:c r="M532" i="1"/>
  <x:c r="O532" i="1" s="1"/>
  <x:c r="M146" i="1"/>
  <x:c r="O146" i="1" s="1"/>
  <x:c r="M726" i="1"/>
  <x:c r="M339" i="1"/>
  <x:c r="O339" i="1" s="1"/>
  <x:c r="M735" i="1"/>
  <x:c r="M195" i="1"/>
  <x:c r="O195" i="1" s="1"/>
  <x:c r="M136" i="1"/>
  <x:c r="O136" i="1" s="1"/>
  <x:c r="M585" i="1"/>
  <x:c r="O585" i="1" s="1"/>
  <x:c r="M325" i="1"/>
  <x:c r="O325" i="1" s="1"/>
  <x:c r="M368" i="1"/>
  <x:c r="O368" i="1" s="1"/>
  <x:c r="M358" i="1"/>
  <x:c r="O358" i="1" s="1"/>
  <x:c r="M211" i="1"/>
  <x:c r="M546" i="1"/>
  <x:c r="O546" i="1" s="1"/>
  <x:c r="M382" i="1"/>
  <x:c r="O382" i="1" s="1"/>
  <x:c r="M190" i="1"/>
  <x:c r="O190" i="1" s="1"/>
  <x:c r="M681" i="1"/>
  <x:c r="O681" i="1" s="1"/>
  <x:c r="M579" i="1"/>
  <x:c r="O579" i="1" s="1"/>
  <x:c r="M647" i="1"/>
  <x:c r="O647" i="1" s="1"/>
  <x:c r="M481" i="1"/>
  <x:c r="O481" i="1" s="1"/>
  <x:c r="M466" i="1"/>
  <x:c r="O466" i="1" s="1"/>
  <x:c r="M145" i="1"/>
  <x:c r="O145" i="1" s="1"/>
  <x:c r="M478" i="1"/>
  <x:c r="O478" i="1" s="1"/>
  <x:c r="M496" i="1"/>
  <x:c r="O496" i="1" s="1"/>
  <x:c r="M569" i="1"/>
  <x:c r="O569" i="1" s="1"/>
  <x:c r="M296" i="1"/>
  <x:c r="O296" i="1" s="1"/>
  <x:c r="M332" i="1"/>
  <x:c r="O332" i="1" s="1"/>
  <x:c r="M294" i="1"/>
  <x:c r="O294" i="1" s="1"/>
  <x:c r="M425" i="1"/>
  <x:c r="O425" i="1" s="1"/>
  <x:c r="O318" i="1"/>
  <x:c r="M545" i="1"/>
  <x:c r="O545" i="1" s="1"/>
  <x:c r="M634" i="1"/>
  <x:c r="O634" i="1" s="1"/>
  <x:c r="M197" i="1"/>
  <x:c r="O197" i="1" s="1"/>
  <x:c r="M174" i="1"/>
  <x:c r="O174" i="1" s="1"/>
  <x:c r="M142" i="1"/>
  <x:c r="O142" i="1" s="1"/>
  <x:c r="M150" i="1"/>
  <x:c r="O150" i="1" s="1"/>
  <x:c r="M114" i="1"/>
  <x:c r="O114" i="1" s="1"/>
  <x:c r="M268" i="1"/>
  <x:c r="O268" i="1" s="1"/>
  <x:c r="M275" i="1"/>
  <x:c r="O275" i="1" s="1"/>
  <x:c r="M185" i="1"/>
  <x:c r="O185" i="1" s="1"/>
  <x:c r="M417" i="1"/>
  <x:c r="O417" i="1" s="1"/>
  <x:c r="M513" i="1"/>
  <x:c r="O513" i="1" s="1"/>
  <x:c r="O606" i="1" l="1"/>
  <x:c r="M657" i="1"/>
  <x:c r="O657" i="1"/>
  <x:c r="R417" i="1"/>
  <x:c r="Q417" i="1"/>
  <x:c r="P417" i="1"/>
  <x:c r="S417" i="1" s="1"/>
  <x:c r="R318" i="1"/>
  <x:c r="Q318" i="1"/>
  <x:c r="P318" i="1"/>
  <x:c r="R325" i="1"/>
  <x:c r="Q325" i="1"/>
  <x:c r="P325" i="1"/>
  <x:c r="S325" i="1" s="1"/>
  <x:c r="R606" i="1"/>
  <x:c r="Q606" i="1"/>
  <x:c r="P606" i="1"/>
  <x:c r="R596" i="1"/>
  <x:c r="Q596" i="1"/>
  <x:c r="P596" i="1"/>
  <x:c r="S596" i="1" s="1"/>
  <x:c r="R612" i="1"/>
  <x:c r="Q612" i="1"/>
  <x:c r="P612" i="1"/>
  <x:c r="R614" i="1"/>
  <x:c r="Q614" i="1"/>
  <x:c r="P614" i="1"/>
  <x:c r="S614" i="1" s="1"/>
  <x:c r="R326" i="1"/>
  <x:c r="Q326" i="1"/>
  <x:c r="P326" i="1"/>
  <x:c r="S326" i="1" s="1"/>
  <x:c r="R611" i="1"/>
  <x:c r="Q611" i="1"/>
  <x:c r="P611" i="1"/>
  <x:c r="S611" i="1" s="1"/>
  <x:c r="R416" i="1"/>
  <x:c r="Q416" i="1"/>
  <x:c r="P416" i="1"/>
  <x:c r="R613" i="1"/>
  <x:c r="Q613" i="1"/>
  <x:c r="P613" i="1"/>
  <x:c r="S613" i="1" s="1"/>
  <x:c r="R702" i="1"/>
  <x:c r="Q702" i="1"/>
  <x:c r="P702" i="1"/>
  <x:c r="S702" i="1" s="1"/>
  <x:c r="R121" i="1"/>
  <x:c r="Q121" i="1"/>
  <x:c r="P121" i="1"/>
  <x:c r="S121" i="1" s="1"/>
  <x:c r="R603" i="1"/>
  <x:c r="Q603" i="1"/>
  <x:c r="P603" i="1"/>
  <x:c r="R598" i="1"/>
  <x:c r="Q598" i="1"/>
  <x:c r="P598" i="1"/>
  <x:c r="S598" i="1" s="1"/>
  <x:c r="R329" i="1"/>
  <x:c r="Q329" i="1"/>
  <x:c r="P329" i="1"/>
  <x:c r="S329" i="1" s="1"/>
  <x:c r="R703" i="1"/>
  <x:c r="Q703" i="1"/>
  <x:c r="P703" i="1"/>
  <x:c r="S703" i="1" s="1"/>
  <x:c r="R659" i="1"/>
  <x:c r="Q659" i="1"/>
  <x:c r="P659" i="1"/>
  <x:c r="R220" i="1"/>
  <x:c r="Q220" i="1"/>
  <x:c r="P220" i="1"/>
  <x:c r="S220" i="1" s="1"/>
  <x:c r="R509" i="1"/>
  <x:c r="Q509" i="1"/>
  <x:c r="P509" i="1"/>
  <x:c r="S509" i="1" s="1"/>
  <x:c r="R597" i="1"/>
  <x:c r="Q597" i="1"/>
  <x:c r="P597" i="1"/>
  <x:c r="S597" i="1" s="1"/>
  <x:c r="R219" i="1"/>
  <x:c r="Q219" i="1"/>
  <x:c r="P219" i="1"/>
  <x:c r="R218" i="1"/>
  <x:c r="Q218" i="1"/>
  <x:c r="P218" i="1"/>
  <x:c r="S218" i="1" s="1"/>
  <x:c r="R324" i="1"/>
  <x:c r="Q324" i="1"/>
  <x:c r="P324" i="1"/>
  <x:c r="S324" i="1" s="1"/>
  <x:c r="R415" i="1"/>
  <x:c r="Q415" i="1"/>
  <x:c r="P415" i="1"/>
  <x:c r="S415" i="1" s="1"/>
  <x:c r="R328" i="1"/>
  <x:c r="Q328" i="1"/>
  <x:c r="P328" i="1"/>
  <x:c r="R327" i="1"/>
  <x:c r="Q327" i="1"/>
  <x:c r="P327" i="1"/>
  <x:c r="S327" i="1" s="1"/>
  <x:c r="R699" i="1"/>
  <x:c r="Q699" i="1"/>
  <x:c r="P699" i="1"/>
  <x:c r="S699" i="1" s="1"/>
  <x:c r="R701" i="1"/>
  <x:c r="Q701" i="1"/>
  <x:c r="P701" i="1"/>
  <x:c r="S701" i="1" s="1"/>
  <x:c r="R604" i="1"/>
  <x:c r="Q604" i="1"/>
  <x:c r="P604" i="1"/>
  <x:c r="R700" i="1"/>
  <x:c r="Q700" i="1"/>
  <x:c r="P700" i="1"/>
  <x:c r="S700" i="1" s="1"/>
  <x:c r="O658" i="1"/>
  <x:c r="O707" i="1" s="1"/>
  <x:c r="M707" i="1"/>
  <x:c r="P640" i="1"/>
  <x:c r="R632" i="1"/>
  <x:c r="P677" i="1"/>
  <x:c r="Q683" i="1"/>
  <x:c r="Q616" i="1"/>
  <x:c r="Q695" i="1"/>
  <x:c r="P625" i="1"/>
  <x:c r="P668" i="1"/>
  <x:c r="R223" i="1"/>
  <x:c r="P409" i="1"/>
  <x:c r="P493" i="1"/>
  <x:c r="Q424" i="1"/>
  <x:c r="R436" i="1"/>
  <x:c r="P462" i="1"/>
  <x:c r="Q471" i="1"/>
  <x:c r="Q188" i="1"/>
  <x:c r="R196" i="1"/>
  <x:c r="Q148" i="1"/>
  <x:c r="P124" i="1"/>
  <x:c r="Q130" i="1"/>
  <x:c r="Q134" i="1"/>
  <x:c r="R154" i="1"/>
  <x:c r="Q162" i="1"/>
  <x:c r="Q168" i="1"/>
  <x:c r="Q172" i="1"/>
  <x:c r="R204" i="1"/>
  <x:c r="R147" i="1"/>
  <x:c r="R167" i="1"/>
  <x:c r="Q138" i="1"/>
  <x:c r="Q151" i="1"/>
  <x:c r="P132" i="1"/>
  <x:c r="R156" i="1"/>
  <x:c r="R160" i="1"/>
  <x:c r="P166" i="1"/>
  <x:c r="P170" i="1"/>
  <x:c r="P157" i="1"/>
  <x:c r="P175" i="1"/>
  <x:c r="P554" i="1"/>
  <x:c r="Q519" i="1"/>
  <x:c r="P573" i="1"/>
  <x:c r="P552" i="1"/>
  <x:c r="P582" i="1"/>
  <x:c r="Q330" i="1"/>
  <x:c r="P357" i="1"/>
  <x:c r="R356" i="1"/>
  <x:c r="R378" i="1"/>
  <x:c r="R334" i="1"/>
  <x:c r="P331" i="1"/>
  <x:c r="R372" i="1"/>
  <x:c r="Q386" i="1"/>
  <x:c r="R274" i="1"/>
  <x:c r="Q274" i="1"/>
  <x:c r="Q284" i="1"/>
  <x:c r="R305" i="1"/>
  <x:c r="R221" i="1"/>
  <x:c r="R303" i="1"/>
  <x:c r="R255" i="1"/>
  <x:c r="R247" i="1"/>
  <x:c r="P225" i="1"/>
  <x:c r="Q231" i="1"/>
  <x:c r="P223" i="1"/>
  <x:c r="P249" i="1"/>
  <x:c r="P297" i="1"/>
  <x:c r="Q234" i="1"/>
  <x:c r="P242" i="1"/>
  <x:c r="R252" i="1"/>
  <x:c r="R280" i="1"/>
  <x:c r="P284" i="1"/>
  <x:c r="P302" i="1"/>
  <x:c r="R316" i="1"/>
  <x:c r="P267" i="1"/>
  <x:c r="P299" i="1"/>
  <x:c r="Q283" i="1"/>
  <x:c r="Q295" i="1"/>
  <x:c r="R245" i="1"/>
  <x:c r="Q277" i="1"/>
  <x:c r="R285" i="1"/>
  <x:c r="P270" i="1"/>
  <x:c r="P316" i="1"/>
  <x:c r="Q436" i="1"/>
  <x:c r="Q462" i="1"/>
  <x:c r="Q493" i="1"/>
  <x:c r="R424" i="1"/>
  <x:c r="P424" i="1"/>
  <x:c r="P436" i="1"/>
  <x:c r="R462" i="1"/>
  <x:c r="R386" i="1"/>
  <x:c r="R471" i="1"/>
  <x:c r="Q632" i="1"/>
  <x:c r="R683" i="1"/>
  <x:c r="P683" i="1"/>
  <x:c r="Q554" i="1"/>
  <x:c r="Q677" i="1"/>
  <x:c r="R677" i="1"/>
  <x:c r="P632" i="1"/>
  <x:c r="R519" i="1"/>
  <x:c r="P519" i="1"/>
  <x:c r="R573" i="1"/>
  <x:c r="Q573" i="1"/>
  <x:c r="R554" i="1"/>
  <x:c r="P471" i="1"/>
  <x:c r="S471" i="1" s="1"/>
  <x:c r="R493" i="1"/>
  <x:c r="Q409" i="1"/>
  <x:c r="O408" i="1"/>
  <x:c r="Q356" i="1"/>
  <x:c r="P356" i="1"/>
  <x:c r="P386" i="1"/>
  <x:c r="Q239" i="1"/>
  <x:c r="R239" i="1"/>
  <x:c r="P239" i="1"/>
  <x:c r="Q245" i="1"/>
  <x:c r="Q252" i="1"/>
  <x:c r="P274" i="1"/>
  <x:c r="S274" i="1" s="1"/>
  <x:c r="S223" i="1"/>
  <x:c r="P245" i="1"/>
  <x:c r="P277" i="1"/>
  <x:c r="S277" i="1" s="1"/>
  <x:c r="P252" i="1"/>
  <x:c r="M210" i="1"/>
  <x:c r="P167" i="1"/>
  <x:c r="Q167" i="1"/>
  <x:c r="Q160" i="1"/>
  <x:c r="P160" i="1"/>
  <x:c r="Q204" i="1"/>
  <x:c r="R124" i="1"/>
  <x:c r="P130" i="1"/>
  <x:c r="R186" i="1"/>
  <x:c r="P201" i="1"/>
  <x:c r="Q124" i="1"/>
  <x:c r="R130" i="1"/>
  <x:c r="Q186" i="1"/>
  <x:c r="P186" i="1"/>
  <x:c r="P204" i="1"/>
  <x:c r="Q147" i="1"/>
  <x:c r="P147" i="1"/>
  <x:c r="Q201" i="1"/>
  <x:c r="R201" i="1"/>
  <x:c r="O210" i="1"/>
  <x:c r="Q114" i="1"/>
  <x:c r="P114" i="1"/>
  <x:c r="R114" i="1"/>
  <x:c r="P174" i="1"/>
  <x:c r="R174" i="1"/>
  <x:c r="Q174" i="1"/>
  <x:c r="R634" i="1"/>
  <x:c r="Q634" i="1"/>
  <x:c r="P634" i="1"/>
  <x:c r="R425" i="1"/>
  <x:c r="P425" i="1"/>
  <x:c r="Q425" i="1"/>
  <x:c r="P296" i="1"/>
  <x:c r="Q296" i="1"/>
  <x:c r="R296" i="1"/>
  <x:c r="Q466" i="1"/>
  <x:c r="P466" i="1"/>
  <x:c r="R466" i="1"/>
  <x:c r="P579" i="1"/>
  <x:c r="R579" i="1"/>
  <x:c r="Q579" i="1"/>
  <x:c r="R358" i="1"/>
  <x:c r="P358" i="1"/>
  <x:c r="Q358" i="1"/>
  <x:c r="M737" i="1"/>
  <x:c r="P222" i="1"/>
  <x:c r="Q222" i="1"/>
  <x:c r="R222" i="1"/>
  <x:c r="R333" i="1"/>
  <x:c r="P333" i="1"/>
  <x:c r="Q333" i="1"/>
  <x:c r="Q177" i="1"/>
  <x:c r="P177" i="1"/>
  <x:c r="R177" i="1"/>
  <x:c r="P395" i="1"/>
  <x:c r="R395" i="1"/>
  <x:c r="Q395" i="1"/>
  <x:c r="R263" i="1"/>
  <x:c r="Q263" i="1"/>
  <x:c r="P263" i="1"/>
  <x:c r="R200" i="1"/>
  <x:c r="P200" i="1"/>
  <x:c r="Q200" i="1"/>
  <x:c r="Q530" i="1"/>
  <x:c r="R530" i="1"/>
  <x:c r="P530" i="1"/>
  <x:c r="R340" i="1"/>
  <x:c r="Q340" i="1"/>
  <x:c r="P340" i="1"/>
  <x:c r="P534" i="1"/>
  <x:c r="R534" i="1"/>
  <x:c r="Q534" i="1"/>
  <x:c r="Q483" i="1"/>
  <x:c r="R483" i="1"/>
  <x:c r="P483" i="1"/>
  <x:c r="P373" i="1"/>
  <x:c r="Q373" i="1"/>
  <x:c r="R373" i="1"/>
  <x:c r="R229" i="1"/>
  <x:c r="Q229" i="1"/>
  <x:c r="P229" i="1"/>
  <x:c r="O503" i="1"/>
  <x:c r="R633" i="1"/>
  <x:c r="Q633" i="1"/>
  <x:c r="P633" i="1"/>
  <x:c r="R194" i="1"/>
  <x:c r="Q194" i="1"/>
  <x:c r="P194" i="1"/>
  <x:c r="P430" i="1"/>
  <x:c r="Q430" i="1"/>
  <x:c r="R430" i="1"/>
  <x:c r="P258" i="1"/>
  <x:c r="Q258" i="1"/>
  <x:c r="R258" i="1"/>
  <x:c r="Q367" i="1"/>
  <x:c r="R367" i="1"/>
  <x:c r="P367" i="1"/>
  <x:c r="P180" i="1"/>
  <x:c r="R180" i="1"/>
  <x:c r="Q180" i="1"/>
  <x:c r="R192" i="1"/>
  <x:c r="P192" i="1"/>
  <x:c r="Q192" i="1"/>
  <x:c r="R159" i="1"/>
  <x:c r="Q159" i="1"/>
  <x:c r="P159" i="1"/>
  <x:c r="P184" i="1"/>
  <x:c r="Q184" i="1"/>
  <x:c r="R184" i="1"/>
  <x:c r="P228" i="1"/>
  <x:c r="Q228" i="1"/>
  <x:c r="R228" i="1"/>
  <x:c r="R346" i="1"/>
  <x:c r="P346" i="1"/>
  <x:c r="Q346" i="1"/>
  <x:c r="Q293" i="1"/>
  <x:c r="P293" i="1"/>
  <x:c r="R293" i="1"/>
  <x:c r="P426" i="1"/>
  <x:c r="R426" i="1"/>
  <x:c r="Q426" i="1"/>
  <x:c r="P144" i="1"/>
  <x:c r="R144" i="1"/>
  <x:c r="Q144" i="1"/>
  <x:c r="M503" i="1"/>
  <x:c r="R137" i="1"/>
  <x:c r="P137" i="1"/>
  <x:c r="Q137" i="1"/>
  <x:c r="P555" i="1"/>
  <x:c r="R555" i="1"/>
  <x:c r="Q555" i="1"/>
  <x:c r="P387" i="1"/>
  <x:c r="R387" i="1"/>
  <x:c r="Q387" i="1"/>
  <x:c r="R453" i="1"/>
  <x:c r="P453" i="1"/>
  <x:c r="Q453" i="1"/>
  <x:c r="P495" i="1"/>
  <x:c r="Q495" i="1"/>
  <x:c r="R495" i="1"/>
  <x:c r="R260" i="1"/>
  <x:c r="P260" i="1"/>
  <x:c r="Q260" i="1"/>
  <x:c r="R133" i="1"/>
  <x:c r="Q133" i="1"/>
  <x:c r="P133" i="1"/>
  <x:c r="P308" i="1"/>
  <x:c r="R308" i="1"/>
  <x:c r="Q308" i="1"/>
  <x:c r="R257" i="1"/>
  <x:c r="P257" i="1"/>
  <x:c r="Q257" i="1"/>
  <x:c r="P621" i="1"/>
  <x:c r="R621" i="1"/>
  <x:c r="Q621" i="1"/>
  <x:c r="Q533" i="1"/>
  <x:c r="R533" i="1"/>
  <x:c r="P533" i="1"/>
  <x:c r="R349" i="1"/>
  <x:c r="P349" i="1"/>
  <x:c r="Q349" i="1"/>
  <x:c r="R152" i="1"/>
  <x:c r="Q152" i="1"/>
  <x:c r="P152" i="1"/>
  <x:c r="R374" i="1"/>
  <x:c r="Q374" i="1"/>
  <x:c r="P374" i="1"/>
  <x:c r="R526" i="1"/>
  <x:c r="P526" i="1"/>
  <x:c r="Q526" i="1"/>
  <x:c r="M408" i="1"/>
  <x:c r="Q350" i="1"/>
  <x:c r="R350" i="1"/>
  <x:c r="P350" i="1"/>
  <x:c r="P309" i="1"/>
  <x:c r="R309" i="1"/>
  <x:c r="Q309" i="1"/>
  <x:c r="R477" i="1"/>
  <x:c r="P477" i="1"/>
  <x:c r="Q477" i="1"/>
  <x:c r="R171" i="1"/>
  <x:c r="P171" i="1"/>
  <x:c r="Q171" i="1"/>
  <x:c r="P694" i="1"/>
  <x:c r="Q694" i="1"/>
  <x:c r="R694" i="1"/>
  <x:c r="Q676" i="1"/>
  <x:c r="R676" i="1"/>
  <x:c r="P676" i="1"/>
  <x:c r="Q670" i="1"/>
  <x:c r="R670" i="1"/>
  <x:c r="P670" i="1"/>
  <x:c r="Q269" i="1"/>
  <x:c r="P269" i="1"/>
  <x:c r="R269" i="1"/>
  <x:c r="P678" i="1"/>
  <x:c r="R678" i="1"/>
  <x:c r="Q678" i="1"/>
  <x:c r="R514" i="1"/>
  <x:c r="Q514" i="1"/>
  <x:c r="P514" i="1"/>
  <x:c r="R125" i="1"/>
  <x:c r="Q125" i="1"/>
  <x:c r="P125" i="1"/>
  <x:c r="Q643" i="1"/>
  <x:c r="P643" i="1"/>
  <x:c r="R643" i="1"/>
  <x:c r="P673" i="1"/>
  <x:c r="Q673" i="1"/>
  <x:c r="R673" i="1"/>
  <x:c r="Q497" i="1"/>
  <x:c r="R497" i="1"/>
  <x:c r="P497" i="1"/>
  <x:c r="R581" i="1"/>
  <x:c r="Q581" i="1"/>
  <x:c r="P581" i="1"/>
  <x:c r="P237" i="1"/>
  <x:c r="R237" i="1"/>
  <x:c r="Q237" i="1"/>
  <x:c r="Q680" i="1"/>
  <x:c r="P680" i="1"/>
  <x:c r="R680" i="1"/>
  <x:c r="Q649" i="1"/>
  <x:c r="P649" i="1"/>
  <x:c r="R649" i="1"/>
  <x:c r="Q380" i="1"/>
  <x:c r="R380" i="1"/>
  <x:c r="P380" i="1"/>
  <x:c r="P164" i="1"/>
  <x:c r="R164" i="1"/>
  <x:c r="Q164" i="1"/>
  <x:c r="Q141" i="1"/>
  <x:c r="R141" i="1"/>
  <x:c r="P141" i="1"/>
  <x:c r="P618" i="1"/>
  <x:c r="R618" i="1"/>
  <x:c r="Q618" i="1"/>
  <x:c r="P343" i="1"/>
  <x:c r="Q343" i="1"/>
  <x:c r="R343" i="1"/>
  <x:c r="P397" i="1"/>
  <x:c r="R397" i="1"/>
  <x:c r="Q397" i="1"/>
  <x:c r="P264" i="1"/>
  <x:c r="Q264" i="1"/>
  <x:c r="R264" i="1"/>
  <x:c r="Q431" i="1"/>
  <x:c r="R431" i="1"/>
  <x:c r="P431" i="1"/>
  <x:c r="P169" i="1"/>
  <x:c r="Q169" i="1"/>
  <x:c r="R169" i="1"/>
  <x:c r="Q684" i="1"/>
  <x:c r="R684" i="1"/>
  <x:c r="P684" i="1"/>
  <x:c r="P564" i="1"/>
  <x:c r="R564" i="1"/>
  <x:c r="Q564" i="1"/>
  <x:c r="Q392" i="1"/>
  <x:c r="R392" i="1"/>
  <x:c r="P392" i="1"/>
  <x:c r="R345" i="1"/>
  <x:c r="P345" i="1"/>
  <x:c r="Q345" i="1"/>
  <x:c r="Q271" i="1"/>
  <x:c r="P271" i="1"/>
  <x:c r="R271" i="1"/>
  <x:c r="R518" i="1"/>
  <x:c r="Q518" i="1"/>
  <x:c r="P518" i="1"/>
  <x:c r="Q549" i="1"/>
  <x:c r="P549" i="1"/>
  <x:c r="R549" i="1"/>
  <x:c r="P351" i="1"/>
  <x:c r="R351" i="1"/>
  <x:c r="Q351" i="1"/>
  <x:c r="Q510" i="1"/>
  <x:c r="P510" i="1"/>
  <x:c r="R510" i="1"/>
  <x:c r="Q687" i="1"/>
  <x:c r="R687" i="1"/>
  <x:c r="P687" i="1"/>
  <x:c r="Q464" i="1"/>
  <x:c r="R464" i="1"/>
  <x:c r="P464" i="1"/>
  <x:c r="P622" i="1"/>
  <x:c r="R622" i="1"/>
  <x:c r="Q622" i="1"/>
  <x:c r="Q301" i="1"/>
  <x:c r="P301" i="1"/>
  <x:c r="R301" i="1"/>
  <x:c r="Q556" i="1"/>
  <x:c r="P556" i="1"/>
  <x:c r="R556" i="1"/>
  <x:c r="P275" i="1"/>
  <x:c r="R275" i="1"/>
  <x:c r="Q275" i="1"/>
  <x:c r="P294" i="1"/>
  <x:c r="R294" i="1"/>
  <x:c r="Q294" i="1"/>
  <x:c r="P332" i="1"/>
  <x:c r="Q332" i="1"/>
  <x:c r="R332" i="1"/>
  <x:c r="Q496" i="1"/>
  <x:c r="P496" i="1"/>
  <x:c r="R496" i="1"/>
  <x:c r="Q145" i="1"/>
  <x:c r="R145" i="1"/>
  <x:c r="P145" i="1"/>
  <x:c r="R190" i="1"/>
  <x:c r="Q190" i="1"/>
  <x:c r="P190" i="1"/>
  <x:c r="R382" i="1"/>
  <x:c r="P382" i="1"/>
  <x:c r="Q382" i="1"/>
  <x:c r="M317" i="1"/>
  <x:c r="O211" i="1"/>
  <x:c r="R368" i="1"/>
  <x:c r="P368" i="1"/>
  <x:c r="Q368" i="1"/>
  <x:c r="Q585" i="1"/>
  <x:c r="R585" i="1"/>
  <x:c r="P585" i="1"/>
  <x:c r="R136" i="1"/>
  <x:c r="Q136" i="1"/>
  <x:c r="P136" i="1"/>
  <x:c r="Q532" i="1"/>
  <x:c r="R532" i="1"/>
  <x:c r="P532" i="1"/>
  <x:c r="R206" i="1"/>
  <x:c r="P206" i="1"/>
  <x:c r="Q206" i="1"/>
  <x:c r="Q427" i="1"/>
  <x:c r="R427" i="1"/>
  <x:c r="P427" i="1"/>
  <x:c r="P474" i="1"/>
  <x:c r="Q474" i="1"/>
  <x:c r="R474" i="1"/>
  <x:c r="R513" i="1"/>
  <x:c r="Q513" i="1"/>
  <x:c r="P513" i="1"/>
  <x:c r="P185" i="1"/>
  <x:c r="R185" i="1"/>
  <x:c r="Q185" i="1"/>
  <x:c r="R268" i="1"/>
  <x:c r="P268" i="1"/>
  <x:c r="Q268" i="1"/>
  <x:c r="Q150" i="1"/>
  <x:c r="P150" i="1"/>
  <x:c r="R150" i="1"/>
  <x:c r="P142" i="1"/>
  <x:c r="R142" i="1"/>
  <x:c r="Q142" i="1"/>
  <x:c r="Q197" i="1"/>
  <x:c r="P197" i="1"/>
  <x:c r="R197" i="1"/>
  <x:c r="R545" i="1"/>
  <x:c r="P545" i="1"/>
  <x:c r="Q545" i="1"/>
  <x:c r="R569" i="1"/>
  <x:c r="P569" i="1"/>
  <x:c r="Q569" i="1"/>
  <x:c r="Q478" i="1"/>
  <x:c r="R478" i="1"/>
  <x:c r="P478" i="1"/>
  <x:c r="R481" i="1"/>
  <x:c r="P481" i="1"/>
  <x:c r="Q481" i="1"/>
  <x:c r="Q647" i="1"/>
  <x:c r="P647" i="1"/>
  <x:c r="R647" i="1"/>
  <x:c r="Q681" i="1"/>
  <x:c r="R681" i="1"/>
  <x:c r="P681" i="1"/>
  <x:c r="P546" i="1"/>
  <x:c r="Q546" i="1"/>
  <x:c r="R546" i="1"/>
  <x:c r="P195" i="1"/>
  <x:c r="Q195" i="1"/>
  <x:c r="R195" i="1"/>
  <x:c r="Q339" i="1"/>
  <x:c r="P339" i="1"/>
  <x:c r="R339" i="1"/>
  <x:c r="R146" i="1"/>
  <x:c r="P146" i="1"/>
  <x:c r="Q146" i="1"/>
  <x:c r="P181" i="1"/>
  <x:c r="Q181" i="1"/>
  <x:c r="R181" i="1"/>
  <x:c r="Q344" i="1"/>
  <x:c r="P344" i="1"/>
  <x:c r="R344" i="1"/>
  <x:c r="P637" i="1"/>
  <x:c r="Q637" i="1"/>
  <x:c r="R637" i="1"/>
  <x:c r="R629" i="1"/>
  <x:c r="P629" i="1"/>
  <x:c r="Q629" i="1"/>
  <x:c r="R381" i="1"/>
  <x:c r="P381" i="1"/>
  <x:c r="Q381" i="1"/>
  <x:c r="P674" i="1"/>
  <x:c r="R674" i="1"/>
  <x:c r="Q674" i="1"/>
  <x:c r="P457" i="1"/>
  <x:c r="R457" i="1"/>
  <x:c r="Q457" i="1"/>
  <x:c r="P384" i="1"/>
  <x:c r="R384" i="1"/>
  <x:c r="Q384" i="1"/>
  <x:c r="Q348" i="1"/>
  <x:c r="R348" i="1"/>
  <x:c r="P348" i="1"/>
  <x:c r="P347" i="1"/>
  <x:c r="R347" i="1"/>
  <x:c r="Q347" i="1"/>
  <x:c r="Q641" i="1"/>
  <x:c r="R641" i="1"/>
  <x:c r="P641" i="1"/>
  <x:c r="P377" i="1"/>
  <x:c r="R377" i="1"/>
  <x:c r="Q377" i="1"/>
  <x:c r="R418" i="1"/>
  <x:c r="Q418" i="1"/>
  <x:c r="P418" i="1"/>
  <x:c r="R577" i="1"/>
  <x:c r="Q577" i="1"/>
  <x:c r="P577" i="1"/>
  <x:c r="Q227" i="1"/>
  <x:c r="P227" i="1"/>
  <x:c r="R227" i="1"/>
  <x:c r="P490" i="1"/>
  <x:c r="R490" i="1"/>
  <x:c r="Q490" i="1"/>
  <x:c r="R389" i="1"/>
  <x:c r="P389" i="1"/>
  <x:c r="Q389" i="1"/>
  <x:c r="R429" i="1"/>
  <x:c r="P429" i="1"/>
  <x:c r="Q429" i="1"/>
  <x:c r="R489" i="1"/>
  <x:c r="P489" i="1"/>
  <x:c r="Q489" i="1"/>
  <x:c r="Q574" i="1"/>
  <x:c r="R574" i="1"/>
  <x:c r="P574" i="1"/>
  <x:c r="Q202" i="1"/>
  <x:c r="P202" i="1"/>
  <x:c r="R202" i="1"/>
  <x:c r="Q122" i="1"/>
  <x:c r="P122" i="1"/>
  <x:c r="R122" i="1"/>
  <x:c r="R248" i="1"/>
  <x:c r="P248" i="1"/>
  <x:c r="Q248" i="1"/>
  <x:c r="R209" i="1"/>
  <x:c r="Q209" i="1"/>
  <x:c r="R576" i="1"/>
  <x:c r="P576" i="1"/>
  <x:c r="Q576" i="1"/>
  <x:c r="R337" i="1"/>
  <x:c r="P337" i="1"/>
  <x:c r="Q337" i="1"/>
  <x:c r="R568" i="1"/>
  <x:c r="Q568" i="1"/>
  <x:c r="P568" i="1"/>
  <x:c r="Q360" i="1"/>
  <x:c r="P360" i="1"/>
  <x:c r="R360" i="1"/>
  <x:c r="Q139" i="1"/>
  <x:c r="P139" i="1"/>
  <x:c r="R139" i="1"/>
  <x:c r="R314" i="1"/>
  <x:c r="P314" i="1"/>
  <x:c r="Q314" i="1"/>
  <x:c r="P586" i="1"/>
  <x:c r="R586" i="1"/>
  <x:c r="Q586" i="1"/>
  <x:c r="Q451" i="1"/>
  <x:c r="R451" i="1"/>
  <x:c r="P451" i="1"/>
  <x:c r="Q578" i="1"/>
  <x:c r="P578" i="1"/>
  <x:c r="R578" i="1"/>
  <x:c r="R143" i="1"/>
  <x:c r="P143" i="1"/>
  <x:c r="Q143" i="1"/>
  <x:c r="R445" i="1"/>
  <x:c r="P445" i="1"/>
  <x:c r="Q445" i="1"/>
  <x:c r="R393" i="1"/>
  <x:c r="P393" i="1"/>
  <x:c r="Q393" i="1"/>
  <x:c r="R311" i="1"/>
  <x:c r="Q311" i="1"/>
  <x:c r="P311" i="1"/>
  <x:c r="Q362" i="1"/>
  <x:c r="P362" i="1"/>
  <x:c r="R362" i="1"/>
  <x:c r="P583" i="1"/>
  <x:c r="R583" i="1"/>
  <x:c r="Q583" i="1"/>
  <x:c r="P651" i="1"/>
  <x:c r="Q651" i="1"/>
  <x:c r="R651" i="1"/>
  <x:c r="R511" i="1"/>
  <x:c r="Q511" i="1"/>
  <x:c r="P511" i="1"/>
  <x:c r="R165" i="1"/>
  <x:c r="Q165" i="1"/>
  <x:c r="P165" i="1"/>
  <x:c r="Q243" i="1"/>
  <x:c r="P243" i="1"/>
  <x:c r="R243" i="1"/>
  <x:c r="P371" i="1"/>
  <x:c r="R371" i="1"/>
  <x:c r="Q371" i="1"/>
  <x:c r="Q208" i="1"/>
  <x:c r="R208" i="1"/>
  <x:c r="P335" i="1"/>
  <x:c r="Q335" i="1"/>
  <x:c r="R335" i="1"/>
  <x:c r="Q290" i="1"/>
  <x:c r="P290" i="1"/>
  <x:c r="R290" i="1"/>
  <x:c r="Q522" i="1"/>
  <x:c r="R522" i="1"/>
  <x:c r="P522" i="1"/>
  <x:c r="P484" i="1"/>
  <x:c r="Q484" i="1"/>
  <x:c r="R484" i="1"/>
  <x:c r="Q447" i="1"/>
  <x:c r="R447" i="1"/>
  <x:c r="P447" i="1"/>
  <x:c r="Q178" i="1"/>
  <x:c r="P178" i="1"/>
  <x:c r="R178" i="1"/>
  <x:c r="R199" i="1"/>
  <x:c r="Q199" i="1"/>
  <x:c r="P199" i="1"/>
  <x:c r="Q551" i="1"/>
  <x:c r="R551" i="1"/>
  <x:c r="P551" i="1"/>
  <x:c r="P163" i="1"/>
  <x:c r="Q163" i="1"/>
  <x:c r="R163" i="1"/>
  <x:c r="R189" i="1"/>
  <x:c r="Q189" i="1"/>
  <x:c r="P189" i="1"/>
  <x:c r="P548" i="1"/>
  <x:c r="Q548" i="1"/>
  <x:c r="R548" i="1"/>
  <x:c r="R559" i="1"/>
  <x:c r="P559" i="1"/>
  <x:c r="Q559" i="1"/>
  <x:c r="P547" i="1"/>
  <x:c r="Q547" i="1"/>
  <x:c r="R547" i="1"/>
  <x:c r="P359" i="1"/>
  <x:c r="R359" i="1"/>
  <x:c r="Q359" i="1"/>
  <x:c r="P669" i="1"/>
  <x:c r="Q669" i="1"/>
  <x:c r="R669" i="1"/>
  <x:c r="Q363" i="1"/>
  <x:c r="R363" i="1"/>
  <x:c r="P363" i="1"/>
  <x:c r="R128" i="1"/>
  <x:c r="Q128" i="1"/>
  <x:c r="P128" i="1"/>
  <x:c r="P203" i="1"/>
  <x:c r="Q203" i="1"/>
  <x:c r="R203" i="1"/>
  <x:c r="Q688" i="1"/>
  <x:c r="P688" i="1"/>
  <x:c r="R688" i="1"/>
  <x:c r="Q472" i="1"/>
  <x:c r="P472" i="1"/>
  <x:c r="R472" i="1"/>
  <x:c r="P566" i="1"/>
  <x:c r="Q566" i="1"/>
  <x:c r="R566" i="1"/>
  <x:c r="R390" i="1"/>
  <x:c r="Q390" i="1"/>
  <x:c r="P390" i="1"/>
  <x:c r="P336" i="1"/>
  <x:c r="Q336" i="1"/>
  <x:c r="R336" i="1"/>
  <x:c r="R550" i="1"/>
  <x:c r="P550" i="1"/>
  <x:c r="Q550" i="1"/>
  <x:c r="Q476" i="1"/>
  <x:c r="P476" i="1"/>
  <x:c r="R476" i="1"/>
  <x:c r="R527" i="1"/>
  <x:c r="P527" i="1"/>
  <x:c r="Q527" i="1"/>
  <x:c r="Q456" i="1"/>
  <x:c r="R456" i="1"/>
  <x:c r="P456" i="1"/>
  <x:c r="R432" i="1"/>
  <x:c r="Q432" i="1"/>
  <x:c r="P432" i="1"/>
  <x:c r="P265" i="1"/>
  <x:c r="Q265" i="1"/>
  <x:c r="R265" i="1"/>
  <x:c r="Q480" i="1"/>
  <x:c r="R480" i="1"/>
  <x:c r="P480" i="1"/>
  <x:c r="R421" i="1"/>
  <x:c r="P421" i="1"/>
  <x:c r="Q421" i="1"/>
  <x:c r="P279" i="1"/>
  <x:c r="R279" i="1"/>
  <x:c r="Q279" i="1"/>
  <x:c r="Q443" i="1"/>
  <x:c r="R443" i="1"/>
  <x:c r="P443" i="1"/>
  <x:c r="Q419" i="1"/>
  <x:c r="R419" i="1"/>
  <x:c r="P419" i="1"/>
  <x:c r="Q672" i="1"/>
  <x:c r="P672" i="1"/>
  <x:c r="R672" i="1"/>
  <x:c r="R686" i="1"/>
  <x:c r="P686" i="1"/>
  <x:c r="Q686" i="1"/>
  <x:c r="P233" i="1"/>
  <x:c r="Q233" i="1"/>
  <x:c r="R233" i="1"/>
  <x:c r="R365" i="1"/>
  <x:c r="P365" i="1"/>
  <x:c r="Q365" i="1"/>
  <x:c r="Q254" i="1"/>
  <x:c r="P254" i="1"/>
  <x:c r="R254" i="1"/>
  <x:c r="Q697" i="1"/>
  <x:c r="P697" i="1"/>
  <x:c r="R697" i="1"/>
  <x:c r="P161" i="1"/>
  <x:c r="R161" i="1"/>
  <x:c r="Q161" i="1"/>
  <x:c r="Q440" i="1"/>
  <x:c r="P440" i="1"/>
  <x:c r="R440" i="1"/>
  <x:c r="R272" i="1"/>
  <x:c r="P272" i="1"/>
  <x:c r="Q272" i="1"/>
  <x:c r="R315" i="1"/>
  <x:c r="P315" i="1"/>
  <x:c r="Q315" i="1"/>
  <x:c r="Q286" i="1"/>
  <x:c r="P286" i="1"/>
  <x:c r="R286" i="1"/>
  <x:c r="R123" i="1"/>
  <x:c r="Q123" i="1"/>
  <x:c r="P123" i="1"/>
  <x:c r="P276" i="1"/>
  <x:c r="R276" i="1"/>
  <x:c r="Q276" i="1"/>
  <x:c r="Q542" i="1"/>
  <x:c r="P542" i="1"/>
  <x:c r="R542" i="1"/>
  <x:c r="P438" i="1"/>
  <x:c r="Q438" i="1"/>
  <x:c r="R438" i="1"/>
  <x:c r="Q287" i="1"/>
  <x:c r="R287" i="1"/>
  <x:c r="P287" i="1"/>
  <x:c r="Q232" i="1"/>
  <x:c r="R232" i="1"/>
  <x:c r="P232" i="1"/>
  <x:c r="Q468" i="1"/>
  <x:c r="P468" i="1"/>
  <x:c r="R468" i="1"/>
  <x:c r="P525" i="1"/>
  <x:c r="R525" i="1"/>
  <x:c r="Q525" i="1"/>
  <x:c r="Q535" i="1"/>
  <x:c r="R535" i="1"/>
  <x:c r="P535" i="1"/>
  <x:c r="Q153" i="1"/>
  <x:c r="R153" i="1"/>
  <x:c r="P153" i="1"/>
  <x:c r="Q620" i="1"/>
  <x:c r="P620" i="1"/>
  <x:c r="R620" i="1"/>
  <x:c r="P226" i="1"/>
  <x:c r="R226" i="1"/>
  <x:c r="Q226" i="1"/>
  <x:c r="Q140" i="1"/>
  <x:c r="P140" i="1"/>
  <x:c r="R140" i="1"/>
  <x:c r="R158" i="1"/>
  <x:c r="P158" i="1"/>
  <x:c r="Q158" i="1"/>
  <x:c r="Q691" i="1"/>
  <x:c r="R691" i="1"/>
  <x:c r="P691" i="1"/>
  <x:c r="R693" i="1"/>
  <x:c r="Q693" i="1"/>
  <x:c r="P693" i="1"/>
  <x:c r="P665" i="1"/>
  <x:c r="R665" i="1"/>
  <x:c r="Q665" i="1"/>
  <x:c r="P369" i="1"/>
  <x:c r="Q369" i="1"/>
  <x:c r="R369" i="1"/>
  <x:c r="Q455" i="1"/>
  <x:c r="R455" i="1"/>
  <x:c r="P455" i="1"/>
  <x:c r="Q354" i="1"/>
  <x:c r="P354" i="1"/>
  <x:c r="R354" i="1"/>
  <x:c r="P562" i="1"/>
  <x:c r="R562" i="1"/>
  <x:c r="Q562" i="1"/>
  <x:c r="P307" i="1"/>
  <x:c r="Q307" i="1"/>
  <x:c r="R307" i="1"/>
  <x:c r="P266" i="1"/>
  <x:c r="Q266" i="1"/>
  <x:c r="R266" i="1"/>
  <x:c r="P253" i="1"/>
  <x:c r="Q253" i="1"/>
  <x:c r="R253" i="1"/>
  <x:c r="P313" i="1"/>
  <x:c r="R313" i="1"/>
  <x:c r="Q313" i="1"/>
  <x:c r="R193" i="1"/>
  <x:c r="Q193" i="1"/>
  <x:c r="P193" i="1"/>
  <x:c r="Q619" i="1"/>
  <x:c r="P619" i="1"/>
  <x:c r="R619" i="1"/>
  <x:c r="R131" i="1"/>
  <x:c r="Q131" i="1"/>
  <x:c r="P131" i="1"/>
  <x:c r="Q251" i="1"/>
  <x:c r="P251" i="1"/>
  <x:c r="R251" i="1"/>
  <x:c r="P282" i="1"/>
  <x:c r="R282" i="1"/>
  <x:c r="Q282" i="1"/>
  <x:c r="R261" i="1"/>
  <x:c r="P261" i="1"/>
  <x:c r="Q261" i="1"/>
  <x:c r="Q460" i="1"/>
  <x:c r="R460" i="1"/>
  <x:c r="P460" i="1"/>
  <x:c r="R645" i="1"/>
  <x:c r="Q645" i="1"/>
  <x:c r="P645" i="1"/>
  <x:c r="P149" i="1"/>
  <x:c r="Q149" i="1"/>
  <x:c r="R149" i="1"/>
  <x:c r="R628" i="1"/>
  <x:c r="Q628" i="1"/>
  <x:c r="P628" i="1"/>
  <x:c r="R504" i="1"/>
  <x:c r="P504" i="1"/>
  <x:c r="Q504" i="1"/>
  <x:c r="O605" i="1"/>
  <x:c r="Q446" i="1"/>
  <x:c r="P446" i="1"/>
  <x:c r="R446" i="1"/>
  <x:c r="R289" i="1"/>
  <x:c r="Q289" i="1"/>
  <x:c r="P289" i="1"/>
  <x:c r="P291" i="1"/>
  <x:c r="Q291" i="1"/>
  <x:c r="R291" i="1"/>
  <x:c r="Q664" i="1"/>
  <x:c r="R664" i="1"/>
  <x:c r="P664" i="1"/>
  <x:c r="P461" i="1"/>
  <x:c r="Q461" i="1"/>
  <x:c r="R461" i="1"/>
  <x:c r="P394" i="1"/>
  <x:c r="R394" i="1"/>
  <x:c r="Q394" i="1"/>
  <x:c r="Q465" i="1"/>
  <x:c r="P465" i="1"/>
  <x:c r="R465" i="1"/>
  <x:c r="R235" i="1"/>
  <x:c r="Q235" i="1"/>
  <x:c r="P235" i="1"/>
  <x:c r="P241" i="1"/>
  <x:c r="R241" i="1"/>
  <x:c r="Q241" i="1"/>
  <x:c r="P207" i="1"/>
  <x:c r="R207" i="1"/>
  <x:c r="Q207" i="1"/>
  <x:c r="Q524" i="1"/>
  <x:c r="P524" i="1"/>
  <x:c r="R524" i="1"/>
  <x:c r="P458" i="1"/>
  <x:c r="R458" i="1"/>
  <x:c r="Q458" i="1"/>
  <x:c r="R238" i="1"/>
  <x:c r="P238" i="1"/>
  <x:c r="Q238" i="1"/>
  <x:c r="Q352" i="1"/>
  <x:c r="R352" i="1"/>
  <x:c r="P352" i="1"/>
  <x:c r="R179" i="1"/>
  <x:c r="P179" i="1"/>
  <x:c r="Q179" i="1"/>
  <x:c r="P470" i="1"/>
  <x:c r="R470" i="1"/>
  <x:c r="Q470" i="1"/>
  <x:c r="R557" i="1"/>
  <x:c r="P557" i="1"/>
  <x:c r="Q557" i="1"/>
  <x:c r="R420" i="1"/>
  <x:c r="P420" i="1"/>
  <x:c r="Q420" i="1"/>
  <x:c r="P671" i="1"/>
  <x:c r="R671" i="1"/>
  <x:c r="Q671" i="1"/>
  <x:c r="Q300" i="1"/>
  <x:c r="R300" i="1"/>
  <x:c r="P300" i="1"/>
  <x:c r="P630" i="1"/>
  <x:c r="Q630" i="1"/>
  <x:c r="R630" i="1"/>
  <x:c r="R433" i="1"/>
  <x:c r="P433" i="1"/>
  <x:c r="Q433" i="1"/>
  <x:c r="Q492" i="1"/>
  <x:c r="R492" i="1"/>
  <x:c r="P492" i="1"/>
  <x:c r="Q561" i="1"/>
  <x:c r="R561" i="1"/>
  <x:c r="P561" i="1"/>
  <x:c r="R292" i="1"/>
  <x:c r="P292" i="1"/>
  <x:c r="Q292" i="1"/>
  <x:c r="R450" i="1"/>
  <x:c r="Q450" i="1"/>
  <x:c r="P450" i="1"/>
  <x:c r="Q375" i="1"/>
  <x:c r="P375" i="1"/>
  <x:c r="R375" i="1"/>
  <x:c r="R485" i="1"/>
  <x:c r="P485" i="1"/>
  <x:c r="Q485" i="1"/>
  <x:c r="P482" i="1"/>
  <x:c r="Q482" i="1"/>
  <x:c r="R482" i="1"/>
  <x:c r="Q560" i="1"/>
  <x:c r="P560" i="1"/>
  <x:c r="R560" i="1"/>
  <x:c r="R565" i="1"/>
  <x:c r="Q565" i="1"/>
  <x:c r="P565" i="1"/>
  <x:c r="P591" i="1"/>
  <x:c r="Q591" i="1"/>
  <x:c r="R591" i="1"/>
  <x:c r="Q448" i="1"/>
  <x:c r="R448" i="1"/>
  <x:c r="P448" i="1"/>
  <x:c r="Q567" i="1"/>
  <x:c r="P567" i="1"/>
  <x:c r="R567" i="1"/>
  <x:c r="P396" i="1"/>
  <x:c r="Q396" i="1"/>
  <x:c r="R396" i="1"/>
  <x:c r="R537" i="1"/>
  <x:c r="P537" i="1"/>
  <x:c r="Q537" i="1"/>
  <x:c r="R385" i="1"/>
  <x:c r="P385" i="1"/>
  <x:c r="Q385" i="1"/>
  <x:c r="P366" i="1"/>
  <x:c r="Q366" i="1"/>
  <x:c r="R366" i="1"/>
  <x:c r="Q475" i="1"/>
  <x:c r="R475" i="1"/>
  <x:c r="P475" i="1"/>
  <x:c r="P667" i="1"/>
  <x:c r="R667" i="1"/>
  <x:c r="Q667" i="1"/>
  <x:c r="Q523" i="1"/>
  <x:c r="R523" i="1"/>
  <x:c r="P523" i="1"/>
  <x:c r="R624" i="1"/>
  <x:c r="Q624" i="1"/>
  <x:c r="P624" i="1"/>
  <x:c r="Q584" i="1"/>
  <x:c r="R584" i="1"/>
  <x:c r="P584" i="1"/>
  <x:c r="Q444" i="1"/>
  <x:c r="R444" i="1"/>
  <x:c r="P444" i="1"/>
  <x:c r="R590" i="1"/>
  <x:c r="P590" i="1"/>
  <x:c r="Q590" i="1"/>
  <x:c r="P129" i="1"/>
  <x:c r="R129" i="1"/>
  <x:c r="P623" i="1"/>
  <x:c r="Q623" i="1"/>
  <x:c r="R623" i="1"/>
  <x:c r="R589" i="1"/>
  <x:c r="Q589" i="1"/>
  <x:c r="P589" i="1"/>
  <x:c r="Q553" i="1"/>
  <x:c r="P553" i="1"/>
  <x:c r="R553" i="1"/>
  <x:c r="R580" i="1"/>
  <x:c r="P580" i="1"/>
  <x:c r="Q580" i="1"/>
  <x:c r="R310" i="1"/>
  <x:c r="Q310" i="1"/>
  <x:c r="P310" i="1"/>
  <x:c r="R644" i="1"/>
  <x:c r="Q644" i="1"/>
  <x:c r="P644" i="1"/>
  <x:c r="Q399" i="1"/>
  <x:c r="R399" i="1"/>
  <x:c r="P399" i="1"/>
  <x:c r="Q636" i="1"/>
  <x:c r="P636" i="1"/>
  <x:c r="R636" i="1"/>
  <x:c r="R587" i="1"/>
  <x:c r="Q587" i="1"/>
  <x:c r="P587" i="1"/>
  <x:c r="Q528" i="1"/>
  <x:c r="R528" i="1"/>
  <x:c r="P528" i="1"/>
  <x:c r="P538" i="1"/>
  <x:c r="R538" i="1"/>
  <x:c r="Q538" i="1"/>
  <x:c r="P183" i="1"/>
  <x:c r="R459" i="1"/>
  <x:c r="Q459" i="1"/>
  <x:c r="P459" i="1"/>
  <x:c r="R224" i="1"/>
  <x:c r="P224" i="1"/>
  <x:c r="P593" i="1"/>
  <x:c r="Q593" i="1"/>
  <x:c r="R593" i="1"/>
  <x:c r="P312" i="1"/>
  <x:c r="R312" i="1"/>
  <x:c r="Q312" i="1"/>
  <x:c r="Q494" i="1"/>
  <x:c r="P494" i="1"/>
  <x:c r="R494" i="1"/>
  <x:c r="R135" i="1"/>
  <x:c r="P135" i="1"/>
  <x:c r="R615" i="1"/>
  <x:c r="P615" i="1"/>
  <x:c r="Q615" i="1"/>
  <x:c r="R572" i="1"/>
  <x:c r="Q572" i="1"/>
  <x:c r="P572" i="1"/>
  <x:c r="R306" i="1"/>
  <x:c r="Q306" i="1"/>
  <x:c r="P306" i="1"/>
  <x:c r="R595" i="1"/>
  <x:c r="Q595" i="1"/>
  <x:c r="P595" i="1"/>
  <x:c r="Q236" i="1"/>
  <x:c r="R236" i="1"/>
  <x:c r="P236" i="1"/>
  <x:c r="Q370" i="1"/>
  <x:c r="R370" i="1"/>
  <x:c r="P370" i="1"/>
  <x:c r="P666" i="1"/>
  <x:c r="Q666" i="1"/>
  <x:c r="R666" i="1"/>
  <x:c r="Q240" i="1"/>
  <x:c r="R240" i="1"/>
  <x:c r="P240" i="1"/>
  <x:c r="R173" i="1"/>
  <x:c r="P304" i="1"/>
  <x:c r="Q304" i="1"/>
  <x:c r="R304" i="1"/>
  <x:c r="P516" i="1"/>
  <x:c r="Q516" i="1"/>
  <x:c r="R516" i="1"/>
  <x:c r="P592" i="1"/>
  <x:c r="R592" i="1"/>
  <x:c r="Q592" i="1"/>
  <x:c r="Q230" i="1"/>
  <x:c r="P230" i="1"/>
  <x:c r="R230" i="1"/>
  <x:c r="R536" i="1"/>
  <x:c r="Q536" i="1"/>
  <x:c r="P536" i="1"/>
  <x:c r="P692" i="1"/>
  <x:c r="Q692" i="1"/>
  <x:c r="R692" i="1"/>
  <x:c r="P571" i="1"/>
  <x:c r="R571" i="1"/>
  <x:c r="Q571" i="1"/>
  <x:c r="P454" i="1"/>
  <x:c r="Q454" i="1"/>
  <x:c r="R454" i="1"/>
  <x:c r="P126" i="1"/>
  <x:c r="R132" i="1"/>
  <x:c r="Q132" i="1"/>
  <x:c r="P138" i="1"/>
  <x:c r="R148" i="1"/>
  <x:c r="P154" i="1"/>
  <x:c r="P156" i="1"/>
  <x:c r="Q166" i="1"/>
  <x:c r="P168" i="1"/>
  <x:c r="Q170" i="1"/>
  <x:c r="P176" i="1"/>
  <x:c r="P182" i="1"/>
  <x:c r="R155" i="1"/>
  <x:c r="Q539" i="1"/>
  <x:c r="R539" i="1"/>
  <x:c r="P539" i="1"/>
  <x:c r="R342" i="1"/>
  <x:c r="P342" i="1"/>
  <x:c r="Q342" i="1"/>
  <x:c r="P696" i="1"/>
  <x:c r="R696" i="1"/>
  <x:c r="Q696" i="1"/>
  <x:c r="R187" i="1"/>
  <x:c r="R473" i="1"/>
  <x:c r="P473" i="1"/>
  <x:c r="Q473" i="1"/>
  <x:c r="P690" i="1"/>
  <x:c r="Q690" i="1"/>
  <x:c r="R690" i="1"/>
  <x:c r="Q487" i="1"/>
  <x:c r="R487" i="1"/>
  <x:c r="P487" i="1"/>
  <x:c r="R244" i="1"/>
  <x:c r="Q244" i="1"/>
  <x:c r="P244" i="1"/>
  <x:c r="Q376" i="1"/>
  <x:c r="R376" i="1"/>
  <x:c r="P376" i="1"/>
  <x:c r="Q442" i="1"/>
  <x:c r="R442" i="1"/>
  <x:c r="P442" i="1"/>
  <x:c r="Q361" i="1"/>
  <x:c r="P361" i="1"/>
  <x:c r="R361" i="1"/>
  <x:c r="R617" i="1"/>
  <x:c r="P617" i="1"/>
  <x:c r="Q617" i="1"/>
  <x:c r="R188" i="1"/>
  <x:c r="P196" i="1"/>
  <x:c r="R198" i="1"/>
  <x:c r="P198" i="1"/>
  <x:c r="Q221" i="1"/>
  <x:c r="R225" i="1"/>
  <x:c r="P231" i="1"/>
  <x:c r="P127" i="1"/>
  <x:c r="Q127" i="1"/>
  <x:c r="Q469" i="1"/>
  <x:c r="R469" i="1"/>
  <x:c r="P469" i="1"/>
  <x:c r="Q246" i="1"/>
  <x:c r="R246" i="1"/>
  <x:c r="P246" i="1"/>
  <x:c r="R685" i="1"/>
  <x:c r="P685" i="1"/>
  <x:c r="Q685" i="1"/>
  <x:c r="P626" i="1"/>
  <x:c r="Q626" i="1"/>
  <x:c r="R626" i="1"/>
  <x:c r="R353" i="1"/>
  <x:c r="P353" i="1"/>
  <x:c r="Q353" i="1"/>
  <x:c r="R437" i="1"/>
  <x:c r="P437" i="1"/>
  <x:c r="Q437" i="1"/>
  <x:c r="Q247" i="1"/>
  <x:c r="Q249" i="1"/>
  <x:c r="P255" i="1"/>
  <x:c r="Q259" i="1"/>
  <x:c r="P259" i="1"/>
  <x:c r="R267" i="1"/>
  <x:c r="Q273" i="1"/>
  <x:c r="R273" i="1"/>
  <x:c r="Q281" i="1"/>
  <x:c r="R281" i="1"/>
  <x:c r="P575" i="1"/>
  <x:c r="Q575" i="1"/>
  <x:c r="R575" i="1"/>
  <x:c r="P648" i="1"/>
  <x:c r="R648" i="1"/>
  <x:c r="Q648" i="1"/>
  <x:c r="P642" i="1"/>
  <x:c r="Q642" i="1"/>
  <x:c r="R642" i="1"/>
  <x:c r="P262" i="1"/>
  <x:c r="R262" i="1"/>
  <x:c r="Q262" i="1"/>
  <x:c r="R652" i="1"/>
  <x:c r="P652" i="1"/>
  <x:c r="Q652" i="1"/>
  <x:c r="Q479" i="1"/>
  <x:c r="R479" i="1"/>
  <x:c r="P479" i="1"/>
  <x:c r="R338" i="1"/>
  <x:c r="P338" i="1"/>
  <x:c r="Q338" i="1"/>
  <x:c r="R563" i="1"/>
  <x:c r="Q563" i="1"/>
  <x:c r="P563" i="1"/>
  <x:c r="P191" i="1"/>
  <x:c r="R191" i="1"/>
  <x:c r="P517" i="1"/>
  <x:c r="Q517" i="1"/>
  <x:c r="R517" i="1"/>
  <x:c r="Q379" i="1"/>
  <x:c r="P379" i="1"/>
  <x:c r="R379" i="1"/>
  <x:c r="Q520" i="1"/>
  <x:c r="R520" i="1"/>
  <x:c r="P520" i="1"/>
  <x:c r="R689" i="1"/>
  <x:c r="Q689" i="1"/>
  <x:c r="P689" i="1"/>
  <x:c r="R205" i="1"/>
  <x:c r="P205" i="1"/>
  <x:c r="R631" i="1"/>
  <x:c r="Q631" i="1"/>
  <x:c r="P631" i="1"/>
  <x:c r="Q439" i="1"/>
  <x:c r="R439" i="1"/>
  <x:c r="P439" i="1"/>
  <x:c r="R422" i="1"/>
  <x:c r="P422" i="1"/>
  <x:c r="Q422" i="1"/>
  <x:c r="R288" i="1"/>
  <x:c r="P288" i="1"/>
  <x:c r="Q288" i="1"/>
  <x:c r="Q383" i="1"/>
  <x:c r="R383" i="1"/>
  <x:c r="P383" i="1"/>
  <x:c r="P529" i="1"/>
  <x:c r="Q529" i="1"/>
  <x:c r="R529" i="1"/>
  <x:c r="P434" i="1"/>
  <x:c r="Q434" i="1"/>
  <x:c r="R434" i="1"/>
  <x:c r="R449" i="1"/>
  <x:c r="P449" i="1"/>
  <x:c r="Q449" i="1"/>
  <x:c r="P391" i="1"/>
  <x:c r="R391" i="1"/>
  <x:c r="Q391" i="1"/>
  <x:c r="Q278" i="1"/>
  <x:c r="P278" i="1"/>
  <x:c r="R278" i="1"/>
  <x:c r="P543" i="1"/>
  <x:c r="R543" i="1"/>
  <x:c r="Q543" i="1"/>
  <x:c r="R283" i="1"/>
  <x:c r="Q285" i="1"/>
  <x:c r="R295" i="1"/>
  <x:c r="R297" i="1"/>
  <x:c r="Q299" i="1"/>
  <x:c r="R299" i="1"/>
  <x:c r="Q303" i="1"/>
  <x:c r="P303" i="1"/>
  <x:c r="Q305" i="1"/>
  <x:c r="P305" i="1"/>
  <x:c r="P330" i="1"/>
  <x:c r="R330" i="1"/>
  <x:c r="P334" i="1"/>
  <x:c r="Q334" i="1"/>
  <x:c r="P355" i="1"/>
  <x:c r="R355" i="1"/>
  <x:c r="R127" i="1"/>
  <x:c r="Q129" i="1"/>
  <x:c r="Q135" i="1"/>
  <x:c r="P155" i="1"/>
  <x:c r="P173" i="1"/>
  <x:c r="R183" i="1"/>
  <x:c r="P187" i="1"/>
  <x:c r="Q191" i="1"/>
  <x:c r="R544" i="1"/>
  <x:c r="P544" i="1"/>
  <x:c r="Q544" i="1"/>
  <x:c r="R541" i="1"/>
  <x:c r="P541" i="1"/>
  <x:c r="Q541" i="1"/>
  <x:c r="Q650" i="1"/>
  <x:c r="P650" i="1"/>
  <x:c r="R650" i="1"/>
  <x:c r="R250" i="1"/>
  <x:c r="Q250" i="1"/>
  <x:c r="P250" i="1"/>
  <x:c r="P570" i="1"/>
  <x:c r="Q570" i="1"/>
  <x:c r="R570" i="1"/>
  <x:c r="P398" i="1"/>
  <x:c r="R398" i="1"/>
  <x:c r="Q398" i="1"/>
  <x:c r="P298" i="1"/>
  <x:c r="R298" i="1"/>
  <x:c r="Q298" i="1"/>
  <x:c r="P463" i="1"/>
  <x:c r="R463" i="1"/>
  <x:c r="Q463" i="1"/>
  <x:c r="R388" i="1"/>
  <x:c r="Q388" i="1"/>
  <x:c r="P388" i="1"/>
  <x:c r="Q488" i="1"/>
  <x:c r="P488" i="1"/>
  <x:c r="R488" i="1"/>
  <x:c r="P151" i="1"/>
  <x:c r="R151" i="1"/>
  <x:c r="Q256" i="1"/>
  <x:c r="R256" i="1"/>
  <x:c r="P256" i="1"/>
  <x:c r="R341" i="1"/>
  <x:c r="P341" i="1"/>
  <x:c r="Q341" i="1"/>
  <x:c r="R126" i="1"/>
  <x:c r="Q126" i="1"/>
  <x:c r="R134" i="1"/>
  <x:c r="P134" i="1"/>
  <x:c r="R138" i="1"/>
  <x:c r="P148" i="1"/>
  <x:c r="Q154" i="1"/>
  <x:c r="Q156" i="1"/>
  <x:c r="P162" i="1"/>
  <x:c r="R162" i="1"/>
  <x:c r="R166" i="1"/>
  <x:c r="R168" i="1"/>
  <x:c r="R170" i="1"/>
  <x:c r="R172" i="1"/>
  <x:c r="P172" i="1"/>
  <x:c r="R176" i="1"/>
  <x:c r="Q176" i="1"/>
  <x:c r="Q182" i="1"/>
  <x:c r="R182" i="1"/>
  <x:c r="M605" i="1"/>
  <x:c r="P188" i="1"/>
  <x:c r="S188" i="1" s="1"/>
  <x:c r="Q196" i="1"/>
  <x:c r="Q198" i="1"/>
  <x:c r="P221" i="1"/>
  <x:c r="Q225" i="1"/>
  <x:c r="R231" i="1"/>
  <x:c r="R409" i="1"/>
  <x:c r="P247" i="1"/>
  <x:c r="R249" i="1"/>
  <x:c r="Q255" i="1"/>
  <x:c r="R259" i="1"/>
  <x:c r="Q267" i="1"/>
  <x:c r="P273" i="1"/>
  <x:c r="P281" i="1"/>
  <x:c r="P283" i="1"/>
  <x:c r="P285" i="1"/>
  <x:c r="P295" i="1"/>
  <x:c r="Q297" i="1"/>
  <x:c r="Q355" i="1"/>
  <x:c r="Q155" i="1"/>
  <x:c r="R157" i="1"/>
  <x:c r="Q157" i="1"/>
  <x:c r="Q173" i="1"/>
  <x:c r="Q175" i="1"/>
  <x:c r="R175" i="1"/>
  <x:c r="Q183" i="1"/>
  <x:c r="Q187" i="1"/>
  <x:c r="Q205" i="1"/>
  <x:c r="Q224" i="1"/>
  <x:c r="R441" i="1"/>
  <x:c r="P441" i="1"/>
  <x:c r="Q441" i="1"/>
  <x:c r="P682" i="1"/>
  <x:c r="Q682" i="1"/>
  <x:c r="R682" i="1"/>
  <x:c r="Q435" i="1"/>
  <x:c r="R435" i="1"/>
  <x:c r="P435" i="1"/>
  <x:c r="Q540" i="1"/>
  <x:c r="R540" i="1"/>
  <x:c r="P540" i="1"/>
  <x:c r="R242" i="1"/>
  <x:c r="R638" i="1"/>
  <x:c r="Q638" i="1"/>
  <x:c r="P638" i="1"/>
  <x:c r="Q521" i="1"/>
  <x:c r="P521" i="1"/>
  <x:c r="R521" i="1"/>
  <x:c r="R270" i="1"/>
  <x:c r="P280" i="1"/>
  <x:c r="Q331" i="1"/>
  <x:c r="R357" i="1"/>
  <x:c r="P428" i="1"/>
  <x:c r="R428" i="1"/>
  <x:c r="R452" i="1"/>
  <x:c r="Q452" i="1"/>
  <x:c r="P486" i="1"/>
  <x:c r="Q486" i="1"/>
  <x:c r="R512" i="1"/>
  <x:c r="P512" i="1"/>
  <x:c r="Q423" i="1"/>
  <x:c r="R423" i="1"/>
  <x:c r="P423" i="1"/>
  <x:c r="P234" i="1"/>
  <x:c r="R234" i="1"/>
  <x:c r="Q242" i="1"/>
  <x:c r="Q270" i="1"/>
  <x:c r="S270" i="1" s="1"/>
  <x:c r="Q280" i="1"/>
  <x:c r="Q302" i="1"/>
  <x:c r="R302" i="1"/>
  <x:c r="R331" i="1"/>
  <x:c r="S331" i="1" s="1"/>
  <x:c r="Q357" i="1"/>
  <x:c r="Q428" i="1"/>
  <x:c r="P452" i="1"/>
  <x:c r="S462" i="1"/>
  <x:c r="R486" i="1"/>
  <x:c r="Q512" i="1"/>
  <x:c r="S386" i="1"/>
  <x:c r="P675" i="1"/>
  <x:c r="R675" i="1"/>
  <x:c r="Q675" i="1"/>
  <x:c r="P588" i="1"/>
  <x:c r="R588" i="1"/>
  <x:c r="Q588" i="1"/>
  <x:c r="Q646" i="1"/>
  <x:c r="P646" i="1"/>
  <x:c r="R646" i="1"/>
  <x:c r="R364" i="1"/>
  <x:c r="Q372" i="1"/>
  <x:c r="Q378" i="1"/>
  <x:c r="R400" i="1"/>
  <x:c r="P467" i="1"/>
  <x:c r="R467" i="1"/>
  <x:c r="P491" i="1"/>
  <x:c r="R491" i="1"/>
  <x:c r="P515" i="1"/>
  <x:c r="R515" i="1"/>
  <x:c r="P531" i="1"/>
  <x:c r="Q531" i="1"/>
  <x:c r="R531" i="1"/>
  <x:c r="Q364" i="1"/>
  <x:c r="P364" i="1"/>
  <x:c r="P372" i="1"/>
  <x:c r="P378" i="1"/>
  <x:c r="Q400" i="1"/>
  <x:c r="P400" i="1"/>
  <x:c r="Q467" i="1"/>
  <x:c r="Q491" i="1"/>
  <x:c r="Q515" i="1"/>
  <x:c r="R558" i="1"/>
  <x:c r="P558" i="1"/>
  <x:c r="Q558" i="1"/>
  <x:c r="P616" i="1"/>
  <x:c r="P627" i="1"/>
  <x:c r="Q627" i="1"/>
  <x:c r="R627" i="1"/>
  <x:c r="Q635" i="1"/>
  <x:c r="R635" i="1"/>
  <x:c r="P635" i="1"/>
  <x:c r="R616" i="1"/>
  <x:c r="Q640" i="1"/>
  <x:c r="R640" i="1"/>
  <x:c r="R679" i="1"/>
  <x:c r="P679" i="1"/>
  <x:c r="Q679" i="1"/>
  <x:c r="R695" i="1"/>
  <x:c r="P695" i="1"/>
  <x:c r="Q552" i="1"/>
  <x:c r="Q582" i="1"/>
  <x:c r="P594" i="1"/>
  <x:c r="P658" i="1"/>
  <x:c r="R658" i="1"/>
  <x:c r="Q658" i="1"/>
  <x:c r="P639" i="1"/>
  <x:c r="R639" i="1"/>
  <x:c r="Q639" i="1"/>
  <x:c r="R552" i="1"/>
  <x:c r="R582" i="1"/>
  <x:c r="Q594" i="1"/>
  <x:c r="R594" i="1"/>
  <x:c r="R625" i="1"/>
  <x:c r="Q625" i="1"/>
  <x:c r="R698" i="1"/>
  <x:c r="R668" i="1"/>
  <x:c r="P698" i="1"/>
  <x:c r="Q698" i="1"/>
  <x:c r="Q668" i="1"/>
  <x:c r="S378" i="1" l="1"/>
  <x:c r="S280" i="1"/>
  <x:c r="S590" i="1"/>
  <x:c r="S316" i="1"/>
  <x:c r="S604" i="1"/>
  <x:c r="S328" i="1"/>
  <x:c r="S219" i="1"/>
  <x:c r="S659" i="1"/>
  <x:c r="S603" i="1"/>
  <x:c r="S416" i="1"/>
  <x:c r="S612" i="1"/>
  <x:c r="S318" i="1"/>
  <x:c r="S267" i="1"/>
  <x:c r="S606" i="1"/>
  <x:c r="P657" i="1"/>
  <x:c r="Q657" i="1"/>
  <x:c r="R657" i="1"/>
  <x:c r="R707" i="1"/>
  <x:c r="M708" i="1"/>
  <x:c r="S479" i="1"/>
  <x:c r="S636" i="1"/>
  <x:c r="S589" i="1"/>
  <x:c r="S624" i="1"/>
  <x:c r="S523" i="1"/>
  <x:c r="S425" i="1"/>
  <x:c r="S174" i="1"/>
  <x:c r="S167" i="1"/>
  <x:c r="S356" i="1"/>
  <x:c r="S493" i="1"/>
  <x:c r="S683" i="1"/>
  <x:c r="S436" i="1"/>
  <x:c r="S642" i="1"/>
  <x:c r="S637" i="1"/>
  <x:c r="S643" i="1"/>
  <x:c r="S430" i="1"/>
  <x:c r="S634" i="1"/>
  <x:c r="S114" i="1"/>
  <x:c r="S632" i="1"/>
  <x:c r="S284" i="1"/>
  <x:c r="S221" i="1"/>
  <x:c r="S544" i="1"/>
  <x:c r="S575" i="1"/>
  <x:c r="S573" i="1"/>
  <x:c r="S297" i="1"/>
  <x:c r="S285" i="1"/>
  <x:c r="S298" i="1"/>
  <x:c r="S288" i="1"/>
  <x:c r="S290" i="1"/>
  <x:c r="S248" i="1"/>
  <x:c r="S445" i="1"/>
  <x:c r="S451" i="1"/>
  <x:c r="S429" i="1"/>
  <x:c r="S439" i="1"/>
  <x:c r="S469" i="1"/>
  <x:c r="S442" i="1"/>
  <x:c r="S475" i="1"/>
  <x:c r="S443" i="1"/>
  <x:c r="S427" i="1"/>
  <x:c r="S148" i="1"/>
  <x:c r="S372" i="1"/>
  <x:c r="S357" i="1"/>
  <x:c r="S334" i="1"/>
  <x:c r="S338" i="1"/>
  <x:c r="S376" i="1"/>
  <x:c r="S369" i="1"/>
  <x:c r="S336" i="1"/>
  <x:c r="S381" i="1"/>
  <x:c r="S344" i="1"/>
  <x:c r="S339" i="1"/>
  <x:c r="S368" i="1"/>
  <x:c r="S382" i="1"/>
  <x:c r="S380" i="1"/>
  <x:c r="S374" i="1"/>
  <x:c r="S349" i="1"/>
  <x:c r="S373" i="1"/>
  <x:c r="S237" i="1"/>
  <x:c r="S245" i="1"/>
  <x:c r="S257" i="1"/>
  <x:c r="S252" i="1"/>
  <x:c r="S278" i="1"/>
  <x:c r="S224" i="1"/>
  <x:c r="S295" i="1"/>
  <x:c r="S283" i="1"/>
  <x:c r="S281" i="1"/>
  <x:c r="S247" i="1"/>
  <x:c r="S236" i="1"/>
  <x:c r="S310" i="1"/>
  <x:c r="S292" i="1"/>
  <x:c r="S238" i="1"/>
  <x:c r="S241" i="1"/>
  <x:c r="S287" i="1"/>
  <x:c r="S279" i="1"/>
  <x:c r="S265" i="1"/>
  <x:c r="S258" i="1"/>
  <x:c r="S618" i="1"/>
  <x:c r="S649" i="1"/>
  <x:c r="S616" i="1"/>
  <x:c r="S638" i="1"/>
  <x:c r="S615" i="1"/>
  <x:c r="S644" i="1"/>
  <x:c r="S645" i="1"/>
  <x:c r="S620" i="1"/>
  <x:c r="S621" i="1"/>
  <x:c r="S551" i="1"/>
  <x:c r="S581" i="1"/>
  <x:c r="S539" i="1"/>
  <x:c r="S595" i="1"/>
  <x:c r="S572" i="1"/>
  <x:c r="S538" i="1"/>
  <x:c r="S537" i="1"/>
  <x:c r="S566" i="1"/>
  <x:c r="S547" i="1"/>
  <x:c r="S548" i="1"/>
  <x:c r="S511" i="1"/>
  <x:c r="S568" i="1"/>
  <x:c r="S569" i="1"/>
  <x:c r="S532" i="1"/>
  <x:c r="S510" i="1"/>
  <x:c r="S554" i="1"/>
  <x:c r="S441" i="1"/>
  <x:c r="S487" i="1"/>
  <x:c r="S494" i="1"/>
  <x:c r="S459" i="1"/>
  <x:c r="S489" i="1"/>
  <x:c r="S422" i="1"/>
  <x:c r="S454" i="1"/>
  <x:c r="S444" i="1"/>
  <x:c r="S485" i="1"/>
  <x:c r="S492" i="1"/>
  <x:c r="S440" i="1"/>
  <x:c r="S447" i="1"/>
  <x:c r="S478" i="1"/>
  <x:c r="S453" i="1"/>
  <x:c r="S424" i="1"/>
  <x:c r="S383" i="1"/>
  <x:c r="S400" i="1"/>
  <x:c r="S364" i="1"/>
  <x:c r="S391" i="1"/>
  <x:c r="S360" i="1"/>
  <x:c r="S346" i="1"/>
  <x:c r="S395" i="1"/>
  <x:c r="S686" i="1"/>
  <x:c r="S668" i="1"/>
  <x:c r="S669" i="1"/>
  <x:c r="S674" i="1"/>
  <x:c r="S160" i="1"/>
  <x:c r="S204" i="1"/>
  <x:c r="S137" i="1"/>
  <x:c r="S186" i="1"/>
  <x:c r="S130" i="1"/>
  <x:c r="S681" i="1"/>
  <x:c r="S691" i="1"/>
  <x:c r="S675" i="1"/>
  <x:c r="S689" i="1"/>
  <x:c r="S692" i="1"/>
  <x:c r="S671" i="1"/>
  <x:c r="S693" i="1"/>
  <x:c r="S697" i="1"/>
  <x:c r="S676" i="1"/>
  <x:c r="S256" i="1"/>
  <x:c r="S488" i="1"/>
  <x:c r="S388" i="1"/>
  <x:c r="S303" i="1"/>
  <x:c r="S434" i="1"/>
  <x:c r="S529" i="1"/>
  <x:c r="S379" i="1"/>
  <x:c r="S563" i="1"/>
  <x:c r="S648" i="1"/>
  <x:c r="S249" i="1"/>
  <x:c r="S437" i="1"/>
  <x:c r="S353" i="1"/>
  <x:c r="S626" i="1"/>
  <x:c r="S246" i="1"/>
  <x:c r="S361" i="1"/>
  <x:c r="S244" i="1"/>
  <x:c r="S473" i="1"/>
  <x:c r="S571" i="1"/>
  <x:c r="S536" i="1"/>
  <x:c r="S230" i="1"/>
  <x:c r="S240" i="1"/>
  <x:c r="S370" i="1"/>
  <x:c r="S306" i="1"/>
  <x:c r="S312" i="1"/>
  <x:c r="S528" i="1"/>
  <x:c r="S399" i="1"/>
  <x:c r="S580" i="1"/>
  <x:c r="S623" i="1"/>
  <x:c r="S667" i="1"/>
  <x:c r="S385" i="1"/>
  <x:c r="S625" i="1"/>
  <x:c r="S658" i="1"/>
  <x:c r="S531" i="1"/>
  <x:c r="S588" i="1"/>
  <x:c r="S428" i="1"/>
  <x:c r="S423" i="1"/>
  <x:c r="S521" i="1"/>
  <x:c r="S435" i="1"/>
  <x:c r="S560" i="1"/>
  <x:c r="S461" i="1"/>
  <x:c r="S243" i="1"/>
  <x:c r="S294" i="1"/>
  <x:c r="S271" i="1"/>
  <x:c r="S387" i="1"/>
  <x:c r="S677" i="1"/>
  <x:c r="S567" i="1"/>
  <x:c r="S591" i="1"/>
  <x:c r="S561" i="1"/>
  <x:c r="S433" i="1"/>
  <x:c r="S300" i="1"/>
  <x:c r="S420" i="1"/>
  <x:c r="S557" i="1"/>
  <x:c r="S470" i="1"/>
  <x:c r="S458" i="1"/>
  <x:c r="S524" i="1"/>
  <x:c r="S289" i="1"/>
  <x:c r="S446" i="1"/>
  <x:c r="S460" i="1"/>
  <x:c r="S562" i="1"/>
  <x:c r="S535" i="1"/>
  <x:c r="S468" i="1"/>
  <x:c r="S542" i="1"/>
  <x:c r="S315" i="1"/>
  <x:c r="S272" i="1"/>
  <x:c r="S254" i="1"/>
  <x:c r="S233" i="1"/>
  <x:c r="S419" i="1"/>
  <x:c r="S421" i="1"/>
  <x:c r="S480" i="1"/>
  <x:c r="S432" i="1"/>
  <x:c r="S484" i="1"/>
  <x:c r="S371" i="1"/>
  <x:c r="S362" i="1"/>
  <x:c r="S578" i="1"/>
  <x:c r="S586" i="1"/>
  <x:c r="S314" i="1"/>
  <x:c r="S576" i="1"/>
  <x:c r="S574" i="1"/>
  <x:c r="S348" i="1"/>
  <x:c r="S457" i="1"/>
  <x:c r="S629" i="1"/>
  <x:c r="S546" i="1"/>
  <x:c r="S481" i="1"/>
  <x:c r="S513" i="1"/>
  <x:c r="S275" i="1"/>
  <x:c r="S556" i="1"/>
  <x:c r="S622" i="1"/>
  <x:c r="S687" i="1"/>
  <x:c r="S345" i="1"/>
  <x:c r="S431" i="1"/>
  <x:c r="S670" i="1"/>
  <x:c r="S477" i="1"/>
  <x:c r="S350" i="1"/>
  <x:c r="S152" i="1"/>
  <x:c r="S533" i="1"/>
  <x:c r="S260" i="1"/>
  <x:c r="S367" i="1"/>
  <x:c r="S229" i="1"/>
  <x:c r="S530" i="1"/>
  <x:c r="S358" i="1"/>
  <x:c r="S579" i="1"/>
  <x:c r="S239" i="1"/>
  <x:c r="S666" i="1"/>
  <x:c r="S678" i="1"/>
  <x:c r="S694" i="1"/>
  <x:c r="S698" i="1"/>
  <x:c r="S695" i="1"/>
  <x:c r="S682" i="1"/>
  <x:c r="S685" i="1"/>
  <x:c r="S690" i="1"/>
  <x:c r="S696" i="1"/>
  <x:c r="S664" i="1"/>
  <x:c r="S665" i="1"/>
  <x:c r="S672" i="1"/>
  <x:c r="S688" i="1"/>
  <x:c r="S684" i="1"/>
  <x:c r="S680" i="1"/>
  <x:c r="S673" i="1"/>
  <x:c r="S640" i="1"/>
  <x:c r="S635" i="1"/>
  <x:c r="S646" i="1"/>
  <x:c r="S650" i="1"/>
  <x:c r="S631" i="1"/>
  <x:c r="S652" i="1"/>
  <x:c r="S617" i="1"/>
  <x:c r="S628" i="1"/>
  <x:c r="S619" i="1"/>
  <x:c r="S651" i="1"/>
  <x:c r="S641" i="1"/>
  <x:c r="S639" i="1"/>
  <x:c r="S627" i="1"/>
  <x:c r="S630" i="1"/>
  <x:c r="S647" i="1"/>
  <x:c r="S633" i="1"/>
  <x:c r="S515" i="1"/>
  <x:c r="S543" i="1"/>
  <x:c r="S594" i="1"/>
  <x:c r="S552" i="1"/>
  <x:c r="S582" i="1"/>
  <x:c r="S558" i="1"/>
  <x:c r="S512" i="1"/>
  <x:c r="S540" i="1"/>
  <x:c r="S570" i="1"/>
  <x:c r="S541" i="1"/>
  <x:c r="S520" i="1"/>
  <x:c r="S592" i="1"/>
  <x:c r="S516" i="1"/>
  <x:c r="S593" i="1"/>
  <x:c r="S587" i="1"/>
  <x:c r="S553" i="1"/>
  <x:c r="S584" i="1"/>
  <x:c r="S565" i="1"/>
  <x:c r="S525" i="1"/>
  <x:c r="S527" i="1"/>
  <x:c r="S550" i="1"/>
  <x:c r="S559" i="1"/>
  <x:c r="S522" i="1"/>
  <x:c r="S577" i="1"/>
  <x:c r="S545" i="1"/>
  <x:c r="S585" i="1"/>
  <x:c r="S549" i="1"/>
  <x:c r="S518" i="1"/>
  <x:c r="S564" i="1"/>
  <x:c r="S514" i="1"/>
  <x:c r="S526" i="1"/>
  <x:c r="S534" i="1"/>
  <x:c r="S517" i="1"/>
  <x:c r="S583" i="1"/>
  <x:c r="S555" i="1"/>
  <x:c r="S519" i="1"/>
  <x:c r="S467" i="1"/>
  <x:c r="S438" i="1"/>
  <x:c r="S490" i="1"/>
  <x:c r="S495" i="1"/>
  <x:c r="S483" i="1"/>
  <x:c r="S463" i="1"/>
  <x:c r="S491" i="1"/>
  <x:c r="S452" i="1"/>
  <x:c r="S486" i="1"/>
  <x:c r="S449" i="1"/>
  <x:c r="Q503" i="1"/>
  <x:c r="S448" i="1"/>
  <x:c r="S482" i="1"/>
  <x:c r="S450" i="1"/>
  <x:c r="S465" i="1"/>
  <x:c r="S455" i="1"/>
  <x:c r="S456" i="1"/>
  <x:c r="S476" i="1"/>
  <x:c r="S472" i="1"/>
  <x:c r="S418" i="1"/>
  <x:c r="S474" i="1"/>
  <x:c r="S496" i="1"/>
  <x:c r="S464" i="1"/>
  <x:c r="S497" i="1"/>
  <x:c r="S426" i="1"/>
  <x:c r="S466" i="1"/>
  <x:c r="S341" i="1"/>
  <x:c r="S398" i="1"/>
  <x:c r="S355" i="1"/>
  <x:c r="S330" i="1"/>
  <x:c r="S342" i="1"/>
  <x:c r="S396" i="1"/>
  <x:c r="S375" i="1"/>
  <x:c r="S352" i="1"/>
  <x:c r="S394" i="1"/>
  <x:c r="S354" i="1"/>
  <x:c r="S365" i="1"/>
  <x:c r="S390" i="1"/>
  <x:c r="S363" i="1"/>
  <x:c r="S359" i="1"/>
  <x:c r="S335" i="1"/>
  <x:c r="S393" i="1"/>
  <x:c r="S337" i="1"/>
  <x:c r="S389" i="1"/>
  <x:c r="S377" i="1"/>
  <x:c r="S347" i="1"/>
  <x:c r="S384" i="1"/>
  <x:c r="S332" i="1"/>
  <x:c r="S392" i="1"/>
  <x:c r="S397" i="1"/>
  <x:c r="S340" i="1"/>
  <x:c r="S333" i="1"/>
  <x:c r="P408" i="1"/>
  <x:c r="S366" i="1"/>
  <x:c r="S351" i="1"/>
  <x:c r="S343" i="1"/>
  <x:c r="S304" i="1"/>
  <x:c r="S226" i="1"/>
  <x:c r="S276" i="1"/>
  <x:c r="S302" i="1"/>
  <x:c r="S242" i="1"/>
  <x:c r="S234" i="1"/>
  <x:c r="S273" i="1"/>
  <x:c r="S225" i="1"/>
  <x:c r="S250" i="1"/>
  <x:c r="S305" i="1"/>
  <x:c r="S299" i="1"/>
  <x:c r="S262" i="1"/>
  <x:c r="S259" i="1"/>
  <x:c r="S255" i="1"/>
  <x:c r="S231" i="1"/>
  <x:c r="S235" i="1"/>
  <x:c r="S291" i="1"/>
  <x:c r="S261" i="1"/>
  <x:c r="S282" i="1"/>
  <x:c r="S251" i="1"/>
  <x:c r="S313" i="1"/>
  <x:c r="S253" i="1"/>
  <x:c r="S266" i="1"/>
  <x:c r="S307" i="1"/>
  <x:c r="S232" i="1"/>
  <x:c r="S286" i="1"/>
  <x:c r="S311" i="1"/>
  <x:c r="S227" i="1"/>
  <x:c r="S268" i="1"/>
  <x:c r="S301" i="1"/>
  <x:c r="S264" i="1"/>
  <x:c r="S269" i="1"/>
  <x:c r="S309" i="1"/>
  <x:c r="S308" i="1"/>
  <x:c r="S293" i="1"/>
  <x:c r="S228" i="1"/>
  <x:c r="S263" i="1"/>
  <x:c r="S222" i="1"/>
  <x:c r="S296" i="1"/>
  <x:c r="S205" i="1"/>
  <x:c r="S202" i="1"/>
  <x:c r="S151" i="1"/>
  <x:c r="S132" i="1"/>
  <x:c r="S129" i="1"/>
  <x:c r="S179" i="1"/>
  <x:c r="S149" i="1"/>
  <x:c r="S193" i="1"/>
  <x:c r="S158" i="1"/>
  <x:c r="S209" i="1"/>
  <x:c r="S131" i="1"/>
  <x:c r="S139" i="1"/>
  <x:c r="S125" i="1"/>
  <x:c r="S194" i="1"/>
  <x:c r="S170" i="1"/>
  <x:c r="S154" i="1"/>
  <x:c r="S140" i="1"/>
  <x:c r="S123" i="1"/>
  <x:c r="S161" i="1"/>
  <x:c r="S163" i="1"/>
  <x:c r="S178" i="1"/>
  <x:c r="S165" i="1"/>
  <x:c r="S177" i="1"/>
  <x:c r="S155" i="1"/>
  <x:c r="S134" i="1"/>
  <x:c r="S135" i="1"/>
  <x:c r="S153" i="1"/>
  <x:c r="S128" i="1"/>
  <x:c r="S208" i="1"/>
  <x:c r="S143" i="1"/>
  <x:c r="S122" i="1"/>
  <x:c r="S181" i="1"/>
  <x:c r="S146" i="1"/>
  <x:c r="S145" i="1"/>
  <x:c r="S169" i="1"/>
  <x:c r="S171" i="1"/>
  <x:c r="S133" i="1"/>
  <x:c r="S144" i="1"/>
  <x:c r="S159" i="1"/>
  <x:c r="S192" i="1"/>
  <x:c r="S180" i="1"/>
  <x:c r="S201" i="1"/>
  <x:c r="S197" i="1"/>
  <x:c r="S147" i="1"/>
  <x:c r="S124" i="1"/>
  <x:c r="S175" i="1"/>
  <x:c r="S157" i="1"/>
  <x:c r="S187" i="1"/>
  <x:c r="S173" i="1"/>
  <x:c r="S182" i="1"/>
  <x:c r="S166" i="1"/>
  <x:c r="S138" i="1"/>
  <x:c r="S183" i="1"/>
  <x:c r="S189" i="1"/>
  <x:c r="S199" i="1"/>
  <x:c r="S195" i="1"/>
  <x:c r="S185" i="1"/>
  <x:c r="S172" i="1"/>
  <x:c r="S162" i="1"/>
  <x:c r="S191" i="1"/>
  <x:c r="S127" i="1"/>
  <x:c r="S198" i="1"/>
  <x:c r="S196" i="1"/>
  <x:c r="S176" i="1"/>
  <x:c r="S168" i="1"/>
  <x:c r="S156" i="1"/>
  <x:c r="S126" i="1"/>
  <x:c r="S207" i="1"/>
  <x:c r="S203" i="1"/>
  <x:c r="S142" i="1"/>
  <x:c r="S150" i="1"/>
  <x:c r="S206" i="1"/>
  <x:c r="S136" i="1"/>
  <x:c r="S190" i="1"/>
  <x:c r="S141" i="1"/>
  <x:c r="S164" i="1"/>
  <x:c r="S184" i="1"/>
  <x:c r="S200" i="1"/>
  <x:c r="R408" i="1"/>
  <x:c r="Q605" i="1"/>
  <x:c r="S504" i="1"/>
  <x:c r="R211" i="1"/>
  <x:c r="R317" i="1" s="1"/>
  <x:c r="P211" i="1"/>
  <x:c r="P317" i="1" s="1"/>
  <x:c r="O317" i="1"/>
  <x:c r="Q211" i="1"/>
  <x:c r="Q317" i="1" s="1"/>
  <x:c r="Q210" i="1"/>
  <x:c r="R503" i="1"/>
  <x:c r="P503" i="1"/>
  <x:c r="S679" i="1"/>
  <x:c r="S409" i="1"/>
  <x:c r="Q408" i="1"/>
  <x:c r="P605" i="1"/>
  <x:c r="R605" i="1"/>
  <x:c r="R210" i="1"/>
  <x:c r="P708" i="1" l="1"/>
  <x:c r="S657" i="1"/>
  <x:c r="S707" i="1"/>
  <x:c r="O708" i="1"/>
  <x:c r="S605" i="1"/>
  <x:c r="S408" i="1"/>
  <x:c r="R708" i="1"/>
  <x:c r="S503" i="1"/>
  <x:c r="S317" i="1"/>
  <x:c r="S210" i="1"/>
  <x:c r="Q708" i="1"/>
  <x:c r="S211" i="1"/>
  <x:c r="S708" i="1" l="1"/>
  <x:c r="O726" i="1"/>
  <x:c r="R726" i="1"/>
  <x:c r="O732" i="1"/>
  <x:c r="R732" i="1"/>
  <x:c r="O730" i="1"/>
  <x:c r="R730" i="1"/>
  <x:c r="O728" i="1"/>
  <x:c r="R728" i="1"/>
  <x:c r="O729" i="1"/>
  <x:c r="R729" i="1"/>
  <x:c r="O734" i="1"/>
  <x:c r="R734" i="1" s="1"/>
  <x:c r="O731" i="1"/>
  <x:c r="R731" i="1"/>
  <x:c r="O736" i="1"/>
  <x:c r="R736" i="1"/>
  <x:c r="O733" i="1"/>
  <x:c r="R733" i="1"/>
  <x:c r="O727" i="1"/>
  <x:c r="R727" i="1"/>
  <x:c r="O735" i="1"/>
  <x:c r="R735" i="1"/>
  <x:c r="O725" i="1"/>
  <x:c r="R725" i="1" s="1"/>
  <x:c r="O724" i="1"/>
  <x:c r="R724" i="1"/>
  <x:c r="O723" i="1"/>
  <x:c r="R723" i="1"/>
  <x:c r="O722" i="1"/>
  <x:c r="R722" i="1"/>
  <x:c r="O721" i="1"/>
  <x:c r="Q721" i="1"/>
  <x:c r="R721" i="1" l="1"/>
  <x:c r="O737" i="1"/>
  <x:c r="P721" i="1"/>
  <x:c r="P722" i="1"/>
  <x:c r="Q722" i="1"/>
  <x:c r="P723" i="1"/>
  <x:c r="Q723" i="1"/>
  <x:c r="P724" i="1"/>
  <x:c r="Q724" i="1"/>
  <x:c r="P725" i="1"/>
  <x:c r="Q725" i="1"/>
  <x:c r="P735" i="1"/>
  <x:c r="Q735" i="1"/>
  <x:c r="P727" i="1"/>
  <x:c r="Q727" i="1"/>
  <x:c r="P733" i="1"/>
  <x:c r="Q733" i="1"/>
  <x:c r="P736" i="1"/>
  <x:c r="Q736" i="1"/>
  <x:c r="P731" i="1"/>
  <x:c r="Q731" i="1"/>
  <x:c r="P734" i="1"/>
  <x:c r="Q734" i="1"/>
  <x:c r="P729" i="1"/>
  <x:c r="Q729" i="1"/>
  <x:c r="P728" i="1"/>
  <x:c r="Q728" i="1"/>
  <x:c r="P730" i="1"/>
  <x:c r="Q730" i="1"/>
  <x:c r="P732" i="1"/>
  <x:c r="Q732" i="1"/>
  <x:c r="P726" i="1"/>
  <x:c r="Q726" i="1"/>
  <x:c r="S726" i="1" l="1"/>
  <x:c r="S732" i="1"/>
  <x:c r="S730" i="1"/>
  <x:c r="S728" i="1"/>
  <x:c r="S729" i="1"/>
  <x:c r="S734" i="1"/>
  <x:c r="S731" i="1"/>
  <x:c r="S736" i="1"/>
  <x:c r="S733" i="1"/>
  <x:c r="S727" i="1"/>
  <x:c r="S735" i="1"/>
  <x:c r="S725" i="1"/>
  <x:c r="S724" i="1"/>
  <x:c r="S723" i="1"/>
  <x:c r="Q737" i="1"/>
  <x:c r="S722" i="1"/>
  <x:c r="P737" i="1"/>
  <x:c r="S721" i="1"/>
  <x:c r="R737" i="1"/>
  <x:c r="S737" i="1" l="1"/>
  <x:c r="O719" i="1"/>
  <x:c r="P719" i="1" s="1"/>
  <x:c r="O718" i="1"/>
  <x:c r="P718" i="1" s="1"/>
  <x:c r="O717" i="1"/>
  <x:c r="P717" i="1"/>
  <x:c r="O716" i="1"/>
  <x:c r="P716" i="1"/>
  <x:c r="O715" i="1"/>
  <x:c r="P715" i="1" s="1"/>
  <x:c r="O714" i="1"/>
  <x:c r="P714" i="1" s="1"/>
  <x:c r="O713" i="1"/>
  <x:c r="P713" i="1" s="1"/>
  <x:c r="O712" i="1"/>
  <x:c r="O720" i="1" l="1"/>
  <x:c r="R720" i="1"/>
  <x:c r="P720" i="1"/>
  <x:c r="S720" i="1" s="1"/>
  <x:c r="Q712" i="1"/>
  <x:c r="R712" i="1"/>
  <x:c r="P712" i="1"/>
  <x:c r="S712" i="1" s="1"/>
  <x:c r="Q713" i="1"/>
  <x:c r="R713" i="1"/>
  <x:c r="Q714" i="1"/>
  <x:c r="R714" i="1"/>
  <x:c r="Q715" i="1"/>
  <x:c r="R715" i="1"/>
  <x:c r="Q716" i="1"/>
  <x:c r="R716" i="1"/>
  <x:c r="Q717" i="1"/>
  <x:c r="R717" i="1"/>
  <x:c r="Q718" i="1"/>
  <x:c r="R718" i="1"/>
  <x:c r="Q719" i="1"/>
  <x:c r="R719" i="1"/>
  <x:c r="S719" i="1" l="1"/>
  <x:c r="S718" i="1"/>
  <x:c r="S717" i="1"/>
  <x:c r="S716" i="1"/>
  <x:c r="S715" i="1"/>
  <x:c r="S714" i="1"/>
  <x:c r="S713" i="1"/>
</x:calcChain>
</file>

<file path=xl/sharedStrings.xml><?xml version="1.0" encoding="utf-8"?>
<sst xmlns="http://schemas.openxmlformats.org/spreadsheetml/2006/main" count="1512" uniqueCount="154">
  <si>
    <t>DC Tie</t>
  </si>
  <si>
    <t>DIST</t>
  </si>
  <si>
    <t>TRAN</t>
  </si>
  <si>
    <t>Grand Total</t>
  </si>
  <si>
    <t>350</t>
  </si>
  <si>
    <t>1912</t>
  </si>
  <si>
    <t>1913</t>
  </si>
  <si>
    <t>1914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</si>
  <si>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</si>
  <si>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</si>
  <si>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</si>
  <si>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</si>
  <si>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</si>
  <si>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</si>
  <si>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</si>
  <si>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</si>
  <si>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</si>
  <si>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</si>
  <si>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</si>
  <si>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</si>
  <si>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</si>
  <si>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</si>
  <si>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</si>
  <si>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</si>
  <si>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</si>
  <si>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</si>
  <si>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</si>
  <si>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</si>
  <si>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</si>
  <si>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</si>
  <si>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</si>
  <si>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</si>
  <si>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</si>
  <si>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</si>
  <si>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</si>
  <si>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</si>
  <si>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</si>
  <si>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</si>
  <si>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</si>
  <si>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</si>
  <si>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</si>
  <si>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</si>
  <si>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</si>
  <si>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</si>
  <si>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</si>
  <si>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</si>
  <si>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</si>
  <si>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</si>
  <si>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</si>
  <si>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</si>
  <si>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</si>
  <si>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</si>
  <si>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</si>
  <si>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</si>
  <si>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</si>
  <si>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</si>
  <si>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</si>
  <si>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</si>
  <si>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</si>
  <si>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</si>
  <si>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</si>
  <si>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</si>
  <si>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</si>
  <si>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</si>
  <si>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</si>
  <si>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</si>
  <si>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</si>
  <si>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</si>
  <si>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</si>
  <si>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</si>
  <si>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</si>
  <si>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</si>
  <si>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</si>
  <si>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</si>
  <si>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</si>
  <si>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</si>
  <si>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</si>
  <si>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</si>
  <si>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</si>
  <si>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</si>
  <si>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</si>
  <si>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</si>
  <si>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</si>
  <si>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</si>
  <si>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</si>
  <si>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</si>
  <si>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</si>
  <si>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</si>
  <si>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</si>
  <si>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</si>
  <si>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</si>
  <si>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</si>
  <si>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</si>
  <si>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</si>
  <si>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</si>
  <si>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</si>
  <si>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</si>
  <si>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</si>
  <si>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</si>
  <si>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</si>
  <si>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</si>
  <si>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</si>
  <si>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</si>
  <si>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</si>
  <si>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</si>
  <si>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</si>
  <si>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</si>
  <si>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</si>
  <si>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</si>
  <si>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</si>
  <si>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</si>
  <si>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</si>
  <si>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352</t>
  </si>
  <si>
    <t>352 SVC</t>
  </si>
  <si>
    <t>353</t>
  </si>
  <si>
    <t>1900</t>
  </si>
  <si>
    <t>1915</t>
  </si>
  <si>
    <t>1936</t>
  </si>
  <si>
    <t>353 SVC</t>
  </si>
  <si>
    <t>354</t>
  </si>
  <si>
    <t>355</t>
  </si>
  <si>
    <t>356</t>
  </si>
  <si>
    <t>357</t>
  </si>
  <si>
    <t>358</t>
  </si>
  <si>
    <t>Acct</t>
  </si>
  <si>
    <t>Vintage Year</t>
  </si>
  <si>
    <t>ASL</t>
  </si>
  <si>
    <t>RL</t>
  </si>
  <si>
    <t>Net Salvage %</t>
  </si>
  <si>
    <t>Theo Res</t>
  </si>
  <si>
    <t>Alloc Reserve</t>
  </si>
  <si>
    <t>350 Total</t>
  </si>
  <si>
    <t>352 Total</t>
  </si>
  <si>
    <t>352 SVC Total</t>
  </si>
  <si>
    <t>353 Total</t>
  </si>
  <si>
    <t>353 SVC Total</t>
  </si>
  <si>
    <t>354 Total</t>
  </si>
  <si>
    <t>355 Total</t>
  </si>
  <si>
    <t>356 Total</t>
  </si>
  <si>
    <t>357 Total</t>
  </si>
  <si>
    <t>358 Total</t>
  </si>
  <si>
    <t>352 DC Tie</t>
  </si>
  <si>
    <t>353 DC Tie</t>
  </si>
  <si>
    <t>352 DC Tie Total</t>
  </si>
  <si>
    <t>353 DC Tie Total</t>
  </si>
  <si>
    <t xml:space="preserve"> </t>
  </si>
  <si>
    <t>PLANT ALLOCATION</t>
  </si>
  <si>
    <t>ACCUMLATED DEPRECIATION ALLOCATION</t>
  </si>
  <si>
    <t>Proration</t>
  </si>
  <si>
    <t>2024</t>
  </si>
  <si>
    <t>2023</t>
  </si>
  <si>
    <t>2022</t>
  </si>
  <si>
    <t>1937</t>
  </si>
  <si>
    <t>351.3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</si>
</sst>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6" formatCode="&quot;$&quot;#,##0_);[Red]\(&quot;$&quot;#,##0\)"/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_)"/>
    <numFmt numFmtId="166" formatCode="_(* #,##0_);_(* \(#,##0\);_(* &quot;-&quot;??_);_(@_)"/>
    <numFmt numFmtId="167" formatCode="0.0_)\%;\(0.0\)\%;0.0_)\%;@_)_%"/>
    <numFmt numFmtId="168" formatCode="#,##0.0_)_%;\(#,##0.0\)_%;0.0_)_%;@_)_%"/>
    <numFmt numFmtId="169" formatCode="#,##0.0_);\(#,##0.0\);#,##0.0_);@_)"/>
    <numFmt numFmtId="170" formatCode="#,##0.0_);\(#,##0.0\)"/>
    <numFmt numFmtId="171" formatCode="&quot;$&quot;_(#,##0.00_);&quot;$&quot;\(#,##0.00\);&quot;$&quot;_(0.00_);@_)"/>
    <numFmt numFmtId="172" formatCode="&quot;$&quot;_(#,##0.00_);&quot;$&quot;\(#,##0.00\)"/>
    <numFmt numFmtId="173" formatCode="#,##0.00_);\(#,##0.00\);0.00_);@_)"/>
    <numFmt numFmtId="174" formatCode="&quot;£&quot;_(#,##0.00_);&quot;£&quot;\(#,##0.00\)"/>
    <numFmt numFmtId="175" formatCode="\€_(#,##0.00_);\€\(#,##0.00\);\€_(0.00_);@_)"/>
    <numFmt numFmtId="176" formatCode="0.000000"/>
    <numFmt numFmtId="177" formatCode="#,##0_)\x;\(#,##0\)\x;0_)\x;@_)_x"/>
    <numFmt numFmtId="178" formatCode="0.E+00"/>
    <numFmt numFmtId="179" formatCode="#,##0.0_)\x;\(#,##0.0\)\x"/>
    <numFmt numFmtId="180" formatCode="#,##0_)_x;\(#,##0\)_x;0_)_x;@_)_x"/>
    <numFmt numFmtId="181" formatCode="0.0.E+00"/>
    <numFmt numFmtId="182" formatCode="#,##0.0_)_x;\(#,##0.0\)_x"/>
    <numFmt numFmtId="183" formatCode="0.0_)\%;\(0.0\)\%"/>
    <numFmt numFmtId="184" formatCode="&quot;$&quot;#,##0.0_);\(&quot;$&quot;#,##0.0\)"/>
    <numFmt numFmtId="185" formatCode="#,##0.0_)_%;\(#,##0.0\)_%"/>
    <numFmt numFmtId="186" formatCode="yyyy"/>
    <numFmt numFmtId="187" formatCode="m\-d\-yy"/>
    <numFmt numFmtId="188" formatCode="#,##0.0\ \ \ _);\(#,##0.0\)"/>
    <numFmt numFmtId="189" formatCode="#,##0;\-#,##0;&quot;-&quot;"/>
    <numFmt numFmtId="190" formatCode=";;;\(@\)"/>
    <numFmt numFmtId="191" formatCode="_ * #,##0.00_ ;_ * \-#,##0.00_ ;_ * &quot;-&quot;??_ ;_ @_ "/>
    <numFmt numFmtId="192" formatCode="&quot;$&quot;#,##0\ ;\(&quot;$&quot;#,##0\)"/>
    <numFmt numFmtId="193" formatCode="0."/>
    <numFmt numFmtId="194" formatCode="_-* #,##0.0_-;\-* #,##0.0_-;_-* &quot;-&quot;??_-;_-@_-"/>
    <numFmt numFmtId="195" formatCode="#,##0.00&quot; $&quot;;\-#,##0.00&quot; $&quot;"/>
    <numFmt numFmtId="196" formatCode="#,##0.0\x_);\(#,##0.0\x\);#,##0.0\x_);@_)"/>
    <numFmt numFmtId="197" formatCode="_(* #,##0_);_(* \(#,##0\);_(* &quot;&quot;_);_(@_)"/>
    <numFmt numFmtId="198" formatCode="0%_);\(0%\)"/>
    <numFmt numFmtId="199" formatCode="_(* #,##0.00%_);[Red]_(* \-#,##0.00%_);[Green]_(* 0.00%_);_(@_)_%"/>
    <numFmt numFmtId="200" formatCode="#,##0.0\%_);\(#,##0.0\%\);#,##0.0\%_);@_)"/>
    <numFmt numFmtId="201" formatCode="_(* #,##0,_);_(* \(#,##0,\);_(* &quot;-   &quot;_);_(@_)"/>
    <numFmt numFmtId="202" formatCode="_(* #,##0.0,_);_(* \(#,##0.0,\);_(* &quot;-   &quot;_);_(@_)"/>
    <numFmt numFmtId="203" formatCode="General_)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name val="Arial Unicode MS"/>
      <family val="2"/>
    </font>
    <font>
      <sz val="10"/>
      <color indexed="62"/>
      <name val="Arial"/>
      <family val="2"/>
    </font>
    <font>
      <b/>
      <sz val="10"/>
      <name val="MS Sans Serif"/>
      <family val="2"/>
    </font>
    <font>
      <b/>
      <sz val="10"/>
      <name val="Arial Unicode MS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sz val="10"/>
      <color indexed="63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indexed="10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Tms Rmn"/>
    </font>
    <font>
      <sz val="11"/>
      <color indexed="43"/>
      <name val="Calibri"/>
      <family val="2"/>
    </font>
    <font>
      <sz val="8"/>
      <name val="Times New Roman"/>
      <family val="1"/>
    </font>
    <font>
      <b/>
      <sz val="11"/>
      <color indexed="10"/>
      <name val="Calibri"/>
      <family val="2"/>
    </font>
    <font>
      <b/>
      <sz val="11"/>
      <color indexed="43"/>
      <name val="Calibri"/>
      <family val="2"/>
    </font>
    <font>
      <u val="singleAccounting"/>
      <sz val="10"/>
      <name val="Times"/>
      <family val="1"/>
    </font>
    <font>
      <sz val="10"/>
      <name val="Times New Roman"/>
      <family val="1"/>
    </font>
    <font>
      <sz val="10"/>
      <name val="MS Serif"/>
      <family val="1"/>
    </font>
    <font>
      <sz val="11"/>
      <name val="??"/>
      <family val="3"/>
      <charset val="129"/>
    </font>
    <font>
      <sz val="8"/>
      <name val="Helvetica-Narrow"/>
      <family val="2"/>
    </font>
    <font>
      <sz val="12"/>
      <name val="Times New Roman"/>
      <family val="1"/>
    </font>
    <font>
      <sz val="10"/>
      <color indexed="16"/>
      <name val="MS Serif"/>
      <family val="1"/>
    </font>
    <font>
      <b/>
      <u/>
      <sz val="11"/>
      <color indexed="37"/>
      <name val="Arial"/>
      <family val="2"/>
    </font>
    <font>
      <b/>
      <sz val="15"/>
      <color indexed="62"/>
      <name val="Calibri"/>
      <family val="2"/>
    </font>
    <font>
      <b/>
      <sz val="18"/>
      <name val="Arial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14"/>
      <name val="Arial Narrow"/>
      <family val="2"/>
    </font>
    <font>
      <sz val="10"/>
      <color indexed="12"/>
      <name val="Arial"/>
      <family val="2"/>
    </font>
    <font>
      <sz val="12"/>
      <color indexed="37"/>
      <name val="swiss"/>
    </font>
    <font>
      <b/>
      <sz val="10"/>
      <color indexed="37"/>
      <name val="Arial MT"/>
    </font>
    <font>
      <sz val="8"/>
      <name val="Palatino"/>
      <family val="1"/>
    </font>
    <font>
      <sz val="11"/>
      <color indexed="19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</font>
    <font>
      <sz val="12"/>
      <color indexed="12"/>
      <name val="Helv"/>
    </font>
    <font>
      <sz val="10"/>
      <name val="Tahoma"/>
      <family val="2"/>
      <charset val="204"/>
    </font>
    <font>
      <sz val="12"/>
      <name val="Helv"/>
    </font>
    <font>
      <b/>
      <sz val="26"/>
      <name val="Times New Roman"/>
      <family val="1"/>
    </font>
    <font>
      <b/>
      <sz val="18"/>
      <name val="Times New Roman"/>
      <family val="1"/>
    </font>
    <font>
      <sz val="14"/>
      <name val="B Times Bold"/>
    </font>
    <font>
      <sz val="10"/>
      <name val="C Helvetica Condensed"/>
    </font>
    <font>
      <sz val="10"/>
      <color indexed="55"/>
      <name val="Arial"/>
      <family val="2"/>
    </font>
    <font>
      <sz val="10"/>
      <color indexed="12"/>
      <name val="MS Sans Serif"/>
      <family val="2"/>
    </font>
    <font>
      <sz val="8"/>
      <name val="Helv"/>
    </font>
    <font>
      <u/>
      <sz val="12"/>
      <name val="B Times Bold"/>
    </font>
    <font>
      <u/>
      <sz val="10"/>
      <name val="B Times Bold"/>
    </font>
    <font>
      <sz val="8"/>
      <name val="Arial Narrow"/>
      <family val="2"/>
    </font>
    <font>
      <b/>
      <u/>
      <sz val="12"/>
      <name val="Arial Narrow"/>
      <family val="2"/>
    </font>
    <font>
      <b/>
      <u/>
      <sz val="10"/>
      <name val="Arial Narrow"/>
      <family val="2"/>
    </font>
    <font>
      <b/>
      <sz val="10"/>
      <color indexed="12"/>
      <name val="MS Sans Serif"/>
      <family val="2"/>
    </font>
    <font>
      <b/>
      <sz val="8"/>
      <color indexed="8"/>
      <name val="Helv"/>
    </font>
    <font>
      <b/>
      <sz val="9"/>
      <name val="Arial"/>
      <family val="2"/>
    </font>
    <font>
      <sz val="7"/>
      <name val="Times New Roman"/>
      <family val="1"/>
    </font>
    <font>
      <sz val="5.5"/>
      <name val="Small Fonts"/>
      <family val="2"/>
    </font>
    <font>
      <b/>
      <sz val="18"/>
      <color indexed="62"/>
      <name val="Cambria"/>
      <family val="2"/>
    </font>
    <font>
      <b/>
      <sz val="7"/>
      <color indexed="12"/>
      <name val="Arial"/>
      <family val="2"/>
    </font>
    <font>
      <i/>
      <sz val="12"/>
      <color indexed="8"/>
      <name val="Arial MT"/>
    </font>
    <font>
      <b/>
      <sz val="8"/>
      <name val="Arial"/>
      <family val="2"/>
    </font>
    <font>
      <sz val="9"/>
      <color indexed="10"/>
      <name val="Geneva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8"/>
      </patternFill>
    </fill>
    <fill>
      <patternFill patternType="gray0625">
        <fgColor indexed="26"/>
        <bgColor indexed="43"/>
      </patternFill>
    </fill>
    <fill>
      <patternFill patternType="solid">
        <fgColor indexed="22"/>
        <bgColor indexed="8"/>
      </patternFill>
    </fill>
    <fill>
      <patternFill patternType="mediumGray">
        <fgColor indexed="22"/>
      </patternFill>
    </fill>
    <fill>
      <patternFill patternType="solid">
        <fgColor indexed="6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tted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ouble">
        <color indexed="64"/>
      </top>
      <bottom/>
      <diagonal/>
    </border>
  </borders>
  <cellStyleXfs count="95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12" fillId="0" borderId="8" applyNumberFormat="0" applyFill="0" applyAlignment="0" applyProtection="0"/>
    <xf numFmtId="0" fontId="13" fillId="7" borderId="9" applyNumberFormat="0" applyAlignment="0" applyProtection="0"/>
    <xf numFmtId="0" fontId="14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0" borderId="0">
      <alignment vertical="top"/>
    </xf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47" fillId="0" borderId="0">
      <alignment vertical="top"/>
    </xf>
    <xf numFmtId="0" fontId="47" fillId="0" borderId="0">
      <alignment vertical="top"/>
    </xf>
    <xf numFmtId="0" fontId="102" fillId="0" borderId="0"/>
    <xf numFmtId="0" fontId="102" fillId="0" borderId="0"/>
    <xf numFmtId="0" fontId="47" fillId="0" borderId="0">
      <alignment vertical="top"/>
    </xf>
    <xf numFmtId="0" fontId="47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4" fontId="46" fillId="0" borderId="0" applyFont="0" applyFill="0" applyBorder="0" applyAlignment="0" applyProtection="0"/>
    <xf numFmtId="0" fontId="102" fillId="0" borderId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47" fillId="0" borderId="0">
      <alignment vertical="top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176" fontId="19" fillId="0" borderId="0">
      <alignment horizontal="left" wrapText="1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0" fontId="19" fillId="33" borderId="0" applyNumberFormat="0" applyFont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0" fontId="19" fillId="0" borderId="0" applyFont="0" applyFill="0" applyBorder="0" applyProtection="0">
      <alignment horizontal="right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0" fontId="47" fillId="0" borderId="0">
      <alignment vertical="top"/>
    </xf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0" fontId="47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7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0" fillId="0" borderId="12" applyNumberFormat="0" applyFill="0" applyAlignment="0" applyProtection="0"/>
    <xf numFmtId="0" fontId="40" fillId="0" borderId="12" applyNumberFormat="0" applyFill="0" applyAlignment="0" applyProtection="0"/>
    <xf numFmtId="0" fontId="40" fillId="0" borderId="0" applyNumberFormat="0" applyFill="0" applyBorder="0" applyAlignment="0" applyProtection="0"/>
    <xf numFmtId="0" fontId="50" fillId="0" borderId="13" applyNumberFormat="0" applyFill="0" applyProtection="0">
      <alignment horizontal="center"/>
    </xf>
    <xf numFmtId="0" fontId="50" fillId="0" borderId="13" applyNumberFormat="0" applyFill="0" applyProtection="0">
      <alignment horizontal="center"/>
    </xf>
    <xf numFmtId="0" fontId="50" fillId="0" borderId="13" applyNumberFormat="0" applyFill="0" applyProtection="0">
      <alignment horizontal="center"/>
    </xf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19" fillId="0" borderId="14" applyNumberFormat="0" applyFont="0" applyFill="0" applyAlignment="0" applyProtection="0"/>
    <xf numFmtId="0" fontId="50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centerContinuous"/>
    </xf>
    <xf numFmtId="0" fontId="51" fillId="0" borderId="0" applyNumberFormat="0" applyFill="0" applyBorder="0" applyProtection="0">
      <alignment horizontal="centerContinuous"/>
    </xf>
    <xf numFmtId="0" fontId="51" fillId="0" borderId="0" applyNumberFormat="0" applyFill="0" applyBorder="0" applyProtection="0">
      <alignment horizontal="centerContinuous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47" fillId="0" borderId="0">
      <alignment vertical="top"/>
    </xf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37" fontId="52" fillId="0" borderId="0"/>
    <xf numFmtId="0" fontId="19" fillId="0" borderId="0" applyNumberFormat="0" applyFill="0" applyBorder="0" applyAlignment="0" applyProtection="0"/>
    <xf numFmtId="0" fontId="18" fillId="35" borderId="0" applyNumberFormat="0" applyBorder="0" applyAlignment="0" applyProtection="0"/>
    <xf numFmtId="0" fontId="18" fillId="34" borderId="0" applyNumberFormat="0" applyBorder="0" applyAlignment="0" applyProtection="0"/>
    <xf numFmtId="0" fontId="18" fillId="37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38" borderId="0" applyNumberFormat="0" applyBorder="0" applyAlignment="0" applyProtection="0"/>
    <xf numFmtId="0" fontId="18" fillId="41" borderId="0" applyNumberFormat="0" applyBorder="0" applyAlignment="0" applyProtection="0"/>
    <xf numFmtId="0" fontId="18" fillId="40" borderId="0" applyNumberFormat="0" applyBorder="0" applyAlignment="0" applyProtection="0"/>
    <xf numFmtId="0" fontId="18" fillId="42" borderId="0" applyNumberFormat="0" applyBorder="0" applyAlignment="0" applyProtection="0"/>
    <xf numFmtId="0" fontId="18" fillId="39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35" borderId="0" applyNumberFormat="0" applyBorder="0" applyAlignment="0" applyProtection="0"/>
    <xf numFmtId="0" fontId="18" fillId="37" borderId="0" applyNumberFormat="0" applyBorder="0" applyAlignment="0" applyProtection="0"/>
    <xf numFmtId="0" fontId="18" fillId="33" borderId="0" applyNumberFormat="0" applyBorder="0" applyAlignment="0" applyProtection="0"/>
    <xf numFmtId="0" fontId="18" fillId="43" borderId="0" applyNumberFormat="0" applyBorder="0" applyAlignment="0" applyProtection="0"/>
    <xf numFmtId="0" fontId="18" fillId="36" borderId="0" applyNumberFormat="0" applyBorder="0" applyAlignment="0" applyProtection="0"/>
    <xf numFmtId="0" fontId="18" fillId="40" borderId="0" applyNumberFormat="0" applyBorder="0" applyAlignment="0" applyProtection="0"/>
    <xf numFmtId="0" fontId="18" fillId="42" borderId="0" applyNumberFormat="0" applyBorder="0" applyAlignment="0" applyProtection="0"/>
    <xf numFmtId="0" fontId="18" fillId="35" borderId="0" applyNumberFormat="0" applyBorder="0" applyAlignment="0" applyProtection="0"/>
    <xf numFmtId="0" fontId="18" fillId="39" borderId="0" applyNumberFormat="0" applyBorder="0" applyAlignment="0" applyProtection="0"/>
    <xf numFmtId="0" fontId="18" fillId="44" borderId="0" applyNumberFormat="0" applyBorder="0" applyAlignment="0" applyProtection="0"/>
    <xf numFmtId="0" fontId="17" fillId="12" borderId="0" applyNumberFormat="0" applyBorder="0" applyAlignment="0" applyProtection="0"/>
    <xf numFmtId="0" fontId="53" fillId="42" borderId="0" applyNumberFormat="0" applyBorder="0" applyAlignment="0" applyProtection="0"/>
    <xf numFmtId="0" fontId="26" fillId="45" borderId="0" applyNumberFormat="0" applyBorder="0" applyAlignment="0" applyProtection="0"/>
    <xf numFmtId="0" fontId="17" fillId="16" borderId="0" applyNumberFormat="0" applyBorder="0" applyAlignment="0" applyProtection="0"/>
    <xf numFmtId="0" fontId="53" fillId="46" borderId="0" applyNumberFormat="0" applyBorder="0" applyAlignment="0" applyProtection="0"/>
    <xf numFmtId="0" fontId="26" fillId="37" borderId="0" applyNumberFormat="0" applyBorder="0" applyAlignment="0" applyProtection="0"/>
    <xf numFmtId="0" fontId="17" fillId="20" borderId="0" applyNumberFormat="0" applyBorder="0" applyAlignment="0" applyProtection="0"/>
    <xf numFmtId="0" fontId="53" fillId="44" borderId="0" applyNumberFormat="0" applyBorder="0" applyAlignment="0" applyProtection="0"/>
    <xf numFmtId="0" fontId="26" fillId="43" borderId="0" applyNumberFormat="0" applyBorder="0" applyAlignment="0" applyProtection="0"/>
    <xf numFmtId="0" fontId="17" fillId="24" borderId="0" applyNumberFormat="0" applyBorder="0" applyAlignment="0" applyProtection="0"/>
    <xf numFmtId="0" fontId="53" fillId="36" borderId="0" applyNumberFormat="0" applyBorder="0" applyAlignment="0" applyProtection="0"/>
    <xf numFmtId="0" fontId="26" fillId="47" borderId="0" applyNumberFormat="0" applyBorder="0" applyAlignment="0" applyProtection="0"/>
    <xf numFmtId="0" fontId="17" fillId="28" borderId="0" applyNumberFormat="0" applyBorder="0" applyAlignment="0" applyProtection="0"/>
    <xf numFmtId="0" fontId="53" fillId="42" borderId="0" applyNumberFormat="0" applyBorder="0" applyAlignment="0" applyProtection="0"/>
    <xf numFmtId="0" fontId="26" fillId="48" borderId="0" applyNumberFormat="0" applyBorder="0" applyAlignment="0" applyProtection="0"/>
    <xf numFmtId="0" fontId="17" fillId="32" borderId="0" applyNumberFormat="0" applyBorder="0" applyAlignment="0" applyProtection="0"/>
    <xf numFmtId="0" fontId="53" fillId="37" borderId="0" applyNumberFormat="0" applyBorder="0" applyAlignment="0" applyProtection="0"/>
    <xf numFmtId="0" fontId="26" fillId="49" borderId="0" applyNumberFormat="0" applyBorder="0" applyAlignment="0" applyProtection="0"/>
    <xf numFmtId="0" fontId="53" fillId="51" borderId="0" applyNumberFormat="0" applyBorder="0" applyAlignment="0" applyProtection="0"/>
    <xf numFmtId="0" fontId="26" fillId="50" borderId="0" applyNumberFormat="0" applyBorder="0" applyAlignment="0" applyProtection="0"/>
    <xf numFmtId="0" fontId="53" fillId="46" borderId="0" applyNumberFormat="0" applyBorder="0" applyAlignment="0" applyProtection="0"/>
    <xf numFmtId="0" fontId="26" fillId="52" borderId="0" applyNumberFormat="0" applyBorder="0" applyAlignment="0" applyProtection="0"/>
    <xf numFmtId="0" fontId="53" fillId="44" borderId="0" applyNumberFormat="0" applyBorder="0" applyAlignment="0" applyProtection="0"/>
    <xf numFmtId="0" fontId="26" fillId="53" borderId="0" applyNumberFormat="0" applyBorder="0" applyAlignment="0" applyProtection="0"/>
    <xf numFmtId="0" fontId="53" fillId="54" borderId="0" applyNumberFormat="0" applyBorder="0" applyAlignment="0" applyProtection="0"/>
    <xf numFmtId="0" fontId="26" fillId="47" borderId="0" applyNumberFormat="0" applyBorder="0" applyAlignment="0" applyProtection="0"/>
    <xf numFmtId="0" fontId="53" fillId="48" borderId="0" applyNumberFormat="0" applyBorder="0" applyAlignment="0" applyProtection="0"/>
    <xf numFmtId="0" fontId="26" fillId="48" borderId="0" applyNumberFormat="0" applyBorder="0" applyAlignment="0" applyProtection="0"/>
    <xf numFmtId="0" fontId="53" fillId="52" borderId="0" applyNumberFormat="0" applyBorder="0" applyAlignment="0" applyProtection="0"/>
    <xf numFmtId="0" fontId="26" fillId="46" borderId="0" applyNumberFormat="0" applyBorder="0" applyAlignment="0" applyProtection="0"/>
    <xf numFmtId="187" fontId="20" fillId="55" borderId="15">
      <alignment horizontal="center" vertical="center"/>
    </xf>
    <xf numFmtId="187" fontId="20" fillId="55" borderId="15">
      <alignment horizontal="center" vertical="center"/>
    </xf>
    <xf numFmtId="188" fontId="54" fillId="0" borderId="0"/>
    <xf numFmtId="0" fontId="27" fillId="40" borderId="0" applyNumberFormat="0" applyBorder="0" applyAlignment="0" applyProtection="0"/>
    <xf numFmtId="0" fontId="27" fillId="36" borderId="0" applyNumberFormat="0" applyBorder="0" applyAlignment="0" applyProtection="0"/>
    <xf numFmtId="0" fontId="54" fillId="0" borderId="16" applyNumberFormat="0" applyFont="0" applyFill="0" applyAlignment="0" applyProtection="0"/>
    <xf numFmtId="0" fontId="54" fillId="0" borderId="16" applyNumberFormat="0" applyFont="0" applyFill="0" applyAlignment="0" applyProtection="0"/>
    <xf numFmtId="0" fontId="54" fillId="0" borderId="17" applyNumberFormat="0" applyFont="0" applyFill="0" applyAlignment="0" applyProtection="0"/>
    <xf numFmtId="0" fontId="54" fillId="0" borderId="17" applyNumberFormat="0" applyFont="0" applyFill="0" applyAlignment="0" applyProtection="0"/>
    <xf numFmtId="189" fontId="47" fillId="0" borderId="0" applyFill="0" applyBorder="0" applyAlignment="0"/>
    <xf numFmtId="189" fontId="47" fillId="0" borderId="0" applyFill="0" applyBorder="0" applyAlignment="0"/>
    <xf numFmtId="0" fontId="55" fillId="57" borderId="18" applyNumberFormat="0" applyAlignment="0" applyProtection="0"/>
    <xf numFmtId="0" fontId="28" fillId="56" borderId="18" applyNumberFormat="0" applyAlignment="0" applyProtection="0"/>
    <xf numFmtId="0" fontId="52" fillId="0" borderId="0"/>
    <xf numFmtId="0" fontId="56" fillId="58" borderId="19" applyNumberFormat="0" applyAlignment="0" applyProtection="0"/>
    <xf numFmtId="0" fontId="29" fillId="58" borderId="19" applyNumberFormat="0" applyAlignment="0" applyProtection="0"/>
    <xf numFmtId="190" fontId="57" fillId="0" borderId="0">
      <alignment horizontal="center" wrapText="1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37" fontId="52" fillId="0" borderId="0"/>
    <xf numFmtId="40" fontId="19" fillId="0" borderId="0" applyBorder="0" applyProtection="0"/>
    <xf numFmtId="40" fontId="19" fillId="0" borderId="0" applyBorder="0" applyProtection="0"/>
    <xf numFmtId="37" fontId="52" fillId="0" borderId="0"/>
    <xf numFmtId="37" fontId="47" fillId="0" borderId="0"/>
    <xf numFmtId="37" fontId="47" fillId="0" borderId="0"/>
    <xf numFmtId="43" fontId="18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1" fontId="58" fillId="0" borderId="0" applyFont="0" applyFill="0" applyBorder="0" applyAlignment="0" applyProtection="0"/>
    <xf numFmtId="37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7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4" fontId="101" fillId="0" borderId="0"/>
    <xf numFmtId="0" fontId="59" fillId="0" borderId="0" applyNumberFormat="0" applyAlignment="0">
      <alignment horizontal="left"/>
    </xf>
    <xf numFmtId="0" fontId="103" fillId="0" borderId="0"/>
    <xf numFmtId="7" fontId="52" fillId="0" borderId="0" applyFont="0" applyFill="0" applyBorder="0" applyAlignment="0" applyProtection="0"/>
    <xf numFmtId="37" fontId="52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6" fontId="60" fillId="0" borderId="0">
      <protection locked="0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0" fontId="61" fillId="0" borderId="0"/>
    <xf numFmtId="193" fontId="62" fillId="0" borderId="0"/>
    <xf numFmtId="0" fontId="63" fillId="0" borderId="0" applyNumberFormat="0" applyAlignment="0">
      <alignment horizontal="left"/>
    </xf>
    <xf numFmtId="37" fontId="52" fillId="0" borderId="0"/>
    <xf numFmtId="0" fontId="30" fillId="0" borderId="0" applyNumberFormat="0" applyFill="0" applyBorder="0" applyAlignment="0" applyProtection="0"/>
    <xf numFmtId="194" fontId="19" fillId="0" borderId="0">
      <protection locked="0"/>
    </xf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0" fontId="31" fillId="42" borderId="0" applyNumberFormat="0" applyBorder="0" applyAlignment="0" applyProtection="0"/>
    <xf numFmtId="0" fontId="31" fillId="38" borderId="0" applyNumberFormat="0" applyBorder="0" applyAlignment="0" applyProtection="0"/>
    <xf numFmtId="38" fontId="46" fillId="59" borderId="0" applyNumberFormat="0" applyBorder="0" applyAlignment="0" applyProtection="0"/>
    <xf numFmtId="38" fontId="46" fillId="59" borderId="0" applyNumberFormat="0" applyBorder="0" applyAlignment="0" applyProtection="0"/>
    <xf numFmtId="0" fontId="64" fillId="0" borderId="0" applyNumberFormat="0" applyFill="0" applyBorder="0" applyAlignment="0" applyProtection="0"/>
    <xf numFmtId="0" fontId="42" fillId="0" borderId="20" applyNumberFormat="0" applyAlignment="0" applyProtection="0">
      <alignment horizontal="left" vertical="center"/>
    </xf>
    <xf numFmtId="0" fontId="42" fillId="0" borderId="20" applyNumberFormat="0" applyAlignment="0" applyProtection="0">
      <alignment horizontal="left" vertical="center"/>
    </xf>
    <xf numFmtId="0" fontId="42" fillId="0" borderId="21">
      <alignment horizontal="left" vertical="center"/>
    </xf>
    <xf numFmtId="0" fontId="42" fillId="0" borderId="21">
      <alignment horizontal="left" vertical="center"/>
    </xf>
    <xf numFmtId="14" fontId="20" fillId="60" borderId="16">
      <alignment horizontal="center" vertical="center" wrapText="1"/>
    </xf>
    <xf numFmtId="0" fontId="65" fillId="0" borderId="22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3" applyNumberFormat="0" applyFill="0" applyAlignment="0" applyProtection="0"/>
    <xf numFmtId="0" fontId="42" fillId="0" borderId="0" applyNumberFormat="0" applyFill="0" applyBorder="0" applyAlignment="0" applyProtection="0"/>
    <xf numFmtId="0" fontId="68" fillId="0" borderId="25" applyNumberFormat="0" applyFill="0" applyAlignment="0" applyProtection="0"/>
    <xf numFmtId="0" fontId="32" fillId="0" borderId="24" applyNumberFormat="0" applyFill="0" applyAlignment="0" applyProtection="0"/>
    <xf numFmtId="0" fontId="6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195" fontId="19" fillId="0" borderId="0">
      <protection locked="0"/>
    </xf>
    <xf numFmtId="0" fontId="69" fillId="0" borderId="0"/>
    <xf numFmtId="37" fontId="52" fillId="0" borderId="0"/>
    <xf numFmtId="0" fontId="70" fillId="0" borderId="26" applyNumberFormat="0" applyFill="0" applyAlignment="0" applyProtection="0"/>
    <xf numFmtId="10" fontId="46" fillId="61" borderId="1" applyNumberFormat="0" applyBorder="0" applyAlignment="0" applyProtection="0"/>
    <xf numFmtId="10" fontId="46" fillId="61" borderId="1" applyNumberFormat="0" applyBorder="0" applyAlignment="0" applyProtection="0"/>
    <xf numFmtId="0" fontId="33" fillId="33" borderId="18" applyNumberFormat="0" applyAlignment="0" applyProtection="0"/>
    <xf numFmtId="0" fontId="33" fillId="41" borderId="18" applyNumberFormat="0" applyAlignment="0" applyProtection="0"/>
    <xf numFmtId="0" fontId="33" fillId="41" borderId="18" applyNumberFormat="0" applyAlignment="0" applyProtection="0"/>
    <xf numFmtId="0" fontId="33" fillId="41" borderId="18" applyNumberFormat="0" applyAlignment="0" applyProtection="0"/>
    <xf numFmtId="0" fontId="71" fillId="62" borderId="27" applyNumberFormat="0" applyBorder="0" applyAlignment="0" applyProtection="0"/>
    <xf numFmtId="0" fontId="72" fillId="63" borderId="0" applyNumberFormat="0"/>
    <xf numFmtId="0" fontId="39" fillId="0" borderId="29" applyNumberFormat="0" applyFill="0" applyAlignment="0" applyProtection="0"/>
    <xf numFmtId="0" fontId="34" fillId="0" borderId="28" applyNumberFormat="0" applyFill="0" applyAlignment="0" applyProtection="0"/>
    <xf numFmtId="14" fontId="52" fillId="0" borderId="0">
      <alignment horizontal="center"/>
    </xf>
    <xf numFmtId="37" fontId="52" fillId="0" borderId="1">
      <alignment horizontal="right"/>
    </xf>
    <xf numFmtId="37" fontId="52" fillId="0" borderId="0">
      <alignment horizontal="center"/>
    </xf>
    <xf numFmtId="37" fontId="52" fillId="0" borderId="0">
      <alignment horizontal="center"/>
    </xf>
    <xf numFmtId="17" fontId="52" fillId="0" borderId="0">
      <alignment horizontal="center"/>
    </xf>
    <xf numFmtId="196" fontId="73" fillId="0" borderId="0" applyFont="0" applyFill="0" applyBorder="0" applyProtection="0">
      <alignment horizontal="right"/>
    </xf>
    <xf numFmtId="0" fontId="104" fillId="4" borderId="0" applyNumberFormat="0" applyBorder="0" applyAlignment="0" applyProtection="0"/>
    <xf numFmtId="0" fontId="74" fillId="33" borderId="0" applyNumberFormat="0" applyBorder="0" applyAlignment="0" applyProtection="0"/>
    <xf numFmtId="0" fontId="35" fillId="33" borderId="0" applyNumberFormat="0" applyBorder="0" applyAlignment="0" applyProtection="0"/>
    <xf numFmtId="37" fontId="75" fillId="0" borderId="0"/>
    <xf numFmtId="165" fontId="76" fillId="0" borderId="0"/>
    <xf numFmtId="37" fontId="77" fillId="0" borderId="0"/>
    <xf numFmtId="37" fontId="78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/>
    <xf numFmtId="0" fontId="19" fillId="0" borderId="0">
      <alignment vertical="top"/>
    </xf>
    <xf numFmtId="0" fontId="19" fillId="0" borderId="0">
      <alignment vertical="top"/>
    </xf>
    <xf numFmtId="0" fontId="19" fillId="0" borderId="0"/>
    <xf numFmtId="0" fontId="19" fillId="0" borderId="0"/>
    <xf numFmtId="0" fontId="79" fillId="0" borderId="0"/>
    <xf numFmtId="0" fontId="1" fillId="0" borderId="0"/>
    <xf numFmtId="0" fontId="1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37" fontId="19" fillId="0" borderId="0"/>
    <xf numFmtId="37" fontId="19" fillId="0" borderId="0"/>
    <xf numFmtId="37" fontId="19" fillId="0" borderId="0"/>
    <xf numFmtId="0" fontId="1" fillId="0" borderId="0"/>
    <xf numFmtId="0" fontId="1" fillId="0" borderId="0"/>
    <xf numFmtId="37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0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8" borderId="10" applyNumberFormat="0" applyFont="0" applyAlignment="0" applyProtection="0"/>
    <xf numFmtId="0" fontId="19" fillId="39" borderId="30" applyNumberFormat="0" applyFont="0" applyAlignment="0" applyProtection="0"/>
    <xf numFmtId="0" fontId="18" fillId="8" borderId="10" applyNumberFormat="0" applyFont="0" applyAlignment="0" applyProtection="0"/>
    <xf numFmtId="0" fontId="19" fillId="39" borderId="30" applyNumberFormat="0" applyFont="0" applyAlignment="0" applyProtection="0"/>
    <xf numFmtId="0" fontId="19" fillId="39" borderId="30" applyNumberFormat="0" applyFont="0" applyAlignment="0" applyProtection="0"/>
    <xf numFmtId="0" fontId="19" fillId="39" borderId="30" applyNumberFormat="0" applyFont="0" applyAlignment="0" applyProtection="0"/>
    <xf numFmtId="0" fontId="19" fillId="39" borderId="30" applyNumberFormat="0" applyFont="0" applyAlignment="0" applyProtection="0"/>
    <xf numFmtId="0" fontId="19" fillId="39" borderId="30" applyNumberFormat="0" applyFont="0" applyAlignment="0" applyProtection="0"/>
    <xf numFmtId="0" fontId="1" fillId="8" borderId="10" applyNumberFormat="0" applyFont="0" applyAlignment="0" applyProtection="0"/>
    <xf numFmtId="197" fontId="19" fillId="0" borderId="0"/>
    <xf numFmtId="197" fontId="19" fillId="0" borderId="0"/>
    <xf numFmtId="197" fontId="19" fillId="0" borderId="0"/>
    <xf numFmtId="197" fontId="19" fillId="0" borderId="0"/>
    <xf numFmtId="197" fontId="19" fillId="0" borderId="0"/>
    <xf numFmtId="197" fontId="19" fillId="0" borderId="0"/>
    <xf numFmtId="197" fontId="19" fillId="0" borderId="0"/>
    <xf numFmtId="197" fontId="19" fillId="0" borderId="0"/>
    <xf numFmtId="43" fontId="23" fillId="0" borderId="0"/>
    <xf numFmtId="37" fontId="80" fillId="64" borderId="1" applyNumberFormat="0" applyFont="0" applyFill="0" applyAlignment="0" applyProtection="0"/>
    <xf numFmtId="0" fontId="36" fillId="57" borderId="31" applyNumberFormat="0" applyAlignment="0" applyProtection="0"/>
    <xf numFmtId="0" fontId="36" fillId="56" borderId="31" applyNumberFormat="0" applyAlignment="0" applyProtection="0"/>
    <xf numFmtId="0" fontId="81" fillId="0" borderId="0" applyFill="0" applyBorder="0" applyProtection="0">
      <alignment horizontal="left"/>
    </xf>
    <xf numFmtId="0" fontId="82" fillId="0" borderId="0" applyFill="0" applyBorder="0" applyProtection="0">
      <alignment horizontal="left"/>
    </xf>
    <xf numFmtId="0" fontId="83" fillId="0" borderId="0">
      <alignment horizontal="centerContinuous"/>
    </xf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0" fontId="46" fillId="0" borderId="0"/>
    <xf numFmtId="37" fontId="52" fillId="0" borderId="0"/>
    <xf numFmtId="37" fontId="52" fillId="0" borderId="0" applyFont="0" applyFill="0" applyBorder="0" applyAlignment="0" applyProtection="0"/>
    <xf numFmtId="10" fontId="19" fillId="0" borderId="0" applyFont="0" applyFill="0" applyBorder="0" applyAlignment="0" applyProtection="0"/>
    <xf numFmtId="199" fontId="84" fillId="0" borderId="0" applyFont="0" applyFill="0" applyBorder="0" applyAlignment="0" applyProtection="0"/>
    <xf numFmtId="164" fontId="85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200" fontId="54" fillId="0" borderId="0" applyFont="0" applyFill="0" applyBorder="0" applyProtection="0">
      <alignment horizontal="right"/>
    </xf>
    <xf numFmtId="37" fontId="52" fillId="0" borderId="0"/>
    <xf numFmtId="37" fontId="52" fillId="0" borderId="0"/>
    <xf numFmtId="0" fontId="21" fillId="0" borderId="0" applyNumberFormat="0" applyFont="0" applyFill="0" applyBorder="0" applyAlignment="0" applyProtection="0">
      <alignment horizontal="left"/>
    </xf>
    <xf numFmtId="15" fontId="21" fillId="0" borderId="0" applyFont="0" applyFill="0" applyBorder="0" applyAlignment="0" applyProtection="0"/>
    <xf numFmtId="4" fontId="21" fillId="0" borderId="0" applyFont="0" applyFill="0" applyBorder="0" applyAlignment="0" applyProtection="0"/>
    <xf numFmtId="0" fontId="24" fillId="0" borderId="16">
      <alignment horizontal="center"/>
    </xf>
    <xf numFmtId="3" fontId="21" fillId="0" borderId="0" applyFont="0" applyFill="0" applyBorder="0" applyAlignment="0" applyProtection="0"/>
    <xf numFmtId="0" fontId="21" fillId="65" borderId="0" applyNumberFormat="0" applyFont="0" applyBorder="0" applyAlignment="0" applyProtection="0"/>
    <xf numFmtId="0" fontId="86" fillId="0" borderId="32"/>
    <xf numFmtId="166" fontId="101" fillId="0" borderId="0"/>
    <xf numFmtId="14" fontId="87" fillId="0" borderId="0" applyNumberFormat="0" applyFill="0" applyBorder="0" applyAlignment="0" applyProtection="0">
      <alignment horizontal="left"/>
    </xf>
    <xf numFmtId="0" fontId="88" fillId="0" borderId="0"/>
    <xf numFmtId="0" fontId="89" fillId="0" borderId="0"/>
    <xf numFmtId="0" fontId="58" fillId="66" borderId="0" applyNumberFormat="0" applyFont="0" applyBorder="0" applyAlignment="0" applyProtection="0"/>
    <xf numFmtId="0" fontId="90" fillId="67" borderId="0" applyNumberFormat="0" applyFont="0" applyBorder="0" applyAlignment="0" applyProtection="0">
      <alignment horizontal="center"/>
    </xf>
    <xf numFmtId="0" fontId="91" fillId="0" borderId="0"/>
    <xf numFmtId="0" fontId="47" fillId="0" borderId="0">
      <alignment vertical="top"/>
    </xf>
    <xf numFmtId="2" fontId="41" fillId="68" borderId="33" applyProtection="0">
      <alignment horizontal="right"/>
    </xf>
    <xf numFmtId="0" fontId="92" fillId="0" borderId="0"/>
    <xf numFmtId="0" fontId="93" fillId="0" borderId="34"/>
    <xf numFmtId="40" fontId="94" fillId="0" borderId="0" applyBorder="0">
      <alignment horizontal="right"/>
    </xf>
    <xf numFmtId="0" fontId="95" fillId="0" borderId="0" applyFill="0" applyBorder="0" applyProtection="0">
      <alignment horizontal="center" vertical="center"/>
    </xf>
    <xf numFmtId="0" fontId="95" fillId="0" borderId="0" applyFill="0" applyBorder="0" applyProtection="0"/>
    <xf numFmtId="0" fontId="20" fillId="0" borderId="0" applyFill="0" applyBorder="0" applyProtection="0">
      <alignment horizontal="left"/>
    </xf>
    <xf numFmtId="0" fontId="96" fillId="0" borderId="0" applyFill="0" applyBorder="0" applyProtection="0">
      <alignment horizontal="left" vertical="top"/>
    </xf>
    <xf numFmtId="0" fontId="97" fillId="0" borderId="0">
      <alignment horizontal="centerContinuous" vertic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1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202" fontId="19" fillId="0" borderId="0">
      <alignment wrapText="1"/>
    </xf>
    <xf numFmtId="0" fontId="44" fillId="0" borderId="0" applyFill="0" applyBorder="0" applyProtection="0">
      <alignment horizontal="left" vertical="top"/>
    </xf>
    <xf numFmtId="0" fontId="106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35" applyNumberForma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0" fontId="19" fillId="0" borderId="36" applyNumberFormat="0" applyFont="0" applyFill="0" applyAlignment="0" applyProtection="0"/>
    <xf numFmtId="203" fontId="99" fillId="0" borderId="0">
      <alignment horizontal="left"/>
      <protection locked="0"/>
    </xf>
    <xf numFmtId="0" fontId="100" fillId="0" borderId="0" applyNumberFormat="0" applyFont="0" applyFill="0"/>
    <xf numFmtId="37" fontId="46" fillId="69" borderId="0" applyNumberFormat="0" applyBorder="0" applyAlignment="0" applyProtection="0"/>
    <xf numFmtId="37" fontId="46" fillId="69" borderId="0" applyNumberFormat="0" applyBorder="0" applyAlignment="0" applyProtection="0"/>
    <xf numFmtId="37" fontId="46" fillId="0" borderId="0"/>
    <xf numFmtId="3" fontId="45" fillId="0" borderId="26" applyProtection="0"/>
    <xf numFmtId="14" fontId="90" fillId="0" borderId="0" applyNumberFormat="0" applyFont="0" applyBorder="0" applyAlignment="0" applyProtection="0">
      <alignment horizontal="center"/>
    </xf>
    <xf numFmtId="0" fontId="39" fillId="0" borderId="0" applyNumberFormat="0" applyFill="0" applyBorder="0" applyAlignment="0" applyProtection="0"/>
    <xf numFmtId="37" fontId="52" fillId="0" borderId="0">
      <alignment horizontal="center"/>
    </xf>
  </cellStyleXfs>
  <cellXfs count="24">
    <xf numFmtId="0" fontId="0" fillId="0" borderId="0" xfId="0"/>
    <xf numFmtId="43" fontId="2" fillId="0" borderId="0" xfId="1" applyFont="1"/>
    <xf numFmtId="10" fontId="2" fillId="0" borderId="0" xfId="0" applyNumberFormat="1" applyFont="1"/>
    <xf numFmtId="43" fontId="2" fillId="0" borderId="0" xfId="1" applyFont="1" applyFill="1"/>
    <xf numFmtId="10" fontId="2" fillId="0" borderId="0" xfId="0" applyNumberFormat="1" applyFont="1" applyFill="1"/>
    <xf numFmtId="0" fontId="3" fillId="0" borderId="0" xfId="0" applyFont="1" applyFill="1" applyBorder="1" applyAlignment="1">
      <alignment horizontal="left"/>
    </xf>
    <xf numFmtId="43" fontId="2" fillId="0" borderId="0" xfId="1" applyFont="1" applyFill="1" applyBorder="1"/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Border="1"/>
    <xf numFmtId="0" fontId="3" fillId="0" borderId="1" xfId="0" applyFont="1" applyFill="1" applyBorder="1"/>
    <xf numFmtId="43" fontId="3" fillId="0" borderId="1" xfId="1" applyFont="1" applyFill="1" applyBorder="1"/>
    <xf numFmtId="10" fontId="3" fillId="0" borderId="1" xfId="2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2" fillId="0" borderId="0" xfId="1" applyFont="1"/>
    <xf numFmtId="43" fontId="2" fillId="0" borderId="0" xfId="1" applyFont="1" applyFill="1"/>
    <xf numFmtId="43" fontId="2" fillId="0" borderId="0" xfId="1" applyFont="1" applyFill="1" applyBorder="1"/>
    <xf numFmtId="43" fontId="2" fillId="0" borderId="0" xfId="0" applyNumberFormat="1" applyFont="1" applyFill="1"/>
    <xf numFmtId="0" fontId="3" fillId="0" borderId="1" xfId="0" applyFont="1" applyFill="1" applyBorder="1" applyAlignment="1">
      <alignment horizontal="left"/>
    </xf>
    <xf numFmtId="0" fontId="0" fillId="0" borderId="0" xfId="0" applyFill="1"/>
    <xf numFmtId="43" fontId="0" fillId="0" borderId="0" xfId="0" applyNumberFormat="1" applyFill="1"/>
    <xf numFmtId="0" fontId="3" fillId="0" borderId="0" xfId="0" applyFont="1" applyFill="1" applyBorder="1"/>
    <xf numFmtId="43" fontId="2" fillId="0" borderId="0" xfId="1" applyFont="1" applyFill="1" applyBorder="1" applyAlignment="1">
      <alignment horizontal="center"/>
    </xf>
  </cellXfs>
  <cellStyles count="950">
    <cellStyle name=" 1" xfId="36" xr:uid="{55267064-20DD-44E3-BC1E-3B48D2381BCB}"/>
    <cellStyle name="_%(SignOnly)" xfId="37" xr:uid="{12A4589F-F5F0-4CFD-A560-606835EE702E}"/>
    <cellStyle name="_%(SignOnly) 2" xfId="38" xr:uid="{E6692379-3719-4C43-9140-9043320561E1}"/>
    <cellStyle name="_%(SignOnly) 2 2" xfId="39" xr:uid="{86955F82-A97C-4F21-9744-78AA21FAE4CF}"/>
    <cellStyle name="_%(SignOnly) 2 2 2" xfId="40" xr:uid="{56E4CAC1-EC8B-4C0A-BE7E-E5A9163B8B45}"/>
    <cellStyle name="_%(SignOnly) 2 3" xfId="41" xr:uid="{087AAA27-D038-47AF-A76C-5AEDD3912C3B}"/>
    <cellStyle name="_%(SignOnly) 3" xfId="42" xr:uid="{18667846-CDEC-43D9-BA56-DAACB97C95C0}"/>
    <cellStyle name="_%(SignOnly) 3 2" xfId="43" xr:uid="{5B9912EB-800C-4130-BC38-6B6BB68ACE87}"/>
    <cellStyle name="_%(SignOnly) 4" xfId="44" xr:uid="{0F30B5B5-D101-4193-B15E-6F7237E5BBD0}"/>
    <cellStyle name="_%(SignSpaceOnly)" xfId="45" xr:uid="{07F5E9F6-E18C-4697-AB4D-65812DFA1CC2}"/>
    <cellStyle name="_%(SignSpaceOnly) 2" xfId="46" xr:uid="{6081AEB7-69C3-49C1-AD66-E590D85AAFD1}"/>
    <cellStyle name="_%(SignSpaceOnly) 2 2" xfId="47" xr:uid="{9FB630B6-C340-499A-AD19-3F2F378396B5}"/>
    <cellStyle name="_%(SignSpaceOnly) 2 2 2" xfId="48" xr:uid="{062A09FB-D94B-4CFD-A3B3-2677B63B9B55}"/>
    <cellStyle name="_%(SignSpaceOnly) 2 3" xfId="49" xr:uid="{C5E9FB64-16E3-4449-A15F-D4D5040ADFBC}"/>
    <cellStyle name="_%(SignSpaceOnly) 3" xfId="50" xr:uid="{C4384D89-7430-4A31-A3DC-D03FA9966A58}"/>
    <cellStyle name="_%(SignSpaceOnly) 3 2" xfId="51" xr:uid="{94A90312-BFBC-420C-B8A9-D41941D01473}"/>
    <cellStyle name="_%(SignSpaceOnly) 4" xfId="52" xr:uid="{3594C6B2-126E-449E-9822-D09F5B2A63D6}"/>
    <cellStyle name="_05-2009 - Capital Expense Reconciliation" xfId="53" xr:uid="{02A128C1-BD4F-484D-922E-E4DD650A1079}"/>
    <cellStyle name="_1st Quarter 2009 10-Q - Regulatory Liability Reconciliation_from Neil" xfId="54" xr:uid="{FD9DBCF6-CED3-4394-BD57-BF214014EBC3}"/>
    <cellStyle name="_Book200 Acq Adj by Plant Acct (w Alloc %)" xfId="55" xr:uid="{89B81353-7165-4186-912E-C470E03600A2}"/>
    <cellStyle name="_BS RMEC Total Depr Apr 2012 YTD" xfId="56" xr:uid="{334E5BE4-1B9A-4195-B62B-1D6529D9FAA1}"/>
    <cellStyle name="_Calpine DRAFT" xfId="57" xr:uid="{FBE22AEC-378A-428B-AFD7-4B99BE050A39}"/>
    <cellStyle name="_Cash Flow May 09" xfId="58" xr:uid="{63ED2786-B2D2-4EBE-B79B-02C1D8E730BE}"/>
    <cellStyle name="_Cash Flow Reconciliations_Final Draft" xfId="59" xr:uid="{846DA1E6-EFCF-46AC-BB98-42DC8C8A3839}"/>
    <cellStyle name="_Cash Flow Reconciliations_Final Draft (4)" xfId="60" xr:uid="{2683ECC5-399D-4D6C-A826-3DED461273E2}"/>
    <cellStyle name="_Cash Flow Reconciliations_Final Draft (4) 2" xfId="61" xr:uid="{BB372442-955B-43DA-9041-79425100F150}"/>
    <cellStyle name="_Cash Flow Reconciliations_Final Draft (4) 2 2" xfId="62" xr:uid="{30276A74-DBCF-450F-A067-D1F0B219E2E4}"/>
    <cellStyle name="_Cash Flow Reconciliations_Final Draft (4) 2 2 2" xfId="63" xr:uid="{800FA374-3D73-414B-B898-E6AC860C2A07}"/>
    <cellStyle name="_Cash Flow Reconciliations_Final Draft (4) 2 3" xfId="64" xr:uid="{0B8F78AB-0138-47EC-8F3A-46913F8F91B0}"/>
    <cellStyle name="_Cash Flow Reconciliations_Final Draft (4) 3" xfId="65" xr:uid="{5C18776F-29B3-4AAF-9B2A-EC9D538AD7D4}"/>
    <cellStyle name="_Cash Flow Reconciliations_Final Draft (4) 3 2" xfId="66" xr:uid="{E89B14AA-CE7A-4881-8ADB-F5DDF129B654}"/>
    <cellStyle name="_Cash Flow Reconciliations_Final Draft (4) 4" xfId="67" xr:uid="{3055BF1E-8331-4FF1-A2A4-18CA27893271}"/>
    <cellStyle name="_Cash Flow Reconciliations_Final Draft (5)" xfId="68" xr:uid="{913CDDFA-A039-4A5A-90F7-997B701D5446}"/>
    <cellStyle name="_Cash Flow Reconciliations_Final Draft (5) 2" xfId="69" xr:uid="{2340717A-D082-41E0-B6DE-DF43DB4EF4F4}"/>
    <cellStyle name="_Cash Flow Reconciliations_Final Draft (5) 2 2" xfId="70" xr:uid="{113CD37F-90E1-4281-8C4A-BB23F1B7338D}"/>
    <cellStyle name="_Cash Flow Reconciliations_Final Draft (5) 2 2 2" xfId="71" xr:uid="{64410503-FB3B-4BEB-91CF-99C1B061F04D}"/>
    <cellStyle name="_Cash Flow Reconciliations_Final Draft (5) 2 3" xfId="72" xr:uid="{37D0B3CF-C331-42DE-A8B5-17DBCDDA4E6F}"/>
    <cellStyle name="_Cash Flow Reconciliations_Final Draft (5) 3" xfId="73" xr:uid="{D47276F0-FC6E-4636-B98B-A042A5035636}"/>
    <cellStyle name="_Cash Flow Reconciliations_Final Draft (5) 3 2" xfId="74" xr:uid="{12B8CDF6-B28B-468D-B2BD-6198C20A6425}"/>
    <cellStyle name="_Cash Flow Reconciliations_Final Draft (5) 4" xfId="75" xr:uid="{62D2E0B0-C05D-4CEE-BBB3-7AAC0DDCA7A1}"/>
    <cellStyle name="_Cash Flow Reconciliations_Final Draft 2" xfId="76" xr:uid="{10F88DBC-6951-473B-B959-ED31F5159A7D}"/>
    <cellStyle name="_Cash Flow Reconciliations_Final Draft 2 2" xfId="77" xr:uid="{08717662-DDBC-40E2-8B8C-5F5A9D7010F1}"/>
    <cellStyle name="_Cash Flow Reconciliations_Final Draft 2 2 2" xfId="78" xr:uid="{2168DD3B-8669-41C8-9EFE-E354A04EF7A0}"/>
    <cellStyle name="_Cash Flow Reconciliations_Final Draft 2 3" xfId="79" xr:uid="{F6A006BF-31FB-4AD9-A5A1-EC049153E18A}"/>
    <cellStyle name="_Cash Flow Reconciliations_Final Draft 3" xfId="80" xr:uid="{3C498DF7-38D2-44C1-B1BA-E8021405F74B}"/>
    <cellStyle name="_Cash Flow Reconciliations_Final Draft 3 2" xfId="81" xr:uid="{700BCCA0-D608-4E56-A0BD-F0CFD2D5FC87}"/>
    <cellStyle name="_Cash Flow Reconciliations_Final Draft 3 2 2" xfId="82" xr:uid="{48D3D150-76AF-4272-B3BF-C1002ED0E229}"/>
    <cellStyle name="_Cash Flow Reconciliations_Final Draft 3 3" xfId="83" xr:uid="{BF03CFE1-AAE3-41A1-AA92-DC1366D5D247}"/>
    <cellStyle name="_Cash Flow Reconciliations_Final Draft 4" xfId="84" xr:uid="{CCAA440F-6694-4722-A7A4-3128C4273DFF}"/>
    <cellStyle name="_Cash Flow Reconciliations_Final Draft 4 2" xfId="85" xr:uid="{DD8AEB76-6B39-4205-B9A4-713CB46DE12B}"/>
    <cellStyle name="_Cash Flow Reconciliations_Final Draft 5" xfId="86" xr:uid="{1EC28B6A-93E6-404F-BFCF-011CB0455884}"/>
    <cellStyle name="_Cash Flow Reconciliations_Final Draft 6" xfId="87" xr:uid="{3FE1C334-F702-4163-ADE9-440EE56DD484}"/>
    <cellStyle name="_Cash Flow Reconciliations_Final Draft 7" xfId="88" xr:uid="{5B0E8935-6515-4B18-B2CC-ED94729A542A}"/>
    <cellStyle name="_Comma" xfId="89" xr:uid="{94C51506-9344-41DA-852F-4556410B112D}"/>
    <cellStyle name="_Comma 2" xfId="90" xr:uid="{CD832F9D-4E4B-407B-A559-37186F6B506C}"/>
    <cellStyle name="_Comma 2 2" xfId="91" xr:uid="{390C10B3-BFDC-4B31-A387-3B051247B0A4}"/>
    <cellStyle name="_Comma 2 2 2" xfId="92" xr:uid="{A3AFCC05-23B9-41F4-A44A-D7B37C64B838}"/>
    <cellStyle name="_Comma 2 3" xfId="93" xr:uid="{FA104F99-8651-4BB1-8664-4BBA90858646}"/>
    <cellStyle name="_Comma 3" xfId="94" xr:uid="{964947DB-0EAA-406C-AC4C-246BD851D774}"/>
    <cellStyle name="_Comma 3 2" xfId="95" xr:uid="{8DCF415A-19F9-4BA0-809A-00926BCD4904}"/>
    <cellStyle name="_Comma 4" xfId="96" xr:uid="{1263A9FD-16EB-460B-B415-9E60144C3B2A}"/>
    <cellStyle name="_Comma_Model 03_21_02 Base Case No Weights" xfId="97" xr:uid="{4D147D0D-AEC2-4CF9-A211-3F447F607DAD}"/>
    <cellStyle name="_Comma_Model 03_21_02 Base Case No Weights 2" xfId="98" xr:uid="{BCC2C440-676B-440A-BE1E-EF05A97FE195}"/>
    <cellStyle name="_Comma_Model 03_21_02 Base Case No Weights 2 2" xfId="99" xr:uid="{AB149AC8-18D6-43BB-9464-F1B16C45F771}"/>
    <cellStyle name="_Comma_Model 03_21_02 Base Case No Weights 2 2 2" xfId="100" xr:uid="{A334A37D-D064-44ED-AC61-F257EA711500}"/>
    <cellStyle name="_Comma_Model 03_21_02 Base Case No Weights 2 3" xfId="101" xr:uid="{030C3091-3CD1-4C7C-B429-E71FCEEC0C77}"/>
    <cellStyle name="_Comma_Model 03_21_02 Base Case No Weights 3" xfId="102" xr:uid="{5B52557D-8E07-4CE7-A022-EBBB678EC9DB}"/>
    <cellStyle name="_Comma_Model 03_21_02 Base Case No Weights 3 2" xfId="103" xr:uid="{81E1388F-BE44-4017-9AEB-60BD0E8D0F7F}"/>
    <cellStyle name="_Comma_Model 03_21_02 Base Case No Weights 4" xfId="104" xr:uid="{A84DF8E4-E482-4735-8465-CD3BC406A752}"/>
    <cellStyle name="_Currency" xfId="105" xr:uid="{AA469998-F573-4CF1-94F9-9E9A71ACC75B}"/>
    <cellStyle name="_Currency 2" xfId="106" xr:uid="{6EB64FF9-F44E-4AA2-B9AE-7261EBBA418E}"/>
    <cellStyle name="_Currency 2 2" xfId="107" xr:uid="{4D5DB238-800E-4050-A3CF-F6E6B7442E3A}"/>
    <cellStyle name="_Currency 2 2 2" xfId="108" xr:uid="{B8F22CD1-103B-4214-85E8-302177BFDFD9}"/>
    <cellStyle name="_Currency 2 3" xfId="109" xr:uid="{66C05994-D4C1-4A22-9E6C-21738F2C0CA9}"/>
    <cellStyle name="_Currency 3" xfId="110" xr:uid="{7C5F5AD7-C46E-47C1-BBB7-F8D03BB9E60B}"/>
    <cellStyle name="_Currency 3 2" xfId="111" xr:uid="{9EA5D4E3-9BCC-4C00-836E-92D8DB839BE3}"/>
    <cellStyle name="_Currency 4" xfId="112" xr:uid="{4A15AF58-EC43-412B-961A-98199FBC6278}"/>
    <cellStyle name="_Currency_Model 03_21_02 Base Case No Weights" xfId="113" xr:uid="{B0ABA0F5-510D-4FCC-9A8C-52E54478754C}"/>
    <cellStyle name="_Currency_Model 03_21_02 Base Case No Weights 2" xfId="114" xr:uid="{9620696E-6E6E-4AE6-99C3-CC4F7EE6FA0D}"/>
    <cellStyle name="_Currency_Model 03_21_02 Base Case No Weights 2 2" xfId="115" xr:uid="{A3B9A876-82A0-45FD-8E64-82F00ABEE21C}"/>
    <cellStyle name="_Currency_Model 03_21_02 Base Case No Weights 2 2 2" xfId="116" xr:uid="{1DAA1BA7-25D9-468F-AC21-498ECDEDF70F}"/>
    <cellStyle name="_Currency_Model 03_21_02 Base Case No Weights 2 3" xfId="117" xr:uid="{AE3B6DEC-9C30-47C3-A422-3BF51EC2A4CB}"/>
    <cellStyle name="_Currency_Model 03_21_02 Base Case No Weights 3" xfId="118" xr:uid="{B3045C3B-7F6F-4BAB-A792-A7827008ECB6}"/>
    <cellStyle name="_Currency_Model 03_21_02 Base Case No Weights 3 2" xfId="119" xr:uid="{3403202F-FA16-47D0-84A6-43A7E604D4E2}"/>
    <cellStyle name="_Currency_Model 03_21_02 Base Case No Weights 4" xfId="120" xr:uid="{99B96FFC-034B-4C72-9979-85CAD6C69AFA}"/>
    <cellStyle name="_CurrencySpace" xfId="121" xr:uid="{6F07B693-1046-4637-BCEE-82A62C3DC64D}"/>
    <cellStyle name="_CurrencySpace 2" xfId="122" xr:uid="{3EB2C007-46DD-4055-8BEF-063EA5B763E8}"/>
    <cellStyle name="_CurrencySpace 2 2" xfId="123" xr:uid="{1586FCAF-0699-47C6-A8BE-BC4E7118306F}"/>
    <cellStyle name="_CurrencySpace 2 2 2" xfId="124" xr:uid="{EFC82B1F-04D9-4584-8559-E05FCB43F702}"/>
    <cellStyle name="_CurrencySpace 2 3" xfId="125" xr:uid="{3D9F0CB9-666F-417A-A017-E03ABB800B1E}"/>
    <cellStyle name="_CurrencySpace 3" xfId="126" xr:uid="{FC5ED34E-0CF8-4CBC-B975-727CB8E72D16}"/>
    <cellStyle name="_CurrencySpace 3 2" xfId="127" xr:uid="{E32772EE-52F1-4C62-A0D6-D7C33EFA28DB}"/>
    <cellStyle name="_CurrencySpace 4" xfId="128" xr:uid="{E52CDA83-097A-427E-A54B-77D1CC52ACFC}"/>
    <cellStyle name="_CurrencySpace_15 yr pricing model -at risk" xfId="129" xr:uid="{F712AA22-84DA-4F53-A7A9-254A5EE2FE91}"/>
    <cellStyle name="_CurrencySpace_15 yr pricing model -at risk 2" xfId="130" xr:uid="{4704F669-1390-4E23-B27D-F50FA14FBA33}"/>
    <cellStyle name="_CurrencySpace_15 yr pricing model -at risk 2 2" xfId="131" xr:uid="{1D3F7FDF-7224-4479-B569-AF3C517A6F3C}"/>
    <cellStyle name="_CurrencySpace_15 yr pricing model -at risk 2 2 2" xfId="132" xr:uid="{514B0A62-B3E9-456E-96C1-ED5D72A8E63A}"/>
    <cellStyle name="_CurrencySpace_15 yr pricing model -at risk 2 3" xfId="133" xr:uid="{DFD6DDDF-3B58-46F3-9625-F2205AA15A80}"/>
    <cellStyle name="_CurrencySpace_15 yr pricing model -at risk 3" xfId="134" xr:uid="{D84D858C-1921-4424-BBBF-98899DC054E0}"/>
    <cellStyle name="_CurrencySpace_15 yr pricing model -at risk 3 2" xfId="135" xr:uid="{E2A8FC1A-6779-4B88-ACA5-92DF5EA51722}"/>
    <cellStyle name="_CurrencySpace_15 yr pricing model -at risk 4" xfId="136" xr:uid="{AAFAA987-CC1E-4018-B12A-43206153C0E7}"/>
    <cellStyle name="_CurrencySpace_Model 03_21_02 Base Case No Weights" xfId="137" xr:uid="{D10C9BB7-F708-4BCF-9C9E-012ECE892E86}"/>
    <cellStyle name="_CurrencySpace_Model 03_21_02 Base Case No Weights 2" xfId="138" xr:uid="{CE353397-C6DE-421E-A106-70504962DA57}"/>
    <cellStyle name="_CurrencySpace_Model 03_21_02 Base Case No Weights 2 2" xfId="139" xr:uid="{39756468-9ADE-4F71-AB94-65DF502C240A}"/>
    <cellStyle name="_CurrencySpace_Model 03_21_02 Base Case No Weights 2 2 2" xfId="140" xr:uid="{32D440FA-3F4A-4473-80C4-6AA25E46D73F}"/>
    <cellStyle name="_CurrencySpace_Model 03_21_02 Base Case No Weights 2 3" xfId="141" xr:uid="{458F9F5A-199B-4C9F-9054-605D98A761DE}"/>
    <cellStyle name="_CurrencySpace_Model 03_21_02 Base Case No Weights 3" xfId="142" xr:uid="{CC49F7B7-3762-4118-8AF5-64BF0DE69A78}"/>
    <cellStyle name="_CurrencySpace_Model 03_21_02 Base Case No Weights 3 2" xfId="143" xr:uid="{38E56EF4-2717-43C4-871D-56D2EF05DCBF}"/>
    <cellStyle name="_CurrencySpace_Model 03_21_02 Base Case No Weights 4" xfId="144" xr:uid="{2ADDDADE-E2BA-402A-B207-7B025FE24568}"/>
    <cellStyle name="_Dollar" xfId="145" xr:uid="{C53FA6C1-003F-40A4-83B3-2FEA3589EF33}"/>
    <cellStyle name="_Draft Proposed" xfId="146" xr:uid="{5B0D1C1D-513F-4E2B-8925-6F7F8538F59F}"/>
    <cellStyle name="_Euro" xfId="147" xr:uid="{3F6FCC13-3C85-43F7-9465-BB74A824F969}"/>
    <cellStyle name="_Euro 2" xfId="148" xr:uid="{24491930-0D1C-4D41-86D9-81DC4BF18E45}"/>
    <cellStyle name="_Euro 2 2" xfId="149" xr:uid="{C2D3F30C-1DE3-406D-9BF4-855DC087E26F}"/>
    <cellStyle name="_Euro 2 2 2" xfId="150" xr:uid="{55030ADB-3F06-48A0-9BA8-5163A1325A6D}"/>
    <cellStyle name="_Euro 2 3" xfId="151" xr:uid="{C02C6C20-4BD2-4C54-BAA7-D16AAA02B7BC}"/>
    <cellStyle name="_Euro 3" xfId="152" xr:uid="{FC5C3745-843A-4F33-8390-B33B362CA4C4}"/>
    <cellStyle name="_Euro 3 2" xfId="153" xr:uid="{9CD597C7-6BC3-4D03-AFBF-3900E722DB06}"/>
    <cellStyle name="_Euro 4" xfId="154" xr:uid="{A20BED31-89A4-4849-BADD-208C2B2E9132}"/>
    <cellStyle name="_FERC Filing Purchase Price Tie-out (acquisition adjustment) 6-21-11" xfId="155" xr:uid="{456B1CD2-5F86-49CC-93AA-598C08657C93}"/>
    <cellStyle name="_GS Model2_11" xfId="156" xr:uid="{FAD4ECA1-25B3-4F70-9E20-8962ECEA6C07}"/>
    <cellStyle name="_GS Model2_11 2" xfId="157" xr:uid="{3B275B7E-B3FD-40F0-BB32-B48967A6B3CF}"/>
    <cellStyle name="_GS Model2_11 2 2" xfId="158" xr:uid="{82CE7914-1340-4CD8-B786-E3EA27FA9BF8}"/>
    <cellStyle name="_GS Model2_11 2 2 2" xfId="159" xr:uid="{303F7D64-2A0F-4BD9-BB1B-7647821A1C90}"/>
    <cellStyle name="_GS Model2_11 2 3" xfId="160" xr:uid="{7FC9C9DA-217B-409B-B50B-E4DB4DA5D2AF}"/>
    <cellStyle name="_GS Model2_11 3" xfId="161" xr:uid="{C80B15BC-6837-48E9-BFE6-1B9C10A89ED0}"/>
    <cellStyle name="_GS Model2_11 3 2" xfId="162" xr:uid="{9DBF9780-8EEE-471A-A58F-5DF70D3F856A}"/>
    <cellStyle name="_GS Model2_11 4" xfId="163" xr:uid="{DE6A06C1-C0F6-4D4A-97B5-5FAC8ED3CAA3}"/>
    <cellStyle name="_Heading" xfId="164" xr:uid="{A5C30FAF-D9B8-4EE3-8ED1-544A50B5681F}"/>
    <cellStyle name="_Heading_Model 03_21_02 Base Case No Weights" xfId="165" xr:uid="{429D3E5C-DCE3-429E-9145-D7F661271FF1}"/>
    <cellStyle name="_Heading_Model 03_21_02 Base Case No Weights 2" xfId="166" xr:uid="{114F386D-B617-475E-9ABD-EB59E411AAA5}"/>
    <cellStyle name="_Highlight" xfId="167" xr:uid="{D45DFFED-3610-485B-9724-4A4CDD6C3902}"/>
    <cellStyle name="_Highlight 2" xfId="168" xr:uid="{A93CA1A0-4316-49B0-BDE8-B8824845E244}"/>
    <cellStyle name="_Highlight 2 2" xfId="169" xr:uid="{0E1753FC-CA6B-4253-AD3B-CF4601EC1052}"/>
    <cellStyle name="_Highlight 2 2 2" xfId="170" xr:uid="{CBB87E1E-A27E-4972-90ED-64BB4019E6B9}"/>
    <cellStyle name="_Highlight 2 3" xfId="171" xr:uid="{A076F12F-A625-4886-9549-4B0CAA6EA215}"/>
    <cellStyle name="_Highlight 3" xfId="172" xr:uid="{A081955E-AA81-4828-B92D-2F9AA8E64649}"/>
    <cellStyle name="_Highlight 3 2" xfId="173" xr:uid="{391FB0F1-7364-4393-A426-760220FD0266}"/>
    <cellStyle name="_Highlight 4" xfId="174" xr:uid="{138BA400-029A-462B-9875-ABFEB2194AF5}"/>
    <cellStyle name="_Multiple" xfId="175" xr:uid="{57998873-89E0-4A85-8E52-6B601AD67BCC}"/>
    <cellStyle name="_Multiple 2" xfId="176" xr:uid="{8BB579AB-6AF6-419E-B2E8-C98765071EEA}"/>
    <cellStyle name="_Multiple 2 2" xfId="177" xr:uid="{B150D22F-A6B0-4264-844D-269EEB34B483}"/>
    <cellStyle name="_Multiple 2 2 2" xfId="178" xr:uid="{5BC4019D-CDE7-4EA8-8C80-CC1261B276C5}"/>
    <cellStyle name="_Multiple 2 3" xfId="179" xr:uid="{B99C27E8-A0B7-4025-9A7B-040FE3CD59A6}"/>
    <cellStyle name="_Multiple 3" xfId="180" xr:uid="{96EA3851-74F0-4E8F-A69C-2C4BBCC8433D}"/>
    <cellStyle name="_Multiple 3 2" xfId="181" xr:uid="{3DA09B27-B67E-48FF-AB68-1B6324EF7D58}"/>
    <cellStyle name="_Multiple 4" xfId="182" xr:uid="{916A3EF2-A144-4F07-A99A-822E35FFBCF0}"/>
    <cellStyle name="_Multiple_GS Model2_11" xfId="183" xr:uid="{C80ED470-9E31-4579-BBE9-364CE2D2DF5B}"/>
    <cellStyle name="_Multiple_GS Model2_11 2" xfId="184" xr:uid="{73519934-EDCB-46AE-9EA5-38721AF69677}"/>
    <cellStyle name="_Multiple_GS Model2_11 2 2" xfId="185" xr:uid="{F303E547-29AB-48F4-B621-55C5398CAB7D}"/>
    <cellStyle name="_Multiple_GS Model2_11 2 2 2" xfId="186" xr:uid="{4EC7884D-9542-4973-9ABD-D940DA7E5ECC}"/>
    <cellStyle name="_Multiple_GS Model2_11 2 3" xfId="187" xr:uid="{B0743D3D-6308-4386-9C96-0E2ABD4922E0}"/>
    <cellStyle name="_Multiple_GS Model2_11 3" xfId="188" xr:uid="{82DF6848-3139-44CA-A349-9643FD053DF0}"/>
    <cellStyle name="_Multiple_GS Model2_11 3 2" xfId="189" xr:uid="{AC5B6ED2-350C-481E-8CB3-CA00410D6047}"/>
    <cellStyle name="_Multiple_GS Model2_11 4" xfId="190" xr:uid="{3033ACEC-52A1-4891-A1A7-7BBD4E9C6EC0}"/>
    <cellStyle name="_Multiple_Model 03_21_02 Base Case No Weights" xfId="191" xr:uid="{F7485F54-F8A3-4AB5-B882-5F3AB64D8E36}"/>
    <cellStyle name="_Multiple_Model 03_21_02 Base Case No Weights 2" xfId="192" xr:uid="{1CB48404-1D0B-4E31-9FAE-1CBB4935C42A}"/>
    <cellStyle name="_Multiple_Model 03_21_02 Base Case No Weights 2 2" xfId="193" xr:uid="{137FAF7A-A0C1-46D0-AB7F-01B16EC04E27}"/>
    <cellStyle name="_Multiple_Model 03_21_02 Base Case No Weights 2 2 2" xfId="194" xr:uid="{285C40A6-35E5-489C-B383-27965F5F95C5}"/>
    <cellStyle name="_Multiple_Model 03_21_02 Base Case No Weights 2 3" xfId="195" xr:uid="{75040106-C25F-4453-AF0E-FB72B9D9EBB2}"/>
    <cellStyle name="_Multiple_Model 03_21_02 Base Case No Weights 3" xfId="196" xr:uid="{7311A7D1-E169-4A68-AA7A-A955D5972A5C}"/>
    <cellStyle name="_Multiple_Model 03_21_02 Base Case No Weights 3 2" xfId="197" xr:uid="{3C121DC0-3F94-4D50-9FEF-D384E16E8620}"/>
    <cellStyle name="_Multiple_Model 03_21_02 Base Case No Weights 4" xfId="198" xr:uid="{99B263AF-D2BE-4845-AA2E-A1D1CAA5AF20}"/>
    <cellStyle name="_MultipleSpace" xfId="199" xr:uid="{B283410D-4A7C-4A5F-8F37-0165DADB0D6C}"/>
    <cellStyle name="_MultipleSpace 2" xfId="200" xr:uid="{A135629A-5471-464D-9957-953FD7F0FF2D}"/>
    <cellStyle name="_MultipleSpace 2 2" xfId="201" xr:uid="{306915C5-8827-4057-88DF-D3F7B3DC0E95}"/>
    <cellStyle name="_MultipleSpace 2 2 2" xfId="202" xr:uid="{912E1CDA-99BE-47E6-AE13-CCED2C10B908}"/>
    <cellStyle name="_MultipleSpace 2 3" xfId="203" xr:uid="{364E7B32-C340-44BF-8602-32AFA8B3CAE5}"/>
    <cellStyle name="_MultipleSpace 3" xfId="204" xr:uid="{B2112A26-17C6-49E1-8A2D-2C45153DF1A6}"/>
    <cellStyle name="_MultipleSpace 3 2" xfId="205" xr:uid="{7BDD0E09-65E6-4C4F-9232-785C6F1D0212}"/>
    <cellStyle name="_MultipleSpace 4" xfId="206" xr:uid="{EEB1D025-FCB6-4B9A-89CB-57D3D13BD464}"/>
    <cellStyle name="_MultipleSpace_GS Model2_11" xfId="207" xr:uid="{09BA378E-BBB5-4867-B010-1BB6A32CD282}"/>
    <cellStyle name="_MultipleSpace_GS Model2_11 2" xfId="208" xr:uid="{BCAC6BE9-AD5A-48C0-856A-011101309426}"/>
    <cellStyle name="_MultipleSpace_GS Model2_11 2 2" xfId="209" xr:uid="{C94BCA5B-77A8-4A27-BD26-B6A87B9B994F}"/>
    <cellStyle name="_MultipleSpace_GS Model2_11 2 2 2" xfId="210" xr:uid="{B3FF16D1-3327-4D8A-9D2D-0641E574E76C}"/>
    <cellStyle name="_MultipleSpace_GS Model2_11 2 3" xfId="211" xr:uid="{7DEAA716-C0B4-4377-B75D-90176D6CB8EC}"/>
    <cellStyle name="_MultipleSpace_GS Model2_11 3" xfId="212" xr:uid="{9EA7517A-6FDE-4B27-83F8-3FC981197D73}"/>
    <cellStyle name="_MultipleSpace_GS Model2_11 3 2" xfId="213" xr:uid="{D7005D86-D3D4-4F21-8A48-1EBDB8F2DAF0}"/>
    <cellStyle name="_MultipleSpace_GS Model2_11 4" xfId="214" xr:uid="{12565940-F506-492A-A4E9-9298412B854A}"/>
    <cellStyle name="_MultipleSpace_Model 03_21_02 Base Case No Weights" xfId="215" xr:uid="{A59A9CFF-2FDC-4F10-B34B-AACE1FDD3566}"/>
    <cellStyle name="_MultipleSpace_Model 03_21_02 Base Case No Weights 2" xfId="216" xr:uid="{F66F622F-D3E4-460C-8F3F-ED4B94CD48DC}"/>
    <cellStyle name="_MultipleSpace_Model 03_21_02 Base Case No Weights 2 2" xfId="217" xr:uid="{D2F75DA2-189F-4EA3-9242-202BC04B1D74}"/>
    <cellStyle name="_MultipleSpace_Model 03_21_02 Base Case No Weights 2 2 2" xfId="218" xr:uid="{572992C8-4CA8-4EF2-899D-D19896C2B3DD}"/>
    <cellStyle name="_MultipleSpace_Model 03_21_02 Base Case No Weights 2 3" xfId="219" xr:uid="{EC01B0AB-A710-4654-A11B-404D1D1F545D}"/>
    <cellStyle name="_MultipleSpace_Model 03_21_02 Base Case No Weights 3" xfId="220" xr:uid="{B7690F3B-E8E2-4CC3-9AC6-F14422D2491C}"/>
    <cellStyle name="_MultipleSpace_Model 03_21_02 Base Case No Weights 3 2" xfId="221" xr:uid="{38046D48-9F62-4DCF-893F-3B6EE64E191C}"/>
    <cellStyle name="_MultipleSpace_Model 03_21_02 Base Case No Weights 4" xfId="222" xr:uid="{6BC6F2CD-ECFE-41AB-A9E2-8E53179E13C1}"/>
    <cellStyle name="_Pension Funding-Contributions April 2009" xfId="223" xr:uid="{45B68C49-9843-4639-ABDD-1107E37BD323}"/>
    <cellStyle name="_Percent" xfId="224" xr:uid="{C34609E6-A8E1-4641-A537-1593FC48E7FD}"/>
    <cellStyle name="_Percent 2" xfId="225" xr:uid="{C0BA95BC-DB41-442E-A343-EA922D70540F}"/>
    <cellStyle name="_Percent 2 2" xfId="226" xr:uid="{5500C03C-FB67-4C63-848C-27F37E26805C}"/>
    <cellStyle name="_Percent 2 2 2" xfId="227" xr:uid="{6DD3378B-28D8-46A3-B9B2-B98E905B0B67}"/>
    <cellStyle name="_Percent 2 3" xfId="228" xr:uid="{5DA4201A-2A97-4453-A7B3-E245C557DD49}"/>
    <cellStyle name="_Percent 3" xfId="229" xr:uid="{4B67EBAE-5956-4500-9BE1-E2ABDDA9CCE2}"/>
    <cellStyle name="_Percent 3 2" xfId="230" xr:uid="{7EE2E567-4E76-42A0-AA22-678CE79A8995}"/>
    <cellStyle name="_Percent 4" xfId="231" xr:uid="{F6BED37A-2ABB-47F3-9C64-C5BE9A9D6E56}"/>
    <cellStyle name="_Percent_GS Model2_11" xfId="232" xr:uid="{D18762BA-EE10-4581-90BD-77216FEBDFC3}"/>
    <cellStyle name="_Percent_GS Model2_11 2" xfId="233" xr:uid="{73A5F7D9-EDDE-478A-BE2B-9FAAF715480E}"/>
    <cellStyle name="_Percent_GS Model2_11 2 2" xfId="234" xr:uid="{CCD08515-E5F5-469C-AFB0-33D385C02B4E}"/>
    <cellStyle name="_Percent_GS Model2_11 2 2 2" xfId="235" xr:uid="{8EA1D2FC-EDDF-4DA9-BF45-15DF90B28AA0}"/>
    <cellStyle name="_Percent_GS Model2_11 2 3" xfId="236" xr:uid="{7318F85C-5BE7-4CD0-AEED-653B7859A5B0}"/>
    <cellStyle name="_Percent_GS Model2_11 3" xfId="237" xr:uid="{C0649215-1EC9-4147-B837-9B29C400DE18}"/>
    <cellStyle name="_Percent_GS Model2_11 3 2" xfId="238" xr:uid="{8C54E2E4-E5A3-4B7B-8682-3FC08D13E7F2}"/>
    <cellStyle name="_Percent_GS Model2_11 4" xfId="239" xr:uid="{2A0DAE00-F5CA-48D0-A8F5-379F89D48267}"/>
    <cellStyle name="_PercentSpace" xfId="240" xr:uid="{D3807F7D-1DD7-4D45-898E-AF11C0A03197}"/>
    <cellStyle name="_PercentSpace 2" xfId="241" xr:uid="{3BEA6136-8601-434F-AE58-BBCE0C994953}"/>
    <cellStyle name="_PercentSpace 2 2" xfId="242" xr:uid="{13F4258D-9681-4F58-8EB9-2A76E786083F}"/>
    <cellStyle name="_PercentSpace 2 2 2" xfId="243" xr:uid="{F407F6C6-DDB0-480A-80C2-9F4812982248}"/>
    <cellStyle name="_PercentSpace 2 3" xfId="244" xr:uid="{1A3815B7-E2A2-45FB-98F5-0239246D6647}"/>
    <cellStyle name="_PercentSpace 3" xfId="245" xr:uid="{BA276672-6DB0-4A88-84D9-7A292DE73784}"/>
    <cellStyle name="_PercentSpace 3 2" xfId="246" xr:uid="{51C0B62B-EDC2-4C6F-9CE1-78E4F8BE5342}"/>
    <cellStyle name="_PercentSpace 4" xfId="247" xr:uid="{B02D9A78-D6DB-4659-AE6F-57BAD94FF74A}"/>
    <cellStyle name="_PercentSpace_GS Model2_11" xfId="248" xr:uid="{D58189B2-572E-4DF7-ACBE-5DE430FFC5F1}"/>
    <cellStyle name="_PercentSpace_GS Model2_11 2" xfId="249" xr:uid="{E9C8D6C2-A5B6-410F-AE7B-DBF528CBBB92}"/>
    <cellStyle name="_PercentSpace_GS Model2_11 2 2" xfId="250" xr:uid="{42183EF0-F642-4EE7-9FEE-4D7FB2DAE6E5}"/>
    <cellStyle name="_PercentSpace_GS Model2_11 2 2 2" xfId="251" xr:uid="{A4AD6299-3BB3-47E0-A9BB-F8034BDEC18B}"/>
    <cellStyle name="_PercentSpace_GS Model2_11 2 3" xfId="252" xr:uid="{FDE9E8E2-F334-4250-8F65-EA5130E61297}"/>
    <cellStyle name="_PercentSpace_GS Model2_11 3" xfId="253" xr:uid="{FFC698F5-191F-4331-A1F1-2FA5B6444BA9}"/>
    <cellStyle name="_PercentSpace_GS Model2_11 3 2" xfId="254" xr:uid="{1115CA4A-7056-4769-8DDD-E0C80539B180}"/>
    <cellStyle name="_PercentSpace_GS Model2_11 4" xfId="255" xr:uid="{38906D7D-7A46-4575-8D7E-2634CB38D8B5}"/>
    <cellStyle name="_Prepayments and Other Reconciliation - March 2009_from Maggie" xfId="256" xr:uid="{5C26F8CF-8858-4CEE-B6A0-30DBBEBDDAA0}"/>
    <cellStyle name="_prestemp" xfId="257" xr:uid="{7FD9DF05-473A-4E08-BB37-A9BB3AB47A87}"/>
    <cellStyle name="_prestemp 2" xfId="258" xr:uid="{A68A0D36-82DA-47C9-B541-6FF496752228}"/>
    <cellStyle name="_prestemp 2 2" xfId="259" xr:uid="{5164D67D-F072-4BED-8C33-3D2077D75574}"/>
    <cellStyle name="_prestemp 2 2 2" xfId="260" xr:uid="{CFFC6CEB-B388-4B6D-A89E-AEA5C36416BD}"/>
    <cellStyle name="_prestemp 2 3" xfId="261" xr:uid="{81654321-2B1A-402C-B1BC-496ABE64E255}"/>
    <cellStyle name="_prestemp 3" xfId="262" xr:uid="{DB221AAA-59EA-464B-8738-A07A5B89C1DA}"/>
    <cellStyle name="_prestemp 3 2" xfId="263" xr:uid="{4C34ACB0-6652-4364-8A0D-1BA1EC5A0F3F}"/>
    <cellStyle name="_prestemp 4" xfId="264" xr:uid="{C7A8DB5D-0FEA-4E0B-9DEE-322E4B5B34CF}"/>
    <cellStyle name="_Q - Other Current Liabs" xfId="265" xr:uid="{F852AC9A-5ED9-4025-A19E-E2490CE3A300}"/>
    <cellStyle name="_Q - Other Current Liabs 2" xfId="266" xr:uid="{D20EB71A-C7AF-455C-8BAD-38D814574B9F}"/>
    <cellStyle name="_Q - Other Current Liabs 2 2" xfId="267" xr:uid="{8587F74B-66AC-43C0-85F0-1B6A54D3DFDB}"/>
    <cellStyle name="_Q - Other Current Liabs 2 2 2" xfId="268" xr:uid="{F61EFFDD-F3EB-4734-83F4-333DD3747799}"/>
    <cellStyle name="_Q - Other Current Liabs 2 3" xfId="269" xr:uid="{44F8D127-6A19-41B9-B763-686927F06D53}"/>
    <cellStyle name="_Q - Other Current Liabs 3" xfId="270" xr:uid="{A26BAC54-174B-48EF-859A-20CB73D7600D}"/>
    <cellStyle name="_Q - Other Current Liabs 3 2" xfId="271" xr:uid="{29C1A4B9-89D5-48C0-B6EF-5DD3D6DC014A}"/>
    <cellStyle name="_Q - Other Current Liabs 4" xfId="272" xr:uid="{339B2BCD-3016-447B-B4BE-D22E843CB039}"/>
    <cellStyle name="_Revised Cash Flow - Sent  to D&amp;T 2.5.09" xfId="273" xr:uid="{6302D572-E2C1-4AD2-AB01-84D21470C651}"/>
    <cellStyle name="_SPS Utility Cash Flow and Bal Sht 04-30-09" xfId="274" xr:uid="{80BA8946-DA8F-47B6-B189-4DEE0DAD2F96}"/>
    <cellStyle name="_SPS Utility Cash Flow and Bal Sht 04-30-09 2" xfId="275" xr:uid="{FE3681C5-ED3F-45FF-816A-FBA95D10D421}"/>
    <cellStyle name="_SPS Utility Cash Flow and Bal Sht 04-30-09 2 2" xfId="276" xr:uid="{C861C1EB-DFB2-438E-B4A4-8908641B9AAB}"/>
    <cellStyle name="_SPS Utility Cash Flow and Bal Sht 04-30-09 2 2 2" xfId="277" xr:uid="{B06A8479-5938-4EE6-9CFE-B701E1975C31}"/>
    <cellStyle name="_SPS Utility Cash Flow and Bal Sht 04-30-09 2 3" xfId="278" xr:uid="{2D58DD47-7821-4EB2-86C0-1F5FFF9417B8}"/>
    <cellStyle name="_SPS Utility Cash Flow and Bal Sht 04-30-09 3" xfId="279" xr:uid="{7C205CE9-B9AD-4B81-8F7C-0C75399E3B1E}"/>
    <cellStyle name="_SPS Utility Cash Flow and Bal Sht 04-30-09 3 2" xfId="280" xr:uid="{6B466132-52A8-4808-A865-0C47A9B1C4F5}"/>
    <cellStyle name="_SPS Utility Cash Flow and Bal Sht 04-30-09 4" xfId="281" xr:uid="{02E803FC-620D-4B11-BC69-0DFF2A35818E}"/>
    <cellStyle name="_SubHeading" xfId="282" xr:uid="{1D48E6DD-145E-4A37-9502-976D77FDCE49}"/>
    <cellStyle name="_SubHeading_Model 03_21_02 Base Case No Weights" xfId="283" xr:uid="{23D491EF-57E2-40DE-9C01-BD5604DD85C9}"/>
    <cellStyle name="_SubHeading_Model 03_21_02 Base Case No Weights 2" xfId="284" xr:uid="{B3440AC8-5636-4165-BEEE-8CF6FD719FF6}"/>
    <cellStyle name="_Summary Check" xfId="285" xr:uid="{139F4DE3-4681-489E-AD37-3B5E852386E6}"/>
    <cellStyle name="_Summary Check 2" xfId="286" xr:uid="{125B8CF9-5FF7-4B8B-868D-0C7341DBB071}"/>
    <cellStyle name="_Summary Check 2 2" xfId="287" xr:uid="{60734ED1-D1EA-46A5-A10F-ECF4A2F0A9C6}"/>
    <cellStyle name="_Summary Check 2 2 2" xfId="288" xr:uid="{A4D36FA8-A8C2-46BE-A744-435440FAC48C}"/>
    <cellStyle name="_Summary Check 2 3" xfId="289" xr:uid="{D69A2454-9F02-4734-B74A-B7A20D264EC9}"/>
    <cellStyle name="_Summary Check 3" xfId="290" xr:uid="{C2E45FEC-F844-4638-8DE2-6ED505E7663E}"/>
    <cellStyle name="_Summary Check 3 2" xfId="291" xr:uid="{2119BD5F-1A52-4F59-9347-6CB555DB4577}"/>
    <cellStyle name="_Summary Check 4" xfId="292" xr:uid="{B548C49B-837F-45A5-A361-7FE3DE8BF213}"/>
    <cellStyle name="_Table" xfId="293" xr:uid="{C2F337C7-C6C0-4B2E-BF4E-620DA6182F5F}"/>
    <cellStyle name="_Table 2" xfId="294" xr:uid="{BDF4DC39-1B91-4BDB-8105-125AFB62D7FF}"/>
    <cellStyle name="_Table_Model 03_21_02 Base Case No Weights" xfId="295" xr:uid="{1936A3FC-ACA5-4719-8028-E7620F008F21}"/>
    <cellStyle name="_TableHead" xfId="296" xr:uid="{4FC8C0AE-B2EB-4A62-A080-51E0EB2DD27E}"/>
    <cellStyle name="_TableHead 2" xfId="297" xr:uid="{368FC27C-504D-407D-9EB5-C71EE7067574}"/>
    <cellStyle name="_TableHead_Model 03_21_02 Base Case No Weights" xfId="298" xr:uid="{B6D1A57D-3F82-4146-9718-2E39C3BC269D}"/>
    <cellStyle name="_TableRowBorder" xfId="299" xr:uid="{3D83E414-4A14-4083-A672-F10F6944B324}"/>
    <cellStyle name="_TableRowBorder 2" xfId="300" xr:uid="{734207A0-13E3-4782-8419-AB5D67E7B35E}"/>
    <cellStyle name="_TableRowBorder 2 2" xfId="301" xr:uid="{113CC54B-05B7-44ED-9AE0-B2C0054E9438}"/>
    <cellStyle name="_TableRowBorder 2 2 2" xfId="302" xr:uid="{7980F410-177F-44E1-A827-2CC6D8906F0D}"/>
    <cellStyle name="_TableRowBorder 2 3" xfId="303" xr:uid="{5ED79BA8-28EE-4869-80D2-E960D7677E1B}"/>
    <cellStyle name="_TableRowBorder 3" xfId="304" xr:uid="{8F51CA2B-8EA7-40F9-A3CC-C872891E7844}"/>
    <cellStyle name="_TableRowBorder 3 2" xfId="305" xr:uid="{FBAF1AE6-3C33-4501-9817-69E8700D03E2}"/>
    <cellStyle name="_TableRowBorder 4" xfId="306" xr:uid="{7A15F7B4-9C16-468A-A645-17FD0A6DDD86}"/>
    <cellStyle name="_TableRowHead" xfId="307" xr:uid="{9ED73D27-5A8F-44E1-B745-D8BECF181FAC}"/>
    <cellStyle name="_TableRowHead 2" xfId="308" xr:uid="{09B0DD7B-567E-4FAD-A875-CE194C329503}"/>
    <cellStyle name="_TableRowHead_Model 03_21_02 Base Case No Weights" xfId="309" xr:uid="{F41C0892-D826-4997-8BBA-776097FCF0AC}"/>
    <cellStyle name="_TableRowHead_Pricing Calculator7" xfId="310" xr:uid="{CBB6D760-F262-4D81-B1E4-D29CFB970D69}"/>
    <cellStyle name="_TableSuperHead" xfId="311" xr:uid="{106855E3-46CA-43CA-8929-A42E47CFD994}"/>
    <cellStyle name="_TableSuperHead_Model 03_21_02 Base Case No Weights" xfId="312" xr:uid="{58B5547A-67A2-44D4-A728-D801DFE4115C}"/>
    <cellStyle name="_TableSuperHead_Model 03_21_02 Base Case No Weights 2" xfId="313" xr:uid="{382D36A8-B76B-468F-ADF2-800F2383A384}"/>
    <cellStyle name="_U - Other LT Liabilities" xfId="314" xr:uid="{7942FE95-D53D-4023-8A8A-F03F64A305CC}"/>
    <cellStyle name="_U - Other LT Liabilities 2" xfId="315" xr:uid="{A23C7F92-77E6-4F86-9B6E-29035CBC1B1B}"/>
    <cellStyle name="_U - Other LT Liabilities 2 2" xfId="316" xr:uid="{B17296B7-32EB-440F-83F0-01E6C560BF1D}"/>
    <cellStyle name="_U - Other LT Liabilities 2 2 2" xfId="317" xr:uid="{679AAC95-FCBE-475C-9F90-FA88CBE13E04}"/>
    <cellStyle name="_U - Other LT Liabilities 2 3" xfId="318" xr:uid="{6D1B8C73-3276-48CD-BDB7-C864B8CD58BE}"/>
    <cellStyle name="_U - Other LT Liabilities 3" xfId="319" xr:uid="{82425D19-D758-4612-B37F-03ADF493958B}"/>
    <cellStyle name="_U - Other LT Liabilities 3 2" xfId="320" xr:uid="{CC1EAD34-A9B1-4920-BBEB-8D99453003FB}"/>
    <cellStyle name="_U - Other LT Liabilities 4" xfId="321" xr:uid="{F4A457E4-1796-4E13-9CEC-956E12B8FDAA}"/>
    <cellStyle name="_Xcel Cash Flow 6-30-09" xfId="322" xr:uid="{A11746EA-39E8-426F-ADD9-9690D258E570}"/>
    <cellStyle name="~Capacity (0)" xfId="323" xr:uid="{EF7CCFB9-2820-4470-B1A6-263F05B90261}"/>
    <cellStyle name="~Capacity (1)" xfId="324" xr:uid="{58346C5C-2D7B-4DBD-BF88-40058247D516}"/>
    <cellStyle name="~Escalation" xfId="325" xr:uid="{9FA98100-DF72-4A9F-87C5-F1BC1DD7D3D9}"/>
    <cellStyle name="~Gas (0)" xfId="326" xr:uid="{95BA3B23-8D52-4B98-BF0A-7C72F0DCF1BA}"/>
    <cellStyle name="~Gas Price" xfId="327" xr:uid="{6EAE6182-68FA-46EF-9452-4F58D65898A3}"/>
    <cellStyle name="~Power (0)" xfId="328" xr:uid="{F8E05CB4-42F8-41D5-B75F-5F595BFE74DB}"/>
    <cellStyle name="~Power Price" xfId="329" xr:uid="{FF5AB76E-9FC8-4236-8A51-2E226C7C4578}"/>
    <cellStyle name="_x0010_“+ˆÉ•?pý¤" xfId="330" xr:uid="{5CA1AA0C-F75C-4AF5-93A0-68A2F8D921A3}"/>
    <cellStyle name="20% - Accent1" xfId="19" builtinId="30" customBuiltin="1"/>
    <cellStyle name="20% - Accent1 2" xfId="331" xr:uid="{9D0A4EB6-CE0C-4F10-9A46-7CE1CBFE1CE0}"/>
    <cellStyle name="20% - Accent1 3" xfId="332" xr:uid="{10CD8DAD-3044-42C9-B09A-B14C859C2D55}"/>
    <cellStyle name="20% - Accent2" xfId="22" builtinId="34" customBuiltin="1"/>
    <cellStyle name="20% - Accent2 2" xfId="333" xr:uid="{A3492F2A-59C0-480E-99DF-471737183030}"/>
    <cellStyle name="20% - Accent2 3" xfId="334" xr:uid="{7FCC330E-2953-4270-91FF-FDD21CD979C9}"/>
    <cellStyle name="20% - Accent3" xfId="25" builtinId="38" customBuiltin="1"/>
    <cellStyle name="20% - Accent3 2" xfId="335" xr:uid="{EC87FA9F-D398-4066-9578-2DADE1F19653}"/>
    <cellStyle name="20% - Accent3 3" xfId="336" xr:uid="{DBBB0B57-304C-4C1E-8B42-D7156CC9AB59}"/>
    <cellStyle name="20% - Accent4" xfId="28" builtinId="42" customBuiltin="1"/>
    <cellStyle name="20% - Accent4 2" xfId="337" xr:uid="{403124F8-8022-4E61-B44B-9800F540CE13}"/>
    <cellStyle name="20% - Accent4 3" xfId="338" xr:uid="{6B55BB1C-8061-423C-BDE0-AF85893841ED}"/>
    <cellStyle name="20% - Accent5" xfId="31" builtinId="46" customBuiltin="1"/>
    <cellStyle name="20% - Accent5 2" xfId="339" xr:uid="{1E8D78F3-7E02-4BC6-97C9-94231AC78184}"/>
    <cellStyle name="20% - Accent6" xfId="34" builtinId="50" customBuiltin="1"/>
    <cellStyle name="20% - Accent6 2" xfId="340" xr:uid="{2BCE070E-3862-445F-B2DD-179B3DD26EFE}"/>
    <cellStyle name="20% - Accent6 3" xfId="341" xr:uid="{154A85BB-5949-48C1-9069-3240ABC1F7BB}"/>
    <cellStyle name="40% - Accent1" xfId="20" builtinId="31" customBuiltin="1"/>
    <cellStyle name="40% - Accent1 2" xfId="342" xr:uid="{01978FE5-E697-4E95-B0D2-F7C243A3FBEF}"/>
    <cellStyle name="40% - Accent1 3" xfId="343" xr:uid="{D66E3246-81C4-454B-B042-774D0FA6E085}"/>
    <cellStyle name="40% - Accent2" xfId="23" builtinId="35" customBuiltin="1"/>
    <cellStyle name="40% - Accent2 2" xfId="344" xr:uid="{C4A89840-8DBA-4AFE-A244-5C859118850F}"/>
    <cellStyle name="40% - Accent3" xfId="26" builtinId="39" customBuiltin="1"/>
    <cellStyle name="40% - Accent3 2" xfId="345" xr:uid="{E64FC567-555E-4B39-B631-B84409B9F85C}"/>
    <cellStyle name="40% - Accent3 3" xfId="346" xr:uid="{98A83CF4-0451-479A-BF4B-D18C0898416F}"/>
    <cellStyle name="40% - Accent4" xfId="29" builtinId="43" customBuiltin="1"/>
    <cellStyle name="40% - Accent4 2" xfId="347" xr:uid="{89595BB4-FF6E-4243-8DAF-EA37B0E390C9}"/>
    <cellStyle name="40% - Accent4 3" xfId="348" xr:uid="{DD367034-762F-4720-941C-E845E4AD1068}"/>
    <cellStyle name="40% - Accent5" xfId="32" builtinId="47" customBuiltin="1"/>
    <cellStyle name="40% - Accent5 2" xfId="349" xr:uid="{BF30ED5F-CB00-41ED-9025-A2FA6F2F4795}"/>
    <cellStyle name="40% - Accent5 3" xfId="350" xr:uid="{061E0180-2341-4545-ABF1-30C95F1004B3}"/>
    <cellStyle name="40% - Accent6" xfId="35" builtinId="51" customBuiltin="1"/>
    <cellStyle name="40% - Accent6 2" xfId="351" xr:uid="{D6D01CE9-8879-437E-8D05-524B2C2723A9}"/>
    <cellStyle name="40% - Accent6 3" xfId="352" xr:uid="{2A7F35D7-F595-459F-A591-661B6E0D285C}"/>
    <cellStyle name="60% - Accent1 2" xfId="354" xr:uid="{4430FA03-82DB-4103-A479-F4599BC8E217}"/>
    <cellStyle name="60% - Accent1 3" xfId="355" xr:uid="{D26AA303-DB4C-4EB4-A70A-8807D3720070}"/>
    <cellStyle name="60% - Accent1 4" xfId="353" xr:uid="{18A22724-A8BB-4F31-9D61-40C6DCC6F0E9}"/>
    <cellStyle name="60% - Accent2 2" xfId="357" xr:uid="{7FC799E1-906F-4828-BE49-4EC80DD45D53}"/>
    <cellStyle name="60% - Accent2 3" xfId="358" xr:uid="{03B5FBA3-8C0F-4EDD-8E3D-46B2D6928B4F}"/>
    <cellStyle name="60% - Accent2 4" xfId="356" xr:uid="{79D99D1E-1DC5-4B65-A1FF-49ABEE8D9D86}"/>
    <cellStyle name="60% - Accent3 2" xfId="360" xr:uid="{69126610-A117-4905-B993-5EB5D38D678D}"/>
    <cellStyle name="60% - Accent3 3" xfId="361" xr:uid="{D20F2F04-56AC-4D1A-9B9C-0C84F940596F}"/>
    <cellStyle name="60% - Accent3 4" xfId="359" xr:uid="{7E2E2BDF-CD88-4A65-A4B4-AA2F5327035C}"/>
    <cellStyle name="60% - Accent4 2" xfId="363" xr:uid="{9F703D20-5909-4A98-AF90-6D370C600111}"/>
    <cellStyle name="60% - Accent4 3" xfId="364" xr:uid="{A24C5EB3-9F8D-4630-8213-C5F668D5BC09}"/>
    <cellStyle name="60% - Accent4 4" xfId="362" xr:uid="{2D1BA031-1C41-478F-8113-6AF6AD51A5D6}"/>
    <cellStyle name="60% - Accent5 2" xfId="366" xr:uid="{55CA6910-5238-40CD-8D15-A1CB5337939C}"/>
    <cellStyle name="60% - Accent5 3" xfId="367" xr:uid="{E8D4D2B3-B63A-4A4C-AA64-BF0018519623}"/>
    <cellStyle name="60% - Accent5 4" xfId="365" xr:uid="{17803D9C-E979-48E4-8343-9B6E8BB408F7}"/>
    <cellStyle name="60% - Accent6 2" xfId="369" xr:uid="{59EA3106-1DBC-4C42-BCAB-859119425191}"/>
    <cellStyle name="60% - Accent6 3" xfId="370" xr:uid="{4C8A1F55-80D7-48D2-829C-AFD5F996D541}"/>
    <cellStyle name="60% - Accent6 4" xfId="368" xr:uid="{296D8BF9-3E96-4673-8359-7471B5C0277D}"/>
    <cellStyle name="Accent1" xfId="18" builtinId="29" customBuiltin="1"/>
    <cellStyle name="Accent1 2" xfId="371" xr:uid="{E00A5D7C-0D4E-40C1-8E0D-1EF595358767}"/>
    <cellStyle name="Accent1 3" xfId="372" xr:uid="{256896B8-4A37-4D90-AAD7-CD5434B6E9E0}"/>
    <cellStyle name="Accent2" xfId="21" builtinId="33" customBuiltin="1"/>
    <cellStyle name="Accent2 2" xfId="373" xr:uid="{42C4DF12-4932-4B4F-B79F-33AFBC83E368}"/>
    <cellStyle name="Accent2 3" xfId="374" xr:uid="{769AC61E-E936-4A0F-B3E9-0412AFF072E4}"/>
    <cellStyle name="Accent3" xfId="24" builtinId="37" customBuiltin="1"/>
    <cellStyle name="Accent3 2" xfId="375" xr:uid="{54D14DAB-3986-484C-8F7F-6C46D21DB647}"/>
    <cellStyle name="Accent3 3" xfId="376" xr:uid="{77FA0E4C-AEFE-49C1-AB16-B13FA62622D0}"/>
    <cellStyle name="Accent4" xfId="27" builtinId="41" customBuiltin="1"/>
    <cellStyle name="Accent4 2" xfId="377" xr:uid="{145D5D14-D02B-44AD-AA50-87C26F445CD5}"/>
    <cellStyle name="Accent4 3" xfId="378" xr:uid="{C2F6B402-42B3-4C22-8274-CACAC3A30165}"/>
    <cellStyle name="Accent5" xfId="30" builtinId="45" customBuiltin="1"/>
    <cellStyle name="Accent5 2" xfId="379" xr:uid="{163F303E-4606-4044-8F2C-FF934C1939F2}"/>
    <cellStyle name="Accent5 3" xfId="380" xr:uid="{4ED8C184-AC19-48DE-81D9-9444842C282D}"/>
    <cellStyle name="Accent6" xfId="33" builtinId="49" customBuiltin="1"/>
    <cellStyle name="Accent6 2" xfId="381" xr:uid="{1C71518A-4579-4D59-8BE9-68559CF9195F}"/>
    <cellStyle name="Accent6 3" xfId="382" xr:uid="{E5B062DD-4E45-4EE0-B09D-8B1591827639}"/>
    <cellStyle name="Actual Date" xfId="383" xr:uid="{11241977-C686-4921-A8E8-A0930612F68B}"/>
    <cellStyle name="Actual Date 2" xfId="384" xr:uid="{3008349D-027D-4A9A-9A89-8B5F4592897A}"/>
    <cellStyle name="adjusted" xfId="385" xr:uid="{4295AEB5-F79F-4922-8356-DA3CC5A1FC9D}"/>
    <cellStyle name="Bad" xfId="8" builtinId="27" customBuiltin="1"/>
    <cellStyle name="Bad 2" xfId="386" xr:uid="{710E924C-7FF9-42B2-B9EA-A41A7874E32B}"/>
    <cellStyle name="Bad 3" xfId="387" xr:uid="{D61D49DF-B27B-4D1A-8320-577F77FDCEF7}"/>
    <cellStyle name="Border Heavy" xfId="388" xr:uid="{7D077CF9-C1BE-4211-9697-2CCC8864693C}"/>
    <cellStyle name="Border Heavy 2" xfId="389" xr:uid="{592861D9-825D-4AED-8304-DBF3EB87BDAD}"/>
    <cellStyle name="Border Thin" xfId="390" xr:uid="{CFF3409E-5DD8-44DA-8879-A4DCECEC244E}"/>
    <cellStyle name="Border Thin 2" xfId="391" xr:uid="{809EFE8D-F6EC-4E0E-9163-7209A44F7B46}"/>
    <cellStyle name="Calc Currency (0)" xfId="392" xr:uid="{B645AC67-F005-4BB9-92C3-0DF1E42E9141}"/>
    <cellStyle name="Calc Currency (0) 2" xfId="393" xr:uid="{F430CFB2-C26B-479D-8E95-ACB32CF7CB4F}"/>
    <cellStyle name="Calculation" xfId="11" builtinId="22" customBuiltin="1"/>
    <cellStyle name="Calculation 2" xfId="394" xr:uid="{1FE2AB91-E871-48F8-BE97-CD907DE14555}"/>
    <cellStyle name="Calculation 3" xfId="395" xr:uid="{E0822347-594C-4736-AB84-90EDE8CFE4C4}"/>
    <cellStyle name="Cancel" xfId="396" xr:uid="{3146B339-97D4-4723-879C-747F90432007}"/>
    <cellStyle name="Check Cell" xfId="13" builtinId="23" customBuiltin="1"/>
    <cellStyle name="Check Cell 2" xfId="397" xr:uid="{4F4744DD-FE54-460E-8558-B990AA30152F}"/>
    <cellStyle name="Check Cell 3" xfId="398" xr:uid="{433FEDDD-D471-4D8F-A9DB-F3EB7E03091C}"/>
    <cellStyle name="Column.Head" xfId="399" xr:uid="{99BD91D0-149A-467D-B89C-261225EAA3CD}"/>
    <cellStyle name="Comma" xfId="1" builtinId="3"/>
    <cellStyle name="Comma [0] 2" xfId="400" xr:uid="{7FD17425-ADD3-4D68-8FD4-0E6D52C0FEBB}"/>
    <cellStyle name="Comma [0] 2 2" xfId="401" xr:uid="{E86B7202-E2FE-4789-B2C7-7D38EFDFD270}"/>
    <cellStyle name="Comma [0] 2 2 2" xfId="402" xr:uid="{38B2CFF4-3F44-4B35-B43A-652D4AC28AFA}"/>
    <cellStyle name="Comma [0] 2 3" xfId="403" xr:uid="{2ADE90DE-EB52-42AF-BA84-2D06DFDA8B1D}"/>
    <cellStyle name="Comma [0] 2 4" xfId="404" xr:uid="{A75868D6-92C4-4AC3-A11C-2010FCE595F5}"/>
    <cellStyle name="Comma [0] 3" xfId="405" xr:uid="{DC15738E-C51E-45A8-B058-E08D7841E1C3}"/>
    <cellStyle name="Comma [0] 3 2" xfId="406" xr:uid="{B0CBE591-E1C4-44E1-9751-29E3B05F6352}"/>
    <cellStyle name="Comma [0] 4" xfId="407" xr:uid="{F9F710EF-C13F-455C-8633-DDBDB885E3D7}"/>
    <cellStyle name="Comma [0] 5" xfId="408" xr:uid="{F842F665-B845-49C3-AB47-565A4C6754D4}"/>
    <cellStyle name="Comma [1]" xfId="409" xr:uid="{79205769-6139-4FD3-8AB1-A90F5B9F3F5C}"/>
    <cellStyle name="Comma [2]" xfId="410" xr:uid="{A66F1D6C-270D-4079-B33E-8E1685C3C8EB}"/>
    <cellStyle name="Comma [2] 2" xfId="411" xr:uid="{D0D40650-1B0E-41EC-AB39-26D65BC7E402}"/>
    <cellStyle name="Comma [3]" xfId="412" xr:uid="{BEF0A1EB-19DD-47A2-830B-CBBEA5182B30}"/>
    <cellStyle name="Comma 0 [0]" xfId="413" xr:uid="{56AB5073-C854-43A8-AC96-9E01F243D2A3}"/>
    <cellStyle name="Comma 0 [0] 2" xfId="414" xr:uid="{87F1EBDA-838B-4F3E-B5D1-E621412C9F09}"/>
    <cellStyle name="Comma 10" xfId="415" xr:uid="{1411C798-4467-4B40-826F-8135E50928E7}"/>
    <cellStyle name="Comma 11" xfId="416" xr:uid="{FD69946B-131B-4AAD-9587-2EC393A0AB2F}"/>
    <cellStyle name="Comma 12" xfId="417" xr:uid="{01A9E100-A0E5-491B-A9F7-CC82A4F2A465}"/>
    <cellStyle name="Comma 13" xfId="418" xr:uid="{B1415734-B240-4120-B96E-0DB5C1869801}"/>
    <cellStyle name="Comma 14" xfId="419" xr:uid="{A5EA1752-99B4-42E1-B6C0-CA7A5BDF953D}"/>
    <cellStyle name="Comma 15" xfId="420" xr:uid="{7261FC84-B777-45F2-A0ED-57A40A40EAFB}"/>
    <cellStyle name="Comma 16" xfId="421" xr:uid="{CF4E71AB-3B91-40E6-93CF-819F937656B6}"/>
    <cellStyle name="Comma 17" xfId="422" xr:uid="{0798E8DE-6814-4246-A0E5-0FE3E665D07B}"/>
    <cellStyle name="Comma 2" xfId="423" xr:uid="{9E24CE30-E9B4-42F1-B3C7-7C651E7F2944}"/>
    <cellStyle name="Comma 2 2" xfId="424" xr:uid="{AC95B5BF-EB93-4ABD-8B13-26A29FFAC799}"/>
    <cellStyle name="Comma 2 2 2" xfId="425" xr:uid="{7349F090-DF40-4252-BE16-0F22C33547A2}"/>
    <cellStyle name="Comma 2 2 2 2" xfId="426" xr:uid="{6F42A386-0B22-48B5-91DA-F6164CDD41C2}"/>
    <cellStyle name="Comma 2 2 3" xfId="427" xr:uid="{21F6810B-81C1-43D7-8FCE-1F09160890E1}"/>
    <cellStyle name="Comma 2 3" xfId="428" xr:uid="{5156C5F2-A589-4FF3-92DF-109C6AF4AF28}"/>
    <cellStyle name="Comma 2 4" xfId="429" xr:uid="{4C11362F-C74A-4926-856D-3D60B8863D16}"/>
    <cellStyle name="Comma 2 5" xfId="430" xr:uid="{4BF54922-E1BC-4E74-86B0-EFBF1E85AE35}"/>
    <cellStyle name="Comma 2 6" xfId="431" xr:uid="{58C0BBAA-B0BF-4078-82D3-D439CCFDEDB2}"/>
    <cellStyle name="Comma 2 7" xfId="432" xr:uid="{BEF77D76-7B6B-4ED1-A4C5-20EF5A1F4E9B}"/>
    <cellStyle name="Comma 2 8" xfId="433" xr:uid="{2CAD575C-7948-4C07-86AF-C7F103A172B6}"/>
    <cellStyle name="Comma 2_BB Abatement (2)" xfId="434" xr:uid="{61AEF8DB-406A-4039-B1BA-509E9710B74A}"/>
    <cellStyle name="Comma 3" xfId="435" xr:uid="{EEB17C06-4EA0-4394-B4DD-DA4519CF86D6}"/>
    <cellStyle name="Comma 3 2" xfId="436" xr:uid="{F21A55A2-D2FB-4ABB-8229-D81BEC8C58B0}"/>
    <cellStyle name="Comma 3 3" xfId="437" xr:uid="{75D1285D-3FCB-41A5-9B05-ECC768EE3D59}"/>
    <cellStyle name="Comma 4" xfId="438" xr:uid="{5BCE6D39-E5FC-4577-88BA-A467AE07DE03}"/>
    <cellStyle name="Comma 4 2" xfId="439" xr:uid="{55AFBA39-B5A5-451A-99EE-31103EAF4003}"/>
    <cellStyle name="Comma 4 2 2" xfId="440" xr:uid="{AA19C8D7-298D-4E73-8EFD-7801A5A902EA}"/>
    <cellStyle name="Comma 4 3" xfId="441" xr:uid="{04ED1305-88A3-4B61-A694-7F3E7FB8CA18}"/>
    <cellStyle name="Comma 4 4" xfId="442" xr:uid="{B4D8326D-2EC4-4B39-9EDB-4954314258E9}"/>
    <cellStyle name="Comma 5" xfId="443" xr:uid="{996C109C-6410-40C3-B92F-282827E22E03}"/>
    <cellStyle name="Comma 5 2" xfId="444" xr:uid="{89AA9BA1-AA2A-40BD-93A1-B765B10D708E}"/>
    <cellStyle name="Comma 5 2 2" xfId="445" xr:uid="{92373D59-1DCB-49A5-914B-817B67E8AA60}"/>
    <cellStyle name="Comma 5 3" xfId="446" xr:uid="{3DF6347E-96A1-4461-AE1C-2B67491AB25C}"/>
    <cellStyle name="Comma 6" xfId="447" xr:uid="{E8D44546-A87A-457A-AC37-351D2B0AAD39}"/>
    <cellStyle name="Comma 6 2" xfId="448" xr:uid="{D22B821B-22F5-4535-AF2A-111E89173115}"/>
    <cellStyle name="Comma 7" xfId="449" xr:uid="{799EB567-B6A8-4834-A7F2-4B3850B4304B}"/>
    <cellStyle name="Comma 8" xfId="450" xr:uid="{E7CC550F-C175-46C2-B6CF-CE868E3A2F8E}"/>
    <cellStyle name="Comma 9" xfId="451" xr:uid="{0CEDC274-00E4-4BDA-B3E8-70AA70DB5832}"/>
    <cellStyle name="Comma0" xfId="452" xr:uid="{C4C64020-1FDF-4970-8D5E-2ED1532DE1CC}"/>
    <cellStyle name="Comma0 2" xfId="453" xr:uid="{A75147AD-6030-45DD-BA54-7324C0A41BA8}"/>
    <cellStyle name="Comma0 2 2" xfId="454" xr:uid="{5B81EE67-73DB-426A-AD9F-8900ABF836F4}"/>
    <cellStyle name="Comma0 2 2 2" xfId="455" xr:uid="{217C11AD-FECF-4301-98F7-3CEECE96F711}"/>
    <cellStyle name="Comma0 2 3" xfId="456" xr:uid="{9DEA3C2E-C0DB-4A95-8483-111FF4198ACD}"/>
    <cellStyle name="Comma0 3" xfId="457" xr:uid="{97C201FD-5EB5-4553-B324-7BC9EFBA9967}"/>
    <cellStyle name="Comma0 3 2" xfId="458" xr:uid="{C704869B-C7BB-4F92-8B93-39577A041FDC}"/>
    <cellStyle name="Comma0 4" xfId="459" xr:uid="{53DB1636-0B10-47AA-9218-718343638FC2}"/>
    <cellStyle name="ConvVer" xfId="460" xr:uid="{5E98BF8E-699D-404F-A13F-9A7746282C43}"/>
    <cellStyle name="Copied" xfId="461" xr:uid="{B7F90331-9FCF-48E6-8FC0-825459CCE432}"/>
    <cellStyle name="COSS" xfId="462" xr:uid="{47D1EC35-7091-40FE-8F4D-4C4AEC5275A2}"/>
    <cellStyle name="Currency" xfId="2" builtinId="4"/>
    <cellStyle name="Currency [2]" xfId="463" xr:uid="{47D63A5A-0BCC-44E2-AA1E-02197ACFED22}"/>
    <cellStyle name="Currency [3]" xfId="464" xr:uid="{165DCBD9-23F9-4052-B5CD-2545DDA4EB7C}"/>
    <cellStyle name="Currency 2" xfId="465" xr:uid="{53343352-458F-4B96-8A1E-87BC61A55329}"/>
    <cellStyle name="Currency 2 2" xfId="466" xr:uid="{28DB9381-389C-4452-8C33-A8CEDE848121}"/>
    <cellStyle name="Currency 2 3" xfId="467" xr:uid="{38375810-21B6-46DC-905B-86148D5C0671}"/>
    <cellStyle name="Currency 2 4" xfId="468" xr:uid="{2A5F627C-D2A5-4540-B280-56D4C3FCAF61}"/>
    <cellStyle name="Currency 2 5" xfId="469" xr:uid="{C47D01BC-8961-45AE-8095-2FA281234977}"/>
    <cellStyle name="Currency 3" xfId="470" xr:uid="{E4473DEA-0A27-42A8-9DAE-6EE37B1169E4}"/>
    <cellStyle name="Currency 3 2" xfId="471" xr:uid="{69A4D737-A200-442B-AD49-7B23A9699F30}"/>
    <cellStyle name="Currency 4" xfId="472" xr:uid="{047A0EA6-9188-4B97-83EF-9848563280D1}"/>
    <cellStyle name="Currency0" xfId="473" xr:uid="{EBDE1C60-1E36-4F6F-A49B-85DC07CAD222}"/>
    <cellStyle name="Currency0 2" xfId="474" xr:uid="{9CA93D43-8349-4DC9-AFC1-CFD586F7EC1C}"/>
    <cellStyle name="Currency0 2 2" xfId="475" xr:uid="{38644D0E-0423-45D7-98B1-DA3B1F772566}"/>
    <cellStyle name="Currency0 2 2 2" xfId="476" xr:uid="{A4247F3B-C83D-411E-A795-247AD35DBC51}"/>
    <cellStyle name="Currency0 2 3" xfId="477" xr:uid="{BEEE5B1D-1533-4B00-B70B-1990135AD220}"/>
    <cellStyle name="Currency0 3" xfId="478" xr:uid="{06EA641D-DC8C-47F9-83F1-363F235AA267}"/>
    <cellStyle name="Currency0 3 2" xfId="479" xr:uid="{C8268A9F-3955-42DA-821A-3EC6FF272382}"/>
    <cellStyle name="Currency0 4" xfId="480" xr:uid="{2A9BBD0D-9C1A-47A4-A8D1-7F9484882D9E}"/>
    <cellStyle name="Date" xfId="481" xr:uid="{FB541207-8B91-438C-B182-D9F3DB45E15F}"/>
    <cellStyle name="Date 2" xfId="482" xr:uid="{82F08E3B-2C0C-41A1-A585-7424ECB2CE9E}"/>
    <cellStyle name="Date 2 2" xfId="483" xr:uid="{CE8BE4CD-2041-4B1D-9259-1AE0D5876951}"/>
    <cellStyle name="Date 2 2 2" xfId="484" xr:uid="{88D5CD88-937C-4ABB-BC3C-26BE883727D8}"/>
    <cellStyle name="Date 2 3" xfId="485" xr:uid="{7CD3BAB8-52E6-4B37-AFE3-6BC22E13E53D}"/>
    <cellStyle name="Date 3" xfId="486" xr:uid="{49DA44FA-B1C2-410F-9953-5A66D1BE52D0}"/>
    <cellStyle name="Date 3 2" xfId="487" xr:uid="{1BE6BC6A-2978-4DA6-8DE2-2720516605DE}"/>
    <cellStyle name="Date 4" xfId="488" xr:uid="{B2E57748-3276-4E25-B38C-3100A0D8405B}"/>
    <cellStyle name="decimal" xfId="489" xr:uid="{D602D023-4FFA-42CA-B4A0-2EB3604BE6E3}"/>
    <cellStyle name="Dot" xfId="490" xr:uid="{A252813B-B2B8-4DA4-B6D8-5BC2D2770C7F}"/>
    <cellStyle name="Entered" xfId="491" xr:uid="{8188951D-3E50-4C2E-AAFF-AFE64D59132B}"/>
    <cellStyle name="Escalation" xfId="492" xr:uid="{AFF13F66-6C43-4D99-9960-CA05276D20C6}"/>
    <cellStyle name="Explanatory Text" xfId="16" builtinId="53" customBuiltin="1"/>
    <cellStyle name="Explanatory Text 2" xfId="493" xr:uid="{A386746E-CC4E-4515-A890-D162D5C5AA73}"/>
    <cellStyle name="Fixed" xfId="494" xr:uid="{006D67F4-DB22-4B65-A1B3-5EBFE32CD327}"/>
    <cellStyle name="Fixed 2" xfId="495" xr:uid="{13CA29AD-A357-464D-AB8D-97178A9E4242}"/>
    <cellStyle name="Fixed 2 2" xfId="496" xr:uid="{4223FFA0-EDED-4B4E-8007-6075A035AE99}"/>
    <cellStyle name="Fixed 2 2 2" xfId="497" xr:uid="{205235A6-DBDE-4213-A678-5659E98CB04C}"/>
    <cellStyle name="Fixed 2 3" xfId="498" xr:uid="{3088AAEC-2038-444E-89D5-AC99EF759A23}"/>
    <cellStyle name="Fixed 3" xfId="499" xr:uid="{1A5EB724-7955-439F-A923-0019363B100B}"/>
    <cellStyle name="Fixed 3 2" xfId="500" xr:uid="{4F905A89-4BBF-49EE-973D-7E9C004D64C6}"/>
    <cellStyle name="Fixed 4" xfId="501" xr:uid="{60B6042E-DEA3-46A7-BA33-80D17CB5186D}"/>
    <cellStyle name="Good" xfId="7" builtinId="26" customBuiltin="1"/>
    <cellStyle name="Good 2" xfId="502" xr:uid="{840A6807-8076-427C-A1E5-CE06EF8FBF8D}"/>
    <cellStyle name="Good 3" xfId="503" xr:uid="{D23313AA-750F-40B1-B14F-36D3DC29C457}"/>
    <cellStyle name="Grey" xfId="504" xr:uid="{0525CD3E-6445-4EEE-B15B-B25C7FB24206}"/>
    <cellStyle name="Grey 2" xfId="505" xr:uid="{A2F09553-176B-4096-85A4-6108AA38C0A0}"/>
    <cellStyle name="HEADER" xfId="506" xr:uid="{DC15610F-A36D-4497-A5A1-A0B03AB87858}"/>
    <cellStyle name="Header1" xfId="507" xr:uid="{45DB05A2-B367-4520-BB5D-13D6D07A2642}"/>
    <cellStyle name="Header1 2" xfId="508" xr:uid="{862897E7-1324-4798-A07E-27A1FD503C4B}"/>
    <cellStyle name="Header2" xfId="509" xr:uid="{C8D6C3CC-281C-40BE-A44D-3FC364C0377F}"/>
    <cellStyle name="Header2 2" xfId="510" xr:uid="{E40BD8A6-FDDD-47BE-BF2A-66BCCF2AAAC3}"/>
    <cellStyle name="Heading" xfId="511" xr:uid="{1405FD9F-B93F-4DF4-86A9-2EC58BFFE8F4}"/>
    <cellStyle name="Heading 1" xfId="3" builtinId="16" customBuiltin="1"/>
    <cellStyle name="Heading 1 2" xfId="512" xr:uid="{0648A7D8-7DE7-4E94-90AE-AAB955DAC946}"/>
    <cellStyle name="Heading 1 3" xfId="513" xr:uid="{BDD47389-BA5C-4D03-A6A9-424AA8AC6120}"/>
    <cellStyle name="Heading 2" xfId="4" builtinId="17" customBuiltin="1"/>
    <cellStyle name="Heading 2 2" xfId="514" xr:uid="{E2D8D74E-5B1F-4AF5-AF7F-B029C83E3791}"/>
    <cellStyle name="Heading 2 3" xfId="515" xr:uid="{14FC8A03-C763-4639-AA8E-F45DEAD4F024}"/>
    <cellStyle name="Heading 3" xfId="5" builtinId="18" customBuiltin="1"/>
    <cellStyle name="Heading 3 2" xfId="516" xr:uid="{D2F2005B-A11C-4229-B706-47B9DCC91AEA}"/>
    <cellStyle name="Heading 3 3" xfId="517" xr:uid="{CBF45222-A6CF-4CA6-A95B-972E0324898C}"/>
    <cellStyle name="Heading 4" xfId="6" builtinId="19" customBuiltin="1"/>
    <cellStyle name="Heading 4 2" xfId="518" xr:uid="{2D20C0FB-DA06-4EF5-89B1-8957AEE195A8}"/>
    <cellStyle name="Heading 4 3" xfId="519" xr:uid="{CD1CA252-082D-4D25-9203-78ABC2FBE8B8}"/>
    <cellStyle name="Heading1" xfId="520" xr:uid="{96AFFA60-C838-4E4A-8592-9A47DE9DDD81}"/>
    <cellStyle name="Heading1 2" xfId="521" xr:uid="{864F3FDB-5D31-4B1A-807D-92A289C6809F}"/>
    <cellStyle name="Heading1 2 2" xfId="522" xr:uid="{EBE30D5F-627D-4295-B391-CCFAEEA67F88}"/>
    <cellStyle name="Heading1 2 2 2" xfId="523" xr:uid="{6D14FFB7-133F-43A6-AAFD-39D20A8DC6FD}"/>
    <cellStyle name="Heading1 2 3" xfId="524" xr:uid="{1F722641-B0F9-4B6F-869C-78D65E573201}"/>
    <cellStyle name="Heading1 3" xfId="525" xr:uid="{9A84C4F4-B294-44D4-908E-2AE0ABC47E00}"/>
    <cellStyle name="Heading1 3 2" xfId="526" xr:uid="{9B8BD41D-C520-411D-B71D-E3E583ADA244}"/>
    <cellStyle name="Heading1 4" xfId="527" xr:uid="{F9B64818-EF45-4E2A-B75F-48C809E61B87}"/>
    <cellStyle name="Heading2" xfId="528" xr:uid="{824E2B93-22DD-4F9B-B5F6-531E48951B79}"/>
    <cellStyle name="Heading2 2" xfId="529" xr:uid="{B6580582-2D79-49E3-8BED-1D4B46F2B040}"/>
    <cellStyle name="Heading2 2 2" xfId="530" xr:uid="{FE7ED741-EFBB-42DB-8AB5-814C3EE99D9E}"/>
    <cellStyle name="Heading2 2 2 2" xfId="531" xr:uid="{019E6611-567E-4557-ABB8-1C20BB1954D3}"/>
    <cellStyle name="Heading2 2 3" xfId="532" xr:uid="{A671176B-2B42-4F5B-B078-D4886C912262}"/>
    <cellStyle name="Heading2 3" xfId="533" xr:uid="{230F84CB-52BF-4C0E-8FCF-7C8C2A3F6582}"/>
    <cellStyle name="Heading2 3 2" xfId="534" xr:uid="{6FB7A2E7-0DF9-4217-B51E-17052C16854D}"/>
    <cellStyle name="Heading2 4" xfId="535" xr:uid="{9F20EAE4-EC53-4772-8B85-C56C7AF0C018}"/>
    <cellStyle name="HEADINGS" xfId="536" xr:uid="{54652C16-33CF-406F-99D3-06A6F99DFC5D}"/>
    <cellStyle name="Hidden" xfId="537" xr:uid="{E155AC20-2D87-4A6C-B6C4-67F8A4DBD436}"/>
    <cellStyle name="HIGHLIGHT" xfId="538" xr:uid="{D1C3182E-01E3-47F1-B8F4-083BF62D38DE}"/>
    <cellStyle name="Input" xfId="9" builtinId="20" customBuiltin="1"/>
    <cellStyle name="Input [yellow]" xfId="539" xr:uid="{048F9776-24A7-4895-A7D7-0DE3EB58EEA4}"/>
    <cellStyle name="Input [yellow] 2" xfId="540" xr:uid="{739BA9FD-FC8F-4514-AFAD-C164FB5EEB91}"/>
    <cellStyle name="Input 2" xfId="541" xr:uid="{FE4E808B-F717-4E33-A443-D31D4916D7A4}"/>
    <cellStyle name="Input 3" xfId="542" xr:uid="{47AF97DA-7F61-4193-822D-315BB41E931E}"/>
    <cellStyle name="Input 4" xfId="543" xr:uid="{83C401B2-3D1D-4279-967B-549627C400F4}"/>
    <cellStyle name="Input 5" xfId="544" xr:uid="{BB579341-3CD1-4FE5-B24B-1D46754303FD}"/>
    <cellStyle name="INPUTS" xfId="545" xr:uid="{AFCAE091-2C63-4B01-8FCE-98A19991CA65}"/>
    <cellStyle name="Inputs2" xfId="546" xr:uid="{AB01CE4B-919B-4C31-9A5C-0F076D107258}"/>
    <cellStyle name="Linked Cell" xfId="12" builtinId="24" customBuiltin="1"/>
    <cellStyle name="Linked Cell 2" xfId="547" xr:uid="{723C8A4E-F4C2-4059-B078-080ED9946224}"/>
    <cellStyle name="Linked Cell 3" xfId="548" xr:uid="{32CE2081-EC41-4A64-9D42-5DA774115F4B}"/>
    <cellStyle name="m/d/yy" xfId="549" xr:uid="{0A60457C-195B-4BFF-B99F-35031C09076B}"/>
    <cellStyle name="Month" xfId="550" xr:uid="{A80BA2D6-A19F-4C5C-B454-F57CAFD951E5}"/>
    <cellStyle name="Month-long" xfId="551" xr:uid="{E5C8CC25-5786-47F8-97EA-A2EA8150A46B}"/>
    <cellStyle name="Month-short" xfId="552" xr:uid="{588027C8-357E-414B-B139-7A5860EF7216}"/>
    <cellStyle name="Mon-yr" xfId="553" xr:uid="{7ECAEAD5-2C50-49AA-896E-B987641F402E}"/>
    <cellStyle name="Multiple" xfId="554" xr:uid="{D4CB792E-A016-4FAF-85CB-D6A5D909686B}"/>
    <cellStyle name="Neutral 2" xfId="556" xr:uid="{5B01E13F-8B7E-4A84-AD77-6EB573F7EE1F}"/>
    <cellStyle name="Neutral 3" xfId="557" xr:uid="{0F2F4969-182D-4C61-9EE8-6E7224146A50}"/>
    <cellStyle name="Neutral 4" xfId="555" xr:uid="{E256D0DB-97F4-46A2-B2F3-332D249CBBCE}"/>
    <cellStyle name="no dec" xfId="558" xr:uid="{A801A573-4CEB-4150-A0E0-1D156B55FDAD}"/>
    <cellStyle name="Normal" xfId="0" builtinId="0"/>
    <cellStyle name="Normal - Style1" xfId="559" xr:uid="{ECC0F070-4DCF-49C5-982A-B73DE437FBDF}"/>
    <cellStyle name="Normal - Style1 2" xfId="560" xr:uid="{D16F9BA6-9693-4848-B9EF-BF61878AD24E}"/>
    <cellStyle name="Normal - Style2" xfId="561" xr:uid="{6E3AC6A7-3140-44DE-8BB4-9254EC0FE3A4}"/>
    <cellStyle name="Normal 10" xfId="562" xr:uid="{522D3930-BAE5-490B-980B-0B988DB20115}"/>
    <cellStyle name="Normal 10 2" xfId="563" xr:uid="{5CEDCA72-AE38-40D0-8E79-F93B89D559C2}"/>
    <cellStyle name="Normal 11" xfId="564" xr:uid="{74CA97A4-76DF-4F80-BA4D-312526FF4F1D}"/>
    <cellStyle name="Normal 11 2" xfId="565" xr:uid="{30BCE34E-B8E8-4FF7-B0D0-232F7D903E66}"/>
    <cellStyle name="Normal 12" xfId="566" xr:uid="{6D9462A6-8D6F-4E26-A15C-86EE8A7C7A83}"/>
    <cellStyle name="Normal 12 2" xfId="567" xr:uid="{B3F709BE-5AEE-4277-8782-57E68D4215D4}"/>
    <cellStyle name="Normal 12 3" xfId="568" xr:uid="{39A70453-28E1-48B3-AEA5-241ECA23B8A9}"/>
    <cellStyle name="Normal 13" xfId="569" xr:uid="{94F73B70-E226-4F9C-96CF-24ACE1E2FDE4}"/>
    <cellStyle name="Normal 13 2" xfId="570" xr:uid="{C8ADE0D3-BA5C-4092-B81E-1CEF97F305C0}"/>
    <cellStyle name="Normal 14" xfId="571" xr:uid="{FEF85337-213A-4D05-99DB-50F904BC9BE2}"/>
    <cellStyle name="Normal 15" xfId="572" xr:uid="{C7F09D60-F540-49D4-AF9C-DDAA41906DB9}"/>
    <cellStyle name="Normal 16" xfId="573" xr:uid="{F49FB00D-0E2A-483A-BD13-46A7781E0A04}"/>
    <cellStyle name="Normal 17" xfId="574" xr:uid="{3E4BBC55-46F3-4731-BEFF-8E0C5F4AC146}"/>
    <cellStyle name="Normal 18" xfId="575" xr:uid="{E05803F0-35CE-4BD8-95D1-90EF1DF3771F}"/>
    <cellStyle name="Normal 19" xfId="576" xr:uid="{33A95205-473B-44A0-8AA2-31AFF5ADC187}"/>
    <cellStyle name="Normal 2" xfId="577" xr:uid="{38EFF84F-01C0-41AE-86D3-915CFCCBAEA2}"/>
    <cellStyle name="Normal 2 2" xfId="578" xr:uid="{1C9CDC93-31C1-4B91-9D2A-11201705D49B}"/>
    <cellStyle name="Normal 2 2 2" xfId="579" xr:uid="{14931FF5-168B-4559-9B00-6DB1264821B0}"/>
    <cellStyle name="Normal 2 2 2 2" xfId="580" xr:uid="{EBB8F37E-CE23-46B6-B58E-6C72724D74CA}"/>
    <cellStyle name="Normal 2 2 2 2 2" xfId="581" xr:uid="{D60007E5-99F6-4FD4-88A1-1AC5FC732052}"/>
    <cellStyle name="Normal 2 2 2 3" xfId="582" xr:uid="{F5CBD409-20D0-42A7-A425-E2A086801187}"/>
    <cellStyle name="Normal 2 2 3" xfId="583" xr:uid="{EF7A09AE-9E3F-4D7C-B7A3-621CDBD8D6B6}"/>
    <cellStyle name="Normal 2 2 4" xfId="584" xr:uid="{CDEB9C4B-0F79-4E47-B791-F5E6F612C1FB}"/>
    <cellStyle name="Normal 2 3" xfId="585" xr:uid="{CFD583A9-BA74-4774-9EBB-137E5D7BBF03}"/>
    <cellStyle name="Normal 2 3 2" xfId="586" xr:uid="{677A054A-25F5-44DC-A8C3-E6E10FAF45D5}"/>
    <cellStyle name="Normal 2 4" xfId="587" xr:uid="{19C662EE-1F58-420A-8CDE-6FBCB4A0CF5D}"/>
    <cellStyle name="Normal 2 5" xfId="588" xr:uid="{E0A52392-2FAB-4A96-9262-E4A408BEB654}"/>
    <cellStyle name="Normal 2 6" xfId="589" xr:uid="{9920730F-0B33-4806-9274-3DCB039C4331}"/>
    <cellStyle name="Normal 2 7" xfId="590" xr:uid="{43BFC588-377C-4FE7-848F-4C399E157183}"/>
    <cellStyle name="Normal 2_Attach D.1 - Monti CF_PV FV Sch H 3 (ARO Calc)" xfId="591" xr:uid="{73320428-BC71-4743-AAD2-84D3D6CD404C}"/>
    <cellStyle name="Normal 20" xfId="592" xr:uid="{0C447FA0-8620-4747-9C26-FF9D865279FB}"/>
    <cellStyle name="Normal 21" xfId="593" xr:uid="{B98A1E15-C8DA-4E2F-85D6-D733EF957490}"/>
    <cellStyle name="Normal 22" xfId="594" xr:uid="{0795CC43-056B-4206-9D58-D20687B633FE}"/>
    <cellStyle name="Normal 23" xfId="595" xr:uid="{D115191C-0AE3-480B-B53E-F77A1A34DA9A}"/>
    <cellStyle name="Normal 24" xfId="596" xr:uid="{1606BEC2-791A-4BEE-A784-4F1808627CB7}"/>
    <cellStyle name="Normal 25" xfId="597" xr:uid="{BFBA3A86-5B4D-4489-96D5-DB80BD6ABB3C}"/>
    <cellStyle name="Normal 26" xfId="598" xr:uid="{695CC99B-B4EE-4A65-A859-87A3E02D6628}"/>
    <cellStyle name="Normal 26 2" xfId="599" xr:uid="{DCCE22B8-D4DF-46DB-ABCF-C51C1D852FAB}"/>
    <cellStyle name="Normal 27" xfId="600" xr:uid="{50DAF15F-126B-4B19-A3E1-33C175A36FBC}"/>
    <cellStyle name="Normal 28" xfId="601" xr:uid="{7FE89DBF-2AAA-41CD-A0AA-2311A1BA56A3}"/>
    <cellStyle name="Normal 29" xfId="602" xr:uid="{46A05680-A3E8-445A-97FF-4AB486A31BCA}"/>
    <cellStyle name="Normal 3" xfId="603" xr:uid="{3779568F-6E87-400D-BD4B-784037C633B7}"/>
    <cellStyle name="Normal 3 2" xfId="604" xr:uid="{28A811DE-EAD7-42F7-B7B5-2D322743A05F}"/>
    <cellStyle name="Normal 3 2 2" xfId="605" xr:uid="{B96BF0D3-53E0-4890-8FBD-C9B02F8B8686}"/>
    <cellStyle name="Normal 3 3" xfId="606" xr:uid="{A1CD8B4D-D474-42A2-9817-708E010B95AE}"/>
    <cellStyle name="Normal 3 4" xfId="607" xr:uid="{6F1750DE-5165-4895-A9D6-6FF4AF8DD99D}"/>
    <cellStyle name="Normal 30" xfId="608" xr:uid="{CF75B627-2D17-4527-A114-9B42C793D04B}"/>
    <cellStyle name="Normal 31" xfId="609" xr:uid="{F2264676-89DB-4355-AE3E-6121F35B3389}"/>
    <cellStyle name="Normal 32" xfId="610" xr:uid="{05A9B7C4-200C-46E9-8EEC-DD0806AC858C}"/>
    <cellStyle name="Normal 33" xfId="611" xr:uid="{09C37F46-44E3-4449-B702-4E1E090548F8}"/>
    <cellStyle name="Normal 34" xfId="612" xr:uid="{5EAF3080-1F3D-430B-9D8B-92F9DDC84F6C}"/>
    <cellStyle name="Normal 35" xfId="613" xr:uid="{832C382F-3234-426B-9BC4-4FE32C24A17D}"/>
    <cellStyle name="Normal 36" xfId="614" xr:uid="{57BD1AFE-F41E-41C2-9DA7-CD7FBF5562A6}"/>
    <cellStyle name="Normal 37" xfId="615" xr:uid="{007FA4E5-959A-402F-B93E-7415FC380B31}"/>
    <cellStyle name="Normal 37 2" xfId="616" xr:uid="{BCDB0F87-35E7-4FFF-9A39-6F9910E771A0}"/>
    <cellStyle name="Normal 38" xfId="617" xr:uid="{E19CB475-D0CA-4A7B-9525-59A3F15C14D8}"/>
    <cellStyle name="Normal 39" xfId="618" xr:uid="{58B675AE-3059-4B05-A8CA-56578784518B}"/>
    <cellStyle name="Normal 4" xfId="619" xr:uid="{DF175A6B-1D49-4A2E-ADB8-18BB119FB3D5}"/>
    <cellStyle name="Normal 4 2" xfId="620" xr:uid="{FE5EB1DA-0D8A-4BD4-A43D-B1AA35AE4C14}"/>
    <cellStyle name="Normal 4 2 2" xfId="621" xr:uid="{C206422D-531E-4A99-B82F-7975F6CADC58}"/>
    <cellStyle name="Normal 4 3" xfId="622" xr:uid="{BCFBB0D0-24C5-49D5-900F-DA272DA49F56}"/>
    <cellStyle name="Normal 4 4" xfId="623" xr:uid="{708CAB80-6112-4A2F-9ECC-D43BE0F07E9C}"/>
    <cellStyle name="Normal 4 5" xfId="624" xr:uid="{D867C193-83E5-42E2-A6C5-21AB4CD40B83}"/>
    <cellStyle name="Normal 4_ARO calc 2009 PI 1 2 Est Cash Flow" xfId="625" xr:uid="{F124E471-8388-427C-879A-CC1AD34D0D70}"/>
    <cellStyle name="Normal 40" xfId="626" xr:uid="{A62779E5-1619-4082-A93B-5955D7DBB870}"/>
    <cellStyle name="Normal 41" xfId="627" xr:uid="{319C6400-E4C1-43B2-B9FE-D3ADE7E73D5C}"/>
    <cellStyle name="Normal 42" xfId="628" xr:uid="{60D2E515-0483-44E9-AC71-04E455739448}"/>
    <cellStyle name="Normal 43" xfId="629" xr:uid="{ED9F307D-FCFE-4D52-BAA6-03338D89E266}"/>
    <cellStyle name="Normal 44" xfId="630" xr:uid="{DAFE9C0C-0FA6-4EC0-9B7F-A38A05B03AD5}"/>
    <cellStyle name="Normal 45" xfId="631" xr:uid="{9002F67F-ACDE-455A-A76E-37BC74FB105B}"/>
    <cellStyle name="Normal 46" xfId="632" xr:uid="{9B79F45D-9E9C-435B-887B-562513D44BBE}"/>
    <cellStyle name="Normal 47" xfId="633" xr:uid="{26C8F6F9-0D83-42CD-9FD9-9A471B800205}"/>
    <cellStyle name="Normal 48" xfId="634" xr:uid="{9832B5F9-D4B3-4EA9-8049-C1CA91CC338C}"/>
    <cellStyle name="Normal 49" xfId="635" xr:uid="{BB23D494-C4AC-4255-B06B-4AC504B9C35E}"/>
    <cellStyle name="Normal 5" xfId="636" xr:uid="{83944899-BDED-47A6-93A5-36C34DA4CDD7}"/>
    <cellStyle name="Normal 5 2" xfId="637" xr:uid="{0C6E313E-3B75-4406-80EC-57B9120D9CA1}"/>
    <cellStyle name="Normal 5 2 2" xfId="638" xr:uid="{E5AF0FFB-BFD0-41E0-81D5-F7381E33C225}"/>
    <cellStyle name="Normal 5 3" xfId="639" xr:uid="{AC748CF5-38AE-4798-8189-6AB2CA187868}"/>
    <cellStyle name="Normal 5 4" xfId="640" xr:uid="{2183BFC2-8E37-4DEF-A969-16492C981B3F}"/>
    <cellStyle name="Normal 5_ARO calc 2009 PI 1 2 Est Cash Flow" xfId="641" xr:uid="{F6372DE6-6ADD-4F34-98EA-C04B1FDCCB1E}"/>
    <cellStyle name="Normal 50" xfId="642" xr:uid="{44F7C845-792B-4188-A5DC-EAD239A6D990}"/>
    <cellStyle name="Normal 51" xfId="643" xr:uid="{DFE58A41-C9A5-4A22-A276-F5CB544ACCFF}"/>
    <cellStyle name="Normal 52" xfId="644" xr:uid="{05F73F8C-58CA-47E3-842C-3D570E84695E}"/>
    <cellStyle name="Normal 53" xfId="645" xr:uid="{2D6E8332-A095-48FB-B8CF-19820337FC2E}"/>
    <cellStyle name="Normal 54" xfId="646" xr:uid="{2702B6E7-4F52-449B-831C-3EB54D64DF5D}"/>
    <cellStyle name="Normal 55" xfId="647" xr:uid="{7466A3F6-30DF-4534-9468-6C8FC9DEE191}"/>
    <cellStyle name="Normal 56" xfId="648" xr:uid="{84E67AAE-73D4-4D80-B46B-02ED3DC98BB7}"/>
    <cellStyle name="Normal 57" xfId="649" xr:uid="{5B441C4D-5DA0-49AA-B4C8-BE6C9511635F}"/>
    <cellStyle name="Normal 58" xfId="650" xr:uid="{D036DD92-E5F7-4291-981C-DFB16970A855}"/>
    <cellStyle name="Normal 59" xfId="651" xr:uid="{326A1848-BBE9-4CA7-BF90-B1B874C44144}"/>
    <cellStyle name="Normal 6" xfId="652" xr:uid="{068124D5-F4EC-4E57-9A3F-A20622D52FAE}"/>
    <cellStyle name="Normal 6 2" xfId="653" xr:uid="{C46E130F-DE6F-4608-AD6E-5378A9286B16}"/>
    <cellStyle name="Normal 60" xfId="654" xr:uid="{4DD33F3E-9820-475A-A14C-1542321FEE48}"/>
    <cellStyle name="Normal 61" xfId="655" xr:uid="{064B897E-59BD-4764-88CB-7CDAEDE99258}"/>
    <cellStyle name="Normal 62" xfId="656" xr:uid="{49C0B7BF-F0E5-4A56-91E5-6CF87C45072D}"/>
    <cellStyle name="Normal 63" xfId="657" xr:uid="{DB928649-21EE-47A6-BC2C-2081C2C28955}"/>
    <cellStyle name="Normal 64" xfId="658" xr:uid="{DD050AE9-592B-4FB5-978A-A55A56788AAB}"/>
    <cellStyle name="Normal 65" xfId="659" xr:uid="{07B7AE26-9D74-42A5-83B6-EF40B98EC119}"/>
    <cellStyle name="Normal 66" xfId="660" xr:uid="{7832F883-4BC3-419C-833C-502D310DCFC4}"/>
    <cellStyle name="Normal 67" xfId="661" xr:uid="{D000CC84-C38A-4F23-A1EE-078F8C87D177}"/>
    <cellStyle name="Normal 68" xfId="662" xr:uid="{47425826-A8DC-47C8-A24E-BEB3AF8CF3BF}"/>
    <cellStyle name="Normal 69" xfId="663" xr:uid="{D269810A-90A8-4884-BA25-0A048A59C128}"/>
    <cellStyle name="Normal 7" xfId="664" xr:uid="{6517F842-5B5C-4CFC-A280-F68B26620064}"/>
    <cellStyle name="Normal 7 2" xfId="665" xr:uid="{FD19EA83-9CBE-4A7B-8D57-EB2E05F017AD}"/>
    <cellStyle name="Normal 7 3" xfId="666" xr:uid="{E451365F-9AE2-478F-9240-266C1F8AB2A8}"/>
    <cellStyle name="Normal 70" xfId="667" xr:uid="{202578A0-E7E3-465E-9913-6018677F4384}"/>
    <cellStyle name="Normal 71" xfId="668" xr:uid="{495B8C90-8FCF-4BB4-8CAB-8692204BFCFB}"/>
    <cellStyle name="Normal 72" xfId="669" xr:uid="{D6CBB7F8-11C8-4532-9832-40EE66C5FF77}"/>
    <cellStyle name="Normal 73" xfId="670" xr:uid="{B3EC5B26-E1EB-4B35-8000-C8EA222C85E8}"/>
    <cellStyle name="Normal 74" xfId="671" xr:uid="{3296E221-9C8E-4F96-8818-2B6971253B1D}"/>
    <cellStyle name="Normal 74 2" xfId="672" xr:uid="{F0D5442F-8C93-472B-AF57-080A255D879A}"/>
    <cellStyle name="Normal 75" xfId="673" xr:uid="{9C964C86-D5C9-4D5E-906C-065EA8ACB838}"/>
    <cellStyle name="Normal 8" xfId="674" xr:uid="{154303C5-CA06-4043-8906-8089744896CC}"/>
    <cellStyle name="Normal 8 2" xfId="675" xr:uid="{70B0F348-2080-4FF9-8B4F-9961BBADCB4B}"/>
    <cellStyle name="Normal 9" xfId="676" xr:uid="{657D4084-B4EB-445C-94B9-40FCF064D950}"/>
    <cellStyle name="Normal 9 2" xfId="677" xr:uid="{DAFA41CE-0D9E-40EA-985E-402C71FBF1F6}"/>
    <cellStyle name="Note" xfId="15" builtinId="10" customBuiltin="1"/>
    <cellStyle name="Note 2" xfId="678" xr:uid="{93E21B1F-24F9-4428-90FC-1E858602E249}"/>
    <cellStyle name="Note 2 2" xfId="679" xr:uid="{9BAB7A13-4A5E-4DFF-B6DD-B1F62893DCCA}"/>
    <cellStyle name="Note 2 3" xfId="680" xr:uid="{C3D2958A-E0CD-4BD9-95F7-8DA22F941022}"/>
    <cellStyle name="Note 3" xfId="681" xr:uid="{1EC835AF-61AB-4455-9735-8C4C10D9ADB6}"/>
    <cellStyle name="Note 3 2" xfId="682" xr:uid="{41B31BFB-43AB-4DAC-A820-408DF0EAF931}"/>
    <cellStyle name="Note 3 2 2" xfId="683" xr:uid="{342812F7-B0DE-4BC5-8C52-795805F46010}"/>
    <cellStyle name="Note 3 3" xfId="684" xr:uid="{8D10EC6C-CA1F-4536-B6C4-0C4EF0B8E7EA}"/>
    <cellStyle name="Note 4" xfId="685" xr:uid="{60E66B53-B66A-4EE9-9E6F-D6F8CE6774A3}"/>
    <cellStyle name="Note 5" xfId="686" xr:uid="{B46BDB36-8CD6-4626-86DF-0BD489CDFEFA}"/>
    <cellStyle name="nozero" xfId="687" xr:uid="{34C92E63-3977-4FD6-9A2C-B463AEF1420B}"/>
    <cellStyle name="nozero 2" xfId="688" xr:uid="{76CF36FE-6B05-4A4D-AACC-9F8569F2A81B}"/>
    <cellStyle name="nozero 2 2" xfId="689" xr:uid="{CBE1FE0B-C93A-4524-B47A-4AFADE02F703}"/>
    <cellStyle name="nozero 2 2 2" xfId="690" xr:uid="{D6304E9C-DD3F-4CEE-93EC-B80F050B5D9C}"/>
    <cellStyle name="nozero 2 3" xfId="691" xr:uid="{22B65B0D-88B0-41D9-B315-1D6C8508E2AA}"/>
    <cellStyle name="nozero 3" xfId="692" xr:uid="{87AF5F13-B19A-4D81-A879-DED9C1986EFC}"/>
    <cellStyle name="nozero 3 2" xfId="693" xr:uid="{05189DE6-C4AA-4687-A68E-5C2691632F1C}"/>
    <cellStyle name="nozero 4" xfId="694" xr:uid="{6771AC70-709B-4DF1-B109-251AD512F7B8}"/>
    <cellStyle name="nPlosion" xfId="695" xr:uid="{42E96F7A-3402-4DBD-AD3D-77234B00AEE2}"/>
    <cellStyle name="Outlined" xfId="696" xr:uid="{D9B2E017-3A62-47B6-9FB8-E95120F0080F}"/>
    <cellStyle name="Output" xfId="10" builtinId="21" customBuiltin="1"/>
    <cellStyle name="Output 2" xfId="697" xr:uid="{37433944-2B27-42AE-BCB1-713CCE284303}"/>
    <cellStyle name="Output 3" xfId="698" xr:uid="{E75714F9-F99A-4A2D-B0B1-16687A96B88F}"/>
    <cellStyle name="Page Heading Large" xfId="699" xr:uid="{F051A57A-730D-42C3-A19B-F1E10791E28C}"/>
    <cellStyle name="Page Heading Small" xfId="700" xr:uid="{C64135EB-A081-4C5C-9D21-601709F5EC89}"/>
    <cellStyle name="Page Title" xfId="701" xr:uid="{E37536BA-EAFC-4F7D-974B-CE20C83F294C}"/>
    <cellStyle name="Percent (0)" xfId="702" xr:uid="{F65D1154-2F46-49AC-8CFD-4B5A91863BC3}"/>
    <cellStyle name="Percent (0) 2" xfId="703" xr:uid="{D62E39DD-03A3-4EA7-A708-7E8BD4FF0044}"/>
    <cellStyle name="Percent (0) 2 2" xfId="704" xr:uid="{58B7B12F-0ED4-4274-B586-E828F265ACEB}"/>
    <cellStyle name="Percent (0) 3" xfId="705" xr:uid="{205E7080-D634-4BBF-AD73-73BB657C7450}"/>
    <cellStyle name="Percent (0) 3 2" xfId="706" xr:uid="{203CE93A-2311-4F4B-BA3F-782C06BE9E79}"/>
    <cellStyle name="Percent (0) 3 2 2" xfId="707" xr:uid="{86AE1570-6540-4121-B7D2-9A0779D6266F}"/>
    <cellStyle name="Percent (0) 3 3" xfId="708" xr:uid="{0C10E0E7-570F-40B5-A656-EC222B7D254C}"/>
    <cellStyle name="Percent (0) 4" xfId="709" xr:uid="{82D6383D-46FF-49DC-A1AF-DF6DBAB5D900}"/>
    <cellStyle name="Percent [.00%]" xfId="710" xr:uid="{B0D94BC7-E822-4F75-8805-B39F18F872C3}"/>
    <cellStyle name="Percent [0]" xfId="711" xr:uid="{EDCEF8F1-783C-480A-93F7-C474C4B2E2E5}"/>
    <cellStyle name="Percent [1]" xfId="712" xr:uid="{BD28935E-98C6-4EAD-BE50-2CFE63968737}"/>
    <cellStyle name="Percent [2]" xfId="713" xr:uid="{2AED5233-C877-45B0-B716-A668A789CFCC}"/>
    <cellStyle name="Percent [2] 2" xfId="714" xr:uid="{A48CB914-1B33-412D-9568-90DE38F96D72}"/>
    <cellStyle name="Percent 1" xfId="715" xr:uid="{6E64199E-3D52-445E-9999-836F4C6D1A77}"/>
    <cellStyle name="Percent 10" xfId="716" xr:uid="{BC2D076D-79E7-4601-9EFA-2BD5756562EA}"/>
    <cellStyle name="Percent 100" xfId="717" xr:uid="{640A5FD0-E7DB-42CD-86A2-36E3638E4A56}"/>
    <cellStyle name="Percent 101" xfId="718" xr:uid="{5D356CA6-25DA-4A57-8AE3-BFF17B7A60F4}"/>
    <cellStyle name="Percent 102" xfId="719" xr:uid="{DCCD3BC4-8C98-4F0E-A2E9-5D3F53277559}"/>
    <cellStyle name="Percent 103" xfId="720" xr:uid="{6DA18807-F7C4-45E4-8AF0-F3FC3010F72A}"/>
    <cellStyle name="Percent 104" xfId="721" xr:uid="{741C4692-FE95-426A-AB39-E84F9BF7435D}"/>
    <cellStyle name="Percent 105" xfId="722" xr:uid="{D1674638-7AB3-48DF-AE6A-7100F911DD6C}"/>
    <cellStyle name="Percent 106" xfId="723" xr:uid="{0ADF40AA-563A-4AD3-AE09-781E6EA3C776}"/>
    <cellStyle name="Percent 107" xfId="724" xr:uid="{837FC7AD-75A3-4FDC-82FE-C5A41E294C89}"/>
    <cellStyle name="Percent 108" xfId="725" xr:uid="{210FAB01-FDFF-4DFD-BAA1-9EA993BBA98A}"/>
    <cellStyle name="Percent 109" xfId="726" xr:uid="{69EE5779-9AE3-4609-B663-537EA6DE61D5}"/>
    <cellStyle name="Percent 11" xfId="727" xr:uid="{0272E9CD-AA2E-46EB-847A-2EC91B083AC5}"/>
    <cellStyle name="Percent 110" xfId="728" xr:uid="{502103A9-880A-46B7-9723-4CD33480D9F0}"/>
    <cellStyle name="Percent 111" xfId="729" xr:uid="{C5725336-7E47-4E8A-95C0-4F555F89F754}"/>
    <cellStyle name="Percent 112" xfId="730" xr:uid="{4D35B1CC-8F12-48C5-8ED1-2C5BB351F083}"/>
    <cellStyle name="Percent 113" xfId="731" xr:uid="{5098A415-55D8-49C1-A895-B90558F60D9E}"/>
    <cellStyle name="Percent 114" xfId="732" xr:uid="{D159AEE8-A202-426B-9372-0D8C8BE21212}"/>
    <cellStyle name="Percent 115" xfId="733" xr:uid="{A0F6F413-CBBC-4434-B188-FC156F278EF1}"/>
    <cellStyle name="Percent 116" xfId="734" xr:uid="{2B0FFB70-A1D5-4B2C-AFA1-A1C69356173D}"/>
    <cellStyle name="Percent 117" xfId="735" xr:uid="{2EF8C0FA-EB09-4838-A1A9-9C3EEF0E3DF1}"/>
    <cellStyle name="Percent 118" xfId="736" xr:uid="{4BA08DF1-CB2E-44B6-BA32-D095BE5CF43F}"/>
    <cellStyle name="Percent 119" xfId="737" xr:uid="{73F6B905-D716-4B91-BD58-1673A152DFA3}"/>
    <cellStyle name="Percent 12" xfId="738" xr:uid="{09F29834-2980-4AF9-B72F-68844CCB4CED}"/>
    <cellStyle name="Percent 120" xfId="739" xr:uid="{1DD250B3-55D1-4714-A396-6FD47FF5F59F}"/>
    <cellStyle name="Percent 121" xfId="740" xr:uid="{B10CC1C7-5DD9-43BD-A2FB-FDDDB034B289}"/>
    <cellStyle name="Percent 122" xfId="741" xr:uid="{CF892CD6-F2A5-4479-BD06-3875C7E3CE47}"/>
    <cellStyle name="Percent 123" xfId="742" xr:uid="{8E3710F1-9D3A-4B3B-A888-BE74106BF17D}"/>
    <cellStyle name="Percent 124" xfId="743" xr:uid="{A0B8729E-61C9-4BA7-A527-149797E9395F}"/>
    <cellStyle name="Percent 125" xfId="744" xr:uid="{14B4596D-3A32-419A-B3E8-48455F711F51}"/>
    <cellStyle name="Percent 126" xfId="745" xr:uid="{361194F9-2FC7-46D0-B0EE-2F1869AB1F9F}"/>
    <cellStyle name="Percent 127" xfId="746" xr:uid="{1CC4519F-12FE-4A31-AD8C-D479ECAE2A60}"/>
    <cellStyle name="Percent 128" xfId="747" xr:uid="{55B94A29-34DB-445D-90A2-76B57439CDEE}"/>
    <cellStyle name="Percent 129" xfId="748" xr:uid="{D4DBC209-BBE1-40E4-957D-18CDAA6E566E}"/>
    <cellStyle name="Percent 13" xfId="749" xr:uid="{F587DB4A-A99C-429B-83F2-C49041D5FF15}"/>
    <cellStyle name="Percent 130" xfId="750" xr:uid="{946D4872-7020-42F6-9821-87BFE3E35C6F}"/>
    <cellStyle name="Percent 131" xfId="751" xr:uid="{7F445FB8-F4AC-4697-96E0-98BB622918F8}"/>
    <cellStyle name="Percent 132" xfId="752" xr:uid="{297E2B8E-E60F-4889-9292-C7D9BE00E002}"/>
    <cellStyle name="Percent 133" xfId="753" xr:uid="{303B2C4A-38CF-47AD-93FC-7E45A3C49906}"/>
    <cellStyle name="Percent 134" xfId="754" xr:uid="{C16848A6-BE51-46C8-9738-BE27B79C6288}"/>
    <cellStyle name="Percent 135" xfId="755" xr:uid="{55752B77-2CFC-4B4A-8CAB-6E3AE9866478}"/>
    <cellStyle name="Percent 136" xfId="756" xr:uid="{9B863A63-2327-41CC-B328-F230DAD8D1B1}"/>
    <cellStyle name="Percent 137" xfId="757" xr:uid="{0D16BD35-0EFB-4517-B401-734EFA00222A}"/>
    <cellStyle name="Percent 138" xfId="758" xr:uid="{4CAAEE4C-37ED-43E0-955E-DE8CF5AE0190}"/>
    <cellStyle name="Percent 139" xfId="759" xr:uid="{67691E72-A38E-4C3F-AAA2-221699685E4F}"/>
    <cellStyle name="Percent 14" xfId="760" xr:uid="{D9E5B345-78B4-491F-A6C4-C1221071C2B3}"/>
    <cellStyle name="Percent 140" xfId="761" xr:uid="{65FF84FF-C7D8-4D9C-99BE-5FDE0FDA03D6}"/>
    <cellStyle name="Percent 141" xfId="762" xr:uid="{86950AB0-6DFA-4F61-9AFE-3FC2F09331EF}"/>
    <cellStyle name="Percent 142" xfId="763" xr:uid="{4D121B2E-452C-4ABC-BA59-BC942E93CAF6}"/>
    <cellStyle name="Percent 143" xfId="764" xr:uid="{2D313A67-EC3A-47BC-916F-9C1E838C5B24}"/>
    <cellStyle name="Percent 144" xfId="765" xr:uid="{CC16CABF-3C39-4C3E-A95C-15B9A800CCB9}"/>
    <cellStyle name="Percent 145" xfId="766" xr:uid="{55979737-8214-4F98-8707-D52B946A5DE2}"/>
    <cellStyle name="Percent 146" xfId="767" xr:uid="{8AC531E9-37AA-46A2-B76C-D1A1783DF818}"/>
    <cellStyle name="Percent 147" xfId="768" xr:uid="{07A961EB-1BEF-4095-9684-CA14F37011A9}"/>
    <cellStyle name="Percent 148" xfId="769" xr:uid="{6C0EDE6C-C4A8-4D04-A911-71FA0511B92D}"/>
    <cellStyle name="Percent 149" xfId="770" xr:uid="{D8FFE123-0BCF-463A-AF01-E41DD2905D6E}"/>
    <cellStyle name="Percent 15" xfId="771" xr:uid="{3F99805D-E91C-4404-AFF9-C41FB4C7B571}"/>
    <cellStyle name="Percent 16" xfId="772" xr:uid="{324490C4-656F-4C6E-ABC7-ACB6938CB1C4}"/>
    <cellStyle name="Percent 17" xfId="773" xr:uid="{C7831575-1A2A-4D5A-9574-DDE4E9FBF946}"/>
    <cellStyle name="Percent 18" xfId="774" xr:uid="{13C0BE78-0042-4518-B76E-2278E30AAC9A}"/>
    <cellStyle name="Percent 19" xfId="775" xr:uid="{382F898D-AD5D-42CD-9A67-491CEACD52A6}"/>
    <cellStyle name="Percent 2" xfId="776" xr:uid="{E1B988C3-89BC-4237-B52D-975A49575762}"/>
    <cellStyle name="Percent 2 2" xfId="777" xr:uid="{AC0E9AE7-7522-4EC9-AB59-F8BC5B3FD678}"/>
    <cellStyle name="Percent 2 2 2" xfId="778" xr:uid="{B67D944C-A7FA-4186-9AEB-9E451705B0EF}"/>
    <cellStyle name="Percent 2 3" xfId="779" xr:uid="{CCDD07EF-6449-4A5F-AE92-124C259CB05E}"/>
    <cellStyle name="Percent 2 4" xfId="780" xr:uid="{814363C6-78E2-4C23-8CC1-DF2720CDF6FC}"/>
    <cellStyle name="Percent 20" xfId="781" xr:uid="{53ECDF65-02D9-4C06-A120-DAFFE965C8D7}"/>
    <cellStyle name="Percent 21" xfId="782" xr:uid="{A7A00636-E317-4677-ADD2-AB360F4BEA0A}"/>
    <cellStyle name="Percent 22" xfId="783" xr:uid="{4140B038-B2C6-4AA8-AAFA-E24214F95962}"/>
    <cellStyle name="Percent 23" xfId="784" xr:uid="{65AA4803-894F-4FBF-84AE-3620CEABF534}"/>
    <cellStyle name="Percent 24" xfId="785" xr:uid="{6EC6810E-936F-4494-9739-920DA9862924}"/>
    <cellStyle name="Percent 25" xfId="786" xr:uid="{B5FEE15B-45ED-470E-97BE-DA29E9FC5CBD}"/>
    <cellStyle name="Percent 26" xfId="787" xr:uid="{63D0C76F-BBF8-42E2-AFF1-3008AC4C89E5}"/>
    <cellStyle name="Percent 27" xfId="788" xr:uid="{57E3FC0A-AF2F-424C-B29C-21EF2F71B61E}"/>
    <cellStyle name="Percent 28" xfId="789" xr:uid="{E5F674E6-E696-4578-A663-A288AD7F85B9}"/>
    <cellStyle name="Percent 29" xfId="790" xr:uid="{475EDA7D-507E-4D1D-AD17-46680BDE5808}"/>
    <cellStyle name="Percent 3" xfId="791" xr:uid="{1EA7D65B-62ED-42FF-8098-30C33ED84243}"/>
    <cellStyle name="Percent 3 2" xfId="792" xr:uid="{B1E5E2E3-0937-4CA3-AF0E-D6F848441991}"/>
    <cellStyle name="Percent 3 3" xfId="793" xr:uid="{96CCEBE3-6862-4D9C-BA1D-6065FF685952}"/>
    <cellStyle name="Percent 30" xfId="794" xr:uid="{BE56C7DB-609E-45AD-AA22-DC15D134E6AB}"/>
    <cellStyle name="Percent 31" xfId="795" xr:uid="{B1DDEDE9-019C-4F18-9D4E-7E967CAE3D75}"/>
    <cellStyle name="Percent 32" xfId="796" xr:uid="{EA5857ED-E26A-43A2-BEDE-664B330A27BB}"/>
    <cellStyle name="Percent 33" xfId="797" xr:uid="{605B2043-C2AB-46E0-8E86-ED3D7BF282BF}"/>
    <cellStyle name="Percent 34" xfId="798" xr:uid="{BB4F8634-28CD-462D-B6D0-1608E5B32156}"/>
    <cellStyle name="Percent 35" xfId="799" xr:uid="{5AD4ADF0-3CB7-4158-8F1D-064FBAF3E979}"/>
    <cellStyle name="Percent 36" xfId="800" xr:uid="{A202F0D2-FBA1-4558-B396-4C167958850F}"/>
    <cellStyle name="Percent 37" xfId="801" xr:uid="{1D4370AD-0397-4C18-86BD-F6D6EDA6DD14}"/>
    <cellStyle name="Percent 38" xfId="802" xr:uid="{319F2D60-A5B3-4EB1-B06A-8095D332BAB4}"/>
    <cellStyle name="Percent 39" xfId="803" xr:uid="{F4C854CA-E5BF-42E1-BB5B-10563113FB73}"/>
    <cellStyle name="Percent 4" xfId="804" xr:uid="{9087A52B-6D61-479C-9C1B-143ABD5D570E}"/>
    <cellStyle name="Percent 4 2" xfId="805" xr:uid="{3562B5CD-6D5F-4883-BC95-809D4E79C489}"/>
    <cellStyle name="Percent 40" xfId="806" xr:uid="{DF368137-0894-41B9-863E-85F96B5B2AFE}"/>
    <cellStyle name="Percent 41" xfId="807" xr:uid="{41634E37-2534-4D5B-886D-7FCB1116B952}"/>
    <cellStyle name="Percent 42" xfId="808" xr:uid="{A5B2AF2E-DB8E-411A-911C-61FE47B51407}"/>
    <cellStyle name="Percent 43" xfId="809" xr:uid="{4910D09F-2E9A-4EA6-B94B-5011B7C48517}"/>
    <cellStyle name="Percent 44" xfId="810" xr:uid="{294D53FC-6C97-484D-B334-CBC17F6DCD94}"/>
    <cellStyle name="Percent 45" xfId="811" xr:uid="{A5B22C09-C78A-4324-BC0E-A9AA052DF8FA}"/>
    <cellStyle name="Percent 46" xfId="812" xr:uid="{6B461B41-A593-4646-B325-6905227322F8}"/>
    <cellStyle name="Percent 47" xfId="813" xr:uid="{8C862847-8194-4F48-AE5F-0C2EA590FD6F}"/>
    <cellStyle name="Percent 48" xfId="814" xr:uid="{9133A0EA-DDF0-48B1-8040-BFA0D72AF55F}"/>
    <cellStyle name="Percent 49" xfId="815" xr:uid="{1E3E371F-9D50-453F-BD2F-D898020ED3D0}"/>
    <cellStyle name="Percent 5" xfId="816" xr:uid="{BEF29D0C-F4EC-431E-BE9E-56266DD0704C}"/>
    <cellStyle name="Percent 50" xfId="817" xr:uid="{EA20D46A-2164-4002-842E-B69FCD7075F0}"/>
    <cellStyle name="Percent 51" xfId="818" xr:uid="{F5497800-C4DE-4AE0-8011-F902B4306D40}"/>
    <cellStyle name="Percent 52" xfId="819" xr:uid="{9FE4C30B-CD3B-4B4B-9067-D297AEFE9CA9}"/>
    <cellStyle name="Percent 53" xfId="820" xr:uid="{A8F30B0D-4F00-4E62-B540-9C2C2FBF1F9F}"/>
    <cellStyle name="Percent 54" xfId="821" xr:uid="{E70A24F1-79A4-48B5-9458-D9762EBCDB15}"/>
    <cellStyle name="Percent 55" xfId="822" xr:uid="{7889FBB9-17C3-4797-95F3-612B860DB01D}"/>
    <cellStyle name="Percent 56" xfId="823" xr:uid="{CE7D9FF0-5E82-42B2-A809-C215247265ED}"/>
    <cellStyle name="Percent 57" xfId="824" xr:uid="{19451FB3-5BBB-4C6E-BA08-74037C826E9C}"/>
    <cellStyle name="Percent 58" xfId="825" xr:uid="{F090298F-1094-4B20-921D-C4260FA89B2E}"/>
    <cellStyle name="Percent 59" xfId="826" xr:uid="{3BF4A0CC-ADAC-4001-BD58-38966582C0BE}"/>
    <cellStyle name="Percent 6" xfId="827" xr:uid="{F752BBE4-81D2-4B55-8CCE-71D2C6D0A244}"/>
    <cellStyle name="Percent 6 2" xfId="828" xr:uid="{AA7A58E6-5ABD-4190-AE1E-37DA172A70A5}"/>
    <cellStyle name="Percent 6 2 2" xfId="829" xr:uid="{78622221-43B2-4FDC-8FAF-647C53B64DA2}"/>
    <cellStyle name="Percent 6 3" xfId="830" xr:uid="{1355CED7-86F7-4D0D-998E-E4D037CCD75B}"/>
    <cellStyle name="Percent 60" xfId="831" xr:uid="{6C84F557-4BFE-4233-A0A8-CC53831EDBE9}"/>
    <cellStyle name="Percent 61" xfId="832" xr:uid="{D5456A4D-F447-474F-B9F2-B032928DCE19}"/>
    <cellStyle name="Percent 62" xfId="833" xr:uid="{AC1668F9-80F4-43BC-B7B9-5E48B2F515C9}"/>
    <cellStyle name="Percent 63" xfId="834" xr:uid="{E0CBEA9E-AB9F-4EE1-9CBB-89F3F2384640}"/>
    <cellStyle name="Percent 64" xfId="835" xr:uid="{68992AF5-7CAB-4B06-A650-738CBCBB5B00}"/>
    <cellStyle name="Percent 65" xfId="836" xr:uid="{F1D54520-81E5-4E03-BFDD-73F2F3ED0768}"/>
    <cellStyle name="Percent 66" xfId="837" xr:uid="{059C60C6-7974-4F8C-9CCA-F8592BF83F05}"/>
    <cellStyle name="Percent 67" xfId="838" xr:uid="{A07C3831-005E-42AF-8F6A-B9D49F0F3516}"/>
    <cellStyle name="Percent 68" xfId="839" xr:uid="{F607836C-9768-4574-BC60-3CF0C916CF70}"/>
    <cellStyle name="Percent 69" xfId="840" xr:uid="{83C8AC1C-5500-4C3A-B458-F3907EE16350}"/>
    <cellStyle name="Percent 7" xfId="841" xr:uid="{D5930BAB-BED9-4C63-A7E1-D80CA402F689}"/>
    <cellStyle name="Percent 7 2" xfId="842" xr:uid="{6A697975-3BBC-47B2-B172-83C3F2DBD20D}"/>
    <cellStyle name="Percent 7 2 2" xfId="843" xr:uid="{FC893479-D2E4-4BE7-BB85-67DE27070F2B}"/>
    <cellStyle name="Percent 7 3" xfId="844" xr:uid="{1B088149-884A-4B94-A2B3-03360EA44B11}"/>
    <cellStyle name="Percent 70" xfId="845" xr:uid="{60F0F172-8682-479A-8610-B3B0BC684705}"/>
    <cellStyle name="Percent 71" xfId="846" xr:uid="{E7D8444B-3FDE-4E47-9BAB-E9891405ACDF}"/>
    <cellStyle name="Percent 72" xfId="847" xr:uid="{974558A9-F7CC-4B63-9472-2F993807DDA1}"/>
    <cellStyle name="Percent 73" xfId="848" xr:uid="{C627956F-E020-41D8-80DC-6DF9285585BA}"/>
    <cellStyle name="Percent 74" xfId="849" xr:uid="{C5C153C8-FF12-44AC-B01F-EA82885F9D21}"/>
    <cellStyle name="Percent 75" xfId="850" xr:uid="{ADA00F54-9BF0-4ED4-B2AE-3A02701A527A}"/>
    <cellStyle name="Percent 76" xfId="851" xr:uid="{C7DF3E4B-69BC-4B9D-BAE3-CD17D4A5A61E}"/>
    <cellStyle name="Percent 77" xfId="852" xr:uid="{6EE8B990-BCE2-4268-A6E5-F7A32025571B}"/>
    <cellStyle name="Percent 78" xfId="853" xr:uid="{431BEA33-0F14-4B46-9CE9-53DEE659CAEE}"/>
    <cellStyle name="Percent 79" xfId="854" xr:uid="{D7FBD071-5CDE-4BC8-B701-049E5C640C67}"/>
    <cellStyle name="Percent 8" xfId="855" xr:uid="{6F35C90E-3F3A-4B49-AB03-12AE12E66097}"/>
    <cellStyle name="Percent 8 2" xfId="856" xr:uid="{6153DA69-5E2D-4F4F-83EE-20F2E8A4ECB4}"/>
    <cellStyle name="Percent 80" xfId="857" xr:uid="{54CF6D8A-F624-45A9-B7D5-943EFF38BAB4}"/>
    <cellStyle name="Percent 81" xfId="858" xr:uid="{C0B63CE5-9226-49F9-B849-F756B722380A}"/>
    <cellStyle name="Percent 82" xfId="859" xr:uid="{6CF19796-2D9A-4594-BD48-052572DAAFB3}"/>
    <cellStyle name="Percent 83" xfId="860" xr:uid="{33F43DEA-9AE6-4053-91F0-7B4FDF677B5F}"/>
    <cellStyle name="Percent 84" xfId="861" xr:uid="{A3559A37-A7E6-4679-A4F1-FEEBFF1D9DAC}"/>
    <cellStyle name="Percent 85" xfId="862" xr:uid="{485B18BC-03FC-4EDE-B505-C80D8A6BEB6E}"/>
    <cellStyle name="Percent 86" xfId="863" xr:uid="{3C144F03-E543-4664-BFF4-2300ED5F1A21}"/>
    <cellStyle name="Percent 87" xfId="864" xr:uid="{BEA0B719-A79B-445A-B827-2BF0BCD681C8}"/>
    <cellStyle name="Percent 88" xfId="865" xr:uid="{73B47624-5CC6-467A-83A9-9C0C04844271}"/>
    <cellStyle name="Percent 89" xfId="866" xr:uid="{2A07DBDF-FC7B-4919-A283-883BCAA22B44}"/>
    <cellStyle name="Percent 9" xfId="867" xr:uid="{BE7E1DEA-3B3D-43CA-9335-738828C6DBAC}"/>
    <cellStyle name="Percent 90" xfId="868" xr:uid="{CC6D82D7-DDAF-4872-BF34-0E57684D6930}"/>
    <cellStyle name="Percent 91" xfId="869" xr:uid="{3DA21655-BC9D-489C-9799-A548DAEFA261}"/>
    <cellStyle name="Percent 92" xfId="870" xr:uid="{433645AA-AAA0-4199-97B0-B8FF4613F129}"/>
    <cellStyle name="Percent 93" xfId="871" xr:uid="{1E707DCD-7B55-4ED1-BCFA-E7FF064945A3}"/>
    <cellStyle name="Percent 94" xfId="872" xr:uid="{EAD2BD57-3DA4-481B-A600-F8800BA5AC35}"/>
    <cellStyle name="Percent 95" xfId="873" xr:uid="{01F3A5BC-4EE9-4844-8232-2F6752D1C326}"/>
    <cellStyle name="Percent 96" xfId="874" xr:uid="{8DFBC392-7BDC-42D6-932A-1237A5F48F6B}"/>
    <cellStyle name="Percent 97" xfId="875" xr:uid="{1DCF5F82-505E-4FE8-87C1-DE15E7E1DA9C}"/>
    <cellStyle name="Percent 98" xfId="876" xr:uid="{E88C9AD0-F581-45CB-B62F-4483DC1B96AD}"/>
    <cellStyle name="Percent 99" xfId="877" xr:uid="{E1B51887-9344-4D9C-BA30-ED6A7CDD3D0A}"/>
    <cellStyle name="Percent Hard" xfId="878" xr:uid="{519226E4-AE6A-4BDF-96A1-737971AFD90E}"/>
    <cellStyle name="Power Price" xfId="879" xr:uid="{A3DFCACC-3CD0-41E0-93DB-04854D5CB1D7}"/>
    <cellStyle name="Present Value" xfId="880" xr:uid="{87F697DC-DE16-46A9-A0A7-8F765CFB676D}"/>
    <cellStyle name="PSChar" xfId="881" xr:uid="{A3D02940-3433-4CE9-AE53-4A6B4D11E505}"/>
    <cellStyle name="PSDate" xfId="882" xr:uid="{1451E3EC-7030-4B0C-9BD2-E0F49AAE7D62}"/>
    <cellStyle name="PSDec" xfId="883" xr:uid="{8AB62136-324D-4EDB-8D31-045925B73023}"/>
    <cellStyle name="PSHeading" xfId="884" xr:uid="{56405ADC-EBF6-4F25-8876-0418BF090DDE}"/>
    <cellStyle name="PSInt" xfId="885" xr:uid="{4C9984A3-3D08-40EE-8B54-DCFAC72284AE}"/>
    <cellStyle name="PSSpacer" xfId="886" xr:uid="{99AB0D1E-269B-4576-97B8-190D639419F0}"/>
    <cellStyle name="RangeBelow" xfId="887" xr:uid="{9A44872F-0005-4064-B3E7-DF0F4BF0EECA}"/>
    <cellStyle name="Reports" xfId="888" xr:uid="{E2E1F1B3-FCC9-4BCE-AC1D-9BB90AB2B160}"/>
    <cellStyle name="RevList" xfId="889" xr:uid="{5EAFFA3C-D06D-4886-B651-090C1CD1ADE1}"/>
    <cellStyle name="Section Heading-Large" xfId="890" xr:uid="{D8FBFF3B-C193-4768-B4D7-F9571E13EEC5}"/>
    <cellStyle name="Section Heading-Small" xfId="891" xr:uid="{A9B2A095-D6EF-44BD-928E-302ADDF8FA87}"/>
    <cellStyle name="Shaded" xfId="892" xr:uid="{062F2BB2-4876-44D7-9793-5D5644C40F2F}"/>
    <cellStyle name="Shading" xfId="893" xr:uid="{F81B708D-3DA7-4E56-98F3-35CE2121496A}"/>
    <cellStyle name="SMALL HEADINGS" xfId="894" xr:uid="{AAD1BAAD-DF1A-4148-8C3D-B651547F11E1}"/>
    <cellStyle name="Style 1" xfId="895" xr:uid="{2F114836-38E5-4FBB-A928-02FFC81DE2B7}"/>
    <cellStyle name="Style 22" xfId="896" xr:uid="{37D3B3DE-C794-4814-BAA6-6AFE965F40B1}"/>
    <cellStyle name="SUB HEADING" xfId="897" xr:uid="{CC2D1167-9613-4646-9CE1-7E673B308C27}"/>
    <cellStyle name="SubRoutine" xfId="898" xr:uid="{F9816DAF-E2A5-4275-86CC-6973EA26BFBF}"/>
    <cellStyle name="Subtotal" xfId="899" xr:uid="{52A7A583-1CFB-4E76-9184-0B2C20868D59}"/>
    <cellStyle name="Table Col Head" xfId="900" xr:uid="{2FE8E261-6ABA-4254-8C60-268505302AEA}"/>
    <cellStyle name="Table Sub Head" xfId="901" xr:uid="{7942F887-0462-425A-B7D0-4CCA2334EC1D}"/>
    <cellStyle name="Table Title" xfId="902" xr:uid="{E9AAE407-CCE7-4C30-B81F-4264E5894BA8}"/>
    <cellStyle name="Table Units" xfId="903" xr:uid="{A5B5CE99-1837-4343-988B-F3DAE3BDA25E}"/>
    <cellStyle name="Tabs" xfId="904" xr:uid="{F201E7C9-52CE-4C7D-BA45-D29EA445C036}"/>
    <cellStyle name="þ(Î'_x000c_ïþ÷_x000c_âþÖ_x0006__x0002_Þ”_x0013__x0007__x0001__x0001_" xfId="905" xr:uid="{150866A0-C3B2-488A-BA7E-F6B64F936B1E}"/>
    <cellStyle name="þ(Î'_x000c_ïþ÷_x000c_âþÖ_x0006__x0002_Þ”_x0013__x0007__x0001__x0001_ 2" xfId="906" xr:uid="{E67EE4D6-CA7D-4E66-9182-07AEBE3136C5}"/>
    <cellStyle name="þ(Î'_x000c_ïþ÷_x000c_âþÖ_x0006__x0002_Þ”_x0013__x0007__x0001__x0001_ 2 2" xfId="907" xr:uid="{D195FDB2-E028-4EBE-9FE9-DC8D64274505}"/>
    <cellStyle name="þ(Î'_x000c_ïþ÷_x000c_âþÖ_x0006__x0002_Þ”_x0013__x0007__x0001__x0001_ 2 2 2" xfId="908" xr:uid="{60CC0058-FA30-42F3-9DD1-54F06E28B15D}"/>
    <cellStyle name="þ(Î'_x000c_ïþ÷_x000c_âþÖ_x0006__x0002_Þ”_x0013__x0007__x0001__x0001_ 2 3" xfId="909" xr:uid="{6249BB66-B11A-4097-AC08-1020EE99E1F8}"/>
    <cellStyle name="þ(Î'_x000c_ïþ÷_x000c_âþÖ_x0006__x0002_Þ”_x0013__x0007__x0001__x0001_ 3" xfId="910" xr:uid="{5321A41D-0669-413E-B71E-804B878FE20F}"/>
    <cellStyle name="þ(Î'_x000c_ïþ÷_x000c_âþÖ_x0006__x0002_Þ”_x0013__x0007__x0001__x0001_ 3 2" xfId="911" xr:uid="{A0912908-DDEC-4C5C-9419-306AB386595F}"/>
    <cellStyle name="þ(Î'_x000c_ïþ÷_x000c_âþÖ_x0006__x0002_Þ”_x0013__x0007__x0001__x0001_ 4" xfId="912" xr:uid="{B80F56F6-C2B8-432F-800C-74ABEF3922D7}"/>
    <cellStyle name="Thousands" xfId="913" xr:uid="{2426D853-8F29-475B-84D9-BA5B34665487}"/>
    <cellStyle name="Thousands 2" xfId="914" xr:uid="{E60ED4C0-4C2E-49CE-853C-EC3D837EA0DD}"/>
    <cellStyle name="Thousands 2 2" xfId="915" xr:uid="{7C3B5679-D5F2-4B2F-B4C4-4AB8C4C4EE01}"/>
    <cellStyle name="Thousands 2 2 2" xfId="916" xr:uid="{57D0FDF4-FE64-47CE-B0F4-459144085517}"/>
    <cellStyle name="Thousands 2 3" xfId="917" xr:uid="{C1627AA6-8F8B-4D92-8CCF-5DF1E75837CF}"/>
    <cellStyle name="Thousands 3" xfId="918" xr:uid="{9A9AD826-DE3D-46BE-81B7-D95E8F7ABA2E}"/>
    <cellStyle name="Thousands 3 2" xfId="919" xr:uid="{DC2DC955-7674-475B-A0DF-0BE8A1F46922}"/>
    <cellStyle name="Thousands 4" xfId="920" xr:uid="{D4B4C336-C406-4F12-866F-A8FE4A1501E2}"/>
    <cellStyle name="Thousands1" xfId="921" xr:uid="{26F6C198-0F1D-42BE-9C4B-53C21FC6351D}"/>
    <cellStyle name="Thousands1 2" xfId="922" xr:uid="{F9507598-125B-43A1-BF9B-F237917789E4}"/>
    <cellStyle name="Thousands1 2 2" xfId="923" xr:uid="{9EECB2C6-CD9C-437D-828B-DB2AEC5BC239}"/>
    <cellStyle name="Thousands1 2 2 2" xfId="924" xr:uid="{56161592-6568-4C75-A57C-0C5CD73C3DD8}"/>
    <cellStyle name="Thousands1 2 3" xfId="925" xr:uid="{A40526CD-2C67-46BB-83A3-AF4D53CF212E}"/>
    <cellStyle name="Thousands1 3" xfId="926" xr:uid="{836850AB-4360-47FC-A302-9184A8C4072B}"/>
    <cellStyle name="Thousands1 3 2" xfId="927" xr:uid="{37856F9F-2262-4EEA-A054-99DF277F924E}"/>
    <cellStyle name="Thousands1 4" xfId="928" xr:uid="{5EF6C6BF-E4EE-4D17-A508-47829501AB14}"/>
    <cellStyle name="Tickmark" xfId="929" xr:uid="{2D911897-7E24-4714-A81A-245602EA9DBE}"/>
    <cellStyle name="Title 2" xfId="931" xr:uid="{E7296C62-80B0-4410-B52A-0EC3F2973072}"/>
    <cellStyle name="Title 3" xfId="932" xr:uid="{FCCB8201-1C82-41BE-B39E-D7283F03B208}"/>
    <cellStyle name="Title 4" xfId="930" xr:uid="{B12B71ED-58B0-43D8-B23B-442C135323AD}"/>
    <cellStyle name="Total" xfId="17" builtinId="25" customBuiltin="1"/>
    <cellStyle name="Total 2" xfId="933" xr:uid="{7D2F1A7E-8C39-4AFD-AE06-1A09CCBB903A}"/>
    <cellStyle name="Total 3" xfId="934" xr:uid="{5C3228ED-0745-419D-ADD2-4B9413BB0AAB}"/>
    <cellStyle name="Total 3 2" xfId="935" xr:uid="{30C66CA9-7B58-4A96-8957-BDDB0D3320A8}"/>
    <cellStyle name="Total 3 2 2" xfId="936" xr:uid="{FE379965-70BA-4DC4-B59E-0FE9270E5951}"/>
    <cellStyle name="Total 3 3" xfId="937" xr:uid="{B6BEF640-CC1F-489C-9FBA-310CF6284956}"/>
    <cellStyle name="Total 4" xfId="938" xr:uid="{2A2C9FE7-7C1E-407A-93C8-C9E0AC6995BD}"/>
    <cellStyle name="Total 4 2" xfId="939" xr:uid="{7DE9E522-5EDD-4694-B1E4-E2FAD268B5E3}"/>
    <cellStyle name="Total 5" xfId="940" xr:uid="{1E72109D-20FB-48DC-9DA3-31A5F5A3039D}"/>
    <cellStyle name="ubordinated Debt" xfId="941" xr:uid="{7556D8D1-C138-4789-A618-F7264DAA59E7}"/>
    <cellStyle name="UNITS" xfId="942" xr:uid="{8337E657-020A-4057-98DC-3852E842137E}"/>
    <cellStyle name="Unprot" xfId="943" xr:uid="{7B583AB3-E03B-4656-A3DF-E18CEF3A5929}"/>
    <cellStyle name="Unprot 2" xfId="944" xr:uid="{920FAC53-6A87-4506-8118-0CF5EE547C37}"/>
    <cellStyle name="Unprot$" xfId="945" xr:uid="{0FEC1B60-2AAC-4847-AB5C-64909E2B6812}"/>
    <cellStyle name="Unprotect" xfId="946" xr:uid="{08444A2D-1123-4276-81FD-70C1D70D0AE1}"/>
    <cellStyle name="UNSHADED" xfId="947" xr:uid="{22838DD9-C186-40CD-B0EA-492577115CCA}"/>
    <cellStyle name="Warning Text" xfId="14" builtinId="11" customBuiltin="1"/>
    <cellStyle name="Warning Text 2" xfId="948" xr:uid="{FE45B9E0-9EF1-43F3-8A48-203F34454CA5}"/>
    <cellStyle name="Year" xfId="949" xr:uid="{EA014A4E-0898-4156-8636-B1D559BD0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5CF463-61FD-4340-9B28-5A72CDFAF077}" mc:Ignorable="x14ac xr xr2 xr3">
  <x:sheetPr>
    <x:pageSetUpPr fitToPage="1"/>
  </x:sheetPr>
  <x:dimension ref="A1:U775"/>
  <x:sheetViews>
    <x:sheetView tabSelected="1" workbookViewId="0">
      <x:pane xSplit="1" topLeftCell="B1" activePane="topRight" state="frozen"/>
      <x:selection pane="topRight" activeCell="B1" sqref="B1"/>
    </x:sheetView>
  </x:sheetViews>
  <x:sheetFormatPr defaultRowHeight="15.65" outlineLevelRow="2"/>
  <x:cols>
    <x:col min="1" max="1" width="25.625" style="12" customWidth="1"/>
    <x:col min="2" max="2" width="9.125" style="8" bestFit="1" customWidth="1"/>
    <x:col min="3" max="3" width="21.375" style="6" customWidth="1"/>
    <x:col min="4" max="4" width="40.125" style="6" customWidth="1"/>
    <x:col min="5" max="5" width="29.25" style="6" customWidth="1"/>
    <x:col min="6" max="6" width="21.375" style="6" customWidth="1"/>
    <x:col min="7" max="7" width="9.625" style="1" customWidth="1"/>
    <x:col min="8" max="9" width="9.625" style="15" customWidth="1"/>
    <x:col min="10" max="10" width="19.25" style="3" customWidth="1"/>
    <x:col min="11" max="11" width="9.25" style="3" customWidth="1"/>
    <x:col min="12" max="12" width="21.125" style="2" customWidth="1"/>
    <x:col min="13" max="13" width="20.125" style="1" customWidth="1"/>
    <x:col min="14" max="14" width="17.625" style="1" bestFit="1" customWidth="1"/>
    <x:col min="15" max="15" width="21.125" style="1" customWidth="1"/>
    <x:col min="16" max="19" width="20.125" style="15" bestFit="1" customWidth="1"/>
    <x:col min="20" max="20" width="19" customWidth="1"/>
  </x:cols>
  <x:sheetData>
    <x:row r="1" spans="1:19">
      <x:c r="D1" s="23" t="s">
        <x:v>146</x:v>
      </x:c>
      <x:c r="E1" s="23"/>
      <x:c r="F1" s="23"/>
      <x:c r="P1" s="14" t="s">
        <x:v>147</x:v>
      </x:c>
      <x:c r="Q1" s="14"/>
      <x:c r="R1" s="14"/>
      <x:c r="S1" s="14"/>
    </x:row>
    <x:row r="2" spans="1:19">
      <x:c r="A2" s="19" t="s">
        <x:v>124</x:v>
      </x:c>
      <x:c r="B2" s="9" t="s">
        <x:v>125</x:v>
      </x:c>
      <x:c r="C2" s="10" t="s">
        <x:v>3</x:v>
      </x:c>
      <x:c r="D2" s="10" t="s">
        <x:v>0</x:v>
      </x:c>
      <x:c r="E2" s="10" t="s">
        <x:v>1</x:v>
      </x:c>
      <x:c r="F2" s="10" t="s">
        <x:v>2</x:v>
      </x:c>
      <x:c r="G2" s="10"/>
      <x:c r="H2" s="10"/>
      <x:c r="I2" s="10"/>
      <x:c r="J2" s="10" t="s">
        <x:v>126</x:v>
      </x:c>
      <x:c r="K2" s="10" t="s">
        <x:v>127</x:v>
      </x:c>
      <x:c r="L2" s="11" t="s">
        <x:v>128</x:v>
      </x:c>
      <x:c r="M2" s="10" t="s">
        <x:v>129</x:v>
      </x:c>
      <x:c r="N2" s="10" t="s">
        <x:v>148</x:v>
      </x:c>
      <x:c r="O2" s="10" t="s">
        <x:v>130</x:v>
      </x:c>
      <x:c r="P2" s="10" t="s">
        <x:v>0</x:v>
      </x:c>
      <x:c r="Q2" s="10" t="s">
        <x:v>1</x:v>
      </x:c>
      <x:c r="R2" s="10" t="s">
        <x:v>2</x:v>
      </x:c>
      <x:c r="S2" s="10"/>
    </x:row>
    <x:row r="3" spans="1:19" outlineLevel="2">
      <x:c r="A3" s="12" t="s">
        <x:v>4</x:v>
      </x:c>
      <x:c r="B3" s="7" t="s">
        <x:v>149</x:v>
      </x:c>
      <x:c r="C3" s="6">
        <x:v>12511935.609999999</x:v>
      </x:c>
      <x:c r="F3" s="6">
        <x:v>12511935.609999999</x:v>
      </x:c>
      <x:c r="G3" s="1">
        <x:f t="shared" ref="G3:G66" si="0">+C3-D3-E3-F3</x:f>
        <x:v>0</x:v>
      </x:c>
      <x:c r="J3" s="3">
        <x:v>100</x:v>
      </x:c>
      <x:c r="K3" s="3">
        <x:v>99.500412999999995</x:v>
      </x:c>
      <x:c r="L3" s="2">
        <x:v>0</x:v>
      </x:c>
      <x:c r="M3" s="1">
        <x:f t="shared" ref="M3:M34" si="1">+C3*(1-K3/J3)*(1-L3)</x:f>
        <x:v>62508.003755930862</x:v>
      </x:c>
      <x:c r="N3" s="1">
        <x:v>1.2687517594264217</x:v>
      </x:c>
      <x:c r="O3" s="1">
        <x:f t="shared" ref="O3:O34" si="2">IF((C3*(1-L3)-M3*N3)&lt;0,C3*(1-L3),M3*N3)</x:f>
        <x:v>79307.13974357066</x:v>
      </x:c>
      <x:c r="P3" s="16">
        <x:f t="shared" ref="P3:P34" si="3">+D3/$C3*$O3</x:f>
        <x:v>0</x:v>
      </x:c>
      <x:c r="Q3" s="16">
        <x:f t="shared" ref="Q3:Q34" si="4">+E3/$C3*$O3</x:f>
        <x:v>0</x:v>
      </x:c>
      <x:c r="R3" s="16">
        <x:f t="shared" ref="R3:R34" si="5">+F3/$C3*$O3</x:f>
        <x:v>79307.13974357066</x:v>
      </x:c>
      <x:c r="S3" s="16">
        <x:f t="shared" ref="S3:S14" si="6">+O3-P3-Q3-R3</x:f>
        <x:v>0</x:v>
      </x:c>
    </x:row>
    <x:row r="4" spans="1:19" outlineLevel="2">
      <x:c r="A4" s="12" t="s">
        <x:v>4</x:v>
      </x:c>
      <x:c r="B4" s="7" t="s">
        <x:v>150</x:v>
      </x:c>
      <x:c r="C4" s="6">
        <x:v>17204330.229999997</x:v>
      </x:c>
      <x:c r="F4" s="6">
        <x:v>17204330.229999997</x:v>
      </x:c>
      <x:c r="G4" s="1">
        <x:f t="shared" si="0"/>
        <x:v>0</x:v>
      </x:c>
      <x:c r="J4" s="3">
        <x:v>100</x:v>
      </x:c>
      <x:c r="K4" s="3">
        <x:v>98.501299000000003</x:v>
      </x:c>
      <x:c r="L4" s="2">
        <x:v>0</x:v>
      </x:c>
      <x:c r="M4" s="1">
        <x:f t="shared" si="1"/>
        <x:v>257841.46920031265</x:v>
      </x:c>
      <x:c r="N4" s="1">
        <x:v>1.2687517594264217</x:v>
      </x:c>
      <x:c r="O4" s="1">
        <x:f t="shared" si="2"/>
        <x:v>327136.81770099018</x:v>
      </x:c>
      <x:c r="P4" s="16">
        <x:f t="shared" si="3"/>
        <x:v>0</x:v>
      </x:c>
      <x:c r="Q4" s="16">
        <x:f t="shared" si="4"/>
        <x:v>0</x:v>
      </x:c>
      <x:c r="R4" s="16">
        <x:f t="shared" si="5"/>
        <x:v>327136.81770099018</x:v>
      </x:c>
      <x:c r="S4" s="16">
        <x:f t="shared" si="6"/>
        <x:v>0</x:v>
      </x:c>
    </x:row>
    <x:row r="5" spans="1:19" outlineLevel="2">
      <x:c r="A5" s="12" t="s">
        <x:v>4</x:v>
      </x:c>
      <x:c r="B5" s="7" t="s">
        <x:v>151</x:v>
      </x:c>
      <x:c r="C5" s="6">
        <x:v>19859557.580000009</x:v>
      </x:c>
      <x:c r="F5" s="6">
        <x:v>19859557.580000009</x:v>
      </x:c>
      <x:c r="G5" s="1">
        <x:f t="shared" si="0"/>
        <x:v>0</x:v>
      </x:c>
      <x:c r="J5" s="3">
        <x:v>100</x:v>
      </x:c>
      <x:c r="K5" s="3">
        <x:v>97.502313999999998</x:v>
      </x:c>
      <x:c r="L5" s="2">
        <x:v>0</x:v>
      </x:c>
      <x:c r="M5" s="1">
        <x:f t="shared" si="1"/>
        <x:v>496029.38933759881</x:v>
      </x:c>
      <x:c r="N5" s="1">
        <x:v>1.2687517594264217</x:v>
      </x:c>
      <x:c r="O5" s="1">
        <x:f t="shared" si="2"/>
        <x:v>629338.16044929205</x:v>
      </x:c>
      <x:c r="P5" s="16">
        <x:f t="shared" si="3"/>
        <x:v>0</x:v>
      </x:c>
      <x:c r="Q5" s="16">
        <x:f t="shared" si="4"/>
        <x:v>0</x:v>
      </x:c>
      <x:c r="R5" s="16">
        <x:f t="shared" si="5"/>
        <x:v>629338.16044929205</x:v>
      </x:c>
      <x:c r="S5" s="16">
        <x:f t="shared" si="6"/>
        <x:v>0</x:v>
      </x:c>
    </x:row>
    <x:row r="6" spans="1:19" outlineLevel="2">
      <x:c r="A6" s="12" t="s">
        <x:v>4</x:v>
      </x:c>
      <x:c r="B6" s="7" t="s">
        <x:v>111</x:v>
      </x:c>
      <x:c r="C6" s="6">
        <x:v>25478354.90000001</x:v>
      </x:c>
      <x:c r="F6" s="6">
        <x:v>25478354.90000001</x:v>
      </x:c>
      <x:c r="G6" s="1">
        <x:f t="shared" si="0"/>
        <x:v>0</x:v>
      </x:c>
      <x:c r="J6" s="3">
        <x:v>100</x:v>
      </x:c>
      <x:c r="K6" s="3">
        <x:v>96.503478000000001</x:v>
      </x:c>
      <x:c r="L6" s="2">
        <x:v>0</x:v>
      </x:c>
      <x:c r="M6" s="1">
        <x:f t="shared" si="1"/>
        <x:v>890856.28431657888</x:v>
      </x:c>
      <x:c r="N6" s="1">
        <x:v>1.2687517594264217</x:v>
      </x:c>
      <x:c r="O6" s="1">
        <x:f t="shared" si="2"/>
        <x:v>1130275.478122744</x:v>
      </x:c>
      <x:c r="P6" s="16">
        <x:f t="shared" si="3"/>
        <x:v>0</x:v>
      </x:c>
      <x:c r="Q6" s="16">
        <x:f t="shared" si="4"/>
        <x:v>0</x:v>
      </x:c>
      <x:c r="R6" s="16">
        <x:f t="shared" si="5"/>
        <x:v>1130275.478122744</x:v>
      </x:c>
      <x:c r="S6" s="16">
        <x:f t="shared" si="6"/>
        <x:v>0</x:v>
      </x:c>
    </x:row>
    <x:row r="7" spans="1:19" outlineLevel="2">
      <x:c r="A7" s="12" t="s">
        <x:v>4</x:v>
      </x:c>
      <x:c r="B7" s="7" t="s">
        <x:v>110</x:v>
      </x:c>
      <x:c r="C7" s="6">
        <x:v>47411689.119999982</x:v>
      </x:c>
      <x:c r="F7" s="6">
        <x:v>47411689.119999982</x:v>
      </x:c>
      <x:c r="G7" s="1">
        <x:f t="shared" si="0"/>
        <x:v>0</x:v>
      </x:c>
      <x:c r="J7" s="3">
        <x:v>100</x:v>
      </x:c>
      <x:c r="K7" s="3">
        <x:v>95.504812000000001</x:v>
      </x:c>
      <x:c r="L7" s="2">
        <x:v>0</x:v>
      </x:c>
      <x:c r="M7" s="1">
        <x:f t="shared" si="1"/>
        <x:v>2131244.5599195422</x:v>
      </x:c>
      <x:c r="N7" s="1">
        <x:v>1.2687517594264217</x:v>
      </x:c>
      <x:c r="O7" s="1">
        <x:f t="shared" si="2"/>
        <x:v>2704020.2851659087</x:v>
      </x:c>
      <x:c r="P7" s="16">
        <x:f t="shared" si="3"/>
        <x:v>0</x:v>
      </x:c>
      <x:c r="Q7" s="16">
        <x:f t="shared" si="4"/>
        <x:v>0</x:v>
      </x:c>
      <x:c r="R7" s="16">
        <x:f t="shared" si="5"/>
        <x:v>2704020.2851659087</x:v>
      </x:c>
      <x:c r="S7" s="16">
        <x:f t="shared" si="6"/>
        <x:v>0</x:v>
      </x:c>
    </x:row>
    <x:row r="8" spans="1:19" outlineLevel="2">
      <x:c r="A8" s="12" t="s">
        <x:v>4</x:v>
      </x:c>
      <x:c r="B8" s="7" t="s">
        <x:v>109</x:v>
      </x:c>
      <x:c r="C8" s="6">
        <x:v>16202920.180000002</x:v>
      </x:c>
      <x:c r="F8" s="6">
        <x:v>16202920.180000002</x:v>
      </x:c>
      <x:c r="G8" s="1">
        <x:f t="shared" si="0"/>
        <x:v>0</x:v>
      </x:c>
      <x:c r="J8" s="3">
        <x:v>100</x:v>
      </x:c>
      <x:c r="K8" s="3">
        <x:v>94.506332999999998</x:v>
      </x:c>
      <x:c r="L8" s="2">
        <x:v>0</x:v>
      </x:c>
      <x:c r="M8" s="1">
        <x:f t="shared" si="1"/>
        <x:v>890134.47896500106</x:v>
      </x:c>
      <x:c r="N8" s="1">
        <x:v>1.2687517594264217</x:v>
      </x:c>
      <x:c r="O8" s="1">
        <x:f t="shared" si="2"/>
        <x:v>1129359.6863129663</x:v>
      </x:c>
      <x:c r="P8" s="16">
        <x:f t="shared" si="3"/>
        <x:v>0</x:v>
      </x:c>
      <x:c r="Q8" s="16">
        <x:f t="shared" si="4"/>
        <x:v>0</x:v>
      </x:c>
      <x:c r="R8" s="16">
        <x:f t="shared" si="5"/>
        <x:v>1129359.6863129663</x:v>
      </x:c>
      <x:c r="S8" s="16">
        <x:f t="shared" si="6"/>
        <x:v>0</x:v>
      </x:c>
    </x:row>
    <x:row r="9" spans="1:19" outlineLevel="2">
      <x:c r="A9" s="12" t="s">
        <x:v>4</x:v>
      </x:c>
      <x:c r="B9" s="7" t="s">
        <x:v>108</x:v>
      </x:c>
      <x:c r="C9" s="6">
        <x:v>11562241.860000001</x:v>
      </x:c>
      <x:c r="F9" s="6">
        <x:v>11562241.860000001</x:v>
      </x:c>
      <x:c r="G9" s="1">
        <x:f t="shared" si="0"/>
        <x:v>0</x:v>
      </x:c>
      <x:c r="J9" s="3">
        <x:v>100</x:v>
      </x:c>
      <x:c r="K9" s="3">
        <x:v>93.508061999999995</x:v>
      </x:c>
      <x:c r="L9" s="2">
        <x:v>0</x:v>
      </x:c>
      <x:c r="M9" s="1">
        <x:f t="shared" si="1"/>
        <x:v>750613.57296124788</x:v>
      </x:c>
      <x:c r="N9" s="1">
        <x:v>1.2687517594264217</x:v>
      </x:c>
      <x:c r="O9" s="1">
        <x:f t="shared" si="2"/>
        <x:v>952342.291343936</x:v>
      </x:c>
      <x:c r="P9" s="16">
        <x:f t="shared" si="3"/>
        <x:v>0</x:v>
      </x:c>
      <x:c r="Q9" s="16">
        <x:f t="shared" si="4"/>
        <x:v>0</x:v>
      </x:c>
      <x:c r="R9" s="16">
        <x:f t="shared" si="5"/>
        <x:v>952342.291343936</x:v>
      </x:c>
      <x:c r="S9" s="16">
        <x:f t="shared" si="6"/>
        <x:v>0</x:v>
      </x:c>
    </x:row>
    <x:row r="10" spans="1:19" outlineLevel="2">
      <x:c r="A10" s="12" t="s">
        <x:v>4</x:v>
      </x:c>
      <x:c r="B10" s="7" t="s">
        <x:v>107</x:v>
      </x:c>
      <x:c r="C10" s="6">
        <x:v>11164807.68</x:v>
      </x:c>
      <x:c r="F10" s="6">
        <x:v>11164807.68</x:v>
      </x:c>
      <x:c r="G10" s="1">
        <x:f t="shared" si="0"/>
        <x:v>0</x:v>
      </x:c>
      <x:c r="J10" s="3">
        <x:v>100</x:v>
      </x:c>
      <x:c r="K10" s="3">
        <x:v>92.510024999999999</x:v>
      </x:c>
      <x:c r="L10" s="2">
        <x:v>0</x:v>
      </x:c>
      <x:c r="M10" s="1">
        <x:f t="shared" si="1"/>
        <x:v>836241.30403008044</x:v>
      </x:c>
      <x:c r="N10" s="1">
        <x:v>1.2687517594264217</x:v>
      </x:c>
      <x:c r="O10" s="1">
        <x:f t="shared" si="2"/>
        <x:v>1060982.6257932098</x:v>
      </x:c>
      <x:c r="P10" s="16">
        <x:f t="shared" si="3"/>
        <x:v>0</x:v>
      </x:c>
      <x:c r="Q10" s="16">
        <x:f t="shared" si="4"/>
        <x:v>0</x:v>
      </x:c>
      <x:c r="R10" s="16">
        <x:f t="shared" si="5"/>
        <x:v>1060982.6257932098</x:v>
      </x:c>
      <x:c r="S10" s="16">
        <x:f t="shared" si="6"/>
        <x:v>0</x:v>
      </x:c>
    </x:row>
    <x:row r="11" spans="1:19" outlineLevel="2">
      <x:c r="A11" s="12" t="s">
        <x:v>4</x:v>
      </x:c>
      <x:c r="B11" s="7" t="s">
        <x:v>106</x:v>
      </x:c>
      <x:c r="C11" s="6">
        <x:v>22528324.090000004</x:v>
      </x:c>
      <x:c r="F11" s="6">
        <x:v>22528324.090000004</x:v>
      </x:c>
      <x:c r="G11" s="1">
        <x:f t="shared" si="0"/>
        <x:v>0</x:v>
      </x:c>
      <x:c r="J11" s="3">
        <x:v>100</x:v>
      </x:c>
      <x:c r="K11" s="3">
        <x:v>91.512247000000002</x:v>
      </x:c>
      <x:c r="L11" s="2">
        <x:v>0</x:v>
      </x:c>
      <x:c r="M11" s="1">
        <x:f t="shared" si="1"/>
        <x:v>1912148.5037986976</x:v>
      </x:c>
      <x:c r="N11" s="1">
        <x:v>1.2687517594264217</x:v>
      </x:c>
      <x:c r="O11" s="1">
        <x:f t="shared" si="2"/>
        <x:v>2426041.7784791975</x:v>
      </x:c>
      <x:c r="P11" s="16">
        <x:f t="shared" si="3"/>
        <x:v>0</x:v>
      </x:c>
      <x:c r="Q11" s="16">
        <x:f t="shared" si="4"/>
        <x:v>0</x:v>
      </x:c>
      <x:c r="R11" s="16">
        <x:f t="shared" si="5"/>
        <x:v>2426041.7784791975</x:v>
      </x:c>
      <x:c r="S11" s="16">
        <x:f t="shared" si="6"/>
        <x:v>0</x:v>
      </x:c>
    </x:row>
    <x:row r="12" spans="1:19" outlineLevel="2">
      <x:c r="A12" s="12" t="s">
        <x:v>4</x:v>
      </x:c>
      <x:c r="B12" s="7" t="s">
        <x:v>105</x:v>
      </x:c>
      <x:c r="C12" s="6">
        <x:v>1778696.76</x:v>
      </x:c>
      <x:c r="F12" s="6">
        <x:v>1778696.76</x:v>
      </x:c>
      <x:c r="G12" s="1">
        <x:f t="shared" si="0"/>
        <x:v>0</x:v>
      </x:c>
      <x:c r="J12" s="3">
        <x:v>100</x:v>
      </x:c>
      <x:c r="K12" s="3">
        <x:v>90.514759999999995</x:v>
      </x:c>
      <x:c r="L12" s="2">
        <x:v>0</x:v>
      </x:c>
      <x:c r="M12" s="1">
        <x:f t="shared" si="1"/>
        <x:v>168713.65655822412</x:v>
      </x:c>
      <x:c r="N12" s="1">
        <x:v>1.2687517594264217</x:v>
      </x:c>
      <x:c r="O12" s="1">
        <x:f t="shared" si="2"/>
        <x:v>214055.74859751191</x:v>
      </x:c>
      <x:c r="P12" s="16">
        <x:f t="shared" si="3"/>
        <x:v>0</x:v>
      </x:c>
      <x:c r="Q12" s="16">
        <x:f t="shared" si="4"/>
        <x:v>0</x:v>
      </x:c>
      <x:c r="R12" s="16">
        <x:f t="shared" si="5"/>
        <x:v>214055.74859751191</x:v>
      </x:c>
      <x:c r="S12" s="16">
        <x:f t="shared" si="6"/>
        <x:v>0</x:v>
      </x:c>
    </x:row>
    <x:row r="13" spans="1:19" outlineLevel="2">
      <x:c r="A13" s="12" t="s">
        <x:v>4</x:v>
      </x:c>
      <x:c r="B13" s="7" t="s">
        <x:v>104</x:v>
      </x:c>
      <x:c r="C13" s="6">
        <x:v>20630084.219999995</x:v>
      </x:c>
      <x:c r="F13" s="6">
        <x:v>20630084.219999995</x:v>
      </x:c>
      <x:c r="G13" s="1">
        <x:f t="shared" si="0"/>
        <x:v>0</x:v>
      </x:c>
      <x:c r="J13" s="3">
        <x:v>100</x:v>
      </x:c>
      <x:c r="K13" s="3">
        <x:v>89.517590999999996</x:v>
      </x:c>
      <x:c r="L13" s="2">
        <x:v>0</x:v>
      </x:c>
      <x:c r="M13" s="1">
        <x:f t="shared" si="1"/>
        <x:v>2162529.8049848601</x:v>
      </x:c>
      <x:c r="N13" s="1">
        <x:v>1.2687517594264217</x:v>
      </x:c>
      <x:c r="O13" s="1">
        <x:f t="shared" si="2"/>
        <x:v>2743713.4948866181</x:v>
      </x:c>
      <x:c r="P13" s="16">
        <x:f t="shared" si="3"/>
        <x:v>0</x:v>
      </x:c>
      <x:c r="Q13" s="16">
        <x:f t="shared" si="4"/>
        <x:v>0</x:v>
      </x:c>
      <x:c r="R13" s="16">
        <x:f t="shared" si="5"/>
        <x:v>2743713.4948866181</x:v>
      </x:c>
      <x:c r="S13" s="16">
        <x:f t="shared" si="6"/>
        <x:v>0</x:v>
      </x:c>
    </x:row>
    <x:row r="14" spans="1:19" outlineLevel="2">
      <x:c r="A14" s="12" t="s">
        <x:v>4</x:v>
      </x:c>
      <x:c r="B14" s="7" t="s">
        <x:v>103</x:v>
      </x:c>
      <x:c r="C14" s="6">
        <x:v>131630396.91000001</x:v>
      </x:c>
      <x:c r="F14" s="6">
        <x:v>131630396.91000001</x:v>
      </x:c>
      <x:c r="G14" s="1">
        <x:f t="shared" si="0"/>
        <x:v>0</x:v>
      </x:c>
      <x:c r="J14" s="3">
        <x:v>100</x:v>
      </x:c>
      <x:c r="K14" s="3">
        <x:v>88.520782999999994</x:v>
      </x:c>
      <x:c r="L14" s="2">
        <x:v>0</x:v>
      </x:c>
      <x:c r="M14" s="1">
        <x:f t="shared" si="1"/>
        <x:v>15110138.899260206</x:v>
      </x:c>
      <x:c r="N14" s="1">
        <x:v>1.2687517594264217</x:v>
      </x:c>
      <x:c r="O14" s="1">
        <x:f t="shared" si="2"/>
        <x:v>19171015.313614003</x:v>
      </x:c>
      <x:c r="P14" s="16">
        <x:f t="shared" si="3"/>
        <x:v>0</x:v>
      </x:c>
      <x:c r="Q14" s="16">
        <x:f t="shared" si="4"/>
        <x:v>0</x:v>
      </x:c>
      <x:c r="R14" s="16">
        <x:f t="shared" si="5"/>
        <x:v>19171015.313614003</x:v>
      </x:c>
      <x:c r="S14" s="16">
        <x:f t="shared" si="6"/>
        <x:v>0</x:v>
      </x:c>
    </x:row>
    <x:row r="15" spans="1:19" outlineLevel="2">
      <x:c r="A15" s="12" t="s">
        <x:v>4</x:v>
      </x:c>
      <x:c r="B15" s="7" t="s">
        <x:v>102</x:v>
      </x:c>
      <x:c r="C15" s="6">
        <x:v>14144808.260000002</x:v>
      </x:c>
      <x:c r="F15" s="6">
        <x:v>14144808.260000002</x:v>
      </x:c>
      <x:c r="G15" s="1">
        <x:f t="shared" si="0"/>
        <x:v>0</x:v>
      </x:c>
      <x:c r="J15" s="3">
        <x:v>100</x:v>
      </x:c>
      <x:c r="K15" s="3">
        <x:v>87.524371000000002</x:v>
      </x:c>
      <x:c r="L15" s="2">
        <x:v>0</x:v>
      </x:c>
      <x:c r="M15" s="1">
        <x:f t="shared" si="1"/>
        <x:v>1764653.8012789555</x:v>
      </x:c>
      <x:c r="N15" s="1">
        <x:v>1.2687517594264217</x:v>
      </x:c>
      <x:c r="O15" s="1">
        <x:f t="shared" si="2"/>
        <x:v>2238907.6151511981</x:v>
      </x:c>
      <x:c r="P15" s="15">
        <x:f t="shared" si="3"/>
        <x:v>0</x:v>
      </x:c>
      <x:c r="Q15" s="15">
        <x:f t="shared" si="4"/>
        <x:v>0</x:v>
      </x:c>
      <x:c r="R15" s="15">
        <x:f t="shared" si="5"/>
        <x:v>2238907.6151511981</x:v>
      </x:c>
    </x:row>
    <x:row r="16" spans="1:19" outlineLevel="2">
      <x:c r="A16" s="12" t="s">
        <x:v>4</x:v>
      </x:c>
      <x:c r="B16" s="7" t="s">
        <x:v>101</x:v>
      </x:c>
      <x:c r="C16" s="6">
        <x:v>21823184.839999996</x:v>
      </x:c>
      <x:c r="F16" s="6">
        <x:v>21823184.839999996</x:v>
      </x:c>
      <x:c r="G16" s="1">
        <x:f t="shared" si="0"/>
        <x:v>0</x:v>
      </x:c>
      <x:c r="J16" s="3">
        <x:v>100</x:v>
      </x:c>
      <x:c r="K16" s="3">
        <x:v>86.528392999999994</x:v>
      </x:c>
      <x:c r="L16" s="2">
        <x:v>0</x:v>
      </x:c>
      <x:c r="M16" s="1">
        <x:f t="shared" si="1"/>
        <x:v>2939933.6965283798</x:v>
      </x:c>
      <x:c r="N16" s="1">
        <x:v>1.2687517594264217</x:v>
      </x:c>
      <x:c r="O16" s="1">
        <x:f t="shared" si="2"/>
        <x:v>3730046.0500674057</x:v>
      </x:c>
      <x:c r="P16" s="15">
        <x:f t="shared" si="3"/>
        <x:v>0</x:v>
      </x:c>
      <x:c r="Q16" s="15">
        <x:f t="shared" si="4"/>
        <x:v>0</x:v>
      </x:c>
      <x:c r="R16" s="15">
        <x:f t="shared" si="5"/>
        <x:v>3730046.0500674057</x:v>
      </x:c>
    </x:row>
    <x:row r="17" spans="1:18" outlineLevel="2">
      <x:c r="A17" s="12" t="s">
        <x:v>4</x:v>
      </x:c>
      <x:c r="B17" s="7" t="s">
        <x:v>100</x:v>
      </x:c>
      <x:c r="C17" s="6">
        <x:v>16656461.810000001</x:v>
      </x:c>
      <x:c r="F17" s="6">
        <x:v>16656461.810000001</x:v>
      </x:c>
      <x:c r="G17" s="1">
        <x:f t="shared" si="0"/>
        <x:v>0</x:v>
      </x:c>
      <x:c r="J17" s="3">
        <x:v>100</x:v>
      </x:c>
      <x:c r="K17" s="3">
        <x:v>85.532898000000003</x:v>
      </x:c>
      <x:c r="L17" s="2">
        <x:v>0</x:v>
      </x:c>
      <x:c r="M17" s="1">
        <x:f t="shared" si="1"/>
        <x:v>2409707.3196437461</x:v>
      </x:c>
      <x:c r="N17" s="1">
        <x:v>1.2687517594264217</x:v>
      </x:c>
      <x:c r="O17" s="1">
        <x:f t="shared" si="2"/>
        <x:v>3057320.4015007298</x:v>
      </x:c>
      <x:c r="P17" s="15">
        <x:f t="shared" si="3"/>
        <x:v>0</x:v>
      </x:c>
      <x:c r="Q17" s="15">
        <x:f t="shared" si="4"/>
        <x:v>0</x:v>
      </x:c>
      <x:c r="R17" s="15">
        <x:f t="shared" si="5"/>
        <x:v>3057320.4015007298</x:v>
      </x:c>
    </x:row>
    <x:row r="18" spans="1:18" outlineLevel="2">
      <x:c r="A18" s="12" t="s">
        <x:v>4</x:v>
      </x:c>
      <x:c r="B18" s="7" t="s">
        <x:v>99</x:v>
      </x:c>
      <x:c r="C18" s="6">
        <x:v>1750118.5100000002</x:v>
      </x:c>
      <x:c r="F18" s="6">
        <x:v>1750118.5100000002</x:v>
      </x:c>
      <x:c r="G18" s="1">
        <x:f t="shared" si="0"/>
        <x:v>0</x:v>
      </x:c>
      <x:c r="J18" s="3">
        <x:v>100</x:v>
      </x:c>
      <x:c r="K18" s="3">
        <x:v>84.537930000000003</x:v>
      </x:c>
      <x:c r="L18" s="2">
        <x:v>0</x:v>
      </x:c>
      <x:c r="M18" s="1">
        <x:f t="shared" si="1"/>
        <x:v>270604.54909915692</x:v>
      </x:c>
      <x:c r="N18" s="1">
        <x:v>1.2687517594264217</x:v>
      </x:c>
      <x:c r="O18" s="1">
        <x:f t="shared" si="2"/>
        <x:v>343329.99777834886</x:v>
      </x:c>
      <x:c r="P18" s="15">
        <x:f t="shared" si="3"/>
        <x:v>0</x:v>
      </x:c>
      <x:c r="Q18" s="15">
        <x:f t="shared" si="4"/>
        <x:v>0</x:v>
      </x:c>
      <x:c r="R18" s="15">
        <x:f t="shared" si="5"/>
        <x:v>343329.99777834886</x:v>
      </x:c>
    </x:row>
    <x:row r="19" spans="1:18" outlineLevel="2">
      <x:c r="A19" s="12" t="s">
        <x:v>4</x:v>
      </x:c>
      <x:c r="B19" s="7" t="s">
        <x:v>98</x:v>
      </x:c>
      <x:c r="C19" s="6">
        <x:v>4294120.92</x:v>
      </x:c>
      <x:c r="F19" s="6">
        <x:v>4294120.92</x:v>
      </x:c>
      <x:c r="G19" s="1">
        <x:f t="shared" si="0"/>
        <x:v>0</x:v>
      </x:c>
      <x:c r="J19" s="3">
        <x:v>100</x:v>
      </x:c>
      <x:c r="K19" s="3">
        <x:v>83.543542000000002</x:v>
      </x:c>
      <x:c r="L19" s="2">
        <x:v>0</x:v>
      </x:c>
      <x:c r="M19" s="1">
        <x:f t="shared" si="1"/>
        <x:v>706660.20566901343</x:v>
      </x:c>
      <x:c r="N19" s="1">
        <x:v>1.2687517594264217</x:v>
      </x:c>
      <x:c r="O19" s="1">
        <x:f t="shared" si="2"/>
        <x:v>896576.37925919786</x:v>
      </x:c>
      <x:c r="P19" s="15">
        <x:f t="shared" si="3"/>
        <x:v>0</x:v>
      </x:c>
      <x:c r="Q19" s="15">
        <x:f t="shared" si="4"/>
        <x:v>0</x:v>
      </x:c>
      <x:c r="R19" s="15">
        <x:f t="shared" si="5"/>
        <x:v>896576.37925919786</x:v>
      </x:c>
    </x:row>
    <x:row r="20" spans="1:18" outlineLevel="2">
      <x:c r="A20" s="12" t="s">
        <x:v>4</x:v>
      </x:c>
      <x:c r="B20" s="7" t="s">
        <x:v>97</x:v>
      </x:c>
      <x:c r="C20" s="6">
        <x:v>8483991.5999999996</x:v>
      </x:c>
      <x:c r="F20" s="6">
        <x:v>8483991.5999999996</x:v>
      </x:c>
      <x:c r="G20" s="1">
        <x:f t="shared" si="0"/>
        <x:v>0</x:v>
      </x:c>
      <x:c r="J20" s="3">
        <x:v>100</x:v>
      </x:c>
      <x:c r="K20" s="3">
        <x:v>82.549790999999999</x:v>
      </x:c>
      <x:c r="L20" s="2">
        <x:v>0</x:v>
      </x:c>
      <x:c r="M20" s="1">
        <x:f t="shared" si="1"/>
        <x:v>1480474.2657424444</x:v>
      </x:c>
      <x:c r="N20" s="1">
        <x:v>1.2687517594264217</x:v>
      </x:c>
      <x:c r="O20" s="1">
        <x:f t="shared" si="2"/>
        <x:v>1878354.3294462662</x:v>
      </x:c>
      <x:c r="P20" s="15">
        <x:f t="shared" si="3"/>
        <x:v>0</x:v>
      </x:c>
      <x:c r="Q20" s="15">
        <x:f t="shared" si="4"/>
        <x:v>0</x:v>
      </x:c>
      <x:c r="R20" s="15">
        <x:f t="shared" si="5"/>
        <x:v>1878354.3294462662</x:v>
      </x:c>
    </x:row>
    <x:row r="21" spans="1:18" outlineLevel="2">
      <x:c r="A21" s="12" t="s">
        <x:v>4</x:v>
      </x:c>
      <x:c r="B21" s="7" t="s">
        <x:v>96</x:v>
      </x:c>
      <x:c r="C21" s="6">
        <x:v>15377143.59</x:v>
      </x:c>
      <x:c r="F21" s="6">
        <x:v>15377143.59</x:v>
      </x:c>
      <x:c r="G21" s="1">
        <x:f t="shared" si="0"/>
        <x:v>0</x:v>
      </x:c>
      <x:c r="J21" s="3">
        <x:v>100</x:v>
      </x:c>
      <x:c r="K21" s="3">
        <x:v>81.556731999999997</x:v>
      </x:c>
      <x:c r="L21" s="2">
        <x:v>0</x:v>
      </x:c>
      <x:c r="M21" s="1">
        <x:f t="shared" si="1"/>
        <x:v>2836047.8030485213</x:v>
      </x:c>
      <x:c r="N21" s="1">
        <x:v>1.2687517594264217</x:v>
      </x:c>
      <x:c r="O21" s="1">
        <x:f t="shared" si="2"/>
        <x:v>3598240.6399352495</x:v>
      </x:c>
      <x:c r="P21" s="15">
        <x:f t="shared" si="3"/>
        <x:v>0</x:v>
      </x:c>
      <x:c r="Q21" s="15">
        <x:f t="shared" si="4"/>
        <x:v>0</x:v>
      </x:c>
      <x:c r="R21" s="15">
        <x:f t="shared" si="5"/>
        <x:v>3598240.6399352495</x:v>
      </x:c>
    </x:row>
    <x:row r="22" spans="1:18" outlineLevel="2">
      <x:c r="A22" s="12" t="s">
        <x:v>4</x:v>
      </x:c>
      <x:c r="B22" s="7" t="s">
        <x:v>95</x:v>
      </x:c>
      <x:c r="C22" s="6">
        <x:v>3971893.8599999994</x:v>
      </x:c>
      <x:c r="F22" s="6">
        <x:v>3971893.8599999994</x:v>
      </x:c>
      <x:c r="G22" s="1">
        <x:f t="shared" si="0"/>
        <x:v>0</x:v>
      </x:c>
      <x:c r="J22" s="3">
        <x:v>100</x:v>
      </x:c>
      <x:c r="K22" s="3">
        <x:v>80.564430000000002</x:v>
      </x:c>
      <x:c r="L22" s="2">
        <x:v>0</x:v>
      </x:c>
      <x:c r="M22" s="1">
        <x:f t="shared" si="1"/>
        <x:v>771960.21148600196</x:v>
      </x:c>
      <x:c r="N22" s="1">
        <x:v>1.2687517594264217</x:v>
      </x:c>
      <x:c r="O22" s="1">
        <x:f t="shared" si="2"/>
        <x:v>979425.87653005763</x:v>
      </x:c>
      <x:c r="P22" s="15">
        <x:f t="shared" si="3"/>
        <x:v>0</x:v>
      </x:c>
      <x:c r="Q22" s="15">
        <x:f t="shared" si="4"/>
        <x:v>0</x:v>
      </x:c>
      <x:c r="R22" s="15">
        <x:f t="shared" si="5"/>
        <x:v>979425.87653005763</x:v>
      </x:c>
    </x:row>
    <x:row r="23" spans="1:18" outlineLevel="2">
      <x:c r="A23" s="12" t="s">
        <x:v>4</x:v>
      </x:c>
      <x:c r="B23" s="7" t="s">
        <x:v>94</x:v>
      </x:c>
      <x:c r="C23" s="6">
        <x:v>3791318.52</x:v>
      </x:c>
      <x:c r="F23" s="6">
        <x:v>3791318.52</x:v>
      </x:c>
      <x:c r="G23" s="1">
        <x:f t="shared" si="0"/>
        <x:v>0</x:v>
      </x:c>
      <x:c r="J23" s="3">
        <x:v>100</x:v>
      </x:c>
      <x:c r="K23" s="3">
        <x:v>79.572957000000002</x:v>
      </x:c>
      <x:c r="L23" s="2">
        <x:v>0</x:v>
      </x:c>
      <x:c r="M23" s="1">
        <x:f t="shared" si="1"/>
        <x:v>774454.26434736361</x:v>
      </x:c>
      <x:c r="N23" s="1">
        <x:v>1.2687517594264217</x:v>
      </x:c>
      <x:c r="O23" s="1">
        <x:f t="shared" si="2"/>
        <x:v>982590.21048601263</x:v>
      </x:c>
      <x:c r="P23" s="15">
        <x:f t="shared" si="3"/>
        <x:v>0</x:v>
      </x:c>
      <x:c r="Q23" s="15">
        <x:f t="shared" si="4"/>
        <x:v>0</x:v>
      </x:c>
      <x:c r="R23" s="15">
        <x:f t="shared" si="5"/>
        <x:v>982590.21048601263</x:v>
      </x:c>
    </x:row>
    <x:row r="24" spans="1:18" outlineLevel="2">
      <x:c r="A24" s="12" t="s">
        <x:v>4</x:v>
      </x:c>
      <x:c r="B24" s="7" t="s">
        <x:v>93</x:v>
      </x:c>
      <x:c r="C24" s="6">
        <x:v>460052.80999999994</x:v>
      </x:c>
      <x:c r="F24" s="6">
        <x:v>460052.80999999994</x:v>
      </x:c>
      <x:c r="G24" s="1">
        <x:f t="shared" si="0"/>
        <x:v>0</x:v>
      </x:c>
      <x:c r="J24" s="3">
        <x:v>100</x:v>
      </x:c>
      <x:c r="K24" s="3">
        <x:v>78.582382999999993</x:v>
      </x:c>
      <x:c r="L24" s="2">
        <x:v>0</x:v>
      </x:c>
      <x:c r="M24" s="1">
        <x:f t="shared" si="1"/>
        <x:v>98532.348843537737</x:v>
      </x:c>
      <x:c r="N24" s="1">
        <x:v>1.2687517594264217</x:v>
      </x:c>
      <x:c r="O24" s="1">
        <x:f t="shared" si="2"/>
        <x:v>125013.09095565646</x:v>
      </x:c>
      <x:c r="P24" s="15">
        <x:f t="shared" si="3"/>
        <x:v>0</x:v>
      </x:c>
      <x:c r="Q24" s="15">
        <x:f t="shared" si="4"/>
        <x:v>0</x:v>
      </x:c>
      <x:c r="R24" s="15">
        <x:f t="shared" si="5"/>
        <x:v>125013.09095565646</x:v>
      </x:c>
    </x:row>
    <x:row r="25" spans="1:18" outlineLevel="2">
      <x:c r="A25" s="12" t="s">
        <x:v>4</x:v>
      </x:c>
      <x:c r="B25" s="7" t="s">
        <x:v>92</x:v>
      </x:c>
      <x:c r="C25" s="6">
        <x:v>6615324.6899999995</x:v>
      </x:c>
      <x:c r="F25" s="6">
        <x:v>6615324.6899999995</x:v>
      </x:c>
      <x:c r="G25" s="1">
        <x:f t="shared" si="0"/>
        <x:v>0</x:v>
      </x:c>
      <x:c r="J25" s="3">
        <x:v>100</x:v>
      </x:c>
      <x:c r="K25" s="3">
        <x:v>77.592783999999995</x:v>
      </x:c>
      <x:c r="L25" s="2">
        <x:v>0</x:v>
      </x:c>
      <x:c r="M25" s="1">
        <x:f t="shared" si="1"/>
        <x:v>1482310.0923896309</x:v>
      </x:c>
      <x:c r="N25" s="1">
        <x:v>1.2687517594264217</x:v>
      </x:c>
      <x:c r="O25" s="1">
        <x:f t="shared" si="2"/>
        <x:v>1880683.5377348859</x:v>
      </x:c>
      <x:c r="P25" s="15">
        <x:f t="shared" si="3"/>
        <x:v>0</x:v>
      </x:c>
      <x:c r="Q25" s="15">
        <x:f t="shared" si="4"/>
        <x:v>0</x:v>
      </x:c>
      <x:c r="R25" s="15">
        <x:f t="shared" si="5"/>
        <x:v>1880683.5377348859</x:v>
      </x:c>
    </x:row>
    <x:row r="26" spans="1:18" outlineLevel="2">
      <x:c r="A26" s="12" t="s">
        <x:v>4</x:v>
      </x:c>
      <x:c r="B26" s="7" t="s">
        <x:v>91</x:v>
      </x:c>
      <x:c r="C26" s="6">
        <x:v>16468175.92</x:v>
      </x:c>
      <x:c r="F26" s="6">
        <x:v>16468175.92</x:v>
      </x:c>
      <x:c r="G26" s="1">
        <x:f t="shared" si="0"/>
        <x:v>0</x:v>
      </x:c>
      <x:c r="J26" s="3">
        <x:v>100</x:v>
      </x:c>
      <x:c r="K26" s="3">
        <x:v>76.604241999999999</x:v>
      </x:c>
      <x:c r="L26" s="2">
        <x:v>0</x:v>
      </x:c>
      <x:c r="M26" s="1">
        <x:f t="shared" si="1"/>
        <x:v>3852854.5852574734</x:v>
      </x:c>
      <x:c r="N26" s="1">
        <x:v>1.2687517594264217</x:v>
      </x:c>
      <x:c r="O26" s="1">
        <x:f t="shared" si="2"/>
        <x:v>4888316.0338595761</x:v>
      </x:c>
      <x:c r="P26" s="15">
        <x:f t="shared" si="3"/>
        <x:v>0</x:v>
      </x:c>
      <x:c r="Q26" s="15">
        <x:f t="shared" si="4"/>
        <x:v>0</x:v>
      </x:c>
      <x:c r="R26" s="15">
        <x:f t="shared" si="5"/>
        <x:v>4888316.0338595761</x:v>
      </x:c>
    </x:row>
    <x:row r="27" spans="1:18" outlineLevel="2">
      <x:c r="A27" s="12" t="s">
        <x:v>4</x:v>
      </x:c>
      <x:c r="B27" s="7" t="s">
        <x:v>90</x:v>
      </x:c>
      <x:c r="C27" s="6">
        <x:v>200401.48999999996</x:v>
      </x:c>
      <x:c r="F27" s="6">
        <x:v>200401.48999999996</x:v>
      </x:c>
      <x:c r="G27" s="1">
        <x:f t="shared" si="0"/>
        <x:v>0</x:v>
      </x:c>
      <x:c r="J27" s="3">
        <x:v>100</x:v>
      </x:c>
      <x:c r="K27" s="3">
        <x:v>75.616844</x:v>
      </x:c>
      <x:c r="L27" s="2">
        <x:v>0</x:v>
      </x:c>
      <x:c r="M27" s="1">
        <x:f t="shared" si="1"/>
        <x:v>48864.20793302438</x:v>
      </x:c>
      <x:c r="N27" s="1">
        <x:v>1.2687517594264217</x:v>
      </x:c>
      <x:c r="O27" s="1">
        <x:f t="shared" si="2"/>
        <x:v>61996.549788003198</x:v>
      </x:c>
      <x:c r="P27" s="15">
        <x:f t="shared" si="3"/>
        <x:v>0</x:v>
      </x:c>
      <x:c r="Q27" s="15">
        <x:f t="shared" si="4"/>
        <x:v>0</x:v>
      </x:c>
      <x:c r="R27" s="15">
        <x:f t="shared" si="5"/>
        <x:v>61996.549788003198</x:v>
      </x:c>
    </x:row>
    <x:row r="28" spans="1:18" outlineLevel="2">
      <x:c r="A28" s="12" t="s">
        <x:v>4</x:v>
      </x:c>
      <x:c r="B28" s="7" t="s">
        <x:v>89</x:v>
      </x:c>
      <x:c r="C28" s="6">
        <x:v>510266.76</x:v>
      </x:c>
      <x:c r="F28" s="6">
        <x:v>510266.76</x:v>
      </x:c>
      <x:c r="G28" s="1">
        <x:f t="shared" si="0"/>
        <x:v>0</x:v>
      </x:c>
      <x:c r="J28" s="3">
        <x:v>100</x:v>
      </x:c>
      <x:c r="K28" s="3">
        <x:v>74.630679999999998</x:v>
      </x:c>
      <x:c r="L28" s="2">
        <x:v>0</x:v>
      </x:c>
      <x:c r="M28" s="1">
        <x:f t="shared" si="1"/>
        <x:v>129451.20719803203</x:v>
      </x:c>
      <x:c r="N28" s="1">
        <x:v>1.2687517594264217</x:v>
      </x:c>
      <x:c r="O28" s="1">
        <x:f t="shared" si="2"/>
        <x:v>164241.4468923774</x:v>
      </x:c>
      <x:c r="P28" s="15">
        <x:f t="shared" si="3"/>
        <x:v>0</x:v>
      </x:c>
      <x:c r="Q28" s="15">
        <x:f t="shared" si="4"/>
        <x:v>0</x:v>
      </x:c>
      <x:c r="R28" s="15">
        <x:f t="shared" si="5"/>
        <x:v>164241.4468923774</x:v>
      </x:c>
    </x:row>
    <x:row r="29" spans="1:18" outlineLevel="2">
      <x:c r="A29" s="12" t="s">
        <x:v>4</x:v>
      </x:c>
      <x:c r="B29" s="7" t="s">
        <x:v>88</x:v>
      </x:c>
      <x:c r="C29" s="6">
        <x:v>7681727.4200000009</x:v>
      </x:c>
      <x:c r="F29" s="6">
        <x:v>7681727.4200000009</x:v>
      </x:c>
      <x:c r="G29" s="1">
        <x:f t="shared" si="0"/>
        <x:v>0</x:v>
      </x:c>
      <x:c r="J29" s="3">
        <x:v>100</x:v>
      </x:c>
      <x:c r="K29" s="3">
        <x:v>73.645848999999998</x:v>
      </x:c>
      <x:c r="L29" s="2">
        <x:v>0</x:v>
      </x:c>
      <x:c r="M29" s="1">
        <x:f t="shared" si="1"/>
        <x:v>2024454.0436752047</x:v>
      </x:c>
      <x:c r="N29" s="1">
        <x:v>1.2687517594264217</x:v>
      </x:c>
      <x:c r="O29" s="1">
        <x:f t="shared" si="2"/>
        <x:v>2568529.62979085</x:v>
      </x:c>
      <x:c r="P29" s="15">
        <x:f t="shared" si="3"/>
        <x:v>0</x:v>
      </x:c>
      <x:c r="Q29" s="15">
        <x:f t="shared" si="4"/>
        <x:v>0</x:v>
      </x:c>
      <x:c r="R29" s="15">
        <x:f t="shared" si="5"/>
        <x:v>2568529.62979085</x:v>
      </x:c>
    </x:row>
    <x:row r="30" spans="1:18" outlineLevel="2">
      <x:c r="A30" s="12" t="s">
        <x:v>4</x:v>
      </x:c>
      <x:c r="B30" s="7" t="s">
        <x:v>87</x:v>
      </x:c>
      <x:c r="C30" s="6">
        <x:v>3438350.8400000003</x:v>
      </x:c>
      <x:c r="F30" s="6">
        <x:v>3438350.8400000003</x:v>
      </x:c>
      <x:c r="G30" s="1">
        <x:f t="shared" si="0"/>
        <x:v>0</x:v>
      </x:c>
      <x:c r="J30" s="3">
        <x:v>100</x:v>
      </x:c>
      <x:c r="K30" s="3">
        <x:v>72.662453999999997</x:v>
      </x:c>
      <x:c r="L30" s="2">
        <x:v>0</x:v>
      </x:c>
      <x:c r="M30" s="1">
        <x:f t="shared" si="1"/>
        <x:v>939960.74252638652</x:v>
      </x:c>
      <x:c r="N30" s="1">
        <x:v>1.2687517594264217</x:v>
      </x:c>
      <x:c r="O30" s="1">
        <x:f t="shared" si="2"/>
        <x:v>1192576.8458721186</x:v>
      </x:c>
      <x:c r="P30" s="15">
        <x:f t="shared" si="3"/>
        <x:v>0</x:v>
      </x:c>
      <x:c r="Q30" s="15">
        <x:f t="shared" si="4"/>
        <x:v>0</x:v>
      </x:c>
      <x:c r="R30" s="15">
        <x:f t="shared" si="5"/>
        <x:v>1192576.8458721186</x:v>
      </x:c>
    </x:row>
    <x:row r="31" spans="1:18" outlineLevel="2">
      <x:c r="A31" s="12" t="s">
        <x:v>4</x:v>
      </x:c>
      <x:c r="B31" s="7" t="s">
        <x:v>86</x:v>
      </x:c>
      <x:c r="C31" s="6">
        <x:v>17782.330000000002</x:v>
      </x:c>
      <x:c r="F31" s="6">
        <x:v>17782.330000000002</x:v>
      </x:c>
      <x:c r="G31" s="1">
        <x:f t="shared" si="0"/>
        <x:v>0</x:v>
      </x:c>
      <x:c r="J31" s="3">
        <x:v>100</x:v>
      </x:c>
      <x:c r="K31" s="3">
        <x:v>71.680600999999996</x:v>
      </x:c>
      <x:c r="L31" s="2">
        <x:v>0</x:v>
      </x:c>
      <x:c r="M31" s="1">
        <x:f t="shared" si="1"/>
        <x:v>5035.8489841967003</x:v>
      </x:c>
      <x:c r="N31" s="1">
        <x:v>1.2687517594264217</x:v>
      </x:c>
      <x:c r="O31" s="1">
        <x:f t="shared" si="2"/>
        <x:v>6389.2422589053222</x:v>
      </x:c>
      <x:c r="P31" s="15">
        <x:f t="shared" si="3"/>
        <x:v>0</x:v>
      </x:c>
      <x:c r="Q31" s="15">
        <x:f t="shared" si="4"/>
        <x:v>0</x:v>
      </x:c>
      <x:c r="R31" s="15">
        <x:f t="shared" si="5"/>
        <x:v>6389.2422589053222</x:v>
      </x:c>
    </x:row>
    <x:row r="32" spans="1:18" outlineLevel="2">
      <x:c r="A32" s="12" t="s">
        <x:v>4</x:v>
      </x:c>
      <x:c r="B32" s="7" t="s">
        <x:v>85</x:v>
      </x:c>
      <x:c r="C32" s="6">
        <x:v>67590.28</x:v>
      </x:c>
      <x:c r="F32" s="6">
        <x:v>67590.28</x:v>
      </x:c>
      <x:c r="G32" s="1">
        <x:f t="shared" si="0"/>
        <x:v>0</x:v>
      </x:c>
      <x:c r="J32" s="3">
        <x:v>100</x:v>
      </x:c>
      <x:c r="K32" s="3">
        <x:v>70.700396999999995</x:v>
      </x:c>
      <x:c r="L32" s="2">
        <x:v>0</x:v>
      </x:c>
      <x:c r="M32" s="1">
        <x:f t="shared" si="1"/>
        <x:v>19803.683706588403</x:v>
      </x:c>
      <x:c r="N32" s="1">
        <x:v>1.2687517594264217</x:v>
      </x:c>
      <x:c r="O32" s="1">
        <x:f t="shared" si="2"/>
        <x:v>25125.958545858397</x:v>
      </x:c>
      <x:c r="P32" s="15">
        <x:f t="shared" si="3"/>
        <x:v>0</x:v>
      </x:c>
      <x:c r="Q32" s="15">
        <x:f t="shared" si="4"/>
        <x:v>0</x:v>
      </x:c>
      <x:c r="R32" s="15">
        <x:f t="shared" si="5"/>
        <x:v>25125.958545858397</x:v>
      </x:c>
    </x:row>
    <x:row r="33" spans="1:18" outlineLevel="2">
      <x:c r="A33" s="12" t="s">
        <x:v>4</x:v>
      </x:c>
      <x:c r="B33" s="7" t="s">
        <x:v>84</x:v>
      </x:c>
      <x:c r="C33" s="6">
        <x:v>885323.78</x:v>
      </x:c>
      <x:c r="F33" s="6">
        <x:v>885323.78</x:v>
      </x:c>
      <x:c r="G33" s="1">
        <x:f t="shared" si="0"/>
        <x:v>0</x:v>
      </x:c>
      <x:c r="J33" s="3">
        <x:v>100</x:v>
      </x:c>
      <x:c r="K33" s="3">
        <x:v>69.721964999999997</x:v>
      </x:c>
      <x:c r="L33" s="2">
        <x:v>0</x:v>
      </x:c>
      <x:c r="M33" s="1">
        <x:f t="shared" si="1"/>
        <x:v>268058.64397172304</x:v>
      </x:c>
      <x:c r="N33" s="1">
        <x:v>1.2687517594264217</x:v>
      </x:c>
      <x:c r="O33" s="1">
        <x:f t="shared" si="2"/>
        <x:v>340099.87616858439</x:v>
      </x:c>
      <x:c r="P33" s="15">
        <x:f t="shared" si="3"/>
        <x:v>0</x:v>
      </x:c>
      <x:c r="Q33" s="15">
        <x:f t="shared" si="4"/>
        <x:v>0</x:v>
      </x:c>
      <x:c r="R33" s="15">
        <x:f t="shared" si="5"/>
        <x:v>340099.87616858439</x:v>
      </x:c>
    </x:row>
    <x:row r="34" spans="1:18" outlineLevel="2">
      <x:c r="A34" s="12" t="s">
        <x:v>4</x:v>
      </x:c>
      <x:c r="B34" s="7" t="s">
        <x:v>83</x:v>
      </x:c>
      <x:c r="C34" s="6">
        <x:v>1096408.49</x:v>
      </x:c>
      <x:c r="F34" s="6">
        <x:v>1096408.49</x:v>
      </x:c>
      <x:c r="G34" s="1">
        <x:f t="shared" si="0"/>
        <x:v>0</x:v>
      </x:c>
      <x:c r="J34" s="3">
        <x:v>100</x:v>
      </x:c>
      <x:c r="K34" s="3">
        <x:v>68.745427000000007</x:v>
      </x:c>
      <x:c r="L34" s="2">
        <x:v>0</x:v>
      </x:c>
      <x:c r="M34" s="1">
        <x:f t="shared" si="1"/>
        <x:v>342677.79188524769</x:v>
      </x:c>
      <x:c r="N34" s="1">
        <x:v>1.2687517594264217</x:v>
      </x:c>
      <x:c r="O34" s="1">
        <x:f t="shared" si="2"/>
        <x:v>434773.05137076916</x:v>
      </x:c>
      <x:c r="P34" s="15">
        <x:f t="shared" si="3"/>
        <x:v>0</x:v>
      </x:c>
      <x:c r="Q34" s="15">
        <x:f t="shared" si="4"/>
        <x:v>0</x:v>
      </x:c>
      <x:c r="R34" s="15">
        <x:f t="shared" si="5"/>
        <x:v>434773.05137076916</x:v>
      </x:c>
    </x:row>
    <x:row r="35" spans="1:18" outlineLevel="2">
      <x:c r="A35" s="12" t="s">
        <x:v>4</x:v>
      </x:c>
      <x:c r="B35" s="7" t="s">
        <x:v>82</x:v>
      </x:c>
      <x:c r="C35" s="6">
        <x:v>480533.01</x:v>
      </x:c>
      <x:c r="F35" s="6">
        <x:v>480533.01</x:v>
      </x:c>
      <x:c r="G35" s="1">
        <x:f t="shared" si="0"/>
        <x:v>0</x:v>
      </x:c>
      <x:c r="J35" s="3">
        <x:v>100</x:v>
      </x:c>
      <x:c r="K35" s="3">
        <x:v>67.770904999999999</x:v>
      </x:c>
      <x:c r="L35" s="2">
        <x:v>0</x:v>
      </x:c>
      <x:c r="M35" s="1">
        <x:f t="shared" ref="M35:M66" si="7">+C35*(1-K35/J35)*(1-L35)</x:f>
        <x:v>154871.4402992595</x:v>
      </x:c>
      <x:c r="N35" s="1">
        <x:v>1.2687517594264217</x:v>
      </x:c>
      <x:c r="O35" s="1">
        <x:f t="shared" ref="O35:O66" si="8">IF((C35*(1-L35)-M35*N35)&lt;0,C35*(1-L35),M35*N35)</x:f>
        <x:v>196493.41236458952</x:v>
      </x:c>
      <x:c r="P35" s="15">
        <x:f t="shared" ref="P35:P66" si="9">+D35/$C35*$O35</x:f>
        <x:v>0</x:v>
      </x:c>
      <x:c r="Q35" s="15">
        <x:f t="shared" ref="Q35:Q66" si="10">+E35/$C35*$O35</x:f>
        <x:v>0</x:v>
      </x:c>
      <x:c r="R35" s="15">
        <x:f t="shared" ref="R35:R66" si="11">+F35/$C35*$O35</x:f>
        <x:v>196493.41236458952</x:v>
      </x:c>
    </x:row>
    <x:row r="36" spans="1:18" outlineLevel="2">
      <x:c r="A36" s="12" t="s">
        <x:v>4</x:v>
      </x:c>
      <x:c r="B36" s="7" t="s">
        <x:v>81</x:v>
      </x:c>
      <x:c r="C36" s="6">
        <x:v>387453.32999999996</x:v>
      </x:c>
      <x:c r="F36" s="6">
        <x:v>387453.32999999996</x:v>
      </x:c>
      <x:c r="G36" s="1">
        <x:f t="shared" si="0"/>
        <x:v>0</x:v>
      </x:c>
      <x:c r="J36" s="3">
        <x:v>100</x:v>
      </x:c>
      <x:c r="K36" s="3">
        <x:v>66.798539000000005</x:v>
      </x:c>
      <x:c r="L36" s="2">
        <x:v>0</x:v>
      </x:c>
      <x:c r="M36" s="1">
        <x:f t="shared" si="7"/>
        <x:v>128640.16625315128</x:v>
      </x:c>
      <x:c r="N36" s="1">
        <x:v>1.2687517594264217</x:v>
      </x:c>
      <x:c r="O36" s="1">
        <x:f t="shared" si="8"/>
        <x:v>163212.4372665931</x:v>
      </x:c>
      <x:c r="P36" s="15">
        <x:f t="shared" si="9"/>
        <x:v>0</x:v>
      </x:c>
      <x:c r="Q36" s="15">
        <x:f t="shared" si="10"/>
        <x:v>0</x:v>
      </x:c>
      <x:c r="R36" s="15">
        <x:f t="shared" si="11"/>
        <x:v>163212.4372665931</x:v>
      </x:c>
    </x:row>
    <x:row r="37" spans="1:18" outlineLevel="2">
      <x:c r="A37" s="12" t="s">
        <x:v>4</x:v>
      </x:c>
      <x:c r="B37" s="7" t="s">
        <x:v>80</x:v>
      </x:c>
      <x:c r="C37" s="6">
        <x:v>4485991.9799999995</x:v>
      </x:c>
      <x:c r="F37" s="6">
        <x:v>4485991.9799999995</x:v>
      </x:c>
      <x:c r="G37" s="1">
        <x:f t="shared" si="0"/>
        <x:v>0</x:v>
      </x:c>
      <x:c r="J37" s="3">
        <x:v>100</x:v>
      </x:c>
      <x:c r="K37" s="3">
        <x:v>65.828462999999999</x:v>
      </x:c>
      <x:c r="L37" s="2">
        <x:v>0</x:v>
      </x:c>
      <x:c r="M37" s="1">
        <x:f t="shared" si="7"/>
        <x:v>1532932.4092627324</x:v>
      </x:c>
      <x:c r="N37" s="1">
        <x:v>1.2687517594264217</x:v>
      </x:c>
      <x:c r="O37" s="1">
        <x:f t="shared" si="8"/>
        <x:v>1944910.6913338753</x:v>
      </x:c>
      <x:c r="P37" s="15">
        <x:f t="shared" si="9"/>
        <x:v>0</x:v>
      </x:c>
      <x:c r="Q37" s="15">
        <x:f t="shared" si="10"/>
        <x:v>0</x:v>
      </x:c>
      <x:c r="R37" s="15">
        <x:f t="shared" si="11"/>
        <x:v>1944910.6913338753</x:v>
      </x:c>
    </x:row>
    <x:row r="38" spans="1:18" outlineLevel="2">
      <x:c r="A38" s="12" t="s">
        <x:v>4</x:v>
      </x:c>
      <x:c r="B38" s="7" t="s">
        <x:v>79</x:v>
      </x:c>
      <x:c r="C38" s="6">
        <x:v>2503138.38</x:v>
      </x:c>
      <x:c r="F38" s="6">
        <x:v>2503138.38</x:v>
      </x:c>
      <x:c r="G38" s="1">
        <x:f t="shared" si="0"/>
        <x:v>0</x:v>
      </x:c>
      <x:c r="J38" s="3">
        <x:v>100</x:v>
      </x:c>
      <x:c r="K38" s="3">
        <x:v>64.860816</x:v>
      </x:c>
      <x:c r="L38" s="2">
        <x:v>0</x:v>
      </x:c>
      <x:c r="M38" s="1">
        <x:f t="shared" si="7"/>
        <x:v>879582.40112281917</x:v>
      </x:c>
      <x:c r="N38" s="1">
        <x:v>1.2687517594264217</x:v>
      </x:c>
      <x:c r="O38" s="1">
        <x:f t="shared" si="8"/>
        <x:v>1115971.7189850935</x:v>
      </x:c>
      <x:c r="P38" s="15">
        <x:f t="shared" si="9"/>
        <x:v>0</x:v>
      </x:c>
      <x:c r="Q38" s="15">
        <x:f t="shared" si="10"/>
        <x:v>0</x:v>
      </x:c>
      <x:c r="R38" s="15">
        <x:f t="shared" si="11"/>
        <x:v>1115971.7189850935</x:v>
      </x:c>
    </x:row>
    <x:row r="39" spans="1:18" outlineLevel="2">
      <x:c r="A39" s="12" t="s">
        <x:v>4</x:v>
      </x:c>
      <x:c r="B39" s="7" t="s">
        <x:v>78</x:v>
      </x:c>
      <x:c r="C39" s="6">
        <x:v>11982681.359999999</x:v>
      </x:c>
      <x:c r="F39" s="6">
        <x:v>11982681.359999999</x:v>
      </x:c>
      <x:c r="G39" s="1">
        <x:f t="shared" si="0"/>
        <x:v>0</x:v>
      </x:c>
      <x:c r="J39" s="3">
        <x:v>100</x:v>
      </x:c>
      <x:c r="K39" s="3">
        <x:v>63.895752999999999</x:v>
      </x:c>
      <x:c r="L39" s="2">
        <x:v>0</x:v>
      </x:c>
      <x:c r="M39" s="1">
        <x:f t="shared" si="7"/>
        <x:v>4326256.8754373593</x:v>
      </x:c>
      <x:c r="N39" s="1">
        <x:v>1.2687517594264217</x:v>
      </x:c>
      <x:c r="O39" s="1">
        <x:f t="shared" si="8"/>
        <x:v>5488946.0224418035</x:v>
      </x:c>
      <x:c r="P39" s="15">
        <x:f t="shared" si="9"/>
        <x:v>0</x:v>
      </x:c>
      <x:c r="Q39" s="15">
        <x:f t="shared" si="10"/>
        <x:v>0</x:v>
      </x:c>
      <x:c r="R39" s="15">
        <x:f t="shared" si="11"/>
        <x:v>5488946.0224418035</x:v>
      </x:c>
    </x:row>
    <x:row r="40" spans="1:18" outlineLevel="2">
      <x:c r="A40" s="12" t="s">
        <x:v>4</x:v>
      </x:c>
      <x:c r="B40" s="7" t="s">
        <x:v>77</x:v>
      </x:c>
      <x:c r="C40" s="6">
        <x:v>4093505.85</x:v>
      </x:c>
      <x:c r="F40" s="6">
        <x:v>4093505.85</x:v>
      </x:c>
      <x:c r="G40" s="1">
        <x:f t="shared" si="0"/>
        <x:v>0</x:v>
      </x:c>
      <x:c r="J40" s="3">
        <x:v>100</x:v>
      </x:c>
      <x:c r="K40" s="3">
        <x:v>62.933422</x:v>
      </x:c>
      <x:c r="L40" s="2">
        <x:v>0</x:v>
      </x:c>
      <x:c r="M40" s="1">
        <x:f t="shared" si="7"/>
        <x:v>1517322.5388248127</x:v>
      </x:c>
      <x:c r="N40" s="1">
        <x:v>1.2687517594264217</x:v>
      </x:c>
      <x:c r="O40" s="1">
        <x:f t="shared" si="8"/>
        <x:v>1925105.6407513462</x:v>
      </x:c>
      <x:c r="P40" s="15">
        <x:f t="shared" si="9"/>
        <x:v>0</x:v>
      </x:c>
      <x:c r="Q40" s="15">
        <x:f t="shared" si="10"/>
        <x:v>0</x:v>
      </x:c>
      <x:c r="R40" s="15">
        <x:f t="shared" si="11"/>
        <x:v>1925105.6407513462</x:v>
      </x:c>
    </x:row>
    <x:row r="41" spans="1:18" outlineLevel="2">
      <x:c r="A41" s="12" t="s">
        <x:v>4</x:v>
      </x:c>
      <x:c r="B41" s="7" t="s">
        <x:v>76</x:v>
      </x:c>
      <x:c r="C41" s="6">
        <x:v>2250923.21</x:v>
      </x:c>
      <x:c r="F41" s="6">
        <x:v>2250923.21</x:v>
      </x:c>
      <x:c r="G41" s="1">
        <x:f t="shared" si="0"/>
        <x:v>0</x:v>
      </x:c>
      <x:c r="J41" s="3">
        <x:v>100</x:v>
      </x:c>
      <x:c r="K41" s="3">
        <x:v>61.973976</x:v>
      </x:c>
      <x:c r="L41" s="2">
        <x:v>0</x:v>
      </x:c>
      <x:c r="M41" s="1">
        <x:f t="shared" si="7"/>
        <x:v>855936.60005617049</x:v>
      </x:c>
      <x:c r="N41" s="1">
        <x:v>1.2687517594264217</x:v>
      </x:c>
      <x:c r="O41" s="1">
        <x:f t="shared" si="8"/>
        <x:v>1085971.0672787358</x:v>
      </x:c>
      <x:c r="P41" s="15">
        <x:f t="shared" si="9"/>
        <x:v>0</x:v>
      </x:c>
      <x:c r="Q41" s="15">
        <x:f t="shared" si="10"/>
        <x:v>0</x:v>
      </x:c>
      <x:c r="R41" s="15">
        <x:f t="shared" si="11"/>
        <x:v>1085971.0672787358</x:v>
      </x:c>
    </x:row>
    <x:row r="42" spans="1:18" outlineLevel="2">
      <x:c r="A42" s="12" t="s">
        <x:v>4</x:v>
      </x:c>
      <x:c r="B42" s="7" t="s">
        <x:v>75</x:v>
      </x:c>
      <x:c r="C42" s="6">
        <x:v>4917895.99</x:v>
      </x:c>
      <x:c r="F42" s="6">
        <x:v>4917895.99</x:v>
      </x:c>
      <x:c r="G42" s="1">
        <x:f t="shared" si="0"/>
        <x:v>0</x:v>
      </x:c>
      <x:c r="J42" s="3">
        <x:v>100</x:v>
      </x:c>
      <x:c r="K42" s="3">
        <x:v>61.017580000000002</x:v>
      </x:c>
      <x:c r="L42" s="2">
        <x:v>0</x:v>
      </x:c>
      <x:c r="M42" s="1">
        <x:f t="shared" si="7"/>
        <x:v>1917114.8699849579</x:v>
      </x:c>
      <x:c r="N42" s="1">
        <x:v>1.2687517594264217</x:v>
      </x:c>
      <x:c r="O42" s="1">
        <x:f t="shared" si="8"/>
        <x:v>2432342.8643159708</x:v>
      </x:c>
      <x:c r="P42" s="15">
        <x:f t="shared" si="9"/>
        <x:v>0</x:v>
      </x:c>
      <x:c r="Q42" s="15">
        <x:f t="shared" si="10"/>
        <x:v>0</x:v>
      </x:c>
      <x:c r="R42" s="15">
        <x:f t="shared" si="11"/>
        <x:v>2432342.8643159708</x:v>
      </x:c>
    </x:row>
    <x:row r="43" spans="1:18" outlineLevel="2">
      <x:c r="A43" s="12" t="s">
        <x:v>4</x:v>
      </x:c>
      <x:c r="B43" s="7" t="s">
        <x:v>74</x:v>
      </x:c>
      <x:c r="C43" s="6">
        <x:v>3320431.4399999995</x:v>
      </x:c>
      <x:c r="F43" s="6">
        <x:v>3320431.4399999995</x:v>
      </x:c>
      <x:c r="G43" s="1">
        <x:f t="shared" si="0"/>
        <x:v>0</x:v>
      </x:c>
      <x:c r="J43" s="3">
        <x:v>100</x:v>
      </x:c>
      <x:c r="K43" s="3">
        <x:v>60.064397999999997</x:v>
      </x:c>
      <x:c r="L43" s="2">
        <x:v>0</x:v>
      </x:c>
      <x:c r="M43" s="1">
        <x:f t="shared" si="7"/>
        <x:v>1326034.2845612688</x:v>
      </x:c>
      <x:c r="N43" s="1">
        <x:v>1.2687517594264217</x:v>
      </x:c>
      <x:c r="O43" s="1">
        <x:f t="shared" si="8"/>
        <x:v>1682408.331596866</x:v>
      </x:c>
      <x:c r="P43" s="15">
        <x:f t="shared" si="9"/>
        <x:v>0</x:v>
      </x:c>
      <x:c r="Q43" s="15">
        <x:f t="shared" si="10"/>
        <x:v>0</x:v>
      </x:c>
      <x:c r="R43" s="15">
        <x:f t="shared" si="11"/>
        <x:v>1682408.331596866</x:v>
      </x:c>
    </x:row>
    <x:row r="44" spans="1:18" outlineLevel="2">
      <x:c r="A44" s="12" t="s">
        <x:v>4</x:v>
      </x:c>
      <x:c r="B44" s="7" t="s">
        <x:v>73</x:v>
      </x:c>
      <x:c r="C44" s="6">
        <x:v>7194850.3400000008</x:v>
      </x:c>
      <x:c r="F44" s="6">
        <x:v>7194850.3400000008</x:v>
      </x:c>
      <x:c r="G44" s="1">
        <x:f t="shared" si="0"/>
        <x:v>0</x:v>
      </x:c>
      <x:c r="J44" s="3">
        <x:v>100</x:v>
      </x:c>
      <x:c r="K44" s="3">
        <x:v>59.114595999999999</x:v>
      </x:c>
      <x:c r="L44" s="2">
        <x:v>0</x:v>
      </x:c>
      <x:c r="M44" s="1">
        <x:f t="shared" si="7"/>
        <x:v>2941643.6287043742</x:v>
      </x:c>
      <x:c r="N44" s="1">
        <x:v>1.2687517594264217</x:v>
      </x:c>
      <x:c r="O44" s="1">
        <x:f t="shared" si="8"/>
        <x:v>3732215.5295241983</x:v>
      </x:c>
      <x:c r="P44" s="15">
        <x:f t="shared" si="9"/>
        <x:v>0</x:v>
      </x:c>
      <x:c r="Q44" s="15">
        <x:f t="shared" si="10"/>
        <x:v>0</x:v>
      </x:c>
      <x:c r="R44" s="15">
        <x:f t="shared" si="11"/>
        <x:v>3732215.5295241983</x:v>
      </x:c>
    </x:row>
    <x:row r="45" spans="1:18" outlineLevel="2">
      <x:c r="A45" s="12" t="s">
        <x:v>4</x:v>
      </x:c>
      <x:c r="B45" s="7" t="s">
        <x:v>72</x:v>
      </x:c>
      <x:c r="C45" s="6">
        <x:v>5130966.4099999992</x:v>
      </x:c>
      <x:c r="F45" s="6">
        <x:v>5130966.4099999992</x:v>
      </x:c>
      <x:c r="G45" s="1">
        <x:f t="shared" si="0"/>
        <x:v>0</x:v>
      </x:c>
      <x:c r="J45" s="3">
        <x:v>100</x:v>
      </x:c>
      <x:c r="K45" s="3">
        <x:v>58.168345000000002</x:v>
      </x:c>
      <x:c r="L45" s="2">
        <x:v>0</x:v>
      </x:c>
      <x:c r="M45" s="1">
        <x:f t="shared" si="7"/>
        <x:v>2146368.1667970852</x:v>
      </x:c>
      <x:c r="N45" s="1">
        <x:v>1.2687517594264217</x:v>
      </x:c>
      <x:c r="O45" s="1">
        <x:f t="shared" si="8"/>
        <x:v>2723208.3880006652</x:v>
      </x:c>
      <x:c r="P45" s="15">
        <x:f t="shared" si="9"/>
        <x:v>0</x:v>
      </x:c>
      <x:c r="Q45" s="15">
        <x:f t="shared" si="10"/>
        <x:v>0</x:v>
      </x:c>
      <x:c r="R45" s="15">
        <x:f t="shared" si="11"/>
        <x:v>2723208.3880006652</x:v>
      </x:c>
    </x:row>
    <x:row r="46" spans="1:18" outlineLevel="2">
      <x:c r="A46" s="12" t="s">
        <x:v>4</x:v>
      </x:c>
      <x:c r="B46" s="7" t="s">
        <x:v>71</x:v>
      </x:c>
      <x:c r="C46" s="6">
        <x:v>3321123.6300000004</x:v>
      </x:c>
      <x:c r="F46" s="6">
        <x:v>3321123.6300000004</x:v>
      </x:c>
      <x:c r="G46" s="1">
        <x:f t="shared" si="0"/>
        <x:v>0</x:v>
      </x:c>
      <x:c r="J46" s="3">
        <x:v>100</x:v>
      </x:c>
      <x:c r="K46" s="3">
        <x:v>57.225816000000002</x:v>
      </x:c>
      <x:c r="L46" s="2">
        <x:v>0</x:v>
      </x:c>
      <x:c r="M46" s="1">
        <x:f t="shared" si="7"/>
        <x:v>1420583.532363679</x:v>
      </x:c>
      <x:c r="N46" s="1">
        <x:v>1.2687517594264217</x:v>
      </x:c>
      <x:c r="O46" s="1">
        <x:f t="shared" si="8"/>
        <x:v>1802367.8560986188</x:v>
      </x:c>
      <x:c r="P46" s="15">
        <x:f t="shared" si="9"/>
        <x:v>0</x:v>
      </x:c>
      <x:c r="Q46" s="15">
        <x:f t="shared" si="10"/>
        <x:v>0</x:v>
      </x:c>
      <x:c r="R46" s="15">
        <x:f t="shared" si="11"/>
        <x:v>1802367.8560986188</x:v>
      </x:c>
    </x:row>
    <x:row r="47" spans="1:18" outlineLevel="2">
      <x:c r="A47" s="12" t="s">
        <x:v>4</x:v>
      </x:c>
      <x:c r="B47" s="7" t="s">
        <x:v>70</x:v>
      </x:c>
      <x:c r="C47" s="6">
        <x:v>4121650.9200000004</x:v>
      </x:c>
      <x:c r="F47" s="6">
        <x:v>4121650.9200000004</x:v>
      </x:c>
      <x:c r="G47" s="1">
        <x:f t="shared" si="0"/>
        <x:v>0</x:v>
      </x:c>
      <x:c r="J47" s="3">
        <x:v>100</x:v>
      </x:c>
      <x:c r="K47" s="3">
        <x:v>56.287188</x:v>
      </x:c>
      <x:c r="L47" s="2">
        <x:v>0</x:v>
      </x:c>
      <x:c r="M47" s="1">
        <x:f t="shared" si="7"/>
        <x:v>1801689.5179558706</x:v>
      </x:c>
      <x:c r="N47" s="1">
        <x:v>1.2687517594264217</x:v>
      </x:c>
      <x:c r="O47" s="1">
        <x:f t="shared" si="8"/>
        <x:v>2285896.7458466524</x:v>
      </x:c>
      <x:c r="P47" s="15">
        <x:f t="shared" si="9"/>
        <x:v>0</x:v>
      </x:c>
      <x:c r="Q47" s="15">
        <x:f t="shared" si="10"/>
        <x:v>0</x:v>
      </x:c>
      <x:c r="R47" s="15">
        <x:f t="shared" si="11"/>
        <x:v>2285896.7458466524</x:v>
      </x:c>
    </x:row>
    <x:row r="48" spans="1:18" outlineLevel="2">
      <x:c r="A48" s="12" t="s">
        <x:v>4</x:v>
      </x:c>
      <x:c r="B48" s="7" t="s">
        <x:v>69</x:v>
      </x:c>
      <x:c r="C48" s="6">
        <x:v>7192983.2499999991</x:v>
      </x:c>
      <x:c r="F48" s="6">
        <x:v>7192983.2499999991</x:v>
      </x:c>
      <x:c r="G48" s="1">
        <x:f t="shared" si="0"/>
        <x:v>0</x:v>
      </x:c>
      <x:c r="J48" s="3">
        <x:v>100</x:v>
      </x:c>
      <x:c r="K48" s="3">
        <x:v>55.352640000000001</x:v>
      </x:c>
      <x:c r="L48" s="2">
        <x:v>0</x:v>
      </x:c>
      <x:c r="M48" s="1">
        <x:f t="shared" si="7"/>
        <x:v>3211477.1263671997</x:v>
      </x:c>
      <x:c r="N48" s="1">
        <x:v>1.2687517594264217</x:v>
      </x:c>
      <x:c r="O48" s="1">
        <x:f t="shared" si="8"/>
        <x:v>4074567.2544360934</x:v>
      </x:c>
      <x:c r="P48" s="15">
        <x:f t="shared" si="9"/>
        <x:v>0</x:v>
      </x:c>
      <x:c r="Q48" s="15">
        <x:f t="shared" si="10"/>
        <x:v>0</x:v>
      </x:c>
      <x:c r="R48" s="15">
        <x:f t="shared" si="11"/>
        <x:v>4074567.2544360934</x:v>
      </x:c>
    </x:row>
    <x:row r="49" spans="1:18" outlineLevel="2">
      <x:c r="A49" s="12" t="s">
        <x:v>4</x:v>
      </x:c>
      <x:c r="B49" s="7" t="s">
        <x:v>68</x:v>
      </x:c>
      <x:c r="C49" s="6">
        <x:v>1476360.18</x:v>
      </x:c>
      <x:c r="F49" s="6">
        <x:v>1476360.18</x:v>
      </x:c>
      <x:c r="G49" s="1">
        <x:f t="shared" si="0"/>
        <x:v>0</x:v>
      </x:c>
      <x:c r="J49" s="3">
        <x:v>100</x:v>
      </x:c>
      <x:c r="K49" s="3">
        <x:v>54.422351999999997</x:v>
      </x:c>
      <x:c r="L49" s="2">
        <x:v>0</x:v>
      </x:c>
      <x:c r="M49" s="1">
        <x:f t="shared" si="7"/>
        <x:v>672890.24605256645</x:v>
      </x:c>
      <x:c r="N49" s="1">
        <x:v>1.2687517594264217</x:v>
      </x:c>
      <x:c r="O49" s="1">
        <x:f t="shared" si="8"/>
        <x:v>853730.68358007155</x:v>
      </x:c>
      <x:c r="P49" s="15">
        <x:f t="shared" si="9"/>
        <x:v>0</x:v>
      </x:c>
      <x:c r="Q49" s="15">
        <x:f t="shared" si="10"/>
        <x:v>0</x:v>
      </x:c>
      <x:c r="R49" s="15">
        <x:f t="shared" si="11"/>
        <x:v>853730.68358007155</x:v>
      </x:c>
    </x:row>
    <x:row r="50" spans="1:18" outlineLevel="2">
      <x:c r="A50" s="12" t="s">
        <x:v>4</x:v>
      </x:c>
      <x:c r="B50" s="7" t="s">
        <x:v>67</x:v>
      </x:c>
      <x:c r="C50" s="6">
        <x:v>4309711.83</x:v>
      </x:c>
      <x:c r="F50" s="6">
        <x:v>4309711.83</x:v>
      </x:c>
      <x:c r="G50" s="1">
        <x:f t="shared" si="0"/>
        <x:v>0</x:v>
      </x:c>
      <x:c r="J50" s="3">
        <x:v>100</x:v>
      </x:c>
      <x:c r="K50" s="3">
        <x:v>53.496502999999997</x:v>
      </x:c>
      <x:c r="L50" s="2">
        <x:v>0</x:v>
      </x:c>
      <x:c r="M50" s="1">
        <x:f t="shared" si="7"/>
        <x:v>2004166.7115726953</x:v>
      </x:c>
      <x:c r="N50" s="1">
        <x:v>1.2687517594264217</x:v>
      </x:c>
      <x:c r="O50" s="1">
        <x:f t="shared" si="8"/>
        <x:v>2542790.0414917232</x:v>
      </x:c>
      <x:c r="P50" s="15">
        <x:f t="shared" si="9"/>
        <x:v>0</x:v>
      </x:c>
      <x:c r="Q50" s="15">
        <x:f t="shared" si="10"/>
        <x:v>0</x:v>
      </x:c>
      <x:c r="R50" s="15">
        <x:f t="shared" si="11"/>
        <x:v>2542790.0414917232</x:v>
      </x:c>
    </x:row>
    <x:row r="51" spans="1:18" outlineLevel="2">
      <x:c r="A51" s="12" t="s">
        <x:v>4</x:v>
      </x:c>
      <x:c r="B51" s="7" t="s">
        <x:v>66</x:v>
      </x:c>
      <x:c r="C51" s="6">
        <x:v>5411473.6099999994</x:v>
      </x:c>
      <x:c r="F51" s="6">
        <x:v>5411473.6099999994</x:v>
      </x:c>
      <x:c r="G51" s="1">
        <x:f t="shared" si="0"/>
        <x:v>0</x:v>
      </x:c>
      <x:c r="J51" s="3">
        <x:v>100</x:v>
      </x:c>
      <x:c r="K51" s="3">
        <x:v>52.575274999999998</x:v>
      </x:c>
      <x:c r="L51" s="2">
        <x:v>0</x:v>
      </x:c>
      <x:c r="M51" s="1">
        <x:f t="shared" si="7"/>
        <x:v>2566376.4779900722</x:v>
      </x:c>
      <x:c r="N51" s="1">
        <x:v>1.2687517594264217</x:v>
      </x:c>
      <x:c r="O51" s="1">
        <x:f t="shared" si="8"/>
        <x:v>3256094.6718004877</x:v>
      </x:c>
      <x:c r="P51" s="15">
        <x:f t="shared" si="9"/>
        <x:v>0</x:v>
      </x:c>
      <x:c r="Q51" s="15">
        <x:f t="shared" si="10"/>
        <x:v>0</x:v>
      </x:c>
      <x:c r="R51" s="15">
        <x:f t="shared" si="11"/>
        <x:v>3256094.6718004877</x:v>
      </x:c>
    </x:row>
    <x:row r="52" spans="1:18" outlineLevel="2">
      <x:c r="A52" s="12" t="s">
        <x:v>4</x:v>
      </x:c>
      <x:c r="B52" s="7" t="s">
        <x:v>65</x:v>
      </x:c>
      <x:c r="C52" s="6">
        <x:v>1904824.7200000002</x:v>
      </x:c>
      <x:c r="F52" s="6">
        <x:v>1904824.7200000002</x:v>
      </x:c>
      <x:c r="G52" s="1">
        <x:f t="shared" si="0"/>
        <x:v>0</x:v>
      </x:c>
      <x:c r="J52" s="3">
        <x:v>100</x:v>
      </x:c>
      <x:c r="K52" s="3">
        <x:v>51.658850000000001</x:v>
      </x:c>
      <x:c r="L52" s="2">
        <x:v>0</x:v>
      </x:c>
      <x:c r="M52" s="1">
        <x:f t="shared" si="7"/>
        <x:v>920814.1751322801</x:v>
      </x:c>
      <x:c r="N52" s="1">
        <x:v>1.2687517594264217</x:v>
      </x:c>
      <x:c r="O52" s="1">
        <x:f t="shared" si="8"/>
        <x:v>1168284.6048038695</x:v>
      </x:c>
      <x:c r="P52" s="15">
        <x:f t="shared" si="9"/>
        <x:v>0</x:v>
      </x:c>
      <x:c r="Q52" s="15">
        <x:f t="shared" si="10"/>
        <x:v>0</x:v>
      </x:c>
      <x:c r="R52" s="15">
        <x:f t="shared" si="11"/>
        <x:v>1168284.6048038695</x:v>
      </x:c>
    </x:row>
    <x:row r="53" spans="1:18" outlineLevel="2">
      <x:c r="A53" s="12" t="s">
        <x:v>4</x:v>
      </x:c>
      <x:c r="B53" s="7" t="s">
        <x:v>64</x:v>
      </x:c>
      <x:c r="C53" s="6">
        <x:v>3709619.3600000008</x:v>
      </x:c>
      <x:c r="F53" s="6">
        <x:v>3709619.3600000008</x:v>
      </x:c>
      <x:c r="G53" s="1">
        <x:f t="shared" si="0"/>
        <x:v>0</x:v>
      </x:c>
      <x:c r="J53" s="3">
        <x:v>100</x:v>
      </x:c>
      <x:c r="K53" s="3">
        <x:v>50.747407000000003</x:v>
      </x:c>
      <x:c r="L53" s="2">
        <x:v>0</x:v>
      </x:c>
      <x:c r="M53" s="1">
        <x:f t="shared" si="7"/>
        <x:v>1827083.7252300051</x:v>
      </x:c>
      <x:c r="N53" s="1">
        <x:v>1.2687517594264217</x:v>
      </x:c>
      <x:c r="O53" s="1">
        <x:f t="shared" si="8"/>
        <x:v>2318115.6910049496</x:v>
      </x:c>
      <x:c r="P53" s="15">
        <x:f t="shared" si="9"/>
        <x:v>0</x:v>
      </x:c>
      <x:c r="Q53" s="15">
        <x:f t="shared" si="10"/>
        <x:v>0</x:v>
      </x:c>
      <x:c r="R53" s="15">
        <x:f t="shared" si="11"/>
        <x:v>2318115.6910049496</x:v>
      </x:c>
    </x:row>
    <x:row r="54" spans="1:18" outlineLevel="2">
      <x:c r="A54" s="12" t="s">
        <x:v>4</x:v>
      </x:c>
      <x:c r="B54" s="7" t="s">
        <x:v>63</x:v>
      </x:c>
      <x:c r="C54" s="6">
        <x:v>2464871.7199999997</x:v>
      </x:c>
      <x:c r="F54" s="6">
        <x:v>2464871.7199999997</x:v>
      </x:c>
      <x:c r="G54" s="1">
        <x:f t="shared" si="0"/>
        <x:v>0</x:v>
      </x:c>
      <x:c r="J54" s="3">
        <x:v>100</x:v>
      </x:c>
      <x:c r="K54" s="3">
        <x:v>49.841130999999997</x:v>
      </x:c>
      <x:c r="L54" s="2">
        <x:v>0</x:v>
      </x:c>
      <x:c r="M54" s="1">
        <x:f t="shared" si="7"/>
        <x:v>1236351.7770528465</x:v>
      </x:c>
      <x:c r="N54" s="1">
        <x:v>1.2687517594264217</x:v>
      </x:c>
      <x:c r="O54" s="1">
        <x:f t="shared" si="8"/>
        <x:v>1568623.492405782</x:v>
      </x:c>
      <x:c r="P54" s="15">
        <x:f t="shared" si="9"/>
        <x:v>0</x:v>
      </x:c>
      <x:c r="Q54" s="15">
        <x:f t="shared" si="10"/>
        <x:v>0</x:v>
      </x:c>
      <x:c r="R54" s="15">
        <x:f t="shared" si="11"/>
        <x:v>1568623.492405782</x:v>
      </x:c>
    </x:row>
    <x:row r="55" spans="1:18" outlineLevel="2">
      <x:c r="A55" s="12" t="s">
        <x:v>4</x:v>
      </x:c>
      <x:c r="B55" s="7" t="s">
        <x:v>62</x:v>
      </x:c>
      <x:c r="C55" s="6">
        <x:v>1806944.17</x:v>
      </x:c>
      <x:c r="F55" s="6">
        <x:v>1806944.17</x:v>
      </x:c>
      <x:c r="G55" s="1">
        <x:f t="shared" si="0"/>
        <x:v>0</x:v>
      </x:c>
      <x:c r="J55" s="3">
        <x:v>100</x:v>
      </x:c>
      <x:c r="K55" s="3">
        <x:v>48.940198000000002</x:v>
      </x:c>
      <x:c r="L55" s="2">
        <x:v>0</x:v>
      </x:c>
      <x:c r="M55" s="1">
        <x:f t="shared" si="7"/>
        <x:v>922622.11545254337</x:v>
      </x:c>
      <x:c r="N55" s="1">
        <x:v>1.2687517594264217</x:v>
      </x:c>
      <x:c r="O55" s="1">
        <x:f t="shared" si="8"/>
        <x:v>1170578.4322661415</x:v>
      </x:c>
      <x:c r="P55" s="15">
        <x:f t="shared" si="9"/>
        <x:v>0</x:v>
      </x:c>
      <x:c r="Q55" s="15">
        <x:f t="shared" si="10"/>
        <x:v>0</x:v>
      </x:c>
      <x:c r="R55" s="15">
        <x:f t="shared" si="11"/>
        <x:v>1170578.4322661415</x:v>
      </x:c>
    </x:row>
    <x:row r="56" spans="1:18" outlineLevel="2">
      <x:c r="A56" s="12" t="s">
        <x:v>4</x:v>
      </x:c>
      <x:c r="B56" s="7" t="s">
        <x:v>61</x:v>
      </x:c>
      <x:c r="C56" s="6">
        <x:v>914144.76</x:v>
      </x:c>
      <x:c r="F56" s="6">
        <x:v>914144.76</x:v>
      </x:c>
      <x:c r="G56" s="1">
        <x:f t="shared" si="0"/>
        <x:v>0</x:v>
      </x:c>
      <x:c r="J56" s="3">
        <x:v>100</x:v>
      </x:c>
      <x:c r="K56" s="3">
        <x:v>48.044783000000002</x:v>
      </x:c>
      <x:c r="L56" s="2">
        <x:v>0</x:v>
      </x:c>
      <x:c r="M56" s="1">
        <x:f t="shared" si="7"/>
        <x:v>474945.89375212917</x:v>
      </x:c>
      <x:c r="N56" s="1">
        <x:v>1.2687517594264217</x:v>
      </x:c>
      <x:c r="O56" s="1">
        <x:f t="shared" si="8"/>
        <x:v>602588.43833036826</x:v>
      </x:c>
      <x:c r="P56" s="15">
        <x:f t="shared" si="9"/>
        <x:v>0</x:v>
      </x:c>
      <x:c r="Q56" s="15">
        <x:f t="shared" si="10"/>
        <x:v>0</x:v>
      </x:c>
      <x:c r="R56" s="15">
        <x:f t="shared" si="11"/>
        <x:v>602588.43833036826</x:v>
      </x:c>
    </x:row>
    <x:row r="57" spans="1:18" outlineLevel="2">
      <x:c r="A57" s="12" t="s">
        <x:v>4</x:v>
      </x:c>
      <x:c r="B57" s="7" t="s">
        <x:v>60</x:v>
      </x:c>
      <x:c r="C57" s="6">
        <x:v>3009194.04</x:v>
      </x:c>
      <x:c r="F57" s="6">
        <x:v>3009194.04</x:v>
      </x:c>
      <x:c r="G57" s="1">
        <x:f t="shared" si="0"/>
        <x:v>0</x:v>
      </x:c>
      <x:c r="J57" s="3">
        <x:v>100</x:v>
      </x:c>
      <x:c r="K57" s="3">
        <x:v>47.155057999999997</x:v>
      </x:c>
      <x:c r="L57" s="2">
        <x:v>0</x:v>
      </x:c>
      <x:c r="M57" s="1">
        <x:f t="shared" si="7"/>
        <x:v>1590206.8451054569</x:v>
      </x:c>
      <x:c r="N57" s="1">
        <x:v>1.2687517594264217</x:v>
      </x:c>
      <x:c r="O57" s="1">
        <x:f t="shared" si="8"/>
        <x:v>2017577.7325794876</x:v>
      </x:c>
      <x:c r="P57" s="15">
        <x:f t="shared" si="9"/>
        <x:v>0</x:v>
      </x:c>
      <x:c r="Q57" s="15">
        <x:f t="shared" si="10"/>
        <x:v>0</x:v>
      </x:c>
      <x:c r="R57" s="15">
        <x:f t="shared" si="11"/>
        <x:v>2017577.7325794876</x:v>
      </x:c>
    </x:row>
    <x:row r="58" spans="1:18" outlineLevel="2">
      <x:c r="A58" s="12" t="s">
        <x:v>4</x:v>
      </x:c>
      <x:c r="B58" s="7" t="s">
        <x:v>59</x:v>
      </x:c>
      <x:c r="C58" s="6">
        <x:v>1104228.2500000002</x:v>
      </x:c>
      <x:c r="F58" s="6">
        <x:v>1104228.2500000002</x:v>
      </x:c>
      <x:c r="G58" s="1">
        <x:f t="shared" si="0"/>
        <x:v>0</x:v>
      </x:c>
      <x:c r="J58" s="3">
        <x:v>100</x:v>
      </x:c>
      <x:c r="K58" s="3">
        <x:v>46.271196000000003</x:v>
      </x:c>
      <x:c r="L58" s="2">
        <x:v>0</x:v>
      </x:c>
      <x:c r="M58" s="1">
        <x:f t="shared" si="7"/>
        <x:v>593288.63215513004</x:v>
      </x:c>
      <x:c r="N58" s="1">
        <x:v>1.2687517594264217</x:v>
      </x:c>
      <x:c r="O58" s="1">
        <x:f t="shared" si="8"/>
        <x:v>752735.99589451635</x:v>
      </x:c>
      <x:c r="P58" s="15">
        <x:f t="shared" si="9"/>
        <x:v>0</x:v>
      </x:c>
      <x:c r="Q58" s="15">
        <x:f t="shared" si="10"/>
        <x:v>0</x:v>
      </x:c>
      <x:c r="R58" s="15">
        <x:f t="shared" si="11"/>
        <x:v>752735.99589451635</x:v>
      </x:c>
    </x:row>
    <x:row r="59" spans="1:18" outlineLevel="2">
      <x:c r="A59" s="12" t="s">
        <x:v>4</x:v>
      </x:c>
      <x:c r="B59" s="7" t="s">
        <x:v>58</x:v>
      </x:c>
      <x:c r="C59" s="6">
        <x:v>2330013.04</x:v>
      </x:c>
      <x:c r="F59" s="6">
        <x:v>2330013.04</x:v>
      </x:c>
      <x:c r="G59" s="1">
        <x:f t="shared" si="0"/>
        <x:v>0</x:v>
      </x:c>
      <x:c r="J59" s="3">
        <x:v>100</x:v>
      </x:c>
      <x:c r="K59" s="3">
        <x:v>45.393360999999999</x:v>
      </x:c>
      <x:c r="L59" s="2">
        <x:v>0</x:v>
      </x:c>
      <x:c r="M59" s="1">
        <x:f t="shared" si="7"/>
        <x:v>1272341.8094057257</x:v>
      </x:c>
      <x:c r="N59" s="1">
        <x:v>1.2687517594264217</x:v>
      </x:c>
      <x:c r="O59" s="1">
        <x:f t="shared" si="8"/>
        <x:v>1614285.9092753113</x:v>
      </x:c>
      <x:c r="P59" s="15">
        <x:f t="shared" si="9"/>
        <x:v>0</x:v>
      </x:c>
      <x:c r="Q59" s="15">
        <x:f t="shared" si="10"/>
        <x:v>0</x:v>
      </x:c>
      <x:c r="R59" s="15">
        <x:f t="shared" si="11"/>
        <x:v>1614285.9092753113</x:v>
      </x:c>
    </x:row>
    <x:row r="60" spans="1:18" outlineLevel="2">
      <x:c r="A60" s="12" t="s">
        <x:v>4</x:v>
      </x:c>
      <x:c r="B60" s="7" t="s">
        <x:v>57</x:v>
      </x:c>
      <x:c r="C60" s="6">
        <x:v>982376.88</x:v>
      </x:c>
      <x:c r="F60" s="6">
        <x:v>982376.88</x:v>
      </x:c>
      <x:c r="G60" s="1">
        <x:f t="shared" si="0"/>
        <x:v>0</x:v>
      </x:c>
      <x:c r="J60" s="3">
        <x:v>100</x:v>
      </x:c>
      <x:c r="K60" s="3">
        <x:v>44.521715</x:v>
      </x:c>
      <x:c r="L60" s="2">
        <x:v>0</x:v>
      </x:c>
      <x:c r="M60" s="1">
        <x:f t="shared" si="7"/>
        <x:v>545005.84526050801</x:v>
      </x:c>
      <x:c r="N60" s="1">
        <x:v>1.2687517594264217</x:v>
      </x:c>
      <x:c r="O60" s="1">
        <x:f t="shared" si="8"/>
        <x:v>691477.12507195363</x:v>
      </x:c>
      <x:c r="P60" s="15">
        <x:f t="shared" si="9"/>
        <x:v>0</x:v>
      </x:c>
      <x:c r="Q60" s="15">
        <x:f t="shared" si="10"/>
        <x:v>0</x:v>
      </x:c>
      <x:c r="R60" s="15">
        <x:f t="shared" si="11"/>
        <x:v>691477.12507195363</x:v>
      </x:c>
    </x:row>
    <x:row r="61" spans="1:18" outlineLevel="2">
      <x:c r="A61" s="12" t="s">
        <x:v>4</x:v>
      </x:c>
      <x:c r="B61" s="7" t="s">
        <x:v>56</x:v>
      </x:c>
      <x:c r="C61" s="6">
        <x:v>1115488.9000000001</x:v>
      </x:c>
      <x:c r="F61" s="6">
        <x:v>1115488.9000000001</x:v>
      </x:c>
      <x:c r="G61" s="1">
        <x:f t="shared" si="0"/>
        <x:v>0</x:v>
      </x:c>
      <x:c r="J61" s="3">
        <x:v>100</x:v>
      </x:c>
      <x:c r="K61" s="3">
        <x:v>43.656415000000003</x:v>
      </x:c>
      <x:c r="L61" s="2">
        <x:v>0</x:v>
      </x:c>
      <x:c r="M61" s="1">
        <x:f t="shared" si="7"/>
        <x:v>628506.43653706508</x:v>
      </x:c>
      <x:c r="N61" s="1">
        <x:v>1.2687517594264217</x:v>
      </x:c>
      <x:c r="O61" s="1">
        <x:f t="shared" si="8"/>
        <x:v>797418.647167232</x:v>
      </x:c>
      <x:c r="P61" s="15">
        <x:f t="shared" si="9"/>
        <x:v>0</x:v>
      </x:c>
      <x:c r="Q61" s="15">
        <x:f t="shared" si="10"/>
        <x:v>0</x:v>
      </x:c>
      <x:c r="R61" s="15">
        <x:f t="shared" si="11"/>
        <x:v>797418.647167232</x:v>
      </x:c>
    </x:row>
    <x:row r="62" spans="1:18" outlineLevel="2">
      <x:c r="A62" s="12" t="s">
        <x:v>4</x:v>
      </x:c>
      <x:c r="B62" s="7" t="s">
        <x:v>55</x:v>
      </x:c>
      <x:c r="C62" s="6">
        <x:v>3708407.01</x:v>
      </x:c>
      <x:c r="F62" s="6">
        <x:v>3708407.01</x:v>
      </x:c>
      <x:c r="G62" s="1">
        <x:f t="shared" si="0"/>
        <x:v>0</x:v>
      </x:c>
      <x:c r="J62" s="3">
        <x:v>100</x:v>
      </x:c>
      <x:c r="K62" s="3">
        <x:v>42.797607999999997</x:v>
      </x:c>
      <x:c r="L62" s="2">
        <x:v>0</x:v>
      </x:c>
      <x:c r="M62" s="1">
        <x:f t="shared" si="7"/>
        <x:v>2121297.5148156793</x:v>
      </x:c>
      <x:c r="N62" s="1">
        <x:v>1.2687517594264217</x:v>
      </x:c>
      <x:c r="O62" s="1">
        <x:f t="shared" si="8"/>
        <x:v>2691399.9541892889</x:v>
      </x:c>
      <x:c r="P62" s="15">
        <x:f t="shared" si="9"/>
        <x:v>0</x:v>
      </x:c>
      <x:c r="Q62" s="15">
        <x:f t="shared" si="10"/>
        <x:v>0</x:v>
      </x:c>
      <x:c r="R62" s="15">
        <x:f t="shared" si="11"/>
        <x:v>2691399.9541892889</x:v>
      </x:c>
    </x:row>
    <x:row r="63" spans="1:18" outlineLevel="2">
      <x:c r="A63" s="12" t="s">
        <x:v>4</x:v>
      </x:c>
      <x:c r="B63" s="7" t="s">
        <x:v>54</x:v>
      </x:c>
      <x:c r="C63" s="6">
        <x:v>1843126.65</x:v>
      </x:c>
      <x:c r="F63" s="6">
        <x:v>1843126.65</x:v>
      </x:c>
      <x:c r="G63" s="1">
        <x:f t="shared" si="0"/>
        <x:v>0</x:v>
      </x:c>
      <x:c r="J63" s="3">
        <x:v>100</x:v>
      </x:c>
      <x:c r="K63" s="3">
        <x:v>41.945438000000003</x:v>
      </x:c>
      <x:c r="L63" s="2">
        <x:v>0</x:v>
      </x:c>
      <x:c r="M63" s="1">
        <x:f t="shared" si="7"/>
        <x:v>1070019.1037627729</x:v>
      </x:c>
      <x:c r="N63" s="1">
        <x:v>1.2687517594264217</x:v>
      </x:c>
      <x:c r="O63" s="1">
        <x:f t="shared" si="8"/>
        <x:v>1357588.6205189009</x:v>
      </x:c>
      <x:c r="P63" s="15">
        <x:f t="shared" si="9"/>
        <x:v>0</x:v>
      </x:c>
      <x:c r="Q63" s="15">
        <x:f t="shared" si="10"/>
        <x:v>0</x:v>
      </x:c>
      <x:c r="R63" s="15">
        <x:f t="shared" si="11"/>
        <x:v>1357588.6205189009</x:v>
      </x:c>
    </x:row>
    <x:row r="64" spans="1:18" outlineLevel="2">
      <x:c r="A64" s="12" t="s">
        <x:v>4</x:v>
      </x:c>
      <x:c r="B64" s="7" t="s">
        <x:v>53</x:v>
      </x:c>
      <x:c r="C64" s="6">
        <x:v>1047785.7</x:v>
      </x:c>
      <x:c r="F64" s="6">
        <x:v>1047785.7</x:v>
      </x:c>
      <x:c r="G64" s="1">
        <x:f t="shared" si="0"/>
        <x:v>0</x:v>
      </x:c>
      <x:c r="J64" s="3">
        <x:v>100</x:v>
      </x:c>
      <x:c r="K64" s="3">
        <x:v>41.10004</x:v>
      </x:c>
      <x:c r="L64" s="2">
        <x:v>0</x:v>
      </x:c>
      <x:c r="M64" s="1">
        <x:f t="shared" si="7"/>
        <x:v>617145.35818571993</x:v>
      </x:c>
      <x:c r="N64" s="1">
        <x:v>1.2687517594264217</x:v>
      </x:c>
      <x:c r="O64" s="1">
        <x:f t="shared" si="8"/>
        <x:v>783004.25901998137</x:v>
      </x:c>
      <x:c r="P64" s="15">
        <x:f t="shared" si="9"/>
        <x:v>0</x:v>
      </x:c>
      <x:c r="Q64" s="15">
        <x:f t="shared" si="10"/>
        <x:v>0</x:v>
      </x:c>
      <x:c r="R64" s="15">
        <x:f t="shared" si="11"/>
        <x:v>783004.25901998137</x:v>
      </x:c>
    </x:row>
    <x:row r="65" spans="1:18" outlineLevel="2">
      <x:c r="A65" s="12" t="s">
        <x:v>4</x:v>
      </x:c>
      <x:c r="B65" s="7" t="s">
        <x:v>52</x:v>
      </x:c>
      <x:c r="C65" s="6">
        <x:v>932160.71999999986</x:v>
      </x:c>
      <x:c r="F65" s="6">
        <x:v>932160.71999999986</x:v>
      </x:c>
      <x:c r="G65" s="1">
        <x:f t="shared" si="0"/>
        <x:v>0</x:v>
      </x:c>
      <x:c r="J65" s="3">
        <x:v>100</x:v>
      </x:c>
      <x:c r="K65" s="3">
        <x:v>40.261541999999999</x:v>
      </x:c>
      <x:c r="L65" s="2">
        <x:v>0</x:v>
      </x:c>
      <x:c r="M65" s="1">
        <x:f t="shared" si="7"/>
        <x:v>556858.44020969747</x:v>
      </x:c>
      <x:c r="N65" s="1">
        <x:v>1.2687517594264217</x:v>
      </x:c>
      <x:c r="O65" s="1">
        <x:f t="shared" si="8"/>
        <x:v>706515.12576750654</x:v>
      </x:c>
      <x:c r="P65" s="15">
        <x:f t="shared" si="9"/>
        <x:v>0</x:v>
      </x:c>
      <x:c r="Q65" s="15">
        <x:f t="shared" si="10"/>
        <x:v>0</x:v>
      </x:c>
      <x:c r="R65" s="15">
        <x:f t="shared" si="11"/>
        <x:v>706515.12576750654</x:v>
      </x:c>
    </x:row>
    <x:row r="66" spans="1:18" outlineLevel="2">
      <x:c r="A66" s="12" t="s">
        <x:v>4</x:v>
      </x:c>
      <x:c r="B66" s="7" t="s">
        <x:v>51</x:v>
      </x:c>
      <x:c r="C66" s="6">
        <x:v>888467.17000000016</x:v>
      </x:c>
      <x:c r="F66" s="6">
        <x:v>888467.17000000016</x:v>
      </x:c>
      <x:c r="G66" s="1">
        <x:f t="shared" si="0"/>
        <x:v>0</x:v>
      </x:c>
      <x:c r="J66" s="3">
        <x:v>100</x:v>
      </x:c>
      <x:c r="K66" s="3">
        <x:v>39.430065999999997</x:v>
      </x:c>
      <x:c r="L66" s="2">
        <x:v>0</x:v>
      </x:c>
      <x:c r="M66" s="1">
        <x:f t="shared" si="7"/>
        <x:v>538143.97848066792</x:v>
      </x:c>
      <x:c r="N66" s="1">
        <x:v>1.2687517594264217</x:v>
      </x:c>
      <x:c r="O66" s="1">
        <x:f t="shared" si="8"/>
        <x:v>682771.1195220818</x:v>
      </x:c>
      <x:c r="P66" s="15">
        <x:f t="shared" si="9"/>
        <x:v>0</x:v>
      </x:c>
      <x:c r="Q66" s="15">
        <x:f t="shared" si="10"/>
        <x:v>0</x:v>
      </x:c>
      <x:c r="R66" s="15">
        <x:f t="shared" si="11"/>
        <x:v>682771.1195220818</x:v>
      </x:c>
    </x:row>
    <x:row r="67" spans="1:18" outlineLevel="2">
      <x:c r="A67" s="12" t="s">
        <x:v>4</x:v>
      </x:c>
      <x:c r="B67" s="7" t="s">
        <x:v>50</x:v>
      </x:c>
      <x:c r="C67" s="6">
        <x:v>180243.25000000003</x:v>
      </x:c>
      <x:c r="F67" s="6">
        <x:v>180243.25000000003</x:v>
      </x:c>
      <x:c r="G67" s="1">
        <x:f t="shared" ref="G67:G130" si="12">+C67-D67-E67-F67</x:f>
        <x:v>0</x:v>
      </x:c>
      <x:c r="J67" s="3">
        <x:v>100</x:v>
      </x:c>
      <x:c r="K67" s="3">
        <x:v>38.605716999999999</x:v>
      </x:c>
      <x:c r="L67" s="2">
        <x:v>0</x:v>
      </x:c>
      <x:c r="M67" s="1">
        <x:f t="shared" ref="M67:M98" si="13">+C67*(1-K67/J67)*(1-L67)</x:f>
        <x:v>110659.05099339753</x:v>
      </x:c>
      <x:c r="N67" s="1">
        <x:v>1.2687517594264217</x:v>
      </x:c>
      <x:c r="O67" s="1">
        <x:f t="shared" ref="O67:O98" si="14">IF((C67*(1-L67)-M67*N67)&lt;0,C67*(1-L67),M67*N67)</x:f>
        <x:v>140398.86564433124</x:v>
      </x:c>
      <x:c r="P67" s="15">
        <x:f t="shared" ref="P67:P98" si="15">+D67/$C67*$O67</x:f>
        <x:v>0</x:v>
      </x:c>
      <x:c r="Q67" s="15">
        <x:f t="shared" ref="Q67:Q98" si="16">+E67/$C67*$O67</x:f>
        <x:v>0</x:v>
      </x:c>
      <x:c r="R67" s="15">
        <x:f t="shared" ref="R67:R98" si="17">+F67/$C67*$O67</x:f>
        <x:v>140398.86564433124</x:v>
      </x:c>
    </x:row>
    <x:row r="68" spans="1:18" outlineLevel="2">
      <x:c r="A68" s="12" t="s">
        <x:v>4</x:v>
      </x:c>
      <x:c r="B68" s="7" t="s">
        <x:v>49</x:v>
      </x:c>
      <x:c r="C68" s="6">
        <x:v>1019938.07</x:v>
      </x:c>
      <x:c r="F68" s="6">
        <x:v>1019938.07</x:v>
      </x:c>
      <x:c r="G68" s="1">
        <x:f t="shared" si="12"/>
        <x:v>0</x:v>
      </x:c>
      <x:c r="J68" s="3">
        <x:v>100</x:v>
      </x:c>
      <x:c r="K68" s="3">
        <x:v>37.788595000000001</x:v>
      </x:c>
      <x:c r="L68" s="2">
        <x:v>0</x:v>
      </x:c>
      <x:c r="M68" s="1">
        <x:f t="shared" si="13"/>
        <x:v>634517.80347688345</x:v>
      </x:c>
      <x:c r="N68" s="1">
        <x:v>1.2687517594264217</x:v>
      </x:c>
      <x:c r="O68" s="1">
        <x:f t="shared" si="14"/>
        <x:v>805045.57954868441</x:v>
      </x:c>
      <x:c r="P68" s="15">
        <x:f t="shared" si="15"/>
        <x:v>0</x:v>
      </x:c>
      <x:c r="Q68" s="15">
        <x:f t="shared" si="16"/>
        <x:v>0</x:v>
      </x:c>
      <x:c r="R68" s="15">
        <x:f t="shared" si="17"/>
        <x:v>805045.57954868441</x:v>
      </x:c>
    </x:row>
    <x:row r="69" spans="1:18" outlineLevel="2">
      <x:c r="A69" s="12" t="s">
        <x:v>4</x:v>
      </x:c>
      <x:c r="B69" s="7" t="s">
        <x:v>48</x:v>
      </x:c>
      <x:c r="C69" s="6">
        <x:v>738747.85</x:v>
      </x:c>
      <x:c r="F69" s="6">
        <x:v>738747.85</x:v>
      </x:c>
      <x:c r="G69" s="1">
        <x:f t="shared" si="12"/>
        <x:v>0</x:v>
      </x:c>
      <x:c r="J69" s="3">
        <x:v>100</x:v>
      </x:c>
      <x:c r="K69" s="3">
        <x:v>36.978788000000002</x:v>
      </x:c>
      <x:c r="L69" s="2">
        <x:v>0</x:v>
      </x:c>
      <x:c r="M69" s="1">
        <x:f t="shared" si="13"/>
        <x:v>465567.84869394195</x:v>
      </x:c>
      <x:c r="N69" s="1">
        <x:v>1.2687517594264217</x:v>
      </x:c>
      <x:c r="O69" s="1">
        <x:f t="shared" si="14"/>
        <x:v>590690.027162813</x:v>
      </x:c>
      <x:c r="P69" s="15">
        <x:f t="shared" si="15"/>
        <x:v>0</x:v>
      </x:c>
      <x:c r="Q69" s="15">
        <x:f t="shared" si="16"/>
        <x:v>0</x:v>
      </x:c>
      <x:c r="R69" s="15">
        <x:f t="shared" si="17"/>
        <x:v>590690.027162813</x:v>
      </x:c>
    </x:row>
    <x:row r="70" spans="1:18" outlineLevel="2">
      <x:c r="A70" s="12" t="s">
        <x:v>4</x:v>
      </x:c>
      <x:c r="B70" s="7" t="s">
        <x:v>47</x:v>
      </x:c>
      <x:c r="C70" s="6">
        <x:v>592852.67000000004</x:v>
      </x:c>
      <x:c r="F70" s="6">
        <x:v>592852.67000000004</x:v>
      </x:c>
      <x:c r="G70" s="1">
        <x:f t="shared" si="12"/>
        <x:v>0</x:v>
      </x:c>
      <x:c r="J70" s="3">
        <x:v>100</x:v>
      </x:c>
      <x:c r="K70" s="3">
        <x:v>36.176377000000002</x:v>
      </x:c>
      <x:c r="L70" s="2">
        <x:v>0</x:v>
      </x:c>
      <x:c r="M70" s="1">
        <x:f t="shared" si="13"/>
        <x:v>378380.05304623413</x:v>
      </x:c>
      <x:c r="N70" s="1">
        <x:v>1.2687517594264217</x:v>
      </x:c>
      <x:c r="O70" s="1">
        <x:f t="shared" si="14"/>
        <x:v>480070.35803427233</x:v>
      </x:c>
      <x:c r="P70" s="15">
        <x:f t="shared" si="15"/>
        <x:v>0</x:v>
      </x:c>
      <x:c r="Q70" s="15">
        <x:f t="shared" si="16"/>
        <x:v>0</x:v>
      </x:c>
      <x:c r="R70" s="15">
        <x:f t="shared" si="17"/>
        <x:v>480070.35803427233</x:v>
      </x:c>
    </x:row>
    <x:row r="71" spans="1:18" outlineLevel="2">
      <x:c r="A71" s="12" t="s">
        <x:v>4</x:v>
      </x:c>
      <x:c r="B71" s="7" t="s">
        <x:v>46</x:v>
      </x:c>
      <x:c r="C71" s="6">
        <x:v>1060311.42</x:v>
      </x:c>
      <x:c r="F71" s="6">
        <x:v>1060311.42</x:v>
      </x:c>
      <x:c r="G71" s="1">
        <x:f t="shared" si="12"/>
        <x:v>0</x:v>
      </x:c>
      <x:c r="J71" s="3">
        <x:v>100</x:v>
      </x:c>
      <x:c r="K71" s="3">
        <x:v>35.381422999999998</x:v>
      </x:c>
      <x:c r="L71" s="2">
        <x:v>0</x:v>
      </x:c>
      <x:c r="M71" s="1">
        <x:f t="shared" si="13"/>
        <x:v>685158.15137249336</x:v>
      </x:c>
      <x:c r="N71" s="1">
        <x:v>1.2687517594264217</x:v>
      </x:c>
      <x:c r="O71" s="1">
        <x:f t="shared" si="14"/>
        <x:v>869295.61003920552</x:v>
      </x:c>
      <x:c r="P71" s="15">
        <x:f t="shared" si="15"/>
        <x:v>0</x:v>
      </x:c>
      <x:c r="Q71" s="15">
        <x:f t="shared" si="16"/>
        <x:v>0</x:v>
      </x:c>
      <x:c r="R71" s="15">
        <x:f t="shared" si="17"/>
        <x:v>869295.61003920552</x:v>
      </x:c>
    </x:row>
    <x:row r="72" spans="1:18" outlineLevel="2">
      <x:c r="A72" s="12" t="s">
        <x:v>4</x:v>
      </x:c>
      <x:c r="B72" s="7" t="s">
        <x:v>45</x:v>
      </x:c>
      <x:c r="C72" s="6">
        <x:v>6367817.459999999</x:v>
      </x:c>
      <x:c r="F72" s="6">
        <x:v>6367817.459999999</x:v>
      </x:c>
      <x:c r="G72" s="1">
        <x:f t="shared" si="12"/>
        <x:v>0</x:v>
      </x:c>
      <x:c r="J72" s="3">
        <x:v>100</x:v>
      </x:c>
      <x:c r="K72" s="3">
        <x:v>34.593980000000002</x:v>
      </x:c>
      <x:c r="L72" s="2">
        <x:v>0</x:v>
      </x:c>
      <x:c r="M72" s="1">
        <x:f t="shared" si="13"/>
        <x:v>4164935.9614510913</x:v>
      </x:c>
      <x:c r="N72" s="1">
        <x:v>1.2687517594264217</x:v>
      </x:c>
      <x:c r="O72" s="1">
        <x:f t="shared" si="14"/>
        <x:v>5284269.8289894471</x:v>
      </x:c>
      <x:c r="P72" s="15">
        <x:f t="shared" si="15"/>
        <x:v>0</x:v>
      </x:c>
      <x:c r="Q72" s="15">
        <x:f t="shared" si="16"/>
        <x:v>0</x:v>
      </x:c>
      <x:c r="R72" s="15">
        <x:f t="shared" si="17"/>
        <x:v>5284269.8289894471</x:v>
      </x:c>
    </x:row>
    <x:row r="73" spans="1:18" outlineLevel="2">
      <x:c r="A73" s="12" t="s">
        <x:v>4</x:v>
      </x:c>
      <x:c r="B73" s="7" t="s">
        <x:v>44</x:v>
      </x:c>
      <x:c r="C73" s="6">
        <x:v>214226.82</x:v>
      </x:c>
      <x:c r="F73" s="6">
        <x:v>214226.82</x:v>
      </x:c>
      <x:c r="G73" s="1">
        <x:f t="shared" si="12"/>
        <x:v>0</x:v>
      </x:c>
      <x:c r="J73" s="3">
        <x:v>100</x:v>
      </x:c>
      <x:c r="K73" s="3">
        <x:v>33.814089000000003</x:v>
      </x:c>
      <x:c r="L73" s="2">
        <x:v>0</x:v>
      </x:c>
      <x:c r="M73" s="1">
        <x:f t="shared" si="13"/>
        <x:v>141787.97242333021</x:v>
      </x:c>
      <x:c r="N73" s="1">
        <x:v>1.2687517594264217</x:v>
      </x:c>
      <x:c r="O73" s="1">
        <x:f t="shared" si="14"/>
        <x:v>179893.73947760518</x:v>
      </x:c>
      <x:c r="P73" s="15">
        <x:f t="shared" si="15"/>
        <x:v>0</x:v>
      </x:c>
      <x:c r="Q73" s="15">
        <x:f t="shared" si="16"/>
        <x:v>0</x:v>
      </x:c>
      <x:c r="R73" s="15">
        <x:f t="shared" si="17"/>
        <x:v>179893.73947760518</x:v>
      </x:c>
    </x:row>
    <x:row r="74" spans="1:18" outlineLevel="2">
      <x:c r="A74" s="12" t="s">
        <x:v>4</x:v>
      </x:c>
      <x:c r="B74" s="7" t="s">
        <x:v>43</x:v>
      </x:c>
      <x:c r="C74" s="6">
        <x:v>629005.25000000012</x:v>
      </x:c>
      <x:c r="F74" s="6">
        <x:v>629005.25000000012</x:v>
      </x:c>
      <x:c r="G74" s="1">
        <x:f t="shared" si="12"/>
        <x:v>0</x:v>
      </x:c>
      <x:c r="J74" s="3">
        <x:v>100</x:v>
      </x:c>
      <x:c r="K74" s="3">
        <x:v>33.041770999999997</x:v>
      </x:c>
      <x:c r="L74" s="2">
        <x:v>0</x:v>
      </x:c>
      <x:c r="M74" s="1">
        <x:f t="shared" si="13"/>
        <x:v>421170.7757170226</x:v>
      </x:c>
      <x:c r="N74" s="1">
        <x:v>1.2687517594264217</x:v>
      </x:c>
      <x:c r="O74" s="1">
        <x:f t="shared" si="14"/>
        <x:v>534361.16270996328</x:v>
      </x:c>
      <x:c r="P74" s="15">
        <x:f t="shared" si="15"/>
        <x:v>0</x:v>
      </x:c>
      <x:c r="Q74" s="15">
        <x:f t="shared" si="16"/>
        <x:v>0</x:v>
      </x:c>
      <x:c r="R74" s="15">
        <x:f t="shared" si="17"/>
        <x:v>534361.16270996328</x:v>
      </x:c>
    </x:row>
    <x:row r="75" spans="1:18" outlineLevel="2">
      <x:c r="A75" s="12" t="s">
        <x:v>4</x:v>
      </x:c>
      <x:c r="B75" s="7" t="s">
        <x:v>42</x:v>
      </x:c>
      <x:c r="C75" s="6">
        <x:v>338568.01999999996</x:v>
      </x:c>
      <x:c r="F75" s="6">
        <x:v>338568.01999999996</x:v>
      </x:c>
      <x:c r="G75" s="1">
        <x:f t="shared" si="12"/>
        <x:v>0</x:v>
      </x:c>
      <x:c r="J75" s="3">
        <x:v>100</x:v>
      </x:c>
      <x:c r="K75" s="3">
        <x:v>32.277040999999997</x:v>
      </x:c>
      <x:c r="L75" s="2">
        <x:v>0</x:v>
      </x:c>
      <x:c r="M75" s="1">
        <x:f t="shared" si="13"/>
        <x:v>229288.28137171178</x:v>
      </x:c>
      <x:c r="N75" s="1">
        <x:v>1.2687517594264217</x:v>
      </x:c>
      <x:c r="O75" s="1">
        <x:f t="shared" si="14"/>
        <x:v>290909.91040621977</x:v>
      </x:c>
      <x:c r="P75" s="15">
        <x:f t="shared" si="15"/>
        <x:v>0</x:v>
      </x:c>
      <x:c r="Q75" s="15">
        <x:f t="shared" si="16"/>
        <x:v>0</x:v>
      </x:c>
      <x:c r="R75" s="15">
        <x:f t="shared" si="17"/>
        <x:v>290909.91040621977</x:v>
      </x:c>
    </x:row>
    <x:row r="76" spans="1:18" outlineLevel="2">
      <x:c r="A76" s="12" t="s">
        <x:v>4</x:v>
      </x:c>
      <x:c r="B76" s="7" t="s">
        <x:v>41</x:v>
      </x:c>
      <x:c r="C76" s="6">
        <x:v>184489.02999999997</x:v>
      </x:c>
      <x:c r="F76" s="6">
        <x:v>184489.02999999997</x:v>
      </x:c>
      <x:c r="G76" s="1">
        <x:f t="shared" si="12"/>
        <x:v>0</x:v>
      </x:c>
      <x:c r="J76" s="3">
        <x:v>100</x:v>
      </x:c>
      <x:c r="K76" s="3">
        <x:v>31.519891000000001</x:v>
      </x:c>
      <x:c r="L76" s="2">
        <x:v>0</x:v>
      </x:c>
      <x:c r="M76" s="1">
        <x:f t="shared" si="13"/>
        <x:v>126338.28883704268</x:v>
      </x:c>
      <x:c r="N76" s="1">
        <x:v>1.2687517594264217</x:v>
      </x:c>
      <x:c r="O76" s="1">
        <x:f t="shared" si="14"/>
        <x:v>160291.92624492134</x:v>
      </x:c>
      <x:c r="P76" s="15">
        <x:f t="shared" si="15"/>
        <x:v>0</x:v>
      </x:c>
      <x:c r="Q76" s="15">
        <x:f t="shared" si="16"/>
        <x:v>0</x:v>
      </x:c>
      <x:c r="R76" s="15">
        <x:f t="shared" si="17"/>
        <x:v>160291.92624492134</x:v>
      </x:c>
    </x:row>
    <x:row r="77" spans="1:18" outlineLevel="2">
      <x:c r="A77" s="12" t="s">
        <x:v>4</x:v>
      </x:c>
      <x:c r="B77" s="7" t="s">
        <x:v>40</x:v>
      </x:c>
      <x:c r="C77" s="6">
        <x:v>143601.28</x:v>
      </x:c>
      <x:c r="F77" s="6">
        <x:v>143601.28</x:v>
      </x:c>
      <x:c r="G77" s="1">
        <x:f t="shared" si="12"/>
        <x:v>0</x:v>
      </x:c>
      <x:c r="J77" s="3">
        <x:v>100</x:v>
      </x:c>
      <x:c r="K77" s="3">
        <x:v>30.770301</x:v>
      </x:c>
      <x:c r="L77" s="2">
        <x:v>0</x:v>
      </x:c>
      <x:c r="M77" s="1">
        <x:f t="shared" si="13"/>
        <x:v>99414.733904147201</x:v>
      </x:c>
      <x:c r="N77" s="1">
        <x:v>1.2687517594264217</x:v>
      </x:c>
      <x:c r="O77" s="1">
        <x:f t="shared" si="14"/>
        <x:v>126132.6185537963</x:v>
      </x:c>
      <x:c r="P77" s="15">
        <x:f t="shared" si="15"/>
        <x:v>0</x:v>
      </x:c>
      <x:c r="Q77" s="15">
        <x:f t="shared" si="16"/>
        <x:v>0</x:v>
      </x:c>
      <x:c r="R77" s="15">
        <x:f t="shared" si="17"/>
        <x:v>126132.6185537963</x:v>
      </x:c>
    </x:row>
    <x:row r="78" spans="1:18" outlineLevel="2">
      <x:c r="A78" s="12" t="s">
        <x:v>4</x:v>
      </x:c>
      <x:c r="B78" s="7" t="s">
        <x:v>39</x:v>
      </x:c>
      <x:c r="C78" s="6">
        <x:v>29518.15</x:v>
      </x:c>
      <x:c r="F78" s="6">
        <x:v>29518.15</x:v>
      </x:c>
      <x:c r="G78" s="1">
        <x:f t="shared" si="12"/>
        <x:v>0</x:v>
      </x:c>
      <x:c r="J78" s="3">
        <x:v>100</x:v>
      </x:c>
      <x:c r="K78" s="3">
        <x:v>30.028231000000002</x:v>
      </x:c>
      <x:c r="L78" s="2">
        <x:v>0</x:v>
      </x:c>
      <x:c r="M78" s="1">
        <x:f t="shared" si="13"/>
        <x:v>20654.371731073501</x:v>
      </x:c>
      <x:c r="N78" s="1">
        <x:v>1.2687517594264217</x:v>
      </x:c>
      <x:c r="O78" s="1">
        <x:f t="shared" si="14"/>
        <x:v>26205.270473646851</x:v>
      </x:c>
      <x:c r="P78" s="15">
        <x:f t="shared" si="15"/>
        <x:v>0</x:v>
      </x:c>
      <x:c r="Q78" s="15">
        <x:f t="shared" si="16"/>
        <x:v>0</x:v>
      </x:c>
      <x:c r="R78" s="15">
        <x:f t="shared" si="17"/>
        <x:v>26205.270473646851</x:v>
      </x:c>
    </x:row>
    <x:row r="79" spans="1:18" outlineLevel="2">
      <x:c r="A79" s="12" t="s">
        <x:v>4</x:v>
      </x:c>
      <x:c r="B79" s="7" t="s">
        <x:v>38</x:v>
      </x:c>
      <x:c r="C79" s="6">
        <x:v>124481.46</x:v>
      </x:c>
      <x:c r="F79" s="6">
        <x:v>124481.46</x:v>
      </x:c>
      <x:c r="G79" s="1">
        <x:f t="shared" si="12"/>
        <x:v>0</x:v>
      </x:c>
      <x:c r="J79" s="3">
        <x:v>100</x:v>
      </x:c>
      <x:c r="K79" s="3">
        <x:v>29.293628000000002</x:v>
      </x:c>
      <x:c r="L79" s="2">
        <x:v>0</x:v>
      </x:c>
      <x:c r="M79" s="1">
        <x:f t="shared" si="13"/>
        <x:v>88016.324178631214</x:v>
      </x:c>
      <x:c r="N79" s="1">
        <x:v>1.2687517594264217</x:v>
      </x:c>
      <x:c r="O79" s="1">
        <x:f t="shared" si="14"/>
        <x:v>111670.86615988465</x:v>
      </x:c>
      <x:c r="P79" s="15">
        <x:f t="shared" si="15"/>
        <x:v>0</x:v>
      </x:c>
      <x:c r="Q79" s="15">
        <x:f t="shared" si="16"/>
        <x:v>0</x:v>
      </x:c>
      <x:c r="R79" s="15">
        <x:f t="shared" si="17"/>
        <x:v>111670.86615988465</x:v>
      </x:c>
    </x:row>
    <x:row r="80" spans="1:18" outlineLevel="2">
      <x:c r="A80" s="12" t="s">
        <x:v>4</x:v>
      </x:c>
      <x:c r="B80" s="7" t="s">
        <x:v>37</x:v>
      </x:c>
      <x:c r="C80" s="6">
        <x:v>3691.2599999999998</x:v>
      </x:c>
      <x:c r="F80" s="6">
        <x:v>3691.2599999999998</x:v>
      </x:c>
      <x:c r="G80" s="1">
        <x:f t="shared" si="12"/>
        <x:v>0</x:v>
      </x:c>
      <x:c r="J80" s="3">
        <x:v>100</x:v>
      </x:c>
      <x:c r="K80" s="3">
        <x:v>28.566417999999999</x:v>
      </x:c>
      <x:c r="L80" s="2">
        <x:v>0</x:v>
      </x:c>
      <x:c r="M80" s="1">
        <x:f t="shared" si="13"/>
        <x:v>2636.7992389332003</x:v>
      </x:c>
      <x:c r="N80" s="1">
        <x:v>1.2687517594264217</x:v>
      </x:c>
      <x:c r="O80" s="1">
        <x:f t="shared" si="14"/>
        <x:v>3345.4436736507478</x:v>
      </x:c>
      <x:c r="P80" s="15">
        <x:f t="shared" si="15"/>
        <x:v>0</x:v>
      </x:c>
      <x:c r="Q80" s="15">
        <x:f t="shared" si="16"/>
        <x:v>0</x:v>
      </x:c>
      <x:c r="R80" s="15">
        <x:f t="shared" si="17"/>
        <x:v>3345.4436736507478</x:v>
      </x:c>
    </x:row>
    <x:row r="81" spans="1:18" outlineLevel="2">
      <x:c r="A81" s="12" t="s">
        <x:v>4</x:v>
      </x:c>
      <x:c r="B81" s="7" t="s">
        <x:v>36</x:v>
      </x:c>
      <x:c r="C81" s="6">
        <x:v>94150.92</x:v>
      </x:c>
      <x:c r="F81" s="6">
        <x:v>94150.92</x:v>
      </x:c>
      <x:c r="G81" s="1">
        <x:f t="shared" si="12"/>
        <x:v>0</x:v>
      </x:c>
      <x:c r="J81" s="3">
        <x:v>100</x:v>
      </x:c>
      <x:c r="K81" s="3">
        <x:v>27.846505000000001</x:v>
      </x:c>
      <x:c r="L81" s="2">
        <x:v>0</x:v>
      </x:c>
      <x:c r="M81" s="1">
        <x:f t="shared" si="13"/>
        <x:v>67933.179354653999</x:v>
      </x:c>
      <x:c r="N81" s="1">
        <x:v>1.2687517594264217</x:v>
      </x:c>
      <x:c r="O81" s="1">
        <x:f t="shared" si="14"/>
        <x:v>86190.340829647932</x:v>
      </x:c>
      <x:c r="P81" s="15">
        <x:f t="shared" si="15"/>
        <x:v>0</x:v>
      </x:c>
      <x:c r="Q81" s="15">
        <x:f t="shared" si="16"/>
        <x:v>0</x:v>
      </x:c>
      <x:c r="R81" s="15">
        <x:f t="shared" si="17"/>
        <x:v>86190.340829647932</x:v>
      </x:c>
    </x:row>
    <x:row r="82" spans="1:18" outlineLevel="2">
      <x:c r="A82" s="12" t="s">
        <x:v>4</x:v>
      </x:c>
      <x:c r="B82" s="7" t="s">
        <x:v>35</x:v>
      </x:c>
      <x:c r="C82" s="6">
        <x:v>9081.33</x:v>
      </x:c>
      <x:c r="F82" s="6">
        <x:v>9081.33</x:v>
      </x:c>
      <x:c r="G82" s="1">
        <x:f t="shared" si="12"/>
        <x:v>0</x:v>
      </x:c>
      <x:c r="J82" s="3">
        <x:v>100</x:v>
      </x:c>
      <x:c r="K82" s="3">
        <x:v>27.133778</x:v>
      </x:c>
      <x:c r="L82" s="2">
        <x:v>0</x:v>
      </x:c>
      <x:c r="M82" s="1">
        <x:f t="shared" si="13"/>
        <x:v>6617.2220783526</x:v>
      </x:c>
      <x:c r="N82" s="1">
        <x:v>1.2687517594264217</x:v>
      </x:c>
      <x:c r="O82" s="1">
        <x:f t="shared" si="14"/>
        <x:v>8395.6121544252237</x:v>
      </x:c>
      <x:c r="P82" s="15">
        <x:f t="shared" si="15"/>
        <x:v>0</x:v>
      </x:c>
      <x:c r="Q82" s="15">
        <x:f t="shared" si="16"/>
        <x:v>0</x:v>
      </x:c>
      <x:c r="R82" s="15">
        <x:f t="shared" si="17"/>
        <x:v>8395.6121544252237</x:v>
      </x:c>
    </x:row>
    <x:row r="83" spans="1:18" outlineLevel="2">
      <x:c r="A83" s="12" t="s">
        <x:v>4</x:v>
      </x:c>
      <x:c r="B83" s="7" t="s">
        <x:v>34</x:v>
      </x:c>
      <x:c r="C83" s="6">
        <x:v>9738.1299999999992</x:v>
      </x:c>
      <x:c r="F83" s="6">
        <x:v>9738.1299999999992</x:v>
      </x:c>
      <x:c r="G83" s="1">
        <x:f t="shared" si="12"/>
        <x:v>0</x:v>
      </x:c>
      <x:c r="J83" s="3">
        <x:v>100</x:v>
      </x:c>
      <x:c r="K83" s="3">
        <x:v>26.428100000000001</x:v>
      </x:c>
      <x:c r="L83" s="2">
        <x:v>0</x:v>
      </x:c>
      <x:c r="M83" s="1">
        <x:f t="shared" si="13"/>
        <x:v>7164.5272654699993</x:v>
      </x:c>
      <x:c r="N83" s="1">
        <x:v>1.2687517594264217</x:v>
      </x:c>
      <x:c r="O83" s="1">
        <x:f t="shared" si="14"/>
        <x:v>9090.0065735236312</x:v>
      </x:c>
      <x:c r="P83" s="15">
        <x:f t="shared" si="15"/>
        <x:v>0</x:v>
      </x:c>
      <x:c r="Q83" s="15">
        <x:f t="shared" si="16"/>
        <x:v>0</x:v>
      </x:c>
      <x:c r="R83" s="15">
        <x:f t="shared" si="17"/>
        <x:v>9090.0065735236312</x:v>
      </x:c>
    </x:row>
    <x:row r="84" spans="1:18" outlineLevel="2">
      <x:c r="A84" s="12" t="s">
        <x:v>4</x:v>
      </x:c>
      <x:c r="B84" s="7" t="s">
        <x:v>33</x:v>
      </x:c>
      <x:c r="C84" s="6">
        <x:v>26130.03</x:v>
      </x:c>
      <x:c r="F84" s="6">
        <x:v>26130.03</x:v>
      </x:c>
      <x:c r="G84" s="1">
        <x:f t="shared" si="12"/>
        <x:v>0</x:v>
      </x:c>
      <x:c r="J84" s="3">
        <x:v>100</x:v>
      </x:c>
      <x:c r="K84" s="3">
        <x:v>25.729316000000001</x:v>
      </x:c>
      <x:c r="L84" s="2">
        <x:v>0</x:v>
      </x:c>
      <x:c r="M84" s="1">
        <x:f t="shared" si="13"/>
        <x:v>19406.952010405199</x:v>
      </x:c>
      <x:c r="N84" s="1">
        <x:v>1.2687517594264217</x:v>
      </x:c>
      <x:c r="O84" s="1">
        <x:f t="shared" si="14"/>
        <x:v>24622.604508305729</x:v>
      </x:c>
      <x:c r="P84" s="15">
        <x:f t="shared" si="15"/>
        <x:v>0</x:v>
      </x:c>
      <x:c r="Q84" s="15">
        <x:f t="shared" si="16"/>
        <x:v>0</x:v>
      </x:c>
      <x:c r="R84" s="15">
        <x:f t="shared" si="17"/>
        <x:v>24622.604508305729</x:v>
      </x:c>
    </x:row>
    <x:row r="85" spans="1:18" outlineLevel="2">
      <x:c r="A85" s="12" t="s">
        <x:v>4</x:v>
      </x:c>
      <x:c r="B85" s="7" t="s">
        <x:v>32</x:v>
      </x:c>
      <x:c r="C85" s="6">
        <x:v>69025.91</x:v>
      </x:c>
      <x:c r="F85" s="6">
        <x:v>69025.91</x:v>
      </x:c>
      <x:c r="G85" s="1">
        <x:f t="shared" si="12"/>
        <x:v>0</x:v>
      </x:c>
      <x:c r="J85" s="3">
        <x:v>100</x:v>
      </x:c>
      <x:c r="K85" s="3">
        <x:v>25.037261999999998</x:v>
      </x:c>
      <x:c r="L85" s="2">
        <x:v>0</x:v>
      </x:c>
      <x:c r="M85" s="1">
        <x:f t="shared" si="13"/>
        <x:v>51743.712065415799</x:v>
      </x:c>
      <x:c r="N85" s="1">
        <x:v>1.2687517594264217</x:v>
      </x:c>
      <x:c r="O85" s="1">
        <x:f t="shared" si="14"/>
        <x:v>65649.925722250453</x:v>
      </x:c>
      <x:c r="P85" s="15">
        <x:f t="shared" si="15"/>
        <x:v>0</x:v>
      </x:c>
      <x:c r="Q85" s="15">
        <x:f t="shared" si="16"/>
        <x:v>0</x:v>
      </x:c>
      <x:c r="R85" s="15">
        <x:f t="shared" si="17"/>
        <x:v>65649.925722250453</x:v>
      </x:c>
    </x:row>
    <x:row r="86" spans="1:18" outlineLevel="2">
      <x:c r="A86" s="12" t="s">
        <x:v>4</x:v>
      </x:c>
      <x:c r="B86" s="7" t="s">
        <x:v>31</x:v>
      </x:c>
      <x:c r="C86" s="6">
        <x:v>57521.73</x:v>
      </x:c>
      <x:c r="F86" s="6">
        <x:v>57521.73</x:v>
      </x:c>
      <x:c r="G86" s="1">
        <x:f t="shared" si="12"/>
        <x:v>0</x:v>
      </x:c>
      <x:c r="J86" s="3">
        <x:v>100</x:v>
      </x:c>
      <x:c r="K86" s="3">
        <x:v>24.351879</x:v>
      </x:c>
      <x:c r="L86" s="2">
        <x:v>0</x:v>
      </x:c>
      <x:c r="M86" s="1">
        <x:f t="shared" si="13"/>
        <x:v>43514.107911693303</x:v>
      </x:c>
      <x:c r="N86" s="1">
        <x:v>1.2687517594264217</x:v>
      </x:c>
      <x:c r="O86" s="1">
        <x:f t="shared" si="14"/>
        <x:v>55208.600972832057</x:v>
      </x:c>
      <x:c r="P86" s="15">
        <x:f t="shared" si="15"/>
        <x:v>0</x:v>
      </x:c>
      <x:c r="Q86" s="15">
        <x:f t="shared" si="16"/>
        <x:v>0</x:v>
      </x:c>
      <x:c r="R86" s="15">
        <x:f t="shared" si="17"/>
        <x:v>55208.600972832057</x:v>
      </x:c>
    </x:row>
    <x:row r="87" spans="1:18" outlineLevel="2">
      <x:c r="A87" s="12" t="s">
        <x:v>4</x:v>
      </x:c>
      <x:c r="B87" s="7" t="s">
        <x:v>30</x:v>
      </x:c>
      <x:c r="C87" s="6">
        <x:v>1772.56</x:v>
      </x:c>
      <x:c r="F87" s="6">
        <x:v>1772.56</x:v>
      </x:c>
      <x:c r="G87" s="1">
        <x:f t="shared" si="12"/>
        <x:v>0</x:v>
      </x:c>
      <x:c r="J87" s="3">
        <x:v>100</x:v>
      </x:c>
      <x:c r="K87" s="3">
        <x:v>23.673348000000001</x:v>
      </x:c>
      <x:c r="L87" s="2">
        <x:v>0</x:v>
      </x:c>
      <x:c r="M87" s="1">
        <x:f t="shared" si="13"/>
        <x:v>1352.9357026911998</x:v>
      </x:c>
      <x:c r="N87" s="1">
        <x:v>1.2687517594264217</x:v>
      </x:c>
      <x:c r="O87" s="1">
        <x:f t="shared" si="14"/>
        <x:v>1716.5395531802819</x:v>
      </x:c>
      <x:c r="P87" s="15">
        <x:f t="shared" si="15"/>
        <x:v>0</x:v>
      </x:c>
      <x:c r="Q87" s="15">
        <x:f t="shared" si="16"/>
        <x:v>0</x:v>
      </x:c>
      <x:c r="R87" s="15">
        <x:f t="shared" si="17"/>
        <x:v>1716.5395531802819</x:v>
      </x:c>
    </x:row>
    <x:row r="88" spans="1:18" outlineLevel="2">
      <x:c r="A88" s="12" t="s">
        <x:v>4</x:v>
      </x:c>
      <x:c r="B88" s="7" t="s">
        <x:v>29</x:v>
      </x:c>
      <x:c r="C88" s="6">
        <x:v>57502.860000000008</x:v>
      </x:c>
      <x:c r="F88" s="6">
        <x:v>57502.860000000008</x:v>
      </x:c>
      <x:c r="G88" s="1">
        <x:f t="shared" si="12"/>
        <x:v>0</x:v>
      </x:c>
      <x:c r="J88" s="3">
        <x:v>100</x:v>
      </x:c>
      <x:c r="K88" s="3">
        <x:v>23.002137999999999</x:v>
      </x:c>
      <x:c r="L88" s="2">
        <x:v>0</x:v>
      </x:c>
      <x:c r="M88" s="1">
        <x:f t="shared" si="13"/>
        <x:v>44275.972788853207</x:v>
      </x:c>
      <x:c r="N88" s="1">
        <x:v>1.2687517594264217</x:v>
      </x:c>
      <x:c r="O88" s="1">
        <x:f t="shared" si="14"/>
        <x:v>56175.218376173878</x:v>
      </x:c>
      <x:c r="P88" s="15">
        <x:f t="shared" si="15"/>
        <x:v>0</x:v>
      </x:c>
      <x:c r="Q88" s="15">
        <x:f t="shared" si="16"/>
        <x:v>0</x:v>
      </x:c>
      <x:c r="R88" s="15">
        <x:f t="shared" si="17"/>
        <x:v>56175.218376173878</x:v>
      </x:c>
    </x:row>
    <x:row r="89" spans="1:18" outlineLevel="2">
      <x:c r="A89" s="12" t="s">
        <x:v>4</x:v>
      </x:c>
      <x:c r="B89" s="7" t="s">
        <x:v>28</x:v>
      </x:c>
      <x:c r="C89" s="6">
        <x:v>1142.21</x:v>
      </x:c>
      <x:c r="F89" s="6">
        <x:v>1142.21</x:v>
      </x:c>
      <x:c r="G89" s="1">
        <x:f t="shared" si="12"/>
        <x:v>0</x:v>
      </x:c>
      <x:c r="J89" s="3">
        <x:v>100</x:v>
      </x:c>
      <x:c r="K89" s="3">
        <x:v>22.338977</x:v>
      </x:c>
      <x:c r="L89" s="2">
        <x:v>0</x:v>
      </x:c>
      <x:c r="M89" s="1">
        <x:f t="shared" si="13"/>
        <x:v>887.05197080829998</x:v>
      </x:c>
      <x:c r="N89" s="1">
        <x:v>1.2687517594264217</x:v>
      </x:c>
      <x:c r="O89" s="1">
        <x:f t="shared" si="14"/>
        <x:v>1125.4487486657056</x:v>
      </x:c>
      <x:c r="P89" s="15">
        <x:f t="shared" si="15"/>
        <x:v>0</x:v>
      </x:c>
      <x:c r="Q89" s="15">
        <x:f t="shared" si="16"/>
        <x:v>0</x:v>
      </x:c>
      <x:c r="R89" s="15">
        <x:f t="shared" si="17"/>
        <x:v>1125.4487486657056</x:v>
      </x:c>
    </x:row>
    <x:row r="90" spans="1:18" outlineLevel="2">
      <x:c r="A90" s="12" t="s">
        <x:v>4</x:v>
      </x:c>
      <x:c r="B90" s="7" t="s">
        <x:v>27</x:v>
      </x:c>
      <x:c r="C90" s="6">
        <x:v>152.31</x:v>
      </x:c>
      <x:c r="F90" s="6">
        <x:v>152.31</x:v>
      </x:c>
      <x:c r="G90" s="1">
        <x:f t="shared" si="12"/>
        <x:v>0</x:v>
      </x:c>
      <x:c r="J90" s="3">
        <x:v>100</x:v>
      </x:c>
      <x:c r="K90" s="3">
        <x:v>20.407601</x:v>
      </x:c>
      <x:c r="L90" s="2">
        <x:v>0</x:v>
      </x:c>
      <x:c r="M90" s="1">
        <x:f t="shared" si="13"/>
        <x:v>121.22718291690001</x:v>
      </x:c>
      <x:c r="N90" s="1">
        <x:v>1.2687517594264217</x:v>
      </x:c>
      <x:c r="O90" s="1">
        <x:f t="shared" si="14"/>
        <x:v>152.31</x:v>
      </x:c>
      <x:c r="P90" s="15">
        <x:f t="shared" si="15"/>
        <x:v>0</x:v>
      </x:c>
      <x:c r="Q90" s="15">
        <x:f t="shared" si="16"/>
        <x:v>0</x:v>
      </x:c>
      <x:c r="R90" s="15">
        <x:f t="shared" si="17"/>
        <x:v>152.31</x:v>
      </x:c>
    </x:row>
    <x:row r="91" spans="1:18" outlineLevel="2">
      <x:c r="A91" s="12" t="s">
        <x:v>4</x:v>
      </x:c>
      <x:c r="B91" s="7" t="s">
        <x:v>26</x:v>
      </x:c>
      <x:c r="C91" s="6">
        <x:v>31.75</x:v>
      </x:c>
      <x:c r="F91" s="6">
        <x:v>31.75</x:v>
      </x:c>
      <x:c r="G91" s="1">
        <x:f t="shared" si="12"/>
        <x:v>0</x:v>
      </x:c>
      <x:c r="J91" s="3">
        <x:v>100</x:v>
      </x:c>
      <x:c r="K91" s="3">
        <x:v>19.786801000000001</x:v>
      </x:c>
      <x:c r="L91" s="2">
        <x:v>0</x:v>
      </x:c>
      <x:c r="M91" s="1">
        <x:f t="shared" si="13"/>
        <x:v>25.467690682499999</x:v>
      </x:c>
      <x:c r="N91" s="1">
        <x:v>1.2687517594264217</x:v>
      </x:c>
      <x:c r="O91" s="1">
        <x:f t="shared" si="14"/>
        <x:v>31.75</x:v>
      </x:c>
      <x:c r="P91" s="15">
        <x:f t="shared" si="15"/>
        <x:v>0</x:v>
      </x:c>
      <x:c r="Q91" s="15">
        <x:f t="shared" si="16"/>
        <x:v>0</x:v>
      </x:c>
      <x:c r="R91" s="15">
        <x:f t="shared" si="17"/>
        <x:v>31.75</x:v>
      </x:c>
    </x:row>
    <x:row r="92" spans="1:18" outlineLevel="2">
      <x:c r="A92" s="12" t="s">
        <x:v>4</x:v>
      </x:c>
      <x:c r="B92" s="7" t="s">
        <x:v>25</x:v>
      </x:c>
      <x:c r="C92" s="6">
        <x:v>260.52</x:v>
      </x:c>
      <x:c r="F92" s="6">
        <x:v>260.52</x:v>
      </x:c>
      <x:c r="G92" s="1">
        <x:f t="shared" si="12"/>
        <x:v>0</x:v>
      </x:c>
      <x:c r="J92" s="3">
        <x:v>100</x:v>
      </x:c>
      <x:c r="K92" s="3">
        <x:v>19.179262000000001</x:v>
      </x:c>
      <x:c r="L92" s="2">
        <x:v>0</x:v>
      </x:c>
      <x:c r="M92" s="1">
        <x:f t="shared" si="13"/>
        <x:v>210.5541866376</x:v>
      </x:c>
      <x:c r="N92" s="1">
        <x:v>1.2687517594264217</x:v>
      </x:c>
      <x:c r="O92" s="1">
        <x:f t="shared" si="14"/>
        <x:v>260.52</x:v>
      </x:c>
      <x:c r="P92" s="15">
        <x:f t="shared" si="15"/>
        <x:v>0</x:v>
      </x:c>
      <x:c r="Q92" s="15">
        <x:f t="shared" si="16"/>
        <x:v>0</x:v>
      </x:c>
      <x:c r="R92" s="15">
        <x:f t="shared" si="17"/>
        <x:v>260.52</x:v>
      </x:c>
    </x:row>
    <x:row r="93" spans="1:18" outlineLevel="2">
      <x:c r="A93" s="12" t="s">
        <x:v>4</x:v>
      </x:c>
      <x:c r="B93" s="7" t="s">
        <x:v>24</x:v>
      </x:c>
      <x:c r="C93" s="6">
        <x:v>160175.04999999999</x:v>
      </x:c>
      <x:c r="F93" s="6">
        <x:v>160175.04999999999</x:v>
      </x:c>
      <x:c r="G93" s="1">
        <x:f t="shared" si="12"/>
        <x:v>0</x:v>
      </x:c>
      <x:c r="J93" s="3">
        <x:v>100</x:v>
      </x:c>
      <x:c r="K93" s="3">
        <x:v>18.585899999999999</x:v>
      </x:c>
      <x:c r="L93" s="2">
        <x:v>0</x:v>
      </x:c>
      <x:c r="M93" s="1">
        <x:f t="shared" si="13"/>
        <x:v>130405.07538205</x:v>
      </x:c>
      <x:c r="N93" s="1">
        <x:v>1.2687517594264217</x:v>
      </x:c>
      <x:c r="O93" s="1">
        <x:f t="shared" si="14"/>
        <x:v>160175.04999999999</x:v>
      </x:c>
      <x:c r="P93" s="15">
        <x:f t="shared" si="15"/>
        <x:v>0</x:v>
      </x:c>
      <x:c r="Q93" s="15">
        <x:f t="shared" si="16"/>
        <x:v>0</x:v>
      </x:c>
      <x:c r="R93" s="15">
        <x:f t="shared" si="17"/>
        <x:v>160175.04999999999</x:v>
      </x:c>
    </x:row>
    <x:row r="94" spans="1:18" outlineLevel="2">
      <x:c r="A94" s="12" t="s">
        <x:v>4</x:v>
      </x:c>
      <x:c r="B94" s="7" t="s">
        <x:v>23</x:v>
      </x:c>
      <x:c r="C94" s="6">
        <x:v>74.990000000000009</x:v>
      </x:c>
      <x:c r="F94" s="6">
        <x:v>74.990000000000009</x:v>
      </x:c>
      <x:c r="G94" s="1">
        <x:f t="shared" si="12"/>
        <x:v>0</x:v>
      </x:c>
      <x:c r="J94" s="3">
        <x:v>100</x:v>
      </x:c>
      <x:c r="K94" s="3">
        <x:v>18.007491999999999</x:v>
      </x:c>
      <x:c r="L94" s="2">
        <x:v>0</x:v>
      </x:c>
      <x:c r="M94" s="1">
        <x:f t="shared" si="13"/>
        <x:v>61.486181749200007</x:v>
      </x:c>
      <x:c r="N94" s="1">
        <x:v>1.2687517594264217</x:v>
      </x:c>
      <x:c r="O94" s="1">
        <x:f t="shared" si="14"/>
        <x:v>74.990000000000009</x:v>
      </x:c>
      <x:c r="P94" s="15">
        <x:f t="shared" si="15"/>
        <x:v>0</x:v>
      </x:c>
      <x:c r="Q94" s="15">
        <x:f t="shared" si="16"/>
        <x:v>0</x:v>
      </x:c>
      <x:c r="R94" s="15">
        <x:f t="shared" si="17"/>
        <x:v>74.990000000000009</x:v>
      </x:c>
    </x:row>
    <x:row r="95" spans="1:18" outlineLevel="2">
      <x:c r="A95" s="12" t="s">
        <x:v>4</x:v>
      </x:c>
      <x:c r="B95" s="7" t="s">
        <x:v>22</x:v>
      </x:c>
      <x:c r="C95" s="6">
        <x:v>20708.439999999999</x:v>
      </x:c>
      <x:c r="F95" s="6">
        <x:v>20708.439999999999</x:v>
      </x:c>
      <x:c r="G95" s="1">
        <x:f t="shared" si="12"/>
        <x:v>0</x:v>
      </x:c>
      <x:c r="J95" s="3">
        <x:v>100</x:v>
      </x:c>
      <x:c r="K95" s="3">
        <x:v>17.444665000000001</x:v>
      </x:c>
      <x:c r="L95" s="2">
        <x:v>0</x:v>
      </x:c>
      <x:c r="M95" s="1">
        <x:f t="shared" si="13"/>
        <x:v>17095.922015273998</x:v>
      </x:c>
      <x:c r="N95" s="1">
        <x:v>1.2687517594264217</x:v>
      </x:c>
      <x:c r="O95" s="1">
        <x:f t="shared" si="14"/>
        <x:v>20708.439999999999</x:v>
      </x:c>
      <x:c r="P95" s="15">
        <x:f t="shared" si="15"/>
        <x:v>0</x:v>
      </x:c>
      <x:c r="Q95" s="15">
        <x:f t="shared" si="16"/>
        <x:v>0</x:v>
      </x:c>
      <x:c r="R95" s="15">
        <x:f t="shared" si="17"/>
        <x:v>20708.439999999999</x:v>
      </x:c>
    </x:row>
    <x:row r="96" spans="1:18" outlineLevel="2">
      <x:c r="A96" s="12" t="s">
        <x:v>4</x:v>
      </x:c>
      <x:c r="B96" s="7" t="s">
        <x:v>21</x:v>
      </x:c>
      <x:c r="C96" s="6">
        <x:v>151180.66</x:v>
      </x:c>
      <x:c r="F96" s="6">
        <x:v>151180.66</x:v>
      </x:c>
      <x:c r="G96" s="1">
        <x:f t="shared" si="12"/>
        <x:v>0</x:v>
      </x:c>
      <x:c r="J96" s="3">
        <x:v>100</x:v>
      </x:c>
      <x:c r="K96" s="3">
        <x:v>16.897877999999999</x:v>
      </x:c>
      <x:c r="L96" s="2">
        <x:v>0</x:v>
      </x:c>
      <x:c r="M96" s="1">
        <x:f t="shared" si="13"/>
        <x:v>125634.3365136052</x:v>
      </x:c>
      <x:c r="N96" s="1">
        <x:v>1.2687517594264217</x:v>
      </x:c>
      <x:c r="O96" s="1">
        <x:f t="shared" si="14"/>
        <x:v>151180.66</x:v>
      </x:c>
      <x:c r="P96" s="15">
        <x:f t="shared" si="15"/>
        <x:v>0</x:v>
      </x:c>
      <x:c r="Q96" s="15">
        <x:f t="shared" si="16"/>
        <x:v>0</x:v>
      </x:c>
      <x:c r="R96" s="15">
        <x:f t="shared" si="17"/>
        <x:v>151180.66</x:v>
      </x:c>
    </x:row>
    <x:row r="97" spans="1:18" outlineLevel="2">
      <x:c r="A97" s="12" t="s">
        <x:v>4</x:v>
      </x:c>
      <x:c r="B97" s="7" t="s">
        <x:v>20</x:v>
      </x:c>
      <x:c r="C97" s="6">
        <x:v>177751.48</x:v>
      </x:c>
      <x:c r="F97" s="6">
        <x:v>177751.48</x:v>
      </x:c>
      <x:c r="G97" s="1">
        <x:f t="shared" si="12"/>
        <x:v>0</x:v>
      </x:c>
      <x:c r="J97" s="3">
        <x:v>100</x:v>
      </x:c>
      <x:c r="K97" s="3">
        <x:v>16.367422000000001</x:v>
      </x:c>
      <x:c r="L97" s="2">
        <x:v>0</x:v>
      </x:c>
      <x:c r="M97" s="1">
        <x:f t="shared" si="13"/>
        <x:v>148658.14515715442</x:v>
      </x:c>
      <x:c r="N97" s="1">
        <x:v>1.2687517594264217</x:v>
      </x:c>
      <x:c r="O97" s="1">
        <x:f t="shared" si="14"/>
        <x:v>177751.48</x:v>
      </x:c>
      <x:c r="P97" s="15">
        <x:f t="shared" si="15"/>
        <x:v>0</x:v>
      </x:c>
      <x:c r="Q97" s="15">
        <x:f t="shared" si="16"/>
        <x:v>0</x:v>
      </x:c>
      <x:c r="R97" s="15">
        <x:f t="shared" si="17"/>
        <x:v>177751.48</x:v>
      </x:c>
    </x:row>
    <x:row r="98" spans="1:18" outlineLevel="2">
      <x:c r="A98" s="12" t="s">
        <x:v>4</x:v>
      </x:c>
      <x:c r="B98" s="7" t="s">
        <x:v>19</x:v>
      </x:c>
      <x:c r="C98" s="6">
        <x:v>407131.58999999997</x:v>
      </x:c>
      <x:c r="F98" s="6">
        <x:v>407131.58999999997</x:v>
      </x:c>
      <x:c r="G98" s="1">
        <x:f t="shared" si="12"/>
        <x:v>0</x:v>
      </x:c>
      <x:c r="J98" s="3">
        <x:v>100</x:v>
      </x:c>
      <x:c r="K98" s="3">
        <x:v>15.853427999999999</x:v>
      </x:c>
      <x:c r="L98" s="2">
        <x:v>0</x:v>
      </x:c>
      <x:c r="M98" s="1">
        <x:f t="shared" si="13"/>
        <x:v>342587.27651409479</x:v>
      </x:c>
      <x:c r="N98" s="1">
        <x:v>1.2687517594264217</x:v>
      </x:c>
      <x:c r="O98" s="1">
        <x:f t="shared" si="14"/>
        <x:v>407131.58999999997</x:v>
      </x:c>
      <x:c r="P98" s="15">
        <x:f t="shared" si="15"/>
        <x:v>0</x:v>
      </x:c>
      <x:c r="Q98" s="15">
        <x:f t="shared" si="16"/>
        <x:v>0</x:v>
      </x:c>
      <x:c r="R98" s="15">
        <x:f t="shared" si="17"/>
        <x:v>407131.58999999997</x:v>
      </x:c>
    </x:row>
    <x:row r="99" spans="1:18" outlineLevel="2">
      <x:c r="A99" s="12" t="s">
        <x:v>4</x:v>
      </x:c>
      <x:c r="B99" s="7" t="s">
        <x:v>18</x:v>
      </x:c>
      <x:c r="C99" s="6">
        <x:v>623000.88</x:v>
      </x:c>
      <x:c r="F99" s="6">
        <x:v>623000.88</x:v>
      </x:c>
      <x:c r="G99" s="1">
        <x:f t="shared" si="12"/>
        <x:v>0</x:v>
      </x:c>
      <x:c r="J99" s="3">
        <x:v>100</x:v>
      </x:c>
      <x:c r="K99" s="3">
        <x:v>15.355884</x:v>
      </x:c>
      <x:c r="L99" s="2">
        <x:v>0</x:v>
      </x:c>
      <x:c r="M99" s="1">
        <x:f t="shared" ref="M99:M112" si="18">+C99*(1-K99/J99)*(1-L99)</x:f>
        <x:v>527333.58754822076</x:v>
      </x:c>
      <x:c r="N99" s="1">
        <x:v>1.2687517594264217</x:v>
      </x:c>
      <x:c r="O99" s="1">
        <x:f t="shared" ref="O99:O112" si="19">IF((C99*(1-L99)-M99*N99)&lt;0,C99*(1-L99),M99*N99)</x:f>
        <x:v>623000.88</x:v>
      </x:c>
      <x:c r="P99" s="15">
        <x:f t="shared" ref="P99:P112" si="20">+D99/$C99*$O99</x:f>
        <x:v>0</x:v>
      </x:c>
      <x:c r="Q99" s="15">
        <x:f t="shared" ref="Q99:Q112" si="21">+E99/$C99*$O99</x:f>
        <x:v>0</x:v>
      </x:c>
      <x:c r="R99" s="15">
        <x:f t="shared" ref="R99:R112" si="22">+F99/$C99*$O99</x:f>
        <x:v>623000.88</x:v>
      </x:c>
    </x:row>
    <x:row r="100" spans="1:18" outlineLevel="2">
      <x:c r="A100" s="12" t="s">
        <x:v>4</x:v>
      </x:c>
      <x:c r="B100" s="7" t="s">
        <x:v>17</x:v>
      </x:c>
      <x:c r="C100" s="6">
        <x:v>114531.13</x:v>
      </x:c>
      <x:c r="F100" s="6">
        <x:v>114531.13</x:v>
      </x:c>
      <x:c r="G100" s="1">
        <x:f t="shared" si="12"/>
        <x:v>0</x:v>
      </x:c>
      <x:c r="J100" s="3">
        <x:v>100</x:v>
      </x:c>
      <x:c r="K100" s="3">
        <x:v>14.874636000000001</x:v>
      </x:c>
      <x:c r="L100" s="2">
        <x:v>0</x:v>
      </x:c>
      <x:c r="M100" s="1">
        <x:f t="shared" si="18"/>
        <x:v>97495.041305813211</x:v>
      </x:c>
      <x:c r="N100" s="1">
        <x:v>1.2687517594264217</x:v>
      </x:c>
      <x:c r="O100" s="1">
        <x:f t="shared" si="19"/>
        <x:v>114531.13</x:v>
      </x:c>
      <x:c r="P100" s="15">
        <x:f t="shared" si="20"/>
        <x:v>0</x:v>
      </x:c>
      <x:c r="Q100" s="15">
        <x:f t="shared" si="21"/>
        <x:v>0</x:v>
      </x:c>
      <x:c r="R100" s="15">
        <x:f t="shared" si="22"/>
        <x:v>114531.13</x:v>
      </x:c>
    </x:row>
    <x:row r="101" spans="1:18" outlineLevel="2">
      <x:c r="A101" s="12" t="s">
        <x:v>4</x:v>
      </x:c>
      <x:c r="B101" s="7" t="s">
        <x:v>16</x:v>
      </x:c>
      <x:c r="C101" s="6">
        <x:v>25201.170000000002</x:v>
      </x:c>
      <x:c r="F101" s="6">
        <x:v>25201.170000000002</x:v>
      </x:c>
      <x:c r="G101" s="1">
        <x:f t="shared" si="12"/>
        <x:v>0</x:v>
      </x:c>
      <x:c r="J101" s="3">
        <x:v>100</x:v>
      </x:c>
      <x:c r="K101" s="3">
        <x:v>14.409413000000001</x:v>
      </x:c>
      <x:c r="L101" s="2">
        <x:v>0</x:v>
      </x:c>
      <x:c r="M101" s="1">
        <x:f t="shared" si="18"/>
        <x:v>21569.8293338679</x:v>
      </x:c>
      <x:c r="N101" s="1">
        <x:v>1.2687517594264217</x:v>
      </x:c>
      <x:c r="O101" s="1">
        <x:f t="shared" si="19"/>
        <x:v>25201.170000000002</x:v>
      </x:c>
      <x:c r="P101" s="15">
        <x:f t="shared" si="20"/>
        <x:v>0</x:v>
      </x:c>
      <x:c r="Q101" s="15">
        <x:f t="shared" si="21"/>
        <x:v>0</x:v>
      </x:c>
      <x:c r="R101" s="15">
        <x:f t="shared" si="22"/>
        <x:v>25201.170000000002</x:v>
      </x:c>
    </x:row>
    <x:row r="102" spans="1:18" outlineLevel="2">
      <x:c r="A102" s="12" t="s">
        <x:v>4</x:v>
      </x:c>
      <x:c r="B102" s="7" t="s">
        <x:v>15</x:v>
      </x:c>
      <x:c r="C102" s="6">
        <x:v>5376.35</x:v>
      </x:c>
      <x:c r="F102" s="6">
        <x:v>5376.35</x:v>
      </x:c>
      <x:c r="G102" s="1">
        <x:f t="shared" si="12"/>
        <x:v>0</x:v>
      </x:c>
      <x:c r="J102" s="3">
        <x:v>100</x:v>
      </x:c>
      <x:c r="K102" s="3">
        <x:v>13.959837</x:v>
      </x:c>
      <x:c r="L102" s="2">
        <x:v>0</x:v>
      </x:c>
      <x:c r="M102" s="1">
        <x:f t="shared" si="18"/>
        <x:v>4625.8203034505004</x:v>
      </x:c>
      <x:c r="N102" s="1">
        <x:v>1.2687517594264217</x:v>
      </x:c>
      <x:c r="O102" s="1">
        <x:f t="shared" si="19"/>
        <x:v>5376.35</x:v>
      </x:c>
      <x:c r="P102" s="15">
        <x:f t="shared" si="20"/>
        <x:v>0</x:v>
      </x:c>
      <x:c r="Q102" s="15">
        <x:f t="shared" si="21"/>
        <x:v>0</x:v>
      </x:c>
      <x:c r="R102" s="15">
        <x:f t="shared" si="22"/>
        <x:v>5376.35</x:v>
      </x:c>
    </x:row>
    <x:row r="103" spans="1:18" outlineLevel="2">
      <x:c r="A103" s="12" t="s">
        <x:v>4</x:v>
      </x:c>
      <x:c r="B103" s="7" t="s">
        <x:v>14</x:v>
      </x:c>
      <x:c r="C103" s="6">
        <x:v>117.16</x:v>
      </x:c>
      <x:c r="F103" s="6">
        <x:v>117.16</x:v>
      </x:c>
      <x:c r="G103" s="1">
        <x:f t="shared" si="12"/>
        <x:v>0</x:v>
      </x:c>
      <x:c r="J103" s="3">
        <x:v>100</x:v>
      </x:c>
      <x:c r="K103" s="3">
        <x:v>13.525435999999999</x:v>
      </x:c>
      <x:c r="L103" s="2">
        <x:v>0</x:v>
      </x:c>
      <x:c r="M103" s="1">
        <x:f t="shared" si="18"/>
        <x:v>101.3135991824</x:v>
      </x:c>
      <x:c r="N103" s="1">
        <x:v>1.2687517594264217</x:v>
      </x:c>
      <x:c r="O103" s="1">
        <x:f t="shared" si="19"/>
        <x:v>117.16</x:v>
      </x:c>
      <x:c r="P103" s="15">
        <x:f t="shared" si="20"/>
        <x:v>0</x:v>
      </x:c>
      <x:c r="Q103" s="15">
        <x:f t="shared" si="21"/>
        <x:v>0</x:v>
      </x:c>
      <x:c r="R103" s="15">
        <x:f t="shared" si="22"/>
        <x:v>117.16</x:v>
      </x:c>
    </x:row>
    <x:row r="104" spans="1:18" outlineLevel="2">
      <x:c r="A104" s="12" t="s">
        <x:v>4</x:v>
      </x:c>
      <x:c r="B104" s="7" t="s">
        <x:v>13</x:v>
      </x:c>
      <x:c r="C104" s="6">
        <x:v>2242.0699999999997</x:v>
      </x:c>
      <x:c r="F104" s="6">
        <x:v>2242.0699999999997</x:v>
      </x:c>
      <x:c r="G104" s="1">
        <x:f t="shared" si="12"/>
        <x:v>0</x:v>
      </x:c>
      <x:c r="J104" s="3">
        <x:v>100</x:v>
      </x:c>
      <x:c r="K104" s="3">
        <x:v>13.10567</x:v>
      </x:c>
      <x:c r="L104" s="2">
        <x:v>0</x:v>
      </x:c>
      <x:c r="M104" s="1">
        <x:f t="shared" si="18"/>
        <x:v>1948.2317046309997</x:v>
      </x:c>
      <x:c r="N104" s="1">
        <x:v>1.2687517594264217</x:v>
      </x:c>
      <x:c r="O104" s="1">
        <x:f t="shared" si="19"/>
        <x:v>2242.0699999999997</x:v>
      </x:c>
      <x:c r="P104" s="15">
        <x:f t="shared" si="20"/>
        <x:v>0</x:v>
      </x:c>
      <x:c r="Q104" s="15">
        <x:f t="shared" si="21"/>
        <x:v>0</x:v>
      </x:c>
      <x:c r="R104" s="15">
        <x:f t="shared" si="22"/>
        <x:v>2242.0699999999997</x:v>
      </x:c>
    </x:row>
    <x:row r="105" spans="1:18" outlineLevel="2">
      <x:c r="A105" s="12" t="s">
        <x:v>4</x:v>
      </x:c>
      <x:c r="B105" s="7" t="s">
        <x:v>12</x:v>
      </x:c>
      <x:c r="C105" s="6">
        <x:v>5410.9299999999994</x:v>
      </x:c>
      <x:c r="F105" s="6">
        <x:v>5410.9299999999994</x:v>
      </x:c>
      <x:c r="G105" s="1">
        <x:f t="shared" si="12"/>
        <x:v>0</x:v>
      </x:c>
      <x:c r="J105" s="3">
        <x:v>100</x:v>
      </x:c>
      <x:c r="K105" s="3">
        <x:v>12.699930999999999</x:v>
      </x:c>
      <x:c r="L105" s="2">
        <x:v>0</x:v>
      </x:c>
      <x:c r="M105" s="1">
        <x:f t="shared" si="18"/>
        <x:v>4723.7456235416994</x:v>
      </x:c>
      <x:c r="N105" s="1">
        <x:v>1.2687517594264217</x:v>
      </x:c>
      <x:c r="O105" s="1">
        <x:f t="shared" si="19"/>
        <x:v>5410.9299999999994</x:v>
      </x:c>
      <x:c r="P105" s="15">
        <x:f t="shared" si="20"/>
        <x:v>0</x:v>
      </x:c>
      <x:c r="Q105" s="15">
        <x:f t="shared" si="21"/>
        <x:v>0</x:v>
      </x:c>
      <x:c r="R105" s="15">
        <x:f t="shared" si="22"/>
        <x:v>5410.9299999999994</x:v>
      </x:c>
    </x:row>
    <x:row r="106" spans="1:18" outlineLevel="2">
      <x:c r="A106" s="12" t="s">
        <x:v>4</x:v>
      </x:c>
      <x:c r="B106" s="7" t="s">
        <x:v>11</x:v>
      </x:c>
      <x:c r="C106" s="6">
        <x:v>11445.84</x:v>
      </x:c>
      <x:c r="F106" s="6">
        <x:v>11445.84</x:v>
      </x:c>
      <x:c r="G106" s="1">
        <x:f t="shared" si="12"/>
        <x:v>0</x:v>
      </x:c>
      <x:c r="J106" s="3">
        <x:v>100</x:v>
      </x:c>
      <x:c r="K106" s="3">
        <x:v>12.307563999999999</x:v>
      </x:c>
      <x:c r="L106" s="2">
        <x:v>0</x:v>
      </x:c>
      <x:c r="M106" s="1">
        <x:f t="shared" si="18"/>
        <x:v>10037.135916662401</x:v>
      </x:c>
      <x:c r="N106" s="1">
        <x:v>1.2687517594264217</x:v>
      </x:c>
      <x:c r="O106" s="1">
        <x:f t="shared" si="19"/>
        <x:v>11445.84</x:v>
      </x:c>
      <x:c r="P106" s="15">
        <x:f t="shared" si="20"/>
        <x:v>0</x:v>
      </x:c>
      <x:c r="Q106" s="15">
        <x:f t="shared" si="21"/>
        <x:v>0</x:v>
      </x:c>
      <x:c r="R106" s="15">
        <x:f t="shared" si="22"/>
        <x:v>11445.84</x:v>
      </x:c>
    </x:row>
    <x:row r="107" spans="1:18" outlineLevel="2">
      <x:c r="A107" s="12" t="s">
        <x:v>4</x:v>
      </x:c>
      <x:c r="B107" s="7" t="s">
        <x:v>10</x:v>
      </x:c>
      <x:c r="C107" s="6">
        <x:v>39393.079999999994</x:v>
      </x:c>
      <x:c r="F107" s="6">
        <x:v>39393.079999999994</x:v>
      </x:c>
      <x:c r="G107" s="1">
        <x:f t="shared" si="12"/>
        <x:v>0</x:v>
      </x:c>
      <x:c r="J107" s="3">
        <x:v>100</x:v>
      </x:c>
      <x:c r="K107" s="3">
        <x:v>11.927878</x:v>
      </x:c>
      <x:c r="L107" s="2">
        <x:v>0</x:v>
      </x:c>
      <x:c r="M107" s="1">
        <x:f t="shared" si="18"/>
        <x:v>34694.321477157595</x:v>
      </x:c>
      <x:c r="N107" s="1">
        <x:v>1.2687517594264217</x:v>
      </x:c>
      <x:c r="O107" s="1">
        <x:f t="shared" si="19"/>
        <x:v>39393.079999999994</x:v>
      </x:c>
      <x:c r="P107" s="15">
        <x:f t="shared" si="20"/>
        <x:v>0</x:v>
      </x:c>
      <x:c r="Q107" s="15">
        <x:f t="shared" si="21"/>
        <x:v>0</x:v>
      </x:c>
      <x:c r="R107" s="15">
        <x:f t="shared" si="22"/>
        <x:v>39393.079999999994</x:v>
      </x:c>
    </x:row>
    <x:row r="108" spans="1:18" outlineLevel="2">
      <x:c r="A108" s="12" t="s">
        <x:v>4</x:v>
      </x:c>
      <x:c r="B108" s="7" t="s">
        <x:v>9</x:v>
      </x:c>
      <x:c r="C108" s="6">
        <x:v>782964.19000000006</x:v>
      </x:c>
      <x:c r="F108" s="6">
        <x:v>782964.19000000006</x:v>
      </x:c>
      <x:c r="G108" s="1">
        <x:f t="shared" si="12"/>
        <x:v>0</x:v>
      </x:c>
      <x:c r="J108" s="3">
        <x:v>100</x:v>
      </x:c>
      <x:c r="K108" s="3">
        <x:v>11.560155</x:v>
      </x:c>
      <x:c r="L108" s="2">
        <x:v>0</x:v>
      </x:c>
      <x:c r="M108" s="1">
        <x:f t="shared" si="18"/>
        <x:v>692452.31604150555</x:v>
      </x:c>
      <x:c r="N108" s="1">
        <x:v>1.2687517594264217</x:v>
      </x:c>
      <x:c r="O108" s="1">
        <x:f t="shared" si="19"/>
        <x:v>782964.19000000006</x:v>
      </x:c>
      <x:c r="P108" s="15">
        <x:f t="shared" si="20"/>
        <x:v>0</x:v>
      </x:c>
      <x:c r="Q108" s="15">
        <x:f t="shared" si="21"/>
        <x:v>0</x:v>
      </x:c>
      <x:c r="R108" s="15">
        <x:f t="shared" si="22"/>
        <x:v>782964.19000000006</x:v>
      </x:c>
    </x:row>
    <x:row r="109" spans="1:18" outlineLevel="2">
      <x:c r="A109" s="12" t="s">
        <x:v>4</x:v>
      </x:c>
      <x:c r="B109" s="7" t="s">
        <x:v>8</x:v>
      </x:c>
      <x:c r="C109" s="6">
        <x:v>319821.34999999998</x:v>
      </x:c>
      <x:c r="F109" s="6">
        <x:v>319821.34999999998</x:v>
      </x:c>
      <x:c r="G109" s="1">
        <x:f t="shared" si="12"/>
        <x:v>0</x:v>
      </x:c>
      <x:c r="J109" s="3">
        <x:v>100</x:v>
      </x:c>
      <x:c r="K109" s="3">
        <x:v>11.203654</x:v>
      </x:c>
      <x:c r="L109" s="2">
        <x:v>0</x:v>
      </x:c>
      <x:c r="M109" s="1">
        <x:f t="shared" si="18"/>
        <x:v>283989.67252787098</x:v>
      </x:c>
      <x:c r="N109" s="1">
        <x:v>1.2687517594264217</x:v>
      </x:c>
      <x:c r="O109" s="1">
        <x:f t="shared" si="19"/>
        <x:v>319821.34999999998</x:v>
      </x:c>
      <x:c r="P109" s="15">
        <x:f t="shared" si="20"/>
        <x:v>0</x:v>
      </x:c>
      <x:c r="Q109" s="15">
        <x:f t="shared" si="21"/>
        <x:v>0</x:v>
      </x:c>
      <x:c r="R109" s="15">
        <x:f t="shared" si="22"/>
        <x:v>319821.34999999998</x:v>
      </x:c>
    </x:row>
    <x:row r="110" spans="1:18" outlineLevel="2">
      <x:c r="A110" s="12" t="s">
        <x:v>4</x:v>
      </x:c>
      <x:c r="B110" s="7" t="s">
        <x:v>7</x:v>
      </x:c>
      <x:c r="C110" s="6">
        <x:v>9503.2400000000016</x:v>
      </x:c>
      <x:c r="F110" s="6">
        <x:v>9503.2400000000016</x:v>
      </x:c>
      <x:c r="G110" s="1">
        <x:f t="shared" si="12"/>
        <x:v>0</x:v>
      </x:c>
      <x:c r="J110" s="3">
        <x:v>100</x:v>
      </x:c>
      <x:c r="K110" s="3">
        <x:v>10.521328</x:v>
      </x:c>
      <x:c r="L110" s="2">
        <x:v>0</x:v>
      </x:c>
      <x:c r="M110" s="1">
        <x:f t="shared" si="18"/>
        <x:v>8503.3729489728012</x:v>
      </x:c>
      <x:c r="N110" s="1">
        <x:v>1.2687517594264217</x:v>
      </x:c>
      <x:c r="O110" s="1">
        <x:f t="shared" si="19"/>
        <x:v>9503.2400000000016</x:v>
      </x:c>
      <x:c r="P110" s="15">
        <x:f t="shared" si="20"/>
        <x:v>0</x:v>
      </x:c>
      <x:c r="Q110" s="15">
        <x:f t="shared" si="21"/>
        <x:v>0</x:v>
      </x:c>
      <x:c r="R110" s="15">
        <x:f t="shared" si="22"/>
        <x:v>9503.2400000000016</x:v>
      </x:c>
    </x:row>
    <x:row r="111" spans="1:18" outlineLevel="2">
      <x:c r="A111" s="12" t="s">
        <x:v>4</x:v>
      </x:c>
      <x:c r="B111" s="7" t="s">
        <x:v>6</x:v>
      </x:c>
      <x:c r="C111" s="6">
        <x:v>470363.72000000003</x:v>
      </x:c>
      <x:c r="F111" s="6">
        <x:v>470363.72000000003</x:v>
      </x:c>
      <x:c r="G111" s="1">
        <x:f t="shared" si="12"/>
        <x:v>0</x:v>
      </x:c>
      <x:c r="J111" s="3">
        <x:v>100</x:v>
      </x:c>
      <x:c r="K111" s="3">
        <x:v>10.194004</x:v>
      </x:c>
      <x:c r="L111" s="2">
        <x:v>0</x:v>
      </x:c>
      <x:c r="M111" s="1">
        <x:f t="shared" si="18"/>
        <x:v>422414.82356865122</x:v>
      </x:c>
      <x:c r="N111" s="1">
        <x:v>1.2687517594264217</x:v>
      </x:c>
      <x:c r="O111" s="1">
        <x:f t="shared" si="19"/>
        <x:v>470363.72000000003</x:v>
      </x:c>
      <x:c r="P111" s="15">
        <x:f t="shared" si="20"/>
        <x:v>0</x:v>
      </x:c>
      <x:c r="Q111" s="15">
        <x:f t="shared" si="21"/>
        <x:v>0</x:v>
      </x:c>
      <x:c r="R111" s="15">
        <x:f t="shared" si="22"/>
        <x:v>470363.72000000003</x:v>
      </x:c>
    </x:row>
    <x:row r="112" spans="1:18" outlineLevel="2">
      <x:c r="A112" s="12" t="s">
        <x:v>4</x:v>
      </x:c>
      <x:c r="B112" s="7" t="s">
        <x:v>5</x:v>
      </x:c>
      <x:c r="C112" s="6">
        <x:v>7252.72</x:v>
      </x:c>
      <x:c r="F112" s="6">
        <x:v>7252.72</x:v>
      </x:c>
      <x:c r="G112" s="1">
        <x:f t="shared" si="12"/>
        <x:v>0</x:v>
      </x:c>
      <x:c r="J112" s="3">
        <x:v>100</x:v>
      </x:c>
      <x:c r="K112" s="3">
        <x:v>9.8749190000000002</x:v>
      </x:c>
      <x:c r="L112" s="2">
        <x:v>0</x:v>
      </x:c>
      <x:c r="M112" s="1">
        <x:f t="shared" si="18"/>
        <x:v>6536.5197747031998</x:v>
      </x:c>
      <x:c r="N112" s="1">
        <x:v>1.2687517594264217</x:v>
      </x:c>
      <x:c r="O112" s="1">
        <x:f t="shared" si="19"/>
        <x:v>7252.72</x:v>
      </x:c>
      <x:c r="P112" s="15">
        <x:f t="shared" si="20"/>
        <x:v>0</x:v>
      </x:c>
      <x:c r="Q112" s="15">
        <x:f t="shared" si="21"/>
        <x:v>0</x:v>
      </x:c>
      <x:c r="R112" s="15">
        <x:f t="shared" si="22"/>
        <x:v>7252.72</x:v>
      </x:c>
    </x:row>
    <x:row r="113" spans="1:19" outlineLevel="1">
      <x:c r="A113" s="5" t="s">
        <x:v>131</x:v>
      </x:c>
      <x:c r="B113" s="7"/>
      <x:c r="C113" s="6">
        <x:f>SUBTOTAL(9,C3:C112)</x:f>
        <x:v>581328761.95999992</x:v>
      </x:c>
      <x:c r="D113" s="6">
        <x:f>SUBTOTAL(9,D3:D112)</x:f>
        <x:v>0</x:v>
      </x:c>
      <x:c r="E113" s="6">
        <x:f>SUBTOTAL(9,E3:E112)</x:f>
        <x:v>0</x:v>
      </x:c>
      <x:c r="F113" s="6">
        <x:f>SUBTOTAL(9,F3:F112)</x:f>
        <x:v>581328761.95999992</x:v>
      </x:c>
      <x:c r="G113" s="1">
        <x:f t="shared" si="12"/>
        <x:v>0</x:v>
      </x:c>
      <x:c r="L113" s="2" t="s">
        <x:v>145</x:v>
      </x:c>
      <x:c r="M113" s="1">
        <x:f>SUBTOTAL(9,M3:M112)</x:f>
        <x:v>103846665.18452996</x:v>
      </x:c>
      <x:c r="N113" s="1">
        <x:v>1.2687517594264217</x:v>
      </x:c>
      <x:c r="O113" s="1">
        <x:f>SUBTOTAL(9,O3:O112)</x:f>
        <x:v>131434170.21309021</x:v>
      </x:c>
      <x:c r="P113" s="15">
        <x:f>SUBTOTAL(9,P3:P112)</x:f>
        <x:v>0</x:v>
      </x:c>
      <x:c r="Q113" s="15">
        <x:f>SUBTOTAL(9,Q3:Q112)</x:f>
        <x:v>0</x:v>
      </x:c>
      <x:c r="R113" s="15">
        <x:f>SUBTOTAL(9,R3:R112)</x:f>
        <x:v>131434170.21309021</x:v>
      </x:c>
      <x:c r="S113" s="15">
        <x:f t="shared" ref="S113:S176" si="23">+O113-P113-Q113-R113</x:f>
        <x:v>0</x:v>
      </x:c>
    </x:row>
    <x:row r="114" spans="1:19" outlineLevel="2">
      <x:c r="A114" s="12" t="s">
        <x:v>112</x:v>
      </x:c>
      <x:c r="B114" s="7" t="s">
        <x:v>149</x:v>
      </x:c>
      <x:c r="C114" s="6">
        <x:v>128877549.00999999</x:v>
      </x:c>
      <x:c r="F114" s="6">
        <x:v>128877549.00999999</x:v>
      </x:c>
      <x:c r="G114" s="1">
        <x:f t="shared" si="12"/>
        <x:v>0</x:v>
      </x:c>
      <x:c r="J114" s="3">
        <x:v>62</x:v>
      </x:c>
      <x:c r="K114" s="3">
        <x:v>61.500413000000002</x:v>
      </x:c>
      <x:c r="L114" s="2">
        <x:v>-0.47</x:v>
      </x:c>
      <x:c r="M114" s="1">
        <x:f t="shared" ref="M114:M145" si="24">+C114*(1-K114/J114)*(1-L114)</x:f>
        <x:v>1526560.5753801719</x:v>
      </x:c>
      <x:c r="N114" s="1">
        <x:f t="shared" ref="N114:N145" si="25">$N$210</x:f>
        <x:v>1.2529171257970138</x:v>
      </x:c>
      <x:c r="O114" s="1">
        <x:f t="shared" ref="O114:O145" si="26">IF((C114*(1-L114)-M114*N114)&lt;0,C114*(1-L114),M114*N114)</x:f>
        <x:v>1912653.8884603605</x:v>
      </x:c>
      <x:c r="P114" s="15">
        <x:f t="shared" ref="P114:P145" si="27">+D114/$C114*$O114</x:f>
        <x:v>0</x:v>
      </x:c>
      <x:c r="Q114" s="15">
        <x:f t="shared" ref="Q114:Q145" si="28">+E114/$C114*$O114</x:f>
        <x:v>0</x:v>
      </x:c>
      <x:c r="R114" s="15">
        <x:f t="shared" ref="R114:R145" si="29">+F114/$C114*$O114</x:f>
        <x:v>1912653.8884603605</x:v>
      </x:c>
      <x:c r="S114" s="15">
        <x:f t="shared" si="23"/>
        <x:v>0</x:v>
      </x:c>
    </x:row>
    <x:row r="115" spans="1:19" outlineLevel="2">
      <x:c r="A115" s="12" t="s">
        <x:v>112</x:v>
      </x:c>
      <x:c r="B115" s="7" t="s">
        <x:v>150</x:v>
      </x:c>
      <x:c r="C115" s="6">
        <x:v>64444350.089999989</x:v>
      </x:c>
      <x:c r="F115" s="6">
        <x:v>64444350.089999989</x:v>
      </x:c>
      <x:c r="G115" s="1">
        <x:f t="shared" si="12"/>
        <x:v>0</x:v>
      </x:c>
      <x:c r="J115" s="3">
        <x:v>62</x:v>
      </x:c>
      <x:c r="K115" s="3">
        <x:v>60.501381000000002</x:v>
      </x:c>
      <x:c r="L115" s="2">
        <x:v>-0.47</x:v>
      </x:c>
      <x:c r="M115" s="1">
        <x:f t="shared" si="24"/>
        <x:v>2289822.0226881071</x:v>
      </x:c>
      <x:c r="N115" s="1">
        <x:f t="shared" si="25"/>
        <x:v>1.2529171257970138</x:v>
      </x:c>
      <x:c r="O115" s="1">
        <x:f t="shared" si="26"/>
        <x:v>2868957.2272530873</x:v>
      </x:c>
      <x:c r="P115" s="16">
        <x:f t="shared" si="27"/>
        <x:v>0</x:v>
      </x:c>
      <x:c r="Q115" s="16">
        <x:f t="shared" si="28"/>
        <x:v>0</x:v>
      </x:c>
      <x:c r="R115" s="16">
        <x:f t="shared" si="29"/>
        <x:v>2868957.2272530873</x:v>
      </x:c>
      <x:c r="S115" s="16">
        <x:f t="shared" si="23"/>
        <x:v>0</x:v>
      </x:c>
    </x:row>
    <x:row r="116" spans="1:19" outlineLevel="2">
      <x:c r="A116" s="12" t="s">
        <x:v>112</x:v>
      </x:c>
      <x:c r="B116" s="7" t="s">
        <x:v>151</x:v>
      </x:c>
      <x:c r="C116" s="6">
        <x:v>44458538.170000017</x:v>
      </x:c>
      <x:c r="F116" s="6">
        <x:v>44458538.170000017</x:v>
      </x:c>
      <x:c r="G116" s="1">
        <x:f t="shared" si="12"/>
        <x:v>0</x:v>
      </x:c>
      <x:c r="J116" s="3">
        <x:v>62</x:v>
      </x:c>
      <x:c r="K116" s="3">
        <x:v>59.502571000000003</x:v>
      </x:c>
      <x:c r="L116" s="2">
        <x:v>-0.47</x:v>
      </x:c>
      <x:c r="M116" s="1">
        <x:f t="shared" si="24"/>
        <x:v>2632533.911441071</x:v>
      </x:c>
      <x:c r="N116" s="1">
        <x:f t="shared" si="25"/>
        <x:v>1.2529171257970138</x:v>
      </x:c>
      <x:c r="O116" s="1">
        <x:f t="shared" si="26"/>
        <x:v>3298346.8218859169</x:v>
      </x:c>
      <x:c r="P116" s="16">
        <x:f t="shared" si="27"/>
        <x:v>0</x:v>
      </x:c>
      <x:c r="Q116" s="16">
        <x:f t="shared" si="28"/>
        <x:v>0</x:v>
      </x:c>
      <x:c r="R116" s="16">
        <x:f t="shared" si="29"/>
        <x:v>3298346.8218859169</x:v>
      </x:c>
      <x:c r="S116" s="16">
        <x:f t="shared" si="23"/>
        <x:v>0</x:v>
      </x:c>
    </x:row>
    <x:row r="117" spans="1:19" outlineLevel="2">
      <x:c r="A117" s="12" t="s">
        <x:v>112</x:v>
      </x:c>
      <x:c r="B117" s="7" t="s">
        <x:v>111</x:v>
      </x:c>
      <x:c r="C117" s="6">
        <x:v>31397047.84999999</x:v>
      </x:c>
      <x:c r="F117" s="6">
        <x:v>31397047.84999999</x:v>
      </x:c>
      <x:c r="G117" s="1">
        <x:f t="shared" si="12"/>
        <x:v>0</x:v>
      </x:c>
      <x:c r="J117" s="3">
        <x:v>62</x:v>
      </x:c>
      <x:c r="K117" s="3">
        <x:v>58.504072000000001</x:v>
      </x:c>
      <x:c r="L117" s="2">
        <x:v>-0.47</x:v>
      </x:c>
      <x:c r="M117" s="1">
        <x:f t="shared" si="24"/>
        <x:v>2602417.3142475393</x:v>
      </x:c>
      <x:c r="N117" s="1">
        <x:f t="shared" si="25"/>
        <x:v>1.2529171257970138</x:v>
      </x:c>
      <x:c r="O117" s="1">
        <x:f t="shared" si="26"/>
        <x:v>3260613.2214914109</x:v>
      </x:c>
      <x:c r="P117" s="16">
        <x:f t="shared" si="27"/>
        <x:v>0</x:v>
      </x:c>
      <x:c r="Q117" s="16">
        <x:f t="shared" si="28"/>
        <x:v>0</x:v>
      </x:c>
      <x:c r="R117" s="16">
        <x:f t="shared" si="29"/>
        <x:v>3260613.2214914109</x:v>
      </x:c>
      <x:c r="S117" s="16">
        <x:f t="shared" si="23"/>
        <x:v>0</x:v>
      </x:c>
    </x:row>
    <x:row r="118" spans="1:19" outlineLevel="2">
      <x:c r="A118" s="12" t="s">
        <x:v>112</x:v>
      </x:c>
      <x:c r="B118" s="7" t="s">
        <x:v>110</x:v>
      </x:c>
      <x:c r="C118" s="6">
        <x:v>32913758.339999985</x:v>
      </x:c>
      <x:c r="F118" s="6">
        <x:v>32913758.339999985</x:v>
      </x:c>
      <x:c r="G118" s="1">
        <x:f t="shared" si="12"/>
        <x:v>0</x:v>
      </x:c>
      <x:c r="J118" s="3">
        <x:v>62</x:v>
      </x:c>
      <x:c r="K118" s="3">
        <x:v>57.505904000000001</x:v>
      </x:c>
      <x:c r="L118" s="2">
        <x:v>-0.47</x:v>
      </x:c>
      <x:c r="M118" s="1">
        <x:f t="shared" si="24"/>
        <x:v>3507078.3364535142</x:v>
      </x:c>
      <x:c r="N118" s="1">
        <x:f t="shared" si="25"/>
        <x:v>1.2529171257970138</x:v>
      </x:c>
      <x:c r="O118" s="1">
        <x:f t="shared" si="26"/>
        <x:v>4394078.5092543093</x:v>
      </x:c>
      <x:c r="P118" s="16">
        <x:f t="shared" si="27"/>
        <x:v>0</x:v>
      </x:c>
      <x:c r="Q118" s="16">
        <x:f t="shared" si="28"/>
        <x:v>0</x:v>
      </x:c>
      <x:c r="R118" s="16">
        <x:f t="shared" si="29"/>
        <x:v>4394078.5092543093</x:v>
      </x:c>
      <x:c r="S118" s="16">
        <x:f t="shared" si="23"/>
        <x:v>0</x:v>
      </x:c>
    </x:row>
    <x:row r="119" spans="1:19" outlineLevel="2">
      <x:c r="A119" s="12" t="s">
        <x:v>112</x:v>
      </x:c>
      <x:c r="B119" s="7" t="s">
        <x:v>109</x:v>
      </x:c>
      <x:c r="C119" s="6">
        <x:v>15389290.65</x:v>
      </x:c>
      <x:c r="F119" s="6">
        <x:v>15389290.65</x:v>
      </x:c>
      <x:c r="G119" s="1">
        <x:f t="shared" si="12"/>
        <x:v>0</x:v>
      </x:c>
      <x:c r="J119" s="3">
        <x:v>62</x:v>
      </x:c>
      <x:c r="K119" s="3">
        <x:v>56.508136999999998</x:v>
      </x:c>
      <x:c r="L119" s="2">
        <x:v>-0.47</x:v>
      </x:c>
      <x:c r="M119" s="1">
        <x:f t="shared" si="24"/>
        <x:v>2003844.1548058395</x:v>
      </x:c>
      <x:c r="N119" s="1">
        <x:f t="shared" si="25"/>
        <x:v>1.2529171257970138</x:v>
      </x:c>
      <x:c r="O119" s="1">
        <x:f t="shared" si="26"/>
        <x:v>2510650.6589844786</x:v>
      </x:c>
      <x:c r="P119" s="16">
        <x:f t="shared" si="27"/>
        <x:v>0</x:v>
      </x:c>
      <x:c r="Q119" s="16">
        <x:f t="shared" si="28"/>
        <x:v>0</x:v>
      </x:c>
      <x:c r="R119" s="16">
        <x:f t="shared" si="29"/>
        <x:v>2510650.6589844786</x:v>
      </x:c>
      <x:c r="S119" s="16">
        <x:f t="shared" si="23"/>
        <x:v>0</x:v>
      </x:c>
    </x:row>
    <x:row r="120" spans="1:19" outlineLevel="2">
      <x:c r="A120" s="12" t="s">
        <x:v>112</x:v>
      </x:c>
      <x:c r="B120" s="7" t="s">
        <x:v>108</x:v>
      </x:c>
      <x:c r="C120" s="6">
        <x:v>18469667.310000006</x:v>
      </x:c>
      <x:c r="F120" s="6">
        <x:v>18469667.310000006</x:v>
      </x:c>
      <x:c r="G120" s="1">
        <x:f t="shared" si="12"/>
        <x:v>0</x:v>
      </x:c>
      <x:c r="J120" s="3">
        <x:v>62</x:v>
      </x:c>
      <x:c r="K120" s="3">
        <x:v>55.510877999999998</x:v>
      </x:c>
      <x:c r="L120" s="2">
        <x:v>-0.47</x:v>
      </x:c>
      <x:c r="M120" s="1">
        <x:f t="shared" si="24"/>
        <x:v>2841650.4673674642</x:v>
      </x:c>
      <x:c r="N120" s="1">
        <x:f t="shared" si="25"/>
        <x:v>1.2529171257970138</x:v>
      </x:c>
      <x:c r="O120" s="1">
        <x:f t="shared" si="26"/>
        <x:v>3560352.536093784</x:v>
      </x:c>
      <x:c r="P120" s="16">
        <x:f t="shared" si="27"/>
        <x:v>0</x:v>
      </x:c>
      <x:c r="Q120" s="16">
        <x:f t="shared" si="28"/>
        <x:v>0</x:v>
      </x:c>
      <x:c r="R120" s="16">
        <x:f t="shared" si="29"/>
        <x:v>3560352.536093784</x:v>
      </x:c>
      <x:c r="S120" s="16">
        <x:f t="shared" si="23"/>
        <x:v>0</x:v>
      </x:c>
    </x:row>
    <x:row r="121" spans="1:19" outlineLevel="2">
      <x:c r="A121" s="12" t="s">
        <x:v>112</x:v>
      </x:c>
      <x:c r="B121" s="7" t="s">
        <x:v>107</x:v>
      </x:c>
      <x:c r="C121" s="6">
        <x:v>11538828.479999999</x:v>
      </x:c>
      <x:c r="F121" s="6">
        <x:v>11538828.479999999</x:v>
      </x:c>
      <x:c r="G121" s="1">
        <x:f t="shared" si="12"/>
        <x:v>0</x:v>
      </x:c>
      <x:c r="J121" s="3">
        <x:v>62</x:v>
      </x:c>
      <x:c r="K121" s="3">
        <x:v>54.514161999999999</x:v>
      </x:c>
      <x:c r="L121" s="2">
        <x:v>-0.47</x:v>
      </x:c>
      <x:c r="M121" s="1">
        <x:f t="shared" si="24"/>
        <x:v>2047989.7910526986</x:v>
      </x:c>
      <x:c r="N121" s="1">
        <x:f t="shared" si="25"/>
        <x:v>1.2529171257970138</x:v>
      </x:c>
      <x:c r="O121" s="1">
        <x:f t="shared" si="26"/>
        <x:v>2565961.482667374</x:v>
      </x:c>
      <x:c r="P121" s="16">
        <x:f t="shared" si="27"/>
        <x:v>0</x:v>
      </x:c>
      <x:c r="Q121" s="16">
        <x:f t="shared" si="28"/>
        <x:v>0</x:v>
      </x:c>
      <x:c r="R121" s="16">
        <x:f t="shared" si="29"/>
        <x:v>2565961.482667374</x:v>
      </x:c>
      <x:c r="S121" s="16">
        <x:f t="shared" si="23"/>
        <x:v>0</x:v>
      </x:c>
    </x:row>
    <x:row r="122" spans="1:19" outlineLevel="2">
      <x:c r="A122" s="12" t="s">
        <x:v>112</x:v>
      </x:c>
      <x:c r="B122" s="7" t="s">
        <x:v>106</x:v>
      </x:c>
      <x:c r="C122" s="6">
        <x:v>11892162.809999997</x:v>
      </x:c>
      <x:c r="F122" s="6">
        <x:v>11892162.809999997</x:v>
      </x:c>
      <x:c r="G122" s="1">
        <x:f t="shared" si="12"/>
        <x:v>0</x:v>
      </x:c>
      <x:c r="J122" s="3">
        <x:v>62</x:v>
      </x:c>
      <x:c r="K122" s="3">
        <x:v>53.518158999999997</x:v>
      </x:c>
      <x:c r="L122" s="2">
        <x:v>-0.47</x:v>
      </x:c>
      <x:c r="M122" s="1">
        <x:f t="shared" si="24"/>
        <x:v>2391534.3246416752</x:v>
      </x:c>
      <x:c r="N122" s="1">
        <x:f t="shared" si="25"/>
        <x:v>1.2529171257970138</x:v>
      </x:c>
      <x:c r="O122" s="1">
        <x:f t="shared" si="26"/>
        <x:v>2996394.3122749501</x:v>
      </x:c>
      <x:c r="P122" s="15">
        <x:f t="shared" si="27"/>
        <x:v>0</x:v>
      </x:c>
      <x:c r="Q122" s="15">
        <x:f t="shared" si="28"/>
        <x:v>0</x:v>
      </x:c>
      <x:c r="R122" s="15">
        <x:f t="shared" si="29"/>
        <x:v>2996394.3122749501</x:v>
      </x:c>
      <x:c r="S122" s="15">
        <x:f t="shared" si="23"/>
        <x:v>0</x:v>
      </x:c>
    </x:row>
    <x:row r="123" spans="1:19" outlineLevel="2">
      <x:c r="A123" s="12" t="s">
        <x:v>112</x:v>
      </x:c>
      <x:c r="B123" s="7" t="s">
        <x:v>105</x:v>
      </x:c>
      <x:c r="C123" s="6">
        <x:v>13635254.919999994</x:v>
      </x:c>
      <x:c r="F123" s="6">
        <x:v>13635254.919999994</x:v>
      </x:c>
      <x:c r="G123" s="1">
        <x:f t="shared" si="12"/>
        <x:v>0</x:v>
      </x:c>
      <x:c r="J123" s="3">
        <x:v>62</x:v>
      </x:c>
      <x:c r="K123" s="3">
        <x:v>52.522936000000001</x:v>
      </x:c>
      <x:c r="L123" s="2">
        <x:v>-0.47</x:v>
      </x:c>
      <x:c r="M123" s="1">
        <x:f t="shared" si="24"/>
        <x:v>3063816.2869957667</x:v>
      </x:c>
      <x:c r="N123" s="1">
        <x:f t="shared" si="25"/>
        <x:v>1.2529171257970138</x:v>
      </x:c>
      <x:c r="O123" s="1">
        <x:f t="shared" si="26"/>
        <x:v>3838707.8962728144</x:v>
      </x:c>
      <x:c r="P123" s="15">
        <x:f t="shared" si="27"/>
        <x:v>0</x:v>
      </x:c>
      <x:c r="Q123" s="15">
        <x:f t="shared" si="28"/>
        <x:v>0</x:v>
      </x:c>
      <x:c r="R123" s="15">
        <x:f t="shared" si="29"/>
        <x:v>3838707.8962728144</x:v>
      </x:c>
      <x:c r="S123" s="15">
        <x:f t="shared" si="23"/>
        <x:v>0</x:v>
      </x:c>
    </x:row>
    <x:row r="124" spans="1:19" outlineLevel="2">
      <x:c r="A124" s="12" t="s">
        <x:v>112</x:v>
      </x:c>
      <x:c r="B124" s="7" t="s">
        <x:v>104</x:v>
      </x:c>
      <x:c r="C124" s="6">
        <x:v>9493908.0199999996</x:v>
      </x:c>
      <x:c r="F124" s="6">
        <x:v>9493908.0199999996</x:v>
      </x:c>
      <x:c r="G124" s="1">
        <x:f t="shared" si="12"/>
        <x:v>0</x:v>
      </x:c>
      <x:c r="J124" s="3">
        <x:v>62</x:v>
      </x:c>
      <x:c r="K124" s="3">
        <x:v>51.528593999999998</x:v>
      </x:c>
      <x:c r="L124" s="2">
        <x:v>-0.47</x:v>
      </x:c>
      <x:c r="M124" s="1">
        <x:f t="shared" si="24"/>
        <x:v>2357087.2765159984</x:v>
      </x:c>
      <x:c r="N124" s="1">
        <x:f t="shared" si="25"/>
        <x:v>1.2529171257970138</x:v>
      </x:c>
      <x:c r="O124" s="1">
        <x:f t="shared" si="26"/>
        <x:v>2953235.015745136</x:v>
      </x:c>
      <x:c r="P124" s="15">
        <x:f t="shared" si="27"/>
        <x:v>0</x:v>
      </x:c>
      <x:c r="Q124" s="15">
        <x:f t="shared" si="28"/>
        <x:v>0</x:v>
      </x:c>
      <x:c r="R124" s="15">
        <x:f t="shared" si="29"/>
        <x:v>2953235.015745136</x:v>
      </x:c>
      <x:c r="S124" s="15">
        <x:f t="shared" si="23"/>
        <x:v>0</x:v>
      </x:c>
    </x:row>
    <x:row r="125" spans="1:19" outlineLevel="2">
      <x:c r="A125" s="12" t="s">
        <x:v>112</x:v>
      </x:c>
      <x:c r="B125" s="7" t="s">
        <x:v>103</x:v>
      </x:c>
      <x:c r="C125" s="6">
        <x:v>6901286.0300000012</x:v>
      </x:c>
      <x:c r="F125" s="6">
        <x:v>6901286.0300000012</x:v>
      </x:c>
      <x:c r="G125" s="1">
        <x:f t="shared" si="12"/>
        <x:v>0</x:v>
      </x:c>
      <x:c r="J125" s="3">
        <x:v>62</x:v>
      </x:c>
      <x:c r="K125" s="3">
        <x:v>50.535398000000001</x:v>
      </x:c>
      <x:c r="L125" s="2">
        <x:v>-0.47</x:v>
      </x:c>
      <x:c r="M125" s="1">
        <x:f t="shared" si="24"/>
        <x:v>1875921.4758790617</x:v>
      </x:c>
      <x:c r="N125" s="1">
        <x:f t="shared" si="25"/>
        <x:v>1.2529171257970138</x:v>
      </x:c>
      <x:c r="O125" s="1">
        <x:f t="shared" si="26"/>
        <x:v>2350374.1437792862</x:v>
      </x:c>
      <x:c r="P125" s="15">
        <x:f t="shared" si="27"/>
        <x:v>0</x:v>
      </x:c>
      <x:c r="Q125" s="15">
        <x:f t="shared" si="28"/>
        <x:v>0</x:v>
      </x:c>
      <x:c r="R125" s="15">
        <x:f t="shared" si="29"/>
        <x:v>2350374.1437792862</x:v>
      </x:c>
      <x:c r="S125" s="15">
        <x:f t="shared" si="23"/>
        <x:v>0</x:v>
      </x:c>
    </x:row>
    <x:row r="126" spans="1:19" outlineLevel="2">
      <x:c r="A126" s="12" t="s">
        <x:v>112</x:v>
      </x:c>
      <x:c r="B126" s="7" t="s">
        <x:v>102</x:v>
      </x:c>
      <x:c r="C126" s="6">
        <x:v>13075074.710000001</x:v>
      </x:c>
      <x:c r="F126" s="6">
        <x:v>13075074.710000001</x:v>
      </x:c>
      <x:c r="G126" s="1">
        <x:f t="shared" si="12"/>
        <x:v>0</x:v>
      </x:c>
      <x:c r="J126" s="3">
        <x:v>62</x:v>
      </x:c>
      <x:c r="K126" s="3">
        <x:v>49.543354000000001</x:v>
      </x:c>
      <x:c r="L126" s="2">
        <x:v>-0.47</x:v>
      </x:c>
      <x:c r="M126" s="1">
        <x:f t="shared" si="24"/>
        <x:v>3861632.5534911822</x:v>
      </x:c>
      <x:c r="N126" s="1">
        <x:f t="shared" si="25"/>
        <x:v>1.2529171257970138</x:v>
      </x:c>
      <x:c r="O126" s="1">
        <x:f t="shared" si="26"/>
        <x:v>4838305.5598043548</x:v>
      </x:c>
      <x:c r="P126" s="15">
        <x:f t="shared" si="27"/>
        <x:v>0</x:v>
      </x:c>
      <x:c r="Q126" s="15">
        <x:f t="shared" si="28"/>
        <x:v>0</x:v>
      </x:c>
      <x:c r="R126" s="15">
        <x:f t="shared" si="29"/>
        <x:v>4838305.5598043548</x:v>
      </x:c>
      <x:c r="S126" s="15">
        <x:f t="shared" si="23"/>
        <x:v>0</x:v>
      </x:c>
    </x:row>
    <x:row r="127" spans="1:19" outlineLevel="2">
      <x:c r="A127" s="12" t="s">
        <x:v>112</x:v>
      </x:c>
      <x:c r="B127" s="7" t="s">
        <x:v>101</x:v>
      </x:c>
      <x:c r="C127" s="6">
        <x:v>11649718.049999993</x:v>
      </x:c>
      <x:c r="F127" s="6">
        <x:v>11649718.049999993</x:v>
      </x:c>
      <x:c r="G127" s="1">
        <x:f t="shared" si="12"/>
        <x:v>0</x:v>
      </x:c>
      <x:c r="J127" s="3">
        <x:v>62</x:v>
      </x:c>
      <x:c r="K127" s="3">
        <x:v>48.552762999999999</x:v>
      </x:c>
      <x:c r="L127" s="2">
        <x:v>-0.47</x:v>
      </x:c>
      <x:c r="M127" s="1">
        <x:f t="shared" si="24"/>
        <x:v>3714275.5453910613</x:v>
      </x:c>
      <x:c r="N127" s="1">
        <x:f t="shared" si="25"/>
        <x:v>1.2529171257970138</x:v>
      </x:c>
      <x:c r="O127" s="1">
        <x:f t="shared" si="26"/>
        <x:v>4653679.4407495046</x:v>
      </x:c>
      <x:c r="P127" s="15">
        <x:f t="shared" si="27"/>
        <x:v>0</x:v>
      </x:c>
      <x:c r="Q127" s="15">
        <x:f t="shared" si="28"/>
        <x:v>0</x:v>
      </x:c>
      <x:c r="R127" s="15">
        <x:f t="shared" si="29"/>
        <x:v>4653679.4407495046</x:v>
      </x:c>
      <x:c r="S127" s="15">
        <x:f t="shared" si="23"/>
        <x:v>0</x:v>
      </x:c>
    </x:row>
    <x:row r="128" spans="1:19" outlineLevel="2">
      <x:c r="A128" s="12" t="s">
        <x:v>112</x:v>
      </x:c>
      <x:c r="B128" s="7" t="s">
        <x:v>100</x:v>
      </x:c>
      <x:c r="C128" s="6">
        <x:v>14040961.590000004</x:v>
      </x:c>
      <x:c r="F128" s="6">
        <x:v>14040961.590000004</x:v>
      </x:c>
      <x:c r="G128" s="1">
        <x:f t="shared" si="12"/>
        <x:v>0</x:v>
      </x:c>
      <x:c r="J128" s="3">
        <x:v>62</x:v>
      </x:c>
      <x:c r="K128" s="3">
        <x:v>47.563797999999998</x:v>
      </x:c>
      <x:c r="L128" s="2">
        <x:v>-0.47</x:v>
      </x:c>
      <x:c r="M128" s="1">
        <x:f t="shared" si="24"/>
        <x:v>4805907.9346386688</x:v>
      </x:c>
      <x:c r="N128" s="1">
        <x:f t="shared" si="25"/>
        <x:v>1.2529171257970138</x:v>
      </x:c>
      <x:c r="O128" s="1">
        <x:f t="shared" si="26"/>
        <x:v>6021404.3563125432</x:v>
      </x:c>
      <x:c r="P128" s="15">
        <x:f t="shared" si="27"/>
        <x:v>0</x:v>
      </x:c>
      <x:c r="Q128" s="15">
        <x:f t="shared" si="28"/>
        <x:v>0</x:v>
      </x:c>
      <x:c r="R128" s="15">
        <x:f t="shared" si="29"/>
        <x:v>6021404.3563125432</x:v>
      </x:c>
      <x:c r="S128" s="15">
        <x:f t="shared" si="23"/>
        <x:v>0</x:v>
      </x:c>
    </x:row>
    <x:row r="129" spans="1:19" outlineLevel="2">
      <x:c r="A129" s="12" t="s">
        <x:v>112</x:v>
      </x:c>
      <x:c r="B129" s="7" t="s">
        <x:v>99</x:v>
      </x:c>
      <x:c r="C129" s="6">
        <x:v>16926951.689999998</x:v>
      </x:c>
      <x:c r="F129" s="6">
        <x:v>16926951.689999998</x:v>
      </x:c>
      <x:c r="G129" s="1">
        <x:f t="shared" si="12"/>
        <x:v>0</x:v>
      </x:c>
      <x:c r="J129" s="3">
        <x:v>62</x:v>
      </x:c>
      <x:c r="K129" s="3">
        <x:v>46.576529999999998</x:v>
      </x:c>
      <x:c r="L129" s="2">
        <x:v>-0.47</x:v>
      </x:c>
      <x:c r="M129" s="1">
        <x:f t="shared" si="24"/>
        <x:v>6189940.764931961</x:v>
      </x:c>
      <x:c r="N129" s="1">
        <x:f t="shared" si="25"/>
        <x:v>1.2529171257970138</x:v>
      </x:c>
      <x:c r="O129" s="1">
        <x:f t="shared" si="26"/>
        <x:v>7755482.7920523211</x:v>
      </x:c>
      <x:c r="P129" s="15">
        <x:f t="shared" si="27"/>
        <x:v>0</x:v>
      </x:c>
      <x:c r="Q129" s="15">
        <x:f t="shared" si="28"/>
        <x:v>0</x:v>
      </x:c>
      <x:c r="R129" s="15">
        <x:f t="shared" si="29"/>
        <x:v>7755482.7920523211</x:v>
      </x:c>
      <x:c r="S129" s="15">
        <x:f t="shared" si="23"/>
        <x:v>0</x:v>
      </x:c>
    </x:row>
    <x:row r="130" spans="1:19" outlineLevel="2">
      <x:c r="A130" s="12" t="s">
        <x:v>112</x:v>
      </x:c>
      <x:c r="B130" s="7" t="s">
        <x:v>98</x:v>
      </x:c>
      <x:c r="C130" s="6">
        <x:v>11060232.030000009</x:v>
      </x:c>
      <x:c r="F130" s="6">
        <x:v>11060232.030000009</x:v>
      </x:c>
      <x:c r="G130" s="1">
        <x:f t="shared" si="12"/>
        <x:v>0</x:v>
      </x:c>
      <x:c r="J130" s="3">
        <x:v>62</x:v>
      </x:c>
      <x:c r="K130" s="3">
        <x:v>45.591546999999998</x:v>
      </x:c>
      <x:c r="L130" s="2">
        <x:v>-0.47</x:v>
      </x:c>
      <x:c r="M130" s="1">
        <x:f t="shared" si="24"/>
        <x:v>4302863.0197907118</x:v>
      </x:c>
      <x:c r="N130" s="1">
        <x:f t="shared" si="25"/>
        <x:v>1.2529171257970138</x:v>
      </x:c>
      <x:c r="O130" s="1">
        <x:f t="shared" si="26"/>
        <x:v>5391130.7674544379</x:v>
      </x:c>
      <x:c r="P130" s="15">
        <x:f t="shared" si="27"/>
        <x:v>0</x:v>
      </x:c>
      <x:c r="Q130" s="15">
        <x:f t="shared" si="28"/>
        <x:v>0</x:v>
      </x:c>
      <x:c r="R130" s="15">
        <x:f t="shared" si="29"/>
        <x:v>5391130.7674544379</x:v>
      </x:c>
      <x:c r="S130" s="15">
        <x:f t="shared" si="23"/>
        <x:v>0</x:v>
      </x:c>
    </x:row>
    <x:row r="131" spans="1:19" outlineLevel="2">
      <x:c r="A131" s="12" t="s">
        <x:v>112</x:v>
      </x:c>
      <x:c r="B131" s="7" t="s">
        <x:v>97</x:v>
      </x:c>
      <x:c r="C131" s="6">
        <x:v>10003486.799999999</x:v>
      </x:c>
      <x:c r="F131" s="6">
        <x:v>10003486.799999999</x:v>
      </x:c>
      <x:c r="G131" s="1">
        <x:f t="shared" ref="G131:G194" si="30">+C131-D131-E131-F131</x:f>
        <x:v>0</x:v>
      </x:c>
      <x:c r="J131" s="3">
        <x:v>62</x:v>
      </x:c>
      <x:c r="K131" s="3">
        <x:v>44.608761000000001</x:v>
      </x:c>
      <x:c r="L131" s="2">
        <x:v>-0.47</x:v>
      </x:c>
      <x:c r="M131" s="1">
        <x:f t="shared" si="24"/>
        <x:v>4124844.4155653771</x:v>
      </x:c>
      <x:c r="N131" s="1">
        <x:f t="shared" si="25"/>
        <x:v>1.2529171257970138</x:v>
      </x:c>
      <x:c r="O131" s="1">
        <x:f t="shared" si="26"/>
        <x:v>5168088.2095100349</x:v>
      </x:c>
      <x:c r="P131" s="15">
        <x:f t="shared" si="27"/>
        <x:v>0</x:v>
      </x:c>
      <x:c r="Q131" s="15">
        <x:f t="shared" si="28"/>
        <x:v>0</x:v>
      </x:c>
      <x:c r="R131" s="15">
        <x:f t="shared" si="29"/>
        <x:v>5168088.2095100349</x:v>
      </x:c>
      <x:c r="S131" s="15">
        <x:f t="shared" si="23"/>
        <x:v>0</x:v>
      </x:c>
    </x:row>
    <x:row r="132" spans="1:19" outlineLevel="2">
      <x:c r="A132" s="12" t="s">
        <x:v>112</x:v>
      </x:c>
      <x:c r="B132" s="7" t="s">
        <x:v>96</x:v>
      </x:c>
      <x:c r="C132" s="6">
        <x:v>9543032.9400000051</x:v>
      </x:c>
      <x:c r="F132" s="6">
        <x:v>9543032.9400000051</x:v>
      </x:c>
      <x:c r="G132" s="1">
        <x:f t="shared" si="30"/>
        <x:v>0</x:v>
      </x:c>
      <x:c r="J132" s="3">
        <x:v>62</x:v>
      </x:c>
      <x:c r="K132" s="3">
        <x:v>43.628588000000001</x:v>
      </x:c>
      <x:c r="L132" s="2">
        <x:v>-0.47</x:v>
      </x:c>
      <x:c r="M132" s="1">
        <x:f t="shared" si="24"/>
        <x:v>4156756.6953122206</x:v>
      </x:c>
      <x:c r="N132" s="1">
        <x:f t="shared" si="25"/>
        <x:v>1.2529171257970138</x:v>
      </x:c>
      <x:c r="O132" s="1">
        <x:f t="shared" si="26"/>
        <x:v>5208071.6513280803</x:v>
      </x:c>
      <x:c r="P132" s="15">
        <x:f t="shared" si="27"/>
        <x:v>0</x:v>
      </x:c>
      <x:c r="Q132" s="15">
        <x:f t="shared" si="28"/>
        <x:v>0</x:v>
      </x:c>
      <x:c r="R132" s="15">
        <x:f t="shared" si="29"/>
        <x:v>5208071.6513280803</x:v>
      </x:c>
      <x:c r="S132" s="15">
        <x:f t="shared" si="23"/>
        <x:v>0</x:v>
      </x:c>
    </x:row>
    <x:row r="133" spans="1:19" outlineLevel="2">
      <x:c r="A133" s="12" t="s">
        <x:v>112</x:v>
      </x:c>
      <x:c r="B133" s="7" t="s">
        <x:v>95</x:v>
      </x:c>
      <x:c r="C133" s="6">
        <x:v>7530005.4900000021</x:v>
      </x:c>
      <x:c r="F133" s="6">
        <x:v>7530005.4900000021</x:v>
      </x:c>
      <x:c r="G133" s="1">
        <x:f t="shared" si="30"/>
        <x:v>0</x:v>
      </x:c>
      <x:c r="J133" s="3">
        <x:v>62</x:v>
      </x:c>
      <x:c r="K133" s="3">
        <x:v>42.651451000000002</x:v>
      </x:c>
      <x:c r="L133" s="2">
        <x:v>-0.47</x:v>
      </x:c>
      <x:c r="M133" s="1">
        <x:f t="shared" si="24"/>
        <x:v>3454373.8691047584</x:v>
      </x:c>
      <x:c r="N133" s="1">
        <x:f t="shared" si="25"/>
        <x:v>1.2529171257970138</x:v>
      </x:c>
      <x:c r="O133" s="1">
        <x:f t="shared" si="26"/>
        <x:v>4328044.1795070432</x:v>
      </x:c>
      <x:c r="P133" s="15">
        <x:f t="shared" si="27"/>
        <x:v>0</x:v>
      </x:c>
      <x:c r="Q133" s="15">
        <x:f t="shared" si="28"/>
        <x:v>0</x:v>
      </x:c>
      <x:c r="R133" s="15">
        <x:f t="shared" si="29"/>
        <x:v>4328044.1795070432</x:v>
      </x:c>
      <x:c r="S133" s="15">
        <x:f t="shared" si="23"/>
        <x:v>0</x:v>
      </x:c>
    </x:row>
    <x:row r="134" spans="1:19" outlineLevel="2">
      <x:c r="A134" s="12" t="s">
        <x:v>112</x:v>
      </x:c>
      <x:c r="B134" s="7" t="s">
        <x:v>94</x:v>
      </x:c>
      <x:c r="C134" s="6">
        <x:v>7225650.9200000018</x:v>
      </x:c>
      <x:c r="F134" s="6">
        <x:v>7225650.9200000018</x:v>
      </x:c>
      <x:c r="G134" s="1">
        <x:f t="shared" si="30"/>
        <x:v>0</x:v>
      </x:c>
      <x:c r="J134" s="3">
        <x:v>62</x:v>
      </x:c>
      <x:c r="K134" s="3">
        <x:v>41.677332999999997</x:v>
      </x:c>
      <x:c r="L134" s="2">
        <x:v>-0.47</x:v>
      </x:c>
      <x:c r="M134" s="1">
        <x:f t="shared" si="24"/>
        <x:v>3481635.6666603773</x:v>
      </x:c>
      <x:c r="N134" s="1">
        <x:f t="shared" si="25"/>
        <x:v>1.2529171257970138</x:v>
      </x:c>
      <x:c r="O134" s="1">
        <x:f t="shared" si="26"/>
        <x:v>4362200.9525444899</x:v>
      </x:c>
      <x:c r="P134" s="15">
        <x:f t="shared" si="27"/>
        <x:v>0</x:v>
      </x:c>
      <x:c r="Q134" s="15">
        <x:f t="shared" si="28"/>
        <x:v>0</x:v>
      </x:c>
      <x:c r="R134" s="15">
        <x:f t="shared" si="29"/>
        <x:v>4362200.9525444899</x:v>
      </x:c>
      <x:c r="S134" s="15">
        <x:f t="shared" si="23"/>
        <x:v>0</x:v>
      </x:c>
    </x:row>
    <x:row r="135" spans="1:19" outlineLevel="2">
      <x:c r="A135" s="12" t="s">
        <x:v>112</x:v>
      </x:c>
      <x:c r="B135" s="7" t="s">
        <x:v>93</x:v>
      </x:c>
      <x:c r="C135" s="6">
        <x:v>9124850.3300000038</x:v>
      </x:c>
      <x:c r="F135" s="6">
        <x:v>9124850.3300000038</x:v>
      </x:c>
      <x:c r="G135" s="1">
        <x:f t="shared" si="30"/>
        <x:v>0</x:v>
      </x:c>
      <x:c r="J135" s="3">
        <x:v>62</x:v>
      </x:c>
      <x:c r="K135" s="3">
        <x:v>40.707090000000001</x:v>
      </x:c>
      <x:c r="L135" s="2">
        <x:v>-0.47</x:v>
      </x:c>
      <x:c r="M135" s="1">
        <x:f t="shared" si="24"/>
        <x:v>4606662.6895973505</x:v>
      </x:c>
      <x:c r="N135" s="1">
        <x:f t="shared" si="25"/>
        <x:v>1.2529171257970138</x:v>
      </x:c>
      <x:c r="O135" s="1">
        <x:f t="shared" si="26"/>
        <x:v>5771766.5765666533</x:v>
      </x:c>
      <x:c r="P135" s="15">
        <x:f t="shared" si="27"/>
        <x:v>0</x:v>
      </x:c>
      <x:c r="Q135" s="15">
        <x:f t="shared" si="28"/>
        <x:v>0</x:v>
      </x:c>
      <x:c r="R135" s="15">
        <x:f t="shared" si="29"/>
        <x:v>5771766.5765666533</x:v>
      </x:c>
      <x:c r="S135" s="15">
        <x:f t="shared" si="23"/>
        <x:v>0</x:v>
      </x:c>
    </x:row>
    <x:row r="136" spans="1:19" outlineLevel="2">
      <x:c r="A136" s="12" t="s">
        <x:v>112</x:v>
      </x:c>
      <x:c r="B136" s="7" t="s">
        <x:v>92</x:v>
      </x:c>
      <x:c r="C136" s="6">
        <x:v>9106213.6899999995</x:v>
      </x:c>
      <x:c r="F136" s="6">
        <x:v>9106213.6899999995</x:v>
      </x:c>
      <x:c r="G136" s="1">
        <x:f t="shared" si="30"/>
        <x:v>0</x:v>
      </x:c>
      <x:c r="J136" s="3">
        <x:v>62</x:v>
      </x:c>
      <x:c r="K136" s="3">
        <x:v>39.740678000000003</x:v>
      </x:c>
      <x:c r="L136" s="2">
        <x:v>-0.47</x:v>
      </x:c>
      <x:c r="M136" s="1">
        <x:f t="shared" si="24"/>
        <x:v>4805907.5775480913</x:v>
      </x:c>
      <x:c r="N136" s="1">
        <x:f t="shared" si="25"/>
        <x:v>1.2529171257970138</x:v>
      </x:c>
      <x:c r="O136" s="1">
        <x:f t="shared" si="26"/>
        <x:v>6021403.9089076435</x:v>
      </x:c>
      <x:c r="P136" s="15">
        <x:f t="shared" si="27"/>
        <x:v>0</x:v>
      </x:c>
      <x:c r="Q136" s="15">
        <x:f t="shared" si="28"/>
        <x:v>0</x:v>
      </x:c>
      <x:c r="R136" s="15">
        <x:f t="shared" si="29"/>
        <x:v>6021403.9089076435</x:v>
      </x:c>
      <x:c r="S136" s="15">
        <x:f t="shared" si="23"/>
        <x:v>0</x:v>
      </x:c>
    </x:row>
    <x:row r="137" spans="1:19" outlineLevel="2">
      <x:c r="A137" s="12" t="s">
        <x:v>112</x:v>
      </x:c>
      <x:c r="B137" s="7" t="s">
        <x:v>91</x:v>
      </x:c>
      <x:c r="C137" s="6">
        <x:v>7714648.4699999988</x:v>
      </x:c>
      <x:c r="F137" s="6">
        <x:v>7714648.4699999988</x:v>
      </x:c>
      <x:c r="G137" s="1">
        <x:f t="shared" si="30"/>
        <x:v>0</x:v>
      </x:c>
      <x:c r="J137" s="3">
        <x:v>62</x:v>
      </x:c>
      <x:c r="K137" s="3">
        <x:v>38.778495999999997</x:v>
      </x:c>
      <x:c r="L137" s="2">
        <x:v>-0.47</x:v>
      </x:c>
      <x:c r="M137" s="1">
        <x:f t="shared" si="24"/>
        <x:v>4247487.7136759255</x:v>
      </x:c>
      <x:c r="N137" s="1">
        <x:f t="shared" si="25"/>
        <x:v>1.2529171257970138</x:v>
      </x:c>
      <x:c r="O137" s="1">
        <x:f t="shared" si="26"/>
        <x:v>5321750.0980769703</x:v>
      </x:c>
      <x:c r="P137" s="15">
        <x:f t="shared" si="27"/>
        <x:v>0</x:v>
      </x:c>
      <x:c r="Q137" s="15">
        <x:f t="shared" si="28"/>
        <x:v>0</x:v>
      </x:c>
      <x:c r="R137" s="15">
        <x:f t="shared" si="29"/>
        <x:v>5321750.0980769703</x:v>
      </x:c>
      <x:c r="S137" s="15">
        <x:f t="shared" si="23"/>
        <x:v>0</x:v>
      </x:c>
    </x:row>
    <x:row r="138" spans="1:19" outlineLevel="2">
      <x:c r="A138" s="12" t="s">
        <x:v>112</x:v>
      </x:c>
      <x:c r="B138" s="7" t="s">
        <x:v>90</x:v>
      </x:c>
      <x:c r="C138" s="6">
        <x:v>4128288.6500000004</x:v>
      </x:c>
      <x:c r="F138" s="6">
        <x:v>4128288.6500000004</x:v>
      </x:c>
      <x:c r="G138" s="1">
        <x:f t="shared" si="30"/>
        <x:v>0</x:v>
      </x:c>
      <x:c r="J138" s="3">
        <x:v>62</x:v>
      </x:c>
      <x:c r="K138" s="3">
        <x:v>37.821393</x:v>
      </x:c>
      <x:c r="L138" s="2">
        <x:v>-0.47</x:v>
      </x:c>
      <x:c r="M138" s="1">
        <x:f t="shared" si="24"/>
        <x:v>2366611.535658686</x:v>
      </x:c>
      <x:c r="N138" s="1">
        <x:f t="shared" si="25"/>
        <x:v>1.2529171257970138</x:v>
      </x:c>
      <x:c r="O138" s="1">
        <x:f t="shared" si="26"/>
        <x:v>2965168.1231355378</x:v>
      </x:c>
      <x:c r="P138" s="15">
        <x:f t="shared" si="27"/>
        <x:v>0</x:v>
      </x:c>
      <x:c r="Q138" s="15">
        <x:f t="shared" si="28"/>
        <x:v>0</x:v>
      </x:c>
      <x:c r="R138" s="15">
        <x:f t="shared" si="29"/>
        <x:v>2965168.1231355378</x:v>
      </x:c>
      <x:c r="S138" s="15">
        <x:f t="shared" si="23"/>
        <x:v>0</x:v>
      </x:c>
    </x:row>
    <x:row r="139" spans="1:19" outlineLevel="2">
      <x:c r="A139" s="12" t="s">
        <x:v>112</x:v>
      </x:c>
      <x:c r="B139" s="7" t="s">
        <x:v>89</x:v>
      </x:c>
      <x:c r="C139" s="6">
        <x:v>3205277.6999999997</x:v>
      </x:c>
      <x:c r="F139" s="6">
        <x:v>3205277.6999999997</x:v>
      </x:c>
      <x:c r="G139" s="1">
        <x:f t="shared" si="30"/>
        <x:v>0</x:v>
      </x:c>
      <x:c r="J139" s="3">
        <x:v>62</x:v>
      </x:c>
      <x:c r="K139" s="3">
        <x:v>36.869121999999997</x:v>
      </x:c>
      <x:c r="L139" s="2">
        <x:v>-0.47</x:v>
      </x:c>
      <x:c r="M139" s="1">
        <x:f t="shared" si="24"/>
        <x:v>1909848.7252771985</x:v>
      </x:c>
      <x:c r="N139" s="1">
        <x:f t="shared" si="25"/>
        <x:v>1.2529171257970138</x:v>
      </x:c>
      <x:c r="O139" s="1">
        <x:f t="shared" si="26"/>
        <x:v>2392882.175581398</x:v>
      </x:c>
      <x:c r="P139" s="15">
        <x:f t="shared" si="27"/>
        <x:v>0</x:v>
      </x:c>
      <x:c r="Q139" s="15">
        <x:f t="shared" si="28"/>
        <x:v>0</x:v>
      </x:c>
      <x:c r="R139" s="15">
        <x:f t="shared" si="29"/>
        <x:v>2392882.175581398</x:v>
      </x:c>
      <x:c r="S139" s="15">
        <x:f t="shared" si="23"/>
        <x:v>0</x:v>
      </x:c>
    </x:row>
    <x:row r="140" spans="1:19" outlineLevel="2">
      <x:c r="A140" s="12" t="s">
        <x:v>112</x:v>
      </x:c>
      <x:c r="B140" s="7" t="s">
        <x:v>88</x:v>
      </x:c>
      <x:c r="C140" s="6">
        <x:v>1212571.6899999997</x:v>
      </x:c>
      <x:c r="F140" s="6">
        <x:v>1212571.6899999997</x:v>
      </x:c>
      <x:c r="G140" s="1">
        <x:f t="shared" si="30"/>
        <x:v>0</x:v>
      </x:c>
      <x:c r="J140" s="3">
        <x:v>62</x:v>
      </x:c>
      <x:c r="K140" s="3">
        <x:v>35.922747000000001</x:v>
      </x:c>
      <x:c r="L140" s="2">
        <x:v>-0.47</x:v>
      </x:c>
      <x:c r="M140" s="1">
        <x:f t="shared" si="24"/>
        <x:v>749712.77336981159</x:v>
      </x:c>
      <x:c r="N140" s="1">
        <x:f t="shared" si="25"/>
        <x:v>1.2529171257970138</x:v>
      </x:c>
      <x:c r="O140" s="1">
        <x:f t="shared" si="26"/>
        <x:v>939327.97318381234</x:v>
      </x:c>
      <x:c r="P140" s="15">
        <x:f t="shared" si="27"/>
        <x:v>0</x:v>
      </x:c>
      <x:c r="Q140" s="15">
        <x:f t="shared" si="28"/>
        <x:v>0</x:v>
      </x:c>
      <x:c r="R140" s="15">
        <x:f t="shared" si="29"/>
        <x:v>939327.97318381234</x:v>
      </x:c>
      <x:c r="S140" s="15">
        <x:f t="shared" si="23"/>
        <x:v>0</x:v>
      </x:c>
    </x:row>
    <x:row r="141" spans="1:19" outlineLevel="2">
      <x:c r="A141" s="12" t="s">
        <x:v>112</x:v>
      </x:c>
      <x:c r="B141" s="7" t="s">
        <x:v>87</x:v>
      </x:c>
      <x:c r="C141" s="6">
        <x:v>1049963.2899999998</x:v>
      </x:c>
      <x:c r="F141" s="6">
        <x:v>1049963.2899999998</x:v>
      </x:c>
      <x:c r="G141" s="1">
        <x:f t="shared" si="30"/>
        <x:v>0</x:v>
      </x:c>
      <x:c r="J141" s="3">
        <x:v>62</x:v>
      </x:c>
      <x:c r="K141" s="3">
        <x:v>34.982413000000001</x:v>
      </x:c>
      <x:c r="L141" s="2">
        <x:v>-0.47</x:v>
      </x:c>
      <x:c r="M141" s="1">
        <x:f t="shared" si="24"/>
        <x:v>672583.67041194194</x:v>
      </x:c>
      <x:c r="N141" s="1">
        <x:f t="shared" si="25"/>
        <x:v>1.2529171257970138</x:v>
      </x:c>
      <x:c r="O141" s="1">
        <x:f t="shared" si="26"/>
        <x:v>842691.5991905363</x:v>
      </x:c>
      <x:c r="P141" s="15">
        <x:f t="shared" si="27"/>
        <x:v>0</x:v>
      </x:c>
      <x:c r="Q141" s="15">
        <x:f t="shared" si="28"/>
        <x:v>0</x:v>
      </x:c>
      <x:c r="R141" s="15">
        <x:f t="shared" si="29"/>
        <x:v>842691.5991905363</x:v>
      </x:c>
      <x:c r="S141" s="15">
        <x:f t="shared" si="23"/>
        <x:v>0</x:v>
      </x:c>
    </x:row>
    <x:row r="142" spans="1:19" outlineLevel="2">
      <x:c r="A142" s="12" t="s">
        <x:v>112</x:v>
      </x:c>
      <x:c r="B142" s="7" t="s">
        <x:v>86</x:v>
      </x:c>
      <x:c r="C142" s="6">
        <x:v>493371.28</x:v>
      </x:c>
      <x:c r="F142" s="6">
        <x:v>493371.28</x:v>
      </x:c>
      <x:c r="G142" s="1">
        <x:f t="shared" si="30"/>
        <x:v>0</x:v>
      </x:c>
      <x:c r="J142" s="3">
        <x:v>62</x:v>
      </x:c>
      <x:c r="K142" s="3">
        <x:v>34.048220000000001</x:v>
      </x:c>
      <x:c r="L142" s="2">
        <x:v>-0.47</x:v>
      </x:c>
      <x:c r="M142" s="1">
        <x:f t="shared" si="24"/>
        <x:v>326970.80727437494</x:v>
      </x:c>
      <x:c r="N142" s="1">
        <x:f t="shared" si="25"/>
        <x:v>1.2529171257970138</x:v>
      </x:c>
      <x:c r="O142" s="1">
        <x:f t="shared" si="26"/>
        <x:v>409667.32406973914</x:v>
      </x:c>
      <x:c r="P142" s="15">
        <x:f t="shared" si="27"/>
        <x:v>0</x:v>
      </x:c>
      <x:c r="Q142" s="15">
        <x:f t="shared" si="28"/>
        <x:v>0</x:v>
      </x:c>
      <x:c r="R142" s="15">
        <x:f t="shared" si="29"/>
        <x:v>409667.32406973914</x:v>
      </x:c>
      <x:c r="S142" s="15">
        <x:f t="shared" si="23"/>
        <x:v>0</x:v>
      </x:c>
    </x:row>
    <x:row r="143" spans="1:19" outlineLevel="2">
      <x:c r="A143" s="12" t="s">
        <x:v>112</x:v>
      </x:c>
      <x:c r="B143" s="7" t="s">
        <x:v>85</x:v>
      </x:c>
      <x:c r="C143" s="6">
        <x:v>264983.7</x:v>
      </x:c>
      <x:c r="F143" s="6">
        <x:v>264983.7</x:v>
      </x:c>
      <x:c r="G143" s="1">
        <x:f t="shared" si="30"/>
        <x:v>0</x:v>
      </x:c>
      <x:c r="J143" s="3">
        <x:v>62</x:v>
      </x:c>
      <x:c r="K143" s="3">
        <x:v>33.121729999999999</x:v>
      </x:c>
      <x:c r="L143" s="2">
        <x:v>-0.47</x:v>
      </x:c>
      <x:c r="M143" s="1">
        <x:f t="shared" si="24"/>
        <x:v>181432.87300439566</x:v>
      </x:c>
      <x:c r="N143" s="1">
        <x:f t="shared" si="25"/>
        <x:v>1.2529171257970138</x:v>
      </x:c>
      <x:c r="O143" s="1">
        <x:f t="shared" si="26"/>
        <x:v>227320.353769762</x:v>
      </x:c>
      <x:c r="P143" s="15">
        <x:f t="shared" si="27"/>
        <x:v>0</x:v>
      </x:c>
      <x:c r="Q143" s="15">
        <x:f t="shared" si="28"/>
        <x:v>0</x:v>
      </x:c>
      <x:c r="R143" s="15">
        <x:f t="shared" si="29"/>
        <x:v>227320.353769762</x:v>
      </x:c>
      <x:c r="S143" s="15">
        <x:f t="shared" si="23"/>
        <x:v>0</x:v>
      </x:c>
    </x:row>
    <x:row r="144" spans="1:19" outlineLevel="2">
      <x:c r="A144" s="12" t="s">
        <x:v>112</x:v>
      </x:c>
      <x:c r="B144" s="7" t="s">
        <x:v>84</x:v>
      </x:c>
      <x:c r="C144" s="6">
        <x:v>740859.84000000008</x:v>
      </x:c>
      <x:c r="F144" s="6">
        <x:v>740859.84000000008</x:v>
      </x:c>
      <x:c r="G144" s="1">
        <x:f t="shared" si="30"/>
        <x:v>0</x:v>
      </x:c>
      <x:c r="J144" s="3">
        <x:v>62</x:v>
      </x:c>
      <x:c r="K144" s="3">
        <x:v>32.202198000000003</x:v>
      </x:c>
      <x:c r="L144" s="2">
        <x:v>-0.47</x:v>
      </x:c>
      <x:c r="M144" s="1">
        <x:f t="shared" si="24"/>
        <x:v>523414.71594266727</x:v>
      </x:c>
      <x:c r="N144" s="1">
        <x:f t="shared" si="25"/>
        <x:v>1.2529171257970138</x:v>
      </x:c>
      <x:c r="O144" s="1">
        <x:f t="shared" si="26"/>
        <x:v>655795.26149874704</x:v>
      </x:c>
      <x:c r="P144" s="15">
        <x:f t="shared" si="27"/>
        <x:v>0</x:v>
      </x:c>
      <x:c r="Q144" s="15">
        <x:f t="shared" si="28"/>
        <x:v>0</x:v>
      </x:c>
      <x:c r="R144" s="15">
        <x:f t="shared" si="29"/>
        <x:v>655795.26149874704</x:v>
      </x:c>
      <x:c r="S144" s="15">
        <x:f t="shared" si="23"/>
        <x:v>0</x:v>
      </x:c>
    </x:row>
    <x:row r="145" spans="1:19" outlineLevel="2">
      <x:c r="A145" s="12" t="s">
        <x:v>112</x:v>
      </x:c>
      <x:c r="B145" s="7" t="s">
        <x:v>83</x:v>
      </x:c>
      <x:c r="C145" s="6">
        <x:v>974634.65999999992</x:v>
      </x:c>
      <x:c r="F145" s="6">
        <x:v>974634.65999999992</x:v>
      </x:c>
      <x:c r="G145" s="1">
        <x:f t="shared" si="30"/>
        <x:v>0</x:v>
      </x:c>
      <x:c r="J145" s="3">
        <x:v>62</x:v>
      </x:c>
      <x:c r="K145" s="3">
        <x:v>31.290759000000001</x:v>
      </x:c>
      <x:c r="L145" s="2">
        <x:v>-0.47</x:v>
      </x:c>
      <x:c r="M145" s="1">
        <x:f t="shared" si="24"/>
        <x:v>709637.53663730319</x:v>
      </x:c>
      <x:c r="N145" s="1">
        <x:f t="shared" si="25"/>
        <x:v>1.2529171257970138</x:v>
      </x:c>
      <x:c r="O145" s="1">
        <x:f t="shared" si="26"/>
        <x:v>889117.02276128298</x:v>
      </x:c>
      <x:c r="P145" s="15">
        <x:f t="shared" si="27"/>
        <x:v>0</x:v>
      </x:c>
      <x:c r="Q145" s="15">
        <x:f t="shared" si="28"/>
        <x:v>0</x:v>
      </x:c>
      <x:c r="R145" s="15">
        <x:f t="shared" si="29"/>
        <x:v>889117.02276128298</x:v>
      </x:c>
      <x:c r="S145" s="15">
        <x:f t="shared" si="23"/>
        <x:v>0</x:v>
      </x:c>
    </x:row>
    <x:row r="146" spans="1:19" outlineLevel="2">
      <x:c r="A146" s="12" t="s">
        <x:v>112</x:v>
      </x:c>
      <x:c r="B146" s="7" t="s">
        <x:v>82</x:v>
      </x:c>
      <x:c r="C146" s="6">
        <x:v>-1001691.6000000001</x:v>
      </x:c>
      <x:c r="F146" s="6">
        <x:v>-1001691.6000000001</x:v>
      </x:c>
      <x:c r="G146" s="1">
        <x:f t="shared" si="30"/>
        <x:v>0</x:v>
      </x:c>
      <x:c r="J146" s="3">
        <x:v>62</x:v>
      </x:c>
      <x:c r="K146" s="3">
        <x:v>30.3920435</x:v>
      </x:c>
      <x:c r="L146" s="2">
        <x:v>-0.47</x:v>
      </x:c>
      <x:c r="M146" s="1">
        <x:f t="shared" ref="M146:M177" si="31">+C146*(1-K146/J146)*(1-L146)</x:f>
        <x:v>-750682.16198784893</x:v>
      </x:c>
      <x:c r="N146" s="1">
        <x:f t="shared" ref="N146:N177" si="32">$N$210</x:f>
        <x:v>1.2529171257970138</x:v>
      </x:c>
      <x:c r="O146" s="1">
        <x:f t="shared" ref="O146:O177" si="33">IF((C146*(1-L146)-M146*N146)&lt;0,C146*(1-L146),M146*N146)</x:f>
        <x:v>-1472486.652</x:v>
      </x:c>
      <x:c r="P146" s="15">
        <x:f t="shared" ref="P146:P177" si="34">+D146/$C146*$O146</x:f>
        <x:v>0</x:v>
      </x:c>
      <x:c r="Q146" s="15">
        <x:f t="shared" ref="Q146:Q177" si="35">+E146/$C146*$O146</x:f>
        <x:v>0</x:v>
      </x:c>
      <x:c r="R146" s="15">
        <x:f t="shared" ref="R146:R177" si="36">+F146/$C146*$O146</x:f>
        <x:v>-1472486.652</x:v>
      </x:c>
      <x:c r="S146" s="15">
        <x:f t="shared" si="23"/>
        <x:v>0</x:v>
      </x:c>
    </x:row>
    <x:row r="147" spans="1:19" outlineLevel="2">
      <x:c r="A147" s="12" t="s">
        <x:v>112</x:v>
      </x:c>
      <x:c r="B147" s="7" t="s">
        <x:v>81</x:v>
      </x:c>
      <x:c r="C147" s="6">
        <x:v>972897.0399999998</x:v>
      </x:c>
      <x:c r="F147" s="6">
        <x:v>972897.0399999998</x:v>
      </x:c>
      <x:c r="G147" s="1">
        <x:f t="shared" si="30"/>
        <x:v>0</x:v>
      </x:c>
      <x:c r="J147" s="3">
        <x:v>62</x:v>
      </x:c>
      <x:c r="K147" s="3">
        <x:v>29.493328000000002</x:v>
      </x:c>
      <x:c r="L147" s="2">
        <x:v>-0.47</x:v>
      </x:c>
      <x:c r="M147" s="1">
        <x:f t="shared" si="31"/>
        <x:v>749833.84039523848</x:v>
      </x:c>
      <x:c r="N147" s="1">
        <x:f t="shared" si="32"/>
        <x:v>1.2529171257970138</x:v>
      </x:c>
      <x:c r="O147" s="1">
        <x:f t="shared" si="33"/>
        <x:v>939479.660133339</x:v>
      </x:c>
      <x:c r="P147" s="15">
        <x:f t="shared" si="34"/>
        <x:v>0</x:v>
      </x:c>
      <x:c r="Q147" s="15">
        <x:f t="shared" si="35"/>
        <x:v>0</x:v>
      </x:c>
      <x:c r="R147" s="15">
        <x:f t="shared" si="36"/>
        <x:v>939479.660133339</x:v>
      </x:c>
      <x:c r="S147" s="15">
        <x:f t="shared" si="23"/>
        <x:v>0</x:v>
      </x:c>
    </x:row>
    <x:row r="148" spans="1:19" outlineLevel="2">
      <x:c r="A148" s="12" t="s">
        <x:v>112</x:v>
      </x:c>
      <x:c r="B148" s="7" t="s">
        <x:v>80</x:v>
      </x:c>
      <x:c r="C148" s="6">
        <x:v>1726151.4200000004</x:v>
      </x:c>
      <x:c r="F148" s="6">
        <x:v>1726151.4200000004</x:v>
      </x:c>
      <x:c r="G148" s="1">
        <x:f t="shared" si="30"/>
        <x:v>0</x:v>
      </x:c>
      <x:c r="J148" s="3">
        <x:v>62</x:v>
      </x:c>
      <x:c r="K148" s="3">
        <x:v>28.608991</x:v>
      </x:c>
      <x:c r="L148" s="2">
        <x:v>-0.47</x:v>
      </x:c>
      <x:c r="M148" s="1">
        <x:f t="shared" si="31"/>
        <x:v>1366576.9076267208</x:v>
      </x:c>
      <x:c r="N148" s="1">
        <x:f t="shared" si="32"/>
        <x:v>1.2529171257970138</x:v>
      </x:c>
      <x:c r="O148" s="1">
        <x:f t="shared" si="33"/>
        <x:v>1712207.6112842422</x:v>
      </x:c>
      <x:c r="P148" s="15">
        <x:f t="shared" si="34"/>
        <x:v>0</x:v>
      </x:c>
      <x:c r="Q148" s="15">
        <x:f t="shared" si="35"/>
        <x:v>0</x:v>
      </x:c>
      <x:c r="R148" s="15">
        <x:f t="shared" si="36"/>
        <x:v>1712207.6112842422</x:v>
      </x:c>
      <x:c r="S148" s="15">
        <x:f t="shared" si="23"/>
        <x:v>0</x:v>
      </x:c>
    </x:row>
    <x:row r="149" spans="1:19" outlineLevel="2">
      <x:c r="A149" s="12" t="s">
        <x:v>112</x:v>
      </x:c>
      <x:c r="B149" s="7" t="s">
        <x:v>79</x:v>
      </x:c>
      <x:c r="C149" s="6">
        <x:v>1080272.71</x:v>
      </x:c>
      <x:c r="F149" s="6">
        <x:v>1080272.71</x:v>
      </x:c>
      <x:c r="G149" s="1">
        <x:f t="shared" si="30"/>
        <x:v>0</x:v>
      </x:c>
      <x:c r="J149" s="3">
        <x:v>62</x:v>
      </x:c>
      <x:c r="K149" s="3">
        <x:v>27.733868999999999</x:v>
      </x:c>
      <x:c r="L149" s="2">
        <x:v>-0.47</x:v>
      </x:c>
      <x:c r="M149" s="1">
        <x:f t="shared" si="31"/>
        <x:v>877655.58562870917</x:v>
      </x:c>
      <x:c r="N149" s="1">
        <x:f t="shared" si="32"/>
        <x:v>1.2529171257970138</x:v>
      </x:c>
      <x:c r="O149" s="1">
        <x:f t="shared" si="33"/>
        <x:v>1099629.7137856171</x:v>
      </x:c>
      <x:c r="P149" s="15">
        <x:f t="shared" si="34"/>
        <x:v>0</x:v>
      </x:c>
      <x:c r="Q149" s="15">
        <x:f t="shared" si="35"/>
        <x:v>0</x:v>
      </x:c>
      <x:c r="R149" s="15">
        <x:f t="shared" si="36"/>
        <x:v>1099629.7137856171</x:v>
      </x:c>
      <x:c r="S149" s="15">
        <x:f t="shared" si="23"/>
        <x:v>0</x:v>
      </x:c>
    </x:row>
    <x:row r="150" spans="1:19" outlineLevel="2">
      <x:c r="A150" s="12" t="s">
        <x:v>112</x:v>
      </x:c>
      <x:c r="B150" s="7" t="s">
        <x:v>78</x:v>
      </x:c>
      <x:c r="C150" s="6">
        <x:v>1783427.7499999998</x:v>
      </x:c>
      <x:c r="F150" s="6">
        <x:v>1783427.7499999998</x:v>
      </x:c>
      <x:c r="G150" s="1">
        <x:f t="shared" si="30"/>
        <x:v>0</x:v>
      </x:c>
      <x:c r="J150" s="3">
        <x:v>62</x:v>
      </x:c>
      <x:c r="K150" s="3">
        <x:v>26.868777999999999</x:v>
      </x:c>
      <x:c r="L150" s="2">
        <x:v>-0.47</x:v>
      </x:c>
      <x:c r="M150" s="1">
        <x:f t="shared" si="31"/>
        <x:v>1485506.0390827325</x:v>
      </x:c>
      <x:c r="N150" s="1">
        <x:f t="shared" si="32"/>
        <x:v>1.2529171257970138</x:v>
      </x:c>
      <x:c r="O150" s="1">
        <x:f t="shared" si="33"/>
        <x:v>1861215.9568416437</x:v>
      </x:c>
      <x:c r="P150" s="15">
        <x:f t="shared" si="34"/>
        <x:v>0</x:v>
      </x:c>
      <x:c r="Q150" s="15">
        <x:f t="shared" si="35"/>
        <x:v>0</x:v>
      </x:c>
      <x:c r="R150" s="15">
        <x:f t="shared" si="36"/>
        <x:v>1861215.9568416437</x:v>
      </x:c>
      <x:c r="S150" s="15">
        <x:f t="shared" si="23"/>
        <x:v>0</x:v>
      </x:c>
    </x:row>
    <x:row r="151" spans="1:19" outlineLevel="2">
      <x:c r="A151" s="12" t="s">
        <x:v>112</x:v>
      </x:c>
      <x:c r="B151" s="7" t="s">
        <x:v>77</x:v>
      </x:c>
      <x:c r="C151" s="6">
        <x:v>813195.38000000012</x:v>
      </x:c>
      <x:c r="F151" s="6">
        <x:v>813195.38000000012</x:v>
      </x:c>
      <x:c r="G151" s="1">
        <x:f t="shared" si="30"/>
        <x:v>0</x:v>
      </x:c>
      <x:c r="J151" s="3">
        <x:v>62</x:v>
      </x:c>
      <x:c r="K151" s="3">
        <x:v>26.014865</x:v>
      </x:c>
      <x:c r="L151" s="2">
        <x:v>-0.47</x:v>
      </x:c>
      <x:c r="M151" s="1">
        <x:f t="shared" si="31"/>
        <x:v>693814.99887248653</x:v>
      </x:c>
      <x:c r="N151" s="1">
        <x:f t="shared" si="32"/>
        <x:v>1.2529171257970138</x:v>
      </x:c>
      <x:c r="O151" s="1">
        <x:f t="shared" si="33"/>
        <x:v>869292.69422217412</x:v>
      </x:c>
      <x:c r="P151" s="15">
        <x:f t="shared" si="34"/>
        <x:v>0</x:v>
      </x:c>
      <x:c r="Q151" s="15">
        <x:f t="shared" si="35"/>
        <x:v>0</x:v>
      </x:c>
      <x:c r="R151" s="15">
        <x:f t="shared" si="36"/>
        <x:v>869292.69422217412</x:v>
      </x:c>
      <x:c r="S151" s="15">
        <x:f t="shared" si="23"/>
        <x:v>0</x:v>
      </x:c>
    </x:row>
    <x:row r="152" spans="1:19" outlineLevel="2">
      <x:c r="A152" s="12" t="s">
        <x:v>112</x:v>
      </x:c>
      <x:c r="B152" s="7" t="s">
        <x:v>76</x:v>
      </x:c>
      <x:c r="C152" s="6">
        <x:v>233312.63</x:v>
      </x:c>
      <x:c r="F152" s="6">
        <x:v>233312.63</x:v>
      </x:c>
      <x:c r="G152" s="1">
        <x:f t="shared" si="30"/>
        <x:v>0</x:v>
      </x:c>
      <x:c r="J152" s="3">
        <x:v>62</x:v>
      </x:c>
      <x:c r="K152" s="3">
        <x:v>25.171004</x:v>
      </x:c>
      <x:c r="L152" s="2">
        <x:v>-0.47</x:v>
      </x:c>
      <x:c r="M152" s="1">
        <x:f t="shared" si="31"/>
        <x:v>203729.43190352633</x:v>
      </x:c>
      <x:c r="N152" s="1">
        <x:f t="shared" si="32"/>
        <x:v>1.2529171257970138</x:v>
      </x:c>
      <x:c r="O152" s="1">
        <x:f t="shared" si="33"/>
        <x:v>255256.09426082464</x:v>
      </x:c>
      <x:c r="P152" s="15">
        <x:f t="shared" si="34"/>
        <x:v>0</x:v>
      </x:c>
      <x:c r="Q152" s="15">
        <x:f t="shared" si="35"/>
        <x:v>0</x:v>
      </x:c>
      <x:c r="R152" s="15">
        <x:f t="shared" si="36"/>
        <x:v>255256.09426082464</x:v>
      </x:c>
      <x:c r="S152" s="15">
        <x:f t="shared" si="23"/>
        <x:v>0</x:v>
      </x:c>
    </x:row>
    <x:row r="153" spans="1:19" outlineLevel="2">
      <x:c r="A153" s="12" t="s">
        <x:v>112</x:v>
      </x:c>
      <x:c r="B153" s="7" t="s">
        <x:v>75</x:v>
      </x:c>
      <x:c r="C153" s="6">
        <x:v>532969.01</x:v>
      </x:c>
      <x:c r="F153" s="6">
        <x:v>532969.01</x:v>
      </x:c>
      <x:c r="G153" s="1">
        <x:f t="shared" si="30"/>
        <x:v>0</x:v>
      </x:c>
      <x:c r="J153" s="3">
        <x:v>62</x:v>
      </x:c>
      <x:c r="K153" s="3">
        <x:v>24.339217000000001</x:v>
      </x:c>
      <x:c r="L153" s="2">
        <x:v>-0.47</x:v>
      </x:c>
      <x:c r="M153" s="1">
        <x:f t="shared" si="31"/>
        <x:v>475901.36193648702</x:v>
      </x:c>
      <x:c r="N153" s="1">
        <x:f t="shared" si="32"/>
        <x:v>1.2529171257970138</x:v>
      </x:c>
      <x:c r="O153" s="1">
        <x:f t="shared" si="33"/>
        <x:v>596264.9665603477</x:v>
      </x:c>
      <x:c r="P153" s="15">
        <x:f t="shared" si="34"/>
        <x:v>0</x:v>
      </x:c>
      <x:c r="Q153" s="15">
        <x:f t="shared" si="35"/>
        <x:v>0</x:v>
      </x:c>
      <x:c r="R153" s="15">
        <x:f t="shared" si="36"/>
        <x:v>596264.9665603477</x:v>
      </x:c>
      <x:c r="S153" s="15">
        <x:f t="shared" si="23"/>
        <x:v>0</x:v>
      </x:c>
    </x:row>
    <x:row r="154" spans="1:19" outlineLevel="2">
      <x:c r="A154" s="12" t="s">
        <x:v>112</x:v>
      </x:c>
      <x:c r="B154" s="7" t="s">
        <x:v>74</x:v>
      </x:c>
      <x:c r="C154" s="6">
        <x:v>336475.30999999994</x:v>
      </x:c>
      <x:c r="F154" s="6">
        <x:v>336475.30999999994</x:v>
      </x:c>
      <x:c r="G154" s="1">
        <x:f t="shared" si="30"/>
        <x:v>0</x:v>
      </x:c>
      <x:c r="J154" s="3">
        <x:v>62</x:v>
      </x:c>
      <x:c r="K154" s="3">
        <x:v>23.518667000000001</x:v>
      </x:c>
      <x:c r="L154" s="2">
        <x:v>-0.47</x:v>
      </x:c>
      <x:c r="M154" s="1">
        <x:f t="shared" si="31"/>
        <x:v>306993.34067855956</x:v>
      </x:c>
      <x:c r="N154" s="1">
        <x:f t="shared" si="32"/>
        <x:v>1.2529171257970138</x:v>
      </x:c>
      <x:c r="O154" s="1">
        <x:f t="shared" si="33"/>
        <x:v>384637.21404180431</x:v>
      </x:c>
      <x:c r="P154" s="15">
        <x:f t="shared" si="34"/>
        <x:v>0</x:v>
      </x:c>
      <x:c r="Q154" s="15">
        <x:f t="shared" si="35"/>
        <x:v>0</x:v>
      </x:c>
      <x:c r="R154" s="15">
        <x:f t="shared" si="36"/>
        <x:v>384637.21404180431</x:v>
      </x:c>
      <x:c r="S154" s="15">
        <x:f t="shared" si="23"/>
        <x:v>0</x:v>
      </x:c>
    </x:row>
    <x:row r="155" spans="1:19" outlineLevel="2">
      <x:c r="A155" s="12" t="s">
        <x:v>112</x:v>
      </x:c>
      <x:c r="B155" s="7" t="s">
        <x:v>73</x:v>
      </x:c>
      <x:c r="C155" s="6">
        <x:v>522574.08999999991</x:v>
      </x:c>
      <x:c r="F155" s="6">
        <x:v>522574.08999999991</x:v>
      </x:c>
      <x:c r="G155" s="1">
        <x:f t="shared" si="30"/>
        <x:v>0</x:v>
      </x:c>
      <x:c r="J155" s="3">
        <x:v>62</x:v>
      </x:c>
      <x:c r="K155" s="3">
        <x:v>22.709308</x:v>
      </x:c>
      <x:c r="L155" s="2">
        <x:v>-0.47</x:v>
      </x:c>
      <x:c r="M155" s="1">
        <x:f t="shared" si="31"/>
        <x:v>486814.15318603721</x:v>
      </x:c>
      <x:c r="N155" s="1">
        <x:f t="shared" si="32"/>
        <x:v>1.2529171257970138</x:v>
      </x:c>
      <x:c r="O155" s="1">
        <x:f t="shared" si="33"/>
        <x:v>609937.78960715688</x:v>
      </x:c>
      <x:c r="P155" s="15">
        <x:f t="shared" si="34"/>
        <x:v>0</x:v>
      </x:c>
      <x:c r="Q155" s="15">
        <x:f t="shared" si="35"/>
        <x:v>0</x:v>
      </x:c>
      <x:c r="R155" s="15">
        <x:f t="shared" si="36"/>
        <x:v>609937.78960715688</x:v>
      </x:c>
      <x:c r="S155" s="15">
        <x:f t="shared" si="23"/>
        <x:v>0</x:v>
      </x:c>
    </x:row>
    <x:row r="156" spans="1:19" outlineLevel="2">
      <x:c r="A156" s="12" t="s">
        <x:v>112</x:v>
      </x:c>
      <x:c r="B156" s="7" t="s">
        <x:v>72</x:v>
      </x:c>
      <x:c r="C156" s="6">
        <x:v>591400.6</x:v>
      </x:c>
      <x:c r="F156" s="6">
        <x:v>591400.6</x:v>
      </x:c>
      <x:c r="G156" s="1">
        <x:f t="shared" si="30"/>
        <x:v>0</x:v>
      </x:c>
      <x:c r="J156" s="3">
        <x:v>62</x:v>
      </x:c>
      <x:c r="K156" s="3">
        <x:v>21.913077999999999</x:v>
      </x:c>
      <x:c r="L156" s="2">
        <x:v>-0.47</x:v>
      </x:c>
      <x:c r="M156" s="1">
        <x:f t="shared" si="31"/>
        <x:v>562095.51117324526</x:v>
      </x:c>
      <x:c r="N156" s="1">
        <x:f t="shared" si="32"/>
        <x:v>1.2529171257970138</x:v>
      </x:c>
      <x:c r="O156" s="1">
        <x:f t="shared" si="33"/>
        <x:v>704259.09228258568</x:v>
      </x:c>
      <x:c r="P156" s="15">
        <x:f t="shared" si="34"/>
        <x:v>0</x:v>
      </x:c>
      <x:c r="Q156" s="15">
        <x:f t="shared" si="35"/>
        <x:v>0</x:v>
      </x:c>
      <x:c r="R156" s="15">
        <x:f t="shared" si="36"/>
        <x:v>704259.09228258568</x:v>
      </x:c>
      <x:c r="S156" s="15">
        <x:f t="shared" si="23"/>
        <x:v>0</x:v>
      </x:c>
    </x:row>
    <x:row r="157" spans="1:19" outlineLevel="2">
      <x:c r="A157" s="12" t="s">
        <x:v>112</x:v>
      </x:c>
      <x:c r="B157" s="7" t="s">
        <x:v>71</x:v>
      </x:c>
      <x:c r="C157" s="6">
        <x:v>305737.87999999995</x:v>
      </x:c>
      <x:c r="F157" s="6">
        <x:v>305737.87999999995</x:v>
      </x:c>
      <x:c r="G157" s="1">
        <x:f t="shared" si="30"/>
        <x:v>0</x:v>
      </x:c>
      <x:c r="J157" s="3">
        <x:v>62</x:v>
      </x:c>
      <x:c r="K157" s="3">
        <x:v>21.127963999999999</x:v>
      </x:c>
      <x:c r="L157" s="2">
        <x:v>-0.47</x:v>
      </x:c>
      <x:c r="M157" s="1">
        <x:f t="shared" si="31"/>
        <x:v>296279.20270560984</x:v>
      </x:c>
      <x:c r="N157" s="1">
        <x:f t="shared" si="32"/>
        <x:v>1.2529171257970138</x:v>
      </x:c>
      <x:c r="O157" s="1">
        <x:f t="shared" si="33"/>
        <x:v>371213.28708734352</x:v>
      </x:c>
      <x:c r="P157" s="15">
        <x:f t="shared" si="34"/>
        <x:v>0</x:v>
      </x:c>
      <x:c r="Q157" s="15">
        <x:f t="shared" si="35"/>
        <x:v>0</x:v>
      </x:c>
      <x:c r="R157" s="15">
        <x:f t="shared" si="36"/>
        <x:v>371213.28708734352</x:v>
      </x:c>
      <x:c r="S157" s="15">
        <x:f t="shared" si="23"/>
        <x:v>0</x:v>
      </x:c>
    </x:row>
    <x:row r="158" spans="1:19" outlineLevel="2">
      <x:c r="A158" s="12" t="s">
        <x:v>112</x:v>
      </x:c>
      <x:c r="B158" s="7" t="s">
        <x:v>70</x:v>
      </x:c>
      <x:c r="C158" s="6">
        <x:v>772513.29999999993</x:v>
      </x:c>
      <x:c r="F158" s="6">
        <x:v>772513.29999999993</x:v>
      </x:c>
      <x:c r="G158" s="1">
        <x:f t="shared" si="30"/>
        <x:v>0</x:v>
      </x:c>
      <x:c r="J158" s="3">
        <x:v>62</x:v>
      </x:c>
      <x:c r="K158" s="3">
        <x:v>20.355563</x:v>
      </x:c>
      <x:c r="L158" s="2">
        <x:v>-0.47</x:v>
      </x:c>
      <x:c r="M158" s="1">
        <x:f t="shared" si="31"/>
        <x:v>762761.22155907715</x:v>
      </x:c>
      <x:c r="N158" s="1">
        <x:f t="shared" si="32"/>
        <x:v>1.2529171257970138</x:v>
      </x:c>
      <x:c r="O158" s="1">
        <x:f t="shared" si="33"/>
        <x:v>955676.59738521813</x:v>
      </x:c>
      <x:c r="P158" s="15">
        <x:f t="shared" si="34"/>
        <x:v>0</x:v>
      </x:c>
      <x:c r="Q158" s="15">
        <x:f t="shared" si="35"/>
        <x:v>0</x:v>
      </x:c>
      <x:c r="R158" s="15">
        <x:f t="shared" si="36"/>
        <x:v>955676.59738521813</x:v>
      </x:c>
      <x:c r="S158" s="15">
        <x:f t="shared" si="23"/>
        <x:v>0</x:v>
      </x:c>
    </x:row>
    <x:row r="159" spans="1:19" outlineLevel="2">
      <x:c r="A159" s="12" t="s">
        <x:v>112</x:v>
      </x:c>
      <x:c r="B159" s="7" t="s">
        <x:v>69</x:v>
      </x:c>
      <x:c r="C159" s="6">
        <x:v>472339.11</x:v>
      </x:c>
      <x:c r="F159" s="6">
        <x:v>472339.11</x:v>
      </x:c>
      <x:c r="G159" s="1">
        <x:f t="shared" si="30"/>
        <x:v>0</x:v>
      </x:c>
      <x:c r="J159" s="3">
        <x:v>62</x:v>
      </x:c>
      <x:c r="K159" s="3">
        <x:v>19.595503999999998</x:v>
      </x:c>
      <x:c r="L159" s="2">
        <x:v>-0.47</x:v>
      </x:c>
      <x:c r="M159" s="1">
        <x:f t="shared" si="31"/>
        <x:v>474888.286999011</x:v>
      </x:c>
      <x:c r="N159" s="1">
        <x:f t="shared" si="32"/>
        <x:v>1.2529171257970138</x:v>
      </x:c>
      <x:c r="O159" s="1">
        <x:f t="shared" si="33"/>
        <x:v>594995.66762146819</x:v>
      </x:c>
      <x:c r="P159" s="15">
        <x:f t="shared" si="34"/>
        <x:v>0</x:v>
      </x:c>
      <x:c r="Q159" s="15">
        <x:f t="shared" si="35"/>
        <x:v>0</x:v>
      </x:c>
      <x:c r="R159" s="15">
        <x:f t="shared" si="36"/>
        <x:v>594995.66762146819</x:v>
      </x:c>
      <x:c r="S159" s="15">
        <x:f t="shared" si="23"/>
        <x:v>0</x:v>
      </x:c>
    </x:row>
    <x:row r="160" spans="1:19" outlineLevel="2">
      <x:c r="A160" s="12" t="s">
        <x:v>112</x:v>
      </x:c>
      <x:c r="B160" s="7" t="s">
        <x:v>68</x:v>
      </x:c>
      <x:c r="C160" s="6">
        <x:v>342440.12</x:v>
      </x:c>
      <x:c r="F160" s="6">
        <x:v>342440.12</x:v>
      </x:c>
      <x:c r="G160" s="1">
        <x:f t="shared" si="30"/>
        <x:v>0</x:v>
      </x:c>
      <x:c r="J160" s="3">
        <x:v>62</x:v>
      </x:c>
      <x:c r="K160" s="3">
        <x:v>18.846546</x:v>
      </x:c>
      <x:c r="L160" s="2">
        <x:v>-0.47</x:v>
      </x:c>
      <x:c r="M160" s="1">
        <x:f t="shared" si="31"/>
        <x:v>350369.14081091102</x:v>
      </x:c>
      <x:c r="N160" s="1">
        <x:f t="shared" si="32"/>
        <x:v>1.2529171257970138</x:v>
      </x:c>
      <x:c r="O160" s="1">
        <x:f t="shared" si="33"/>
        <x:v>438983.49687277584</x:v>
      </x:c>
      <x:c r="P160" s="15">
        <x:f t="shared" si="34"/>
        <x:v>0</x:v>
      </x:c>
      <x:c r="Q160" s="15">
        <x:f t="shared" si="35"/>
        <x:v>0</x:v>
      </x:c>
      <x:c r="R160" s="15">
        <x:f t="shared" si="36"/>
        <x:v>438983.49687277584</x:v>
      </x:c>
      <x:c r="S160" s="15">
        <x:f t="shared" si="23"/>
        <x:v>0</x:v>
      </x:c>
    </x:row>
    <x:row r="161" spans="1:19" outlineLevel="2">
      <x:c r="A161" s="12" t="s">
        <x:v>112</x:v>
      </x:c>
      <x:c r="B161" s="7" t="s">
        <x:v>67</x:v>
      </x:c>
      <x:c r="C161" s="6">
        <x:v>1326491.32</x:v>
      </x:c>
      <x:c r="F161" s="6">
        <x:v>1326491.32</x:v>
      </x:c>
      <x:c r="G161" s="1">
        <x:f t="shared" si="30"/>
        <x:v>0</x:v>
      </x:c>
      <x:c r="J161" s="3">
        <x:v>62</x:v>
      </x:c>
      <x:c r="K161" s="3">
        <x:v>18.111384000000001</x:v>
      </x:c>
      <x:c r="L161" s="2">
        <x:v>-0.47</x:v>
      </x:c>
      <x:c r="M161" s="1">
        <x:f t="shared" si="31"/>
        <x:v>1380326.8743725047</x:v>
      </x:c>
      <x:c r="N161" s="1">
        <x:f t="shared" si="32"/>
        <x:v>1.2529171257970138</x:v>
      </x:c>
      <x:c r="O161" s="1">
        <x:f t="shared" si="33"/>
        <x:v>1729435.1800991741</x:v>
      </x:c>
      <x:c r="P161" s="15">
        <x:f t="shared" si="34"/>
        <x:v>0</x:v>
      </x:c>
      <x:c r="Q161" s="15">
        <x:f t="shared" si="35"/>
        <x:v>0</x:v>
      </x:c>
      <x:c r="R161" s="15">
        <x:f t="shared" si="36"/>
        <x:v>1729435.1800991741</x:v>
      </x:c>
      <x:c r="S161" s="15">
        <x:f t="shared" si="23"/>
        <x:v>0</x:v>
      </x:c>
    </x:row>
    <x:row r="162" spans="1:19" outlineLevel="2">
      <x:c r="A162" s="12" t="s">
        <x:v>112</x:v>
      </x:c>
      <x:c r="B162" s="7" t="s">
        <x:v>66</x:v>
      </x:c>
      <x:c r="C162" s="6">
        <x:v>784078.49000000011</x:v>
      </x:c>
      <x:c r="F162" s="6">
        <x:v>784078.49000000011</x:v>
      </x:c>
      <x:c r="G162" s="1">
        <x:f t="shared" si="30"/>
        <x:v>0</x:v>
      </x:c>
      <x:c r="J162" s="3">
        <x:v>62</x:v>
      </x:c>
      <x:c r="K162" s="3">
        <x:v>17.387070999999999</x:v>
      </x:c>
      <x:c r="L162" s="2">
        <x:v>-0.47</x:v>
      </x:c>
      <x:c r="M162" s="1">
        <x:f t="shared" si="31"/>
        <x:v>829365.41721051466</x:v>
      </x:c>
      <x:c r="N162" s="1">
        <x:f t="shared" si="32"/>
        <x:v>1.2529171257970138</x:v>
      </x:c>
      <x:c r="O162" s="1">
        <x:f t="shared" si="33"/>
        <x:v>1039126.1347668392</x:v>
      </x:c>
      <x:c r="P162" s="15">
        <x:f t="shared" si="34"/>
        <x:v>0</x:v>
      </x:c>
      <x:c r="Q162" s="15">
        <x:f t="shared" si="35"/>
        <x:v>0</x:v>
      </x:c>
      <x:c r="R162" s="15">
        <x:f t="shared" si="36"/>
        <x:v>1039126.1347668392</x:v>
      </x:c>
      <x:c r="S162" s="15">
        <x:f t="shared" si="23"/>
        <x:v>0</x:v>
      </x:c>
    </x:row>
    <x:row r="163" spans="1:19" outlineLevel="2">
      <x:c r="A163" s="12" t="s">
        <x:v>112</x:v>
      </x:c>
      <x:c r="B163" s="7" t="s">
        <x:v>65</x:v>
      </x:c>
      <x:c r="C163" s="6">
        <x:v>873912.79000000015</x:v>
      </x:c>
      <x:c r="F163" s="6">
        <x:v>873912.79000000015</x:v>
      </x:c>
      <x:c r="G163" s="1">
        <x:f t="shared" si="30"/>
        <x:v>0</x:v>
      </x:c>
      <x:c r="J163" s="3">
        <x:v>62</x:v>
      </x:c>
      <x:c r="K163" s="3">
        <x:v>16.674468999999998</x:v>
      </x:c>
      <x:c r="L163" s="2">
        <x:v>-0.47</x:v>
      </x:c>
      <x:c r="M163" s="1">
        <x:f t="shared" si="31"/>
        <x:v>939153.62974240328</x:v>
      </x:c>
      <x:c r="N163" s="1">
        <x:f t="shared" si="32"/>
        <x:v>1.2529171257970138</x:v>
      </x:c>
      <x:c r="O163" s="1">
        <x:f t="shared" si="33"/>
        <x:v>1176681.6664586847</x:v>
      </x:c>
      <x:c r="P163" s="15">
        <x:f t="shared" si="34"/>
        <x:v>0</x:v>
      </x:c>
      <x:c r="Q163" s="15">
        <x:f t="shared" si="35"/>
        <x:v>0</x:v>
      </x:c>
      <x:c r="R163" s="15">
        <x:f t="shared" si="36"/>
        <x:v>1176681.6664586847</x:v>
      </x:c>
      <x:c r="S163" s="15">
        <x:f t="shared" si="23"/>
        <x:v>0</x:v>
      </x:c>
    </x:row>
    <x:row r="164" spans="1:19" outlineLevel="2">
      <x:c r="A164" s="12" t="s">
        <x:v>112</x:v>
      </x:c>
      <x:c r="B164" s="7" t="s">
        <x:v>64</x:v>
      </x:c>
      <x:c r="C164" s="6">
        <x:v>1462572.8199999998</x:v>
      </x:c>
      <x:c r="F164" s="6">
        <x:v>1462572.8199999998</x:v>
      </x:c>
      <x:c r="G164" s="1">
        <x:f t="shared" si="30"/>
        <x:v>0</x:v>
      </x:c>
      <x:c r="J164" s="3">
        <x:v>62</x:v>
      </x:c>
      <x:c r="K164" s="3">
        <x:v>15.973706999999999</x:v>
      </x:c>
      <x:c r="L164" s="2">
        <x:v>-0.47</x:v>
      </x:c>
      <x:c r="M164" s="1">
        <x:f t="shared" si="31"/>
        <x:v>1596059.7349406402</x:v>
      </x:c>
      <x:c r="N164" s="1">
        <x:f t="shared" si="32"/>
        <x:v>1.2529171257970138</x:v>
      </x:c>
      <x:c r="O164" s="1">
        <x:f t="shared" si="33"/>
        <x:v>1999730.5757021704</x:v>
      </x:c>
      <x:c r="P164" s="15">
        <x:f t="shared" si="34"/>
        <x:v>0</x:v>
      </x:c>
      <x:c r="Q164" s="15">
        <x:f t="shared" si="35"/>
        <x:v>0</x:v>
      </x:c>
      <x:c r="R164" s="15">
        <x:f t="shared" si="36"/>
        <x:v>1999730.5757021704</x:v>
      </x:c>
      <x:c r="S164" s="15">
        <x:f t="shared" si="23"/>
        <x:v>0</x:v>
      </x:c>
    </x:row>
    <x:row r="165" spans="1:19" outlineLevel="2">
      <x:c r="A165" s="12" t="s">
        <x:v>112</x:v>
      </x:c>
      <x:c r="B165" s="7" t="s">
        <x:v>63</x:v>
      </x:c>
      <x:c r="C165" s="6">
        <x:v>539994.25</x:v>
      </x:c>
      <x:c r="F165" s="6">
        <x:v>539994.25</x:v>
      </x:c>
      <x:c r="G165" s="1">
        <x:f t="shared" si="30"/>
        <x:v>0</x:v>
      </x:c>
      <x:c r="J165" s="3">
        <x:v>62</x:v>
      </x:c>
      <x:c r="K165" s="3">
        <x:v>15.282762999999999</x:v>
      </x:c>
      <x:c r="L165" s="2">
        <x:v>-0.47</x:v>
      </x:c>
      <x:c r="M165" s="1">
        <x:f t="shared" si="31"/>
        <x:v>598124.96537345578</x:v>
      </x:c>
      <x:c r="N165" s="1">
        <x:f t="shared" si="32"/>
        <x:v>1.2529171257970138</x:v>
      </x:c>
      <x:c r="O165" s="1">
        <x:f t="shared" si="33"/>
        <x:v>749401.0124831486</x:v>
      </x:c>
      <x:c r="P165" s="15">
        <x:f t="shared" si="34"/>
        <x:v>0</x:v>
      </x:c>
      <x:c r="Q165" s="15">
        <x:f t="shared" si="35"/>
        <x:v>0</x:v>
      </x:c>
      <x:c r="R165" s="15">
        <x:f t="shared" si="36"/>
        <x:v>749401.0124831486</x:v>
      </x:c>
      <x:c r="S165" s="15">
        <x:f t="shared" si="23"/>
        <x:v>0</x:v>
      </x:c>
    </x:row>
    <x:row r="166" spans="1:19" outlineLevel="2">
      <x:c r="A166" s="12" t="s">
        <x:v>112</x:v>
      </x:c>
      <x:c r="B166" s="7" t="s">
        <x:v>62</x:v>
      </x:c>
      <x:c r="C166" s="6">
        <x:v>208366.16</x:v>
      </x:c>
      <x:c r="F166" s="6">
        <x:v>208366.16</x:v>
      </x:c>
      <x:c r="G166" s="1">
        <x:f t="shared" si="30"/>
        <x:v>0</x:v>
      </x:c>
      <x:c r="J166" s="3">
        <x:v>62</x:v>
      </x:c>
      <x:c r="K166" s="3">
        <x:v>14.603954</x:v>
      </x:c>
      <x:c r="L166" s="2">
        <x:v>-0.47</x:v>
      </x:c>
      <x:c r="M166" s="1">
        <x:f t="shared" si="31"/>
        <x:v>234150.42247062805</x:v>
      </x:c>
      <x:c r="N166" s="1">
        <x:f t="shared" si="32"/>
        <x:v>1.2529171257970138</x:v>
      </x:c>
      <x:c r="O166" s="1">
        <x:f t="shared" si="33"/>
        <x:v>293371.07432605582</x:v>
      </x:c>
      <x:c r="P166" s="15">
        <x:f t="shared" si="34"/>
        <x:v>0</x:v>
      </x:c>
      <x:c r="Q166" s="15">
        <x:f t="shared" si="35"/>
        <x:v>0</x:v>
      </x:c>
      <x:c r="R166" s="15">
        <x:f t="shared" si="36"/>
        <x:v>293371.07432605582</x:v>
      </x:c>
      <x:c r="S166" s="15">
        <x:f t="shared" si="23"/>
        <x:v>0</x:v>
      </x:c>
    </x:row>
    <x:row r="167" spans="1:19" outlineLevel="2">
      <x:c r="A167" s="12" t="s">
        <x:v>112</x:v>
      </x:c>
      <x:c r="B167" s="7" t="s">
        <x:v>61</x:v>
      </x:c>
      <x:c r="C167" s="6">
        <x:v>552736.04</x:v>
      </x:c>
      <x:c r="F167" s="6">
        <x:v>552736.04</x:v>
      </x:c>
      <x:c r="G167" s="1">
        <x:f t="shared" si="30"/>
        <x:v>0</x:v>
      </x:c>
      <x:c r="J167" s="3">
        <x:v>62</x:v>
      </x:c>
      <x:c r="K167" s="3">
        <x:v>13.936623000000001</x:v>
      </x:c>
      <x:c r="L167" s="2">
        <x:v>-0.47</x:v>
      </x:c>
      <x:c r="M167" s="1">
        <x:f t="shared" si="31"/>
        <x:v>629879.84173952276</x:v>
      </x:c>
      <x:c r="N167" s="1">
        <x:f t="shared" si="32"/>
        <x:v>1.2529171257970138</x:v>
      </x:c>
      <x:c r="O167" s="1">
        <x:f t="shared" si="33"/>
        <x:v>789187.2409097607</x:v>
      </x:c>
      <x:c r="P167" s="15">
        <x:f t="shared" si="34"/>
        <x:v>0</x:v>
      </x:c>
      <x:c r="Q167" s="15">
        <x:f t="shared" si="35"/>
        <x:v>0</x:v>
      </x:c>
      <x:c r="R167" s="15">
        <x:f t="shared" si="36"/>
        <x:v>789187.2409097607</x:v>
      </x:c>
      <x:c r="S167" s="15">
        <x:f t="shared" si="23"/>
        <x:v>0</x:v>
      </x:c>
    </x:row>
    <x:row r="168" spans="1:19" outlineLevel="2">
      <x:c r="A168" s="12" t="s">
        <x:v>112</x:v>
      </x:c>
      <x:c r="B168" s="7" t="s">
        <x:v>60</x:v>
      </x:c>
      <x:c r="C168" s="6">
        <x:v>339930.66000000009</x:v>
      </x:c>
      <x:c r="F168" s="6">
        <x:v>339930.66000000009</x:v>
      </x:c>
      <x:c r="G168" s="1">
        <x:f t="shared" si="30"/>
        <x:v>0</x:v>
      </x:c>
      <x:c r="J168" s="3">
        <x:v>62</x:v>
      </x:c>
      <x:c r="K168" s="3">
        <x:v>13.282901000000001</x:v>
      </x:c>
      <x:c r="L168" s="2">
        <x:v>-0.47</x:v>
      </x:c>
      <x:c r="M168" s="1">
        <x:f t="shared" si="31"/>
        <x:v>392642.58638777997</x:v>
      </x:c>
      <x:c r="N168" s="1">
        <x:f t="shared" si="32"/>
        <x:v>1.2529171257970138</x:v>
      </x:c>
      <x:c r="O168" s="1">
        <x:f t="shared" si="33"/>
        <x:v>491948.62080248294</x:v>
      </x:c>
      <x:c r="P168" s="15">
        <x:f t="shared" si="34"/>
        <x:v>0</x:v>
      </x:c>
      <x:c r="Q168" s="15">
        <x:f t="shared" si="35"/>
        <x:v>0</x:v>
      </x:c>
      <x:c r="R168" s="15">
        <x:f t="shared" si="36"/>
        <x:v>491948.62080248294</x:v>
      </x:c>
      <x:c r="S168" s="15">
        <x:f t="shared" si="23"/>
        <x:v>0</x:v>
      </x:c>
    </x:row>
    <x:row r="169" spans="1:19" outlineLevel="2">
      <x:c r="A169" s="12" t="s">
        <x:v>112</x:v>
      </x:c>
      <x:c r="B169" s="7" t="s">
        <x:v>59</x:v>
      </x:c>
      <x:c r="C169" s="6">
        <x:v>214031.58000000007</x:v>
      </x:c>
      <x:c r="F169" s="6">
        <x:v>214031.58000000007</x:v>
      </x:c>
      <x:c r="G169" s="1">
        <x:f t="shared" si="30"/>
        <x:v>0</x:v>
      </x:c>
      <x:c r="J169" s="3">
        <x:v>62</x:v>
      </x:c>
      <x:c r="K169" s="3">
        <x:v>12.647478</x:v>
      </x:c>
      <x:c r="L169" s="2">
        <x:v>-0.47</x:v>
      </x:c>
      <x:c r="M169" s="1">
        <x:f t="shared" si="31"/>
        <x:v>250445.28134109356</x:v>
      </x:c>
      <x:c r="N169" s="1">
        <x:f t="shared" si="32"/>
        <x:v>1.2529171257970138</x:v>
      </x:c>
      <x:c r="O169" s="1">
        <x:f t="shared" si="33"/>
        <x:v>313787.18206730741</x:v>
      </x:c>
      <x:c r="P169" s="15">
        <x:f t="shared" si="34"/>
        <x:v>0</x:v>
      </x:c>
      <x:c r="Q169" s="15">
        <x:f t="shared" si="35"/>
        <x:v>0</x:v>
      </x:c>
      <x:c r="R169" s="15">
        <x:f t="shared" si="36"/>
        <x:v>313787.18206730741</x:v>
      </x:c>
      <x:c r="S169" s="15">
        <x:f t="shared" si="23"/>
        <x:v>0</x:v>
      </x:c>
    </x:row>
    <x:row r="170" spans="1:19" outlineLevel="2">
      <x:c r="A170" s="12" t="s">
        <x:v>112</x:v>
      </x:c>
      <x:c r="B170" s="7" t="s">
        <x:v>58</x:v>
      </x:c>
      <x:c r="C170" s="6">
        <x:v>132750.59999999998</x:v>
      </x:c>
      <x:c r="F170" s="6">
        <x:v>132750.59999999998</x:v>
      </x:c>
      <x:c r="G170" s="1">
        <x:f t="shared" si="30"/>
        <x:v>0</x:v>
      </x:c>
      <x:c r="J170" s="3">
        <x:v>62</x:v>
      </x:c>
      <x:c r="K170" s="3">
        <x:v>12.030269000000001</x:v>
      </x:c>
      <x:c r="L170" s="2">
        <x:v>-0.47</x:v>
      </x:c>
      <x:c r="M170" s="1">
        <x:f t="shared" si="31"/>
        <x:v>157278.42427371355</x:v>
      </x:c>
      <x:c r="N170" s="1">
        <x:f t="shared" si="32"/>
        <x:v>1.2529171257970138</x:v>
      </x:c>
      <x:c r="O170" s="1">
        <x:f t="shared" si="33"/>
        <x:v>195143.38199999995</x:v>
      </x:c>
      <x:c r="P170" s="15">
        <x:f t="shared" si="34"/>
        <x:v>0</x:v>
      </x:c>
      <x:c r="Q170" s="15">
        <x:f t="shared" si="35"/>
        <x:v>0</x:v>
      </x:c>
      <x:c r="R170" s="15">
        <x:f t="shared" si="36"/>
        <x:v>195143.38199999995</x:v>
      </x:c>
      <x:c r="S170" s="15">
        <x:f t="shared" si="23"/>
        <x:v>0</x:v>
      </x:c>
    </x:row>
    <x:row r="171" spans="1:19" outlineLevel="2">
      <x:c r="A171" s="12" t="s">
        <x:v>112</x:v>
      </x:c>
      <x:c r="B171" s="7" t="s">
        <x:v>57</x:v>
      </x:c>
      <x:c r="C171" s="6">
        <x:v>295181.68999999994</x:v>
      </x:c>
      <x:c r="F171" s="6">
        <x:v>295181.68999999994</x:v>
      </x:c>
      <x:c r="G171" s="1">
        <x:f t="shared" si="30"/>
        <x:v>0</x:v>
      </x:c>
      <x:c r="J171" s="3">
        <x:v>62</x:v>
      </x:c>
      <x:c r="K171" s="3">
        <x:v>11.436567</x:v>
      </x:c>
      <x:c r="L171" s="2">
        <x:v>-0.47</x:v>
      </x:c>
      <x:c r="M171" s="1">
        <x:f t="shared" si="31"/>
        <x:v>353876.40999287734</x:v>
      </x:c>
      <x:c r="N171" s="1">
        <x:f t="shared" si="32"/>
        <x:v>1.2529171257970138</x:v>
      </x:c>
      <x:c r="O171" s="1">
        <x:f t="shared" si="33"/>
        <x:v>433917.08429999993</x:v>
      </x:c>
      <x:c r="P171" s="15">
        <x:f t="shared" si="34"/>
        <x:v>0</x:v>
      </x:c>
      <x:c r="Q171" s="15">
        <x:f t="shared" si="35"/>
        <x:v>0</x:v>
      </x:c>
      <x:c r="R171" s="15">
        <x:f t="shared" si="36"/>
        <x:v>433917.08429999993</x:v>
      </x:c>
      <x:c r="S171" s="15">
        <x:f t="shared" si="23"/>
        <x:v>0</x:v>
      </x:c>
    </x:row>
    <x:row r="172" spans="1:19" outlineLevel="2">
      <x:c r="A172" s="12" t="s">
        <x:v>112</x:v>
      </x:c>
      <x:c r="B172" s="7" t="s">
        <x:v>56</x:v>
      </x:c>
      <x:c r="C172" s="6">
        <x:v>247529.46</x:v>
      </x:c>
      <x:c r="F172" s="6">
        <x:v>247529.46</x:v>
      </x:c>
      <x:c r="G172" s="1">
        <x:f t="shared" si="30"/>
        <x:v>0</x:v>
      </x:c>
      <x:c r="J172" s="3">
        <x:v>62</x:v>
      </x:c>
      <x:c r="K172" s="3">
        <x:v>10.867068</x:v>
      </x:c>
      <x:c r="L172" s="2">
        <x:v>-0.47</x:v>
      </x:c>
      <x:c r="M172" s="1">
        <x:f t="shared" si="31"/>
        <x:v>300091.18319160934</x:v>
      </x:c>
      <x:c r="N172" s="1">
        <x:f t="shared" si="32"/>
        <x:v>1.2529171257970138</x:v>
      </x:c>
      <x:c r="O172" s="1">
        <x:f t="shared" si="33"/>
        <x:v>363868.30619999999</x:v>
      </x:c>
      <x:c r="P172" s="15">
        <x:f t="shared" si="34"/>
        <x:v>0</x:v>
      </x:c>
      <x:c r="Q172" s="15">
        <x:f t="shared" si="35"/>
        <x:v>0</x:v>
      </x:c>
      <x:c r="R172" s="15">
        <x:f t="shared" si="36"/>
        <x:v>363868.30619999999</x:v>
      </x:c>
      <x:c r="S172" s="15">
        <x:f t="shared" si="23"/>
        <x:v>0</x:v>
      </x:c>
    </x:row>
    <x:row r="173" spans="1:19" outlineLevel="2">
      <x:c r="A173" s="12" t="s">
        <x:v>112</x:v>
      </x:c>
      <x:c r="B173" s="7" t="s">
        <x:v>55</x:v>
      </x:c>
      <x:c r="C173" s="6">
        <x:v>114630.98000000001</x:v>
      </x:c>
      <x:c r="F173" s="6">
        <x:v>114630.98000000001</x:v>
      </x:c>
      <x:c r="G173" s="1">
        <x:f t="shared" si="30"/>
        <x:v>0</x:v>
      </x:c>
      <x:c r="J173" s="3">
        <x:v>62</x:v>
      </x:c>
      <x:c r="K173" s="3">
        <x:v>10.321955000000001</x:v>
      </x:c>
      <x:c r="L173" s="2">
        <x:v>-0.47</x:v>
      </x:c>
      <x:c r="M173" s="1">
        <x:f t="shared" si="31"/>
        <x:v>140453.87525751817</x:v>
      </x:c>
      <x:c r="N173" s="1">
        <x:f t="shared" si="32"/>
        <x:v>1.2529171257970138</x:v>
      </x:c>
      <x:c r="O173" s="1">
        <x:f t="shared" si="33"/>
        <x:v>168507.54060000001</x:v>
      </x:c>
      <x:c r="P173" s="15">
        <x:f t="shared" si="34"/>
        <x:v>0</x:v>
      </x:c>
      <x:c r="Q173" s="15">
        <x:f t="shared" si="35"/>
        <x:v>0</x:v>
      </x:c>
      <x:c r="R173" s="15">
        <x:f t="shared" si="36"/>
        <x:v>168507.54060000001</x:v>
      </x:c>
      <x:c r="S173" s="15">
        <x:f t="shared" si="23"/>
        <x:v>0</x:v>
      </x:c>
    </x:row>
    <x:row r="174" spans="1:19" outlineLevel="2">
      <x:c r="A174" s="12" t="s">
        <x:v>112</x:v>
      </x:c>
      <x:c r="B174" s="7" t="s">
        <x:v>54</x:v>
      </x:c>
      <x:c r="C174" s="6">
        <x:v>187338.19000000003</x:v>
      </x:c>
      <x:c r="F174" s="6">
        <x:v>187338.19000000003</x:v>
      </x:c>
      <x:c r="G174" s="1">
        <x:f t="shared" si="30"/>
        <x:v>0</x:v>
      </x:c>
      <x:c r="J174" s="3">
        <x:v>62</x:v>
      </x:c>
      <x:c r="K174" s="3">
        <x:v>9.8056079999999994</x:v>
      </x:c>
      <x:c r="L174" s="2">
        <x:v>-0.47</x:v>
      </x:c>
      <x:c r="M174" s="1">
        <x:f t="shared" si="31"/>
        <x:v>231833.29516746465</x:v>
      </x:c>
      <x:c r="N174" s="1">
        <x:f t="shared" si="32"/>
        <x:v>1.2529171257970138</x:v>
      </x:c>
      <x:c r="O174" s="1">
        <x:f t="shared" si="33"/>
        <x:v>275387.13930000004</x:v>
      </x:c>
      <x:c r="P174" s="15">
        <x:f t="shared" si="34"/>
        <x:v>0</x:v>
      </x:c>
      <x:c r="Q174" s="15">
        <x:f t="shared" si="35"/>
        <x:v>0</x:v>
      </x:c>
      <x:c r="R174" s="15">
        <x:f t="shared" si="36"/>
        <x:v>275387.13930000004</x:v>
      </x:c>
      <x:c r="S174" s="15">
        <x:f t="shared" si="23"/>
        <x:v>0</x:v>
      </x:c>
    </x:row>
    <x:row r="175" spans="1:19" outlineLevel="2">
      <x:c r="A175" s="12" t="s">
        <x:v>112</x:v>
      </x:c>
      <x:c r="B175" s="7" t="s">
        <x:v>53</x:v>
      </x:c>
      <x:c r="C175" s="6">
        <x:v>122385.17000000003</x:v>
      </x:c>
      <x:c r="F175" s="6">
        <x:v>122385.17000000003</x:v>
      </x:c>
      <x:c r="G175" s="1">
        <x:f t="shared" si="30"/>
        <x:v>0</x:v>
      </x:c>
      <x:c r="J175" s="3">
        <x:v>62</x:v>
      </x:c>
      <x:c r="K175" s="3">
        <x:v>9.3141820000000006</x:v>
      </x:c>
      <x:c r="L175" s="2">
        <x:v>-0.47</x:v>
      </x:c>
      <x:c r="M175" s="1">
        <x:f t="shared" si="31"/>
        <x:v>152879.11782262937</x:v>
      </x:c>
      <x:c r="N175" s="1">
        <x:f t="shared" si="32"/>
        <x:v>1.2529171257970138</x:v>
      </x:c>
      <x:c r="O175" s="1">
        <x:f t="shared" si="33"/>
        <x:v>179906.19990000004</x:v>
      </x:c>
      <x:c r="P175" s="15">
        <x:f t="shared" si="34"/>
        <x:v>0</x:v>
      </x:c>
      <x:c r="Q175" s="15">
        <x:f t="shared" si="35"/>
        <x:v>0</x:v>
      </x:c>
      <x:c r="R175" s="15">
        <x:f t="shared" si="36"/>
        <x:v>179906.19990000004</x:v>
      </x:c>
      <x:c r="S175" s="15">
        <x:f t="shared" si="23"/>
        <x:v>0</x:v>
      </x:c>
    </x:row>
    <x:row r="176" spans="1:19" outlineLevel="2">
      <x:c r="A176" s="12" t="s">
        <x:v>112</x:v>
      </x:c>
      <x:c r="B176" s="7" t="s">
        <x:v>52</x:v>
      </x:c>
      <x:c r="C176" s="6">
        <x:v>71697.059999999983</x:v>
      </x:c>
      <x:c r="F176" s="6">
        <x:v>71697.059999999983</x:v>
      </x:c>
      <x:c r="G176" s="1">
        <x:f t="shared" si="30"/>
        <x:v>0</x:v>
      </x:c>
      <x:c r="J176" s="3">
        <x:v>62</x:v>
      </x:c>
      <x:c r="K176" s="3">
        <x:v>8.8492490000000004</x:v>
      </x:c>
      <x:c r="L176" s="2">
        <x:v>-0.47</x:v>
      </x:c>
      <x:c r="M176" s="1">
        <x:f t="shared" si="31"/>
        <x:v>90351.714479569797</x:v>
      </x:c>
      <x:c r="N176" s="1">
        <x:f t="shared" si="32"/>
        <x:v>1.2529171257970138</x:v>
      </x:c>
      <x:c r="O176" s="1">
        <x:f t="shared" si="33"/>
        <x:v>105394.67819999998</x:v>
      </x:c>
      <x:c r="P176" s="15">
        <x:f t="shared" si="34"/>
        <x:v>0</x:v>
      </x:c>
      <x:c r="Q176" s="15">
        <x:f t="shared" si="35"/>
        <x:v>0</x:v>
      </x:c>
      <x:c r="R176" s="15">
        <x:f t="shared" si="36"/>
        <x:v>105394.67819999998</x:v>
      </x:c>
      <x:c r="S176" s="15">
        <x:f t="shared" si="23"/>
        <x:v>0</x:v>
      </x:c>
    </x:row>
    <x:row r="177" spans="1:19" outlineLevel="2">
      <x:c r="A177" s="12" t="s">
        <x:v>112</x:v>
      </x:c>
      <x:c r="B177" s="7" t="s">
        <x:v>51</x:v>
      </x:c>
      <x:c r="C177" s="6">
        <x:v>95621.619999999981</x:v>
      </x:c>
      <x:c r="F177" s="6">
        <x:v>95621.619999999981</x:v>
      </x:c>
      <x:c r="G177" s="1">
        <x:f t="shared" si="30"/>
        <x:v>0</x:v>
      </x:c>
      <x:c r="J177" s="3">
        <x:v>62</x:v>
      </x:c>
      <x:c r="K177" s="3">
        <x:v>8.4095279999999999</x:v>
      </x:c>
      <x:c r="L177" s="2">
        <x:v>-0.47</x:v>
      </x:c>
      <x:c r="M177" s="1">
        <x:f t="shared" si="31"/>
        <x:v>121498.05469888418</x:v>
      </x:c>
      <x:c r="N177" s="1">
        <x:f t="shared" si="32"/>
        <x:v>1.2529171257970138</x:v>
      </x:c>
      <x:c r="O177" s="1">
        <x:f t="shared" si="33"/>
        <x:v>140563.78139999998</x:v>
      </x:c>
      <x:c r="P177" s="15">
        <x:f t="shared" si="34"/>
        <x:v>0</x:v>
      </x:c>
      <x:c r="Q177" s="15">
        <x:f t="shared" si="35"/>
        <x:v>0</x:v>
      </x:c>
      <x:c r="R177" s="15">
        <x:f t="shared" si="36"/>
        <x:v>140563.78139999998</x:v>
      </x:c>
      <x:c r="S177" s="15">
        <x:f t="shared" ref="S177:S240" si="37">+O177-P177-Q177-R177</x:f>
        <x:v>0</x:v>
      </x:c>
    </x:row>
    <x:row r="178" spans="1:19" outlineLevel="2">
      <x:c r="A178" s="12" t="s">
        <x:v>112</x:v>
      </x:c>
      <x:c r="B178" s="7" t="s">
        <x:v>50</x:v>
      </x:c>
      <x:c r="C178" s="6">
        <x:v>113030.48</x:v>
      </x:c>
      <x:c r="F178" s="6">
        <x:v>113030.48</x:v>
      </x:c>
      <x:c r="G178" s="1">
        <x:f t="shared" si="30"/>
        <x:v>0</x:v>
      </x:c>
      <x:c r="J178" s="3">
        <x:v>62</x:v>
      </x:c>
      <x:c r="K178" s="3">
        <x:v>7.9928520000000001</x:v>
      </x:c>
      <x:c r="L178" s="2">
        <x:v>-0.47</x:v>
      </x:c>
      <x:c r="M178" s="1">
        <x:f t="shared" ref="M178:M209" si="38">+C178*(1-K178/J178)*(1-L178)</x:f>
        <x:v>144734.63188629723</x:v>
      </x:c>
      <x:c r="N178" s="1">
        <x:f t="shared" ref="N178:N209" si="39">$N$210</x:f>
        <x:v>1.2529171257970138</x:v>
      </x:c>
      <x:c r="O178" s="1">
        <x:f t="shared" ref="O178:O209" si="40">IF((C178*(1-L178)-M178*N178)&lt;0,C178*(1-L178),M178*N178)</x:f>
        <x:v>166154.80559999999</x:v>
      </x:c>
      <x:c r="P178" s="15">
        <x:f t="shared" ref="P178:P207" si="41">+D178/$C178*$O178</x:f>
        <x:v>0</x:v>
      </x:c>
      <x:c r="Q178" s="15">
        <x:f t="shared" ref="Q178:Q207" si="42">+E178/$C178*$O178</x:f>
        <x:v>0</x:v>
      </x:c>
      <x:c r="R178" s="15">
        <x:f t="shared" ref="R178:R207" si="43">+F178/$C178*$O178</x:f>
        <x:v>166154.80559999999</x:v>
      </x:c>
      <x:c r="S178" s="15">
        <x:f t="shared" si="37"/>
        <x:v>0</x:v>
      </x:c>
    </x:row>
    <x:row r="179" spans="1:19" outlineLevel="2">
      <x:c r="A179" s="12" t="s">
        <x:v>112</x:v>
      </x:c>
      <x:c r="B179" s="7" t="s">
        <x:v>49</x:v>
      </x:c>
      <x:c r="C179" s="6">
        <x:v>81462.11000000003</x:v>
      </x:c>
      <x:c r="F179" s="6">
        <x:v>81462.11000000003</x:v>
      </x:c>
      <x:c r="G179" s="1">
        <x:f t="shared" si="30"/>
        <x:v>0</x:v>
      </x:c>
      <x:c r="J179" s="3">
        <x:v>62</x:v>
      </x:c>
      <x:c r="K179" s="3">
        <x:v>7.5989069999999996</x:v>
      </x:c>
      <x:c r="L179" s="2">
        <x:v>-0.47</x:v>
      </x:c>
      <x:c r="M179" s="1">
        <x:f t="shared" si="38"/>
        <x:v>105072.46610430258</x:v>
      </x:c>
      <x:c r="N179" s="1">
        <x:f t="shared" si="39"/>
        <x:v>1.2529171257970138</x:v>
      </x:c>
      <x:c r="O179" s="1">
        <x:f t="shared" si="40"/>
        <x:v>119749.30170000004</x:v>
      </x:c>
      <x:c r="P179" s="15">
        <x:f t="shared" si="41"/>
        <x:v>0</x:v>
      </x:c>
      <x:c r="Q179" s="15">
        <x:f t="shared" si="42"/>
        <x:v>0</x:v>
      </x:c>
      <x:c r="R179" s="15">
        <x:f t="shared" si="43"/>
        <x:v>119749.30170000004</x:v>
      </x:c>
      <x:c r="S179" s="15">
        <x:f t="shared" si="37"/>
        <x:v>0</x:v>
      </x:c>
    </x:row>
    <x:row r="180" spans="1:19" outlineLevel="2">
      <x:c r="A180" s="12" t="s">
        <x:v>112</x:v>
      </x:c>
      <x:c r="B180" s="7" t="s">
        <x:v>48</x:v>
      </x:c>
      <x:c r="C180" s="6">
        <x:v>152467.18</x:v>
      </x:c>
      <x:c r="F180" s="6">
        <x:v>152467.18</x:v>
      </x:c>
      <x:c r="G180" s="1">
        <x:f t="shared" si="30"/>
        <x:v>0</x:v>
      </x:c>
      <x:c r="J180" s="3">
        <x:v>62</x:v>
      </x:c>
      <x:c r="K180" s="3">
        <x:v>7.2249299999999996</x:v>
      </x:c>
      <x:c r="L180" s="2">
        <x:v>-0.47</x:v>
      </x:c>
      <x:c r="M180" s="1">
        <x:f t="shared" si="38"/>
        <x:v>198009.01084012617</x:v>
      </x:c>
      <x:c r="N180" s="1">
        <x:f t="shared" si="39"/>
        <x:v>1.2529171257970138</x:v>
      </x:c>
      <x:c r="O180" s="1">
        <x:f t="shared" si="40"/>
        <x:v>224126.75459999999</x:v>
      </x:c>
      <x:c r="P180" s="15">
        <x:f t="shared" si="41"/>
        <x:v>0</x:v>
      </x:c>
      <x:c r="Q180" s="15">
        <x:f t="shared" si="42"/>
        <x:v>0</x:v>
      </x:c>
      <x:c r="R180" s="15">
        <x:f t="shared" si="43"/>
        <x:v>224126.75459999999</x:v>
      </x:c>
      <x:c r="S180" s="15">
        <x:f t="shared" si="37"/>
        <x:v>0</x:v>
      </x:c>
    </x:row>
    <x:row r="181" spans="1:19" outlineLevel="2">
      <x:c r="A181" s="12" t="s">
        <x:v>112</x:v>
      </x:c>
      <x:c r="B181" s="7" t="s">
        <x:v>47</x:v>
      </x:c>
      <x:c r="C181" s="6">
        <x:v>29340.010000000002</x:v>
      </x:c>
      <x:c r="F181" s="6">
        <x:v>29340.010000000002</x:v>
      </x:c>
      <x:c r="G181" s="1">
        <x:f t="shared" si="30"/>
        <x:v>0</x:v>
      </x:c>
      <x:c r="J181" s="3">
        <x:v>62</x:v>
      </x:c>
      <x:c r="K181" s="3">
        <x:v>6.8696549999999998</x:v>
      </x:c>
      <x:c r="L181" s="2">
        <x:v>-0.47</x:v>
      </x:c>
      <x:c r="M181" s="1">
        <x:f t="shared" si="38"/>
        <x:v>38350.99297092051</x:v>
      </x:c>
      <x:c r="N181" s="1">
        <x:f t="shared" si="39"/>
        <x:v>1.2529171257970138</x:v>
      </x:c>
      <x:c r="O181" s="1">
        <x:f t="shared" si="40"/>
        <x:v>43129.814700000003</x:v>
      </x:c>
      <x:c r="P181" s="15">
        <x:f t="shared" si="41"/>
        <x:v>0</x:v>
      </x:c>
      <x:c r="Q181" s="15">
        <x:f t="shared" si="42"/>
        <x:v>0</x:v>
      </x:c>
      <x:c r="R181" s="15">
        <x:f t="shared" si="43"/>
        <x:v>43129.814700000003</x:v>
      </x:c>
      <x:c r="S181" s="15">
        <x:f t="shared" si="37"/>
        <x:v>0</x:v>
      </x:c>
    </x:row>
    <x:row r="182" spans="1:19" outlineLevel="2">
      <x:c r="A182" s="12" t="s">
        <x:v>112</x:v>
      </x:c>
      <x:c r="B182" s="7" t="s">
        <x:v>46</x:v>
      </x:c>
      <x:c r="C182" s="6">
        <x:v>111024.38999999997</x:v>
      </x:c>
      <x:c r="F182" s="6">
        <x:v>111024.38999999997</x:v>
      </x:c>
      <x:c r="G182" s="1">
        <x:f t="shared" si="30"/>
        <x:v>0</x:v>
      </x:c>
      <x:c r="J182" s="3">
        <x:v>62</x:v>
      </x:c>
      <x:c r="K182" s="3">
        <x:v>6.530138</x:v>
      </x:c>
      <x:c r="L182" s="2">
        <x:v>-0.47</x:v>
      </x:c>
      <x:c r="M182" s="1">
        <x:f t="shared" si="38"/>
        <x:v>146016.22838940713</x:v>
      </x:c>
      <x:c r="N182" s="1">
        <x:f t="shared" si="39"/>
        <x:v>1.2529171257970138</x:v>
      </x:c>
      <x:c r="O182" s="1">
        <x:f t="shared" si="40"/>
        <x:v>163205.85329999996</x:v>
      </x:c>
      <x:c r="P182" s="15">
        <x:f t="shared" si="41"/>
        <x:v>0</x:v>
      </x:c>
      <x:c r="Q182" s="15">
        <x:f t="shared" si="42"/>
        <x:v>0</x:v>
      </x:c>
      <x:c r="R182" s="15">
        <x:f t="shared" si="43"/>
        <x:v>163205.85329999996</x:v>
      </x:c>
      <x:c r="S182" s="15">
        <x:f t="shared" si="37"/>
        <x:v>0</x:v>
      </x:c>
    </x:row>
    <x:row r="183" spans="1:19" outlineLevel="2">
      <x:c r="A183" s="12" t="s">
        <x:v>112</x:v>
      </x:c>
      <x:c r="B183" s="7" t="s">
        <x:v>45</x:v>
      </x:c>
      <x:c r="C183" s="6">
        <x:v>48263.509999999995</x:v>
      </x:c>
      <x:c r="F183" s="6">
        <x:v>48263.509999999995</x:v>
      </x:c>
      <x:c r="G183" s="1">
        <x:f t="shared" si="30"/>
        <x:v>0</x:v>
      </x:c>
      <x:c r="J183" s="3">
        <x:v>62</x:v>
      </x:c>
      <x:c r="K183" s="3">
        <x:v>6.2063420000000002</x:v>
      </x:c>
      <x:c r="L183" s="2">
        <x:v>-0.47</x:v>
      </x:c>
      <x:c r="M183" s="1">
        <x:f t="shared" si="38"/>
        <x:v>63845.366501690034</x:v>
      </x:c>
      <x:c r="N183" s="1">
        <x:f t="shared" si="39"/>
        <x:v>1.2529171257970138</x:v>
      </x:c>
      <x:c r="O183" s="1">
        <x:f t="shared" si="40"/>
        <x:v>70947.359699999986</x:v>
      </x:c>
      <x:c r="P183" s="15">
        <x:f t="shared" si="41"/>
        <x:v>0</x:v>
      </x:c>
      <x:c r="Q183" s="15">
        <x:f t="shared" si="42"/>
        <x:v>0</x:v>
      </x:c>
      <x:c r="R183" s="15">
        <x:f t="shared" si="43"/>
        <x:v>70947.359699999986</x:v>
      </x:c>
      <x:c r="S183" s="15">
        <x:f t="shared" si="37"/>
        <x:v>0</x:v>
      </x:c>
    </x:row>
    <x:row r="184" spans="1:19" outlineLevel="2">
      <x:c r="A184" s="12" t="s">
        <x:v>112</x:v>
      </x:c>
      <x:c r="B184" s="7" t="s">
        <x:v>44</x:v>
      </x:c>
      <x:c r="C184" s="6">
        <x:v>92109.449999999983</x:v>
      </x:c>
      <x:c r="F184" s="6">
        <x:v>92109.449999999983</x:v>
      </x:c>
      <x:c r="G184" s="1">
        <x:f t="shared" si="30"/>
        <x:v>0</x:v>
      </x:c>
      <x:c r="J184" s="3">
        <x:v>62</x:v>
      </x:c>
      <x:c r="K184" s="3">
        <x:v>5.8937949999999999</x:v>
      </x:c>
      <x:c r="L184" s="2">
        <x:v>-0.47</x:v>
      </x:c>
      <x:c r="M184" s="1">
        <x:f t="shared" si="38"/>
        <x:v>122529.51896260897</x:v>
      </x:c>
      <x:c r="N184" s="1">
        <x:f t="shared" si="39"/>
        <x:v>1.2529171257970138</x:v>
      </x:c>
      <x:c r="O184" s="1">
        <x:f t="shared" si="40"/>
        <x:v>135400.89149999997</x:v>
      </x:c>
      <x:c r="P184" s="15">
        <x:f t="shared" si="41"/>
        <x:v>0</x:v>
      </x:c>
      <x:c r="Q184" s="15">
        <x:f t="shared" si="42"/>
        <x:v>0</x:v>
      </x:c>
      <x:c r="R184" s="15">
        <x:f t="shared" si="43"/>
        <x:v>135400.89149999997</x:v>
      </x:c>
      <x:c r="S184" s="15">
        <x:f t="shared" si="37"/>
        <x:v>0</x:v>
      </x:c>
    </x:row>
    <x:row r="185" spans="1:19" outlineLevel="2">
      <x:c r="A185" s="12" t="s">
        <x:v>112</x:v>
      </x:c>
      <x:c r="B185" s="7" t="s">
        <x:v>43</x:v>
      </x:c>
      <x:c r="C185" s="6">
        <x:v>54353.569999999992</x:v>
      </x:c>
      <x:c r="F185" s="6">
        <x:v>54353.569999999992</x:v>
      </x:c>
      <x:c r="G185" s="1">
        <x:f t="shared" si="30"/>
        <x:v>0</x:v>
      </x:c>
      <x:c r="J185" s="3">
        <x:v>62</x:v>
      </x:c>
      <x:c r="K185" s="3">
        <x:v>5.5924149999999999</x:v>
      </x:c>
      <x:c r="L185" s="2">
        <x:v>-0.47</x:v>
      </x:c>
      <x:c r="M185" s="1">
        <x:f t="shared" si="38"/>
        <x:v>72692.771308835814</x:v>
      </x:c>
      <x:c r="N185" s="1">
        <x:f t="shared" si="39"/>
        <x:v>1.2529171257970138</x:v>
      </x:c>
      <x:c r="O185" s="1">
        <x:f t="shared" si="40"/>
        <x:v>79899.747899999988</x:v>
      </x:c>
      <x:c r="P185" s="15">
        <x:f t="shared" si="41"/>
        <x:v>0</x:v>
      </x:c>
      <x:c r="Q185" s="15">
        <x:f t="shared" si="42"/>
        <x:v>0</x:v>
      </x:c>
      <x:c r="R185" s="15">
        <x:f t="shared" si="43"/>
        <x:v>79899.747899999988</x:v>
      </x:c>
      <x:c r="S185" s="15">
        <x:f t="shared" si="37"/>
        <x:v>0</x:v>
      </x:c>
    </x:row>
    <x:row r="186" spans="1:19" outlineLevel="2">
      <x:c r="A186" s="12" t="s">
        <x:v>112</x:v>
      </x:c>
      <x:c r="B186" s="7" t="s">
        <x:v>42</x:v>
      </x:c>
      <x:c r="C186" s="6">
        <x:v>71977.69</x:v>
      </x:c>
      <x:c r="F186" s="6">
        <x:v>71977.69</x:v>
      </x:c>
      <x:c r="G186" s="1">
        <x:f t="shared" si="30"/>
        <x:v>0</x:v>
      </x:c>
      <x:c r="J186" s="3">
        <x:v>62</x:v>
      </x:c>
      <x:c r="K186" s="3">
        <x:v>5.3018689999999999</x:v>
      </x:c>
      <x:c r="L186" s="2">
        <x:v>-0.47</x:v>
      </x:c>
      <x:c r="M186" s="1">
        <x:f t="shared" si="38"/>
        <x:v>96759.205324922004</x:v>
      </x:c>
      <x:c r="N186" s="1">
        <x:f t="shared" si="39"/>
        <x:v>1.2529171257970138</x:v>
      </x:c>
      <x:c r="O186" s="1">
        <x:f t="shared" si="40"/>
        <x:v>105807.2043</x:v>
      </x:c>
      <x:c r="P186" s="15">
        <x:f t="shared" si="41"/>
        <x:v>0</x:v>
      </x:c>
      <x:c r="Q186" s="15">
        <x:f t="shared" si="42"/>
        <x:v>0</x:v>
      </x:c>
      <x:c r="R186" s="15">
        <x:f t="shared" si="43"/>
        <x:v>105807.2043</x:v>
      </x:c>
      <x:c r="S186" s="15">
        <x:f t="shared" si="37"/>
        <x:v>0</x:v>
      </x:c>
    </x:row>
    <x:row r="187" spans="1:19" outlineLevel="2">
      <x:c r="A187" s="12" t="s">
        <x:v>112</x:v>
      </x:c>
      <x:c r="B187" s="7" t="s">
        <x:v>41</x:v>
      </x:c>
      <x:c r="C187" s="6">
        <x:v>29571.560000000005</x:v>
      </x:c>
      <x:c r="F187" s="6">
        <x:v>29571.560000000005</x:v>
      </x:c>
      <x:c r="G187" s="1">
        <x:f t="shared" si="30"/>
        <x:v>0</x:v>
      </x:c>
      <x:c r="J187" s="3">
        <x:v>62</x:v>
      </x:c>
      <x:c r="K187" s="3">
        <x:v>5.0155010000000004</x:v>
      </x:c>
      <x:c r="L187" s="2">
        <x:v>-0.47</x:v>
      </x:c>
      <x:c r="M187" s="1">
        <x:f t="shared" si="38"/>
        <x:v>39953.664208632377</x:v>
      </x:c>
      <x:c r="N187" s="1">
        <x:f t="shared" si="39"/>
        <x:v>1.2529171257970138</x:v>
      </x:c>
      <x:c r="O187" s="1">
        <x:f t="shared" si="40"/>
        <x:v>43470.193200000009</x:v>
      </x:c>
      <x:c r="P187" s="15">
        <x:f t="shared" si="41"/>
        <x:v>0</x:v>
      </x:c>
      <x:c r="Q187" s="15">
        <x:f t="shared" si="42"/>
        <x:v>0</x:v>
      </x:c>
      <x:c r="R187" s="15">
        <x:f t="shared" si="43"/>
        <x:v>43470.193200000009</x:v>
      </x:c>
      <x:c r="S187" s="15">
        <x:f t="shared" si="37"/>
        <x:v>0</x:v>
      </x:c>
    </x:row>
    <x:row r="188" spans="1:19" outlineLevel="2">
      <x:c r="A188" s="12" t="s">
        <x:v>112</x:v>
      </x:c>
      <x:c r="B188" s="7" t="s">
        <x:v>40</x:v>
      </x:c>
      <x:c r="C188" s="6">
        <x:v>63206.73</x:v>
      </x:c>
      <x:c r="F188" s="6">
        <x:v>63206.73</x:v>
      </x:c>
      <x:c r="G188" s="1">
        <x:f t="shared" si="30"/>
        <x:v>0</x:v>
      </x:c>
      <x:c r="J188" s="3">
        <x:v>62</x:v>
      </x:c>
      <x:c r="K188" s="3">
        <x:v>4.7384139999999997</x:v>
      </x:c>
      <x:c r="L188" s="2">
        <x:v>-0.47</x:v>
      </x:c>
      <x:c r="M188" s="1">
        <x:f t="shared" si="38"/>
        <x:v>85812.852908717046</x:v>
      </x:c>
      <x:c r="N188" s="1">
        <x:f t="shared" si="39"/>
        <x:v>1.2529171257970138</x:v>
      </x:c>
      <x:c r="O188" s="1">
        <x:f t="shared" si="40"/>
        <x:v>92913.893100000001</x:v>
      </x:c>
      <x:c r="P188" s="15">
        <x:f t="shared" si="41"/>
        <x:v>0</x:v>
      </x:c>
      <x:c r="Q188" s="15">
        <x:f t="shared" si="42"/>
        <x:v>0</x:v>
      </x:c>
      <x:c r="R188" s="15">
        <x:f t="shared" si="43"/>
        <x:v>92913.893100000001</x:v>
      </x:c>
      <x:c r="S188" s="15">
        <x:f t="shared" si="37"/>
        <x:v>0</x:v>
      </x:c>
    </x:row>
    <x:row r="189" spans="1:19" outlineLevel="2">
      <x:c r="A189" s="12" t="s">
        <x:v>112</x:v>
      </x:c>
      <x:c r="B189" s="7" t="s">
        <x:v>39</x:v>
      </x:c>
      <x:c r="C189" s="6">
        <x:v>67347.349999999991</x:v>
      </x:c>
      <x:c r="F189" s="6">
        <x:v>67347.349999999991</x:v>
      </x:c>
      <x:c r="G189" s="1">
        <x:f t="shared" si="30"/>
        <x:v>0</x:v>
      </x:c>
      <x:c r="J189" s="3">
        <x:v>62</x:v>
      </x:c>
      <x:c r="K189" s="3">
        <x:v>4.4647490000000003</x:v>
      </x:c>
      <x:c r="L189" s="2">
        <x:v>-0.47</x:v>
      </x:c>
      <x:c r="M189" s="1">
        <x:f t="shared" si="38"/>
        <x:v>91871.364984826272</x:v>
      </x:c>
      <x:c r="N189" s="1">
        <x:f t="shared" si="39"/>
        <x:v>1.2529171257970138</x:v>
      </x:c>
      <x:c r="O189" s="1">
        <x:f t="shared" si="40"/>
        <x:v>99000.604499999987</x:v>
      </x:c>
      <x:c r="P189" s="15">
        <x:f t="shared" si="41"/>
        <x:v>0</x:v>
      </x:c>
      <x:c r="Q189" s="15">
        <x:f t="shared" si="42"/>
        <x:v>0</x:v>
      </x:c>
      <x:c r="R189" s="15">
        <x:f t="shared" si="43"/>
        <x:v>99000.604499999987</x:v>
      </x:c>
      <x:c r="S189" s="15">
        <x:f t="shared" si="37"/>
        <x:v>0</x:v>
      </x:c>
    </x:row>
    <x:row r="190" spans="1:19" outlineLevel="2">
      <x:c r="A190" s="12" t="s">
        <x:v>112</x:v>
      </x:c>
      <x:c r="B190" s="7" t="s">
        <x:v>38</x:v>
      </x:c>
      <x:c r="C190" s="6">
        <x:v>64269.35</x:v>
      </x:c>
      <x:c r="F190" s="6">
        <x:v>64269.35</x:v>
      </x:c>
      <x:c r="G190" s="1">
        <x:f t="shared" si="30"/>
        <x:v>0</x:v>
      </x:c>
      <x:c r="J190" s="3">
        <x:v>62</x:v>
      </x:c>
      <x:c r="K190" s="3">
        <x:v>4.194693</x:v>
      </x:c>
      <x:c r="L190" s="2">
        <x:v>-0.47</x:v>
      </x:c>
      <x:c r="M190" s="1">
        <x:f t="shared" si="38"/>
        <x:v>88084.047998991315</x:v>
      </x:c>
      <x:c r="N190" s="1">
        <x:f t="shared" si="39"/>
        <x:v>1.2529171257970138</x:v>
      </x:c>
      <x:c r="O190" s="1">
        <x:f t="shared" si="40"/>
        <x:v>94475.944499999998</x:v>
      </x:c>
      <x:c r="P190" s="15">
        <x:f t="shared" si="41"/>
        <x:v>0</x:v>
      </x:c>
      <x:c r="Q190" s="15">
        <x:f t="shared" si="42"/>
        <x:v>0</x:v>
      </x:c>
      <x:c r="R190" s="15">
        <x:f t="shared" si="43"/>
        <x:v>94475.944499999998</x:v>
      </x:c>
      <x:c r="S190" s="15">
        <x:f t="shared" si="37"/>
        <x:v>0</x:v>
      </x:c>
    </x:row>
    <x:row r="191" spans="1:19" outlineLevel="2">
      <x:c r="A191" s="12" t="s">
        <x:v>112</x:v>
      </x:c>
      <x:c r="B191" s="7" t="s">
        <x:v>37</x:v>
      </x:c>
      <x:c r="C191" s="6">
        <x:v>337.47</x:v>
      </x:c>
      <x:c r="F191" s="6">
        <x:v>337.47</x:v>
      </x:c>
      <x:c r="G191" s="1">
        <x:f t="shared" si="30"/>
        <x:v>0</x:v>
      </x:c>
      <x:c r="J191" s="3">
        <x:v>62</x:v>
      </x:c>
      <x:c r="K191" s="3">
        <x:v>3.9333290000000001</x:v>
      </x:c>
      <x:c r="L191" s="2">
        <x:v>-0.47</x:v>
      </x:c>
      <x:c r="M191" s="1">
        <x:f t="shared" si="38"/>
        <x:v>464.6091356400629</x:v>
      </x:c>
      <x:c r="N191" s="1">
        <x:f t="shared" si="39"/>
        <x:v>1.2529171257970138</x:v>
      </x:c>
      <x:c r="O191" s="1">
        <x:f t="shared" si="40"/>
        <x:v>496.08090000000004</x:v>
      </x:c>
      <x:c r="P191" s="15">
        <x:f t="shared" si="41"/>
        <x:v>0</x:v>
      </x:c>
      <x:c r="Q191" s="15">
        <x:f t="shared" si="42"/>
        <x:v>0</x:v>
      </x:c>
      <x:c r="R191" s="15">
        <x:f t="shared" si="43"/>
        <x:v>496.08090000000004</x:v>
      </x:c>
      <x:c r="S191" s="15">
        <x:f t="shared" si="37"/>
        <x:v>0</x:v>
      </x:c>
    </x:row>
    <x:row r="192" spans="1:19" outlineLevel="2">
      <x:c r="A192" s="12" t="s">
        <x:v>112</x:v>
      </x:c>
      <x:c r="B192" s="7" t="s">
        <x:v>36</x:v>
      </x:c>
      <x:c r="C192" s="6">
        <x:v>6121.29</x:v>
      </x:c>
      <x:c r="F192" s="6">
        <x:v>6121.29</x:v>
      </x:c>
      <x:c r="G192" s="1">
        <x:f t="shared" si="30"/>
        <x:v>0</x:v>
      </x:c>
      <x:c r="J192" s="3">
        <x:v>62</x:v>
      </x:c>
      <x:c r="K192" s="3">
        <x:v>3.667583</x:v>
      </x:c>
      <x:c r="L192" s="2">
        <x:v>-0.47</x:v>
      </x:c>
      <x:c r="M192" s="1">
        <x:f t="shared" si="38"/>
        <x:v>8466.0060009864046</x:v>
      </x:c>
      <x:c r="N192" s="1">
        <x:f t="shared" si="39"/>
        <x:v>1.2529171257970138</x:v>
      </x:c>
      <x:c r="O192" s="1">
        <x:f t="shared" si="40"/>
        <x:v>8998.2963</x:v>
      </x:c>
      <x:c r="P192" s="15">
        <x:f t="shared" si="41"/>
        <x:v>0</x:v>
      </x:c>
      <x:c r="Q192" s="15">
        <x:f t="shared" si="42"/>
        <x:v>0</x:v>
      </x:c>
      <x:c r="R192" s="15">
        <x:f t="shared" si="43"/>
        <x:v>8998.2963</x:v>
      </x:c>
      <x:c r="S192" s="15">
        <x:f t="shared" si="37"/>
        <x:v>0</x:v>
      </x:c>
    </x:row>
    <x:row r="193" spans="1:19" outlineLevel="2">
      <x:c r="A193" s="12" t="s">
        <x:v>112</x:v>
      </x:c>
      <x:c r="B193" s="7" t="s">
        <x:v>35</x:v>
      </x:c>
      <x:c r="C193" s="6">
        <x:v>2360.73</x:v>
      </x:c>
      <x:c r="F193" s="6">
        <x:v>2360.73</x:v>
      </x:c>
      <x:c r="G193" s="1">
        <x:f t="shared" si="30"/>
        <x:v>0</x:v>
      </x:c>
      <x:c r="J193" s="3">
        <x:v>62</x:v>
      </x:c>
      <x:c r="K193" s="3">
        <x:v>3.4098799999999998</x:v>
      </x:c>
      <x:c r="L193" s="2">
        <x:v>-0.47</x:v>
      </x:c>
      <x:c r="M193" s="1">
        <x:f t="shared" si="38"/>
        <x:v>3279.4147961576132</x:v>
      </x:c>
      <x:c r="N193" s="1">
        <x:f t="shared" si="39"/>
        <x:v>1.2529171257970138</x:v>
      </x:c>
      <x:c r="O193" s="1">
        <x:f t="shared" si="40"/>
        <x:v>3470.2730999999999</x:v>
      </x:c>
      <x:c r="P193" s="15">
        <x:f t="shared" si="41"/>
        <x:v>0</x:v>
      </x:c>
      <x:c r="Q193" s="15">
        <x:f t="shared" si="42"/>
        <x:v>0</x:v>
      </x:c>
      <x:c r="R193" s="15">
        <x:f t="shared" si="43"/>
        <x:v>3470.2730999999999</x:v>
      </x:c>
      <x:c r="S193" s="15">
        <x:f t="shared" si="37"/>
        <x:v>0</x:v>
      </x:c>
    </x:row>
    <x:row r="194" spans="1:19" outlineLevel="2">
      <x:c r="A194" s="12" t="s">
        <x:v>112</x:v>
      </x:c>
      <x:c r="B194" s="7" t="s">
        <x:v>34</x:v>
      </x:c>
      <x:c r="C194" s="6">
        <x:v>1409.68</x:v>
      </x:c>
      <x:c r="F194" s="6">
        <x:v>1409.68</x:v>
      </x:c>
      <x:c r="G194" s="1">
        <x:f t="shared" si="30"/>
        <x:v>0</x:v>
      </x:c>
      <x:c r="J194" s="3">
        <x:v>62</x:v>
      </x:c>
      <x:c r="K194" s="3">
        <x:v>3.1556679999999999</x:v>
      </x:c>
      <x:c r="L194" s="4">
        <x:v>-0.47</x:v>
      </x:c>
      <x:c r="M194" s="3">
        <x:f t="shared" si="38"/>
        <x:v>1966.7575252036647</x:v>
      </x:c>
      <x:c r="N194" s="3">
        <x:f t="shared" si="39"/>
        <x:v>1.2529171257970138</x:v>
      </x:c>
      <x:c r="O194" s="3">
        <x:f t="shared" si="40"/>
        <x:v>2072.2296000000001</x:v>
      </x:c>
      <x:c r="P194" s="16">
        <x:f t="shared" si="41"/>
        <x:v>0</x:v>
      </x:c>
      <x:c r="Q194" s="16">
        <x:f t="shared" si="42"/>
        <x:v>0</x:v>
      </x:c>
      <x:c r="R194" s="16">
        <x:f t="shared" si="43"/>
        <x:v>2072.2296000000001</x:v>
      </x:c>
      <x:c r="S194" s="16">
        <x:f t="shared" si="37"/>
        <x:v>0</x:v>
      </x:c>
    </x:row>
    <x:row r="195" spans="1:19" outlineLevel="2">
      <x:c r="A195" s="12" t="s">
        <x:v>112</x:v>
      </x:c>
      <x:c r="B195" s="7" t="s">
        <x:v>33</x:v>
      </x:c>
      <x:c r="C195" s="6">
        <x:v>3176.02</x:v>
      </x:c>
      <x:c r="F195" s="6">
        <x:v>3176.02</x:v>
      </x:c>
      <x:c r="G195" s="1">
        <x:f t="shared" ref="G195:G258" si="44">+C195-D195-E195-F195</x:f>
        <x:v>0</x:v>
      </x:c>
      <x:c r="J195" s="3">
        <x:v>62</x:v>
      </x:c>
      <x:c r="K195" s="3">
        <x:v>2.9017559999999998</x:v>
      </x:c>
      <x:c r="L195" s="4">
        <x:v>-0.47</x:v>
      </x:c>
      <x:c r="M195" s="3">
        <x:f t="shared" si="38"/>
        <x:v>4450.2401809040903</x:v>
      </x:c>
      <x:c r="N195" s="3">
        <x:f t="shared" si="39"/>
        <x:v>1.2529171257970138</x:v>
      </x:c>
      <x:c r="O195" s="3">
        <x:f t="shared" si="40"/>
        <x:v>4668.7493999999997</x:v>
      </x:c>
      <x:c r="P195" s="16">
        <x:f t="shared" si="41"/>
        <x:v>0</x:v>
      </x:c>
      <x:c r="Q195" s="16">
        <x:f t="shared" si="42"/>
        <x:v>0</x:v>
      </x:c>
      <x:c r="R195" s="16">
        <x:f t="shared" si="43"/>
        <x:v>4668.7493999999997</x:v>
      </x:c>
      <x:c r="S195" s="16">
        <x:f t="shared" si="37"/>
        <x:v>0</x:v>
      </x:c>
    </x:row>
    <x:row r="196" spans="1:19" outlineLevel="2">
      <x:c r="A196" s="12" t="s">
        <x:v>112</x:v>
      </x:c>
      <x:c r="B196" s="7" t="s">
        <x:v>32</x:v>
      </x:c>
      <x:c r="C196" s="6">
        <x:v>871</x:v>
      </x:c>
      <x:c r="F196" s="6">
        <x:v>871</x:v>
      </x:c>
      <x:c r="G196" s="1">
        <x:f t="shared" si="44"/>
        <x:v>0</x:v>
      </x:c>
      <x:c r="J196" s="3">
        <x:v>62</x:v>
      </x:c>
      <x:c r="K196" s="3">
        <x:v>2.6601530000000002</x:v>
      </x:c>
      <x:c r="L196" s="4">
        <x:v>-0.47</x:v>
      </x:c>
      <x:c r="M196" s="3">
        <x:f t="shared" si="38"/>
        <x:v>1225.4348371514516</x:v>
      </x:c>
      <x:c r="N196" s="3">
        <x:f t="shared" si="39"/>
        <x:v>1.2529171257970138</x:v>
      </x:c>
      <x:c r="O196" s="3">
        <x:f t="shared" si="40"/>
        <x:v>1280.3699999999999</x:v>
      </x:c>
      <x:c r="P196" s="16">
        <x:f t="shared" si="41"/>
        <x:v>0</x:v>
      </x:c>
      <x:c r="Q196" s="16">
        <x:f t="shared" si="42"/>
        <x:v>0</x:v>
      </x:c>
      <x:c r="R196" s="16">
        <x:f t="shared" si="43"/>
        <x:v>1280.3699999999999</x:v>
      </x:c>
      <x:c r="S196" s="16">
        <x:f t="shared" si="37"/>
        <x:v>0</x:v>
      </x:c>
    </x:row>
    <x:row r="197" spans="1:19" outlineLevel="2">
      <x:c r="A197" s="12" t="s">
        <x:v>112</x:v>
      </x:c>
      <x:c r="B197" s="7" t="s">
        <x:v>31</x:v>
      </x:c>
      <x:c r="C197" s="6">
        <x:v>296971.03999999998</x:v>
      </x:c>
      <x:c r="F197" s="6">
        <x:v>296971.03999999998</x:v>
      </x:c>
      <x:c r="G197" s="1">
        <x:f t="shared" si="44"/>
        <x:v>0</x:v>
      </x:c>
      <x:c r="J197" s="3">
        <x:v>62</x:v>
      </x:c>
      <x:c r="K197" s="3">
        <x:v>2.4146939999999999</x:v>
      </x:c>
      <x:c r="L197" s="4">
        <x:v>-0.47</x:v>
      </x:c>
      <x:c r="M197" s="3">
        <x:f t="shared" si="38"/>
        <x:v>419545.35691227758</x:v>
      </x:c>
      <x:c r="N197" s="3">
        <x:f t="shared" si="39"/>
        <x:v>1.2529171257970138</x:v>
      </x:c>
      <x:c r="O197" s="3">
        <x:f t="shared" si="40"/>
        <x:v>436547.42879999994</x:v>
      </x:c>
      <x:c r="P197" s="16">
        <x:f t="shared" si="41"/>
        <x:v>0</x:v>
      </x:c>
      <x:c r="Q197" s="16">
        <x:f t="shared" si="42"/>
        <x:v>0</x:v>
      </x:c>
      <x:c r="R197" s="16">
        <x:f t="shared" si="43"/>
        <x:v>436547.42879999994</x:v>
      </x:c>
      <x:c r="S197" s="16">
        <x:f t="shared" si="37"/>
        <x:v>0</x:v>
      </x:c>
    </x:row>
    <x:row r="198" spans="1:19" outlineLevel="2">
      <x:c r="A198" s="12" t="s">
        <x:v>112</x:v>
      </x:c>
      <x:c r="B198" s="7" t="s">
        <x:v>29</x:v>
      </x:c>
      <x:c r="C198" s="6">
        <x:v>7588.93</x:v>
      </x:c>
      <x:c r="F198" s="6">
        <x:v>7588.93</x:v>
      </x:c>
      <x:c r="G198" s="1">
        <x:f t="shared" si="44"/>
        <x:v>0</x:v>
      </x:c>
      <x:c r="J198" s="3">
        <x:v>62</x:v>
      </x:c>
      <x:c r="K198" s="3">
        <x:v>1.954993</x:v>
      </x:c>
      <x:c r="L198" s="4">
        <x:v>-0.47</x:v>
      </x:c>
      <x:c r="M198" s="3">
        <x:f t="shared" si="38"/>
        <x:v>10803.96309370306</x:v>
      </x:c>
      <x:c r="N198" s="3">
        <x:f t="shared" si="39"/>
        <x:v>1.2529171257970138</x:v>
      </x:c>
      <x:c r="O198" s="3">
        <x:f t="shared" si="40"/>
        <x:v>11155.7271</x:v>
      </x:c>
      <x:c r="P198" s="16">
        <x:f t="shared" si="41"/>
        <x:v>0</x:v>
      </x:c>
      <x:c r="Q198" s="16">
        <x:f t="shared" si="42"/>
        <x:v>0</x:v>
      </x:c>
      <x:c r="R198" s="16">
        <x:f t="shared" si="43"/>
        <x:v>11155.7271</x:v>
      </x:c>
      <x:c r="S198" s="16">
        <x:f t="shared" si="37"/>
        <x:v>0</x:v>
      </x:c>
    </x:row>
    <x:row r="199" spans="1:19" outlineLevel="2">
      <x:c r="A199" s="12" t="s">
        <x:v>112</x:v>
      </x:c>
      <x:c r="B199" s="7" t="s">
        <x:v>28</x:v>
      </x:c>
      <x:c r="C199" s="6">
        <x:v>66.88</x:v>
      </x:c>
      <x:c r="F199" s="6">
        <x:v>66.88</x:v>
      </x:c>
      <x:c r="G199" s="1">
        <x:f t="shared" si="44"/>
        <x:v>0</x:v>
      </x:c>
      <x:c r="J199" s="3">
        <x:v>62</x:v>
      </x:c>
      <x:c r="K199" s="3">
        <x:v>1.726099</x:v>
      </x:c>
      <x:c r="L199" s="4">
        <x:v>-0.47</x:v>
      </x:c>
      <x:c r="M199" s="3">
        <x:f t="shared" si="38"/>
        <x:v>95.5765192476387</x:v>
      </x:c>
      <x:c r="N199" s="3">
        <x:f t="shared" si="39"/>
        <x:v>1.2529171257970138</x:v>
      </x:c>
      <x:c r="O199" s="3">
        <x:f t="shared" si="40"/>
        <x:v>98.313599999999994</x:v>
      </x:c>
      <x:c r="P199" s="16">
        <x:f t="shared" si="41"/>
        <x:v>0</x:v>
      </x:c>
      <x:c r="Q199" s="16">
        <x:f t="shared" si="42"/>
        <x:v>0</x:v>
      </x:c>
      <x:c r="R199" s="16">
        <x:f t="shared" si="43"/>
        <x:v>98.313599999999994</x:v>
      </x:c>
      <x:c r="S199" s="16">
        <x:f t="shared" si="37"/>
        <x:v>0</x:v>
      </x:c>
    </x:row>
    <x:row r="200" spans="1:19" outlineLevel="2">
      <x:c r="A200" s="12" t="s">
        <x:v>112</x:v>
      </x:c>
      <x:c r="B200" s="7" t="s">
        <x:v>23</x:v>
      </x:c>
      <x:c r="C200" s="6">
        <x:v>278.83</x:v>
      </x:c>
      <x:c r="F200" s="6">
        <x:v>278.83</x:v>
      </x:c>
      <x:c r="G200" s="1">
        <x:f t="shared" si="44"/>
        <x:v>0</x:v>
      </x:c>
      <x:c r="J200" s="3">
        <x:v>62</x:v>
      </x:c>
      <x:c r="K200" s="3">
        <x:v>0.50932200000000005</x:v>
      </x:c>
      <x:c r="L200" s="4">
        <x:v>-0.47</x:v>
      </x:c>
      <x:c r="M200" s="3">
        <x:f t="shared" si="38"/>
        <x:v>406.51298786625483</x:v>
      </x:c>
      <x:c r="N200" s="3">
        <x:f t="shared" si="39"/>
        <x:v>1.2529171257970138</x:v>
      </x:c>
      <x:c r="O200" s="3">
        <x:f t="shared" si="40"/>
        <x:v>409.88009999999997</x:v>
      </x:c>
      <x:c r="P200" s="16">
        <x:f t="shared" si="41"/>
        <x:v>0</x:v>
      </x:c>
      <x:c r="Q200" s="16">
        <x:f t="shared" si="42"/>
        <x:v>0</x:v>
      </x:c>
      <x:c r="R200" s="16">
        <x:f t="shared" si="43"/>
        <x:v>409.88009999999997</x:v>
      </x:c>
      <x:c r="S200" s="16">
        <x:f t="shared" si="37"/>
        <x:v>0</x:v>
      </x:c>
    </x:row>
    <x:row r="201" spans="1:19" outlineLevel="2">
      <x:c r="A201" s="12" t="s">
        <x:v>112</x:v>
      </x:c>
      <x:c r="B201" s="7" t="s">
        <x:v>22</x:v>
      </x:c>
      <x:c r="C201" s="6">
        <x:v>3344.8699999999994</x:v>
      </x:c>
      <x:c r="F201" s="6">
        <x:v>3344.8699999999994</x:v>
      </x:c>
      <x:c r="G201" s="1">
        <x:f t="shared" si="44"/>
        <x:v>0</x:v>
      </x:c>
      <x:c r="J201" s="3">
        <x:v>62</x:v>
      </x:c>
      <x:c r="K201" s="3">
        <x:v>0.179535</x:v>
      </x:c>
      <x:c r="L201" s="4">
        <x:v>-0.47</x:v>
      </x:c>
      <x:c r="M201" s="3">
        <x:f t="shared" si="38"/>
        <x:v>4902.7207352240075</x:v>
      </x:c>
      <x:c r="N201" s="3">
        <x:f t="shared" si="39"/>
        <x:v>1.2529171257970138</x:v>
      </x:c>
      <x:c r="O201" s="3">
        <x:f t="shared" si="40"/>
        <x:v>4916.9588999999987</x:v>
      </x:c>
      <x:c r="P201" s="16">
        <x:f t="shared" si="41"/>
        <x:v>0</x:v>
      </x:c>
      <x:c r="Q201" s="16">
        <x:f t="shared" si="42"/>
        <x:v>0</x:v>
      </x:c>
      <x:c r="R201" s="16">
        <x:f t="shared" si="43"/>
        <x:v>4916.9588999999987</x:v>
      </x:c>
      <x:c r="S201" s="16">
        <x:f t="shared" si="37"/>
        <x:v>0</x:v>
      </x:c>
    </x:row>
    <x:row r="202" spans="1:19" outlineLevel="2">
      <x:c r="A202" s="12" t="s">
        <x:v>112</x:v>
      </x:c>
      <x:c r="B202" s="7" t="s">
        <x:v>21</x:v>
      </x:c>
      <x:c r="C202" s="6">
        <x:v>18579.57</x:v>
      </x:c>
      <x:c r="F202" s="6">
        <x:v>18579.57</x:v>
      </x:c>
      <x:c r="G202" s="1">
        <x:f t="shared" si="44"/>
        <x:v>0</x:v>
      </x:c>
      <x:c r="J202" s="3">
        <x:v>62</x:v>
      </x:c>
      <x:c r="K202" s="3">
        <x:v>0</x:v>
      </x:c>
      <x:c r="L202" s="4">
        <x:v>-0.47</x:v>
      </x:c>
      <x:c r="M202" s="3">
        <x:f t="shared" si="38"/>
        <x:v>27311.9679</x:v>
      </x:c>
      <x:c r="N202" s="3">
        <x:f t="shared" si="39"/>
        <x:v>1.2529171257970138</x:v>
      </x:c>
      <x:c r="O202" s="3">
        <x:f t="shared" si="40"/>
        <x:v>27311.9679</x:v>
      </x:c>
      <x:c r="P202" s="16">
        <x:f t="shared" si="41"/>
        <x:v>0</x:v>
      </x:c>
      <x:c r="Q202" s="16">
        <x:f t="shared" si="42"/>
        <x:v>0</x:v>
      </x:c>
      <x:c r="R202" s="16">
        <x:f t="shared" si="43"/>
        <x:v>27311.9679</x:v>
      </x:c>
      <x:c r="S202" s="16">
        <x:f t="shared" si="37"/>
        <x:v>0</x:v>
      </x:c>
    </x:row>
    <x:row r="203" spans="1:19" outlineLevel="2">
      <x:c r="A203" s="12" t="s">
        <x:v>112</x:v>
      </x:c>
      <x:c r="B203" s="7" t="s">
        <x:v>20</x:v>
      </x:c>
      <x:c r="C203" s="6">
        <x:v>119806.21999999997</x:v>
      </x:c>
      <x:c r="F203" s="6">
        <x:v>119806.21999999997</x:v>
      </x:c>
      <x:c r="G203" s="1">
        <x:f t="shared" si="44"/>
        <x:v>0</x:v>
      </x:c>
      <x:c r="J203" s="3">
        <x:v>62</x:v>
      </x:c>
      <x:c r="K203" s="3">
        <x:v>0</x:v>
      </x:c>
      <x:c r="L203" s="4">
        <x:v>-0.47</x:v>
      </x:c>
      <x:c r="M203" s="3">
        <x:f t="shared" si="38"/>
        <x:v>176115.14339999994</x:v>
      </x:c>
      <x:c r="N203" s="3">
        <x:f t="shared" si="39"/>
        <x:v>1.2529171257970138</x:v>
      </x:c>
      <x:c r="O203" s="3">
        <x:f t="shared" si="40"/>
        <x:v>176115.14339999994</x:v>
      </x:c>
      <x:c r="P203" s="16">
        <x:f t="shared" si="41"/>
        <x:v>0</x:v>
      </x:c>
      <x:c r="Q203" s="16">
        <x:f t="shared" si="42"/>
        <x:v>0</x:v>
      </x:c>
      <x:c r="R203" s="16">
        <x:f t="shared" si="43"/>
        <x:v>176115.14339999994</x:v>
      </x:c>
      <x:c r="S203" s="16">
        <x:f t="shared" si="37"/>
        <x:v>0</x:v>
      </x:c>
    </x:row>
    <x:row r="204" spans="1:19" outlineLevel="2">
      <x:c r="A204" s="12" t="s">
        <x:v>112</x:v>
      </x:c>
      <x:c r="B204" s="7" t="s">
        <x:v>19</x:v>
      </x:c>
      <x:c r="C204" s="6">
        <x:v>4727.08</x:v>
      </x:c>
      <x:c r="F204" s="6">
        <x:v>4727.08</x:v>
      </x:c>
      <x:c r="G204" s="1">
        <x:f t="shared" si="44"/>
        <x:v>0</x:v>
      </x:c>
      <x:c r="J204" s="3">
        <x:v>62</x:v>
      </x:c>
      <x:c r="K204" s="3">
        <x:v>0</x:v>
      </x:c>
      <x:c r="L204" s="4">
        <x:v>-0.47</x:v>
      </x:c>
      <x:c r="M204" s="3">
        <x:f t="shared" si="38"/>
        <x:v>6948.8076000000001</x:v>
      </x:c>
      <x:c r="N204" s="3">
        <x:f t="shared" si="39"/>
        <x:v>1.2529171257970138</x:v>
      </x:c>
      <x:c r="O204" s="3">
        <x:f t="shared" si="40"/>
        <x:v>6948.8076000000001</x:v>
      </x:c>
      <x:c r="P204" s="16">
        <x:f t="shared" si="41"/>
        <x:v>0</x:v>
      </x:c>
      <x:c r="Q204" s="16">
        <x:f t="shared" si="42"/>
        <x:v>0</x:v>
      </x:c>
      <x:c r="R204" s="16">
        <x:f t="shared" si="43"/>
        <x:v>6948.8076000000001</x:v>
      </x:c>
      <x:c r="S204" s="16">
        <x:f t="shared" si="37"/>
        <x:v>0</x:v>
      </x:c>
    </x:row>
    <x:row r="205" spans="1:19" outlineLevel="2">
      <x:c r="A205" s="12" t="s">
        <x:v>112</x:v>
      </x:c>
      <x:c r="B205" s="7" t="s">
        <x:v>17</x:v>
      </x:c>
      <x:c r="C205" s="6">
        <x:v>14949.27</x:v>
      </x:c>
      <x:c r="F205" s="6">
        <x:v>14949.27</x:v>
      </x:c>
      <x:c r="G205" s="1">
        <x:f t="shared" si="44"/>
        <x:v>0</x:v>
      </x:c>
      <x:c r="J205" s="3">
        <x:v>62</x:v>
      </x:c>
      <x:c r="K205" s="3">
        <x:v>0</x:v>
      </x:c>
      <x:c r="L205" s="4">
        <x:v>-0.47</x:v>
      </x:c>
      <x:c r="M205" s="3">
        <x:f t="shared" si="38"/>
        <x:v>21975.426899999999</x:v>
      </x:c>
      <x:c r="N205" s="3">
        <x:f t="shared" si="39"/>
        <x:v>1.2529171257970138</x:v>
      </x:c>
      <x:c r="O205" s="3">
        <x:f t="shared" si="40"/>
        <x:v>21975.426899999999</x:v>
      </x:c>
      <x:c r="P205" s="16">
        <x:f t="shared" si="41"/>
        <x:v>0</x:v>
      </x:c>
      <x:c r="Q205" s="16">
        <x:f t="shared" si="42"/>
        <x:v>0</x:v>
      </x:c>
      <x:c r="R205" s="16">
        <x:f t="shared" si="43"/>
        <x:v>21975.426899999999</x:v>
      </x:c>
      <x:c r="S205" s="16">
        <x:f t="shared" si="37"/>
        <x:v>0</x:v>
      </x:c>
    </x:row>
    <x:row r="206" spans="1:19" outlineLevel="2">
      <x:c r="A206" s="12" t="s">
        <x:v>112</x:v>
      </x:c>
      <x:c r="B206" s="7" t="s">
        <x:v>16</x:v>
      </x:c>
      <x:c r="C206" s="6">
        <x:v>3131.45</x:v>
      </x:c>
      <x:c r="F206" s="6">
        <x:v>3131.45</x:v>
      </x:c>
      <x:c r="G206" s="1">
        <x:f t="shared" si="44"/>
        <x:v>0</x:v>
      </x:c>
      <x:c r="J206" s="3">
        <x:v>62</x:v>
      </x:c>
      <x:c r="K206" s="3">
        <x:v>0</x:v>
      </x:c>
      <x:c r="L206" s="4">
        <x:v>-0.47</x:v>
      </x:c>
      <x:c r="M206" s="3">
        <x:f t="shared" si="38"/>
        <x:v>4603.2314999999999</x:v>
      </x:c>
      <x:c r="N206" s="3">
        <x:f t="shared" si="39"/>
        <x:v>1.2529171257970138</x:v>
      </x:c>
      <x:c r="O206" s="3">
        <x:f t="shared" si="40"/>
        <x:v>4603.2314999999999</x:v>
      </x:c>
      <x:c r="P206" s="16">
        <x:f t="shared" si="41"/>
        <x:v>0</x:v>
      </x:c>
      <x:c r="Q206" s="16">
        <x:f t="shared" si="42"/>
        <x:v>0</x:v>
      </x:c>
      <x:c r="R206" s="16">
        <x:f t="shared" si="43"/>
        <x:v>4603.2314999999999</x:v>
      </x:c>
      <x:c r="S206" s="16">
        <x:f t="shared" si="37"/>
        <x:v>0</x:v>
      </x:c>
    </x:row>
    <x:row r="207" spans="1:19" outlineLevel="2">
      <x:c r="A207" s="12" t="s">
        <x:v>112</x:v>
      </x:c>
      <x:c r="B207" s="7" t="s">
        <x:v>13</x:v>
      </x:c>
      <x:c r="C207" s="6">
        <x:v>4222.5</x:v>
      </x:c>
      <x:c r="F207" s="6">
        <x:v>4222.5</x:v>
      </x:c>
      <x:c r="G207" s="1">
        <x:f t="shared" si="44"/>
        <x:v>0</x:v>
      </x:c>
      <x:c r="J207" s="3">
        <x:v>62</x:v>
      </x:c>
      <x:c r="K207" s="3">
        <x:v>0</x:v>
      </x:c>
      <x:c r="L207" s="4">
        <x:v>-0.47</x:v>
      </x:c>
      <x:c r="M207" s="3">
        <x:f t="shared" si="38"/>
        <x:v>6207.0749999999998</x:v>
      </x:c>
      <x:c r="N207" s="3">
        <x:f t="shared" si="39"/>
        <x:v>1.2529171257970138</x:v>
      </x:c>
      <x:c r="O207" s="3">
        <x:f t="shared" si="40"/>
        <x:v>6207.0749999999998</x:v>
      </x:c>
      <x:c r="P207" s="16">
        <x:f t="shared" si="41"/>
        <x:v>0</x:v>
      </x:c>
      <x:c r="Q207" s="16">
        <x:f t="shared" si="42"/>
        <x:v>0</x:v>
      </x:c>
      <x:c r="R207" s="16">
        <x:f t="shared" si="43"/>
        <x:v>6207.0749999999998</x:v>
      </x:c>
      <x:c r="S207" s="16">
        <x:f t="shared" si="37"/>
        <x:v>0</x:v>
      </x:c>
    </x:row>
    <x:row r="208" spans="1:19" outlineLevel="2">
      <x:c r="A208" s="12" t="s">
        <x:v>112</x:v>
      </x:c>
      <x:c r="B208" s="7" t="s">
        <x:v>12</x:v>
      </x:c>
      <x:c r="C208" s="6">
        <x:v>1510.09</x:v>
      </x:c>
      <x:c r="F208" s="6">
        <x:v>1510.09</x:v>
      </x:c>
      <x:c r="G208" s="1">
        <x:f t="shared" si="44"/>
        <x:v>0</x:v>
      </x:c>
      <x:c r="J208" s="3">
        <x:v>62</x:v>
      </x:c>
      <x:c r="K208" s="3">
        <x:v>0</x:v>
      </x:c>
      <x:c r="L208" s="4">
        <x:v>-0.47</x:v>
      </x:c>
      <x:c r="M208" s="3">
        <x:f t="shared" si="38"/>
        <x:v>2219.8323</x:v>
      </x:c>
      <x:c r="N208" s="3">
        <x:f t="shared" si="39"/>
        <x:v>1.2529171257970138</x:v>
      </x:c>
      <x:c r="O208" s="3">
        <x:f t="shared" si="40"/>
        <x:v>2219.8323</x:v>
      </x:c>
      <x:c r="P208" s="16"/>
      <x:c r="Q208" s="16">
        <x:f>+E208/$C208*$O208</x:f>
        <x:v>0</x:v>
      </x:c>
      <x:c r="R208" s="16">
        <x:f>+F208/$C208*$O208</x:f>
        <x:v>2219.8323</x:v>
      </x:c>
      <x:c r="S208" s="16">
        <x:f t="shared" si="37"/>
        <x:v>0</x:v>
      </x:c>
    </x:row>
    <x:row r="209" spans="1:21" s="20" customFormat="1" outlineLevel="2">
      <x:c r="A209" s="12" t="s">
        <x:v>112</x:v>
      </x:c>
      <x:c r="B209" s="7" t="s">
        <x:v>9</x:v>
      </x:c>
      <x:c r="C209" s="17">
        <x:v>289.7</x:v>
      </x:c>
      <x:c r="D209" s="17"/>
      <x:c r="E209" s="17"/>
      <x:c r="F209" s="17">
        <x:v>289.7</x:v>
      </x:c>
      <x:c r="G209" s="16">
        <x:f t="shared" si="44"/>
        <x:v>0</x:v>
      </x:c>
      <x:c r="H209" s="16"/>
      <x:c r="I209" s="16"/>
      <x:c r="J209" s="16">
        <x:v>62</x:v>
      </x:c>
      <x:c r="K209" s="16">
        <x:v>0</x:v>
      </x:c>
      <x:c r="L209" s="4">
        <x:v>-0.47</x:v>
      </x:c>
      <x:c r="M209" s="16">
        <x:f t="shared" si="38"/>
        <x:v>425.85899999999998</x:v>
      </x:c>
      <x:c r="N209" s="16">
        <x:f t="shared" si="39"/>
        <x:v>1.2529171257970138</x:v>
      </x:c>
      <x:c r="O209" s="16">
        <x:f t="shared" si="40"/>
        <x:v>425.85899999999998</x:v>
      </x:c>
      <x:c r="P209" s="16"/>
      <x:c r="Q209" s="16">
        <x:f>+E209/$C209*$O209</x:f>
        <x:v>0</x:v>
      </x:c>
      <x:c r="R209" s="16">
        <x:f>+F209/$C209*$O209</x:f>
        <x:v>425.85899999999998</x:v>
      </x:c>
      <x:c r="S209" s="16">
        <x:f t="shared" si="37"/>
        <x:v>0</x:v>
      </x:c>
    </x:row>
    <x:row r="210" spans="1:21" s="20" customFormat="1" outlineLevel="1">
      <x:c r="A210" s="5" t="s">
        <x:v>132</x:v>
      </x:c>
      <x:c r="B210" s="7"/>
      <x:c r="C210" s="17">
        <x:f>SUBTOTAL(9,C114:C209)</x:f>
        <x:v>547003848.83000028</x:v>
      </x:c>
      <x:c r="D210" s="17">
        <x:f>SUBTOTAL(9,D114:D209)</x:f>
        <x:v>0</x:v>
      </x:c>
      <x:c r="E210" s="17">
        <x:f>SUBTOTAL(9,E114:E209)</x:f>
        <x:v>0</x:v>
      </x:c>
      <x:c r="F210" s="17">
        <x:f>SUBTOTAL(9,F114:F209)</x:f>
        <x:v>547003848.83000028</x:v>
      </x:c>
      <x:c r="G210" s="16">
        <x:f t="shared" si="44"/>
        <x:v>0</x:v>
      </x:c>
      <x:c r="H210" s="16"/>
      <x:c r="I210" s="16"/>
      <x:c r="J210" s="16"/>
      <x:c r="K210" s="16"/>
      <x:c r="L210" s="4"/>
      <x:c r="M210" s="16">
        <x:f>SUBTOTAL(9,M114:M209)</x:f>
        <x:v>107068850.76850094</x:v>
      </x:c>
      <x:c r="N210" s="16">
        <x:v>1.2529171257970138</x:v>
      </x:c>
      <x:c r="O210" s="16">
        <x:f>SUBTOTAL(9,O114:O209)</x:f>
        <x:v>133197748.04966994</x:v>
      </x:c>
      <x:c r="P210" s="16"/>
      <x:c r="Q210" s="16">
        <x:f>SUBTOTAL(9,Q114:Q209)</x:f>
        <x:v>0</x:v>
      </x:c>
      <x:c r="R210" s="16">
        <x:f>SUBTOTAL(9,R114:R209)</x:f>
        <x:v>133197748.04966994</x:v>
      </x:c>
      <x:c r="S210" s="16">
        <x:f t="shared" si="37"/>
        <x:v>0</x:v>
      </x:c>
      <x:c r="T210" s="21"/>
      <x:c r="U210" s="21"/>
    </x:row>
    <x:row r="211" spans="1:21" s="20" customFormat="1" outlineLevel="2">
      <x:c r="A211" s="12" t="s">
        <x:v>114</x:v>
      </x:c>
      <x:c r="B211" s="7" t="s">
        <x:v>149</x:v>
      </x:c>
      <x:c r="C211" s="17">
        <x:v>543601294.9000001</x:v>
      </x:c>
      <x:c r="D211" s="17"/>
      <x:c r="E211" s="17">
        <x:v>35690848.070000008</x:v>
      </x:c>
      <x:c r="F211" s="17">
        <x:v>507910446.8300001</x:v>
      </x:c>
      <x:c r="G211" s="16">
        <x:f t="shared" si="44"/>
        <x:v>0</x:v>
      </x:c>
      <x:c r="H211" s="16"/>
      <x:c r="I211" s="16"/>
      <x:c r="J211" s="16">
        <x:v>52</x:v>
      </x:c>
      <x:c r="K211" s="16">
        <x:v>51.546661</x:v>
      </x:c>
      <x:c r="L211" s="4">
        <x:v>-0.15</x:v>
      </x:c>
      <x:c r="M211" s="16">
        <x:f t="shared" ref="M211:M242" si="45">+C211*(1-K211/J211)*(1-L211)</x:f>
        <x:v>5450019.5681340862</x:v>
      </x:c>
      <x:c r="N211" s="16">
        <x:v>1.2876642393003297</x:v>
      </x:c>
      <x:c r="O211" s="16">
        <x:f t="shared" ref="O211:O242" si="46">IF((C211*(1-L211)-M211*N211)&lt;0,C211*(1-L211),M211*N211)</x:f>
        <x:v>7017795.3013732899</x:v>
      </x:c>
      <x:c r="P211" s="16">
        <x:f t="shared" ref="P211:P242" si="47">+D211/$C211*$O211</x:f>
        <x:v>0</x:v>
      </x:c>
      <x:c r="Q211" s="16">
        <x:f t="shared" ref="Q211:Q242" si="48">+E211/$C211*$O211</x:f>
        <x:v>460762.45262394048</x:v>
      </x:c>
      <x:c r="R211" s="16">
        <x:f t="shared" ref="R211:R242" si="49">+F211/$C211*$O211</x:f>
        <x:v>6557032.8487493498</x:v>
      </x:c>
      <x:c r="S211" s="16">
        <x:f t="shared" si="37"/>
        <x:v>0</x:v>
      </x:c>
    </x:row>
    <x:row r="212" spans="1:21" s="20" customFormat="1" outlineLevel="2">
      <x:c r="A212" s="12" t="s">
        <x:v>114</x:v>
      </x:c>
      <x:c r="B212" s="7" t="s">
        <x:v>150</x:v>
      </x:c>
      <x:c r="C212" s="17">
        <x:v>394597298.81999981</x:v>
      </x:c>
      <x:c r="D212" s="17"/>
      <x:c r="E212" s="17">
        <x:v>32669704.500000004</x:v>
      </x:c>
      <x:c r="F212" s="17">
        <x:v>361927594.31999981</x:v>
      </x:c>
      <x:c r="G212" s="16">
        <x:f t="shared" si="44"/>
        <x:v>0</x:v>
      </x:c>
      <x:c r="H212" s="16"/>
      <x:c r="I212" s="16"/>
      <x:c r="J212" s="16">
        <x:v>52</x:v>
      </x:c>
      <x:c r="K212" s="16">
        <x:v>50.682720000000003</x:v>
      </x:c>
      <x:c r="L212" s="4">
        <x:v>-0.15</x:v>
      </x:c>
      <x:c r="M212" s="16">
        <x:f t="shared" si="45"/>
        <x:v>11495469.216500957</x:v>
      </x:c>
      <x:c r="N212" s="16">
        <x:v>1.2876642393003297</x:v>
      </x:c>
      <x:c r="O212" s="16">
        <x:f t="shared" si="46"/>
        <x:v>14802304.62406606</x:v>
      </x:c>
      <x:c r="P212" s="16">
        <x:f t="shared" si="47"/>
        <x:v>0</x:v>
      </x:c>
      <x:c r="Q212" s="16">
        <x:f t="shared" si="48"/>
        <x:v>1225520.0920871373</x:v>
      </x:c>
      <x:c r="R212" s="16">
        <x:f t="shared" si="49"/>
        <x:v>13576784.531978924</x:v>
      </x:c>
      <x:c r="S212" s="16">
        <x:f t="shared" si="37"/>
        <x:v>0</x:v>
      </x:c>
    </x:row>
    <x:row r="213" spans="1:21" s="20" customFormat="1" outlineLevel="2">
      <x:c r="A213" s="12" t="s">
        <x:v>114</x:v>
      </x:c>
      <x:c r="B213" s="7" t="s">
        <x:v>151</x:v>
      </x:c>
      <x:c r="C213" s="17">
        <x:v>232637201.57000011</x:v>
      </x:c>
      <x:c r="D213" s="17"/>
      <x:c r="E213" s="17">
        <x:v>24116273.489999998</x:v>
      </x:c>
      <x:c r="F213" s="17">
        <x:v>208520928.0800001</x:v>
      </x:c>
      <x:c r="G213" s="16">
        <x:f t="shared" si="44"/>
        <x:v>0</x:v>
      </x:c>
      <x:c r="H213" s="16"/>
      <x:c r="I213" s="16"/>
      <x:c r="J213" s="16">
        <x:v>52</x:v>
      </x:c>
      <x:c r="K213" s="16">
        <x:v>49.856710999999997</x:v>
      </x:c>
      <x:c r="L213" s="4">
        <x:v>-0.15</x:v>
      </x:c>
      <x:c r="M213" s="16">
        <x:f t="shared" si="45"/>
        <x:v>11026924.391983245</x:v>
      </x:c>
      <x:c r="N213" s="16">
        <x:v>1.2876642393003297</x:v>
      </x:c>
      <x:c r="O213" s="16">
        <x:f t="shared" si="46"/>
        <x:v>14198976.209025355</x:v>
      </x:c>
      <x:c r="P213" s="16">
        <x:f t="shared" si="47"/>
        <x:v>0</x:v>
      </x:c>
      <x:c r="Q213" s="16">
        <x:f t="shared" si="48"/>
        <x:v>1471933.0838916721</x:v>
      </x:c>
      <x:c r="R213" s="16">
        <x:f t="shared" si="49"/>
        <x:v>12727043.125133682</x:v>
      </x:c>
      <x:c r="S213" s="16">
        <x:f t="shared" si="37"/>
        <x:v>0</x:v>
      </x:c>
    </x:row>
    <x:row r="214" spans="1:21" s="20" customFormat="1" outlineLevel="2">
      <x:c r="A214" s="12" t="s">
        <x:v>114</x:v>
      </x:c>
      <x:c r="B214" s="7" t="s">
        <x:v>111</x:v>
      </x:c>
      <x:c r="C214" s="17">
        <x:v>297405209.93000001</x:v>
      </x:c>
      <x:c r="D214" s="17"/>
      <x:c r="E214" s="17">
        <x:v>24199527.449999988</x:v>
      </x:c>
      <x:c r="F214" s="17">
        <x:v>273205682.48000002</x:v>
      </x:c>
      <x:c r="G214" s="16">
        <x:f t="shared" si="44"/>
        <x:v>0</x:v>
      </x:c>
      <x:c r="H214" s="16"/>
      <x:c r="I214" s="16"/>
      <x:c r="J214" s="16">
        <x:v>52</x:v>
      </x:c>
      <x:c r="K214" s="16">
        <x:v>49.059953</x:v>
      </x:c>
      <x:c r="L214" s="4">
        <x:v>-0.15</x:v>
      </x:c>
      <x:c r="M214" s="16">
        <x:f t="shared" si="45"/>
        <x:v>19337367.106248576</x:v>
      </x:c>
      <x:c r="N214" s="16">
        <x:v>1.2876642393003297</x:v>
      </x:c>
      <x:c r="O214" s="16">
        <x:f t="shared" si="46"/>
        <x:v>24900036.10493879</x:v>
      </x:c>
      <x:c r="P214" s="16">
        <x:f t="shared" si="47"/>
        <x:v>0</x:v>
      </x:c>
      <x:c r="Q214" s="16">
        <x:f t="shared" si="48"/>
        <x:v>2026087.933594987</x:v>
      </x:c>
      <x:c r="R214" s="16">
        <x:f t="shared" si="49"/>
        <x:v>22873948.171343803</x:v>
      </x:c>
      <x:c r="S214" s="16">
        <x:f t="shared" si="37"/>
        <x:v>0</x:v>
      </x:c>
    </x:row>
    <x:row r="215" spans="1:21" outlineLevel="2">
      <x:c r="A215" s="12" t="s">
        <x:v>114</x:v>
      </x:c>
      <x:c r="B215" s="7" t="s">
        <x:v>110</x:v>
      </x:c>
      <x:c r="C215" s="6">
        <x:v>283051987.58999979</x:v>
      </x:c>
      <x:c r="E215" s="6">
        <x:v>18188271.779999997</x:v>
      </x:c>
      <x:c r="F215" s="6">
        <x:v>264863715.80999979</x:v>
      </x:c>
      <x:c r="G215" s="1">
        <x:f t="shared" si="44"/>
        <x:v>0</x:v>
      </x:c>
      <x:c r="J215" s="3">
        <x:v>52</x:v>
      </x:c>
      <x:c r="K215" s="3">
        <x:v>48.288268000000002</x:v>
      </x:c>
      <x:c r="L215" s="4">
        <x:v>-0.15</x:v>
      </x:c>
      <x:c r="M215" s="3">
        <x:f t="shared" si="45"/>
        <x:v>23234713.230800301</x:v>
      </x:c>
      <x:c r="N215" s="3">
        <x:v>1.2876642393003297</x:v>
      </x:c>
      <x:c r="O215" s="3">
        <x:f t="shared" si="46"/>
        <x:v>29918509.337699775</x:v>
      </x:c>
      <x:c r="P215" s="16">
        <x:f t="shared" si="47"/>
        <x:v>0</x:v>
      </x:c>
      <x:c r="Q215" s="16">
        <x:f t="shared" si="48"/>
        <x:v>1922494.817011405</x:v>
      </x:c>
      <x:c r="R215" s="16">
        <x:f t="shared" si="49"/>
        <x:v>27996014.520688366</x:v>
      </x:c>
      <x:c r="S215" s="16">
        <x:f t="shared" si="37"/>
        <x:v>0</x:v>
      </x:c>
    </x:row>
    <x:row r="216" spans="1:21" outlineLevel="2">
      <x:c r="A216" s="12" t="s">
        <x:v>114</x:v>
      </x:c>
      <x:c r="B216" s="7" t="s">
        <x:v>109</x:v>
      </x:c>
      <x:c r="C216" s="6">
        <x:v>216286987.89000008</x:v>
      </x:c>
      <x:c r="E216" s="6">
        <x:v>17638045.249999996</x:v>
      </x:c>
      <x:c r="F216" s="6">
        <x:v>198648942.64000008</x:v>
      </x:c>
      <x:c r="G216" s="1">
        <x:f t="shared" si="44"/>
        <x:v>0</x:v>
      </x:c>
      <x:c r="J216" s="3">
        <x:v>52</x:v>
      </x:c>
      <x:c r="K216" s="3">
        <x:v>47.539105999999997</x:v>
      </x:c>
      <x:c r="L216" s="4">
        <x:v>-0.15</x:v>
      </x:c>
      <x:c r="M216" s="3">
        <x:f t="shared" si="45"/>
        <x:v>21337660.106539644</x:v>
      </x:c>
      <x:c r="N216" s="3">
        <x:v>1.2876642393003297</x:v>
      </x:c>
      <x:c r="O216" s="3">
        <x:f t="shared" si="46"/>
        <x:v>27475741.869536363</x:v>
      </x:c>
      <x:c r="P216" s="16">
        <x:f t="shared" si="47"/>
        <x:v>0</x:v>
      </x:c>
      <x:c r="Q216" s="16">
        <x:f t="shared" si="48"/>
        <x:v>2240626.6003328441</x:v>
      </x:c>
      <x:c r="R216" s="16">
        <x:f t="shared" si="49"/>
        <x:v>25235115.269203518</x:v>
      </x:c>
      <x:c r="S216" s="16">
        <x:f t="shared" si="37"/>
        <x:v>0</x:v>
      </x:c>
    </x:row>
    <x:row r="217" spans="1:21" outlineLevel="2">
      <x:c r="A217" s="12" t="s">
        <x:v>114</x:v>
      </x:c>
      <x:c r="B217" s="7" t="s">
        <x:v>108</x:v>
      </x:c>
      <x:c r="C217" s="6">
        <x:v>210432130.34999999</x:v>
      </x:c>
      <x:c r="E217" s="6">
        <x:v>25274174.780000005</x:v>
      </x:c>
      <x:c r="F217" s="6">
        <x:v>185157955.56999999</x:v>
      </x:c>
      <x:c r="G217" s="1">
        <x:f t="shared" si="44"/>
        <x:v>0</x:v>
      </x:c>
      <x:c r="J217" s="3">
        <x:v>52</x:v>
      </x:c>
      <x:c r="K217" s="3">
        <x:v>46.810975999999997</x:v>
      </x:c>
      <x:c r="L217" s="4">
        <x:v>-0.15</x:v>
      </x:c>
      <x:c r="M217" s="3">
        <x:f t="shared" si="45"/>
        <x:v>24148615.018670585</x:v>
      </x:c>
      <x:c r="N217" s="3">
        <x:v>1.2876642393003297</x:v>
      </x:c>
      <x:c r="O217" s="3">
        <x:f t="shared" si="46"/>
        <x:v>31095307.988172974</x:v>
      </x:c>
      <x:c r="P217" s="16">
        <x:f t="shared" si="47"/>
        <x:v>0</x:v>
      </x:c>
      <x:c r="Q217" s="16">
        <x:f t="shared" si="48"/>
        <x:v>3734735.0313084642</x:v>
      </x:c>
      <x:c r="R217" s="16">
        <x:f t="shared" si="49"/>
        <x:v>27360572.956864513</x:v>
      </x:c>
      <x:c r="S217" s="16">
        <x:f t="shared" si="37"/>
        <x:v>0</x:v>
      </x:c>
    </x:row>
    <x:row r="218" spans="1:21" outlineLevel="2">
      <x:c r="A218" s="12" t="s">
        <x:v>114</x:v>
      </x:c>
      <x:c r="B218" s="7" t="s">
        <x:v>107</x:v>
      </x:c>
      <x:c r="C218" s="6">
        <x:v>130540042.01999998</x:v>
      </x:c>
      <x:c r="E218" s="6">
        <x:v>7149227.5399999991</x:v>
      </x:c>
      <x:c r="F218" s="6">
        <x:v>123390814.47999997</x:v>
      </x:c>
      <x:c r="G218" s="1">
        <x:f t="shared" si="44"/>
        <x:v>0</x:v>
      </x:c>
      <x:c r="J218" s="3">
        <x:v>52</x:v>
      </x:c>
      <x:c r="K218" s="3">
        <x:v>46.102784999999997</x:v>
      </x:c>
      <x:c r="L218" s="4">
        <x:v>-0.15</x:v>
      </x:c>
      <x:c r="M218" s="3">
        <x:f t="shared" si="45"/>
        <x:v>17024924.961271558</x:v>
      </x:c>
      <x:c r="N218" s="3">
        <x:v>1.2876642393003297</x:v>
      </x:c>
      <x:c r="O218" s="3">
        <x:f t="shared" si="46"/>
        <x:v>21922387.049400937</x:v>
      </x:c>
      <x:c r="P218" s="16">
        <x:f t="shared" si="47"/>
        <x:v>0</x:v>
      </x:c>
      <x:c r="Q218" s="16">
        <x:f t="shared" si="48"/>
        <x:v>1200613.473160245</x:v>
      </x:c>
      <x:c r="R218" s="16">
        <x:f t="shared" si="49"/>
        <x:v>20721773.576240689</x:v>
      </x:c>
      <x:c r="S218" s="16">
        <x:f t="shared" si="37"/>
        <x:v>0</x:v>
      </x:c>
    </x:row>
    <x:row r="219" spans="1:21" outlineLevel="2">
      <x:c r="A219" s="12" t="s">
        <x:v>114</x:v>
      </x:c>
      <x:c r="B219" s="7" t="s">
        <x:v>106</x:v>
      </x:c>
      <x:c r="C219" s="6">
        <x:v>156810708.46000001</x:v>
      </x:c>
      <x:c r="E219" s="6">
        <x:v>28426160.16</x:v>
      </x:c>
      <x:c r="F219" s="6">
        <x:v>128384548.3</x:v>
      </x:c>
      <x:c r="G219" s="1">
        <x:f t="shared" si="44"/>
        <x:v>0</x:v>
      </x:c>
      <x:c r="J219" s="3">
        <x:v>52</x:v>
      </x:c>
      <x:c r="K219" s="3">
        <x:v>45.413808000000003</x:v>
      </x:c>
      <x:c r="L219" s="4">
        <x:v>-0.15</x:v>
      </x:c>
      <x:c r="M219" s="3">
        <x:f t="shared" si="45"/>
        <x:v>22840447.088646561</x:v>
      </x:c>
      <x:c r="N219" s="3">
        <x:v>1.2876642393003297</x:v>
      </x:c>
      <x:c r="O219" s="3">
        <x:f t="shared" si="46"/>
        <x:v>29410826.925681505</x:v>
      </x:c>
      <x:c r="P219" s="16">
        <x:f t="shared" si="47"/>
        <x:v>0</x:v>
      </x:c>
      <x:c r="Q219" s="16">
        <x:f t="shared" si="48"/>
        <x:v>5331503.7272516564</x:v>
      </x:c>
      <x:c r="R219" s="16">
        <x:f t="shared" si="49"/>
        <x:v>24079323.198429845</x:v>
      </x:c>
      <x:c r="S219" s="16">
        <x:f t="shared" si="37"/>
        <x:v>0</x:v>
      </x:c>
    </x:row>
    <x:row r="220" spans="1:21" outlineLevel="2">
      <x:c r="A220" s="12" t="s">
        <x:v>114</x:v>
      </x:c>
      <x:c r="B220" s="7" t="s">
        <x:v>105</x:v>
      </x:c>
      <x:c r="C220" s="6">
        <x:v>141471492.08000007</x:v>
      </x:c>
      <x:c r="E220" s="6">
        <x:v>10746765.339999996</x:v>
      </x:c>
      <x:c r="F220" s="6">
        <x:v>130724726.74000007</x:v>
      </x:c>
      <x:c r="G220" s="1">
        <x:f t="shared" si="44"/>
        <x:v>0</x:v>
      </x:c>
      <x:c r="J220" s="3">
        <x:v>52</x:v>
      </x:c>
      <x:c r="K220" s="3">
        <x:v>44.743504000000001</x:v>
      </x:c>
      <x:c r="L220" s="4">
        <x:v>-0.15</x:v>
      </x:c>
      <x:c r="M220" s="3">
        <x:f t="shared" si="45"/>
        <x:v>22703373.343296826</x:v>
      </x:c>
      <x:c r="N220" s="3">
        <x:v>1.2876642393003297</x:v>
      </x:c>
      <x:c r="O220" s="3">
        <x:f t="shared" si="46"/>
        <x:v>29234321.96564769</x:v>
      </x:c>
      <x:c r="P220" s="16">
        <x:f t="shared" si="47"/>
        <x:v>0</x:v>
      </x:c>
      <x:c r="Q220" s="16">
        <x:f t="shared" si="48"/>
        <x:v>2220761.1824802277</x:v>
      </x:c>
      <x:c r="R220" s="16">
        <x:f t="shared" si="49"/>
        <x:v>27013560.783167463</x:v>
      </x:c>
      <x:c r="S220" s="16">
        <x:f t="shared" si="37"/>
        <x:v>0</x:v>
      </x:c>
    </x:row>
    <x:row r="221" spans="1:21" outlineLevel="2">
      <x:c r="A221" s="12" t="s">
        <x:v>114</x:v>
      </x:c>
      <x:c r="B221" s="7" t="s">
        <x:v>104</x:v>
      </x:c>
      <x:c r="C221" s="6">
        <x:v>112150292.06</x:v>
      </x:c>
      <x:c r="E221" s="6">
        <x:v>7853942.5299999984</x:v>
      </x:c>
      <x:c r="F221" s="6">
        <x:v>104296349.53</x:v>
      </x:c>
      <x:c r="G221" s="1">
        <x:f t="shared" si="44"/>
        <x:v>0</x:v>
      </x:c>
      <x:c r="J221" s="3">
        <x:v>52</x:v>
      </x:c>
      <x:c r="K221" s="3">
        <x:v>44.091482999999997</x:v>
      </x:c>
      <x:c r="L221" s="4">
        <x:v>-0.15</x:v>
      </x:c>
      <x:c r="M221" s="3">
        <x:f t="shared" si="45"/>
        <x:v>19615074.327080708</x:v>
      </x:c>
      <x:c r="N221" s="3">
        <x:v>1.2876642393003297</x:v>
      </x:c>
      <x:c r="O221" s="3">
        <x:f t="shared" si="46"/>
        <x:v>25257629.762199808</x:v>
      </x:c>
      <x:c r="P221" s="16">
        <x:f t="shared" si="47"/>
        <x:v>0</x:v>
      </x:c>
      <x:c r="Q221" s="16">
        <x:f t="shared" si="48"/>
        <x:v>1768804.7793063843</x:v>
      </x:c>
      <x:c r="R221" s="16">
        <x:f t="shared" si="49"/>
        <x:v>23488824.982893422</x:v>
      </x:c>
      <x:c r="S221" s="16">
        <x:f t="shared" si="37"/>
        <x:v>0</x:v>
      </x:c>
    </x:row>
    <x:row r="222" spans="1:21" outlineLevel="2">
      <x:c r="A222" s="12" t="s">
        <x:v>114</x:v>
      </x:c>
      <x:c r="B222" s="7" t="s">
        <x:v>103</x:v>
      </x:c>
      <x:c r="C222" s="6">
        <x:v>109713650.17</x:v>
      </x:c>
      <x:c r="E222" s="6">
        <x:v>7758675.8400000008</x:v>
      </x:c>
      <x:c r="F222" s="6">
        <x:v>101954974.33</x:v>
      </x:c>
      <x:c r="G222" s="1">
        <x:f t="shared" si="44"/>
        <x:v>0</x:v>
      </x:c>
      <x:c r="J222" s="3">
        <x:v>52</x:v>
      </x:c>
      <x:c r="K222" s="3">
        <x:v>43.457428999999998</x:v>
      </x:c>
      <x:c r="L222" s="4">
        <x:v>-0.15</x:v>
      </x:c>
      <x:c r="M222" s="3">
        <x:f t="shared" si="45"/>
        <x:v>20727348.907372031</x:v>
      </x:c>
      <x:c r="N222" s="3">
        <x:v>1.2876642393003297</x:v>
      </x:c>
      <x:c r="O222" s="3">
        <x:f t="shared" si="46"/>
        <x:v>26689865.963523727</x:v>
      </x:c>
      <x:c r="P222" s="16">
        <x:f t="shared" si="47"/>
        <x:v>0</x:v>
      </x:c>
      <x:c r="Q222" s="16">
        <x:f t="shared" si="48"/>
        <x:v>1887440.7870229906</x:v>
      </x:c>
      <x:c r="R222" s="16">
        <x:f t="shared" si="49"/>
        <x:v>24802425.176500734</x:v>
      </x:c>
      <x:c r="S222" s="16">
        <x:f t="shared" si="37"/>
        <x:v>0</x:v>
      </x:c>
    </x:row>
    <x:row r="223" spans="1:21" outlineLevel="2">
      <x:c r="A223" s="12" t="s">
        <x:v>114</x:v>
      </x:c>
      <x:c r="B223" s="7" t="s">
        <x:v>102</x:v>
      </x:c>
      <x:c r="C223" s="6">
        <x:v>107502176.45000003</x:v>
      </x:c>
      <x:c r="E223" s="6">
        <x:v>8380928.5399999972</x:v>
      </x:c>
      <x:c r="F223" s="6">
        <x:v>99121247.910000041</x:v>
      </x:c>
      <x:c r="G223" s="1">
        <x:f t="shared" si="44"/>
        <x:v>0</x:v>
      </x:c>
      <x:c r="J223" s="3">
        <x:v>52</x:v>
      </x:c>
      <x:c r="K223" s="3">
        <x:v>42.841076000000001</x:v>
      </x:c>
      <x:c r="L223" s="4">
        <x:v>-0.15</x:v>
      </x:c>
      <x:c r="M223" s="3">
        <x:f t="shared" si="45"/>
        <x:v>21774901.990983862</x:v>
      </x:c>
      <x:c r="N223" s="3">
        <x:v>1.2876642393003297</x:v>
      </x:c>
      <x:c r="O223" s="3">
        <x:f t="shared" si="46"/>
        <x:v>28038762.60805947</x:v>
      </x:c>
      <x:c r="P223" s="16">
        <x:f t="shared" si="47"/>
        <x:v>0</x:v>
      </x:c>
      <x:c r="Q223" s="16">
        <x:f t="shared" si="48"/>
        <x:v>2185917.2858464513</x:v>
      </x:c>
      <x:c r="R223" s="16">
        <x:f t="shared" si="49"/>
        <x:v>25852845.32221302</x:v>
      </x:c>
      <x:c r="S223" s="16">
        <x:f t="shared" si="37"/>
        <x:v>0</x:v>
      </x:c>
    </x:row>
    <x:row r="224" spans="1:21" outlineLevel="2">
      <x:c r="A224" s="12" t="s">
        <x:v>114</x:v>
      </x:c>
      <x:c r="B224" s="7" t="s">
        <x:v>101</x:v>
      </x:c>
      <x:c r="C224" s="6">
        <x:v>195406797.57000017</x:v>
      </x:c>
      <x:c r="E224" s="6">
        <x:v>9890290.8399999999</x:v>
      </x:c>
      <x:c r="F224" s="6">
        <x:v>185516506.73000017</x:v>
      </x:c>
      <x:c r="G224" s="1">
        <x:f t="shared" si="44"/>
        <x:v>0</x:v>
      </x:c>
      <x:c r="J224" s="3">
        <x:v>52</x:v>
      </x:c>
      <x:c r="K224" s="3">
        <x:v>42.242384999999999</x:v>
      </x:c>
      <x:c r="L224" s="4">
        <x:v>-0.15</x:v>
      </x:c>
      <x:c r="M224" s="3">
        <x:f t="shared" si="45"/>
        <x:v>42167498.921762437</x:v>
      </x:c>
      <x:c r="N224" s="3">
        <x:v>1.2876642393003297</x:v>
      </x:c>
      <x:c r="O224" s="3">
        <x:f t="shared" si="46"/>
        <x:v>54297580.422288701</x:v>
      </x:c>
      <x:c r="P224" s="16">
        <x:f t="shared" si="47"/>
        <x:v>0</x:v>
      </x:c>
      <x:c r="Q224" s="16">
        <x:f t="shared" si="48"/>
        <x:v>2748209.7294611773</x:v>
      </x:c>
      <x:c r="R224" s="16">
        <x:f t="shared" si="49"/>
        <x:v>51549370.692827523</x:v>
      </x:c>
      <x:c r="S224" s="16">
        <x:f t="shared" si="37"/>
        <x:v>0</x:v>
      </x:c>
    </x:row>
    <x:row r="225" spans="1:19" outlineLevel="2">
      <x:c r="A225" s="12" t="s">
        <x:v>114</x:v>
      </x:c>
      <x:c r="B225" s="7" t="s">
        <x:v>100</x:v>
      </x:c>
      <x:c r="C225" s="6">
        <x:v>106045944.00999998</x:v>
      </x:c>
      <x:c r="E225" s="6">
        <x:v>10654126.26</x:v>
      </x:c>
      <x:c r="F225" s="6">
        <x:v>95391817.74999997</x:v>
      </x:c>
      <x:c r="G225" s="1">
        <x:f t="shared" si="44"/>
        <x:v>0</x:v>
      </x:c>
      <x:c r="J225" s="3">
        <x:v>52</x:v>
      </x:c>
      <x:c r="K225" s="3">
        <x:v>41.661084000000002</x:v>
      </x:c>
      <x:c r="L225" s="4">
        <x:v>-0.15</x:v>
      </x:c>
      <x:c r="M225" s="3">
        <x:f t="shared" si="45"/>
        <x:v>24247310.064405896</x:v>
      </x:c>
      <x:c r="N225" s="3">
        <x:v>1.2876642393003297</x:v>
      </x:c>
      <x:c r="O225" s="3">
        <x:f t="shared" si="46"/>
        <x:v>31222394.069162447</x:v>
      </x:c>
      <x:c r="P225" s="16">
        <x:f t="shared" si="47"/>
        <x:v>0</x:v>
      </x:c>
      <x:c r="Q225" s="16">
        <x:f t="shared" si="48"/>
        <x:v>3136822.739028696</x:v>
      </x:c>
      <x:c r="R225" s="16">
        <x:f t="shared" si="49"/>
        <x:v>28085571.330133751</x:v>
      </x:c>
      <x:c r="S225" s="16">
        <x:f t="shared" si="37"/>
        <x:v>0</x:v>
      </x:c>
    </x:row>
    <x:row r="226" spans="1:19" outlineLevel="2">
      <x:c r="A226" s="12" t="s">
        <x:v>114</x:v>
      </x:c>
      <x:c r="B226" s="7" t="s">
        <x:v>99</x:v>
      </x:c>
      <x:c r="C226" s="6">
        <x:v>98107785.060000017</x:v>
      </x:c>
      <x:c r="E226" s="6">
        <x:v>6991217.2199999979</x:v>
      </x:c>
      <x:c r="F226" s="6">
        <x:v>91116567.840000018</x:v>
      </x:c>
      <x:c r="G226" s="1">
        <x:f t="shared" si="44"/>
        <x:v>0</x:v>
      </x:c>
      <x:c r="J226" s="3">
        <x:v>52</x:v>
      </x:c>
      <x:c r="K226" s="3">
        <x:v>41.096716000000001</x:v>
      </x:c>
      <x:c r="L226" s="4">
        <x:v>-0.15</x:v>
      </x:c>
      <x:c r="M226" s="3">
        <x:f t="shared" si="45"/>
        <x:v>23656761.530541502</x:v>
      </x:c>
      <x:c r="N226" s="3">
        <x:v>1.2876642393003297</x:v>
      </x:c>
      <x:c r="O226" s="3">
        <x:f t="shared" si="46"/>
        <x:v>30461965.840534028</x:v>
      </x:c>
      <x:c r="P226" s="16">
        <x:f t="shared" si="47"/>
        <x:v>0</x:v>
      </x:c>
      <x:c r="Q226" s="16">
        <x:f t="shared" si="48"/>
        <x:v>2170737.2152897851</x:v>
      </x:c>
      <x:c r="R226" s="16">
        <x:f t="shared" si="49"/>
        <x:v>28291228.625244241</x:v>
      </x:c>
      <x:c r="S226" s="16">
        <x:f t="shared" si="37"/>
        <x:v>0</x:v>
      </x:c>
    </x:row>
    <x:row r="227" spans="1:19" outlineLevel="2">
      <x:c r="A227" s="12" t="s">
        <x:v>114</x:v>
      </x:c>
      <x:c r="B227" s="7" t="s">
        <x:v>98</x:v>
      </x:c>
      <x:c r="C227" s="6">
        <x:v>91119006.609999985</x:v>
      </x:c>
      <x:c r="E227" s="6">
        <x:v>8193350.2099999981</x:v>
      </x:c>
      <x:c r="F227" s="6">
        <x:v>82925656.399999991</x:v>
      </x:c>
      <x:c r="G227" s="1">
        <x:f t="shared" si="44"/>
        <x:v>0</x:v>
      </x:c>
      <x:c r="J227" s="3">
        <x:v>52</x:v>
      </x:c>
      <x:c r="K227" s="3">
        <x:v>40.54898</x:v>
      </x:c>
      <x:c r="L227" s="4">
        <x:v>-0.15</x:v>
      </x:c>
      <x:c r="M227" s="3">
        <x:f t="shared" si="45"/>
        <x:v>23075315.425613999</x:v>
      </x:c>
      <x:c r="N227" s="3">
        <x:v>1.2876642393003297</x:v>
      </x:c>
      <x:c r="O227" s="3">
        <x:f t="shared" si="46"/>
        <x:v>29713258.484138414</x:v>
      </x:c>
      <x:c r="P227" s="16">
        <x:f t="shared" si="47"/>
        <x:v>0</x:v>
      </x:c>
      <x:c r="Q227" s="16">
        <x:f t="shared" si="48"/>
        <x:v>2671793.0945274574</x:v>
      </x:c>
      <x:c r="R227" s="16">
        <x:f t="shared" si="49"/>
        <x:v>27041465.389610957</x:v>
      </x:c>
      <x:c r="S227" s="16">
        <x:f t="shared" si="37"/>
        <x:v>0</x:v>
      </x:c>
    </x:row>
    <x:row r="228" spans="1:19" outlineLevel="2">
      <x:c r="A228" s="12" t="s">
        <x:v>114</x:v>
      </x:c>
      <x:c r="B228" s="7" t="s">
        <x:v>97</x:v>
      </x:c>
      <x:c r="C228" s="6">
        <x:v>98704138.980000019</x:v>
      </x:c>
      <x:c r="E228" s="6">
        <x:v>11132190.679999994</x:v>
      </x:c>
      <x:c r="F228" s="6">
        <x:v>87571948.300000027</x:v>
      </x:c>
      <x:c r="G228" s="1">
        <x:f t="shared" si="44"/>
        <x:v>0</x:v>
      </x:c>
      <x:c r="J228" s="3">
        <x:v>52</x:v>
      </x:c>
      <x:c r="K228" s="3">
        <x:v>40.017530999999998</x:v>
      </x:c>
      <x:c r="L228" s="4">
        <x:v>-0.15</x:v>
      </x:c>
      <x:c r="M228" s="3">
        <x:f t="shared" si="45"/>
        <x:v>26156291.890855253</x:v>
      </x:c>
      <x:c r="N228" s="3">
        <x:v>1.2876642393003297</x:v>
      </x:c>
      <x:c r="O228" s="3">
        <x:f t="shared" si="46"/>
        <x:v>33680521.700555511</x:v>
      </x:c>
      <x:c r="P228" s="16">
        <x:f t="shared" si="47"/>
        <x:v>0</x:v>
      </x:c>
      <x:c r="Q228" s="16">
        <x:f t="shared" si="48"/>
        <x:v>3798604.5331739695</x:v>
      </x:c>
      <x:c r="R228" s="16">
        <x:f t="shared" si="49"/>
        <x:v>29881917.16738154</x:v>
      </x:c>
      <x:c r="S228" s="16">
        <x:f t="shared" si="37"/>
        <x:v>0</x:v>
      </x:c>
    </x:row>
    <x:row r="229" spans="1:19" outlineLevel="2">
      <x:c r="A229" s="12" t="s">
        <x:v>114</x:v>
      </x:c>
      <x:c r="B229" s="7" t="s">
        <x:v>96</x:v>
      </x:c>
      <x:c r="C229" s="6">
        <x:v>68530486.020000011</x:v>
      </x:c>
      <x:c r="E229" s="6">
        <x:v>4628706.9999999991</x:v>
      </x:c>
      <x:c r="F229" s="6">
        <x:v>63901779.020000011</x:v>
      </x:c>
      <x:c r="G229" s="1">
        <x:f t="shared" si="44"/>
        <x:v>0</x:v>
      </x:c>
      <x:c r="J229" s="3">
        <x:v>52</x:v>
      </x:c>
      <x:c r="K229" s="3">
        <x:v>39.501980000000003</x:v>
      </x:c>
      <x:c r="L229" s="4">
        <x:v>-0.15</x:v>
      </x:c>
      <x:c r="M229" s="3">
        <x:f t="shared" si="45"/>
        <x:v>18941724.85809293</x:v>
      </x:c>
      <x:c r="N229" s="3">
        <x:v>1.2876642393003297</x:v>
      </x:c>
      <x:c r="O229" s="3">
        <x:f t="shared" si="46"/>
        <x:v>24390581.73043238</x:v>
      </x:c>
      <x:c r="P229" s="16">
        <x:f t="shared" si="47"/>
        <x:v>0</x:v>
      </x:c>
      <x:c r="Q229" s="16">
        <x:f t="shared" si="48"/>
        <x:v>1647396.1144355012</x:v>
      </x:c>
      <x:c r="R229" s="16">
        <x:f t="shared" si="49"/>
        <x:v>22743185.615996879</x:v>
      </x:c>
      <x:c r="S229" s="16">
        <x:f t="shared" si="37"/>
        <x:v>0</x:v>
      </x:c>
    </x:row>
    <x:row r="230" spans="1:19" outlineLevel="2">
      <x:c r="A230" s="12" t="s">
        <x:v>114</x:v>
      </x:c>
      <x:c r="B230" s="7" t="s">
        <x:v>95</x:v>
      </x:c>
      <x:c r="C230" s="6">
        <x:v>79868315.319999993</x:v>
      </x:c>
      <x:c r="E230" s="6">
        <x:v>8984282.6900000013</x:v>
      </x:c>
      <x:c r="F230" s="6">
        <x:v>70884032.629999995</x:v>
      </x:c>
      <x:c r="G230" s="1">
        <x:f t="shared" si="44"/>
        <x:v>0</x:v>
      </x:c>
      <x:c r="J230" s="3">
        <x:v>52</x:v>
      </x:c>
      <x:c r="K230" s="3">
        <x:v>39.00188</x:v>
      </x:c>
      <x:c r="L230" s="4">
        <x:v>-0.15</x:v>
      </x:c>
      <x:c r="M230" s="3">
        <x:f t="shared" si="45"/>
        <x:v>22958819.975697652</x:v>
      </x:c>
      <x:c r="N230" s="3">
        <x:v>1.2876642393003297</x:v>
      </x:c>
      <x:c r="O230" s="3">
        <x:f t="shared" si="46"/>
        <x:v>29563251.45923993</x:v>
      </x:c>
      <x:c r="P230" s="16">
        <x:f t="shared" si="47"/>
        <x:v>0</x:v>
      </x:c>
      <x:c r="Q230" s="16">
        <x:f t="shared" si="48"/>
        <x:v>3325531.6239136448</x:v>
      </x:c>
      <x:c r="R230" s="16">
        <x:f t="shared" si="49"/>
        <x:v>26237719.835326288</x:v>
      </x:c>
      <x:c r="S230" s="16">
        <x:f t="shared" si="37"/>
        <x:v>0</x:v>
      </x:c>
    </x:row>
    <x:row r="231" spans="1:19" outlineLevel="2">
      <x:c r="A231" s="12" t="s">
        <x:v>114</x:v>
      </x:c>
      <x:c r="B231" s="7" t="s">
        <x:v>94</x:v>
      </x:c>
      <x:c r="C231" s="6">
        <x:v>58416000.579999976</x:v>
      </x:c>
      <x:c r="E231" s="6">
        <x:v>8018522.3800000055</x:v>
      </x:c>
      <x:c r="F231" s="6">
        <x:v>50397478.199999973</x:v>
      </x:c>
      <x:c r="G231" s="1">
        <x:f t="shared" si="44"/>
        <x:v>0</x:v>
      </x:c>
      <x:c r="J231" s="3">
        <x:v>52</x:v>
      </x:c>
      <x:c r="K231" s="3">
        <x:v>38.516708999999999</x:v>
      </x:c>
      <x:c r="L231" s="4">
        <x:v>-0.15</x:v>
      </x:c>
      <x:c r="M231" s="3">
        <x:f t="shared" si="45"/>
        <x:v>17418960.098226056</x:v>
      </x:c>
      <x:c r="N231" s="3">
        <x:v>1.2876642393003297</x:v>
      </x:c>
      <x:c r="O231" s="3">
        <x:f t="shared" si="46"/>
        <x:v>22429772.004285049</x:v>
      </x:c>
      <x:c r="P231" s="16">
        <x:f t="shared" si="47"/>
        <x:v>0</x:v>
      </x:c>
      <x:c r="Q231" s="16">
        <x:f t="shared" si="48"/>
        <x:v>3078841.8756664102</x:v>
      </x:c>
      <x:c r="R231" s="16">
        <x:f t="shared" si="49"/>
        <x:v>19350930.128618639</x:v>
      </x:c>
      <x:c r="S231" s="16">
        <x:f t="shared" si="37"/>
        <x:v>0</x:v>
      </x:c>
    </x:row>
    <x:row r="232" spans="1:19" outlineLevel="2">
      <x:c r="A232" s="12" t="s">
        <x:v>114</x:v>
      </x:c>
      <x:c r="B232" s="7" t="s">
        <x:v>93</x:v>
      </x:c>
      <x:c r="C232" s="6">
        <x:v>65926044.279999994</x:v>
      </x:c>
      <x:c r="E232" s="6">
        <x:v>8246313.370000002</x:v>
      </x:c>
      <x:c r="F232" s="6">
        <x:v>57679730.909999989</x:v>
      </x:c>
      <x:c r="G232" s="1">
        <x:f t="shared" si="44"/>
        <x:v>0</x:v>
      </x:c>
      <x:c r="J232" s="3">
        <x:v>52</x:v>
      </x:c>
      <x:c r="K232" s="3">
        <x:v>38.045881000000001</x:v>
      </x:c>
      <x:c r="L232" s="4">
        <x:v>-0.15</x:v>
      </x:c>
      <x:c r="M232" s="3">
        <x:f t="shared" si="45"/>
        <x:v>20344823.983552836</x:v>
      </x:c>
      <x:c r="N232" s="3">
        <x:v>1.2876642393003297</x:v>
      </x:c>
      <x:c r="O232" s="3">
        <x:f t="shared" si="46"/>
        <x:v>26197302.298480667</x:v>
      </x:c>
      <x:c r="P232" s="16">
        <x:f t="shared" si="47"/>
        <x:v>0</x:v>
      </x:c>
      <x:c r="Q232" s="16">
        <x:f t="shared" si="48"/>
        <x:v>3276871.32697313</x:v>
      </x:c>
      <x:c r="R232" s="16">
        <x:f t="shared" si="49"/>
        <x:v>22920430.971507534</x:v>
      </x:c>
      <x:c r="S232" s="16">
        <x:f t="shared" si="37"/>
        <x:v>0</x:v>
      </x:c>
    </x:row>
    <x:row r="233" spans="1:19" outlineLevel="2">
      <x:c r="A233" s="12" t="s">
        <x:v>114</x:v>
      </x:c>
      <x:c r="B233" s="7" t="s">
        <x:v>92</x:v>
      </x:c>
      <x:c r="C233" s="6">
        <x:v>64980096.310000002</x:v>
      </x:c>
      <x:c r="E233" s="6">
        <x:v>15441016.249999994</x:v>
      </x:c>
      <x:c r="F233" s="6">
        <x:v>49539080.06000001</x:v>
      </x:c>
      <x:c r="G233" s="1">
        <x:f t="shared" si="44"/>
        <x:v>0</x:v>
      </x:c>
      <x:c r="J233" s="3">
        <x:v>52</x:v>
      </x:c>
      <x:c r="K233" s="3">
        <x:v>37.588738999999997</x:v>
      </x:c>
      <x:c r="L233" s="4">
        <x:v>-0.15</x:v>
      </x:c>
      <x:c r="M233" s="3">
        <x:f t="shared" si="45"/>
        <x:v>20709844.170919795</x:v>
      </x:c>
      <x:c r="N233" s="3">
        <x:v>1.2876642393003297</x:v>
      </x:c>
      <x:c r="O233" s="3">
        <x:f t="shared" si="46"/>
        <x:v>26667325.740375806</x:v>
      </x:c>
      <x:c r="P233" s="16">
        <x:f t="shared" si="47"/>
        <x:v>0</x:v>
      </x:c>
      <x:c r="Q233" s="16">
        <x:f t="shared" si="48"/>
        <x:v>6336872.8808396235</x:v>
      </x:c>
      <x:c r="R233" s="16">
        <x:f t="shared" si="49"/>
        <x:v>20330452.859536182</x:v>
      </x:c>
      <x:c r="S233" s="16">
        <x:f t="shared" si="37"/>
        <x:v>0</x:v>
      </x:c>
    </x:row>
    <x:row r="234" spans="1:19" outlineLevel="2">
      <x:c r="A234" s="12" t="s">
        <x:v>114</x:v>
      </x:c>
      <x:c r="B234" s="7" t="s">
        <x:v>91</x:v>
      </x:c>
      <x:c r="C234" s="6">
        <x:v>52055239.170000017</x:v>
      </x:c>
      <x:c r="E234" s="6">
        <x:v>3468483.8800000004</x:v>
      </x:c>
      <x:c r="F234" s="6">
        <x:v>48586755.290000014</x:v>
      </x:c>
      <x:c r="G234" s="1">
        <x:f t="shared" si="44"/>
        <x:v>0</x:v>
      </x:c>
      <x:c r="J234" s="3">
        <x:v>52</x:v>
      </x:c>
      <x:c r="K234" s="3">
        <x:v>37.144530000000003</x:v>
      </x:c>
      <x:c r="L234" s="4">
        <x:v>-0.15</x:v>
      </x:c>
      <x:c r="M234" s="3">
        <x:f t="shared" si="45"/>
        <x:v>17101938.469378345</x:v>
      </x:c>
      <x:c r="N234" s="3">
        <x:v>1.2876642393003297</x:v>
      </x:c>
      <x:c r="O234" s="3">
        <x:f t="shared" si="46"/>
        <x:v>22021554.589733113</x:v>
      </x:c>
      <x:c r="P234" s="16">
        <x:f t="shared" si="47"/>
        <x:v>0</x:v>
      </x:c>
      <x:c r="Q234" s="16">
        <x:f t="shared" si="48"/>
        <x:v>1467314.4975395433</x:v>
      </x:c>
      <x:c r="R234" s="16">
        <x:f t="shared" si="49"/>
        <x:v>20554240.092193566</x:v>
      </x:c>
      <x:c r="S234" s="16">
        <x:f t="shared" si="37"/>
        <x:v>0</x:v>
      </x:c>
    </x:row>
    <x:row r="235" spans="1:19" outlineLevel="2">
      <x:c r="A235" s="12" t="s">
        <x:v>114</x:v>
      </x:c>
      <x:c r="B235" s="7" t="s">
        <x:v>90</x:v>
      </x:c>
      <x:c r="C235" s="6">
        <x:v>31501757.789999995</x:v>
      </x:c>
      <x:c r="E235" s="6">
        <x:v>2108903.6199999996</x:v>
      </x:c>
      <x:c r="F235" s="6">
        <x:v>29392854.169999994</x:v>
      </x:c>
      <x:c r="G235" s="1">
        <x:f t="shared" si="44"/>
        <x:v>0</x:v>
      </x:c>
      <x:c r="J235" s="3">
        <x:v>52</x:v>
      </x:c>
      <x:c r="K235" s="3">
        <x:v>36.712418</x:v>
      </x:c>
      <x:c r="L235" s="4">
        <x:v>-0.15</x:v>
      </x:c>
      <x:c r="M235" s="3">
        <x:f t="shared" si="45"/>
        <x:v>10650453.09928035</x:v>
      </x:c>
      <x:c r="N235" s="3">
        <x:v>1.2876642393003297</x:v>
      </x:c>
      <x:c r="O235" s="3">
        <x:f t="shared" si="46"/>
        <x:v>13714207.58828867</x:v>
      </x:c>
      <x:c r="P235" s="16">
        <x:f t="shared" si="47"/>
        <x:v>0</x:v>
      </x:c>
      <x:c r="Q235" s="16">
        <x:f t="shared" si="48"/>
        <x:v>918105.65687082079</x:v>
      </x:c>
      <x:c r="R235" s="16">
        <x:f t="shared" si="49"/>
        <x:v>12796101.931417849</x:v>
      </x:c>
      <x:c r="S235" s="16">
        <x:f t="shared" si="37"/>
        <x:v>0</x:v>
      </x:c>
    </x:row>
    <x:row r="236" spans="1:19" outlineLevel="2">
      <x:c r="A236" s="12" t="s">
        <x:v>114</x:v>
      </x:c>
      <x:c r="B236" s="7" t="s">
        <x:v>89</x:v>
      </x:c>
      <x:c r="C236" s="6">
        <x:v>27376260.940000005</x:v>
      </x:c>
      <x:c r="E236" s="6">
        <x:v>5073213.55</x:v>
      </x:c>
      <x:c r="F236" s="6">
        <x:v>22303047.390000004</x:v>
      </x:c>
      <x:c r="G236" s="1">
        <x:f t="shared" si="44"/>
        <x:v>0</x:v>
      </x:c>
      <x:c r="J236" s="3">
        <x:v>52</x:v>
      </x:c>
      <x:c r="K236" s="3">
        <x:v>36.291482000000002</x:v>
      </x:c>
      <x:c r="L236" s="4">
        <x:v>-0.15</x:v>
      </x:c>
      <x:c r="M236" s="3">
        <x:f t="shared" si="45"/>
        <x:v>9510510.7867498063</x:v>
      </x:c>
      <x:c r="N236" s="3">
        <x:v>1.2876642393003297</x:v>
      </x:c>
      <x:c r="O236" s="3">
        <x:f t="shared" si="46"/>
        <x:v>12246344.63757777</x:v>
      </x:c>
      <x:c r="P236" s="16">
        <x:f t="shared" si="47"/>
        <x:v>0</x:v>
      </x:c>
      <x:c r="Q236" s="16">
        <x:f t="shared" si="48"/>
        <x:v>2269423.194405356</x:v>
      </x:c>
      <x:c r="R236" s="16">
        <x:f t="shared" si="49"/>
        <x:v>9976921.4431724139</x:v>
      </x:c>
      <x:c r="S236" s="16">
        <x:f t="shared" si="37"/>
        <x:v>0</x:v>
      </x:c>
    </x:row>
    <x:row r="237" spans="1:19" outlineLevel="2">
      <x:c r="A237" s="12" t="s">
        <x:v>114</x:v>
      </x:c>
      <x:c r="B237" s="7" t="s">
        <x:v>88</x:v>
      </x:c>
      <x:c r="C237" s="6">
        <x:v>12739567.759999998</x:v>
      </x:c>
      <x:c r="E237" s="6">
        <x:v>2818847.1599999992</x:v>
      </x:c>
      <x:c r="F237" s="6">
        <x:v>9920720.5999999996</x:v>
      </x:c>
      <x:c r="G237" s="1">
        <x:f t="shared" si="44"/>
        <x:v>0</x:v>
      </x:c>
      <x:c r="J237" s="3">
        <x:v>52</x:v>
      </x:c>
      <x:c r="K237" s="3">
        <x:v>35.880786999999998</x:v>
      </x:c>
      <x:c r="L237" s="4">
        <x:v>-0.15</x:v>
      </x:c>
      <x:c r="M237" s="3">
        <x:f t="shared" si="45"/>
        <x:v>4541434.1767130541</x:v>
      </x:c>
      <x:c r="N237" s="3">
        <x:v>1.2876642393003297</x:v>
      </x:c>
      <x:c r="O237" s="3">
        <x:f t="shared" si="46"/>
        <x:v>5847842.3844897337</x:v>
      </x:c>
      <x:c r="P237" s="16">
        <x:f t="shared" si="47"/>
        <x:v>0</x:v>
      </x:c>
      <x:c r="Q237" s="16">
        <x:f t="shared" si="48"/>
        <x:v>1293935.1011110374</x:v>
      </x:c>
      <x:c r="R237" s="16">
        <x:f t="shared" si="49"/>
        <x:v>4553907.283378697</x:v>
      </x:c>
      <x:c r="S237" s="16">
        <x:f t="shared" si="37"/>
        <x:v>0</x:v>
      </x:c>
    </x:row>
    <x:row r="238" spans="1:19" outlineLevel="2">
      <x:c r="A238" s="12" t="s">
        <x:v>114</x:v>
      </x:c>
      <x:c r="B238" s="7" t="s">
        <x:v>87</x:v>
      </x:c>
      <x:c r="C238" s="6">
        <x:v>9218052.7600000016</x:v>
      </x:c>
      <x:c r="E238" s="6">
        <x:v>1452578.37</x:v>
      </x:c>
      <x:c r="F238" s="6">
        <x:v>7765474.3900000025</x:v>
      </x:c>
      <x:c r="G238" s="1">
        <x:f t="shared" si="44"/>
        <x:v>0</x:v>
      </x:c>
      <x:c r="J238" s="3">
        <x:v>52</x:v>
      </x:c>
      <x:c r="K238" s="3">
        <x:v>35.479365000000001</x:v>
      </x:c>
      <x:c r="L238" s="4">
        <x:v>-0.15</x:v>
      </x:c>
      <x:c r="M238" s="3">
        <x:f t="shared" si="45"/>
        <x:v>3367909.5734136156</x:v>
      </x:c>
      <x:c r="N238" s="3">
        <x:v>1.2876642393003297</x:v>
      </x:c>
      <x:c r="O238" s="3">
        <x:f t="shared" si="46"/>
        <x:v>4336736.7188819414</x:v>
      </x:c>
      <x:c r="P238" s="16">
        <x:f t="shared" si="47"/>
        <x:v>0</x:v>
      </x:c>
      <x:c r="Q238" s="16">
        <x:f t="shared" si="48"/>
        <x:v>683381.85061903216</x:v>
      </x:c>
      <x:c r="R238" s="16">
        <x:f t="shared" si="49"/>
        <x:v>3653354.8682629098</x:v>
      </x:c>
      <x:c r="S238" s="16">
        <x:f t="shared" si="37"/>
        <x:v>0</x:v>
      </x:c>
    </x:row>
    <x:row r="239" spans="1:19" outlineLevel="2">
      <x:c r="A239" s="12" t="s">
        <x:v>114</x:v>
      </x:c>
      <x:c r="B239" s="7" t="s">
        <x:v>86</x:v>
      </x:c>
      <x:c r="C239" s="6">
        <x:v>7296547.3000000035</x:v>
      </x:c>
      <x:c r="E239" s="6">
        <x:v>3068772.37</x:v>
      </x:c>
      <x:c r="F239" s="6">
        <x:v>4227774.9300000034</x:v>
      </x:c>
      <x:c r="G239" s="1">
        <x:f t="shared" si="44"/>
        <x:v>0</x:v>
      </x:c>
      <x:c r="J239" s="3">
        <x:v>52</x:v>
      </x:c>
      <x:c r="K239" s="3">
        <x:v>35.086191999999997</x:v>
      </x:c>
      <x:c r="L239" s="4">
        <x:v>-0.15</x:v>
      </x:c>
      <x:c r="M239" s="3">
        <x:f t="shared" si="45"/>
        <x:v>2729312.6944112736</x:v>
      </x:c>
      <x:c r="N239" s="3">
        <x:v>1.2876642393003297</x:v>
      </x:c>
      <x:c r="O239" s="3">
        <x:f t="shared" si="46"/>
        <x:v>3514438.3544618259</x:v>
      </x:c>
      <x:c r="P239" s="16">
        <x:f t="shared" si="47"/>
        <x:v>0</x:v>
      </x:c>
      <x:c r="Q239" s="16">
        <x:f t="shared" si="48"/>
        <x:v>1478097.9105337551</x:v>
      </x:c>
      <x:c r="R239" s="16">
        <x:f t="shared" si="49"/>
        <x:v>2036340.4439280706</x:v>
      </x:c>
      <x:c r="S239" s="16">
        <x:f t="shared" si="37"/>
        <x:v>0</x:v>
      </x:c>
    </x:row>
    <x:row r="240" spans="1:19" outlineLevel="2">
      <x:c r="A240" s="12" t="s">
        <x:v>114</x:v>
      </x:c>
      <x:c r="B240" s="7" t="s">
        <x:v>85</x:v>
      </x:c>
      <x:c r="C240" s="6">
        <x:v>10300248.24</x:v>
      </x:c>
      <x:c r="E240" s="6">
        <x:v>1123689.45</x:v>
      </x:c>
      <x:c r="F240" s="6">
        <x:v>9176558.790000001</x:v>
      </x:c>
      <x:c r="G240" s="1">
        <x:f t="shared" si="44"/>
        <x:v>0</x:v>
      </x:c>
      <x:c r="J240" s="3">
        <x:v>52</x:v>
      </x:c>
      <x:c r="K240" s="3">
        <x:v>34.700243999999998</x:v>
      </x:c>
      <x:c r="L240" s="4">
        <x:v>-0.15</x:v>
      </x:c>
      <x:c r="M240" s="3">
        <x:f t="shared" si="45"/>
        <x:v>3940779.7785604596</x:v>
      </x:c>
      <x:c r="N240" s="3">
        <x:v>1.2876642393003297</x:v>
      </x:c>
      <x:c r="O240" s="3">
        <x:f t="shared" si="46"/>
        <x:v>5074401.1958101755</x:v>
      </x:c>
      <x:c r="P240" s="16">
        <x:f t="shared" si="47"/>
        <x:v>0</x:v>
      </x:c>
      <x:c r="Q240" s="16">
        <x:f t="shared" si="48"/>
        <x:v>553583.85117903503</x:v>
      </x:c>
      <x:c r="R240" s="16">
        <x:f t="shared" si="49"/>
        <x:v>4520817.3446311411</x:v>
      </x:c>
      <x:c r="S240" s="16">
        <x:f t="shared" si="37"/>
        <x:v>0</x:v>
      </x:c>
    </x:row>
    <x:row r="241" spans="1:19" outlineLevel="2">
      <x:c r="A241" s="12" t="s">
        <x:v>114</x:v>
      </x:c>
      <x:c r="B241" s="7" t="s">
        <x:v>84</x:v>
      </x:c>
      <x:c r="C241" s="6">
        <x:v>15049009.699999999</x:v>
      </x:c>
      <x:c r="E241" s="6">
        <x:v>1310867.5499999998</x:v>
      </x:c>
      <x:c r="F241" s="6">
        <x:v>13738142.149999999</x:v>
      </x:c>
      <x:c r="G241" s="1">
        <x:f t="shared" si="44"/>
        <x:v>0</x:v>
      </x:c>
      <x:c r="J241" s="3">
        <x:v>52</x:v>
      </x:c>
      <x:c r="K241" s="3">
        <x:v>34.320408</x:v>
      </x:c>
      <x:c r="L241" s="4">
        <x:v>-0.15</x:v>
      </x:c>
      <x:c r="M241" s="3">
        <x:f t="shared" si="45"/>
        <x:v>5884027.0043278607</x:v>
      </x:c>
      <x:c r="N241" s="3">
        <x:v>1.2876642393003297</x:v>
      </x:c>
      <x:c r="O241" s="3">
        <x:f t="shared" si="46"/>
        <x:v>7576651.1565504326</x:v>
      </x:c>
      <x:c r="P241" s="16">
        <x:f t="shared" si="47"/>
        <x:v>0</x:v>
      </x:c>
      <x:c r="Q241" s="16">
        <x:f t="shared" si="48"/>
        <x:v>659976.06067008723</x:v>
      </x:c>
      <x:c r="R241" s="16">
        <x:f t="shared" si="49"/>
        <x:v>6916675.0958803454</x:v>
      </x:c>
      <x:c r="S241" s="16">
        <x:f t="shared" ref="S241:S304" si="50">+O241-P241-Q241-R241</x:f>
        <x:v>0</x:v>
      </x:c>
    </x:row>
    <x:row r="242" spans="1:19" outlineLevel="2">
      <x:c r="A242" s="12" t="s">
        <x:v>114</x:v>
      </x:c>
      <x:c r="B242" s="7" t="s">
        <x:v>83</x:v>
      </x:c>
      <x:c r="C242" s="6">
        <x:v>15708971.799999995</x:v>
      </x:c>
      <x:c r="E242" s="6">
        <x:v>3464303.5500000003</x:v>
      </x:c>
      <x:c r="F242" s="6">
        <x:v>12244668.249999994</x:v>
      </x:c>
      <x:c r="G242" s="1">
        <x:f t="shared" si="44"/>
        <x:v>0</x:v>
      </x:c>
      <x:c r="J242" s="3">
        <x:v>52</x:v>
      </x:c>
      <x:c r="K242" s="3">
        <x:v>33.945504999999997</x:v>
      </x:c>
      <x:c r="L242" s="4">
        <x:v>-0.15</x:v>
      </x:c>
      <x:c r="M242" s="3">
        <x:f t="shared" si="45"/>
        <x:v>6272311.2642495595</x:v>
      </x:c>
      <x:c r="N242" s="3">
        <x:v>1.2876642393003297</x:v>
      </x:c>
      <x:c r="O242" s="3">
        <x:f t="shared" si="46"/>
        <x:v>8076630.9127347982</x:v>
      </x:c>
      <x:c r="P242" s="16">
        <x:f t="shared" si="47"/>
        <x:v>0</x:v>
      </x:c>
      <x:c r="Q242" s="16">
        <x:f t="shared" si="48"/>
        <x:v>1781141.471208632</x:v>
      </x:c>
      <x:c r="R242" s="16">
        <x:f t="shared" si="49"/>
        <x:v>6295489.4415261662</x:v>
      </x:c>
      <x:c r="S242" s="16">
        <x:f t="shared" si="50"/>
        <x:v>0</x:v>
      </x:c>
    </x:row>
    <x:row r="243" spans="1:19" outlineLevel="2">
      <x:c r="A243" s="12" t="s">
        <x:v>114</x:v>
      </x:c>
      <x:c r="B243" s="7" t="s">
        <x:v>82</x:v>
      </x:c>
      <x:c r="C243" s="6">
        <x:v>13938130.719999999</x:v>
      </x:c>
      <x:c r="E243" s="6">
        <x:v>1754662.4800000007</x:v>
      </x:c>
      <x:c r="F243" s="6">
        <x:v>12183468.239999998</x:v>
      </x:c>
      <x:c r="G243" s="1">
        <x:f t="shared" si="44"/>
        <x:v>0</x:v>
      </x:c>
      <x:c r="J243" s="3">
        <x:v>52</x:v>
      </x:c>
      <x:c r="K243" s="3">
        <x:v>33.574731999999997</x:v>
      </x:c>
      <x:c r="L243" s="4">
        <x:v>-0.15</x:v>
      </x:c>
      <x:c r="M243" s="3">
        <x:f t="shared" ref="M243:M274" si="51">+C243*(1-K243/J243)*(1-L243)</x:f>
        <x:v>5679535.8274093838</x:v>
      </x:c>
      <x:c r="N243" s="3">
        <x:v>1.2876642393003297</x:v>
      </x:c>
      <x:c r="O243" s="3">
        <x:f t="shared" ref="O243:O274" si="52">IF((C243*(1-L243)-M243*N243)&lt;0,C243*(1-L243),M243*N243)</x:f>
        <x:v>7313335.1807800727</x:v>
      </x:c>
      <x:c r="P243" s="16">
        <x:f t="shared" ref="P243:P274" si="53">+D243/$C243*$O243</x:f>
        <x:v>0</x:v>
      </x:c>
      <x:c r="Q243" s="16">
        <x:f t="shared" ref="Q243:Q274" si="54">+E243/$C243*$O243</x:f>
        <x:v>920671.15046965331</x:v>
      </x:c>
      <x:c r="R243" s="16">
        <x:f t="shared" ref="R243:R274" si="55">+F243/$C243*$O243</x:f>
        <x:v>6392664.0303104194</x:v>
      </x:c>
      <x:c r="S243" s="16">
        <x:f t="shared" si="50"/>
        <x:v>0</x:v>
      </x:c>
    </x:row>
    <x:row r="244" spans="1:19" outlineLevel="2">
      <x:c r="A244" s="12" t="s">
        <x:v>114</x:v>
      </x:c>
      <x:c r="B244" s="7" t="s">
        <x:v>81</x:v>
      </x:c>
      <x:c r="C244" s="6">
        <x:v>22825219.339999992</x:v>
      </x:c>
      <x:c r="E244" s="6">
        <x:v>2586005.2700000005</x:v>
      </x:c>
      <x:c r="F244" s="6">
        <x:v>20239214.069999993</x:v>
      </x:c>
      <x:c r="G244" s="1">
        <x:f t="shared" si="44"/>
        <x:v>0</x:v>
      </x:c>
      <x:c r="J244" s="3">
        <x:v>52</x:v>
      </x:c>
      <x:c r="K244" s="3">
        <x:v>33.207957999999998</x:v>
      </x:c>
      <x:c r="L244" s="4">
        <x:v>-0.15</x:v>
      </x:c>
      <x:c r="M244" s="3">
        <x:f t="shared" si="51"/>
        <x:v>9486006.7802108843</x:v>
      </x:c>
      <x:c r="N244" s="3">
        <x:v>1.2876642393003297</x:v>
      </x:c>
      <x:c r="O244" s="3">
        <x:f t="shared" si="52"/>
        <x:v>12214791.704638017</x:v>
      </x:c>
      <x:c r="P244" s="16">
        <x:f t="shared" si="53"/>
        <x:v>0</x:v>
      </x:c>
      <x:c r="Q244" s="16">
        <x:f t="shared" si="54"/>
        <x:v>1383886.6233714891</x:v>
      </x:c>
      <x:c r="R244" s="16">
        <x:f t="shared" si="55"/>
        <x:v>10830905.081266528</x:v>
      </x:c>
      <x:c r="S244" s="16">
        <x:f t="shared" si="50"/>
        <x:v>0</x:v>
      </x:c>
    </x:row>
    <x:row r="245" spans="1:19" outlineLevel="2">
      <x:c r="A245" s="12" t="s">
        <x:v>114</x:v>
      </x:c>
      <x:c r="B245" s="7" t="s">
        <x:v>80</x:v>
      </x:c>
      <x:c r="C245" s="6">
        <x:v>29659426.140000015</x:v>
      </x:c>
      <x:c r="E245" s="6">
        <x:v>1198252.9599999997</x:v>
      </x:c>
      <x:c r="F245" s="6">
        <x:v>28461173.180000015</x:v>
      </x:c>
      <x:c r="G245" s="1">
        <x:f t="shared" si="44"/>
        <x:v>0</x:v>
      </x:c>
      <x:c r="J245" s="3">
        <x:v>52</x:v>
      </x:c>
      <x:c r="K245" s="3">
        <x:v>32.845132</x:v>
      </x:c>
      <x:c r="L245" s="4">
        <x:v>-0.15</x:v>
      </x:c>
      <x:c r="M245" s="3">
        <x:f t="shared" si="51"/>
        <x:v>12564245.222453216</x:v>
      </x:c>
      <x:c r="N245" s="3">
        <x:v>1.2876642393003297</x:v>
      </x:c>
      <x:c r="O245" s="3">
        <x:f t="shared" si="52"/>
        <x:v>16178529.266753022</x:v>
      </x:c>
      <x:c r="P245" s="16">
        <x:f t="shared" si="53"/>
        <x:v>0</x:v>
      </x:c>
      <x:c r="Q245" s="16">
        <x:f t="shared" si="54"/>
        <x:v>653619.20661670039</x:v>
      </x:c>
      <x:c r="R245" s="16">
        <x:f t="shared" si="55"/>
        <x:v>15524910.06013632</x:v>
      </x:c>
      <x:c r="S245" s="16">
        <x:f t="shared" si="50"/>
        <x:v>0</x:v>
      </x:c>
    </x:row>
    <x:row r="246" spans="1:19" outlineLevel="2">
      <x:c r="A246" s="12" t="s">
        <x:v>114</x:v>
      </x:c>
      <x:c r="B246" s="7" t="s">
        <x:v>79</x:v>
      </x:c>
      <x:c r="C246" s="6">
        <x:v>11480222.729999993</x:v>
      </x:c>
      <x:c r="E246" s="6">
        <x:v>1265539.01</x:v>
      </x:c>
      <x:c r="F246" s="6">
        <x:v>10214683.719999993</x:v>
      </x:c>
      <x:c r="G246" s="1">
        <x:f t="shared" si="44"/>
        <x:v>0</x:v>
      </x:c>
      <x:c r="J246" s="3">
        <x:v>52</x:v>
      </x:c>
      <x:c r="K246" s="3">
        <x:v>32.486207999999998</x:v>
      </x:c>
      <x:c r="L246" s="4">
        <x:v>-0.15</x:v>
      </x:c>
      <x:c r="M246" s="3">
        <x:f t="shared" si="51"/>
        <x:v>4954347.6968639577</x:v>
      </x:c>
      <x:c r="N246" s="3">
        <x:v>1.2876642393003297</x:v>
      </x:c>
      <x:c r="O246" s="3">
        <x:f t="shared" si="52"/>
        <x:v>6379536.358311668</x:v>
      </x:c>
      <x:c r="P246" s="16">
        <x:f t="shared" si="53"/>
        <x:v>0</x:v>
      </x:c>
      <x:c r="Q246" s="16">
        <x:f t="shared" si="54"/>
        <x:v>703257.44691860687</x:v>
      </x:c>
      <x:c r="R246" s="16">
        <x:f t="shared" si="55"/>
        <x:v>5676278.9113930613</x:v>
      </x:c>
      <x:c r="S246" s="16">
        <x:f t="shared" si="50"/>
        <x:v>0</x:v>
      </x:c>
    </x:row>
    <x:row r="247" spans="1:19" outlineLevel="2">
      <x:c r="A247" s="12" t="s">
        <x:v>114</x:v>
      </x:c>
      <x:c r="B247" s="7" t="s">
        <x:v>78</x:v>
      </x:c>
      <x:c r="C247" s="6">
        <x:v>23475312.560000002</x:v>
      </x:c>
      <x:c r="E247" s="6">
        <x:v>5352456.0600000005</x:v>
      </x:c>
      <x:c r="F247" s="6">
        <x:v>18122856.500000004</x:v>
      </x:c>
      <x:c r="G247" s="1">
        <x:f t="shared" si="44"/>
        <x:v>0</x:v>
      </x:c>
      <x:c r="J247" s="3">
        <x:v>52</x:v>
      </x:c>
      <x:c r="K247" s="3">
        <x:v>32.131149000000001</x:v>
      </x:c>
      <x:c r="L247" s="4">
        <x:v>-0.15</x:v>
      </x:c>
      <x:c r="M247" s="3">
        <x:f t="shared" si="51"/>
        <x:v>10315223.279769786</x:v>
      </x:c>
      <x:c r="N247" s="3">
        <x:v>1.2876642393003297</x:v>
      </x:c>
      <x:c r="O247" s="3">
        <x:f t="shared" si="52"/>
        <x:v>13282544.137757814</x:v>
      </x:c>
      <x:c r="P247" s="16">
        <x:f t="shared" si="53"/>
        <x:v>0</x:v>
      </x:c>
      <x:c r="Q247" s="16">
        <x:f t="shared" si="54"/>
        <x:v>3028468.0419334653</x:v>
      </x:c>
      <x:c r="R247" s="16">
        <x:f t="shared" si="55"/>
        <x:v>10254076.09582435</x:v>
      </x:c>
      <x:c r="S247" s="16">
        <x:f t="shared" si="50"/>
        <x:v>0</x:v>
      </x:c>
    </x:row>
    <x:row r="248" spans="1:19" outlineLevel="2">
      <x:c r="A248" s="12" t="s">
        <x:v>114</x:v>
      </x:c>
      <x:c r="B248" s="7" t="s">
        <x:v>77</x:v>
      </x:c>
      <x:c r="C248" s="6">
        <x:v>15696419.109999999</x:v>
      </x:c>
      <x:c r="E248" s="6">
        <x:v>2064446.53</x:v>
      </x:c>
      <x:c r="F248" s="6">
        <x:v>13631972.58</x:v>
      </x:c>
      <x:c r="G248" s="1">
        <x:f t="shared" si="44"/>
        <x:v>0</x:v>
      </x:c>
      <x:c r="J248" s="3">
        <x:v>52</x:v>
      </x:c>
      <x:c r="K248" s="3">
        <x:v>31.779896999999998</x:v>
      </x:c>
      <x:c r="L248" s="4">
        <x:v>-0.15</x:v>
      </x:c>
      <x:c r="M248" s="3">
        <x:f t="shared" si="51"/>
        <x:v>7019051.7847244926</x:v>
      </x:c>
      <x:c r="N248" s="3">
        <x:v>1.2876642393003297</x:v>
      </x:c>
      <x:c r="O248" s="3">
        <x:f t="shared" si="52"/>
        <x:v>9038181.9769868851</x:v>
      </x:c>
      <x:c r="P248" s="16">
        <x:f t="shared" si="53"/>
        <x:v>0</x:v>
      </x:c>
      <x:c r="Q248" s="16">
        <x:f t="shared" si="54"/>
        <x:v>1188732.4930061144</x:v>
      </x:c>
      <x:c r="R248" s="16">
        <x:f t="shared" si="55"/>
        <x:v>7849449.4839807712</x:v>
      </x:c>
      <x:c r="S248" s="16">
        <x:f t="shared" si="50"/>
        <x:v>0</x:v>
      </x:c>
    </x:row>
    <x:row r="249" spans="1:19" outlineLevel="2">
      <x:c r="A249" s="12" t="s">
        <x:v>114</x:v>
      </x:c>
      <x:c r="B249" s="7" t="s">
        <x:v>76</x:v>
      </x:c>
      <x:c r="C249" s="6">
        <x:v>9477807.7399999965</x:v>
      </x:c>
      <x:c r="E249" s="6">
        <x:v>2122857.6500000013</x:v>
      </x:c>
      <x:c r="F249" s="6">
        <x:v>7354950.0899999952</x:v>
      </x:c>
      <x:c r="G249" s="1">
        <x:f t="shared" si="44"/>
        <x:v>0</x:v>
      </x:c>
      <x:c r="J249" s="3">
        <x:v>52</x:v>
      </x:c>
      <x:c r="K249" s="3">
        <x:v>31.432421000000001</x:v>
      </x:c>
      <x:c r="L249" s="4">
        <x:v>-0.15</x:v>
      </x:c>
      <x:c r="M249" s="3">
        <x:f t="shared" si="51"/>
        <x:v>4311074.8722144347</x:v>
      </x:c>
      <x:c r="N249" s="3">
        <x:v>1.2876642393003297</x:v>
      </x:c>
      <x:c r="O249" s="3">
        <x:f t="shared" si="52"/>
        <x:v>5551216.9458967661</x:v>
      </x:c>
      <x:c r="P249" s="16">
        <x:f t="shared" si="53"/>
        <x:v>0</x:v>
      </x:c>
      <x:c r="Q249" s="16">
        <x:f t="shared" si="54"/>
        <x:v>1243372.2738088162</x:v>
      </x:c>
      <x:c r="R249" s="16">
        <x:f t="shared" si="55"/>
        <x:v>4307844.6720879506</x:v>
      </x:c>
      <x:c r="S249" s="16">
        <x:f t="shared" si="50"/>
        <x:v>0</x:v>
      </x:c>
    </x:row>
    <x:row r="250" spans="1:19" outlineLevel="2">
      <x:c r="A250" s="12" t="s">
        <x:v>114</x:v>
      </x:c>
      <x:c r="B250" s="7" t="s">
        <x:v>75</x:v>
      </x:c>
      <x:c r="C250" s="6">
        <x:v>13295939.209999997</x:v>
      </x:c>
      <x:c r="E250" s="6">
        <x:v>1284735.5600000003</x:v>
      </x:c>
      <x:c r="F250" s="6">
        <x:v>12011203.649999997</x:v>
      </x:c>
      <x:c r="G250" s="1">
        <x:f t="shared" si="44"/>
        <x:v>0</x:v>
      </x:c>
      <x:c r="J250" s="3">
        <x:v>52</x:v>
      </x:c>
      <x:c r="K250" s="3">
        <x:v>31.088642</x:v>
      </x:c>
      <x:c r="L250" s="4">
        <x:v>-0.15</x:v>
      </x:c>
      <x:c r="M250" s="3">
        <x:f t="shared" si="51"/>
        <x:v>6148876.2784909457</x:v>
      </x:c>
      <x:c r="N250" s="3">
        <x:v>1.2876642393003297</x:v>
      </x:c>
      <x:c r="O250" s="3">
        <x:f t="shared" si="52"/>
        <x:v>7917688.0956948856</x:v>
      </x:c>
      <x:c r="P250" s="16">
        <x:f t="shared" si="53"/>
        <x:v>0</x:v>
      </x:c>
      <x:c r="Q250" s="16">
        <x:f t="shared" si="54"/>
        <x:v>765055.80304378562</x:v>
      </x:c>
      <x:c r="R250" s="16">
        <x:f t="shared" si="55"/>
        <x:v>7152632.2926511001</x:v>
      </x:c>
      <x:c r="S250" s="16">
        <x:f t="shared" si="50"/>
        <x:v>0</x:v>
      </x:c>
    </x:row>
    <x:row r="251" spans="1:19" outlineLevel="2">
      <x:c r="A251" s="12" t="s">
        <x:v>114</x:v>
      </x:c>
      <x:c r="B251" s="7" t="s">
        <x:v>74</x:v>
      </x:c>
      <x:c r="C251" s="6">
        <x:v>13038609.140000001</x:v>
      </x:c>
      <x:c r="E251" s="6">
        <x:v>2101179.89</x:v>
      </x:c>
      <x:c r="F251" s="6">
        <x:v>10937429.25</x:v>
      </x:c>
      <x:c r="G251" s="1">
        <x:f t="shared" si="44"/>
        <x:v>0</x:v>
      </x:c>
      <x:c r="J251" s="3">
        <x:v>52</x:v>
      </x:c>
      <x:c r="K251" s="3">
        <x:v>30.748501000000001</x:v>
      </x:c>
      <x:c r="L251" s="4">
        <x:v>-0.15</x:v>
      </x:c>
      <x:c r="M251" s="3">
        <x:f t="shared" si="51"/>
        <x:v>6127951.6820214614</x:v>
      </x:c>
      <x:c r="N251" s="3">
        <x:v>1.2876642393003297</x:v>
      </x:c>
      <x:c r="O251" s="3">
        <x:f t="shared" si="52"/>
        <x:v>7890744.2410993408</x:v>
      </x:c>
      <x:c r="P251" s="16">
        <x:f t="shared" si="53"/>
        <x:v>0</x:v>
      </x:c>
      <x:c r="Q251" s="16">
        <x:f t="shared" si="54"/>
        <x:v>1271598.2923107431</x:v>
      </x:c>
      <x:c r="R251" s="16">
        <x:f t="shared" si="55"/>
        <x:v>6619145.9487885972</x:v>
      </x:c>
      <x:c r="S251" s="16">
        <x:f t="shared" si="50"/>
        <x:v>0</x:v>
      </x:c>
    </x:row>
    <x:row r="252" spans="1:19" outlineLevel="2">
      <x:c r="A252" s="12" t="s">
        <x:v>114</x:v>
      </x:c>
      <x:c r="B252" s="7" t="s">
        <x:v>73</x:v>
      </x:c>
      <x:c r="C252" s="6">
        <x:v>13966422.789999995</x:v>
      </x:c>
      <x:c r="E252" s="6">
        <x:v>949568.39999999979</x:v>
      </x:c>
      <x:c r="F252" s="6">
        <x:v>13016854.389999995</x:v>
      </x:c>
      <x:c r="G252" s="1">
        <x:f t="shared" si="44"/>
        <x:v>0</x:v>
      </x:c>
      <x:c r="J252" s="3">
        <x:v>52</x:v>
      </x:c>
      <x:c r="K252" s="3">
        <x:v>30.411994</x:v>
      </x:c>
      <x:c r="L252" s="4">
        <x:v>-0.15</x:v>
      </x:c>
      <x:c r="M252" s="3">
        <x:f t="shared" si="51"/>
        <x:v>6667948.1122579817</x:v>
      </x:c>
      <x:c r="N252" s="3">
        <x:v>1.2876642393003297</x:v>
      </x:c>
      <x:c r="O252" s="3">
        <x:f t="shared" si="52"/>
        <x:v>8586078.3336647432</x:v>
      </x:c>
      <x:c r="P252" s="16">
        <x:f t="shared" si="53"/>
        <x:v>0</x:v>
      </x:c>
      <x:c r="Q252" s="16">
        <x:f t="shared" si="54"/>
        <x:v>583762.12636283052</x:v>
      </x:c>
      <x:c r="R252" s="16">
        <x:f t="shared" si="55"/>
        <x:v>8002316.2073019119</x:v>
      </x:c>
      <x:c r="S252" s="16">
        <x:f t="shared" si="50"/>
        <x:v>0</x:v>
      </x:c>
    </x:row>
    <x:row r="253" spans="1:19" outlineLevel="2">
      <x:c r="A253" s="12" t="s">
        <x:v>114</x:v>
      </x:c>
      <x:c r="B253" s="7" t="s">
        <x:v>72</x:v>
      </x:c>
      <x:c r="C253" s="6">
        <x:v>10425757.980000004</x:v>
      </x:c>
      <x:c r="E253" s="6">
        <x:v>1089136.6299999999</x:v>
      </x:c>
      <x:c r="F253" s="6">
        <x:v>9336621.3500000052</x:v>
      </x:c>
      <x:c r="G253" s="1">
        <x:f t="shared" si="44"/>
        <x:v>0</x:v>
      </x:c>
      <x:c r="J253" s="3">
        <x:v>52</x:v>
      </x:c>
      <x:c r="K253" s="3">
        <x:v>30.079070000000002</x:v>
      </x:c>
      <x:c r="L253" s="4">
        <x:v>-0.15</x:v>
      </x:c>
      <x:c r="M253" s="3">
        <x:f t="shared" si="51"/>
        <x:v>5054301.1059230696</x:v>
      </x:c>
      <x:c r="N253" s="3">
        <x:v>1.2876642393003297</x:v>
      </x:c>
      <x:c r="O253" s="3">
        <x:f t="shared" si="52"/>
        <x:v>6508242.788753245</x:v>
      </x:c>
      <x:c r="P253" s="16">
        <x:f t="shared" si="53"/>
        <x:v>0</x:v>
      </x:c>
      <x:c r="Q253" s="16">
        <x:f t="shared" si="54"/>
        <x:v>679889.71466269426</x:v>
      </x:c>
      <x:c r="R253" s="16">
        <x:f t="shared" si="55"/>
        <x:v>5828353.0740905516</x:v>
      </x:c>
      <x:c r="S253" s="16">
        <x:f t="shared" si="50"/>
        <x:v>0</x:v>
      </x:c>
    </x:row>
    <x:row r="254" spans="1:19" outlineLevel="2">
      <x:c r="A254" s="12" t="s">
        <x:v>114</x:v>
      </x:c>
      <x:c r="B254" s="7" t="s">
        <x:v>71</x:v>
      </x:c>
      <x:c r="C254" s="6">
        <x:v>10950752.870000003</x:v>
      </x:c>
      <x:c r="E254" s="6">
        <x:v>1236398.8</x:v>
      </x:c>
      <x:c r="F254" s="6">
        <x:v>9714354.0700000022</x:v>
      </x:c>
      <x:c r="G254" s="1">
        <x:f t="shared" si="44"/>
        <x:v>0</x:v>
      </x:c>
      <x:c r="J254" s="3">
        <x:v>52</x:v>
      </x:c>
      <x:c r="K254" s="3">
        <x:v>29.749697000000001</x:v>
      </x:c>
      <x:c r="L254" s="4">
        <x:v>-0.15</x:v>
      </x:c>
      <x:c r="M254" s="3">
        <x:f t="shared" si="51"/>
        <x:v>5388580.8625185108</x:v>
      </x:c>
      <x:c r="N254" s="3">
        <x:v>1.2876642393003297</x:v>
      </x:c>
      <x:c r="O254" s="3">
        <x:f t="shared" si="52"/>
        <x:v>6938682.8772432124</x:v>
      </x:c>
      <x:c r="P254" s="16">
        <x:f t="shared" si="53"/>
        <x:v>0</x:v>
      </x:c>
      <x:c r="Q254" s="16">
        <x:f t="shared" si="54"/>
        <x:v>783414.55467472842</x:v>
      </x:c>
      <x:c r="R254" s="16">
        <x:f t="shared" si="55"/>
        <x:v>6155268.3225684837</x:v>
      </x:c>
      <x:c r="S254" s="16">
        <x:f t="shared" si="50"/>
        <x:v>0</x:v>
      </x:c>
    </x:row>
    <x:row r="255" spans="1:19" outlineLevel="2">
      <x:c r="A255" s="12" t="s">
        <x:v>114</x:v>
      </x:c>
      <x:c r="B255" s="7" t="s">
        <x:v>70</x:v>
      </x:c>
      <x:c r="C255" s="6">
        <x:v>14656418.84</x:v>
      </x:c>
      <x:c r="E255" s="6">
        <x:v>1231002.45</x:v>
      </x:c>
      <x:c r="F255" s="6">
        <x:v>13425416.390000001</x:v>
      </x:c>
      <x:c r="G255" s="1">
        <x:f t="shared" si="44"/>
        <x:v>0</x:v>
      </x:c>
      <x:c r="J255" s="3">
        <x:v>52</x:v>
      </x:c>
      <x:c r="K255" s="3">
        <x:v>29.423825999999998</x:v>
      </x:c>
      <x:c r="L255" s="4">
        <x:v>-0.15</x:v>
      </x:c>
      <x:c r="M255" s="3">
        <x:f t="shared" si="51"/>
        <x:v>7317668.1007889593</x:v>
      </x:c>
      <x:c r="N255" s="3">
        <x:v>1.2876642393003297</x:v>
      </x:c>
      <x:c r="O255" s="3">
        <x:f t="shared" si="52"/>
        <x:v>9422699.5284547042</x:v>
      </x:c>
      <x:c r="P255" s="16">
        <x:f t="shared" si="53"/>
        <x:v>0</x:v>
      </x:c>
      <x:c r="Q255" s="16">
        <x:f t="shared" si="54"/>
        <x:v>791418.85420774354</x:v>
      </x:c>
      <x:c r="R255" s="16">
        <x:f t="shared" si="55"/>
        <x:v>8631280.6742469613</x:v>
      </x:c>
      <x:c r="S255" s="16">
        <x:f t="shared" si="50"/>
        <x:v>0</x:v>
      </x:c>
    </x:row>
    <x:row r="256" spans="1:19" outlineLevel="2">
      <x:c r="A256" s="12" t="s">
        <x:v>114</x:v>
      </x:c>
      <x:c r="B256" s="7" t="s">
        <x:v>69</x:v>
      </x:c>
      <x:c r="C256" s="6">
        <x:v>13033860.539999999</x:v>
      </x:c>
      <x:c r="E256" s="6">
        <x:v>2898829.71</x:v>
      </x:c>
      <x:c r="F256" s="6">
        <x:v>10135030.83</x:v>
      </x:c>
      <x:c r="G256" s="1">
        <x:f t="shared" si="44"/>
        <x:v>0</x:v>
      </x:c>
      <x:c r="J256" s="3">
        <x:v>52</x:v>
      </x:c>
      <x:c r="K256" s="3">
        <x:v>29.101424999999999</x:v>
      </x:c>
      <x:c r="L256" s="4">
        <x:v>-0.15</x:v>
      </x:c>
      <x:c r="M256" s="3">
        <x:f t="shared" si="51"/>
        <x:v>6600487.6554219238</x:v>
      </x:c>
      <x:c r="N256" s="3">
        <x:v>1.2876642393003297</x:v>
      </x:c>
      <x:c r="O256" s="3">
        <x:f t="shared" si="52"/>
        <x:v>8499211.9158300888</x:v>
      </x:c>
      <x:c r="P256" s="16">
        <x:f t="shared" si="53"/>
        <x:v>0</x:v>
      </x:c>
      <x:c r="Q256" s="16">
        <x:f t="shared" si="54"/>
        <x:v>1890289.3688008022</x:v>
      </x:c>
      <x:c r="R256" s="16">
        <x:f t="shared" si="55"/>
        <x:v>6608922.5470292876</x:v>
      </x:c>
      <x:c r="S256" s="16">
        <x:f t="shared" si="50"/>
        <x:v>0</x:v>
      </x:c>
    </x:row>
    <x:row r="257" spans="1:19" outlineLevel="2">
      <x:c r="A257" s="12" t="s">
        <x:v>114</x:v>
      </x:c>
      <x:c r="B257" s="7" t="s">
        <x:v>68</x:v>
      </x:c>
      <x:c r="C257" s="6">
        <x:v>5862017.7200000016</x:v>
      </x:c>
      <x:c r="E257" s="6">
        <x:v>378723.37</x:v>
      </x:c>
      <x:c r="F257" s="6">
        <x:v>5483294.3500000015</x:v>
      </x:c>
      <x:c r="G257" s="1">
        <x:f t="shared" si="44"/>
        <x:v>0</x:v>
      </x:c>
      <x:c r="J257" s="3">
        <x:v>52</x:v>
      </x:c>
      <x:c r="K257" s="3">
        <x:v>28.782451999999999</x:v>
      </x:c>
      <x:c r="L257" s="4">
        <x:v>-0.15</x:v>
      </x:c>
      <x:c r="M257" s="3">
        <x:f t="shared" si="51"/>
        <x:v>3009940.9511460229</x:v>
      </x:c>
      <x:c r="N257" s="3">
        <x:v>1.2876642393003297</x:v>
      </x:c>
      <x:c r="O257" s="3">
        <x:f t="shared" si="52"/>
        <x:v>3875793.3251963542</x:v>
      </x:c>
      <x:c r="P257" s="16">
        <x:f t="shared" si="53"/>
        <x:v>0</x:v>
      </x:c>
      <x:c r="Q257" s="16">
        <x:f t="shared" si="54"/>
        <x:v>250400.72883673725</x:v>
      </x:c>
      <x:c r="R257" s="16">
        <x:f t="shared" si="55"/>
        <x:v>3625392.5963596166</x:v>
      </x:c>
      <x:c r="S257" s="16">
        <x:f t="shared" si="50"/>
        <x:v>0</x:v>
      </x:c>
    </x:row>
    <x:row r="258" spans="1:19" outlineLevel="2">
      <x:c r="A258" s="12" t="s">
        <x:v>114</x:v>
      </x:c>
      <x:c r="B258" s="7" t="s">
        <x:v>67</x:v>
      </x:c>
      <x:c r="C258" s="6">
        <x:v>12135651.469999999</x:v>
      </x:c>
      <x:c r="E258" s="6">
        <x:v>384398.73999999987</x:v>
      </x:c>
      <x:c r="F258" s="6">
        <x:v>11751252.729999999</x:v>
      </x:c>
      <x:c r="G258" s="1">
        <x:f t="shared" si="44"/>
        <x:v>0</x:v>
      </x:c>
      <x:c r="J258" s="3">
        <x:v>52</x:v>
      </x:c>
      <x:c r="K258" s="3">
        <x:v>28.466871999999999</x:v>
      </x:c>
      <x:c r="L258" s="4">
        <x:v>-0.15</x:v>
      </x:c>
      <x:c r="M258" s="3">
        <x:f t="shared" si="51"/>
        <x:v>6315929.1407294776</x:v>
      </x:c>
      <x:c r="N258" s="3">
        <x:v>1.2876642393003297</x:v>
      </x:c>
      <x:c r="O258" s="3">
        <x:f t="shared" si="52"/>
        <x:v>8132796.0924722077</x:v>
      </x:c>
      <x:c r="P258" s="16">
        <x:f t="shared" si="53"/>
        <x:v>0</x:v>
      </x:c>
      <x:c r="Q258" s="16">
        <x:f t="shared" si="54"/>
        <x:v>257607.64293136375</x:v>
      </x:c>
      <x:c r="R258" s="16">
        <x:f t="shared" si="55"/>
        <x:v>7875188.4495408442</x:v>
      </x:c>
      <x:c r="S258" s="16">
        <x:f t="shared" si="50"/>
        <x:v>0</x:v>
      </x:c>
    </x:row>
    <x:row r="259" spans="1:19" outlineLevel="2">
      <x:c r="A259" s="12" t="s">
        <x:v>114</x:v>
      </x:c>
      <x:c r="B259" s="7" t="s">
        <x:v>66</x:v>
      </x:c>
      <x:c r="C259" s="6">
        <x:v>9735358.6999999955</x:v>
      </x:c>
      <x:c r="E259" s="6">
        <x:v>214425.27000000005</x:v>
      </x:c>
      <x:c r="F259" s="6">
        <x:v>9520933.429999996</x:v>
      </x:c>
      <x:c r="G259" s="1">
        <x:f t="shared" ref="G259:G322" si="56">+C259-D259-E259-F259</x:f>
        <x:v>0</x:v>
      </x:c>
      <x:c r="J259" s="3">
        <x:v>52</x:v>
      </x:c>
      <x:c r="K259" s="3">
        <x:v>28.154647000000001</x:v>
      </x:c>
      <x:c r="L259" s="4">
        <x:v>-0.15</x:v>
      </x:c>
      <x:c r="M259" s="3">
        <x:f t="shared" si="51"/>
        <x:v>5133933.1634728666</x:v>
      </x:c>
      <x:c r="N259" s="3">
        <x:v>1.2876642393003297</x:v>
      </x:c>
      <x:c r="O259" s="3">
        <x:f t="shared" si="52"/>
        <x:v>6610782.1415620241</x:v>
      </x:c>
      <x:c r="P259" s="16">
        <x:f t="shared" si="53"/>
        <x:v>0</x:v>
      </x:c>
      <x:c r="Q259" s="16">
        <x:f t="shared" si="54"/>
        <x:v>145605.18921769326</x:v>
      </x:c>
      <x:c r="R259" s="16">
        <x:f t="shared" si="55"/>
        <x:v>6465176.952344331</x:v>
      </x:c>
      <x:c r="S259" s="16">
        <x:f t="shared" si="50"/>
        <x:v>0</x:v>
      </x:c>
    </x:row>
    <x:row r="260" spans="1:19" outlineLevel="2">
      <x:c r="A260" s="12" t="s">
        <x:v>114</x:v>
      </x:c>
      <x:c r="B260" s="7" t="s">
        <x:v>65</x:v>
      </x:c>
      <x:c r="C260" s="6">
        <x:v>7237377.5700000003</x:v>
      </x:c>
      <x:c r="E260" s="6">
        <x:v>925993.85999999987</x:v>
      </x:c>
      <x:c r="F260" s="6">
        <x:v>6311383.71</x:v>
      </x:c>
      <x:c r="G260" s="1">
        <x:f t="shared" si="56"/>
        <x:v>0</x:v>
      </x:c>
      <x:c r="J260" s="3">
        <x:v>52</x:v>
      </x:c>
      <x:c r="K260" s="3">
        <x:v>27.845744</x:v>
      </x:c>
      <x:c r="L260" s="4">
        <x:v>-0.15</x:v>
      </x:c>
      <x:c r="M260" s="3">
        <x:f t="shared" si="51"/>
        <x:v>3866067.138146223</x:v>
      </x:c>
      <x:c r="N260" s="3">
        <x:v>1.2876642393003297</x:v>
      </x:c>
      <x:c r="O260" s="3">
        <x:f t="shared" si="52"/>
        <x:v>4978196.4005250586</x:v>
      </x:c>
      <x:c r="P260" s="16">
        <x:f t="shared" si="53"/>
        <x:v>0</x:v>
      </x:c>
      <x:c r="Q260" s="16">
        <x:f t="shared" si="54"/>
        <x:v>636940.55701453541</x:v>
      </x:c>
      <x:c r="R260" s="16">
        <x:f t="shared" si="55"/>
        <x:v>4341255.8435105234</x:v>
      </x:c>
      <x:c r="S260" s="16">
        <x:f t="shared" si="50"/>
        <x:v>0</x:v>
      </x:c>
    </x:row>
    <x:row r="261" spans="1:19" outlineLevel="2">
      <x:c r="A261" s="12" t="s">
        <x:v>114</x:v>
      </x:c>
      <x:c r="B261" s="7" t="s">
        <x:v>64</x:v>
      </x:c>
      <x:c r="C261" s="6">
        <x:v>7666178.6399999987</x:v>
      </x:c>
      <x:c r="E261" s="6">
        <x:v>1073332.08</x:v>
      </x:c>
      <x:c r="F261" s="6">
        <x:v>6592846.5599999987</x:v>
      </x:c>
      <x:c r="G261" s="1">
        <x:f t="shared" si="56"/>
        <x:v>0</x:v>
      </x:c>
      <x:c r="J261" s="3">
        <x:v>52</x:v>
      </x:c>
      <x:c r="K261" s="3">
        <x:v>27.540123000000001</x:v>
      </x:c>
      <x:c r="L261" s="4">
        <x:v>-0.15</x:v>
      </x:c>
      <x:c r="M261" s="3">
        <x:f t="shared" si="51"/>
        <x:v>4146939.5112229101</x:v>
      </x:c>
      <x:c r="N261" s="3">
        <x:v>1.2876642393003297</x:v>
      </x:c>
      <x:c r="O261" s="3">
        <x:f t="shared" si="52"/>
        <x:v>5339865.7111433297</x:v>
      </x:c>
      <x:c r="P261" s="16">
        <x:f t="shared" si="53"/>
        <x:v>0</x:v>
      </x:c>
      <x:c r="Q261" s="16">
        <x:f t="shared" si="54"/>
        <x:v>747627.91735076904</x:v>
      </x:c>
      <x:c r="R261" s="16">
        <x:f t="shared" si="55"/>
        <x:v>4592237.7937925607</x:v>
      </x:c>
      <x:c r="S261" s="16">
        <x:f t="shared" si="50"/>
        <x:v>0</x:v>
      </x:c>
    </x:row>
    <x:row r="262" spans="1:19" outlineLevel="2">
      <x:c r="A262" s="12" t="s">
        <x:v>114</x:v>
      </x:c>
      <x:c r="B262" s="7" t="s">
        <x:v>63</x:v>
      </x:c>
      <x:c r="C262" s="6">
        <x:v>5401878.7699999977</x:v>
      </x:c>
      <x:c r="E262" s="6">
        <x:v>1112760.8399999999</x:v>
      </x:c>
      <x:c r="F262" s="6">
        <x:v>4289117.9299999978</x:v>
      </x:c>
      <x:c r="G262" s="1">
        <x:f t="shared" si="56"/>
        <x:v>0</x:v>
      </x:c>
      <x:c r="J262" s="3">
        <x:v>52</x:v>
      </x:c>
      <x:c r="K262" s="3">
        <x:v>27.237755</x:v>
      </x:c>
      <x:c r="L262" s="4">
        <x:v>-0.15</x:v>
      </x:c>
      <x:c r="M262" s="3">
        <x:f t="shared" si="51"/>
        <x:v>2958212.3537979685</x:v>
      </x:c>
      <x:c r="N262" s="3">
        <x:v>1.2876642393003297</x:v>
      </x:c>
      <x:c r="O262" s="3">
        <x:f t="shared" si="52"/>
        <x:v>3809184.2602420989</x:v>
      </x:c>
      <x:c r="P262" s="16">
        <x:f t="shared" si="53"/>
        <x:v>0</x:v>
      </x:c>
      <x:c r="Q262" s="16">
        <x:f t="shared" si="54"/>
        <x:v>784673.49187508295</x:v>
      </x:c>
      <x:c r="R262" s="16">
        <x:f t="shared" si="55"/>
        <x:v>3024510.7683670162</x:v>
      </x:c>
      <x:c r="S262" s="16">
        <x:f t="shared" si="50"/>
        <x:v>0</x:v>
      </x:c>
    </x:row>
    <x:row r="263" spans="1:19" outlineLevel="2">
      <x:c r="A263" s="12" t="s">
        <x:v>114</x:v>
      </x:c>
      <x:c r="B263" s="7" t="s">
        <x:v>62</x:v>
      </x:c>
      <x:c r="C263" s="6">
        <x:v>4005101.9899999993</x:v>
      </x:c>
      <x:c r="E263" s="6">
        <x:v>257320.35999999993</x:v>
      </x:c>
      <x:c r="F263" s="6">
        <x:v>3747781.6299999994</x:v>
      </x:c>
      <x:c r="G263" s="1">
        <x:f t="shared" si="56"/>
        <x:v>0</x:v>
      </x:c>
      <x:c r="J263" s="3">
        <x:v>52</x:v>
      </x:c>
      <x:c r="K263" s="3">
        <x:v>26.93853</x:v>
      </x:c>
      <x:c r="L263" s="4">
        <x:v>-0.15</x:v>
      </x:c>
      <x:c r="M263" s="3">
        <x:f t="shared" si="51"/>
        <x:v>2219803.9398985398</x:v>
      </x:c>
      <x:c r="N263" s="3">
        <x:v>1.2876642393003297</x:v>
      </x:c>
      <x:c r="O263" s="3">
        <x:f t="shared" si="52"/>
        <x:v>2858362.1516653281</x:v>
      </x:c>
      <x:c r="P263" s="16">
        <x:f t="shared" si="53"/>
        <x:v>0</x:v>
      </x:c>
      <x:c r="Q263" s="16">
        <x:f t="shared" si="54"/>
        <x:v>183644.4564241663</x:v>
      </x:c>
      <x:c r="R263" s="16">
        <x:f t="shared" si="55"/>
        <x:v>2674717.6952411616</x:v>
      </x:c>
      <x:c r="S263" s="16">
        <x:f t="shared" si="50"/>
        <x:v>0</x:v>
      </x:c>
    </x:row>
    <x:row r="264" spans="1:19" outlineLevel="2">
      <x:c r="A264" s="12" t="s">
        <x:v>114</x:v>
      </x:c>
      <x:c r="B264" s="7" t="s">
        <x:v>61</x:v>
      </x:c>
      <x:c r="C264" s="6">
        <x:v>5619534.8900000006</x:v>
      </x:c>
      <x:c r="E264" s="6">
        <x:v>461825.99000000005</x:v>
      </x:c>
      <x:c r="F264" s="6">
        <x:v>5157708.9000000004</x:v>
      </x:c>
      <x:c r="G264" s="1">
        <x:f t="shared" si="56"/>
        <x:v>0</x:v>
      </x:c>
      <x:c r="J264" s="3">
        <x:v>52</x:v>
      </x:c>
      <x:c r="K264" s="3">
        <x:v>26.642401</x:v>
      </x:c>
      <x:c r="L264" s="4">
        <x:v>-0.15</x:v>
      </x:c>
      <x:c r="M264" s="3">
        <x:f t="shared" si="51"/>
        <x:v>3151396.1375615094</x:v>
      </x:c>
      <x:c r="N264" s="3">
        <x:v>1.2876642393003297</x:v>
      </x:c>
      <x:c r="O264" s="3">
        <x:f t="shared" si="52"/>
        <x:v>4057940.1102071381</x:v>
      </x:c>
      <x:c r="P264" s="16">
        <x:f t="shared" si="53"/>
        <x:v>0</x:v>
      </x:c>
      <x:c r="Q264" s="16">
        <x:f t="shared" si="54"/>
        <x:v>333490.62608224514</x:v>
      </x:c>
      <x:c r="R264" s="16">
        <x:f t="shared" si="55"/>
        <x:v>3724449.4841248929</x:v>
      </x:c>
      <x:c r="S264" s="16">
        <x:f t="shared" si="50"/>
        <x:v>0</x:v>
      </x:c>
    </x:row>
    <x:row r="265" spans="1:19" outlineLevel="2">
      <x:c r="A265" s="12" t="s">
        <x:v>114</x:v>
      </x:c>
      <x:c r="B265" s="7" t="s">
        <x:v>60</x:v>
      </x:c>
      <x:c r="C265" s="6">
        <x:v>3510997.2599999993</x:v>
      </x:c>
      <x:c r="E265" s="6">
        <x:v>954500.15</x:v>
      </x:c>
      <x:c r="F265" s="6">
        <x:v>2556497.1099999994</x:v>
      </x:c>
      <x:c r="G265" s="1">
        <x:f t="shared" si="56"/>
        <x:v>0</x:v>
      </x:c>
      <x:c r="J265" s="3">
        <x:v>52</x:v>
      </x:c>
      <x:c r="K265" s="3">
        <x:v>26.349401</x:v>
      </x:c>
      <x:c r="L265" s="4">
        <x:v>-0.15</x:v>
      </x:c>
      <x:c r="M265" s="3">
        <x:f t="shared" si="51"/>
        <x:v>1991693.4659098564</x:v>
      </x:c>
      <x:c r="N265" s="3">
        <x:v>1.2876642393003297</x:v>
      </x:c>
      <x:c r="O265" s="3">
        <x:f t="shared" si="52"/>
        <x:v>2564632.4517002525</x:v>
      </x:c>
      <x:c r="P265" s="16">
        <x:f t="shared" si="53"/>
        <x:v>0</x:v>
      </x:c>
      <x:c r="Q265" s="16">
        <x:f t="shared" si="54"/>
        <x:v>697221.29599234124</x:v>
      </x:c>
      <x:c r="R265" s="16">
        <x:f t="shared" si="55"/>
        <x:v>1867411.1557079114</x:v>
      </x:c>
      <x:c r="S265" s="16">
        <x:f t="shared" si="50"/>
        <x:v>0</x:v>
      </x:c>
    </x:row>
    <x:row r="266" spans="1:19" outlineLevel="2">
      <x:c r="A266" s="12" t="s">
        <x:v>114</x:v>
      </x:c>
      <x:c r="B266" s="7" t="s">
        <x:v>59</x:v>
      </x:c>
      <x:c r="C266" s="6">
        <x:v>3120025.0100000002</x:v>
      </x:c>
      <x:c r="E266" s="6">
        <x:v>363005.16</x:v>
      </x:c>
      <x:c r="F266" s="6">
        <x:v>2757019.85</x:v>
      </x:c>
      <x:c r="G266" s="1">
        <x:f t="shared" si="56"/>
        <x:v>0</x:v>
      </x:c>
      <x:c r="J266" s="3">
        <x:v>52</x:v>
      </x:c>
      <x:c r="K266" s="3">
        <x:v>26.059505999999999</x:v>
      </x:c>
      <x:c r="L266" s="4">
        <x:v>-0.15</x:v>
      </x:c>
      <x:c r="M266" s="3">
        <x:f t="shared" si="51"/>
        <x:v>1789908.4338368881</x:v>
      </x:c>
      <x:c r="N266" s="3">
        <x:v>1.2876642393003297</x:v>
      </x:c>
      <x:c r="O266" s="3">
        <x:f t="shared" si="52"/>
        <x:v>2304801.0818738211</x:v>
      </x:c>
      <x:c r="P266" s="16">
        <x:f t="shared" si="53"/>
        <x:v>0</x:v>
      </x:c>
      <x:c r="Q266" s="16">
        <x:f t="shared" si="54"/>
        <x:v>268156.4034942718</x:v>
      </x:c>
      <x:c r="R266" s="16">
        <x:f t="shared" si="55"/>
        <x:v>2036644.6783795492</x:v>
      </x:c>
      <x:c r="S266" s="16">
        <x:f t="shared" si="50"/>
        <x:v>0</x:v>
      </x:c>
    </x:row>
    <x:row r="267" spans="1:19" outlineLevel="2">
      <x:c r="A267" s="12" t="s">
        <x:v>114</x:v>
      </x:c>
      <x:c r="B267" s="7" t="s">
        <x:v>58</x:v>
      </x:c>
      <x:c r="C267" s="6">
        <x:v>3075371.04</x:v>
      </x:c>
      <x:c r="E267" s="6">
        <x:v>327195.40999999997</x:v>
      </x:c>
      <x:c r="F267" s="6">
        <x:v>2748175.63</x:v>
      </x:c>
      <x:c r="G267" s="1">
        <x:f t="shared" si="56"/>
        <x:v>0</x:v>
      </x:c>
      <x:c r="J267" s="3">
        <x:v>52</x:v>
      </x:c>
      <x:c r="K267" s="3">
        <x:v>25.772680000000001</x:v>
      </x:c>
      <x:c r="L267" s="4">
        <x:v>-0.15</x:v>
      </x:c>
      <x:c r="M267" s="3">
        <x:f t="shared" si="51"/>
        <x:v>1783799.0662025905</x:v>
      </x:c>
      <x:c r="N267" s="3">
        <x:v>1.2876642393003297</x:v>
      </x:c>
      <x:c r="O267" s="3">
        <x:f t="shared" si="52"/>
        <x:v>2296934.267646397</x:v>
      </x:c>
      <x:c r="P267" s="16">
        <x:f t="shared" si="53"/>
        <x:v>0</x:v>
      </x:c>
      <x:c r="Q267" s="16">
        <x:f t="shared" si="54"/>
        <x:v>244375.82967082001</x:v>
      </x:c>
      <x:c r="R267" s="16">
        <x:f t="shared" si="55"/>
        <x:v>2052558.4379755771</x:v>
      </x:c>
      <x:c r="S267" s="16">
        <x:f t="shared" si="50"/>
        <x:v>0</x:v>
      </x:c>
    </x:row>
    <x:row r="268" spans="1:19" outlineLevel="2">
      <x:c r="A268" s="12" t="s">
        <x:v>114</x:v>
      </x:c>
      <x:c r="B268" s="7" t="s">
        <x:v>57</x:v>
      </x:c>
      <x:c r="C268" s="6">
        <x:v>2714261.0100000002</x:v>
      </x:c>
      <x:c r="E268" s="6">
        <x:v>831295.61999999988</x:v>
      </x:c>
      <x:c r="F268" s="6">
        <x:v>1882965.3900000004</x:v>
      </x:c>
      <x:c r="G268" s="1">
        <x:f t="shared" si="56"/>
        <x:v>0</x:v>
      </x:c>
      <x:c r="J268" s="3">
        <x:v>52</x:v>
      </x:c>
      <x:c r="K268" s="3">
        <x:v>25.488902</x:v>
      </x:c>
      <x:c r="L268" s="4">
        <x:v>-0.15</x:v>
      </x:c>
      <x:c r="M268" s="3">
        <x:f t="shared" si="51"/>
        <x:v>1591379.7226681216</x:v>
      </x:c>
      <x:c r="N268" s="3">
        <x:v>1.2876642393003297</x:v>
      </x:c>
      <x:c r="O268" s="3">
        <x:f t="shared" si="52"/>
        <x:v>2049162.7600274163</x:v>
      </x:c>
      <x:c r="P268" s="16">
        <x:f t="shared" si="53"/>
        <x:v>0</x:v>
      </x:c>
      <x:c r="Q268" s="16">
        <x:f t="shared" si="54"/>
        <x:v>627596.24840866053</x:v>
      </x:c>
      <x:c r="R268" s="16">
        <x:f t="shared" si="55"/>
        <x:v>1421566.5116187555</x:v>
      </x:c>
      <x:c r="S268" s="16">
        <x:f t="shared" si="50"/>
        <x:v>0</x:v>
      </x:c>
    </x:row>
    <x:row r="269" spans="1:19" outlineLevel="2">
      <x:c r="A269" s="12" t="s">
        <x:v>114</x:v>
      </x:c>
      <x:c r="B269" s="7" t="s">
        <x:v>56</x:v>
      </x:c>
      <x:c r="C269" s="6">
        <x:v>6131379.1100000003</x:v>
      </x:c>
      <x:c r="E269" s="6">
        <x:v>551582.75</x:v>
      </x:c>
      <x:c r="F269" s="6">
        <x:v>5579796.3600000003</x:v>
      </x:c>
      <x:c r="G269" s="1">
        <x:f t="shared" si="56"/>
        <x:v>0</x:v>
      </x:c>
      <x:c r="J269" s="3">
        <x:v>52</x:v>
      </x:c>
      <x:c r="K269" s="3">
        <x:v>25.208137000000001</x:v>
      </x:c>
      <x:c r="L269" s="4">
        <x:v>-0.15</x:v>
      </x:c>
      <x:c r="M269" s="3">
        <x:f t="shared" si="51"/>
        <x:v>3632917.8746847929</x:v>
      </x:c>
      <x:c r="N269" s="3">
        <x:v>1.2876642393003297</x:v>
      </x:c>
      <x:c r="O269" s="3">
        <x:f t="shared" si="52"/>
        <x:v>4677978.4315465642</x:v>
      </x:c>
      <x:c r="P269" s="16">
        <x:f t="shared" si="53"/>
        <x:v>0</x:v>
      </x:c>
      <x:c r="Q269" s="16">
        <x:f t="shared" si="54"/>
        <x:v>420833.9039914856</x:v>
      </x:c>
      <x:c r="R269" s="16">
        <x:f t="shared" si="55"/>
        <x:v>4257144.5275550783</x:v>
      </x:c>
      <x:c r="S269" s="16">
        <x:f t="shared" si="50"/>
        <x:v>0</x:v>
      </x:c>
    </x:row>
    <x:row r="270" spans="1:19" outlineLevel="2">
      <x:c r="A270" s="12" t="s">
        <x:v>114</x:v>
      </x:c>
      <x:c r="B270" s="7" t="s">
        <x:v>55</x:v>
      </x:c>
      <x:c r="C270" s="6">
        <x:v>1644722.84</x:v>
      </x:c>
      <x:c r="E270" s="6">
        <x:v>437369.12000000011</x:v>
      </x:c>
      <x:c r="F270" s="6">
        <x:v>1207353.72</x:v>
      </x:c>
      <x:c r="G270" s="1">
        <x:f t="shared" si="56"/>
        <x:v>0</x:v>
      </x:c>
      <x:c r="J270" s="3">
        <x:v>52</x:v>
      </x:c>
      <x:c r="K270" s="3">
        <x:v>24.93036</x:v>
      </x:c>
      <x:c r="L270" s="4">
        <x:v>-0.15</x:v>
      </x:c>
      <x:c r="M270" s="3">
        <x:f t="shared" si="51"/>
        <x:v>984622.37414161989</x:v>
      </x:c>
      <x:c r="N270" s="3">
        <x:v>1.2876642393003297</x:v>
      </x:c>
      <x:c r="O270" s="3">
        <x:f t="shared" si="52"/>
        <x:v>1267863.0203971537</x:v>
      </x:c>
      <x:c r="P270" s="16">
        <x:f t="shared" si="53"/>
        <x:v>0</x:v>
      </x:c>
      <x:c r="Q270" s="16">
        <x:f t="shared" si="54"/>
        <x:v>337153.54345759877</x:v>
      </x:c>
      <x:c r="R270" s="16">
        <x:f t="shared" si="55"/>
        <x:v>930709.47693955491</x:v>
      </x:c>
      <x:c r="S270" s="16">
        <x:f t="shared" si="50"/>
        <x:v>0</x:v>
      </x:c>
    </x:row>
    <x:row r="271" spans="1:19" outlineLevel="2">
      <x:c r="A271" s="12" t="s">
        <x:v>114</x:v>
      </x:c>
      <x:c r="B271" s="7" t="s">
        <x:v>54</x:v>
      </x:c>
      <x:c r="C271" s="6">
        <x:v>2054289.2800000005</x:v>
      </x:c>
      <x:c r="E271" s="6">
        <x:v>127270.77999999998</x:v>
      </x:c>
      <x:c r="F271" s="6">
        <x:v>1927018.5000000005</x:v>
      </x:c>
      <x:c r="G271" s="1">
        <x:f t="shared" si="56"/>
        <x:v>0</x:v>
      </x:c>
      <x:c r="J271" s="3">
        <x:v>52</x:v>
      </x:c>
      <x:c r="K271" s="3">
        <x:v>24.655540999999999</x:v>
      </x:c>
      <x:c r="L271" s="4">
        <x:v>-0.15</x:v>
      </x:c>
      <x:c r="M271" s="3">
        <x:f t="shared" si="51"/>
        <x:v>1242296.9873031627</x:v>
      </x:c>
      <x:c r="N271" s="3">
        <x:v>1.2876642393003297</x:v>
      </x:c>
      <x:c r="O271" s="3">
        <x:f t="shared" si="52"/>
        <x:v>1599661.4051408183</x:v>
      </x:c>
      <x:c r="P271" s="16">
        <x:f t="shared" si="53"/>
        <x:v>0</x:v>
      </x:c>
      <x:c r="Q271" s="16">
        <x:f t="shared" si="54"/>
        <x:v>99104.910272504509</x:v>
      </x:c>
      <x:c r="R271" s="16">
        <x:f t="shared" si="55"/>
        <x:v>1500556.4948683139</x:v>
      </x:c>
      <x:c r="S271" s="16">
        <x:f t="shared" si="50"/>
        <x:v>0</x:v>
      </x:c>
    </x:row>
    <x:row r="272" spans="1:19" outlineLevel="2">
      <x:c r="A272" s="12" t="s">
        <x:v>114</x:v>
      </x:c>
      <x:c r="B272" s="7" t="s">
        <x:v>53</x:v>
      </x:c>
      <x:c r="C272" s="6">
        <x:v>2320590.12</x:v>
      </x:c>
      <x:c r="E272" s="6">
        <x:v>301562.41000000003</x:v>
      </x:c>
      <x:c r="F272" s="6">
        <x:v>2019027.7100000002</x:v>
      </x:c>
      <x:c r="G272" s="1">
        <x:f t="shared" si="56"/>
        <x:v>0</x:v>
      </x:c>
      <x:c r="J272" s="3">
        <x:v>52</x:v>
      </x:c>
      <x:c r="K272" s="3">
        <x:v>24.383662000000001</x:v>
      </x:c>
      <x:c r="L272" s="4">
        <x:v>-0.15</x:v>
      </x:c>
      <x:c r="M272" s="3">
        <x:f t="shared" si="51"/>
        <x:v>1417290.9861613007</x:v>
      </x:c>
      <x:c r="N272" s="3">
        <x:v>1.2876642393003297</x:v>
      </x:c>
      <x:c r="O272" s="3">
        <x:f t="shared" si="52"/>
        <x:v>1824994.9195626054</x:v>
      </x:c>
      <x:c r="P272" s="16">
        <x:f t="shared" si="53"/>
        <x:v>0</x:v>
      </x:c>
      <x:c r="Q272" s="16">
        <x:f t="shared" si="54"/>
        <x:v>237159.44553838548</x:v>
      </x:c>
      <x:c r="R272" s="16">
        <x:f t="shared" si="55"/>
        <x:v>1587835.4740242201</x:v>
      </x:c>
      <x:c r="S272" s="16">
        <x:f t="shared" si="50"/>
        <x:v>0</x:v>
      </x:c>
    </x:row>
    <x:row r="273" spans="1:19" outlineLevel="2">
      <x:c r="A273" s="12" t="s">
        <x:v>114</x:v>
      </x:c>
      <x:c r="B273" s="7" t="s">
        <x:v>52</x:v>
      </x:c>
      <x:c r="C273" s="6">
        <x:v>949951.57000000007</x:v>
      </x:c>
      <x:c r="E273" s="6">
        <x:v>46237.360000000015</x:v>
      </x:c>
      <x:c r="F273" s="6">
        <x:v>903714.21000000008</x:v>
      </x:c>
      <x:c r="G273" s="1">
        <x:f t="shared" si="56"/>
        <x:v>0</x:v>
      </x:c>
      <x:c r="J273" s="3">
        <x:v>52</x:v>
      </x:c>
      <x:c r="K273" s="3">
        <x:v>24.114692999999999</x:v>
      </x:c>
      <x:c r="L273" s="4">
        <x:v>-0.15</x:v>
      </x:c>
      <x:c r="M273" s="3">
        <x:f t="shared" si="51"/>
        <x:v>585829.70844748628</x:v>
      </x:c>
      <x:c r="N273" s="3">
        <x:v>1.2876642393003297</x:v>
      </x:c>
      <x:c r="O273" s="3">
        <x:f t="shared" si="52"/>
        <x:v>754351.96588756633</x:v>
      </x:c>
      <x:c r="P273" s="16">
        <x:f t="shared" si="53"/>
        <x:v>0</x:v>
      </x:c>
      <x:c r="Q273" s="16">
        <x:f t="shared" si="54"/>
        <x:v>36716.864853911589</x:v>
      </x:c>
      <x:c r="R273" s="16">
        <x:f t="shared" si="55"/>
        <x:v>717635.10103365476</x:v>
      </x:c>
      <x:c r="S273" s="16">
        <x:f t="shared" si="50"/>
        <x:v>0</x:v>
      </x:c>
    </x:row>
    <x:row r="274" spans="1:19" outlineLevel="2">
      <x:c r="A274" s="12" t="s">
        <x:v>114</x:v>
      </x:c>
      <x:c r="B274" s="7" t="s">
        <x:v>51</x:v>
      </x:c>
      <x:c r="C274" s="6">
        <x:v>712359.43000000017</x:v>
      </x:c>
      <x:c r="E274" s="6">
        <x:v>83948.419999999984</x:v>
      </x:c>
      <x:c r="F274" s="6">
        <x:v>628411.01000000013</x:v>
      </x:c>
      <x:c r="G274" s="1">
        <x:f t="shared" si="56"/>
        <x:v>0</x:v>
      </x:c>
      <x:c r="J274" s="3">
        <x:v>52</x:v>
      </x:c>
      <x:c r="K274" s="3">
        <x:v>23.848613</x:v>
      </x:c>
      <x:c r="L274" s="4">
        <x:v>-0.15</x:v>
      </x:c>
      <x:c r="M274" s="3">
        <x:f t="shared" si="51"/>
        <x:v>443499.84416507347</x:v>
      </x:c>
      <x:c r="N274" s="3">
        <x:v>1.2876642393003297</x:v>
      </x:c>
      <x:c r="O274" s="3">
        <x:f t="shared" si="52"/>
        <x:v>571078.88946663414</x:v>
      </x:c>
      <x:c r="P274" s="16">
        <x:f t="shared" si="53"/>
        <x:v>0</x:v>
      </x:c>
      <x:c r="Q274" s="16">
        <x:f t="shared" si="54"/>
        <x:v>67299.130813890617</x:v>
      </x:c>
      <x:c r="R274" s="16">
        <x:f t="shared" si="55"/>
        <x:v>503779.75865274348</x:v>
      </x:c>
      <x:c r="S274" s="16">
        <x:f t="shared" si="50"/>
        <x:v>0</x:v>
      </x:c>
    </x:row>
    <x:row r="275" spans="1:19" outlineLevel="2">
      <x:c r="A275" s="12" t="s">
        <x:v>114</x:v>
      </x:c>
      <x:c r="B275" s="7" t="s">
        <x:v>50</x:v>
      </x:c>
      <x:c r="C275" s="6">
        <x:v>906525.3</x:v>
      </x:c>
      <x:c r="E275" s="6">
        <x:v>79357.190000000017</x:v>
      </x:c>
      <x:c r="F275" s="6">
        <x:v>827168.11</x:v>
      </x:c>
      <x:c r="G275" s="1">
        <x:f t="shared" si="56"/>
        <x:v>0</x:v>
      </x:c>
      <x:c r="J275" s="3">
        <x:v>52</x:v>
      </x:c>
      <x:c r="K275" s="3">
        <x:v>23.5854</x:v>
      </x:c>
      <x:c r="L275" s="4">
        <x:v>-0.15</x:v>
      </x:c>
      <x:c r="M275" s="3">
        <x:f t="shared" ref="M275:M306" si="57">+C275*(1-K275/J275)*(1-L275)</x:f>
        <x:v>569660.32418821147</x:v>
      </x:c>
      <x:c r="N275" s="3">
        <x:v>1.2876642393003297</x:v>
      </x:c>
      <x:c r="O275" s="3">
        <x:f t="shared" ref="O275:O306" si="58">IF((C275*(1-L275)-M275*N275)&lt;0,C275*(1-L275),M275*N275)</x:f>
        <x:v>733531.22800539248</x:v>
      </x:c>
      <x:c r="P275" s="16">
        <x:f t="shared" ref="P275:P306" si="59">+D275/$C275*$O275</x:f>
        <x:v>0</x:v>
      </x:c>
      <x:c r="Q275" s="16">
        <x:f t="shared" ref="Q275:Q306" si="60">+E275/$C275*$O275</x:f>
        <x:v>64213.295571295428</x:v>
      </x:c>
      <x:c r="R275" s="16">
        <x:f t="shared" ref="R275:R306" si="61">+F275/$C275*$O275</x:f>
        <x:v>669317.93243409705</x:v>
      </x:c>
      <x:c r="S275" s="16">
        <x:f t="shared" si="50"/>
        <x:v>0</x:v>
      </x:c>
    </x:row>
    <x:row r="276" spans="1:19" outlineLevel="2">
      <x:c r="A276" s="12" t="s">
        <x:v>114</x:v>
      </x:c>
      <x:c r="B276" s="7" t="s">
        <x:v>49</x:v>
      </x:c>
      <x:c r="C276" s="6">
        <x:v>1218418.7700000003</x:v>
      </x:c>
      <x:c r="E276" s="6">
        <x:v>185745.75000000009</x:v>
      </x:c>
      <x:c r="F276" s="6">
        <x:v>1032673.0200000001</x:v>
      </x:c>
      <x:c r="G276" s="1">
        <x:f t="shared" si="56"/>
        <x:v>0</x:v>
      </x:c>
      <x:c r="J276" s="3">
        <x:v>52</x:v>
      </x:c>
      <x:c r="K276" s="3">
        <x:v>23.3249</x:v>
      </x:c>
      <x:c r="L276" s="4">
        <x:v>-0.15</x:v>
      </x:c>
      <x:c r="M276" s="3">
        <x:f t="shared" si="57"/>
        <x:v>772673.50158405886</x:v>
      </x:c>
      <x:c r="N276" s="3">
        <x:v>1.2876642393003297</x:v>
      </x:c>
      <x:c r="O276" s="3">
        <x:f t="shared" si="58"/>
        <x:v>994944.03664475924</x:v>
      </x:c>
      <x:c r="P276" s="16">
        <x:f t="shared" si="59"/>
        <x:v>0</x:v>
      </x:c>
      <x:c r="Q276" s="16">
        <x:f t="shared" si="60"/>
        <x:v>151677.42884871049</x:v>
      </x:c>
      <x:c r="R276" s="16">
        <x:f t="shared" si="61"/>
        <x:v>843266.60779604875</x:v>
      </x:c>
      <x:c r="S276" s="16">
        <x:f t="shared" si="50"/>
        <x:v>0</x:v>
      </x:c>
    </x:row>
    <x:row r="277" spans="1:19" outlineLevel="2">
      <x:c r="A277" s="12" t="s">
        <x:v>114</x:v>
      </x:c>
      <x:c r="B277" s="7" t="s">
        <x:v>48</x:v>
      </x:c>
      <x:c r="C277" s="6">
        <x:v>2235072.5299999998</x:v>
      </x:c>
      <x:c r="E277" s="6">
        <x:v>620772.92000000004</x:v>
      </x:c>
      <x:c r="F277" s="6">
        <x:v>1614299.6099999996</x:v>
      </x:c>
      <x:c r="G277" s="1">
        <x:f t="shared" si="56"/>
        <x:v>0</x:v>
      </x:c>
      <x:c r="J277" s="3">
        <x:v>52</x:v>
      </x:c>
      <x:c r="K277" s="3">
        <x:v>23.067070999999999</x:v>
      </x:c>
      <x:c r="L277" s="4">
        <x:v>-0.15</x:v>
      </x:c>
      <x:c r="M277" s="3">
        <x:f t="shared" si="57"/>
        <x:v>1430139.8854498351</x:v>
      </x:c>
      <x:c r="N277" s="3">
        <x:v>1.2876642393003297</x:v>
      </x:c>
      <x:c r="O277" s="3">
        <x:f t="shared" si="58"/>
        <x:v>1841539.9876908225</x:v>
      </x:c>
      <x:c r="P277" s="16">
        <x:f t="shared" si="59"/>
        <x:v>0</x:v>
      </x:c>
      <x:c r="Q277" s="16">
        <x:f t="shared" si="60"/>
        <x:v>511472.50933086994</x:v>
      </x:c>
      <x:c r="R277" s="16">
        <x:f t="shared" si="61"/>
        <x:v>1330067.4783599523</x:v>
      </x:c>
      <x:c r="S277" s="16">
        <x:f t="shared" si="50"/>
        <x:v>0</x:v>
      </x:c>
    </x:row>
    <x:row r="278" spans="1:19" outlineLevel="2">
      <x:c r="A278" s="12" t="s">
        <x:v>114</x:v>
      </x:c>
      <x:c r="B278" s="7" t="s">
        <x:v>47</x:v>
      </x:c>
      <x:c r="C278" s="6">
        <x:v>768278.36999999965</x:v>
      </x:c>
      <x:c r="E278" s="6">
        <x:v>209531.52999999997</x:v>
      </x:c>
      <x:c r="F278" s="6">
        <x:v>558746.83999999973</x:v>
      </x:c>
      <x:c r="G278" s="1">
        <x:f t="shared" si="56"/>
        <x:v>0</x:v>
      </x:c>
      <x:c r="J278" s="3">
        <x:v>52</x:v>
      </x:c>
      <x:c r="K278" s="3">
        <x:v>22.812017999999998</x:v>
      </x:c>
      <x:c r="L278" s="4">
        <x:v>-0.15</x:v>
      </x:c>
      <x:c r="M278" s="3">
        <x:f t="shared" si="57"/>
        <x:v>495926.33691791794</x:v>
      </x:c>
      <x:c r="N278" s="3">
        <x:v>1.2876642393003297</x:v>
      </x:c>
      <x:c r="O278" s="3">
        <x:f t="shared" si="58"/>
        <x:v>638586.60937640979</x:v>
      </x:c>
      <x:c r="P278" s="16">
        <x:f t="shared" si="59"/>
        <x:v>0</x:v>
      </x:c>
      <x:c r="Q278" s="16">
        <x:f t="shared" si="60"/>
        <x:v>174160.86997236632</x:v>
      </x:c>
      <x:c r="R278" s="16">
        <x:f t="shared" si="61"/>
        <x:v>464425.73940404353</x:v>
      </x:c>
      <x:c r="S278" s="16">
        <x:f t="shared" si="50"/>
        <x:v>0</x:v>
      </x:c>
    </x:row>
    <x:row r="279" spans="1:19" outlineLevel="2">
      <x:c r="A279" s="12" t="s">
        <x:v>114</x:v>
      </x:c>
      <x:c r="B279" s="7" t="s">
        <x:v>46</x:v>
      </x:c>
      <x:c r="C279" s="6">
        <x:v>1632717.7099999997</x:v>
      </x:c>
      <x:c r="E279" s="6">
        <x:v>350181.99000000005</x:v>
      </x:c>
      <x:c r="F279" s="6">
        <x:v>1282535.7199999997</x:v>
      </x:c>
      <x:c r="G279" s="1">
        <x:f t="shared" si="56"/>
        <x:v>0</x:v>
      </x:c>
      <x:c r="J279" s="3">
        <x:v>52</x:v>
      </x:c>
      <x:c r="K279" s="3">
        <x:v>22.559722000000001</x:v>
      </x:c>
      <x:c r="L279" s="4">
        <x:v>-0.15</x:v>
      </x:c>
      <x:c r="M279" s="3">
        <x:f t="shared" si="57"/>
        <x:v>1063034.8609540744</x:v>
      </x:c>
      <x:c r="N279" s="3">
        <x:v>1.2876642393003297</x:v>
      </x:c>
      <x:c r="O279" s="3">
        <x:f t="shared" si="58"/>
        <x:v>1368831.97558016</x:v>
      </x:c>
      <x:c r="P279" s="16">
        <x:f t="shared" si="59"/>
        <x:v>0</x:v>
      </x:c>
      <x:c r="Q279" s="16">
        <x:f t="shared" si="60"/>
        <x:v>293584.31175729207</x:v>
      </x:c>
      <x:c r="R279" s="16">
        <x:f t="shared" si="61"/>
        <x:v>1075247.6638228681</x:v>
      </x:c>
      <x:c r="S279" s="16">
        <x:f t="shared" si="50"/>
        <x:v>0</x:v>
      </x:c>
    </x:row>
    <x:row r="280" spans="1:19" outlineLevel="2">
      <x:c r="A280" s="12" t="s">
        <x:v>114</x:v>
      </x:c>
      <x:c r="B280" s="7" t="s">
        <x:v>45</x:v>
      </x:c>
      <x:c r="C280" s="6">
        <x:v>977524.77999999991</x:v>
      </x:c>
      <x:c r="E280" s="6">
        <x:v>298771.21999999997</x:v>
      </x:c>
      <x:c r="F280" s="6">
        <x:v>678753.55999999994</x:v>
      </x:c>
      <x:c r="G280" s="1">
        <x:f t="shared" si="56"/>
        <x:v>0</x:v>
      </x:c>
      <x:c r="J280" s="3">
        <x:v>52</x:v>
      </x:c>
      <x:c r="K280" s="3">
        <x:v>22.310161999999998</x:v>
      </x:c>
      <x:c r="L280" s="4">
        <x:v>-0.15</x:v>
      </x:c>
      <x:c r="M280" s="3">
        <x:f t="shared" si="57"/>
        <x:v>641844.90794352849</x:v>
      </x:c>
      <x:c r="N280" s="3">
        <x:v>1.2876642393003297</x:v>
      </x:c>
      <x:c r="O280" s="3">
        <x:f t="shared" si="58"/>
        <x:v>826480.7351358938</x:v>
      </x:c>
      <x:c r="P280" s="16">
        <x:f t="shared" si="59"/>
        <x:v>0</x:v>
      </x:c>
      <x:c r="Q280" s="16">
        <x:f t="shared" si="60"/>
        <x:v>252606.03372432958</x:v>
      </x:c>
      <x:c r="R280" s="16">
        <x:f t="shared" si="61"/>
        <x:v>573874.70141156414</x:v>
      </x:c>
      <x:c r="S280" s="16">
        <x:f t="shared" si="50"/>
        <x:v>0</x:v>
      </x:c>
    </x:row>
    <x:row r="281" spans="1:19" outlineLevel="2">
      <x:c r="A281" s="12" t="s">
        <x:v>114</x:v>
      </x:c>
      <x:c r="B281" s="7" t="s">
        <x:v>44</x:v>
      </x:c>
      <x:c r="C281" s="6">
        <x:v>1254964.4299999997</x:v>
      </x:c>
      <x:c r="E281" s="6">
        <x:v>90070.86</x:v>
      </x:c>
      <x:c r="F281" s="6">
        <x:v>1164893.5699999996</x:v>
      </x:c>
      <x:c r="G281" s="1">
        <x:f t="shared" si="56"/>
        <x:v>0</x:v>
      </x:c>
      <x:c r="J281" s="3">
        <x:v>52</x:v>
      </x:c>
      <x:c r="K281" s="3">
        <x:v>22.063329</x:v>
      </x:c>
      <x:c r="L281" s="4">
        <x:v>-0.15</x:v>
      </x:c>
      <x:c r="M281" s="3">
        <x:f t="shared" si="57"/>
        <x:v>830862.99704335374</x:v>
      </x:c>
      <x:c r="N281" s="3">
        <x:v>1.2876642393003297</x:v>
      </x:c>
      <x:c r="O281" s="3">
        <x:f t="shared" si="58"/>
        <x:v>1069872.5690506222</x:v>
      </x:c>
      <x:c r="P281" s="16">
        <x:f t="shared" si="59"/>
        <x:v>0</x:v>
      </x:c>
      <x:c r="Q281" s="16">
        <x:f t="shared" si="60"/>
        <x:v>76786.512893276944</x:v>
      </x:c>
      <x:c r="R281" s="16">
        <x:f t="shared" si="61"/>
        <x:v>993086.05615734519</x:v>
      </x:c>
      <x:c r="S281" s="16">
        <x:f t="shared" si="50"/>
        <x:v>0</x:v>
      </x:c>
    </x:row>
    <x:row r="282" spans="1:19" outlineLevel="2">
      <x:c r="A282" s="12" t="s">
        <x:v>114</x:v>
      </x:c>
      <x:c r="B282" s="7" t="s">
        <x:v>43</x:v>
      </x:c>
      <x:c r="C282" s="6">
        <x:v>893811.14999999991</x:v>
      </x:c>
      <x:c r="E282" s="6">
        <x:v>48938.590000000004</x:v>
      </x:c>
      <x:c r="F282" s="6">
        <x:v>844872.55999999994</x:v>
      </x:c>
      <x:c r="G282" s="1">
        <x:f t="shared" si="56"/>
        <x:v>0</x:v>
      </x:c>
      <x:c r="J282" s="3">
        <x:v>52</x:v>
      </x:c>
      <x:c r="K282" s="3">
        <x:v>21.819194</x:v>
      </x:c>
      <x:c r="L282" s="4">
        <x:v>-0.15</x:v>
      </x:c>
      <x:c r="M282" s="3">
        <x:f t="shared" si="57"/>
        <x:v>596583.30878086411</x:v>
      </x:c>
      <x:c r="N282" s="3">
        <x:v>1.2876642393003297</x:v>
      </x:c>
      <x:c r="O282" s="3">
        <x:f t="shared" si="58"/>
        <x:v>768198.99248058512</x:v>
      </x:c>
      <x:c r="P282" s="16">
        <x:f t="shared" si="59"/>
        <x:v>0</x:v>
      </x:c>
      <x:c r="Q282" s="16">
        <x:f t="shared" si="60"/>
        <x:v>42060.982939651672</x:v>
      </x:c>
      <x:c r="R282" s="16">
        <x:f t="shared" si="61"/>
        <x:v>726138.00954093342</x:v>
      </x:c>
      <x:c r="S282" s="16">
        <x:f t="shared" si="50"/>
        <x:v>0</x:v>
      </x:c>
    </x:row>
    <x:row r="283" spans="1:19" outlineLevel="2">
      <x:c r="A283" s="12" t="s">
        <x:v>114</x:v>
      </x:c>
      <x:c r="B283" s="7" t="s">
        <x:v>42</x:v>
      </x:c>
      <x:c r="C283" s="6">
        <x:v>772330.7200000002</x:v>
      </x:c>
      <x:c r="E283" s="6">
        <x:v>339300.38000000012</x:v>
      </x:c>
      <x:c r="F283" s="6">
        <x:v>433030.34</x:v>
      </x:c>
      <x:c r="G283" s="1">
        <x:f t="shared" si="56"/>
        <x:v>0</x:v>
      </x:c>
      <x:c r="J283" s="3">
        <x:v>52</x:v>
      </x:c>
      <x:c r="K283" s="3">
        <x:v>21.577757999999999</x:v>
      </x:c>
      <x:c r="L283" s="4">
        <x:v>-0.15</x:v>
      </x:c>
      <x:c r="M283" s="3">
        <x:f t="shared" si="57"/>
        <x:v>519623.78611644969</x:v>
      </x:c>
      <x:c r="N283" s="3">
        <x:v>1.2876642393003297</x:v>
      </x:c>
      <x:c r="O283" s="3">
        <x:f t="shared" si="58"/>
        <x:v>669100.96727199538</x:v>
      </x:c>
      <x:c r="P283" s="16">
        <x:f t="shared" si="59"/>
        <x:v>0</x:v>
      </x:c>
      <x:c r="Q283" s="16">
        <x:f t="shared" si="60"/>
        <x:v>293949.47860387532</x:v>
      </x:c>
      <x:c r="R283" s="16">
        <x:f t="shared" si="61"/>
        <x:v>375151.48866812006</x:v>
      </x:c>
      <x:c r="S283" s="16">
        <x:f t="shared" si="50"/>
        <x:v>0</x:v>
      </x:c>
    </x:row>
    <x:row r="284" spans="1:19" outlineLevel="2">
      <x:c r="A284" s="12" t="s">
        <x:v>114</x:v>
      </x:c>
      <x:c r="B284" s="7" t="s">
        <x:v>41</x:v>
      </x:c>
      <x:c r="C284" s="6">
        <x:v>364340.54000000004</x:v>
      </x:c>
      <x:c r="E284" s="6">
        <x:v>13790.86</x:v>
      </x:c>
      <x:c r="F284" s="6">
        <x:v>350549.68000000005</x:v>
      </x:c>
      <x:c r="G284" s="1">
        <x:f t="shared" si="56"/>
        <x:v>0</x:v>
      </x:c>
      <x:c r="J284" s="3">
        <x:v>52</x:v>
      </x:c>
      <x:c r="K284" s="3">
        <x:v>21.338996000000002</x:v>
      </x:c>
      <x:c r="L284" s="4">
        <x:v>-0.15</x:v>
      </x:c>
      <x:c r="M284" s="3">
        <x:f t="shared" si="57"/>
        <x:v>247051.9955278362</x:v>
      </x:c>
      <x:c r="N284" s="3">
        <x:v>1.2876642393003297</x:v>
      </x:c>
      <x:c r="O284" s="3">
        <x:f t="shared" si="58"/>
        <x:v>318120.01988897967</x:v>
      </x:c>
      <x:c r="P284" s="16">
        <x:f t="shared" si="59"/>
        <x:v>0</x:v>
      </x:c>
      <x:c r="Q284" s="16">
        <x:f t="shared" si="60"/>
        <x:v>12041.340931992179</x:v>
      </x:c>
      <x:c r="R284" s="16">
        <x:f t="shared" si="61"/>
        <x:v>306078.67895698751</x:v>
      </x:c>
      <x:c r="S284" s="16">
        <x:f t="shared" si="50"/>
        <x:v>0</x:v>
      </x:c>
    </x:row>
    <x:row r="285" spans="1:19" outlineLevel="2">
      <x:c r="A285" s="12" t="s">
        <x:v>114</x:v>
      </x:c>
      <x:c r="B285" s="7" t="s">
        <x:v>40</x:v>
      </x:c>
      <x:c r="C285" s="6">
        <x:v>750454.2899999998</x:v>
      </x:c>
      <x:c r="E285" s="6">
        <x:v>66534.990000000005</x:v>
      </x:c>
      <x:c r="F285" s="6">
        <x:v>683919.29999999981</x:v>
      </x:c>
      <x:c r="G285" s="1">
        <x:f t="shared" si="56"/>
        <x:v>0</x:v>
      </x:c>
      <x:c r="J285" s="3">
        <x:v>52</x:v>
      </x:c>
      <x:c r="K285" s="3">
        <x:v>21.102891</x:v>
      </x:c>
      <x:c r="L285" s="4">
        <x:v>-0.15</x:v>
      </x:c>
      <x:c r="M285" s="3">
        <x:f t="shared" si="57"/>
        <x:v>512786.50379412971</x:v>
      </x:c>
      <x:c r="N285" s="3">
        <x:v>1.2876642393003297</x:v>
      </x:c>
      <x:c r="O285" s="3">
        <x:f t="shared" si="58"/>
        <x:v>660296.84333154361</x:v>
      </x:c>
      <x:c r="P285" s="16">
        <x:f t="shared" si="59"/>
        <x:v>0</x:v>
      </x:c>
      <x:c r="Q285" s="16">
        <x:f t="shared" si="60"/>
        <x:v>58541.665299955625</x:v>
      </x:c>
      <x:c r="R285" s="16">
        <x:f t="shared" si="61"/>
        <x:v>601755.17803158797</x:v>
      </x:c>
      <x:c r="S285" s="16">
        <x:f t="shared" si="50"/>
        <x:v>0</x:v>
      </x:c>
    </x:row>
    <x:row r="286" spans="1:19" outlineLevel="2">
      <x:c r="A286" s="12" t="s">
        <x:v>114</x:v>
      </x:c>
      <x:c r="B286" s="7" t="s">
        <x:v>39</x:v>
      </x:c>
      <x:c r="C286" s="6">
        <x:v>760059.52000000014</x:v>
      </x:c>
      <x:c r="E286" s="6">
        <x:v>106949.87999999999</x:v>
      </x:c>
      <x:c r="F286" s="6">
        <x:v>653109.64000000013</x:v>
      </x:c>
      <x:c r="G286" s="1">
        <x:f t="shared" si="56"/>
        <x:v>0</x:v>
      </x:c>
      <x:c r="J286" s="3">
        <x:v>52</x:v>
      </x:c>
      <x:c r="K286" s="3">
        <x:v>20.869448999999999</x:v>
      </x:c>
      <x:c r="L286" s="4">
        <x:v>-0.15</x:v>
      </x:c>
      <x:c r="M286" s="3">
        <x:f t="shared" si="57"/>
        <x:v>523273.69996067026</x:v>
      </x:c>
      <x:c r="N286" s="3">
        <x:v>1.2876642393003297</x:v>
      </x:c>
      <x:c r="O286" s="3">
        <x:f t="shared" si="58"/>
        <x:v>673800.83080572542</x:v>
      </x:c>
      <x:c r="P286" s="16">
        <x:f t="shared" si="59"/>
        <x:v>0</x:v>
      </x:c>
      <x:c r="Q286" s="16">
        <x:f t="shared" si="60"/>
        <x:v>94812.203652909477</x:v>
      </x:c>
      <x:c r="R286" s="16">
        <x:f t="shared" si="61"/>
        <x:v>578988.62715281593</x:v>
      </x:c>
      <x:c r="S286" s="16">
        <x:f t="shared" si="50"/>
        <x:v>0</x:v>
      </x:c>
    </x:row>
    <x:row r="287" spans="1:19" outlineLevel="2">
      <x:c r="A287" s="12" t="s">
        <x:v>114</x:v>
      </x:c>
      <x:c r="B287" s="7" t="s">
        <x:v>38</x:v>
      </x:c>
      <x:c r="C287" s="6">
        <x:v>303040.22000000003</x:v>
      </x:c>
      <x:c r="E287" s="6">
        <x:v>22964.380000000005</x:v>
      </x:c>
      <x:c r="F287" s="6">
        <x:v>280075.84000000003</x:v>
      </x:c>
      <x:c r="G287" s="1">
        <x:f t="shared" si="56"/>
        <x:v>0</x:v>
      </x:c>
      <x:c r="J287" s="3">
        <x:v>52</x:v>
      </x:c>
      <x:c r="K287" s="3">
        <x:v>20.638653000000001</x:v>
      </x:c>
      <x:c r="L287" s="4">
        <x:v>-0.15</x:v>
      </x:c>
      <x:c r="M287" s="3">
        <x:f t="shared" si="57"/>
        <x:v>210179.07535639982</x:v>
      </x:c>
      <x:c r="N287" s="3">
        <x:v>1.2876642393003297</x:v>
      </x:c>
      <x:c r="O287" s="3">
        <x:f t="shared" si="58"/>
        <x:v>270640.07918564521</x:v>
      </x:c>
      <x:c r="P287" s="16">
        <x:f t="shared" si="59"/>
        <x:v>0</x:v>
      </x:c>
      <x:c r="Q287" s="16">
        <x:f t="shared" si="60"/>
        <x:v>20509.098170695783</x:v>
      </x:c>
      <x:c r="R287" s="16">
        <x:f t="shared" si="61"/>
        <x:v>250130.98101494944</x:v>
      </x:c>
      <x:c r="S287" s="16">
        <x:f t="shared" si="50"/>
        <x:v>0</x:v>
      </x:c>
    </x:row>
    <x:row r="288" spans="1:19" outlineLevel="2">
      <x:c r="A288" s="12" t="s">
        <x:v>114</x:v>
      </x:c>
      <x:c r="B288" s="7" t="s">
        <x:v>37</x:v>
      </x:c>
      <x:c r="C288" s="6">
        <x:v>8018.84</x:v>
      </x:c>
      <x:c r="E288" s="6">
        <x:v>5373.51</x:v>
      </x:c>
      <x:c r="F288" s="6">
        <x:v>2645.3299999999995</x:v>
      </x:c>
      <x:c r="G288" s="1">
        <x:f t="shared" si="56"/>
        <x:v>0</x:v>
      </x:c>
      <x:c r="J288" s="3">
        <x:v>52</x:v>
      </x:c>
      <x:c r="K288" s="3">
        <x:v>20.410489999999999</x:v>
      </x:c>
      <x:c r="L288" s="4">
        <x:v>-0.15</x:v>
      </x:c>
      <x:c r="M288" s="3">
        <x:f t="shared" si="57"/>
        <x:v>5602.075198531923</x:v>
      </x:c>
      <x:c r="N288" s="3">
        <x:v>1.2876642393003297</x:v>
      </x:c>
      <x:c r="O288" s="3">
        <x:f t="shared" si="58"/>
        <x:v>7213.591899020852</x:v>
      </x:c>
      <x:c r="P288" s="16">
        <x:f t="shared" si="59"/>
        <x:v>0</x:v>
      </x:c>
      <x:c r="Q288" s="16">
        <x:f t="shared" si="60"/>
        <x:v>4833.904680141708</x:v>
      </x:c>
      <x:c r="R288" s="16">
        <x:f t="shared" si="61"/>
        <x:v>2379.6872188791431</x:v>
      </x:c>
      <x:c r="S288" s="16">
        <x:f t="shared" si="50"/>
        <x:v>0</x:v>
      </x:c>
    </x:row>
    <x:row r="289" spans="1:19" outlineLevel="2">
      <x:c r="A289" s="12" t="s">
        <x:v>114</x:v>
      </x:c>
      <x:c r="B289" s="7" t="s">
        <x:v>36</x:v>
      </x:c>
      <x:c r="C289" s="6">
        <x:v>59638.999999999993</x:v>
      </x:c>
      <x:c r="E289" s="6">
        <x:v>10190.42</x:v>
      </x:c>
      <x:c r="F289" s="6">
        <x:v>49448.579999999994</x:v>
      </x:c>
      <x:c r="G289" s="1">
        <x:f t="shared" si="56"/>
        <x:v>0</x:v>
      </x:c>
      <x:c r="J289" s="3">
        <x:v>52</x:v>
      </x:c>
      <x:c r="K289" s="3">
        <x:v>20.184744999999999</x:v>
      </x:c>
      <x:c r="L289" s="4">
        <x:v>-0.15</x:v>
      </x:c>
      <x:c r="M289" s="3">
        <x:f t="shared" si="57"/>
        <x:v>41962.394074745185</x:v>
      </x:c>
      <x:c r="N289" s="3">
        <x:v>1.2876642393003297</x:v>
      </x:c>
      <x:c r="O289" s="3">
        <x:f t="shared" si="58"/>
        <x:v>54033.474245477424</x:v>
      </x:c>
      <x:c r="P289" s="16">
        <x:f t="shared" si="59"/>
        <x:v>0</x:v>
      </x:c>
      <x:c r="Q289" s="16">
        <x:f t="shared" si="60"/>
        <x:v>9232.6128308757379</x:v>
      </x:c>
      <x:c r="R289" s="16">
        <x:f t="shared" si="61"/>
        <x:v>44800.861414601692</x:v>
      </x:c>
      <x:c r="S289" s="16">
        <x:f t="shared" si="50"/>
        <x:v>0</x:v>
      </x:c>
    </x:row>
    <x:row r="290" spans="1:19" outlineLevel="2">
      <x:c r="A290" s="12" t="s">
        <x:v>114</x:v>
      </x:c>
      <x:c r="B290" s="7" t="s">
        <x:v>35</x:v>
      </x:c>
      <x:c r="C290" s="6">
        <x:v>24623.45</x:v>
      </x:c>
      <x:c r="E290" s="6">
        <x:v>2540.3199999999993</x:v>
      </x:c>
      <x:c r="F290" s="6">
        <x:v>22083.13</x:v>
      </x:c>
      <x:c r="G290" s="1">
        <x:f t="shared" si="56"/>
        <x:v>0</x:v>
      </x:c>
      <x:c r="J290" s="3">
        <x:v>52</x:v>
      </x:c>
      <x:c r="K290" s="3">
        <x:v>19.961414000000001</x:v>
      </x:c>
      <x:c r="L290" s="4">
        <x:v>-0.15</x:v>
      </x:c>
      <x:c r="M290" s="3">
        <x:f t="shared" si="57"/>
        <x:v>17446.838432845288</x:v>
      </x:c>
      <x:c r="N290" s="3">
        <x:v>1.2876642393003297</x:v>
      </x:c>
      <x:c r="O290" s="3">
        <x:f t="shared" si="58"/>
        <x:v>22465.669938825486</x:v>
      </x:c>
      <x:c r="P290" s="16">
        <x:f t="shared" si="59"/>
        <x:v>0</x:v>
      </x:c>
      <x:c r="Q290" s="16">
        <x:f t="shared" si="60"/>
        <x:v>2317.7089586957613</x:v>
      </x:c>
      <x:c r="R290" s="16">
        <x:f t="shared" si="61"/>
        <x:v>20147.960980129723</x:v>
      </x:c>
      <x:c r="S290" s="16">
        <x:f t="shared" si="50"/>
        <x:v>0</x:v>
      </x:c>
    </x:row>
    <x:row r="291" spans="1:19" outlineLevel="2">
      <x:c r="A291" s="12" t="s">
        <x:v>114</x:v>
      </x:c>
      <x:c r="B291" s="7" t="s">
        <x:v>34</x:v>
      </x:c>
      <x:c r="C291" s="6">
        <x:v>12181.91</x:v>
      </x:c>
      <x:c r="E291" s="6">
        <x:v>5154.17</x:v>
      </x:c>
      <x:c r="F291" s="6">
        <x:v>7027.74</x:v>
      </x:c>
      <x:c r="G291" s="1">
        <x:f t="shared" si="56"/>
        <x:v>0</x:v>
      </x:c>
      <x:c r="J291" s="3">
        <x:v>52</x:v>
      </x:c>
      <x:c r="K291" s="3">
        <x:v>19.740648</x:v>
      </x:c>
      <x:c r="L291" s="4">
        <x:v>-0.15</x:v>
      </x:c>
      <x:c r="M291" s="3">
        <x:f t="shared" si="57"/>
        <x:v>8690.9154063589995</x:v>
      </x:c>
      <x:c r="N291" s="3">
        <x:v>1.2876642393003297</x:v>
      </x:c>
      <x:c r="O291" s="3">
        <x:f t="shared" si="58"/>
        <x:v>11190.980975552777</x:v>
      </x:c>
      <x:c r="P291" s="16">
        <x:f t="shared" si="59"/>
        <x:v>0</x:v>
      </x:c>
      <x:c r="Q291" s="16">
        <x:f t="shared" si="60"/>
        <x:v>4734.9076142218137</x:v>
      </x:c>
      <x:c r="R291" s="16">
        <x:f t="shared" si="61"/>
        <x:v>6456.0733613309621</x:v>
      </x:c>
      <x:c r="S291" s="16">
        <x:f t="shared" si="50"/>
        <x:v>0</x:v>
      </x:c>
    </x:row>
    <x:row r="292" spans="1:19" outlineLevel="2">
      <x:c r="A292" s="12" t="s">
        <x:v>114</x:v>
      </x:c>
      <x:c r="B292" s="7" t="s">
        <x:v>33</x:v>
      </x:c>
      <x:c r="C292" s="6">
        <x:v>45999.380000000005</x:v>
      </x:c>
      <x:c r="E292" s="6">
        <x:v>985.79999999999984</x:v>
      </x:c>
      <x:c r="F292" s="6">
        <x:v>45013.58</x:v>
      </x:c>
      <x:c r="G292" s="1">
        <x:f t="shared" si="56"/>
        <x:v>0</x:v>
      </x:c>
      <x:c r="J292" s="3">
        <x:v>52</x:v>
      </x:c>
      <x:c r="K292" s="3">
        <x:v>19.522459999999999</x:v>
      </x:c>
      <x:c r="L292" s="4">
        <x:v>-0.15</x:v>
      </x:c>
      <x:c r="M292" s="3">
        <x:f t="shared" si="57"/>
        <x:v>33039.205952191922</x:v>
      </x:c>
      <x:c r="N292" s="3">
        <x:v>1.2876642393003297</x:v>
      </x:c>
      <x:c r="O292" s="3">
        <x:f t="shared" si="58"/>
        <x:v>42543.403999516137</x:v>
      </x:c>
      <x:c r="P292" s="16">
        <x:f t="shared" si="59"/>
        <x:v>0</x:v>
      </x:c>
      <x:c r="Q292" s="16">
        <x:f t="shared" si="60"/>
        <x:v>911.73593345655956</x:v>
      </x:c>
      <x:c r="R292" s="16">
        <x:f t="shared" si="61"/>
        <x:v>41631.668066059574</x:v>
      </x:c>
      <x:c r="S292" s="16">
        <x:f t="shared" si="50"/>
        <x:v>0</x:v>
      </x:c>
    </x:row>
    <x:row r="293" spans="1:19" outlineLevel="2">
      <x:c r="A293" s="12" t="s">
        <x:v>114</x:v>
      </x:c>
      <x:c r="B293" s="7" t="s">
        <x:v>32</x:v>
      </x:c>
      <x:c r="C293" s="6">
        <x:v>27428.179999999997</x:v>
      </x:c>
      <x:c r="E293" s="6">
        <x:v>1124.9999999999998</x:v>
      </x:c>
      <x:c r="F293" s="6">
        <x:v>26303.179999999997</x:v>
      </x:c>
      <x:c r="G293" s="1">
        <x:f t="shared" si="56"/>
        <x:v>0</x:v>
      </x:c>
      <x:c r="J293" s="3">
        <x:v>52</x:v>
      </x:c>
      <x:c r="K293" s="3">
        <x:v>19.306835</x:v>
      </x:c>
      <x:c r="L293" s="4">
        <x:v>-0.15</x:v>
      </x:c>
      <x:c r="M293" s="3">
        <x:f t="shared" si="57"/>
        <x:v>19831.175318233745</x:v>
      </x:c>
      <x:c r="N293" s="3">
        <x:v>1.2876642393003297</x:v>
      </x:c>
      <x:c r="O293" s="3">
        <x:f t="shared" si="58"/>
        <x:v>25535.895280584929</x:v>
      </x:c>
      <x:c r="P293" s="16">
        <x:f t="shared" si="59"/>
        <x:v>0</x:v>
      </x:c>
      <x:c r="Q293" s="16">
        <x:f t="shared" si="60"/>
        <x:v>1047.3856519338156</x:v>
      </x:c>
      <x:c r="R293" s="16">
        <x:f t="shared" si="61"/>
        <x:v>24488.509628651114</x:v>
      </x:c>
      <x:c r="S293" s="16">
        <x:f t="shared" si="50"/>
        <x:v>0</x:v>
      </x:c>
    </x:row>
    <x:row r="294" spans="1:19" outlineLevel="2">
      <x:c r="A294" s="12" t="s">
        <x:v>114</x:v>
      </x:c>
      <x:c r="B294" s="7" t="s">
        <x:v>31</x:v>
      </x:c>
      <x:c r="C294" s="6">
        <x:v>1068743.18</x:v>
      </x:c>
      <x:c r="E294" s="6">
        <x:v>187271.11</x:v>
      </x:c>
      <x:c r="F294" s="6">
        <x:v>881472.07</x:v>
      </x:c>
      <x:c r="G294" s="1">
        <x:f t="shared" si="56"/>
        <x:v>0</x:v>
      </x:c>
      <x:c r="J294" s="3">
        <x:v>52</x:v>
      </x:c>
      <x:c r="K294" s="3">
        <x:v>19.093769000000002</x:v>
      </x:c>
      <x:c r="L294" s="4">
        <x:v>-0.15</x:v>
      </x:c>
      <x:c r="M294" s="3">
        <x:f t="shared" si="57"/>
        <x:v>777760.7010551492</x:v>
      </x:c>
      <x:c r="N294" s="3">
        <x:v>1.2876642393003297</x:v>
      </x:c>
      <x:c r="O294" s="3">
        <x:f t="shared" si="58"/>
        <x:v>1001494.6414818699</x:v>
      </x:c>
      <x:c r="P294" s="16">
        <x:f t="shared" si="59"/>
        <x:v>0</x:v>
      </x:c>
      <x:c r="Q294" s="16">
        <x:f t="shared" si="60"/>
        <x:v>175487.44794737478</x:v>
      </x:c>
      <x:c r="R294" s="16">
        <x:f t="shared" si="61"/>
        <x:v>826007.19353449508</x:v>
      </x:c>
      <x:c r="S294" s="16">
        <x:f t="shared" si="50"/>
        <x:v>0</x:v>
      </x:c>
    </x:row>
    <x:row r="295" spans="1:19" outlineLevel="2">
      <x:c r="A295" s="12" t="s">
        <x:v>114</x:v>
      </x:c>
      <x:c r="B295" s="7" t="s">
        <x:v>30</x:v>
      </x:c>
      <x:c r="C295" s="6">
        <x:v>412.15</x:v>
      </x:c>
      <x:c r="E295" s="6">
        <x:v>117.57000000000001</x:v>
      </x:c>
      <x:c r="F295" s="6">
        <x:v>294.58</x:v>
      </x:c>
      <x:c r="G295" s="1">
        <x:f t="shared" si="56"/>
        <x:v>0</x:v>
      </x:c>
      <x:c r="J295" s="3">
        <x:v>52</x:v>
      </x:c>
      <x:c r="K295" s="3">
        <x:v>18.883264</x:v>
      </x:c>
      <x:c r="L295" s="4">
        <x:v>-0.15</x:v>
      </x:c>
      <x:c r="M295" s="3">
        <x:f t="shared" si="57"/>
        <x:v>301.85427218769217</x:v>
      </x:c>
      <x:c r="N295" s="3">
        <x:v>1.2876642393003297</x:v>
      </x:c>
      <x:c r="O295" s="3">
        <x:f t="shared" si="58"/>
        <x:v>388.68695177611932</x:v>
      </x:c>
      <x:c r="P295" s="16">
        <x:f t="shared" si="59"/>
        <x:v>0</x:v>
      </x:c>
      <x:c r="Q295" s="16">
        <x:f t="shared" si="60"/>
        <x:v>110.87692568316962</x:v>
      </x:c>
      <x:c r="R295" s="16">
        <x:f t="shared" si="61"/>
        <x:v>277.81002609294973</x:v>
      </x:c>
      <x:c r="S295" s="16">
        <x:f t="shared" si="50"/>
        <x:v>0</x:v>
      </x:c>
    </x:row>
    <x:row r="296" spans="1:19" outlineLevel="2">
      <x:c r="A296" s="12" t="s">
        <x:v>114</x:v>
      </x:c>
      <x:c r="B296" s="7" t="s">
        <x:v>29</x:v>
      </x:c>
      <x:c r="C296" s="6">
        <x:v>41144.289999999994</x:v>
      </x:c>
      <x:c r="E296" s="6">
        <x:v>102.60999999999979</x:v>
      </x:c>
      <x:c r="F296" s="6">
        <x:v>41041.679999999993</x:v>
      </x:c>
      <x:c r="G296" s="1">
        <x:f t="shared" si="56"/>
        <x:v>0</x:v>
      </x:c>
      <x:c r="J296" s="3">
        <x:v>52</x:v>
      </x:c>
      <x:c r="K296" s="3">
        <x:v>18.675321</x:v>
      </x:c>
      <x:c r="L296" s="4">
        <x:v>-0.15</x:v>
      </x:c>
      <x:c r="M296" s="3">
        <x:f t="shared" si="57"/>
        <x:v>30322.851836016271</x:v>
      </x:c>
      <x:c r="N296" s="3">
        <x:v>1.2876642393003297</x:v>
      </x:c>
      <x:c r="O296" s="3">
        <x:f t="shared" si="58"/>
        <x:v>39045.651942840494</x:v>
      </x:c>
      <x:c r="P296" s="16">
        <x:f t="shared" si="59"/>
        <x:v>0</x:v>
      </x:c>
      <x:c r="Q296" s="16">
        <x:f t="shared" si="60"/>
        <x:v>97.376193533898757</x:v>
      </x:c>
      <x:c r="R296" s="16">
        <x:f t="shared" si="61"/>
        <x:v>38948.275749306595</x:v>
      </x:c>
      <x:c r="S296" s="16">
        <x:f t="shared" si="50"/>
        <x:v>0</x:v>
      </x:c>
    </x:row>
    <x:row r="297" spans="1:19" outlineLevel="2">
      <x:c r="A297" s="12" t="s">
        <x:v>114</x:v>
      </x:c>
      <x:c r="B297" s="7" t="s">
        <x:v>28</x:v>
      </x:c>
      <x:c r="C297" s="6">
        <x:v>659.88</x:v>
      </x:c>
      <x:c r="E297" s="6">
        <x:v>202.31</x:v>
      </x:c>
      <x:c r="F297" s="6">
        <x:v>457.57</x:v>
      </x:c>
      <x:c r="G297" s="1">
        <x:f t="shared" si="56"/>
        <x:v>0</x:v>
      </x:c>
      <x:c r="J297" s="3">
        <x:v>52</x:v>
      </x:c>
      <x:c r="K297" s="3">
        <x:v>18.469936000000001</x:v>
      </x:c>
      <x:c r="L297" s="4">
        <x:v>-0.15</x:v>
      </x:c>
      <x:c r="M297" s="3">
        <x:f t="shared" si="57"/>
        <x:v>489.320988984</x:v>
      </x:c>
      <x:c r="N297" s="3">
        <x:v>1.2876642393003297</x:v>
      </x:c>
      <x:c r="O297" s="3">
        <x:f t="shared" si="58"/>
        <x:v>630.0811390537674</x:v>
      </x:c>
      <x:c r="P297" s="16">
        <x:f t="shared" si="59"/>
        <x:v>0</x:v>
      </x:c>
      <x:c r="Q297" s="16">
        <x:f t="shared" si="60"/>
        <x:v>193.17408504874777</x:v>
      </x:c>
      <x:c r="R297" s="16">
        <x:f t="shared" si="61"/>
        <x:v>436.90705400501963</x:v>
      </x:c>
      <x:c r="S297" s="16">
        <x:f t="shared" si="50"/>
        <x:v>0</x:v>
      </x:c>
    </x:row>
    <x:row r="298" spans="1:19" outlineLevel="2">
      <x:c r="A298" s="12" t="s">
        <x:v>114</x:v>
      </x:c>
      <x:c r="B298" s="7" t="s">
        <x:v>152</x:v>
      </x:c>
      <x:c r="C298" s="6">
        <x:v>-10.510000000000002</x:v>
      </x:c>
      <x:c r="F298" s="6">
        <x:v>-10.510000000000002</x:v>
      </x:c>
      <x:c r="G298" s="1">
        <x:f t="shared" si="56"/>
        <x:v>0</x:v>
      </x:c>
      <x:c r="J298" s="3">
        <x:v>52</x:v>
      </x:c>
      <x:c r="K298" s="3">
        <x:v>18.2684015</x:v>
      </x:c>
      <x:c r="L298" s="4">
        <x:v>-0.15</x:v>
      </x:c>
      <x:c r="M298" s="3">
        <x:f t="shared" si="57"/>
        <x:v>-7.8403262551971169</x:v>
      </x:c>
      <x:c r="N298" s="3">
        <x:v>1.2876642393003297</x:v>
      </x:c>
      <x:c r="O298" s="3">
        <x:f t="shared" si="58"/>
        <x:v>-12.086500000000001</x:v>
      </x:c>
      <x:c r="P298" s="16">
        <x:f t="shared" si="59"/>
        <x:v>0</x:v>
      </x:c>
      <x:c r="Q298" s="16">
        <x:f t="shared" si="60"/>
        <x:v>0</x:v>
      </x:c>
      <x:c r="R298" s="16">
        <x:f t="shared" si="61"/>
        <x:v>-12.086500000000001</x:v>
      </x:c>
      <x:c r="S298" s="16">
        <x:f t="shared" si="50"/>
        <x:v>0</x:v>
      </x:c>
    </x:row>
    <x:row r="299" spans="1:19" outlineLevel="2">
      <x:c r="A299" s="12" t="s">
        <x:v>114</x:v>
      </x:c>
      <x:c r="B299" s="7" t="s">
        <x:v>117</x:v>
      </x:c>
      <x:c r="C299" s="6">
        <x:v>260.33</x:v>
      </x:c>
      <x:c r="E299" s="6">
        <x:v>212.85</x:v>
      </x:c>
      <x:c r="F299" s="6">
        <x:v>47.48</x:v>
      </x:c>
      <x:c r="G299" s="1">
        <x:f t="shared" si="56"/>
        <x:v>0</x:v>
      </x:c>
      <x:c r="J299" s="3">
        <x:v>52</x:v>
      </x:c>
      <x:c r="K299" s="3">
        <x:v>18.066866999999998</x:v>
      </x:c>
      <x:c r="L299" s="4">
        <x:v>-0.15</x:v>
      </x:c>
      <x:c r="M299" s="3">
        <x:f t="shared" si="57"/>
        <x:v>195.36316136487497</x:v>
      </x:c>
      <x:c r="N299" s="3">
        <x:v>1.2876642393003297</x:v>
      </x:c>
      <x:c r="O299" s="3">
        <x:f t="shared" si="58"/>
        <x:v>251.5621565662093</x:v>
      </x:c>
      <x:c r="P299" s="16">
        <x:f t="shared" si="59"/>
        <x:v>0</x:v>
      </x:c>
      <x:c r="Q299" s="16">
        <x:f t="shared" si="60"/>
        <x:v>205.68127002311547</x:v>
      </x:c>
      <x:c r="R299" s="16">
        <x:f t="shared" si="61"/>
        <x:v>45.88088654309383</x:v>
      </x:c>
      <x:c r="S299" s="16">
        <x:f t="shared" si="50"/>
        <x:v>0</x:v>
      </x:c>
    </x:row>
    <x:row r="300" spans="1:19" outlineLevel="2">
      <x:c r="A300" s="12" t="s">
        <x:v>114</x:v>
      </x:c>
      <x:c r="B300" s="7" t="s">
        <x:v>27</x:v>
      </x:c>
      <x:c r="C300" s="6">
        <x:v>27.28</x:v>
      </x:c>
      <x:c r="F300" s="6">
        <x:v>27.28</x:v>
      </x:c>
      <x:c r="G300" s="1">
        <x:f t="shared" si="56"/>
        <x:v>0</x:v>
      </x:c>
      <x:c r="J300" s="3">
        <x:v>52</x:v>
      </x:c>
      <x:c r="K300" s="3">
        <x:v>17.869192000000002</x:v>
      </x:c>
      <x:c r="L300" s="4">
        <x:v>-0.15</x:v>
      </x:c>
      <x:c r="M300" s="3">
        <x:f t="shared" si="57"/>
        <x:v>20.591379011076921</x:v>
      </x:c>
      <x:c r="N300" s="3">
        <x:v>1.2876642393003297</x:v>
      </x:c>
      <x:c r="O300" s="3">
        <x:f t="shared" si="58"/>
        <x:v>26.514782390443138</x:v>
      </x:c>
      <x:c r="P300" s="16">
        <x:f t="shared" si="59"/>
        <x:v>0</x:v>
      </x:c>
      <x:c r="Q300" s="16">
        <x:f t="shared" si="60"/>
        <x:v>0</x:v>
      </x:c>
      <x:c r="R300" s="16">
        <x:f t="shared" si="61"/>
        <x:v>26.514782390443138</x:v>
      </x:c>
      <x:c r="S300" s="16">
        <x:f t="shared" si="50"/>
        <x:v>0</x:v>
      </x:c>
    </x:row>
    <x:row r="301" spans="1:19" outlineLevel="2">
      <x:c r="A301" s="12" t="s">
        <x:v>114</x:v>
      </x:c>
      <x:c r="B301" s="7" t="s">
        <x:v>25</x:v>
      </x:c>
      <x:c r="C301" s="6">
        <x:v>1550</x:v>
      </x:c>
      <x:c r="E301" s="6">
        <x:v>55.690000000000055</x:v>
      </x:c>
      <x:c r="F301" s="6">
        <x:v>1494.31</x:v>
      </x:c>
      <x:c r="G301" s="1">
        <x:f t="shared" si="56"/>
        <x:v>0</x:v>
      </x:c>
      <x:c r="J301" s="3">
        <x:v>52</x:v>
      </x:c>
      <x:c r="K301" s="3">
        <x:v>17.481321000000001</x:v>
      </x:c>
      <x:c r="L301" s="4">
        <x:v>-0.15</x:v>
      </x:c>
      <x:c r="M301" s="3">
        <x:f t="shared" si="57"/>
        <x:v>1183.260486875</x:v>
      </x:c>
      <x:c r="N301" s="3">
        <x:v>1.2876642393003297</x:v>
      </x:c>
      <x:c r="O301" s="3">
        <x:f t="shared" si="58"/>
        <x:v>1523.6422147260346</x:v>
      </x:c>
      <x:c r="P301" s="16">
        <x:f t="shared" si="59"/>
        <x:v>0</x:v>
      </x:c>
      <x:c r="Q301" s="16">
        <x:f t="shared" si="60"/>
        <x:v>54.742990282640605</x:v>
      </x:c>
      <x:c r="R301" s="16">
        <x:f t="shared" si="61"/>
        <x:v>1468.8992244433939</x:v>
      </x:c>
      <x:c r="S301" s="16">
        <x:f t="shared" si="50"/>
        <x:v>0</x:v>
      </x:c>
    </x:row>
    <x:row r="302" spans="1:19" outlineLevel="2">
      <x:c r="A302" s="12" t="s">
        <x:v>114</x:v>
      </x:c>
      <x:c r="B302" s="7" t="s">
        <x:v>24</x:v>
      </x:c>
      <x:c r="C302" s="6">
        <x:v>104.61</x:v>
      </x:c>
      <x:c r="F302" s="6">
        <x:v>104.61</x:v>
      </x:c>
      <x:c r="G302" s="1">
        <x:f t="shared" si="56"/>
        <x:v>0</x:v>
      </x:c>
      <x:c r="J302" s="3">
        <x:v>52</x:v>
      </x:c>
      <x:c r="K302" s="3">
        <x:v>17.290838999999998</x:v>
      </x:c>
      <x:c r="L302" s="4">
        <x:v>-0.15</x:v>
      </x:c>
      <x:c r="M302" s="3">
        <x:f t="shared" si="57"/>
        <x:v>80.29931023156729</x:v>
      </x:c>
      <x:c r="N302" s="3">
        <x:v>1.2876642393003297</x:v>
      </x:c>
      <x:c r="O302" s="3">
        <x:f t="shared" si="58"/>
        <x:v>103.39855022567228</x:v>
      </x:c>
      <x:c r="P302" s="16">
        <x:f t="shared" si="59"/>
        <x:v>0</x:v>
      </x:c>
      <x:c r="Q302" s="16">
        <x:f t="shared" si="60"/>
        <x:v>0</x:v>
      </x:c>
      <x:c r="R302" s="16">
        <x:f t="shared" si="61"/>
        <x:v>103.39855022567228</x:v>
      </x:c>
      <x:c r="S302" s="16">
        <x:f t="shared" si="50"/>
        <x:v>0</x:v>
      </x:c>
    </x:row>
    <x:row r="303" spans="1:19" outlineLevel="2">
      <x:c r="A303" s="12" t="s">
        <x:v>114</x:v>
      </x:c>
      <x:c r="B303" s="7" t="s">
        <x:v>23</x:v>
      </x:c>
      <x:c r="C303" s="6">
        <x:v>353.78</x:v>
      </x:c>
      <x:c r="E303" s="6">
        <x:v>134.82</x:v>
      </x:c>
      <x:c r="F303" s="6">
        <x:v>218.95999999999998</x:v>
      </x:c>
      <x:c r="G303" s="1">
        <x:f t="shared" si="56"/>
        <x:v>0</x:v>
      </x:c>
      <x:c r="J303" s="3">
        <x:v>52</x:v>
      </x:c>
      <x:c r="K303" s="3">
        <x:v>17.102895</x:v>
      </x:c>
      <x:c r="L303" s="4">
        <x:v>-0.15</x:v>
      </x:c>
      <x:c r="M303" s="3">
        <x:f t="shared" si="57"/>
        <x:v>273.03427842182685</x:v>
      </x:c>
      <x:c r="N303" s="3">
        <x:v>1.2876642393003297</x:v>
      </x:c>
      <x:c r="O303" s="3">
        <x:f t="shared" si="58"/>
        <x:v>351.57647642695611</x:v>
      </x:c>
      <x:c r="P303" s="16">
        <x:f t="shared" si="59"/>
        <x:v>0</x:v>
      </x:c>
      <x:c r="Q303" s="16">
        <x:f t="shared" si="60"/>
        <x:v>133.98027178439204</x:v>
      </x:c>
      <x:c r="R303" s="16">
        <x:f t="shared" si="61"/>
        <x:v>217.59620464256406</x:v>
      </x:c>
      <x:c r="S303" s="16">
        <x:f t="shared" si="50"/>
        <x:v>0</x:v>
      </x:c>
    </x:row>
    <x:row r="304" spans="1:19" outlineLevel="2">
      <x:c r="A304" s="12" t="s">
        <x:v>114</x:v>
      </x:c>
      <x:c r="B304" s="7" t="s">
        <x:v>22</x:v>
      </x:c>
      <x:c r="C304" s="6">
        <x:v>23481.06</x:v>
      </x:c>
      <x:c r="E304" s="6">
        <x:v>3025.6400000000003</x:v>
      </x:c>
      <x:c r="F304" s="6">
        <x:v>20455.420000000002</x:v>
      </x:c>
      <x:c r="G304" s="1">
        <x:f t="shared" si="56"/>
        <x:v>0</x:v>
      </x:c>
      <x:c r="J304" s="3">
        <x:v>52</x:v>
      </x:c>
      <x:c r="K304" s="3">
        <x:v>16.917515000000002</x:v>
      </x:c>
      <x:c r="L304" s="4">
        <x:v>-0.15</x:v>
      </x:c>
      <x:c r="M304" s="3">
        <x:f t="shared" si="57"/>
        <x:v>18218.077413831055</x:v>
      </x:c>
      <x:c r="N304" s="3">
        <x:v>1.2876642393003297</x:v>
      </x:c>
      <x:c r="O304" s="3">
        <x:f t="shared" si="58"/>
        <x:v>23458.766794595285</x:v>
      </x:c>
      <x:c r="P304" s="16">
        <x:f t="shared" si="59"/>
        <x:v>0</x:v>
      </x:c>
      <x:c r="Q304" s="16">
        <x:f t="shared" si="60"/>
        <x:v>3022.7674203975153</x:v>
      </x:c>
      <x:c r="R304" s="16">
        <x:f t="shared" si="61"/>
        <x:v>20435.999374197771</x:v>
      </x:c>
      <x:c r="S304" s="16">
        <x:f t="shared" si="50"/>
        <x:v>0</x:v>
      </x:c>
    </x:row>
    <x:row r="305" spans="1:19" outlineLevel="2">
      <x:c r="A305" s="12" t="s">
        <x:v>114</x:v>
      </x:c>
      <x:c r="B305" s="7" t="s">
        <x:v>21</x:v>
      </x:c>
      <x:c r="C305" s="6">
        <x:v>52952.119999999995</x:v>
      </x:c>
      <x:c r="E305" s="6">
        <x:v>3107.2000000000007</x:v>
      </x:c>
      <x:c r="F305" s="6">
        <x:v>49844.92</x:v>
      </x:c>
      <x:c r="G305" s="1">
        <x:f t="shared" si="56"/>
        <x:v>0</x:v>
      </x:c>
      <x:c r="J305" s="3">
        <x:v>52</x:v>
      </x:c>
      <x:c r="K305" s="3">
        <x:v>16.73471</x:v>
      </x:c>
      <x:c r="L305" s="4">
        <x:v>-0.15</x:v>
      </x:c>
      <x:c r="M305" s="3">
        <x:f t="shared" si="57"/>
        <x:v>41297.647078884991</x:v>
      </x:c>
      <x:c r="N305" s="3">
        <x:v>1.2876642393003297</x:v>
      </x:c>
      <x:c r="O305" s="3">
        <x:f t="shared" si="58"/>
        <x:v>53177.503310725922</x:v>
      </x:c>
      <x:c r="P305" s="16">
        <x:f t="shared" si="59"/>
        <x:v>0</x:v>
      </x:c>
      <x:c r="Q305" s="16">
        <x:f t="shared" si="60"/>
        <x:v>3120.4253632732293</x:v>
      </x:c>
      <x:c r="R305" s="16">
        <x:f t="shared" si="61"/>
        <x:v>50057.077947452701</x:v>
      </x:c>
      <x:c r="S305" s="16">
        <x:f t="shared" ref="S305:S368" si="62">+O305-P305-Q305-R305</x:f>
        <x:v>0</x:v>
      </x:c>
    </x:row>
    <x:row r="306" spans="1:19" outlineLevel="2">
      <x:c r="A306" s="12" t="s">
        <x:v>114</x:v>
      </x:c>
      <x:c r="B306" s="7" t="s">
        <x:v>20</x:v>
      </x:c>
      <x:c r="C306" s="6">
        <x:v>368743.87</x:v>
      </x:c>
      <x:c r="E306" s="6">
        <x:v>136113.16000000003</x:v>
      </x:c>
      <x:c r="F306" s="6">
        <x:v>232630.71</x:v>
      </x:c>
      <x:c r="G306" s="1">
        <x:f t="shared" si="56"/>
        <x:v>0</x:v>
      </x:c>
      <x:c r="J306" s="3">
        <x:v>52</x:v>
      </x:c>
      <x:c r="K306" s="3">
        <x:v>16.554492</x:v>
      </x:c>
      <x:c r="L306" s="4">
        <x:v>-0.15</x:v>
      </x:c>
      <x:c r="M306" s="3">
        <x:f t="shared" si="57"/>
        <x:v>289055.01659887214</x:v>
      </x:c>
      <x:c r="N306" s="3">
        <x:v>1.2876642393003297</x:v>
      </x:c>
      <x:c r="O306" s="3">
        <x:f t="shared" si="58"/>
        <x:v>372205.8080647309</x:v>
      </x:c>
      <x:c r="P306" s="16">
        <x:f t="shared" si="59"/>
        <x:v>0</x:v>
      </x:c>
      <x:c r="Q306" s="16">
        <x:f t="shared" si="60"/>
        <x:v>137391.05332393464</x:v>
      </x:c>
      <x:c r="R306" s="16">
        <x:f t="shared" si="61"/>
        <x:v>234814.75474079628</x:v>
      </x:c>
      <x:c r="S306" s="16">
        <x:f t="shared" si="62"/>
        <x:v>0</x:v>
      </x:c>
    </x:row>
    <x:row r="307" spans="1:19" outlineLevel="2">
      <x:c r="A307" s="12" t="s">
        <x:v>114</x:v>
      </x:c>
      <x:c r="B307" s="7" t="s">
        <x:v>19</x:v>
      </x:c>
      <x:c r="C307" s="6">
        <x:v>12617.800000000001</x:v>
      </x:c>
      <x:c r="E307" s="6">
        <x:v>1143.3499999999999</x:v>
      </x:c>
      <x:c r="F307" s="6">
        <x:v>11474.45</x:v>
      </x:c>
      <x:c r="G307" s="1">
        <x:f t="shared" si="56"/>
        <x:v>0</x:v>
      </x:c>
      <x:c r="J307" s="3">
        <x:v>52</x:v>
      </x:c>
      <x:c r="K307" s="3">
        <x:v>16.376860000000001</x:v>
      </x:c>
      <x:c r="L307" s="4">
        <x:v>-0.15</x:v>
      </x:c>
      <x:c r="M307" s="3">
        <x:f t="shared" ref="M307:M316" si="63">+C307*(1-K307/J307)*(1-L307)</x:f>
        <x:v>9940.5481591499993</x:v>
      </x:c>
      <x:c r="N307" s="3">
        <x:v>1.2876642393003297</x:v>
      </x:c>
      <x:c r="O307" s="3">
        <x:f t="shared" ref="O307:O316" si="64">IF((C307*(1-L307)-M307*N307)&lt;0,C307*(1-L307),M307*N307)</x:f>
        <x:v>12800.088383580176</x:v>
      </x:c>
      <x:c r="P307" s="16">
        <x:f t="shared" ref="P307:P316" si="65">+D307/$C307*$O307</x:f>
        <x:v>0</x:v>
      </x:c>
      <x:c r="Q307" s="16">
        <x:f t="shared" ref="Q307:Q316" si="66">+E307/$C307*$O307</x:f>
        <x:v>1159.8678892807297</x:v>
      </x:c>
      <x:c r="R307" s="16">
        <x:f t="shared" ref="R307:R316" si="67">+F307/$C307*$O307</x:f>
        <x:v>11640.220494299447</x:v>
      </x:c>
      <x:c r="S307" s="16">
        <x:f t="shared" si="62"/>
        <x:v>0</x:v>
      </x:c>
    </x:row>
    <x:row r="308" spans="1:19" outlineLevel="2">
      <x:c r="A308" s="12" t="s">
        <x:v>114</x:v>
      </x:c>
      <x:c r="B308" s="7" t="s">
        <x:v>18</x:v>
      </x:c>
      <x:c r="C308" s="6">
        <x:v>2317.87</x:v>
      </x:c>
      <x:c r="E308" s="6">
        <x:v>1221.7600000000002</x:v>
      </x:c>
      <x:c r="F308" s="6">
        <x:v>1096.1099999999999</x:v>
      </x:c>
      <x:c r="G308" s="1">
        <x:f t="shared" si="56"/>
        <x:v>0</x:v>
      </x:c>
      <x:c r="J308" s="3">
        <x:v>52</x:v>
      </x:c>
      <x:c r="K308" s="3">
        <x:v>16.201858000000001</x:v>
      </x:c>
      <x:c r="L308" s="4">
        <x:v>-0.15</x:v>
      </x:c>
      <x:c r="M308" s="3">
        <x:f t="shared" si="63"/>
        <x:v>1835.0337559071343</x:v>
      </x:c>
      <x:c r="N308" s="3">
        <x:v>1.2876642393003297</x:v>
      </x:c>
      <x:c r="O308" s="3">
        <x:f t="shared" si="64"/>
        <x:v>2362.9073453905871</x:v>
      </x:c>
      <x:c r="P308" s="16">
        <x:f t="shared" si="65"/>
        <x:v>0</x:v>
      </x:c>
      <x:c r="Q308" s="16">
        <x:f t="shared" si="66"/>
        <x:v>1245.4993931085023</x:v>
      </x:c>
      <x:c r="R308" s="16">
        <x:f t="shared" si="67"/>
        <x:v>1117.407952282085</x:v>
      </x:c>
      <x:c r="S308" s="16">
        <x:f t="shared" si="62"/>
        <x:v>0</x:v>
      </x:c>
    </x:row>
    <x:row r="309" spans="1:19" outlineLevel="2">
      <x:c r="A309" s="12" t="s">
        <x:v>114</x:v>
      </x:c>
      <x:c r="B309" s="7" t="s">
        <x:v>17</x:v>
      </x:c>
      <x:c r="C309" s="6">
        <x:v>55090.850000000006</x:v>
      </x:c>
      <x:c r="E309" s="6">
        <x:v>4594.0299999999988</x:v>
      </x:c>
      <x:c r="F309" s="6">
        <x:v>50496.820000000007</x:v>
      </x:c>
      <x:c r="G309" s="1">
        <x:f t="shared" si="56"/>
        <x:v>0</x:v>
      </x:c>
      <x:c r="J309" s="3">
        <x:v>52</x:v>
      </x:c>
      <x:c r="K309" s="3">
        <x:v>16.029492000000001</x:v>
      </x:c>
      <x:c r="L309" s="4">
        <x:v>-0.15</x:v>
      </x:c>
      <x:c r="M309" s="3">
        <x:f t="shared" si="63"/>
        <x:v>43824.860379799429</x:v>
      </x:c>
      <x:c r="N309" s="3">
        <x:v>1.2876642393003297</x:v>
      </x:c>
      <x:c r="O309" s="3">
        <x:f t="shared" si="64"/>
        <x:v>56431.705503397592</x:v>
      </x:c>
      <x:c r="P309" s="16">
        <x:f t="shared" si="65"/>
        <x:v>0</x:v>
      </x:c>
      <x:c r="Q309" s="16">
        <x:f t="shared" si="66"/>
        <x:v>4705.8440382345443</x:v>
      </x:c>
      <x:c r="R309" s="16">
        <x:f t="shared" si="67"/>
        <x:v>51725.861465163049</x:v>
      </x:c>
      <x:c r="S309" s="16">
        <x:f t="shared" si="62"/>
        <x:v>0</x:v>
      </x:c>
    </x:row>
    <x:row r="310" spans="1:19" outlineLevel="2">
      <x:c r="A310" s="12" t="s">
        <x:v>114</x:v>
      </x:c>
      <x:c r="B310" s="7" t="s">
        <x:v>16</x:v>
      </x:c>
      <x:c r="C310" s="6">
        <x:v>7819.43</x:v>
      </x:c>
      <x:c r="E310" s="6">
        <x:v>1675.57</x:v>
      </x:c>
      <x:c r="F310" s="6">
        <x:v>6143.8600000000006</x:v>
      </x:c>
      <x:c r="G310" s="1">
        <x:f t="shared" si="56"/>
        <x:v>0</x:v>
      </x:c>
      <x:c r="J310" s="3">
        <x:v>52</x:v>
      </x:c>
      <x:c r="K310" s="3">
        <x:v>15.859766</x:v>
      </x:c>
      <x:c r="L310" s="4">
        <x:v>-0.15</x:v>
      </x:c>
      <x:c r="M310" s="3">
        <x:f t="shared" si="63"/>
        <x:v>6249.7198930502491</x:v>
      </x:c>
      <x:c r="N310" s="3">
        <x:v>1.2876642393003297</x:v>
      </x:c>
      <x:c r="O310" s="3">
        <x:f t="shared" si="64"/>
        <x:v>8047.5408119246867</x:v>
      </x:c>
      <x:c r="P310" s="16">
        <x:f t="shared" si="65"/>
        <x:v>0</x:v>
      </x:c>
      <x:c r="Q310" s="16">
        <x:f t="shared" si="66"/>
        <x:v>1724.4502423113511</x:v>
      </x:c>
      <x:c r="R310" s="16">
        <x:f t="shared" si="67"/>
        <x:v>6323.0905696133359</x:v>
      </x:c>
      <x:c r="S310" s="16">
        <x:f t="shared" si="62"/>
        <x:v>0</x:v>
      </x:c>
    </x:row>
    <x:row r="311" spans="1:19" outlineLevel="2">
      <x:c r="A311" s="12" t="s">
        <x:v>114</x:v>
      </x:c>
      <x:c r="B311" s="7" t="s">
        <x:v>15</x:v>
      </x:c>
      <x:c r="C311" s="6">
        <x:v>113742.41</x:v>
      </x:c>
      <x:c r="E311" s="6">
        <x:v>113742.41</x:v>
      </x:c>
      <x:c r="G311" s="1">
        <x:f t="shared" si="56"/>
        <x:v>0</x:v>
      </x:c>
      <x:c r="J311" s="3">
        <x:v>52</x:v>
      </x:c>
      <x:c r="K311" s="3">
        <x:v>15.692714</x:v>
      </x:c>
      <x:c r="L311" s="4">
        <x:v>-0.15</x:v>
      </x:c>
      <x:c r="M311" s="3">
        <x:f t="shared" si="63"/>
        <x:v>91329.421956329781</x:v>
      </x:c>
      <x:c r="N311" s="3">
        <x:v>1.2876642393003297</x:v>
      </x:c>
      <x:c r="O311" s="3">
        <x:f t="shared" si="64"/>
        <x:v>117601.63064913622</x:v>
      </x:c>
      <x:c r="P311" s="16">
        <x:f t="shared" si="65"/>
        <x:v>0</x:v>
      </x:c>
      <x:c r="Q311" s="16">
        <x:f t="shared" si="66"/>
        <x:v>117601.63064913622</x:v>
      </x:c>
      <x:c r="R311" s="16">
        <x:f t="shared" si="67"/>
        <x:v>0</x:v>
      </x:c>
      <x:c r="S311" s="16">
        <x:f t="shared" si="62"/>
        <x:v>0</x:v>
      </x:c>
    </x:row>
    <x:row r="312" spans="1:19" outlineLevel="2">
      <x:c r="A312" s="12" t="s">
        <x:v>114</x:v>
      </x:c>
      <x:c r="B312" s="7" t="s">
        <x:v>13</x:v>
      </x:c>
      <x:c r="C312" s="6">
        <x:v>-159.29999999999995</x:v>
      </x:c>
      <x:c r="E312" s="6">
        <x:v>-433.38</x:v>
      </x:c>
      <x:c r="F312" s="6">
        <x:v>274.08000000000004</x:v>
      </x:c>
      <x:c r="G312" s="1">
        <x:f t="shared" si="56"/>
        <x:v>0</x:v>
      </x:c>
      <x:c r="J312" s="3">
        <x:v>52</x:v>
      </x:c>
      <x:c r="K312" s="3">
        <x:v>15.207398</x:v>
      </x:c>
      <x:c r="L312" s="4">
        <x:v>-0.15</x:v>
      </x:c>
      <x:c r="M312" s="3">
        <x:f t="shared" si="63"/>
        <x:v>-129.61962929596152</x:v>
      </x:c>
      <x:c r="N312" s="3">
        <x:v>1.2876642393003297</x:v>
      </x:c>
      <x:c r="O312" s="3">
        <x:f t="shared" si="64"/>
        <x:v>-183.19499999999994</x:v>
      </x:c>
      <x:c r="P312" s="16">
        <x:f t="shared" si="65"/>
        <x:v>0</x:v>
      </x:c>
      <x:c r="Q312" s="16">
        <x:f t="shared" si="66"/>
        <x:v>-498.387</x:v>
      </x:c>
      <x:c r="R312" s="16">
        <x:f t="shared" si="67"/>
        <x:v>315.19200000000001</x:v>
      </x:c>
      <x:c r="S312" s="16">
        <x:f t="shared" si="62"/>
        <x:v>0</x:v>
      </x:c>
    </x:row>
    <x:row r="313" spans="1:19" outlineLevel="2">
      <x:c r="A313" s="12" t="s">
        <x:v>114</x:v>
      </x:c>
      <x:c r="B313" s="7" t="s">
        <x:v>12</x:v>
      </x:c>
      <x:c r="C313" s="6">
        <x:v>6098.6600000000008</x:v>
      </x:c>
      <x:c r="E313" s="6">
        <x:v>5154.4400000000005</x:v>
      </x:c>
      <x:c r="F313" s="6">
        <x:v>944.22</x:v>
      </x:c>
      <x:c r="G313" s="1">
        <x:f t="shared" si="56"/>
        <x:v>0</x:v>
      </x:c>
      <x:c r="J313" s="3">
        <x:v>52</x:v>
      </x:c>
      <x:c r="K313" s="3">
        <x:v>14.449814999999999</x:v>
      </x:c>
      <x:c r="L313" s="4">
        <x:v>-0.15</x:v>
      </x:c>
      <x:c r="M313" s="3">
        <x:f t="shared" si="63"/>
        <x:v>5064.5515949983655</x:v>
      </x:c>
      <x:c r="N313" s="3">
        <x:v>1.2876642393003297</x:v>
      </x:c>
      <x:c r="O313" s="3">
        <x:f t="shared" si="64"/>
        <x:v>6521.441976970842</x:v>
      </x:c>
      <x:c r="P313" s="16">
        <x:f t="shared" si="65"/>
        <x:v>0</x:v>
      </x:c>
      <x:c r="Q313" s="16">
        <x:f t="shared" si="66"/>
        <x:v>5511.7651063967469</x:v>
      </x:c>
      <x:c r="R313" s="16">
        <x:f t="shared" si="67"/>
        <x:v>1009.6768705740947</x:v>
      </x:c>
      <x:c r="S313" s="16">
        <x:f t="shared" si="62"/>
        <x:v>0</x:v>
      </x:c>
    </x:row>
    <x:row r="314" spans="1:19" outlineLevel="2">
      <x:c r="A314" s="12" t="s">
        <x:v>114</x:v>
      </x:c>
      <x:c r="B314" s="7" t="s">
        <x:v>116</x:v>
      </x:c>
      <x:c r="C314" s="6">
        <x:v>670.88</x:v>
      </x:c>
      <x:c r="E314" s="6">
        <x:v>9.1600000000000108</x:v>
      </x:c>
      <x:c r="F314" s="6">
        <x:v>661.72</x:v>
      </x:c>
      <x:c r="G314" s="1">
        <x:f t="shared" si="56"/>
        <x:v>0</x:v>
      </x:c>
      <x:c r="J314" s="3">
        <x:v>52</x:v>
      </x:c>
      <x:c r="K314" s="3">
        <x:v>14.028528</x:v>
      </x:c>
      <x:c r="L314" s="4">
        <x:v>-0.15</x:v>
      </x:c>
      <x:c r="M314" s="3">
        <x:f t="shared" si="63"/>
        <x:v>563.3739674166153</x:v>
      </x:c>
      <x:c r="N314" s="3">
        <x:v>1.2876642393003297</x:v>
      </x:c>
      <x:c r="O314" s="3">
        <x:f t="shared" si="64"/>
        <x:v>725.43651119512469</x:v>
      </x:c>
      <x:c r="P314" s="16">
        <x:f t="shared" si="65"/>
        <x:v>0</x:v>
      </x:c>
      <x:c r="Q314" s="16">
        <x:f t="shared" si="66"/>
        <x:v>9.9048987040116714</x:v>
      </x:c>
      <x:c r="R314" s="16">
        <x:f t="shared" si="67"/>
        <x:v>715.53161249111304</x:v>
      </x:c>
      <x:c r="S314" s="16">
        <x:f t="shared" si="62"/>
        <x:v>0</x:v>
      </x:c>
    </x:row>
    <x:row r="315" spans="1:19" outlineLevel="2">
      <x:c r="A315" s="12" t="s">
        <x:v>114</x:v>
      </x:c>
      <x:c r="B315" s="7" t="s">
        <x:v>5</x:v>
      </x:c>
      <x:c r="C315" s="6">
        <x:v>4832.42</x:v>
      </x:c>
      <x:c r="F315" s="6">
        <x:v>4832.42</x:v>
      </x:c>
      <x:c r="G315" s="1">
        <x:f t="shared" si="56"/>
        <x:v>0</x:v>
      </x:c>
      <x:c r="J315" s="3">
        <x:v>52</x:v>
      </x:c>
      <x:c r="K315" s="3">
        <x:v>12.594847</x:v>
      </x:c>
      <x:c r="L315" s="4">
        <x:v>-0.15</x:v>
      </x:c>
      <x:c r="M315" s="3">
        <x:f t="shared" si="63"/>
        <x:v>4211.261286140365</x:v>
      </x:c>
      <x:c r="N315" s="3">
        <x:v>1.2876642393003297</x:v>
      </x:c>
      <x:c r="O315" s="3">
        <x:f t="shared" si="64"/>
        <x:v>5422.6905605128613</x:v>
      </x:c>
      <x:c r="P315" s="16">
        <x:f t="shared" si="65"/>
        <x:v>0</x:v>
      </x:c>
      <x:c r="Q315" s="16">
        <x:f t="shared" si="66"/>
        <x:v>0</x:v>
      </x:c>
      <x:c r="R315" s="16">
        <x:f t="shared" si="67"/>
        <x:v>5422.6905605128613</x:v>
      </x:c>
      <x:c r="S315" s="16">
        <x:f t="shared" si="62"/>
        <x:v>0</x:v>
      </x:c>
    </x:row>
    <x:row r="316" spans="1:19" outlineLevel="2">
      <x:c r="A316" s="12" t="s">
        <x:v>114</x:v>
      </x:c>
      <x:c r="B316" s="7" t="s">
        <x:v>115</x:v>
      </x:c>
      <x:c r="C316" s="6">
        <x:v>7335.9000000000005</x:v>
      </x:c>
      <x:c r="F316" s="6">
        <x:v>7335.9000000000005</x:v>
      </x:c>
      <x:c r="G316" s="1">
        <x:f t="shared" si="56"/>
        <x:v>0</x:v>
      </x:c>
      <x:c r="J316" s="3">
        <x:v>52</x:v>
      </x:c>
      <x:c r="K316" s="3">
        <x:v>11.932453000000001</x:v>
      </x:c>
      <x:c r="L316" s="4">
        <x:v>-0.15</x:v>
      </x:c>
      <x:c r="M316" s="3">
        <x:f t="shared" si="63"/>
        <x:v>6500.4085719787499</x:v>
      </x:c>
      <x:c r="N316" s="3">
        <x:v>1.2876642393003297</x:v>
      </x:c>
      <x:c r="O316" s="3">
        <x:f t="shared" si="64"/>
        <x:v>8370.3436589783596</x:v>
      </x:c>
      <x:c r="P316" s="16">
        <x:f t="shared" si="65"/>
        <x:v>0</x:v>
      </x:c>
      <x:c r="Q316" s="16">
        <x:f t="shared" si="66"/>
        <x:v>0</x:v>
      </x:c>
      <x:c r="R316" s="16">
        <x:f t="shared" si="67"/>
        <x:v>8370.3436589783596</x:v>
      </x:c>
      <x:c r="S316" s="16">
        <x:f t="shared" si="62"/>
        <x:v>0</x:v>
      </x:c>
    </x:row>
    <x:row r="317" spans="1:19" outlineLevel="1">
      <x:c r="A317" s="5" t="s">
        <x:v>134</x:v>
      </x:c>
      <x:c r="B317" s="7"/>
      <x:c r="C317" s="6">
        <x:f>SUBTOTAL(9,C211:C316)</x:f>
        <x:v>4359152306.670001</x:v>
      </x:c>
      <x:c r="D317" s="6">
        <x:f>SUBTOTAL(9,D211:D316)</x:f>
        <x:v>0</x:v>
      </x:c>
      <x:c r="E317" s="6">
        <x:f>SUBTOTAL(9,E211:E316)</x:f>
        <x:v>403045770.82000005</x:v>
      </x:c>
      <x:c r="F317" s="6">
        <x:f>SUBTOTAL(9,F211:F316)</x:f>
        <x:v>3956106535.8499994</x:v>
      </x:c>
      <x:c r="G317" s="1">
        <x:f t="shared" si="56"/>
        <x:v>0</x:v>
      </x:c>
      <x:c r="L317" s="18"/>
      <x:c r="M317" s="3">
        <x:f>SUBTOTAL(9,M211:M316)</x:f>
        <x:v>698162420.61031616</x:v>
      </x:c>
      <x:c r="N317" s="3">
        <x:v>1.2876642393003297</x:v>
      </x:c>
      <x:c r="O317" s="3">
        <x:f>SUBTOTAL(9,O211:O316)</x:f>
        <x:v>898998763.96402895</x:v>
      </x:c>
      <x:c r="P317" s="16">
        <x:f>SUBTOTAL(9,P211:P316)</x:f>
        <x:v>0</x:v>
      </x:c>
      <x:c r="Q317" s="16">
        <x:f>SUBTOTAL(9,Q211:Q316)</x:f>
        <x:v>95757658.198154762</x:v>
      </x:c>
      <x:c r="R317" s="16">
        <x:f>SUBTOTAL(9,R211:R316)</x:f>
        <x:v>803241105.76587403</x:v>
      </x:c>
      <x:c r="S317" s="16">
        <x:f t="shared" si="62"/>
        <x:v>0</x:v>
      </x:c>
    </x:row>
    <x:row r="318" spans="1:19" outlineLevel="2">
      <x:c r="A318" s="12" t="s">
        <x:v>119</x:v>
      </x:c>
      <x:c r="B318" s="7" t="s">
        <x:v>149</x:v>
      </x:c>
      <x:c r="C318" s="6">
        <x:v>78580380.799999982</x:v>
      </x:c>
      <x:c r="F318" s="6">
        <x:v>78580380.799999982</x:v>
      </x:c>
      <x:c r="G318" s="1">
        <x:f t="shared" si="56"/>
        <x:v>0</x:v>
      </x:c>
      <x:c r="J318" s="3">
        <x:v>72</x:v>
      </x:c>
      <x:c r="K318" s="3">
        <x:v>71.52749</x:v>
      </x:c>
      <x:c r="L318" s="4">
        <x:v>-0.4</x:v>
      </x:c>
      <x:c r="M318" s="3">
        <x:f t="shared" ref="M318:M349" si="68">+C318*(1-K318/J318)*(1-L318)</x:f>
        <x:v>721972.52811848558</x:v>
      </x:c>
      <x:c r="N318" s="3">
        <x:v>1.2861612305362093</x:v>
      </x:c>
      <x:c r="O318" s="3">
        <x:f t="shared" ref="O318:O349" si="69">IF((C318*(1-L318)-M318*N318)&lt;0,C318*(1-L318),M318*N318)</x:f>
        <x:v>928573.07517820946</x:v>
      </x:c>
      <x:c r="P318" s="16">
        <x:f t="shared" ref="P318:P349" si="70">+D318/$C318*$O318</x:f>
        <x:v>0</x:v>
      </x:c>
      <x:c r="Q318" s="16">
        <x:f t="shared" ref="Q318:Q349" si="71">+E318/$C318*$O318</x:f>
        <x:v>0</x:v>
      </x:c>
      <x:c r="R318" s="16">
        <x:f t="shared" ref="R318:R349" si="72">+F318/$C318*$O318</x:f>
        <x:v>928573.07517820946</x:v>
      </x:c>
      <x:c r="S318" s="16">
        <x:f t="shared" si="62"/>
        <x:v>0</x:v>
      </x:c>
    </x:row>
    <x:row r="319" spans="1:19" outlineLevel="2">
      <x:c r="A319" s="12" t="s">
        <x:v>119</x:v>
      </x:c>
      <x:c r="B319" s="7" t="s">
        <x:v>150</x:v>
      </x:c>
      <x:c r="C319" s="6">
        <x:v>106156606.90000001</x:v>
      </x:c>
      <x:c r="F319" s="6">
        <x:v>106156606.90000001</x:v>
      </x:c>
      <x:c r="G319" s="1">
        <x:f t="shared" si="56"/>
        <x:v>0</x:v>
      </x:c>
      <x:c r="J319" s="3">
        <x:v>72</x:v>
      </x:c>
      <x:c r="K319" s="3">
        <x:v>70.583888000000002</x:v>
      </x:c>
      <x:c r="L319" s="4">
        <x:v>-0.4</x:v>
      </x:c>
      <x:c r="M319" s="3">
        <x:f t="shared" si="68"/>
        <x:v>2923076.4288128009</x:v>
      </x:c>
      <x:c r="N319" s="3">
        <x:v>1.2861612305362093</x:v>
      </x:c>
      <x:c r="O319" s="3">
        <x:f t="shared" si="69"/>
        <x:v>3759547.5766332601</x:v>
      </x:c>
      <x:c r="P319" s="16">
        <x:f t="shared" si="70"/>
        <x:v>0</x:v>
      </x:c>
      <x:c r="Q319" s="16">
        <x:f t="shared" si="71"/>
        <x:v>0</x:v>
      </x:c>
      <x:c r="R319" s="16">
        <x:f t="shared" si="72"/>
        <x:v>3759547.5766332601</x:v>
      </x:c>
      <x:c r="S319" s="16">
        <x:f t="shared" si="62"/>
        <x:v>0</x:v>
      </x:c>
    </x:row>
    <x:row r="320" spans="1:19" outlineLevel="2">
      <x:c r="A320" s="12" t="s">
        <x:v>119</x:v>
      </x:c>
      <x:c r="B320" s="7" t="s">
        <x:v>151</x:v>
      </x:c>
      <x:c r="C320" s="6">
        <x:v>43530296.099999979</x:v>
      </x:c>
      <x:c r="F320" s="6">
        <x:v>43530296.099999979</x:v>
      </x:c>
      <x:c r="G320" s="1">
        <x:f t="shared" si="56"/>
        <x:v>0</x:v>
      </x:c>
      <x:c r="J320" s="3">
        <x:v>72</x:v>
      </x:c>
      <x:c r="K320" s="3">
        <x:v>69.643122000000005</x:v>
      </x:c>
      <x:c r="L320" s="4">
        <x:v>-0.4</x:v>
      </x:c>
      <x:c r="M320" s="3">
        <x:f t="shared" si="68"/>
        <x:v>1994914.3902250763</x:v>
      </x:c>
      <x:c r="N320" s="3">
        <x:v>1.2861612305362093</x:v>
      </x:c>
      <x:c r="O320" s="3">
        <x:f t="shared" si="69"/>
        <x:v>2565781.546946276</x:v>
      </x:c>
      <x:c r="P320" s="16">
        <x:f t="shared" si="70"/>
        <x:v>0</x:v>
      </x:c>
      <x:c r="Q320" s="16">
        <x:f t="shared" si="71"/>
        <x:v>0</x:v>
      </x:c>
      <x:c r="R320" s="16">
        <x:f t="shared" si="72"/>
        <x:v>2565781.546946276</x:v>
      </x:c>
      <x:c r="S320" s="16">
        <x:f t="shared" si="62"/>
        <x:v>0</x:v>
      </x:c>
    </x:row>
    <x:row r="321" spans="1:19" outlineLevel="2">
      <x:c r="A321" s="12" t="s">
        <x:v>119</x:v>
      </x:c>
      <x:c r="B321" s="7" t="s">
        <x:v>111</x:v>
      </x:c>
      <x:c r="C321" s="6">
        <x:v>75931327.169999957</x:v>
      </x:c>
      <x:c r="F321" s="6">
        <x:v>75931327.169999957</x:v>
      </x:c>
      <x:c r="G321" s="1">
        <x:f t="shared" si="56"/>
        <x:v>0</x:v>
      </x:c>
      <x:c r="J321" s="3">
        <x:v>72</x:v>
      </x:c>
      <x:c r="K321" s="3">
        <x:v>68.704759999999993</x:v>
      </x:c>
      <x:c r="L321" s="4">
        <x:v>-0.4</x:v>
      </x:c>
      <x:c r="M321" s="3">
        <x:f t="shared" si="68"/>
        <x:v>4865232.2939047143</x:v>
      </x:c>
      <x:c r="N321" s="3">
        <x:v>1.2861612305362093</x:v>
      </x:c>
      <x:c r="O321" s="3">
        <x:f t="shared" si="69"/>
        <x:v>6257473.1539729917</x:v>
      </x:c>
      <x:c r="P321" s="16">
        <x:f t="shared" si="70"/>
        <x:v>0</x:v>
      </x:c>
      <x:c r="Q321" s="16">
        <x:f t="shared" si="71"/>
        <x:v>0</x:v>
      </x:c>
      <x:c r="R321" s="16">
        <x:f t="shared" si="72"/>
        <x:v>6257473.1539729917</x:v>
      </x:c>
      <x:c r="S321" s="16">
        <x:f t="shared" si="62"/>
        <x:v>0</x:v>
      </x:c>
    </x:row>
    <x:row r="322" spans="1:19" outlineLevel="2">
      <x:c r="A322" s="12" t="s">
        <x:v>119</x:v>
      </x:c>
      <x:c r="B322" s="7" t="s">
        <x:v>110</x:v>
      </x:c>
      <x:c r="C322" s="6">
        <x:v>133413707.92999995</x:v>
      </x:c>
      <x:c r="F322" s="6">
        <x:v>133413707.92999995</x:v>
      </x:c>
      <x:c r="G322" s="1">
        <x:f t="shared" si="56"/>
        <x:v>0</x:v>
      </x:c>
      <x:c r="J322" s="3">
        <x:v>72</x:v>
      </x:c>
      <x:c r="K322" s="3">
        <x:v>67.769344000000004</x:v>
      </x:c>
      <x:c r="L322" s="4">
        <x:v>-0.4</x:v>
      </x:c>
      <x:c r="M322" s="3">
        <x:f t="shared" si="68"/>
        <x:v>10974979.243205866</x:v>
      </x:c>
      <x:c r="N322" s="3">
        <x:v>1.2861612305362093</x:v>
      </x:c>
      <x:c r="O322" s="3">
        <x:f t="shared" si="69"/>
        <x:v>14115592.808551012</x:v>
      </x:c>
      <x:c r="P322" s="16">
        <x:f t="shared" si="70"/>
        <x:v>0</x:v>
      </x:c>
      <x:c r="Q322" s="16">
        <x:f t="shared" si="71"/>
        <x:v>0</x:v>
      </x:c>
      <x:c r="R322" s="16">
        <x:f t="shared" si="72"/>
        <x:v>14115592.808551012</x:v>
      </x:c>
      <x:c r="S322" s="16">
        <x:f t="shared" si="62"/>
        <x:v>0</x:v>
      </x:c>
    </x:row>
    <x:row r="323" spans="1:19" outlineLevel="2">
      <x:c r="A323" s="12" t="s">
        <x:v>119</x:v>
      </x:c>
      <x:c r="B323" s="7" t="s">
        <x:v>109</x:v>
      </x:c>
      <x:c r="C323" s="6">
        <x:v>58027896.98999998</x:v>
      </x:c>
      <x:c r="F323" s="6">
        <x:v>58027896.98999998</x:v>
      </x:c>
      <x:c r="G323" s="1">
        <x:f t="shared" ref="G323:G386" si="73">+C323-D323-E323-F323</x:f>
        <x:v>0</x:v>
      </x:c>
      <x:c r="J323" s="3">
        <x:v>72</x:v>
      </x:c>
      <x:c r="K323" s="3">
        <x:v>66.836775000000003</x:v>
      </x:c>
      <x:c r="L323" s="4">
        <x:v>-0.4</x:v>
      </x:c>
      <x:c r="M323" s="3">
        <x:f t="shared" si="68"/>
        <x:v>5825771.164037073</x:v>
      </x:c>
      <x:c r="N323" s="3">
        <x:v>1.2861612305362093</x:v>
      </x:c>
      <x:c r="O323" s="3">
        <x:f t="shared" si="69"/>
        <x:v>7492881.0091602867</x:v>
      </x:c>
      <x:c r="P323" s="16">
        <x:f t="shared" si="70"/>
        <x:v>0</x:v>
      </x:c>
      <x:c r="Q323" s="16">
        <x:f t="shared" si="71"/>
        <x:v>0</x:v>
      </x:c>
      <x:c r="R323" s="16">
        <x:f t="shared" si="72"/>
        <x:v>7492881.0091602867</x:v>
      </x:c>
      <x:c r="S323" s="16">
        <x:f t="shared" si="62"/>
        <x:v>0</x:v>
      </x:c>
    </x:row>
    <x:row r="324" spans="1:19" outlineLevel="2">
      <x:c r="A324" s="12" t="s">
        <x:v>119</x:v>
      </x:c>
      <x:c r="B324" s="7" t="s">
        <x:v>108</x:v>
      </x:c>
      <x:c r="C324" s="6">
        <x:v>53242390.999999993</x:v>
      </x:c>
      <x:c r="F324" s="6">
        <x:v>53242390.999999993</x:v>
      </x:c>
      <x:c r="G324" s="1">
        <x:f t="shared" si="73"/>
        <x:v>0</x:v>
      </x:c>
      <x:c r="J324" s="3">
        <x:v>72</x:v>
      </x:c>
      <x:c r="K324" s="3">
        <x:v>65.906938999999994</x:v>
      </x:c>
      <x:c r="L324" s="4">
        <x:v>-0.4</x:v>
      </x:c>
      <x:c r="M324" s="3">
        <x:f t="shared" si="68"/>
        <x:v>6307955.4251165539</x:v>
      </x:c>
      <x:c r="N324" s="3">
        <x:v>1.2861612305362093</x:v>
      </x:c>
      <x:c r="O324" s="3">
        <x:f t="shared" si="69"/>
        <x:v>8113047.7117354646</x:v>
      </x:c>
      <x:c r="P324" s="16">
        <x:f t="shared" si="70"/>
        <x:v>0</x:v>
      </x:c>
      <x:c r="Q324" s="16">
        <x:f t="shared" si="71"/>
        <x:v>0</x:v>
      </x:c>
      <x:c r="R324" s="16">
        <x:f t="shared" si="72"/>
        <x:v>8113047.7117354646</x:v>
      </x:c>
      <x:c r="S324" s="16">
        <x:f t="shared" si="62"/>
        <x:v>0</x:v>
      </x:c>
    </x:row>
    <x:row r="325" spans="1:19" outlineLevel="2">
      <x:c r="A325" s="12" t="s">
        <x:v>119</x:v>
      </x:c>
      <x:c r="B325" s="7" t="s">
        <x:v>107</x:v>
      </x:c>
      <x:c r="C325" s="6">
        <x:v>57797785.990000017</x:v>
      </x:c>
      <x:c r="F325" s="6">
        <x:v>57797785.990000017</x:v>
      </x:c>
      <x:c r="G325" s="1">
        <x:f t="shared" si="73"/>
        <x:v>0</x:v>
      </x:c>
      <x:c r="J325" s="3">
        <x:v>72</x:v>
      </x:c>
      <x:c r="K325" s="3">
        <x:v>64.980626000000001</x:v>
      </x:c>
      <x:c r="L325" s="4">
        <x:v>-0.4</x:v>
      </x:c>
      <x:c r="M325" s="3">
        <x:f t="shared" si="68"/>
        <x:v>7888694.2601399766</x:v>
      </x:c>
      <x:c r="N325" s="3">
        <x:v>1.2861612305362093</x:v>
      </x:c>
      <x:c r="O325" s="3">
        <x:f t="shared" si="69"/>
        <x:v>10146132.716945564</x:v>
      </x:c>
      <x:c r="P325" s="16">
        <x:f t="shared" si="70"/>
        <x:v>0</x:v>
      </x:c>
      <x:c r="Q325" s="16">
        <x:f t="shared" si="71"/>
        <x:v>0</x:v>
      </x:c>
      <x:c r="R325" s="16">
        <x:f t="shared" si="72"/>
        <x:v>10146132.716945564</x:v>
      </x:c>
      <x:c r="S325" s="16">
        <x:f t="shared" si="62"/>
        <x:v>0</x:v>
      </x:c>
    </x:row>
    <x:row r="326" spans="1:19" outlineLevel="2">
      <x:c r="A326" s="12" t="s">
        <x:v>119</x:v>
      </x:c>
      <x:c r="B326" s="7" t="s">
        <x:v>106</x:v>
      </x:c>
      <x:c r="C326" s="6">
        <x:v>28537711.259999983</x:v>
      </x:c>
      <x:c r="F326" s="6">
        <x:v>28537711.259999983</x:v>
      </x:c>
      <x:c r="G326" s="1">
        <x:f t="shared" si="73"/>
        <x:v>0</x:v>
      </x:c>
      <x:c r="J326" s="3">
        <x:v>72</x:v>
      </x:c>
      <x:c r="K326" s="3">
        <x:v>64.057185000000004</x:v>
      </x:c>
      <x:c r="L326" s="4">
        <x:v>-0.4</x:v>
      </x:c>
      <x:c r="M326" s="3">
        <x:f t="shared" si="68"/>
        <x:v>4407467.5761977136</x:v>
      </x:c>
      <x:c r="N326" s="3">
        <x:v>1.2861612305362093</x:v>
      </x:c>
      <x:c r="O326" s="3">
        <x:f t="shared" si="69"/>
        <x:v>5668713.9213508954</x:v>
      </x:c>
      <x:c r="P326" s="16">
        <x:f t="shared" si="70"/>
        <x:v>0</x:v>
      </x:c>
      <x:c r="Q326" s="16">
        <x:f t="shared" si="71"/>
        <x:v>0</x:v>
      </x:c>
      <x:c r="R326" s="16">
        <x:f t="shared" si="72"/>
        <x:v>5668713.9213508954</x:v>
      </x:c>
      <x:c r="S326" s="16">
        <x:f t="shared" si="62"/>
        <x:v>0</x:v>
      </x:c>
    </x:row>
    <x:row r="327" spans="1:19" outlineLevel="2">
      <x:c r="A327" s="12" t="s">
        <x:v>119</x:v>
      </x:c>
      <x:c r="B327" s="7" t="s">
        <x:v>105</x:v>
      </x:c>
      <x:c r="C327" s="6">
        <x:v>25220681.600000005</x:v>
      </x:c>
      <x:c r="F327" s="6">
        <x:v>25220681.600000005</x:v>
      </x:c>
      <x:c r="G327" s="1">
        <x:f t="shared" si="73"/>
        <x:v>0</x:v>
      </x:c>
      <x:c r="J327" s="3">
        <x:v>72</x:v>
      </x:c>
      <x:c r="K327" s="3">
        <x:v>63.137146999999999</x:v>
      </x:c>
      <x:c r="L327" s="4">
        <x:v>-0.4</x:v>
      </x:c>
      <x:c r="M327" s="3">
        <x:f t="shared" si="68"/>
        <x:v>4346362.0974006495</x:v>
      </x:c>
      <x:c r="N327" s="3">
        <x:v>1.2861612305362093</x:v>
      </x:c>
      <x:c r="O327" s="3">
        <x:f t="shared" si="69"/>
        <x:v>5590122.423548759</x:v>
      </x:c>
      <x:c r="P327" s="16">
        <x:f t="shared" si="70"/>
        <x:v>0</x:v>
      </x:c>
      <x:c r="Q327" s="16">
        <x:f t="shared" si="71"/>
        <x:v>0</x:v>
      </x:c>
      <x:c r="R327" s="16">
        <x:f t="shared" si="72"/>
        <x:v>5590122.423548759</x:v>
      </x:c>
      <x:c r="S327" s="16">
        <x:f t="shared" si="62"/>
        <x:v>0</x:v>
      </x:c>
    </x:row>
    <x:row r="328" spans="1:19" outlineLevel="2">
      <x:c r="A328" s="12" t="s">
        <x:v>119</x:v>
      </x:c>
      <x:c r="B328" s="7" t="s">
        <x:v>104</x:v>
      </x:c>
      <x:c r="C328" s="6">
        <x:v>127930920.46000002</x:v>
      </x:c>
      <x:c r="F328" s="6">
        <x:v>127930920.46000002</x:v>
      </x:c>
      <x:c r="G328" s="1">
        <x:f t="shared" si="73"/>
        <x:v>0</x:v>
      </x:c>
      <x:c r="J328" s="3">
        <x:v>72</x:v>
      </x:c>
      <x:c r="K328" s="3">
        <x:v>62.220633999999997</x:v>
      </x:c>
      <x:c r="L328" s="4">
        <x:v>-0.4</x:v>
      </x:c>
      <x:c r="M328" s="3">
        <x:f t="shared" si="68"/>
        <x:v>24326619.603518348</x:v>
      </x:c>
      <x:c r="N328" s="3">
        <x:v>1.2861612305362093</x:v>
      </x:c>
      <x:c r="O328" s="3">
        <x:f t="shared" si="69"/>
        <x:v>31287955.004047431</x:v>
      </x:c>
      <x:c r="P328" s="16">
        <x:f t="shared" si="70"/>
        <x:v>0</x:v>
      </x:c>
      <x:c r="Q328" s="16">
        <x:f t="shared" si="71"/>
        <x:v>0</x:v>
      </x:c>
      <x:c r="R328" s="16">
        <x:f t="shared" si="72"/>
        <x:v>31287955.004047431</x:v>
      </x:c>
      <x:c r="S328" s="16">
        <x:f t="shared" si="62"/>
        <x:v>0</x:v>
      </x:c>
    </x:row>
    <x:row r="329" spans="1:19" outlineLevel="2">
      <x:c r="A329" s="12" t="s">
        <x:v>119</x:v>
      </x:c>
      <x:c r="B329" s="7" t="s">
        <x:v>103</x:v>
      </x:c>
      <x:c r="C329" s="6">
        <x:v>179598755.74999997</x:v>
      </x:c>
      <x:c r="F329" s="6">
        <x:v>179598755.74999997</x:v>
      </x:c>
      <x:c r="G329" s="1">
        <x:f t="shared" si="73"/>
        <x:v>0</x:v>
      </x:c>
      <x:c r="J329" s="3">
        <x:v>72</x:v>
      </x:c>
      <x:c r="K329" s="3">
        <x:v>61.307281000000003</x:v>
      </x:c>
      <x:c r="L329" s="4">
        <x:v>-0.4</x:v>
      </x:c>
      <x:c r="M329" s="3">
        <x:f t="shared" si="68"/>
        <x:v>37341092.210807458</x:v>
      </x:c>
      <x:c r="N329" s="3">
        <x:v>1.2861612305362093</x:v>
      </x:c>
      <x:c r="O329" s="3">
        <x:f t="shared" si="69"/>
        <x:v>48026665.10741818</x:v>
      </x:c>
      <x:c r="P329" s="16">
        <x:f t="shared" si="70"/>
        <x:v>0</x:v>
      </x:c>
      <x:c r="Q329" s="16">
        <x:f t="shared" si="71"/>
        <x:v>0</x:v>
      </x:c>
      <x:c r="R329" s="16">
        <x:f t="shared" si="72"/>
        <x:v>48026665.10741818</x:v>
      </x:c>
      <x:c r="S329" s="16">
        <x:f t="shared" si="62"/>
        <x:v>0</x:v>
      </x:c>
    </x:row>
    <x:row r="330" spans="1:19" outlineLevel="2">
      <x:c r="A330" s="12" t="s">
        <x:v>119</x:v>
      </x:c>
      <x:c r="B330" s="7" t="s">
        <x:v>102</x:v>
      </x:c>
      <x:c r="C330" s="6">
        <x:v>63421223.790000007</x:v>
      </x:c>
      <x:c r="F330" s="6">
        <x:v>63421223.790000007</x:v>
      </x:c>
      <x:c r="G330" s="1">
        <x:f t="shared" si="73"/>
        <x:v>0</x:v>
      </x:c>
      <x:c r="J330" s="3">
        <x:v>72</x:v>
      </x:c>
      <x:c r="K330" s="3">
        <x:v>60.398108999999998</x:v>
      </x:c>
      <x:c r="L330" s="4">
        <x:v>-0.4</x:v>
      </x:c>
      <x:c r="M330" s="3">
        <x:f t="shared" si="68"/>
        <x:v>14307341.329131415</x:v>
      </x:c>
      <x:c r="N330" s="3">
        <x:v>1.2861612305362093</x:v>
      </x:c>
      <x:c r="O330" s="3">
        <x:f t="shared" si="69"/>
        <x:v>18401547.729577225</x:v>
      </x:c>
      <x:c r="P330" s="16">
        <x:f t="shared" si="70"/>
        <x:v>0</x:v>
      </x:c>
      <x:c r="Q330" s="16">
        <x:f t="shared" si="71"/>
        <x:v>0</x:v>
      </x:c>
      <x:c r="R330" s="16">
        <x:f t="shared" si="72"/>
        <x:v>18401547.729577225</x:v>
      </x:c>
      <x:c r="S330" s="16">
        <x:f t="shared" si="62"/>
        <x:v>0</x:v>
      </x:c>
    </x:row>
    <x:row r="331" spans="1:19" outlineLevel="2">
      <x:c r="A331" s="12" t="s">
        <x:v>119</x:v>
      </x:c>
      <x:c r="B331" s="7" t="s">
        <x:v>101</x:v>
      </x:c>
      <x:c r="C331" s="6">
        <x:v>126452394.39999996</x:v>
      </x:c>
      <x:c r="F331" s="6">
        <x:v>126452394.39999996</x:v>
      </x:c>
      <x:c r="G331" s="1">
        <x:f t="shared" si="73"/>
        <x:v>0</x:v>
      </x:c>
      <x:c r="J331" s="3">
        <x:v>72</x:v>
      </x:c>
      <x:c r="K331" s="3">
        <x:v>59.492387999999998</x:v>
      </x:c>
      <x:c r="L331" s="4">
        <x:v>-0.4</x:v>
      </x:c>
      <x:c r="M331" s="3">
        <x:f t="shared" si="68"/>
        <x:v>30753673.331620011</x:v>
      </x:c>
      <x:c r="N331" s="3">
        <x:v>1.2861612305362093</x:v>
      </x:c>
      <x:c r="O331" s="3">
        <x:f t="shared" si="69"/>
        <x:v>39554182.335704997</x:v>
      </x:c>
      <x:c r="P331" s="16">
        <x:f t="shared" si="70"/>
        <x:v>0</x:v>
      </x:c>
      <x:c r="Q331" s="16">
        <x:f t="shared" si="71"/>
        <x:v>0</x:v>
      </x:c>
      <x:c r="R331" s="16">
        <x:f t="shared" si="72"/>
        <x:v>39554182.335704997</x:v>
      </x:c>
      <x:c r="S331" s="16">
        <x:f t="shared" si="62"/>
        <x:v>0</x:v>
      </x:c>
    </x:row>
    <x:row r="332" spans="1:19" outlineLevel="2">
      <x:c r="A332" s="12" t="s">
        <x:v>119</x:v>
      </x:c>
      <x:c r="B332" s="7" t="s">
        <x:v>100</x:v>
      </x:c>
      <x:c r="C332" s="6">
        <x:v>84195489.539999977</x:v>
      </x:c>
      <x:c r="F332" s="6">
        <x:v>84195489.539999977</x:v>
      </x:c>
      <x:c r="G332" s="1">
        <x:f t="shared" si="73"/>
        <x:v>0</x:v>
      </x:c>
      <x:c r="J332" s="3">
        <x:v>72</x:v>
      </x:c>
      <x:c r="K332" s="3">
        <x:v>58.590516999999998</x:v>
      </x:c>
      <x:c r="L332" s="4">
        <x:v>-0.4</x:v>
      </x:c>
      <x:c r="M332" s="3">
        <x:f t="shared" si="68"/>
        <x:v>21953127.499008756</x:v>
      </x:c>
      <x:c r="N332" s="3">
        <x:v>1.2861612305362093</x:v>
      </x:c>
      <x:c r="O332" s="3">
        <x:f t="shared" si="69"/>
        <x:v>28235261.478243399</x:v>
      </x:c>
      <x:c r="P332" s="16">
        <x:f t="shared" si="70"/>
        <x:v>0</x:v>
      </x:c>
      <x:c r="Q332" s="16">
        <x:f t="shared" si="71"/>
        <x:v>0</x:v>
      </x:c>
      <x:c r="R332" s="16">
        <x:f t="shared" si="72"/>
        <x:v>28235261.478243399</x:v>
      </x:c>
      <x:c r="S332" s="16">
        <x:f t="shared" si="62"/>
        <x:v>0</x:v>
      </x:c>
    </x:row>
    <x:row r="333" spans="1:19" outlineLevel="2">
      <x:c r="A333" s="12" t="s">
        <x:v>119</x:v>
      </x:c>
      <x:c r="B333" s="7" t="s">
        <x:v>99</x:v>
      </x:c>
      <x:c r="C333" s="6">
        <x:v>22480127.490000006</x:v>
      </x:c>
      <x:c r="F333" s="6">
        <x:v>22480127.490000006</x:v>
      </x:c>
      <x:c r="G333" s="1">
        <x:f t="shared" si="73"/>
        <x:v>0</x:v>
      </x:c>
      <x:c r="J333" s="3">
        <x:v>72</x:v>
      </x:c>
      <x:c r="K333" s="3">
        <x:v>57.692917999999999</x:v>
      </x:c>
      <x:c r="L333" s="4">
        <x:v>-0.4</x:v>
      </x:c>
      <x:c r="M333" s="3">
        <x:f t="shared" si="68"/>
        <x:v>6253819.9766366379</x:v>
      </x:c>
      <x:c r="N333" s="3">
        <x:v>1.2861612305362093</x:v>
      </x:c>
      <x:c r="O333" s="3">
        <x:f t="shared" si="69"/>
        <x:v>8043420.7967029065</x:v>
      </x:c>
      <x:c r="P333" s="16">
        <x:f t="shared" si="70"/>
        <x:v>0</x:v>
      </x:c>
      <x:c r="Q333" s="16">
        <x:f t="shared" si="71"/>
        <x:v>0</x:v>
      </x:c>
      <x:c r="R333" s="16">
        <x:f t="shared" si="72"/>
        <x:v>8043420.7967029065</x:v>
      </x:c>
      <x:c r="S333" s="16">
        <x:f t="shared" si="62"/>
        <x:v>0</x:v>
      </x:c>
    </x:row>
    <x:row r="334" spans="1:19" outlineLevel="2">
      <x:c r="A334" s="12" t="s">
        <x:v>119</x:v>
      </x:c>
      <x:c r="B334" s="7" t="s">
        <x:v>98</x:v>
      </x:c>
      <x:c r="C334" s="6">
        <x:v>7945424.1099999985</x:v>
      </x:c>
      <x:c r="F334" s="6">
        <x:v>7945424.1099999985</x:v>
      </x:c>
      <x:c r="G334" s="1">
        <x:f t="shared" si="73"/>
        <x:v>0</x:v>
      </x:c>
      <x:c r="J334" s="3">
        <x:v>72</x:v>
      </x:c>
      <x:c r="K334" s="3">
        <x:v>56.799002000000002</x:v>
      </x:c>
      <x:c r="L334" s="4">
        <x:v>-0.4</x:v>
      </x:c>
      <x:c r="M334" s="3">
        <x:f t="shared" si="68"/>
        <x:v>2348468.4223245331</x:v>
      </x:c>
      <x:c r="N334" s="3">
        <x:v>1.2861612305362093</x:v>
      </x:c>
      <x:c r="O334" s="3">
        <x:f t="shared" si="69"/>
        <x:v>3020509.0359323518</x:v>
      </x:c>
      <x:c r="P334" s="16">
        <x:f t="shared" si="70"/>
        <x:v>0</x:v>
      </x:c>
      <x:c r="Q334" s="16">
        <x:f t="shared" si="71"/>
        <x:v>0</x:v>
      </x:c>
      <x:c r="R334" s="16">
        <x:f t="shared" si="72"/>
        <x:v>3020509.0359323518</x:v>
      </x:c>
      <x:c r="S334" s="16">
        <x:f t="shared" si="62"/>
        <x:v>0</x:v>
      </x:c>
    </x:row>
    <x:row r="335" spans="1:19" outlineLevel="2">
      <x:c r="A335" s="12" t="s">
        <x:v>119</x:v>
      </x:c>
      <x:c r="B335" s="7" t="s">
        <x:v>97</x:v>
      </x:c>
      <x:c r="C335" s="6">
        <x:v>21540238.790000003</x:v>
      </x:c>
      <x:c r="F335" s="6">
        <x:v>21540238.790000003</x:v>
      </x:c>
      <x:c r="G335" s="1">
        <x:f t="shared" si="73"/>
        <x:v>0</x:v>
      </x:c>
      <x:c r="J335" s="3">
        <x:v>72</x:v>
      </x:c>
      <x:c r="K335" s="3">
        <x:v>55.909782999999997</x:v>
      </x:c>
      <x:c r="L335" s="4">
        <x:v>-0.4</x:v>
      </x:c>
      <x:c r="M335" s="3">
        <x:f t="shared" si="68"/>
        <x:v>6739193.929278953</x:v>
      </x:c>
      <x:c r="N335" s="3">
        <x:v>1.2861612305362093</x:v>
      </x:c>
      <x:c r="O335" s="3">
        <x:f t="shared" si="69"/>
        <x:v>8667689.9569035694</x:v>
      </x:c>
      <x:c r="P335" s="16">
        <x:f t="shared" si="70"/>
        <x:v>0</x:v>
      </x:c>
      <x:c r="Q335" s="16">
        <x:f t="shared" si="71"/>
        <x:v>0</x:v>
      </x:c>
      <x:c r="R335" s="16">
        <x:f t="shared" si="72"/>
        <x:v>8667689.9569035694</x:v>
      </x:c>
      <x:c r="S335" s="16">
        <x:f t="shared" si="62"/>
        <x:v>0</x:v>
      </x:c>
    </x:row>
    <x:row r="336" spans="1:19" outlineLevel="2">
      <x:c r="A336" s="12" t="s">
        <x:v>119</x:v>
      </x:c>
      <x:c r="B336" s="7" t="s">
        <x:v>96</x:v>
      </x:c>
      <x:c r="C336" s="6">
        <x:v>40075855.279999994</x:v>
      </x:c>
      <x:c r="F336" s="6">
        <x:v>40075855.279999994</x:v>
      </x:c>
      <x:c r="G336" s="1">
        <x:f t="shared" si="73"/>
        <x:v>0</x:v>
      </x:c>
      <x:c r="J336" s="3">
        <x:v>72</x:v>
      </x:c>
      <x:c r="K336" s="3">
        <x:v>55.024720000000002</x:v>
      </x:c>
      <x:c r="L336" s="4">
        <x:v>-0.4</x:v>
      </x:c>
      <x:c r="M336" s="3">
        <x:f t="shared" si="68"/>
        <x:v>13228033.47867319</x:v>
      </x:c>
      <x:c r="N336" s="3">
        <x:v>1.2861612305362093</x:v>
      </x:c>
      <x:c r="O336" s="3">
        <x:f t="shared" si="69"/>
        <x:v>17013383.816504482</x:v>
      </x:c>
      <x:c r="P336" s="16">
        <x:f t="shared" si="70"/>
        <x:v>0</x:v>
      </x:c>
      <x:c r="Q336" s="16">
        <x:f t="shared" si="71"/>
        <x:v>0</x:v>
      </x:c>
      <x:c r="R336" s="16">
        <x:f t="shared" si="72"/>
        <x:v>17013383.816504482</x:v>
      </x:c>
      <x:c r="S336" s="16">
        <x:f t="shared" si="62"/>
        <x:v>0</x:v>
      </x:c>
    </x:row>
    <x:row r="337" spans="1:19" outlineLevel="2">
      <x:c r="A337" s="12" t="s">
        <x:v>119</x:v>
      </x:c>
      <x:c r="B337" s="7" t="s">
        <x:v>95</x:v>
      </x:c>
      <x:c r="C337" s="6">
        <x:v>18186379.890000001</x:v>
      </x:c>
      <x:c r="F337" s="6">
        <x:v>18186379.890000001</x:v>
      </x:c>
      <x:c r="G337" s="1">
        <x:f t="shared" si="73"/>
        <x:v>0</x:v>
      </x:c>
      <x:c r="J337" s="3">
        <x:v>72</x:v>
      </x:c>
      <x:c r="K337" s="3">
        <x:v>54.143906000000001</x:v>
      </x:c>
      <x:c r="L337" s="4">
        <x:v>-0.4</x:v>
      </x:c>
      <x:c r="M337" s="3">
        <x:f t="shared" si="68"/>
        <x:v>6314344.338469021</x:v>
      </x:c>
      <x:c r="N337" s="3">
        <x:v>1.2861612305362093</x:v>
      </x:c>
      <x:c r="O337" s="3">
        <x:f t="shared" si="69"/>
        <x:v>8121264.8843946625</x:v>
      </x:c>
      <x:c r="P337" s="16">
        <x:f t="shared" si="70"/>
        <x:v>0</x:v>
      </x:c>
      <x:c r="Q337" s="16">
        <x:f t="shared" si="71"/>
        <x:v>0</x:v>
      </x:c>
      <x:c r="R337" s="16">
        <x:f t="shared" si="72"/>
        <x:v>8121264.8843946625</x:v>
      </x:c>
      <x:c r="S337" s="16">
        <x:f t="shared" si="62"/>
        <x:v>0</x:v>
      </x:c>
    </x:row>
    <x:row r="338" spans="1:19" outlineLevel="2">
      <x:c r="A338" s="12" t="s">
        <x:v>119</x:v>
      </x:c>
      <x:c r="B338" s="7" t="s">
        <x:v>94</x:v>
      </x:c>
      <x:c r="C338" s="6">
        <x:v>10686142.289999997</x:v>
      </x:c>
      <x:c r="F338" s="6">
        <x:v>10686142.289999997</x:v>
      </x:c>
      <x:c r="G338" s="1">
        <x:f t="shared" si="73"/>
        <x:v>0</x:v>
      </x:c>
      <x:c r="J338" s="3">
        <x:v>72</x:v>
      </x:c>
      <x:c r="K338" s="3">
        <x:v>53.268183000000001</x:v>
      </x:c>
      <x:c r="L338" s="4">
        <x:v>-0.4</x:v>
      </x:c>
      <x:c r="M338" s="3">
        <x:f t="shared" si="68"/>
        <x:v>3892211.2019046834</x:v>
      </x:c>
      <x:c r="N338" s="3">
        <x:v>1.2861612305362093</x:v>
      </x:c>
      <x:c r="O338" s="3">
        <x:f t="shared" si="69"/>
        <x:v>5006011.1489485456</x:v>
      </x:c>
      <x:c r="P338" s="16">
        <x:f t="shared" si="70"/>
        <x:v>0</x:v>
      </x:c>
      <x:c r="Q338" s="16">
        <x:f t="shared" si="71"/>
        <x:v>0</x:v>
      </x:c>
      <x:c r="R338" s="16">
        <x:f t="shared" si="72"/>
        <x:v>5006011.1489485456</x:v>
      </x:c>
      <x:c r="S338" s="16">
        <x:f t="shared" si="62"/>
        <x:v>0</x:v>
      </x:c>
    </x:row>
    <x:row r="339" spans="1:19" outlineLevel="2">
      <x:c r="A339" s="12" t="s">
        <x:v>119</x:v>
      </x:c>
      <x:c r="B339" s="7" t="s">
        <x:v>93</x:v>
      </x:c>
      <x:c r="C339" s="6">
        <x:v>10519274.110000003</x:v>
      </x:c>
      <x:c r="F339" s="6">
        <x:v>10519274.110000003</x:v>
      </x:c>
      <x:c r="G339" s="1">
        <x:f t="shared" si="73"/>
        <x:v>0</x:v>
      </x:c>
      <x:c r="J339" s="3">
        <x:v>72</x:v>
      </x:c>
      <x:c r="K339" s="3">
        <x:v>52.396661999999999</x:v>
      </x:c>
      <x:c r="L339" s="4">
        <x:v>-0.4</x:v>
      </x:c>
      <x:c r="M339" s="3">
        <x:f t="shared" si="68"/>
        <x:v>4009695.0034745969</x:v>
      </x:c>
      <x:c r="N339" s="3">
        <x:v>1.2861612305362093</x:v>
      </x:c>
      <x:c r="O339" s="3">
        <x:f t="shared" si="69"/>
        <x:v>5157114.259743778</x:v>
      </x:c>
      <x:c r="P339" s="16">
        <x:f t="shared" si="70"/>
        <x:v>0</x:v>
      </x:c>
      <x:c r="Q339" s="16">
        <x:f t="shared" si="71"/>
        <x:v>0</x:v>
      </x:c>
      <x:c r="R339" s="16">
        <x:f t="shared" si="72"/>
        <x:v>5157114.259743778</x:v>
      </x:c>
      <x:c r="S339" s="16">
        <x:f t="shared" si="62"/>
        <x:v>0</x:v>
      </x:c>
    </x:row>
    <x:row r="340" spans="1:19" outlineLevel="2">
      <x:c r="A340" s="12" t="s">
        <x:v>119</x:v>
      </x:c>
      <x:c r="B340" s="7" t="s">
        <x:v>92</x:v>
      </x:c>
      <x:c r="C340" s="6">
        <x:v>41789521.379999995</x:v>
      </x:c>
      <x:c r="F340" s="6">
        <x:v>41789521.379999995</x:v>
      </x:c>
      <x:c r="G340" s="1">
        <x:f t="shared" si="73"/>
        <x:v>0</x:v>
      </x:c>
      <x:c r="J340" s="3">
        <x:v>72</x:v>
      </x:c>
      <x:c r="K340" s="3">
        <x:v>51.530299999999997</x:v>
      </x:c>
      <x:c r="L340" s="4">
        <x:v>-0.4</x:v>
      </x:c>
      <x:c r="M340" s="3">
        <x:f t="shared" si="68"/>
        <x:v>16633146.557070281</x:v>
      </x:c>
      <x:c r="N340" s="3">
        <x:v>1.2861612305362093</x:v>
      </x:c>
      <x:c r="O340" s="3">
        <x:f t="shared" si="69"/>
        <x:v>21392908.243530627</x:v>
      </x:c>
      <x:c r="P340" s="16">
        <x:f t="shared" si="70"/>
        <x:v>0</x:v>
      </x:c>
      <x:c r="Q340" s="16">
        <x:f t="shared" si="71"/>
        <x:v>0</x:v>
      </x:c>
      <x:c r="R340" s="16">
        <x:f t="shared" si="72"/>
        <x:v>21392908.243530627</x:v>
      </x:c>
      <x:c r="S340" s="16">
        <x:f t="shared" si="62"/>
        <x:v>0</x:v>
      </x:c>
    </x:row>
    <x:row r="341" spans="1:19" outlineLevel="2">
      <x:c r="A341" s="12" t="s">
        <x:v>119</x:v>
      </x:c>
      <x:c r="B341" s="7" t="s">
        <x:v>91</x:v>
      </x:c>
      <x:c r="C341" s="6">
        <x:v>32944371.98</x:v>
      </x:c>
      <x:c r="F341" s="6">
        <x:v>32944371.98</x:v>
      </x:c>
      <x:c r="G341" s="1">
        <x:f t="shared" si="73"/>
        <x:v>0</x:v>
      </x:c>
      <x:c r="J341" s="3">
        <x:v>72</x:v>
      </x:c>
      <x:c r="K341" s="3">
        <x:v>50.668833999999997</x:v>
      </x:c>
      <x:c r="L341" s="4">
        <x:v>-0.4</x:v>
      </x:c>
      <x:c r="M341" s="3">
        <x:f t="shared" si="68"/>
        <x:v>13664425.200827502</x:v>
      </x:c>
      <x:c r="N341" s="3">
        <x:v>1.2861612305362093</x:v>
      </x:c>
      <x:c r="O341" s="3">
        <x:f t="shared" si="69"/>
        <x:v>17574653.93086629</x:v>
      </x:c>
      <x:c r="P341" s="16">
        <x:f t="shared" si="70"/>
        <x:v>0</x:v>
      </x:c>
      <x:c r="Q341" s="16">
        <x:f t="shared" si="71"/>
        <x:v>0</x:v>
      </x:c>
      <x:c r="R341" s="16">
        <x:f t="shared" si="72"/>
        <x:v>17574653.93086629</x:v>
      </x:c>
      <x:c r="S341" s="16">
        <x:f t="shared" si="62"/>
        <x:v>0</x:v>
      </x:c>
    </x:row>
    <x:row r="342" spans="1:19" outlineLevel="2">
      <x:c r="A342" s="12" t="s">
        <x:v>119</x:v>
      </x:c>
      <x:c r="B342" s="7" t="s">
        <x:v>90</x:v>
      </x:c>
      <x:c r="C342" s="6">
        <x:v>2078944.3399999999</x:v>
      </x:c>
      <x:c r="F342" s="6">
        <x:v>2078944.3399999999</x:v>
      </x:c>
      <x:c r="G342" s="1">
        <x:f t="shared" si="73"/>
        <x:v>0</x:v>
      </x:c>
      <x:c r="J342" s="3">
        <x:v>72</x:v>
      </x:c>
      <x:c r="K342" s="3">
        <x:v>49.811959000000002</x:v>
      </x:c>
      <x:c r="L342" s="4">
        <x:v>-0.4</x:v>
      </x:c>
      <x:c r="M342" s="3">
        <x:f t="shared" si="68"/>
        <x:v>896927.54380129301</x:v>
      </x:c>
      <x:c r="N342" s="3">
        <x:v>1.2861612305362093</x:v>
      </x:c>
      <x:c r="O342" s="3">
        <x:f t="shared" si="69"/>
        <x:v>1153593.4334372908</x:v>
      </x:c>
      <x:c r="P342" s="16">
        <x:f t="shared" si="70"/>
        <x:v>0</x:v>
      </x:c>
      <x:c r="Q342" s="16">
        <x:f t="shared" si="71"/>
        <x:v>0</x:v>
      </x:c>
      <x:c r="R342" s="16">
        <x:f t="shared" si="72"/>
        <x:v>1153593.4334372908</x:v>
      </x:c>
      <x:c r="S342" s="16">
        <x:f t="shared" si="62"/>
        <x:v>0</x:v>
      </x:c>
    </x:row>
    <x:row r="343" spans="1:19" outlineLevel="2">
      <x:c r="A343" s="12" t="s">
        <x:v>119</x:v>
      </x:c>
      <x:c r="B343" s="7" t="s">
        <x:v>89</x:v>
      </x:c>
      <x:c r="C343" s="6">
        <x:v>2301060.6199999996</x:v>
      </x:c>
      <x:c r="F343" s="6">
        <x:v>2301060.6199999996</x:v>
      </x:c>
      <x:c r="G343" s="1">
        <x:f t="shared" si="73"/>
        <x:v>0</x:v>
      </x:c>
      <x:c r="J343" s="3">
        <x:v>72</x:v>
      </x:c>
      <x:c r="K343" s="3">
        <x:v>48.961022999999997</x:v>
      </x:c>
      <x:c r="L343" s="4">
        <x:v>-0.4</x:v>
      </x:c>
      <x:c r="M343" s="3">
        <x:f t="shared" si="68"/>
        <x:v>1030829.3858291672</x:v>
      </x:c>
      <x:c r="N343" s="3">
        <x:v>1.2861612305362093</x:v>
      </x:c>
      <x:c r="O343" s="3">
        <x:f t="shared" si="69"/>
        <x:v>1325812.7913509265</x:v>
      </x:c>
      <x:c r="P343" s="16">
        <x:f t="shared" si="70"/>
        <x:v>0</x:v>
      </x:c>
      <x:c r="Q343" s="16">
        <x:f t="shared" si="71"/>
        <x:v>0</x:v>
      </x:c>
      <x:c r="R343" s="16">
        <x:f t="shared" si="72"/>
        <x:v>1325812.7913509265</x:v>
      </x:c>
      <x:c r="S343" s="16">
        <x:f t="shared" si="62"/>
        <x:v>0</x:v>
      </x:c>
    </x:row>
    <x:row r="344" spans="1:19" outlineLevel="2">
      <x:c r="A344" s="12" t="s">
        <x:v>119</x:v>
      </x:c>
      <x:c r="B344" s="7" t="s">
        <x:v>88</x:v>
      </x:c>
      <x:c r="C344" s="6">
        <x:v>1915860.36</x:v>
      </x:c>
      <x:c r="F344" s="6">
        <x:v>1915860.36</x:v>
      </x:c>
      <x:c r="G344" s="1">
        <x:f t="shared" si="73"/>
        <x:v>0</x:v>
      </x:c>
      <x:c r="J344" s="3">
        <x:v>72</x:v>
      </x:c>
      <x:c r="K344" s="3">
        <x:v>48.114778000000001</x:v>
      </x:c>
      <x:c r="L344" s="4">
        <x:v>-0.4</x:v>
      </x:c>
      <x:c r="M344" s="3">
        <x:f t="shared" si="68"/>
        <x:v>889792.36149222078</x:v>
      </x:c>
      <x:c r="N344" s="3">
        <x:v>1.2861612305362093</x:v>
      </x:c>
      <x:c r="O344" s="3">
        <x:f t="shared" si="69"/>
        <x:v>1144416.4385785542</x:v>
      </x:c>
      <x:c r="P344" s="16">
        <x:f t="shared" si="70"/>
        <x:v>0</x:v>
      </x:c>
      <x:c r="Q344" s="16">
        <x:f t="shared" si="71"/>
        <x:v>0</x:v>
      </x:c>
      <x:c r="R344" s="16">
        <x:f t="shared" si="72"/>
        <x:v>1144416.4385785542</x:v>
      </x:c>
      <x:c r="S344" s="16">
        <x:f t="shared" si="62"/>
        <x:v>0</x:v>
      </x:c>
    </x:row>
    <x:row r="345" spans="1:19" outlineLevel="2">
      <x:c r="A345" s="12" t="s">
        <x:v>119</x:v>
      </x:c>
      <x:c r="B345" s="7" t="s">
        <x:v>87</x:v>
      </x:c>
      <x:c r="C345" s="6">
        <x:v>5065841.88</x:v>
      </x:c>
      <x:c r="F345" s="6">
        <x:v>5065841.88</x:v>
      </x:c>
      <x:c r="G345" s="1">
        <x:f t="shared" si="73"/>
        <x:v>0</x:v>
      </x:c>
      <x:c r="J345" s="3">
        <x:v>72</x:v>
      </x:c>
      <x:c r="K345" s="3">
        <x:v>47.274082</x:v>
      </x:c>
      <x:c r="L345" s="4">
        <x:v>-0.4</x:v>
      </x:c>
      <x:c r="M345" s="3">
        <x:f t="shared" si="68"/>
        <x:v>2435564.2680025571</x:v>
      </x:c>
      <x:c r="N345" s="3">
        <x:v>1.2861612305362093</x:v>
      </x:c>
      <x:c r="O345" s="3">
        <x:f t="shared" si="69"/>
        <x:v>3132528.3359841909</x:v>
      </x:c>
      <x:c r="P345" s="16">
        <x:f t="shared" si="70"/>
        <x:v>0</x:v>
      </x:c>
      <x:c r="Q345" s="16">
        <x:f t="shared" si="71"/>
        <x:v>0</x:v>
      </x:c>
      <x:c r="R345" s="16">
        <x:f t="shared" si="72"/>
        <x:v>3132528.3359841909</x:v>
      </x:c>
      <x:c r="S345" s="16">
        <x:f t="shared" si="62"/>
        <x:v>0</x:v>
      </x:c>
    </x:row>
    <x:row r="346" spans="1:19" outlineLevel="2">
      <x:c r="A346" s="12" t="s">
        <x:v>119</x:v>
      </x:c>
      <x:c r="B346" s="7" t="s">
        <x:v>86</x:v>
      </x:c>
      <x:c r="C346" s="6">
        <x:v>363638.54999999993</x:v>
      </x:c>
      <x:c r="F346" s="6">
        <x:v>363638.54999999993</x:v>
      </x:c>
      <x:c r="G346" s="1">
        <x:f t="shared" si="73"/>
        <x:v>0</x:v>
      </x:c>
      <x:c r="J346" s="3">
        <x:v>72</x:v>
      </x:c>
      <x:c r="K346" s="3">
        <x:v>46.439036000000002</x:v>
      </x:c>
      <x:c r="L346" s="4">
        <x:v>-0.4</x:v>
      </x:c>
      <x:c r="M346" s="3">
        <x:f t="shared" si="68"/>
        <x:v>180735.17555259829</x:v>
      </x:c>
      <x:c r="N346" s="3">
        <x:v>1.2861612305362093</x:v>
      </x:c>
      <x:c r="O346" s="3">
        <x:f t="shared" si="69"/>
        <x:v>232454.57578990763</x:v>
      </x:c>
      <x:c r="P346" s="16">
        <x:f t="shared" si="70"/>
        <x:v>0</x:v>
      </x:c>
      <x:c r="Q346" s="16">
        <x:f t="shared" si="71"/>
        <x:v>0</x:v>
      </x:c>
      <x:c r="R346" s="16">
        <x:f t="shared" si="72"/>
        <x:v>232454.57578990763</x:v>
      </x:c>
      <x:c r="S346" s="16">
        <x:f t="shared" si="62"/>
        <x:v>0</x:v>
      </x:c>
    </x:row>
    <x:row r="347" spans="1:19" outlineLevel="2">
      <x:c r="A347" s="12" t="s">
        <x:v>119</x:v>
      </x:c>
      <x:c r="B347" s="7" t="s">
        <x:v>85</x:v>
      </x:c>
      <x:c r="C347" s="6">
        <x:v>1015627.3999999999</x:v>
      </x:c>
      <x:c r="F347" s="6">
        <x:v>1015627.3999999999</x:v>
      </x:c>
      <x:c r="G347" s="1">
        <x:f t="shared" si="73"/>
        <x:v>0</x:v>
      </x:c>
      <x:c r="J347" s="3">
        <x:v>72</x:v>
      </x:c>
      <x:c r="K347" s="3">
        <x:v>45.608942999999996</x:v>
      </x:c>
      <x:c r="L347" s="4">
        <x:v>-0.4</x:v>
      </x:c>
      <x:c r="M347" s="3">
        <x:f t="shared" si="68"/>
        <x:v>521178.78952536843</x:v>
      </x:c>
      <x:c r="N347" s="3">
        <x:v>1.2861612305362093</x:v>
      </x:c>
      <x:c r="O347" s="3">
        <x:f t="shared" si="69"/>
        <x:v>670319.95326531993</x:v>
      </x:c>
      <x:c r="P347" s="16">
        <x:f t="shared" si="70"/>
        <x:v>0</x:v>
      </x:c>
      <x:c r="Q347" s="16">
        <x:f t="shared" si="71"/>
        <x:v>0</x:v>
      </x:c>
      <x:c r="R347" s="16">
        <x:f t="shared" si="72"/>
        <x:v>670319.95326531993</x:v>
      </x:c>
      <x:c r="S347" s="16">
        <x:f t="shared" si="62"/>
        <x:v>0</x:v>
      </x:c>
    </x:row>
    <x:row r="348" spans="1:19" outlineLevel="2">
      <x:c r="A348" s="12" t="s">
        <x:v>119</x:v>
      </x:c>
      <x:c r="B348" s="7" t="s">
        <x:v>84</x:v>
      </x:c>
      <x:c r="C348" s="6">
        <x:v>1266459.5299999998</x:v>
      </x:c>
      <x:c r="F348" s="6">
        <x:v>1266459.5299999998</x:v>
      </x:c>
      <x:c r="G348" s="1">
        <x:f t="shared" si="73"/>
        <x:v>0</x:v>
      </x:c>
      <x:c r="J348" s="3">
        <x:v>72</x:v>
      </x:c>
      <x:c r="K348" s="3">
        <x:v>44.785426000000001</x:v>
      </x:c>
      <x:c r="L348" s="4">
        <x:v>-0.4</x:v>
      </x:c>
      <x:c r="M348" s="3">
        <x:f t="shared" si="68"/>
        <x:v>670175.26716758742</x:v>
      </x:c>
      <x:c r="N348" s="3">
        <x:v>1.2861612305362093</x:v>
      </x:c>
      <x:c r="O348" s="3">
        <x:f t="shared" si="69"/>
        <x:v>861953.44629519712</x:v>
      </x:c>
      <x:c r="P348" s="16">
        <x:f t="shared" si="70"/>
        <x:v>0</x:v>
      </x:c>
      <x:c r="Q348" s="16">
        <x:f t="shared" si="71"/>
        <x:v>0</x:v>
      </x:c>
      <x:c r="R348" s="16">
        <x:f t="shared" si="72"/>
        <x:v>861953.44629519712</x:v>
      </x:c>
      <x:c r="S348" s="16">
        <x:f t="shared" si="62"/>
        <x:v>0</x:v>
      </x:c>
    </x:row>
    <x:row r="349" spans="1:19" outlineLevel="2">
      <x:c r="A349" s="12" t="s">
        <x:v>119</x:v>
      </x:c>
      <x:c r="B349" s="7" t="s">
        <x:v>83</x:v>
      </x:c>
      <x:c r="C349" s="6">
        <x:v>1859851.35</x:v>
      </x:c>
      <x:c r="F349" s="6">
        <x:v>1859851.35</x:v>
      </x:c>
      <x:c r="G349" s="1">
        <x:f t="shared" si="73"/>
        <x:v>0</x:v>
      </x:c>
      <x:c r="J349" s="3">
        <x:v>72</x:v>
      </x:c>
      <x:c r="K349" s="3">
        <x:v>43.967171</x:v>
      </x:c>
      <x:c r="L349" s="4">
        <x:v>-0.4</x:v>
      </x:c>
      <x:c r="M349" s="3">
        <x:f t="shared" si="68"/>
        <x:v>1013772.9556105111</x:v>
      </x:c>
      <x:c r="N349" s="3">
        <x:v>1.2861612305362093</x:v>
      </x:c>
      <x:c r="O349" s="3">
        <x:f t="shared" si="69"/>
        <x:v>1303875.472072345</x:v>
      </x:c>
      <x:c r="P349" s="16">
        <x:f t="shared" si="70"/>
        <x:v>0</x:v>
      </x:c>
      <x:c r="Q349" s="16">
        <x:f t="shared" si="71"/>
        <x:v>0</x:v>
      </x:c>
      <x:c r="R349" s="16">
        <x:f t="shared" si="72"/>
        <x:v>1303875.472072345</x:v>
      </x:c>
      <x:c r="S349" s="16">
        <x:f t="shared" si="62"/>
        <x:v>0</x:v>
      </x:c>
    </x:row>
    <x:row r="350" spans="1:19" outlineLevel="2">
      <x:c r="A350" s="12" t="s">
        <x:v>119</x:v>
      </x:c>
      <x:c r="B350" s="7" t="s">
        <x:v>82</x:v>
      </x:c>
      <x:c r="C350" s="6">
        <x:v>1210674.2699999996</x:v>
      </x:c>
      <x:c r="F350" s="6">
        <x:v>1210674.2699999996</x:v>
      </x:c>
      <x:c r="G350" s="1">
        <x:f t="shared" si="73"/>
        <x:v>0</x:v>
      </x:c>
      <x:c r="J350" s="3">
        <x:v>72</x:v>
      </x:c>
      <x:c r="K350" s="3">
        <x:v>43.154746000000003</x:v>
      </x:c>
      <x:c r="L350" s="4">
        <x:v>-0.4</x:v>
      </x:c>
      <x:c r="M350" s="3">
        <x:f t="shared" ref="M350:M381" si="74">+C350*(1-K350/J350)*(1-L350)</x:f>
        <x:v>679042.91057194979</x:v>
      </x:c>
      <x:c r="N350" s="3">
        <x:v>1.2861612305362093</x:v>
      </x:c>
      <x:c r="O350" s="3">
        <x:f t="shared" ref="O350:O381" si="75">IF((C350*(1-L350)-M350*N350)&lt;0,C350*(1-L350),M350*N350)</x:f>
        <x:v>873358.66544810811</x:v>
      </x:c>
      <x:c r="P350" s="16">
        <x:f t="shared" ref="P350:P381" si="76">+D350/$C350*$O350</x:f>
        <x:v>0</x:v>
      </x:c>
      <x:c r="Q350" s="16">
        <x:f t="shared" ref="Q350:Q381" si="77">+E350/$C350*$O350</x:f>
        <x:v>0</x:v>
      </x:c>
      <x:c r="R350" s="16">
        <x:f t="shared" ref="R350:R381" si="78">+F350/$C350*$O350</x:f>
        <x:v>873358.66544810811</x:v>
      </x:c>
      <x:c r="S350" s="16">
        <x:f t="shared" si="62"/>
        <x:v>0</x:v>
      </x:c>
    </x:row>
    <x:row r="351" spans="1:19" outlineLevel="2">
      <x:c r="A351" s="12" t="s">
        <x:v>119</x:v>
      </x:c>
      <x:c r="B351" s="7" t="s">
        <x:v>81</x:v>
      </x:c>
      <x:c r="C351" s="6">
        <x:v>1427731.63</x:v>
      </x:c>
      <x:c r="F351" s="6">
        <x:v>1427731.63</x:v>
      </x:c>
      <x:c r="G351" s="1">
        <x:f t="shared" si="73"/>
        <x:v>0</x:v>
      </x:c>
      <x:c r="J351" s="3">
        <x:v>72</x:v>
      </x:c>
      <x:c r="K351" s="3">
        <x:v>42.348751999999998</x:v>
      </x:c>
      <x:c r="L351" s="4">
        <x:v>-0.4</x:v>
      </x:c>
      <x:c r="M351" s="3">
        <x:f t="shared" si="74"/>
        <x:v>823161.59019449912</x:v>
      </x:c>
      <x:c r="N351" s="3">
        <x:v>1.2861612305362093</x:v>
      </x:c>
      <x:c r="O351" s="3">
        <x:f t="shared" si="75"/>
        <x:v>1058718.5237746998</x:v>
      </x:c>
      <x:c r="P351" s="16">
        <x:f t="shared" si="76"/>
        <x:v>0</x:v>
      </x:c>
      <x:c r="Q351" s="16">
        <x:f t="shared" si="77"/>
        <x:v>0</x:v>
      </x:c>
      <x:c r="R351" s="16">
        <x:f t="shared" si="78"/>
        <x:v>1058718.5237746998</x:v>
      </x:c>
      <x:c r="S351" s="16">
        <x:f t="shared" si="62"/>
        <x:v>0</x:v>
      </x:c>
    </x:row>
    <x:row r="352" spans="1:19" outlineLevel="2">
      <x:c r="A352" s="12" t="s">
        <x:v>119</x:v>
      </x:c>
      <x:c r="B352" s="7" t="s">
        <x:v>80</x:v>
      </x:c>
      <x:c r="C352" s="6">
        <x:v>1113434.9800000002</x:v>
      </x:c>
      <x:c r="F352" s="6">
        <x:v>1113434.9800000002</x:v>
      </x:c>
      <x:c r="G352" s="1">
        <x:f t="shared" si="73"/>
        <x:v>0</x:v>
      </x:c>
      <x:c r="J352" s="3">
        <x:v>72</x:v>
      </x:c>
      <x:c r="K352" s="3">
        <x:v>41.548141999999999</x:v>
      </x:c>
      <x:c r="L352" s="4">
        <x:v>-0.4</x:v>
      </x:c>
      <x:c r="M352" s="3">
        <x:f t="shared" si="74"/>
        <x:v>659286.52033986093</x:v>
      </x:c>
      <x:c r="N352" s="3">
        <x:v>1.2861612305362093</x:v>
      </x:c>
      <x:c r="O352" s="3">
        <x:f t="shared" si="75"/>
        <x:v>847948.7622762511</x:v>
      </x:c>
      <x:c r="P352" s="16">
        <x:f t="shared" si="76"/>
        <x:v>0</x:v>
      </x:c>
      <x:c r="Q352" s="16">
        <x:f t="shared" si="77"/>
        <x:v>0</x:v>
      </x:c>
      <x:c r="R352" s="16">
        <x:f t="shared" si="78"/>
        <x:v>847948.7622762511</x:v>
      </x:c>
      <x:c r="S352" s="16">
        <x:f t="shared" si="62"/>
        <x:v>0</x:v>
      </x:c>
    </x:row>
    <x:row r="353" spans="1:19" outlineLevel="2">
      <x:c r="A353" s="12" t="s">
        <x:v>119</x:v>
      </x:c>
      <x:c r="B353" s="7" t="s">
        <x:v>79</x:v>
      </x:c>
      <x:c r="C353" s="6">
        <x:v>1546909.9</x:v>
      </x:c>
      <x:c r="F353" s="6">
        <x:v>1546909.9</x:v>
      </x:c>
      <x:c r="G353" s="1">
        <x:f t="shared" si="73"/>
        <x:v>0</x:v>
      </x:c>
      <x:c r="J353" s="3">
        <x:v>72</x:v>
      </x:c>
      <x:c r="K353" s="3">
        <x:v>40.754441999999997</x:v>
      </x:c>
      <x:c r="L353" s="4">
        <x:v>-0.4</x:v>
      </x:c>
      <x:c r="M353" s="3">
        <x:f t="shared" si="74"/>
        <x:v>939829.00280158175</x:v>
      </x:c>
      <x:c r="N353" s="3">
        <x:v>1.2861612305362093</x:v>
      </x:c>
      <x:c r="O353" s="3">
        <x:f t="shared" si="75"/>
        <x:v>1208771.626736901</x:v>
      </x:c>
      <x:c r="P353" s="16">
        <x:f t="shared" si="76"/>
        <x:v>0</x:v>
      </x:c>
      <x:c r="Q353" s="16">
        <x:f t="shared" si="77"/>
        <x:v>0</x:v>
      </x:c>
      <x:c r="R353" s="16">
        <x:f t="shared" si="78"/>
        <x:v>1208771.626736901</x:v>
      </x:c>
      <x:c r="S353" s="16">
        <x:f t="shared" si="62"/>
        <x:v>0</x:v>
      </x:c>
    </x:row>
    <x:row r="354" spans="1:19" outlineLevel="2">
      <x:c r="A354" s="12" t="s">
        <x:v>119</x:v>
      </x:c>
      <x:c r="B354" s="7" t="s">
        <x:v>78</x:v>
      </x:c>
      <x:c r="C354" s="6">
        <x:v>6682670.4699999988</x:v>
      </x:c>
      <x:c r="F354" s="6">
        <x:v>6682670.4699999988</x:v>
      </x:c>
      <x:c r="G354" s="1">
        <x:f t="shared" si="73"/>
        <x:v>0</x:v>
      </x:c>
      <x:c r="J354" s="3">
        <x:v>72</x:v>
      </x:c>
      <x:c r="K354" s="3">
        <x:v>39.966698999999998</x:v>
      </x:c>
      <x:c r="L354" s="4">
        <x:v>-0.4</x:v>
      </x:c>
      <x:c r="M354" s="3">
        <x:f t="shared" si="74"/>
        <x:v>4162433.2292923611</x:v>
      </x:c>
      <x:c r="N354" s="3">
        <x:v>1.2861612305362093</x:v>
      </x:c>
      <x:c r="O354" s="3">
        <x:f t="shared" si="75"/>
        <x:v>5353560.2442114707</x:v>
      </x:c>
      <x:c r="P354" s="16">
        <x:f t="shared" si="76"/>
        <x:v>0</x:v>
      </x:c>
      <x:c r="Q354" s="16">
        <x:f t="shared" si="77"/>
        <x:v>0</x:v>
      </x:c>
      <x:c r="R354" s="16">
        <x:f t="shared" si="78"/>
        <x:v>5353560.2442114707</x:v>
      </x:c>
      <x:c r="S354" s="16">
        <x:f t="shared" si="62"/>
        <x:v>0</x:v>
      </x:c>
    </x:row>
    <x:row r="355" spans="1:19" outlineLevel="2">
      <x:c r="A355" s="12" t="s">
        <x:v>119</x:v>
      </x:c>
      <x:c r="B355" s="7" t="s">
        <x:v>77</x:v>
      </x:c>
      <x:c r="C355" s="6">
        <x:v>3175562.38</x:v>
      </x:c>
      <x:c r="F355" s="6">
        <x:v>3175562.38</x:v>
      </x:c>
      <x:c r="G355" s="1">
        <x:f t="shared" si="73"/>
        <x:v>0</x:v>
      </x:c>
      <x:c r="J355" s="3">
        <x:v>72</x:v>
      </x:c>
      <x:c r="K355" s="3">
        <x:v>39.184995000000001</x:v>
      </x:c>
      <x:c r="L355" s="4">
        <x:v>-0.4</x:v>
      </x:c>
      <x:c r="M355" s="3">
        <x:f t="shared" si="74"/>
        <x:v>2026229.6323405087</x:v>
      </x:c>
      <x:c r="N355" s="3">
        <x:v>1.2861612305362093</x:v>
      </x:c>
      <x:c r="O355" s="3">
        <x:f t="shared" si="75"/>
        <x:v>2606057.9972799998</x:v>
      </x:c>
      <x:c r="P355" s="16">
        <x:f t="shared" si="76"/>
        <x:v>0</x:v>
      </x:c>
      <x:c r="Q355" s="16">
        <x:f t="shared" si="77"/>
        <x:v>0</x:v>
      </x:c>
      <x:c r="R355" s="16">
        <x:f t="shared" si="78"/>
        <x:v>2606057.9972799998</x:v>
      </x:c>
      <x:c r="S355" s="16">
        <x:f t="shared" si="62"/>
        <x:v>0</x:v>
      </x:c>
    </x:row>
    <x:row r="356" spans="1:19" outlineLevel="2">
      <x:c r="A356" s="12" t="s">
        <x:v>119</x:v>
      </x:c>
      <x:c r="B356" s="7" t="s">
        <x:v>76</x:v>
      </x:c>
      <x:c r="C356" s="6">
        <x:v>6071233.6999999993</x:v>
      </x:c>
      <x:c r="F356" s="6">
        <x:v>6071233.6999999993</x:v>
      </x:c>
      <x:c r="G356" s="1">
        <x:f t="shared" si="73"/>
        <x:v>0</x:v>
      </x:c>
      <x:c r="J356" s="3">
        <x:v>72</x:v>
      </x:c>
      <x:c r="K356" s="3">
        <x:v>38.410539</x:v>
      </x:c>
      <x:c r="L356" s="4">
        <x:v>-0.4</x:v>
      </x:c>
      <x:c r="M356" s="3">
        <x:f t="shared" si="74"/>
        <x:v>3965295.2031006934</x:v>
      </x:c>
      <x:c r="N356" s="3">
        <x:v>1.2861612305362093</x:v>
      </x:c>
      <x:c r="O356" s="3">
        <x:f t="shared" si="75"/>
        <x:v>5100008.9578593159</x:v>
      </x:c>
      <x:c r="P356" s="16">
        <x:f t="shared" si="76"/>
        <x:v>0</x:v>
      </x:c>
      <x:c r="Q356" s="16">
        <x:f t="shared" si="77"/>
        <x:v>0</x:v>
      </x:c>
      <x:c r="R356" s="16">
        <x:f t="shared" si="78"/>
        <x:v>5100008.9578593159</x:v>
      </x:c>
      <x:c r="S356" s="16">
        <x:f t="shared" si="62"/>
        <x:v>0</x:v>
      </x:c>
    </x:row>
    <x:row r="357" spans="1:19" outlineLevel="2">
      <x:c r="A357" s="12" t="s">
        <x:v>119</x:v>
      </x:c>
      <x:c r="B357" s="7" t="s">
        <x:v>75</x:v>
      </x:c>
      <x:c r="C357" s="6">
        <x:v>7784998.9300000006</x:v>
      </x:c>
      <x:c r="F357" s="6">
        <x:v>7784998.9300000006</x:v>
      </x:c>
      <x:c r="G357" s="1">
        <x:f t="shared" si="73"/>
        <x:v>0</x:v>
      </x:c>
      <x:c r="J357" s="3">
        <x:v>72</x:v>
      </x:c>
      <x:c r="K357" s="3">
        <x:v>37.641896000000003</x:v>
      </x:c>
      <x:c r="L357" s="4">
        <x:v>-0.4</x:v>
      </x:c>
      <x:c r="M357" s="3">
        <x:f t="shared" si="74"/>
        <x:v>5200957.2781605581</x:v>
      </x:c>
      <x:c r="N357" s="3">
        <x:v>1.2861612305362093</x:v>
      </x:c>
      <x:c r="O357" s="3">
        <x:f t="shared" si="75"/>
        <x:v>6689269.6128452374</x:v>
      </x:c>
      <x:c r="P357" s="16">
        <x:f t="shared" si="76"/>
        <x:v>0</x:v>
      </x:c>
      <x:c r="Q357" s="16">
        <x:f t="shared" si="77"/>
        <x:v>0</x:v>
      </x:c>
      <x:c r="R357" s="16">
        <x:f t="shared" si="78"/>
        <x:v>6689269.6128452374</x:v>
      </x:c>
      <x:c r="S357" s="16">
        <x:f t="shared" si="62"/>
        <x:v>0</x:v>
      </x:c>
    </x:row>
    <x:row r="358" spans="1:19" outlineLevel="2">
      <x:c r="A358" s="12" t="s">
        <x:v>119</x:v>
      </x:c>
      <x:c r="B358" s="7" t="s">
        <x:v>74</x:v>
      </x:c>
      <x:c r="C358" s="6">
        <x:v>41549757.039999992</x:v>
      </x:c>
      <x:c r="F358" s="6">
        <x:v>41549757.039999992</x:v>
      </x:c>
      <x:c r="G358" s="1">
        <x:f t="shared" si="73"/>
        <x:v>0</x:v>
      </x:c>
      <x:c r="J358" s="3">
        <x:v>72</x:v>
      </x:c>
      <x:c r="K358" s="3">
        <x:v>36.880448000000001</x:v>
      </x:c>
      <x:c r="L358" s="4">
        <x:v>-0.4</x:v>
      </x:c>
      <x:c r="M358" s="3">
        <x:f t="shared" si="74"/>
        <x:v>28373505.474098668</x:v>
      </x:c>
      <x:c r="N358" s="3">
        <x:v>1.2861612305362093</x:v>
      </x:c>
      <x:c r="O358" s="3">
        <x:f t="shared" si="75"/>
        <x:v>36492902.715192616</x:v>
      </x:c>
      <x:c r="P358" s="16">
        <x:f t="shared" si="76"/>
        <x:v>0</x:v>
      </x:c>
      <x:c r="Q358" s="16">
        <x:f t="shared" si="77"/>
        <x:v>0</x:v>
      </x:c>
      <x:c r="R358" s="16">
        <x:f t="shared" si="78"/>
        <x:v>36492902.715192616</x:v>
      </x:c>
      <x:c r="S358" s="16">
        <x:f t="shared" si="62"/>
        <x:v>0</x:v>
      </x:c>
    </x:row>
    <x:row r="359" spans="1:19" outlineLevel="2">
      <x:c r="A359" s="12" t="s">
        <x:v>119</x:v>
      </x:c>
      <x:c r="B359" s="7" t="s">
        <x:v>73</x:v>
      </x:c>
      <x:c r="C359" s="6">
        <x:v>9074297.8000000007</x:v>
      </x:c>
      <x:c r="F359" s="6">
        <x:v>9074297.8000000007</x:v>
      </x:c>
      <x:c r="G359" s="1">
        <x:f t="shared" si="73"/>
        <x:v>0</x:v>
      </x:c>
      <x:c r="J359" s="3">
        <x:v>72</x:v>
      </x:c>
      <x:c r="K359" s="3">
        <x:v>36.125726999999998</x:v>
      </x:c>
      <x:c r="L359" s="4">
        <x:v>-0.4</x:v>
      </x:c>
      <x:c r="M359" s="3">
        <x:f t="shared" si="74"/>
        <x:v>6329824.5997874895</x:v>
      </x:c>
      <x:c r="N359" s="3">
        <x:v>1.2861612305362093</x:v>
      </x:c>
      <x:c r="O359" s="3">
        <x:f t="shared" si="75"/>
        <x:v>8141174.9963410459</x:v>
      </x:c>
      <x:c r="P359" s="16">
        <x:f t="shared" si="76"/>
        <x:v>0</x:v>
      </x:c>
      <x:c r="Q359" s="16">
        <x:f t="shared" si="77"/>
        <x:v>0</x:v>
      </x:c>
      <x:c r="R359" s="16">
        <x:f t="shared" si="78"/>
        <x:v>8141174.9963410459</x:v>
      </x:c>
      <x:c r="S359" s="16">
        <x:f t="shared" si="62"/>
        <x:v>0</x:v>
      </x:c>
    </x:row>
    <x:row r="360" spans="1:19" outlineLevel="2">
      <x:c r="A360" s="12" t="s">
        <x:v>119</x:v>
      </x:c>
      <x:c r="B360" s="7" t="s">
        <x:v>72</x:v>
      </x:c>
      <x:c r="C360" s="6">
        <x:v>11375424.16</x:v>
      </x:c>
      <x:c r="F360" s="6">
        <x:v>11375424.16</x:v>
      </x:c>
      <x:c r="G360" s="1">
        <x:f t="shared" si="73"/>
        <x:v>0</x:v>
      </x:c>
      <x:c r="J360" s="3">
        <x:v>72</x:v>
      </x:c>
      <x:c r="K360" s="3">
        <x:v>35.377234999999999</x:v>
      </x:c>
      <x:c r="L360" s="4">
        <x:v>-0.4</x:v>
      </x:c>
      <x:c r="M360" s="3">
        <x:f t="shared" si="74"/>
        <x:v>8100545.5569694908</x:v>
      </x:c>
      <x:c r="N360" s="3">
        <x:v>1.2861612305362093</x:v>
      </x:c>
      <x:c r="O360" s="3">
        <x:f t="shared" si="75"/>
        <x:v>10418607.641566504</x:v>
      </x:c>
      <x:c r="P360" s="16">
        <x:f t="shared" si="76"/>
        <x:v>0</x:v>
      </x:c>
      <x:c r="Q360" s="16">
        <x:f t="shared" si="77"/>
        <x:v>0</x:v>
      </x:c>
      <x:c r="R360" s="16">
        <x:f t="shared" si="78"/>
        <x:v>10418607.641566504</x:v>
      </x:c>
      <x:c r="S360" s="16">
        <x:f t="shared" si="62"/>
        <x:v>0</x:v>
      </x:c>
    </x:row>
    <x:row r="361" spans="1:19" outlineLevel="2">
      <x:c r="A361" s="12" t="s">
        <x:v>119</x:v>
      </x:c>
      <x:c r="B361" s="7" t="s">
        <x:v>71</x:v>
      </x:c>
      <x:c r="C361" s="6">
        <x:v>13309456.699999997</x:v>
      </x:c>
      <x:c r="F361" s="6">
        <x:v>13309456.699999997</x:v>
      </x:c>
      <x:c r="G361" s="1">
        <x:f t="shared" si="73"/>
        <x:v>0</x:v>
      </x:c>
      <x:c r="J361" s="3">
        <x:v>72</x:v>
      </x:c>
      <x:c r="K361" s="3">
        <x:v>34.636909000000003</x:v>
      </x:c>
      <x:c r="L361" s="4">
        <x:v>-0.4</x:v>
      </x:c>
      <x:c r="M361" s="3">
        <x:f t="shared" si="74"/>
        <x:v>9669380.813607268</x:v>
      </x:c>
      <x:c r="N361" s="3">
        <x:v>1.2861612305362093</x:v>
      </x:c>
      <x:c r="O361" s="3">
        <x:f t="shared" si="75"/>
        <x:v>12436382.725752337</x:v>
      </x:c>
      <x:c r="P361" s="16">
        <x:f t="shared" si="76"/>
        <x:v>0</x:v>
      </x:c>
      <x:c r="Q361" s="16">
        <x:f t="shared" si="77"/>
        <x:v>0</x:v>
      </x:c>
      <x:c r="R361" s="16">
        <x:f t="shared" si="78"/>
        <x:v>12436382.725752337</x:v>
      </x:c>
      <x:c r="S361" s="16">
        <x:f t="shared" si="62"/>
        <x:v>0</x:v>
      </x:c>
    </x:row>
    <x:row r="362" spans="1:19" outlineLevel="2">
      <x:c r="A362" s="12" t="s">
        <x:v>119</x:v>
      </x:c>
      <x:c r="B362" s="7" t="s">
        <x:v>70</x:v>
      </x:c>
      <x:c r="C362" s="6">
        <x:v>7706031.129999999</x:v>
      </x:c>
      <x:c r="F362" s="6">
        <x:v>7706031.129999999</x:v>
      </x:c>
      <x:c r="G362" s="1">
        <x:f t="shared" si="73"/>
        <x:v>0</x:v>
      </x:c>
      <x:c r="J362" s="3">
        <x:v>72</x:v>
      </x:c>
      <x:c r="K362" s="3">
        <x:v>33.902890999999997</x:v>
      </x:c>
      <x:c r="L362" s="4">
        <x:v>-0.4</x:v>
      </x:c>
      <x:c r="M362" s="3">
        <x:f t="shared" si="74"/>
        <x:v>5708451.5428306172</x:v>
      </x:c>
      <x:c r="N362" s="3">
        <x:v>1.2861612305362093</x:v>
      </x:c>
      <x:c r="O362" s="3">
        <x:f t="shared" si="75"/>
        <x:v>7341989.060783349</x:v>
      </x:c>
      <x:c r="P362" s="16">
        <x:f t="shared" si="76"/>
        <x:v>0</x:v>
      </x:c>
      <x:c r="Q362" s="16">
        <x:f t="shared" si="77"/>
        <x:v>0</x:v>
      </x:c>
      <x:c r="R362" s="16">
        <x:f t="shared" si="78"/>
        <x:v>7341989.060783349</x:v>
      </x:c>
      <x:c r="S362" s="16">
        <x:f t="shared" si="62"/>
        <x:v>0</x:v>
      </x:c>
    </x:row>
    <x:row r="363" spans="1:19" outlineLevel="2">
      <x:c r="A363" s="12" t="s">
        <x:v>119</x:v>
      </x:c>
      <x:c r="B363" s="7" t="s">
        <x:v>69</x:v>
      </x:c>
      <x:c r="C363" s="6">
        <x:v>2091178.0099999995</x:v>
      </x:c>
      <x:c r="F363" s="6">
        <x:v>2091178.0099999995</x:v>
      </x:c>
      <x:c r="G363" s="1">
        <x:f t="shared" si="73"/>
        <x:v>0</x:v>
      </x:c>
      <x:c r="J363" s="3">
        <x:v>72</x:v>
      </x:c>
      <x:c r="K363" s="3">
        <x:v>33.176388000000003</x:v>
      </x:c>
      <x:c r="L363" s="4">
        <x:v>-0.4</x:v>
      </x:c>
      <x:c r="M363" s="3">
        <x:f t="shared" si="74"/>
        <x:v>1578637.7382839022</x:v>
      </x:c>
      <x:c r="N363" s="3">
        <x:v>1.2861612305362093</x:v>
      </x:c>
      <x:c r="O363" s="3">
        <x:f t="shared" si="75"/>
        <x:v>2030382.656042122</x:v>
      </x:c>
      <x:c r="P363" s="16">
        <x:f t="shared" si="76"/>
        <x:v>0</x:v>
      </x:c>
      <x:c r="Q363" s="16">
        <x:f t="shared" si="77"/>
        <x:v>0</x:v>
      </x:c>
      <x:c r="R363" s="16">
        <x:f t="shared" si="78"/>
        <x:v>2030382.656042122</x:v>
      </x:c>
      <x:c r="S363" s="16">
        <x:f t="shared" si="62"/>
        <x:v>0</x:v>
      </x:c>
    </x:row>
    <x:row r="364" spans="1:19" outlineLevel="2">
      <x:c r="A364" s="12" t="s">
        <x:v>119</x:v>
      </x:c>
      <x:c r="B364" s="7" t="s">
        <x:v>68</x:v>
      </x:c>
      <x:c r="C364" s="6">
        <x:v>2527081.2100000004</x:v>
      </x:c>
      <x:c r="F364" s="6">
        <x:v>2527081.2100000004</x:v>
      </x:c>
      <x:c r="G364" s="1">
        <x:f t="shared" si="73"/>
        <x:v>0</x:v>
      </x:c>
      <x:c r="J364" s="3">
        <x:v>72</x:v>
      </x:c>
      <x:c r="K364" s="3">
        <x:v>32.457538999999997</x:v>
      </x:c>
      <x:c r="L364" s="4">
        <x:v>-0.4</x:v>
      </x:c>
      <x:c r="M364" s="3">
        <x:f t="shared" si="74"/>
        <x:v>1943025.1981439025</x:v>
      </x:c>
      <x:c r="N364" s="3">
        <x:v>1.2861612305362093</x:v>
      </x:c>
      <x:c r="O364" s="3">
        <x:f t="shared" si="75"/>
        <x:v>2499043.6798076234</x:v>
      </x:c>
      <x:c r="P364" s="16">
        <x:f t="shared" si="76"/>
        <x:v>0</x:v>
      </x:c>
      <x:c r="Q364" s="16">
        <x:f t="shared" si="77"/>
        <x:v>0</x:v>
      </x:c>
      <x:c r="R364" s="16">
        <x:f t="shared" si="78"/>
        <x:v>2499043.6798076234</x:v>
      </x:c>
      <x:c r="S364" s="16">
        <x:f t="shared" si="62"/>
        <x:v>0</x:v>
      </x:c>
    </x:row>
    <x:row r="365" spans="1:19" outlineLevel="2">
      <x:c r="A365" s="12" t="s">
        <x:v>119</x:v>
      </x:c>
      <x:c r="B365" s="7" t="s">
        <x:v>67</x:v>
      </x:c>
      <x:c r="C365" s="6">
        <x:v>4098600.3700000006</x:v>
      </x:c>
      <x:c r="F365" s="6">
        <x:v>4098600.3700000006</x:v>
      </x:c>
      <x:c r="G365" s="1">
        <x:f t="shared" si="73"/>
        <x:v>0</x:v>
      </x:c>
      <x:c r="J365" s="3">
        <x:v>72</x:v>
      </x:c>
      <x:c r="K365" s="3">
        <x:v>31.745341</x:v>
      </x:c>
      <x:c r="L365" s="4">
        <x:v>-0.4</x:v>
      </x:c>
      <x:c r="M365" s="3">
        <x:f t="shared" si="74"/>
        <x:v>3208095.338614908</x:v>
      </x:c>
      <x:c r="N365" s="3">
        <x:v>1.2861612305362093</x:v>
      </x:c>
      <x:c r="O365" s="3">
        <x:f t="shared" si="75"/>
        <x:v>4126127.8483904274</x:v>
      </x:c>
      <x:c r="P365" s="16">
        <x:f t="shared" si="76"/>
        <x:v>0</x:v>
      </x:c>
      <x:c r="Q365" s="16">
        <x:f t="shared" si="77"/>
        <x:v>0</x:v>
      </x:c>
      <x:c r="R365" s="16">
        <x:f t="shared" si="78"/>
        <x:v>4126127.8483904274</x:v>
      </x:c>
      <x:c r="S365" s="16">
        <x:f t="shared" si="62"/>
        <x:v>0</x:v>
      </x:c>
    </x:row>
    <x:row r="366" spans="1:19" outlineLevel="2">
      <x:c r="A366" s="12" t="s">
        <x:v>119</x:v>
      </x:c>
      <x:c r="B366" s="7" t="s">
        <x:v>66</x:v>
      </x:c>
      <x:c r="C366" s="6">
        <x:v>12276545.980000004</x:v>
      </x:c>
      <x:c r="F366" s="6">
        <x:v>12276545.980000004</x:v>
      </x:c>
      <x:c r="G366" s="1">
        <x:f t="shared" si="73"/>
        <x:v>0</x:v>
      </x:c>
      <x:c r="J366" s="3">
        <x:v>72</x:v>
      </x:c>
      <x:c r="K366" s="3">
        <x:v>31.042099</x:v>
      </x:c>
      <x:c r="L366" s="4">
        <x:v>-0.4</x:v>
      </x:c>
      <x:c r="M366" s="3">
        <x:f t="shared" si="74"/>
        <x:v>9777085.7891542148</x:v>
      </x:c>
      <x:c r="N366" s="3">
        <x:v>1.2861612305362093</x:v>
      </x:c>
      <x:c r="O366" s="3">
        <x:f t="shared" si="75"/>
        <x:v>12574908.68963667</x:v>
      </x:c>
      <x:c r="P366" s="16">
        <x:f t="shared" si="76"/>
        <x:v>0</x:v>
      </x:c>
      <x:c r="Q366" s="16">
        <x:f t="shared" si="77"/>
        <x:v>0</x:v>
      </x:c>
      <x:c r="R366" s="16">
        <x:f t="shared" si="78"/>
        <x:v>12574908.68963667</x:v>
      </x:c>
      <x:c r="S366" s="16">
        <x:f t="shared" si="62"/>
        <x:v>0</x:v>
      </x:c>
    </x:row>
    <x:row r="367" spans="1:19" outlineLevel="2">
      <x:c r="A367" s="12" t="s">
        <x:v>119</x:v>
      </x:c>
      <x:c r="B367" s="7" t="s">
        <x:v>65</x:v>
      </x:c>
      <x:c r="C367" s="6">
        <x:v>7867027.9900000021</x:v>
      </x:c>
      <x:c r="F367" s="6">
        <x:v>7867027.9900000021</x:v>
      </x:c>
      <x:c r="G367" s="1">
        <x:f t="shared" si="73"/>
        <x:v>0</x:v>
      </x:c>
      <x:c r="J367" s="3">
        <x:v>72</x:v>
      </x:c>
      <x:c r="K367" s="3">
        <x:v>30.345983</x:v>
      </x:c>
      <x:c r="L367" s="4">
        <x:v>-0.4</x:v>
      </x:c>
      <x:c r="M367" s="3">
        <x:f t="shared" si="74"/>
        <x:v>6371814.5095681977</x:v>
      </x:c>
      <x:c r="N367" s="3">
        <x:v>1.2861612305362093</x:v>
      </x:c>
      <x:c r="O367" s="3">
        <x:f t="shared" si="75"/>
        <x:v>8195180.7903747065</x:v>
      </x:c>
      <x:c r="P367" s="16">
        <x:f t="shared" si="76"/>
        <x:v>0</x:v>
      </x:c>
      <x:c r="Q367" s="16">
        <x:f t="shared" si="77"/>
        <x:v>0</x:v>
      </x:c>
      <x:c r="R367" s="16">
        <x:f t="shared" si="78"/>
        <x:v>8195180.7903747065</x:v>
      </x:c>
      <x:c r="S367" s="16">
        <x:f t="shared" si="62"/>
        <x:v>0</x:v>
      </x:c>
    </x:row>
    <x:row r="368" spans="1:19" outlineLevel="2">
      <x:c r="A368" s="12" t="s">
        <x:v>119</x:v>
      </x:c>
      <x:c r="B368" s="7" t="s">
        <x:v>64</x:v>
      </x:c>
      <x:c r="C368" s="6">
        <x:v>4118449.5299999993</x:v>
      </x:c>
      <x:c r="F368" s="6">
        <x:v>4118449.5299999993</x:v>
      </x:c>
      <x:c r="G368" s="1">
        <x:f t="shared" si="73"/>
        <x:v>0</x:v>
      </x:c>
      <x:c r="J368" s="3">
        <x:v>72</x:v>
      </x:c>
      <x:c r="K368" s="3">
        <x:v>29.657820999999998</x:v>
      </x:c>
      <x:c r="L368" s="4">
        <x:v>-0.4</x:v>
      </x:c>
      <x:c r="M368" s="3">
        <x:f t="shared" si="74"/>
        <x:v>3390802.4733668915</x:v>
      </x:c>
      <x:c r="N368" s="3">
        <x:v>1.2861612305362093</x:v>
      </x:c>
      <x:c r="O368" s="3">
        <x:f t="shared" si="75"/>
        <x:v>4361118.6816507829</x:v>
      </x:c>
      <x:c r="P368" s="16">
        <x:f t="shared" si="76"/>
        <x:v>0</x:v>
      </x:c>
      <x:c r="Q368" s="16">
        <x:f t="shared" si="77"/>
        <x:v>0</x:v>
      </x:c>
      <x:c r="R368" s="16">
        <x:f t="shared" si="78"/>
        <x:v>4361118.6816507829</x:v>
      </x:c>
      <x:c r="S368" s="16">
        <x:f t="shared" si="62"/>
        <x:v>0</x:v>
      </x:c>
    </x:row>
    <x:row r="369" spans="1:19" outlineLevel="2">
      <x:c r="A369" s="12" t="s">
        <x:v>119</x:v>
      </x:c>
      <x:c r="B369" s="7" t="s">
        <x:v>63</x:v>
      </x:c>
      <x:c r="C369" s="6">
        <x:v>2226501.9200000004</x:v>
      </x:c>
      <x:c r="F369" s="6">
        <x:v>2226501.9200000004</x:v>
      </x:c>
      <x:c r="G369" s="1">
        <x:f t="shared" si="73"/>
        <x:v>0</x:v>
      </x:c>
      <x:c r="J369" s="3">
        <x:v>72</x:v>
      </x:c>
      <x:c r="K369" s="3">
        <x:v>28.978493</x:v>
      </x:c>
      <x:c r="L369" s="4">
        <x:v>-0.4</x:v>
      </x:c>
      <x:c r="M369" s="3">
        <x:f t="shared" si="74"/>
        <x:v>1862534.0987709838</x:v>
      </x:c>
      <x:c r="N369" s="3">
        <x:v>1.2861612305362093</x:v>
      </x:c>
      <x:c r="O369" s="3">
        <x:f t="shared" si="75"/>
        <x:v>2395519.1483909381</x:v>
      </x:c>
      <x:c r="P369" s="16">
        <x:f t="shared" si="76"/>
        <x:v>0</x:v>
      </x:c>
      <x:c r="Q369" s="16">
        <x:f t="shared" si="77"/>
        <x:v>0</x:v>
      </x:c>
      <x:c r="R369" s="16">
        <x:f t="shared" si="78"/>
        <x:v>2395519.1483909381</x:v>
      </x:c>
      <x:c r="S369" s="16">
        <x:f t="shared" ref="S369:S405" si="79">+O369-P369-Q369-R369</x:f>
        <x:v>0</x:v>
      </x:c>
    </x:row>
    <x:row r="370" spans="1:19" outlineLevel="2">
      <x:c r="A370" s="12" t="s">
        <x:v>119</x:v>
      </x:c>
      <x:c r="B370" s="7" t="s">
        <x:v>62</x:v>
      </x:c>
      <x:c r="C370" s="6">
        <x:v>7045072.1899999995</x:v>
      </x:c>
      <x:c r="F370" s="6">
        <x:v>7045072.1899999995</x:v>
      </x:c>
      <x:c r="G370" s="1">
        <x:f t="shared" si="73"/>
        <x:v>0</x:v>
      </x:c>
      <x:c r="J370" s="3">
        <x:v>72</x:v>
      </x:c>
      <x:c r="K370" s="3">
        <x:v>28.306598999999999</x:v>
      </x:c>
      <x:c r="L370" s="4">
        <x:v>-0.4</x:v>
      </x:c>
      <x:c r="M370" s="3">
        <x:f t="shared" si="74"/>
        <x:v>5985450.416392575</x:v>
      </x:c>
      <x:c r="N370" s="3">
        <x:v>1.2861612305362093</x:v>
      </x:c>
      <x:c r="O370" s="3">
        <x:f t="shared" si="75"/>
        <x:v>7698254.2728609405</x:v>
      </x:c>
      <x:c r="P370" s="16">
        <x:f t="shared" si="76"/>
        <x:v>0</x:v>
      </x:c>
      <x:c r="Q370" s="16">
        <x:f t="shared" si="77"/>
        <x:v>0</x:v>
      </x:c>
      <x:c r="R370" s="16">
        <x:f t="shared" si="78"/>
        <x:v>7698254.2728609405</x:v>
      </x:c>
      <x:c r="S370" s="16">
        <x:f t="shared" si="79"/>
        <x:v>0</x:v>
      </x:c>
    </x:row>
    <x:row r="371" spans="1:19" outlineLevel="2">
      <x:c r="A371" s="12" t="s">
        <x:v>119</x:v>
      </x:c>
      <x:c r="B371" s="7" t="s">
        <x:v>61</x:v>
      </x:c>
      <x:c r="C371" s="6">
        <x:v>6301557.7700000005</x:v>
      </x:c>
      <x:c r="F371" s="6">
        <x:v>6301557.7700000005</x:v>
      </x:c>
      <x:c r="G371" s="1">
        <x:f t="shared" si="73"/>
        <x:v>0</x:v>
      </x:c>
      <x:c r="J371" s="3">
        <x:v>72</x:v>
      </x:c>
      <x:c r="K371" s="3">
        <x:v>27.644309</x:v>
      </x:c>
      <x:c r="L371" s="4">
        <x:v>-0.4</x:v>
      </x:c>
      <x:c r="M371" s="3">
        <x:f t="shared" si="74"/>
        <x:v>5434915.6801482867</x:v>
      </x:c>
      <x:c r="N371" s="3">
        <x:v>1.2861612305362093</x:v>
      </x:c>
      <x:c r="O371" s="3">
        <x:f t="shared" si="75"/>
        <x:v>6990177.8390400596</x:v>
      </x:c>
      <x:c r="P371" s="16">
        <x:f t="shared" si="76"/>
        <x:v>0</x:v>
      </x:c>
      <x:c r="Q371" s="16">
        <x:f t="shared" si="77"/>
        <x:v>0</x:v>
      </x:c>
      <x:c r="R371" s="16">
        <x:f t="shared" si="78"/>
        <x:v>6990177.8390400596</x:v>
      </x:c>
      <x:c r="S371" s="16">
        <x:f t="shared" si="79"/>
        <x:v>0</x:v>
      </x:c>
    </x:row>
    <x:row r="372" spans="1:19" outlineLevel="2">
      <x:c r="A372" s="12" t="s">
        <x:v>119</x:v>
      </x:c>
      <x:c r="B372" s="7" t="s">
        <x:v>60</x:v>
      </x:c>
      <x:c r="C372" s="6">
        <x:v>5218934.3</x:v>
      </x:c>
      <x:c r="F372" s="6">
        <x:v>5218934.3</x:v>
      </x:c>
      <x:c r="G372" s="1">
        <x:f t="shared" si="73"/>
        <x:v>0</x:v>
      </x:c>
      <x:c r="J372" s="3">
        <x:v>72</x:v>
      </x:c>
      <x:c r="K372" s="3">
        <x:v>26.990390000000001</x:v>
      </x:c>
      <x:c r="L372" s="4">
        <x:v>-0.4</x:v>
      </x:c>
      <x:c r="M372" s="3">
        <x:f t="shared" si="74"/>
        <x:v>4567542.7283621132</x:v>
      </x:c>
      <x:c r="N372" s="3">
        <x:v>1.2861612305362093</x:v>
      </x:c>
      <x:c r="O372" s="3">
        <x:f t="shared" si="75"/>
        <x:v>5874596.3760369308</x:v>
      </x:c>
      <x:c r="P372" s="16">
        <x:f t="shared" si="76"/>
        <x:v>0</x:v>
      </x:c>
      <x:c r="Q372" s="16">
        <x:f t="shared" si="77"/>
        <x:v>0</x:v>
      </x:c>
      <x:c r="R372" s="16">
        <x:f t="shared" si="78"/>
        <x:v>5874596.3760369308</x:v>
      </x:c>
      <x:c r="S372" s="16">
        <x:f t="shared" si="79"/>
        <x:v>0</x:v>
      </x:c>
    </x:row>
    <x:row r="373" spans="1:19" outlineLevel="2">
      <x:c r="A373" s="12" t="s">
        <x:v>119</x:v>
      </x:c>
      <x:c r="B373" s="7" t="s">
        <x:v>59</x:v>
      </x:c>
      <x:c r="C373" s="6">
        <x:v>5584280.5</x:v>
      </x:c>
      <x:c r="F373" s="6">
        <x:v>5584280.5</x:v>
      </x:c>
      <x:c r="G373" s="1">
        <x:f t="shared" si="73"/>
        <x:v>0</x:v>
      </x:c>
      <x:c r="J373" s="3">
        <x:v>72</x:v>
      </x:c>
      <x:c r="K373" s="3">
        <x:v>26.345033999999998</x:v>
      </x:c>
      <x:c r="L373" s="4">
        <x:v>-0.4</x:v>
      </x:c>
      <x:c r="M373" s="3">
        <x:f t="shared" si="74"/>
        <x:v>4957363.7625937248</x:v>
      </x:c>
      <x:c r="N373" s="3">
        <x:v>1.2861612305362093</x:v>
      </x:c>
      <x:c r="O373" s="3">
        <x:f t="shared" si="75"/>
        <x:v>6375969.0771131581</x:v>
      </x:c>
      <x:c r="P373" s="16">
        <x:f t="shared" si="76"/>
        <x:v>0</x:v>
      </x:c>
      <x:c r="Q373" s="16">
        <x:f t="shared" si="77"/>
        <x:v>0</x:v>
      </x:c>
      <x:c r="R373" s="16">
        <x:f t="shared" si="78"/>
        <x:v>6375969.0771131581</x:v>
      </x:c>
      <x:c r="S373" s="16">
        <x:f t="shared" si="79"/>
        <x:v>0</x:v>
      </x:c>
    </x:row>
    <x:row r="374" spans="1:19" outlineLevel="2">
      <x:c r="A374" s="12" t="s">
        <x:v>119</x:v>
      </x:c>
      <x:c r="B374" s="7" t="s">
        <x:v>58</x:v>
      </x:c>
      <x:c r="C374" s="6">
        <x:v>2291794.84</x:v>
      </x:c>
      <x:c r="F374" s="6">
        <x:v>2291794.84</x:v>
      </x:c>
      <x:c r="G374" s="1">
        <x:f t="shared" si="73"/>
        <x:v>0</x:v>
      </x:c>
      <x:c r="J374" s="3">
        <x:v>72</x:v>
      </x:c>
      <x:c r="K374" s="3">
        <x:v>25.709973999999999</x:v>
      </x:c>
      <x:c r="L374" s="4">
        <x:v>-0.4</x:v>
      </x:c>
      <x:c r="M374" s="3">
        <x:f t="shared" si="74"/>
        <x:v>2062807.4975329468</x:v>
      </x:c>
      <x:c r="N374" s="3">
        <x:v>1.2861612305362093</x:v>
      </x:c>
      <x:c r="O374" s="3">
        <x:f t="shared" si="75"/>
        <x:v>2653103.0293862936</x:v>
      </x:c>
      <x:c r="P374" s="16">
        <x:f t="shared" si="76"/>
        <x:v>0</x:v>
      </x:c>
      <x:c r="Q374" s="16">
        <x:f t="shared" si="77"/>
        <x:v>0</x:v>
      </x:c>
      <x:c r="R374" s="16">
        <x:f t="shared" si="78"/>
        <x:v>2653103.0293862936</x:v>
      </x:c>
      <x:c r="S374" s="16">
        <x:f t="shared" si="79"/>
        <x:v>0</x:v>
      </x:c>
    </x:row>
    <x:row r="375" spans="1:19" outlineLevel="2">
      <x:c r="A375" s="12" t="s">
        <x:v>119</x:v>
      </x:c>
      <x:c r="B375" s="7" t="s">
        <x:v>57</x:v>
      </x:c>
      <x:c r="C375" s="6">
        <x:v>1665745.42</x:v>
      </x:c>
      <x:c r="F375" s="6">
        <x:v>1665745.42</x:v>
      </x:c>
      <x:c r="G375" s="1">
        <x:f t="shared" si="73"/>
        <x:v>0</x:v>
      </x:c>
      <x:c r="J375" s="3">
        <x:v>72</x:v>
      </x:c>
      <x:c r="K375" s="3">
        <x:v>25.083355999999998</x:v>
      </x:c>
      <x:c r="L375" s="4">
        <x:v>-0.4</x:v>
      </x:c>
      <x:c r="M375" s="3">
        <x:f t="shared" si="74"/>
        <x:v>1519606.3723705371</x:v>
      </x:c>
      <x:c r="N375" s="3">
        <x:v>1.2861612305362093</x:v>
      </x:c>
      <x:c r="O375" s="3">
        <x:f t="shared" si="75"/>
        <x:v>1954458.8018187552</x:v>
      </x:c>
      <x:c r="P375" s="16">
        <x:f t="shared" si="76"/>
        <x:v>0</x:v>
      </x:c>
      <x:c r="Q375" s="16">
        <x:f t="shared" si="77"/>
        <x:v>0</x:v>
      </x:c>
      <x:c r="R375" s="16">
        <x:f t="shared" si="78"/>
        <x:v>1954458.8018187552</x:v>
      </x:c>
      <x:c r="S375" s="16">
        <x:f t="shared" si="79"/>
        <x:v>0</x:v>
      </x:c>
    </x:row>
    <x:row r="376" spans="1:19" outlineLevel="2">
      <x:c r="A376" s="12" t="s">
        <x:v>119</x:v>
      </x:c>
      <x:c r="B376" s="7" t="s">
        <x:v>56</x:v>
      </x:c>
      <x:c r="C376" s="6">
        <x:v>2512564</x:v>
      </x:c>
      <x:c r="F376" s="6">
        <x:v>2512564</x:v>
      </x:c>
      <x:c r="G376" s="1">
        <x:f t="shared" si="73"/>
        <x:v>0</x:v>
      </x:c>
      <x:c r="J376" s="3">
        <x:v>72</x:v>
      </x:c>
      <x:c r="K376" s="3">
        <x:v>24.467130999999998</x:v>
      </x:c>
      <x:c r="L376" s="4">
        <x:v>-0.4</x:v>
      </x:c>
      <x:c r="M376" s="3">
        <x:f t="shared" si="74"/>
        <x:v>2322237.8562855888</x:v>
      </x:c>
      <x:c r="N376" s="3">
        <x:v>1.2861612305362093</x:v>
      </x:c>
      <x:c r="O376" s="3">
        <x:f t="shared" si="75"/>
        <x:v>2986772.2988380417</x:v>
      </x:c>
      <x:c r="P376" s="16">
        <x:f t="shared" si="76"/>
        <x:v>0</x:v>
      </x:c>
      <x:c r="Q376" s="16">
        <x:f t="shared" si="77"/>
        <x:v>0</x:v>
      </x:c>
      <x:c r="R376" s="16">
        <x:f t="shared" si="78"/>
        <x:v>2986772.2988380417</x:v>
      </x:c>
      <x:c r="S376" s="16">
        <x:f t="shared" si="79"/>
        <x:v>0</x:v>
      </x:c>
    </x:row>
    <x:row r="377" spans="1:19" outlineLevel="2">
      <x:c r="A377" s="12" t="s">
        <x:v>119</x:v>
      </x:c>
      <x:c r="B377" s="7" t="s">
        <x:v>55</x:v>
      </x:c>
      <x:c r="C377" s="6">
        <x:v>859937.05999999994</x:v>
      </x:c>
      <x:c r="F377" s="6">
        <x:v>859937.05999999994</x:v>
      </x:c>
      <x:c r="G377" s="1">
        <x:f t="shared" si="73"/>
        <x:v>0</x:v>
      </x:c>
      <x:c r="J377" s="3">
        <x:v>72</x:v>
      </x:c>
      <x:c r="K377" s="3">
        <x:v>23.860768</x:v>
      </x:c>
      <x:c r="L377" s="4">
        <x:v>-0.4</x:v>
      </x:c>
      <x:c r="M377" s="3">
        <x:f t="shared" si="74"/>
        <x:v>804936.02071434841</x:v>
      </x:c>
      <x:c r="N377" s="3">
        <x:v>1.2861612305362093</x:v>
      </x:c>
      <x:c r="O377" s="3">
        <x:f t="shared" si="75"/>
        <x:v>1035277.502904886</x:v>
      </x:c>
      <x:c r="P377" s="16">
        <x:f t="shared" si="76"/>
        <x:v>0</x:v>
      </x:c>
      <x:c r="Q377" s="16">
        <x:f t="shared" si="77"/>
        <x:v>0</x:v>
      </x:c>
      <x:c r="R377" s="16">
        <x:f t="shared" si="78"/>
        <x:v>1035277.502904886</x:v>
      </x:c>
      <x:c r="S377" s="16">
        <x:f t="shared" si="79"/>
        <x:v>0</x:v>
      </x:c>
    </x:row>
    <x:row r="378" spans="1:19" outlineLevel="2">
      <x:c r="A378" s="12" t="s">
        <x:v>119</x:v>
      </x:c>
      <x:c r="B378" s="7" t="s">
        <x:v>54</x:v>
      </x:c>
      <x:c r="C378" s="6">
        <x:v>2826504.22</x:v>
      </x:c>
      <x:c r="F378" s="6">
        <x:v>2826504.22</x:v>
      </x:c>
      <x:c r="G378" s="1">
        <x:f t="shared" si="73"/>
        <x:v>0</x:v>
      </x:c>
      <x:c r="J378" s="3">
        <x:v>72</x:v>
      </x:c>
      <x:c r="K378" s="3">
        <x:v>23.263711000000001</x:v>
      </x:c>
      <x:c r="L378" s="4">
        <x:v>-0.4</x:v>
      </x:c>
      <x:c r="M378" s="3">
        <x:f t="shared" si="74"/>
        <x:v>2678536.9046652135</x:v>
      </x:c>
      <x:c r="N378" s="3">
        <x:v>1.2861612305362093</x:v>
      </x:c>
      <x:c r="O378" s="3">
        <x:f t="shared" si="75"/>
        <x:v>3445030.3213408603</x:v>
      </x:c>
      <x:c r="P378" s="16">
        <x:f t="shared" si="76"/>
        <x:v>0</x:v>
      </x:c>
      <x:c r="Q378" s="16">
        <x:f t="shared" si="77"/>
        <x:v>0</x:v>
      </x:c>
      <x:c r="R378" s="16">
        <x:f t="shared" si="78"/>
        <x:v>3445030.3213408603</x:v>
      </x:c>
      <x:c r="S378" s="16">
        <x:f t="shared" si="79"/>
        <x:v>0</x:v>
      </x:c>
    </x:row>
    <x:row r="379" spans="1:19" outlineLevel="2">
      <x:c r="A379" s="12" t="s">
        <x:v>119</x:v>
      </x:c>
      <x:c r="B379" s="7" t="s">
        <x:v>53</x:v>
      </x:c>
      <x:c r="C379" s="6">
        <x:v>2419509.21</x:v>
      </x:c>
      <x:c r="F379" s="6">
        <x:v>2419509.21</x:v>
      </x:c>
      <x:c r="G379" s="1">
        <x:f t="shared" si="73"/>
        <x:v>0</x:v>
      </x:c>
      <x:c r="J379" s="3">
        <x:v>72</x:v>
      </x:c>
      <x:c r="K379" s="3">
        <x:v>22.678543999999999</x:v>
      </x:c>
      <x:c r="L379" s="4">
        <x:v>-0.4</x:v>
      </x:c>
      <x:c r="M379" s="3">
        <x:f t="shared" si="74"/>
        <x:v>2320377.8313840786</x:v>
      </x:c>
      <x:c r="N379" s="3">
        <x:v>1.2861612305362093</x:v>
      </x:c>
      <x:c r="O379" s="3">
        <x:f t="shared" si="75"/>
        <x:v>2984380.0069218874</x:v>
      </x:c>
      <x:c r="P379" s="16">
        <x:f t="shared" si="76"/>
        <x:v>0</x:v>
      </x:c>
      <x:c r="Q379" s="16">
        <x:f t="shared" si="77"/>
        <x:v>0</x:v>
      </x:c>
      <x:c r="R379" s="16">
        <x:f t="shared" si="78"/>
        <x:v>2984380.0069218874</x:v>
      </x:c>
      <x:c r="S379" s="16">
        <x:f t="shared" si="79"/>
        <x:v>0</x:v>
      </x:c>
    </x:row>
    <x:row r="380" spans="1:19" outlineLevel="2">
      <x:c r="A380" s="12" t="s">
        <x:v>119</x:v>
      </x:c>
      <x:c r="B380" s="7" t="s">
        <x:v>52</x:v>
      </x:c>
      <x:c r="C380" s="6">
        <x:v>4872726.3600000003</x:v>
      </x:c>
      <x:c r="F380" s="6">
        <x:v>4872726.3600000003</x:v>
      </x:c>
      <x:c r="G380" s="1">
        <x:f t="shared" si="73"/>
        <x:v>0</x:v>
      </x:c>
      <x:c r="J380" s="3">
        <x:v>72</x:v>
      </x:c>
      <x:c r="K380" s="3">
        <x:v>22.102965000000001</x:v>
      </x:c>
      <x:c r="L380" s="4">
        <x:v>-0.4</x:v>
      </x:c>
      <x:c r="M380" s="3">
        <x:f t="shared" si="74"/>
        <x:v>4727617.1780899949</x:v>
      </x:c>
      <x:c r="N380" s="3">
        <x:v>1.2861612305362093</x:v>
      </x:c>
      <x:c r="O380" s="3">
        <x:f t="shared" si="75"/>
        <x:v>6080477.9272763496</x:v>
      </x:c>
      <x:c r="P380" s="16">
        <x:f t="shared" si="76"/>
        <x:v>0</x:v>
      </x:c>
      <x:c r="Q380" s="16">
        <x:f t="shared" si="77"/>
        <x:v>0</x:v>
      </x:c>
      <x:c r="R380" s="16">
        <x:f t="shared" si="78"/>
        <x:v>6080477.9272763496</x:v>
      </x:c>
      <x:c r="S380" s="16">
        <x:f t="shared" si="79"/>
        <x:v>0</x:v>
      </x:c>
    </x:row>
    <x:row r="381" spans="1:19" outlineLevel="2">
      <x:c r="A381" s="12" t="s">
        <x:v>119</x:v>
      </x:c>
      <x:c r="B381" s="7" t="s">
        <x:v>51</x:v>
      </x:c>
      <x:c r="C381" s="6">
        <x:v>2374180.6899999995</x:v>
      </x:c>
      <x:c r="F381" s="6">
        <x:v>2374180.6899999995</x:v>
      </x:c>
      <x:c r="G381" s="1">
        <x:f t="shared" si="73"/>
        <x:v>0</x:v>
      </x:c>
      <x:c r="J381" s="3">
        <x:v>72</x:v>
      </x:c>
      <x:c r="K381" s="3">
        <x:v>21.538556</x:v>
      </x:c>
      <x:c r="L381" s="4">
        <x:v>-0.4</x:v>
      </x:c>
      <x:c r="M381" s="3">
        <x:f t="shared" si="74"/>
        <x:v>2329533.615389484</x:v>
      </x:c>
      <x:c r="N381" s="3">
        <x:v>1.2861612305362093</x:v>
      </x:c>
      <x:c r="O381" s="3">
        <x:f t="shared" si="75"/>
        <x:v>2996155.8213448036</x:v>
      </x:c>
      <x:c r="P381" s="16">
        <x:f t="shared" si="76"/>
        <x:v>0</x:v>
      </x:c>
      <x:c r="Q381" s="16">
        <x:f t="shared" si="77"/>
        <x:v>0</x:v>
      </x:c>
      <x:c r="R381" s="16">
        <x:f t="shared" si="78"/>
        <x:v>2996155.8213448036</x:v>
      </x:c>
      <x:c r="S381" s="16">
        <x:f t="shared" si="79"/>
        <x:v>0</x:v>
      </x:c>
    </x:row>
    <x:row r="382" spans="1:19" outlineLevel="2">
      <x:c r="A382" s="12" t="s">
        <x:v>119</x:v>
      </x:c>
      <x:c r="B382" s="7" t="s">
        <x:v>50</x:v>
      </x:c>
      <x:c r="C382" s="6">
        <x:v>396497.74000000005</x:v>
      </x:c>
      <x:c r="F382" s="6">
        <x:v>396497.74000000005</x:v>
      </x:c>
      <x:c r="G382" s="1">
        <x:f t="shared" si="73"/>
        <x:v>0</x:v>
      </x:c>
      <x:c r="J382" s="3">
        <x:v>72</x:v>
      </x:c>
      <x:c r="K382" s="3">
        <x:v>20.985537000000001</x:v>
      </x:c>
      <x:c r="L382" s="4">
        <x:v>-0.4</x:v>
      </x:c>
      <x:c r="M382" s="3">
        <x:f t="shared" ref="M382:M407" si="80">+C382*(1-K382/J382)*(1-L382)</x:f>
        <x:v>393305.09724359814</x:v>
      </x:c>
      <x:c r="N382" s="3">
        <x:v>1.2861612305362093</x:v>
      </x:c>
      <x:c r="O382" s="3">
        <x:f t="shared" ref="O382:O407" si="81">IF((C382*(1-L382)-M382*N382)&lt;0,C382*(1-L382),M382*N382)</x:f>
        <x:v>505853.76784698968</x:v>
      </x:c>
      <x:c r="P382" s="16">
        <x:f t="shared" ref="P382:P405" si="82">+D382/$C382*$O382</x:f>
        <x:v>0</x:v>
      </x:c>
      <x:c r="Q382" s="16">
        <x:f t="shared" ref="Q382:Q405" si="83">+E382/$C382*$O382</x:f>
        <x:v>0</x:v>
      </x:c>
      <x:c r="R382" s="16">
        <x:f t="shared" ref="R382:R405" si="84">+F382/$C382*$O382</x:f>
        <x:v>505853.76784698968</x:v>
      </x:c>
      <x:c r="S382" s="16">
        <x:f t="shared" si="79"/>
        <x:v>0</x:v>
      </x:c>
    </x:row>
    <x:row r="383" spans="1:19" outlineLevel="2">
      <x:c r="A383" s="12" t="s">
        <x:v>119</x:v>
      </x:c>
      <x:c r="B383" s="7" t="s">
        <x:v>49</x:v>
      </x:c>
      <x:c r="C383" s="6">
        <x:v>93594.569999999978</x:v>
      </x:c>
      <x:c r="F383" s="6">
        <x:v>93594.569999999978</x:v>
      </x:c>
      <x:c r="G383" s="1">
        <x:f t="shared" si="73"/>
        <x:v>0</x:v>
      </x:c>
      <x:c r="J383" s="3">
        <x:v>72</x:v>
      </x:c>
      <x:c r="K383" s="3">
        <x:v>20.442753</x:v>
      </x:c>
      <x:c r="L383" s="4">
        <x:v>-0.4</x:v>
      </x:c>
      <x:c r="M383" s="3">
        <x:f t="shared" si="80"/>
        <x:v>93828.745954004218</x:v>
      </x:c>
      <x:c r="N383" s="3">
        <x:v>1.2861612305362093</x:v>
      </x:c>
      <x:c r="O383" s="3">
        <x:f t="shared" si="81"/>
        <x:v>120678.89535587144</x:v>
      </x:c>
      <x:c r="P383" s="16">
        <x:f t="shared" si="82"/>
        <x:v>0</x:v>
      </x:c>
      <x:c r="Q383" s="16">
        <x:f t="shared" si="83"/>
        <x:v>0</x:v>
      </x:c>
      <x:c r="R383" s="16">
        <x:f t="shared" si="84"/>
        <x:v>120678.89535587144</x:v>
      </x:c>
      <x:c r="S383" s="16">
        <x:f t="shared" si="79"/>
        <x:v>0</x:v>
      </x:c>
    </x:row>
    <x:row r="384" spans="1:19" outlineLevel="2">
      <x:c r="A384" s="12" t="s">
        <x:v>119</x:v>
      </x:c>
      <x:c r="B384" s="7" t="s">
        <x:v>48</x:v>
      </x:c>
      <x:c r="C384" s="6">
        <x:v>207317.02</x:v>
      </x:c>
      <x:c r="F384" s="6">
        <x:v>207317.02</x:v>
      </x:c>
      <x:c r="G384" s="1">
        <x:f t="shared" si="73"/>
        <x:v>0</x:v>
      </x:c>
      <x:c r="J384" s="3">
        <x:v>72</x:v>
      </x:c>
      <x:c r="K384" s="3">
        <x:v>19.912872</x:v>
      </x:c>
      <x:c r="L384" s="4">
        <x:v>-0.4</x:v>
      </x:c>
      <x:c r="M384" s="3">
        <x:f t="shared" si="80"/>
        <x:v>209971.76972563867</x:v>
      </x:c>
      <x:c r="N384" s="3">
        <x:v>1.2861612305362093</x:v>
      </x:c>
      <x:c r="O384" s="3">
        <x:f t="shared" si="81"/>
        <x:v>270057.54972819303</x:v>
      </x:c>
      <x:c r="P384" s="16">
        <x:f t="shared" si="82"/>
        <x:v>0</x:v>
      </x:c>
      <x:c r="Q384" s="16">
        <x:f t="shared" si="83"/>
        <x:v>0</x:v>
      </x:c>
      <x:c r="R384" s="16">
        <x:f t="shared" si="84"/>
        <x:v>270057.54972819303</x:v>
      </x:c>
      <x:c r="S384" s="16">
        <x:f t="shared" si="79"/>
        <x:v>0</x:v>
      </x:c>
    </x:row>
    <x:row r="385" spans="1:19" outlineLevel="2">
      <x:c r="A385" s="12" t="s">
        <x:v>119</x:v>
      </x:c>
      <x:c r="B385" s="7" t="s">
        <x:v>47</x:v>
      </x:c>
      <x:c r="C385" s="6">
        <x:v>374676.92999999993</x:v>
      </x:c>
      <x:c r="F385" s="6">
        <x:v>374676.92999999993</x:v>
      </x:c>
      <x:c r="G385" s="1">
        <x:f t="shared" si="73"/>
        <x:v>0</x:v>
      </x:c>
      <x:c r="J385" s="3">
        <x:v>72</x:v>
      </x:c>
      <x:c r="K385" s="3">
        <x:v>19.393819000000001</x:v>
      </x:c>
      <x:c r="L385" s="4">
        <x:v>-0.4</x:v>
      </x:c>
      <x:c r="M385" s="3">
        <x:f t="shared" si="80"/>
        <x:v>383256.26881313964</x:v>
      </x:c>
      <x:c r="N385" s="3">
        <x:v>1.2861612305362093</x:v>
      </x:c>
      <x:c r="O385" s="3">
        <x:f t="shared" si="81"/>
        <x:v>492929.35430742393</x:v>
      </x:c>
      <x:c r="P385" s="16">
        <x:f t="shared" si="82"/>
        <x:v>0</x:v>
      </x:c>
      <x:c r="Q385" s="16">
        <x:f t="shared" si="83"/>
        <x:v>0</x:v>
      </x:c>
      <x:c r="R385" s="16">
        <x:f t="shared" si="84"/>
        <x:v>492929.35430742393</x:v>
      </x:c>
      <x:c r="S385" s="16">
        <x:f t="shared" si="79"/>
        <x:v>0</x:v>
      </x:c>
    </x:row>
    <x:row r="386" spans="1:19" outlineLevel="2">
      <x:c r="A386" s="12" t="s">
        <x:v>119</x:v>
      </x:c>
      <x:c r="B386" s="7" t="s">
        <x:v>46</x:v>
      </x:c>
      <x:c r="C386" s="6">
        <x:v>412890.96</x:v>
      </x:c>
      <x:c r="F386" s="6">
        <x:v>412890.96</x:v>
      </x:c>
      <x:c r="G386" s="1">
        <x:f t="shared" si="73"/>
        <x:v>0</x:v>
      </x:c>
      <x:c r="J386" s="3">
        <x:v>72</x:v>
      </x:c>
      <x:c r="K386" s="3">
        <x:v>18.886482000000001</x:v>
      </x:c>
      <x:c r="L386" s="4">
        <x:v>-0.4</x:v>
      </x:c>
      <x:c r="M386" s="3">
        <x:f t="shared" si="80"/>
        <x:v>426418.44458883599</x:v>
      </x:c>
      <x:c r="N386" s="3">
        <x:v>1.2861612305362093</x:v>
      </x:c>
      <x:c r="O386" s="3">
        <x:f t="shared" si="81"/>
        <x:v>548442.87141571369</x:v>
      </x:c>
      <x:c r="P386" s="16">
        <x:f t="shared" si="82"/>
        <x:v>0</x:v>
      </x:c>
      <x:c r="Q386" s="16">
        <x:f t="shared" si="83"/>
        <x:v>0</x:v>
      </x:c>
      <x:c r="R386" s="16">
        <x:f t="shared" si="84"/>
        <x:v>548442.87141571369</x:v>
      </x:c>
      <x:c r="S386" s="16">
        <x:f t="shared" si="79"/>
        <x:v>0</x:v>
      </x:c>
    </x:row>
    <x:row r="387" spans="1:19" outlineLevel="2">
      <x:c r="A387" s="12" t="s">
        <x:v>119</x:v>
      </x:c>
      <x:c r="B387" s="7" t="s">
        <x:v>45</x:v>
      </x:c>
      <x:c r="C387" s="6">
        <x:v>331633.25999999995</x:v>
      </x:c>
      <x:c r="F387" s="6">
        <x:v>331633.25999999995</x:v>
      </x:c>
      <x:c r="G387" s="1">
        <x:f t="shared" ref="G387:G400" si="85">+C387-D387-E387-F387</x:f>
        <x:v>0</x:v>
      </x:c>
      <x:c r="J387" s="3">
        <x:v>72</x:v>
      </x:c>
      <x:c r="K387" s="3">
        <x:v>18.391687999999998</x:v>
      </x:c>
      <x:c r="L387" s="4">
        <x:v>-0.4</x:v>
      </x:c>
      <x:c r="M387" s="3">
        <x:f t="shared" si="80"/>
        <x:v>345689.15250444395</x:v>
      </x:c>
      <x:c r="N387" s="3">
        <x:v>1.2861612305362093</x:v>
      </x:c>
      <x:c r="O387" s="3">
        <x:f t="shared" si="81"/>
        <x:v>444611.98576813494</x:v>
      </x:c>
      <x:c r="P387" s="16">
        <x:f t="shared" si="82"/>
        <x:v>0</x:v>
      </x:c>
      <x:c r="Q387" s="16">
        <x:f t="shared" si="83"/>
        <x:v>0</x:v>
      </x:c>
      <x:c r="R387" s="16">
        <x:f t="shared" si="84"/>
        <x:v>444611.98576813494</x:v>
      </x:c>
      <x:c r="S387" s="16">
        <x:f t="shared" si="79"/>
        <x:v>0</x:v>
      </x:c>
    </x:row>
    <x:row r="388" spans="1:19" outlineLevel="2">
      <x:c r="A388" s="12" t="s">
        <x:v>119</x:v>
      </x:c>
      <x:c r="B388" s="7" t="s">
        <x:v>44</x:v>
      </x:c>
      <x:c r="C388" s="6">
        <x:v>729902.32</x:v>
      </x:c>
      <x:c r="F388" s="6">
        <x:v>729902.32</x:v>
      </x:c>
      <x:c r="G388" s="1">
        <x:f t="shared" si="85"/>
        <x:v>0</x:v>
      </x:c>
      <x:c r="J388" s="3">
        <x:v>72</x:v>
      </x:c>
      <x:c r="K388" s="3">
        <x:v>17.908034000000001</x:v>
      </x:c>
      <x:c r="L388" s="4">
        <x:v>-0.4</x:v>
      </x:c>
      <x:c r="M388" s="3">
        <x:f t="shared" si="80"/>
        <x:v>767702.66760368831</x:v>
      </x:c>
      <x:c r="N388" s="3">
        <x:v>1.2861612305362093</x:v>
      </x:c>
      <x:c r="O388" s="3">
        <x:f t="shared" si="81"/>
        <x:v>987389.4076510903</x:v>
      </x:c>
      <x:c r="P388" s="16">
        <x:f t="shared" si="82"/>
        <x:v>0</x:v>
      </x:c>
      <x:c r="Q388" s="16">
        <x:f t="shared" si="83"/>
        <x:v>0</x:v>
      </x:c>
      <x:c r="R388" s="16">
        <x:f t="shared" si="84"/>
        <x:v>987389.4076510903</x:v>
      </x:c>
      <x:c r="S388" s="16">
        <x:f t="shared" si="79"/>
        <x:v>0</x:v>
      </x:c>
    </x:row>
    <x:row r="389" spans="1:19" outlineLevel="2">
      <x:c r="A389" s="12" t="s">
        <x:v>119</x:v>
      </x:c>
      <x:c r="B389" s="7" t="s">
        <x:v>43</x:v>
      </x:c>
      <x:c r="C389" s="6">
        <x:v>94424.13</x:v>
      </x:c>
      <x:c r="F389" s="6">
        <x:v>94424.13</x:v>
      </x:c>
      <x:c r="G389" s="1">
        <x:f t="shared" si="85"/>
        <x:v>0</x:v>
      </x:c>
      <x:c r="J389" s="3">
        <x:v>72</x:v>
      </x:c>
      <x:c r="K389" s="3">
        <x:v>17.437335000000001</x:v>
      </x:c>
      <x:c r="L389" s="4">
        <x:v>-0.4</x:v>
      </x:c>
      <x:c r="M389" s="3">
        <x:f t="shared" si="80"/>
        <x:v>100178.40336595876</x:v>
      </x:c>
      <x:c r="N389" s="3">
        <x:v>1.2861612305362093</x:v>
      </x:c>
      <x:c r="O389" s="3">
        <x:f t="shared" si="81"/>
        <x:v>128845.57854631425</x:v>
      </x:c>
      <x:c r="P389" s="16">
        <x:f t="shared" si="82"/>
        <x:v>0</x:v>
      </x:c>
      <x:c r="Q389" s="16">
        <x:f t="shared" si="83"/>
        <x:v>0</x:v>
      </x:c>
      <x:c r="R389" s="16">
        <x:f t="shared" si="84"/>
        <x:v>128845.57854631425</x:v>
      </x:c>
      <x:c r="S389" s="16">
        <x:f t="shared" si="79"/>
        <x:v>0</x:v>
      </x:c>
    </x:row>
    <x:row r="390" spans="1:19" outlineLevel="2">
      <x:c r="A390" s="12" t="s">
        <x:v>119</x:v>
      </x:c>
      <x:c r="B390" s="7" t="s">
        <x:v>42</x:v>
      </x:c>
      <x:c r="C390" s="6">
        <x:v>266138.18</x:v>
      </x:c>
      <x:c r="F390" s="6">
        <x:v>266138.18</x:v>
      </x:c>
      <x:c r="G390" s="1">
        <x:f t="shared" si="85"/>
        <x:v>0</x:v>
      </x:c>
      <x:c r="J390" s="3">
        <x:v>72</x:v>
      </x:c>
      <x:c r="K390" s="3">
        <x:v>16.978434</x:v>
      </x:c>
      <x:c r="L390" s="4">
        <x:v>-0.4</x:v>
      </x:c>
      <x:c r="M390" s="3">
        <x:f t="shared" si="80"/>
        <x:v>284731.60014424764</x:v>
      </x:c>
      <x:c r="N390" s="3">
        <x:v>1.2861612305362093</x:v>
      </x:c>
      <x:c r="O390" s="3">
        <x:f t="shared" si="81"/>
        <x:v>366210.74521406949</x:v>
      </x:c>
      <x:c r="P390" s="16">
        <x:f t="shared" si="82"/>
        <x:v>0</x:v>
      </x:c>
      <x:c r="Q390" s="16">
        <x:f t="shared" si="83"/>
        <x:v>0</x:v>
      </x:c>
      <x:c r="R390" s="16">
        <x:f t="shared" si="84"/>
        <x:v>366210.74521406949</x:v>
      </x:c>
      <x:c r="S390" s="16">
        <x:f t="shared" si="79"/>
        <x:v>0</x:v>
      </x:c>
    </x:row>
    <x:row r="391" spans="1:19" outlineLevel="2">
      <x:c r="A391" s="12" t="s">
        <x:v>119</x:v>
      </x:c>
      <x:c r="B391" s="7" t="s">
        <x:v>41</x:v>
      </x:c>
      <x:c r="C391" s="6">
        <x:v>1916.03</x:v>
      </x:c>
      <x:c r="F391" s="6">
        <x:v>1916.03</x:v>
      </x:c>
      <x:c r="G391" s="1">
        <x:f t="shared" si="85"/>
        <x:v>0</x:v>
      </x:c>
      <x:c r="J391" s="3">
        <x:v>72</x:v>
      </x:c>
      <x:c r="K391" s="3">
        <x:v>16.531379000000001</x:v>
      </x:c>
      <x:c r="L391" s="4">
        <x:v>-0.4</x:v>
      </x:c>
      <x:c r="M391" s="3">
        <x:f t="shared" si="80"/>
        <x:v>2066.5466479511388</x:v>
      </x:c>
      <x:c r="N391" s="3">
        <x:v>1.2861612305362093</x:v>
      </x:c>
      <x:c r="O391" s="3">
        <x:f t="shared" si="81"/>
        <x:v>2657.9121796893151</x:v>
      </x:c>
      <x:c r="P391" s="16">
        <x:f t="shared" si="82"/>
        <x:v>0</x:v>
      </x:c>
      <x:c r="Q391" s="16">
        <x:f t="shared" si="83"/>
        <x:v>0</x:v>
      </x:c>
      <x:c r="R391" s="16">
        <x:f t="shared" si="84"/>
        <x:v>2657.9121796893151</x:v>
      </x:c>
      <x:c r="S391" s="16">
        <x:f t="shared" si="79"/>
        <x:v>0</x:v>
      </x:c>
    </x:row>
    <x:row r="392" spans="1:19" outlineLevel="2">
      <x:c r="A392" s="12" t="s">
        <x:v>119</x:v>
      </x:c>
      <x:c r="B392" s="7" t="s">
        <x:v>40</x:v>
      </x:c>
      <x:c r="C392" s="6">
        <x:v>56679.460000000006</x:v>
      </x:c>
      <x:c r="F392" s="6">
        <x:v>56679.460000000006</x:v>
      </x:c>
      <x:c r="G392" s="1">
        <x:f t="shared" si="85"/>
        <x:v>0</x:v>
      </x:c>
      <x:c r="J392" s="3">
        <x:v>72</x:v>
      </x:c>
      <x:c r="K392" s="3">
        <x:v>16.097117000000001</x:v>
      </x:c>
      <x:c r="L392" s="4">
        <x:v>-0.4</x:v>
      </x:c>
      <x:c r="M392" s="3">
        <x:f t="shared" si="80"/>
        <x:v>61610.601517172945</x:v>
      </x:c>
      <x:c r="N392" s="3">
        <x:v>1.2861612305362093</x:v>
      </x:c>
      <x:c r="O392" s="3">
        <x:f t="shared" si="81"/>
        <x:v>79241.167061403205</x:v>
      </x:c>
      <x:c r="P392" s="16">
        <x:f t="shared" si="82"/>
        <x:v>0</x:v>
      </x:c>
      <x:c r="Q392" s="16">
        <x:f t="shared" si="83"/>
        <x:v>0</x:v>
      </x:c>
      <x:c r="R392" s="16">
        <x:f t="shared" si="84"/>
        <x:v>79241.167061403205</x:v>
      </x:c>
      <x:c r="S392" s="16">
        <x:f t="shared" si="79"/>
        <x:v>0</x:v>
      </x:c>
    </x:row>
    <x:row r="393" spans="1:19" outlineLevel="2">
      <x:c r="A393" s="12" t="s">
        <x:v>119</x:v>
      </x:c>
      <x:c r="B393" s="7" t="s">
        <x:v>39</x:v>
      </x:c>
      <x:c r="C393" s="6">
        <x:v>43733.3</x:v>
      </x:c>
      <x:c r="F393" s="6">
        <x:v>43733.3</x:v>
      </x:c>
      <x:c r="G393" s="1">
        <x:f t="shared" si="85"/>
        <x:v>0</x:v>
      </x:c>
      <x:c r="J393" s="3">
        <x:v>72</x:v>
      </x:c>
      <x:c r="K393" s="3">
        <x:v>15.674384</x:v>
      </x:c>
      <x:c r="L393" s="4">
        <x:v>-0.4</x:v>
      </x:c>
      <x:c r="M393" s="3">
        <x:f t="shared" si="80"/>
        <x:v>47897.598431915547</x:v>
      </x:c>
      <x:c r="N393" s="3">
        <x:v>1.2861612305362093</x:v>
      </x:c>
      <x:c r="O393" s="3">
        <x:f t="shared" si="81"/>
        <x:v>61226.62</x:v>
      </x:c>
      <x:c r="P393" s="16">
        <x:f t="shared" si="82"/>
        <x:v>0</x:v>
      </x:c>
      <x:c r="Q393" s="16">
        <x:f t="shared" si="83"/>
        <x:v>0</x:v>
      </x:c>
      <x:c r="R393" s="16">
        <x:f t="shared" si="84"/>
        <x:v>61226.62</x:v>
      </x:c>
      <x:c r="S393" s="16">
        <x:f t="shared" si="79"/>
        <x:v>0</x:v>
      </x:c>
    </x:row>
    <x:row r="394" spans="1:19" outlineLevel="2">
      <x:c r="A394" s="12" t="s">
        <x:v>119</x:v>
      </x:c>
      <x:c r="B394" s="7" t="s">
        <x:v>38</x:v>
      </x:c>
      <x:c r="C394" s="6">
        <x:v>3486.18</x:v>
      </x:c>
      <x:c r="F394" s="6">
        <x:v>3486.18</x:v>
      </x:c>
      <x:c r="G394" s="1">
        <x:f t="shared" si="85"/>
        <x:v>0</x:v>
      </x:c>
      <x:c r="J394" s="3">
        <x:v>72</x:v>
      </x:c>
      <x:c r="K394" s="3">
        <x:v>15.263922000000001</x:v>
      </x:c>
      <x:c r="L394" s="4">
        <x:v>-0.4</x:v>
      </x:c>
      <x:c r="M394" s="3">
        <x:f t="shared" si="80"/>
        <x:v>3845.959063372999</x:v>
      </x:c>
      <x:c r="N394" s="3">
        <x:v>1.2861612305362093</x:v>
      </x:c>
      <x:c r="O394" s="3">
        <x:f t="shared" si="81"/>
        <x:v>4880.6519999999991</x:v>
      </x:c>
      <x:c r="P394" s="16">
        <x:f t="shared" si="82"/>
        <x:v>0</x:v>
      </x:c>
      <x:c r="Q394" s="16">
        <x:f t="shared" si="83"/>
        <x:v>0</x:v>
      </x:c>
      <x:c r="R394" s="16">
        <x:f t="shared" si="84"/>
        <x:v>4880.6519999999991</x:v>
      </x:c>
      <x:c r="S394" s="16">
        <x:f t="shared" si="79"/>
        <x:v>0</x:v>
      </x:c>
    </x:row>
    <x:row r="395" spans="1:19" outlineLevel="2">
      <x:c r="A395" s="12" t="s">
        <x:v>119</x:v>
      </x:c>
      <x:c r="B395" s="7" t="s">
        <x:v>37</x:v>
      </x:c>
      <x:c r="C395" s="6">
        <x:v>2791.1600000000003</x:v>
      </x:c>
      <x:c r="F395" s="6">
        <x:v>2791.1600000000003</x:v>
      </x:c>
      <x:c r="G395" s="1">
        <x:f t="shared" si="85"/>
        <x:v>0</x:v>
      </x:c>
      <x:c r="J395" s="3">
        <x:v>72</x:v>
      </x:c>
      <x:c r="K395" s="3">
        <x:v>14.865277000000001</x:v>
      </x:c>
      <x:c r="L395" s="4">
        <x:v>-0.4</x:v>
      </x:c>
      <x:c r="M395" s="3">
        <x:f t="shared" si="80"/>
        <x:v>3100.8474281687782</x:v>
      </x:c>
      <x:c r="N395" s="3">
        <x:v>1.2861612305362093</x:v>
      </x:c>
      <x:c r="O395" s="3">
        <x:f t="shared" si="81"/>
        <x:v>3907.6240000000003</x:v>
      </x:c>
      <x:c r="P395" s="16">
        <x:f t="shared" si="82"/>
        <x:v>0</x:v>
      </x:c>
      <x:c r="Q395" s="16">
        <x:f t="shared" si="83"/>
        <x:v>0</x:v>
      </x:c>
      <x:c r="R395" s="16">
        <x:f t="shared" si="84"/>
        <x:v>3907.6240000000003</x:v>
      </x:c>
      <x:c r="S395" s="16">
        <x:f t="shared" si="79"/>
        <x:v>0</x:v>
      </x:c>
    </x:row>
    <x:row r="396" spans="1:19" outlineLevel="2">
      <x:c r="A396" s="12" t="s">
        <x:v>119</x:v>
      </x:c>
      <x:c r="B396" s="7" t="s">
        <x:v>32</x:v>
      </x:c>
      <x:c r="C396" s="6">
        <x:v>30655.9</x:v>
      </x:c>
      <x:c r="F396" s="6">
        <x:v>30655.9</x:v>
      </x:c>
      <x:c r="G396" s="1">
        <x:f t="shared" si="85"/>
        <x:v>0</x:v>
      </x:c>
      <x:c r="J396" s="3">
        <x:v>72</x:v>
      </x:c>
      <x:c r="K396" s="3">
        <x:v>13.041881</x:v>
      </x:c>
      <x:c r="L396" s="4">
        <x:v>-0.4</x:v>
      </x:c>
      <x:c r="M396" s="3">
        <x:f t="shared" si="80"/>
        <x:v>35144.165004901944</x:v>
      </x:c>
      <x:c r="N396" s="3">
        <x:v>1.2861612305362093</x:v>
      </x:c>
      <x:c r="O396" s="3">
        <x:f t="shared" si="81"/>
        <x:v>42918.26</x:v>
      </x:c>
      <x:c r="P396" s="16">
        <x:f t="shared" si="82"/>
        <x:v>0</x:v>
      </x:c>
      <x:c r="Q396" s="16">
        <x:f t="shared" si="83"/>
        <x:v>0</x:v>
      </x:c>
      <x:c r="R396" s="16">
        <x:f t="shared" si="84"/>
        <x:v>42918.26</x:v>
      </x:c>
      <x:c r="S396" s="16">
        <x:f t="shared" si="79"/>
        <x:v>0</x:v>
      </x:c>
    </x:row>
    <x:row r="397" spans="1:19" outlineLevel="2">
      <x:c r="A397" s="12" t="s">
        <x:v>119</x:v>
      </x:c>
      <x:c r="B397" s="7" t="s">
        <x:v>31</x:v>
      </x:c>
      <x:c r="C397" s="6">
        <x:v>219562.52000000002</x:v>
      </x:c>
      <x:c r="F397" s="6">
        <x:v>219562.52000000002</x:v>
      </x:c>
      <x:c r="G397" s="1">
        <x:f t="shared" si="85"/>
        <x:v>0</x:v>
      </x:c>
      <x:c r="J397" s="3">
        <x:v>70</x:v>
      </x:c>
      <x:c r="K397" s="3">
        <x:v>14.789628</x:v>
      </x:c>
      <x:c r="L397" s="4">
        <x:v>-0.4</x:v>
      </x:c>
      <x:c r="M397" s="3">
        <x:f t="shared" si="80"/>
        <x:v>242442.56812914877</x:v>
      </x:c>
      <x:c r="N397" s="3">
        <x:v>1.2861612305362093</x:v>
      </x:c>
      <x:c r="O397" s="3">
        <x:f t="shared" si="81"/>
        <x:v>307387.52799999999</x:v>
      </x:c>
      <x:c r="P397" s="16">
        <x:f t="shared" si="82"/>
        <x:v>0</x:v>
      </x:c>
      <x:c r="Q397" s="16">
        <x:f t="shared" si="83"/>
        <x:v>0</x:v>
      </x:c>
      <x:c r="R397" s="16">
        <x:f t="shared" si="84"/>
        <x:v>307387.52799999999</x:v>
      </x:c>
      <x:c r="S397" s="16">
        <x:f t="shared" si="79"/>
        <x:v>0</x:v>
      </x:c>
    </x:row>
    <x:row r="398" spans="1:19" outlineLevel="2">
      <x:c r="A398" s="12" t="s">
        <x:v>119</x:v>
      </x:c>
      <x:c r="B398" s="7" t="s">
        <x:v>29</x:v>
      </x:c>
      <x:c r="C398" s="6">
        <x:v>91041.750000000015</x:v>
      </x:c>
      <x:c r="F398" s="6">
        <x:v>91041.750000000015</x:v>
      </x:c>
      <x:c r="G398" s="1">
        <x:f t="shared" si="85"/>
        <x:v>0</x:v>
      </x:c>
      <x:c r="J398" s="3">
        <x:v>70</x:v>
      </x:c>
      <x:c r="K398" s="3">
        <x:v>12.92164</x:v>
      </x:c>
      <x:c r="L398" s="4">
        <x:v>-0.4</x:v>
      </x:c>
      <x:c r="M398" s="3">
        <x:f t="shared" si="80"/>
        <x:v>103930.27563060001</x:v>
      </x:c>
      <x:c r="N398" s="3">
        <x:v>1.2861612305362093</x:v>
      </x:c>
      <x:c r="O398" s="3">
        <x:f t="shared" si="81"/>
        <x:v>127458.45000000001</x:v>
      </x:c>
      <x:c r="P398" s="16">
        <x:f t="shared" si="82"/>
        <x:v>0</x:v>
      </x:c>
      <x:c r="Q398" s="16">
        <x:f t="shared" si="83"/>
        <x:v>0</x:v>
      </x:c>
      <x:c r="R398" s="16">
        <x:f t="shared" si="84"/>
        <x:v>127458.45000000001</x:v>
      </x:c>
      <x:c r="S398" s="16">
        <x:f t="shared" si="79"/>
        <x:v>0</x:v>
      </x:c>
    </x:row>
    <x:row r="399" spans="1:19" outlineLevel="2">
      <x:c r="A399" s="12" t="s">
        <x:v>119</x:v>
      </x:c>
      <x:c r="B399" s="7" t="s">
        <x:v>24</x:v>
      </x:c>
      <x:c r="C399" s="6">
        <x:v>2161.6799999999998</x:v>
      </x:c>
      <x:c r="F399" s="6">
        <x:v>2161.6799999999998</x:v>
      </x:c>
      <x:c r="G399" s="1">
        <x:f t="shared" si="85"/>
        <x:v>0</x:v>
      </x:c>
      <x:c r="J399" s="3">
        <x:v>72</x:v>
      </x:c>
      <x:c r="K399" s="3">
        <x:v>10.094899</x:v>
      </x:c>
      <x:c r="L399" s="4">
        <x:v>-0.4</x:v>
      </x:c>
      <x:c r="M399" s="3">
        <x:f t="shared" si="80"/>
        <x:v>2602.0364752993328</x:v>
      </x:c>
      <x:c r="N399" s="3">
        <x:v>1.2861612305362093</x:v>
      </x:c>
      <x:c r="O399" s="3">
        <x:f t="shared" si="81"/>
        <x:v>3026.3519999999994</x:v>
      </x:c>
      <x:c r="P399" s="16">
        <x:f t="shared" si="82"/>
        <x:v>0</x:v>
      </x:c>
      <x:c r="Q399" s="16">
        <x:f t="shared" si="83"/>
        <x:v>0</x:v>
      </x:c>
      <x:c r="R399" s="16">
        <x:f t="shared" si="84"/>
        <x:v>3026.3519999999994</x:v>
      </x:c>
      <x:c r="S399" s="16">
        <x:f t="shared" si="79"/>
        <x:v>0</x:v>
      </x:c>
    </x:row>
    <x:row r="400" spans="1:19" outlineLevel="2">
      <x:c r="A400" s="12" t="s">
        <x:v>119</x:v>
      </x:c>
      <x:c r="B400" s="7" t="s">
        <x:v>23</x:v>
      </x:c>
      <x:c r="C400" s="6">
        <x:v>1528.13</x:v>
      </x:c>
      <x:c r="F400" s="6">
        <x:v>1528.13</x:v>
      </x:c>
      <x:c r="G400" s="1">
        <x:f t="shared" si="85"/>
        <x:v>0</x:v>
      </x:c>
      <x:c r="J400" s="3">
        <x:v>72</x:v>
      </x:c>
      <x:c r="K400" s="3">
        <x:v>9.8380340000000004</x:v>
      </x:c>
      <x:c r="L400" s="4">
        <x:v>-0.4</x:v>
      </x:c>
      <x:c r="M400" s="3">
        <x:f t="shared" si="80"/>
        <x:v>1847.0582103473889</x:v>
      </x:c>
      <x:c r="N400" s="3">
        <x:v>1.2861612305362093</x:v>
      </x:c>
      <x:c r="O400" s="3">
        <x:f t="shared" si="81"/>
        <x:v>2139.3820000000001</x:v>
      </x:c>
      <x:c r="P400" s="16">
        <x:f t="shared" si="82"/>
        <x:v>0</x:v>
      </x:c>
      <x:c r="Q400" s="16">
        <x:f t="shared" si="83"/>
        <x:v>0</x:v>
      </x:c>
      <x:c r="R400" s="16">
        <x:f t="shared" si="84"/>
        <x:v>2139.3820000000001</x:v>
      </x:c>
      <x:c r="S400" s="16">
        <x:f t="shared" si="79"/>
        <x:v>0</x:v>
      </x:c>
    </x:row>
    <x:row r="401" spans="1:19" outlineLevel="2">
      <x:c r="A401" s="12" t="s">
        <x:v>119</x:v>
      </x:c>
      <x:c r="B401" s="7" t="s">
        <x:v>22</x:v>
      </x:c>
      <x:c r="C401" s="6">
        <x:v>-28612.73</x:v>
      </x:c>
      <x:c r="F401" s="6">
        <x:v>-28612.73</x:v>
      </x:c>
      <x:c r="J401" s="3">
        <x:v>72</x:v>
      </x:c>
      <x:c r="K401" s="3">
        <x:v>9.5842430000000007</x:v>
      </x:c>
      <x:c r="L401" s="4">
        <x:v>-0.4</x:v>
      </x:c>
      <x:c r="M401" s="3">
        <x:f t="shared" si="80"/>
        <x:v>-34725.545609739638</x:v>
      </x:c>
      <x:c r="N401" s="3">
        <x:v>1.2861612305362093</x:v>
      </x:c>
      <x:c r="O401" s="3">
        <x:f t="shared" si="81"/>
        <x:v>-44662.650472463996</x:v>
      </x:c>
      <x:c r="P401" s="16">
        <x:f t="shared" si="82"/>
        <x:v>0</x:v>
      </x:c>
      <x:c r="Q401" s="16">
        <x:f t="shared" si="83"/>
        <x:v>0</x:v>
      </x:c>
      <x:c r="R401" s="16">
        <x:f t="shared" si="84"/>
        <x:v>-44662.650472463996</x:v>
      </x:c>
      <x:c r="S401" s="16">
        <x:f t="shared" si="79"/>
        <x:v>0</x:v>
      </x:c>
    </x:row>
    <x:row r="402" spans="1:19" outlineLevel="2">
      <x:c r="A402" s="12" t="s">
        <x:v>119</x:v>
      </x:c>
      <x:c r="B402" s="7" t="s">
        <x:v>21</x:v>
      </x:c>
      <x:c r="C402" s="6">
        <x:v>14254.02</x:v>
      </x:c>
      <x:c r="F402" s="6">
        <x:v>14254.02</x:v>
      </x:c>
      <x:c r="J402" s="3">
        <x:v>72</x:v>
      </x:c>
      <x:c r="K402" s="3">
        <x:v>9.3343880000000006</x:v>
      </x:c>
      <x:c r="L402" s="4">
        <x:v>-0.4</x:v>
      </x:c>
      <x:c r="M402" s="3">
        <x:f t="shared" si="80"/>
        <x:v>17368.495020337999</x:v>
      </x:c>
      <x:c r="N402" s="3">
        <x:v>1.2861612305362093</x:v>
      </x:c>
      <x:c r="O402" s="3">
        <x:f t="shared" si="81"/>
        <x:v>19955.628000000001</x:v>
      </x:c>
      <x:c r="P402" s="16">
        <x:f t="shared" si="82"/>
        <x:v>0</x:v>
      </x:c>
      <x:c r="Q402" s="16">
        <x:f t="shared" si="83"/>
        <x:v>0</x:v>
      </x:c>
      <x:c r="R402" s="16">
        <x:f t="shared" si="84"/>
        <x:v>19955.628000000001</x:v>
      </x:c>
      <x:c r="S402" s="16">
        <x:f t="shared" si="79"/>
        <x:v>0</x:v>
      </x:c>
    </x:row>
    <x:row r="403" spans="1:19" outlineLevel="2">
      <x:c r="A403" s="12" t="s">
        <x:v>119</x:v>
      </x:c>
      <x:c r="B403" s="7" t="s">
        <x:v>18</x:v>
      </x:c>
      <x:c r="C403" s="6">
        <x:v>595.9</x:v>
      </x:c>
      <x:c r="F403" s="6">
        <x:v>595.9</x:v>
      </x:c>
      <x:c r="J403" s="3">
        <x:v>72</x:v>
      </x:c>
      <x:c r="K403" s="3">
        <x:v>8.6078550000000007</x:v>
      </x:c>
      <x:c r="L403" s="4">
        <x:v>-0.4</x:v>
      </x:c>
      <x:c r="M403" s="3">
        <x:f t="shared" si="80"/>
        <x:v>734.52126232916658</x:v>
      </x:c>
      <x:c r="N403" s="3">
        <x:v>1.2861612305362093</x:v>
      </x:c>
      <x:c r="O403" s="3">
        <x:f t="shared" si="81"/>
        <x:v>834.25999999999988</x:v>
      </x:c>
      <x:c r="P403" s="16">
        <x:f t="shared" si="82"/>
        <x:v>0</x:v>
      </x:c>
      <x:c r="Q403" s="16">
        <x:f t="shared" si="83"/>
        <x:v>0</x:v>
      </x:c>
      <x:c r="R403" s="16">
        <x:f t="shared" si="84"/>
        <x:v>834.25999999999988</x:v>
      </x:c>
      <x:c r="S403" s="16">
        <x:f t="shared" si="79"/>
        <x:v>0</x:v>
      </x:c>
    </x:row>
    <x:row r="404" spans="1:19" ht="13.95" customHeight="1" outlineLevel="2">
      <x:c r="A404" s="12" t="s">
        <x:v>119</x:v>
      </x:c>
      <x:c r="B404" s="7" t="s">
        <x:v>16</x:v>
      </x:c>
      <x:c r="C404" s="6">
        <x:v>-6771.66</x:v>
      </x:c>
      <x:c r="F404" s="6">
        <x:v>-6771.66</x:v>
      </x:c>
      <x:c r="G404" s="1">
        <x:f>+C404-D404-E404-F404</x:f>
        <x:v>0</x:v>
      </x:c>
      <x:c r="J404" s="3">
        <x:v>72</x:v>
      </x:c>
      <x:c r="K404" s="3">
        <x:v>8.1359259999999995</x:v>
      </x:c>
      <x:c r="L404" s="4">
        <x:v>-0.4</x:v>
      </x:c>
      <x:c r="M404" s="3">
        <x:f t="shared" si="80"/>
        <x:v>-8409.0571316663318</x:v>
      </x:c>
      <x:c r="N404" s="3">
        <x:v>1.2861612305362093</x:v>
      </x:c>
      <x:c r="O404" s="3">
        <x:f t="shared" si="81"/>
        <x:v>-10815.403268113256</x:v>
      </x:c>
      <x:c r="P404" s="16">
        <x:f t="shared" si="82"/>
        <x:v>0</x:v>
      </x:c>
      <x:c r="Q404" s="16">
        <x:f t="shared" si="83"/>
        <x:v>0</x:v>
      </x:c>
      <x:c r="R404" s="16">
        <x:f t="shared" si="84"/>
        <x:v>-10815.403268113256</x:v>
      </x:c>
      <x:c r="S404" s="16">
        <x:f t="shared" si="79"/>
        <x:v>0</x:v>
      </x:c>
    </x:row>
    <x:row r="405" spans="1:19" outlineLevel="2">
      <x:c r="A405" s="12" t="s">
        <x:v>119</x:v>
      </x:c>
      <x:c r="B405" s="7" t="s">
        <x:v>12</x:v>
      </x:c>
      <x:c r="C405" s="6">
        <x:v>8574.6</x:v>
      </x:c>
      <x:c r="F405" s="6">
        <x:v>8574.6</x:v>
      </x:c>
      <x:c r="G405" s="1">
        <x:f>+C405-D405-E405-F405</x:f>
        <x:v>0</x:v>
      </x:c>
      <x:c r="J405" s="3">
        <x:v>72</x:v>
      </x:c>
      <x:c r="K405" s="3">
        <x:v>7.2229140000000003</x:v>
      </x:c>
      <x:c r="L405" s="4">
        <x:v>-0.4</x:v>
      </x:c>
      <x:c r="M405" s="3">
        <x:f t="shared" si="80"/>
        <x:v>10800.175586970001</x:v>
      </x:c>
      <x:c r="N405" s="3">
        <x:v>1.2861612305362093</x:v>
      </x:c>
      <x:c r="O405" s="3">
        <x:f t="shared" si="81"/>
        <x:v>12004.44</x:v>
      </x:c>
      <x:c r="P405" s="16">
        <x:f t="shared" si="82"/>
        <x:v>0</x:v>
      </x:c>
      <x:c r="Q405" s="16">
        <x:f t="shared" si="83"/>
        <x:v>0</x:v>
      </x:c>
      <x:c r="R405" s="16">
        <x:f t="shared" si="84"/>
        <x:v>12004.44</x:v>
      </x:c>
      <x:c r="S405" s="16">
        <x:f t="shared" si="79"/>
        <x:v>0</x:v>
      </x:c>
    </x:row>
    <x:row r="406" spans="1:19" outlineLevel="2">
      <x:c r="A406" s="12" t="s">
        <x:v>119</x:v>
      </x:c>
      <x:c r="B406" s="7" t="s">
        <x:v>7</x:v>
      </x:c>
      <x:c r="C406" s="6">
        <x:v>402.75</x:v>
      </x:c>
      <x:c r="F406" s="6">
        <x:v>402.75</x:v>
      </x:c>
      <x:c r="J406" s="3">
        <x:v>72</x:v>
      </x:c>
      <x:c r="K406" s="3">
        <x:v>5.8931659999999999</x:v>
      </x:c>
      <x:c r="L406" s="4">
        <x:v>-0.4</x:v>
      </x:c>
      <x:c r="M406" s="3">
        <x:f t="shared" si="80"/>
        <x:v>517.69914376249994</x:v>
      </x:c>
      <x:c r="N406" s="3">
        <x:v>1.2861612305362093</x:v>
      </x:c>
      <x:c r="O406" s="3">
        <x:f t="shared" si="81"/>
        <x:v>563.84999999999991</x:v>
      </x:c>
      <x:c r="P406" s="16"/>
      <x:c r="Q406" s="16"/>
      <x:c r="R406" s="16">
        <x:f>+F406/$C406*$O406</x:f>
        <x:v>563.84999999999991</x:v>
      </x:c>
      <x:c r="S406" s="16"/>
    </x:row>
    <x:row r="407" spans="1:19" outlineLevel="2">
      <x:c r="A407" s="12" t="s">
        <x:v>119</x:v>
      </x:c>
      <x:c r="B407" s="7" t="s">
        <x:v>5</x:v>
      </x:c>
      <x:c r="C407" s="6">
        <x:v>6725.99</x:v>
      </x:c>
      <x:c r="F407" s="6">
        <x:v>6725.99</x:v>
      </x:c>
      <x:c r="J407" s="3">
        <x:v>72</x:v>
      </x:c>
      <x:c r="K407" s="3">
        <x:v>5.44808</x:v>
      </x:c>
      <x:c r="L407" s="4">
        <x:v>-0.4</x:v>
      </x:c>
      <x:c r="M407" s="3">
        <x:f t="shared" si="80"/>
        <x:v>8703.8689966822203</x:v>
      </x:c>
      <x:c r="N407" s="3">
        <x:v>1.2861612305362093</x:v>
      </x:c>
      <x:c r="O407" s="3">
        <x:f t="shared" si="81"/>
        <x:v>9416.3859999999986</x:v>
      </x:c>
      <x:c r="P407" s="16"/>
      <x:c r="Q407" s="16"/>
      <x:c r="R407" s="16">
        <x:f>+F407/$C407*$O407</x:f>
        <x:v>9416.3859999999986</x:v>
      </x:c>
      <x:c r="S407" s="16"/>
    </x:row>
    <x:row r="408" spans="1:19" outlineLevel="1">
      <x:c r="A408" s="5" t="s">
        <x:v>136</x:v>
      </x:c>
      <x:c r="B408" s="7"/>
      <x:c r="C408" s="3">
        <x:f>SUBTOTAL(9,C318:C407)</x:f>
        <x:v>1658634363.7800002</x:v>
      </x:c>
      <x:c r="D408" s="6">
        <x:f>SUBTOTAL(9,D318:D407)</x:f>
        <x:v>0</x:v>
      </x:c>
      <x:c r="E408" s="6">
        <x:f>SUBTOTAL(9,E318:E407)</x:f>
        <x:v>0</x:v>
      </x:c>
      <x:c r="F408" s="3">
        <x:f>SUBTOTAL(9,F318:F407)</x:f>
        <x:v>1658634363.7800002</x:v>
      </x:c>
      <x:c r="G408" s="1">
        <x:f t="shared" ref="G408:G439" si="86">+C408-D408-E408-F408</x:f>
        <x:v>0</x:v>
      </x:c>
      <x:c r="L408" s="18"/>
      <x:c r="M408" s="3">
        <x:f>SUBTOTAL(9,M318:M407)</x:f>
        <x:v>407646017.56456423</x:v>
      </x:c>
      <x:c r="N408" s="3">
        <x:v>1.2861612305362093</x:v>
      </x:c>
      <x:c r="O408" s="3">
        <x:f>SUBTOTAL(9,O318:O407)</x:f>
        <x:v>524278235.03189319</x:v>
      </x:c>
      <x:c r="P408" s="16">
        <x:f>SUBTOTAL(9,P318:P407)</x:f>
        <x:v>0</x:v>
      </x:c>
      <x:c r="Q408" s="16">
        <x:f>SUBTOTAL(9,Q318:Q407)</x:f>
        <x:v>0</x:v>
      </x:c>
      <x:c r="R408" s="16">
        <x:f>SUBTOTAL(9,R318:R407)</x:f>
        <x:v>524278235.03189319</x:v>
      </x:c>
      <x:c r="S408" s="16">
        <x:f t="shared" ref="S408:S471" si="87">+O408-P408-Q408-R408</x:f>
        <x:v>0</x:v>
      </x:c>
    </x:row>
    <x:row r="409" spans="1:19" outlineLevel="2">
      <x:c r="A409" s="12" t="s">
        <x:v>120</x:v>
      </x:c>
      <x:c r="B409" s="7" t="s">
        <x:v>149</x:v>
      </x:c>
      <x:c r="C409" s="6">
        <x:v>583765521.89000034</x:v>
      </x:c>
      <x:c r="F409" s="6">
        <x:v>583765521.89000034</x:v>
      </x:c>
      <x:c r="G409" s="1">
        <x:f t="shared" si="86"/>
        <x:v>0</x:v>
      </x:c>
      <x:c r="J409" s="3">
        <x:v>55</x:v>
      </x:c>
      <x:c r="K409" s="3">
        <x:v>54.587964999999997</x:v>
      </x:c>
      <x:c r="L409" s="4">
        <x:v>-0.75</x:v>
      </x:c>
      <x:c r="M409" s="3">
        <x:f t="shared" ref="M409:M440" si="88">+C409*(1-K409/J409)*(1-L409)</x:f>
        <x:v>7653285.3985620318</x:v>
      </x:c>
      <x:c r="N409" s="3">
        <x:v>1.2347256020540618</x:v>
      </x:c>
      <x:c r="O409" s="3">
        <x:f t="shared" ref="O409:O440" si="89">IF((C409*(1-L409)-M409*N409)&lt;0,C409*(1-L409),M409*N409)</x:f>
        <x:v>9449707.4214310646</x:v>
      </x:c>
      <x:c r="P409" s="16">
        <x:f t="shared" ref="P409:P440" si="90">+D409/$C409*$O409</x:f>
        <x:v>0</x:v>
      </x:c>
      <x:c r="Q409" s="16">
        <x:f t="shared" ref="Q409:Q440" si="91">+E409/$C409*$O409</x:f>
        <x:v>0</x:v>
      </x:c>
      <x:c r="R409" s="16">
        <x:f t="shared" ref="R409:R440" si="92">+F409/$C409*$O409</x:f>
        <x:v>9449707.4214310646</x:v>
      </x:c>
      <x:c r="S409" s="16">
        <x:f t="shared" si="87"/>
        <x:v>0</x:v>
      </x:c>
    </x:row>
    <x:row r="410" spans="1:19" outlineLevel="2">
      <x:c r="A410" s="12" t="s">
        <x:v>120</x:v>
      </x:c>
      <x:c r="B410" s="7" t="s">
        <x:v>150</x:v>
      </x:c>
      <x:c r="C410" s="6">
        <x:v>366292010.39999968</x:v>
      </x:c>
      <x:c r="F410" s="6">
        <x:v>366292010.39999968</x:v>
      </x:c>
      <x:c r="G410" s="1">
        <x:f t="shared" si="86"/>
        <x:v>0</x:v>
      </x:c>
      <x:c r="J410" s="3">
        <x:v>55</x:v>
      </x:c>
      <x:c r="K410" s="3">
        <x:v>53.766975000000002</x:v>
      </x:c>
      <x:c r="L410" s="4">
        <x:v>-0.75</x:v>
      </x:c>
      <x:c r="M410" s="3">
        <x:f t="shared" si="88"/>
        <x:v>14370592.922110025</x:v>
      </x:c>
      <x:c r="N410" s="3">
        <x:v>1.2347256020540618</x:v>
      </x:c>
      <x:c r="O410" s="3">
        <x:f t="shared" si="89"/>
        <x:v>17743738.997626141</x:v>
      </x:c>
      <x:c r="P410" s="16">
        <x:f t="shared" si="90"/>
        <x:v>0</x:v>
      </x:c>
      <x:c r="Q410" s="16">
        <x:f t="shared" si="91"/>
        <x:v>0</x:v>
      </x:c>
      <x:c r="R410" s="16">
        <x:f t="shared" si="92"/>
        <x:v>17743738.997626141</x:v>
      </x:c>
      <x:c r="S410" s="16">
        <x:f t="shared" si="87"/>
        <x:v>0</x:v>
      </x:c>
    </x:row>
    <x:row r="411" spans="1:19" outlineLevel="2">
      <x:c r="A411" s="12" t="s">
        <x:v>120</x:v>
      </x:c>
      <x:c r="B411" s="7" t="s">
        <x:v>151</x:v>
      </x:c>
      <x:c r="C411" s="6">
        <x:v>300624907.96000016</x:v>
      </x:c>
      <x:c r="F411" s="6">
        <x:v>300624907.96000016</x:v>
      </x:c>
      <x:c r="G411" s="1">
        <x:f t="shared" si="86"/>
        <x:v>0</x:v>
      </x:c>
      <x:c r="J411" s="3">
        <x:v>55</x:v>
      </x:c>
      <x:c r="K411" s="3">
        <x:v>52.950091999999998</x:v>
      </x:c>
      <x:c r="L411" s="4">
        <x:v>-0.75</x:v>
      </x:c>
      <x:c r="M411" s="3">
        <x:f t="shared" si="88"/>
        <x:v>19608062.849023979</x:v>
      </x:c>
      <x:c r="N411" s="3">
        <x:v>1.2347256020540618</x:v>
      </x:c>
      <x:c r="O411" s="3">
        <x:f t="shared" si="89"/>
        <x:v>24210577.206375014</x:v>
      </x:c>
      <x:c r="P411" s="16">
        <x:f t="shared" si="90"/>
        <x:v>0</x:v>
      </x:c>
      <x:c r="Q411" s="16">
        <x:f t="shared" si="91"/>
        <x:v>0</x:v>
      </x:c>
      <x:c r="R411" s="16">
        <x:f t="shared" si="92"/>
        <x:v>24210577.206375014</x:v>
      </x:c>
      <x:c r="S411" s="16">
        <x:f t="shared" si="87"/>
        <x:v>0</x:v>
      </x:c>
    </x:row>
    <x:row r="412" spans="1:19" outlineLevel="2">
      <x:c r="A412" s="12" t="s">
        <x:v>120</x:v>
      </x:c>
      <x:c r="B412" s="7" t="s">
        <x:v>111</x:v>
      </x:c>
      <x:c r="C412" s="6">
        <x:v>338052953.82000005</x:v>
      </x:c>
      <x:c r="F412" s="6">
        <x:v>338052953.82000005</x:v>
      </x:c>
      <x:c r="G412" s="1">
        <x:f t="shared" si="86"/>
        <x:v>0</x:v>
      </x:c>
      <x:c r="J412" s="3">
        <x:v>55</x:v>
      </x:c>
      <x:c r="K412" s="3">
        <x:v>52.137321</x:v>
      </x:c>
      <x:c r="L412" s="4">
        <x:v>-0.75</x:v>
      </x:c>
      <x:c r="M412" s="3">
        <x:f t="shared" si="88"/>
        <x:v>30791634.738724481</x:v>
      </x:c>
      <x:c r="N412" s="3">
        <x:v>1.2347256020540618</x:v>
      </x:c>
      <x:c r="O412" s="3">
        <x:f t="shared" si="89"/>
        <x:v>38019219.741000347</x:v>
      </x:c>
      <x:c r="P412" s="16">
        <x:f t="shared" si="90"/>
        <x:v>0</x:v>
      </x:c>
      <x:c r="Q412" s="16">
        <x:f t="shared" si="91"/>
        <x:v>0</x:v>
      </x:c>
      <x:c r="R412" s="16">
        <x:f t="shared" si="92"/>
        <x:v>38019219.741000347</x:v>
      </x:c>
      <x:c r="S412" s="16">
        <x:f t="shared" si="87"/>
        <x:v>0</x:v>
      </x:c>
    </x:row>
    <x:row r="413" spans="1:19" outlineLevel="2">
      <x:c r="A413" s="12" t="s">
        <x:v>120</x:v>
      </x:c>
      <x:c r="B413" s="7" t="s">
        <x:v>110</x:v>
      </x:c>
      <x:c r="C413" s="6">
        <x:v>245429391.08999977</x:v>
      </x:c>
      <x:c r="F413" s="6">
        <x:v>245429391.08999977</x:v>
      </x:c>
      <x:c r="G413" s="1">
        <x:f t="shared" si="86"/>
        <x:v>0</x:v>
      </x:c>
      <x:c r="J413" s="3">
        <x:v>55</x:v>
      </x:c>
      <x:c r="K413" s="3">
        <x:v>51.328674999999997</x:v>
      </x:c>
      <x:c r="L413" s="4">
        <x:v>-0.75</x:v>
      </x:c>
      <x:c r="M413" s="3">
        <x:f t="shared" si="88"/>
        <x:v>28669806.430474814</x:v>
      </x:c>
      <x:c r="N413" s="3">
        <x:v>1.2347256020540618</x:v>
      </x:c>
      <x:c r="O413" s="3">
        <x:f t="shared" si="89"/>
        <x:v>35399344.005641431</x:v>
      </x:c>
      <x:c r="P413" s="16">
        <x:f t="shared" si="90"/>
        <x:v>0</x:v>
      </x:c>
      <x:c r="Q413" s="16">
        <x:f t="shared" si="91"/>
        <x:v>0</x:v>
      </x:c>
      <x:c r="R413" s="16">
        <x:f t="shared" si="92"/>
        <x:v>35399344.005641431</x:v>
      </x:c>
      <x:c r="S413" s="16">
        <x:f t="shared" si="87"/>
        <x:v>0</x:v>
      </x:c>
    </x:row>
    <x:row r="414" spans="1:19" outlineLevel="2">
      <x:c r="A414" s="12" t="s">
        <x:v>120</x:v>
      </x:c>
      <x:c r="B414" s="7" t="s">
        <x:v>109</x:v>
      </x:c>
      <x:c r="C414" s="6">
        <x:v>284094206.69999987</x:v>
      </x:c>
      <x:c r="F414" s="6">
        <x:v>284094206.69999987</x:v>
      </x:c>
      <x:c r="G414" s="1">
        <x:f t="shared" si="86"/>
        <x:v>0</x:v>
      </x:c>
      <x:c r="J414" s="3">
        <x:v>55</x:v>
      </x:c>
      <x:c r="K414" s="3">
        <x:v>50.524169999999998</x:v>
      </x:c>
      <x:c r="L414" s="4">
        <x:v>-0.75</x:v>
      </x:c>
      <x:c r="M414" s="3">
        <x:f t="shared" si="88"/>
        <x:v>40458643.691901952</x:v>
      </x:c>
      <x:c r="N414" s="3">
        <x:v>1.2347256020540618</x:v>
      </x:c>
      <x:c r="O414" s="3">
        <x:f t="shared" si="89"/>
        <x:v>49955323.190774404</x:v>
      </x:c>
      <x:c r="P414" s="16">
        <x:f t="shared" si="90"/>
        <x:v>0</x:v>
      </x:c>
      <x:c r="Q414" s="16">
        <x:f t="shared" si="91"/>
        <x:v>0</x:v>
      </x:c>
      <x:c r="R414" s="16">
        <x:f t="shared" si="92"/>
        <x:v>49955323.190774404</x:v>
      </x:c>
      <x:c r="S414" s="16">
        <x:f t="shared" si="87"/>
        <x:v>0</x:v>
      </x:c>
    </x:row>
    <x:row r="415" spans="1:19" outlineLevel="2">
      <x:c r="A415" s="12" t="s">
        <x:v>120</x:v>
      </x:c>
      <x:c r="B415" s="7" t="s">
        <x:v>108</x:v>
      </x:c>
      <x:c r="C415" s="6">
        <x:v>263341955.57000005</x:v>
      </x:c>
      <x:c r="F415" s="6">
        <x:v>263341955.57000005</x:v>
      </x:c>
      <x:c r="G415" s="1">
        <x:f t="shared" si="86"/>
        <x:v>0</x:v>
      </x:c>
      <x:c r="J415" s="3">
        <x:v>55</x:v>
      </x:c>
      <x:c r="K415" s="3">
        <x:v>49.724181000000002</x:v>
      </x:c>
      <x:c r="L415" s="4">
        <x:v>-0.75</x:v>
      </x:c>
      <x:c r="M415" s="3">
        <x:f t="shared" si="88"/>
        <x:v>44206415.676606938</x:v>
      </x:c>
      <x:c r="N415" s="3">
        <x:v>1.2347256020540618</x:v>
      </x:c>
      <x:c r="O415" s="3">
        <x:f t="shared" si="89"/>
        <x:v>54582793.21095062</x:v>
      </x:c>
      <x:c r="P415" s="16">
        <x:f t="shared" si="90"/>
        <x:v>0</x:v>
      </x:c>
      <x:c r="Q415" s="16">
        <x:f t="shared" si="91"/>
        <x:v>0</x:v>
      </x:c>
      <x:c r="R415" s="16">
        <x:f t="shared" si="92"/>
        <x:v>54582793.21095062</x:v>
      </x:c>
      <x:c r="S415" s="16">
        <x:f t="shared" si="87"/>
        <x:v>0</x:v>
      </x:c>
    </x:row>
    <x:row r="416" spans="1:19" outlineLevel="2">
      <x:c r="A416" s="12" t="s">
        <x:v>120</x:v>
      </x:c>
      <x:c r="B416" s="7" t="s">
        <x:v>107</x:v>
      </x:c>
      <x:c r="C416" s="6">
        <x:v>197511297.90000004</x:v>
      </x:c>
      <x:c r="F416" s="6">
        <x:v>197511297.90000004</x:v>
      </x:c>
      <x:c r="G416" s="1">
        <x:f t="shared" si="86"/>
        <x:v>0</x:v>
      </x:c>
      <x:c r="J416" s="3">
        <x:v>55</x:v>
      </x:c>
      <x:c r="K416" s="3">
        <x:v>48.928370000000001</x:v>
      </x:c>
      <x:c r="L416" s="4">
        <x:v>-0.75</x:v>
      </x:c>
      <x:c r="M416" s="3">
        <x:f t="shared" si="88"/>
        <x:v>38156857.507636547</x:v>
      </x:c>
      <x:c r="N416" s="3">
        <x:v>1.2347256020540618</x:v>
      </x:c>
      <x:c r="O416" s="3">
        <x:f t="shared" si="89"/>
        <x:v>47113248.858607583</x:v>
      </x:c>
      <x:c r="P416" s="16">
        <x:f t="shared" si="90"/>
        <x:v>0</x:v>
      </x:c>
      <x:c r="Q416" s="16">
        <x:f t="shared" si="91"/>
        <x:v>0</x:v>
      </x:c>
      <x:c r="R416" s="16">
        <x:f t="shared" si="92"/>
        <x:v>47113248.858607583</x:v>
      </x:c>
      <x:c r="S416" s="16">
        <x:f t="shared" si="87"/>
        <x:v>0</x:v>
      </x:c>
    </x:row>
    <x:row r="417" spans="1:19" outlineLevel="2">
      <x:c r="A417" s="12" t="s">
        <x:v>120</x:v>
      </x:c>
      <x:c r="B417" s="7" t="s">
        <x:v>106</x:v>
      </x:c>
      <x:c r="C417" s="6">
        <x:v>197638321.57999998</x:v>
      </x:c>
      <x:c r="F417" s="6">
        <x:v>197638321.57999998</x:v>
      </x:c>
      <x:c r="G417" s="1">
        <x:f t="shared" si="86"/>
        <x:v>0</x:v>
      </x:c>
      <x:c r="J417" s="3">
        <x:v>55</x:v>
      </x:c>
      <x:c r="K417" s="3">
        <x:v>48.136744</x:v>
      </x:c>
      <x:c r="L417" s="4">
        <x:v>-0.75</x:v>
      </x:c>
      <x:c r="M417" s="3">
        <x:f t="shared" si="88"/>
        <x:v>43159530.794986591</x:v>
      </x:c>
      <x:c r="N417" s="3">
        <x:v>1.2347256020540618</x:v>
      </x:c>
      <x:c r="O417" s="3">
        <x:f t="shared" si="89"/>
        <x:v>53290177.645210639</x:v>
      </x:c>
      <x:c r="P417" s="16">
        <x:f t="shared" si="90"/>
        <x:v>0</x:v>
      </x:c>
      <x:c r="Q417" s="16">
        <x:f t="shared" si="91"/>
        <x:v>0</x:v>
      </x:c>
      <x:c r="R417" s="16">
        <x:f t="shared" si="92"/>
        <x:v>53290177.645210639</x:v>
      </x:c>
      <x:c r="S417" s="16">
        <x:f t="shared" si="87"/>
        <x:v>0</x:v>
      </x:c>
    </x:row>
    <x:row r="418" spans="1:19" outlineLevel="2">
      <x:c r="A418" s="12" t="s">
        <x:v>120</x:v>
      </x:c>
      <x:c r="B418" s="7" t="s">
        <x:v>105</x:v>
      </x:c>
      <x:c r="C418" s="6">
        <x:v>93993295.930000067</x:v>
      </x:c>
      <x:c r="F418" s="6">
        <x:v>93993295.930000067</x:v>
      </x:c>
      <x:c r="G418" s="1">
        <x:f t="shared" si="86"/>
        <x:v>0</x:v>
      </x:c>
      <x:c r="J418" s="3">
        <x:v>55</x:v>
      </x:c>
      <x:c r="K418" s="3">
        <x:v>47.349316999999999</x:v>
      </x:c>
      <x:c r="L418" s="4">
        <x:v>-0.75</x:v>
      </x:c>
      <x:c r="M418" s="3">
        <x:f t="shared" si="88"/>
        <x:v>22880865.359087944</x:v>
      </x:c>
      <x:c r="N418" s="3">
        <x:v>1.2347256020540618</x:v>
      </x:c>
      <x:c r="O418" s="3">
        <x:f t="shared" si="89"/>
        <x:v>28251590.256017789</x:v>
      </x:c>
      <x:c r="P418" s="16">
        <x:f t="shared" si="90"/>
        <x:v>0</x:v>
      </x:c>
      <x:c r="Q418" s="16">
        <x:f t="shared" si="91"/>
        <x:v>0</x:v>
      </x:c>
      <x:c r="R418" s="16">
        <x:f t="shared" si="92"/>
        <x:v>28251590.256017789</x:v>
      </x:c>
      <x:c r="S418" s="16">
        <x:f t="shared" si="87"/>
        <x:v>0</x:v>
      </x:c>
    </x:row>
    <x:row r="419" spans="1:19" outlineLevel="2">
      <x:c r="A419" s="12" t="s">
        <x:v>120</x:v>
      </x:c>
      <x:c r="B419" s="7" t="s">
        <x:v>104</x:v>
      </x:c>
      <x:c r="C419" s="6">
        <x:v>113226743.17999995</x:v>
      </x:c>
      <x:c r="F419" s="6">
        <x:v>113226743.17999995</x:v>
      </x:c>
      <x:c r="G419" s="1">
        <x:f t="shared" si="86"/>
        <x:v>0</x:v>
      </x:c>
      <x:c r="J419" s="3">
        <x:v>55</x:v>
      </x:c>
      <x:c r="K419" s="3">
        <x:v>46.566093000000002</x:v>
      </x:c>
      <x:c r="L419" s="4">
        <x:v>-0.75</x:v>
      </x:c>
      <x:c r="M419" s="3">
        <x:f t="shared" si="88"/>
        <x:v>30384576.151141018</x:v>
      </x:c>
      <x:c r="N419" s="3">
        <x:v>1.2347256020540618</x:v>
      </x:c>
      <x:c r="O419" s="3">
        <x:f t="shared" si="89"/>
        <x:v>37516614.081375077</x:v>
      </x:c>
      <x:c r="P419" s="16">
        <x:f t="shared" si="90"/>
        <x:v>0</x:v>
      </x:c>
      <x:c r="Q419" s="16">
        <x:f t="shared" si="91"/>
        <x:v>0</x:v>
      </x:c>
      <x:c r="R419" s="16">
        <x:f t="shared" si="92"/>
        <x:v>37516614.081375077</x:v>
      </x:c>
      <x:c r="S419" s="16">
        <x:f t="shared" si="87"/>
        <x:v>0</x:v>
      </x:c>
    </x:row>
    <x:row r="420" spans="1:19" outlineLevel="2">
      <x:c r="A420" s="12" t="s">
        <x:v>120</x:v>
      </x:c>
      <x:c r="B420" s="7" t="s">
        <x:v>103</x:v>
      </x:c>
      <x:c r="C420" s="6">
        <x:v>82582728.070000008</x:v>
      </x:c>
      <x:c r="F420" s="6">
        <x:v>82582728.070000008</x:v>
      </x:c>
      <x:c r="G420" s="1">
        <x:f t="shared" si="86"/>
        <x:v>0</x:v>
      </x:c>
      <x:c r="J420" s="3">
        <x:v>55</x:v>
      </x:c>
      <x:c r="K420" s="3">
        <x:v>45.787289000000001</x:v>
      </x:c>
      <x:c r="L420" s="4">
        <x:v>-0.75</x:v>
      </x:c>
      <x:c r="M420" s="3">
        <x:f t="shared" si="88"/>
        <x:v>24207616.595924925</x:v>
      </x:c>
      <x:c r="N420" s="3">
        <x:v>1.2347256020540618</x:v>
      </x:c>
      <x:c r="O420" s="3">
        <x:f t="shared" si="89"/>
        <x:v>29889763.975697301</x:v>
      </x:c>
      <x:c r="P420" s="16">
        <x:f t="shared" si="90"/>
        <x:v>0</x:v>
      </x:c>
      <x:c r="Q420" s="16">
        <x:f t="shared" si="91"/>
        <x:v>0</x:v>
      </x:c>
      <x:c r="R420" s="16">
        <x:f t="shared" si="92"/>
        <x:v>29889763.975697301</x:v>
      </x:c>
      <x:c r="S420" s="16">
        <x:f t="shared" si="87"/>
        <x:v>0</x:v>
      </x:c>
    </x:row>
    <x:row r="421" spans="1:19" outlineLevel="2">
      <x:c r="A421" s="12" t="s">
        <x:v>120</x:v>
      </x:c>
      <x:c r="B421" s="7" t="s">
        <x:v>102</x:v>
      </x:c>
      <x:c r="C421" s="6">
        <x:v>50306196.809999987</x:v>
      </x:c>
      <x:c r="F421" s="6">
        <x:v>50306196.809999987</x:v>
      </x:c>
      <x:c r="G421" s="1">
        <x:f t="shared" si="86"/>
        <x:v>0</x:v>
      </x:c>
      <x:c r="J421" s="3">
        <x:v>55</x:v>
      </x:c>
      <x:c r="K421" s="3">
        <x:v>45.012915999999997</x:v>
      </x:c>
      <x:c r="L421" s="4">
        <x:v>-0.75</x:v>
      </x:c>
      <x:c r="M421" s="3">
        <x:f t="shared" si="88"/>
        <x:v>15985843.149245515</x:v>
      </x:c>
      <x:c r="N421" s="3">
        <x:v>1.2347256020540618</x:v>
      </x:c>
      <x:c r="O421" s="3">
        <x:f t="shared" si="89"/>
        <x:v>19738129.806793969</x:v>
      </x:c>
      <x:c r="P421" s="16">
        <x:f t="shared" si="90"/>
        <x:v>0</x:v>
      </x:c>
      <x:c r="Q421" s="16">
        <x:f t="shared" si="91"/>
        <x:v>0</x:v>
      </x:c>
      <x:c r="R421" s="16">
        <x:f t="shared" si="92"/>
        <x:v>19738129.806793969</x:v>
      </x:c>
      <x:c r="S421" s="16">
        <x:f t="shared" si="87"/>
        <x:v>0</x:v>
      </x:c>
    </x:row>
    <x:row r="422" spans="1:19" outlineLevel="2">
      <x:c r="A422" s="12" t="s">
        <x:v>120</x:v>
      </x:c>
      <x:c r="B422" s="7" t="s">
        <x:v>101</x:v>
      </x:c>
      <x:c r="C422" s="6">
        <x:v>35997569.560000017</x:v>
      </x:c>
      <x:c r="F422" s="6">
        <x:v>35997569.560000017</x:v>
      </x:c>
      <x:c r="G422" s="1">
        <x:f t="shared" si="86"/>
        <x:v>0</x:v>
      </x:c>
      <x:c r="J422" s="3">
        <x:v>55</x:v>
      </x:c>
      <x:c r="K422" s="3">
        <x:v>44.242801999999998</x:v>
      </x:c>
      <x:c r="L422" s="4">
        <x:v>-0.75</x:v>
      </x:c>
      <x:c r="M422" s="3">
        <x:f t="shared" si="88"/>
        <x:v>12321049.467862962</x:v>
      </x:c>
      <x:c r="N422" s="3">
        <x:v>1.2347256020540618</x:v>
      </x:c>
      <x:c r="O422" s="3">
        <x:f t="shared" si="89"/>
        <x:v>15213115.222144973</x:v>
      </x:c>
      <x:c r="P422" s="16">
        <x:f t="shared" si="90"/>
        <x:v>0</x:v>
      </x:c>
      <x:c r="Q422" s="16">
        <x:f t="shared" si="91"/>
        <x:v>0</x:v>
      </x:c>
      <x:c r="R422" s="16">
        <x:f t="shared" si="92"/>
        <x:v>15213115.222144973</x:v>
      </x:c>
      <x:c r="S422" s="16">
        <x:f t="shared" si="87"/>
        <x:v>0</x:v>
      </x:c>
    </x:row>
    <x:row r="423" spans="1:19" outlineLevel="2">
      <x:c r="A423" s="12" t="s">
        <x:v>120</x:v>
      </x:c>
      <x:c r="B423" s="7" t="s">
        <x:v>100</x:v>
      </x:c>
      <x:c r="C423" s="6">
        <x:v>64418048.210000023</x:v>
      </x:c>
      <x:c r="F423" s="6">
        <x:v>64418048.210000023</x:v>
      </x:c>
      <x:c r="G423" s="1">
        <x:f t="shared" si="86"/>
        <x:v>0</x:v>
      </x:c>
      <x:c r="J423" s="3">
        <x:v>55</x:v>
      </x:c>
      <x:c r="K423" s="3">
        <x:v>43.476956999999999</x:v>
      </x:c>
      <x:c r="L423" s="4">
        <x:v>-0.75</x:v>
      </x:c>
      <x:c r="M423" s="3">
        <x:f t="shared" si="88"/>
        <x:v>23618379.893178742</x:v>
      </x:c>
      <x:c r="N423" s="3">
        <x:v>1.2347256020540618</x:v>
      </x:c>
      <x:c r="O423" s="3">
        <x:f t="shared" si="89"/>
        <x:v>29162218.333146669</x:v>
      </x:c>
      <x:c r="P423" s="16">
        <x:f t="shared" si="90"/>
        <x:v>0</x:v>
      </x:c>
      <x:c r="Q423" s="16">
        <x:f t="shared" si="91"/>
        <x:v>0</x:v>
      </x:c>
      <x:c r="R423" s="16">
        <x:f t="shared" si="92"/>
        <x:v>29162218.333146669</x:v>
      </x:c>
      <x:c r="S423" s="16">
        <x:f t="shared" si="87"/>
        <x:v>0</x:v>
      </x:c>
    </x:row>
    <x:row r="424" spans="1:19" outlineLevel="2">
      <x:c r="A424" s="12" t="s">
        <x:v>120</x:v>
      </x:c>
      <x:c r="B424" s="7" t="s">
        <x:v>99</x:v>
      </x:c>
      <x:c r="C424" s="6">
        <x:v>48387644.93</x:v>
      </x:c>
      <x:c r="F424" s="6">
        <x:v>48387644.93</x:v>
      </x:c>
      <x:c r="G424" s="1">
        <x:f t="shared" si="86"/>
        <x:v>0</x:v>
      </x:c>
      <x:c r="J424" s="3">
        <x:v>55</x:v>
      </x:c>
      <x:c r="K424" s="3">
        <x:v>42.715392999999999</x:v>
      </x:c>
      <x:c r="L424" s="4">
        <x:v>-0.75</x:v>
      </x:c>
      <x:c r="M424" s="3">
        <x:f t="shared" si="88"/>
        <x:v>18913465.506109763</x:v>
      </x:c>
      <x:c r="N424" s="3">
        <x:v>1.2347256020540618</x:v>
      </x:c>
      <x:c r="O424" s="3">
        <x:f t="shared" si="89"/>
        <x:v>23352940.083960108</x:v>
      </x:c>
      <x:c r="P424" s="16">
        <x:f t="shared" si="90"/>
        <x:v>0</x:v>
      </x:c>
      <x:c r="Q424" s="16">
        <x:f t="shared" si="91"/>
        <x:v>0</x:v>
      </x:c>
      <x:c r="R424" s="16">
        <x:f t="shared" si="92"/>
        <x:v>23352940.083960108</x:v>
      </x:c>
      <x:c r="S424" s="16">
        <x:f t="shared" si="87"/>
        <x:v>0</x:v>
      </x:c>
    </x:row>
    <x:row r="425" spans="1:19" outlineLevel="2">
      <x:c r="A425" s="12" t="s">
        <x:v>120</x:v>
      </x:c>
      <x:c r="B425" s="7" t="s">
        <x:v>98</x:v>
      </x:c>
      <x:c r="C425" s="6">
        <x:v>87330685.570000008</x:v>
      </x:c>
      <x:c r="F425" s="6">
        <x:v>87330685.570000008</x:v>
      </x:c>
      <x:c r="G425" s="1">
        <x:f t="shared" si="86"/>
        <x:v>0</x:v>
      </x:c>
      <x:c r="J425" s="3">
        <x:v>55</x:v>
      </x:c>
      <x:c r="K425" s="3">
        <x:v>41.958131000000002</x:v>
      </x:c>
      <x:c r="L425" s="4">
        <x:v>-0.75</x:v>
      </x:c>
      <x:c r="M425" s="3">
        <x:f t="shared" si="88"/>
        <x:v>36239488.755404145</x:v>
      </x:c>
      <x:c r="N425" s="3">
        <x:v>1.2347256020540618</x:v>
      </x:c>
      <x:c r="O425" s="3">
        <x:f t="shared" si="89"/>
        <x:v>44745824.571647786</x:v>
      </x:c>
      <x:c r="P425" s="16">
        <x:f t="shared" si="90"/>
        <x:v>0</x:v>
      </x:c>
      <x:c r="Q425" s="16">
        <x:f t="shared" si="91"/>
        <x:v>0</x:v>
      </x:c>
      <x:c r="R425" s="16">
        <x:f t="shared" si="92"/>
        <x:v>44745824.571647786</x:v>
      </x:c>
      <x:c r="S425" s="16">
        <x:f t="shared" si="87"/>
        <x:v>0</x:v>
      </x:c>
    </x:row>
    <x:row r="426" spans="1:19" outlineLevel="2">
      <x:c r="A426" s="12" t="s">
        <x:v>120</x:v>
      </x:c>
      <x:c r="B426" s="7" t="s">
        <x:v>97</x:v>
      </x:c>
      <x:c r="C426" s="6">
        <x:v>58904069.099999987</x:v>
      </x:c>
      <x:c r="F426" s="6">
        <x:v>58904069.099999987</x:v>
      </x:c>
      <x:c r="G426" s="1">
        <x:f t="shared" si="86"/>
        <x:v>0</x:v>
      </x:c>
      <x:c r="J426" s="3">
        <x:v>55</x:v>
      </x:c>
      <x:c r="K426" s="3">
        <x:v>41.205634000000003</x:v>
      </x:c>
      <x:c r="L426" s="4">
        <x:v>-0.75</x:v>
      </x:c>
      <x:c r="M426" s="3">
        <x:f t="shared" si="88"/>
        <x:v>25853681.892649233</x:v>
      </x:c>
      <x:c r="N426" s="3">
        <x:v>1.2347256020540618</x:v>
      </x:c>
      <x:c r="O426" s="3">
        <x:f t="shared" si="89"/>
        <x:v>31922202.940215521</x:v>
      </x:c>
      <x:c r="P426" s="16">
        <x:f t="shared" si="90"/>
        <x:v>0</x:v>
      </x:c>
      <x:c r="Q426" s="16">
        <x:f t="shared" si="91"/>
        <x:v>0</x:v>
      </x:c>
      <x:c r="R426" s="16">
        <x:f t="shared" si="92"/>
        <x:v>31922202.940215521</x:v>
      </x:c>
      <x:c r="S426" s="16">
        <x:f t="shared" si="87"/>
        <x:v>0</x:v>
      </x:c>
    </x:row>
    <x:row r="427" spans="1:19" outlineLevel="2">
      <x:c r="A427" s="12" t="s">
        <x:v>120</x:v>
      </x:c>
      <x:c r="B427" s="7" t="s">
        <x:v>96</x:v>
      </x:c>
      <x:c r="C427" s="6">
        <x:v>66586532.029999994</x:v>
      </x:c>
      <x:c r="F427" s="6">
        <x:v>66586532.029999994</x:v>
      </x:c>
      <x:c r="G427" s="1">
        <x:f t="shared" si="86"/>
        <x:v>0</x:v>
      </x:c>
      <x:c r="J427" s="3">
        <x:v>55</x:v>
      </x:c>
      <x:c r="K427" s="3">
        <x:v>40.457611</x:v>
      </x:c>
      <x:c r="L427" s="4">
        <x:v>-0.75</x:v>
      </x:c>
      <x:c r="M427" s="3">
        <x:f t="shared" si="88"/>
        <x:v>30810412.529947892</x:v>
      </x:c>
      <x:c r="N427" s="3">
        <x:v>1.2347256020540618</x:v>
      </x:c>
      <x:c r="O427" s="3">
        <x:f t="shared" si="89"/>
        <x:v>38042405.160573922</x:v>
      </x:c>
      <x:c r="P427" s="16">
        <x:f t="shared" si="90"/>
        <x:v>0</x:v>
      </x:c>
      <x:c r="Q427" s="16">
        <x:f t="shared" si="91"/>
        <x:v>0</x:v>
      </x:c>
      <x:c r="R427" s="16">
        <x:f t="shared" si="92"/>
        <x:v>38042405.160573922</x:v>
      </x:c>
      <x:c r="S427" s="16">
        <x:f t="shared" si="87"/>
        <x:v>0</x:v>
      </x:c>
    </x:row>
    <x:row r="428" spans="1:19" outlineLevel="2">
      <x:c r="A428" s="12" t="s">
        <x:v>120</x:v>
      </x:c>
      <x:c r="B428" s="7" t="s">
        <x:v>95</x:v>
      </x:c>
      <x:c r="C428" s="6">
        <x:v>60890323.329999983</x:v>
      </x:c>
      <x:c r="F428" s="6">
        <x:v>60890323.329999983</x:v>
      </x:c>
      <x:c r="G428" s="1">
        <x:f t="shared" si="86"/>
        <x:v>0</x:v>
      </x:c>
      <x:c r="J428" s="3">
        <x:v>55</x:v>
      </x:c>
      <x:c r="K428" s="3">
        <x:v>39.714162000000002</x:v>
      </x:c>
      <x:c r="L428" s="4">
        <x:v>-0.75</x:v>
      </x:c>
      <x:c r="M428" s="3">
        <x:f t="shared" si="88"/>
        <x:v>29615078.760590911</x:v>
      </x:c>
      <x:c r="N428" s="3">
        <x:v>1.2347256020540618</x:v>
      </x:c>
      <x:c r="O428" s="3">
        <x:f t="shared" si="89"/>
        <x:v>36566495.95254907</x:v>
      </x:c>
      <x:c r="P428" s="16">
        <x:f t="shared" si="90"/>
        <x:v>0</x:v>
      </x:c>
      <x:c r="Q428" s="16">
        <x:f t="shared" si="91"/>
        <x:v>0</x:v>
      </x:c>
      <x:c r="R428" s="16">
        <x:f t="shared" si="92"/>
        <x:v>36566495.95254907</x:v>
      </x:c>
      <x:c r="S428" s="16">
        <x:f t="shared" si="87"/>
        <x:v>0</x:v>
      </x:c>
    </x:row>
    <x:row r="429" spans="1:19" outlineLevel="2">
      <x:c r="A429" s="12" t="s">
        <x:v>120</x:v>
      </x:c>
      <x:c r="B429" s="7" t="s">
        <x:v>94</x:v>
      </x:c>
      <x:c r="C429" s="6">
        <x:v>58962396.630000025</x:v>
      </x:c>
      <x:c r="F429" s="6">
        <x:v>58962396.630000025</x:v>
      </x:c>
      <x:c r="G429" s="1">
        <x:f t="shared" si="86"/>
        <x:v>0</x:v>
      </x:c>
      <x:c r="J429" s="3">
        <x:v>55</x:v>
      </x:c>
      <x:c r="K429" s="3">
        <x:v>38.975423999999997</x:v>
      </x:c>
      <x:c r="L429" s="4">
        <x:v>-0.75</x:v>
      </x:c>
      <x:c r="M429" s="3">
        <x:f t="shared" si="88"/>
        <x:v>30063326.552622978</x:v>
      </x:c>
      <x:c r="N429" s="3">
        <x:v>1.2347256020540618</x:v>
      </x:c>
      <x:c r="O429" s="3">
        <x:f t="shared" si="89"/>
        <x:v>37119958.977435268</x:v>
      </x:c>
      <x:c r="P429" s="16">
        <x:f t="shared" si="90"/>
        <x:v>0</x:v>
      </x:c>
      <x:c r="Q429" s="16">
        <x:f t="shared" si="91"/>
        <x:v>0</x:v>
      </x:c>
      <x:c r="R429" s="16">
        <x:f t="shared" si="92"/>
        <x:v>37119958.977435268</x:v>
      </x:c>
      <x:c r="S429" s="16">
        <x:f t="shared" si="87"/>
        <x:v>0</x:v>
      </x:c>
    </x:row>
    <x:row r="430" spans="1:19" outlineLevel="2">
      <x:c r="A430" s="12" t="s">
        <x:v>120</x:v>
      </x:c>
      <x:c r="B430" s="7" t="s">
        <x:v>93</x:v>
      </x:c>
      <x:c r="C430" s="6">
        <x:v>30682509.190000009</x:v>
      </x:c>
      <x:c r="F430" s="6">
        <x:v>30682509.190000009</x:v>
      </x:c>
      <x:c r="G430" s="1">
        <x:f t="shared" si="86"/>
        <x:v>0</x:v>
      </x:c>
      <x:c r="J430" s="3">
        <x:v>55</x:v>
      </x:c>
      <x:c r="K430" s="3">
        <x:v>38.241536000000004</x:v>
      </x:c>
      <x:c r="L430" s="4">
        <x:v>-0.75</x:v>
      </x:c>
      <x:c r="M430" s="3">
        <x:f t="shared" si="88"/>
        <x:v>16360645.817418132</x:v>
      </x:c>
      <x:c r="N430" s="3">
        <x:v>1.2347256020540618</x:v>
      </x:c>
      <x:c r="O430" s="3">
        <x:f t="shared" si="89"/>
        <x:v>20200908.25690487</x:v>
      </x:c>
      <x:c r="P430" s="16">
        <x:f t="shared" si="90"/>
        <x:v>0</x:v>
      </x:c>
      <x:c r="Q430" s="16">
        <x:f t="shared" si="91"/>
        <x:v>0</x:v>
      </x:c>
      <x:c r="R430" s="16">
        <x:f t="shared" si="92"/>
        <x:v>20200908.25690487</x:v>
      </x:c>
      <x:c r="S430" s="16">
        <x:f t="shared" si="87"/>
        <x:v>0</x:v>
      </x:c>
    </x:row>
    <x:row r="431" spans="1:19" outlineLevel="2">
      <x:c r="A431" s="12" t="s">
        <x:v>120</x:v>
      </x:c>
      <x:c r="B431" s="7" t="s">
        <x:v>92</x:v>
      </x:c>
      <x:c r="C431" s="6">
        <x:v>24631750.5</x:v>
      </x:c>
      <x:c r="F431" s="6">
        <x:v>24631750.5</x:v>
      </x:c>
      <x:c r="G431" s="1">
        <x:f t="shared" si="86"/>
        <x:v>0</x:v>
      </x:c>
      <x:c r="J431" s="3">
        <x:v>55</x:v>
      </x:c>
      <x:c r="K431" s="3">
        <x:v>37.512889000000001</x:v>
      </x:c>
      <x:c r="L431" s="4">
        <x:v>-0.75</x:v>
      </x:c>
      <x:c r="M431" s="3">
        <x:f t="shared" si="88"/>
        <x:v>13705304.935566541</x:v>
      </x:c>
      <x:c r="N431" s="3">
        <x:v>1.2347256020540618</x:v>
      </x:c>
      <x:c r="O431" s="3">
        <x:f t="shared" si="89"/>
        <x:v>16922290.887901902</x:v>
      </x:c>
      <x:c r="P431" s="16">
        <x:f t="shared" si="90"/>
        <x:v>0</x:v>
      </x:c>
      <x:c r="Q431" s="16">
        <x:f t="shared" si="91"/>
        <x:v>0</x:v>
      </x:c>
      <x:c r="R431" s="16">
        <x:f t="shared" si="92"/>
        <x:v>16922290.887901902</x:v>
      </x:c>
      <x:c r="S431" s="16">
        <x:f t="shared" si="87"/>
        <x:v>0</x:v>
      </x:c>
    </x:row>
    <x:row r="432" spans="1:19" outlineLevel="2">
      <x:c r="A432" s="12" t="s">
        <x:v>120</x:v>
      </x:c>
      <x:c r="B432" s="7" t="s">
        <x:v>91</x:v>
      </x:c>
      <x:c r="C432" s="6">
        <x:v>27330002.440000016</x:v>
      </x:c>
      <x:c r="F432" s="6">
        <x:v>27330002.440000016</x:v>
      </x:c>
      <x:c r="G432" s="1">
        <x:f t="shared" si="86"/>
        <x:v>0</x:v>
      </x:c>
      <x:c r="J432" s="3">
        <x:v>55</x:v>
      </x:c>
      <x:c r="K432" s="3">
        <x:v>36.789670999999998</x:v>
      </x:c>
      <x:c r="L432" s="4">
        <x:v>-0.75</x:v>
      </x:c>
      <x:c r="M432" s="3">
        <x:f t="shared" si="88"/>
        <x:v>15835537.963738278</x:v>
      </x:c>
      <x:c r="N432" s="3">
        <x:v>1.2347256020540618</x:v>
      </x:c>
      <x:c r="O432" s="3">
        <x:f t="shared" si="89"/>
        <x:v>19552544.146126695</x:v>
      </x:c>
      <x:c r="P432" s="16">
        <x:f t="shared" si="90"/>
        <x:v>0</x:v>
      </x:c>
      <x:c r="Q432" s="16">
        <x:f t="shared" si="91"/>
        <x:v>0</x:v>
      </x:c>
      <x:c r="R432" s="16">
        <x:f t="shared" si="92"/>
        <x:v>19552544.146126695</x:v>
      </x:c>
      <x:c r="S432" s="16">
        <x:f t="shared" si="87"/>
        <x:v>0</x:v>
      </x:c>
    </x:row>
    <x:row r="433" spans="1:19" outlineLevel="2">
      <x:c r="A433" s="12" t="s">
        <x:v>120</x:v>
      </x:c>
      <x:c r="B433" s="7" t="s">
        <x:v>90</x:v>
      </x:c>
      <x:c r="C433" s="6">
        <x:v>3996712.4200000009</x:v>
      </x:c>
      <x:c r="F433" s="6">
        <x:v>3996712.4200000009</x:v>
      </x:c>
      <x:c r="G433" s="1">
        <x:f t="shared" si="86"/>
        <x:v>0</x:v>
      </x:c>
      <x:c r="J433" s="3">
        <x:v>55</x:v>
      </x:c>
      <x:c r="K433" s="3">
        <x:v>36.071823999999999</x:v>
      </x:c>
      <x:c r="L433" s="4">
        <x:v>-0.75</x:v>
      </x:c>
      <x:c r="M433" s="3">
        <x:f t="shared" si="88"/>
        <x:v>2407060.6034091883</x:v>
      </x:c>
      <x:c r="N433" s="3">
        <x:v>1.2347256020540618</x:v>
      </x:c>
      <x:c r="O433" s="3">
        <x:f t="shared" si="89"/>
        <x:v>2972059.3527250234</x:v>
      </x:c>
      <x:c r="P433" s="16">
        <x:f t="shared" si="90"/>
        <x:v>0</x:v>
      </x:c>
      <x:c r="Q433" s="16">
        <x:f t="shared" si="91"/>
        <x:v>0</x:v>
      </x:c>
      <x:c r="R433" s="16">
        <x:f t="shared" si="92"/>
        <x:v>2972059.3527250234</x:v>
      </x:c>
      <x:c r="S433" s="16">
        <x:f t="shared" si="87"/>
        <x:v>0</x:v>
      </x:c>
    </x:row>
    <x:row r="434" spans="1:19" outlineLevel="2">
      <x:c r="A434" s="12" t="s">
        <x:v>120</x:v>
      </x:c>
      <x:c r="B434" s="7" t="s">
        <x:v>89</x:v>
      </x:c>
      <x:c r="C434" s="6">
        <x:v>4917962.7399999984</x:v>
      </x:c>
      <x:c r="F434" s="6">
        <x:v>4917962.7399999984</x:v>
      </x:c>
      <x:c r="G434" s="1">
        <x:f t="shared" si="86"/>
        <x:v>0</x:v>
      </x:c>
      <x:c r="J434" s="3">
        <x:v>55</x:v>
      </x:c>
      <x:c r="K434" s="3">
        <x:v>35.359518999999999</x:v>
      </x:c>
      <x:c r="L434" s="4">
        <x:v>-0.75</x:v>
      </x:c>
      <x:c r="M434" s="3">
        <x:f t="shared" si="88"/>
        <x:v>3073354.892162479</x:v>
      </x:c>
      <x:c r="N434" s="3">
        <x:v>1.2347256020540618</x:v>
      </x:c>
      <x:c r="O434" s="3">
        <x:f t="shared" si="89"/>
        <x:v>3794749.969551113</x:v>
      </x:c>
      <x:c r="P434" s="16">
        <x:f t="shared" si="90"/>
        <x:v>0</x:v>
      </x:c>
      <x:c r="Q434" s="16">
        <x:f t="shared" si="91"/>
        <x:v>0</x:v>
      </x:c>
      <x:c r="R434" s="16">
        <x:f t="shared" si="92"/>
        <x:v>3794749.969551113</x:v>
      </x:c>
      <x:c r="S434" s="16">
        <x:f t="shared" si="87"/>
        <x:v>0</x:v>
      </x:c>
    </x:row>
    <x:row r="435" spans="1:19" outlineLevel="2">
      <x:c r="A435" s="12" t="s">
        <x:v>120</x:v>
      </x:c>
      <x:c r="B435" s="7" t="s">
        <x:v>88</x:v>
      </x:c>
      <x:c r="C435" s="6">
        <x:v>2824332.18</x:v>
      </x:c>
      <x:c r="F435" s="6">
        <x:v>2824332.18</x:v>
      </x:c>
      <x:c r="G435" s="1">
        <x:f t="shared" si="86"/>
        <x:v>0</x:v>
      </x:c>
      <x:c r="J435" s="3">
        <x:v>55</x:v>
      </x:c>
      <x:c r="K435" s="3">
        <x:v>34.652923999999999</x:v>
      </x:c>
      <x:c r="L435" s="4">
        <x:v>-0.75</x:v>
      </x:c>
      <x:c r="M435" s="3">
        <x:f t="shared" si="88"/>
        <x:v>1828492.3209542716</x:v>
      </x:c>
      <x:c r="N435" s="3">
        <x:v>1.2347256020540618</x:v>
      </x:c>
      <x:c r="O435" s="3">
        <x:f t="shared" si="89"/>
        <x:v>2257686.2818414918</x:v>
      </x:c>
      <x:c r="P435" s="16">
        <x:f t="shared" si="90"/>
        <x:v>0</x:v>
      </x:c>
      <x:c r="Q435" s="16">
        <x:f t="shared" si="91"/>
        <x:v>0</x:v>
      </x:c>
      <x:c r="R435" s="16">
        <x:f t="shared" si="92"/>
        <x:v>2257686.2818414918</x:v>
      </x:c>
      <x:c r="S435" s="16">
        <x:f t="shared" si="87"/>
        <x:v>0</x:v>
      </x:c>
    </x:row>
    <x:row r="436" spans="1:19" outlineLevel="2">
      <x:c r="A436" s="12" t="s">
        <x:v>120</x:v>
      </x:c>
      <x:c r="B436" s="7" t="s">
        <x:v>87</x:v>
      </x:c>
      <x:c r="C436" s="6">
        <x:v>8606769.0599999987</x:v>
      </x:c>
      <x:c r="F436" s="6">
        <x:v>8606769.0599999987</x:v>
      </x:c>
      <x:c r="G436" s="1">
        <x:f t="shared" si="86"/>
        <x:v>0</x:v>
      </x:c>
      <x:c r="J436" s="3">
        <x:v>55</x:v>
      </x:c>
      <x:c r="K436" s="3">
        <x:v>33.952213999999998</x:v>
      </x:c>
      <x:c r="L436" s="4">
        <x:v>-0.75</x:v>
      </x:c>
      <x:c r="M436" s="3">
        <x:f t="shared" si="88"/>
        <x:v>5763972.8785641287</x:v>
      </x:c>
      <x:c r="N436" s="3">
        <x:v>1.2347256020540618</x:v>
      </x:c>
      <x:c r="O436" s="3">
        <x:f t="shared" si="89"/>
        <x:v>7116924.8827083772</x:v>
      </x:c>
      <x:c r="P436" s="16">
        <x:f t="shared" si="90"/>
        <x:v>0</x:v>
      </x:c>
      <x:c r="Q436" s="16">
        <x:f t="shared" si="91"/>
        <x:v>0</x:v>
      </x:c>
      <x:c r="R436" s="16">
        <x:f t="shared" si="92"/>
        <x:v>7116924.8827083772</x:v>
      </x:c>
      <x:c r="S436" s="16">
        <x:f t="shared" si="87"/>
        <x:v>0</x:v>
      </x:c>
    </x:row>
    <x:row r="437" spans="1:19" outlineLevel="2">
      <x:c r="A437" s="12" t="s">
        <x:v>120</x:v>
      </x:c>
      <x:c r="B437" s="7" t="s">
        <x:v>86</x:v>
      </x:c>
      <x:c r="C437" s="6">
        <x:v>3120855.7499999995</x:v>
      </x:c>
      <x:c r="F437" s="6">
        <x:v>3120855.7499999995</x:v>
      </x:c>
      <x:c r="G437" s="1">
        <x:f t="shared" si="86"/>
        <x:v>0</x:v>
      </x:c>
      <x:c r="J437" s="3">
        <x:v>55</x:v>
      </x:c>
      <x:c r="K437" s="3">
        <x:v>33.258116999999999</x:v>
      </x:c>
      <x:c r="L437" s="4">
        <x:v>-0.75</x:v>
      </x:c>
      <x:c r="M437" s="3">
        <x:f t="shared" si="88"/>
        <x:v>2158968.0183392758</x:v>
      </x:c>
      <x:c r="N437" s="3">
        <x:v>1.2347256020540618</x:v>
      </x:c>
      <x:c r="O437" s="3">
        <x:f t="shared" si="89"/>
        <x:v>2665733.086259427</x:v>
      </x:c>
      <x:c r="P437" s="16">
        <x:f t="shared" si="90"/>
        <x:v>0</x:v>
      </x:c>
      <x:c r="Q437" s="16">
        <x:f t="shared" si="91"/>
        <x:v>0</x:v>
      </x:c>
      <x:c r="R437" s="16">
        <x:f t="shared" si="92"/>
        <x:v>2665733.086259427</x:v>
      </x:c>
      <x:c r="S437" s="16">
        <x:f t="shared" si="87"/>
        <x:v>0</x:v>
      </x:c>
    </x:row>
    <x:row r="438" spans="1:19" outlineLevel="2">
      <x:c r="A438" s="12" t="s">
        <x:v>120</x:v>
      </x:c>
      <x:c r="B438" s="7" t="s">
        <x:v>85</x:v>
      </x:c>
      <x:c r="C438" s="6">
        <x:v>2641591.1699999995</x:v>
      </x:c>
      <x:c r="F438" s="6">
        <x:v>2641591.1699999995</x:v>
      </x:c>
      <x:c r="G438" s="1">
        <x:f t="shared" si="86"/>
        <x:v>0</x:v>
      </x:c>
      <x:c r="J438" s="3">
        <x:v>55</x:v>
      </x:c>
      <x:c r="K438" s="3">
        <x:v>32.570296999999997</x:v>
      </x:c>
      <x:c r="L438" s="4">
        <x:v>-0.75</x:v>
      </x:c>
      <x:c r="M438" s="3">
        <x:f t="shared" si="88"/>
        <x:v>1885230.6260620798</x:v>
      </x:c>
      <x:c r="N438" s="3">
        <x:v>1.2347256020540618</x:v>
      </x:c>
      <x:c r="O438" s="3">
        <x:f t="shared" si="89"/>
        <x:v>2327742.5197752574</x:v>
      </x:c>
      <x:c r="P438" s="16">
        <x:f t="shared" si="90"/>
        <x:v>0</x:v>
      </x:c>
      <x:c r="Q438" s="16">
        <x:f t="shared" si="91"/>
        <x:v>0</x:v>
      </x:c>
      <x:c r="R438" s="16">
        <x:f t="shared" si="92"/>
        <x:v>2327742.5197752574</x:v>
      </x:c>
      <x:c r="S438" s="16">
        <x:f t="shared" si="87"/>
        <x:v>0</x:v>
      </x:c>
    </x:row>
    <x:row r="439" spans="1:19" outlineLevel="2">
      <x:c r="A439" s="12" t="s">
        <x:v>120</x:v>
      </x:c>
      <x:c r="B439" s="7" t="s">
        <x:v>84</x:v>
      </x:c>
      <x:c r="C439" s="6">
        <x:v>5597911.5599999987</x:v>
      </x:c>
      <x:c r="F439" s="6">
        <x:v>5597911.5599999987</x:v>
      </x:c>
      <x:c r="G439" s="1">
        <x:f t="shared" si="86"/>
        <x:v>0</x:v>
      </x:c>
      <x:c r="J439" s="3">
        <x:v>55</x:v>
      </x:c>
      <x:c r="K439" s="3">
        <x:v>31.888922999999998</x:v>
      </x:c>
      <x:c r="L439" s="4">
        <x:v>-0.75</x:v>
      </x:c>
      <x:c r="M439" s="3">
        <x:f t="shared" si="88"/>
        <x:v>4116437.9805293218</x:v>
      </x:c>
      <x:c r="N439" s="3">
        <x:v>1.2347256020540618</x:v>
      </x:c>
      <x:c r="O439" s="3">
        <x:f t="shared" si="89"/>
        <x:v>5082671.3638272732</x:v>
      </x:c>
      <x:c r="P439" s="16">
        <x:f t="shared" si="90"/>
        <x:v>0</x:v>
      </x:c>
      <x:c r="Q439" s="16">
        <x:f t="shared" si="91"/>
        <x:v>0</x:v>
      </x:c>
      <x:c r="R439" s="16">
        <x:f t="shared" si="92"/>
        <x:v>5082671.3638272732</x:v>
      </x:c>
      <x:c r="S439" s="16">
        <x:f t="shared" si="87"/>
        <x:v>0</x:v>
      </x:c>
    </x:row>
    <x:row r="440" spans="1:19" outlineLevel="2">
      <x:c r="A440" s="12" t="s">
        <x:v>120</x:v>
      </x:c>
      <x:c r="B440" s="7" t="s">
        <x:v>83</x:v>
      </x:c>
      <x:c r="C440" s="6">
        <x:v>3084400.05</x:v>
      </x:c>
      <x:c r="F440" s="6">
        <x:v>3084400.05</x:v>
      </x:c>
      <x:c r="G440" s="1">
        <x:f t="shared" ref="G440:G471" si="93">+C440-D440-E440-F440</x:f>
        <x:v>0</x:v>
      </x:c>
      <x:c r="J440" s="3">
        <x:v>55</x:v>
      </x:c>
      <x:c r="K440" s="3">
        <x:v>31.214168999999998</x:v>
      </x:c>
      <x:c r="L440" s="4">
        <x:v>-0.75</x:v>
      </x:c>
      <x:c r="M440" s="3">
        <x:f t="shared" si="88"/>
        <x:v>2334341.4921810948</x:v>
      </x:c>
      <x:c r="N440" s="3">
        <x:v>1.2347256020540618</x:v>
      </x:c>
      <x:c r="O440" s="3">
        <x:f t="shared" si="89"/>
        <x:v>2882271.2043330795</x:v>
      </x:c>
      <x:c r="P440" s="16">
        <x:f t="shared" si="90"/>
        <x:v>0</x:v>
      </x:c>
      <x:c r="Q440" s="16">
        <x:f t="shared" si="91"/>
        <x:v>0</x:v>
      </x:c>
      <x:c r="R440" s="16">
        <x:f t="shared" si="92"/>
        <x:v>2882271.2043330795</x:v>
      </x:c>
      <x:c r="S440" s="16">
        <x:f t="shared" si="87"/>
        <x:v>0</x:v>
      </x:c>
    </x:row>
    <x:row r="441" spans="1:19" outlineLevel="2">
      <x:c r="A441" s="12" t="s">
        <x:v>120</x:v>
      </x:c>
      <x:c r="B441" s="7" t="s">
        <x:v>82</x:v>
      </x:c>
      <x:c r="C441" s="6">
        <x:v>9291302.7799999993</x:v>
      </x:c>
      <x:c r="F441" s="6">
        <x:v>9291302.7799999993</x:v>
      </x:c>
      <x:c r="G441" s="1">
        <x:f t="shared" si="93"/>
        <x:v>0</x:v>
      </x:c>
      <x:c r="J441" s="3">
        <x:v>55</x:v>
      </x:c>
      <x:c r="K441" s="3">
        <x:v>30.546201</x:v>
      </x:c>
      <x:c r="L441" s="4">
        <x:v>-0.75</x:v>
      </x:c>
      <x:c r="M441" s="3">
        <x:f t="shared" ref="M441:M472" si="94">+C441*(1-K441/J441)*(1-L441)</x:f>
        <x:v>7229334.3382355841</x:v>
      </x:c>
      <x:c r="N441" s="3">
        <x:v>1.2347256020540618</x:v>
      </x:c>
      <x:c r="O441" s="3">
        <x:f t="shared" ref="O441:O472" si="95">IF((C441*(1-L441)-M441*N441)&lt;0,C441*(1-L441),M441*N441)</x:f>
        <x:v>8926244.1932280343</x:v>
      </x:c>
      <x:c r="P441" s="16">
        <x:f t="shared" ref="P441:P472" si="96">+D441/$C441*$O441</x:f>
        <x:v>0</x:v>
      </x:c>
      <x:c r="Q441" s="16">
        <x:f t="shared" ref="Q441:Q472" si="97">+E441/$C441*$O441</x:f>
        <x:v>0</x:v>
      </x:c>
      <x:c r="R441" s="16">
        <x:f t="shared" ref="R441:R472" si="98">+F441/$C441*$O441</x:f>
        <x:v>8926244.1932280343</x:v>
      </x:c>
      <x:c r="S441" s="16">
        <x:f t="shared" si="87"/>
        <x:v>0</x:v>
      </x:c>
    </x:row>
    <x:row r="442" spans="1:19" outlineLevel="2">
      <x:c r="A442" s="12" t="s">
        <x:v>120</x:v>
      </x:c>
      <x:c r="B442" s="7" t="s">
        <x:v>81</x:v>
      </x:c>
      <x:c r="C442" s="6">
        <x:v>15855394.589999996</x:v>
      </x:c>
      <x:c r="F442" s="6">
        <x:v>15855394.589999996</x:v>
      </x:c>
      <x:c r="G442" s="1">
        <x:f t="shared" si="93"/>
        <x:v>0</x:v>
      </x:c>
      <x:c r="J442" s="3">
        <x:v>55</x:v>
      </x:c>
      <x:c r="K442" s="3">
        <x:v>29.885493</x:v>
      </x:c>
      <x:c r="L442" s="4">
        <x:v>-0.75</x:v>
      </x:c>
      <x:c r="M442" s="3">
        <x:f t="shared" si="94"/>
        <x:v>12670013.313310089</x:v>
      </x:c>
      <x:c r="N442" s="3">
        <x:v>1.2347256020540618</x:v>
      </x:c>
      <x:c r="O442" s="3">
        <x:f t="shared" si="95"/>
        <x:v>15643989.816309778</x:v>
      </x:c>
      <x:c r="P442" s="16">
        <x:f t="shared" si="96"/>
        <x:v>0</x:v>
      </x:c>
      <x:c r="Q442" s="16">
        <x:f t="shared" si="97"/>
        <x:v>0</x:v>
      </x:c>
      <x:c r="R442" s="16">
        <x:f t="shared" si="98"/>
        <x:v>15643989.816309778</x:v>
      </x:c>
      <x:c r="S442" s="16">
        <x:f t="shared" si="87"/>
        <x:v>0</x:v>
      </x:c>
    </x:row>
    <x:row r="443" spans="1:19" outlineLevel="2">
      <x:c r="A443" s="12" t="s">
        <x:v>120</x:v>
      </x:c>
      <x:c r="B443" s="7" t="s">
        <x:v>80</x:v>
      </x:c>
      <x:c r="C443" s="6">
        <x:v>3146151.89</x:v>
      </x:c>
      <x:c r="F443" s="6">
        <x:v>3146151.89</x:v>
      </x:c>
      <x:c r="G443" s="1">
        <x:f t="shared" si="93"/>
        <x:v>0</x:v>
      </x:c>
      <x:c r="J443" s="3">
        <x:v>55</x:v>
      </x:c>
      <x:c r="K443" s="3">
        <x:v>29.232230999999999</x:v>
      </x:c>
      <x:c r="L443" s="4">
        <x:v>-0.75</x:v>
      </x:c>
      <x:c r="M443" s="3">
        <x:f t="shared" si="94"/>
        <x:v>2579478.2090137908</x:v>
      </x:c>
      <x:c r="N443" s="3">
        <x:v>1.2347256020540618</x:v>
      </x:c>
      <x:c r="O443" s="3">
        <x:f t="shared" si="95"/>
        <x:v>3184947.7846098859</x:v>
      </x:c>
      <x:c r="P443" s="16">
        <x:f t="shared" si="96"/>
        <x:v>0</x:v>
      </x:c>
      <x:c r="Q443" s="16">
        <x:f t="shared" si="97"/>
        <x:v>0</x:v>
      </x:c>
      <x:c r="R443" s="16">
        <x:f t="shared" si="98"/>
        <x:v>3184947.7846098859</x:v>
      </x:c>
      <x:c r="S443" s="16">
        <x:f t="shared" si="87"/>
        <x:v>0</x:v>
      </x:c>
    </x:row>
    <x:row r="444" spans="1:19" outlineLevel="2">
      <x:c r="A444" s="12" t="s">
        <x:v>120</x:v>
      </x:c>
      <x:c r="B444" s="7" t="s">
        <x:v>79</x:v>
      </x:c>
      <x:c r="C444" s="6">
        <x:v>7241255.7399999993</x:v>
      </x:c>
      <x:c r="F444" s="6">
        <x:v>7241255.7399999993</x:v>
      </x:c>
      <x:c r="G444" s="1">
        <x:f t="shared" si="93"/>
        <x:v>0</x:v>
      </x:c>
      <x:c r="J444" s="3">
        <x:v>55</x:v>
      </x:c>
      <x:c r="K444" s="3">
        <x:v>28.586295</x:v>
      </x:c>
      <x:c r="L444" s="4">
        <x:v>-0.75</x:v>
      </x:c>
      <x:c r="M444" s="3">
        <x:f t="shared" si="94"/>
        <x:v>6085812.5028246203</x:v>
      </x:c>
      <x:c r="N444" s="3">
        <x:v>1.2347256020540618</x:v>
      </x:c>
      <x:c r="O444" s="3">
        <x:f t="shared" si="95"/>
        <x:v>7514308.5065382663</x:v>
      </x:c>
      <x:c r="P444" s="16">
        <x:f t="shared" si="96"/>
        <x:v>0</x:v>
      </x:c>
      <x:c r="Q444" s="16">
        <x:f t="shared" si="97"/>
        <x:v>0</x:v>
      </x:c>
      <x:c r="R444" s="16">
        <x:f t="shared" si="98"/>
        <x:v>7514308.5065382663</x:v>
      </x:c>
      <x:c r="S444" s="16">
        <x:f t="shared" si="87"/>
        <x:v>0</x:v>
      </x:c>
    </x:row>
    <x:row r="445" spans="1:19" outlineLevel="2">
      <x:c r="A445" s="12" t="s">
        <x:v>120</x:v>
      </x:c>
      <x:c r="B445" s="7" t="s">
        <x:v>78</x:v>
      </x:c>
      <x:c r="C445" s="6">
        <x:v>6324590.2999999998</x:v>
      </x:c>
      <x:c r="F445" s="6">
        <x:v>6324590.2999999998</x:v>
      </x:c>
      <x:c r="G445" s="1">
        <x:f t="shared" si="93"/>
        <x:v>0</x:v>
      </x:c>
      <x:c r="J445" s="3">
        <x:v>55</x:v>
      </x:c>
      <x:c r="K445" s="3">
        <x:v>27.947834</x:v>
      </x:c>
      <x:c r="L445" s="4">
        <x:v>-0.75</x:v>
      </x:c>
      <x:c r="M445" s="3">
        <x:f t="shared" si="94"/>
        <x:v>5443895.7579233125</x:v>
      </x:c>
      <x:c r="N445" s="3">
        <x:v>1.2347256020540618</x:v>
      </x:c>
      <x:c r="O445" s="3">
        <x:f t="shared" si="95"/>
        <x:v>6721717.4672214147</x:v>
      </x:c>
      <x:c r="P445" s="16">
        <x:f t="shared" si="96"/>
        <x:v>0</x:v>
      </x:c>
      <x:c r="Q445" s="16">
        <x:f t="shared" si="97"/>
        <x:v>0</x:v>
      </x:c>
      <x:c r="R445" s="16">
        <x:f t="shared" si="98"/>
        <x:v>6721717.4672214147</x:v>
      </x:c>
      <x:c r="S445" s="16">
        <x:f t="shared" si="87"/>
        <x:v>0</x:v>
      </x:c>
    </x:row>
    <x:row r="446" spans="1:19" outlineLevel="2">
      <x:c r="A446" s="12" t="s">
        <x:v>120</x:v>
      </x:c>
      <x:c r="B446" s="7" t="s">
        <x:v>77</x:v>
      </x:c>
      <x:c r="C446" s="6">
        <x:v>7691524.7899999991</x:v>
      </x:c>
      <x:c r="F446" s="6">
        <x:v>7691524.7899999991</x:v>
      </x:c>
      <x:c r="G446" s="1">
        <x:f t="shared" si="93"/>
        <x:v>0</x:v>
      </x:c>
      <x:c r="J446" s="3">
        <x:v>55</x:v>
      </x:c>
      <x:c r="K446" s="3">
        <x:v>27.317015000000001</x:v>
      </x:c>
      <x:c r="L446" s="4">
        <x:v>-0.75</x:v>
      </x:c>
      <x:c r="M446" s="3">
        <x:f t="shared" si="94"/>
        <x:v>6774866.1714585759</x:v>
      </x:c>
      <x:c r="N446" s="3">
        <x:v>1.2347256020540618</x:v>
      </x:c>
      <x:c r="O446" s="3">
        <x:f t="shared" si="95"/>
        <x:v>8365100.7123898864</x:v>
      </x:c>
      <x:c r="P446" s="16">
        <x:f t="shared" si="96"/>
        <x:v>0</x:v>
      </x:c>
      <x:c r="Q446" s="16">
        <x:f t="shared" si="97"/>
        <x:v>0</x:v>
      </x:c>
      <x:c r="R446" s="16">
        <x:f t="shared" si="98"/>
        <x:v>8365100.7123898864</x:v>
      </x:c>
      <x:c r="S446" s="16">
        <x:f t="shared" si="87"/>
        <x:v>0</x:v>
      </x:c>
    </x:row>
    <x:row r="447" spans="1:19" outlineLevel="2">
      <x:c r="A447" s="12" t="s">
        <x:v>120</x:v>
      </x:c>
      <x:c r="B447" s="7" t="s">
        <x:v>76</x:v>
      </x:c>
      <x:c r="C447" s="6">
        <x:v>3656231.5900000003</x:v>
      </x:c>
      <x:c r="F447" s="6">
        <x:v>3656231.5900000003</x:v>
      </x:c>
      <x:c r="G447" s="1">
        <x:f t="shared" si="93"/>
        <x:v>0</x:v>
      </x:c>
      <x:c r="J447" s="3">
        <x:v>55</x:v>
      </x:c>
      <x:c r="K447" s="3">
        <x:v>26.693982999999999</x:v>
      </x:c>
      <x:c r="L447" s="4">
        <x:v>-0.75</x:v>
      </x:c>
      <x:c r="M447" s="3">
        <x:f t="shared" si="94"/>
        <x:v>3292970.3399879057</x:v>
      </x:c>
      <x:c r="N447" s="3">
        <x:v>1.2347256020540618</x:v>
      </x:c>
      <x:c r="O447" s="3">
        <x:f t="shared" si="95"/>
        <x:v>4065914.7855877355</x:v>
      </x:c>
      <x:c r="P447" s="16">
        <x:f t="shared" si="96"/>
        <x:v>0</x:v>
      </x:c>
      <x:c r="Q447" s="16">
        <x:f t="shared" si="97"/>
        <x:v>0</x:v>
      </x:c>
      <x:c r="R447" s="16">
        <x:f t="shared" si="98"/>
        <x:v>4065914.7855877355</x:v>
      </x:c>
      <x:c r="S447" s="16">
        <x:f t="shared" si="87"/>
        <x:v>0</x:v>
      </x:c>
    </x:row>
    <x:row r="448" spans="1:19" outlineLevel="2">
      <x:c r="A448" s="12" t="s">
        <x:v>120</x:v>
      </x:c>
      <x:c r="B448" s="7" t="s">
        <x:v>75</x:v>
      </x:c>
      <x:c r="C448" s="6">
        <x:v>6881075.3499999987</x:v>
      </x:c>
      <x:c r="F448" s="6">
        <x:v>6881075.3499999987</x:v>
      </x:c>
      <x:c r="G448" s="1">
        <x:f t="shared" si="93"/>
        <x:v>0</x:v>
      </x:c>
      <x:c r="J448" s="3">
        <x:v>55</x:v>
      </x:c>
      <x:c r="K448" s="3">
        <x:v>26.079536000000001</x:v>
      </x:c>
      <x:c r="L448" s="4">
        <x:v>-0.75</x:v>
      </x:c>
      <x:c r="M448" s="3">
        <x:f t="shared" si="94"/>
        <x:v>6331942.0163033465</x:v>
      </x:c>
      <x:c r="N448" s="3">
        <x:v>1.2347256020540618</x:v>
      </x:c>
      <x:c r="O448" s="3">
        <x:f t="shared" si="95"/>
        <x:v>7818210.9182515591</x:v>
      </x:c>
      <x:c r="P448" s="16">
        <x:f t="shared" si="96"/>
        <x:v>0</x:v>
      </x:c>
      <x:c r="Q448" s="16">
        <x:f t="shared" si="97"/>
        <x:v>0</x:v>
      </x:c>
      <x:c r="R448" s="16">
        <x:f t="shared" si="98"/>
        <x:v>7818210.9182515591</x:v>
      </x:c>
      <x:c r="S448" s="16">
        <x:f t="shared" si="87"/>
        <x:v>0</x:v>
      </x:c>
    </x:row>
    <x:row r="449" spans="1:19" outlineLevel="2">
      <x:c r="A449" s="12" t="s">
        <x:v>120</x:v>
      </x:c>
      <x:c r="B449" s="7" t="s">
        <x:v>74</x:v>
      </x:c>
      <x:c r="C449" s="6">
        <x:v>5962643.6700000009</x:v>
      </x:c>
      <x:c r="F449" s="6">
        <x:v>5962643.6700000009</x:v>
      </x:c>
      <x:c r="G449" s="1">
        <x:f t="shared" si="93"/>
        <x:v>0</x:v>
      </x:c>
      <x:c r="J449" s="3">
        <x:v>55</x:v>
      </x:c>
      <x:c r="K449" s="3">
        <x:v>25.473205</x:v>
      </x:c>
      <x:c r="L449" s="4">
        <x:v>-0.75</x:v>
      </x:c>
      <x:c r="M449" s="3">
        <x:f t="shared" si="94"/>
        <x:v>5601837.7323407438</x:v>
      </x:c>
      <x:c r="N449" s="3">
        <x:v>1.2347256020540618</x:v>
      </x:c>
      <x:c r="O449" s="3">
        <x:f t="shared" si="95"/>
        <x:v>6916732.4666735847</x:v>
      </x:c>
      <x:c r="P449" s="16">
        <x:f t="shared" si="96"/>
        <x:v>0</x:v>
      </x:c>
      <x:c r="Q449" s="16">
        <x:f t="shared" si="97"/>
        <x:v>0</x:v>
      </x:c>
      <x:c r="R449" s="16">
        <x:f t="shared" si="98"/>
        <x:v>6916732.4666735847</x:v>
      </x:c>
      <x:c r="S449" s="16">
        <x:f t="shared" si="87"/>
        <x:v>0</x:v>
      </x:c>
    </x:row>
    <x:row r="450" spans="1:19" outlineLevel="2">
      <x:c r="A450" s="12" t="s">
        <x:v>120</x:v>
      </x:c>
      <x:c r="B450" s="7" t="s">
        <x:v>73</x:v>
      </x:c>
      <x:c r="C450" s="6">
        <x:v>7410065.0400000028</x:v>
      </x:c>
      <x:c r="F450" s="6">
        <x:v>7410065.0400000028</x:v>
      </x:c>
      <x:c r="G450" s="1">
        <x:f t="shared" si="93"/>
        <x:v>0</x:v>
      </x:c>
      <x:c r="J450" s="3">
        <x:v>55</x:v>
      </x:c>
      <x:c r="K450" s="3">
        <x:v>24.875132000000001</x:v>
      </x:c>
      <x:c r="L450" s="4">
        <x:v>-0.75</x:v>
      </x:c>
      <x:c r="M450" s="3">
        <x:f t="shared" si="94"/>
        <x:v>7102684.6291359253</x:v>
      </x:c>
      <x:c r="N450" s="3">
        <x:v>1.2347256020540618</x:v>
      </x:c>
      <x:c r="O450" s="3">
        <x:f t="shared" si="95"/>
        <x:v>8769866.5549099855</x:v>
      </x:c>
      <x:c r="P450" s="16">
        <x:f t="shared" si="96"/>
        <x:v>0</x:v>
      </x:c>
      <x:c r="Q450" s="16">
        <x:f t="shared" si="97"/>
        <x:v>0</x:v>
      </x:c>
      <x:c r="R450" s="16">
        <x:f t="shared" si="98"/>
        <x:v>8769866.5549099855</x:v>
      </x:c>
      <x:c r="S450" s="16">
        <x:f t="shared" si="87"/>
        <x:v>0</x:v>
      </x:c>
    </x:row>
    <x:row r="451" spans="1:19" outlineLevel="2">
      <x:c r="A451" s="12" t="s">
        <x:v>120</x:v>
      </x:c>
      <x:c r="B451" s="7" t="s">
        <x:v>72</x:v>
      </x:c>
      <x:c r="C451" s="6">
        <x:v>3043191.9299999988</x:v>
      </x:c>
      <x:c r="F451" s="6">
        <x:v>3043191.9299999988</x:v>
      </x:c>
      <x:c r="G451" s="1">
        <x:f t="shared" si="93"/>
        <x:v>0</x:v>
      </x:c>
      <x:c r="J451" s="3">
        <x:v>55</x:v>
      </x:c>
      <x:c r="K451" s="3">
        <x:v>24.285450999999998</x:v>
      </x:c>
      <x:c r="L451" s="4">
        <x:v>-0.75</x:v>
      </x:c>
      <x:c r="M451" s="3">
        <x:f t="shared" si="94"/>
        <x:v>2974053.9706942122</x:v>
      </x:c>
      <x:c r="N451" s="3">
        <x:v>1.2347256020540618</x:v>
      </x:c>
      <x:c r="O451" s="3">
        <x:f t="shared" si="95"/>
        <x:v>3672140.5795066841</x:v>
      </x:c>
      <x:c r="P451" s="16">
        <x:f t="shared" si="96"/>
        <x:v>0</x:v>
      </x:c>
      <x:c r="Q451" s="16">
        <x:f t="shared" si="97"/>
        <x:v>0</x:v>
      </x:c>
      <x:c r="R451" s="16">
        <x:f t="shared" si="98"/>
        <x:v>3672140.5795066841</x:v>
      </x:c>
      <x:c r="S451" s="16">
        <x:f t="shared" si="87"/>
        <x:v>0</x:v>
      </x:c>
    </x:row>
    <x:row r="452" spans="1:19" outlineLevel="2">
      <x:c r="A452" s="12" t="s">
        <x:v>120</x:v>
      </x:c>
      <x:c r="B452" s="7" t="s">
        <x:v>71</x:v>
      </x:c>
      <x:c r="C452" s="6">
        <x:v>10197758.470000003</x:v>
      </x:c>
      <x:c r="F452" s="6">
        <x:v>10197758.470000003</x:v>
      </x:c>
      <x:c r="G452" s="1">
        <x:f t="shared" si="93"/>
        <x:v>0</x:v>
      </x:c>
      <x:c r="J452" s="3">
        <x:v>55</x:v>
      </x:c>
      <x:c r="K452" s="3">
        <x:v>23.704294000000001</x:v>
      </x:c>
      <x:c r="L452" s="4">
        <x:v>-0.75</x:v>
      </x:c>
      <x:c r="M452" s="3">
        <x:f t="shared" si="94"/>
        <x:v>10154647.075240498</x:v>
      </x:c>
      <x:c r="N452" s="3">
        <x:v>1.2347256020540618</x:v>
      </x:c>
      <x:c r="O452" s="3">
        <x:f t="shared" si="95"/>
        <x:v>12538202.723622842</x:v>
      </x:c>
      <x:c r="P452" s="16">
        <x:f t="shared" si="96"/>
        <x:v>0</x:v>
      </x:c>
      <x:c r="Q452" s="16">
        <x:f t="shared" si="97"/>
        <x:v>0</x:v>
      </x:c>
      <x:c r="R452" s="16">
        <x:f t="shared" si="98"/>
        <x:v>12538202.723622842</x:v>
      </x:c>
      <x:c r="S452" s="16">
        <x:f t="shared" si="87"/>
        <x:v>0</x:v>
      </x:c>
    </x:row>
    <x:row r="453" spans="1:19" outlineLevel="2">
      <x:c r="A453" s="12" t="s">
        <x:v>120</x:v>
      </x:c>
      <x:c r="B453" s="7" t="s">
        <x:v>70</x:v>
      </x:c>
      <x:c r="C453" s="6">
        <x:v>5111264.4499999983</x:v>
      </x:c>
      <x:c r="F453" s="6">
        <x:v>5111264.4499999983</x:v>
      </x:c>
      <x:c r="G453" s="1">
        <x:f t="shared" si="93"/>
        <x:v>0</x:v>
      </x:c>
      <x:c r="J453" s="3">
        <x:v>55</x:v>
      </x:c>
      <x:c r="K453" s="3">
        <x:v>23.132111999999999</x:v>
      </x:c>
      <x:c r="L453" s="4">
        <x:v>-0.75</x:v>
      </x:c>
      <x:c r="M453" s="3">
        <x:f t="shared" si="94"/>
        <x:v>5182711.0055312309</x:v>
      </x:c>
      <x:c r="N453" s="3">
        <x:v>1.2347256020540618</x:v>
      </x:c>
      <x:c r="O453" s="3">
        <x:f t="shared" si="95"/>
        <x:v>6399225.9665767606</x:v>
      </x:c>
      <x:c r="P453" s="16">
        <x:f t="shared" si="96"/>
        <x:v>0</x:v>
      </x:c>
      <x:c r="Q453" s="16">
        <x:f t="shared" si="97"/>
        <x:v>0</x:v>
      </x:c>
      <x:c r="R453" s="16">
        <x:f t="shared" si="98"/>
        <x:v>6399225.9665767606</x:v>
      </x:c>
      <x:c r="S453" s="16">
        <x:f t="shared" si="87"/>
        <x:v>0</x:v>
      </x:c>
    </x:row>
    <x:row r="454" spans="1:19" outlineLevel="2">
      <x:c r="A454" s="12" t="s">
        <x:v>120</x:v>
      </x:c>
      <x:c r="B454" s="7" t="s">
        <x:v>69</x:v>
      </x:c>
      <x:c r="C454" s="6">
        <x:v>2260550.8400000003</x:v>
      </x:c>
      <x:c r="F454" s="6">
        <x:v>2260550.8400000003</x:v>
      </x:c>
      <x:c r="G454" s="1">
        <x:f t="shared" si="93"/>
        <x:v>0</x:v>
      </x:c>
      <x:c r="J454" s="3">
        <x:v>55</x:v>
      </x:c>
      <x:c r="K454" s="3">
        <x:v>22.569030000000001</x:v>
      </x:c>
      <x:c r="L454" s="4">
        <x:v>-0.75</x:v>
      </x:c>
      <x:c r="M454" s="3">
        <x:f t="shared" si="94"/>
        <x:v>2332649.9787663799</x:v>
      </x:c>
      <x:c r="N454" s="3">
        <x:v>1.2347256020540618</x:v>
      </x:c>
      <x:c r="O454" s="3">
        <x:f t="shared" si="95"/>
        <x:v>2880182.6494137128</x:v>
      </x:c>
      <x:c r="P454" s="16">
        <x:f t="shared" si="96"/>
        <x:v>0</x:v>
      </x:c>
      <x:c r="Q454" s="16">
        <x:f t="shared" si="97"/>
        <x:v>0</x:v>
      </x:c>
      <x:c r="R454" s="16">
        <x:f t="shared" si="98"/>
        <x:v>2880182.6494137128</x:v>
      </x:c>
      <x:c r="S454" s="16">
        <x:f t="shared" si="87"/>
        <x:v>0</x:v>
      </x:c>
    </x:row>
    <x:row r="455" spans="1:19" outlineLevel="2">
      <x:c r="A455" s="12" t="s">
        <x:v>120</x:v>
      </x:c>
      <x:c r="B455" s="7" t="s">
        <x:v>68</x:v>
      </x:c>
      <x:c r="C455" s="6">
        <x:v>2590300.2299999991</x:v>
      </x:c>
      <x:c r="F455" s="6">
        <x:v>2590300.2299999991</x:v>
      </x:c>
      <x:c r="G455" s="1">
        <x:f t="shared" si="93"/>
        <x:v>0</x:v>
      </x:c>
      <x:c r="J455" s="3">
        <x:v>55</x:v>
      </x:c>
      <x:c r="K455" s="3">
        <x:v>22.014849999999999</x:v>
      </x:c>
      <x:c r="L455" s="4">
        <x:v>-0.75</x:v>
      </x:c>
      <x:c r="M455" s="3">
        <x:f t="shared" si="94"/>
        <x:v>2718591.3246413246</x:v>
      </x:c>
      <x:c r="N455" s="3">
        <x:v>1.2347256020540618</x:v>
      </x:c>
      <x:c r="O455" s="3">
        <x:f t="shared" si="95"/>
        <x:v>3356714.3100567088</x:v>
      </x:c>
      <x:c r="P455" s="16">
        <x:f t="shared" si="96"/>
        <x:v>0</x:v>
      </x:c>
      <x:c r="Q455" s="16">
        <x:f t="shared" si="97"/>
        <x:v>0</x:v>
      </x:c>
      <x:c r="R455" s="16">
        <x:f t="shared" si="98"/>
        <x:v>3356714.3100567088</x:v>
      </x:c>
      <x:c r="S455" s="16">
        <x:f t="shared" si="87"/>
        <x:v>0</x:v>
      </x:c>
    </x:row>
    <x:row r="456" spans="1:19" outlineLevel="2">
      <x:c r="A456" s="12" t="s">
        <x:v>120</x:v>
      </x:c>
      <x:c r="B456" s="7" t="s">
        <x:v>67</x:v>
      </x:c>
      <x:c r="C456" s="6">
        <x:v>1653036.2100000004</x:v>
      </x:c>
      <x:c r="F456" s="6">
        <x:v>1653036.2100000004</x:v>
      </x:c>
      <x:c r="G456" s="1">
        <x:f t="shared" si="93"/>
        <x:v>0</x:v>
      </x:c>
      <x:c r="J456" s="3">
        <x:v>55</x:v>
      </x:c>
      <x:c r="K456" s="3">
        <x:v>21.469677000000001</x:v>
      </x:c>
      <x:c r="L456" s="4">
        <x:v>-0.75</x:v>
      </x:c>
      <x:c r="M456" s="3">
        <x:f t="shared" si="94"/>
        <x:v>1763581.2107453223</x:v>
      </x:c>
      <x:c r="N456" s="3">
        <x:v>1.2347256020540618</x:v>
      </x:c>
      <x:c r="O456" s="3">
        <x:f t="shared" si="95"/>
        <x:v>2177538.8722087494</x:v>
      </x:c>
      <x:c r="P456" s="16">
        <x:f t="shared" si="96"/>
        <x:v>0</x:v>
      </x:c>
      <x:c r="Q456" s="16">
        <x:f t="shared" si="97"/>
        <x:v>0</x:v>
      </x:c>
      <x:c r="R456" s="16">
        <x:f t="shared" si="98"/>
        <x:v>2177538.8722087494</x:v>
      </x:c>
      <x:c r="S456" s="16">
        <x:f t="shared" si="87"/>
        <x:v>0</x:v>
      </x:c>
    </x:row>
    <x:row r="457" spans="1:19" outlineLevel="2">
      <x:c r="A457" s="12" t="s">
        <x:v>120</x:v>
      </x:c>
      <x:c r="B457" s="7" t="s">
        <x:v>66</x:v>
      </x:c>
      <x:c r="C457" s="6">
        <x:v>3514882.9100000006</x:v>
      </x:c>
      <x:c r="F457" s="6">
        <x:v>3514882.9100000006</x:v>
      </x:c>
      <x:c r="G457" s="1">
        <x:f t="shared" si="93"/>
        <x:v>0</x:v>
      </x:c>
      <x:c r="J457" s="3">
        <x:v>55</x:v>
      </x:c>
      <x:c r="K457" s="3">
        <x:v>20.933610000000002</x:v>
      </x:c>
      <x:c r="L457" s="4">
        <x:v>-0.75</x:v>
      </x:c>
      <x:c r="M457" s="3">
        <x:f t="shared" si="94"/>
        <x:v>3809889.109612565</x:v>
      </x:c>
      <x:c r="N457" s="3">
        <x:v>1.2347256020540618</x:v>
      </x:c>
      <x:c r="O457" s="3">
        <x:f t="shared" si="95"/>
        <x:v>4704167.6246255878</x:v>
      </x:c>
      <x:c r="P457" s="16">
        <x:f t="shared" si="96"/>
        <x:v>0</x:v>
      </x:c>
      <x:c r="Q457" s="16">
        <x:f t="shared" si="97"/>
        <x:v>0</x:v>
      </x:c>
      <x:c r="R457" s="16">
        <x:f t="shared" si="98"/>
        <x:v>4704167.6246255878</x:v>
      </x:c>
      <x:c r="S457" s="16">
        <x:f t="shared" si="87"/>
        <x:v>0</x:v>
      </x:c>
    </x:row>
    <x:row r="458" spans="1:19" outlineLevel="2">
      <x:c r="A458" s="12" t="s">
        <x:v>120</x:v>
      </x:c>
      <x:c r="B458" s="7" t="s">
        <x:v>65</x:v>
      </x:c>
      <x:c r="C458" s="6">
        <x:v>2650329.5799999991</x:v>
      </x:c>
      <x:c r="F458" s="6">
        <x:v>2650329.5799999991</x:v>
      </x:c>
      <x:c r="G458" s="1">
        <x:f t="shared" si="93"/>
        <x:v>0</x:v>
      </x:c>
      <x:c r="J458" s="3">
        <x:v>55</x:v>
      </x:c>
      <x:c r="K458" s="3">
        <x:v>20.406741</x:v>
      </x:c>
      <x:c r="L458" s="4">
        <x:v>-0.75</x:v>
      </x:c>
      <x:c r="M458" s="3">
        <x:f t="shared" si="94"/>
        <x:v>2917203.4689732194</x:v>
      </x:c>
      <x:c r="N458" s="3">
        <x:v>1.2347256020540618</x:v>
      </x:c>
      <x:c r="O458" s="3">
        <x:f t="shared" si="95"/>
        <x:v>3601945.8095421558</x:v>
      </x:c>
      <x:c r="P458" s="16">
        <x:f t="shared" si="96"/>
        <x:v>0</x:v>
      </x:c>
      <x:c r="Q458" s="16">
        <x:f t="shared" si="97"/>
        <x:v>0</x:v>
      </x:c>
      <x:c r="R458" s="16">
        <x:f t="shared" si="98"/>
        <x:v>3601945.8095421558</x:v>
      </x:c>
      <x:c r="S458" s="16">
        <x:f t="shared" si="87"/>
        <x:v>0</x:v>
      </x:c>
    </x:row>
    <x:row r="459" spans="1:19" outlineLevel="2">
      <x:c r="A459" s="12" t="s">
        <x:v>120</x:v>
      </x:c>
      <x:c r="B459" s="7" t="s">
        <x:v>64</x:v>
      </x:c>
      <x:c r="C459" s="6">
        <x:v>3854111.9600000014</x:v>
      </x:c>
      <x:c r="F459" s="6">
        <x:v>3854111.9600000014</x:v>
      </x:c>
      <x:c r="G459" s="1">
        <x:f t="shared" si="93"/>
        <x:v>0</x:v>
      </x:c>
      <x:c r="J459" s="3">
        <x:v>55</x:v>
      </x:c>
      <x:c r="K459" s="3">
        <x:v>19.889721000000002</x:v>
      </x:c>
      <x:c r="L459" s="4">
        <x:v>-0.75</x:v>
      </x:c>
      <x:c r="M459" s="3">
        <x:f t="shared" si="94"/>
        <x:v>4305602.8340448095</x:v>
      </x:c>
      <x:c r="N459" s="3">
        <x:v>1.2347256020540618</x:v>
      </x:c>
      <x:c r="O459" s="3">
        <x:f t="shared" si="95"/>
        <x:v>5316238.0514716525</x:v>
      </x:c>
      <x:c r="P459" s="16">
        <x:f t="shared" si="96"/>
        <x:v>0</x:v>
      </x:c>
      <x:c r="Q459" s="16">
        <x:f t="shared" si="97"/>
        <x:v>0</x:v>
      </x:c>
      <x:c r="R459" s="16">
        <x:f t="shared" si="98"/>
        <x:v>5316238.0514716525</x:v>
      </x:c>
      <x:c r="S459" s="16">
        <x:f t="shared" si="87"/>
        <x:v>0</x:v>
      </x:c>
    </x:row>
    <x:row r="460" spans="1:19" outlineLevel="2">
      <x:c r="A460" s="12" t="s">
        <x:v>120</x:v>
      </x:c>
      <x:c r="B460" s="7" t="s">
        <x:v>63</x:v>
      </x:c>
      <x:c r="C460" s="6">
        <x:v>3511171.07</x:v>
      </x:c>
      <x:c r="F460" s="6">
        <x:v>3511171.07</x:v>
      </x:c>
      <x:c r="G460" s="1">
        <x:f t="shared" si="93"/>
        <x:v>0</x:v>
      </x:c>
      <x:c r="J460" s="3">
        <x:v>55</x:v>
      </x:c>
      <x:c r="K460" s="3">
        <x:v>19.38203</x:v>
      </x:c>
      <x:c r="L460" s="4">
        <x:v>-0.75</x:v>
      </x:c>
      <x:c r="M460" s="3">
        <x:f t="shared" si="94"/>
        <x:v>3979206.8220586148</x:v>
      </x:c>
      <x:c r="N460" s="3">
        <x:v>1.2347256020540618</x:v>
      </x:c>
      <x:c r="O460" s="3">
        <x:f t="shared" si="95"/>
        <x:v>4913228.5390639529</x:v>
      </x:c>
      <x:c r="P460" s="16">
        <x:f t="shared" si="96"/>
        <x:v>0</x:v>
      </x:c>
      <x:c r="Q460" s="16">
        <x:f t="shared" si="97"/>
        <x:v>0</x:v>
      </x:c>
      <x:c r="R460" s="16">
        <x:f t="shared" si="98"/>
        <x:v>4913228.5390639529</x:v>
      </x:c>
      <x:c r="S460" s="16">
        <x:f t="shared" si="87"/>
        <x:v>0</x:v>
      </x:c>
    </x:row>
    <x:row r="461" spans="1:19" outlineLevel="2">
      <x:c r="A461" s="12" t="s">
        <x:v>120</x:v>
      </x:c>
      <x:c r="B461" s="7" t="s">
        <x:v>62</x:v>
      </x:c>
      <x:c r="C461" s="6">
        <x:v>3146696.8300000005</x:v>
      </x:c>
      <x:c r="F461" s="6">
        <x:v>3146696.8300000005</x:v>
      </x:c>
      <x:c r="G461" s="1">
        <x:f t="shared" si="93"/>
        <x:v>0</x:v>
      </x:c>
      <x:c r="J461" s="3">
        <x:v>55</x:v>
      </x:c>
      <x:c r="K461" s="3">
        <x:v>18.883734</x:v>
      </x:c>
      <x:c r="L461" s="4">
        <x:v>-0.75</x:v>
      </x:c>
      <x:c r="M461" s="3">
        <x:f t="shared" si="94"/>
        <x:v>3616038.9915248072</x:v>
      </x:c>
      <x:c r="N461" s="3">
        <x:v>1.2347256020540618</x:v>
      </x:c>
      <x:c r="O461" s="3">
        <x:f t="shared" si="95"/>
        <x:v>4464815.9208614295</x:v>
      </x:c>
      <x:c r="P461" s="16">
        <x:f t="shared" si="96"/>
        <x:v>0</x:v>
      </x:c>
      <x:c r="Q461" s="16">
        <x:f t="shared" si="97"/>
        <x:v>0</x:v>
      </x:c>
      <x:c r="R461" s="16">
        <x:f t="shared" si="98"/>
        <x:v>4464815.9208614295</x:v>
      </x:c>
      <x:c r="S461" s="16">
        <x:f t="shared" si="87"/>
        <x:v>0</x:v>
      </x:c>
    </x:row>
    <x:row r="462" spans="1:19" outlineLevel="2">
      <x:c r="A462" s="12" t="s">
        <x:v>120</x:v>
      </x:c>
      <x:c r="B462" s="7" t="s">
        <x:v>61</x:v>
      </x:c>
      <x:c r="C462" s="6">
        <x:v>1484277.5999999999</x:v>
      </x:c>
      <x:c r="F462" s="6">
        <x:v>1484277.5999999999</x:v>
      </x:c>
      <x:c r="G462" s="1">
        <x:f t="shared" si="93"/>
        <x:v>0</x:v>
      </x:c>
      <x:c r="J462" s="3">
        <x:v>55</x:v>
      </x:c>
      <x:c r="K462" s="3">
        <x:v>18.394870000000001</x:v>
      </x:c>
      <x:c r="L462" s="4">
        <x:v>-0.75</x:v>
      </x:c>
      <x:c r="M462" s="3">
        <x:f t="shared" si="94"/>
        <x:v>1728751.0069482543</x:v>
      </x:c>
      <x:c r="N462" s="3">
        <x:v>1.2347256020540618</x:v>
      </x:c>
      <x:c r="O462" s="3">
        <x:f t="shared" si="95"/>
        <x:v>2134533.1278557489</x:v>
      </x:c>
      <x:c r="P462" s="16">
        <x:f t="shared" si="96"/>
        <x:v>0</x:v>
      </x:c>
      <x:c r="Q462" s="16">
        <x:f t="shared" si="97"/>
        <x:v>0</x:v>
      </x:c>
      <x:c r="R462" s="16">
        <x:f t="shared" si="98"/>
        <x:v>2134533.1278557489</x:v>
      </x:c>
      <x:c r="S462" s="16">
        <x:f t="shared" si="87"/>
        <x:v>0</x:v>
      </x:c>
    </x:row>
    <x:row r="463" spans="1:19" outlineLevel="2">
      <x:c r="A463" s="12" t="s">
        <x:v>120</x:v>
      </x:c>
      <x:c r="B463" s="7" t="s">
        <x:v>60</x:v>
      </x:c>
      <x:c r="C463" s="6">
        <x:v>1131860.9600000002</x:v>
      </x:c>
      <x:c r="F463" s="6">
        <x:v>1131860.9600000002</x:v>
      </x:c>
      <x:c r="G463" s="1">
        <x:f t="shared" si="93"/>
        <x:v>0</x:v>
      </x:c>
      <x:c r="J463" s="3">
        <x:v>55</x:v>
      </x:c>
      <x:c r="K463" s="3">
        <x:v>17.915474</x:v>
      </x:c>
      <x:c r="L463" s="4">
        <x:v>-0.75</x:v>
      </x:c>
      <x:c r="M463" s="3">
        <x:f t="shared" si="94"/>
        <x:v>1335553.1381660672</x:v>
      </x:c>
      <x:c r="N463" s="3">
        <x:v>1.2347256020540618</x:v>
      </x:c>
      <x:c r="O463" s="3">
        <x:f t="shared" si="95"/>
        <x:v>1649041.6525972888</x:v>
      </x:c>
      <x:c r="P463" s="16">
        <x:f t="shared" si="96"/>
        <x:v>0</x:v>
      </x:c>
      <x:c r="Q463" s="16">
        <x:f t="shared" si="97"/>
        <x:v>0</x:v>
      </x:c>
      <x:c r="R463" s="16">
        <x:f t="shared" si="98"/>
        <x:v>1649041.6525972888</x:v>
      </x:c>
      <x:c r="S463" s="16">
        <x:f t="shared" si="87"/>
        <x:v>0</x:v>
      </x:c>
    </x:row>
    <x:row r="464" spans="1:19" outlineLevel="2">
      <x:c r="A464" s="12" t="s">
        <x:v>120</x:v>
      </x:c>
      <x:c r="B464" s="7" t="s">
        <x:v>59</x:v>
      </x:c>
      <x:c r="C464" s="6">
        <x:v>1639567.7900000005</x:v>
      </x:c>
      <x:c r="F464" s="6">
        <x:v>1639567.7900000005</x:v>
      </x:c>
      <x:c r="G464" s="1">
        <x:f t="shared" si="93"/>
        <x:v>0</x:v>
      </x:c>
      <x:c r="J464" s="3">
        <x:v>55</x:v>
      </x:c>
      <x:c r="K464" s="3">
        <x:v>17.445775999999999</x:v>
      </x:c>
      <x:c r="L464" s="4">
        <x:v>-0.75</x:v>
      </x:c>
      <x:c r="M464" s="3">
        <x:f t="shared" si="94"/>
        <x:v>1959131.2379177946</x:v>
      </x:c>
      <x:c r="N464" s="3">
        <x:v>1.2347256020540618</x:v>
      </x:c>
      <x:c r="O464" s="3">
        <x:f t="shared" si="95"/>
        <x:v>2418989.4972409685</x:v>
      </x:c>
      <x:c r="P464" s="16">
        <x:f t="shared" si="96"/>
        <x:v>0</x:v>
      </x:c>
      <x:c r="Q464" s="16">
        <x:f t="shared" si="97"/>
        <x:v>0</x:v>
      </x:c>
      <x:c r="R464" s="16">
        <x:f t="shared" si="98"/>
        <x:v>2418989.4972409685</x:v>
      </x:c>
      <x:c r="S464" s="16">
        <x:f t="shared" si="87"/>
        <x:v>0</x:v>
      </x:c>
    </x:row>
    <x:row r="465" spans="1:19" outlineLevel="2">
      <x:c r="A465" s="12" t="s">
        <x:v>120</x:v>
      </x:c>
      <x:c r="B465" s="7" t="s">
        <x:v>58</x:v>
      </x:c>
      <x:c r="C465" s="6">
        <x:v>661117.56999999972</x:v>
      </x:c>
      <x:c r="F465" s="6">
        <x:v>661117.56999999972</x:v>
      </x:c>
      <x:c r="G465" s="1">
        <x:f t="shared" si="93"/>
        <x:v>0</x:v>
      </x:c>
      <x:c r="J465" s="3">
        <x:v>55</x:v>
      </x:c>
      <x:c r="K465" s="3">
        <x:v>16.985724000000001</x:v>
      </x:c>
      <x:c r="L465" s="4">
        <x:v>-0.75</x:v>
      </x:c>
      <x:c r="M465" s="3">
        <x:f t="shared" si="94"/>
        <x:v>799651.54736820515</x:v>
      </x:c>
      <x:c r="N465" s="3">
        <x:v>1.2347256020540618</x:v>
      </x:c>
      <x:c r="O465" s="3">
        <x:f t="shared" si="95"/>
        <x:v>987350.23825766926</x:v>
      </x:c>
      <x:c r="P465" s="16">
        <x:f t="shared" si="96"/>
        <x:v>0</x:v>
      </x:c>
      <x:c r="Q465" s="16">
        <x:f t="shared" si="97"/>
        <x:v>0</x:v>
      </x:c>
      <x:c r="R465" s="16">
        <x:f t="shared" si="98"/>
        <x:v>987350.23825766926</x:v>
      </x:c>
      <x:c r="S465" s="16">
        <x:f t="shared" si="87"/>
        <x:v>0</x:v>
      </x:c>
    </x:row>
    <x:row r="466" spans="1:19" outlineLevel="2">
      <x:c r="A466" s="12" t="s">
        <x:v>120</x:v>
      </x:c>
      <x:c r="B466" s="7" t="s">
        <x:v>57</x:v>
      </x:c>
      <x:c r="C466" s="6">
        <x:v>1126925.93</x:v>
      </x:c>
      <x:c r="F466" s="6">
        <x:v>1126925.93</x:v>
      </x:c>
      <x:c r="G466" s="1">
        <x:f t="shared" si="93"/>
        <x:v>0</x:v>
      </x:c>
      <x:c r="J466" s="3">
        <x:v>55</x:v>
      </x:c>
      <x:c r="K466" s="3">
        <x:v>16.535077999999999</x:v>
      </x:c>
      <x:c r="L466" s="4">
        <x:v>-0.75</x:v>
      </x:c>
      <x:c r="M466" s="3">
        <x:f t="shared" si="94"/>
        <x:v>1379226.4817299647</x:v>
      </x:c>
      <x:c r="N466" s="3">
        <x:v>1.2347256020540618</x:v>
      </x:c>
      <x:c r="O466" s="3">
        <x:f t="shared" si="95"/>
        <x:v>1702966.2480229361</x:v>
      </x:c>
      <x:c r="P466" s="16">
        <x:f t="shared" si="96"/>
        <x:v>0</x:v>
      </x:c>
      <x:c r="Q466" s="16">
        <x:f t="shared" si="97"/>
        <x:v>0</x:v>
      </x:c>
      <x:c r="R466" s="16">
        <x:f t="shared" si="98"/>
        <x:v>1702966.2480229361</x:v>
      </x:c>
      <x:c r="S466" s="16">
        <x:f t="shared" si="87"/>
        <x:v>0</x:v>
      </x:c>
    </x:row>
    <x:row r="467" spans="1:19" outlineLevel="2">
      <x:c r="A467" s="12" t="s">
        <x:v>120</x:v>
      </x:c>
      <x:c r="B467" s="7" t="s">
        <x:v>56</x:v>
      </x:c>
      <x:c r="C467" s="6">
        <x:v>849058.05999999994</x:v>
      </x:c>
      <x:c r="F467" s="6">
        <x:v>849058.05999999994</x:v>
      </x:c>
      <x:c r="G467" s="1">
        <x:f t="shared" si="93"/>
        <x:v>0</x:v>
      </x:c>
      <x:c r="J467" s="3">
        <x:v>55</x:v>
      </x:c>
      <x:c r="K467" s="3">
        <x:v>16.093803000000001</x:v>
      </x:c>
      <x:c r="L467" s="4">
        <x:v>-0.75</x:v>
      </x:c>
      <x:c r="M467" s="3">
        <x:f t="shared" si="94"/>
        <x:v>1051069.7319435668</x:v>
      </x:c>
      <x:c r="N467" s="3">
        <x:v>1.2347256020540618</x:v>
      </x:c>
      <x:c r="O467" s="3">
        <x:f t="shared" si="95"/>
        <x:v>1297782.7075748218</x:v>
      </x:c>
      <x:c r="P467" s="16">
        <x:f t="shared" si="96"/>
        <x:v>0</x:v>
      </x:c>
      <x:c r="Q467" s="16">
        <x:f t="shared" si="97"/>
        <x:v>0</x:v>
      </x:c>
      <x:c r="R467" s="16">
        <x:f t="shared" si="98"/>
        <x:v>1297782.7075748218</x:v>
      </x:c>
      <x:c r="S467" s="16">
        <x:f t="shared" si="87"/>
        <x:v>0</x:v>
      </x:c>
    </x:row>
    <x:row r="468" spans="1:19" outlineLevel="2">
      <x:c r="A468" s="12" t="s">
        <x:v>120</x:v>
      </x:c>
      <x:c r="B468" s="7" t="s">
        <x:v>55</x:v>
      </x:c>
      <x:c r="C468" s="6">
        <x:v>901718.7899999998</x:v>
      </x:c>
      <x:c r="F468" s="6">
        <x:v>901718.7899999998</x:v>
      </x:c>
      <x:c r="G468" s="1">
        <x:f t="shared" si="93"/>
        <x:v>0</x:v>
      </x:c>
      <x:c r="J468" s="3">
        <x:v>55</x:v>
      </x:c>
      <x:c r="K468" s="3">
        <x:v>15.661841000000001</x:v>
      </x:c>
      <x:c r="L468" s="4">
        <x:v>-0.75</x:v>
      </x:c>
      <x:c r="M468" s="3">
        <x:f t="shared" si="94"/>
        <x:v>1128653.1815461507</x:v>
      </x:c>
      <x:c r="N468" s="3">
        <x:v>1.2347256020540618</x:v>
      </x:c>
      <x:c r="O468" s="3">
        <x:f t="shared" si="95"/>
        <x:v>1393576.9790948033</x:v>
      </x:c>
      <x:c r="P468" s="16">
        <x:f t="shared" si="96"/>
        <x:v>0</x:v>
      </x:c>
      <x:c r="Q468" s="16">
        <x:f t="shared" si="97"/>
        <x:v>0</x:v>
      </x:c>
      <x:c r="R468" s="16">
        <x:f t="shared" si="98"/>
        <x:v>1393576.9790948033</x:v>
      </x:c>
      <x:c r="S468" s="16">
        <x:f t="shared" si="87"/>
        <x:v>0</x:v>
      </x:c>
    </x:row>
    <x:row r="469" spans="1:19" outlineLevel="2">
      <x:c r="A469" s="12" t="s">
        <x:v>120</x:v>
      </x:c>
      <x:c r="B469" s="7" t="s">
        <x:v>54</x:v>
      </x:c>
      <x:c r="C469" s="6">
        <x:v>797755.40000000037</x:v>
      </x:c>
      <x:c r="F469" s="6">
        <x:v>797755.40000000037</x:v>
      </x:c>
      <x:c r="G469" s="1">
        <x:f t="shared" si="93"/>
        <x:v>0</x:v>
      </x:c>
      <x:c r="J469" s="3">
        <x:v>55</x:v>
      </x:c>
      <x:c r="K469" s="3">
        <x:v>15.239127999999999</x:v>
      </x:c>
      <x:c r="L469" s="4">
        <x:v>-0.75</x:v>
      </x:c>
      <x:c r="M469" s="3">
        <x:f t="shared" si="94"/>
        <x:v>1009255.2383043714</x:v>
      </x:c>
      <x:c r="N469" s="3">
        <x:v>1.2347256020540618</x:v>
      </x:c>
      <x:c r="O469" s="3">
        <x:f t="shared" si="95"/>
        <x:v>1246153.2817415805</x:v>
      </x:c>
      <x:c r="P469" s="16">
        <x:f t="shared" si="96"/>
        <x:v>0</x:v>
      </x:c>
      <x:c r="Q469" s="16">
        <x:f t="shared" si="97"/>
        <x:v>0</x:v>
      </x:c>
      <x:c r="R469" s="16">
        <x:f t="shared" si="98"/>
        <x:v>1246153.2817415805</x:v>
      </x:c>
      <x:c r="S469" s="16">
        <x:f t="shared" si="87"/>
        <x:v>0</x:v>
      </x:c>
    </x:row>
    <x:row r="470" spans="1:19" outlineLevel="2">
      <x:c r="A470" s="12" t="s">
        <x:v>120</x:v>
      </x:c>
      <x:c r="B470" s="7" t="s">
        <x:v>53</x:v>
      </x:c>
      <x:c r="C470" s="6">
        <x:v>485427.88</x:v>
      </x:c>
      <x:c r="F470" s="6">
        <x:v>485427.88</x:v>
      </x:c>
      <x:c r="G470" s="1">
        <x:f t="shared" si="93"/>
        <x:v>0</x:v>
      </x:c>
      <x:c r="J470" s="3">
        <x:v>55</x:v>
      </x:c>
      <x:c r="K470" s="3">
        <x:v>14.825659</x:v>
      </x:c>
      <x:c r="L470" s="4">
        <x:v>-0.75</x:v>
      </x:c>
      <x:c r="M470" s="3">
        <x:f t="shared" si="94"/>
        <x:v>620510.07397358888</x:v>
      </x:c>
      <x:c r="N470" s="3">
        <x:v>1.2347256020540618</x:v>
      </x:c>
      <x:c r="O470" s="3">
        <x:f t="shared" si="95"/>
        <x:v>766159.6746676499</x:v>
      </x:c>
      <x:c r="P470" s="16">
        <x:f t="shared" si="96"/>
        <x:v>0</x:v>
      </x:c>
      <x:c r="Q470" s="16">
        <x:f t="shared" si="97"/>
        <x:v>0</x:v>
      </x:c>
      <x:c r="R470" s="16">
        <x:f t="shared" si="98"/>
        <x:v>766159.6746676499</x:v>
      </x:c>
      <x:c r="S470" s="16">
        <x:f t="shared" si="87"/>
        <x:v>0</x:v>
      </x:c>
    </x:row>
    <x:row r="471" spans="1:19" outlineLevel="2">
      <x:c r="A471" s="12" t="s">
        <x:v>120</x:v>
      </x:c>
      <x:c r="B471" s="7" t="s">
        <x:v>52</x:v>
      </x:c>
      <x:c r="C471" s="6">
        <x:v>651475.75999999978</x:v>
      </x:c>
      <x:c r="F471" s="6">
        <x:v>651475.75999999978</x:v>
      </x:c>
      <x:c r="G471" s="1">
        <x:f t="shared" si="93"/>
        <x:v>0</x:v>
      </x:c>
      <x:c r="J471" s="3">
        <x:v>55</x:v>
      </x:c>
      <x:c r="K471" s="3">
        <x:v>14.42109</x:v>
      </x:c>
      <x:c r="L471" s="4">
        <x:v>-0.75</x:v>
      </x:c>
      <x:c r="M471" s="3">
        <x:f t="shared" si="94"/>
        <x:v>841151.0619343234</x:v>
      </x:c>
      <x:c r="N471" s="3">
        <x:v>1.2347256020540618</x:v>
      </x:c>
      <x:c r="O471" s="3">
        <x:f t="shared" si="95"/>
        <x:v>1038590.7513652709</x:v>
      </x:c>
      <x:c r="P471" s="16">
        <x:f t="shared" si="96"/>
        <x:v>0</x:v>
      </x:c>
      <x:c r="Q471" s="16">
        <x:f t="shared" si="97"/>
        <x:v>0</x:v>
      </x:c>
      <x:c r="R471" s="16">
        <x:f t="shared" si="98"/>
        <x:v>1038590.7513652709</x:v>
      </x:c>
      <x:c r="S471" s="16">
        <x:f t="shared" si="87"/>
        <x:v>0</x:v>
      </x:c>
    </x:row>
    <x:row r="472" spans="1:19" outlineLevel="2">
      <x:c r="A472" s="12" t="s">
        <x:v>120</x:v>
      </x:c>
      <x:c r="B472" s="7" t="s">
        <x:v>51</x:v>
      </x:c>
      <x:c r="C472" s="6">
        <x:v>275008.43999999994</x:v>
      </x:c>
      <x:c r="F472" s="6">
        <x:v>275008.43999999994</x:v>
      </x:c>
      <x:c r="G472" s="1">
        <x:f t="shared" ref="G472:G497" si="99">+C472-D472-E472-F472</x:f>
        <x:v>0</x:v>
      </x:c>
      <x:c r="J472" s="3">
        <x:v>55</x:v>
      </x:c>
      <x:c r="K472" s="3">
        <x:v>14.025273</x:v>
      </x:c>
      <x:c r="L472" s="4">
        <x:v>-0.75</x:v>
      </x:c>
      <x:c r="M472" s="3">
        <x:f t="shared" si="94"/>
        <x:v>358539.86482668703</x:v>
      </x:c>
      <x:c r="N472" s="3">
        <x:v>1.2347256020540618</x:v>
      </x:c>
      <x:c r="O472" s="3">
        <x:f t="shared" si="95"/>
        <x:v>442698.35045851307</x:v>
      </x:c>
      <x:c r="P472" s="16">
        <x:f t="shared" si="96"/>
        <x:v>0</x:v>
      </x:c>
      <x:c r="Q472" s="16">
        <x:f t="shared" si="97"/>
        <x:v>0</x:v>
      </x:c>
      <x:c r="R472" s="16">
        <x:f t="shared" si="98"/>
        <x:v>442698.35045851307</x:v>
      </x:c>
      <x:c r="S472" s="16">
        <x:f t="shared" ref="S472:S535" si="100">+O472-P472-Q472-R472</x:f>
        <x:v>0</x:v>
      </x:c>
    </x:row>
    <x:row r="473" spans="1:19" outlineLevel="2">
      <x:c r="A473" s="12" t="s">
        <x:v>120</x:v>
      </x:c>
      <x:c r="B473" s="7" t="s">
        <x:v>50</x:v>
      </x:c>
      <x:c r="C473" s="6">
        <x:v>341165.55999999982</x:v>
      </x:c>
      <x:c r="F473" s="6">
        <x:v>341165.55999999982</x:v>
      </x:c>
      <x:c r="G473" s="1">
        <x:f t="shared" si="99"/>
        <x:v>0</x:v>
      </x:c>
      <x:c r="J473" s="3">
        <x:v>55</x:v>
      </x:c>
      <x:c r="K473" s="3">
        <x:v>13.63804</x:v>
      </x:c>
      <x:c r="L473" s="4">
        <x:v>-0.75</x:v>
      </x:c>
      <x:c r="M473" s="3">
        <x:f t="shared" ref="M473:M502" si="101">+C473*(1-K473/J473)*(1-L473)</x:f>
        <x:v>448995.15328492341</x:v>
      </x:c>
      <x:c r="N473" s="3">
        <x:v>1.2347256020540618</x:v>
      </x:c>
      <x:c r="O473" s="3">
        <x:f t="shared" ref="O473:O502" si="102">IF((C473*(1-L473)-M473*N473)&lt;0,C473*(1-L473),M473*N473)</x:f>
        <x:v>554385.8109590828</x:v>
      </x:c>
      <x:c r="P473" s="16">
        <x:f t="shared" ref="P473:P502" si="103">+D473/$C473*$O473</x:f>
        <x:v>0</x:v>
      </x:c>
      <x:c r="Q473" s="16">
        <x:f t="shared" ref="Q473:Q502" si="104">+E473/$C473*$O473</x:f>
        <x:v>0</x:v>
      </x:c>
      <x:c r="R473" s="16">
        <x:f t="shared" ref="R473:R502" si="105">+F473/$C473*$O473</x:f>
        <x:v>554385.8109590828</x:v>
      </x:c>
      <x:c r="S473" s="16">
        <x:f t="shared" si="100"/>
        <x:v>0</x:v>
      </x:c>
    </x:row>
    <x:row r="474" spans="1:19" outlineLevel="2">
      <x:c r="A474" s="12" t="s">
        <x:v>120</x:v>
      </x:c>
      <x:c r="B474" s="7" t="s">
        <x:v>49</x:v>
      </x:c>
      <x:c r="C474" s="6">
        <x:v>270700.89999999991</x:v>
      </x:c>
      <x:c r="F474" s="6">
        <x:v>270700.89999999991</x:v>
      </x:c>
      <x:c r="G474" s="1">
        <x:f t="shared" si="99"/>
        <x:v>0</x:v>
      </x:c>
      <x:c r="J474" s="3">
        <x:v>55</x:v>
      </x:c>
      <x:c r="K474" s="3">
        <x:v>13.259199000000001</x:v>
      </x:c>
      <x:c r="L474" s="4">
        <x:v>-0.75</x:v>
      </x:c>
      <x:c r="M474" s="3">
        <x:f t="shared" si="101"/>
        <x:v>359522.30355430121</x:v>
      </x:c>
      <x:c r="N474" s="3">
        <x:v>1.2347256020540618</x:v>
      </x:c>
      <x:c r="O474" s="3">
        <x:f t="shared" si="102"/>
        <x:v>443911.3927079477</x:v>
      </x:c>
      <x:c r="P474" s="16">
        <x:f t="shared" si="103"/>
        <x:v>0</x:v>
      </x:c>
      <x:c r="Q474" s="16">
        <x:f t="shared" si="104"/>
        <x:v>0</x:v>
      </x:c>
      <x:c r="R474" s="16">
        <x:f t="shared" si="105"/>
        <x:v>443911.3927079477</x:v>
      </x:c>
      <x:c r="S474" s="16">
        <x:f t="shared" si="100"/>
        <x:v>0</x:v>
      </x:c>
    </x:row>
    <x:row r="475" spans="1:19" outlineLevel="2">
      <x:c r="A475" s="12" t="s">
        <x:v>120</x:v>
      </x:c>
      <x:c r="B475" s="7" t="s">
        <x:v>48</x:v>
      </x:c>
      <x:c r="C475" s="6">
        <x:v>656578.50000000012</x:v>
      </x:c>
      <x:c r="F475" s="6">
        <x:v>656578.50000000012</x:v>
      </x:c>
      <x:c r="G475" s="1">
        <x:f t="shared" si="99"/>
        <x:v>0</x:v>
      </x:c>
      <x:c r="J475" s="3">
        <x:v>55</x:v>
      </x:c>
      <x:c r="K475" s="3">
        <x:v>12.888401</x:v>
      </x:c>
      <x:c r="L475" s="4">
        <x:v>-0.75</x:v>
      </x:c>
      <x:c r="M475" s="3">
        <x:f t="shared" si="101"/>
        <x:v>879759.06149159337</x:v>
      </x:c>
      <x:c r="N475" s="3">
        <x:v>1.2347256020540618</x:v>
      </x:c>
      <x:c r="O475" s="3">
        <x:f t="shared" si="102"/>
        <x:v>1086261.036862724</x:v>
      </x:c>
      <x:c r="P475" s="16">
        <x:f t="shared" si="103"/>
        <x:v>0</x:v>
      </x:c>
      <x:c r="Q475" s="16">
        <x:f t="shared" si="104"/>
        <x:v>0</x:v>
      </x:c>
      <x:c r="R475" s="16">
        <x:f t="shared" si="105"/>
        <x:v>1086261.036862724</x:v>
      </x:c>
      <x:c r="S475" s="16">
        <x:f t="shared" si="100"/>
        <x:v>0</x:v>
      </x:c>
    </x:row>
    <x:row r="476" spans="1:19" outlineLevel="2">
      <x:c r="A476" s="12" t="s">
        <x:v>120</x:v>
      </x:c>
      <x:c r="B476" s="7" t="s">
        <x:v>47</x:v>
      </x:c>
      <x:c r="C476" s="6">
        <x:v>213916.53000000006</x:v>
      </x:c>
      <x:c r="F476" s="6">
        <x:v>213916.53000000006</x:v>
      </x:c>
      <x:c r="G476" s="1">
        <x:f t="shared" si="99"/>
        <x:v>0</x:v>
      </x:c>
      <x:c r="J476" s="3">
        <x:v>55</x:v>
      </x:c>
      <x:c r="K476" s="3">
        <x:v>12.525261</x:v>
      </x:c>
      <x:c r="L476" s="4">
        <x:v>-0.75</x:v>
      </x:c>
      <x:c r="M476" s="3">
        <x:f t="shared" si="101"/>
        <x:v>289101.55207613506</x:v>
      </x:c>
      <x:c r="N476" s="3">
        <x:v>1.2347256020540618</x:v>
      </x:c>
      <x:c r="O476" s="3">
        <x:f t="shared" si="102"/>
        <x:v>356961.08794196957</x:v>
      </x:c>
      <x:c r="P476" s="16">
        <x:f t="shared" si="103"/>
        <x:v>0</x:v>
      </x:c>
      <x:c r="Q476" s="16">
        <x:f t="shared" si="104"/>
        <x:v>0</x:v>
      </x:c>
      <x:c r="R476" s="16">
        <x:f t="shared" si="105"/>
        <x:v>356961.08794196957</x:v>
      </x:c>
      <x:c r="S476" s="16">
        <x:f t="shared" si="100"/>
        <x:v>0</x:v>
      </x:c>
    </x:row>
    <x:row r="477" spans="1:19" outlineLevel="2">
      <x:c r="A477" s="12" t="s">
        <x:v>120</x:v>
      </x:c>
      <x:c r="B477" s="7" t="s">
        <x:v>46</x:v>
      </x:c>
      <x:c r="C477" s="6">
        <x:v>493487.39000000013</x:v>
      </x:c>
      <x:c r="F477" s="6">
        <x:v>493487.39000000013</x:v>
      </x:c>
      <x:c r="G477" s="1">
        <x:f t="shared" si="99"/>
        <x:v>0</x:v>
      </x:c>
      <x:c r="J477" s="3">
        <x:v>55</x:v>
      </x:c>
      <x:c r="K477" s="3">
        <x:v>12.169599</x:v>
      </x:c>
      <x:c r="L477" s="4">
        <x:v>-0.75</x:v>
      </x:c>
      <x:c r="M477" s="3">
        <x:f t="shared" si="101"/>
        <x:v>672517.45279547165</x:v>
      </x:c>
      <x:c r="N477" s="3">
        <x:v>1.2347256020540618</x:v>
      </x:c>
      <x:c r="O477" s="3">
        <x:f t="shared" si="102"/>
        <x:v>830374.5167947528</x:v>
      </x:c>
      <x:c r="P477" s="16">
        <x:f t="shared" si="103"/>
        <x:v>0</x:v>
      </x:c>
      <x:c r="Q477" s="16">
        <x:f t="shared" si="104"/>
        <x:v>0</x:v>
      </x:c>
      <x:c r="R477" s="16">
        <x:f t="shared" si="105"/>
        <x:v>830374.5167947528</x:v>
      </x:c>
      <x:c r="S477" s="16">
        <x:f t="shared" si="100"/>
        <x:v>0</x:v>
      </x:c>
    </x:row>
    <x:row r="478" spans="1:19" outlineLevel="2">
      <x:c r="A478" s="12" t="s">
        <x:v>120</x:v>
      </x:c>
      <x:c r="B478" s="7" t="s">
        <x:v>45</x:v>
      </x:c>
      <x:c r="C478" s="6">
        <x:v>965551.55999999982</x:v>
      </x:c>
      <x:c r="F478" s="6">
        <x:v>965551.55999999982</x:v>
      </x:c>
      <x:c r="G478" s="1">
        <x:f t="shared" si="99"/>
        <x:v>0</x:v>
      </x:c>
      <x:c r="J478" s="3">
        <x:v>55</x:v>
      </x:c>
      <x:c r="K478" s="3">
        <x:v>11.821135</x:v>
      </x:c>
      <x:c r="L478" s="4">
        <x:v>-0.75</x:v>
      </x:c>
      <x:c r="M478" s="3">
        <x:f t="shared" si="101"/>
        <x:v>1326545.1964475261</x:v>
      </x:c>
      <x:c r="N478" s="3">
        <x:v>1.2347256020540618</x:v>
      </x:c>
      <x:c r="O478" s="3">
        <x:f t="shared" si="102"/>
        <x:v>1637919.3163355954</x:v>
      </x:c>
      <x:c r="P478" s="16">
        <x:f t="shared" si="103"/>
        <x:v>0</x:v>
      </x:c>
      <x:c r="Q478" s="16">
        <x:f t="shared" si="104"/>
        <x:v>0</x:v>
      </x:c>
      <x:c r="R478" s="16">
        <x:f t="shared" si="105"/>
        <x:v>1637919.3163355954</x:v>
      </x:c>
      <x:c r="S478" s="16">
        <x:f t="shared" si="100"/>
        <x:v>0</x:v>
      </x:c>
    </x:row>
    <x:row r="479" spans="1:19" outlineLevel="2">
      <x:c r="A479" s="12" t="s">
        <x:v>120</x:v>
      </x:c>
      <x:c r="B479" s="7" t="s">
        <x:v>44</x:v>
      </x:c>
      <x:c r="C479" s="6">
        <x:v>177312.32000000004</x:v>
      </x:c>
      <x:c r="F479" s="6">
        <x:v>177312.32000000004</x:v>
      </x:c>
      <x:c r="G479" s="1">
        <x:f t="shared" si="99"/>
        <x:v>0</x:v>
      </x:c>
      <x:c r="J479" s="3">
        <x:v>55</x:v>
      </x:c>
      <x:c r="K479" s="3">
        <x:v>11.479581</x:v>
      </x:c>
      <x:c r="L479" s="4">
        <x:v>-0.75</x:v>
      </x:c>
      <x:c r="M479" s="3">
        <x:f t="shared" si="101"/>
        <x:v>245531.56919015711</x:v>
      </x:c>
      <x:c r="N479" s="3">
        <x:v>1.2347256020540618</x:v>
      </x:c>
      <x:c r="O479" s="3">
        <x:f t="shared" si="102"/>
        <x:v>303164.11459159525</x:v>
      </x:c>
      <x:c r="P479" s="16">
        <x:f t="shared" si="103"/>
        <x:v>0</x:v>
      </x:c>
      <x:c r="Q479" s="16">
        <x:f t="shared" si="104"/>
        <x:v>0</x:v>
      </x:c>
      <x:c r="R479" s="16">
        <x:f t="shared" si="105"/>
        <x:v>303164.11459159525</x:v>
      </x:c>
      <x:c r="S479" s="16">
        <x:f t="shared" si="100"/>
        <x:v>0</x:v>
      </x:c>
    </x:row>
    <x:row r="480" spans="1:19" outlineLevel="2">
      <x:c r="A480" s="12" t="s">
        <x:v>120</x:v>
      </x:c>
      <x:c r="B480" s="7" t="s">
        <x:v>43</x:v>
      </x:c>
      <x:c r="C480" s="6">
        <x:v>1904739.4</x:v>
      </x:c>
      <x:c r="F480" s="6">
        <x:v>1904739.4</x:v>
      </x:c>
      <x:c r="G480" s="1">
        <x:f t="shared" si="99"/>
        <x:v>0</x:v>
      </x:c>
      <x:c r="J480" s="3">
        <x:v>55</x:v>
      </x:c>
      <x:c r="K480" s="3">
        <x:v>11.144645000000001</x:v>
      </x:c>
      <x:c r="L480" s="4">
        <x:v>-0.75</x:v>
      </x:c>
      <x:c r="M480" s="3">
        <x:f t="shared" si="101"/>
        <x:v>2657868.8999382225</x:v>
      </x:c>
      <x:c r="N480" s="3">
        <x:v>1.2347256020540618</x:v>
      </x:c>
      <x:c r="O480" s="3">
        <x:f t="shared" si="102"/>
        <x:v>3281738.7776569887</x:v>
      </x:c>
      <x:c r="P480" s="16">
        <x:f t="shared" si="103"/>
        <x:v>0</x:v>
      </x:c>
      <x:c r="Q480" s="16">
        <x:f t="shared" si="104"/>
        <x:v>0</x:v>
      </x:c>
      <x:c r="R480" s="16">
        <x:f t="shared" si="105"/>
        <x:v>3281738.7776569887</x:v>
      </x:c>
      <x:c r="S480" s="16">
        <x:f t="shared" si="100"/>
        <x:v>0</x:v>
      </x:c>
    </x:row>
    <x:row r="481" spans="1:19" outlineLevel="2">
      <x:c r="A481" s="12" t="s">
        <x:v>120</x:v>
      </x:c>
      <x:c r="B481" s="7" t="s">
        <x:v>42</x:v>
      </x:c>
      <x:c r="C481" s="6">
        <x:v>589177.5900000002</x:v>
      </x:c>
      <x:c r="F481" s="6">
        <x:v>589177.5900000002</x:v>
      </x:c>
      <x:c r="G481" s="1">
        <x:f t="shared" si="99"/>
        <x:v>0</x:v>
      </x:c>
      <x:c r="J481" s="3">
        <x:v>55</x:v>
      </x:c>
      <x:c r="K481" s="3">
        <x:v>10.815121</x:v>
      </x:c>
      <x:c r="L481" s="4">
        <x:v>-0.75</x:v>
      </x:c>
      <x:c r="M481" s="3">
        <x:f t="shared" si="101"/>
        <x:v>828314.4712074151</x:v>
      </x:c>
      <x:c r="N481" s="3">
        <x:v>1.2347256020540618</x:v>
      </x:c>
      <x:c r="O481" s="3">
        <x:f t="shared" si="102"/>
        <x:v>1022741.0841516674</x:v>
      </x:c>
      <x:c r="P481" s="16">
        <x:f t="shared" si="103"/>
        <x:v>0</x:v>
      </x:c>
      <x:c r="Q481" s="16">
        <x:f t="shared" si="104"/>
        <x:v>0</x:v>
      </x:c>
      <x:c r="R481" s="16">
        <x:f t="shared" si="105"/>
        <x:v>1022741.0841516674</x:v>
      </x:c>
      <x:c r="S481" s="16">
        <x:f t="shared" si="100"/>
        <x:v>0</x:v>
      </x:c>
    </x:row>
    <x:row r="482" spans="1:19" outlineLevel="2">
      <x:c r="A482" s="12" t="s">
        <x:v>120</x:v>
      </x:c>
      <x:c r="B482" s="7" t="s">
        <x:v>41</x:v>
      </x:c>
      <x:c r="C482" s="6">
        <x:v>318501.01</x:v>
      </x:c>
      <x:c r="F482" s="6">
        <x:v>318501.01</x:v>
      </x:c>
      <x:c r="G482" s="1">
        <x:f t="shared" si="99"/>
        <x:v>0</x:v>
      </x:c>
      <x:c r="J482" s="3">
        <x:v>55</x:v>
      </x:c>
      <x:c r="K482" s="3">
        <x:v>10.491251999999999</x:v>
      </x:c>
      <x:c r="L482" s="4">
        <x:v>-0.75</x:v>
      </x:c>
      <x:c r="M482" s="3">
        <x:f t="shared" si="101"/>
        <x:v>451057.128831129</x:v>
      </x:c>
      <x:c r="N482" s="3">
        <x:v>1.2347256020540618</x:v>
      </x:c>
      <x:c r="O482" s="3">
        <x:f t="shared" si="102"/>
        <x:v>556931.78495679225</x:v>
      </x:c>
      <x:c r="P482" s="16">
        <x:f t="shared" si="103"/>
        <x:v>0</x:v>
      </x:c>
      <x:c r="Q482" s="16">
        <x:f t="shared" si="104"/>
        <x:v>0</x:v>
      </x:c>
      <x:c r="R482" s="16">
        <x:f t="shared" si="105"/>
        <x:v>556931.78495679225</x:v>
      </x:c>
      <x:c r="S482" s="16">
        <x:f t="shared" si="100"/>
        <x:v>0</x:v>
      </x:c>
    </x:row>
    <x:row r="483" spans="1:19" outlineLevel="2">
      <x:c r="A483" s="12" t="s">
        <x:v>120</x:v>
      </x:c>
      <x:c r="B483" s="7" t="s">
        <x:v>40</x:v>
      </x:c>
      <x:c r="C483" s="6">
        <x:v>286195.12999999995</x:v>
      </x:c>
      <x:c r="F483" s="6">
        <x:v>286195.12999999995</x:v>
      </x:c>
      <x:c r="G483" s="1">
        <x:f t="shared" si="99"/>
        <x:v>0</x:v>
      </x:c>
      <x:c r="J483" s="3">
        <x:v>55</x:v>
      </x:c>
      <x:c r="K483" s="3">
        <x:v>10.172794</x:v>
      </x:c>
      <x:c r="L483" s="4">
        <x:v>-0.75</x:v>
      </x:c>
      <x:c r="M483" s="3">
        <x:f t="shared" si="101"/>
        <x:v>408205.89245885197</x:v>
      </x:c>
      <x:c r="N483" s="3">
        <x:v>1.2347256020540618</x:v>
      </x:c>
      <x:c r="O483" s="3">
        <x:f t="shared" si="102"/>
        <x:v>500841.47749999992</x:v>
      </x:c>
      <x:c r="P483" s="16">
        <x:f t="shared" si="103"/>
        <x:v>0</x:v>
      </x:c>
      <x:c r="Q483" s="16">
        <x:f t="shared" si="104"/>
        <x:v>0</x:v>
      </x:c>
      <x:c r="R483" s="16">
        <x:f t="shared" si="105"/>
        <x:v>500841.47749999992</x:v>
      </x:c>
      <x:c r="S483" s="16">
        <x:f t="shared" si="100"/>
        <x:v>0</x:v>
      </x:c>
    </x:row>
    <x:row r="484" spans="1:19" outlineLevel="2">
      <x:c r="A484" s="12" t="s">
        <x:v>120</x:v>
      </x:c>
      <x:c r="B484" s="7" t="s">
        <x:v>39</x:v>
      </x:c>
      <x:c r="C484" s="6">
        <x:v>670912.24</x:v>
      </x:c>
      <x:c r="F484" s="6">
        <x:v>670912.24</x:v>
      </x:c>
      <x:c r="G484" s="1">
        <x:f t="shared" si="99"/>
        <x:v>0</x:v>
      </x:c>
      <x:c r="J484" s="3">
        <x:v>55</x:v>
      </x:c>
      <x:c r="K484" s="3">
        <x:v>9.8594329999999992</x:v>
      </x:c>
      <x:c r="L484" s="4">
        <x:v>-0.75</x:v>
      </x:c>
      <x:c r="M484" s="3">
        <x:f t="shared" si="101"/>
        <x:v>963625.05657218432</x:v>
      </x:c>
      <x:c r="N484" s="3">
        <x:v>1.2347256020540618</x:v>
      </x:c>
      <x:c r="O484" s="3">
        <x:f t="shared" si="102"/>
        <x:v>1174096.42</x:v>
      </x:c>
      <x:c r="P484" s="16">
        <x:f t="shared" si="103"/>
        <x:v>0</x:v>
      </x:c>
      <x:c r="Q484" s="16">
        <x:f t="shared" si="104"/>
        <x:v>0</x:v>
      </x:c>
      <x:c r="R484" s="16">
        <x:f t="shared" si="105"/>
        <x:v>1174096.42</x:v>
      </x:c>
      <x:c r="S484" s="16">
        <x:f t="shared" si="100"/>
        <x:v>0</x:v>
      </x:c>
    </x:row>
    <x:row r="485" spans="1:19" outlineLevel="2">
      <x:c r="A485" s="12" t="s">
        <x:v>120</x:v>
      </x:c>
      <x:c r="B485" s="7" t="s">
        <x:v>38</x:v>
      </x:c>
      <x:c r="C485" s="6">
        <x:v>50359.749999999993</x:v>
      </x:c>
      <x:c r="F485" s="6">
        <x:v>50359.749999999993</x:v>
      </x:c>
      <x:c r="G485" s="1">
        <x:f t="shared" si="99"/>
        <x:v>0</x:v>
      </x:c>
      <x:c r="J485" s="3">
        <x:v>55</x:v>
      </x:c>
      <x:c r="K485" s="3">
        <x:v>9.55091</x:v>
      </x:c>
      <x:c r="L485" s="4">
        <x:v>-0.75</x:v>
      </x:c>
      <x:c r="M485" s="3">
        <x:f t="shared" si="101"/>
        <x:v>72825.607594965899</x:v>
      </x:c>
      <x:c r="N485" s="3">
        <x:v>1.2347256020540618</x:v>
      </x:c>
      <x:c r="O485" s="3">
        <x:f t="shared" si="102"/>
        <x:v>88129.562499999985</x:v>
      </x:c>
      <x:c r="P485" s="16">
        <x:f t="shared" si="103"/>
        <x:v>0</x:v>
      </x:c>
      <x:c r="Q485" s="16">
        <x:f t="shared" si="104"/>
        <x:v>0</x:v>
      </x:c>
      <x:c r="R485" s="16">
        <x:f t="shared" si="105"/>
        <x:v>88129.562499999985</x:v>
      </x:c>
      <x:c r="S485" s="16">
        <x:f t="shared" si="100"/>
        <x:v>0</x:v>
      </x:c>
    </x:row>
    <x:row r="486" spans="1:19" outlineLevel="2">
      <x:c r="A486" s="12" t="s">
        <x:v>120</x:v>
      </x:c>
      <x:c r="B486" s="7" t="s">
        <x:v>37</x:v>
      </x:c>
      <x:c r="C486" s="6">
        <x:v>16232.309999999998</x:v>
      </x:c>
      <x:c r="F486" s="6">
        <x:v>16232.309999999998</x:v>
      </x:c>
      <x:c r="G486" s="1">
        <x:f t="shared" si="99"/>
        <x:v>0</x:v>
      </x:c>
      <x:c r="J486" s="3">
        <x:v>55</x:v>
      </x:c>
      <x:c r="K486" s="3">
        <x:v>9.2462520000000001</x:v>
      </x:c>
      <x:c r="L486" s="4">
        <x:v>-0.75</x:v>
      </x:c>
      <x:c r="M486" s="3">
        <x:f t="shared" si="101"/>
        <x:v>23631.014310841634</x:v>
      </x:c>
      <x:c r="N486" s="3">
        <x:v>1.2347256020540618</x:v>
      </x:c>
      <x:c r="O486" s="3">
        <x:f t="shared" si="102"/>
        <x:v>28406.542499999996</x:v>
      </x:c>
      <x:c r="P486" s="16">
        <x:f t="shared" si="103"/>
        <x:v>0</x:v>
      </x:c>
      <x:c r="Q486" s="16">
        <x:f t="shared" si="104"/>
        <x:v>0</x:v>
      </x:c>
      <x:c r="R486" s="16">
        <x:f t="shared" si="105"/>
        <x:v>28406.542499999996</x:v>
      </x:c>
      <x:c r="S486" s="16">
        <x:f t="shared" si="100"/>
        <x:v>0</x:v>
      </x:c>
    </x:row>
    <x:row r="487" spans="1:19" outlineLevel="2">
      <x:c r="A487" s="12" t="s">
        <x:v>120</x:v>
      </x:c>
      <x:c r="B487" s="7" t="s">
        <x:v>36</x:v>
      </x:c>
      <x:c r="C487" s="6">
        <x:v>7629.4400000000005</x:v>
      </x:c>
      <x:c r="F487" s="6">
        <x:v>7629.4400000000005</x:v>
      </x:c>
      <x:c r="G487" s="1">
        <x:f t="shared" si="99"/>
        <x:v>0</x:v>
      </x:c>
      <x:c r="J487" s="3">
        <x:v>55</x:v>
      </x:c>
      <x:c r="K487" s="3">
        <x:v>8.9450249999999993</x:v>
      </x:c>
      <x:c r="L487" s="4">
        <x:v>-0.75</x:v>
      </x:c>
      <x:c r="M487" s="3">
        <x:f t="shared" si="101"/>
        <x:v>11180.071269309092</x:v>
      </x:c>
      <x:c r="N487" s="3">
        <x:v>1.2347256020540618</x:v>
      </x:c>
      <x:c r="O487" s="3">
        <x:f t="shared" si="102"/>
        <x:v>13351.52</x:v>
      </x:c>
      <x:c r="P487" s="16">
        <x:f t="shared" si="103"/>
        <x:v>0</x:v>
      </x:c>
      <x:c r="Q487" s="16">
        <x:f t="shared" si="104"/>
        <x:v>0</x:v>
      </x:c>
      <x:c r="R487" s="16">
        <x:f t="shared" si="105"/>
        <x:v>13351.52</x:v>
      </x:c>
      <x:c r="S487" s="16">
        <x:f t="shared" si="100"/>
        <x:v>0</x:v>
      </x:c>
    </x:row>
    <x:row r="488" spans="1:19" outlineLevel="2">
      <x:c r="A488" s="12" t="s">
        <x:v>120</x:v>
      </x:c>
      <x:c r="B488" s="7" t="s">
        <x:v>35</x:v>
      </x:c>
      <x:c r="C488" s="6">
        <x:v>6022.6900000000005</x:v>
      </x:c>
      <x:c r="F488" s="6">
        <x:v>6022.6900000000005</x:v>
      </x:c>
      <x:c r="G488" s="1">
        <x:f t="shared" si="99"/>
        <x:v>0</x:v>
      </x:c>
      <x:c r="J488" s="3">
        <x:v>55</x:v>
      </x:c>
      <x:c r="K488" s="3">
        <x:v>8.6476950000000006</x:v>
      </x:c>
      <x:c r="L488" s="4">
        <x:v>-0.75</x:v>
      </x:c>
      <x:c r="M488" s="3">
        <x:f t="shared" si="101"/>
        <x:v>8882.5406663779559</x:v>
      </x:c>
      <x:c r="N488" s="3">
        <x:v>1.2347256020540618</x:v>
      </x:c>
      <x:c r="O488" s="3">
        <x:f t="shared" si="102"/>
        <x:v>10539.7075</x:v>
      </x:c>
      <x:c r="P488" s="16">
        <x:f t="shared" si="103"/>
        <x:v>0</x:v>
      </x:c>
      <x:c r="Q488" s="16">
        <x:f t="shared" si="104"/>
        <x:v>0</x:v>
      </x:c>
      <x:c r="R488" s="16">
        <x:f t="shared" si="105"/>
        <x:v>10539.7075</x:v>
      </x:c>
      <x:c r="S488" s="16">
        <x:f t="shared" si="100"/>
        <x:v>0</x:v>
      </x:c>
    </x:row>
    <x:row r="489" spans="1:19" outlineLevel="2">
      <x:c r="A489" s="12" t="s">
        <x:v>120</x:v>
      </x:c>
      <x:c r="B489" s="7" t="s">
        <x:v>34</x:v>
      </x:c>
      <x:c r="C489" s="6">
        <x:v>875.8900000000001</x:v>
      </x:c>
      <x:c r="F489" s="6">
        <x:v>875.8900000000001</x:v>
      </x:c>
      <x:c r="G489" s="1">
        <x:f t="shared" si="99"/>
        <x:v>0</x:v>
      </x:c>
      <x:c r="J489" s="3">
        <x:v>55</x:v>
      </x:c>
      <x:c r="K489" s="3">
        <x:v>8.3541779999999992</x:v>
      </x:c>
      <x:c r="L489" s="4">
        <x:v>-0.75</x:v>
      </x:c>
      <x:c r="M489" s="3">
        <x:f t="shared" si="101"/>
        <x:v>1299.9830146411819</x:v>
      </x:c>
      <x:c r="N489" s="3">
        <x:v>1.2347256020540618</x:v>
      </x:c>
      <x:c r="O489" s="3">
        <x:f t="shared" si="102"/>
        <x:v>1532.8075000000001</x:v>
      </x:c>
      <x:c r="P489" s="16">
        <x:f t="shared" si="103"/>
        <x:v>0</x:v>
      </x:c>
      <x:c r="Q489" s="16">
        <x:f t="shared" si="104"/>
        <x:v>0</x:v>
      </x:c>
      <x:c r="R489" s="16">
        <x:f t="shared" si="105"/>
        <x:v>1532.8075000000001</x:v>
      </x:c>
      <x:c r="S489" s="16">
        <x:f t="shared" si="100"/>
        <x:v>0</x:v>
      </x:c>
    </x:row>
    <x:row r="490" spans="1:19" outlineLevel="2">
      <x:c r="A490" s="12" t="s">
        <x:v>120</x:v>
      </x:c>
      <x:c r="B490" s="7" t="s">
        <x:v>33</x:v>
      </x:c>
      <x:c r="C490" s="6">
        <x:v>27275.75</x:v>
      </x:c>
      <x:c r="F490" s="6">
        <x:v>27275.75</x:v>
      </x:c>
      <x:c r="G490" s="1">
        <x:f t="shared" si="99"/>
        <x:v>0</x:v>
      </x:c>
      <x:c r="J490" s="3">
        <x:v>55</x:v>
      </x:c>
      <x:c r="K490" s="3">
        <x:v>8.0644629999999999</x:v>
      </x:c>
      <x:c r="L490" s="4">
        <x:v>-0.75</x:v>
      </x:c>
      <x:c r="M490" s="3">
        <x:f t="shared" si="101"/>
        <x:v>40733.699151337496</x:v>
      </x:c>
      <x:c r="N490" s="3">
        <x:v>1.2347256020540618</x:v>
      </x:c>
      <x:c r="O490" s="3">
        <x:f t="shared" si="102"/>
        <x:v>47732.5625</x:v>
      </x:c>
      <x:c r="P490" s="16">
        <x:f t="shared" si="103"/>
        <x:v>0</x:v>
      </x:c>
      <x:c r="Q490" s="16">
        <x:f t="shared" si="104"/>
        <x:v>0</x:v>
      </x:c>
      <x:c r="R490" s="16">
        <x:f t="shared" si="105"/>
        <x:v>47732.5625</x:v>
      </x:c>
      <x:c r="S490" s="16">
        <x:f t="shared" si="100"/>
        <x:v>0</x:v>
      </x:c>
    </x:row>
    <x:row r="491" spans="1:19" outlineLevel="2">
      <x:c r="A491" s="12" t="s">
        <x:v>120</x:v>
      </x:c>
      <x:c r="B491" s="7" t="s">
        <x:v>32</x:v>
      </x:c>
      <x:c r="C491" s="6">
        <x:v>18926.39</x:v>
      </x:c>
      <x:c r="F491" s="6">
        <x:v>18926.39</x:v>
      </x:c>
      <x:c r="G491" s="1">
        <x:f t="shared" si="99"/>
        <x:v>0</x:v>
      </x:c>
      <x:c r="J491" s="3">
        <x:v>55</x:v>
      </x:c>
      <x:c r="K491" s="3">
        <x:v>7.7786220000000004</x:v>
      </x:c>
      <x:c r="L491" s="4">
        <x:v>-0.75</x:v>
      </x:c>
      <x:c r="M491" s="3">
        <x:f t="shared" si="101"/>
        <x:v>28436.870520717905</x:v>
      </x:c>
      <x:c r="N491" s="3">
        <x:v>1.2347256020540618</x:v>
      </x:c>
      <x:c r="O491" s="3">
        <x:f t="shared" si="102"/>
        <x:v>33121.182499999995</x:v>
      </x:c>
      <x:c r="P491" s="16">
        <x:f t="shared" si="103"/>
        <x:v>0</x:v>
      </x:c>
      <x:c r="Q491" s="16">
        <x:f t="shared" si="104"/>
        <x:v>0</x:v>
      </x:c>
      <x:c r="R491" s="16">
        <x:f t="shared" si="105"/>
        <x:v>33121.182499999995</x:v>
      </x:c>
      <x:c r="S491" s="16">
        <x:f t="shared" si="100"/>
        <x:v>0</x:v>
      </x:c>
    </x:row>
    <x:row r="492" spans="1:19" outlineLevel="2">
      <x:c r="A492" s="12" t="s">
        <x:v>120</x:v>
      </x:c>
      <x:c r="B492" s="7" t="s">
        <x:v>31</x:v>
      </x:c>
      <x:c r="C492" s="6">
        <x:v>376350.81</x:v>
      </x:c>
      <x:c r="F492" s="6">
        <x:v>376350.81</x:v>
      </x:c>
      <x:c r="G492" s="1">
        <x:f t="shared" si="99"/>
        <x:v>0</x:v>
      </x:c>
      <x:c r="J492" s="3">
        <x:v>55</x:v>
      </x:c>
      <x:c r="K492" s="3">
        <x:v>7.494561</x:v>
      </x:c>
      <x:c r="L492" s="4">
        <x:v>-0.75</x:v>
      </x:c>
      <x:c r="M492" s="3">
        <x:f t="shared" si="101"/>
        <x:v>568868.0596790415</x:v>
      </x:c>
      <x:c r="N492" s="3">
        <x:v>1.2347256020540618</x:v>
      </x:c>
      <x:c r="O492" s="3">
        <x:f t="shared" si="102"/>
        <x:v>658613.91749999998</x:v>
      </x:c>
      <x:c r="P492" s="16">
        <x:f t="shared" si="103"/>
        <x:v>0</x:v>
      </x:c>
      <x:c r="Q492" s="16">
        <x:f t="shared" si="104"/>
        <x:v>0</x:v>
      </x:c>
      <x:c r="R492" s="16">
        <x:f t="shared" si="105"/>
        <x:v>658613.91749999998</x:v>
      </x:c>
      <x:c r="S492" s="16">
        <x:f t="shared" si="100"/>
        <x:v>0</x:v>
      </x:c>
    </x:row>
    <x:row r="493" spans="1:19" outlineLevel="2">
      <x:c r="A493" s="12" t="s">
        <x:v>120</x:v>
      </x:c>
      <x:c r="B493" s="7" t="s">
        <x:v>24</x:v>
      </x:c>
      <x:c r="C493" s="6">
        <x:v>743.44</x:v>
      </x:c>
      <x:c r="F493" s="6">
        <x:v>743.44</x:v>
      </x:c>
      <x:c r="G493" s="1">
        <x:f t="shared" si="99"/>
        <x:v>0</x:v>
      </x:c>
      <x:c r="J493" s="3">
        <x:v>55</x:v>
      </x:c>
      <x:c r="K493" s="3">
        <x:v>5.109591</x:v>
      </x:c>
      <x:c r="L493" s="4">
        <x:v>-0.75</x:v>
      </x:c>
      <x:c r="M493" s="3">
        <x:f t="shared" si="101"/>
        <x:v>1180.1530894032728</x:v>
      </x:c>
      <x:c r="N493" s="3">
        <x:v>1.2347256020540618</x:v>
      </x:c>
      <x:c r="O493" s="3">
        <x:f t="shared" si="102"/>
        <x:v>1301.02</x:v>
      </x:c>
      <x:c r="P493" s="16">
        <x:f t="shared" si="103"/>
        <x:v>0</x:v>
      </x:c>
      <x:c r="Q493" s="16">
        <x:f t="shared" si="104"/>
        <x:v>0</x:v>
      </x:c>
      <x:c r="R493" s="16">
        <x:f t="shared" si="105"/>
        <x:v>1301.02</x:v>
      </x:c>
      <x:c r="S493" s="16">
        <x:f t="shared" si="100"/>
        <x:v>0</x:v>
      </x:c>
    </x:row>
    <x:row r="494" spans="1:19" outlineLevel="2">
      <x:c r="A494" s="12" t="s">
        <x:v>120</x:v>
      </x:c>
      <x:c r="B494" s="7" t="s">
        <x:v>22</x:v>
      </x:c>
      <x:c r="C494" s="6">
        <x:v>25854.36</x:v>
      </x:c>
      <x:c r="F494" s="6">
        <x:v>25854.36</x:v>
      </x:c>
      <x:c r="G494" s="1">
        <x:f t="shared" si="99"/>
        <x:v>0</x:v>
      </x:c>
      <x:c r="J494" s="3">
        <x:v>55</x:v>
      </x:c>
      <x:c r="K494" s="3">
        <x:v>4.6076259999999998</x:v>
      </x:c>
      <x:c r="L494" s="4">
        <x:v>-0.75</x:v>
      </x:c>
      <x:c r="M494" s="3">
        <x:f t="shared" si="101"/>
        <x:v>41454.718411611269</x:v>
      </x:c>
      <x:c r="N494" s="3">
        <x:v>1.2347256020540618</x:v>
      </x:c>
      <x:c r="O494" s="3">
        <x:f t="shared" si="102"/>
        <x:v>45245.130000000005</x:v>
      </x:c>
      <x:c r="P494" s="16">
        <x:f t="shared" si="103"/>
        <x:v>0</x:v>
      </x:c>
      <x:c r="Q494" s="16">
        <x:f t="shared" si="104"/>
        <x:v>0</x:v>
      </x:c>
      <x:c r="R494" s="16">
        <x:f t="shared" si="105"/>
        <x:v>45245.130000000005</x:v>
      </x:c>
      <x:c r="S494" s="16">
        <x:f t="shared" si="100"/>
        <x:v>0</x:v>
      </x:c>
    </x:row>
    <x:row r="495" spans="1:19" outlineLevel="2">
      <x:c r="A495" s="12" t="s">
        <x:v>120</x:v>
      </x:c>
      <x:c r="B495" s="7" t="s">
        <x:v>21</x:v>
      </x:c>
      <x:c r="C495" s="6">
        <x:v>49862.41</x:v>
      </x:c>
      <x:c r="F495" s="6">
        <x:v>49862.41</x:v>
      </x:c>
      <x:c r="G495" s="1">
        <x:f t="shared" si="99"/>
        <x:v>0</x:v>
      </x:c>
      <x:c r="J495" s="3">
        <x:v>55</x:v>
      </x:c>
      <x:c r="K495" s="3">
        <x:v>4.3497890000000003</x:v>
      </x:c>
      <x:c r="L495" s="4">
        <x:v>-0.75</x:v>
      </x:c>
      <x:c r="M495" s="3">
        <x:f t="shared" si="101"/>
        <x:v>80358.141419452601</x:v>
      </x:c>
      <x:c r="N495" s="3">
        <x:v>1.2347256020540618</x:v>
      </x:c>
      <x:c r="O495" s="3">
        <x:f t="shared" si="102"/>
        <x:v>87259.217499999999</x:v>
      </x:c>
      <x:c r="P495" s="16">
        <x:f t="shared" si="103"/>
        <x:v>0</x:v>
      </x:c>
      <x:c r="Q495" s="16">
        <x:f t="shared" si="104"/>
        <x:v>0</x:v>
      </x:c>
      <x:c r="R495" s="16">
        <x:f t="shared" si="105"/>
        <x:v>87259.217499999999</x:v>
      </x:c>
      <x:c r="S495" s="16">
        <x:f t="shared" si="100"/>
        <x:v>0</x:v>
      </x:c>
    </x:row>
    <x:row r="496" spans="1:19" outlineLevel="2">
      <x:c r="A496" s="12" t="s">
        <x:v>120</x:v>
      </x:c>
      <x:c r="B496" s="7" t="s">
        <x:v>20</x:v>
      </x:c>
      <x:c r="C496" s="6">
        <x:v>63075.74</x:v>
      </x:c>
      <x:c r="F496" s="6">
        <x:v>63075.74</x:v>
      </x:c>
      <x:c r="G496" s="1">
        <x:f t="shared" si="99"/>
        <x:v>0</x:v>
      </x:c>
      <x:c r="J496" s="3">
        <x:v>55</x:v>
      </x:c>
      <x:c r="K496" s="3">
        <x:v>4.0831289999999996</x:v>
      </x:c>
      <x:c r="L496" s="4">
        <x:v>-0.75</x:v>
      </x:c>
      <x:c r="M496" s="3">
        <x:f t="shared" si="101"/>
        <x:v>102187.8873530308</x:v>
      </x:c>
      <x:c r="N496" s="3">
        <x:v>1.2347256020540618</x:v>
      </x:c>
      <x:c r="O496" s="3">
        <x:f t="shared" si="102"/>
        <x:v>110382.545</x:v>
      </x:c>
      <x:c r="P496" s="16">
        <x:f t="shared" si="103"/>
        <x:v>0</x:v>
      </x:c>
      <x:c r="Q496" s="16">
        <x:f t="shared" si="104"/>
        <x:v>0</x:v>
      </x:c>
      <x:c r="R496" s="16">
        <x:f t="shared" si="105"/>
        <x:v>110382.545</x:v>
      </x:c>
      <x:c r="S496" s="16">
        <x:f t="shared" si="100"/>
        <x:v>0</x:v>
      </x:c>
    </x:row>
    <x:row r="497" spans="1:19" outlineLevel="2">
      <x:c r="A497" s="12" t="s">
        <x:v>120</x:v>
      </x:c>
      <x:c r="B497" s="7" t="s">
        <x:v>19</x:v>
      </x:c>
      <x:c r="C497" s="6">
        <x:v>46034.03</x:v>
      </x:c>
      <x:c r="F497" s="6">
        <x:v>46034.03</x:v>
      </x:c>
      <x:c r="G497" s="1">
        <x:f t="shared" si="99"/>
        <x:v>0</x:v>
      </x:c>
      <x:c r="J497" s="3">
        <x:v>55</x:v>
      </x:c>
      <x:c r="K497" s="3">
        <x:v>3.8016220000000001</x:v>
      </x:c>
      <x:c r="L497" s="4">
        <x:v>-0.75</x:v>
      </x:c>
      <x:c r="M497" s="3">
        <x:f t="shared" si="101"/>
        <x:v>74991.244007378991</x:v>
      </x:c>
      <x:c r="N497" s="3">
        <x:v>1.2347256020540618</x:v>
      </x:c>
      <x:c r="O497" s="3">
        <x:f t="shared" si="102"/>
        <x:v>80559.552499999991</x:v>
      </x:c>
      <x:c r="P497" s="16">
        <x:f t="shared" si="103"/>
        <x:v>0</x:v>
      </x:c>
      <x:c r="Q497" s="16">
        <x:f t="shared" si="104"/>
        <x:v>0</x:v>
      </x:c>
      <x:c r="R497" s="16">
        <x:f t="shared" si="105"/>
        <x:v>80559.552499999991</x:v>
      </x:c>
      <x:c r="S497" s="16">
        <x:f t="shared" si="100"/>
        <x:v>0</x:v>
      </x:c>
    </x:row>
    <x:row r="498" spans="1:19" outlineLevel="2">
      <x:c r="A498" s="12" t="s">
        <x:v>120</x:v>
      </x:c>
      <x:c r="B498" s="7" t="s">
        <x:v>18</x:v>
      </x:c>
      <x:c r="C498" s="6">
        <x:v>102205.26000000001</x:v>
      </x:c>
      <x:c r="F498" s="6">
        <x:v>102205.26000000001</x:v>
      </x:c>
      <x:c r="J498" s="3">
        <x:v>55</x:v>
      </x:c>
      <x:c r="K498" s="3">
        <x:v>3.497465</x:v>
      </x:c>
      <x:c r="L498" s="4">
        <x:v>-0.75</x:v>
      </x:c>
      <x:c r="M498" s="3">
        <x:f t="shared" si="101"/>
        <x:v>167485.49937426683</x:v>
      </x:c>
      <x:c r="N498" s="3">
        <x:v>1.2347256020540618</x:v>
      </x:c>
      <x:c r="O498" s="3">
        <x:f t="shared" si="102"/>
        <x:v>178859.20500000002</x:v>
      </x:c>
      <x:c r="P498" s="16">
        <x:f t="shared" si="103"/>
        <x:v>0</x:v>
      </x:c>
      <x:c r="Q498" s="16">
        <x:f t="shared" si="104"/>
        <x:v>0</x:v>
      </x:c>
      <x:c r="R498" s="16">
        <x:f t="shared" si="105"/>
        <x:v>178859.20500000002</x:v>
      </x:c>
      <x:c r="S498" s="16">
        <x:f t="shared" si="100"/>
        <x:v>0</x:v>
      </x:c>
    </x:row>
    <x:row r="499" spans="1:19" outlineLevel="2">
      <x:c r="A499" s="12" t="s">
        <x:v>120</x:v>
      </x:c>
      <x:c r="B499" s="7" t="s">
        <x:v>17</x:v>
      </x:c>
      <x:c r="C499" s="6">
        <x:v>21303.68</x:v>
      </x:c>
      <x:c r="F499" s="6">
        <x:v>21303.68</x:v>
      </x:c>
      <x:c r="J499" s="3">
        <x:v>55</x:v>
      </x:c>
      <x:c r="K499" s="3">
        <x:v>3.157664</x:v>
      </x:c>
      <x:c r="L499" s="4">
        <x:v>-0.75</x:v>
      </x:c>
      <x:c r="M499" s="3">
        <x:f t="shared" si="101"/>
        <x:v>35141.03525534254</x:v>
      </x:c>
      <x:c r="N499" s="3">
        <x:v>1.2347256020540618</x:v>
      </x:c>
      <x:c r="O499" s="3">
        <x:f t="shared" si="102"/>
        <x:v>37281.440000000002</x:v>
      </x:c>
      <x:c r="P499" s="16">
        <x:f t="shared" si="103"/>
        <x:v>0</x:v>
      </x:c>
      <x:c r="Q499" s="16">
        <x:f t="shared" si="104"/>
        <x:v>0</x:v>
      </x:c>
      <x:c r="R499" s="16">
        <x:f t="shared" si="105"/>
        <x:v>37281.440000000002</x:v>
      </x:c>
      <x:c r="S499" s="16">
        <x:f t="shared" si="100"/>
        <x:v>0</x:v>
      </x:c>
    </x:row>
    <x:row r="500" spans="1:19" outlineLevel="2">
      <x:c r="A500" s="12" t="s">
        <x:v>120</x:v>
      </x:c>
      <x:c r="B500" s="7" t="s">
        <x:v>13</x:v>
      </x:c>
      <x:c r="C500" s="6">
        <x:v>4111.24</x:v>
      </x:c>
      <x:c r="F500" s="6">
        <x:v>4111.24</x:v>
      </x:c>
      <x:c r="J500" s="3">
        <x:v>55</x:v>
      </x:c>
      <x:c r="K500" s="3">
        <x:v>1.332797</x:v>
      </x:c>
      <x:c r="L500" s="4">
        <x:v>-0.75</x:v>
      </x:c>
      <x:c r="M500" s="3">
        <x:f t="shared" si="101"/>
        <x:v>7020.3239165092727</x:v>
      </x:c>
      <x:c r="N500" s="3">
        <x:v>1.2347256020540618</x:v>
      </x:c>
      <x:c r="O500" s="3">
        <x:f t="shared" si="102"/>
        <x:v>7194.67</x:v>
      </x:c>
      <x:c r="P500" s="16">
        <x:f t="shared" si="103"/>
        <x:v>0</x:v>
      </x:c>
      <x:c r="Q500" s="16">
        <x:f t="shared" si="104"/>
        <x:v>0</x:v>
      </x:c>
      <x:c r="R500" s="16">
        <x:f t="shared" si="105"/>
        <x:v>7194.67</x:v>
      </x:c>
      <x:c r="S500" s="16">
        <x:f t="shared" si="100"/>
        <x:v>0</x:v>
      </x:c>
    </x:row>
    <x:row r="501" spans="1:19" outlineLevel="2">
      <x:c r="A501" s="12" t="s">
        <x:v>120</x:v>
      </x:c>
      <x:c r="B501" s="7" t="s">
        <x:v>12</x:v>
      </x:c>
      <x:c r="C501" s="6">
        <x:v>6711.56</x:v>
      </x:c>
      <x:c r="F501" s="6">
        <x:v>6711.56</x:v>
      </x:c>
      <x:c r="J501" s="3">
        <x:v>55</x:v>
      </x:c>
      <x:c r="K501" s="3">
        <x:v>0.83281499999999997</x:v>
      </x:c>
      <x:c r="L501" s="4">
        <x:v>-0.75</x:v>
      </x:c>
      <x:c r="M501" s="3">
        <x:f t="shared" si="101"/>
        <x:v>11567.38265959182</x:v>
      </x:c>
      <x:c r="N501" s="3">
        <x:v>1.2347256020540618</x:v>
      </x:c>
      <x:c r="O501" s="3">
        <x:f t="shared" si="102"/>
        <x:v>11745.230000000001</x:v>
      </x:c>
      <x:c r="P501" s="16">
        <x:f t="shared" si="103"/>
        <x:v>0</x:v>
      </x:c>
      <x:c r="Q501" s="16">
        <x:f t="shared" si="104"/>
        <x:v>0</x:v>
      </x:c>
      <x:c r="R501" s="16">
        <x:f t="shared" si="105"/>
        <x:v>11745.230000000001</x:v>
      </x:c>
      <x:c r="S501" s="16">
        <x:f t="shared" si="100"/>
        <x:v>0</x:v>
      </x:c>
    </x:row>
    <x:row r="502" spans="1:19" outlineLevel="2">
      <x:c r="A502" s="12" t="s">
        <x:v>120</x:v>
      </x:c>
      <x:c r="B502" s="7" t="s">
        <x:v>115</x:v>
      </x:c>
      <x:c r="C502" s="6">
        <x:v>-1042.2</x:v>
      </x:c>
      <x:c r="F502" s="6">
        <x:v>-1042.2</x:v>
      </x:c>
      <x:c r="J502" s="3">
        <x:v>55</x:v>
      </x:c>
      <x:c r="K502" s="3">
        <x:v>0</x:v>
      </x:c>
      <x:c r="L502" s="4">
        <x:v>-0.75</x:v>
      </x:c>
      <x:c r="M502" s="3">
        <x:f t="shared" si="101"/>
        <x:v>-1823.8500000000001</x:v>
      </x:c>
      <x:c r="N502" s="3">
        <x:v>1.2347256020540618</x:v>
      </x:c>
      <x:c r="O502" s="3">
        <x:f t="shared" si="102"/>
        <x:v>-2251.9542893063008</x:v>
      </x:c>
      <x:c r="P502" s="16">
        <x:f t="shared" si="103"/>
        <x:v>0</x:v>
      </x:c>
      <x:c r="Q502" s="16">
        <x:f t="shared" si="104"/>
        <x:v>0</x:v>
      </x:c>
      <x:c r="R502" s="16">
        <x:f t="shared" si="105"/>
        <x:v>-2251.9542893063008</x:v>
      </x:c>
      <x:c r="S502" s="16">
        <x:f t="shared" si="100"/>
        <x:v>0</x:v>
      </x:c>
    </x:row>
    <x:row r="503" spans="1:19" outlineLevel="1">
      <x:c r="A503" s="5" t="s">
        <x:v>137</x:v>
      </x:c>
      <x:c r="B503" s="7" t="s">
        <x:v>145</x:v>
      </x:c>
      <x:c r="C503" s="6">
        <x:f>SUBTOTAL(9,C409:C502)</x:f>
        <x:v>3848480092.4000006</x:v>
      </x:c>
      <x:c r="D503" s="6">
        <x:f>SUBTOTAL(9,D409:D502)</x:f>
        <x:v>0</x:v>
      </x:c>
      <x:c r="E503" s="6">
        <x:f>SUBTOTAL(9,E409:E502)</x:f>
        <x:v>0</x:v>
      </x:c>
      <x:c r="F503" s="6">
        <x:f>SUBTOTAL(9,F409:F502)</x:f>
        <x:v>3848480092.4000006</x:v>
      </x:c>
      <x:c r="G503" s="1">
        <x:f t="shared" ref="G503:G534" si="106">+C503-D503-E503-F503</x:f>
        <x:v>0</x:v>
      </x:c>
      <x:c r="L503" s="18"/>
      <x:c r="M503" s="3">
        <x:f>SUBTOTAL(9,M409:M502)</x:f>
        <x:v>767322929.63928545</x:v>
      </x:c>
      <x:c r="N503" s="3">
        <x:v>1.2347256020540618</x:v>
      </x:c>
      <x:c r="O503" s="3">
        <x:f>SUBTOTAL(9,O409:O502)</x:f>
        <x:v>947278579.03134692</x:v>
      </x:c>
      <x:c r="P503" s="16">
        <x:f>SUBTOTAL(9,P409:P502)</x:f>
        <x:v>0</x:v>
      </x:c>
      <x:c r="Q503" s="16">
        <x:f>SUBTOTAL(9,Q409:Q502)</x:f>
        <x:v>0</x:v>
      </x:c>
      <x:c r="R503" s="16">
        <x:f>SUBTOTAL(9,R409:R502)</x:f>
        <x:v>947278579.03134692</x:v>
      </x:c>
      <x:c r="S503" s="16">
        <x:f t="shared" si="100"/>
        <x:v>0</x:v>
      </x:c>
    </x:row>
    <x:row r="504" spans="1:19" outlineLevel="2">
      <x:c r="A504" s="12" t="s">
        <x:v>121</x:v>
      </x:c>
      <x:c r="B504" s="7" t="s">
        <x:v>149</x:v>
      </x:c>
      <x:c r="C504" s="6">
        <x:v>306087645.12000012</x:v>
      </x:c>
      <x:c r="F504" s="6">
        <x:v>306087645.12000012</x:v>
      </x:c>
      <x:c r="G504" s="1">
        <x:f t="shared" si="106"/>
        <x:v>0</x:v>
      </x:c>
      <x:c r="J504" s="3">
        <x:v>60</x:v>
      </x:c>
      <x:c r="K504" s="3">
        <x:v>59.628779999999999</x:v>
      </x:c>
      <x:c r="L504" s="4">
        <x:v>-0.45</x:v>
      </x:c>
      <x:c r="M504" s="3">
        <x:f t="shared" ref="M504:M535" si="107">+C504*(1-K504/J504)*(1-L504)</x:f>
        <x:v>2745958.1775183128</x:v>
      </x:c>
      <x:c r="N504" s="3">
        <x:v>1.2396152135461449</x:v>
      </x:c>
      <x:c r="O504" s="3">
        <x:f t="shared" ref="O504:O535" si="108">IF((C504*(1-L504)-M504*N504)&lt;0,C504*(1-L504),M504*N504)</x:f>
        <x:v>3403931.5326131461</x:v>
      </x:c>
      <x:c r="P504" s="16">
        <x:f t="shared" ref="P504:P535" si="109">+D504/$C504*$O504</x:f>
        <x:v>0</x:v>
      </x:c>
      <x:c r="Q504" s="16">
        <x:f t="shared" ref="Q504:Q535" si="110">+E504/$C504*$O504</x:f>
        <x:v>0</x:v>
      </x:c>
      <x:c r="R504" s="16">
        <x:f t="shared" ref="R504:R535" si="111">+F504/$C504*$O504</x:f>
        <x:v>3403931.5326131461</x:v>
      </x:c>
      <x:c r="S504" s="16">
        <x:f t="shared" si="100"/>
        <x:v>0</x:v>
      </x:c>
    </x:row>
    <x:row r="505" spans="1:19" outlineLevel="2">
      <x:c r="A505" s="12" t="s">
        <x:v>121</x:v>
      </x:c>
      <x:c r="B505" s="7" t="s">
        <x:v>150</x:v>
      </x:c>
      <x:c r="C505" s="6">
        <x:v>240638466.95999986</x:v>
      </x:c>
      <x:c r="F505" s="6">
        <x:v>240638466.95999986</x:v>
      </x:c>
      <x:c r="G505" s="1">
        <x:f t="shared" si="106"/>
        <x:v>0</x:v>
      </x:c>
      <x:c r="J505" s="3">
        <x:v>60</x:v>
      </x:c>
      <x:c r="K505" s="3">
        <x:v>58.889114999999997</x:v>
      </x:c>
      <x:c r="L505" s="4">
        <x:v>-0.45</x:v>
      </x:c>
      <x:c r="M505" s="3">
        <x:f t="shared" si="107"/>
        <x:v>6460273.5314141111</x:v>
      </x:c>
      <x:c r="N505" s="3">
        <x:v>1.2396152135461449</x:v>
      </x:c>
      <x:c r="O505" s="3">
        <x:f t="shared" si="108"/>
        <x:v>8008253.353210411</x:v>
      </x:c>
      <x:c r="P505" s="16">
        <x:f t="shared" si="109"/>
        <x:v>0</x:v>
      </x:c>
      <x:c r="Q505" s="16">
        <x:f t="shared" si="110"/>
        <x:v>0</x:v>
      </x:c>
      <x:c r="R505" s="16">
        <x:f t="shared" si="111"/>
        <x:v>8008253.353210411</x:v>
      </x:c>
      <x:c r="S505" s="16">
        <x:f t="shared" si="100"/>
        <x:v>0</x:v>
      </x:c>
    </x:row>
    <x:row r="506" spans="1:19" outlineLevel="2">
      <x:c r="A506" s="12" t="s">
        <x:v>121</x:v>
      </x:c>
      <x:c r="B506" s="7" t="s">
        <x:v>151</x:v>
      </x:c>
      <x:c r="C506" s="6">
        <x:v>176697017.09000003</x:v>
      </x:c>
      <x:c r="F506" s="6">
        <x:v>176697017.09000003</x:v>
      </x:c>
      <x:c r="G506" s="1">
        <x:f t="shared" si="106"/>
        <x:v>0</x:v>
      </x:c>
      <x:c r="J506" s="3">
        <x:v>60</x:v>
      </x:c>
      <x:c r="K506" s="3">
        <x:v>58.153089000000001</x:v>
      </x:c>
      <x:c r="L506" s="4">
        <x:v>-0.45</x:v>
      </x:c>
      <x:c r="M506" s="3">
        <x:f t="shared" si="107"/>
        <x:v>7886638.5594921354</x:v>
      </x:c>
      <x:c r="N506" s="3">
        <x:v>1.2396152135461449</x:v>
      </x:c>
      <x:c r="O506" s="3">
        <x:f t="shared" si="108"/>
        <x:v>9776397.1420861036</x:v>
      </x:c>
      <x:c r="P506" s="16">
        <x:f t="shared" si="109"/>
        <x:v>0</x:v>
      </x:c>
      <x:c r="Q506" s="16">
        <x:f t="shared" si="110"/>
        <x:v>0</x:v>
      </x:c>
      <x:c r="R506" s="16">
        <x:f t="shared" si="111"/>
        <x:v>9776397.1420861036</x:v>
      </x:c>
      <x:c r="S506" s="16">
        <x:f t="shared" si="100"/>
        <x:v>0</x:v>
      </x:c>
    </x:row>
    <x:row r="507" spans="1:19" outlineLevel="2">
      <x:c r="A507" s="12" t="s">
        <x:v>121</x:v>
      </x:c>
      <x:c r="B507" s="7" t="s">
        <x:v>111</x:v>
      </x:c>
      <x:c r="C507" s="6">
        <x:v>206297601.72000003</x:v>
      </x:c>
      <x:c r="F507" s="6">
        <x:v>206297601.72000003</x:v>
      </x:c>
      <x:c r="G507" s="1">
        <x:f t="shared" si="106"/>
        <x:v>0</x:v>
      </x:c>
      <x:c r="J507" s="3">
        <x:v>60</x:v>
      </x:c>
      <x:c r="K507" s="3">
        <x:v>57.420988999999999</x:v>
      </x:c>
      <x:c r="L507" s="4">
        <x:v>-0.45</x:v>
      </x:c>
      <x:c r="M507" s="3">
        <x:f t="shared" si="107"/>
        <x:v>12857724.782646224</x:v>
      </x:c>
      <x:c r="N507" s="3">
        <x:v>1.2396152135461449</x:v>
      </x:c>
      <x:c r="O507" s="3">
        <x:f t="shared" si="108"/>
        <x:v>15938631.252157558</x:v>
      </x:c>
      <x:c r="P507" s="16">
        <x:f t="shared" si="109"/>
        <x:v>0</x:v>
      </x:c>
      <x:c r="Q507" s="16">
        <x:f t="shared" si="110"/>
        <x:v>0</x:v>
      </x:c>
      <x:c r="R507" s="16">
        <x:f t="shared" si="111"/>
        <x:v>15938631.252157558</x:v>
      </x:c>
      <x:c r="S507" s="16">
        <x:f t="shared" si="100"/>
        <x:v>0</x:v>
      </x:c>
    </x:row>
    <x:row r="508" spans="1:19" outlineLevel="2">
      <x:c r="A508" s="12" t="s">
        <x:v>121</x:v>
      </x:c>
      <x:c r="B508" s="7" t="s">
        <x:v>110</x:v>
      </x:c>
      <x:c r="C508" s="6">
        <x:v>322768724.92999959</x:v>
      </x:c>
      <x:c r="F508" s="6">
        <x:v>322768724.92999959</x:v>
      </x:c>
      <x:c r="G508" s="1">
        <x:f t="shared" si="106"/>
        <x:v>0</x:v>
      </x:c>
      <x:c r="J508" s="3">
        <x:v>60</x:v>
      </x:c>
      <x:c r="K508" s="3">
        <x:v>56.692729999999997</x:v>
      </x:c>
      <x:c r="L508" s="4">
        <x:v>-0.45</x:v>
      </x:c>
      <x:c r="M508" s="3">
        <x:f t="shared" si="107"/>
        <x:v>25797513.588398293</x:v>
      </x:c>
      <x:c r="N508" s="3">
        <x:v>1.2396152135461449</x:v>
      </x:c>
      <x:c r="O508" s="3">
        <x:f t="shared" si="108"/>
        <x:v>31978990.315841924</x:v>
      </x:c>
      <x:c r="P508" s="16">
        <x:f t="shared" si="109"/>
        <x:v>0</x:v>
      </x:c>
      <x:c r="Q508" s="16">
        <x:f t="shared" si="110"/>
        <x:v>0</x:v>
      </x:c>
      <x:c r="R508" s="16">
        <x:f t="shared" si="111"/>
        <x:v>31978990.315841924</x:v>
      </x:c>
      <x:c r="S508" s="16">
        <x:f t="shared" si="100"/>
        <x:v>0</x:v>
      </x:c>
    </x:row>
    <x:row r="509" spans="1:19" outlineLevel="2">
      <x:c r="A509" s="12" t="s">
        <x:v>121</x:v>
      </x:c>
      <x:c r="B509" s="7" t="s">
        <x:v>109</x:v>
      </x:c>
      <x:c r="C509" s="6">
        <x:v>175767934.02000001</x:v>
      </x:c>
      <x:c r="F509" s="6">
        <x:v>175767934.02000001</x:v>
      </x:c>
      <x:c r="G509" s="1">
        <x:f t="shared" si="106"/>
        <x:v>0</x:v>
      </x:c>
      <x:c r="J509" s="3">
        <x:v>60</x:v>
      </x:c>
      <x:c r="K509" s="3">
        <x:v>55.967886</x:v>
      </x:c>
      <x:c r="L509" s="4">
        <x:v>-0.45</x:v>
      </x:c>
      <x:c r="M509" s="3">
        <x:f t="shared" si="107"/>
        <x:v>17127311.731567033</x:v>
      </x:c>
      <x:c r="N509" s="3">
        <x:v>1.2396152135461449</x:v>
      </x:c>
      <x:c r="O509" s="3">
        <x:f t="shared" si="108"/>
        <x:v>21231276.18959786</x:v>
      </x:c>
      <x:c r="P509" s="16">
        <x:f t="shared" si="109"/>
        <x:v>0</x:v>
      </x:c>
      <x:c r="Q509" s="16">
        <x:f t="shared" si="110"/>
        <x:v>0</x:v>
      </x:c>
      <x:c r="R509" s="16">
        <x:f t="shared" si="111"/>
        <x:v>21231276.18959786</x:v>
      </x:c>
      <x:c r="S509" s="16">
        <x:f t="shared" si="100"/>
        <x:v>0</x:v>
      </x:c>
    </x:row>
    <x:row r="510" spans="1:19" outlineLevel="2">
      <x:c r="A510" s="12" t="s">
        <x:v>121</x:v>
      </x:c>
      <x:c r="B510" s="7" t="s">
        <x:v>108</x:v>
      </x:c>
      <x:c r="C510" s="6">
        <x:v>183610403.10000002</x:v>
      </x:c>
      <x:c r="F510" s="6">
        <x:v>183610403.10000002</x:v>
      </x:c>
      <x:c r="G510" s="1">
        <x:f t="shared" si="106"/>
        <x:v>0</x:v>
      </x:c>
      <x:c r="J510" s="3">
        <x:v>60</x:v>
      </x:c>
      <x:c r="K510" s="3">
        <x:v>55.246727</x:v>
      </x:c>
      <x:c r="L510" s="4">
        <x:v>-0.45</x:v>
      </x:c>
      <x:c r="M510" s="3">
        <x:f t="shared" si="107"/>
        <x:v>21091467.313046716</x:v>
      </x:c>
      <x:c r="N510" s="3">
        <x:v>1.2396152135461449</x:v>
      </x:c>
      <x:c r="O510" s="3">
        <x:f t="shared" si="108"/>
        <x:v>26145303.75726394</x:v>
      </x:c>
      <x:c r="P510" s="16">
        <x:f t="shared" si="109"/>
        <x:v>0</x:v>
      </x:c>
      <x:c r="Q510" s="16">
        <x:f t="shared" si="110"/>
        <x:v>0</x:v>
      </x:c>
      <x:c r="R510" s="16">
        <x:f t="shared" si="111"/>
        <x:v>26145303.75726394</x:v>
      </x:c>
      <x:c r="S510" s="16">
        <x:f t="shared" si="100"/>
        <x:v>0</x:v>
      </x:c>
    </x:row>
    <x:row r="511" spans="1:19" outlineLevel="2">
      <x:c r="A511" s="12" t="s">
        <x:v>121</x:v>
      </x:c>
      <x:c r="B511" s="7" t="s">
        <x:v>107</x:v>
      </x:c>
      <x:c r="C511" s="6">
        <x:v>166522911.70000011</x:v>
      </x:c>
      <x:c r="F511" s="6">
        <x:v>166522911.70000011</x:v>
      </x:c>
      <x:c r="G511" s="1">
        <x:f t="shared" si="106"/>
        <x:v>0</x:v>
      </x:c>
      <x:c r="J511" s="3">
        <x:v>60</x:v>
      </x:c>
      <x:c r="K511" s="3">
        <x:v>54.529164000000002</x:v>
      </x:c>
      <x:c r="L511" s="4">
        <x:v>-0.45</x:v>
      </x:c>
      <x:c r="M511" s="3">
        <x:f t="shared" si="107"/>
        <x:v>22016305.553701881</x:v>
      </x:c>
      <x:c r="N511" s="3">
        <x:v>1.2396152135461449</x:v>
      </x:c>
      <x:c r="O511" s="3">
        <x:f t="shared" si="108"/>
        <x:v>27291747.310449332</x:v>
      </x:c>
      <x:c r="P511" s="16">
        <x:f t="shared" si="109"/>
        <x:v>0</x:v>
      </x:c>
      <x:c r="Q511" s="16">
        <x:f t="shared" si="110"/>
        <x:v>0</x:v>
      </x:c>
      <x:c r="R511" s="16">
        <x:f t="shared" si="111"/>
        <x:v>27291747.310449332</x:v>
      </x:c>
      <x:c r="S511" s="16">
        <x:f t="shared" si="100"/>
        <x:v>0</x:v>
      </x:c>
    </x:row>
    <x:row r="512" spans="1:19" outlineLevel="2">
      <x:c r="A512" s="12" t="s">
        <x:v>121</x:v>
      </x:c>
      <x:c r="B512" s="7" t="s">
        <x:v>106</x:v>
      </x:c>
      <x:c r="C512" s="6">
        <x:v>138210801.34999996</x:v>
      </x:c>
      <x:c r="F512" s="6">
        <x:v>138210801.34999996</x:v>
      </x:c>
      <x:c r="G512" s="1">
        <x:f t="shared" si="106"/>
        <x:v>0</x:v>
      </x:c>
      <x:c r="J512" s="3">
        <x:v>60</x:v>
      </x:c>
      <x:c r="K512" s="3">
        <x:v>53.814774999999997</x:v>
      </x:c>
      <x:c r="L512" s="4">
        <x:v>-0.45</x:v>
      </x:c>
      <x:c r="M512" s="3">
        <x:f t="shared" si="107"/>
        <x:v>20659235.174684636</x:v>
      </x:c>
      <x:c r="N512" s="3">
        <x:v>1.2396152135461449</x:v>
      </x:c>
      <x:c r="O512" s="3">
        <x:f t="shared" si="108"/>
        <x:v>25609502.222766723</x:v>
      </x:c>
      <x:c r="P512" s="16">
        <x:f t="shared" si="109"/>
        <x:v>0</x:v>
      </x:c>
      <x:c r="Q512" s="16">
        <x:f t="shared" si="110"/>
        <x:v>0</x:v>
      </x:c>
      <x:c r="R512" s="16">
        <x:f t="shared" si="111"/>
        <x:v>25609502.222766723</x:v>
      </x:c>
      <x:c r="S512" s="16">
        <x:f t="shared" si="100"/>
        <x:v>0</x:v>
      </x:c>
    </x:row>
    <x:row r="513" spans="1:19" outlineLevel="2">
      <x:c r="A513" s="12" t="s">
        <x:v>121</x:v>
      </x:c>
      <x:c r="B513" s="7" t="s">
        <x:v>105</x:v>
      </x:c>
      <x:c r="C513" s="6">
        <x:v>79140850.279999927</x:v>
      </x:c>
      <x:c r="F513" s="6">
        <x:v>79140850.279999927</x:v>
      </x:c>
      <x:c r="G513" s="1">
        <x:f t="shared" si="106"/>
        <x:v>0</x:v>
      </x:c>
      <x:c r="J513" s="3">
        <x:v>60</x:v>
      </x:c>
      <x:c r="K513" s="3">
        <x:v>53.103814</x:v>
      </x:c>
      <x:c r="L513" s="4">
        <x:v>-0.45</x:v>
      </x:c>
      <x:c r="M513" s="3">
        <x:f t="shared" si="107"/>
        <x:v>13189442.240118267</x:v>
      </x:c>
      <x:c r="N513" s="3">
        <x:v>1.2396152135461449</x:v>
      </x:c>
      <x:c r="O513" s="3">
        <x:f t="shared" si="108"/>
        <x:v>16349833.25903875</x:v>
      </x:c>
      <x:c r="P513" s="16">
        <x:f t="shared" si="109"/>
        <x:v>0</x:v>
      </x:c>
      <x:c r="Q513" s="16">
        <x:f t="shared" si="110"/>
        <x:v>0</x:v>
      </x:c>
      <x:c r="R513" s="16">
        <x:f t="shared" si="111"/>
        <x:v>16349833.25903875</x:v>
      </x:c>
      <x:c r="S513" s="16">
        <x:f t="shared" si="100"/>
        <x:v>0</x:v>
      </x:c>
    </x:row>
    <x:row r="514" spans="1:19" outlineLevel="2">
      <x:c r="A514" s="12" t="s">
        <x:v>121</x:v>
      </x:c>
      <x:c r="B514" s="7" t="s">
        <x:v>104</x:v>
      </x:c>
      <x:c r="C514" s="6">
        <x:v>138997411.98000002</x:v>
      </x:c>
      <x:c r="F514" s="6">
        <x:v>138997411.98000002</x:v>
      </x:c>
      <x:c r="G514" s="1">
        <x:f t="shared" si="106"/>
        <x:v>0</x:v>
      </x:c>
      <x:c r="J514" s="3">
        <x:v>60</x:v>
      </x:c>
      <x:c r="K514" s="3">
        <x:v>52.396182000000003</x:v>
      </x:c>
      <x:c r="L514" s="4">
        <x:v>-0.45</x:v>
      </x:c>
      <x:c r="M514" s="3">
        <x:f t="shared" si="107"/>
        <x:v>25542016.393201035</x:v>
      </x:c>
      <x:c r="N514" s="3">
        <x:v>1.2396152135461449</x:v>
      </x:c>
      <x:c r="O514" s="3">
        <x:f t="shared" si="108"/>
        <x:v>31662272.105657034</x:v>
      </x:c>
      <x:c r="P514" s="16">
        <x:f t="shared" si="109"/>
        <x:v>0</x:v>
      </x:c>
      <x:c r="Q514" s="16">
        <x:f t="shared" si="110"/>
        <x:v>0</x:v>
      </x:c>
      <x:c r="R514" s="16">
        <x:f t="shared" si="111"/>
        <x:v>31662272.105657034</x:v>
      </x:c>
      <x:c r="S514" s="16">
        <x:f t="shared" si="100"/>
        <x:v>0</x:v>
      </x:c>
    </x:row>
    <x:row r="515" spans="1:19" outlineLevel="2">
      <x:c r="A515" s="12" t="s">
        <x:v>121</x:v>
      </x:c>
      <x:c r="B515" s="7" t="s">
        <x:v>103</x:v>
      </x:c>
      <x:c r="C515" s="6">
        <x:v>93992961.49000001</x:v>
      </x:c>
      <x:c r="F515" s="6">
        <x:v>93992961.49000001</x:v>
      </x:c>
      <x:c r="G515" s="1">
        <x:f t="shared" si="106"/>
        <x:v>0</x:v>
      </x:c>
      <x:c r="J515" s="3">
        <x:v>60</x:v>
      </x:c>
      <x:c r="K515" s="3">
        <x:v>51.691462999999999</x:v>
      </x:c>
      <x:c r="L515" s="4">
        <x:v>-0.45</x:v>
      </x:c>
      <x:c r="M515" s="3">
        <x:f t="shared" si="107"/>
        <x:v>18872813.2917483</x:v>
      </x:c>
      <x:c r="N515" s="3">
        <x:v>1.2396152135461449</x:v>
      </x:c>
      <x:c r="O515" s="3">
        <x:f t="shared" si="108"/>
        <x:v>23395026.478867091</x:v>
      </x:c>
      <x:c r="P515" s="16">
        <x:f t="shared" si="109"/>
        <x:v>0</x:v>
      </x:c>
      <x:c r="Q515" s="16">
        <x:f t="shared" si="110"/>
        <x:v>0</x:v>
      </x:c>
      <x:c r="R515" s="16">
        <x:f t="shared" si="111"/>
        <x:v>23395026.478867091</x:v>
      </x:c>
      <x:c r="S515" s="16">
        <x:f t="shared" si="100"/>
        <x:v>0</x:v>
      </x:c>
    </x:row>
    <x:row r="516" spans="1:19" outlineLevel="2">
      <x:c r="A516" s="12" t="s">
        <x:v>121</x:v>
      </x:c>
      <x:c r="B516" s="7" t="s">
        <x:v>102</x:v>
      </x:c>
      <x:c r="C516" s="6">
        <x:v>55719383.50999999</x:v>
      </x:c>
      <x:c r="F516" s="6">
        <x:v>55719383.50999999</x:v>
      </x:c>
      <x:c r="G516" s="1">
        <x:f t="shared" si="106"/>
        <x:v>0</x:v>
      </x:c>
      <x:c r="J516" s="3">
        <x:v>60</x:v>
      </x:c>
      <x:c r="K516" s="3">
        <x:v>50.989894</x:v>
      </x:c>
      <x:c r="L516" s="4">
        <x:v>-0.45</x:v>
      </x:c>
      <x:c r="M516" s="3">
        <x:f t="shared" si="107"/>
        <x:v>12132574.165594002</x:v>
      </x:c>
      <x:c r="N516" s="3">
        <x:v>1.2396152135461449</x:v>
      </x:c>
      <x:c r="O516" s="3">
        <x:f t="shared" si="108"/>
        <x:v>15039723.51514725</x:v>
      </x:c>
      <x:c r="P516" s="16">
        <x:f t="shared" si="109"/>
        <x:v>0</x:v>
      </x:c>
      <x:c r="Q516" s="16">
        <x:f t="shared" si="110"/>
        <x:v>0</x:v>
      </x:c>
      <x:c r="R516" s="16">
        <x:f t="shared" si="111"/>
        <x:v>15039723.51514725</x:v>
      </x:c>
      <x:c r="S516" s="16">
        <x:f t="shared" si="100"/>
        <x:v>0</x:v>
      </x:c>
    </x:row>
    <x:row r="517" spans="1:19" outlineLevel="2">
      <x:c r="A517" s="12" t="s">
        <x:v>121</x:v>
      </x:c>
      <x:c r="B517" s="7" t="s">
        <x:v>101</x:v>
      </x:c>
      <x:c r="C517" s="6">
        <x:v>132187961.46000007</x:v>
      </x:c>
      <x:c r="F517" s="6">
        <x:v>132187961.46000007</x:v>
      </x:c>
      <x:c r="G517" s="1">
        <x:f t="shared" si="106"/>
        <x:v>0</x:v>
      </x:c>
      <x:c r="J517" s="3">
        <x:v>60</x:v>
      </x:c>
      <x:c r="K517" s="3">
        <x:v>50.291367000000001</x:v>
      </x:c>
      <x:c r="L517" s="4">
        <x:v>-0.45</x:v>
      </x:c>
      <x:c r="M517" s="3">
        <x:f t="shared" si="107"/>
        <x:v>31014639.783471048</x:v>
      </x:c>
      <x:c r="N517" s="3">
        <x:v>1.2396152135461449</x:v>
      </x:c>
      <x:c r="O517" s="3">
        <x:f t="shared" si="108"/>
        <x:v>38446219.318244226</x:v>
      </x:c>
      <x:c r="P517" s="16">
        <x:f t="shared" si="109"/>
        <x:v>0</x:v>
      </x:c>
      <x:c r="Q517" s="16">
        <x:f t="shared" si="110"/>
        <x:v>0</x:v>
      </x:c>
      <x:c r="R517" s="16">
        <x:f t="shared" si="111"/>
        <x:v>38446219.318244226</x:v>
      </x:c>
      <x:c r="S517" s="16">
        <x:f t="shared" si="100"/>
        <x:v>0</x:v>
      </x:c>
    </x:row>
    <x:row r="518" spans="1:19" outlineLevel="2">
      <x:c r="A518" s="12" t="s">
        <x:v>121</x:v>
      </x:c>
      <x:c r="B518" s="7" t="s">
        <x:v>100</x:v>
      </x:c>
      <x:c r="C518" s="6">
        <x:v>113858521.67000005</x:v>
      </x:c>
      <x:c r="F518" s="6">
        <x:v>113858521.67000005</x:v>
      </x:c>
      <x:c r="G518" s="1">
        <x:f t="shared" si="106"/>
        <x:v>0</x:v>
      </x:c>
      <x:c r="J518" s="3">
        <x:v>60</x:v>
      </x:c>
      <x:c r="K518" s="3">
        <x:v>49.595475999999998</x:v>
      </x:c>
      <x:c r="L518" s="4">
        <x:v>-0.45</x:v>
      </x:c>
      <x:c r="M518" s="3">
        <x:f t="shared" si="107"/>
        <x:v>28628889.93190087</x:v>
      </x:c>
      <x:c r="N518" s="3">
        <x:v>1.2396152135461449</x:v>
      </x:c>
      <x:c r="O518" s="3">
        <x:f t="shared" si="108"/>
        <x:v>35488807.506522372</x:v>
      </x:c>
      <x:c r="P518" s="16">
        <x:f t="shared" si="109"/>
        <x:v>0</x:v>
      </x:c>
      <x:c r="Q518" s="16">
        <x:f t="shared" si="110"/>
        <x:v>0</x:v>
      </x:c>
      <x:c r="R518" s="16">
        <x:f t="shared" si="111"/>
        <x:v>35488807.506522372</x:v>
      </x:c>
      <x:c r="S518" s="16">
        <x:f t="shared" si="100"/>
        <x:v>0</x:v>
      </x:c>
    </x:row>
    <x:row r="519" spans="1:19" outlineLevel="2">
      <x:c r="A519" s="12" t="s">
        <x:v>121</x:v>
      </x:c>
      <x:c r="B519" s="7" t="s">
        <x:v>99</x:v>
      </x:c>
      <x:c r="C519" s="6">
        <x:v>42510705.760000013</x:v>
      </x:c>
      <x:c r="F519" s="6">
        <x:v>42510705.760000013</x:v>
      </x:c>
      <x:c r="G519" s="1">
        <x:f t="shared" si="106"/>
        <x:v>0</x:v>
      </x:c>
      <x:c r="J519" s="3">
        <x:v>60</x:v>
      </x:c>
      <x:c r="K519" s="3">
        <x:v>48.902434999999997</x:v>
      </x:c>
      <x:c r="L519" s="4">
        <x:v>-0.45</x:v>
      </x:c>
      <x:c r="M519" s="3">
        <x:f t="shared" si="107"/>
        <x:v>11400995.24221397</x:v>
      </x:c>
      <x:c r="N519" s="3">
        <x:v>1.2396152135461449</x:v>
      </x:c>
      <x:c r="O519" s="3">
        <x:f t="shared" si="108"/>
        <x:v>14132847.151815653</x:v>
      </x:c>
      <x:c r="P519" s="16">
        <x:f t="shared" si="109"/>
        <x:v>0</x:v>
      </x:c>
      <x:c r="Q519" s="16">
        <x:f t="shared" si="110"/>
        <x:v>0</x:v>
      </x:c>
      <x:c r="R519" s="16">
        <x:f t="shared" si="111"/>
        <x:v>14132847.151815653</x:v>
      </x:c>
      <x:c r="S519" s="16">
        <x:f t="shared" si="100"/>
        <x:v>0</x:v>
      </x:c>
    </x:row>
    <x:row r="520" spans="1:19" outlineLevel="2">
      <x:c r="A520" s="12" t="s">
        <x:v>121</x:v>
      </x:c>
      <x:c r="B520" s="7" t="s">
        <x:v>98</x:v>
      </x:c>
      <x:c r="C520" s="6">
        <x:v>42202411.770000003</x:v>
      </x:c>
      <x:c r="F520" s="6">
        <x:v>42202411.770000003</x:v>
      </x:c>
      <x:c r="G520" s="1">
        <x:f t="shared" si="106"/>
        <x:v>0</x:v>
      </x:c>
      <x:c r="J520" s="3">
        <x:v>60</x:v>
      </x:c>
      <x:c r="K520" s="3">
        <x:v>48.212128</x:v>
      </x:c>
      <x:c r="L520" s="4">
        <x:v>-0.45</x:v>
      </x:c>
      <x:c r="M520" s="3">
        <x:f t="shared" si="107"/>
        <x:v>12022351.844204627</x:v>
      </x:c>
      <x:c r="N520" s="3">
        <x:v>1.2396152135461449</x:v>
      </x:c>
      <x:c r="O520" s="3">
        <x:f t="shared" si="108"/>
        <x:v>14903090.248680608</x:v>
      </x:c>
      <x:c r="P520" s="16">
        <x:f t="shared" si="109"/>
        <x:v>0</x:v>
      </x:c>
      <x:c r="Q520" s="16">
        <x:f t="shared" si="110"/>
        <x:v>0</x:v>
      </x:c>
      <x:c r="R520" s="16">
        <x:f t="shared" si="111"/>
        <x:v>14903090.248680608</x:v>
      </x:c>
      <x:c r="S520" s="16">
        <x:f t="shared" si="100"/>
        <x:v>0</x:v>
      </x:c>
    </x:row>
    <x:row r="521" spans="1:19" outlineLevel="2">
      <x:c r="A521" s="12" t="s">
        <x:v>121</x:v>
      </x:c>
      <x:c r="B521" s="7" t="s">
        <x:v>97</x:v>
      </x:c>
      <x:c r="C521" s="6">
        <x:v>47214630.459999986</x:v>
      </x:c>
      <x:c r="F521" s="6">
        <x:v>47214630.459999986</x:v>
      </x:c>
      <x:c r="G521" s="1">
        <x:f t="shared" si="106"/>
        <x:v>0</x:v>
      </x:c>
      <x:c r="J521" s="3">
        <x:v>60</x:v>
      </x:c>
      <x:c r="K521" s="3">
        <x:v>47.524168000000003</x:v>
      </x:c>
      <x:c r="L521" s="4">
        <x:v>-0.45</x:v>
      </x:c>
      <x:c r="M521" s="3">
        <x:f t="shared" si="107"/>
        <x:v>14235176.774391862</x:v>
      </x:c>
      <x:c r="N521" s="3">
        <x:v>1.2396152135461449</x:v>
      </x:c>
      <x:c r="O521" s="3">
        <x:f t="shared" si="108"/>
        <x:v>17646141.697054889</x:v>
      </x:c>
      <x:c r="P521" s="16">
        <x:f t="shared" si="109"/>
        <x:v>0</x:v>
      </x:c>
      <x:c r="Q521" s="16">
        <x:f t="shared" si="110"/>
        <x:v>0</x:v>
      </x:c>
      <x:c r="R521" s="16">
        <x:f t="shared" si="111"/>
        <x:v>17646141.697054889</x:v>
      </x:c>
      <x:c r="S521" s="16">
        <x:f t="shared" si="100"/>
        <x:v>0</x:v>
      </x:c>
    </x:row>
    <x:row r="522" spans="1:19" outlineLevel="2">
      <x:c r="A522" s="12" t="s">
        <x:v>121</x:v>
      </x:c>
      <x:c r="B522" s="7" t="s">
        <x:v>96</x:v>
      </x:c>
      <x:c r="C522" s="6">
        <x:v>113153095.98999998</x:v>
      </x:c>
      <x:c r="F522" s="6">
        <x:v>113153095.98999998</x:v>
      </x:c>
      <x:c r="G522" s="1">
        <x:f t="shared" si="106"/>
        <x:v>0</x:v>
      </x:c>
      <x:c r="J522" s="3">
        <x:v>60</x:v>
      </x:c>
      <x:c r="K522" s="3">
        <x:v>46.838779000000002</x:v>
      </x:c>
      <x:c r="L522" s="4">
        <x:v>-0.45</x:v>
      </x:c>
      <x:c r="M522" s="3">
        <x:f t="shared" si="107"/>
        <x:v>35989795.15966624</x:v>
      </x:c>
      <x:c r="N522" s="3">
        <x:v>1.2396152135461449</x:v>
      </x:c>
      <x:c r="O522" s="3">
        <x:f t="shared" si="108"/>
        <x:v>44613497.612331681</x:v>
      </x:c>
      <x:c r="P522" s="16">
        <x:f t="shared" si="109"/>
        <x:v>0</x:v>
      </x:c>
      <x:c r="Q522" s="16">
        <x:f t="shared" si="110"/>
        <x:v>0</x:v>
      </x:c>
      <x:c r="R522" s="16">
        <x:f t="shared" si="111"/>
        <x:v>44613497.612331681</x:v>
      </x:c>
      <x:c r="S522" s="16">
        <x:f t="shared" si="100"/>
        <x:v>0</x:v>
      </x:c>
    </x:row>
    <x:row r="523" spans="1:19" outlineLevel="2">
      <x:c r="A523" s="12" t="s">
        <x:v>121</x:v>
      </x:c>
      <x:c r="B523" s="7" t="s">
        <x:v>95</x:v>
      </x:c>
      <x:c r="C523" s="6">
        <x:v>54101577.949999988</x:v>
      </x:c>
      <x:c r="F523" s="6">
        <x:v>54101577.949999988</x:v>
      </x:c>
      <x:c r="G523" s="1">
        <x:f t="shared" si="106"/>
        <x:v>0</x:v>
      </x:c>
      <x:c r="J523" s="3">
        <x:v>60</x:v>
      </x:c>
      <x:c r="K523" s="3">
        <x:v>46.155963999999997</x:v>
      </x:c>
      <x:c r="L523" s="4">
        <x:v>-0.45</x:v>
      </x:c>
      <x:c r="M523" s="3">
        <x:f t="shared" si="107"/>
        <x:v>18100451.325917982</x:v>
      </x:c>
      <x:c r="N523" s="3">
        <x:v>1.2396152135461449</x:v>
      </x:c>
      <x:c r="O523" s="3">
        <x:f t="shared" si="108"/>
        <x:v>22437594.835659422</x:v>
      </x:c>
      <x:c r="P523" s="16">
        <x:f t="shared" si="109"/>
        <x:v>0</x:v>
      </x:c>
      <x:c r="Q523" s="16">
        <x:f t="shared" si="110"/>
        <x:v>0</x:v>
      </x:c>
      <x:c r="R523" s="16">
        <x:f t="shared" si="111"/>
        <x:v>22437594.835659422</x:v>
      </x:c>
      <x:c r="S523" s="16">
        <x:f t="shared" si="100"/>
        <x:v>0</x:v>
      </x:c>
    </x:row>
    <x:row r="524" spans="1:19" outlineLevel="2">
      <x:c r="A524" s="12" t="s">
        <x:v>121</x:v>
      </x:c>
      <x:c r="B524" s="7" t="s">
        <x:v>94</x:v>
      </x:c>
      <x:c r="C524" s="6">
        <x:v>62412534.839999989</x:v>
      </x:c>
      <x:c r="F524" s="6">
        <x:v>62412534.839999989</x:v>
      </x:c>
      <x:c r="G524" s="1">
        <x:f t="shared" si="106"/>
        <x:v>0</x:v>
      </x:c>
      <x:c r="J524" s="3">
        <x:v>60</x:v>
      </x:c>
      <x:c r="K524" s="3">
        <x:v>45.475470999999999</x:v>
      </x:c>
      <x:c r="L524" s="4">
        <x:v>-0.45</x:v>
      </x:c>
      <x:c r="M524" s="3">
        <x:f t="shared" si="107"/>
        <x:v>21907389.579304684</x:v>
      </x:c>
      <x:c r="N524" s="3">
        <x:v>1.2396152135461449</x:v>
      </x:c>
      <x:c r="O524" s="3">
        <x:f t="shared" si="108"/>
        <x:v>27156733.411588367</x:v>
      </x:c>
      <x:c r="P524" s="16">
        <x:f t="shared" si="109"/>
        <x:v>0</x:v>
      </x:c>
      <x:c r="Q524" s="16">
        <x:f t="shared" si="110"/>
        <x:v>0</x:v>
      </x:c>
      <x:c r="R524" s="16">
        <x:f t="shared" si="111"/>
        <x:v>27156733.411588367</x:v>
      </x:c>
      <x:c r="S524" s="16">
        <x:f t="shared" si="100"/>
        <x:v>0</x:v>
      </x:c>
    </x:row>
    <x:row r="525" spans="1:19" outlineLevel="2">
      <x:c r="A525" s="12" t="s">
        <x:v>121</x:v>
      </x:c>
      <x:c r="B525" s="7" t="s">
        <x:v>93</x:v>
      </x:c>
      <x:c r="C525" s="6">
        <x:v>30253623.420000013</x:v>
      </x:c>
      <x:c r="F525" s="6">
        <x:v>30253623.420000013</x:v>
      </x:c>
      <x:c r="G525" s="1">
        <x:f t="shared" si="106"/>
        <x:v>0</x:v>
      </x:c>
      <x:c r="J525" s="3">
        <x:v>60</x:v>
      </x:c>
      <x:c r="K525" s="3">
        <x:v>44.797674999999998</x:v>
      </x:c>
      <x:c r="L525" s="4">
        <x:v>-0.45</x:v>
      </x:c>
      <x:c r="M525" s="3">
        <x:f t="shared" si="107"/>
        <x:v>11114864.211745918</x:v>
      </x:c>
      <x:c r="N525" s="3">
        <x:v>1.2396152135461449</x:v>
      </x:c>
      <x:c r="O525" s="3">
        <x:f t="shared" si="108"/>
        <x:v>13778154.773379819</x:v>
      </x:c>
      <x:c r="P525" s="16">
        <x:f t="shared" si="109"/>
        <x:v>0</x:v>
      </x:c>
      <x:c r="Q525" s="16">
        <x:f t="shared" si="110"/>
        <x:v>0</x:v>
      </x:c>
      <x:c r="R525" s="16">
        <x:f t="shared" si="111"/>
        <x:v>13778154.773379819</x:v>
      </x:c>
      <x:c r="S525" s="16">
        <x:f t="shared" si="100"/>
        <x:v>0</x:v>
      </x:c>
    </x:row>
    <x:row r="526" spans="1:19" outlineLevel="2">
      <x:c r="A526" s="12" t="s">
        <x:v>121</x:v>
      </x:c>
      <x:c r="B526" s="7" t="s">
        <x:v>92</x:v>
      </x:c>
      <x:c r="C526" s="6">
        <x:v>39960953.82</x:v>
      </x:c>
      <x:c r="F526" s="6">
        <x:v>39960953.82</x:v>
      </x:c>
      <x:c r="G526" s="1">
        <x:f t="shared" si="106"/>
        <x:v>0</x:v>
      </x:c>
      <x:c r="J526" s="3">
        <x:v>60</x:v>
      </x:c>
      <x:c r="K526" s="3">
        <x:v>44.122703000000001</x:v>
      </x:c>
      <x:c r="L526" s="4">
        <x:v>-0.45</x:v>
      </x:c>
      <x:c r="M526" s="3">
        <x:f t="shared" si="107"/>
        <x:v>15333071.694916088</x:v>
      </x:c>
      <x:c r="N526" s="3">
        <x:v>1.2396152135461449</x:v>
      </x:c>
      <x:c r="O526" s="3">
        <x:f t="shared" si="108"/>
        <x:v>19007108.943411756</x:v>
      </x:c>
      <x:c r="P526" s="16">
        <x:f t="shared" si="109"/>
        <x:v>0</x:v>
      </x:c>
      <x:c r="Q526" s="16">
        <x:f t="shared" si="110"/>
        <x:v>0</x:v>
      </x:c>
      <x:c r="R526" s="16">
        <x:f t="shared" si="111"/>
        <x:v>19007108.943411756</x:v>
      </x:c>
      <x:c r="S526" s="16">
        <x:f t="shared" si="100"/>
        <x:v>0</x:v>
      </x:c>
    </x:row>
    <x:row r="527" spans="1:19" outlineLevel="2">
      <x:c r="A527" s="12" t="s">
        <x:v>121</x:v>
      </x:c>
      <x:c r="B527" s="7" t="s">
        <x:v>91</x:v>
      </x:c>
      <x:c r="C527" s="6">
        <x:v>46374892.730000012</x:v>
      </x:c>
      <x:c r="F527" s="6">
        <x:v>46374892.730000012</x:v>
      </x:c>
      <x:c r="G527" s="1">
        <x:f t="shared" si="106"/>
        <x:v>0</x:v>
      </x:c>
      <x:c r="J527" s="3">
        <x:v>60</x:v>
      </x:c>
      <x:c r="K527" s="3">
        <x:v>43.450347000000001</x:v>
      </x:c>
      <x:c r="L527" s="4">
        <x:v>-0.45</x:v>
      </x:c>
      <x:c r="M527" s="3">
        <x:f t="shared" si="107"/>
        <x:v>18547635.912681635</x:v>
      </x:c>
      <x:c r="N527" s="3">
        <x:v>1.2396152135461449</x:v>
      </x:c>
      <x:c r="O527" s="3">
        <x:f t="shared" si="108"/>
        <x:v>22991931.652674992</x:v>
      </x:c>
      <x:c r="P527" s="16">
        <x:f t="shared" si="109"/>
        <x:v>0</x:v>
      </x:c>
      <x:c r="Q527" s="16">
        <x:f t="shared" si="110"/>
        <x:v>0</x:v>
      </x:c>
      <x:c r="R527" s="16">
        <x:f t="shared" si="111"/>
        <x:v>22991931.652674992</x:v>
      </x:c>
      <x:c r="S527" s="16">
        <x:f t="shared" si="100"/>
        <x:v>0</x:v>
      </x:c>
    </x:row>
    <x:row r="528" spans="1:19" outlineLevel="2">
      <x:c r="A528" s="12" t="s">
        <x:v>121</x:v>
      </x:c>
      <x:c r="B528" s="7" t="s">
        <x:v>90</x:v>
      </x:c>
      <x:c r="C528" s="6">
        <x:v>22140462.659999993</x:v>
      </x:c>
      <x:c r="F528" s="6">
        <x:v>22140462.659999993</x:v>
      </x:c>
      <x:c r="G528" s="1">
        <x:f t="shared" si="106"/>
        <x:v>0</x:v>
      </x:c>
      <x:c r="J528" s="3">
        <x:v>60</x:v>
      </x:c>
      <x:c r="K528" s="3">
        <x:v>42.781070999999997</x:v>
      </x:c>
      <x:c r="L528" s="4">
        <x:v>-0.45</x:v>
      </x:c>
      <x:c r="M528" s="3">
        <x:f t="shared" si="107"/>
        <x:v>9213180.4854342006</x:v>
      </x:c>
      <x:c r="N528" s="3">
        <x:v>1.2396152135461449</x:v>
      </x:c>
      <x:c r="O528" s="3">
        <x:f t="shared" si="108"/>
        <x:v>11420798.694890691</x:v>
      </x:c>
      <x:c r="P528" s="16">
        <x:f t="shared" si="109"/>
        <x:v>0</x:v>
      </x:c>
      <x:c r="Q528" s="16">
        <x:f t="shared" si="110"/>
        <x:v>0</x:v>
      </x:c>
      <x:c r="R528" s="16">
        <x:f t="shared" si="111"/>
        <x:v>11420798.694890691</x:v>
      </x:c>
      <x:c r="S528" s="16">
        <x:f t="shared" si="100"/>
        <x:v>0</x:v>
      </x:c>
    </x:row>
    <x:row r="529" spans="1:19" outlineLevel="2">
      <x:c r="A529" s="12" t="s">
        <x:v>121</x:v>
      </x:c>
      <x:c r="B529" s="7" t="s">
        <x:v>89</x:v>
      </x:c>
      <x:c r="C529" s="6">
        <x:v>2603879.0000000005</x:v>
      </x:c>
      <x:c r="F529" s="6">
        <x:v>2603879.0000000005</x:v>
      </x:c>
      <x:c r="G529" s="1">
        <x:f t="shared" si="106"/>
        <x:v>0</x:v>
      </x:c>
      <x:c r="J529" s="3">
        <x:v>60</x:v>
      </x:c>
      <x:c r="K529" s="3">
        <x:v>42.115051000000001</x:v>
      </x:c>
      <x:c r="L529" s="4">
        <x:v>-0.45</x:v>
      </x:c>
      <x:c r="M529" s="3">
        <x:f t="shared" si="107"/>
        <x:v>1125447.5419982991</x:v>
      </x:c>
      <x:c r="N529" s="3">
        <x:v>1.2396152135461449</x:v>
      </x:c>
      <x:c r="O529" s="3">
        <x:f t="shared" si="108"/>
        <x:v>1395121.8951092053</x:v>
      </x:c>
      <x:c r="P529" s="16">
        <x:f t="shared" si="109"/>
        <x:v>0</x:v>
      </x:c>
      <x:c r="Q529" s="16">
        <x:f t="shared" si="110"/>
        <x:v>0</x:v>
      </x:c>
      <x:c r="R529" s="16">
        <x:f t="shared" si="111"/>
        <x:v>1395121.8951092053</x:v>
      </x:c>
      <x:c r="S529" s="16">
        <x:f t="shared" si="100"/>
        <x:v>0</x:v>
      </x:c>
    </x:row>
    <x:row r="530" spans="1:19" outlineLevel="2">
      <x:c r="A530" s="12" t="s">
        <x:v>121</x:v>
      </x:c>
      <x:c r="B530" s="7" t="s">
        <x:v>88</x:v>
      </x:c>
      <x:c r="C530" s="6">
        <x:v>4154043.8600000003</x:v>
      </x:c>
      <x:c r="F530" s="6">
        <x:v>4154043.8600000003</x:v>
      </x:c>
      <x:c r="G530" s="1">
        <x:f t="shared" si="106"/>
        <x:v>0</x:v>
      </x:c>
      <x:c r="J530" s="3">
        <x:v>60</x:v>
      </x:c>
      <x:c r="K530" s="3">
        <x:v>41.452086000000001</x:v>
      </x:c>
      <x:c r="L530" s="4">
        <x:v>-0.45</x:v>
      </x:c>
      <x:c r="M530" s="3">
        <x:f t="shared" si="107"/>
        <x:v>1862013.8331314446</x:v>
      </x:c>
      <x:c r="N530" s="3">
        <x:v>1.2396152135461449</x:v>
      </x:c>
      <x:c r="O530" s="3">
        <x:f t="shared" si="108"/>
        <x:v>2308180.6753831115</x:v>
      </x:c>
      <x:c r="P530" s="16">
        <x:f t="shared" si="109"/>
        <x:v>0</x:v>
      </x:c>
      <x:c r="Q530" s="16">
        <x:f t="shared" si="110"/>
        <x:v>0</x:v>
      </x:c>
      <x:c r="R530" s="16">
        <x:f t="shared" si="111"/>
        <x:v>2308180.6753831115</x:v>
      </x:c>
      <x:c r="S530" s="16">
        <x:f t="shared" si="100"/>
        <x:v>0</x:v>
      </x:c>
    </x:row>
    <x:row r="531" spans="1:19" outlineLevel="2">
      <x:c r="A531" s="12" t="s">
        <x:v>121</x:v>
      </x:c>
      <x:c r="B531" s="7" t="s">
        <x:v>87</x:v>
      </x:c>
      <x:c r="C531" s="6">
        <x:v>10351434.869999999</x:v>
      </x:c>
      <x:c r="F531" s="6">
        <x:v>10351434.869999999</x:v>
      </x:c>
      <x:c r="G531" s="1">
        <x:f t="shared" si="106"/>
        <x:v>0</x:v>
      </x:c>
      <x:c r="J531" s="3">
        <x:v>60</x:v>
      </x:c>
      <x:c r="K531" s="3">
        <x:v>40.792695000000002</x:v>
      </x:c>
      <x:c r="L531" s="4">
        <x:v>-0.45</x:v>
      </x:c>
      <x:c r="M531" s="3">
        <x:f t="shared" si="107"/>
        <x:v>4804893.196113361</x:v>
      </x:c>
      <x:c r="N531" s="3">
        <x:v>1.2396152135461449</x:v>
      </x:c>
      <x:c r="O531" s="3">
        <x:f t="shared" si="108"/>
        <x:v>5956218.705366483</x:v>
      </x:c>
      <x:c r="P531" s="16">
        <x:f t="shared" si="109"/>
        <x:v>0</x:v>
      </x:c>
      <x:c r="Q531" s="16">
        <x:f t="shared" si="110"/>
        <x:v>0</x:v>
      </x:c>
      <x:c r="R531" s="16">
        <x:f t="shared" si="111"/>
        <x:v>5956218.705366483</x:v>
      </x:c>
      <x:c r="S531" s="16">
        <x:f t="shared" si="100"/>
        <x:v>0</x:v>
      </x:c>
    </x:row>
    <x:row r="532" spans="1:19" outlineLevel="2">
      <x:c r="A532" s="12" t="s">
        <x:v>121</x:v>
      </x:c>
      <x:c r="B532" s="7" t="s">
        <x:v>86</x:v>
      </x:c>
      <x:c r="C532" s="6">
        <x:v>1193832.44</x:v>
      </x:c>
      <x:c r="F532" s="6">
        <x:v>1193832.44</x:v>
      </x:c>
      <x:c r="G532" s="1">
        <x:f t="shared" si="106"/>
        <x:v>0</x:v>
      </x:c>
      <x:c r="J532" s="3">
        <x:v>60</x:v>
      </x:c>
      <x:c r="K532" s="3">
        <x:v>40.137059999999998</x:v>
      </x:c>
      <x:c r="L532" s="4">
        <x:v>-0.45</x:v>
      </x:c>
      <x:c r="M532" s="3">
        <x:f t="shared" si="107"/>
        <x:v>573064.7013728621</x:v>
      </x:c>
      <x:c r="N532" s="3">
        <x:v>1.2396152135461449</x:v>
      </x:c>
      <x:c r="O532" s="3">
        <x:f t="shared" si="108"/>
        <x:v>710379.72216807818</x:v>
      </x:c>
      <x:c r="P532" s="16">
        <x:f t="shared" si="109"/>
        <x:v>0</x:v>
      </x:c>
      <x:c r="Q532" s="16">
        <x:f t="shared" si="110"/>
        <x:v>0</x:v>
      </x:c>
      <x:c r="R532" s="16">
        <x:f t="shared" si="111"/>
        <x:v>710379.72216807818</x:v>
      </x:c>
      <x:c r="S532" s="16">
        <x:f t="shared" si="100"/>
        <x:v>0</x:v>
      </x:c>
    </x:row>
    <x:row r="533" spans="1:19" outlineLevel="2">
      <x:c r="A533" s="12" t="s">
        <x:v>121</x:v>
      </x:c>
      <x:c r="B533" s="7" t="s">
        <x:v>85</x:v>
      </x:c>
      <x:c r="C533" s="6">
        <x:v>821696.54999999993</x:v>
      </x:c>
      <x:c r="F533" s="6">
        <x:v>821696.54999999993</x:v>
      </x:c>
      <x:c r="G533" s="1">
        <x:f t="shared" si="106"/>
        <x:v>0</x:v>
      </x:c>
      <x:c r="J533" s="3">
        <x:v>60</x:v>
      </x:c>
      <x:c r="K533" s="3">
        <x:v>39.484962000000003</x:v>
      </x:c>
      <x:c r="L533" s="4">
        <x:v>-0.45</x:v>
      </x:c>
      <x:c r="M533" s="3">
        <x:f t="shared" si="107"/>
        <x:v>407380.78540320671</x:v>
      </x:c>
      <x:c r="N533" s="3">
        <x:v>1.2396152135461449</x:v>
      </x:c>
      <x:c r="O533" s="3">
        <x:f t="shared" si="108"/>
        <x:v>504995.41929219232</x:v>
      </x:c>
      <x:c r="P533" s="16">
        <x:f t="shared" si="109"/>
        <x:v>0</x:v>
      </x:c>
      <x:c r="Q533" s="16">
        <x:f t="shared" si="110"/>
        <x:v>0</x:v>
      </x:c>
      <x:c r="R533" s="16">
        <x:f t="shared" si="111"/>
        <x:v>504995.41929219232</x:v>
      </x:c>
      <x:c r="S533" s="16">
        <x:f t="shared" si="100"/>
        <x:v>0</x:v>
      </x:c>
    </x:row>
    <x:row r="534" spans="1:19" outlineLevel="2">
      <x:c r="A534" s="12" t="s">
        <x:v>121</x:v>
      </x:c>
      <x:c r="B534" s="7" t="s">
        <x:v>84</x:v>
      </x:c>
      <x:c r="C534" s="6">
        <x:v>4875048.6700000018</x:v>
      </x:c>
      <x:c r="F534" s="6">
        <x:v>4875048.6700000018</x:v>
      </x:c>
      <x:c r="G534" s="1">
        <x:f t="shared" si="106"/>
        <x:v>0</x:v>
      </x:c>
      <x:c r="J534" s="3">
        <x:v>60</x:v>
      </x:c>
      <x:c r="K534" s="3">
        <x:v>38.836953999999999</x:v>
      </x:c>
      <x:c r="L534" s="4">
        <x:v>-0.45</x:v>
      </x:c>
      <x:c r="M534" s="3">
        <x:f t="shared" si="107"/>
        <x:v>2493296.2486733478</x:v>
      </x:c>
      <x:c r="N534" s="3">
        <x:v>1.2396152135461449</x:v>
      </x:c>
      <x:c r="O534" s="3">
        <x:f t="shared" si="108"/>
        <x:v>3090727.9617330139</x:v>
      </x:c>
      <x:c r="P534" s="16">
        <x:f t="shared" si="109"/>
        <x:v>0</x:v>
      </x:c>
      <x:c r="Q534" s="16">
        <x:f t="shared" si="110"/>
        <x:v>0</x:v>
      </x:c>
      <x:c r="R534" s="16">
        <x:f t="shared" si="111"/>
        <x:v>3090727.9617330139</x:v>
      </x:c>
      <x:c r="S534" s="16">
        <x:f t="shared" si="100"/>
        <x:v>0</x:v>
      </x:c>
    </x:row>
    <x:row r="535" spans="1:19" outlineLevel="2">
      <x:c r="A535" s="12" t="s">
        <x:v>121</x:v>
      </x:c>
      <x:c r="B535" s="7" t="s">
        <x:v>83</x:v>
      </x:c>
      <x:c r="C535" s="6">
        <x:v>1950632.86</x:v>
      </x:c>
      <x:c r="F535" s="6">
        <x:v>1950632.86</x:v>
      </x:c>
      <x:c r="G535" s="1">
        <x:f t="shared" ref="G535:G566" si="112">+C535-D535-E535-F535</x:f>
        <x:v>0</x:v>
      </x:c>
      <x:c r="J535" s="3">
        <x:v>60</x:v>
      </x:c>
      <x:c r="K535" s="3">
        <x:v>38.193213</x:v>
      </x:c>
      <x:c r="L535" s="4">
        <x:v>-0.45</x:v>
      </x:c>
      <x:c r="M535" s="3">
        <x:f t="shared" si="107"/>
        <x:v>1027978.352919503</x:v>
      </x:c>
      <x:c r="N535" s="3">
        <x:v>1.2396152135461449</x:v>
      </x:c>
      <x:c r="O535" s="3">
        <x:f t="shared" si="108"/>
        <x:v>1274297.605475124</x:v>
      </x:c>
      <x:c r="P535" s="16">
        <x:f t="shared" si="109"/>
        <x:v>0</x:v>
      </x:c>
      <x:c r="Q535" s="16">
        <x:f t="shared" si="110"/>
        <x:v>0</x:v>
      </x:c>
      <x:c r="R535" s="16">
        <x:f t="shared" si="111"/>
        <x:v>1274297.605475124</x:v>
      </x:c>
      <x:c r="S535" s="16">
        <x:f t="shared" si="100"/>
        <x:v>0</x:v>
      </x:c>
    </x:row>
    <x:row r="536" spans="1:19" outlineLevel="2">
      <x:c r="A536" s="12" t="s">
        <x:v>121</x:v>
      </x:c>
      <x:c r="B536" s="7" t="s">
        <x:v>82</x:v>
      </x:c>
      <x:c r="C536" s="6">
        <x:v>3874350.38</x:v>
      </x:c>
      <x:c r="F536" s="6">
        <x:v>3874350.38</x:v>
      </x:c>
      <x:c r="G536" s="1">
        <x:f t="shared" si="112"/>
        <x:v>0</x:v>
      </x:c>
      <x:c r="J536" s="3">
        <x:v>60</x:v>
      </x:c>
      <x:c r="K536" s="3">
        <x:v>37.553477999999998</x:v>
      </x:c>
      <x:c r="L536" s="4">
        <x:v>-0.45</x:v>
      </x:c>
      <x:c r="M536" s="3">
        <x:f t="shared" ref="M536:M567" si="113">+C536*(1-K536/J536)*(1-L536)</x:f>
        <x:v>2101670.8668091442</x:v>
      </x:c>
      <x:c r="N536" s="3">
        <x:v>1.2396152135461449</x:v>
      </x:c>
      <x:c r="O536" s="3">
        <x:f t="shared" ref="O536:O567" si="114">IF((C536*(1-L536)-M536*N536)&lt;0,C536*(1-L536),M536*N536)</x:f>
        <x:v>2605263.1803633287</x:v>
      </x:c>
      <x:c r="P536" s="16">
        <x:f t="shared" ref="P536:P567" si="115">+D536/$C536*$O536</x:f>
        <x:v>0</x:v>
      </x:c>
      <x:c r="Q536" s="16">
        <x:f t="shared" ref="Q536:Q567" si="116">+E536/$C536*$O536</x:f>
        <x:v>0</x:v>
      </x:c>
      <x:c r="R536" s="16">
        <x:f t="shared" ref="R536:R567" si="117">+F536/$C536*$O536</x:f>
        <x:v>2605263.1803633287</x:v>
      </x:c>
      <x:c r="S536" s="16">
        <x:f t="shared" ref="S536:S599" si="118">+O536-P536-Q536-R536</x:f>
        <x:v>0</x:v>
      </x:c>
    </x:row>
    <x:row r="537" spans="1:19" outlineLevel="2">
      <x:c r="A537" s="12" t="s">
        <x:v>121</x:v>
      </x:c>
      <x:c r="B537" s="7" t="s">
        <x:v>81</x:v>
      </x:c>
      <x:c r="C537" s="6">
        <x:v>6765240.8699999982</x:v>
      </x:c>
      <x:c r="F537" s="6">
        <x:v>6765240.8699999982</x:v>
      </x:c>
      <x:c r="G537" s="1">
        <x:f t="shared" si="112"/>
        <x:v>0</x:v>
      </x:c>
      <x:c r="J537" s="3">
        <x:v>60</x:v>
      </x:c>
      <x:c r="K537" s="3">
        <x:v>36.918318999999997</x:v>
      </x:c>
      <x:c r="L537" s="4">
        <x:v>-0.45</x:v>
      </x:c>
      <x:c r="M537" s="3">
        <x:f t="shared" si="113"/>
        <x:v>3773700.6815296421</x:v>
      </x:c>
      <x:c r="N537" s="3">
        <x:v>1.2396152135461449</x:v>
      </x:c>
      <x:c r="O537" s="3">
        <x:f t="shared" si="114"/>
        <x:v>4677936.7761936001</x:v>
      </x:c>
      <x:c r="P537" s="16">
        <x:f t="shared" si="115"/>
        <x:v>0</x:v>
      </x:c>
      <x:c r="Q537" s="16">
        <x:f t="shared" si="116"/>
        <x:v>0</x:v>
      </x:c>
      <x:c r="R537" s="16">
        <x:f t="shared" si="117"/>
        <x:v>4677936.7761936001</x:v>
      </x:c>
      <x:c r="S537" s="16">
        <x:f t="shared" si="118"/>
        <x:v>0</x:v>
      </x:c>
    </x:row>
    <x:row r="538" spans="1:19" outlineLevel="2">
      <x:c r="A538" s="12" t="s">
        <x:v>121</x:v>
      </x:c>
      <x:c r="B538" s="7" t="s">
        <x:v>80</x:v>
      </x:c>
      <x:c r="C538" s="6">
        <x:v>5617759.6100000013</x:v>
      </x:c>
      <x:c r="F538" s="6">
        <x:v>5617759.6100000013</x:v>
      </x:c>
      <x:c r="G538" s="1">
        <x:f t="shared" si="112"/>
        <x:v>0</x:v>
      </x:c>
      <x:c r="J538" s="3">
        <x:v>60</x:v>
      </x:c>
      <x:c r="K538" s="3">
        <x:v>36.2879</x:v>
      </x:c>
      <x:c r="L538" s="4">
        <x:v>-0.45</x:v>
      </x:c>
      <x:c r="M538" s="3">
        <x:f t="shared" si="113"/>
        <x:v>3219214.543166792</x:v>
      </x:c>
      <x:c r="N538" s="3">
        <x:v>1.2396152135461449</x:v>
      </x:c>
      <x:c r="O538" s="3">
        <x:f t="shared" si="114"/>
        <x:v>3990587.3233785583</x:v>
      </x:c>
      <x:c r="P538" s="16">
        <x:f t="shared" si="115"/>
        <x:v>0</x:v>
      </x:c>
      <x:c r="Q538" s="16">
        <x:f t="shared" si="116"/>
        <x:v>0</x:v>
      </x:c>
      <x:c r="R538" s="16">
        <x:f t="shared" si="117"/>
        <x:v>3990587.3233785583</x:v>
      </x:c>
      <x:c r="S538" s="16">
        <x:f t="shared" si="118"/>
        <x:v>0</x:v>
      </x:c>
    </x:row>
    <x:row r="539" spans="1:19" outlineLevel="2">
      <x:c r="A539" s="12" t="s">
        <x:v>121</x:v>
      </x:c>
      <x:c r="B539" s="7" t="s">
        <x:v>79</x:v>
      </x:c>
      <x:c r="C539" s="6">
        <x:v>9627319.4599999953</x:v>
      </x:c>
      <x:c r="F539" s="6">
        <x:v>9627319.4599999953</x:v>
      </x:c>
      <x:c r="G539" s="1">
        <x:f t="shared" si="112"/>
        <x:v>0</x:v>
      </x:c>
      <x:c r="J539" s="3">
        <x:v>60</x:v>
      </x:c>
      <x:c r="K539" s="3">
        <x:v>35.661912000000001</x:v>
      </x:c>
      <x:c r="L539" s="4">
        <x:v>-0.45</x:v>
      </x:c>
      <x:c r="M539" s="3">
        <x:f t="shared" si="113"/>
        <x:v>5662504.9153551478</x:v>
      </x:c>
      <x:c r="N539" s="3">
        <x:v>1.2396152135461449</x:v>
      </x:c>
      <x:c r="O539" s="3">
        <x:f t="shared" si="114"/>
        <x:v>7019327.2398540666</x:v>
      </x:c>
      <x:c r="P539" s="16">
        <x:f t="shared" si="115"/>
        <x:v>0</x:v>
      </x:c>
      <x:c r="Q539" s="16">
        <x:f t="shared" si="116"/>
        <x:v>0</x:v>
      </x:c>
      <x:c r="R539" s="16">
        <x:f t="shared" si="117"/>
        <x:v>7019327.2398540666</x:v>
      </x:c>
      <x:c r="S539" s="16">
        <x:f t="shared" si="118"/>
        <x:v>0</x:v>
      </x:c>
    </x:row>
    <x:row r="540" spans="1:19" outlineLevel="2">
      <x:c r="A540" s="12" t="s">
        <x:v>121</x:v>
      </x:c>
      <x:c r="B540" s="7" t="s">
        <x:v>78</x:v>
      </x:c>
      <x:c r="C540" s="6">
        <x:v>5386064.0700000003</x:v>
      </x:c>
      <x:c r="F540" s="6">
        <x:v>5386064.0700000003</x:v>
      </x:c>
      <x:c r="G540" s="1">
        <x:f t="shared" si="112"/>
        <x:v>0</x:v>
      </x:c>
      <x:c r="J540" s="3">
        <x:v>60</x:v>
      </x:c>
      <x:c r="K540" s="3">
        <x:v>35.040934</x:v>
      </x:c>
      <x:c r="L540" s="4">
        <x:v>-0.45</x:v>
      </x:c>
      <x:c r="M540" s="3">
        <x:f t="shared" si="113"/>
        <x:v>3248752.2745811669</x:v>
      </x:c>
      <x:c r="N540" s="3">
        <x:v>1.2396152135461449</x:v>
      </x:c>
      <x:c r="O540" s="3">
        <x:f t="shared" si="114"/>
        <x:v>4027202.744613457</x:v>
      </x:c>
      <x:c r="P540" s="16">
        <x:f t="shared" si="115"/>
        <x:v>0</x:v>
      </x:c>
      <x:c r="Q540" s="16">
        <x:f t="shared" si="116"/>
        <x:v>0</x:v>
      </x:c>
      <x:c r="R540" s="16">
        <x:f t="shared" si="117"/>
        <x:v>4027202.744613457</x:v>
      </x:c>
      <x:c r="S540" s="16">
        <x:f t="shared" si="118"/>
        <x:v>0</x:v>
      </x:c>
    </x:row>
    <x:row r="541" spans="1:19" outlineLevel="2">
      <x:c r="A541" s="12" t="s">
        <x:v>121</x:v>
      </x:c>
      <x:c r="B541" s="7" t="s">
        <x:v>77</x:v>
      </x:c>
      <x:c r="C541" s="6">
        <x:v>6139077.04</x:v>
      </x:c>
      <x:c r="F541" s="6">
        <x:v>6139077.04</x:v>
      </x:c>
      <x:c r="G541" s="1">
        <x:f t="shared" si="112"/>
        <x:v>0</x:v>
      </x:c>
      <x:c r="J541" s="3">
        <x:v>60</x:v>
      </x:c>
      <x:c r="K541" s="3">
        <x:v>34.425094999999999</x:v>
      </x:c>
      <x:c r="L541" s="4">
        <x:v>-0.45</x:v>
      </x:c>
      <x:c r="M541" s="3">
        <x:f t="shared" si="113"/>
        <x:v>3794319.2087372961</x:v>
      </x:c>
      <x:c r="N541" s="3">
        <x:v>1.2396152135461449</x:v>
      </x:c>
      <x:c r="O541" s="3">
        <x:f t="shared" si="114"/>
        <x:v>4703495.8162011225</x:v>
      </x:c>
      <x:c r="P541" s="16">
        <x:f t="shared" si="115"/>
        <x:v>0</x:v>
      </x:c>
      <x:c r="Q541" s="16">
        <x:f t="shared" si="116"/>
        <x:v>0</x:v>
      </x:c>
      <x:c r="R541" s="16">
        <x:f t="shared" si="117"/>
        <x:v>4703495.8162011225</x:v>
      </x:c>
      <x:c r="S541" s="16">
        <x:f t="shared" si="118"/>
        <x:v>0</x:v>
      </x:c>
    </x:row>
    <x:row r="542" spans="1:19" outlineLevel="2">
      <x:c r="A542" s="12" t="s">
        <x:v>121</x:v>
      </x:c>
      <x:c r="B542" s="7" t="s">
        <x:v>76</x:v>
      </x:c>
      <x:c r="C542" s="6">
        <x:v>9858167.4399999995</x:v>
      </x:c>
      <x:c r="F542" s="6">
        <x:v>9858167.4399999995</x:v>
      </x:c>
      <x:c r="G542" s="1">
        <x:f t="shared" si="112"/>
        <x:v>0</x:v>
      </x:c>
      <x:c r="J542" s="3">
        <x:v>60</x:v>
      </x:c>
      <x:c r="K542" s="3">
        <x:v>33.814055000000003</x:v>
      </x:c>
      <x:c r="L542" s="4">
        <x:v>-0.45</x:v>
      </x:c>
      <x:c r="M542" s="3">
        <x:f t="shared" si="113"/>
        <x:v>6238514.5676285764</x:v>
      </x:c>
      <x:c r="N542" s="3">
        <x:v>1.2396152135461449</x:v>
      </x:c>
      <x:c r="O542" s="3">
        <x:f t="shared" si="114"/>
        <x:v>7733357.5679616332</x:v>
      </x:c>
      <x:c r="P542" s="16">
        <x:f t="shared" si="115"/>
        <x:v>0</x:v>
      </x:c>
      <x:c r="Q542" s="16">
        <x:f t="shared" si="116"/>
        <x:v>0</x:v>
      </x:c>
      <x:c r="R542" s="16">
        <x:f t="shared" si="117"/>
        <x:v>7733357.5679616332</x:v>
      </x:c>
      <x:c r="S542" s="16">
        <x:f t="shared" si="118"/>
        <x:v>0</x:v>
      </x:c>
    </x:row>
    <x:row r="543" spans="1:19" outlineLevel="2">
      <x:c r="A543" s="12" t="s">
        <x:v>121</x:v>
      </x:c>
      <x:c r="B543" s="7" t="s">
        <x:v>75</x:v>
      </x:c>
      <x:c r="C543" s="6">
        <x:v>9859361.620000001</x:v>
      </x:c>
      <x:c r="F543" s="6">
        <x:v>9859361.620000001</x:v>
      </x:c>
      <x:c r="G543" s="1">
        <x:f t="shared" si="112"/>
        <x:v>0</x:v>
      </x:c>
      <x:c r="J543" s="3">
        <x:v>60</x:v>
      </x:c>
      <x:c r="K543" s="3">
        <x:v>33.208370000000002</x:v>
      </x:c>
      <x:c r="L543" s="4">
        <x:v>-0.45</x:v>
      </x:c>
      <x:c r="M543" s="3">
        <x:f t="shared" si="113"/>
        <x:v>6383585.5735149803</x:v>
      </x:c>
      <x:c r="N543" s="3">
        <x:v>1.2396152135461449</x:v>
      </x:c>
      <x:c r="O543" s="3">
        <x:f t="shared" si="114"/>
        <x:v>7913189.7939028619</x:v>
      </x:c>
      <x:c r="P543" s="16">
        <x:f t="shared" si="115"/>
        <x:v>0</x:v>
      </x:c>
      <x:c r="Q543" s="16">
        <x:f t="shared" si="116"/>
        <x:v>0</x:v>
      </x:c>
      <x:c r="R543" s="16">
        <x:f t="shared" si="117"/>
        <x:v>7913189.7939028619</x:v>
      </x:c>
      <x:c r="S543" s="16">
        <x:f t="shared" si="118"/>
        <x:v>0</x:v>
      </x:c>
    </x:row>
    <x:row r="544" spans="1:19" outlineLevel="2">
      <x:c r="A544" s="12" t="s">
        <x:v>121</x:v>
      </x:c>
      <x:c r="B544" s="7" t="s">
        <x:v>74</x:v>
      </x:c>
      <x:c r="C544" s="6">
        <x:v>43584775.490000002</x:v>
      </x:c>
      <x:c r="F544" s="6">
        <x:v>43584775.490000002</x:v>
      </x:c>
      <x:c r="G544" s="1">
        <x:f t="shared" si="112"/>
        <x:v>0</x:v>
      </x:c>
      <x:c r="J544" s="3">
        <x:v>60</x:v>
      </x:c>
      <x:c r="K544" s="3">
        <x:v>32.608156999999999</x:v>
      </x:c>
      <x:c r="L544" s="4">
        <x:v>-0.45</x:v>
      </x:c>
      <x:c r="M544" s="3">
        <x:f t="shared" si="113"/>
        <x:v>28851793.745797928</x:v>
      </x:c>
      <x:c r="N544" s="3">
        <x:v>1.2396152135461449</x:v>
      </x:c>
      <x:c r="O544" s="3">
        <x:f t="shared" si="114"/>
        <x:v>35765122.465386629</x:v>
      </x:c>
      <x:c r="P544" s="16">
        <x:f t="shared" si="115"/>
        <x:v>0</x:v>
      </x:c>
      <x:c r="Q544" s="16">
        <x:f t="shared" si="116"/>
        <x:v>0</x:v>
      </x:c>
      <x:c r="R544" s="16">
        <x:f t="shared" si="117"/>
        <x:v>35765122.465386629</x:v>
      </x:c>
      <x:c r="S544" s="16">
        <x:f t="shared" si="118"/>
        <x:v>0</x:v>
      </x:c>
    </x:row>
    <x:row r="545" spans="1:19" outlineLevel="2">
      <x:c r="A545" s="12" t="s">
        <x:v>121</x:v>
      </x:c>
      <x:c r="B545" s="7" t="s">
        <x:v>73</x:v>
      </x:c>
      <x:c r="C545" s="6">
        <x:v>14004953.760000004</x:v>
      </x:c>
      <x:c r="F545" s="6">
        <x:v>14004953.760000004</x:v>
      </x:c>
      <x:c r="G545" s="1">
        <x:f t="shared" si="112"/>
        <x:v>0</x:v>
      </x:c>
      <x:c r="J545" s="3">
        <x:v>60</x:v>
      </x:c>
      <x:c r="K545" s="3">
        <x:v>32.013030999999998</x:v>
      </x:c>
      <x:c r="L545" s="4">
        <x:v>-0.45</x:v>
      </x:c>
      <x:c r="M545" s="3">
        <x:f t="shared" si="113"/>
        <x:v>9472274.9959158767</x:v>
      </x:c>
      <x:c r="N545" s="3">
        <x:v>1.2396152135461449</x:v>
      </x:c>
      <x:c r="O545" s="3">
        <x:f t="shared" si="114"/>
        <x:v>11741976.191830069</x:v>
      </x:c>
      <x:c r="P545" s="16">
        <x:f t="shared" si="115"/>
        <x:v>0</x:v>
      </x:c>
      <x:c r="Q545" s="16">
        <x:f t="shared" si="116"/>
        <x:v>0</x:v>
      </x:c>
      <x:c r="R545" s="16">
        <x:f t="shared" si="117"/>
        <x:v>11741976.191830069</x:v>
      </x:c>
      <x:c r="S545" s="16">
        <x:f t="shared" si="118"/>
        <x:v>0</x:v>
      </x:c>
    </x:row>
    <x:row r="546" spans="1:19" outlineLevel="2">
      <x:c r="A546" s="12" t="s">
        <x:v>121</x:v>
      </x:c>
      <x:c r="B546" s="7" t="s">
        <x:v>72</x:v>
      </x:c>
      <x:c r="C546" s="6">
        <x:v>10078451.790000003</x:v>
      </x:c>
      <x:c r="F546" s="6">
        <x:v>10078451.790000003</x:v>
      </x:c>
      <x:c r="G546" s="1">
        <x:f t="shared" si="112"/>
        <x:v>0</x:v>
      </x:c>
      <x:c r="J546" s="3">
        <x:v>60</x:v>
      </x:c>
      <x:c r="K546" s="3">
        <x:v>31.423539999999999</x:v>
      </x:c>
      <x:c r="L546" s="4">
        <x:v>-0.45</x:v>
      </x:c>
      <x:c r="M546" s="3">
        <x:f t="shared" si="113"/>
        <x:v>6960156.465605868</x:v>
      </x:c>
      <x:c r="N546" s="3">
        <x:v>1.2396152135461449</x:v>
      </x:c>
      <x:c r="O546" s="3">
        <x:f t="shared" si="114"/>
        <x:v>8627915.8434266001</x:v>
      </x:c>
      <x:c r="P546" s="16">
        <x:f t="shared" si="115"/>
        <x:v>0</x:v>
      </x:c>
      <x:c r="Q546" s="16">
        <x:f t="shared" si="116"/>
        <x:v>0</x:v>
      </x:c>
      <x:c r="R546" s="16">
        <x:f t="shared" si="117"/>
        <x:v>8627915.8434266001</x:v>
      </x:c>
      <x:c r="S546" s="16">
        <x:f t="shared" si="118"/>
        <x:v>0</x:v>
      </x:c>
    </x:row>
    <x:row r="547" spans="1:19" outlineLevel="2">
      <x:c r="A547" s="12" t="s">
        <x:v>121</x:v>
      </x:c>
      <x:c r="B547" s="7" t="s">
        <x:v>71</x:v>
      </x:c>
      <x:c r="C547" s="6">
        <x:v>17117233.060000002</x:v>
      </x:c>
      <x:c r="F547" s="6">
        <x:v>17117233.060000002</x:v>
      </x:c>
      <x:c r="G547" s="1">
        <x:f t="shared" si="112"/>
        <x:v>0</x:v>
      </x:c>
      <x:c r="J547" s="3">
        <x:v>60</x:v>
      </x:c>
      <x:c r="K547" s="3">
        <x:v>30.839756999999999</x:v>
      </x:c>
      <x:c r="L547" s="4">
        <x:v>-0.45</x:v>
      </x:c>
      <x:c r="M547" s="3">
        <x:f t="shared" si="113"/>
        <x:v>12062614.658333147</x:v>
      </x:c>
      <x:c r="N547" s="3">
        <x:v>1.2396152135461449</x:v>
      </x:c>
      <x:c r="O547" s="3">
        <x:f t="shared" si="114"/>
        <x:v>14953000.645614501</x:v>
      </x:c>
      <x:c r="P547" s="16">
        <x:f t="shared" si="115"/>
        <x:v>0</x:v>
      </x:c>
      <x:c r="Q547" s="16">
        <x:f t="shared" si="116"/>
        <x:v>0</x:v>
      </x:c>
      <x:c r="R547" s="16">
        <x:f t="shared" si="117"/>
        <x:v>14953000.645614501</x:v>
      </x:c>
      <x:c r="S547" s="16">
        <x:f t="shared" si="118"/>
        <x:v>0</x:v>
      </x:c>
    </x:row>
    <x:row r="548" spans="1:19" outlineLevel="2">
      <x:c r="A548" s="12" t="s">
        <x:v>121</x:v>
      </x:c>
      <x:c r="B548" s="7" t="s">
        <x:v>70</x:v>
      </x:c>
      <x:c r="C548" s="6">
        <x:v>5034211.2399999993</x:v>
      </x:c>
      <x:c r="F548" s="6">
        <x:v>5034211.2399999993</x:v>
      </x:c>
      <x:c r="G548" s="1">
        <x:f t="shared" si="112"/>
        <x:v>0</x:v>
      </x:c>
      <x:c r="J548" s="3">
        <x:v>60</x:v>
      </x:c>
      <x:c r="K548" s="3">
        <x:v>30.261277</x:v>
      </x:c>
      <x:c r="L548" s="4">
        <x:v>-0.45</x:v>
      </x:c>
      <x:c r="M548" s="3">
        <x:f t="shared" si="113"/>
        <x:v>3618016.1617546235</x:v>
      </x:c>
      <x:c r="N548" s="3">
        <x:v>1.2396152135461449</x:v>
      </x:c>
      <x:c r="O548" s="3">
        <x:f t="shared" si="114"/>
        <x:v>4484947.8769668611</x:v>
      </x:c>
      <x:c r="P548" s="16">
        <x:f t="shared" si="115"/>
        <x:v>0</x:v>
      </x:c>
      <x:c r="Q548" s="16">
        <x:f t="shared" si="116"/>
        <x:v>0</x:v>
      </x:c>
      <x:c r="R548" s="16">
        <x:f t="shared" si="117"/>
        <x:v>4484947.8769668611</x:v>
      </x:c>
      <x:c r="S548" s="16">
        <x:f t="shared" si="118"/>
        <x:v>0</x:v>
      </x:c>
    </x:row>
    <x:row r="549" spans="1:19" outlineLevel="2">
      <x:c r="A549" s="12" t="s">
        <x:v>121</x:v>
      </x:c>
      <x:c r="B549" s="7" t="s">
        <x:v>69</x:v>
      </x:c>
      <x:c r="C549" s="6">
        <x:v>3455834.8700000006</x:v>
      </x:c>
      <x:c r="F549" s="6">
        <x:v>3455834.8700000006</x:v>
      </x:c>
      <x:c r="G549" s="1">
        <x:f t="shared" si="112"/>
        <x:v>0</x:v>
      </x:c>
      <x:c r="J549" s="3">
        <x:v>60</x:v>
      </x:c>
      <x:c r="K549" s="3">
        <x:v>29.688621000000001</x:v>
      </x:c>
      <x:c r="L549" s="4">
        <x:v>-0.45</x:v>
      </x:c>
      <x:c r="M549" s="3">
        <x:f t="shared" si="113"/>
        <x:v>2531485.4122279887</x:v>
      </x:c>
      <x:c r="N549" s="3">
        <x:v>1.2396152135461449</x:v>
      </x:c>
      <x:c r="O549" s="3">
        <x:f t="shared" si="114"/>
        <x:v>3138067.8298679488</x:v>
      </x:c>
      <x:c r="P549" s="16">
        <x:f t="shared" si="115"/>
        <x:v>0</x:v>
      </x:c>
      <x:c r="Q549" s="16">
        <x:f t="shared" si="116"/>
        <x:v>0</x:v>
      </x:c>
      <x:c r="R549" s="16">
        <x:f t="shared" si="117"/>
        <x:v>3138067.8298679488</x:v>
      </x:c>
      <x:c r="S549" s="16">
        <x:f t="shared" si="118"/>
        <x:v>0</x:v>
      </x:c>
    </x:row>
    <x:row r="550" spans="1:19" outlineLevel="2">
      <x:c r="A550" s="12" t="s">
        <x:v>121</x:v>
      </x:c>
      <x:c r="B550" s="7" t="s">
        <x:v>68</x:v>
      </x:c>
      <x:c r="C550" s="6">
        <x:v>3820243.3499999996</x:v>
      </x:c>
      <x:c r="F550" s="6">
        <x:v>3820243.3499999996</x:v>
      </x:c>
      <x:c r="G550" s="1">
        <x:f t="shared" si="112"/>
        <x:v>0</x:v>
      </x:c>
      <x:c r="J550" s="3">
        <x:v>60</x:v>
      </x:c>
      <x:c r="K550" s="3">
        <x:v>29.121834</x:v>
      </x:c>
      <x:c r="L550" s="4">
        <x:v>-0.45</x:v>
      </x:c>
      <x:c r="M550" s="3">
        <x:f t="shared" si="113"/>
        <x:v>2850750.9511076552</x:v>
      </x:c>
      <x:c r="N550" s="3">
        <x:v>1.2396152135461449</x:v>
      </x:c>
      <x:c r="O550" s="3">
        <x:f t="shared" si="114"/>
        <x:v>3533834.2490241919</x:v>
      </x:c>
      <x:c r="P550" s="16">
        <x:f t="shared" si="115"/>
        <x:v>0</x:v>
      </x:c>
      <x:c r="Q550" s="16">
        <x:f t="shared" si="116"/>
        <x:v>0</x:v>
      </x:c>
      <x:c r="R550" s="16">
        <x:f t="shared" si="117"/>
        <x:v>3533834.2490241919</x:v>
      </x:c>
      <x:c r="S550" s="16">
        <x:f t="shared" si="118"/>
        <x:v>0</x:v>
      </x:c>
    </x:row>
    <x:row r="551" spans="1:19" outlineLevel="2">
      <x:c r="A551" s="12" t="s">
        <x:v>121</x:v>
      </x:c>
      <x:c r="B551" s="7" t="s">
        <x:v>67</x:v>
      </x:c>
      <x:c r="C551" s="6">
        <x:v>3674766.04</x:v>
      </x:c>
      <x:c r="F551" s="6">
        <x:v>3674766.04</x:v>
      </x:c>
      <x:c r="G551" s="1">
        <x:f t="shared" si="112"/>
        <x:v>0</x:v>
      </x:c>
      <x:c r="J551" s="3">
        <x:v>60</x:v>
      </x:c>
      <x:c r="K551" s="3">
        <x:v>28.560496000000001</x:v>
      </x:c>
      <x:c r="L551" s="4">
        <x:v>-0.45</x:v>
      </x:c>
      <x:c r="M551" s="3">
        <x:f t="shared" si="113"/>
        <x:v>2792043.1889964002</x:v>
      </x:c>
      <x:c r="N551" s="3">
        <x:v>1.2396152135461449</x:v>
      </x:c>
      <x:c r="O551" s="3">
        <x:f t="shared" si="114"/>
        <x:v>3461059.2139578322</x:v>
      </x:c>
      <x:c r="P551" s="16">
        <x:f t="shared" si="115"/>
        <x:v>0</x:v>
      </x:c>
      <x:c r="Q551" s="16">
        <x:f t="shared" si="116"/>
        <x:v>0</x:v>
      </x:c>
      <x:c r="R551" s="16">
        <x:f t="shared" si="117"/>
        <x:v>3461059.2139578322</x:v>
      </x:c>
      <x:c r="S551" s="16">
        <x:f t="shared" si="118"/>
        <x:v>0</x:v>
      </x:c>
    </x:row>
    <x:row r="552" spans="1:19" outlineLevel="2">
      <x:c r="A552" s="12" t="s">
        <x:v>121</x:v>
      </x:c>
      <x:c r="B552" s="7" t="s">
        <x:v>66</x:v>
      </x:c>
      <x:c r="C552" s="6">
        <x:v>7295660.2500000019</x:v>
      </x:c>
      <x:c r="F552" s="6">
        <x:v>7295660.2500000019</x:v>
      </x:c>
      <x:c r="G552" s="1">
        <x:f t="shared" si="112"/>
        <x:v>0</x:v>
      </x:c>
      <x:c r="J552" s="3">
        <x:v>60</x:v>
      </x:c>
      <x:c r="K552" s="3">
        <x:v>28.005096000000002</x:v>
      </x:c>
      <x:c r="L552" s="4">
        <x:v>-0.45</x:v>
      </x:c>
      <x:c r="M552" s="3">
        <x:f t="shared" si="113"/>
        <x:v>5641078.7751213452</x:v>
      </x:c>
      <x:c r="N552" s="3">
        <x:v>1.2396152135461449</x:v>
      </x:c>
      <x:c r="O552" s="3">
        <x:f t="shared" si="114"/>
        <x:v>6992767.0704526715</x:v>
      </x:c>
      <x:c r="P552" s="16">
        <x:f t="shared" si="115"/>
        <x:v>0</x:v>
      </x:c>
      <x:c r="Q552" s="16">
        <x:f t="shared" si="116"/>
        <x:v>0</x:v>
      </x:c>
      <x:c r="R552" s="16">
        <x:f t="shared" si="117"/>
        <x:v>6992767.0704526715</x:v>
      </x:c>
      <x:c r="S552" s="16">
        <x:f t="shared" si="118"/>
        <x:v>0</x:v>
      </x:c>
    </x:row>
    <x:row r="553" spans="1:19" outlineLevel="2">
      <x:c r="A553" s="12" t="s">
        <x:v>121</x:v>
      </x:c>
      <x:c r="B553" s="7" t="s">
        <x:v>65</x:v>
      </x:c>
      <x:c r="C553" s="6">
        <x:v>6372625.4699999997</x:v>
      </x:c>
      <x:c r="F553" s="6">
        <x:v>6372625.4699999997</x:v>
      </x:c>
      <x:c r="G553" s="1">
        <x:f t="shared" si="112"/>
        <x:v>0</x:v>
      </x:c>
      <x:c r="J553" s="3">
        <x:v>60</x:v>
      </x:c>
      <x:c r="K553" s="3">
        <x:v>27.455651</x:v>
      </x:c>
      <x:c r="L553" s="4">
        <x:v>-0.45</x:v>
      </x:c>
      <x:c r="M553" s="3">
        <x:f t="shared" si="113"/>
        <x:v>5011996.2274309183</x:v>
      </x:c>
      <x:c r="N553" s="3">
        <x:v>1.2396152135461449</x:v>
      </x:c>
      <x:c r="O553" s="3">
        <x:f t="shared" si="114"/>
        <x:v>6212946.7737592505</x:v>
      </x:c>
      <x:c r="P553" s="16">
        <x:f t="shared" si="115"/>
        <x:v>0</x:v>
      </x:c>
      <x:c r="Q553" s="16">
        <x:f t="shared" si="116"/>
        <x:v>0</x:v>
      </x:c>
      <x:c r="R553" s="16">
        <x:f t="shared" si="117"/>
        <x:v>6212946.7737592505</x:v>
      </x:c>
      <x:c r="S553" s="16">
        <x:f t="shared" si="118"/>
        <x:v>0</x:v>
      </x:c>
    </x:row>
    <x:row r="554" spans="1:19" outlineLevel="2">
      <x:c r="A554" s="12" t="s">
        <x:v>121</x:v>
      </x:c>
      <x:c r="B554" s="7" t="s">
        <x:v>64</x:v>
      </x:c>
      <x:c r="C554" s="6">
        <x:v>4277625.3999999985</x:v>
      </x:c>
      <x:c r="F554" s="6">
        <x:v>4277625.3999999985</x:v>
      </x:c>
      <x:c r="G554" s="1">
        <x:f t="shared" si="112"/>
        <x:v>0</x:v>
      </x:c>
      <x:c r="J554" s="3">
        <x:v>60</x:v>
      </x:c>
      <x:c r="K554" s="3">
        <x:v>26.911733000000002</x:v>
      </x:c>
      <x:c r="L554" s="4">
        <x:v>-0.45</x:v>
      </x:c>
      <x:c r="M554" s="3">
        <x:f t="shared" si="113"/>
        <x:v>3420530.9412285588</x:v>
      </x:c>
      <x:c r="N554" s="3">
        <x:v>1.2396152135461449</x:v>
      </x:c>
      <x:c r="O554" s="3">
        <x:f t="shared" si="114"/>
        <x:v>4240142.1931522358</x:v>
      </x:c>
      <x:c r="P554" s="16">
        <x:f t="shared" si="115"/>
        <x:v>0</x:v>
      </x:c>
      <x:c r="Q554" s="16">
        <x:f t="shared" si="116"/>
        <x:v>0</x:v>
      </x:c>
      <x:c r="R554" s="16">
        <x:f t="shared" si="117"/>
        <x:v>4240142.1931522358</x:v>
      </x:c>
      <x:c r="S554" s="16">
        <x:f t="shared" si="118"/>
        <x:v>0</x:v>
      </x:c>
    </x:row>
    <x:row r="555" spans="1:19" outlineLevel="2">
      <x:c r="A555" s="12" t="s">
        <x:v>121</x:v>
      </x:c>
      <x:c r="B555" s="7" t="s">
        <x:v>63</x:v>
      </x:c>
      <x:c r="C555" s="6">
        <x:v>3640227.5300000012</x:v>
      </x:c>
      <x:c r="F555" s="6">
        <x:v>3640227.5300000012</x:v>
      </x:c>
      <x:c r="G555" s="1">
        <x:f t="shared" si="112"/>
        <x:v>0</x:v>
      </x:c>
      <x:c r="J555" s="3">
        <x:v>60</x:v>
      </x:c>
      <x:c r="K555" s="3">
        <x:v>26.373792000000002</x:v>
      </x:c>
      <x:c r="L555" s="4">
        <x:v>-0.45</x:v>
      </x:c>
      <x:c r="M555" s="3">
        <x:f t="shared" si="113"/>
        <x:v>2958170.3288684012</x:v>
      </x:c>
      <x:c r="N555" s="3">
        <x:v>1.2396152135461449</x:v>
      </x:c>
      <x:c r="O555" s="3">
        <x:f t="shared" si="114"/>
        <x:v>3666992.9439260727</x:v>
      </x:c>
      <x:c r="P555" s="16">
        <x:f t="shared" si="115"/>
        <x:v>0</x:v>
      </x:c>
      <x:c r="Q555" s="16">
        <x:f t="shared" si="116"/>
        <x:v>0</x:v>
      </x:c>
      <x:c r="R555" s="16">
        <x:f t="shared" si="117"/>
        <x:v>3666992.9439260727</x:v>
      </x:c>
      <x:c r="S555" s="16">
        <x:f t="shared" si="118"/>
        <x:v>0</x:v>
      </x:c>
    </x:row>
    <x:row r="556" spans="1:19" outlineLevel="2">
      <x:c r="A556" s="12" t="s">
        <x:v>121</x:v>
      </x:c>
      <x:c r="B556" s="7" t="s">
        <x:v>62</x:v>
      </x:c>
      <x:c r="C556" s="6">
        <x:v>4898433.3899999997</x:v>
      </x:c>
      <x:c r="F556" s="6">
        <x:v>4898433.3899999997</x:v>
      </x:c>
      <x:c r="G556" s="1">
        <x:f t="shared" si="112"/>
        <x:v>0</x:v>
      </x:c>
      <x:c r="J556" s="3">
        <x:v>60</x:v>
      </x:c>
      <x:c r="K556" s="3">
        <x:v>25.841823000000002</x:v>
      </x:c>
      <x:c r="L556" s="4">
        <x:v>-0.45</x:v>
      </x:c>
      <x:c r="M556" s="3">
        <x:f t="shared" si="113"/>
        <x:v>4043604.2399929753</x:v>
      </x:c>
      <x:c r="N556" s="3">
        <x:v>1.2396152135461449</x:v>
      </x:c>
      <x:c r="O556" s="3">
        <x:f t="shared" si="114"/>
        <x:v>5012513.3334549889</x:v>
      </x:c>
      <x:c r="P556" s="16">
        <x:f t="shared" si="115"/>
        <x:v>0</x:v>
      </x:c>
      <x:c r="Q556" s="16">
        <x:f t="shared" si="116"/>
        <x:v>0</x:v>
      </x:c>
      <x:c r="R556" s="16">
        <x:f t="shared" si="117"/>
        <x:v>5012513.3334549889</x:v>
      </x:c>
      <x:c r="S556" s="16">
        <x:f t="shared" si="118"/>
        <x:v>0</x:v>
      </x:c>
    </x:row>
    <x:row r="557" spans="1:19" outlineLevel="2">
      <x:c r="A557" s="12" t="s">
        <x:v>121</x:v>
      </x:c>
      <x:c r="B557" s="7" t="s">
        <x:v>61</x:v>
      </x:c>
      <x:c r="C557" s="6">
        <x:v>4930224.2</x:v>
      </x:c>
      <x:c r="F557" s="6">
        <x:v>4930224.2</x:v>
      </x:c>
      <x:c r="G557" s="1">
        <x:f t="shared" si="112"/>
        <x:v>0</x:v>
      </x:c>
      <x:c r="J557" s="3">
        <x:v>60</x:v>
      </x:c>
      <x:c r="K557" s="3">
        <x:v>25.31541</x:v>
      </x:c>
      <x:c r="L557" s="4">
        <x:v>-0.45</x:v>
      </x:c>
      <x:c r="M557" s="3">
        <x:f t="shared" si="113"/>
        <x:v>4132567.787139385</x:v>
      </x:c>
      <x:c r="N557" s="3">
        <x:v>1.2396152135461449</x:v>
      </x:c>
      <x:c r="O557" s="3">
        <x:f t="shared" si="114"/>
        <x:v>5122793.8999487078</x:v>
      </x:c>
      <x:c r="P557" s="16">
        <x:f t="shared" si="115"/>
        <x:v>0</x:v>
      </x:c>
      <x:c r="Q557" s="16">
        <x:f t="shared" si="116"/>
        <x:v>0</x:v>
      </x:c>
      <x:c r="R557" s="16">
        <x:f t="shared" si="117"/>
        <x:v>5122793.8999487078</x:v>
      </x:c>
      <x:c r="S557" s="16">
        <x:f t="shared" si="118"/>
        <x:v>0</x:v>
      </x:c>
    </x:row>
    <x:row r="558" spans="1:19" outlineLevel="2">
      <x:c r="A558" s="12" t="s">
        <x:v>121</x:v>
      </x:c>
      <x:c r="B558" s="7" t="s">
        <x:v>60</x:v>
      </x:c>
      <x:c r="C558" s="6">
        <x:v>4378085.1900000004</x:v>
      </x:c>
      <x:c r="F558" s="6">
        <x:v>4378085.1900000004</x:v>
      </x:c>
      <x:c r="G558" s="1">
        <x:f t="shared" si="112"/>
        <x:v>0</x:v>
      </x:c>
      <x:c r="J558" s="3">
        <x:v>60</x:v>
      </x:c>
      <x:c r="K558" s="3">
        <x:v>24.794954000000001</x:v>
      </x:c>
      <x:c r="L558" s="4">
        <x:v>-0.45</x:v>
      </x:c>
      <x:c r="M558" s="3">
        <x:f t="shared" si="113"/>
        <x:v>3724825.0205584951</x:v>
      </x:c>
      <x:c r="N558" s="3">
        <x:v>1.2396152135461449</x:v>
      </x:c>
      <x:c r="O558" s="3">
        <x:f t="shared" si="114"/>
        <x:v>4617349.7632816425</x:v>
      </x:c>
      <x:c r="P558" s="16">
        <x:f t="shared" si="115"/>
        <x:v>0</x:v>
      </x:c>
      <x:c r="Q558" s="16">
        <x:f t="shared" si="116"/>
        <x:v>0</x:v>
      </x:c>
      <x:c r="R558" s="16">
        <x:f t="shared" si="117"/>
        <x:v>4617349.7632816425</x:v>
      </x:c>
      <x:c r="S558" s="16">
        <x:f t="shared" si="118"/>
        <x:v>0</x:v>
      </x:c>
    </x:row>
    <x:row r="559" spans="1:19" outlineLevel="2">
      <x:c r="A559" s="12" t="s">
        <x:v>121</x:v>
      </x:c>
      <x:c r="B559" s="7" t="s">
        <x:v>59</x:v>
      </x:c>
      <x:c r="C559" s="6">
        <x:v>3188636.95</x:v>
      </x:c>
      <x:c r="F559" s="6">
        <x:v>3188636.95</x:v>
      </x:c>
      <x:c r="G559" s="1">
        <x:f t="shared" si="112"/>
        <x:v>0</x:v>
      </x:c>
      <x:c r="J559" s="3">
        <x:v>60</x:v>
      </x:c>
      <x:c r="K559" s="3">
        <x:v>24.280425999999999</x:v>
      </x:c>
      <x:c r="L559" s="4">
        <x:v>-0.45</x:v>
      </x:c>
      <x:c r="M559" s="3">
        <x:f t="shared" si="113"/>
        <x:v>2752504.8761209333</x:v>
      </x:c>
      <x:c r="N559" s="3">
        <x:v>1.2396152135461449</x:v>
      </x:c>
      <x:c r="O559" s="3">
        <x:f t="shared" si="114"/>
        <x:v>3412046.9197994559</x:v>
      </x:c>
      <x:c r="P559" s="16">
        <x:f t="shared" si="115"/>
        <x:v>0</x:v>
      </x:c>
      <x:c r="Q559" s="16">
        <x:f t="shared" si="116"/>
        <x:v>0</x:v>
      </x:c>
      <x:c r="R559" s="16">
        <x:f t="shared" si="117"/>
        <x:v>3412046.9197994559</x:v>
      </x:c>
      <x:c r="S559" s="16">
        <x:f t="shared" si="118"/>
        <x:v>0</x:v>
      </x:c>
    </x:row>
    <x:row r="560" spans="1:19" outlineLevel="2">
      <x:c r="A560" s="12" t="s">
        <x:v>121</x:v>
      </x:c>
      <x:c r="B560" s="7" t="s">
        <x:v>58</x:v>
      </x:c>
      <x:c r="C560" s="6">
        <x:v>859507.41</x:v>
      </x:c>
      <x:c r="F560" s="6">
        <x:v>859507.41</x:v>
      </x:c>
      <x:c r="G560" s="1">
        <x:f t="shared" si="112"/>
        <x:v>0</x:v>
      </x:c>
      <x:c r="J560" s="3">
        <x:v>60</x:v>
      </x:c>
      <x:c r="K560" s="3">
        <x:v>23.771432000000001</x:v>
      </x:c>
      <x:c r="L560" s="4">
        <x:v>-0.45</x:v>
      </x:c>
      <x:c r="M560" s="3">
        <x:f t="shared" si="113"/>
        <x:v>752519.13070081465</x:v>
      </x:c>
      <x:c r="N560" s="3">
        <x:v>1.2396152135461449</x:v>
      </x:c>
      <x:c r="O560" s="3">
        <x:f t="shared" si="114"/>
        <x:v>932834.16290124971</x:v>
      </x:c>
      <x:c r="P560" s="16">
        <x:f t="shared" si="115"/>
        <x:v>0</x:v>
      </x:c>
      <x:c r="Q560" s="16">
        <x:f t="shared" si="116"/>
        <x:v>0</x:v>
      </x:c>
      <x:c r="R560" s="16">
        <x:f t="shared" si="117"/>
        <x:v>932834.16290124971</x:v>
      </x:c>
      <x:c r="S560" s="16">
        <x:f t="shared" si="118"/>
        <x:v>0</x:v>
      </x:c>
    </x:row>
    <x:row r="561" spans="1:19" outlineLevel="2">
      <x:c r="A561" s="12" t="s">
        <x:v>121</x:v>
      </x:c>
      <x:c r="B561" s="7" t="s">
        <x:v>57</x:v>
      </x:c>
      <x:c r="C561" s="6">
        <x:v>1492380.8000000003</x:v>
      </x:c>
      <x:c r="F561" s="6">
        <x:v>1492380.8000000003</x:v>
      </x:c>
      <x:c r="G561" s="1">
        <x:f t="shared" si="112"/>
        <x:v>0</x:v>
      </x:c>
      <x:c r="J561" s="3">
        <x:v>60</x:v>
      </x:c>
      <x:c r="K561" s="3">
        <x:v>23.268319999999999</x:v>
      </x:c>
      <x:c r="L561" s="4">
        <x:v>-0.45</x:v>
      </x:c>
      <x:c r="M561" s="3">
        <x:f t="shared" si="113"/>
        <x:v>1324759.9712738136</x:v>
      </x:c>
      <x:c r="N561" s="3">
        <x:v>1.2396152135461449</x:v>
      </x:c>
      <x:c r="O561" s="3">
        <x:f t="shared" si="114"/>
        <x:v>1642192.6146879732</x:v>
      </x:c>
      <x:c r="P561" s="16">
        <x:f t="shared" si="115"/>
        <x:v>0</x:v>
      </x:c>
      <x:c r="Q561" s="16">
        <x:f t="shared" si="116"/>
        <x:v>0</x:v>
      </x:c>
      <x:c r="R561" s="16">
        <x:f t="shared" si="117"/>
        <x:v>1642192.6146879732</x:v>
      </x:c>
      <x:c r="S561" s="16">
        <x:f t="shared" si="118"/>
        <x:v>0</x:v>
      </x:c>
    </x:row>
    <x:row r="562" spans="1:19" outlineLevel="2">
      <x:c r="A562" s="12" t="s">
        <x:v>121</x:v>
      </x:c>
      <x:c r="B562" s="7" t="s">
        <x:v>56</x:v>
      </x:c>
      <x:c r="C562" s="6">
        <x:v>4603622.169999999</x:v>
      </x:c>
      <x:c r="F562" s="6">
        <x:v>4603622.169999999</x:v>
      </x:c>
      <x:c r="G562" s="1">
        <x:f t="shared" si="112"/>
        <x:v>0</x:v>
      </x:c>
      <x:c r="J562" s="3">
        <x:v>60</x:v>
      </x:c>
      <x:c r="K562" s="3">
        <x:v>22.771044</x:v>
      </x:c>
      <x:c r="L562" s="4">
        <x:v>-0.45</x:v>
      </x:c>
      <x:c r="M562" s="3">
        <x:f t="shared" si="113"/>
        <x:v>4141877.8075159001</x:v>
      </x:c>
      <x:c r="N562" s="3">
        <x:v>1.2396152135461449</x:v>
      </x:c>
      <x:c r="O562" s="3">
        <x:f t="shared" si="114"/>
        <x:v>5134334.7428458612</x:v>
      </x:c>
      <x:c r="P562" s="16">
        <x:f t="shared" si="115"/>
        <x:v>0</x:v>
      </x:c>
      <x:c r="Q562" s="16">
        <x:f t="shared" si="116"/>
        <x:v>0</x:v>
      </x:c>
      <x:c r="R562" s="16">
        <x:f t="shared" si="117"/>
        <x:v>5134334.7428458612</x:v>
      </x:c>
      <x:c r="S562" s="16">
        <x:f t="shared" si="118"/>
        <x:v>0</x:v>
      </x:c>
    </x:row>
    <x:row r="563" spans="1:19" outlineLevel="2">
      <x:c r="A563" s="12" t="s">
        <x:v>121</x:v>
      </x:c>
      <x:c r="B563" s="7" t="s">
        <x:v>55</x:v>
      </x:c>
      <x:c r="C563" s="6">
        <x:v>6857071.9299999997</x:v>
      </x:c>
      <x:c r="F563" s="6">
        <x:v>6857071.9299999997</x:v>
      </x:c>
      <x:c r="G563" s="1">
        <x:f t="shared" si="112"/>
        <x:v>0</x:v>
      </x:c>
      <x:c r="J563" s="3">
        <x:v>60</x:v>
      </x:c>
      <x:c r="K563" s="3">
        <x:v>22.279247000000002</x:v>
      </x:c>
      <x:c r="L563" s="4">
        <x:v>-0.45</x:v>
      </x:c>
      <x:c r="M563" s="3">
        <x:f t="shared" si="113"/>
        <x:v>6250802.9838901116</x:v>
      </x:c>
      <x:c r="N563" s="3">
        <x:v>1.2396152135461449</x:v>
      </x:c>
      <x:c r="O563" s="3">
        <x:f t="shared" si="114"/>
        <x:v>7748590.4757098202</x:v>
      </x:c>
      <x:c r="P563" s="16">
        <x:f t="shared" si="115"/>
        <x:v>0</x:v>
      </x:c>
      <x:c r="Q563" s="16">
        <x:f t="shared" si="116"/>
        <x:v>0</x:v>
      </x:c>
      <x:c r="R563" s="16">
        <x:f t="shared" si="117"/>
        <x:v>7748590.4757098202</x:v>
      </x:c>
      <x:c r="S563" s="16">
        <x:f t="shared" si="118"/>
        <x:v>0</x:v>
      </x:c>
    </x:row>
    <x:row r="564" spans="1:19" outlineLevel="2">
      <x:c r="A564" s="12" t="s">
        <x:v>121</x:v>
      </x:c>
      <x:c r="B564" s="7" t="s">
        <x:v>54</x:v>
      </x:c>
      <x:c r="C564" s="6">
        <x:v>6412881.5200000023</x:v>
      </x:c>
      <x:c r="F564" s="6">
        <x:v>6412881.5200000023</x:v>
      </x:c>
      <x:c r="G564" s="1">
        <x:f t="shared" si="112"/>
        <x:v>0</x:v>
      </x:c>
      <x:c r="J564" s="3">
        <x:v>60</x:v>
      </x:c>
      <x:c r="K564" s="3">
        <x:v>21.793213999999999</x:v>
      </x:c>
      <x:c r="L564" s="4">
        <x:v>-0.45</x:v>
      </x:c>
      <x:c r="M564" s="3">
        <x:f t="shared" si="113"/>
        <x:v>5921210.1370515414</x:v>
      </x:c>
      <x:c r="N564" s="3">
        <x:v>1.2396152135461449</x:v>
      </x:c>
      <x:c r="O564" s="3">
        <x:f t="shared" si="114"/>
        <x:v>7340022.1684927447</x:v>
      </x:c>
      <x:c r="P564" s="16">
        <x:f t="shared" si="115"/>
        <x:v>0</x:v>
      </x:c>
      <x:c r="Q564" s="16">
        <x:f t="shared" si="116"/>
        <x:v>0</x:v>
      </x:c>
      <x:c r="R564" s="16">
        <x:f t="shared" si="117"/>
        <x:v>7340022.1684927447</x:v>
      </x:c>
      <x:c r="S564" s="16">
        <x:f t="shared" si="118"/>
        <x:v>0</x:v>
      </x:c>
    </x:row>
    <x:row r="565" spans="1:19" outlineLevel="2">
      <x:c r="A565" s="12" t="s">
        <x:v>121</x:v>
      </x:c>
      <x:c r="B565" s="7" t="s">
        <x:v>53</x:v>
      </x:c>
      <x:c r="C565" s="6">
        <x:v>1157942.8099999998</x:v>
      </x:c>
      <x:c r="F565" s="6">
        <x:v>1157942.8099999998</x:v>
      </x:c>
      <x:c r="G565" s="1">
        <x:f t="shared" si="112"/>
        <x:v>0</x:v>
      </x:c>
      <x:c r="J565" s="3">
        <x:v>60</x:v>
      </x:c>
      <x:c r="K565" s="3">
        <x:v>21.312884</x:v>
      </x:c>
      <x:c r="L565" s="4">
        <x:v>-0.45</x:v>
      </x:c>
      <x:c r="M565" s="3">
        <x:f t="shared" si="113"/>
        <x:v>1082605.4721193688</x:v>
      </x:c>
      <x:c r="N565" s="3">
        <x:v>1.2396152135461449</x:v>
      </x:c>
      <x:c r="O565" s="3">
        <x:f t="shared" si="114"/>
        <x:v>1342014.2135074765</x:v>
      </x:c>
      <x:c r="P565" s="16">
        <x:f t="shared" si="115"/>
        <x:v>0</x:v>
      </x:c>
      <x:c r="Q565" s="16">
        <x:f t="shared" si="116"/>
        <x:v>0</x:v>
      </x:c>
      <x:c r="R565" s="16">
        <x:f t="shared" si="117"/>
        <x:v>1342014.2135074765</x:v>
      </x:c>
      <x:c r="S565" s="16">
        <x:f t="shared" si="118"/>
        <x:v>0</x:v>
      </x:c>
    </x:row>
    <x:row r="566" spans="1:19" outlineLevel="2">
      <x:c r="A566" s="12" t="s">
        <x:v>121</x:v>
      </x:c>
      <x:c r="B566" s="7" t="s">
        <x:v>52</x:v>
      </x:c>
      <x:c r="C566" s="6">
        <x:v>3475845.6299999985</x:v>
      </x:c>
      <x:c r="F566" s="6">
        <x:v>3475845.6299999985</x:v>
      </x:c>
      <x:c r="G566" s="1">
        <x:f t="shared" si="112"/>
        <x:v>0</x:v>
      </x:c>
      <x:c r="J566" s="3">
        <x:v>60</x:v>
      </x:c>
      <x:c r="K566" s="3">
        <x:v>20.837948999999998</x:v>
      </x:c>
      <x:c r="L566" s="4">
        <x:v>-0.45</x:v>
      </x:c>
      <x:c r="M566" s="3">
        <x:f t="shared" si="113"/>
        <x:v>3289596.7258961876</x:v>
      </x:c>
      <x:c r="N566" s="3">
        <x:v>1.2396152135461449</x:v>
      </x:c>
      <x:c r="O566" s="3">
        <x:f t="shared" si="114"/>
        <x:v>4077834.1478525018</x:v>
      </x:c>
      <x:c r="P566" s="16">
        <x:f t="shared" si="115"/>
        <x:v>0</x:v>
      </x:c>
      <x:c r="Q566" s="16">
        <x:f t="shared" si="116"/>
        <x:v>0</x:v>
      </x:c>
      <x:c r="R566" s="16">
        <x:f t="shared" si="117"/>
        <x:v>4077834.1478525018</x:v>
      </x:c>
      <x:c r="S566" s="16">
        <x:f t="shared" si="118"/>
        <x:v>0</x:v>
      </x:c>
    </x:row>
    <x:row r="567" spans="1:19" outlineLevel="2">
      <x:c r="A567" s="12" t="s">
        <x:v>121</x:v>
      </x:c>
      <x:c r="B567" s="7" t="s">
        <x:v>51</x:v>
      </x:c>
      <x:c r="C567" s="6">
        <x:v>1627745.2100000004</x:v>
      </x:c>
      <x:c r="F567" s="6">
        <x:v>1627745.2100000004</x:v>
      </x:c>
      <x:c r="G567" s="1">
        <x:f t="shared" ref="G567:G598" si="119">+C567-D567-E567-F567</x:f>
        <x:v>0</x:v>
      </x:c>
      <x:c r="J567" s="3">
        <x:v>60</x:v>
      </x:c>
      <x:c r="K567" s="3">
        <x:v>20.368627</x:v>
      </x:c>
      <x:c r="L567" s="4">
        <x:v>-0.45</x:v>
      </x:c>
      <x:c r="M567" s="3">
        <x:f t="shared" si="113"/>
        <x:v>1558986.2911897725</x:v>
      </x:c>
      <x:c r="N567" s="3">
        <x:v>1.2396152135461449</x:v>
      </x:c>
      <x:c r="O567" s="3">
        <x:f t="shared" si="114"/>
        <x:v>1932543.1242687223</x:v>
      </x:c>
      <x:c r="P567" s="16">
        <x:f t="shared" si="115"/>
        <x:v>0</x:v>
      </x:c>
      <x:c r="Q567" s="16">
        <x:f t="shared" si="116"/>
        <x:v>0</x:v>
      </x:c>
      <x:c r="R567" s="16">
        <x:f t="shared" si="117"/>
        <x:v>1932543.1242687223</x:v>
      </x:c>
      <x:c r="S567" s="16">
        <x:f t="shared" si="118"/>
        <x:v>0</x:v>
      </x:c>
    </x:row>
    <x:row r="568" spans="1:19" outlineLevel="2">
      <x:c r="A568" s="12" t="s">
        <x:v>121</x:v>
      </x:c>
      <x:c r="B568" s="7" t="s">
        <x:v>50</x:v>
      </x:c>
      <x:c r="C568" s="6">
        <x:v>952080.5499999997</x:v>
      </x:c>
      <x:c r="F568" s="6">
        <x:v>952080.5499999997</x:v>
      </x:c>
      <x:c r="G568" s="1">
        <x:f t="shared" si="119"/>
        <x:v>0</x:v>
      </x:c>
      <x:c r="J568" s="3">
        <x:v>60</x:v>
      </x:c>
      <x:c r="K568" s="3">
        <x:v>19.904844000000001</x:v>
      </x:c>
      <x:c r="L568" s="4">
        <x:v>-0.45</x:v>
      </x:c>
      <x:c r="M568" s="3">
        <x:f t="shared" ref="M568:M599" si="120">+C568*(1-K568/J568)*(1-L568)</x:f>
        <x:v>922533.93927304819</x:v>
      </x:c>
      <x:c r="N568" s="3">
        <x:v>1.2396152135461449</x:v>
      </x:c>
      <x:c r="O568" s="3">
        <x:f t="shared" ref="O568:O599" si="121">IF((C568*(1-L568)-M568*N568)&lt;0,C568*(1-L568),M568*N568)</x:f>
        <x:v>1143587.106135526</x:v>
      </x:c>
      <x:c r="P568" s="16">
        <x:f t="shared" ref="P568:P604" si="122">+D568/$C568*$O568</x:f>
        <x:v>0</x:v>
      </x:c>
      <x:c r="Q568" s="16">
        <x:f t="shared" ref="Q568:Q604" si="123">+E568/$C568*$O568</x:f>
        <x:v>0</x:v>
      </x:c>
      <x:c r="R568" s="16">
        <x:f t="shared" ref="R568:R604" si="124">+F568/$C568*$O568</x:f>
        <x:v>1143587.106135526</x:v>
      </x:c>
      <x:c r="S568" s="16">
        <x:f t="shared" si="118"/>
        <x:v>0</x:v>
      </x:c>
    </x:row>
    <x:row r="569" spans="1:19" outlineLevel="2">
      <x:c r="A569" s="12" t="s">
        <x:v>121</x:v>
      </x:c>
      <x:c r="B569" s="7" t="s">
        <x:v>49</x:v>
      </x:c>
      <x:c r="C569" s="6">
        <x:v>842518.87999999989</x:v>
      </x:c>
      <x:c r="F569" s="6">
        <x:v>842518.87999999989</x:v>
      </x:c>
      <x:c r="G569" s="1">
        <x:f t="shared" si="119"/>
        <x:v>0</x:v>
      </x:c>
      <x:c r="J569" s="3">
        <x:v>60</x:v>
      </x:c>
      <x:c r="K569" s="3">
        <x:v>19.446352000000001</x:v>
      </x:c>
      <x:c r="L569" s="4">
        <x:v>-0.45</x:v>
      </x:c>
      <x:c r="M569" s="3">
        <x:f t="shared" si="120"/>
        <x:v>825707.67391112726</x:v>
      </x:c>
      <x:c r="N569" s="3">
        <x:v>1.2396152135461449</x:v>
      </x:c>
      <x:c r="O569" s="3">
        <x:f t="shared" si="121"/>
        <x:v>1023559.7945220326</x:v>
      </x:c>
      <x:c r="P569" s="16">
        <x:f t="shared" si="122"/>
        <x:v>0</x:v>
      </x:c>
      <x:c r="Q569" s="16">
        <x:f t="shared" si="123"/>
        <x:v>0</x:v>
      </x:c>
      <x:c r="R569" s="16">
        <x:f t="shared" si="124"/>
        <x:v>1023559.7945220326</x:v>
      </x:c>
      <x:c r="S569" s="16">
        <x:f t="shared" si="118"/>
        <x:v>0</x:v>
      </x:c>
    </x:row>
    <x:row r="570" spans="1:19" outlineLevel="2">
      <x:c r="A570" s="12" t="s">
        <x:v>121</x:v>
      </x:c>
      <x:c r="B570" s="7" t="s">
        <x:v>48</x:v>
      </x:c>
      <x:c r="C570" s="6">
        <x:v>893583.70999999985</x:v>
      </x:c>
      <x:c r="F570" s="6">
        <x:v>893583.70999999985</x:v>
      </x:c>
      <x:c r="G570" s="1">
        <x:f t="shared" si="119"/>
        <x:v>0</x:v>
      </x:c>
      <x:c r="J570" s="3">
        <x:v>60</x:v>
      </x:c>
      <x:c r="K570" s="3">
        <x:v>18.993297999999999</x:v>
      </x:c>
      <x:c r="L570" s="4">
        <x:v>-0.45</x:v>
      </x:c>
      <x:c r="M570" s="3">
        <x:f t="shared" si="120"/>
        <x:v>885537.2552772566</x:v>
      </x:c>
      <x:c r="N570" s="3">
        <x:v>1.2396152135461449</x:v>
      </x:c>
      <x:c r="O570" s="3">
        <x:f t="shared" si="121"/>
        <x:v>1097725.4538035835</x:v>
      </x:c>
      <x:c r="P570" s="16">
        <x:f t="shared" si="122"/>
        <x:v>0</x:v>
      </x:c>
      <x:c r="Q570" s="16">
        <x:f t="shared" si="123"/>
        <x:v>0</x:v>
      </x:c>
      <x:c r="R570" s="16">
        <x:f t="shared" si="124"/>
        <x:v>1097725.4538035835</x:v>
      </x:c>
      <x:c r="S570" s="16">
        <x:f t="shared" si="118"/>
        <x:v>0</x:v>
      </x:c>
    </x:row>
    <x:row r="571" spans="1:19" outlineLevel="2">
      <x:c r="A571" s="12" t="s">
        <x:v>121</x:v>
      </x:c>
      <x:c r="B571" s="7" t="s">
        <x:v>47</x:v>
      </x:c>
      <x:c r="C571" s="6">
        <x:v>1156832.6800000004</x:v>
      </x:c>
      <x:c r="F571" s="6">
        <x:v>1156832.6800000004</x:v>
      </x:c>
      <x:c r="G571" s="1">
        <x:f t="shared" si="119"/>
        <x:v>0</x:v>
      </x:c>
      <x:c r="J571" s="3">
        <x:v>60</x:v>
      </x:c>
      <x:c r="K571" s="3">
        <x:v>18.545596</x:v>
      </x:c>
      <x:c r="L571" s="4">
        <x:v>-0.45</x:v>
      </x:c>
      <x:c r="M571" s="3">
        <x:f t="shared" si="120"/>
        <x:v>1158932.0575304662</x:v>
      </x:c>
      <x:c r="N571" s="3">
        <x:v>1.2396152135461449</x:v>
      </x:c>
      <x:c r="O571" s="3">
        <x:f t="shared" si="121"/>
        <x:v>1436629.8099811019</x:v>
      </x:c>
      <x:c r="P571" s="16">
        <x:f t="shared" si="122"/>
        <x:v>0</x:v>
      </x:c>
      <x:c r="Q571" s="16">
        <x:f t="shared" si="123"/>
        <x:v>0</x:v>
      </x:c>
      <x:c r="R571" s="16">
        <x:f t="shared" si="124"/>
        <x:v>1436629.8099811019</x:v>
      </x:c>
      <x:c r="S571" s="16">
        <x:f t="shared" si="118"/>
        <x:v>0</x:v>
      </x:c>
    </x:row>
    <x:row r="572" spans="1:19" outlineLevel="2">
      <x:c r="A572" s="12" t="s">
        <x:v>121</x:v>
      </x:c>
      <x:c r="B572" s="7" t="s">
        <x:v>46</x:v>
      </x:c>
      <x:c r="C572" s="6">
        <x:v>1240482.9900000002</x:v>
      </x:c>
      <x:c r="F572" s="6">
        <x:v>1240482.9900000002</x:v>
      </x:c>
      <x:c r="G572" s="1">
        <x:f t="shared" si="119"/>
        <x:v>0</x:v>
      </x:c>
      <x:c r="J572" s="3">
        <x:v>60</x:v>
      </x:c>
      <x:c r="K572" s="3">
        <x:v>18.103068</x:v>
      </x:c>
      <x:c r="L572" s="4">
        <x:v>-0.45</x:v>
      </x:c>
      <x:c r="M572" s="3">
        <x:f t="shared" si="120"/>
        <x:v>1256000.4274136783</x:v>
      </x:c>
      <x:c r="N572" s="3">
        <x:v>1.2396152135461449</x:v>
      </x:c>
      <x:c r="O572" s="3">
        <x:f t="shared" si="121"/>
        <x:v>1556957.2380424561</x:v>
      </x:c>
      <x:c r="P572" s="16">
        <x:f t="shared" si="122"/>
        <x:v>0</x:v>
      </x:c>
      <x:c r="Q572" s="16">
        <x:f t="shared" si="123"/>
        <x:v>0</x:v>
      </x:c>
      <x:c r="R572" s="16">
        <x:f t="shared" si="124"/>
        <x:v>1556957.2380424561</x:v>
      </x:c>
      <x:c r="S572" s="16">
        <x:f t="shared" si="118"/>
        <x:v>0</x:v>
      </x:c>
    </x:row>
    <x:row r="573" spans="1:19" outlineLevel="2">
      <x:c r="A573" s="12" t="s">
        <x:v>121</x:v>
      </x:c>
      <x:c r="B573" s="7" t="s">
        <x:v>45</x:v>
      </x:c>
      <x:c r="C573" s="6">
        <x:v>1721555.3000000005</x:v>
      </x:c>
      <x:c r="F573" s="6">
        <x:v>1721555.3000000005</x:v>
      </x:c>
      <x:c r="G573" s="1">
        <x:f t="shared" si="119"/>
        <x:v>0</x:v>
      </x:c>
      <x:c r="J573" s="3">
        <x:v>60</x:v>
      </x:c>
      <x:c r="K573" s="3">
        <x:v>17.665783000000001</x:v>
      </x:c>
      <x:c r="L573" s="4">
        <x:v>-0.45</x:v>
      </x:c>
      <x:c r="M573" s="3">
        <x:f t="shared" si="120"/>
        <x:v>1761283.4781527526</x:v>
      </x:c>
      <x:c r="N573" s="3">
        <x:v>1.2396152135461449</x:v>
      </x:c>
      <x:c r="O573" s="3">
        <x:f t="shared" si="121"/>
        <x:v>2183313.7948856214</x:v>
      </x:c>
      <x:c r="P573" s="16">
        <x:f t="shared" si="122"/>
        <x:v>0</x:v>
      </x:c>
      <x:c r="Q573" s="16">
        <x:f t="shared" si="123"/>
        <x:v>0</x:v>
      </x:c>
      <x:c r="R573" s="16">
        <x:f t="shared" si="124"/>
        <x:v>2183313.7948856214</x:v>
      </x:c>
      <x:c r="S573" s="16">
        <x:f t="shared" si="118"/>
        <x:v>0</x:v>
      </x:c>
    </x:row>
    <x:row r="574" spans="1:19" outlineLevel="2">
      <x:c r="A574" s="12" t="s">
        <x:v>121</x:v>
      </x:c>
      <x:c r="B574" s="7" t="s">
        <x:v>44</x:v>
      </x:c>
      <x:c r="C574" s="6">
        <x:v>218502.26999999996</x:v>
      </x:c>
      <x:c r="F574" s="6">
        <x:v>218502.26999999996</x:v>
      </x:c>
      <x:c r="G574" s="1">
        <x:f t="shared" si="119"/>
        <x:v>0</x:v>
      </x:c>
      <x:c r="J574" s="3">
        <x:v>60</x:v>
      </x:c>
      <x:c r="K574" s="3">
        <x:v>17.233646</x:v>
      </x:c>
      <x:c r="L574" s="4">
        <x:v>-0.45</x:v>
      </x:c>
      <x:c r="M574" s="3">
        <x:f t="shared" si="120"/>
        <x:v>225826.5145250698</x:v>
      </x:c>
      <x:c r="N574" s="3">
        <x:v>1.2396152135461449</x:v>
      </x:c>
      <x:c r="O574" s="3">
        <x:f t="shared" si="121"/>
        <x:v>279937.983027376</x:v>
      </x:c>
      <x:c r="P574" s="16">
        <x:f t="shared" si="122"/>
        <x:v>0</x:v>
      </x:c>
      <x:c r="Q574" s="16">
        <x:f t="shared" si="123"/>
        <x:v>0</x:v>
      </x:c>
      <x:c r="R574" s="16">
        <x:f t="shared" si="124"/>
        <x:v>279937.983027376</x:v>
      </x:c>
      <x:c r="S574" s="16">
        <x:f t="shared" si="118"/>
        <x:v>0</x:v>
      </x:c>
    </x:row>
    <x:row r="575" spans="1:19" outlineLevel="2">
      <x:c r="A575" s="12" t="s">
        <x:v>121</x:v>
      </x:c>
      <x:c r="B575" s="7" t="s">
        <x:v>43</x:v>
      </x:c>
      <x:c r="C575" s="6">
        <x:v>3199541.2599999993</x:v>
      </x:c>
      <x:c r="F575" s="6">
        <x:v>3199541.2599999993</x:v>
      </x:c>
      <x:c r="G575" s="1">
        <x:f t="shared" si="119"/>
        <x:v>0</x:v>
      </x:c>
      <x:c r="J575" s="3">
        <x:v>60</x:v>
      </x:c>
      <x:c r="K575" s="3">
        <x:v>16.806566</x:v>
      </x:c>
      <x:c r="L575" s="4">
        <x:v>-0.45</x:v>
      </x:c>
      <x:c r="M575" s="3">
        <x:f t="shared" si="120"/>
        <x:v>3339813.3775654305</x:v>
      </x:c>
      <x:c r="N575" s="3">
        <x:v>1.2396152135461449</x:v>
      </x:c>
      <x:c r="O575" s="3">
        <x:f t="shared" si="121"/>
        <x:v>4140083.4732350428</x:v>
      </x:c>
      <x:c r="P575" s="16">
        <x:f t="shared" si="122"/>
        <x:v>0</x:v>
      </x:c>
      <x:c r="Q575" s="16">
        <x:f t="shared" si="123"/>
        <x:v>0</x:v>
      </x:c>
      <x:c r="R575" s="16">
        <x:f t="shared" si="124"/>
        <x:v>4140083.4732350428</x:v>
      </x:c>
      <x:c r="S575" s="16">
        <x:f t="shared" si="118"/>
        <x:v>0</x:v>
      </x:c>
    </x:row>
    <x:row r="576" spans="1:19" outlineLevel="2">
      <x:c r="A576" s="12" t="s">
        <x:v>121</x:v>
      </x:c>
      <x:c r="B576" s="7" t="s">
        <x:v>42</x:v>
      </x:c>
      <x:c r="C576" s="6">
        <x:v>756000.69000000006</x:v>
      </x:c>
      <x:c r="F576" s="6">
        <x:v>756000.69000000006</x:v>
      </x:c>
      <x:c r="G576" s="1">
        <x:f t="shared" si="119"/>
        <x:v>0</x:v>
      </x:c>
      <x:c r="J576" s="3">
        <x:v>60</x:v>
      </x:c>
      <x:c r="K576" s="3">
        <x:v>16.384523000000002</x:v>
      </x:c>
      <x:c r="L576" s="4">
        <x:v>-0.45</x:v>
      </x:c>
      <x:c r="M576" s="3">
        <x:f t="shared" si="120"/>
        <x:v>796855.49207807891</x:v>
      </x:c>
      <x:c r="N576" s="3">
        <x:v>1.2396152135461449</x:v>
      </x:c>
      <x:c r="O576" s="3">
        <x:f t="shared" si="121"/>
        <x:v>987794.1909777862</x:v>
      </x:c>
      <x:c r="P576" s="16">
        <x:f t="shared" si="122"/>
        <x:v>0</x:v>
      </x:c>
      <x:c r="Q576" s="16">
        <x:f t="shared" si="123"/>
        <x:v>0</x:v>
      </x:c>
      <x:c r="R576" s="16">
        <x:f t="shared" si="124"/>
        <x:v>987794.1909777862</x:v>
      </x:c>
      <x:c r="S576" s="16">
        <x:f t="shared" si="118"/>
        <x:v>0</x:v>
      </x:c>
    </x:row>
    <x:row r="577" spans="1:19" outlineLevel="2">
      <x:c r="A577" s="12" t="s">
        <x:v>121</x:v>
      </x:c>
      <x:c r="B577" s="7" t="s">
        <x:v>41</x:v>
      </x:c>
      <x:c r="C577" s="6">
        <x:v>382889.43</x:v>
      </x:c>
      <x:c r="F577" s="6">
        <x:v>382889.43</x:v>
      </x:c>
      <x:c r="G577" s="1">
        <x:f t="shared" si="119"/>
        <x:v>0</x:v>
      </x:c>
      <x:c r="J577" s="3">
        <x:v>60</x:v>
      </x:c>
      <x:c r="K577" s="3">
        <x:v>15.967409</x:v>
      </x:c>
      <x:c r="L577" s="4">
        <x:v>-0.45</x:v>
      </x:c>
      <x:c r="M577" s="3">
        <x:f t="shared" si="120"/>
        <x:v>407440.66367748391</x:v>
      </x:c>
      <x:c r="N577" s="3">
        <x:v>1.2396152135461449</x:v>
      </x:c>
      <x:c r="O577" s="3">
        <x:f t="shared" si="121"/>
        <x:v>505069.64531194721</x:v>
      </x:c>
      <x:c r="P577" s="16">
        <x:f t="shared" si="122"/>
        <x:v>0</x:v>
      </x:c>
      <x:c r="Q577" s="16">
        <x:f t="shared" si="123"/>
        <x:v>0</x:v>
      </x:c>
      <x:c r="R577" s="16">
        <x:f t="shared" si="124"/>
        <x:v>505069.64531194721</x:v>
      </x:c>
      <x:c r="S577" s="16">
        <x:f t="shared" si="118"/>
        <x:v>0</x:v>
      </x:c>
    </x:row>
    <x:row r="578" spans="1:19" outlineLevel="2">
      <x:c r="A578" s="12" t="s">
        <x:v>121</x:v>
      </x:c>
      <x:c r="B578" s="7" t="s">
        <x:v>40</x:v>
      </x:c>
      <x:c r="C578" s="6">
        <x:v>190939.81000000003</x:v>
      </x:c>
      <x:c r="F578" s="6">
        <x:v>190939.81000000003</x:v>
      </x:c>
      <x:c r="G578" s="1">
        <x:f t="shared" si="119"/>
        <x:v>0</x:v>
      </x:c>
      <x:c r="J578" s="3">
        <x:v>60</x:v>
      </x:c>
      <x:c r="K578" s="3">
        <x:v>15.555246</x:v>
      </x:c>
      <x:c r="L578" s="4">
        <x:v>-0.45</x:v>
      </x:c>
      <x:c r="M578" s="3">
        <x:f t="shared" si="120"/>
        <x:v>205084.9280362046</x:v>
      </x:c>
      <x:c r="N578" s="3">
        <x:v>1.2396152135461449</x:v>
      </x:c>
      <x:c r="O578" s="3">
        <x:f t="shared" si="121"/>
        <x:v>254226.39686269552</x:v>
      </x:c>
      <x:c r="P578" s="16">
        <x:f t="shared" si="122"/>
        <x:v>0</x:v>
      </x:c>
      <x:c r="Q578" s="16">
        <x:f t="shared" si="123"/>
        <x:v>0</x:v>
      </x:c>
      <x:c r="R578" s="16">
        <x:f t="shared" si="124"/>
        <x:v>254226.39686269552</x:v>
      </x:c>
      <x:c r="S578" s="16">
        <x:f t="shared" si="118"/>
        <x:v>0</x:v>
      </x:c>
    </x:row>
    <x:row r="579" spans="1:19" outlineLevel="2">
      <x:c r="A579" s="12" t="s">
        <x:v>121</x:v>
      </x:c>
      <x:c r="B579" s="7" t="s">
        <x:v>39</x:v>
      </x:c>
      <x:c r="C579" s="6">
        <x:v>600140.8600000001</x:v>
      </x:c>
      <x:c r="F579" s="6">
        <x:v>600140.8600000001</x:v>
      </x:c>
      <x:c r="G579" s="1">
        <x:f t="shared" si="119"/>
        <x:v>0</x:v>
      </x:c>
      <x:c r="J579" s="3">
        <x:v>60</x:v>
      </x:c>
      <x:c r="K579" s="3">
        <x:v>15.147902999999999</x:v>
      </x:c>
      <x:c r="L579" s="4">
        <x:v>-0.45</x:v>
      </x:c>
      <x:c r="M579" s="3">
        <x:f t="shared" si="120"/>
        <x:v>650508.08827093279</x:v>
      </x:c>
      <x:c r="N579" s="3">
        <x:v>1.2396152135461449</x:v>
      </x:c>
      <x:c r="O579" s="3">
        <x:f t="shared" si="121"/>
        <x:v>806379.72275546682</x:v>
      </x:c>
      <x:c r="P579" s="16">
        <x:f t="shared" si="122"/>
        <x:v>0</x:v>
      </x:c>
      <x:c r="Q579" s="16">
        <x:f t="shared" si="123"/>
        <x:v>0</x:v>
      </x:c>
      <x:c r="R579" s="16">
        <x:f t="shared" si="124"/>
        <x:v>806379.72275546682</x:v>
      </x:c>
      <x:c r="S579" s="16">
        <x:f t="shared" si="118"/>
        <x:v>0</x:v>
      </x:c>
    </x:row>
    <x:row r="580" spans="1:19" outlineLevel="2">
      <x:c r="A580" s="12" t="s">
        <x:v>121</x:v>
      </x:c>
      <x:c r="B580" s="7" t="s">
        <x:v>38</x:v>
      </x:c>
      <x:c r="C580" s="6">
        <x:v>57979.130000000005</x:v>
      </x:c>
      <x:c r="F580" s="6">
        <x:v>57979.130000000005</x:v>
      </x:c>
      <x:c r="G580" s="1">
        <x:f t="shared" si="119"/>
        <x:v>0</x:v>
      </x:c>
      <x:c r="J580" s="3">
        <x:v>60</x:v>
      </x:c>
      <x:c r="K580" s="3">
        <x:v>14.745262</x:v>
      </x:c>
      <x:c r="L580" s="4">
        <x:v>-0.45</x:v>
      </x:c>
      <x:c r="M580" s="3">
        <x:f t="shared" si="120"/>
        <x:v>63409.233159100222</x:v>
      </x:c>
      <x:c r="N580" s="3">
        <x:v>1.2396152135461449</x:v>
      </x:c>
      <x:c r="O580" s="3">
        <x:f t="shared" si="121"/>
        <x:v>78603.050103315312</x:v>
      </x:c>
      <x:c r="P580" s="16">
        <x:f t="shared" si="122"/>
        <x:v>0</x:v>
      </x:c>
      <x:c r="Q580" s="16">
        <x:f t="shared" si="123"/>
        <x:v>0</x:v>
      </x:c>
      <x:c r="R580" s="16">
        <x:f t="shared" si="124"/>
        <x:v>78603.050103315312</x:v>
      </x:c>
      <x:c r="S580" s="16">
        <x:f t="shared" si="118"/>
        <x:v>0</x:v>
      </x:c>
    </x:row>
    <x:row r="581" spans="1:19" outlineLevel="2">
      <x:c r="A581" s="12" t="s">
        <x:v>121</x:v>
      </x:c>
      <x:c r="B581" s="7" t="s">
        <x:v>37</x:v>
      </x:c>
      <x:c r="C581" s="6">
        <x:v>70023.709999999992</x:v>
      </x:c>
      <x:c r="F581" s="6">
        <x:v>70023.709999999992</x:v>
      </x:c>
      <x:c r="G581" s="1">
        <x:f t="shared" si="119"/>
        <x:v>0</x:v>
      </x:c>
      <x:c r="J581" s="3">
        <x:v>60</x:v>
      </x:c>
      <x:c r="K581" s="3">
        <x:v>14.347476</x:v>
      </x:c>
      <x:c r="L581" s="4">
        <x:v>-0.45</x:v>
      </x:c>
      <x:c r="M581" s="3">
        <x:f t="shared" si="120"/>
        <x:v>77255.011615814292</x:v>
      </x:c>
      <x:c r="N581" s="3">
        <x:v>1.2396152135461449</x:v>
      </x:c>
      <x:c r="O581" s="3">
        <x:f t="shared" si="121"/>
        <x:v>95766.487721647543</x:v>
      </x:c>
      <x:c r="P581" s="16">
        <x:f t="shared" si="122"/>
        <x:v>0</x:v>
      </x:c>
      <x:c r="Q581" s="16">
        <x:f t="shared" si="123"/>
        <x:v>0</x:v>
      </x:c>
      <x:c r="R581" s="16">
        <x:f t="shared" si="124"/>
        <x:v>95766.487721647543</x:v>
      </x:c>
      <x:c r="S581" s="16">
        <x:f t="shared" si="118"/>
        <x:v>0</x:v>
      </x:c>
    </x:row>
    <x:row r="582" spans="1:19" outlineLevel="2">
      <x:c r="A582" s="12" t="s">
        <x:v>121</x:v>
      </x:c>
      <x:c r="B582" s="7" t="s">
        <x:v>36</x:v>
      </x:c>
      <x:c r="C582" s="6">
        <x:v>364.56</x:v>
      </x:c>
      <x:c r="F582" s="6">
        <x:v>364.56</x:v>
      </x:c>
      <x:c r="G582" s="1">
        <x:f t="shared" si="119"/>
        <x:v>0</x:v>
      </x:c>
      <x:c r="J582" s="3">
        <x:v>60</x:v>
      </x:c>
      <x:c r="K582" s="3">
        <x:v>13.954295999999999</x:v>
      </x:c>
      <x:c r="L582" s="4">
        <x:v>-0.45</x:v>
      </x:c>
      <x:c r="M582" s="3">
        <x:f t="shared" si="120"/>
        <x:v>405.67186138079995</x:v>
      </x:c>
      <x:c r="N582" s="3">
        <x:v>1.2396152135461449</x:v>
      </x:c>
      <x:c r="O582" s="3">
        <x:f t="shared" si="121"/>
        <x:v>502.87701107522241</x:v>
      </x:c>
      <x:c r="P582" s="16">
        <x:f t="shared" si="122"/>
        <x:v>0</x:v>
      </x:c>
      <x:c r="Q582" s="16">
        <x:f t="shared" si="123"/>
        <x:v>0</x:v>
      </x:c>
      <x:c r="R582" s="16">
        <x:f t="shared" si="124"/>
        <x:v>502.87701107522241</x:v>
      </x:c>
      <x:c r="S582" s="16">
        <x:f t="shared" si="118"/>
        <x:v>0</x:v>
      </x:c>
    </x:row>
    <x:row r="583" spans="1:19" outlineLevel="2">
      <x:c r="A583" s="12" t="s">
        <x:v>121</x:v>
      </x:c>
      <x:c r="B583" s="7" t="s">
        <x:v>35</x:v>
      </x:c>
      <x:c r="C583" s="6">
        <x:v>615.61</x:v>
      </x:c>
      <x:c r="F583" s="6">
        <x:v>615.61</x:v>
      </x:c>
      <x:c r="G583" s="1">
        <x:f t="shared" si="119"/>
        <x:v>0</x:v>
      </x:c>
      <x:c r="J583" s="3">
        <x:v>60</x:v>
      </x:c>
      <x:c r="K583" s="3">
        <x:v>13.565588999999999</x:v>
      </x:c>
      <x:c r="L583" s="4">
        <x:v>-0.45</x:v>
      </x:c>
      <x:c r="M583" s="3">
        <x:f t="shared" si="120"/>
        <x:v>690.81595409632507</x:v>
      </x:c>
      <x:c r="N583" s="3">
        <x:v>1.2396152135461449</x:v>
      </x:c>
      <x:c r="O583" s="3">
        <x:f t="shared" si="121"/>
        <x:v>856.34596645819988</x:v>
      </x:c>
      <x:c r="P583" s="16">
        <x:f t="shared" si="122"/>
        <x:v>0</x:v>
      </x:c>
      <x:c r="Q583" s="16">
        <x:f t="shared" si="123"/>
        <x:v>0</x:v>
      </x:c>
      <x:c r="R583" s="16">
        <x:f t="shared" si="124"/>
        <x:v>856.34596645819988</x:v>
      </x:c>
      <x:c r="S583" s="16">
        <x:f t="shared" si="118"/>
        <x:v>0</x:v>
      </x:c>
    </x:row>
    <x:row r="584" spans="1:19" outlineLevel="2">
      <x:c r="A584" s="12" t="s">
        <x:v>121</x:v>
      </x:c>
      <x:c r="B584" s="7" t="s">
        <x:v>34</x:v>
      </x:c>
      <x:c r="C584" s="6">
        <x:v>6210.9599999999991</x:v>
      </x:c>
      <x:c r="F584" s="6">
        <x:v>6210.9599999999991</x:v>
      </x:c>
      <x:c r="G584" s="1">
        <x:f t="shared" si="119"/>
        <x:v>0</x:v>
      </x:c>
      <x:c r="J584" s="3">
        <x:v>60</x:v>
      </x:c>
      <x:c r="K584" s="3">
        <x:v>13.181658000000001</x:v>
      </x:c>
      <x:c r="L584" s="4">
        <x:v>-0.45</x:v>
      </x:c>
      <x:c r="M584" s="3">
        <x:f t="shared" si="120"/>
        <x:v>7027.3488611843986</x:v>
      </x:c>
      <x:c r="N584" s="3">
        <x:v>1.2396152135461449</x:v>
      </x:c>
      <x:c r="O584" s="3">
        <x:f t="shared" si="121"/>
        <x:v>8711.2085592203566</x:v>
      </x:c>
      <x:c r="P584" s="16">
        <x:f t="shared" si="122"/>
        <x:v>0</x:v>
      </x:c>
      <x:c r="Q584" s="16">
        <x:f t="shared" si="123"/>
        <x:v>0</x:v>
      </x:c>
      <x:c r="R584" s="16">
        <x:f t="shared" si="124"/>
        <x:v>8711.2085592203566</x:v>
      </x:c>
      <x:c r="S584" s="16">
        <x:f t="shared" si="118"/>
        <x:v>0</x:v>
      </x:c>
    </x:row>
    <x:row r="585" spans="1:19" outlineLevel="2">
      <x:c r="A585" s="12" t="s">
        <x:v>121</x:v>
      </x:c>
      <x:c r="B585" s="7" t="s">
        <x:v>33</x:v>
      </x:c>
      <x:c r="C585" s="6">
        <x:v>14554.289999999999</x:v>
      </x:c>
      <x:c r="F585" s="6">
        <x:v>14554.289999999999</x:v>
      </x:c>
      <x:c r="G585" s="1">
        <x:f t="shared" si="119"/>
        <x:v>0</x:v>
      </x:c>
      <x:c r="J585" s="3">
        <x:v>60</x:v>
      </x:c>
      <x:c r="K585" s="3">
        <x:v>12.802113</x:v>
      </x:c>
      <x:c r="L585" s="4">
        <x:v>-0.45</x:v>
      </x:c>
      <x:c r="M585" s="3">
        <x:f t="shared" si="120"/>
        <x:v>16600.850257309725</x:v>
      </x:c>
      <x:c r="N585" s="3">
        <x:v>1.2396152135461449</x:v>
      </x:c>
      <x:c r="O585" s="3">
        <x:f t="shared" si="121"/>
        <x:v>20578.666536762568</x:v>
      </x:c>
      <x:c r="P585" s="16">
        <x:f t="shared" si="122"/>
        <x:v>0</x:v>
      </x:c>
      <x:c r="Q585" s="16">
        <x:f t="shared" si="123"/>
        <x:v>0</x:v>
      </x:c>
      <x:c r="R585" s="16">
        <x:f t="shared" si="124"/>
        <x:v>20578.666536762568</x:v>
      </x:c>
      <x:c r="S585" s="16">
        <x:f t="shared" si="118"/>
        <x:v>0</x:v>
      </x:c>
    </x:row>
    <x:row r="586" spans="1:19" outlineLevel="2">
      <x:c r="A586" s="12" t="s">
        <x:v>121</x:v>
      </x:c>
      <x:c r="B586" s="7" t="s">
        <x:v>32</x:v>
      </x:c>
      <x:c r="C586" s="6">
        <x:v>30393.750000000007</x:v>
      </x:c>
      <x:c r="F586" s="6">
        <x:v>30393.750000000007</x:v>
      </x:c>
      <x:c r="G586" s="1">
        <x:f t="shared" si="119"/>
        <x:v>0</x:v>
      </x:c>
      <x:c r="J586" s="3">
        <x:v>60</x:v>
      </x:c>
      <x:c r="K586" s="3">
        <x:v>12.426814</x:v>
      </x:c>
      <x:c r="L586" s="4">
        <x:v>-0.45</x:v>
      </x:c>
      <x:c r="M586" s="3">
        <x:f t="shared" si="120"/>
        <x:v>34943.248448031256</x:v>
      </x:c>
      <x:c r="N586" s="3">
        <x:v>1.2396152135461449</x:v>
      </x:c>
      <x:c r="O586" s="3">
        <x:f t="shared" si="121"/>
        <x:v>43316.182386902263</x:v>
      </x:c>
      <x:c r="P586" s="16">
        <x:f t="shared" si="122"/>
        <x:v>0</x:v>
      </x:c>
      <x:c r="Q586" s="16">
        <x:f t="shared" si="123"/>
        <x:v>0</x:v>
      </x:c>
      <x:c r="R586" s="16">
        <x:f t="shared" si="124"/>
        <x:v>43316.182386902263</x:v>
      </x:c>
      <x:c r="S586" s="16">
        <x:f t="shared" si="118"/>
        <x:v>0</x:v>
      </x:c>
    </x:row>
    <x:row r="587" spans="1:19" outlineLevel="2">
      <x:c r="A587" s="12" t="s">
        <x:v>121</x:v>
      </x:c>
      <x:c r="B587" s="7" t="s">
        <x:v>31</x:v>
      </x:c>
      <x:c r="C587" s="6">
        <x:v>1537206.1899999995</x:v>
      </x:c>
      <x:c r="F587" s="6">
        <x:v>1537206.1899999995</x:v>
      </x:c>
      <x:c r="G587" s="1">
        <x:f t="shared" si="119"/>
        <x:v>0</x:v>
      </x:c>
      <x:c r="J587" s="3">
        <x:v>60</x:v>
      </x:c>
      <x:c r="K587" s="3">
        <x:v>12.056236999999999</x:v>
      </x:c>
      <x:c r="L587" s="4">
        <x:v>-0.45</x:v>
      </x:c>
      <x:c r="M587" s="3">
        <x:f t="shared" si="120"/>
        <x:v>1781070.0236744126</x:v>
      </x:c>
      <x:c r="N587" s="3">
        <x:v>1.2396152135461449</x:v>
      </x:c>
      <x:c r="O587" s="3">
        <x:f t="shared" si="121"/>
        <x:v>2207841.4977377942</x:v>
      </x:c>
      <x:c r="P587" s="16">
        <x:f t="shared" si="122"/>
        <x:v>0</x:v>
      </x:c>
      <x:c r="Q587" s="16">
        <x:f t="shared" si="123"/>
        <x:v>0</x:v>
      </x:c>
      <x:c r="R587" s="16">
        <x:f t="shared" si="124"/>
        <x:v>2207841.4977377942</x:v>
      </x:c>
      <x:c r="S587" s="16">
        <x:f t="shared" si="118"/>
        <x:v>0</x:v>
      </x:c>
    </x:row>
    <x:row r="588" spans="1:19" outlineLevel="2">
      <x:c r="A588" s="12" t="s">
        <x:v>121</x:v>
      </x:c>
      <x:c r="B588" s="7" t="s">
        <x:v>29</x:v>
      </x:c>
      <x:c r="C588" s="6">
        <x:v>49971.83</x:v>
      </x:c>
      <x:c r="F588" s="6">
        <x:v>49971.83</x:v>
      </x:c>
      <x:c r="G588" s="1">
        <x:f t="shared" si="119"/>
        <x:v>0</x:v>
      </x:c>
      <x:c r="J588" s="3">
        <x:v>60</x:v>
      </x:c>
      <x:c r="K588" s="3">
        <x:v>11.327451999999999</x:v>
      </x:c>
      <x:c r="L588" s="4">
        <x:v>-0.45</x:v>
      </x:c>
      <x:c r="M588" s="3">
        <x:f t="shared" si="120"/>
        <x:v>58779.527112801974</x:v>
      </x:c>
      <x:c r="N588" s="3">
        <x:v>1.2396152135461449</x:v>
      </x:c>
      <x:c r="O588" s="3">
        <x:f t="shared" si="121"/>
        <x:v>72459.1535</x:v>
      </x:c>
      <x:c r="P588" s="16">
        <x:f t="shared" si="122"/>
        <x:v>0</x:v>
      </x:c>
      <x:c r="Q588" s="16">
        <x:f t="shared" si="123"/>
        <x:v>0</x:v>
      </x:c>
      <x:c r="R588" s="16">
        <x:f t="shared" si="124"/>
        <x:v>72459.1535</x:v>
      </x:c>
      <x:c r="S588" s="16">
        <x:f t="shared" si="118"/>
        <x:v>0</x:v>
      </x:c>
    </x:row>
    <x:row r="589" spans="1:19" outlineLevel="2">
      <x:c r="A589" s="12" t="s">
        <x:v>121</x:v>
      </x:c>
      <x:c r="B589" s="7" t="s">
        <x:v>28</x:v>
      </x:c>
      <x:c r="C589" s="6">
        <x:v>-2048.44</x:v>
      </x:c>
      <x:c r="F589" s="6">
        <x:v>-2048.44</x:v>
      </x:c>
      <x:c r="G589" s="1">
        <x:f t="shared" si="119"/>
        <x:v>0</x:v>
      </x:c>
      <x:c r="J589" s="3">
        <x:v>60</x:v>
      </x:c>
      <x:c r="K589" s="3">
        <x:v>10.969757</x:v>
      </x:c>
      <x:c r="L589" s="4">
        <x:v>-0.45</x:v>
      </x:c>
      <x:c r="M589" s="3">
        <x:f t="shared" si="120"/>
        <x:v>-2427.1915151305666</x:v>
      </x:c>
      <x:c r="N589" s="3">
        <x:v>1.2396152135461449</x:v>
      </x:c>
      <x:c r="O589" s="3">
        <x:f t="shared" si="121"/>
        <x:v>-3008.7835283459681</x:v>
      </x:c>
      <x:c r="P589" s="16">
        <x:f t="shared" si="122"/>
        <x:v>0</x:v>
      </x:c>
      <x:c r="Q589" s="16">
        <x:f t="shared" si="123"/>
        <x:v>0</x:v>
      </x:c>
      <x:c r="R589" s="16">
        <x:f t="shared" si="124"/>
        <x:v>-3008.7835283459681</x:v>
      </x:c>
      <x:c r="S589" s="16">
        <x:f t="shared" si="118"/>
        <x:v>0</x:v>
      </x:c>
    </x:row>
    <x:row r="590" spans="1:19" outlineLevel="2">
      <x:c r="A590" s="12" t="s">
        <x:v>121</x:v>
      </x:c>
      <x:c r="B590" s="7" t="s">
        <x:v>24</x:v>
      </x:c>
      <x:c r="C590" s="6">
        <x:v>7031.0199999999995</x:v>
      </x:c>
      <x:c r="F590" s="6">
        <x:v>7031.0199999999995</x:v>
      </x:c>
      <x:c r="G590" s="1">
        <x:f t="shared" si="119"/>
        <x:v>0</x:v>
      </x:c>
      <x:c r="J590" s="3">
        <x:v>60</x:v>
      </x:c>
      <x:c r="K590" s="3">
        <x:v>8.9081410000000005</x:v>
      </x:c>
      <x:c r="L590" s="4">
        <x:v>-0.45</x:v>
      </x:c>
      <x:c r="M590" s="3">
        <x:f t="shared" si="120"/>
        <x:v>8681.3404929326825</x:v>
      </x:c>
      <x:c r="N590" s="3">
        <x:v>1.2396152135461449</x:v>
      </x:c>
      <x:c r="O590" s="3">
        <x:f t="shared" si="121"/>
        <x:v>10194.978999999999</x:v>
      </x:c>
      <x:c r="P590" s="16">
        <x:f t="shared" si="122"/>
        <x:v>0</x:v>
      </x:c>
      <x:c r="Q590" s="16">
        <x:f t="shared" si="123"/>
        <x:v>0</x:v>
      </x:c>
      <x:c r="R590" s="16">
        <x:f t="shared" si="124"/>
        <x:v>10194.978999999999</x:v>
      </x:c>
      <x:c r="S590" s="16">
        <x:f t="shared" si="118"/>
        <x:v>0</x:v>
      </x:c>
    </x:row>
    <x:row r="591" spans="1:19" outlineLevel="2">
      <x:c r="A591" s="12" t="s">
        <x:v>121</x:v>
      </x:c>
      <x:c r="B591" s="7" t="s">
        <x:v>23</x:v>
      </x:c>
      <x:c r="C591" s="6">
        <x:v>439.03</x:v>
      </x:c>
      <x:c r="F591" s="6">
        <x:v>439.03</x:v>
      </x:c>
      <x:c r="G591" s="1">
        <x:f t="shared" si="119"/>
        <x:v>0</x:v>
      </x:c>
      <x:c r="J591" s="3">
        <x:v>60</x:v>
      </x:c>
      <x:c r="K591" s="3">
        <x:v>8.5784079999999996</x:v>
      </x:c>
      <x:c r="L591" s="4">
        <x:v>-0.45</x:v>
      </x:c>
      <x:c r="M591" s="3">
        <x:f t="shared" si="120"/>
        <x:v>545.57752044753329</x:v>
      </x:c>
      <x:c r="N591" s="3">
        <x:v>1.2396152135461449</x:v>
      </x:c>
      <x:c r="O591" s="3">
        <x:f t="shared" si="121"/>
        <x:v>636.59349999999995</x:v>
      </x:c>
      <x:c r="P591" s="16">
        <x:f t="shared" si="122"/>
        <x:v>0</x:v>
      </x:c>
      <x:c r="Q591" s="16">
        <x:f t="shared" si="123"/>
        <x:v>0</x:v>
      </x:c>
      <x:c r="R591" s="16">
        <x:f t="shared" si="124"/>
        <x:v>636.59349999999995</x:v>
      </x:c>
      <x:c r="S591" s="16">
        <x:f t="shared" si="118"/>
        <x:v>0</x:v>
      </x:c>
    </x:row>
    <x:row r="592" spans="1:19" outlineLevel="2">
      <x:c r="A592" s="12" t="s">
        <x:v>121</x:v>
      </x:c>
      <x:c r="B592" s="7" t="s">
        <x:v>22</x:v>
      </x:c>
      <x:c r="C592" s="6">
        <x:v>74168.66</x:v>
      </x:c>
      <x:c r="F592" s="6">
        <x:v>74168.66</x:v>
      </x:c>
      <x:c r="G592" s="1">
        <x:f t="shared" si="119"/>
        <x:v>0</x:v>
      </x:c>
      <x:c r="J592" s="3">
        <x:v>60</x:v>
      </x:c>
      <x:c r="K592" s="3">
        <x:v>8.2519480000000005</x:v>
      </x:c>
      <x:c r="L592" s="4">
        <x:v>-0.45</x:v>
      </x:c>
      <x:c r="M592" s="3">
        <x:f t="shared" si="120"/>
        <x:v>92753.688799216077</x:v>
      </x:c>
      <x:c r="N592" s="3">
        <x:v>1.2396152135461449</x:v>
      </x:c>
      <x:c r="O592" s="3">
        <x:f t="shared" si="121"/>
        <x:v>107544.557</x:v>
      </x:c>
      <x:c r="P592" s="16">
        <x:f t="shared" si="122"/>
        <x:v>0</x:v>
      </x:c>
      <x:c r="Q592" s="16">
        <x:f t="shared" si="123"/>
        <x:v>0</x:v>
      </x:c>
      <x:c r="R592" s="16">
        <x:f t="shared" si="124"/>
        <x:v>107544.557</x:v>
      </x:c>
      <x:c r="S592" s="16">
        <x:f t="shared" si="118"/>
        <x:v>0</x:v>
      </x:c>
    </x:row>
    <x:row r="593" spans="1:19" outlineLevel="2">
      <x:c r="A593" s="12" t="s">
        <x:v>121</x:v>
      </x:c>
      <x:c r="B593" s="7" t="s">
        <x:v>21</x:v>
      </x:c>
      <x:c r="C593" s="6">
        <x:v>137252.4</x:v>
      </x:c>
      <x:c r="F593" s="6">
        <x:v>137252.4</x:v>
      </x:c>
      <x:c r="G593" s="1">
        <x:f t="shared" si="119"/>
        <x:v>0</x:v>
      </x:c>
      <x:c r="J593" s="3">
        <x:v>60</x:v>
      </x:c>
      <x:c r="K593" s="3">
        <x:v>7.9302279999999996</x:v>
      </x:c>
      <x:c r="L593" s="4">
        <x:v>-0.45</x:v>
      </x:c>
      <x:c r="M593" s="3">
        <x:f t="shared" si="120"/>
        <x:v>172711.94504927599</x:v>
      </x:c>
      <x:c r="N593" s="3">
        <x:v>1.2396152135461449</x:v>
      </x:c>
      <x:c r="O593" s="3">
        <x:f t="shared" si="121"/>
        <x:v>199015.97999999998</x:v>
      </x:c>
      <x:c r="P593" s="16">
        <x:f t="shared" si="122"/>
        <x:v>0</x:v>
      </x:c>
      <x:c r="Q593" s="16">
        <x:f t="shared" si="123"/>
        <x:v>0</x:v>
      </x:c>
      <x:c r="R593" s="16">
        <x:f t="shared" si="124"/>
        <x:v>199015.97999999998</x:v>
      </x:c>
      <x:c r="S593" s="16">
        <x:f t="shared" si="118"/>
        <x:v>0</x:v>
      </x:c>
    </x:row>
    <x:row r="594" spans="1:19" outlineLevel="2">
      <x:c r="A594" s="12" t="s">
        <x:v>121</x:v>
      </x:c>
      <x:c r="B594" s="7" t="s">
        <x:v>20</x:v>
      </x:c>
      <x:c r="C594" s="6">
        <x:v>201519.46</x:v>
      </x:c>
      <x:c r="F594" s="6">
        <x:v>201519.46</x:v>
      </x:c>
      <x:c r="G594" s="1">
        <x:f t="shared" si="119"/>
        <x:v>0</x:v>
      </x:c>
      <x:c r="J594" s="3">
        <x:v>60</x:v>
      </x:c>
      <x:c r="K594" s="3">
        <x:v>7.6117160000000004</x:v>
      </x:c>
      <x:c r="L594" s="4">
        <x:v>-0.45</x:v>
      </x:c>
      <x:c r="M594" s="3">
        <x:f t="shared" si="120"/>
        <x:v>255133.75196516042</x:v>
      </x:c>
      <x:c r="N594" s="3">
        <x:v>1.2396152135461449</x:v>
      </x:c>
      <x:c r="O594" s="3">
        <x:f t="shared" si="121"/>
        <x:v>292203.217</x:v>
      </x:c>
      <x:c r="P594" s="16">
        <x:f t="shared" si="122"/>
        <x:v>0</x:v>
      </x:c>
      <x:c r="Q594" s="16">
        <x:f t="shared" si="123"/>
        <x:v>0</x:v>
      </x:c>
      <x:c r="R594" s="16">
        <x:f t="shared" si="124"/>
        <x:v>292203.217</x:v>
      </x:c>
      <x:c r="S594" s="16">
        <x:f t="shared" si="118"/>
        <x:v>0</x:v>
      </x:c>
    </x:row>
    <x:row r="595" spans="1:19" outlineLevel="2">
      <x:c r="A595" s="12" t="s">
        <x:v>121</x:v>
      </x:c>
      <x:c r="B595" s="7" t="s">
        <x:v>19</x:v>
      </x:c>
      <x:c r="C595" s="6">
        <x:v>91391.079999999987</x:v>
      </x:c>
      <x:c r="F595" s="6">
        <x:v>91391.079999999987</x:v>
      </x:c>
      <x:c r="G595" s="1">
        <x:f t="shared" si="119"/>
        <x:v>0</x:v>
      </x:c>
      <x:c r="J595" s="3">
        <x:v>60</x:v>
      </x:c>
      <x:c r="K595" s="3">
        <x:v>7.2960880000000001</x:v>
      </x:c>
      <x:c r="L595" s="4">
        <x:v>-0.45</x:v>
      </x:c>
      <x:c r="M595" s="3">
        <x:f t="shared" si="120"/>
        <x:v>116402.79641603651</x:v>
      </x:c>
      <x:c r="N595" s="3">
        <x:v>1.2396152135461449</x:v>
      </x:c>
      <x:c r="O595" s="3">
        <x:f t="shared" si="121"/>
        <x:v>132517.06599999999</x:v>
      </x:c>
      <x:c r="P595" s="16">
        <x:f t="shared" si="122"/>
        <x:v>0</x:v>
      </x:c>
      <x:c r="Q595" s="16">
        <x:f t="shared" si="123"/>
        <x:v>0</x:v>
      </x:c>
      <x:c r="R595" s="16">
        <x:f t="shared" si="124"/>
        <x:v>132517.06599999999</x:v>
      </x:c>
      <x:c r="S595" s="16">
        <x:f t="shared" si="118"/>
        <x:v>0</x:v>
      </x:c>
    </x:row>
    <x:row r="596" spans="1:19" outlineLevel="2">
      <x:c r="A596" s="12" t="s">
        <x:v>121</x:v>
      </x:c>
      <x:c r="B596" s="7" t="s">
        <x:v>18</x:v>
      </x:c>
      <x:c r="C596" s="6">
        <x:v>190709.88999999998</x:v>
      </x:c>
      <x:c r="F596" s="6">
        <x:v>190709.88999999998</x:v>
      </x:c>
      <x:c r="G596" s="1">
        <x:f t="shared" si="119"/>
        <x:v>0</x:v>
      </x:c>
      <x:c r="J596" s="3">
        <x:v>60</x:v>
      </x:c>
      <x:c r="K596" s="3">
        <x:v>6.9851739999999998</x:v>
      </x:c>
      <x:c r="L596" s="4">
        <x:v>-0.45</x:v>
      </x:c>
      <x:c r="M596" s="3">
        <x:f t="shared" si="120"/>
        <x:v>244335.91450837086</x:v>
      </x:c>
      <x:c r="N596" s="3">
        <x:v>1.2396152135461449</x:v>
      </x:c>
      <x:c r="O596" s="3">
        <x:f t="shared" si="121"/>
        <x:v>276529.34049999999</x:v>
      </x:c>
      <x:c r="P596" s="16">
        <x:f t="shared" si="122"/>
        <x:v>0</x:v>
      </x:c>
      <x:c r="Q596" s="16">
        <x:f t="shared" si="123"/>
        <x:v>0</x:v>
      </x:c>
      <x:c r="R596" s="16">
        <x:f t="shared" si="124"/>
        <x:v>276529.34049999999</x:v>
      </x:c>
      <x:c r="S596" s="16">
        <x:f t="shared" si="118"/>
        <x:v>0</x:v>
      </x:c>
    </x:row>
    <x:row r="597" spans="1:19" outlineLevel="2">
      <x:c r="A597" s="12" t="s">
        <x:v>121</x:v>
      </x:c>
      <x:c r="B597" s="7" t="s">
        <x:v>17</x:v>
      </x:c>
      <x:c r="C597" s="6">
        <x:v>35498.189999999995</x:v>
      </x:c>
      <x:c r="F597" s="6">
        <x:v>35498.189999999995</x:v>
      </x:c>
      <x:c r="G597" s="1">
        <x:f t="shared" si="119"/>
        <x:v>0</x:v>
      </x:c>
      <x:c r="J597" s="3">
        <x:v>60</x:v>
      </x:c>
      <x:c r="K597" s="3">
        <x:v>6.6769920000000003</x:v>
      </x:c>
      <x:c r="L597" s="4">
        <x:v>-0.45</x:v>
      </x:c>
      <x:c r="M597" s="3">
        <x:f t="shared" si="120"/>
        <x:v>45744.36484275839</x:v>
      </x:c>
      <x:c r="N597" s="3">
        <x:v>1.2396152135461449</x:v>
      </x:c>
      <x:c r="O597" s="3">
        <x:f t="shared" si="121"/>
        <x:v>51472.375499999995</x:v>
      </x:c>
      <x:c r="P597" s="16">
        <x:f t="shared" si="122"/>
        <x:v>0</x:v>
      </x:c>
      <x:c r="Q597" s="16">
        <x:f t="shared" si="123"/>
        <x:v>0</x:v>
      </x:c>
      <x:c r="R597" s="16">
        <x:f t="shared" si="124"/>
        <x:v>51472.375499999995</x:v>
      </x:c>
      <x:c r="S597" s="16">
        <x:f t="shared" si="118"/>
        <x:v>0</x:v>
      </x:c>
    </x:row>
    <x:row r="598" spans="1:19" outlineLevel="2">
      <x:c r="A598" s="12" t="s">
        <x:v>121</x:v>
      </x:c>
      <x:c r="B598" s="7" t="s">
        <x:v>16</x:v>
      </x:c>
      <x:c r="C598" s="6">
        <x:v>65209.649999999994</x:v>
      </x:c>
      <x:c r="F598" s="6">
        <x:v>65209.649999999994</x:v>
      </x:c>
      <x:c r="G598" s="1">
        <x:f t="shared" si="119"/>
        <x:v>0</x:v>
      </x:c>
      <x:c r="J598" s="3">
        <x:v>60</x:v>
      </x:c>
      <x:c r="K598" s="3">
        <x:v>6.3710599999999999</x:v>
      </x:c>
      <x:c r="L598" s="4">
        <x:v>-0.45</x:v>
      </x:c>
      <x:c r="M598" s="3">
        <x:f t="shared" si="120"/>
        <x:v>84513.839842382484</x:v>
      </x:c>
      <x:c r="N598" s="3">
        <x:v>1.2396152135461449</x:v>
      </x:c>
      <x:c r="O598" s="3">
        <x:f t="shared" si="121"/>
        <x:v>94553.992499999993</x:v>
      </x:c>
      <x:c r="P598" s="16">
        <x:f t="shared" si="122"/>
        <x:v>0</x:v>
      </x:c>
      <x:c r="Q598" s="16">
        <x:f t="shared" si="123"/>
        <x:v>0</x:v>
      </x:c>
      <x:c r="R598" s="16">
        <x:f t="shared" si="124"/>
        <x:v>94553.992499999993</x:v>
      </x:c>
      <x:c r="S598" s="16">
        <x:f t="shared" si="118"/>
        <x:v>0</x:v>
      </x:c>
    </x:row>
    <x:row r="599" spans="1:19" outlineLevel="2">
      <x:c r="A599" s="12" t="s">
        <x:v>121</x:v>
      </x:c>
      <x:c r="B599" s="7" t="s">
        <x:v>14</x:v>
      </x:c>
      <x:c r="C599" s="6">
        <x:v>7735.66</x:v>
      </x:c>
      <x:c r="F599" s="6">
        <x:v>7735.66</x:v>
      </x:c>
      <x:c r="J599" s="3">
        <x:v>60</x:v>
      </x:c>
      <x:c r="K599" s="3">
        <x:v>5.7699550000000004</x:v>
      </x:c>
      <x:c r="L599" s="4">
        <x:v>-0.45</x:v>
      </x:c>
      <x:c r="M599" s="3">
        <x:f t="shared" si="120"/>
        <x:v>10138.042089363582</x:v>
      </x:c>
      <x:c r="N599" s="3">
        <x:v>1.2396152135461449</x:v>
      </x:c>
      <x:c r="O599" s="3">
        <x:f t="shared" si="121"/>
        <x:v>11216.707</x:v>
      </x:c>
      <x:c r="P599" s="16">
        <x:f t="shared" si="122"/>
        <x:v>0</x:v>
      </x:c>
      <x:c r="Q599" s="16">
        <x:f t="shared" si="123"/>
        <x:v>0</x:v>
      </x:c>
      <x:c r="R599" s="16">
        <x:f t="shared" si="124"/>
        <x:v>11216.707</x:v>
      </x:c>
      <x:c r="S599" s="16">
        <x:f t="shared" si="118"/>
        <x:v>0</x:v>
      </x:c>
    </x:row>
    <x:row r="600" spans="1:19" outlineLevel="2">
      <x:c r="A600" s="12" t="s">
        <x:v>121</x:v>
      </x:c>
      <x:c r="B600" s="7" t="s">
        <x:v>13</x:v>
      </x:c>
      <x:c r="C600" s="6">
        <x:v>45919.479999999996</x:v>
      </x:c>
      <x:c r="F600" s="6">
        <x:v>45919.479999999996</x:v>
      </x:c>
      <x:c r="J600" s="3">
        <x:v>60</x:v>
      </x:c>
      <x:c r="K600" s="3">
        <x:v>5.4713529999999997</x:v>
      </x:c>
      <x:c r="L600" s="4">
        <x:v>-0.45</x:v>
      </x:c>
      <x:c r="M600" s="3">
        <x:f t="shared" ref="M600:M604" si="125">+C600*(1-K600/J600)*(1-L600)</x:f>
        <x:v>60511.571954136023</x:v>
      </x:c>
      <x:c r="N600" s="3">
        <x:v>1.2396152135461449</x:v>
      </x:c>
      <x:c r="O600" s="3">
        <x:f t="shared" ref="O600:O604" si="126">IF((C600*(1-L600)-M600*N600)&lt;0,C600*(1-L600),M600*N600)</x:f>
        <x:v>66583.245999999999</x:v>
      </x:c>
      <x:c r="P600" s="16">
        <x:f t="shared" si="122"/>
        <x:v>0</x:v>
      </x:c>
      <x:c r="Q600" s="16">
        <x:f t="shared" si="123"/>
        <x:v>0</x:v>
      </x:c>
      <x:c r="R600" s="16">
        <x:f t="shared" si="124"/>
        <x:v>66583.245999999999</x:v>
      </x:c>
      <x:c r="S600" s="16">
        <x:f t="shared" ref="S600:S656" si="127">+O600-P600-Q600-R600</x:f>
        <x:v>0</x:v>
      </x:c>
    </x:row>
    <x:row r="601" spans="1:19" outlineLevel="2">
      <x:c r="A601" s="12" t="s">
        <x:v>121</x:v>
      </x:c>
      <x:c r="B601" s="7" t="s">
        <x:v>12</x:v>
      </x:c>
      <x:c r="C601" s="6">
        <x:v>89157.9</x:v>
      </x:c>
      <x:c r="F601" s="6">
        <x:v>89157.9</x:v>
      </x:c>
      <x:c r="J601" s="3">
        <x:v>60</x:v>
      </x:c>
      <x:c r="K601" s="3">
        <x:v>5.1763269999999997</x:v>
      </x:c>
      <x:c r="L601" s="4">
        <x:v>-0.45</x:v>
      </x:c>
      <x:c r="M601" s="3">
        <x:f t="shared" si="125"/>
        <x:v>118125.78591169525</x:v>
      </x:c>
      <x:c r="N601" s="3">
        <x:v>1.2396152135461449</x:v>
      </x:c>
      <x:c r="O601" s="3">
        <x:f t="shared" si="126"/>
        <x:v>129278.95499999999</x:v>
      </x:c>
      <x:c r="P601" s="16">
        <x:f t="shared" si="122"/>
        <x:v>0</x:v>
      </x:c>
      <x:c r="Q601" s="16">
        <x:f t="shared" si="123"/>
        <x:v>0</x:v>
      </x:c>
      <x:c r="R601" s="16">
        <x:f t="shared" si="124"/>
        <x:v>129278.95499999999</x:v>
      </x:c>
      <x:c r="S601" s="16">
        <x:f t="shared" si="127"/>
        <x:v>0</x:v>
      </x:c>
    </x:row>
    <x:row r="602" spans="1:19" outlineLevel="2">
      <x:c r="A602" s="12" t="s">
        <x:v>121</x:v>
      </x:c>
      <x:c r="B602" s="7" t="s">
        <x:v>7</x:v>
      </x:c>
      <x:c r="C602" s="6">
        <x:v>4200.71</x:v>
      </x:c>
      <x:c r="F602" s="6">
        <x:v>4200.71</x:v>
      </x:c>
      <x:c r="J602" s="3">
        <x:v>60</x:v>
      </x:c>
      <x:c r="K602" s="3">
        <x:v>3.371543</x:v>
      </x:c>
      <x:c r="L602" s="4">
        <x:v>-0.45</x:v>
      </x:c>
      <x:c r="M602" s="3">
        <x:f t="shared" si="125"/>
        <x:v>5748.760035441358</x:v>
      </x:c>
      <x:c r="N602" s="3">
        <x:v>1.2396152135461449</x:v>
      </x:c>
      <x:c r="O602" s="3">
        <x:f t="shared" si="126"/>
        <x:v>6091.0294999999996</x:v>
      </x:c>
      <x:c r="P602" s="16">
        <x:f t="shared" si="122"/>
        <x:v>0</x:v>
      </x:c>
      <x:c r="Q602" s="16">
        <x:f t="shared" si="123"/>
        <x:v>0</x:v>
      </x:c>
      <x:c r="R602" s="16">
        <x:f t="shared" si="124"/>
        <x:v>6091.0294999999996</x:v>
      </x:c>
      <x:c r="S602" s="16">
        <x:f t="shared" si="127"/>
        <x:v>0</x:v>
      </x:c>
    </x:row>
    <x:row r="603" spans="1:19" outlineLevel="2">
      <x:c r="A603" s="12" t="s">
        <x:v>121</x:v>
      </x:c>
      <x:c r="B603" s="7" t="s">
        <x:v>5</x:v>
      </x:c>
      <x:c r="C603" s="6">
        <x:v>1795.36</x:v>
      </x:c>
      <x:c r="F603" s="6">
        <x:v>1795.36</x:v>
      </x:c>
      <x:c r="G603" s="1">
        <x:f t="shared" ref="G603:G634" si="128">+C603-D603-E603-F603</x:f>
        <x:v>0</x:v>
      </x:c>
      <x:c r="J603" s="3">
        <x:v>60</x:v>
      </x:c>
      <x:c r="K603" s="3">
        <x:v>2.7158600000000002</x:v>
      </x:c>
      <x:c r="L603" s="4">
        <x:v>-0.45</x:v>
      </x:c>
      <x:c r="M603" s="3">
        <x:f t="shared" si="125"/>
        <x:v>2485.4366284346661</x:v>
      </x:c>
      <x:c r="N603" s="3">
        <x:v>1.2396152135461449</x:v>
      </x:c>
      <x:c r="O603" s="3">
        <x:f t="shared" si="126"/>
        <x:v>2603.2719999999999</x:v>
      </x:c>
      <x:c r="P603" s="16">
        <x:f t="shared" si="122"/>
        <x:v>0</x:v>
      </x:c>
      <x:c r="Q603" s="16">
        <x:f t="shared" si="123"/>
        <x:v>0</x:v>
      </x:c>
      <x:c r="R603" s="16">
        <x:f t="shared" si="124"/>
        <x:v>2603.2719999999999</x:v>
      </x:c>
      <x:c r="S603" s="16">
        <x:f t="shared" si="127"/>
        <x:v>0</x:v>
      </x:c>
    </x:row>
    <x:row r="604" spans="1:19" outlineLevel="2">
      <x:c r="A604" s="12" t="s">
        <x:v>121</x:v>
      </x:c>
      <x:c r="B604" s="7" t="s">
        <x:v>115</x:v>
      </x:c>
      <x:c r="C604" s="6">
        <x:v>-47340.800000000003</x:v>
      </x:c>
      <x:c r="F604" s="6">
        <x:v>-47340.800000000003</x:v>
      </x:c>
      <x:c r="G604" s="1">
        <x:f t="shared" si="128"/>
        <x:v>0</x:v>
      </x:c>
      <x:c r="J604" s="3">
        <x:v>60</x:v>
      </x:c>
      <x:c r="K604" s="3">
        <x:v>0</x:v>
      </x:c>
      <x:c r="L604" s="4">
        <x:v>-0.45</x:v>
      </x:c>
      <x:c r="M604" s="3">
        <x:f t="shared" si="125"/>
        <x:v>-68644.160000000003</x:v>
      </x:c>
      <x:c r="N604" s="3">
        <x:v>1.2396152135461449</x:v>
      </x:c>
      <x:c r="O604" s="3">
        <x:f t="shared" si="126"/>
        <x:v>-85092.345057095736</x:v>
      </x:c>
      <x:c r="P604" s="16">
        <x:f t="shared" si="122"/>
        <x:v>0</x:v>
      </x:c>
      <x:c r="Q604" s="16">
        <x:f t="shared" si="123"/>
        <x:v>0</x:v>
      </x:c>
      <x:c r="R604" s="16">
        <x:f t="shared" si="124"/>
        <x:v>-85092.345057095736</x:v>
      </x:c>
      <x:c r="S604" s="16">
        <x:f t="shared" si="127"/>
        <x:v>0</x:v>
      </x:c>
    </x:row>
    <x:row r="605" spans="1:19" outlineLevel="1">
      <x:c r="A605" s="5" t="s">
        <x:v>138</x:v>
      </x:c>
      <x:c r="C605" s="3">
        <x:f>SUBTOTAL(9,C504:C604)</x:f>
        <x:v>3294965407.6900005</x:v>
      </x:c>
      <x:c r="D605" s="6">
        <x:f>SUBTOTAL(9,D504:D604)</x:f>
        <x:v>0</x:v>
      </x:c>
      <x:c r="E605" s="6">
        <x:f>SUBTOTAL(9,E504:E604)</x:f>
        <x:v>0</x:v>
      </x:c>
      <x:c r="F605" s="3">
        <x:f>SUBTOTAL(9,F504:F604)</x:f>
        <x:v>3294965407.6900005</x:v>
      </x:c>
      <x:c r="G605" s="1">
        <x:f t="shared" si="128"/>
        <x:v>0</x:v>
      </x:c>
      <x:c r="L605" s="4"/>
      <x:c r="M605" s="3">
        <x:f>SUBTOTAL(9,M504:M604)</x:f>
        <x:v>621373293.12694907</x:v>
      </x:c>
      <x:c r="N605" s="3">
        <x:v>1.2396152135461449</x:v>
      </x:c>
      <x:c r="O605" s="3">
        <x:f>SUBTOTAL(9,O504:O604)</x:f>
        <x:v>770134179.83304155</x:v>
      </x:c>
      <x:c r="P605" s="16">
        <x:f>SUBTOTAL(9,P504:P604)</x:f>
        <x:v>0</x:v>
      </x:c>
      <x:c r="Q605" s="16">
        <x:f>SUBTOTAL(9,Q504:Q604)</x:f>
        <x:v>0</x:v>
      </x:c>
      <x:c r="R605" s="16">
        <x:f>SUBTOTAL(9,R504:R604)</x:f>
        <x:v>770134179.83304155</x:v>
      </x:c>
      <x:c r="S605" s="16">
        <x:f t="shared" si="127"/>
        <x:v>0</x:v>
      </x:c>
    </x:row>
    <x:row r="606" spans="1:19" outlineLevel="2">
      <x:c r="A606" s="12" t="s">
        <x:v>122</x:v>
      </x:c>
      <x:c r="B606" s="7" t="s">
        <x:v>149</x:v>
      </x:c>
      <x:c r="C606" s="6">
        <x:v>298840.85000000003</x:v>
      </x:c>
      <x:c r="F606" s="6">
        <x:v>298840.85000000003</x:v>
      </x:c>
      <x:c r="G606" s="1">
        <x:f t="shared" si="128"/>
        <x:v>0</x:v>
      </x:c>
      <x:c r="I606" s="15">
        <x:v>60</x:v>
      </x:c>
      <x:c r="J606" s="3">
        <x:v>60</x:v>
      </x:c>
      <x:c r="K606" s="3">
        <x:v>59.507708999999998</x:v>
      </x:c>
      <x:c r="L606" s="4">
        <x:v>-0.1</x:v>
      </x:c>
      <x:c r="M606" s="3">
        <x:f t="shared" ref="M606:M637" si="129">+C606*(1-K606/J606)*(1-L606)</x:f>
        <x:v>2697.1387829347641</x:v>
      </x:c>
      <x:c r="N606" s="15">
        <x:f t="shared" ref="N606:N652" si="130">$N$653</x:f>
        <x:v>1.2797963158523837</x:v>
      </x:c>
      <x:c r="O606" s="3">
        <x:f t="shared" ref="O606:O637" si="131">IF((C606*(1-L606)-M606*N606)&lt;0,C606*(1-L606),M606*N606)</x:f>
        <x:v>3451.7882777424934</x:v>
      </x:c>
      <x:c r="P606" s="16">
        <x:f t="shared" ref="P606:P637" si="132">+D606/$C606*$O606</x:f>
        <x:v>0</x:v>
      </x:c>
      <x:c r="Q606" s="16">
        <x:f t="shared" ref="Q606:Q637" si="133">+E606/$C606*$O606</x:f>
        <x:v>0</x:v>
      </x:c>
      <x:c r="R606" s="16">
        <x:f t="shared" ref="R606:R637" si="134">+F606/$C606*$O606</x:f>
        <x:v>3451.7882777424934</x:v>
      </x:c>
      <x:c r="S606" s="16">
        <x:f t="shared" si="127"/>
        <x:v>0</x:v>
      </x:c>
    </x:row>
    <x:row r="607" spans="1:19" outlineLevel="2">
      <x:c r="A607" s="12" t="s">
        <x:v>122</x:v>
      </x:c>
      <x:c r="B607" s="7" t="s">
        <x:v>150</x:v>
      </x:c>
      <x:c r="C607" s="6">
        <x:v>275424.27999999997</x:v>
      </x:c>
      <x:c r="F607" s="6">
        <x:v>275424.27999999997</x:v>
      </x:c>
      <x:c r="G607" s="1">
        <x:f t="shared" si="128"/>
        <x:v>0</x:v>
      </x:c>
      <x:c r="I607" s="15">
        <x:v>60</x:v>
      </x:c>
      <x:c r="J607" s="3">
        <x:v>60</x:v>
      </x:c>
      <x:c r="K607" s="3">
        <x:v>58.524571999999999</x:v>
      </x:c>
      <x:c r="L607" s="4">
        <x:v>-0.1</x:v>
      </x:c>
      <x:c r="M607" s="3">
        <x:f t="shared" si="129"/>
        <x:v>7450.092734183726</x:v>
      </x:c>
      <x:c r="N607" s="15">
        <x:f t="shared" si="130"/>
        <x:v>1.2797963158523837</x:v>
      </x:c>
      <x:c r="O607" s="3">
        <x:f t="shared" si="131"/>
        <x:v>9534.6012339669451</x:v>
      </x:c>
      <x:c r="P607" s="16">
        <x:f t="shared" si="132"/>
        <x:v>0</x:v>
      </x:c>
      <x:c r="Q607" s="16">
        <x:f t="shared" si="133"/>
        <x:v>0</x:v>
      </x:c>
      <x:c r="R607" s="16">
        <x:f t="shared" si="134"/>
        <x:v>9534.6012339669451</x:v>
      </x:c>
      <x:c r="S607" s="16">
        <x:f t="shared" si="127"/>
        <x:v>0</x:v>
      </x:c>
    </x:row>
    <x:row r="608" spans="1:19" outlineLevel="2">
      <x:c r="A608" s="12" t="s">
        <x:v>122</x:v>
      </x:c>
      <x:c r="B608" s="7" t="s">
        <x:v>151</x:v>
      </x:c>
      <x:c r="C608" s="6">
        <x:v>1192550.4300000002</x:v>
      </x:c>
      <x:c r="F608" s="6">
        <x:v>1192550.4300000002</x:v>
      </x:c>
      <x:c r="G608" s="1">
        <x:f t="shared" si="128"/>
        <x:v>0</x:v>
      </x:c>
      <x:c r="I608" s="15">
        <x:v>60</x:v>
      </x:c>
      <x:c r="J608" s="3">
        <x:v>60</x:v>
      </x:c>
      <x:c r="K608" s="3">
        <x:v>57.543491000000003</x:v>
      </x:c>
      <x:c r="L608" s="4">
        <x:v>-0.1</x:v>
      </x:c>
      <x:c r="M608" s="3">
        <x:f t="shared" si="129"/>
        <x:v>53707.699177895913</x:v>
      </x:c>
      <x:c r="N608" s="15">
        <x:f t="shared" si="130"/>
        <x:v>1.2797963158523837</x:v>
      </x:c>
      <x:c r="O608" s="3">
        <x:f t="shared" si="131"/>
        <x:v>68734.915540779286</x:v>
      </x:c>
      <x:c r="P608" s="16">
        <x:f t="shared" si="132"/>
        <x:v>0</x:v>
      </x:c>
      <x:c r="Q608" s="16">
        <x:f t="shared" si="133"/>
        <x:v>0</x:v>
      </x:c>
      <x:c r="R608" s="16">
        <x:f t="shared" si="134"/>
        <x:v>68734.915540779286</x:v>
      </x:c>
      <x:c r="S608" s="16">
        <x:f t="shared" si="127"/>
        <x:v>0</x:v>
      </x:c>
    </x:row>
    <x:row r="609" spans="1:19" outlineLevel="2">
      <x:c r="A609" s="12" t="s">
        <x:v>122</x:v>
      </x:c>
      <x:c r="B609" s="7" t="s">
        <x:v>111</x:v>
      </x:c>
      <x:c r="C609" s="6">
        <x:v>2148349.0699999998</x:v>
      </x:c>
      <x:c r="F609" s="6">
        <x:v>2148349.0699999998</x:v>
      </x:c>
      <x:c r="G609" s="1">
        <x:f t="shared" si="128"/>
        <x:v>0</x:v>
      </x:c>
      <x:c r="I609" s="15">
        <x:v>60</x:v>
      </x:c>
      <x:c r="J609" s="3">
        <x:v>60</x:v>
      </x:c>
      <x:c r="K609" s="3">
        <x:v>56.564810999999999</x:v>
      </x:c>
      <x:c r="L609" s="4">
        <x:v>-0.1</x:v>
      </x:c>
      <x:c r="M609" s="3">
        <x:f t="shared" si="129"/>
        <x:v>135299.72671277748</x:v>
      </x:c>
      <x:c r="N609" s="15">
        <x:f t="shared" si="130"/>
        <x:v>1.2797963158523837</x:v>
      </x:c>
      <x:c r="O609" s="3">
        <x:f t="shared" si="131"/>
        <x:v>173156.09178284698</x:v>
      </x:c>
      <x:c r="P609" s="16">
        <x:f t="shared" si="132"/>
        <x:v>0</x:v>
      </x:c>
      <x:c r="Q609" s="16">
        <x:f t="shared" si="133"/>
        <x:v>0</x:v>
      </x:c>
      <x:c r="R609" s="16">
        <x:f t="shared" si="134"/>
        <x:v>173156.09178284698</x:v>
      </x:c>
      <x:c r="S609" s="16">
        <x:f t="shared" si="127"/>
        <x:v>0</x:v>
      </x:c>
    </x:row>
    <x:row r="610" spans="1:19" outlineLevel="2">
      <x:c r="A610" s="12" t="s">
        <x:v>122</x:v>
      </x:c>
      <x:c r="B610" s="7" t="s">
        <x:v>110</x:v>
      </x:c>
      <x:c r="C610" s="6">
        <x:v>4407340.79</x:v>
      </x:c>
      <x:c r="F610" s="6">
        <x:v>4407340.79</x:v>
      </x:c>
      <x:c r="G610" s="1">
        <x:f t="shared" si="128"/>
        <x:v>0</x:v>
      </x:c>
      <x:c r="I610" s="15">
        <x:v>60</x:v>
      </x:c>
      <x:c r="J610" s="3">
        <x:v>60</x:v>
      </x:c>
      <x:c r="K610" s="3">
        <x:v>55.588745000000003</x:v>
      </x:c>
      <x:c r="L610" s="4">
        <x:v>-0.1</x:v>
      </x:c>
      <x:c r="M610" s="3">
        <x:f t="shared" si="129"/>
        <x:v>356434.90843750961</x:v>
      </x:c>
      <x:c r="N610" s="15">
        <x:f t="shared" si="130"/>
        <x:v>1.2797963158523837</x:v>
      </x:c>
      <x:c r="O610" s="3">
        <x:f t="shared" si="131"/>
        <x:v>456164.08265950653</x:v>
      </x:c>
      <x:c r="P610" s="16">
        <x:f t="shared" si="132"/>
        <x:v>0</x:v>
      </x:c>
      <x:c r="Q610" s="16">
        <x:f t="shared" si="133"/>
        <x:v>0</x:v>
      </x:c>
      <x:c r="R610" s="16">
        <x:f t="shared" si="134"/>
        <x:v>456164.08265950653</x:v>
      </x:c>
      <x:c r="S610" s="16">
        <x:f t="shared" si="127"/>
        <x:v>0</x:v>
      </x:c>
    </x:row>
    <x:row r="611" spans="1:19" outlineLevel="2">
      <x:c r="A611" s="12" t="s">
        <x:v>122</x:v>
      </x:c>
      <x:c r="B611" s="7" t="s">
        <x:v>109</x:v>
      </x:c>
      <x:c r="C611" s="6">
        <x:v>5973466.7699999996</x:v>
      </x:c>
      <x:c r="F611" s="6">
        <x:v>5973466.7699999996</x:v>
      </x:c>
      <x:c r="G611" s="1">
        <x:f t="shared" si="128"/>
        <x:v>0</x:v>
      </x:c>
      <x:c r="I611" s="15">
        <x:v>60</x:v>
      </x:c>
      <x:c r="J611" s="3">
        <x:v>60</x:v>
      </x:c>
      <x:c r="K611" s="3">
        <x:v>54.615321999999999</x:v>
      </x:c>
      <x:c r="L611" s="4">
        <x:v>-0.1</x:v>
      </x:c>
      <x:c r="M611" s="3">
        <x:f t="shared" si="129"/>
        <x:v>589695.24350275146</x:v>
      </x:c>
      <x:c r="N611" s="15">
        <x:f t="shared" si="130"/>
        <x:v>1.2797963158523837</x:v>
      </x:c>
      <x:c r="O611" s="3">
        <x:f t="shared" si="131"/>
        <x:v>754689.80011049565</x:v>
      </x:c>
      <x:c r="P611" s="16">
        <x:f t="shared" si="132"/>
        <x:v>0</x:v>
      </x:c>
      <x:c r="Q611" s="16">
        <x:f t="shared" si="133"/>
        <x:v>0</x:v>
      </x:c>
      <x:c r="R611" s="16">
        <x:f t="shared" si="134"/>
        <x:v>754689.80011049565</x:v>
      </x:c>
      <x:c r="S611" s="16">
        <x:f t="shared" si="127"/>
        <x:v>0</x:v>
      </x:c>
    </x:row>
    <x:row r="612" spans="1:19" outlineLevel="2">
      <x:c r="A612" s="12" t="s">
        <x:v>122</x:v>
      </x:c>
      <x:c r="B612" s="7" t="s">
        <x:v>108</x:v>
      </x:c>
      <x:c r="C612" s="6">
        <x:v>61161.899999999994</x:v>
      </x:c>
      <x:c r="F612" s="6">
        <x:v>61161.899999999994</x:v>
      </x:c>
      <x:c r="G612" s="1">
        <x:f t="shared" si="128"/>
        <x:v>0</x:v>
      </x:c>
      <x:c r="I612" s="15">
        <x:v>60</x:v>
      </x:c>
      <x:c r="J612" s="3">
        <x:v>60</x:v>
      </x:c>
      <x:c r="K612" s="3">
        <x:v>53.644945</x:v>
      </x:c>
      <x:c r="L612" s="4">
        <x:v>-0.1</x:v>
      </x:c>
      <x:c r="M612" s="3">
        <x:f t="shared" si="129"/>
        <x:v>7125.9327040825001</x:v>
      </x:c>
      <x:c r="N612" s="15">
        <x:f t="shared" si="130"/>
        <x:v>1.2797963158523837</x:v>
      </x:c>
      <x:c r="O612" s="3">
        <x:f t="shared" si="131"/>
        <x:v>9119.7424216967975</x:v>
      </x:c>
      <x:c r="P612" s="16">
        <x:f t="shared" si="132"/>
        <x:v>0</x:v>
      </x:c>
      <x:c r="Q612" s="16">
        <x:f t="shared" si="133"/>
        <x:v>0</x:v>
      </x:c>
      <x:c r="R612" s="16">
        <x:f t="shared" si="134"/>
        <x:v>9119.7424216967975</x:v>
      </x:c>
      <x:c r="S612" s="16">
        <x:f t="shared" si="127"/>
        <x:v>0</x:v>
      </x:c>
    </x:row>
    <x:row r="613" spans="1:19" outlineLevel="2">
      <x:c r="A613" s="12" t="s">
        <x:v>122</x:v>
      </x:c>
      <x:c r="B613" s="7" t="s">
        <x:v>107</x:v>
      </x:c>
      <x:c r="C613" s="6">
        <x:v>1515767.58</x:v>
      </x:c>
      <x:c r="F613" s="6">
        <x:v>1515767.58</x:v>
      </x:c>
      <x:c r="G613" s="1">
        <x:f t="shared" si="128"/>
        <x:v>0</x:v>
      </x:c>
      <x:c r="I613" s="15">
        <x:v>60</x:v>
      </x:c>
      <x:c r="J613" s="3">
        <x:v>60</x:v>
      </x:c>
      <x:c r="K613" s="3">
        <x:v>52.677866999999999</x:v>
      </x:c>
      <x:c r="L613" s="4">
        <x:v>-0.1</x:v>
      </x:c>
      <x:c r="M613" s="3">
        <x:f t="shared" si="129"/>
        <x:v>203475.2833272159</x:v>
      </x:c>
      <x:c r="N613" s="15">
        <x:f t="shared" si="130"/>
        <x:v>1.2797963158523837</x:v>
      </x:c>
      <x:c r="O613" s="3">
        <x:f t="shared" si="131"/>
        <x:v>260406.91796919086</x:v>
      </x:c>
      <x:c r="P613" s="16">
        <x:f t="shared" si="132"/>
        <x:v>0</x:v>
      </x:c>
      <x:c r="Q613" s="16">
        <x:f t="shared" si="133"/>
        <x:v>0</x:v>
      </x:c>
      <x:c r="R613" s="16">
        <x:f t="shared" si="134"/>
        <x:v>260406.91796919086</x:v>
      </x:c>
      <x:c r="S613" s="16">
        <x:f t="shared" si="127"/>
        <x:v>0</x:v>
      </x:c>
    </x:row>
    <x:row r="614" spans="1:19" outlineLevel="2">
      <x:c r="A614" s="12" t="s">
        <x:v>122</x:v>
      </x:c>
      <x:c r="B614" s="7" t="s">
        <x:v>106</x:v>
      </x:c>
      <x:c r="C614" s="6">
        <x:v>22240.76</x:v>
      </x:c>
      <x:c r="F614" s="6">
        <x:v>22240.76</x:v>
      </x:c>
      <x:c r="G614" s="1">
        <x:f t="shared" si="128"/>
        <x:v>0</x:v>
      </x:c>
      <x:c r="I614" s="15">
        <x:v>60</x:v>
      </x:c>
      <x:c r="J614" s="3">
        <x:v>60</x:v>
      </x:c>
      <x:c r="K614" s="3">
        <x:v>51.714063000000003</x:v>
      </x:c>
      <x:c r="L614" s="4">
        <x:v>-0.1</x:v>
      </x:c>
      <x:c r="M614" s="3">
        <x:f t="shared" si="129"/>
        <x:v>3378.5681635221986</x:v>
      </x:c>
      <x:c r="N614" s="15">
        <x:f t="shared" si="130"/>
        <x:v>1.2797963158523837</x:v>
      </x:c>
      <x:c r="O614" s="3">
        <x:f t="shared" si="131"/>
        <x:v>4323.879088531864</x:v>
      </x:c>
      <x:c r="P614" s="16">
        <x:f t="shared" si="132"/>
        <x:v>0</x:v>
      </x:c>
      <x:c r="Q614" s="16">
        <x:f t="shared" si="133"/>
        <x:v>0</x:v>
      </x:c>
      <x:c r="R614" s="16">
        <x:f t="shared" si="134"/>
        <x:v>4323.879088531864</x:v>
      </x:c>
      <x:c r="S614" s="16">
        <x:f t="shared" si="127"/>
        <x:v>0</x:v>
      </x:c>
    </x:row>
    <x:row r="615" spans="1:19" outlineLevel="2">
      <x:c r="A615" s="12" t="s">
        <x:v>122</x:v>
      </x:c>
      <x:c r="B615" s="7" t="s">
        <x:v>105</x:v>
      </x:c>
      <x:c r="C615" s="6">
        <x:v>576.06999999999994</x:v>
      </x:c>
      <x:c r="F615" s="6">
        <x:v>576.06999999999994</x:v>
      </x:c>
      <x:c r="G615" s="1">
        <x:f t="shared" si="128"/>
        <x:v>0</x:v>
      </x:c>
      <x:c r="I615" s="15">
        <x:v>60</x:v>
      </x:c>
      <x:c r="J615" s="3">
        <x:v>60</x:v>
      </x:c>
      <x:c r="K615" s="3">
        <x:v>50.754021999999999</x:v>
      </x:c>
      <x:c r="L615" s="4">
        <x:v>-0.1</x:v>
      </x:c>
      <x:c r="M615" s="3">
        <x:f t="shared" si="129"/>
        <x:v>97.649393351766662</x:v>
      </x:c>
      <x:c r="N615" s="15">
        <x:f t="shared" si="130"/>
        <x:v>1.2797963158523837</x:v>
      </x:c>
      <x:c r="O615" s="3">
        <x:f t="shared" si="131"/>
        <x:v>124.97133385681123</x:v>
      </x:c>
      <x:c r="P615" s="16">
        <x:f t="shared" si="132"/>
        <x:v>0</x:v>
      </x:c>
      <x:c r="Q615" s="16">
        <x:f t="shared" si="133"/>
        <x:v>0</x:v>
      </x:c>
      <x:c r="R615" s="16">
        <x:f t="shared" si="134"/>
        <x:v>124.97133385681123</x:v>
      </x:c>
      <x:c r="S615" s="16">
        <x:f t="shared" si="127"/>
        <x:v>0</x:v>
      </x:c>
    </x:row>
    <x:row r="616" spans="1:19" outlineLevel="2">
      <x:c r="A616" s="12" t="s">
        <x:v>122</x:v>
      </x:c>
      <x:c r="B616" s="7" t="s">
        <x:v>104</x:v>
      </x:c>
      <x:c r="C616" s="6">
        <x:v>-144.04</x:v>
      </x:c>
      <x:c r="F616" s="6">
        <x:v>-144.04</x:v>
      </x:c>
      <x:c r="G616" s="1">
        <x:f t="shared" si="128"/>
        <x:v>0</x:v>
      </x:c>
      <x:c r="I616" s="15">
        <x:v>60</x:v>
      </x:c>
      <x:c r="J616" s="3">
        <x:v>60</x:v>
      </x:c>
      <x:c r="K616" s="3">
        <x:v>49.798006999999998</x:v>
      </x:c>
      <x:c r="L616" s="2">
        <x:v>-0.1</x:v>
      </x:c>
      <x:c r="M616" s="1">
        <x:f t="shared" si="129"/>
        <x:v>-26.94074298153334</x:v>
      </x:c>
      <x:c r="N616" s="15">
        <x:f t="shared" si="130"/>
        <x:v>1.2797963158523837</x:v>
      </x:c>
      <x:c r="O616" s="1">
        <x:f t="shared" si="131"/>
        <x:v>-158.44400000000002</x:v>
      </x:c>
      <x:c r="P616" s="15">
        <x:f t="shared" si="132"/>
        <x:v>0</x:v>
      </x:c>
      <x:c r="Q616" s="15">
        <x:f t="shared" si="133"/>
        <x:v>0</x:v>
      </x:c>
      <x:c r="R616" s="15">
        <x:f t="shared" si="134"/>
        <x:v>-158.44400000000002</x:v>
      </x:c>
      <x:c r="S616" s="15">
        <x:f t="shared" si="127"/>
        <x:v>0</x:v>
      </x:c>
    </x:row>
    <x:row r="617" spans="1:19" outlineLevel="2">
      <x:c r="A617" s="12" t="s">
        <x:v>122</x:v>
      </x:c>
      <x:c r="B617" s="7" t="s">
        <x:v>103</x:v>
      </x:c>
      <x:c r="C617" s="6">
        <x:v>-77511.679999999993</x:v>
      </x:c>
      <x:c r="F617" s="6">
        <x:v>-77511.679999999993</x:v>
      </x:c>
      <x:c r="G617" s="1">
        <x:f t="shared" si="128"/>
        <x:v>0</x:v>
      </x:c>
      <x:c r="I617" s="15">
        <x:v>60</x:v>
      </x:c>
      <x:c r="J617" s="3">
        <x:v>60</x:v>
      </x:c>
      <x:c r="K617" s="3">
        <x:v>48.845956999999999</x:v>
      </x:c>
      <x:c r="L617" s="2">
        <x:v>-0.1</x:v>
      </x:c>
      <x:c r="M617" s="1">
        <x:f t="shared" si="129"/>
        <x:v>-15850.424548241073</x:v>
      </x:c>
      <x:c r="N617" s="15">
        <x:f t="shared" si="130"/>
        <x:v>1.2797963158523837</x:v>
      </x:c>
      <x:c r="O617" s="1">
        <x:f t="shared" si="131"/>
        <x:v>-85262.847999999998</x:v>
      </x:c>
      <x:c r="P617" s="15">
        <x:f t="shared" si="132"/>
        <x:v>0</x:v>
      </x:c>
      <x:c r="Q617" s="15">
        <x:f t="shared" si="133"/>
        <x:v>0</x:v>
      </x:c>
      <x:c r="R617" s="15">
        <x:f t="shared" si="134"/>
        <x:v>-85262.847999999998</x:v>
      </x:c>
      <x:c r="S617" s="15">
        <x:f t="shared" si="127"/>
        <x:v>0</x:v>
      </x:c>
    </x:row>
    <x:row r="618" spans="1:19" outlineLevel="2">
      <x:c r="A618" s="12" t="s">
        <x:v>122</x:v>
      </x:c>
      <x:c r="B618" s="7" t="s">
        <x:v>102</x:v>
      </x:c>
      <x:c r="C618" s="6">
        <x:v>322016.56</x:v>
      </x:c>
      <x:c r="F618" s="6">
        <x:v>322016.56</x:v>
      </x:c>
      <x:c r="G618" s="1">
        <x:f t="shared" si="128"/>
        <x:v>0</x:v>
      </x:c>
      <x:c r="I618" s="15">
        <x:v>60</x:v>
      </x:c>
      <x:c r="J618" s="3">
        <x:v>60</x:v>
      </x:c>
      <x:c r="K618" s="3">
        <x:v>47.898415</x:v>
      </x:c>
      <x:c r="L618" s="2">
        <x:v>-0.1</x:v>
      </x:c>
      <x:c r="M618" s="1">
        <x:f t="shared" si="129"/>
        <x:v>71443.364157872682</x:v>
      </x:c>
      <x:c r="N618" s="15">
        <x:f t="shared" si="130"/>
        <x:v>1.2797963158523837</x:v>
      </x:c>
      <x:c r="O618" s="1">
        <x:f t="shared" si="131"/>
        <x:v>91432.954241345695</x:v>
      </x:c>
      <x:c r="P618" s="15">
        <x:f t="shared" si="132"/>
        <x:v>0</x:v>
      </x:c>
      <x:c r="Q618" s="15">
        <x:f t="shared" si="133"/>
        <x:v>0</x:v>
      </x:c>
      <x:c r="R618" s="15">
        <x:f t="shared" si="134"/>
        <x:v>91432.954241345695</x:v>
      </x:c>
      <x:c r="S618" s="15">
        <x:f t="shared" si="127"/>
        <x:v>0</x:v>
      </x:c>
    </x:row>
    <x:row r="619" spans="1:19" outlineLevel="2">
      <x:c r="A619" s="12" t="s">
        <x:v>122</x:v>
      </x:c>
      <x:c r="B619" s="7" t="s">
        <x:v>101</x:v>
      </x:c>
      <x:c r="C619" s="6">
        <x:v>-1118853.77</x:v>
      </x:c>
      <x:c r="F619" s="6">
        <x:v>-1118853.77</x:v>
      </x:c>
      <x:c r="G619" s="1">
        <x:f t="shared" si="128"/>
        <x:v>0</x:v>
      </x:c>
      <x:c r="I619" s="15">
        <x:v>60</x:v>
      </x:c>
      <x:c r="J619" s="3">
        <x:v>60</x:v>
      </x:c>
      <x:c r="K619" s="3">
        <x:v>46.955655999999998</x:v>
      </x:c>
      <x:c r="L619" s="2">
        <x:v>-0.1</x:v>
      </x:c>
      <x:c r="M619" s="1">
        <x:f t="shared" si="129"/>
        <x:v>-267569.74679557618</x:v>
      </x:c>
      <x:c r="N619" s="15">
        <x:f t="shared" si="130"/>
        <x:v>1.2797963158523837</x:v>
      </x:c>
      <x:c r="O619" s="1">
        <x:f t="shared" si="131"/>
        <x:v>-1230739.1470000001</x:v>
      </x:c>
      <x:c r="P619" s="15">
        <x:f t="shared" si="132"/>
        <x:v>0</x:v>
      </x:c>
      <x:c r="Q619" s="15">
        <x:f t="shared" si="133"/>
        <x:v>0</x:v>
      </x:c>
      <x:c r="R619" s="15">
        <x:f t="shared" si="134"/>
        <x:v>-1230739.1470000001</x:v>
      </x:c>
      <x:c r="S619" s="15">
        <x:f t="shared" si="127"/>
        <x:v>0</x:v>
      </x:c>
    </x:row>
    <x:row r="620" spans="1:19" outlineLevel="2">
      <x:c r="A620" s="12" t="s">
        <x:v>122</x:v>
      </x:c>
      <x:c r="B620" s="7" t="s">
        <x:v>100</x:v>
      </x:c>
      <x:c r="C620" s="6">
        <x:v>9919651.8000000007</x:v>
      </x:c>
      <x:c r="F620" s="6">
        <x:v>9919651.8000000007</x:v>
      </x:c>
      <x:c r="G620" s="1">
        <x:f t="shared" si="128"/>
        <x:v>0</x:v>
      </x:c>
      <x:c r="I620" s="15">
        <x:v>60</x:v>
      </x:c>
      <x:c r="J620" s="3">
        <x:v>60</x:v>
      </x:c>
      <x:c r="K620" s="3">
        <x:v>46.017558999999999</x:v>
      </x:c>
      <x:c r="L620" s="2">
        <x:v>-0.1</x:v>
      </x:c>
      <x:c r="M620" s="1">
        <x:f t="shared" si="129"/>
        <x:v>2542850.6772908038</x:v>
      </x:c>
      <x:c r="N620" s="15">
        <x:f t="shared" si="130"/>
        <x:v>1.2797963158523837</x:v>
      </x:c>
      <x:c r="O620" s="1">
        <x:f t="shared" si="131"/>
        <x:v>3254330.9285595096</x:v>
      </x:c>
      <x:c r="P620" s="15">
        <x:f t="shared" si="132"/>
        <x:v>0</x:v>
      </x:c>
      <x:c r="Q620" s="15">
        <x:f t="shared" si="133"/>
        <x:v>0</x:v>
      </x:c>
      <x:c r="R620" s="15">
        <x:f t="shared" si="134"/>
        <x:v>3254330.9285595096</x:v>
      </x:c>
      <x:c r="S620" s="15">
        <x:f t="shared" si="127"/>
        <x:v>0</x:v>
      </x:c>
    </x:row>
    <x:row r="621" spans="1:19" outlineLevel="2">
      <x:c r="A621" s="12" t="s">
        <x:v>122</x:v>
      </x:c>
      <x:c r="B621" s="7" t="s">
        <x:v>99</x:v>
      </x:c>
      <x:c r="C621" s="6">
        <x:v>-15068.9</x:v>
      </x:c>
      <x:c r="F621" s="6">
        <x:v>-15068.9</x:v>
      </x:c>
      <x:c r="G621" s="1">
        <x:f t="shared" si="128"/>
        <x:v>0</x:v>
      </x:c>
      <x:c r="I621" s="15">
        <x:v>60</x:v>
      </x:c>
      <x:c r="J621" s="3">
        <x:v>60</x:v>
      </x:c>
      <x:c r="K621" s="3">
        <x:v>45.08473</x:v>
      </x:c>
      <x:c r="L621" s="2">
        <x:v>-0.1</x:v>
      </x:c>
      <x:c r="M621" s="1">
        <x:f t="shared" si="129"/>
        <x:v>-4120.5397218883336</x:v>
      </x:c>
      <x:c r="N621" s="15">
        <x:f t="shared" si="130"/>
        <x:v>1.2797963158523837</x:v>
      </x:c>
      <x:c r="O621" s="1">
        <x:f t="shared" si="131"/>
        <x:v>-16575.79</x:v>
      </x:c>
      <x:c r="P621" s="15">
        <x:f t="shared" si="132"/>
        <x:v>0</x:v>
      </x:c>
      <x:c r="Q621" s="15">
        <x:f t="shared" si="133"/>
        <x:v>0</x:v>
      </x:c>
      <x:c r="R621" s="15">
        <x:f t="shared" si="134"/>
        <x:v>-16575.79</x:v>
      </x:c>
      <x:c r="S621" s="15">
        <x:f t="shared" si="127"/>
        <x:v>0</x:v>
      </x:c>
    </x:row>
    <x:row r="622" spans="1:19" outlineLevel="2">
      <x:c r="A622" s="12" t="s">
        <x:v>122</x:v>
      </x:c>
      <x:c r="B622" s="7" t="s">
        <x:v>98</x:v>
      </x:c>
      <x:c r="C622" s="6">
        <x:v>26939.96</x:v>
      </x:c>
      <x:c r="F622" s="6">
        <x:v>26939.96</x:v>
      </x:c>
      <x:c r="G622" s="1">
        <x:f t="shared" si="128"/>
        <x:v>0</x:v>
      </x:c>
      <x:c r="I622" s="15">
        <x:v>60</x:v>
      </x:c>
      <x:c r="J622" s="3">
        <x:v>60</x:v>
      </x:c>
      <x:c r="K622" s="3">
        <x:v>44.157442000000003</x:v>
      </x:c>
      <x:c r="L622" s="2">
        <x:v>-0.1</x:v>
      </x:c>
      <x:c r="M622" s="1">
        <x:f t="shared" si="129"/>
        <x:v>7824.6277783241339</x:v>
      </x:c>
      <x:c r="N622" s="15">
        <x:f t="shared" si="130"/>
        <x:v>1.2797963158523837</x:v>
      </x:c>
      <x:c r="O622" s="1">
        <x:f t="shared" si="131"/>
        <x:v>10013.929803615449</x:v>
      </x:c>
      <x:c r="P622" s="15">
        <x:f t="shared" si="132"/>
        <x:v>0</x:v>
      </x:c>
      <x:c r="Q622" s="15">
        <x:f t="shared" si="133"/>
        <x:v>0</x:v>
      </x:c>
      <x:c r="R622" s="15">
        <x:f t="shared" si="134"/>
        <x:v>10013.929803615449</x:v>
      </x:c>
      <x:c r="S622" s="15">
        <x:f t="shared" si="127"/>
        <x:v>0</x:v>
      </x:c>
    </x:row>
    <x:row r="623" spans="1:19" outlineLevel="2">
      <x:c r="A623" s="12" t="s">
        <x:v>122</x:v>
      </x:c>
      <x:c r="B623" s="7" t="s">
        <x:v>97</x:v>
      </x:c>
      <x:c r="C623" s="6">
        <x:v>81618.5</x:v>
      </x:c>
      <x:c r="F623" s="6">
        <x:v>81618.5</x:v>
      </x:c>
      <x:c r="G623" s="1">
        <x:f t="shared" si="128"/>
        <x:v>0</x:v>
      </x:c>
      <x:c r="I623" s="15">
        <x:v>60</x:v>
      </x:c>
      <x:c r="J623" s="3">
        <x:v>60</x:v>
      </x:c>
      <x:c r="K623" s="3">
        <x:v>43.235500999999999</x:v>
      </x:c>
      <x:c r="L623" s="2">
        <x:v>-0.1</x:v>
      </x:c>
      <x:c r="M623" s="1">
        <x:f t="shared" si="129"/>
        <x:v>25085.376463244167</x:v>
      </x:c>
      <x:c r="N623" s="15">
        <x:f t="shared" si="130"/>
        <x:v>1.2797963158523837</x:v>
      </x:c>
      <x:c r="O623" s="1">
        <x:f t="shared" si="131"/>
        <x:v>32104.172379429983</x:v>
      </x:c>
      <x:c r="P623" s="15">
        <x:f t="shared" si="132"/>
        <x:v>0</x:v>
      </x:c>
      <x:c r="Q623" s="15">
        <x:f t="shared" si="133"/>
        <x:v>0</x:v>
      </x:c>
      <x:c r="R623" s="15">
        <x:f t="shared" si="134"/>
        <x:v>32104.172379429983</x:v>
      </x:c>
      <x:c r="S623" s="15">
        <x:f t="shared" si="127"/>
        <x:v>0</x:v>
      </x:c>
    </x:row>
    <x:row r="624" spans="1:19" outlineLevel="2">
      <x:c r="A624" s="12" t="s">
        <x:v>122</x:v>
      </x:c>
      <x:c r="B624" s="7" t="s">
        <x:v>96</x:v>
      </x:c>
      <x:c r="C624" s="6">
        <x:v>6107442.5499999998</x:v>
      </x:c>
      <x:c r="F624" s="6">
        <x:v>6107442.5499999998</x:v>
      </x:c>
      <x:c r="G624" s="1">
        <x:f t="shared" si="128"/>
        <x:v>0</x:v>
      </x:c>
      <x:c r="I624" s="15">
        <x:v>60</x:v>
      </x:c>
      <x:c r="J624" s="3">
        <x:v>60</x:v>
      </x:c>
      <x:c r="K624" s="3">
        <x:v>42.319561</x:v>
      </x:c>
      <x:c r="L624" s="2">
        <x:v>-0.1</x:v>
      </x:c>
      <x:c r="M624" s="1">
        <x:f t="shared" si="129"/>
        <x:v>1979674.8666067896</x:v>
      </x:c>
      <x:c r="N624" s="15">
        <x:f t="shared" si="130"/>
        <x:v>1.2797963158523837</x:v>
      </x:c>
      <x:c r="O624" s="1">
        <x:f t="shared" si="131"/>
        <x:v>2533580.6008689287</x:v>
      </x:c>
      <x:c r="P624" s="15">
        <x:f t="shared" si="132"/>
        <x:v>0</x:v>
      </x:c>
      <x:c r="Q624" s="15">
        <x:f t="shared" si="133"/>
        <x:v>0</x:v>
      </x:c>
      <x:c r="R624" s="15">
        <x:f t="shared" si="134"/>
        <x:v>2533580.6008689287</x:v>
      </x:c>
      <x:c r="S624" s="15">
        <x:f t="shared" si="127"/>
        <x:v>0</x:v>
      </x:c>
    </x:row>
    <x:row r="625" spans="1:19" outlineLevel="2">
      <x:c r="A625" s="12" t="s">
        <x:v>122</x:v>
      </x:c>
      <x:c r="B625" s="7" t="s">
        <x:v>95</x:v>
      </x:c>
      <x:c r="C625" s="6">
        <x:v>14652334.279999999</x:v>
      </x:c>
      <x:c r="F625" s="6">
        <x:v>14652334.279999999</x:v>
      </x:c>
      <x:c r="G625" s="1">
        <x:f t="shared" si="128"/>
        <x:v>0</x:v>
      </x:c>
      <x:c r="I625" s="15">
        <x:v>60</x:v>
      </x:c>
      <x:c r="J625" s="3">
        <x:v>60</x:v>
      </x:c>
      <x:c r="K625" s="3">
        <x:v>41.409889</x:v>
      </x:c>
      <x:c r="L625" s="2">
        <x:v>-0.1</x:v>
      </x:c>
      <x:c r="M625" s="1">
        <x:f t="shared" si="129"/>
        <x:v>4993789.5456955945</x:v>
      </x:c>
      <x:c r="N625" s="15">
        <x:f t="shared" si="130"/>
        <x:v>1.2797963158523837</x:v>
      </x:c>
      <x:c r="O625" s="1">
        <x:f t="shared" si="131"/>
        <x:v>6391033.4627233706</x:v>
      </x:c>
      <x:c r="P625" s="15">
        <x:f t="shared" si="132"/>
        <x:v>0</x:v>
      </x:c>
      <x:c r="Q625" s="15">
        <x:f t="shared" si="133"/>
        <x:v>0</x:v>
      </x:c>
      <x:c r="R625" s="15">
        <x:f t="shared" si="134"/>
        <x:v>6391033.4627233706</x:v>
      </x:c>
      <x:c r="S625" s="15">
        <x:f t="shared" si="127"/>
        <x:v>0</x:v>
      </x:c>
    </x:row>
    <x:row r="626" spans="1:19" outlineLevel="2">
      <x:c r="A626" s="12" t="s">
        <x:v>122</x:v>
      </x:c>
      <x:c r="B626" s="7" t="s">
        <x:v>94</x:v>
      </x:c>
      <x:c r="C626" s="6">
        <x:v>396961.98</x:v>
      </x:c>
      <x:c r="F626" s="6">
        <x:v>396961.98</x:v>
      </x:c>
      <x:c r="G626" s="1">
        <x:f t="shared" si="128"/>
        <x:v>0</x:v>
      </x:c>
      <x:c r="J626" s="3">
        <x:v>60</x:v>
      </x:c>
      <x:c r="K626" s="3">
        <x:v>40.506208999999998</x:v>
      </x:c>
      <x:c r="L626" s="2">
        <x:v>-0.1</x:v>
      </x:c>
      <x:c r="M626" s="1">
        <x:f t="shared" si="129"/>
        <x:v>141868.72100621334</x:v>
      </x:c>
      <x:c r="N626" s="15">
        <x:f t="shared" si="130"/>
        <x:v>1.2797963158523837</x:v>
      </x:c>
      <x:c r="O626" s="1">
        <x:f t="shared" si="131"/>
        <x:v>181563.0664784415</x:v>
      </x:c>
      <x:c r="P626" s="15">
        <x:f t="shared" si="132"/>
        <x:v>0</x:v>
      </x:c>
      <x:c r="Q626" s="15">
        <x:f t="shared" si="133"/>
        <x:v>0</x:v>
      </x:c>
      <x:c r="R626" s="15">
        <x:f t="shared" si="134"/>
        <x:v>181563.0664784415</x:v>
      </x:c>
      <x:c r="S626" s="15">
        <x:f t="shared" si="127"/>
        <x:v>0</x:v>
      </x:c>
    </x:row>
    <x:row r="627" spans="1:19" outlineLevel="2">
      <x:c r="A627" s="12" t="s">
        <x:v>122</x:v>
      </x:c>
      <x:c r="B627" s="7" t="s">
        <x:v>93</x:v>
      </x:c>
      <x:c r="C627" s="6">
        <x:v>3647207.05</x:v>
      </x:c>
      <x:c r="F627" s="6">
        <x:v>3647207.05</x:v>
      </x:c>
      <x:c r="G627" s="1">
        <x:f t="shared" si="128"/>
        <x:v>0</x:v>
      </x:c>
      <x:c r="J627" s="3">
        <x:v>60</x:v>
      </x:c>
      <x:c r="K627" s="3">
        <x:v>39.609220999999998</x:v>
      </x:c>
      <x:c r="L627" s="2">
        <x:v>-0.1</x:v>
      </x:c>
      <x:c r="M627" s="1">
        <x:f t="shared" si="129"/>
        <x:v>1363438.870269519</x:v>
      </x:c>
      <x:c r="N627" s="15">
        <x:f t="shared" si="130"/>
        <x:v>1.2797963158523837</x:v>
      </x:c>
      <x:c r="O627" s="1">
        <x:f t="shared" si="131"/>
        <x:v>1744924.0430608667</x:v>
      </x:c>
      <x:c r="P627" s="15">
        <x:f t="shared" si="132"/>
        <x:v>0</x:v>
      </x:c>
      <x:c r="Q627" s="15">
        <x:f t="shared" si="133"/>
        <x:v>0</x:v>
      </x:c>
      <x:c r="R627" s="15">
        <x:f t="shared" si="134"/>
        <x:v>1744924.0430608667</x:v>
      </x:c>
      <x:c r="S627" s="15">
        <x:f t="shared" si="127"/>
        <x:v>0</x:v>
      </x:c>
    </x:row>
    <x:row r="628" spans="1:19" outlineLevel="2">
      <x:c r="A628" s="12" t="s">
        <x:v>122</x:v>
      </x:c>
      <x:c r="B628" s="7" t="s">
        <x:v>92</x:v>
      </x:c>
      <x:c r="C628" s="6">
        <x:v>3839.09</x:v>
      </x:c>
      <x:c r="F628" s="6">
        <x:v>3839.09</x:v>
      </x:c>
      <x:c r="G628" s="1">
        <x:f t="shared" si="128"/>
        <x:v>0</x:v>
      </x:c>
      <x:c r="J628" s="3">
        <x:v>60</x:v>
      </x:c>
      <x:c r="K628" s="3">
        <x:v>38.719163000000002</x:v>
      </x:c>
      <x:c r="L628" s="2">
        <x:v>-0.1</x:v>
      </x:c>
      <x:c r="M628" s="1">
        <x:f t="shared" si="129"/>
        <x:v>1497.8158895027168</x:v>
      </x:c>
      <x:c r="N628" s="15">
        <x:f t="shared" si="130"/>
        <x:v>1.2797963158523837</x:v>
      </x:c>
      <x:c r="O628" s="1">
        <x:f t="shared" si="131"/>
        <x:v>1916.8992572107381</x:v>
      </x:c>
      <x:c r="P628" s="15">
        <x:f t="shared" si="132"/>
        <x:v>0</x:v>
      </x:c>
      <x:c r="Q628" s="15">
        <x:f t="shared" si="133"/>
        <x:v>0</x:v>
      </x:c>
      <x:c r="R628" s="15">
        <x:f t="shared" si="134"/>
        <x:v>1916.8992572107381</x:v>
      </x:c>
      <x:c r="S628" s="15">
        <x:f t="shared" si="127"/>
        <x:v>0</x:v>
      </x:c>
    </x:row>
    <x:row r="629" spans="1:19" outlineLevel="2">
      <x:c r="A629" s="12" t="s">
        <x:v>122</x:v>
      </x:c>
      <x:c r="B629" s="7" t="s">
        <x:v>91</x:v>
      </x:c>
      <x:c r="C629" s="6">
        <x:v>805.05</x:v>
      </x:c>
      <x:c r="F629" s="6">
        <x:v>805.05</x:v>
      </x:c>
      <x:c r="G629" s="1">
        <x:f t="shared" si="128"/>
        <x:v>0</x:v>
      </x:c>
      <x:c r="J629" s="3">
        <x:v>60</x:v>
      </x:c>
      <x:c r="K629" s="3">
        <x:v>37.835684000000001</x:v>
      </x:c>
      <x:c r="L629" s="2">
        <x:v>-0.1</x:v>
      </x:c>
      <x:c r="M629" s="1">
        <x:f t="shared" si="129"/>
        <x:v>327.12868092299993</x:v>
      </x:c>
      <x:c r="N629" s="15">
        <x:f t="shared" si="130"/>
        <x:v>1.2797963158523837</x:v>
      </x:c>
      <x:c r="O629" s="1">
        <x:f t="shared" si="131"/>
        <x:v>418.65808065490529</x:v>
      </x:c>
      <x:c r="P629" s="15">
        <x:f t="shared" si="132"/>
        <x:v>0</x:v>
      </x:c>
      <x:c r="Q629" s="15">
        <x:f t="shared" si="133"/>
        <x:v>0</x:v>
      </x:c>
      <x:c r="R629" s="15">
        <x:f t="shared" si="134"/>
        <x:v>418.65808065490529</x:v>
      </x:c>
      <x:c r="S629" s="15">
        <x:f t="shared" si="127"/>
        <x:v>0</x:v>
      </x:c>
    </x:row>
    <x:row r="630" spans="1:19" outlineLevel="2">
      <x:c r="A630" s="12" t="s">
        <x:v>122</x:v>
      </x:c>
      <x:c r="B630" s="7" t="s">
        <x:v>90</x:v>
      </x:c>
      <x:c r="C630" s="6">
        <x:v>905447.14</x:v>
      </x:c>
      <x:c r="F630" s="6">
        <x:v>905447.14</x:v>
      </x:c>
      <x:c r="G630" s="1">
        <x:f t="shared" si="128"/>
        <x:v>0</x:v>
      </x:c>
      <x:c r="I630" s="15">
        <x:v>60</x:v>
      </x:c>
      <x:c r="J630" s="3">
        <x:v>60</x:v>
      </x:c>
      <x:c r="K630" s="3">
        <x:v>36.959510000000002</x:v>
      </x:c>
      <x:c r="L630" s="2">
        <x:v>-0.1</x:v>
      </x:c>
      <x:c r="M630" s="1">
        <x:f t="shared" si="129"/>
        <x:v>382469.00586947432</x:v>
      </x:c>
      <x:c r="N630" s="15">
        <x:f t="shared" si="130"/>
        <x:v>1.2797963158523837</x:v>
      </x:c>
      <x:c r="O630" s="1">
        <x:f t="shared" si="131"/>
        <x:v>489482.42463947699</x:v>
      </x:c>
      <x:c r="P630" s="15">
        <x:f t="shared" si="132"/>
        <x:v>0</x:v>
      </x:c>
      <x:c r="Q630" s="15">
        <x:f t="shared" si="133"/>
        <x:v>0</x:v>
      </x:c>
      <x:c r="R630" s="15">
        <x:f t="shared" si="134"/>
        <x:v>489482.42463947699</x:v>
      </x:c>
      <x:c r="S630" s="15">
        <x:f t="shared" si="127"/>
        <x:v>0</x:v>
      </x:c>
    </x:row>
    <x:row r="631" spans="1:19" outlineLevel="2">
      <x:c r="A631" s="12" t="s">
        <x:v>122</x:v>
      </x:c>
      <x:c r="B631" s="7" t="s">
        <x:v>89</x:v>
      </x:c>
      <x:c r="C631" s="6">
        <x:v>32774.800000000003</x:v>
      </x:c>
      <x:c r="F631" s="6">
        <x:v>32774.800000000003</x:v>
      </x:c>
      <x:c r="G631" s="1">
        <x:f t="shared" si="128"/>
        <x:v>0</x:v>
      </x:c>
      <x:c r="I631" s="15">
        <x:v>60</x:v>
      </x:c>
      <x:c r="J631" s="3">
        <x:v>60</x:v>
      </x:c>
      <x:c r="K631" s="3">
        <x:v>36.090868</x:v>
      </x:c>
      <x:c r="L631" s="2">
        <x:v>-0.1</x:v>
      </x:c>
      <x:c r="M631" s="1">
        <x:f t="shared" si="129"/>
        <x:v>14366.312023682669</x:v>
      </x:c>
      <x:c r="N631" s="15">
        <x:f t="shared" si="130"/>
        <x:v>1.2797963158523837</x:v>
      </x:c>
      <x:c r="O631" s="1">
        <x:f t="shared" si="131"/>
        <x:v>18385.953200294884</x:v>
      </x:c>
      <x:c r="P631" s="15">
        <x:f t="shared" si="132"/>
        <x:v>0</x:v>
      </x:c>
      <x:c r="Q631" s="15">
        <x:f t="shared" si="133"/>
        <x:v>0</x:v>
      </x:c>
      <x:c r="R631" s="15">
        <x:f t="shared" si="134"/>
        <x:v>18385.953200294884</x:v>
      </x:c>
      <x:c r="S631" s="15">
        <x:f t="shared" si="127"/>
        <x:v>0</x:v>
      </x:c>
    </x:row>
    <x:row r="632" spans="1:19" outlineLevel="2">
      <x:c r="A632" s="12" t="s">
        <x:v>122</x:v>
      </x:c>
      <x:c r="B632" s="7" t="s">
        <x:v>88</x:v>
      </x:c>
      <x:c r="C632" s="6">
        <x:v>30972.47</x:v>
      </x:c>
      <x:c r="F632" s="6">
        <x:v>30972.47</x:v>
      </x:c>
      <x:c r="G632" s="1">
        <x:f t="shared" si="128"/>
        <x:v>0</x:v>
      </x:c>
      <x:c r="I632" s="15">
        <x:v>60</x:v>
      </x:c>
      <x:c r="J632" s="3">
        <x:v>60</x:v>
      </x:c>
      <x:c r="K632" s="3">
        <x:v>35.229312</x:v>
      </x:c>
      <x:c r="L632" s="2">
        <x:v>-0.1</x:v>
      </x:c>
      <x:c r="M632" s="1">
        <x:f t="shared" si="129"/>
        <x:v>14065.505500921601</x:v>
      </x:c>
      <x:c r="N632" s="15">
        <x:f t="shared" si="130"/>
        <x:v>1.2797963158523837</x:v>
      </x:c>
      <x:c r="O632" s="1">
        <x:f t="shared" si="131"/>
        <x:v>18000.982120680903</x:v>
      </x:c>
      <x:c r="P632" s="15">
        <x:f t="shared" si="132"/>
        <x:v>0</x:v>
      </x:c>
      <x:c r="Q632" s="15">
        <x:f t="shared" si="133"/>
        <x:v>0</x:v>
      </x:c>
      <x:c r="R632" s="15">
        <x:f t="shared" si="134"/>
        <x:v>18000.982120680903</x:v>
      </x:c>
      <x:c r="S632" s="15">
        <x:f t="shared" si="127"/>
        <x:v>0</x:v>
      </x:c>
    </x:row>
    <x:row r="633" spans="1:19" outlineLevel="2">
      <x:c r="A633" s="12" t="s">
        <x:v>122</x:v>
      </x:c>
      <x:c r="B633" s="7" t="s">
        <x:v>87</x:v>
      </x:c>
      <x:c r="C633" s="6">
        <x:v>1553633.2799999998</x:v>
      </x:c>
      <x:c r="F633" s="6">
        <x:v>1553633.2799999998</x:v>
      </x:c>
      <x:c r="G633" s="1">
        <x:f t="shared" si="128"/>
        <x:v>0</x:v>
      </x:c>
      <x:c r="I633" s="15">
        <x:v>60</x:v>
      </x:c>
      <x:c r="J633" s="3">
        <x:v>60</x:v>
      </x:c>
      <x:c r="K633" s="3">
        <x:v>34.375610000000002</x:v>
      </x:c>
      <x:c r="L633" s="2">
        <x:v>-0.1</x:v>
      </x:c>
      <x:c r="M633" s="1">
        <x:f t="shared" si="129"/>
        <x:v>729866.59320115182</x:v>
      </x:c>
      <x:c r="N633" s="15">
        <x:f t="shared" si="130"/>
        <x:v>1.2797963158523837</x:v>
      </x:c>
      <x:c r="O633" s="1">
        <x:f t="shared" si="131"/>
        <x:v>934080.57704256452</x:v>
      </x:c>
      <x:c r="P633" s="15">
        <x:f t="shared" si="132"/>
        <x:v>0</x:v>
      </x:c>
      <x:c r="Q633" s="15">
        <x:f t="shared" si="133"/>
        <x:v>0</x:v>
      </x:c>
      <x:c r="R633" s="15">
        <x:f t="shared" si="134"/>
        <x:v>934080.57704256452</x:v>
      </x:c>
      <x:c r="S633" s="15">
        <x:f t="shared" si="127"/>
        <x:v>0</x:v>
      </x:c>
    </x:row>
    <x:row r="634" spans="1:19" outlineLevel="2">
      <x:c r="A634" s="12" t="s">
        <x:v>122</x:v>
      </x:c>
      <x:c r="B634" s="7" t="s">
        <x:v>86</x:v>
      </x:c>
      <x:c r="C634" s="6">
        <x:v>234650.79</x:v>
      </x:c>
      <x:c r="F634" s="6">
        <x:v>234650.79</x:v>
      </x:c>
      <x:c r="G634" s="1">
        <x:f t="shared" si="128"/>
        <x:v>0</x:v>
      </x:c>
      <x:c r="I634" s="15">
        <x:v>60</x:v>
      </x:c>
      <x:c r="J634" s="3">
        <x:v>60</x:v>
      </x:c>
      <x:c r="K634" s="3">
        <x:v>33.529964</x:v>
      </x:c>
      <x:c r="L634" s="2">
        <x:v>-0.1</x:v>
      </x:c>
      <x:c r="M634" s="1">
        <x:f t="shared" si="129"/>
        <x:v>113872.27241002143</x:v>
      </x:c>
      <x:c r="N634" s="15">
        <x:f t="shared" si="130"/>
        <x:v>1.2797963158523837</x:v>
      </x:c>
      <x:c r="O634" s="1">
        <x:f t="shared" si="131"/>
        <x:v>145733.31470808445</x:v>
      </x:c>
      <x:c r="P634" s="15">
        <x:f t="shared" si="132"/>
        <x:v>0</x:v>
      </x:c>
      <x:c r="Q634" s="15">
        <x:f t="shared" si="133"/>
        <x:v>0</x:v>
      </x:c>
      <x:c r="R634" s="15">
        <x:f t="shared" si="134"/>
        <x:v>145733.31470808445</x:v>
      </x:c>
      <x:c r="S634" s="15">
        <x:f t="shared" si="127"/>
        <x:v>0</x:v>
      </x:c>
    </x:row>
    <x:row r="635" spans="1:19" outlineLevel="2">
      <x:c r="A635" s="12" t="s">
        <x:v>122</x:v>
      </x:c>
      <x:c r="B635" s="7" t="s">
        <x:v>85</x:v>
      </x:c>
      <x:c r="C635" s="6">
        <x:v>844923.23</x:v>
      </x:c>
      <x:c r="F635" s="6">
        <x:v>844923.23</x:v>
      </x:c>
      <x:c r="G635" s="1">
        <x:f t="shared" ref="G635:G652" si="135">+C635-D635-E635-F635</x:f>
        <x:v>0</x:v>
      </x:c>
      <x:c r="I635" s="15">
        <x:v>60</x:v>
      </x:c>
      <x:c r="J635" s="3">
        <x:v>60</x:v>
      </x:c>
      <x:c r="K635" s="3">
        <x:v>32.691851</x:v>
      </x:c>
      <x:c r="L635" s="2">
        <x:v>-0.1</x:v>
      </x:c>
      <x:c r="M635" s="1">
        <x:f t="shared" si="129"/>
        <x:v>423010.3067373567</x:v>
      </x:c>
      <x:c r="N635" s="15">
        <x:f t="shared" si="130"/>
        <x:v>1.2797963158523837</x:v>
      </x:c>
      <x:c r="O635" s="1">
        <x:f t="shared" si="131"/>
        <x:v>541367.03213005594</x:v>
      </x:c>
      <x:c r="P635" s="15">
        <x:f t="shared" si="132"/>
        <x:v>0</x:v>
      </x:c>
      <x:c r="Q635" s="15">
        <x:f t="shared" si="133"/>
        <x:v>0</x:v>
      </x:c>
      <x:c r="R635" s="15">
        <x:f t="shared" si="134"/>
        <x:v>541367.03213005594</x:v>
      </x:c>
      <x:c r="S635" s="15">
        <x:f t="shared" si="127"/>
        <x:v>0</x:v>
      </x:c>
    </x:row>
    <x:row r="636" spans="1:19" outlineLevel="2">
      <x:c r="A636" s="12" t="s">
        <x:v>122</x:v>
      </x:c>
      <x:c r="B636" s="7" t="s">
        <x:v>81</x:v>
      </x:c>
      <x:c r="C636" s="6">
        <x:v>3118.26</x:v>
      </x:c>
      <x:c r="F636" s="6">
        <x:v>3118.26</x:v>
      </x:c>
      <x:c r="G636" s="1">
        <x:f t="shared" si="135"/>
        <x:v>0</x:v>
      </x:c>
      <x:c r="I636" s="15">
        <x:v>60</x:v>
      </x:c>
      <x:c r="J636" s="3">
        <x:v>60</x:v>
      </x:c>
      <x:c r="K636" s="3">
        <x:v>29.423117999999999</x:v>
      </x:c>
      <x:c r="L636" s="2">
        <x:v>-0.1</x:v>
      </x:c>
      <x:c r="M636" s="1">
        <x:f t="shared" si="129"/>
        <x:v>1748.0222478642002</x:v>
      </x:c>
      <x:c r="N636" s="15">
        <x:f t="shared" si="130"/>
        <x:v>1.2797963158523837</x:v>
      </x:c>
      <x:c r="O636" s="1">
        <x:f t="shared" si="131"/>
        <x:v>2237.1124328446058</x:v>
      </x:c>
      <x:c r="P636" s="15">
        <x:f t="shared" si="132"/>
        <x:v>0</x:v>
      </x:c>
      <x:c r="Q636" s="15">
        <x:f t="shared" si="133"/>
        <x:v>0</x:v>
      </x:c>
      <x:c r="R636" s="15">
        <x:f t="shared" si="134"/>
        <x:v>2237.1124328446058</x:v>
      </x:c>
      <x:c r="S636" s="15">
        <x:f t="shared" si="127"/>
        <x:v>0</x:v>
      </x:c>
    </x:row>
    <x:row r="637" spans="1:19" outlineLevel="2">
      <x:c r="A637" s="12" t="s">
        <x:v>122</x:v>
      </x:c>
      <x:c r="B637" s="7" t="s">
        <x:v>80</x:v>
      </x:c>
      <x:c r="C637" s="6">
        <x:v>1827.59</x:v>
      </x:c>
      <x:c r="F637" s="6">
        <x:v>1827.59</x:v>
      </x:c>
      <x:c r="G637" s="1">
        <x:f t="shared" si="135"/>
        <x:v>0</x:v>
      </x:c>
      <x:c r="I637" s="15">
        <x:v>60</x:v>
      </x:c>
      <x:c r="J637" s="3">
        <x:v>60</x:v>
      </x:c>
      <x:c r="K637" s="3">
        <x:v>28.627683999999999</x:v>
      </x:c>
      <x:c r="L637" s="2">
        <x:v>-0.1</x:v>
      </x:c>
      <x:c r="M637" s="1">
        <x:f t="shared" si="129"/>
        <x:v>1051.1550683047335</x:v>
      </x:c>
      <x:c r="N637" s="15">
        <x:f t="shared" si="130"/>
        <x:v>1.2797963158523837</x:v>
      </x:c>
      <x:c r="O637" s="1">
        <x:f t="shared" si="131"/>
        <x:v>1345.2643838059587</x:v>
      </x:c>
      <x:c r="P637" s="15">
        <x:f t="shared" si="132"/>
        <x:v>0</x:v>
      </x:c>
      <x:c r="Q637" s="15">
        <x:f t="shared" si="133"/>
        <x:v>0</x:v>
      </x:c>
      <x:c r="R637" s="15">
        <x:f t="shared" si="134"/>
        <x:v>1345.2643838059587</x:v>
      </x:c>
      <x:c r="S637" s="15">
        <x:f t="shared" si="127"/>
        <x:v>0</x:v>
      </x:c>
    </x:row>
    <x:row r="638" spans="1:19" outlineLevel="2">
      <x:c r="A638" s="12" t="s">
        <x:v>122</x:v>
      </x:c>
      <x:c r="B638" s="7" t="s">
        <x:v>79</x:v>
      </x:c>
      <x:c r="C638" s="6">
        <x:v>550582.57999999996</x:v>
      </x:c>
      <x:c r="F638" s="6">
        <x:v>550582.57999999996</x:v>
      </x:c>
      <x:c r="G638" s="1">
        <x:f t="shared" si="135"/>
        <x:v>0</x:v>
      </x:c>
      <x:c r="I638" s="15">
        <x:v>60</x:v>
      </x:c>
      <x:c r="J638" s="3">
        <x:v>60</x:v>
      </x:c>
      <x:c r="K638" s="3">
        <x:v>27.840646</x:v>
      </x:c>
      <x:c r="L638" s="2">
        <x:v>-0.1</x:v>
      </x:c>
      <x:c r="M638" s="1">
        <x:f t="shared" ref="M638:M656" si="136">+C638*(1-K638/J638)*(1-L638)</x:f>
        <x:v>324616.96843497758</x:v>
      </x:c>
      <x:c r="N638" s="15">
        <x:f t="shared" si="130"/>
        <x:v>1.2797963158523837</x:v>
      </x:c>
      <x:c r="O638" s="1">
        <x:f t="shared" ref="O638:O656" si="137">IF((C638*(1-L638)-M638*N638)&lt;0,C638*(1-L638),M638*N638)</x:f>
        <x:v>415443.60026625387</x:v>
      </x:c>
      <x:c r="P638" s="15">
        <x:f t="shared" ref="P638:P656" si="138">+D638/$C638*$O638</x:f>
        <x:v>0</x:v>
      </x:c>
      <x:c r="Q638" s="15">
        <x:f t="shared" ref="Q638:Q656" si="139">+E638/$C638*$O638</x:f>
        <x:v>0</x:v>
      </x:c>
      <x:c r="R638" s="15">
        <x:f t="shared" ref="R638:R656" si="140">+F638/$C638*$O638</x:f>
        <x:v>415443.60026625387</x:v>
      </x:c>
      <x:c r="S638" s="15">
        <x:f t="shared" si="127"/>
        <x:v>0</x:v>
      </x:c>
    </x:row>
    <x:row r="639" spans="1:19" outlineLevel="2">
      <x:c r="A639" s="12" t="s">
        <x:v>122</x:v>
      </x:c>
      <x:c r="B639" s="7" t="s">
        <x:v>74</x:v>
      </x:c>
      <x:c r="C639" s="6">
        <x:v>72490.350000000006</x:v>
      </x:c>
      <x:c r="F639" s="6">
        <x:v>72490.350000000006</x:v>
      </x:c>
      <x:c r="G639" s="1">
        <x:f t="shared" si="135"/>
        <x:v>0</x:v>
      </x:c>
      <x:c r="J639" s="3">
        <x:v>60</x:v>
      </x:c>
      <x:c r="K639" s="3">
        <x:v>24.047625</x:v>
      </x:c>
      <x:c r="L639" s="2">
        <x:v>-0.1</x:v>
      </x:c>
      <x:c r="M639" s="1">
        <x:f t="shared" si="136"/>
        <x:v>47780.337863156252</x:v>
      </x:c>
      <x:c r="N639" s="15">
        <x:f t="shared" si="130"/>
        <x:v>1.2797963158523837</x:v>
      </x:c>
      <x:c r="O639" s="1">
        <x:f t="shared" si="137"/>
        <x:v>61149.10036744953</x:v>
      </x:c>
      <x:c r="P639" s="15">
        <x:f t="shared" si="138"/>
        <x:v>0</x:v>
      </x:c>
      <x:c r="Q639" s="15">
        <x:f t="shared" si="139"/>
        <x:v>0</x:v>
      </x:c>
      <x:c r="R639" s="15">
        <x:f t="shared" si="140"/>
        <x:v>61149.10036744953</x:v>
      </x:c>
      <x:c r="S639" s="15">
        <x:f t="shared" si="127"/>
        <x:v>0</x:v>
      </x:c>
    </x:row>
    <x:row r="640" spans="1:19" outlineLevel="2">
      <x:c r="A640" s="12" t="s">
        <x:v>122</x:v>
      </x:c>
      <x:c r="B640" s="7" t="s">
        <x:v>73</x:v>
      </x:c>
      <x:c r="C640" s="6">
        <x:v>1988490.15</x:v>
      </x:c>
      <x:c r="F640" s="6">
        <x:v>1988490.15</x:v>
      </x:c>
      <x:c r="G640" s="1">
        <x:f t="shared" si="135"/>
        <x:v>0</x:v>
      </x:c>
      <x:c r="J640" s="3">
        <x:v>60</x:v>
      </x:c>
      <x:c r="K640" s="3">
        <x:v>23.318372</x:v>
      </x:c>
      <x:c r="L640" s="2">
        <x:v>-0.1</x:v>
      </x:c>
      <x:c r="M640" s="1">
        <x:f t="shared" si="136"/>
        <x:v>1337252.6926726771</x:v>
      </x:c>
      <x:c r="N640" s="15">
        <x:f t="shared" si="130"/>
        <x:v>1.2797963158523837</x:v>
      </x:c>
      <x:c r="O640" s="1">
        <x:f t="shared" si="137"/>
        <x:v>1711411.0694461721</x:v>
      </x:c>
      <x:c r="P640" s="15">
        <x:f t="shared" si="138"/>
        <x:v>0</x:v>
      </x:c>
      <x:c r="Q640" s="15">
        <x:f t="shared" si="139"/>
        <x:v>0</x:v>
      </x:c>
      <x:c r="R640" s="15">
        <x:f t="shared" si="140"/>
        <x:v>1711411.0694461721</x:v>
      </x:c>
      <x:c r="S640" s="15">
        <x:f t="shared" si="127"/>
        <x:v>0</x:v>
      </x:c>
    </x:row>
    <x:row r="641" spans="1:19" outlineLevel="2">
      <x:c r="A641" s="12" t="s">
        <x:v>122</x:v>
      </x:c>
      <x:c r="B641" s="7" t="s">
        <x:v>71</x:v>
      </x:c>
      <x:c r="C641" s="6">
        <x:v>2348.7600000000002</x:v>
      </x:c>
      <x:c r="F641" s="6">
        <x:v>2348.7600000000002</x:v>
      </x:c>
      <x:c r="G641" s="1">
        <x:f t="shared" si="135"/>
        <x:v>0</x:v>
      </x:c>
      <x:c r="J641" s="3">
        <x:v>60</x:v>
      </x:c>
      <x:c r="K641" s="3">
        <x:v>21.892720000000001</x:v>
      </x:c>
      <x:c r="L641" s="2">
        <x:v>-0.1</x:v>
      </x:c>
      <x:c r="M641" s="1">
        <x:f t="shared" si="136"/>
        <x:v>1640.9223411680005</x:v>
      </x:c>
      <x:c r="N641" s="15">
        <x:f t="shared" si="130"/>
        <x:v>1.2797963158523837</x:v>
      </x:c>
      <x:c r="O641" s="1">
        <x:f t="shared" si="137"/>
        <x:v>2100.0463668266752</x:v>
      </x:c>
      <x:c r="P641" s="15">
        <x:f t="shared" si="138"/>
        <x:v>0</x:v>
      </x:c>
      <x:c r="Q641" s="15">
        <x:f t="shared" si="139"/>
        <x:v>0</x:v>
      </x:c>
      <x:c r="R641" s="15">
        <x:f t="shared" si="140"/>
        <x:v>2100.0463668266752</x:v>
      </x:c>
      <x:c r="S641" s="15">
        <x:f t="shared" si="127"/>
        <x:v>0</x:v>
      </x:c>
    </x:row>
    <x:row r="642" spans="1:19" outlineLevel="2">
      <x:c r="A642" s="12" t="s">
        <x:v>122</x:v>
      </x:c>
      <x:c r="B642" s="7" t="s">
        <x:v>69</x:v>
      </x:c>
      <x:c r="C642" s="6">
        <x:v>2114.83</x:v>
      </x:c>
      <x:c r="F642" s="6">
        <x:v>2114.83</x:v>
      </x:c>
      <x:c r="G642" s="1">
        <x:f t="shared" si="135"/>
        <x:v>0</x:v>
      </x:c>
      <x:c r="J642" s="3">
        <x:v>60</x:v>
      </x:c>
      <x:c r="K642" s="3">
        <x:v>20.511156</x:v>
      </x:c>
      <x:c r="L642" s="2">
        <x:v>-0.1</x:v>
      </x:c>
      <x:c r="M642" s="1">
        <x:f t="shared" si="136"/>
        <x:v>1531.0568525362003</x:v>
      </x:c>
      <x:c r="N642" s="15">
        <x:f t="shared" si="130"/>
        <x:v>1.2797963158523837</x:v>
      </x:c>
      <x:c r="O642" s="1">
        <x:f t="shared" si="137"/>
        <x:v>1959.4409192363755</x:v>
      </x:c>
      <x:c r="P642" s="15">
        <x:f t="shared" si="138"/>
        <x:v>0</x:v>
      </x:c>
      <x:c r="Q642" s="15">
        <x:f t="shared" si="139"/>
        <x:v>0</x:v>
      </x:c>
      <x:c r="R642" s="15">
        <x:f t="shared" si="140"/>
        <x:v>1959.4409192363755</x:v>
      </x:c>
      <x:c r="S642" s="15">
        <x:f t="shared" si="127"/>
        <x:v>0</x:v>
      </x:c>
    </x:row>
    <x:row r="643" spans="1:19" outlineLevel="2">
      <x:c r="A643" s="12" t="s">
        <x:v>122</x:v>
      </x:c>
      <x:c r="B643" s="7" t="s">
        <x:v>68</x:v>
      </x:c>
      <x:c r="C643" s="6">
        <x:v>777003.48</x:v>
      </x:c>
      <x:c r="F643" s="6">
        <x:v>777003.48</x:v>
      </x:c>
      <x:c r="G643" s="1">
        <x:f t="shared" si="135"/>
        <x:v>0</x:v>
      </x:c>
      <x:c r="J643" s="3">
        <x:v>60</x:v>
      </x:c>
      <x:c r="K643" s="3">
        <x:v>19.838592999999999</x:v>
      </x:c>
      <x:c r="L643" s="2">
        <x:v>-0.1</x:v>
      </x:c>
      <x:c r="M643" s="1">
        <x:f t="shared" si="136"/>
        <x:v>572101.80501276662</x:v>
      </x:c>
      <x:c r="N643" s="15">
        <x:f t="shared" si="130"/>
        <x:v>1.2797963158523837</x:v>
      </x:c>
      <x:c r="O643" s="1">
        <x:f t="shared" si="137"/>
        <x:v>732173.78234783758</x:v>
      </x:c>
      <x:c r="P643" s="15">
        <x:f t="shared" si="138"/>
        <x:v>0</x:v>
      </x:c>
      <x:c r="Q643" s="15">
        <x:f t="shared" si="139"/>
        <x:v>0</x:v>
      </x:c>
      <x:c r="R643" s="15">
        <x:f t="shared" si="140"/>
        <x:v>732173.78234783758</x:v>
      </x:c>
      <x:c r="S643" s="15">
        <x:f t="shared" si="127"/>
        <x:v>0</x:v>
      </x:c>
    </x:row>
    <x:row r="644" spans="1:19" outlineLevel="2">
      <x:c r="A644" s="12" t="s">
        <x:v>122</x:v>
      </x:c>
      <x:c r="B644" s="7" t="s">
        <x:v>67</x:v>
      </x:c>
      <x:c r="C644" s="6">
        <x:v>644100.78</x:v>
      </x:c>
      <x:c r="F644" s="6">
        <x:v>644100.78</x:v>
      </x:c>
      <x:c r="G644" s="1">
        <x:f t="shared" si="135"/>
        <x:v>0</x:v>
      </x:c>
      <x:c r="J644" s="3">
        <x:v>60</x:v>
      </x:c>
      <x:c r="K644" s="3">
        <x:v>19.177617000000001</x:v>
      </x:c>
      <x:c r="L644" s="2">
        <x:v>-0.1</x:v>
      </x:c>
      <x:c r="M644" s="1">
        <x:f t="shared" si="136"/>
        <x:v>482051.693415577</x:v>
      </x:c>
      <x:c r="N644" s="15">
        <x:f t="shared" si="130"/>
        <x:v>1.2797963158523837</x:v>
      </x:c>
      <x:c r="O644" s="1">
        <x:f t="shared" si="137"/>
        <x:v>616927.98128365818</x:v>
      </x:c>
      <x:c r="P644" s="15">
        <x:f t="shared" si="138"/>
        <x:v>0</x:v>
      </x:c>
      <x:c r="Q644" s="15">
        <x:f t="shared" si="139"/>
        <x:v>0</x:v>
      </x:c>
      <x:c r="R644" s="15">
        <x:f t="shared" si="140"/>
        <x:v>616927.98128365818</x:v>
      </x:c>
      <x:c r="S644" s="15">
        <x:f t="shared" si="127"/>
        <x:v>0</x:v>
      </x:c>
    </x:row>
    <x:row r="645" spans="1:19" outlineLevel="2">
      <x:c r="A645" s="12" t="s">
        <x:v>122</x:v>
      </x:c>
      <x:c r="B645" s="7" t="s">
        <x:v>65</x:v>
      </x:c>
      <x:c r="C645" s="6">
        <x:v>-775.71</x:v>
      </x:c>
      <x:c r="F645" s="6">
        <x:v>-775.71</x:v>
      </x:c>
      <x:c r="G645" s="1">
        <x:f t="shared" si="135"/>
        <x:v>0</x:v>
      </x:c>
      <x:c r="J645" s="3">
        <x:v>60</x:v>
      </x:c>
      <x:c r="K645" s="3">
        <x:v>18.225583</x:v>
      </x:c>
      <x:c r="L645" s="2">
        <x:v>-0.1</x:v>
      </x:c>
      <x:c r="M645" s="1">
        <x:f t="shared" si="136"/>
        <x:v>-594.08860520295002</x:v>
      </x:c>
      <x:c r="N645" s="15">
        <x:f t="shared" si="130"/>
        <x:v>1.2797963158523837</x:v>
      </x:c>
      <x:c r="O645" s="1">
        <x:f t="shared" si="137"/>
        <x:v>-853.28100000000006</x:v>
      </x:c>
      <x:c r="P645" s="15">
        <x:f t="shared" si="138"/>
        <x:v>0</x:v>
      </x:c>
      <x:c r="Q645" s="15">
        <x:f t="shared" si="139"/>
        <x:v>0</x:v>
      </x:c>
      <x:c r="R645" s="15">
        <x:f t="shared" si="140"/>
        <x:v>-853.28100000000006</x:v>
      </x:c>
      <x:c r="S645" s="15">
        <x:f t="shared" si="127"/>
        <x:v>0</x:v>
      </x:c>
    </x:row>
    <x:row r="646" spans="1:19" outlineLevel="2">
      <x:c r="A646" s="12" t="s">
        <x:v>122</x:v>
      </x:c>
      <x:c r="B646" s="7" t="s">
        <x:v>64</x:v>
      </x:c>
      <x:c r="C646" s="6">
        <x:v>618616.43000000005</x:v>
      </x:c>
      <x:c r="F646" s="6">
        <x:v>618616.43000000005</x:v>
      </x:c>
      <x:c r="G646" s="1">
        <x:f t="shared" si="135"/>
        <x:v>0</x:v>
      </x:c>
      <x:c r="J646" s="3">
        <x:v>60</x:v>
      </x:c>
      <x:c r="K646" s="3">
        <x:v>17.273548999999999</x:v>
      </x:c>
      <x:c r="L646" s="2">
        <x:v>-0.1</x:v>
      </x:c>
      <x:c r="M646" s="1">
        <x:f t="shared" si="136"/>
        <x:v>484573.55071014876</x:v>
      </x:c>
      <x:c r="N646" s="15">
        <x:f t="shared" si="130"/>
        <x:v>1.2797963158523837</x:v>
      </x:c>
      <x:c r="O646" s="1">
        <x:f t="shared" si="137"/>
        <x:v>620155.44495835667</x:v>
      </x:c>
      <x:c r="P646" s="15">
        <x:f t="shared" si="138"/>
        <x:v>0</x:v>
      </x:c>
      <x:c r="Q646" s="15">
        <x:f t="shared" si="139"/>
        <x:v>0</x:v>
      </x:c>
      <x:c r="R646" s="15">
        <x:f t="shared" si="140"/>
        <x:v>620155.44495835667</x:v>
      </x:c>
      <x:c r="S646" s="15">
        <x:f t="shared" si="127"/>
        <x:v>0</x:v>
      </x:c>
    </x:row>
    <x:row r="647" spans="1:19" outlineLevel="2">
      <x:c r="A647" s="12" t="s">
        <x:v>122</x:v>
      </x:c>
      <x:c r="B647" s="7" t="s">
        <x:v>63</x:v>
      </x:c>
      <x:c r="C647" s="6">
        <x:v>637834.56000000006</x:v>
      </x:c>
      <x:c r="F647" s="6">
        <x:v>637834.56000000006</x:v>
      </x:c>
      <x:c r="G647" s="1">
        <x:f t="shared" si="135"/>
        <x:v>0</x:v>
      </x:c>
      <x:c r="J647" s="3">
        <x:v>60</x:v>
      </x:c>
      <x:c r="K647" s="3">
        <x:v>16.66611</x:v>
      </x:c>
      <x:c r="L647" s="2">
        <x:v>-0.1</x:v>
      </x:c>
      <x:c r="M647" s="1">
        <x:f t="shared" si="136"/>
        <x:v>506730.63212270406</x:v>
      </x:c>
      <x:c r="N647" s="15">
        <x:f t="shared" si="130"/>
        <x:v>1.2797963158523837</x:v>
      </x:c>
      <x:c r="O647" s="1">
        <x:f t="shared" si="137"/>
        <x:v>648511.99612018629</x:v>
      </x:c>
      <x:c r="P647" s="15">
        <x:f t="shared" si="138"/>
        <x:v>0</x:v>
      </x:c>
      <x:c r="Q647" s="15">
        <x:f t="shared" si="139"/>
        <x:v>0</x:v>
      </x:c>
      <x:c r="R647" s="15">
        <x:f t="shared" si="140"/>
        <x:v>648511.99612018629</x:v>
      </x:c>
      <x:c r="S647" s="15">
        <x:f t="shared" si="127"/>
        <x:v>0</x:v>
      </x:c>
    </x:row>
    <x:row r="648" spans="1:19" outlineLevel="2">
      <x:c r="A648" s="12" t="s">
        <x:v>122</x:v>
      </x:c>
      <x:c r="B648" s="7" t="s">
        <x:v>62</x:v>
      </x:c>
      <x:c r="C648" s="6">
        <x:v>858375.01</x:v>
      </x:c>
      <x:c r="F648" s="6">
        <x:v>858375.01</x:v>
      </x:c>
      <x:c r="G648" s="1">
        <x:f t="shared" si="135"/>
        <x:v>0</x:v>
      </x:c>
      <x:c r="J648" s="3">
        <x:v>60</x:v>
      </x:c>
      <x:c r="K648" s="3">
        <x:v>16.073336999999999</x:v>
      </x:c>
      <x:c r="L648" s="2">
        <x:v>-0.1</x:v>
      </x:c>
      <x:c r="M648" s="1">
        <x:f t="shared" si="136"/>
        <x:v>691268.41285134677</x:v>
      </x:c>
      <x:c r="N648" s="15">
        <x:f t="shared" si="130"/>
        <x:v>1.2797963158523837</x:v>
      </x:c>
      <x:c r="O648" s="1">
        <x:f t="shared" si="137"/>
        <x:v>884682.76803227817</x:v>
      </x:c>
      <x:c r="P648" s="15">
        <x:f t="shared" si="138"/>
        <x:v>0</x:v>
      </x:c>
      <x:c r="Q648" s="15">
        <x:f t="shared" si="139"/>
        <x:v>0</x:v>
      </x:c>
      <x:c r="R648" s="15">
        <x:f t="shared" si="140"/>
        <x:v>884682.76803227817</x:v>
      </x:c>
      <x:c r="S648" s="15">
        <x:f t="shared" si="127"/>
        <x:v>0</x:v>
      </x:c>
    </x:row>
    <x:row r="649" spans="1:19" outlineLevel="2">
      <x:c r="A649" s="12" t="s">
        <x:v>122</x:v>
      </x:c>
      <x:c r="B649" s="7" t="s">
        <x:v>61</x:v>
      </x:c>
      <x:c r="C649" s="6">
        <x:v>391474.76999999996</x:v>
      </x:c>
      <x:c r="F649" s="6">
        <x:v>391474.76999999996</x:v>
      </x:c>
      <x:c r="G649" s="1">
        <x:f t="shared" si="135"/>
        <x:v>0</x:v>
      </x:c>
      <x:c r="J649" s="3">
        <x:v>60</x:v>
      </x:c>
      <x:c r="K649" s="3">
        <x:v>15.494424</x:v>
      </x:c>
      <x:c r="L649" s="2">
        <x:v>-0.1</x:v>
      </x:c>
      <x:c r="M649" s="1">
        <x:f t="shared" si="136"/>
        <x:v>319418.18568582117</x:v>
      </x:c>
      <x:c r="N649" s="15">
        <x:f t="shared" si="130"/>
        <x:v>1.2797963158523837</x:v>
      </x:c>
      <x:c r="O649" s="1">
        <x:f t="shared" si="137"/>
        <x:v>408790.21725696657</x:v>
      </x:c>
      <x:c r="P649" s="15">
        <x:f t="shared" si="138"/>
        <x:v>0</x:v>
      </x:c>
      <x:c r="Q649" s="15">
        <x:f t="shared" si="139"/>
        <x:v>0</x:v>
      </x:c>
      <x:c r="R649" s="15">
        <x:f t="shared" si="140"/>
        <x:v>408790.21725696657</x:v>
      </x:c>
      <x:c r="S649" s="15">
        <x:f t="shared" si="127"/>
        <x:v>0</x:v>
      </x:c>
    </x:row>
    <x:row r="650" spans="1:19" outlineLevel="2">
      <x:c r="A650" s="12" t="s">
        <x:v>122</x:v>
      </x:c>
      <x:c r="B650" s="7" t="s">
        <x:v>60</x:v>
      </x:c>
      <x:c r="C650" s="6">
        <x:v>500358.09</x:v>
      </x:c>
      <x:c r="F650" s="6">
        <x:v>500358.09</x:v>
      </x:c>
      <x:c r="G650" s="1">
        <x:f t="shared" si="135"/>
        <x:v>0</x:v>
      </x:c>
      <x:c r="J650" s="3">
        <x:v>60</x:v>
      </x:c>
      <x:c r="K650" s="3">
        <x:v>14.930831</x:v>
      </x:c>
      <x:c r="L650" s="2">
        <x:v>-0.1</x:v>
      </x:c>
      <x:c r="M650" s="1">
        <x:f t="shared" si="136"/>
        <x:v>413429.9275099989</x:v>
      </x:c>
      <x:c r="N650" s="15">
        <x:f t="shared" si="130"/>
        <x:v>1.2797963158523837</x:v>
      </x:c>
      <x:c r="O650" s="1">
        <x:f t="shared" si="137"/>
        <x:v>529106.09809041466</x:v>
      </x:c>
      <x:c r="P650" s="15">
        <x:f t="shared" si="138"/>
        <x:v>0</x:v>
      </x:c>
      <x:c r="Q650" s="15">
        <x:f t="shared" si="139"/>
        <x:v>0</x:v>
      </x:c>
      <x:c r="R650" s="15">
        <x:f t="shared" si="140"/>
        <x:v>529106.09809041466</x:v>
      </x:c>
      <x:c r="S650" s="15">
        <x:f t="shared" si="127"/>
        <x:v>0</x:v>
      </x:c>
    </x:row>
    <x:row r="651" spans="1:19" outlineLevel="2">
      <x:c r="A651" s="12" t="s">
        <x:v>122</x:v>
      </x:c>
      <x:c r="B651" s="7" t="s">
        <x:v>58</x:v>
      </x:c>
      <x:c r="C651" s="6">
        <x:v>716648.39</x:v>
      </x:c>
      <x:c r="F651" s="6">
        <x:v>716648.39</x:v>
      </x:c>
      <x:c r="G651" s="1">
        <x:f t="shared" si="135"/>
        <x:v>0</x:v>
      </x:c>
      <x:c r="J651" s="3">
        <x:v>60</x:v>
      </x:c>
      <x:c r="K651" s="3">
        <x:v>13.332444000000001</x:v>
      </x:c>
      <x:c r="L651" s="2">
        <x:v>-0.1</x:v>
      </x:c>
      <x:c r="M651" s="1">
        <x:f t="shared" si="136"/>
        <x:v>613144.19599830534</x:v>
      </x:c>
      <x:c r="N651" s="15">
        <x:f t="shared" si="130"/>
        <x:v>1.2797963158523837</x:v>
      </x:c>
      <x:c r="O651" s="1">
        <x:f t="shared" si="137"/>
        <x:v>784699.68312490301</x:v>
      </x:c>
      <x:c r="P651" s="15">
        <x:f t="shared" si="138"/>
        <x:v>0</x:v>
      </x:c>
      <x:c r="Q651" s="15">
        <x:f t="shared" si="139"/>
        <x:v>0</x:v>
      </x:c>
      <x:c r="R651" s="15">
        <x:f t="shared" si="140"/>
        <x:v>784699.68312490301</x:v>
      </x:c>
      <x:c r="S651" s="15">
        <x:f t="shared" si="127"/>
        <x:v>0</x:v>
      </x:c>
    </x:row>
    <x:row r="652" spans="1:19" outlineLevel="2">
      <x:c r="A652" s="12" t="s">
        <x:v>122</x:v>
      </x:c>
      <x:c r="B652" s="7" t="s">
        <x:v>57</x:v>
      </x:c>
      <x:c r="C652" s="6">
        <x:v>879.57</x:v>
      </x:c>
      <x:c r="F652" s="6">
        <x:v>879.57</x:v>
      </x:c>
      <x:c r="G652" s="1">
        <x:f t="shared" si="135"/>
        <x:v>0</x:v>
      </x:c>
      <x:c r="J652" s="3">
        <x:v>60</x:v>
      </x:c>
      <x:c r="K652" s="3">
        <x:v>11.422666</x:v>
      </x:c>
      <x:c r="L652" s="2">
        <x:v>-0.1</x:v>
      </x:c>
      <x:c r="M652" s="1">
        <x:f t="shared" si="136"/>
        <x:v>783.33137055030022</x:v>
      </x:c>
      <x:c r="N652" s="15">
        <x:f t="shared" si="130"/>
        <x:v>1.2797963158523837</x:v>
      </x:c>
      <x:c r="O652" s="1">
        <x:f t="shared" si="137"/>
        <x:v>967.52700000000016</x:v>
      </x:c>
      <x:c r="P652" s="15">
        <x:f t="shared" si="138"/>
        <x:v>0</x:v>
      </x:c>
      <x:c r="Q652" s="15">
        <x:f t="shared" si="139"/>
        <x:v>0</x:v>
      </x:c>
      <x:c r="R652" s="15">
        <x:f t="shared" si="140"/>
        <x:v>967.52700000000016</x:v>
      </x:c>
      <x:c r="S652" s="15">
        <x:f t="shared" si="127"/>
        <x:v>0</x:v>
      </x:c>
    </x:row>
    <x:row r="653" spans="1:19" outlineLevel="2">
      <x:c r="A653" s="12" t="s">
        <x:v>122</x:v>
      </x:c>
      <x:c r="B653" s="7" t="s">
        <x:v>53</x:v>
      </x:c>
      <x:c r="C653" s="6">
        <x:v>286636.52</x:v>
      </x:c>
      <x:c r="F653" s="6">
        <x:v>286636.52</x:v>
      </x:c>
      <x:c r="J653" s="3">
        <x:v>60</x:v>
      </x:c>
      <x:c r="K653" s="3">
        <x:v>17.832079</x:v>
      </x:c>
      <x:c r="L653" s="2">
        <x:v>-0.1</x:v>
      </x:c>
      <x:c r="M653" s="1">
        <x:f t="shared" si="136"/>
        <x:v>221592.54573637355</x:v>
      </x:c>
      <x:c r="N653" s="1">
        <x:v>1.2797963158523837</x:v>
      </x:c>
      <x:c r="O653" s="1">
        <x:f t="shared" si="137"/>
        <x:v>283593.3236537617</x:v>
      </x:c>
      <x:c r="P653" s="16">
        <x:f t="shared" si="138"/>
        <x:v>0</x:v>
      </x:c>
      <x:c r="Q653" s="16">
        <x:f t="shared" si="139"/>
        <x:v>0</x:v>
      </x:c>
      <x:c r="R653" s="16">
        <x:f t="shared" si="140"/>
        <x:v>283593.3236537617</x:v>
      </x:c>
      <x:c r="S653" s="16">
        <x:f t="shared" si="127"/>
        <x:v>0</x:v>
      </x:c>
    </x:row>
    <x:row r="654" spans="1:19" outlineLevel="2">
      <x:c r="A654" s="12" t="s">
        <x:v>122</x:v>
      </x:c>
      <x:c r="B654" s="7" t="s">
        <x:v>52</x:v>
      </x:c>
      <x:c r="C654" s="6">
        <x:v>296026.21000000002</x:v>
      </x:c>
      <x:c r="F654" s="6">
        <x:v>296026.21000000002</x:v>
      </x:c>
      <x:c r="J654" s="3">
        <x:v>60</x:v>
      </x:c>
      <x:c r="K654" s="3">
        <x:v>10.984548</x:v>
      </x:c>
      <x:c r="L654" s="2">
        <x:v>-0.1</x:v>
      </x:c>
      <x:c r="M654" s="1">
        <x:f t="shared" si="136"/>
        <x:v>266014.07226161024</x:v>
      </x:c>
      <x:c r="N654" s="1">
        <x:v>1.2309345212788354</x:v>
      </x:c>
      <x:c r="O654" s="1">
        <x:f t="shared" si="137"/>
        <x:v>325628.83100000006</x:v>
      </x:c>
      <x:c r="P654" s="16">
        <x:f t="shared" si="138"/>
        <x:v>0</x:v>
      </x:c>
      <x:c r="Q654" s="16">
        <x:f t="shared" si="139"/>
        <x:v>0</x:v>
      </x:c>
      <x:c r="R654" s="16">
        <x:f t="shared" si="140"/>
        <x:v>325628.83100000006</x:v>
      </x:c>
      <x:c r="S654" s="16">
        <x:f t="shared" si="127"/>
        <x:v>0</x:v>
      </x:c>
    </x:row>
    <x:row r="655" spans="1:19" outlineLevel="2">
      <x:c r="A655" s="12" t="s">
        <x:v>122</x:v>
      </x:c>
      <x:c r="B655" s="7" t="s">
        <x:v>31</x:v>
      </x:c>
      <x:c r="C655" s="6">
        <x:v>32.799999999999997</x:v>
      </x:c>
      <x:c r="F655" s="6">
        <x:v>32.799999999999997</x:v>
      </x:c>
      <x:c r="J655" s="3">
        <x:v>60</x:v>
      </x:c>
      <x:c r="K655" s="3">
        <x:v>4.4328519999999996</x:v>
      </x:c>
      <x:c r="L655" s="2">
        <x:v>-0.1</x:v>
      </x:c>
      <x:c r="M655" s="1">
        <x:f t="shared" si="136"/>
        <x:v>33.414378330666672</x:v>
      </x:c>
      <x:c r="N655" s="1">
        <x:v>1.2309345212788354</x:v>
      </x:c>
      <x:c r="O655" s="1">
        <x:f t="shared" si="137"/>
        <x:v>36.08</x:v>
      </x:c>
      <x:c r="P655" s="16">
        <x:f t="shared" si="138"/>
        <x:v>0</x:v>
      </x:c>
      <x:c r="Q655" s="16">
        <x:f t="shared" si="139"/>
        <x:v>0</x:v>
      </x:c>
      <x:c r="R655" s="16">
        <x:f t="shared" si="140"/>
        <x:v>36.08</x:v>
      </x:c>
      <x:c r="S655" s="16">
        <x:f t="shared" si="127"/>
        <x:v>0</x:v>
      </x:c>
    </x:row>
    <x:row r="656" spans="1:19" outlineLevel="2">
      <x:c r="A656" s="12" t="s">
        <x:v>122</x:v>
      </x:c>
      <x:c r="B656" s="7" t="s">
        <x:v>116</x:v>
      </x:c>
      <x:c r="C656" s="6">
        <x:v>2859.34</x:v>
      </x:c>
      <x:c r="F656" s="6">
        <x:v>2859.34</x:v>
      </x:c>
      <x:c r="J656" s="3">
        <x:v>60</x:v>
      </x:c>
      <x:c r="K656" s="3">
        <x:v>0</x:v>
      </x:c>
      <x:c r="L656" s="2">
        <x:v>-0.1</x:v>
      </x:c>
      <x:c r="M656" s="1">
        <x:f t="shared" si="136"/>
        <x:v>3145.2740000000003</x:v>
      </x:c>
      <x:c r="N656" s="1">
        <x:v>1.2309345212788354</x:v>
      </x:c>
      <x:c r="O656" s="1">
        <x:f t="shared" si="137"/>
        <x:v>3145.2740000000003</x:v>
      </x:c>
      <x:c r="P656" s="16">
        <x:f t="shared" si="138"/>
        <x:v>0</x:v>
      </x:c>
      <x:c r="Q656" s="16">
        <x:f t="shared" si="139"/>
        <x:v>0</x:v>
      </x:c>
      <x:c r="R656" s="16">
        <x:f t="shared" si="140"/>
        <x:v>3145.2740000000003</x:v>
      </x:c>
      <x:c r="S656" s="16">
        <x:f t="shared" si="127"/>
        <x:v>0</x:v>
      </x:c>
    </x:row>
    <x:row r="657" spans="1:19" outlineLevel="1">
      <x:c r="A657" s="5" t="s">
        <x:v>139</x:v>
      </x:c>
      <x:c r="C657" s="1">
        <x:f>SUBTOTAL(9,C606:C656)</x:f>
        <x:v>61796401.399999999</x:v>
      </x:c>
      <x:c r="D657" s="6">
        <x:f>SUBTOTAL(9,D606:D652)</x:f>
        <x:v>0</x:v>
      </x:c>
      <x:c r="E657" s="6">
        <x:f>SUBTOTAL(9,E606:E652)</x:f>
        <x:v>0</x:v>
      </x:c>
      <x:c r="F657" s="15">
        <x:f t="shared" ref="F657:M657" si="141">SUBTOTAL(9,F606:F656)</x:f>
        <x:v>61796401.399999999</x:v>
      </x:c>
      <x:c r="G657" s="15">
        <x:f t="shared" si="141"/>
        <x:v>0</x:v>
      </x:c>
      <x:c r="J657" s="15"/>
      <x:c r="K657" s="15"/>
      <x:c r="L657" s="15"/>
      <x:c r="M657" s="15">
        <x:f t="shared" si="141"/>
        <x:v>20166559.688637942</x:v>
      </x:c>
      <x:c r="N657" s="1">
        <x:v>24828550.92076407</x:v>
      </x:c>
      <x:c r="O657" s="15">
        <x:f t="shared" ref="O657:S657" si="142">SUBTOTAL(9,O606:O656)</x:f>
        <x:v>24828550.920764096</x:v>
      </x:c>
      <x:c r="P657" s="15">
        <x:f t="shared" si="142"/>
        <x:v>0</x:v>
      </x:c>
      <x:c r="Q657" s="15">
        <x:f t="shared" si="142"/>
        <x:v>0</x:v>
      </x:c>
      <x:c r="R657" s="15">
        <x:f t="shared" si="142"/>
        <x:v>24828550.920764096</x:v>
      </x:c>
      <x:c r="S657" s="15">
        <x:f t="shared" si="142"/>
        <x:v>0</x:v>
      </x:c>
    </x:row>
    <x:row r="658" spans="1:19" outlineLevel="2">
      <x:c r="A658" s="12" t="s">
        <x:v>123</x:v>
      </x:c>
      <x:c r="B658" s="13" t="s">
        <x:v>149</x:v>
      </x:c>
      <x:c r="C658" s="6">
        <x:v>10920554.120000001</x:v>
      </x:c>
      <x:c r="F658" s="6">
        <x:v>10920554.120000001</x:v>
      </x:c>
      <x:c r="G658" s="1">
        <x:f t="shared" ref="G658:G703" si="143">+C658-D658-E658-F658</x:f>
        <x:v>0</x:v>
      </x:c>
      <x:c r="J658" s="3">
        <x:v>60</x:v>
      </x:c>
      <x:c r="K658" s="3">
        <x:v>59.507708999999998</x:v>
      </x:c>
      <x:c r="L658" s="2">
        <x:v>-0.2</x:v>
      </x:c>
      <x:c r="M658" s="1">
        <x:f t="shared" ref="M658:M689" si="144">+C658*(1-K658/J658)*(1-L658)</x:f>
        <x:v>107521.81016577895</x:v>
      </x:c>
      <x:c r="N658" s="1">
        <x:f t="shared" ref="N658:N705" si="145">$N$706</x:f>
        <x:v>1.2312838252650236</x:v>
      </x:c>
      <x:c r="O658" s="1">
        <x:f t="shared" ref="O658:O689" si="146">IF((C658*(1-L658)-M658*N658)&lt;0,C658*(1-L658),M658*N658)</x:f>
        <x:v>132389.86572033999</x:v>
      </x:c>
      <x:c r="P658" s="15">
        <x:f t="shared" ref="P658:P689" si="147">+D658/$C658*$O658</x:f>
        <x:v>0</x:v>
      </x:c>
      <x:c r="Q658" s="15">
        <x:f t="shared" ref="Q658:Q689" si="148">+E658/$C658*$O658</x:f>
        <x:v>0</x:v>
      </x:c>
      <x:c r="R658" s="15">
        <x:f t="shared" ref="R658:R689" si="149">+F658/$C658*$O658</x:f>
        <x:v>132389.86572033999</x:v>
      </x:c>
      <x:c r="S658" s="15">
        <x:f t="shared" ref="S658:S689" si="150">+O658-P658-Q658-R658</x:f>
        <x:v>0</x:v>
      </x:c>
    </x:row>
    <x:row r="659" spans="1:19" outlineLevel="2">
      <x:c r="A659" s="12" t="s">
        <x:v>123</x:v>
      </x:c>
      <x:c r="B659" s="13" t="s">
        <x:v>150</x:v>
      </x:c>
      <x:c r="C659" s="6">
        <x:v>-37446.829999999994</x:v>
      </x:c>
      <x:c r="F659" s="6">
        <x:v>-37446.829999999994</x:v>
      </x:c>
      <x:c r="G659" s="1">
        <x:f t="shared" si="143"/>
        <x:v>0</x:v>
      </x:c>
      <x:c r="J659" s="3">
        <x:v>60</x:v>
      </x:c>
      <x:c r="K659" s="3">
        <x:v>58.524571999999999</x:v>
      </x:c>
      <x:c r="L659" s="2">
        <x:v>-0.2</x:v>
      </x:c>
      <x:c r="M659" s="1">
        <x:f t="shared" si="144"/>
        <x:v>-1105.0020298647987</x:v>
      </x:c>
      <x:c r="N659" s="1">
        <x:f t="shared" si="145"/>
        <x:v>1.2312838252650236</x:v>
      </x:c>
      <x:c r="O659" s="1">
        <x:f t="shared" si="146"/>
        <x:v>-44936.195999999989</x:v>
      </x:c>
      <x:c r="P659" s="16">
        <x:f t="shared" si="147"/>
        <x:v>0</x:v>
      </x:c>
      <x:c r="Q659" s="16">
        <x:f t="shared" si="148"/>
        <x:v>0</x:v>
      </x:c>
      <x:c r="R659" s="16">
        <x:f t="shared" si="149"/>
        <x:v>-44936.195999999989</x:v>
      </x:c>
      <x:c r="S659" s="16">
        <x:f t="shared" si="150"/>
        <x:v>0</x:v>
      </x:c>
    </x:row>
    <x:row r="660" spans="1:19" outlineLevel="2">
      <x:c r="A660" s="12" t="s">
        <x:v>123</x:v>
      </x:c>
      <x:c r="B660" s="13" t="s">
        <x:v>151</x:v>
      </x:c>
      <x:c r="C660" s="6">
        <x:v>2131872.59</x:v>
      </x:c>
      <x:c r="F660" s="6">
        <x:v>2131872.59</x:v>
      </x:c>
      <x:c r="G660" s="1">
        <x:f t="shared" si="143"/>
        <x:v>0</x:v>
      </x:c>
      <x:c r="J660" s="3">
        <x:v>60</x:v>
      </x:c>
      <x:c r="K660" s="3">
        <x:v>57.543491000000003</x:v>
      </x:c>
      <x:c r="L660" s="2">
        <x:v>-0.2</x:v>
      </x:c>
      <x:c r="M660" s="1">
        <x:f t="shared" si="144"/>
        <x:v>104739.28408376609</x:v>
      </x:c>
      <x:c r="N660" s="1">
        <x:f t="shared" si="145"/>
        <x:v>1.2312838252650236</x:v>
      </x:c>
      <x:c r="O660" s="1">
        <x:f t="shared" si="146"/>
        <x:v>128963.78636217951</x:v>
      </x:c>
      <x:c r="P660" s="16">
        <x:f t="shared" si="147"/>
        <x:v>0</x:v>
      </x:c>
      <x:c r="Q660" s="16">
        <x:f t="shared" si="148"/>
        <x:v>0</x:v>
      </x:c>
      <x:c r="R660" s="16">
        <x:f t="shared" si="149"/>
        <x:v>128963.78636217951</x:v>
      </x:c>
      <x:c r="S660" s="16">
        <x:f t="shared" si="150"/>
        <x:v>0</x:v>
      </x:c>
    </x:row>
    <x:row r="661" spans="1:19" outlineLevel="2">
      <x:c r="A661" s="12" t="s">
        <x:v>123</x:v>
      </x:c>
      <x:c r="B661" s="13" t="s">
        <x:v>111</x:v>
      </x:c>
      <x:c r="C661" s="6">
        <x:v>5357721.8099999996</x:v>
      </x:c>
      <x:c r="F661" s="6">
        <x:v>5357721.8099999996</x:v>
      </x:c>
      <x:c r="G661" s="1">
        <x:f t="shared" si="143"/>
        <x:v>0</x:v>
      </x:c>
      <x:c r="J661" s="3">
        <x:v>60</x:v>
      </x:c>
      <x:c r="K661" s="3">
        <x:v>56.564810999999999</x:v>
      </x:c>
      <x:c r="L661" s="2">
        <x:v>-0.2</x:v>
      </x:c>
      <x:c r="M661" s="1">
        <x:f t="shared" si="144"/>
        <x:v>368095.74053544155</x:v>
      </x:c>
      <x:c r="N661" s="1">
        <x:f t="shared" si="145"/>
        <x:v>1.2312838252650236</x:v>
      </x:c>
      <x:c r="O661" s="1">
        <x:f t="shared" si="146"/>
        <x:v>453230.33147024008</x:v>
      </x:c>
      <x:c r="P661" s="16">
        <x:f t="shared" si="147"/>
        <x:v>0</x:v>
      </x:c>
      <x:c r="Q661" s="16">
        <x:f t="shared" si="148"/>
        <x:v>0</x:v>
      </x:c>
      <x:c r="R661" s="16">
        <x:f t="shared" si="149"/>
        <x:v>453230.33147024008</x:v>
      </x:c>
      <x:c r="S661" s="16">
        <x:f t="shared" si="150"/>
        <x:v>0</x:v>
      </x:c>
    </x:row>
    <x:row r="662" spans="1:19" outlineLevel="2">
      <x:c r="A662" s="12" t="s">
        <x:v>123</x:v>
      </x:c>
      <x:c r="B662" s="13" t="s">
        <x:v>110</x:v>
      </x:c>
      <x:c r="C662" s="6">
        <x:v>7310004.8500000006</x:v>
      </x:c>
      <x:c r="F662" s="6">
        <x:v>7310004.8500000006</x:v>
      </x:c>
      <x:c r="G662" s="1">
        <x:f t="shared" si="143"/>
        <x:v>0</x:v>
      </x:c>
      <x:c r="J662" s="3">
        <x:v>60</x:v>
      </x:c>
      <x:c r="K662" s="3">
        <x:v>55.588745000000003</x:v>
      </x:c>
      <x:c r="L662" s="2">
        <x:v>-0.2</x:v>
      </x:c>
      <x:c r="M662" s="1">
        <x:f t="shared" si="144"/>
        <x:v>644925.90889173455</x:v>
      </x:c>
      <x:c r="N662" s="1">
        <x:f t="shared" si="145"/>
        <x:v>1.2312838252650236</x:v>
      </x:c>
      <x:c r="O662" s="1">
        <x:f t="shared" si="146"/>
        <x:v>794086.84011273703</x:v>
      </x:c>
      <x:c r="P662" s="16">
        <x:f t="shared" si="147"/>
        <x:v>0</x:v>
      </x:c>
      <x:c r="Q662" s="16">
        <x:f t="shared" si="148"/>
        <x:v>0</x:v>
      </x:c>
      <x:c r="R662" s="16">
        <x:f t="shared" si="149"/>
        <x:v>794086.84011273703</x:v>
      </x:c>
      <x:c r="S662" s="16">
        <x:f t="shared" si="150"/>
        <x:v>0</x:v>
      </x:c>
    </x:row>
    <x:row r="663" spans="1:19" outlineLevel="2">
      <x:c r="A663" s="12" t="s">
        <x:v>123</x:v>
      </x:c>
      <x:c r="B663" s="13" t="s">
        <x:v>109</x:v>
      </x:c>
      <x:c r="C663" s="6">
        <x:v>5337759.2899999982</x:v>
      </x:c>
      <x:c r="F663" s="6">
        <x:v>5337759.2899999982</x:v>
      </x:c>
      <x:c r="G663" s="1">
        <x:f t="shared" si="143"/>
        <x:v>0</x:v>
      </x:c>
      <x:c r="J663" s="3">
        <x:v>60</x:v>
      </x:c>
      <x:c r="K663" s="3">
        <x:v>54.615321999999999</x:v>
      </x:c>
      <x:c r="L663" s="2">
        <x:v>-0.2</x:v>
      </x:c>
      <x:c r="M663" s="1">
        <x:f t="shared" si="144"/>
        <x:v>574842.30036317243</x:v>
      </x:c>
      <x:c r="N663" s="1">
        <x:f t="shared" si="145"/>
        <x:v>1.2312838252650236</x:v>
      </x:c>
      <x:c r="O663" s="1">
        <x:f t="shared" si="146"/>
        <x:v>707794.02651531261</x:v>
      </x:c>
      <x:c r="P663" s="16">
        <x:f t="shared" si="147"/>
        <x:v>0</x:v>
      </x:c>
      <x:c r="Q663" s="16">
        <x:f t="shared" si="148"/>
        <x:v>0</x:v>
      </x:c>
      <x:c r="R663" s="16">
        <x:f t="shared" si="149"/>
        <x:v>707794.02651531261</x:v>
      </x:c>
      <x:c r="S663" s="16">
        <x:f t="shared" si="150"/>
        <x:v>0</x:v>
      </x:c>
    </x:row>
    <x:row r="664" spans="1:19" outlineLevel="2">
      <x:c r="A664" s="12" t="s">
        <x:v>123</x:v>
      </x:c>
      <x:c r="B664" s="13" t="s">
        <x:v>108</x:v>
      </x:c>
      <x:c r="C664" s="6">
        <x:v>2471665.9900000002</x:v>
      </x:c>
      <x:c r="F664" s="6">
        <x:v>2471665.9900000002</x:v>
      </x:c>
      <x:c r="G664" s="1">
        <x:f t="shared" si="143"/>
        <x:v>0</x:v>
      </x:c>
      <x:c r="J664" s="3">
        <x:v>60</x:v>
      </x:c>
      <x:c r="K664" s="3">
        <x:v>53.644945</x:v>
      </x:c>
      <x:c r="L664" s="2">
        <x:v>-0.2</x:v>
      </x:c>
      <x:c r="M664" s="1">
        <x:f t="shared" si="144"/>
        <x:v>314151.46616158902</x:v>
      </x:c>
      <x:c r="N664" s="1">
        <x:f t="shared" si="145"/>
        <x:v>1.2312838252650236</x:v>
      </x:c>
      <x:c r="O664" s="1">
        <x:f t="shared" si="146"/>
        <x:v>386809.61896805692</x:v>
      </x:c>
      <x:c r="P664" s="15">
        <x:f t="shared" si="147"/>
        <x:v>0</x:v>
      </x:c>
      <x:c r="Q664" s="15">
        <x:f t="shared" si="148"/>
        <x:v>0</x:v>
      </x:c>
      <x:c r="R664" s="15">
        <x:f t="shared" si="149"/>
        <x:v>386809.61896805692</x:v>
      </x:c>
      <x:c r="S664" s="15">
        <x:f t="shared" si="150"/>
        <x:v>0</x:v>
      </x:c>
    </x:row>
    <x:row r="665" spans="1:19" outlineLevel="2">
      <x:c r="A665" s="12" t="s">
        <x:v>123</x:v>
      </x:c>
      <x:c r="B665" s="13" t="s">
        <x:v>107</x:v>
      </x:c>
      <x:c r="C665" s="6">
        <x:v>1714572.7999999998</x:v>
      </x:c>
      <x:c r="F665" s="6">
        <x:v>1714572.7999999998</x:v>
      </x:c>
      <x:c r="G665" s="1">
        <x:f t="shared" si="143"/>
        <x:v>0</x:v>
      </x:c>
      <x:c r="J665" s="3">
        <x:v>60</x:v>
      </x:c>
      <x:c r="K665" s="3">
        <x:v>52.677866999999999</x:v>
      </x:c>
      <x:c r="L665" s="2">
        <x:v>-0.2</x:v>
      </x:c>
      <x:c r="M665" s="1">
        <x:f t="shared" si="144"/>
        <x:v>251086.60159564795</x:v>
      </x:c>
      <x:c r="N665" s="1">
        <x:f t="shared" si="145"/>
        <x:v>1.2312838252650236</x:v>
      </x:c>
      <x:c r="O665" s="1">
        <x:f t="shared" si="146"/>
        <x:v>309158.87128548441</x:v>
      </x:c>
      <x:c r="P665" s="15">
        <x:f t="shared" si="147"/>
        <x:v>0</x:v>
      </x:c>
      <x:c r="Q665" s="15">
        <x:f t="shared" si="148"/>
        <x:v>0</x:v>
      </x:c>
      <x:c r="R665" s="15">
        <x:f t="shared" si="149"/>
        <x:v>309158.87128548441</x:v>
      </x:c>
      <x:c r="S665" s="15">
        <x:f t="shared" si="150"/>
        <x:v>0</x:v>
      </x:c>
    </x:row>
    <x:row r="666" spans="1:19" outlineLevel="2">
      <x:c r="A666" s="12" t="s">
        <x:v>123</x:v>
      </x:c>
      <x:c r="B666" s="13" t="s">
        <x:v>106</x:v>
      </x:c>
      <x:c r="C666" s="6">
        <x:v>1521121.2800000003</x:v>
      </x:c>
      <x:c r="F666" s="6">
        <x:v>1521121.2800000003</x:v>
      </x:c>
      <x:c r="G666" s="1">
        <x:f t="shared" si="143"/>
        <x:v>0</x:v>
      </x:c>
      <x:c r="J666" s="3">
        <x:v>60</x:v>
      </x:c>
      <x:c r="K666" s="3">
        <x:v>51.714063000000003</x:v>
      </x:c>
      <x:c r="L666" s="2">
        <x:v>-0.2</x:v>
      </x:c>
      <x:c r="M666" s="1">
        <x:f t="shared" si="144"/>
        <x:v>252078.30190878711</x:v>
      </x:c>
      <x:c r="N666" s="1">
        <x:f t="shared" si="145"/>
        <x:v>1.2312838252650236</x:v>
      </x:c>
      <x:c r="O666" s="1">
        <x:f t="shared" si="146"/>
        <x:v>310379.93584056286</x:v>
      </x:c>
      <x:c r="P666" s="15">
        <x:f t="shared" si="147"/>
        <x:v>0</x:v>
      </x:c>
      <x:c r="Q666" s="15">
        <x:f t="shared" si="148"/>
        <x:v>0</x:v>
      </x:c>
      <x:c r="R666" s="15">
        <x:f t="shared" si="149"/>
        <x:v>310379.93584056286</x:v>
      </x:c>
      <x:c r="S666" s="15">
        <x:f t="shared" si="150"/>
        <x:v>0</x:v>
      </x:c>
    </x:row>
    <x:row r="667" spans="1:19" outlineLevel="2">
      <x:c r="A667" s="12" t="s">
        <x:v>123</x:v>
      </x:c>
      <x:c r="B667" s="13" t="s">
        <x:v>105</x:v>
      </x:c>
      <x:c r="C667" s="6">
        <x:v>40993.990000000005</x:v>
      </x:c>
      <x:c r="F667" s="6">
        <x:v>40993.990000000005</x:v>
      </x:c>
      <x:c r="G667" s="1">
        <x:f t="shared" si="143"/>
        <x:v>0</x:v>
      </x:c>
      <x:c r="J667" s="3">
        <x:v>60</x:v>
      </x:c>
      <x:c r="K667" s="3">
        <x:v>50.754021999999999</x:v>
      </x:c>
      <x:c r="L667" s="2">
        <x:v>-0.2</x:v>
      </x:c>
      <x:c r="M667" s="1">
        <x:f t="shared" si="144"/>
        <x:v>7580.5905934443999</x:v>
      </x:c>
      <x:c r="N667" s="1">
        <x:f t="shared" si="145"/>
        <x:v>1.2312838252650236</x:v>
      </x:c>
      <x:c r="O667" s="1">
        <x:f t="shared" si="146"/>
        <x:v>9333.858583664276</x:v>
      </x:c>
      <x:c r="P667" s="15">
        <x:f t="shared" si="147"/>
        <x:v>0</x:v>
      </x:c>
      <x:c r="Q667" s="15">
        <x:f t="shared" si="148"/>
        <x:v>0</x:v>
      </x:c>
      <x:c r="R667" s="15">
        <x:f t="shared" si="149"/>
        <x:v>9333.858583664276</x:v>
      </x:c>
      <x:c r="S667" s="15">
        <x:f t="shared" si="150"/>
        <x:v>0</x:v>
      </x:c>
    </x:row>
    <x:row r="668" spans="1:19" outlineLevel="2">
      <x:c r="A668" s="12" t="s">
        <x:v>123</x:v>
      </x:c>
      <x:c r="B668" s="13" t="s">
        <x:v>104</x:v>
      </x:c>
      <x:c r="C668" s="6">
        <x:v>11712.6</x:v>
      </x:c>
      <x:c r="F668" s="6">
        <x:v>11712.6</x:v>
      </x:c>
      <x:c r="G668" s="1">
        <x:f t="shared" si="143"/>
        <x:v>0</x:v>
      </x:c>
      <x:c r="J668" s="3">
        <x:v>60</x:v>
      </x:c>
      <x:c r="K668" s="3">
        <x:v>49.798006999999998</x:v>
      </x:c>
      <x:c r="L668" s="2">
        <x:v>-0.2</x:v>
      </x:c>
      <x:c r="M668" s="1">
        <x:f t="shared" si="144"/>
        <x:v>2389.8372642360005</x:v>
      </x:c>
      <x:c r="N668" s="1">
        <x:f t="shared" si="145"/>
        <x:v>1.2312838252650236</x:v>
      </x:c>
      <x:c r="O668" s="1">
        <x:f t="shared" si="146"/>
        <x:v>2942.5679684694014</x:v>
      </x:c>
      <x:c r="P668" s="15">
        <x:f t="shared" si="147"/>
        <x:v>0</x:v>
      </x:c>
      <x:c r="Q668" s="15">
        <x:f t="shared" si="148"/>
        <x:v>0</x:v>
      </x:c>
      <x:c r="R668" s="15">
        <x:f t="shared" si="149"/>
        <x:v>2942.5679684694014</x:v>
      </x:c>
      <x:c r="S668" s="15">
        <x:f t="shared" si="150"/>
        <x:v>0</x:v>
      </x:c>
    </x:row>
    <x:row r="669" spans="1:19" outlineLevel="2">
      <x:c r="A669" s="12" t="s">
        <x:v>123</x:v>
      </x:c>
      <x:c r="B669" s="13" t="s">
        <x:v>103</x:v>
      </x:c>
      <x:c r="C669" s="6">
        <x:v>214233.29999999996</x:v>
      </x:c>
      <x:c r="F669" s="6">
        <x:v>214233.29999999996</x:v>
      </x:c>
      <x:c r="G669" s="1">
        <x:f t="shared" si="143"/>
        <x:v>0</x:v>
      </x:c>
      <x:c r="J669" s="3">
        <x:v>60</x:v>
      </x:c>
      <x:c r="K669" s="3">
        <x:v>48.845956999999999</x:v>
      </x:c>
      <x:c r="L669" s="2">
        <x:v>-0.2</x:v>
      </x:c>
      <x:c r="M669" s="1">
        <x:f t="shared" si="144"/>
        <x:v>47791.348804638008</x:v>
      </x:c>
      <x:c r="N669" s="1">
        <x:f t="shared" si="145"/>
        <x:v>1.2312838252650236</x:v>
      </x:c>
      <x:c r="O669" s="1">
        <x:f t="shared" si="146"/>
        <x:v>58844.714770749699</x:v>
      </x:c>
      <x:c r="P669" s="15">
        <x:f t="shared" si="147"/>
        <x:v>0</x:v>
      </x:c>
      <x:c r="Q669" s="15">
        <x:f t="shared" si="148"/>
        <x:v>0</x:v>
      </x:c>
      <x:c r="R669" s="15">
        <x:f t="shared" si="149"/>
        <x:v>58844.714770749699</x:v>
      </x:c>
      <x:c r="S669" s="15">
        <x:f t="shared" si="150"/>
        <x:v>0</x:v>
      </x:c>
    </x:row>
    <x:row r="670" spans="1:19" outlineLevel="2">
      <x:c r="A670" s="12" t="s">
        <x:v>123</x:v>
      </x:c>
      <x:c r="B670" s="13" t="s">
        <x:v>102</x:v>
      </x:c>
      <x:c r="C670" s="6">
        <x:v>764770.8</x:v>
      </x:c>
      <x:c r="F670" s="6">
        <x:v>764770.8</x:v>
      </x:c>
      <x:c r="G670" s="1">
        <x:f t="shared" si="143"/>
        <x:v>0</x:v>
      </x:c>
      <x:c r="J670" s="3">
        <x:v>60</x:v>
      </x:c>
      <x:c r="K670" s="3">
        <x:v>47.898415</x:v>
      </x:c>
      <x:c r="L670" s="2">
        <x:v>-0.2</x:v>
      </x:c>
      <x:c r="M670" s="1">
        <x:f t="shared" si="144"/>
        <x:v>185098.77683436003</x:v>
      </x:c>
      <x:c r="N670" s="1">
        <x:f t="shared" si="145"/>
        <x:v>1.2312838252650236</x:v>
      </x:c>
      <x:c r="O670" s="1">
        <x:f t="shared" si="146"/>
        <x:v>227909.12999248775</x:v>
      </x:c>
      <x:c r="P670" s="15">
        <x:f t="shared" si="147"/>
        <x:v>0</x:v>
      </x:c>
      <x:c r="Q670" s="15">
        <x:f t="shared" si="148"/>
        <x:v>0</x:v>
      </x:c>
      <x:c r="R670" s="15">
        <x:f t="shared" si="149"/>
        <x:v>227909.12999248775</x:v>
      </x:c>
      <x:c r="S670" s="15">
        <x:f t="shared" si="150"/>
        <x:v>0</x:v>
      </x:c>
    </x:row>
    <x:row r="671" spans="1:19" outlineLevel="2">
      <x:c r="A671" s="12" t="s">
        <x:v>123</x:v>
      </x:c>
      <x:c r="B671" s="13" t="s">
        <x:v>101</x:v>
      </x:c>
      <x:c r="C671" s="6">
        <x:v>886188.58</x:v>
      </x:c>
      <x:c r="F671" s="6">
        <x:v>886188.58</x:v>
      </x:c>
      <x:c r="G671" s="1">
        <x:f t="shared" si="143"/>
        <x:v>0</x:v>
      </x:c>
      <x:c r="J671" s="3">
        <x:v>60</x:v>
      </x:c>
      <x:c r="K671" s="3">
        <x:v>46.955655999999998</x:v>
      </x:c>
      <x:c r="L671" s="2">
        <x:v>-0.2</x:v>
      </x:c>
      <x:c r="M671" s="1">
        <x:f t="shared" si="144"/>
        <x:v>231194.97372783042</x:v>
      </x:c>
      <x:c r="N671" s="1">
        <x:f t="shared" si="145"/>
        <x:v>1.2312838252650236</x:v>
      </x:c>
      <x:c r="O671" s="1">
        <x:f t="shared" si="146"/>
        <x:v>284666.63163364964</x:v>
      </x:c>
      <x:c r="P671" s="15">
        <x:f t="shared" si="147"/>
        <x:v>0</x:v>
      </x:c>
      <x:c r="Q671" s="15">
        <x:f t="shared" si="148"/>
        <x:v>0</x:v>
      </x:c>
      <x:c r="R671" s="15">
        <x:f t="shared" si="149"/>
        <x:v>284666.63163364964</x:v>
      </x:c>
      <x:c r="S671" s="15">
        <x:f t="shared" si="150"/>
        <x:v>0</x:v>
      </x:c>
    </x:row>
    <x:row r="672" spans="1:19" outlineLevel="2">
      <x:c r="A672" s="12" t="s">
        <x:v>123</x:v>
      </x:c>
      <x:c r="B672" s="13" t="s">
        <x:v>100</x:v>
      </x:c>
      <x:c r="C672" s="6">
        <x:v>9806322.1500000004</x:v>
      </x:c>
      <x:c r="F672" s="6">
        <x:v>9806322.1500000004</x:v>
      </x:c>
      <x:c r="G672" s="1">
        <x:f t="shared" si="143"/>
        <x:v>0</x:v>
      </x:c>
      <x:c r="J672" s="3">
        <x:v>60</x:v>
      </x:c>
      <x:c r="K672" s="3">
        <x:v>46.017558999999999</x:v>
      </x:c>
      <x:c r="L672" s="2">
        <x:v>-0.2</x:v>
      </x:c>
      <x:c r="M672" s="1">
        <x:f t="shared" si="144"/>
        <x:v>2742326.4177873633</x:v>
      </x:c>
      <x:c r="N672" s="1">
        <x:f t="shared" si="145"/>
        <x:v>1.2312838252650236</x:v>
      </x:c>
      <x:c r="O672" s="1">
        <x:f t="shared" si="146"/>
        <x:v>3376582.1618185537</x:v>
      </x:c>
      <x:c r="P672" s="15">
        <x:f t="shared" si="147"/>
        <x:v>0</x:v>
      </x:c>
      <x:c r="Q672" s="15">
        <x:f t="shared" si="148"/>
        <x:v>0</x:v>
      </x:c>
      <x:c r="R672" s="15">
        <x:f t="shared" si="149"/>
        <x:v>3376582.1618185537</x:v>
      </x:c>
      <x:c r="S672" s="15">
        <x:f t="shared" si="150"/>
        <x:v>0</x:v>
      </x:c>
    </x:row>
    <x:row r="673" spans="1:19" outlineLevel="2">
      <x:c r="A673" s="12" t="s">
        <x:v>123</x:v>
      </x:c>
      <x:c r="B673" s="13" t="s">
        <x:v>99</x:v>
      </x:c>
      <x:c r="C673" s="6">
        <x:v>3064.16</x:v>
      </x:c>
      <x:c r="F673" s="6">
        <x:v>3064.16</x:v>
      </x:c>
      <x:c r="G673" s="1">
        <x:f t="shared" si="143"/>
        <x:v>0</x:v>
      </x:c>
      <x:c r="J673" s="3">
        <x:v>60</x:v>
      </x:c>
      <x:c r="K673" s="3">
        <x:v>45.08473</x:v>
      </x:c>
      <x:c r="L673" s="2">
        <x:v>-0.2</x:v>
      </x:c>
      <x:c r="M673" s="1">
        <x:f t="shared" si="144"/>
        <x:v>914.05547446399999</x:v>
      </x:c>
      <x:c r="N673" s="1">
        <x:f t="shared" si="145"/>
        <x:v>1.2312838252650236</x:v>
      </x:c>
      <x:c r="O673" s="1">
        <x:f t="shared" si="146"/>
        <x:v>1125.4617211024699</x:v>
      </x:c>
      <x:c r="P673" s="15">
        <x:f t="shared" si="147"/>
        <x:v>0</x:v>
      </x:c>
      <x:c r="Q673" s="15">
        <x:f t="shared" si="148"/>
        <x:v>0</x:v>
      </x:c>
      <x:c r="R673" s="15">
        <x:f t="shared" si="149"/>
        <x:v>1125.4617211024699</x:v>
      </x:c>
      <x:c r="S673" s="15">
        <x:f t="shared" si="150"/>
        <x:v>0</x:v>
      </x:c>
    </x:row>
    <x:row r="674" spans="1:19" outlineLevel="2">
      <x:c r="A674" s="12" t="s">
        <x:v>123</x:v>
      </x:c>
      <x:c r="B674" s="13" t="s">
        <x:v>97</x:v>
      </x:c>
      <x:c r="C674" s="6">
        <x:v>142893.93</x:v>
      </x:c>
      <x:c r="F674" s="6">
        <x:v>142893.93</x:v>
      </x:c>
      <x:c r="G674" s="1">
        <x:f t="shared" si="143"/>
        <x:v>0</x:v>
      </x:c>
      <x:c r="J674" s="3">
        <x:v>60</x:v>
      </x:c>
      <x:c r="K674" s="3">
        <x:v>43.235500999999999</x:v>
      </x:c>
      <x:c r="L674" s="2">
        <x:v>-0.2</x:v>
      </x:c>
      <x:c r="M674" s="1">
        <x:f t="shared" si="144"/>
        <x:v>47910.902931821394</x:v>
      </x:c>
      <x:c r="N674" s="1">
        <x:f t="shared" si="145"/>
        <x:v>1.2312838252650236</x:v>
      </x:c>
      <x:c r="O674" s="1">
        <x:f t="shared" si="146"/>
        <x:v>58991.91983379428</x:v>
      </x:c>
      <x:c r="P674" s="15">
        <x:f t="shared" si="147"/>
        <x:v>0</x:v>
      </x:c>
      <x:c r="Q674" s="15">
        <x:f t="shared" si="148"/>
        <x:v>0</x:v>
      </x:c>
      <x:c r="R674" s="15">
        <x:f t="shared" si="149"/>
        <x:v>58991.91983379428</x:v>
      </x:c>
      <x:c r="S674" s="15">
        <x:f t="shared" si="150"/>
        <x:v>0</x:v>
      </x:c>
    </x:row>
    <x:row r="675" spans="1:19" outlineLevel="2">
      <x:c r="A675" s="12" t="s">
        <x:v>123</x:v>
      </x:c>
      <x:c r="B675" s="13" t="s">
        <x:v>96</x:v>
      </x:c>
      <x:c r="C675" s="6">
        <x:v>2774104.8800000004</x:v>
      </x:c>
      <x:c r="F675" s="6">
        <x:v>2774104.8800000004</x:v>
      </x:c>
      <x:c r="G675" s="1">
        <x:f t="shared" si="143"/>
        <x:v>0</x:v>
      </x:c>
      <x:c r="J675" s="3">
        <x:v>60</x:v>
      </x:c>
      <x:c r="K675" s="3">
        <x:v>42.319561</x:v>
      </x:c>
      <x:c r="L675" s="2">
        <x:v>-0.2</x:v>
      </x:c>
      <x:c r="M675" s="1">
        <x:f t="shared" si="144"/>
        <x:v>980947.84220884624</x:v>
      </x:c>
      <x:c r="N675" s="1">
        <x:f t="shared" si="145"/>
        <x:v>1.2312838252650236</x:v>
      </x:c>
      <x:c r="O675" s="1">
        <x:f t="shared" si="146"/>
        <x:v>1207825.2115403789</x:v>
      </x:c>
      <x:c r="P675" s="15">
        <x:f t="shared" si="147"/>
        <x:v>0</x:v>
      </x:c>
      <x:c r="Q675" s="15">
        <x:f t="shared" si="148"/>
        <x:v>0</x:v>
      </x:c>
      <x:c r="R675" s="15">
        <x:f t="shared" si="149"/>
        <x:v>1207825.2115403789</x:v>
      </x:c>
      <x:c r="S675" s="15">
        <x:f t="shared" si="150"/>
        <x:v>0</x:v>
      </x:c>
    </x:row>
    <x:row r="676" spans="1:19" outlineLevel="2">
      <x:c r="A676" s="12" t="s">
        <x:v>123</x:v>
      </x:c>
      <x:c r="B676" s="13" t="s">
        <x:v>95</x:v>
      </x:c>
      <x:c r="C676" s="6">
        <x:v>18534267.169999998</x:v>
      </x:c>
      <x:c r="F676" s="6">
        <x:v>18534267.169999998</x:v>
      </x:c>
      <x:c r="G676" s="1">
        <x:f t="shared" si="143"/>
        <x:v>0</x:v>
      </x:c>
      <x:c r="J676" s="3">
        <x:v>60</x:v>
      </x:c>
      <x:c r="K676" s="3">
        <x:v>41.409889</x:v>
      </x:c>
      <x:c r="L676" s="2">
        <x:v>-0.2</x:v>
      </x:c>
      <x:c r="M676" s="1">
        <x:f t="shared" si="144"/>
        <x:v>6891081.6798791178</x:v>
      </x:c>
      <x:c r="N676" s="1">
        <x:f t="shared" si="145"/>
        <x:v>1.2312838252650236</x:v>
      </x:c>
      <x:c r="O676" s="1">
        <x:f t="shared" si="146"/>
        <x:v>8484877.4110152852</x:v>
      </x:c>
      <x:c r="P676" s="15">
        <x:f t="shared" si="147"/>
        <x:v>0</x:v>
      </x:c>
      <x:c r="Q676" s="15">
        <x:f t="shared" si="148"/>
        <x:v>0</x:v>
      </x:c>
      <x:c r="R676" s="15">
        <x:f t="shared" si="149"/>
        <x:v>8484877.4110152852</x:v>
      </x:c>
      <x:c r="S676" s="15">
        <x:f t="shared" si="150"/>
        <x:v>0</x:v>
      </x:c>
    </x:row>
    <x:row r="677" spans="1:19" outlineLevel="2">
      <x:c r="A677" s="12" t="s">
        <x:v>123</x:v>
      </x:c>
      <x:c r="B677" s="13" t="s">
        <x:v>94</x:v>
      </x:c>
      <x:c r="C677" s="6">
        <x:v>161147.64000000001</x:v>
      </x:c>
      <x:c r="F677" s="6">
        <x:v>161147.64000000001</x:v>
      </x:c>
      <x:c r="G677" s="1">
        <x:f t="shared" si="143"/>
        <x:v>0</x:v>
      </x:c>
      <x:c r="J677" s="3">
        <x:v>60</x:v>
      </x:c>
      <x:c r="K677" s="3">
        <x:v>40.506208999999998</x:v>
      </x:c>
      <x:c r="L677" s="2">
        <x:v>-0.2</x:v>
      </x:c>
      <x:c r="M677" s="1">
        <x:f t="shared" si="144"/>
        <x:v>62827.568286064816</x:v>
      </x:c>
      <x:c r="N677" s="1">
        <x:f t="shared" si="145"/>
        <x:v>1.2312838252650236</x:v>
      </x:c>
      <x:c r="O677" s="1">
        <x:f t="shared" si="146"/>
        <x:v>77358.568611365365</x:v>
      </x:c>
      <x:c r="P677" s="15">
        <x:f t="shared" si="147"/>
        <x:v>0</x:v>
      </x:c>
      <x:c r="Q677" s="15">
        <x:f t="shared" si="148"/>
        <x:v>0</x:v>
      </x:c>
      <x:c r="R677" s="15">
        <x:f t="shared" si="149"/>
        <x:v>77358.568611365365</x:v>
      </x:c>
      <x:c r="S677" s="15">
        <x:f t="shared" si="150"/>
        <x:v>0</x:v>
      </x:c>
    </x:row>
    <x:row r="678" spans="1:19" outlineLevel="2">
      <x:c r="A678" s="12" t="s">
        <x:v>123</x:v>
      </x:c>
      <x:c r="B678" s="13" t="s">
        <x:v>93</x:v>
      </x:c>
      <x:c r="C678" s="6">
        <x:v>4527165.5900000008</x:v>
      </x:c>
      <x:c r="F678" s="6">
        <x:v>4527165.5900000008</x:v>
      </x:c>
      <x:c r="G678" s="1">
        <x:f t="shared" si="143"/>
        <x:v>0</x:v>
      </x:c>
      <x:c r="J678" s="3">
        <x:v>60</x:v>
      </x:c>
      <x:c r="K678" s="3">
        <x:v>39.609220999999998</x:v>
      </x:c>
      <x:c r="L678" s="2">
        <x:v>-0.2</x:v>
      </x:c>
      <x:c r="M678" s="1">
        <x:f t="shared" si="144"/>
        <x:v>1846248.6608418922</x:v>
      </x:c>
      <x:c r="N678" s="1">
        <x:f t="shared" si="145"/>
        <x:v>1.2312838252650236</x:v>
      </x:c>
      <x:c r="O678" s="1">
        <x:f t="shared" si="146"/>
        <x:v>2273256.113511832</x:v>
      </x:c>
      <x:c r="P678" s="15">
        <x:f t="shared" si="147"/>
        <x:v>0</x:v>
      </x:c>
      <x:c r="Q678" s="15">
        <x:f t="shared" si="148"/>
        <x:v>0</x:v>
      </x:c>
      <x:c r="R678" s="15">
        <x:f t="shared" si="149"/>
        <x:v>2273256.113511832</x:v>
      </x:c>
      <x:c r="S678" s="15">
        <x:f t="shared" si="150"/>
        <x:v>0</x:v>
      </x:c>
    </x:row>
    <x:row r="679" spans="1:19" outlineLevel="2">
      <x:c r="A679" s="12" t="s">
        <x:v>123</x:v>
      </x:c>
      <x:c r="B679" s="13" t="s">
        <x:v>92</x:v>
      </x:c>
      <x:c r="C679" s="6">
        <x:v>8719717.2400000002</x:v>
      </x:c>
      <x:c r="F679" s="6">
        <x:v>8719717.2400000002</x:v>
      </x:c>
      <x:c r="G679" s="1">
        <x:f t="shared" si="143"/>
        <x:v>0</x:v>
      </x:c>
      <x:c r="J679" s="3">
        <x:v>60</x:v>
      </x:c>
      <x:c r="K679" s="3">
        <x:v>38.719163000000002</x:v>
      </x:c>
      <x:c r="L679" s="2">
        <x:v>-0.2</x:v>
      </x:c>
      <x:c r="M679" s="1">
        <x:f t="shared" si="144"/>
        <x:v>3711257.6254105968</x:v>
      </x:c>
      <x:c r="N679" s="1">
        <x:f t="shared" si="145"/>
        <x:v>1.2312838252650236</x:v>
      </x:c>
      <x:c r="O679" s="1">
        <x:f t="shared" si="146"/>
        <x:v>4569611.4855595473</x:v>
      </x:c>
      <x:c r="P679" s="15">
        <x:f t="shared" si="147"/>
        <x:v>0</x:v>
      </x:c>
      <x:c r="Q679" s="15">
        <x:f t="shared" si="148"/>
        <x:v>0</x:v>
      </x:c>
      <x:c r="R679" s="15">
        <x:f t="shared" si="149"/>
        <x:v>4569611.4855595473</x:v>
      </x:c>
      <x:c r="S679" s="15">
        <x:f t="shared" si="150"/>
        <x:v>0</x:v>
      </x:c>
    </x:row>
    <x:row r="680" spans="1:19" outlineLevel="2">
      <x:c r="A680" s="12" t="s">
        <x:v>123</x:v>
      </x:c>
      <x:c r="B680" s="13" t="s">
        <x:v>91</x:v>
      </x:c>
      <x:c r="C680" s="6">
        <x:v>10291.84</x:v>
      </x:c>
      <x:c r="F680" s="6">
        <x:v>10291.84</x:v>
      </x:c>
      <x:c r="G680" s="1">
        <x:f t="shared" si="143"/>
        <x:v>0</x:v>
      </x:c>
      <x:c r="J680" s="3">
        <x:v>60</x:v>
      </x:c>
      <x:c r="K680" s="3">
        <x:v>37.835684000000001</x:v>
      </x:c>
      <x:c r="L680" s="2">
        <x:v>-0.2</x:v>
      </x:c>
      <x:c r="M680" s="1">
        <x:f t="shared" si="144"/>
        <x:v>4562.2318796287991</x:v>
      </x:c>
      <x:c r="N680" s="1">
        <x:f t="shared" si="145"/>
        <x:v>1.2312838252650236</x:v>
      </x:c>
      <x:c r="O680" s="1">
        <x:f t="shared" si="146"/>
        <x:v>5617.4023204953864</x:v>
      </x:c>
      <x:c r="P680" s="15">
        <x:f t="shared" si="147"/>
        <x:v>0</x:v>
      </x:c>
      <x:c r="Q680" s="15">
        <x:f t="shared" si="148"/>
        <x:v>0</x:v>
      </x:c>
      <x:c r="R680" s="15">
        <x:f t="shared" si="149"/>
        <x:v>5617.4023204953864</x:v>
      </x:c>
      <x:c r="S680" s="15">
        <x:f t="shared" si="150"/>
        <x:v>0</x:v>
      </x:c>
    </x:row>
    <x:row r="681" spans="1:19" outlineLevel="2">
      <x:c r="A681" s="12" t="s">
        <x:v>123</x:v>
      </x:c>
      <x:c r="B681" s="13" t="s">
        <x:v>90</x:v>
      </x:c>
      <x:c r="C681" s="6">
        <x:v>936310.27</x:v>
      </x:c>
      <x:c r="F681" s="6">
        <x:v>936310.27</x:v>
      </x:c>
      <x:c r="G681" s="1">
        <x:f t="shared" si="143"/>
        <x:v>0</x:v>
      </x:c>
      <x:c r="J681" s="3">
        <x:v>60</x:v>
      </x:c>
      <x:c r="K681" s="3">
        <x:v>36.959510000000002</x:v>
      </x:c>
      <x:c r="L681" s="2">
        <x:v>-0.2</x:v>
      </x:c>
      <x:c r="M681" s="1">
        <x:f t="shared" si="144"/>
        <x:v>431460.94825664593</x:v>
      </x:c>
      <x:c r="N681" s="1">
        <x:f t="shared" si="145"/>
        <x:v>1.2312838252650236</x:v>
      </x:c>
      <x:c r="O681" s="1">
        <x:f t="shared" si="146"/>
        <x:v>531250.88682191737</x:v>
      </x:c>
      <x:c r="P681" s="15">
        <x:f t="shared" si="147"/>
        <x:v>0</x:v>
      </x:c>
      <x:c r="Q681" s="15">
        <x:f t="shared" si="148"/>
        <x:v>0</x:v>
      </x:c>
      <x:c r="R681" s="15">
        <x:f t="shared" si="149"/>
        <x:v>531250.88682191737</x:v>
      </x:c>
      <x:c r="S681" s="15">
        <x:f t="shared" si="150"/>
        <x:v>0</x:v>
      </x:c>
    </x:row>
    <x:row r="682" spans="1:19" outlineLevel="2">
      <x:c r="A682" s="12" t="s">
        <x:v>123</x:v>
      </x:c>
      <x:c r="B682" s="13" t="s">
        <x:v>89</x:v>
      </x:c>
      <x:c r="C682" s="6">
        <x:v>22301.760000000002</x:v>
      </x:c>
      <x:c r="F682" s="6">
        <x:v>22301.760000000002</x:v>
      </x:c>
      <x:c r="G682" s="1">
        <x:f t="shared" si="143"/>
        <x:v>0</x:v>
      </x:c>
      <x:c r="J682" s="3">
        <x:v>60</x:v>
      </x:c>
      <x:c r="K682" s="3">
        <x:v>36.090868</x:v>
      </x:c>
      <x:c r="L682" s="2">
        <x:v>-0.2</x:v>
      </x:c>
      <x:c r="M682" s="1">
        <x:f t="shared" si="144"/>
        <x:v>10664.314473446402</x:v>
      </x:c>
      <x:c r="N682" s="1">
        <x:f t="shared" si="145"/>
        <x:v>1.2312838252650236</x:v>
      </x:c>
      <x:c r="O682" s="1">
        <x:f t="shared" si="146"/>
        <x:v>13130.797918694241</x:v>
      </x:c>
      <x:c r="P682" s="15">
        <x:f t="shared" si="147"/>
        <x:v>0</x:v>
      </x:c>
      <x:c r="Q682" s="15">
        <x:f t="shared" si="148"/>
        <x:v>0</x:v>
      </x:c>
      <x:c r="R682" s="15">
        <x:f t="shared" si="149"/>
        <x:v>13130.797918694241</x:v>
      </x:c>
      <x:c r="S682" s="15">
        <x:f t="shared" si="150"/>
        <x:v>0</x:v>
      </x:c>
    </x:row>
    <x:row r="683" spans="1:19" outlineLevel="2">
      <x:c r="A683" s="12" t="s">
        <x:v>123</x:v>
      </x:c>
      <x:c r="B683" s="13" t="s">
        <x:v>88</x:v>
      </x:c>
      <x:c r="C683" s="6">
        <x:v>110271.20999999999</x:v>
      </x:c>
      <x:c r="F683" s="6">
        <x:v>110271.20999999999</x:v>
      </x:c>
      <x:c r="G683" s="1">
        <x:f t="shared" si="143"/>
        <x:v>0</x:v>
      </x:c>
      <x:c r="J683" s="3">
        <x:v>60</x:v>
      </x:c>
      <x:c r="K683" s="3">
        <x:v>35.229312</x:v>
      </x:c>
      <x:c r="L683" s="2">
        <x:v>-0.2</x:v>
      </x:c>
      <x:c r="M683" s="1">
        <x:f t="shared" si="144"/>
        <x:v>54629.874765849599</x:v>
      </x:c>
      <x:c r="N683" s="1">
        <x:f t="shared" si="145"/>
        <x:v>1.2312838252650236</x:v>
      </x:c>
      <x:c r="O683" s="1">
        <x:f t="shared" si="146"/>
        <x:v>67264.881175444476</x:v>
      </x:c>
      <x:c r="P683" s="15">
        <x:f t="shared" si="147"/>
        <x:v>0</x:v>
      </x:c>
      <x:c r="Q683" s="15">
        <x:f t="shared" si="148"/>
        <x:v>0</x:v>
      </x:c>
      <x:c r="R683" s="15">
        <x:f t="shared" si="149"/>
        <x:v>67264.881175444476</x:v>
      </x:c>
      <x:c r="S683" s="15">
        <x:f t="shared" si="150"/>
        <x:v>0</x:v>
      </x:c>
    </x:row>
    <x:row r="684" spans="1:19" outlineLevel="2">
      <x:c r="A684" s="12" t="s">
        <x:v>123</x:v>
      </x:c>
      <x:c r="B684" s="13" t="s">
        <x:v>87</x:v>
      </x:c>
      <x:c r="C684" s="6">
        <x:v>2180497.36</x:v>
      </x:c>
      <x:c r="F684" s="6">
        <x:v>2180497.36</x:v>
      </x:c>
      <x:c r="G684" s="1">
        <x:f t="shared" si="143"/>
        <x:v>0</x:v>
      </x:c>
      <x:c r="J684" s="3">
        <x:v>60</x:v>
      </x:c>
      <x:c r="K684" s="3">
        <x:v>34.375610000000002</x:v>
      </x:c>
      <x:c r="L684" s="2">
        <x:v>-0.2</x:v>
      </x:c>
      <x:c r="M684" s="1">
        <x:f t="shared" si="144"/>
        <x:v>1117478.2949322078</x:v>
      </x:c>
      <x:c r="N684" s="1">
        <x:f t="shared" si="145"/>
        <x:v>1.2312838252650236</x:v>
      </x:c>
      <x:c r="O684" s="1">
        <x:f t="shared" si="146"/>
        <x:v>1375932.949634765</x:v>
      </x:c>
      <x:c r="P684" s="15">
        <x:f t="shared" si="147"/>
        <x:v>0</x:v>
      </x:c>
      <x:c r="Q684" s="15">
        <x:f t="shared" si="148"/>
        <x:v>0</x:v>
      </x:c>
      <x:c r="R684" s="15">
        <x:f t="shared" si="149"/>
        <x:v>1375932.949634765</x:v>
      </x:c>
      <x:c r="S684" s="15">
        <x:f t="shared" si="150"/>
        <x:v>0</x:v>
      </x:c>
    </x:row>
    <x:row r="685" spans="1:19" outlineLevel="2">
      <x:c r="A685" s="12" t="s">
        <x:v>123</x:v>
      </x:c>
      <x:c r="B685" s="13" t="s">
        <x:v>86</x:v>
      </x:c>
      <x:c r="C685" s="6">
        <x:v>266786.65000000002</x:v>
      </x:c>
      <x:c r="F685" s="6">
        <x:v>266786.65000000002</x:v>
      </x:c>
      <x:c r="G685" s="1">
        <x:f t="shared" si="143"/>
        <x:v>0</x:v>
      </x:c>
      <x:c r="J685" s="3">
        <x:v>60</x:v>
      </x:c>
      <x:c r="K685" s="3">
        <x:v>33.529964</x:v>
      </x:c>
      <x:c r="L685" s="2">
        <x:v>-0.2</x:v>
      </x:c>
      <x:c r="M685" s="1">
        <x:f t="shared" si="144"/>
        <x:v>141237.044596388</x:v>
      </x:c>
      <x:c r="N685" s="1">
        <x:f t="shared" si="145"/>
        <x:v>1.2312838252650236</x:v>
      </x:c>
      <x:c r="O685" s="1">
        <x:f t="shared" si="146"/>
        <x:v>173902.88853976736</x:v>
      </x:c>
      <x:c r="P685" s="15">
        <x:f t="shared" si="147"/>
        <x:v>0</x:v>
      </x:c>
      <x:c r="Q685" s="15">
        <x:f t="shared" si="148"/>
        <x:v>0</x:v>
      </x:c>
      <x:c r="R685" s="15">
        <x:f t="shared" si="149"/>
        <x:v>173902.88853976736</x:v>
      </x:c>
      <x:c r="S685" s="15">
        <x:f t="shared" si="150"/>
        <x:v>0</x:v>
      </x:c>
    </x:row>
    <x:row r="686" spans="1:19" outlineLevel="2">
      <x:c r="A686" s="12" t="s">
        <x:v>123</x:v>
      </x:c>
      <x:c r="B686" s="13" t="s">
        <x:v>85</x:v>
      </x:c>
      <x:c r="C686" s="6">
        <x:v>1164724.3</x:v>
      </x:c>
      <x:c r="F686" s="6">
        <x:v>1164724.3</x:v>
      </x:c>
      <x:c r="G686" s="1">
        <x:f t="shared" si="143"/>
        <x:v>0</x:v>
      </x:c>
      <x:c r="J686" s="3">
        <x:v>60</x:v>
      </x:c>
      <x:c r="K686" s="3">
        <x:v>32.691851</x:v>
      </x:c>
      <x:c r="L686" s="2">
        <x:v>-0.2</x:v>
      </x:c>
      <x:c r="M686" s="1">
        <x:f t="shared" si="144"/>
        <x:v>636129.29456641409</x:v>
      </x:c>
      <x:c r="N686" s="1">
        <x:f t="shared" si="145"/>
        <x:v>1.2312838252650236</x:v>
      </x:c>
      <x:c r="O686" s="1">
        <x:f t="shared" si="146"/>
        <x:v>783255.71117687528</x:v>
      </x:c>
      <x:c r="P686" s="15">
        <x:f t="shared" si="147"/>
        <x:v>0</x:v>
      </x:c>
      <x:c r="Q686" s="15">
        <x:f t="shared" si="148"/>
        <x:v>0</x:v>
      </x:c>
      <x:c r="R686" s="15">
        <x:f t="shared" si="149"/>
        <x:v>783255.71117687528</x:v>
      </x:c>
      <x:c r="S686" s="15">
        <x:f t="shared" si="150"/>
        <x:v>0</x:v>
      </x:c>
    </x:row>
    <x:row r="687" spans="1:19" outlineLevel="2">
      <x:c r="A687" s="12" t="s">
        <x:v>123</x:v>
      </x:c>
      <x:c r="B687" s="13" t="s">
        <x:v>81</x:v>
      </x:c>
      <x:c r="C687" s="6">
        <x:v>11280.21</x:v>
      </x:c>
      <x:c r="F687" s="6">
        <x:v>11280.21</x:v>
      </x:c>
      <x:c r="G687" s="1">
        <x:f t="shared" si="143"/>
        <x:v>0</x:v>
      </x:c>
      <x:c r="J687" s="3">
        <x:v>60</x:v>
      </x:c>
      <x:c r="K687" s="3">
        <x:v>29.423117999999999</x:v>
      </x:c>
      <x:c r="L687" s="2">
        <x:v>-0.2</x:v>
      </x:c>
      <x:c r="M687" s="1">
        <x:f t="shared" si="144"/>
        <x:v>6898.2730021043981</x:v>
      </x:c>
      <x:c r="N687" s="1">
        <x:f t="shared" si="145"/>
        <x:v>1.2312838252650236</x:v>
      </x:c>
      <x:c r="O687" s="1">
        <x:f t="shared" si="146"/>
        <x:v>8493.7319697535404</x:v>
      </x:c>
      <x:c r="P687" s="15">
        <x:f t="shared" si="147"/>
        <x:v>0</x:v>
      </x:c>
      <x:c r="Q687" s="15">
        <x:f t="shared" si="148"/>
        <x:v>0</x:v>
      </x:c>
      <x:c r="R687" s="15">
        <x:f t="shared" si="149"/>
        <x:v>8493.7319697535404</x:v>
      </x:c>
      <x:c r="S687" s="15">
        <x:f t="shared" si="150"/>
        <x:v>0</x:v>
      </x:c>
    </x:row>
    <x:row r="688" spans="1:19" outlineLevel="2">
      <x:c r="A688" s="12" t="s">
        <x:v>123</x:v>
      </x:c>
      <x:c r="B688" s="13" t="s">
        <x:v>74</x:v>
      </x:c>
      <x:c r="C688" s="6">
        <x:v>299304.05</x:v>
      </x:c>
      <x:c r="F688" s="6">
        <x:v>299304.05</x:v>
      </x:c>
      <x:c r="G688" s="1">
        <x:f t="shared" si="143"/>
        <x:v>0</x:v>
      </x:c>
      <x:c r="J688" s="3">
        <x:v>60</x:v>
      </x:c>
      <x:c r="K688" s="3">
        <x:v>24.047625</x:v>
      </x:c>
      <x:c r="L688" s="2">
        <x:v>-0.2</x:v>
      </x:c>
      <x:c r="M688" s="1">
        <x:f t="shared" si="144"/>
        <x:v>215213.82889237496</x:v>
      </x:c>
      <x:c r="N688" s="1">
        <x:f t="shared" si="145"/>
        <x:v>1.2312838252650236</x:v>
      </x:c>
      <x:c r="O688" s="1">
        <x:f t="shared" si="146"/>
        <x:v>264989.30648853572</x:v>
      </x:c>
      <x:c r="P688" s="15">
        <x:f t="shared" si="147"/>
        <x:v>0</x:v>
      </x:c>
      <x:c r="Q688" s="15">
        <x:f t="shared" si="148"/>
        <x:v>0</x:v>
      </x:c>
      <x:c r="R688" s="15">
        <x:f t="shared" si="149"/>
        <x:v>264989.30648853572</x:v>
      </x:c>
      <x:c r="S688" s="15">
        <x:f t="shared" si="150"/>
        <x:v>0</x:v>
      </x:c>
    </x:row>
    <x:row r="689" spans="1:19" outlineLevel="2">
      <x:c r="A689" s="12" t="s">
        <x:v>123</x:v>
      </x:c>
      <x:c r="B689" s="13" t="s">
        <x:v>73</x:v>
      </x:c>
      <x:c r="C689" s="6">
        <x:v>1078054.26</x:v>
      </x:c>
      <x:c r="F689" s="6">
        <x:v>1078054.26</x:v>
      </x:c>
      <x:c r="G689" s="1">
        <x:f t="shared" si="143"/>
        <x:v>0</x:v>
      </x:c>
      <x:c r="J689" s="3">
        <x:v>60</x:v>
      </x:c>
      <x:c r="K689" s="3">
        <x:v>23.318372</x:v>
      </x:c>
      <x:c r="L689" s="2">
        <x:v>-0.2</x:v>
      </x:c>
      <x:c r="M689" s="1">
        <x:f t="shared" si="144"/>
        <x:v>790895.70658270561</x:v>
      </x:c>
      <x:c r="N689" s="1">
        <x:f t="shared" si="145"/>
        <x:v>1.2312838252650236</x:v>
      </x:c>
      <x:c r="O689" s="1">
        <x:f t="shared" si="146"/>
        <x:v>973817.0909868374</x:v>
      </x:c>
      <x:c r="P689" s="15">
        <x:f t="shared" si="147"/>
        <x:v>0</x:v>
      </x:c>
      <x:c r="Q689" s="15">
        <x:f t="shared" si="148"/>
        <x:v>0</x:v>
      </x:c>
      <x:c r="R689" s="15">
        <x:f t="shared" si="149"/>
        <x:v>973817.0909868374</x:v>
      </x:c>
      <x:c r="S689" s="15">
        <x:f t="shared" si="150"/>
        <x:v>0</x:v>
      </x:c>
    </x:row>
    <x:row r="690" spans="1:19" outlineLevel="2">
      <x:c r="A690" s="12" t="s">
        <x:v>123</x:v>
      </x:c>
      <x:c r="B690" s="13" t="s">
        <x:v>72</x:v>
      </x:c>
      <x:c r="C690" s="6">
        <x:v>11649.770000000002</x:v>
      </x:c>
      <x:c r="F690" s="6">
        <x:v>11649.770000000002</x:v>
      </x:c>
      <x:c r="G690" s="1">
        <x:f t="shared" si="143"/>
        <x:v>0</x:v>
      </x:c>
      <x:c r="J690" s="3">
        <x:v>60</x:v>
      </x:c>
      <x:c r="K690" s="3">
        <x:v>22.599948000000001</x:v>
      </x:c>
      <x:c r="L690" s="2">
        <x:v>-0.2</x:v>
      </x:c>
      <x:c r="M690" s="1">
        <x:f t="shared" ref="M690:M706" si="151">+C690*(1-K690/J690)*(1-L690)</x:f>
        <x:v>8714.0400757608004</x:v>
      </x:c>
      <x:c r="N690" s="1">
        <x:f t="shared" si="145"/>
        <x:v>1.2312838252650236</x:v>
      </x:c>
      <x:c r="O690" s="1">
        <x:f t="shared" ref="O690:O706" si="152">IF((C690*(1-L690)-M690*N690)&lt;0,C690*(1-L690),M690*N690)</x:f>
        <x:v>10729.456597995473</x:v>
      </x:c>
      <x:c r="P690" s="15">
        <x:f t="shared" ref="P690:P706" si="153">+D690/$C690*$O690</x:f>
        <x:v>0</x:v>
      </x:c>
      <x:c r="Q690" s="15">
        <x:f t="shared" ref="Q690:Q706" si="154">+E690/$C690*$O690</x:f>
        <x:v>0</x:v>
      </x:c>
      <x:c r="R690" s="15">
        <x:f t="shared" ref="R690:R706" si="155">+F690/$C690*$O690</x:f>
        <x:v>10729.456597995473</x:v>
      </x:c>
      <x:c r="S690" s="15">
        <x:f t="shared" ref="S690:S708" si="156">+O690-P690-Q690-R690</x:f>
        <x:v>0</x:v>
      </x:c>
    </x:row>
    <x:row r="691" spans="1:19" outlineLevel="2">
      <x:c r="A691" s="12" t="s">
        <x:v>123</x:v>
      </x:c>
      <x:c r="B691" s="13" t="s">
        <x:v>71</x:v>
      </x:c>
      <x:c r="C691" s="6">
        <x:v>2255.04</x:v>
      </x:c>
      <x:c r="F691" s="6">
        <x:v>2255.04</x:v>
      </x:c>
      <x:c r="G691" s="1">
        <x:f t="shared" si="143"/>
        <x:v>0</x:v>
      </x:c>
      <x:c r="J691" s="3">
        <x:v>60</x:v>
      </x:c>
      <x:c r="K691" s="3">
        <x:v>21.892720000000001</x:v>
      </x:c>
      <x:c r="L691" s="2">
        <x:v>-0.2</x:v>
      </x:c>
      <x:c r="M691" s="1">
        <x:f t="shared" si="151"/>
        <x:v>1718.6688138239999</x:v>
      </x:c>
      <x:c r="N691" s="1">
        <x:f t="shared" si="145"/>
        <x:v>1.2312838252650236</x:v>
      </x:c>
      <x:c r="O691" s="1">
        <x:f t="shared" si="152"/>
        <x:v>2116.1691114489154</x:v>
      </x:c>
      <x:c r="P691" s="15">
        <x:f t="shared" si="153"/>
        <x:v>0</x:v>
      </x:c>
      <x:c r="Q691" s="15">
        <x:f t="shared" si="154"/>
        <x:v>0</x:v>
      </x:c>
      <x:c r="R691" s="15">
        <x:f t="shared" si="155"/>
        <x:v>2116.1691114489154</x:v>
      </x:c>
      <x:c r="S691" s="15">
        <x:f t="shared" si="156"/>
        <x:v>0</x:v>
      </x:c>
    </x:row>
    <x:row r="692" spans="1:19" outlineLevel="2">
      <x:c r="A692" s="12" t="s">
        <x:v>123</x:v>
      </x:c>
      <x:c r="B692" s="13" t="s">
        <x:v>69</x:v>
      </x:c>
      <x:c r="C692" s="6">
        <x:v>-922.18</x:v>
      </x:c>
      <x:c r="F692" s="6">
        <x:v>-922.18</x:v>
      </x:c>
      <x:c r="G692" s="1">
        <x:f t="shared" si="143"/>
        <x:v>0</x:v>
      </x:c>
      <x:c r="J692" s="3">
        <x:v>60</x:v>
      </x:c>
      <x:c r="K692" s="3">
        <x:v>19.838592999999999</x:v>
      </x:c>
      <x:c r="L692" s="2">
        <x:v>-0.2</x:v>
      </x:c>
      <x:c r="M692" s="1">
        <x:f t="shared" si="151"/>
        <x:v>-740.7209261452</x:v>
      </x:c>
      <x:c r="N692" s="1">
        <x:f t="shared" si="145"/>
        <x:v>1.2312838252650236</x:v>
      </x:c>
      <x:c r="O692" s="1">
        <x:f t="shared" si="152"/>
        <x:v>-1106.616</x:v>
      </x:c>
      <x:c r="P692" s="15">
        <x:f t="shared" si="153"/>
        <x:v>0</x:v>
      </x:c>
      <x:c r="Q692" s="15">
        <x:f t="shared" si="154"/>
        <x:v>0</x:v>
      </x:c>
      <x:c r="R692" s="15">
        <x:f t="shared" si="155"/>
        <x:v>-1106.616</x:v>
      </x:c>
      <x:c r="S692" s="15">
        <x:f t="shared" si="156"/>
        <x:v>0</x:v>
      </x:c>
    </x:row>
    <x:row r="693" spans="1:19" outlineLevel="2">
      <x:c r="A693" s="12" t="s">
        <x:v>123</x:v>
      </x:c>
      <x:c r="B693" s="13" t="s">
        <x:v>68</x:v>
      </x:c>
      <x:c r="C693" s="6">
        <x:v>633015.93999999994</x:v>
      </x:c>
      <x:c r="F693" s="6">
        <x:v>633015.93999999994</x:v>
      </x:c>
      <x:c r="G693" s="1">
        <x:f t="shared" si="143"/>
        <x:v>0</x:v>
      </x:c>
      <x:c r="J693" s="3">
        <x:v>60</x:v>
      </x:c>
      <x:c r="K693" s="3">
        <x:v>19.177617000000001</x:v>
      </x:c>
      <x:c r="L693" s="2">
        <x:v>-0.2</x:v>
      </x:c>
      <x:c r="M693" s="1">
        <x:f t="shared" si="151"/>
        <x:v>516824.38295570039</x:v>
      </x:c>
      <x:c r="N693" s="1">
        <x:f t="shared" si="145"/>
        <x:v>1.2312838252650236</x:v>
      </x:c>
      <x:c r="O693" s="1">
        <x:f t="shared" si="152"/>
        <x:v>636357.50323593023</x:v>
      </x:c>
      <x:c r="P693" s="15">
        <x:f t="shared" si="153"/>
        <x:v>0</x:v>
      </x:c>
      <x:c r="Q693" s="15">
        <x:f t="shared" si="154"/>
        <x:v>0</x:v>
      </x:c>
      <x:c r="R693" s="15">
        <x:f t="shared" si="155"/>
        <x:v>636357.50323593023</x:v>
      </x:c>
      <x:c r="S693" s="15">
        <x:f t="shared" si="156"/>
        <x:v>0</x:v>
      </x:c>
    </x:row>
    <x:row r="694" spans="1:19" outlineLevel="2">
      <x:c r="A694" s="12" t="s">
        <x:v>123</x:v>
      </x:c>
      <x:c r="B694" s="13" t="s">
        <x:v>67</x:v>
      </x:c>
      <x:c r="C694" s="6">
        <x:v>843149.79</x:v>
      </x:c>
      <x:c r="F694" s="6">
        <x:v>843149.79</x:v>
      </x:c>
      <x:c r="G694" s="1">
        <x:f t="shared" si="143"/>
        <x:v>0</x:v>
      </x:c>
      <x:c r="J694" s="3">
        <x:v>60</x:v>
      </x:c>
      <x:c r="K694" s="3">
        <x:v>18.529684</x:v>
      </x:c>
      <x:c r="L694" s="2">
        <x:v>-0.2</x:v>
      </x:c>
      <x:c r="M694" s="1">
        <x:f t="shared" si="151"/>
        <x:v>699313.76453267271</x:v>
      </x:c>
      <x:c r="N694" s="1">
        <x:f t="shared" si="145"/>
        <x:v>1.2312838252650236</x:v>
      </x:c>
      <x:c r="O694" s="1">
        <x:f t="shared" si="152"/>
        <x:v>861053.72705427324</x:v>
      </x:c>
      <x:c r="P694" s="15">
        <x:f t="shared" si="153"/>
        <x:v>0</x:v>
      </x:c>
      <x:c r="Q694" s="15">
        <x:f t="shared" si="154"/>
        <x:v>0</x:v>
      </x:c>
      <x:c r="R694" s="15">
        <x:f t="shared" si="155"/>
        <x:v>861053.72705427324</x:v>
      </x:c>
      <x:c r="S694" s="15">
        <x:f t="shared" si="156"/>
        <x:v>0</x:v>
      </x:c>
    </x:row>
    <x:row r="695" spans="1:19" outlineLevel="2">
      <x:c r="A695" s="12" t="s">
        <x:v>123</x:v>
      </x:c>
      <x:c r="B695" s="13" t="s">
        <x:v>66</x:v>
      </x:c>
      <x:c r="C695" s="6">
        <x:v>1472810</x:v>
      </x:c>
      <x:c r="F695" s="6">
        <x:v>1472810</x:v>
      </x:c>
      <x:c r="G695" s="1">
        <x:f t="shared" si="143"/>
        <x:v>0</x:v>
      </x:c>
      <x:c r="J695" s="3">
        <x:v>60</x:v>
      </x:c>
      <x:c r="K695" s="3">
        <x:v>17.273548999999999</x:v>
      </x:c>
      <x:c r="L695" s="2">
        <x:v>-0.2</x:v>
      </x:c>
      <x:c r="M695" s="1">
        <x:f t="shared" si="151"/>
        <x:v>1258558.8859461998</x:v>
      </x:c>
      <x:c r="N695" s="1">
        <x:f t="shared" si="145"/>
        <x:v>1.2312838252650236</x:v>
      </x:c>
      <x:c r="O695" s="1">
        <x:f t="shared" si="152"/>
        <x:v>1549643.1994091233</x:v>
      </x:c>
      <x:c r="P695" s="15">
        <x:f t="shared" si="153"/>
        <x:v>0</x:v>
      </x:c>
      <x:c r="Q695" s="15">
        <x:f t="shared" si="154"/>
        <x:v>0</x:v>
      </x:c>
      <x:c r="R695" s="15">
        <x:f t="shared" si="155"/>
        <x:v>1549643.1994091233</x:v>
      </x:c>
      <x:c r="S695" s="15">
        <x:f t="shared" si="156"/>
        <x:v>0</x:v>
      </x:c>
    </x:row>
    <x:row r="696" spans="1:19" outlineLevel="2">
      <x:c r="A696" s="12" t="s">
        <x:v>123</x:v>
      </x:c>
      <x:c r="B696" s="13" t="s">
        <x:v>65</x:v>
      </x:c>
      <x:c r="C696" s="6">
        <x:v>-734.61</x:v>
      </x:c>
      <x:c r="F696" s="6">
        <x:v>-734.61</x:v>
      </x:c>
      <x:c r="G696" s="1">
        <x:f t="shared" si="143"/>
        <x:v>0</x:v>
      </x:c>
      <x:c r="J696" s="3">
        <x:v>60</x:v>
      </x:c>
      <x:c r="K696" s="3">
        <x:v>16.66611</x:v>
      </x:c>
      <x:c r="L696" s="2">
        <x:v>-0.2</x:v>
      </x:c>
      <x:c r="M696" s="1">
        <x:f t="shared" si="151"/>
        <x:v>-636.67017865800005</x:v>
      </x:c>
      <x:c r="N696" s="1">
        <x:f t="shared" si="145"/>
        <x:v>1.2312838252650236</x:v>
      </x:c>
      <x:c r="O696" s="1">
        <x:f t="shared" si="152"/>
        <x:v>-881.53200000000004</x:v>
      </x:c>
      <x:c r="P696" s="15">
        <x:f t="shared" si="153"/>
        <x:v>0</x:v>
      </x:c>
      <x:c r="Q696" s="15">
        <x:f t="shared" si="154"/>
        <x:v>0</x:v>
      </x:c>
      <x:c r="R696" s="15">
        <x:f t="shared" si="155"/>
        <x:v>-881.53200000000004</x:v>
      </x:c>
      <x:c r="S696" s="15">
        <x:f t="shared" si="156"/>
        <x:v>0</x:v>
      </x:c>
    </x:row>
    <x:row r="697" spans="1:19" outlineLevel="2">
      <x:c r="A697" s="12" t="s">
        <x:v>123</x:v>
      </x:c>
      <x:c r="B697" s="13" t="s">
        <x:v>64</x:v>
      </x:c>
      <x:c r="C697" s="6">
        <x:v>510186.82</x:v>
      </x:c>
      <x:c r="F697" s="6">
        <x:v>510186.82</x:v>
      </x:c>
      <x:c r="G697" s="1">
        <x:f t="shared" si="143"/>
        <x:v>0</x:v>
      </x:c>
      <x:c r="J697" s="3">
        <x:v>60</x:v>
      </x:c>
      <x:c r="K697" s="3">
        <x:v>16.073336999999999</x:v>
      </x:c>
      <x:c r="L697" s="2">
        <x:v>-0.2</x:v>
      </x:c>
      <x:c r="M697" s="1">
        <x:f t="shared" si="151"/>
        <x:v>448216.09018363321</x:v>
      </x:c>
      <x:c r="N697" s="1">
        <x:f t="shared" si="145"/>
        <x:v>1.2312838252650236</x:v>
      </x:c>
      <x:c r="O697" s="1">
        <x:f t="shared" si="152"/>
        <x:v>551881.22206663666</x:v>
      </x:c>
      <x:c r="P697" s="15">
        <x:f t="shared" si="153"/>
        <x:v>0</x:v>
      </x:c>
      <x:c r="Q697" s="15">
        <x:f t="shared" si="154"/>
        <x:v>0</x:v>
      </x:c>
      <x:c r="R697" s="15">
        <x:f t="shared" si="155"/>
        <x:v>551881.22206663666</x:v>
      </x:c>
      <x:c r="S697" s="15">
        <x:f t="shared" si="156"/>
        <x:v>0</x:v>
      </x:c>
    </x:row>
    <x:row r="698" spans="1:19" outlineLevel="2">
      <x:c r="A698" s="12" t="s">
        <x:v>123</x:v>
      </x:c>
      <x:c r="B698" s="13" t="s">
        <x:v>63</x:v>
      </x:c>
      <x:c r="C698" s="6">
        <x:v>1188949.31</x:v>
      </x:c>
      <x:c r="F698" s="6">
        <x:v>1188949.31</x:v>
      </x:c>
      <x:c r="G698" s="1">
        <x:f t="shared" si="143"/>
        <x:v>0</x:v>
      </x:c>
      <x:c r="J698" s="3">
        <x:v>60</x:v>
      </x:c>
      <x:c r="K698" s="3">
        <x:v>15.494424</x:v>
      </x:c>
      <x:c r="L698" s="2">
        <x:v>-0.2</x:v>
      </x:c>
      <x:c r="M698" s="1">
        <x:f t="shared" si="151"/>
        <x:v>1058297.4775270512</x:v>
      </x:c>
      <x:c r="N698" s="1">
        <x:f t="shared" si="145"/>
        <x:v>1.2312838252650236</x:v>
      </x:c>
      <x:c r="O698" s="1">
        <x:f t="shared" si="152"/>
        <x:v>1303064.5663978329</x:v>
      </x:c>
      <x:c r="P698" s="15">
        <x:f t="shared" si="153"/>
        <x:v>0</x:v>
      </x:c>
      <x:c r="Q698" s="15">
        <x:f t="shared" si="154"/>
        <x:v>0</x:v>
      </x:c>
      <x:c r="R698" s="15">
        <x:f t="shared" si="155"/>
        <x:v>1303064.5663978329</x:v>
      </x:c>
      <x:c r="S698" s="15">
        <x:f t="shared" si="156"/>
        <x:v>0</x:v>
      </x:c>
    </x:row>
    <x:row r="699" spans="1:19" outlineLevel="2">
      <x:c r="A699" s="12" t="s">
        <x:v>123</x:v>
      </x:c>
      <x:c r="B699" s="13" t="s">
        <x:v>62</x:v>
      </x:c>
      <x:c r="C699" s="6">
        <x:v>500341.06</x:v>
      </x:c>
      <x:c r="F699" s="6">
        <x:v>500341.06</x:v>
      </x:c>
      <x:c r="G699" s="1">
        <x:f t="shared" si="143"/>
        <x:v>0</x:v>
      </x:c>
      <x:c r="J699" s="3">
        <x:v>60</x:v>
      </x:c>
      <x:c r="K699" s="3">
        <x:v>14.930831</x:v>
      </x:c>
      <x:c r="L699" s="2">
        <x:v>-0.2</x:v>
      </x:c>
      <x:c r="M699" s="1">
        <x:f t="shared" si="151"/>
        <x:v>450999.11581558274</x:v>
      </x:c>
      <x:c r="N699" s="1">
        <x:f t="shared" si="145"/>
        <x:v>1.2312838252650236</x:v>
      </x:c>
      <x:c r="O699" s="1">
        <x:f t="shared" si="152"/>
        <x:v>555307.91651255416</x:v>
      </x:c>
      <x:c r="P699" s="15">
        <x:f t="shared" si="153"/>
        <x:v>0</x:v>
      </x:c>
      <x:c r="Q699" s="15">
        <x:f t="shared" si="154"/>
        <x:v>0</x:v>
      </x:c>
      <x:c r="R699" s="15">
        <x:f t="shared" si="155"/>
        <x:v>555307.91651255416</x:v>
      </x:c>
      <x:c r="S699" s="15">
        <x:f t="shared" si="156"/>
        <x:v>0</x:v>
      </x:c>
    </x:row>
    <x:row r="700" spans="1:19" outlineLevel="2">
      <x:c r="A700" s="12" t="s">
        <x:v>123</x:v>
      </x:c>
      <x:c r="B700" s="13" t="s">
        <x:v>61</x:v>
      </x:c>
      <x:c r="C700" s="6">
        <x:v>252394.12</x:v>
      </x:c>
      <x:c r="F700" s="6">
        <x:v>252394.12</x:v>
      </x:c>
      <x:c r="G700" s="1">
        <x:f t="shared" si="143"/>
        <x:v>0</x:v>
      </x:c>
      <x:c r="J700" s="3">
        <x:v>60</x:v>
      </x:c>
      <x:c r="K700" s="3">
        <x:v>13.849626000000001</x:v>
      </x:c>
      <x:c r="L700" s="2">
        <x:v>-0.2</x:v>
      </x:c>
      <x:c r="M700" s="1">
        <x:f t="shared" si="151"/>
        <x:v>232961.6606680176</x:v>
      </x:c>
      <x:c r="N700" s="1">
        <x:f t="shared" si="145"/>
        <x:v>1.2312838252650236</x:v>
      </x:c>
      <x:c r="O700" s="1">
        <x:f t="shared" si="152"/>
        <x:v>286841.92468740907</x:v>
      </x:c>
      <x:c r="P700" s="15">
        <x:f t="shared" si="153"/>
        <x:v>0</x:v>
      </x:c>
      <x:c r="Q700" s="15">
        <x:f t="shared" si="154"/>
        <x:v>0</x:v>
      </x:c>
      <x:c r="R700" s="15">
        <x:f t="shared" si="155"/>
        <x:v>286841.92468740907</x:v>
      </x:c>
      <x:c r="S700" s="15">
        <x:f t="shared" si="156"/>
        <x:v>0</x:v>
      </x:c>
    </x:row>
    <x:row r="701" spans="1:19" outlineLevel="2">
      <x:c r="A701" s="12" t="s">
        <x:v>123</x:v>
      </x:c>
      <x:c r="B701" s="13" t="s">
        <x:v>60</x:v>
      </x:c>
      <x:c r="C701" s="6">
        <x:v>175351.96</x:v>
      </x:c>
      <x:c r="F701" s="6">
        <x:v>175351.96</x:v>
      </x:c>
      <x:c r="G701" s="1">
        <x:f t="shared" si="143"/>
        <x:v>0</x:v>
      </x:c>
      <x:c r="J701" s="3">
        <x:v>60</x:v>
      </x:c>
      <x:c r="K701" s="3">
        <x:v>13.332444000000001</x:v>
      </x:c>
      <x:c r="L701" s="2">
        <x:v>-0.2</x:v>
      </x:c>
      <x:c r="M701" s="1">
        <x:f t="shared" si="151"/>
        <x:v>163664.94826019517</x:v>
      </x:c>
      <x:c r="N701" s="1">
        <x:f t="shared" si="145"/>
        <x:v>1.2312838252650236</x:v>
      </x:c>
      <x:c r="O701" s="1">
        <x:f t="shared" si="152"/>
        <x:v>201518.00355561529</x:v>
      </x:c>
      <x:c r="P701" s="15">
        <x:f t="shared" si="153"/>
        <x:v>0</x:v>
      </x:c>
      <x:c r="Q701" s="15">
        <x:f t="shared" si="154"/>
        <x:v>0</x:v>
      </x:c>
      <x:c r="R701" s="15">
        <x:f t="shared" si="155"/>
        <x:v>201518.00355561529</x:v>
      </x:c>
      <x:c r="S701" s="15">
        <x:f t="shared" si="156"/>
        <x:v>0</x:v>
      </x:c>
    </x:row>
    <x:row r="702" spans="1:19" outlineLevel="2">
      <x:c r="A702" s="12" t="s">
        <x:v>123</x:v>
      </x:c>
      <x:c r="B702" s="13" t="s">
        <x:v>58</x:v>
      </x:c>
      <x:c r="C702" s="6">
        <x:v>807962.69000000006</x:v>
      </x:c>
      <x:c r="F702" s="6">
        <x:v>807962.69000000006</x:v>
      </x:c>
      <x:c r="G702" s="1">
        <x:f t="shared" si="143"/>
        <x:v>0</x:v>
      </x:c>
      <x:c r="J702" s="3">
        <x:v>60</x:v>
      </x:c>
      <x:c r="K702" s="3">
        <x:v>12.345637999999999</x:v>
      </x:c>
      <x:c r="L702" s="2">
        <x:v>-0.2</x:v>
      </x:c>
      <x:c r="M702" s="1">
        <x:f t="shared" si="151"/>
        <x:v>770058.93023507565</x:v>
      </x:c>
      <x:c r="N702" s="1">
        <x:f t="shared" si="145"/>
        <x:v>1.2312838252650236</x:v>
      </x:c>
      <x:c r="O702" s="1">
        <x:f t="shared" si="152"/>
        <x:v>948161.1052993359</x:v>
      </x:c>
      <x:c r="P702" s="15">
        <x:f t="shared" si="153"/>
        <x:v>0</x:v>
      </x:c>
      <x:c r="Q702" s="15">
        <x:f t="shared" si="154"/>
        <x:v>0</x:v>
      </x:c>
      <x:c r="R702" s="15">
        <x:f t="shared" si="155"/>
        <x:v>948161.1052993359</x:v>
      </x:c>
      <x:c r="S702" s="15">
        <x:f t="shared" si="156"/>
        <x:v>0</x:v>
      </x:c>
    </x:row>
    <x:row r="703" spans="1:19" outlineLevel="2">
      <x:c r="A703" s="12" t="s">
        <x:v>123</x:v>
      </x:c>
      <x:c r="B703" s="13" t="s">
        <x:v>57</x:v>
      </x:c>
      <x:c r="C703" s="6">
        <x:v>5741.68</x:v>
      </x:c>
      <x:c r="F703" s="6">
        <x:v>5741.68</x:v>
      </x:c>
      <x:c r="G703" s="1">
        <x:f t="shared" si="143"/>
        <x:v>0</x:v>
      </x:c>
      <x:c r="J703" s="3">
        <x:v>60</x:v>
      </x:c>
      <x:c r="K703" s="3">
        <x:v>11.422666</x:v>
      </x:c>
      <x:c r="L703" s="2">
        <x:v>-0.2</x:v>
      </x:c>
      <x:c r="M703" s="1">
        <x:f t="shared" si="151"/>
        <x:v>5578.3101416223999</x:v>
      </x:c>
      <x:c r="N703" s="1">
        <x:f t="shared" si="145"/>
        <x:v>1.2312838252650236</x:v>
      </x:c>
      <x:c r="O703" s="1">
        <x:f t="shared" si="152"/>
        <x:v>6868.4830496915038</x:v>
      </x:c>
      <x:c r="P703" s="15">
        <x:f t="shared" si="153"/>
        <x:v>0</x:v>
      </x:c>
      <x:c r="Q703" s="15">
        <x:f t="shared" si="154"/>
        <x:v>0</x:v>
      </x:c>
      <x:c r="R703" s="15">
        <x:f t="shared" si="155"/>
        <x:v>6868.4830496915038</x:v>
      </x:c>
      <x:c r="S703" s="15">
        <x:f t="shared" si="156"/>
        <x:v>0</x:v>
      </x:c>
    </x:row>
    <x:row r="704" spans="1:19" outlineLevel="2">
      <x:c r="A704" s="12" t="s">
        <x:v>123</x:v>
      </x:c>
      <x:c r="B704" s="13" t="s">
        <x:v>55</x:v>
      </x:c>
      <x:c r="C704" s="6">
        <x:v>184.64</x:v>
      </x:c>
      <x:c r="F704" s="6">
        <x:v>184.64</x:v>
      </x:c>
      <x:c r="J704" s="3">
        <x:v>60</x:v>
      </x:c>
      <x:c r="K704" s="3">
        <x:v>10.984548</x:v>
      </x:c>
      <x:c r="L704" s="2">
        <x:v>-0.2</x:v>
      </x:c>
      <x:c r="M704" s="1">
        <x:f t="shared" si="151"/>
        <x:v>181.0042611456</x:v>
      </x:c>
      <x:c r="N704" s="1">
        <x:f t="shared" si="145"/>
        <x:v>1.2312838252650236</x:v>
      </x:c>
      <x:c r="O704" s="1">
        <x:f t="shared" si="152"/>
        <x:v>221.56799999999998</x:v>
      </x:c>
      <x:c r="P704" s="15">
        <x:f t="shared" si="153"/>
        <x:v>0</x:v>
      </x:c>
      <x:c r="Q704" s="15">
        <x:f t="shared" si="154"/>
        <x:v>0</x:v>
      </x:c>
      <x:c r="R704" s="15">
        <x:f t="shared" si="155"/>
        <x:v>221.56799999999998</x:v>
      </x:c>
      <x:c r="S704" s="15">
        <x:f t="shared" si="156"/>
        <x:v>0</x:v>
      </x:c>
    </x:row>
    <x:row r="705" spans="1:20" outlineLevel="2">
      <x:c r="A705" s="12" t="s">
        <x:v>123</x:v>
      </x:c>
      <x:c r="B705" s="13" t="s">
        <x:v>53</x:v>
      </x:c>
      <x:c r="C705" s="6">
        <x:v>405357.04</x:v>
      </x:c>
      <x:c r="F705" s="6">
        <x:v>405357.04</x:v>
      </x:c>
      <x:c r="J705" s="3">
        <x:v>60</x:v>
      </x:c>
      <x:c r="K705" s="3">
        <x:v>19.00095</x:v>
      </x:c>
      <x:c r="L705" s="2">
        <x:v>-0.2</x:v>
      </x:c>
      <x:c r="M705" s="1">
        <x:f t="shared" si="151"/>
        <x:v>332385.07101623999</x:v>
      </x:c>
      <x:c r="N705" s="1">
        <x:f t="shared" si="145"/>
        <x:v>1.2312838252650236</x:v>
      </x:c>
      <x:c r="O705" s="1">
        <x:f t="shared" si="152"/>
        <x:v>409260.36170186248</x:v>
      </x:c>
      <x:c r="P705" s="15">
        <x:f t="shared" si="153"/>
        <x:v>0</x:v>
      </x:c>
      <x:c r="Q705" s="15">
        <x:f t="shared" si="154"/>
        <x:v>0</x:v>
      </x:c>
      <x:c r="R705" s="15">
        <x:f t="shared" si="155"/>
        <x:v>409260.36170186248</x:v>
      </x:c>
      <x:c r="S705" s="15">
        <x:f t="shared" si="156"/>
        <x:v>0</x:v>
      </x:c>
    </x:row>
    <x:row r="706" spans="1:20" outlineLevel="2">
      <x:c r="A706" s="12" t="s">
        <x:v>123</x:v>
      </x:c>
      <x:c r="B706" s="13" t="s">
        <x:v>52</x:v>
      </x:c>
      <x:c r="C706" s="6">
        <x:v>431186.58</x:v>
      </x:c>
      <x:c r="F706" s="6">
        <x:v>431186.58</x:v>
      </x:c>
      <x:c r="J706" s="3">
        <x:v>60</x:v>
      </x:c>
      <x:c r="K706" s="3">
        <x:v>17.832079</x:v>
      </x:c>
      <x:c r="L706" s="2">
        <x:v>-0.2</x:v>
      </x:c>
      <x:c r="M706" s="1">
        <x:f t="shared" si="151"/>
        <x:v>363644.83283400361</x:v>
      </x:c>
      <x:c r="N706" s="1">
        <x:v>1.2312838252650236</x:v>
      </x:c>
      <x:c r="O706" s="1">
        <x:f t="shared" si="152"/>
        <x:v>447750.00080971199</x:v>
      </x:c>
      <x:c r="P706" s="15">
        <x:f t="shared" si="153"/>
        <x:v>0</x:v>
      </x:c>
      <x:c r="Q706" s="15">
        <x:f t="shared" si="154"/>
        <x:v>0</x:v>
      </x:c>
      <x:c r="R706" s="15">
        <x:f t="shared" si="155"/>
        <x:v>447750.00080971199</x:v>
      </x:c>
      <x:c r="S706" s="15">
        <x:f t="shared" si="156"/>
        <x:v>0</x:v>
      </x:c>
    </x:row>
    <x:row r="707" spans="1:20" outlineLevel="1">
      <x:c r="A707" s="5" t="s">
        <x:v>140</x:v>
      </x:c>
      <x:c r="C707" s="1">
        <x:f>SUBTOTAL(9,C658:C706)</x:f>
        <x:v>96633109.489999995</x:v>
      </x:c>
      <x:c r="D707" s="1">
        <x:f>SUBTOTAL(9,D658:D706)</x:f>
        <x:v>0</x:v>
      </x:c>
      <x:c r="E707" s="1">
        <x:f>SUBTOTAL(9,E658:E706)</x:f>
        <x:v>0</x:v>
      </x:c>
      <x:c r="F707" s="1">
        <x:f>SUBTOTAL(9,F658:F706)</x:f>
        <x:v>96633109.489999995</x:v>
      </x:c>
      <x:c r="G707" s="1">
        <x:f>+C707-D707-E707-F707</x:f>
        <x:v>0</x:v>
      </x:c>
      <x:c r="K707" s="3">
        <x:v>17.267641000000001</x:v>
      </x:c>
      <x:c r="M707" s="1">
        <x:f>SUBTOTAL(9,M658:M706)</x:f>
        <x:v>29092816.295830429</x:v>
      </x:c>
      <x:c r="O707" s="1">
        <x:f>SUBTOTAL(9,O658:O706)</x:f>
        <x:v>35777645.023358308</x:v>
      </x:c>
      <x:c r="P707" s="15">
        <x:v>0</x:v>
      </x:c>
      <x:c r="R707" s="15">
        <x:f>+F707/$C707*$O707</x:f>
        <x:v>35777645.023358308</x:v>
      </x:c>
      <x:c r="S707" s="15">
        <x:f t="shared" si="156"/>
        <x:v>0</x:v>
      </x:c>
    </x:row>
    <x:row r="708" spans="1:20">
      <x:c r="A708" s="5" t="s">
        <x:v>3</x:v>
      </x:c>
      <x:c r="C708" s="1">
        <x:f>SUBTOTAL(9,C3:C706)</x:f>
        <x:v>14447994292.219992</x:v>
      </x:c>
      <x:c r="D708" s="1">
        <x:f>SUBTOTAL(9,D3:D706)</x:f>
        <x:v>0</x:v>
      </x:c>
      <x:c r="E708" s="1">
        <x:f>SUBTOTAL(9,E3:E706)</x:f>
        <x:v>403045770.82000005</x:v>
      </x:c>
      <x:c r="F708" s="1">
        <x:f>SUBTOTAL(9,F3:F706)</x:f>
        <x:v>14044948521.399994</x:v>
      </x:c>
      <x:c r="G708" s="1">
        <x:f>+C708-D708-E708-F708</x:f>
        <x:v>0</x:v>
      </x:c>
      <x:c r="M708" s="1">
        <x:f>SUBTOTAL(9,M3:M706)</x:f>
        <x:v>2754679552.8786116</x:v>
      </x:c>
      <x:c r="O708" s="1">
        <x:f>SUBTOTAL(9,O3:O706)</x:f>
        <x:v>3465927872.0671916</x:v>
      </x:c>
      <x:c r="P708" s="15">
        <x:f>SUBTOTAL(9,P3:P707)</x:f>
        <x:v>0</x:v>
      </x:c>
      <x:c r="Q708" s="15">
        <x:f>SUBTOTAL(9,Q3:Q706)</x:f>
        <x:v>95757658.198154762</x:v>
      </x:c>
      <x:c r="R708" s="15">
        <x:f>SUBTOTAL(9,R3:R706)</x:f>
        <x:v>3370170213.8690372</x:v>
      </x:c>
      <x:c r="S708" s="15">
        <x:f t="shared" si="156"/>
        <x:v>0</x:v>
      </x:c>
    </x:row>
    <x:row r="711" spans="1:20">
      <x:c r="C711" s="17"/>
      <x:c r="D711" s="17"/>
      <x:c r="E711" s="17"/>
      <x:c r="F711" s="17"/>
      <x:c r="G711" s="15"/>
      <x:c r="J711" s="16"/>
      <x:c r="K711" s="16"/>
      <x:c r="M711" s="15"/>
      <x:c r="N711" s="15"/>
      <x:c r="O711" s="15"/>
    </x:row>
    <x:row r="712" spans="1:20">
      <x:c r="A712" s="12" t="s">
        <x:v>141</x:v>
      </x:c>
      <x:c r="B712" s="7" t="s">
        <x:v>151</x:v>
      </x:c>
      <x:c r="C712" s="6">
        <x:v>7083.81</x:v>
      </x:c>
      <x:c r="D712" s="6">
        <x:v>7083.81</x:v>
      </x:c>
      <x:c r="G712" s="1">
        <x:f>+C712-D712-E712-F712</x:f>
        <x:v>0</x:v>
      </x:c>
      <x:c r="J712" s="3">
        <x:v>62</x:v>
      </x:c>
      <x:c r="K712" s="3">
        <x:v>59.502571000000003</x:v>
      </x:c>
      <x:c r="L712" s="2">
        <x:v>-0.47</x:v>
      </x:c>
      <x:c r="M712" s="1">
        <x:f t="shared" ref="M712:M719" si="157">+C712*(1-K712/J712)*(1-L712)</x:f>
        <x:v>419.45531308064972</x:v>
      </x:c>
      <x:c r="N712" s="1">
        <x:v>1.1285985045285893</x:v>
      </x:c>
      <x:c r="O712" s="1">
        <x:f t="shared" ref="O712:O719" si="158">IF((C712*(1-L712)-M712*N712)&lt;0,C712*(1-L712),M712*N712)</x:f>
        <x:v>473.3966390593925</x:v>
      </x:c>
      <x:c r="P712" s="15">
        <x:f t="shared" ref="P712:P719" si="159">+O712</x:f>
        <x:v>473.3966390593925</x:v>
      </x:c>
      <x:c r="Q712" s="15">
        <x:f t="shared" ref="Q712:Q736" si="160">+E712/$C712*$O712</x:f>
        <x:v>0</x:v>
      </x:c>
      <x:c r="R712" s="15">
        <x:f t="shared" ref="R712:R736" si="161">+F712/$C712*$O712</x:f>
        <x:v>0</x:v>
      </x:c>
      <x:c r="S712" s="15">
        <x:f t="shared" ref="S712:S737" si="162">+O712-P712-Q712-R712</x:f>
        <x:v>0</x:v>
      </x:c>
    </x:row>
    <x:row r="713" spans="1:20">
      <x:c r="A713" s="12" t="s">
        <x:v>141</x:v>
      </x:c>
      <x:c r="B713" s="7" t="s">
        <x:v>109</x:v>
      </x:c>
      <x:c r="C713" s="6">
        <x:v>4.05</x:v>
      </x:c>
      <x:c r="D713" s="6">
        <x:v>4.05</x:v>
      </x:c>
      <x:c r="J713" s="3">
        <x:v>62</x:v>
      </x:c>
      <x:c r="K713" s="3">
        <x:v>56.508136999999998</x:v>
      </x:c>
      <x:c r="L713" s="2">
        <x:v>-0.47</x:v>
      </x:c>
      <x:c r="M713" s="1">
        <x:f t="shared" si="157"/>
        <x:v>0.52735171565322603</x:v>
      </x:c>
      <x:c r="N713" s="1">
        <x:v>1.1285985045285893</x:v>
      </x:c>
      <x:c r="O713" s="15">
        <x:f t="shared" si="158"/>
        <x:v>0.59516835764681675</x:v>
      </x:c>
      <x:c r="P713" s="15">
        <x:f t="shared" si="159"/>
        <x:v>0.59516835764681675</x:v>
      </x:c>
      <x:c r="Q713" s="15">
        <x:f t="shared" si="160"/>
        <x:v>0</x:v>
      </x:c>
      <x:c r="R713" s="15">
        <x:f t="shared" si="161"/>
        <x:v>0</x:v>
      </x:c>
      <x:c r="S713" s="15">
        <x:f t="shared" si="162"/>
        <x:v>0</x:v>
      </x:c>
    </x:row>
    <x:row r="714" spans="1:20">
      <x:c r="A714" s="12" t="s">
        <x:v>141</x:v>
      </x:c>
      <x:c r="B714" s="7" t="s">
        <x:v>108</x:v>
      </x:c>
      <x:c r="C714" s="6">
        <x:v>18982.599999999999</x:v>
      </x:c>
      <x:c r="D714" s="6">
        <x:v>18982.599999999999</x:v>
      </x:c>
      <x:c r="J714" s="3">
        <x:v>62</x:v>
      </x:c>
      <x:c r="K714" s="3">
        <x:v>55.510877999999998</x:v>
      </x:c>
      <x:c r="L714" s="2">
        <x:v>-0.47</x:v>
      </x:c>
      <x:c r="M714" s="1">
        <x:f t="shared" si="157"/>
        <x:v>2920.5677209271616</x:v>
      </x:c>
      <x:c r="N714" s="1">
        <x:v>1.1285985045285893</x:v>
      </x:c>
      <x:c r="O714" s="15">
        <x:f t="shared" si="158"/>
        <x:v>3296.1483622128649</x:v>
      </x:c>
      <x:c r="P714" s="15">
        <x:f t="shared" si="159"/>
        <x:v>3296.1483622128649</x:v>
      </x:c>
      <x:c r="Q714" s="15">
        <x:f t="shared" si="160"/>
        <x:v>0</x:v>
      </x:c>
      <x:c r="R714" s="15">
        <x:f t="shared" si="161"/>
        <x:v>0</x:v>
      </x:c>
      <x:c r="S714" s="15">
        <x:f t="shared" si="162"/>
        <x:v>0</x:v>
      </x:c>
    </x:row>
    <x:row r="715" spans="1:20">
      <x:c r="A715" s="12" t="s">
        <x:v>141</x:v>
      </x:c>
      <x:c r="B715" s="7" t="s">
        <x:v>107</x:v>
      </x:c>
      <x:c r="C715" s="6">
        <x:v>349719.9</x:v>
      </x:c>
      <x:c r="D715" s="6">
        <x:v>349719.9</x:v>
      </x:c>
      <x:c r="G715" s="1">
        <x:f t="shared" ref="G715:G721" si="163">+C715-D715-E715-F715</x:f>
        <x:v>0</x:v>
      </x:c>
      <x:c r="J715" s="3">
        <x:v>62</x:v>
      </x:c>
      <x:c r="K715" s="3">
        <x:v>54.514161999999999</x:v>
      </x:c>
      <x:c r="L715" s="2">
        <x:v>-0.47</x:v>
      </x:c>
      <x:c r="M715" s="1">
        <x:f t="shared" si="157"/>
        <x:v>62070.667413887299</x:v>
      </x:c>
      <x:c r="N715" s="1">
        <x:v>1.1285985045285893</x:v>
      </x:c>
      <x:c r="O715" s="15">
        <x:f t="shared" si="158"/>
        <x:v>70052.862418404649</x:v>
      </x:c>
      <x:c r="P715" s="15">
        <x:f t="shared" si="159"/>
        <x:v>70052.862418404649</x:v>
      </x:c>
      <x:c r="Q715" s="15">
        <x:f t="shared" si="160"/>
        <x:v>0</x:v>
      </x:c>
      <x:c r="R715" s="15">
        <x:f t="shared" si="161"/>
        <x:v>0</x:v>
      </x:c>
      <x:c r="S715" s="15">
        <x:f t="shared" si="162"/>
        <x:v>0</x:v>
      </x:c>
    </x:row>
    <x:row r="716" spans="1:20">
      <x:c r="A716" s="12" t="s">
        <x:v>141</x:v>
      </x:c>
      <x:c r="B716" s="7" t="s">
        <x:v>105</x:v>
      </x:c>
      <x:c r="C716" s="6">
        <x:v>5929.18</x:v>
      </x:c>
      <x:c r="D716" s="6">
        <x:v>5929.18</x:v>
      </x:c>
      <x:c r="G716" s="1">
        <x:f t="shared" si="163"/>
        <x:v>0</x:v>
      </x:c>
      <x:c r="J716" s="3">
        <x:v>62</x:v>
      </x:c>
      <x:c r="K716" s="3">
        <x:v>52.522936000000001</x:v>
      </x:c>
      <x:c r="L716" s="2">
        <x:v>-0.47</x:v>
      </x:c>
      <x:c r="M716" s="1">
        <x:f t="shared" si="157"/>
        <x:v>1332.2756603460384</x:v>
      </x:c>
      <x:c r="N716" s="1">
        <x:v>1.1285985045285893</x:v>
      </x:c>
      <x:c r="O716" s="15">
        <x:f t="shared" si="158"/>
        <x:v>1503.6043178863779</x:v>
      </x:c>
      <x:c r="P716" s="15">
        <x:f t="shared" si="159"/>
        <x:v>1503.6043178863779</x:v>
      </x:c>
      <x:c r="Q716" s="15">
        <x:f t="shared" si="160"/>
        <x:v>0</x:v>
      </x:c>
      <x:c r="R716" s="15">
        <x:f t="shared" si="161"/>
        <x:v>0</x:v>
      </x:c>
      <x:c r="S716" s="15">
        <x:f t="shared" si="162"/>
        <x:v>0</x:v>
      </x:c>
    </x:row>
    <x:row r="717" spans="1:20">
      <x:c r="A717" s="12" t="s">
        <x:v>141</x:v>
      </x:c>
      <x:c r="B717" s="7" t="s">
        <x:v>104</x:v>
      </x:c>
      <x:c r="C717" s="6">
        <x:v>21986.91</x:v>
      </x:c>
      <x:c r="D717" s="6">
        <x:v>21986.91</x:v>
      </x:c>
      <x:c r="G717" s="1">
        <x:f t="shared" si="163"/>
        <x:v>0</x:v>
      </x:c>
      <x:c r="J717" s="3">
        <x:v>62</x:v>
      </x:c>
      <x:c r="K717" s="3">
        <x:v>51.528593999999998</x:v>
      </x:c>
      <x:c r="L717" s="2">
        <x:v>-0.47</x:v>
      </x:c>
      <x:c r="M717" s="1">
        <x:f t="shared" si="157"/>
        <x:v>5458.7705823278429</x:v>
      </x:c>
      <x:c r="N717" s="1">
        <x:v>1.1285985045285893</x:v>
      </x:c>
      <x:c r="O717" s="15">
        <x:f t="shared" si="158"/>
        <x:v>6160.7603157798603</x:v>
      </x:c>
      <x:c r="P717" s="15">
        <x:f t="shared" si="159"/>
        <x:v>6160.7603157798603</x:v>
      </x:c>
      <x:c r="Q717" s="15">
        <x:f t="shared" si="160"/>
        <x:v>0</x:v>
      </x:c>
      <x:c r="R717" s="15">
        <x:f t="shared" si="161"/>
        <x:v>0</x:v>
      </x:c>
      <x:c r="S717" s="15">
        <x:f t="shared" si="162"/>
        <x:v>0</x:v>
      </x:c>
    </x:row>
    <x:row r="718" spans="1:20">
      <x:c r="A718" s="12" t="s">
        <x:v>141</x:v>
      </x:c>
      <x:c r="B718" s="7" t="s">
        <x:v>95</x:v>
      </x:c>
      <x:c r="C718" s="6">
        <x:v>3447.49</x:v>
      </x:c>
      <x:c r="D718" s="6">
        <x:v>3447.49</x:v>
      </x:c>
      <x:c r="G718" s="1">
        <x:f t="shared" si="163"/>
        <x:v>0</x:v>
      </x:c>
      <x:c r="J718" s="3">
        <x:v>62</x:v>
      </x:c>
      <x:c r="K718" s="3">
        <x:v>41.677332999999997</x:v>
      </x:c>
      <x:c r="L718" s="2">
        <x:v>-0.47</x:v>
      </x:c>
      <x:c r="M718" s="1">
        <x:f t="shared" si="157"/>
        <x:v>1661.1519539688725</x:v>
      </x:c>
      <x:c r="N718" s="1">
        <x:v>1.1285985045285893</x:v>
      </x:c>
      <x:c r="O718" s="15">
        <x:f t="shared" si="158"/>
        <x:v>1874.7736110440135</x:v>
      </x:c>
      <x:c r="P718" s="15">
        <x:f t="shared" si="159"/>
        <x:v>1874.7736110440135</x:v>
      </x:c>
      <x:c r="Q718" s="15">
        <x:f t="shared" si="160"/>
        <x:v>0</x:v>
      </x:c>
      <x:c r="R718" s="15">
        <x:f t="shared" si="161"/>
        <x:v>0</x:v>
      </x:c>
      <x:c r="S718" s="15">
        <x:f t="shared" si="162"/>
        <x:v>0</x:v>
      </x:c>
    </x:row>
    <x:row r="719" spans="1:20">
      <x:c r="A719" s="12" t="s">
        <x:v>141</x:v>
      </x:c>
      <x:c r="B719" s="7">
        <x:v>1997</x:v>
      </x:c>
      <x:c r="C719" s="6">
        <x:v>1286498.81</x:v>
      </x:c>
      <x:c r="D719" s="6">
        <x:v>1286498.81</x:v>
      </x:c>
      <x:c r="G719" s="1">
        <x:f t="shared" si="163"/>
        <x:v>0</x:v>
      </x:c>
      <x:c r="J719" s="3">
        <x:v>62</x:v>
      </x:c>
      <x:c r="K719" s="3">
        <x:v>34.982413000000001</x:v>
      </x:c>
      <x:c r="L719" s="2">
        <x:v>-0.47</x:v>
      </x:c>
      <x:c r="M719" s="1">
        <x:f t="shared" si="157"/>
        <x:v>824103.18517935579</x:v>
      </x:c>
      <x:c r="N719" s="1">
        <x:v>1.1285985045285893</x:v>
      </x:c>
      <x:c r="O719" s="15">
        <x:f t="shared" si="158"/>
        <x:v>930081.6223706681</x:v>
      </x:c>
      <x:c r="P719" s="15">
        <x:f t="shared" si="159"/>
        <x:v>930081.6223706681</x:v>
      </x:c>
      <x:c r="Q719" s="15">
        <x:f t="shared" si="160"/>
        <x:v>0</x:v>
      </x:c>
      <x:c r="R719" s="15">
        <x:f t="shared" si="161"/>
        <x:v>0</x:v>
      </x:c>
      <x:c r="S719" s="15">
        <x:f t="shared" si="162"/>
        <x:v>0</x:v>
      </x:c>
    </x:row>
    <x:row r="720" spans="1:20" s="20" customFormat="1">
      <x:c r="A720" s="5" t="s">
        <x:v>143</x:v>
      </x:c>
      <x:c r="B720" s="7"/>
      <x:c r="C720" s="16">
        <x:f>SUBTOTAL(9,C712:C719)</x:f>
        <x:v>1693652.75</x:v>
      </x:c>
      <x:c r="D720" s="16">
        <x:f>SUBTOTAL(9,D712:D719)</x:f>
        <x:v>1693652.75</x:v>
      </x:c>
      <x:c r="E720" s="17">
        <x:f>SUBTOTAL(9,E712:E719)</x:f>
        <x:v>0</x:v>
      </x:c>
      <x:c r="F720" s="17">
        <x:f>SUBTOTAL(9,F712:F719)</x:f>
        <x:v>0</x:v>
      </x:c>
      <x:c r="G720" s="16">
        <x:f t="shared" si="163"/>
        <x:v>0</x:v>
      </x:c>
      <x:c r="H720" s="16"/>
      <x:c r="I720" s="16"/>
      <x:c r="J720" s="16"/>
      <x:c r="K720" s="16"/>
      <x:c r="L720" s="4" t="s">
        <x:v>145</x:v>
      </x:c>
      <x:c r="M720" s="16">
        <x:f>SUBTOTAL(9,M712:M719)</x:f>
        <x:v>897966.60117560928</x:v>
      </x:c>
      <x:c r="N720" s="16"/>
      <x:c r="O720" s="16">
        <x:f>SUBTOTAL(9,O712:O719)</x:f>
        <x:v>1013443.7632034129</x:v>
      </x:c>
      <x:c r="P720" s="16">
        <x:f t="shared" ref="P720:P736" si="164">+D720/$C720*$O720</x:f>
        <x:v>1013443.7632034129</x:v>
      </x:c>
      <x:c r="Q720" s="16"/>
      <x:c r="R720" s="16">
        <x:f t="shared" si="161"/>
        <x:v>0</x:v>
      </x:c>
      <x:c r="S720" s="16">
        <x:f t="shared" si="162"/>
        <x:v>0</x:v>
      </x:c>
      <x:c r="T720" s="21"/>
    </x:row>
    <x:row r="721" spans="1:19">
      <x:c r="A721" s="12" t="s">
        <x:v>142</x:v>
      </x:c>
      <x:c r="B721" s="7" t="s">
        <x:v>150</x:v>
      </x:c>
      <x:c r="C721" s="6">
        <x:v>1365.94</x:v>
      </x:c>
      <x:c r="D721" s="6">
        <x:v>1315.45</x:v>
      </x:c>
      <x:c r="E721" s="6">
        <x:v>50.490000000000009</x:v>
      </x:c>
      <x:c r="G721" s="1">
        <x:f t="shared" si="163"/>
        <x:v>0</x:v>
      </x:c>
      <x:c r="J721" s="3">
        <x:v>30</x:v>
      </x:c>
      <x:c r="K721" s="3">
        <x:v>28.649208999999999</x:v>
      </x:c>
      <x:c r="L721" s="4">
        <x:v>-0.2</x:v>
      </x:c>
      <x:c r="M721" s="3">
        <x:f t="shared" ref="M721:M736" si="165">+C721*(1-K721/J721)*(1-L721)</x:f>
        <x:v>73.803978341600072</x:v>
      </x:c>
      <x:c r="N721" s="3">
        <x:v>1.1286985871844717</x:v>
      </x:c>
      <x:c r="O721" s="3">
        <x:f t="shared" ref="O721:O736" si="166">IF((C721*(1-L721)-M721*N721)&lt;0,C721*(1-L721),M721*N721)</x:f>
        <x:v>83.302446082757342</x:v>
      </x:c>
      <x:c r="P721" s="15">
        <x:f t="shared" si="164"/>
        <x:v>80.223291432686025</x:v>
      </x:c>
      <x:c r="Q721" s="15">
        <x:f t="shared" si="160"/>
        <x:v>3.0791546500713203</x:v>
      </x:c>
      <x:c r="R721" s="15">
        <x:f t="shared" si="161"/>
        <x:v>0</x:v>
      </x:c>
      <x:c r="S721" s="15">
        <x:f t="shared" si="162"/>
        <x:v>-3.5527136788005009E-15</x:v>
      </x:c>
    </x:row>
    <x:row r="722" spans="1:19">
      <x:c r="A722" s="12" t="s">
        <x:v>142</x:v>
      </x:c>
      <x:c r="B722" s="7" t="s">
        <x:v>151</x:v>
      </x:c>
      <x:c r="C722" s="6">
        <x:v>701299.7</x:v>
      </x:c>
      <x:c r="D722" s="6">
        <x:v>700645.07</x:v>
      </x:c>
      <x:c r="E722" s="6">
        <x:v>654.63000000000102</x:v>
      </x:c>
      <x:c r="J722" s="3">
        <x:v>30</x:v>
      </x:c>
      <x:c r="K722" s="3">
        <x:v>27.759616000000001</x:v>
      </x:c>
      <x:c r="L722" s="4">
        <x:v>-0.2</x:v>
      </x:c>
      <x:c r="M722" s="3">
        <x:f t="shared" si="165"/>
        <x:v>62847.225083391917</x:v>
      </x:c>
      <x:c r="N722" s="3">
        <x:v>1.1286985871844717</x:v>
      </x:c>
      <x:c r="O722" s="3">
        <x:f t="shared" si="166"/>
        <x:v>70935.574160088945</x:v>
      </x:c>
      <x:c r="P722" s="15">
        <x:f t="shared" si="164"/>
        <x:v>70869.359166823691</x:v>
      </x:c>
      <x:c r="Q722" s="15">
        <x:f t="shared" si="160"/>
        <x:v>66.214993265246079</x:v>
      </x:c>
      <x:c r="R722" s="15">
        <x:f t="shared" si="161"/>
        <x:v>0</x:v>
      </x:c>
      <x:c r="S722" s="15">
        <x:f t="shared" si="162"/>
        <x:v>7.645439836778678E-12</x:v>
      </x:c>
    </x:row>
    <x:row r="723" spans="1:19">
      <x:c r="A723" s="12" t="s">
        <x:v>142</x:v>
      </x:c>
      <x:c r="B723" s="7" t="s">
        <x:v>109</x:v>
      </x:c>
      <x:c r="C723" s="6">
        <x:v>1845.1999999999998</x:v>
      </x:c>
      <x:c r="D723" s="6">
        <x:v>1776</x:v>
      </x:c>
      <x:c r="E723" s="6">
        <x:v>69.199999999999903</x:v>
      </x:c>
      <x:c r="J723" s="3">
        <x:v>30</x:v>
      </x:c>
      <x:c r="K723" s="3">
        <x:v>25.146840000000001</x:v>
      </x:c>
      <x:c r="L723" s="4">
        <x:v>-0.2</x:v>
      </x:c>
      <x:c r="M723" s="3">
        <x:f t="shared" si="165"/>
        <x:v>358.20203327999974</x:v>
      </x:c>
      <x:c r="N723" s="3">
        <x:v>1.1286985871844717</x:v>
      </x:c>
      <x:c r="O723" s="3">
        <x:f t="shared" si="166"/>
        <x:v>404.3021288897408</x:v>
      </x:c>
      <x:c r="P723" s="15">
        <x:f t="shared" si="164"/>
        <x:v>389.13970350540848</x:v>
      </x:c>
      <x:c r="Q723" s="15">
        <x:f t="shared" si="160"/>
        <x:v>15.162425384332336</x:v>
      </x:c>
      <x:c r="R723" s="15">
        <x:f t="shared" si="161"/>
        <x:v>0</x:v>
      </x:c>
      <x:c r="S723" s="15">
        <x:f t="shared" si="162"/>
        <x:v>-1.2434497875801753E-14</x:v>
      </x:c>
    </x:row>
    <x:row r="724" spans="1:19">
      <x:c r="A724" s="12" t="s">
        <x:v>142</x:v>
      </x:c>
      <x:c r="B724" s="7" t="s">
        <x:v>108</x:v>
      </x:c>
      <x:c r="C724" s="6">
        <x:v>615490.1100000001</x:v>
      </x:c>
      <x:c r="D724" s="6">
        <x:v>588057.68000000005</x:v>
      </x:c>
      <x:c r="E724" s="6">
        <x:v>27432.43</x:v>
      </x:c>
      <x:c r="J724" s="3">
        <x:v>30</x:v>
      </x:c>
      <x:c r="K724" s="3">
        <x:v>24.296032</x:v>
      </x:c>
      <x:c r="L724" s="4">
        <x:v>-0.2</x:v>
      </x:c>
      <x:c r="M724" s="3">
        <x:f t="shared" si="165"/>
        <x:v>140429.43567025918</x:v>
      </x:c>
      <x:c r="N724" s="3">
        <x:v>1.1286985871844717</x:v>
      </x:c>
      <x:c r="O724" s="3">
        <x:f t="shared" si="166"/>
        <x:v>158502.50564013419</x:v>
      </x:c>
      <x:c r="P724" s="15">
        <x:f t="shared" si="164"/>
        <x:v>151438.03974514588</x:v>
      </x:c>
      <x:c r="Q724" s="15">
        <x:f t="shared" si="160"/>
        <x:v>7064.4658949882805</x:v>
      </x:c>
      <x:c r="R724" s="15">
        <x:f t="shared" si="161"/>
        <x:v>0</x:v>
      </x:c>
      <x:c r="S724" s="15">
        <x:f t="shared" si="162"/>
        <x:v>2.0918378140777349E-11</x:v>
      </x:c>
    </x:row>
    <x:row r="725" spans="1:19">
      <x:c r="A725" s="12" t="s">
        <x:v>142</x:v>
      </x:c>
      <x:c r="B725" s="7" t="s">
        <x:v>107</x:v>
      </x:c>
      <x:c r="C725" s="6">
        <x:v>11307530.449999999</x:v>
      </x:c>
      <x:c r="D725" s="6">
        <x:v>10803307.68</x:v>
      </x:c>
      <x:c r="E725" s="6">
        <x:v>504222.77</x:v>
      </x:c>
      <x:c r="J725" s="3">
        <x:v>30</x:v>
      </x:c>
      <x:c r="K725" s="3">
        <x:v>23.455777999999999</x:v>
      </x:c>
      <x:c r="L725" s="4">
        <x:v>-0.2</x:v>
      </x:c>
      <x:c r="M725" s="3">
        <x:f t="shared" si="165"/>
        <x:v>2959959.5814623968</x:v>
      </x:c>
      <x:c r="N725" s="3">
        <x:v>1.1286985871844717</x:v>
      </x:c>
      <x:c r="O725" s="3">
        <x:f t="shared" si="166"/>
        <x:v>3340902.1977197472</x:v>
      </x:c>
      <x:c r="P725" s="15">
        <x:f t="shared" si="164"/>
        <x:v>3191925.4633317948</x:v>
      </x:c>
      <x:c r="Q725" s="15">
        <x:f t="shared" si="160"/>
        <x:v>148976.73438795283</x:v>
      </x:c>
      <x:c r="R725" s="15">
        <x:f t="shared" si="161"/>
        <x:v>0</x:v>
      </x:c>
      <x:c r="S725" s="15">
        <x:f t="shared" si="162"/>
        <x:v>-4.6566128730773926E-10</x:v>
      </x:c>
    </x:row>
    <x:row r="726" spans="1:19">
      <x:c r="A726" s="12" t="s">
        <x:v>142</x:v>
      </x:c>
      <x:c r="B726" s="7" t="s">
        <x:v>106</x:v>
      </x:c>
      <x:c r="C726" s="6">
        <x:v>49508.36</x:v>
      </x:c>
      <x:c r="D726" s="6">
        <x:v>49508.36</x:v>
      </x:c>
      <x:c r="G726" s="1">
        <x:f t="shared" ref="G726:G737" si="167">+C726-D726-E726-F726</x:f>
        <x:v>0</x:v>
      </x:c>
      <x:c r="J726" s="3">
        <x:v>30</x:v>
      </x:c>
      <x:c r="K726" s="3">
        <x:v>22.626944000000002</x:v>
      </x:c>
      <x:c r="L726" s="4">
        <x:v>-0.2</x:v>
      </x:c>
      <x:c r="M726" s="3">
        <x:f t="shared" si="165"/>
        <x:v>14601.116429926395</x:v>
      </x:c>
      <x:c r="N726" s="3">
        <x:v>1.1286985871844717</x:v>
      </x:c>
      <x:c r="O726" s="3">
        <x:f t="shared" si="166"/>
        <x:v>16480.259485773899</x:v>
      </x:c>
      <x:c r="P726" s="15">
        <x:f t="shared" si="164"/>
        <x:v>16480.259485773899</x:v>
      </x:c>
      <x:c r="Q726" s="15">
        <x:f t="shared" si="160"/>
        <x:v>0</x:v>
      </x:c>
      <x:c r="R726" s="15">
        <x:f t="shared" si="161"/>
        <x:v>0</x:v>
      </x:c>
      <x:c r="S726" s="15">
        <x:f t="shared" si="162"/>
        <x:v>0</x:v>
      </x:c>
    </x:row>
    <x:row r="727" spans="1:19">
      <x:c r="A727" s="12" t="s">
        <x:v>142</x:v>
      </x:c>
      <x:c r="B727" s="7" t="s">
        <x:v>105</x:v>
      </x:c>
      <x:c r="C727" s="6">
        <x:v>273693.02</x:v>
      </x:c>
      <x:c r="D727" s="6">
        <x:v>37023.849999999984</x:v>
      </x:c>
      <x:c r="E727" s="6">
        <x:v>236669.17</x:v>
      </x:c>
      <x:c r="G727" s="1">
        <x:f t="shared" si="167"/>
        <x:v>2.9103830456733704E-11</x:v>
      </x:c>
      <x:c r="J727" s="3">
        <x:v>30</x:v>
      </x:c>
      <x:c r="K727" s="3">
        <x:v>21.809453000000001</x:v>
      </x:c>
      <x:c r="L727" s="4">
        <x:v>-0.2</x:v>
      </x:c>
      <x:c r="M727" s="3">
        <x:f t="shared" si="165"/>
        <x:v>89667.821755277604</x:v>
      </x:c>
      <x:c r="N727" s="3">
        <x:v>1.1286985871844717</x:v>
      </x:c>
      <x:c r="O727" s="3">
        <x:f t="shared" si="166"/>
        <x:v>101207.94373109087</x:v>
      </x:c>
      <x:c r="P727" s="15">
        <x:f t="shared" si="164"/>
        <x:v>13690.914468729772</x:v>
      </x:c>
      <x:c r="Q727" s="15">
        <x:f t="shared" si="160"/>
        <x:v>87517.029262361088</x:v>
      </x:c>
      <x:c r="R727" s="15">
        <x:f t="shared" si="161"/>
        <x:v>0</x:v>
      </x:c>
      <x:c r="S727" s="15">
        <x:f t="shared" si="162"/>
        <x:v>1.4551915228366852E-11</x:v>
      </x:c>
    </x:row>
    <x:row r="728" spans="1:19">
      <x:c r="A728" s="12" t="s">
        <x:v>142</x:v>
      </x:c>
      <x:c r="B728" s="7" t="s">
        <x:v>104</x:v>
      </x:c>
      <x:c r="C728" s="6">
        <x:v>1947237.4100000001</x:v>
      </x:c>
      <x:c r="D728" s="6">
        <x:v>1092499.0900000001</x:v>
      </x:c>
      <x:c r="E728" s="6">
        <x:v>854738.32000000007</x:v>
      </x:c>
      <x:c r="G728" s="1">
        <x:f t="shared" si="167"/>
        <x:v>0</x:v>
      </x:c>
      <x:c r="J728" s="3">
        <x:v>30</x:v>
      </x:c>
      <x:c r="K728" s="3">
        <x:v>21.003668000000001</x:v>
      </x:c>
      <x:c r="L728" s="4">
        <x:v>-0.2</x:v>
      </x:c>
      <x:c r="M728" s="3">
        <x:f t="shared" si="165"/>
        <x:v>700719.76892720489</x:v>
      </x:c>
      <x:c r="N728" s="3">
        <x:v>1.1286985871844717</x:v>
      </x:c>
      <x:c r="O728" s="3">
        <x:f t="shared" si="166"/>
        <x:v>790901.41320036561</x:v>
      </x:c>
      <x:c r="P728" s="15">
        <x:f t="shared" si="164"/>
        <x:v>443735.86382623651</x:v>
      </x:c>
      <x:c r="Q728" s="15">
        <x:f t="shared" si="160"/>
        <x:v>347165.5493741291</x:v>
      </x:c>
      <x:c r="R728" s="15">
        <x:f t="shared" si="161"/>
        <x:v>0</x:v>
      </x:c>
      <x:c r="S728" s="15">
        <x:f t="shared" si="162"/>
        <x:v>0</x:v>
      </x:c>
    </x:row>
    <x:row r="729" spans="1:19">
      <x:c r="A729" s="12" t="s">
        <x:v>142</x:v>
      </x:c>
      <x:c r="B729" s="7" t="s">
        <x:v>101</x:v>
      </x:c>
      <x:c r="C729" s="6">
        <x:v>34912.320000000007</x:v>
      </x:c>
      <x:c r="D729" s="6">
        <x:v>16585.550000000003</x:v>
      </x:c>
      <x:c r="E729" s="6">
        <x:v>18326.77</x:v>
      </x:c>
      <x:c r="G729" s="1">
        <x:f t="shared" si="167"/>
        <x:v>3.637978807091713E-12</x:v>
      </x:c>
      <x:c r="J729" s="3">
        <x:v>30</x:v>
      </x:c>
      <x:c r="K729" s="3">
        <x:v>18.662182000000001</x:v>
      </x:c>
      <x:c r="L729" s="4">
        <x:v>-0.2</x:v>
      </x:c>
      <x:c r="M729" s="3">
        <x:f t="shared" si="165"/>
        <x:v>15833.181204710401</x:v>
      </x:c>
      <x:c r="N729" s="3">
        <x:v>1.1286985871844717</x:v>
      </x:c>
      <x:c r="O729" s="3">
        <x:f t="shared" si="166"/>
        <x:v>17870.889256392362</x:v>
      </x:c>
      <x:c r="P729" s="15">
        <x:f t="shared" si="164"/>
        <x:v>8489.7975071939745</x:v>
      </x:c>
      <x:c r="Q729" s="15">
        <x:f t="shared" si="160"/>
        <x:v>9381.0917491983855</x:v>
      </x:c>
      <x:c r="R729" s="15">
        <x:f t="shared" si="161"/>
        <x:v>0</x:v>
      </x:c>
      <x:c r="S729" s="15">
        <x:f t="shared" si="162"/>
        <x:v>1.8189894035458565E-12</x:v>
      </x:c>
    </x:row>
    <x:row r="730" spans="1:19">
      <x:c r="A730" s="12" t="s">
        <x:v>142</x:v>
      </x:c>
      <x:c r="B730" s="7" t="s">
        <x:v>100</x:v>
      </x:c>
      <x:c r="C730" s="6">
        <x:v>786.35</x:v>
      </x:c>
      <x:c r="D730" s="6">
        <x:v>757.28</x:v>
      </x:c>
      <x:c r="E730" s="6">
        <x:v>29.07000000000005</x:v>
      </x:c>
      <x:c r="G730" s="1">
        <x:f t="shared" si="167"/>
        <x:v>0</x:v>
      </x:c>
      <x:c r="J730" s="3">
        <x:v>30</x:v>
      </x:c>
      <x:c r="K730" s="3">
        <x:v>17.908397999999998</x:v>
      </x:c>
      <x:c r="L730" s="4">
        <x:v>-0.2</x:v>
      </x:c>
      <x:c r="M730" s="3">
        <x:f t="shared" si="165"/>
        <x:v>380.32924930799999</x:v>
      </x:c>
      <x:c r="N730" s="3">
        <x:v>1.1286985871844717</x:v>
      </x:c>
      <x:c r="O730" s="3">
        <x:f t="shared" si="166"/>
        <x:v>429.27708635887029</x:v>
      </x:c>
      <x:c r="P730" s="15">
        <x:f t="shared" si="164"/>
        <x:v>413.40745464213808</x:v>
      </x:c>
      <x:c r="Q730" s="15">
        <x:f t="shared" si="160"/>
        <x:v>15.86963171673222</x:v>
      </x:c>
      <x:c r="R730" s="15">
        <x:f t="shared" si="161"/>
        <x:v>0</x:v>
      </x:c>
      <x:c r="S730" s="15">
        <x:f t="shared" si="162"/>
        <x:v>-5.3290705182007514E-15</x:v>
      </x:c>
    </x:row>
    <x:row r="731" spans="1:19">
      <x:c r="A731" s="12" t="s">
        <x:v>142</x:v>
      </x:c>
      <x:c r="B731" s="7" t="s">
        <x:v>99</x:v>
      </x:c>
      <x:c r="C731" s="6">
        <x:v>183.95</x:v>
      </x:c>
      <x:c r="D731" s="6">
        <x:v>177.15</x:v>
      </x:c>
      <x:c r="E731" s="6">
        <x:v>6.7999999999999829</x:v>
      </x:c>
      <x:c r="G731" s="1">
        <x:f t="shared" si="167"/>
        <x:v>0</x:v>
      </x:c>
      <x:c r="J731" s="3">
        <x:v>30</x:v>
      </x:c>
      <x:c r="K731" s="3">
        <x:v>17.168391</x:v>
      </x:c>
      <x:c r="L731" s="4">
        <x:v>-0.2</x:v>
      </x:c>
      <x:c r="M731" s="3">
        <x:f t="shared" si="165"/>
        <x:v>94.414979021999997</x:v>
      </x:c>
      <x:c r="N731" s="3">
        <x:v>1.1286985871844717</x:v>
      </x:c>
      <x:c r="O731" s="3">
        <x:f t="shared" si="166"/>
        <x:v>106.56605343118294</x:v>
      </x:c>
      <x:c r="P731" s="15">
        <x:f t="shared" si="164"/>
        <x:v>102.62667227689079</x:v>
      </x:c>
      <x:c r="Q731" s="15">
        <x:f t="shared" si="160"/>
        <x:v>3.9393811542921569</x:v>
      </x:c>
      <x:c r="R731" s="15">
        <x:f t="shared" si="161"/>
        <x:v>0</x:v>
      </x:c>
      <x:c r="S731" s="15">
        <x:f t="shared" si="162"/>
        <x:v>-7.1054273576010019E-15</x:v>
      </x:c>
    </x:row>
    <x:row r="732" spans="1:19">
      <x:c r="A732" s="12" t="s">
        <x:v>142</x:v>
      </x:c>
      <x:c r="B732" s="7" t="s">
        <x:v>98</x:v>
      </x:c>
      <x:c r="C732" s="6">
        <x:v>10995.89</x:v>
      </x:c>
      <x:c r="D732" s="6">
        <x:v>8938.34</x:v>
      </x:c>
      <x:c r="E732" s="6">
        <x:v>2057.5499999999997</x:v>
      </x:c>
      <x:c r="G732" s="1">
        <x:f t="shared" si="167"/>
        <x:v>-4.5474735088646412E-13</x:v>
      </x:c>
      <x:c r="J732" s="3">
        <x:v>30</x:v>
      </x:c>
      <x:c r="K732" s="3">
        <x:v>16.442585999999999</x:v>
      </x:c>
      <x:c r="L732" s="4">
        <x:v>-0.2</x:v>
      </x:c>
      <x:c r="M732" s="3">
        <x:f t="shared" si="165"/>
        <x:v>5963.0333211383995</x:v>
      </x:c>
      <x:c r="N732" s="3">
        <x:v>1.1286985871844717</x:v>
      </x:c>
      <x:c r="O732" s="3">
        <x:f t="shared" si="166"/>
        <x:v>6730.4672849028393</x:v>
      </x:c>
      <x:c r="P732" s="15">
        <x:f t="shared" si="164"/>
        <x:v>5471.0628199571338</x:v>
      </x:c>
      <x:c r="Q732" s="15">
        <x:f t="shared" si="160"/>
        <x:v>1259.4044649457057</x:v>
      </x:c>
      <x:c r="R732" s="15">
        <x:f t="shared" si="161"/>
        <x:v>0</x:v>
      </x:c>
      <x:c r="S732" s="15">
        <x:f t="shared" si="162"/>
        <x:v>-2.2737367544323206E-13</x:v>
      </x:c>
    </x:row>
    <x:row r="733" spans="1:19">
      <x:c r="A733" s="12" t="s">
        <x:v>142</x:v>
      </x:c>
      <x:c r="B733" s="7" t="s">
        <x:v>95</x:v>
      </x:c>
      <x:c r="C733" s="6">
        <x:v>82893.59</x:v>
      </x:c>
      <x:c r="D733" s="6">
        <x:v>74847.95</x:v>
      </x:c>
      <x:c r="E733" s="6">
        <x:v>8045.6399999999994</x:v>
      </x:c>
      <x:c r="G733" s="1">
        <x:f t="shared" si="167"/>
        <x:v>0</x:v>
      </x:c>
      <x:c r="J733" s="3">
        <x:v>30</x:v>
      </x:c>
      <x:c r="K733" s="3">
        <x:v>14.357226000000001</x:v>
      </x:c>
      <x:c r="L733" s="4">
        <x:v>-0.2</x:v>
      </x:c>
      <x:c r="M733" s="3">
        <x:f t="shared" si="165"/>
        <x:v>51867.427776746401</x:v>
      </x:c>
      <x:c r="N733" s="3">
        <x:v>1.1286985871844717</x:v>
      </x:c>
      <x:c r="O733" s="3">
        <x:f t="shared" si="166"/>
        <x:v>58542.692452506286</x:v>
      </x:c>
      <x:c r="P733" s="15">
        <x:f t="shared" si="164"/>
        <x:v>52860.547088750383</x:v>
      </x:c>
      <x:c r="Q733" s="15">
        <x:f t="shared" si="160"/>
        <x:v>5682.1453637559025</x:v>
      </x:c>
      <x:c r="R733" s="15">
        <x:f t="shared" si="161"/>
        <x:v>0</x:v>
      </x:c>
      <x:c r="S733" s="15">
        <x:f t="shared" si="162"/>
        <x:v>0</x:v>
      </x:c>
    </x:row>
    <x:row r="734" spans="1:19">
      <x:c r="A734" s="12" t="s">
        <x:v>142</x:v>
      </x:c>
      <x:c r="B734" s="7" t="s">
        <x:v>93</x:v>
      </x:c>
      <x:c r="C734" s="6">
        <x:v>250889.5</x:v>
      </x:c>
      <x:c r="D734" s="6">
        <x:v>35124.519999999997</x:v>
      </x:c>
      <x:c r="E734" s="6">
        <x:v>215764.98</x:v>
      </x:c>
      <x:c r="G734" s="1">
        <x:f t="shared" si="167"/>
        <x:v>0</x:v>
      </x:c>
      <x:c r="J734" s="3">
        <x:v>30</x:v>
      </x:c>
      <x:c r="K734" s="3">
        <x:v>13.048417000000001</x:v>
      </x:c>
      <x:c r="L734" s="4">
        <x:v>-0.2</x:v>
      </x:c>
      <x:c r="M734" s="3">
        <x:f t="shared" si="165"/>
        <x:v>170118.96732314001</x:v>
      </x:c>
      <x:c r="N734" s="3">
        <x:v>1.1286985871844717</x:v>
      </x:c>
      <x:c r="O734" s="3">
        <x:f t="shared" si="166"/>
        <x:v>192013.03807090945</x:v>
      </x:c>
      <x:c r="P734" s="15">
        <x:f t="shared" si="164"/>
        <x:v>26881.817676636205</x:v>
      </x:c>
      <x:c r="Q734" s="15">
        <x:f t="shared" si="160"/>
        <x:v>165131.22039427326</x:v>
      </x:c>
      <x:c r="R734" s="15">
        <x:f t="shared" si="161"/>
        <x:v>0</x:v>
      </x:c>
      <x:c r="S734" s="15">
        <x:f t="shared" si="162"/>
        <x:v>-2.9103830456733704E-11</x:v>
      </x:c>
    </x:row>
    <x:row r="735" spans="1:19">
      <x:c r="A735" s="12" t="s">
        <x:v>142</x:v>
      </x:c>
      <x:c r="B735" s="7">
        <x:v>2002</x:v>
      </x:c>
      <x:c r="C735" s="6">
        <x:v>75000.210000000006</x:v>
      </x:c>
      <x:c r="D735" s="6">
        <x:v>59482.93</x:v>
      </x:c>
      <x:c r="E735" s="6">
        <x:v>15517.28</x:v>
      </x:c>
      <x:c r="G735" s="1">
        <x:f t="shared" si="167"/>
        <x:v>5.4569682106375694E-12</x:v>
      </x:c>
      <x:c r="J735" s="3">
        <x:v>30</x:v>
      </x:c>
      <x:c r="K735" s="3">
        <x:v>12.419516</x:v>
      </x:c>
      <x:c r="L735" s="4">
        <x:v>-0.2</x:v>
      </x:c>
      <x:c r="M735" s="3">
        <x:f t="shared" si="165"/>
        <x:v>52741.599676065605</x:v>
      </x:c>
      <x:c r="N735" s="3">
        <x:v>1.1286985871844717</x:v>
      </x:c>
      <x:c r="O735" s="3">
        <x:f t="shared" si="166"/>
        <x:v>59529.369040224236</x:v>
      </x:c>
      <x:c r="P735" s="15">
        <x:f t="shared" si="164"/>
        <x:v>47212.951691252936</x:v>
      </x:c>
      <x:c r="Q735" s="15">
        <x:f t="shared" si="160"/>
        <x:v>12316.417348971299</x:v>
      </x:c>
      <x:c r="R735" s="15">
        <x:f t="shared" si="161"/>
        <x:v>0</x:v>
      </x:c>
      <x:c r="S735" s="15">
        <x:f t="shared" si="162"/>
        <x:v>0</x:v>
      </x:c>
    </x:row>
    <x:row r="736" spans="1:19">
      <x:c r="A736" s="12" t="s">
        <x:v>142</x:v>
      </x:c>
      <x:c r="B736" s="7">
        <x:v>1997</x:v>
      </x:c>
      <x:c r="C736" s="6">
        <x:v>16153089.779999999</x:v>
      </x:c>
      <x:c r="D736" s="6">
        <x:v>5844209.9299999997</x:v>
      </x:c>
      <x:c r="E736" s="6">
        <x:v>10308879.85</x:v>
      </x:c>
      <x:c r="G736" s="1">
        <x:f t="shared" si="167"/>
        <x:v>0</x:v>
      </x:c>
      <x:c r="J736" s="3">
        <x:v>30</x:v>
      </x:c>
      <x:c r="K736" s="3">
        <x:v>9.5541160000000005</x:v>
      </x:c>
      <x:c r="L736" s="4">
        <x:v>-0.2</x:v>
      </x:c>
      <x:c r="M736" s="3">
        <x:f t="shared" si="165"/>
        <x:v>13210567.995338621</x:v>
      </x:c>
      <x:c r="N736" s="3">
        <x:v>1.1286985871844717</x:v>
      </x:c>
      <x:c r="O736" s="3">
        <x:f t="shared" si="166"/>
        <x:v>14910749.432243099</x:v>
      </x:c>
      <x:c r="P736" s="15">
        <x:f t="shared" si="164"/>
        <x:v>5394729.496492465</x:v>
      </x:c>
      <x:c r="Q736" s="15">
        <x:f t="shared" si="160"/>
        <x:v>9516019.9357506353</x:v>
      </x:c>
      <x:c r="R736" s="15">
        <x:f t="shared" si="161"/>
        <x:v>0</x:v>
      </x:c>
      <x:c r="S736" s="15">
        <x:f t="shared" si="162"/>
        <x:v>-1.862645149230957E-9</x:v>
      </x:c>
    </x:row>
    <x:row r="737" spans="1:19">
      <x:c r="A737" s="5" t="s">
        <x:v>144</x:v>
      </x:c>
      <x:c r="B737" s="7"/>
      <x:c r="C737" s="6">
        <x:f>SUBTOTAL(9,C721:C736)</x:f>
        <x:v>31506721.779999997</x:v>
      </x:c>
      <x:c r="D737" s="6">
        <x:f>SUBTOTAL(9,D721:D736)</x:f>
        <x:v>19314256.829999998</x:v>
      </x:c>
      <x:c r="E737" s="6">
        <x:f>SUBTOTAL(9,E721:E736)</x:f>
        <x:v>12192464.949999999</x:v>
      </x:c>
      <x:c r="F737" s="6">
        <x:f>SUBTOTAL(9,F721:F736)</x:f>
        <x:v>0</x:v>
      </x:c>
      <x:c r="G737" s="1">
        <x:f t="shared" si="167"/>
        <x:v>0</x:v>
      </x:c>
      <x:c r="L737" s="4"/>
      <x:c r="M737" s="3">
        <x:f>SUBTOTAL(9,M721:M736)</x:f>
        <x:v>17476223.904208831</x:v>
      </x:c>
      <x:c r="N737" s="3">
        <x:v>1.1286985871844717</x:v>
      </x:c>
      <x:c r="O737" s="3">
        <x:f>SUBTOTAL(9,O721:O736)</x:f>
        <x:v>19725389.229999997</x:v>
      </x:c>
      <x:c r="P737" s="16">
        <x:f t="shared" ref="P737:Q737" si="168">SUBTOTAL(9,P721:P736)</x:f>
        <x:v>9424770.9704226181</x:v>
      </x:c>
      <x:c r="Q737" s="16">
        <x:f t="shared" si="168"/>
        <x:v>10300618.259577382</x:v>
      </x:c>
      <x:c r="R737" s="15">
        <x:f>+F737/$C737*$O737</x:f>
        <x:v>0</x:v>
      </x:c>
      <x:c r="S737" s="15">
        <x:f t="shared" si="162"/>
        <x:v>-3.7252902984619141E-9</x:v>
      </x:c>
    </x:row>
    <x:row r="742" spans="1:19">
      <x:c r="A742" s="12" t="s">
        <x:v>113</x:v>
      </x:c>
      <x:c r="B742" s="7">
        <x:v>2021</x:v>
      </x:c>
      <x:c r="C742" s="6">
        <x:v>77.400000000000006</x:v>
      </x:c>
      <x:c r="F742" s="6">
        <x:v>77.400000000000006</x:v>
      </x:c>
      <x:c r="G742" s="1">
        <x:f t="shared" ref="G742:G749" si="169">+C742-D742-E742-F742</x:f>
        <x:v>0</x:v>
      </x:c>
      <x:c r="J742" s="3">
        <x:v>62</x:v>
      </x:c>
      <x:c r="K742" s="3">
        <x:v>58.504072000000001</x:v>
      </x:c>
      <x:c r="L742" s="4">
        <x:v>-0.47</x:v>
      </x:c>
      <x:c r="M742" s="3">
        <x:f t="shared" ref="M742:M748" si="170">+C742*(1-K742/J742)*(1-L742)</x:f>
        <x:v>6.4154789674838684</x:v>
      </x:c>
      <x:c r="N742" s="3">
        <x:v>1.1204582529186156</x:v>
      </x:c>
      <x:c r="O742" s="3">
        <x:f t="shared" ref="O742:O748" si="171">IF((C742*(1-L742)-M742*N742)&lt;0,C742*(1-L742),M742*N742)</x:f>
        <x:v>7.1882763555430991</x:v>
      </x:c>
      <x:c r="P742" s="15">
        <x:f t="shared" ref="P742:P764" si="172">+D742/$C742*$O742</x:f>
        <x:v>0</x:v>
      </x:c>
      <x:c r="Q742" s="15">
        <x:f t="shared" ref="Q742:Q763" si="173">+E742/$C742*$O742</x:f>
        <x:v>0</x:v>
      </x:c>
      <x:c r="R742" s="15">
        <x:f t="shared" ref="R742:R763" si="174">+F742/$C742*$O742</x:f>
        <x:v>7.1882763555430991</x:v>
      </x:c>
      <x:c r="S742" s="15">
        <x:f t="shared" ref="S742:S764" si="175">+O742-P742-Q742-R742</x:f>
        <x:v>0</x:v>
      </x:c>
    </x:row>
    <x:row r="743" spans="1:19">
      <x:c r="A743" s="12" t="s">
        <x:v>113</x:v>
      </x:c>
      <x:c r="B743" s="7">
        <x:v>2020</x:v>
      </x:c>
      <x:c r="C743" s="6">
        <x:v>2552.37</x:v>
      </x:c>
      <x:c r="F743" s="6">
        <x:v>2552.37</x:v>
      </x:c>
      <x:c r="G743" s="1">
        <x:f t="shared" si="169"/>
        <x:v>0</x:v>
      </x:c>
      <x:c r="J743" s="3">
        <x:v>62</x:v>
      </x:c>
      <x:c r="K743" s="3">
        <x:v>57.505904000000001</x:v>
      </x:c>
      <x:c r="L743" s="4">
        <x:v>-0.47</x:v>
      </x:c>
      <x:c r="M743" s="3">
        <x:f t="shared" si="170"/>
        <x:v>271.96412640410301</x:v>
      </x:c>
      <x:c r="N743" s="3">
        <x:v>1.1204582529186156</x:v>
      </x:c>
      <x:c r="O743" s="3">
        <x:f t="shared" si="171"/>
        <x:v>304.72444992727878</x:v>
      </x:c>
      <x:c r="P743" s="15">
        <x:f t="shared" si="172"/>
        <x:v>0</x:v>
      </x:c>
      <x:c r="Q743" s="15">
        <x:f t="shared" si="173"/>
        <x:v>0</x:v>
      </x:c>
      <x:c r="R743" s="15">
        <x:f t="shared" si="174"/>
        <x:v>304.72444992727878</x:v>
      </x:c>
      <x:c r="S743" s="15">
        <x:f t="shared" si="175"/>
        <x:v>0</x:v>
      </x:c>
    </x:row>
    <x:row r="744" spans="1:19">
      <x:c r="A744" s="12" t="s">
        <x:v>113</x:v>
      </x:c>
      <x:c r="B744" s="7">
        <x:v>2019</x:v>
      </x:c>
      <x:c r="C744" s="6">
        <x:v>407103.62</x:v>
      </x:c>
      <x:c r="F744" s="6">
        <x:v>407103.62</x:v>
      </x:c>
      <x:c r="G744" s="1">
        <x:f t="shared" si="169"/>
        <x:v>0</x:v>
      </x:c>
      <x:c r="J744" s="3">
        <x:v>62</x:v>
      </x:c>
      <x:c r="K744" s="3">
        <x:v>56.508136999999998</x:v>
      </x:c>
      <x:c r="L744" s="4">
        <x:v>-0.47</x:v>
      </x:c>
      <x:c r="M744" s="3">
        <x:f t="shared" si="170"/>
        <x:v>53009.084556947892</x:v>
      </x:c>
      <x:c r="N744" s="3">
        <x:v>1.1204582529186156</x:v>
      </x:c>
      <x:c r="O744" s="3">
        <x:f t="shared" si="171"/>
        <x:v>59394.466271493002</x:v>
      </x:c>
      <x:c r="P744" s="15">
        <x:f t="shared" si="172"/>
        <x:v>0</x:v>
      </x:c>
      <x:c r="Q744" s="15">
        <x:f t="shared" si="173"/>
        <x:v>0</x:v>
      </x:c>
      <x:c r="R744" s="15">
        <x:f t="shared" si="174"/>
        <x:v>59394.466271493002</x:v>
      </x:c>
      <x:c r="S744" s="15">
        <x:f t="shared" si="175"/>
        <x:v>0</x:v>
      </x:c>
    </x:row>
    <x:row r="745" spans="1:19">
      <x:c r="A745" s="12" t="s">
        <x:v>113</x:v>
      </x:c>
      <x:c r="B745" s="7">
        <x:v>2014</x:v>
      </x:c>
      <x:c r="C745" s="6">
        <x:v>7275455.4000000004</x:v>
      </x:c>
      <x:c r="F745" s="6">
        <x:v>7275455.4000000004</x:v>
      </x:c>
      <x:c r="G745" s="1">
        <x:f t="shared" si="169"/>
        <x:v>0</x:v>
      </x:c>
      <x:c r="J745" s="3">
        <x:v>62</x:v>
      </x:c>
      <x:c r="K745" s="3">
        <x:v>51.528593999999998</x:v>
      </x:c>
      <x:c r="L745" s="4">
        <x:v>-0.47</x:v>
      </x:c>
      <x:c r="M745" s="3">
        <x:f t="shared" si="170"/>
        <x:v>1806303.9285901589</x:v>
      </x:c>
      <x:c r="N745" s="3">
        <x:v>1.1204582529186156</x:v>
      </x:c>
      <x:c r="O745" s="3">
        <x:f t="shared" si="171"/>
        <x:v>2023888.1440681613</x:v>
      </x:c>
      <x:c r="P745" s="15">
        <x:f t="shared" si="172"/>
        <x:v>0</x:v>
      </x:c>
      <x:c r="Q745" s="15">
        <x:f t="shared" si="173"/>
        <x:v>0</x:v>
      </x:c>
      <x:c r="R745" s="15">
        <x:f t="shared" si="174"/>
        <x:v>2023888.1440681613</x:v>
      </x:c>
      <x:c r="S745" s="15">
        <x:f t="shared" si="175"/>
        <x:v>0</x:v>
      </x:c>
    </x:row>
    <x:row r="746" spans="1:19">
      <x:c r="A746" s="12" t="s">
        <x:v>113</x:v>
      </x:c>
      <x:c r="B746" s="7">
        <x:v>2011</x:v>
      </x:c>
      <x:c r="C746" s="6">
        <x:v>7786.04</x:v>
      </x:c>
      <x:c r="F746" s="6">
        <x:v>7786.04</x:v>
      </x:c>
      <x:c r="G746" s="1">
        <x:f t="shared" si="169"/>
        <x:v>0</x:v>
      </x:c>
      <x:c r="J746" s="3">
        <x:v>62</x:v>
      </x:c>
      <x:c r="K746" s="3">
        <x:v>48.552762999999999</x:v>
      </x:c>
      <x:c r="L746" s="4">
        <x:v>-0.47</x:v>
      </x:c>
      <x:c r="M746" s="3">
        <x:f t="shared" si="170"/>
        <x:v>2482.4204193883161</x:v>
      </x:c>
      <x:c r="N746" s="3">
        <x:v>1.1204582529186156</x:v>
      </x:c>
      <x:c r="O746" s="3">
        <x:f t="shared" si="171"/>
        <x:v>2781.4484461173297</x:v>
      </x:c>
      <x:c r="P746" s="15">
        <x:f t="shared" si="172"/>
        <x:v>0</x:v>
      </x:c>
      <x:c r="Q746" s="15">
        <x:f t="shared" si="173"/>
        <x:v>0</x:v>
      </x:c>
      <x:c r="R746" s="15">
        <x:f t="shared" si="174"/>
        <x:v>2781.4484461173297</x:v>
      </x:c>
      <x:c r="S746" s="15">
        <x:f t="shared" si="175"/>
        <x:v>0</x:v>
      </x:c>
    </x:row>
    <x:row r="747" spans="1:19">
      <x:c r="A747" s="12" t="s">
        <x:v>113</x:v>
      </x:c>
      <x:c r="B747" s="7">
        <x:v>2010</x:v>
      </x:c>
      <x:c r="C747" s="6">
        <x:v>1302245.1399999999</x:v>
      </x:c>
      <x:c r="F747" s="6">
        <x:v>1302245.1399999999</x:v>
      </x:c>
      <x:c r="G747" s="1">
        <x:f t="shared" si="169"/>
        <x:v>0</x:v>
      </x:c>
      <x:c r="J747" s="3">
        <x:v>62</x:v>
      </x:c>
      <x:c r="K747" s="3">
        <x:v>47.563797999999998</x:v>
      </x:c>
      <x:c r="L747" s="4">
        <x:v>-0.47</x:v>
      </x:c>
      <x:c r="M747" s="3">
        <x:f t="shared" si="170"/>
        <x:v>445729.46169355931</x:v>
      </x:c>
      <x:c r="N747" s="3">
        <x:v>1.1204582529186156</x:v>
      </x:c>
      <x:c r="O747" s="3">
        <x:f t="shared" si="171"/>
        <x:v>499421.25392352045</x:v>
      </x:c>
      <x:c r="P747" s="15">
        <x:f t="shared" si="172"/>
        <x:v>0</x:v>
      </x:c>
      <x:c r="Q747" s="15">
        <x:f t="shared" si="173"/>
        <x:v>0</x:v>
      </x:c>
      <x:c r="R747" s="15">
        <x:f t="shared" si="174"/>
        <x:v>499421.25392352045</x:v>
      </x:c>
      <x:c r="S747" s="15">
        <x:f t="shared" si="175"/>
        <x:v>0</x:v>
      </x:c>
    </x:row>
    <x:row r="748" spans="1:19">
      <x:c r="A748" s="12" t="s">
        <x:v>113</x:v>
      </x:c>
      <x:c r="B748" s="7">
        <x:v>2009</x:v>
      </x:c>
      <x:c r="C748" s="6">
        <x:v>3733609.11</x:v>
      </x:c>
      <x:c r="F748" s="6">
        <x:v>3733609.11</x:v>
      </x:c>
      <x:c r="G748" s="1">
        <x:f t="shared" si="169"/>
        <x:v>0</x:v>
      </x:c>
      <x:c r="J748" s="3">
        <x:v>62</x:v>
      </x:c>
      <x:c r="K748" s="3">
        <x:v>46.576529999999998</x:v>
      </x:c>
      <x:c r="L748" s="4">
        <x:v>-0.47</x:v>
      </x:c>
      <x:c r="M748" s="3">
        <x:f t="shared" si="170"/>
        <x:v>1365326.7081729553</x:v>
      </x:c>
      <x:c r="N748" s="3">
        <x:v>1.1204582529186156</x:v>
      </x:c>
      <x:c r="O748" s="3">
        <x:f t="shared" si="171"/>
        <x:v>1529791.578102594</x:v>
      </x:c>
      <x:c r="P748" s="15">
        <x:f t="shared" si="172"/>
        <x:v>0</x:v>
      </x:c>
      <x:c r="Q748" s="15">
        <x:f t="shared" si="173"/>
        <x:v>0</x:v>
      </x:c>
      <x:c r="R748" s="15">
        <x:f t="shared" si="174"/>
        <x:v>1529791.578102594</x:v>
      </x:c>
      <x:c r="S748" s="15">
        <x:f t="shared" si="175"/>
        <x:v>0</x:v>
      </x:c>
    </x:row>
    <x:row r="749" spans="1:19">
      <x:c r="A749" s="5" t="s">
        <x:v>133</x:v>
      </x:c>
      <x:c r="B749" s="7"/>
      <x:c r="C749" s="6">
        <x:f>SUBTOTAL(9,C742:C748)</x:f>
        <x:v>12728829.08</x:v>
      </x:c>
      <x:c r="D749" s="6">
        <x:f>SUBTOTAL(9,D742:D748)</x:f>
        <x:v>0</x:v>
      </x:c>
      <x:c r="E749" s="6">
        <x:f>SUBTOTAL(9,E742:E748)</x:f>
        <x:v>0</x:v>
      </x:c>
      <x:c r="F749" s="6">
        <x:f>SUBTOTAL(9,F742:F748)</x:f>
        <x:v>12728829.08</x:v>
      </x:c>
      <x:c r="G749" s="1">
        <x:f t="shared" si="169"/>
        <x:v>0</x:v>
      </x:c>
      <x:c r="L749" s="4"/>
      <x:c r="M749" s="3">
        <x:f>SUBTOTAL(9,M742:M748)</x:f>
        <x:v>3673129.9830383817</x:v>
      </x:c>
      <x:c r="N749" s="3">
        <x:v>1.1204582529186156</x:v>
      </x:c>
      <x:c r="O749" s="3">
        <x:f>SUBTOTAL(9,O742:O748)</x:f>
        <x:v>4115588.8035381688</x:v>
      </x:c>
      <x:c r="P749" s="15">
        <x:f t="shared" si="172"/>
        <x:v>0</x:v>
      </x:c>
      <x:c r="Q749" s="15">
        <x:f t="shared" si="173"/>
        <x:v>0</x:v>
      </x:c>
      <x:c r="R749" s="15">
        <x:f t="shared" si="174"/>
        <x:v>4115588.8035381688</x:v>
      </x:c>
      <x:c r="S749" s="15">
        <x:f t="shared" si="175"/>
        <x:v>0</x:v>
      </x:c>
    </x:row>
    <x:row r="750" spans="1:19">
      <x:c r="A750" s="12" t="s">
        <x:v>118</x:v>
      </x:c>
      <x:c r="B750" s="7" t="s">
        <x:v>149</x:v>
      </x:c>
      <x:c r="C750" s="6">
        <x:v>431437.06</x:v>
      </x:c>
      <x:c r="E750" s="6">
        <x:v>79144.61</x:v>
      </x:c>
      <x:c r="F750" s="6">
        <x:v>352292.44999999995</x:v>
      </x:c>
      <x:c r="G750" s="1">
        <x:f t="shared" ref="G750:G757" si="176">+C750-D750-E750-F750</x:f>
        <x:v>0</x:v>
      </x:c>
      <x:c r="J750" s="3">
        <x:v>30</x:v>
      </x:c>
      <x:c r="K750" s="3">
        <x:v>29.547744000000002</x:v>
      </x:c>
      <x:c r="L750" s="4">
        <x:v>-0.2</x:v>
      </x:c>
      <x:c r="M750" s="3">
        <x:f t="shared" ref="M750:M763" si="177">+C750*(1-K750/J750)*(1-L750)</x:f>
        <x:v>7804.7999602943764</x:v>
      </x:c>
      <x:c r="N750" s="3">
        <x:v>1.1191994213697134</x:v>
      </x:c>
      <x:c r="O750" s="3">
        <x:f t="shared" ref="O750:O763" si="178">IF((C750*(1-L750)-M750*N750)&lt;0,C750*(1-L750),M750*N750)</x:f>
        <x:v>8735.127599467829</x:v>
      </x:c>
      <x:c r="P750" s="15">
        <x:f t="shared" si="172"/>
        <x:v>0</x:v>
      </x:c>
      <x:c r="Q750" s="15">
        <x:f t="shared" si="173"/>
        <x:v>1602.4081639164644</x:v>
      </x:c>
      <x:c r="R750" s="15">
        <x:f t="shared" si="174"/>
        <x:v>7132.7194355513639</x:v>
      </x:c>
      <x:c r="S750" s="15">
        <x:f t="shared" si="175"/>
        <x:v>0</x:v>
      </x:c>
    </x:row>
    <x:row r="751" spans="1:19">
      <x:c r="A751" s="12" t="s">
        <x:v>118</x:v>
      </x:c>
      <x:c r="B751" s="7" t="s">
        <x:v>150</x:v>
      </x:c>
      <x:c r="C751" s="6">
        <x:v>8125964.1900000004</x:v>
      </x:c>
      <x:c r="E751" s="6">
        <x:v>2254143.38</x:v>
      </x:c>
      <x:c r="F751" s="6">
        <x:v>5871820.8099999996</x:v>
      </x:c>
      <x:c r="G751" s="1">
        <x:f t="shared" si="176"/>
        <x:v>0</x:v>
      </x:c>
      <x:c r="J751" s="3">
        <x:v>30</x:v>
      </x:c>
      <x:c r="K751" s="3">
        <x:v>28.649208999999999</x:v>
      </x:c>
      <x:c r="L751" s="4">
        <x:v>-0.2</x:v>
      </x:c>
      <x:c r="M751" s="3">
        <x:f t="shared" si="177"/>
        <x:v>439059.17176697199</x:v>
      </x:c>
      <x:c r="N751" s="3">
        <x:v>1.1191994213697134</x:v>
      </x:c>
      <x:c r="O751" s="3">
        <x:f t="shared" si="178"/>
        <x:v>491394.77098866069</x:v>
      </x:c>
      <x:c r="P751" s="15">
        <x:f t="shared" si="172"/>
        <x:v>0</x:v>
      </x:c>
      <x:c r="Q751" s="15">
        <x:f t="shared" si="173"/>
        <x:v>136312.9647253227</x:v>
      </x:c>
      <x:c r="R751" s="15">
        <x:f t="shared" si="174"/>
        <x:v>355081.8062633379</x:v>
      </x:c>
      <x:c r="S751" s="15">
        <x:f t="shared" si="175"/>
        <x:v>0</x:v>
      </x:c>
    </x:row>
    <x:row r="752" spans="1:19">
      <x:c r="A752" s="12" t="s">
        <x:v>118</x:v>
      </x:c>
      <x:c r="B752" s="7" t="s">
        <x:v>151</x:v>
      </x:c>
      <x:c r="C752" s="6">
        <x:v>34965.42</x:v>
      </x:c>
      <x:c r="E752" s="6">
        <x:v>3478.72</x:v>
      </x:c>
      <x:c r="F752" s="6">
        <x:v>31486.699999999997</x:v>
      </x:c>
      <x:c r="G752" s="1">
        <x:f t="shared" si="176"/>
        <x:v>0</x:v>
      </x:c>
      <x:c r="J752" s="3">
        <x:v>30</x:v>
      </x:c>
      <x:c r="K752" s="3">
        <x:v>27.759616000000001</x:v>
      </x:c>
      <x:c r="L752" s="4">
        <x:v>-0.2</x:v>
      </x:c>
      <x:c r="M752" s="3">
        <x:f t="shared" si="177"/>
        <x:v>3133.4387008511962</x:v>
      </x:c>
      <x:c r="N752" s="3">
        <x:v>1.1191994213697134</x:v>
      </x:c>
      <x:c r="O752" s="3">
        <x:f t="shared" si="178"/>
        <x:v>3506.9427808901255</x:v>
      </x:c>
      <x:c r="P752" s="15">
        <x:f t="shared" si="172"/>
        <x:v>0</x:v>
      </x:c>
      <x:c r="Q752" s="15">
        <x:f t="shared" si="173"/>
        <x:v>348.9067767736837</x:v>
      </x:c>
      <x:c r="R752" s="15">
        <x:f t="shared" si="174"/>
        <x:v>3158.0360041164417</x:v>
      </x:c>
      <x:c r="S752" s="15">
        <x:f t="shared" si="175"/>
        <x:v>0</x:v>
      </x:c>
    </x:row>
    <x:row r="753" spans="1:19">
      <x:c r="A753" s="12" t="s">
        <x:v>118</x:v>
      </x:c>
      <x:c r="B753" s="7" t="s">
        <x:v>111</x:v>
      </x:c>
      <x:c r="C753" s="6">
        <x:v>3291918.27</x:v>
      </x:c>
      <x:c r="E753" s="6">
        <x:v>331782.87000000005</x:v>
      </x:c>
      <x:c r="F753" s="6">
        <x:v>2960135.4000000004</x:v>
      </x:c>
      <x:c r="G753" s="1">
        <x:f t="shared" si="176"/>
        <x:v>0</x:v>
      </x:c>
      <x:c r="J753" s="3">
        <x:v>30</x:v>
      </x:c>
      <x:c r="K753" s="3">
        <x:v>26.879031999999999</x:v>
      </x:c>
      <x:c r="L753" s="4">
        <x:v>-0.2</x:v>
      </x:c>
      <x:c r="M753" s="3">
        <x:f t="shared" si="177"/>
        <x:v>410958.86317141476</x:v>
      </x:c>
      <x:c r="N753" s="3">
        <x:v>1.1191994213697134</x:v>
      </x:c>
      <x:c r="O753" s="3">
        <x:f t="shared" si="178"/>
        <x:v>459944.92186820263</x:v>
      </x:c>
      <x:c r="P753" s="15">
        <x:f t="shared" si="172"/>
        <x:v>0</x:v>
      </x:c>
      <x:c r="Q753" s="15">
        <x:f t="shared" si="173"/>
        <x:v>46356.511220236964</x:v>
      </x:c>
      <x:c r="R753" s="15">
        <x:f t="shared" si="174"/>
        <x:v>413588.41064796573</x:v>
      </x:c>
      <x:c r="S753" s="15">
        <x:f t="shared" si="175"/>
        <x:v>0</x:v>
      </x:c>
    </x:row>
    <x:row r="754" spans="1:19">
      <x:c r="A754" s="12" t="s">
        <x:v>118</x:v>
      </x:c>
      <x:c r="B754" s="7" t="s">
        <x:v>110</x:v>
      </x:c>
      <x:c r="C754" s="6">
        <x:v>6659047.0599999996</x:v>
      </x:c>
      <x:c r="E754" s="6">
        <x:v>82277.030000000042</x:v>
      </x:c>
      <x:c r="F754" s="6">
        <x:v>6576770.0299999993</x:v>
      </x:c>
      <x:c r="G754" s="1">
        <x:f t="shared" si="176"/>
        <x:v>0</x:v>
      </x:c>
      <x:c r="J754" s="3">
        <x:v>30</x:v>
      </x:c>
      <x:c r="K754" s="3">
        <x:v>26.007835</x:v>
      </x:c>
      <x:c r="L754" s="4">
        <x:v>-0.2</x:v>
      </x:c>
      <x:c r="M754" s="3">
        <x:f t="shared" si="177"/>
        <x:v>1063360.5842513959</x:v>
      </x:c>
      <x:c r="N754" s="3">
        <x:v>1.1191994213697134</x:v>
      </x:c>
      <x:c r="O754" s="3">
        <x:f t="shared" si="178"/>
        <x:v>1190112.5506015227</x:v>
      </x:c>
      <x:c r="P754" s="15">
        <x:f t="shared" si="172"/>
        <x:v>0</x:v>
      </x:c>
      <x:c r="Q754" s="15">
        <x:f t="shared" si="173"/>
        <x:v>14704.645446554039</x:v>
      </x:c>
      <x:c r="R754" s="15">
        <x:f t="shared" si="174"/>
        <x:v>1175407.9051549686</x:v>
      </x:c>
      <x:c r="S754" s="15">
        <x:f t="shared" si="175"/>
        <x:v>0</x:v>
      </x:c>
    </x:row>
    <x:row r="755" spans="1:19">
      <x:c r="A755" s="12" t="s">
        <x:v>118</x:v>
      </x:c>
      <x:c r="B755" s="7" t="s">
        <x:v>109</x:v>
      </x:c>
      <x:c r="C755" s="6">
        <x:v>60499919</x:v>
      </x:c>
      <x:c r="E755" s="6">
        <x:v>287127.23999999987</x:v>
      </x:c>
      <x:c r="F755" s="6">
        <x:v>60212791.760000005</x:v>
      </x:c>
      <x:c r="G755" s="1">
        <x:f t="shared" si="176"/>
        <x:v>0</x:v>
      </x:c>
      <x:c r="J755" s="3">
        <x:v>30</x:v>
      </x:c>
      <x:c r="K755" s="3">
        <x:v>25.146840000000001</x:v>
      </x:c>
      <x:c r="L755" s="4">
        <x:v>-0.2</x:v>
      </x:c>
      <x:c r="M755" s="3">
        <x:f t="shared" si="177"/>
        <x:v>11744631.475761594</x:v>
      </x:c>
      <x:c r="N755" s="3">
        <x:v>1.1191994213697134</x:v>
      </x:c>
      <x:c r="O755" s="3">
        <x:f t="shared" si="178"/>
        <x:v>13144584.751872899</x:v>
      </x:c>
      <x:c r="P755" s="15">
        <x:f t="shared" si="172"/>
        <x:v>0</x:v>
      </x:c>
      <x:c r="Q755" s="15">
        <x:f t="shared" si="173"/>
        <x:v>62383.031302097254</x:v>
      </x:c>
      <x:c r="R755" s="15">
        <x:f t="shared" si="174"/>
        <x:v>13082201.720570803</x:v>
      </x:c>
      <x:c r="S755" s="15">
        <x:f t="shared" si="175"/>
        <x:v>0</x:v>
      </x:c>
    </x:row>
    <x:row r="756" spans="1:19">
      <x:c r="A756" s="12" t="s">
        <x:v>118</x:v>
      </x:c>
      <x:c r="B756" s="7" t="s">
        <x:v>108</x:v>
      </x:c>
      <x:c r="C756" s="6">
        <x:v>21042.46</x:v>
      </x:c>
      <x:c r="F756" s="6">
        <x:v>21042.46</x:v>
      </x:c>
      <x:c r="G756" s="1">
        <x:f t="shared" si="176"/>
        <x:v>0</x:v>
      </x:c>
      <x:c r="J756" s="3">
        <x:v>30</x:v>
      </x:c>
      <x:c r="K756" s="3">
        <x:v>24.296032</x:v>
      </x:c>
      <x:c r="L756" s="4">
        <x:v>-0.2</x:v>
      </x:c>
      <x:c r="M756" s="3">
        <x:f t="shared" si="177"/>
        <x:v>4801.0207392511975</x:v>
      </x:c>
      <x:c r="N756" s="3">
        <x:v>1.1191994213697134</x:v>
      </x:c>
      <x:c r="O756" s="3">
        <x:f t="shared" si="178"/>
        <x:v>5373.299633353934</x:v>
      </x:c>
      <x:c r="P756" s="15">
        <x:f t="shared" si="172"/>
        <x:v>0</x:v>
      </x:c>
      <x:c r="Q756" s="15">
        <x:f t="shared" si="173"/>
        <x:v>0</x:v>
      </x:c>
      <x:c r="R756" s="15">
        <x:f t="shared" si="174"/>
        <x:v>5373.299633353934</x:v>
      </x:c>
      <x:c r="S756" s="15">
        <x:f t="shared" si="175"/>
        <x:v>0</x:v>
      </x:c>
    </x:row>
    <x:row r="757" spans="1:19">
      <x:c r="A757" s="12" t="s">
        <x:v>118</x:v>
      </x:c>
      <x:c r="B757" s="7" t="s">
        <x:v>107</x:v>
      </x:c>
      <x:c r="C757" s="6">
        <x:v>7804.85</x:v>
      </x:c>
      <x:c r="F757" s="6">
        <x:v>7804.85</x:v>
      </x:c>
      <x:c r="G757" s="1">
        <x:f t="shared" si="176"/>
        <x:v>0</x:v>
      </x:c>
      <x:c r="J757" s="3">
        <x:v>30</x:v>
      </x:c>
      <x:c r="K757" s="3">
        <x:v>23.455777999999999</x:v>
      </x:c>
      <x:c r="L757" s="4">
        <x:v>-0.2</x:v>
      </x:c>
      <x:c r="M757" s="3">
        <x:f t="shared" si="177"/>
        <x:v>2043.0668430680007</x:v>
      </x:c>
      <x:c r="N757" s="3">
        <x:v>1.1191994213697134</x:v>
      </x:c>
      <x:c r="O757" s="3">
        <x:f t="shared" si="178"/>
        <x:v>2286.5992285813536</x:v>
      </x:c>
      <x:c r="P757" s="15">
        <x:f t="shared" si="172"/>
        <x:v>0</x:v>
      </x:c>
      <x:c r="Q757" s="15">
        <x:f t="shared" si="173"/>
        <x:v>0</x:v>
      </x:c>
      <x:c r="R757" s="15">
        <x:f t="shared" si="174"/>
        <x:v>2286.5992285813536</x:v>
      </x:c>
      <x:c r="S757" s="15">
        <x:f t="shared" si="175"/>
        <x:v>0</x:v>
      </x:c>
    </x:row>
    <x:row r="758" spans="1:19">
      <x:c r="A758" s="12" t="s">
        <x:v>118</x:v>
      </x:c>
      <x:c r="B758" s="7" t="s">
        <x:v>105</x:v>
      </x:c>
      <x:c r="C758" s="6">
        <x:v>-238.03</x:v>
      </x:c>
      <x:c r="E758" s="6">
        <x:v>-1.280000000000006</x:v>
      </x:c>
      <x:c r="F758" s="6">
        <x:v>-236.75000000000023</x:v>
      </x:c>
      <x:c r="J758" s="3">
        <x:v>30</x:v>
      </x:c>
      <x:c r="K758" s="3">
        <x:v>21.809453000000001</x:v>
      </x:c>
      <x:c r="L758" s="4">
        <x:v>-0.2</x:v>
      </x:c>
      <x:c r="M758" s="3">
        <x:f t="shared" si="177"/>
        <x:v>-77.983836096399983</x:v>
      </x:c>
      <x:c r="N758" s="3">
        <x:v>1.1191994213697134</x:v>
      </x:c>
      <x:c r="O758" s="3">
        <x:f t="shared" si="178"/>
        <x:v>-285.63599999999997</x:v>
      </x:c>
      <x:c r="P758" s="15">
        <x:f t="shared" si="172"/>
        <x:v>0</x:v>
      </x:c>
      <x:c r="Q758" s="15">
        <x:f t="shared" si="173"/>
        <x:v>-1.5360000000000069</x:v>
      </x:c>
      <x:c r="R758" s="15">
        <x:f t="shared" si="174"/>
        <x:v>-284.10000000000025</x:v>
      </x:c>
      <x:c r="S758" s="15">
        <x:f t="shared" si="175"/>
        <x:v>0</x:v>
      </x:c>
    </x:row>
    <x:row r="759" spans="1:19">
      <x:c r="A759" s="12" t="s">
        <x:v>118</x:v>
      </x:c>
      <x:c r="B759" s="7" t="s">
        <x:v>104</x:v>
      </x:c>
      <x:c r="C759" s="6">
        <x:v>85393416.409999996</x:v>
      </x:c>
      <x:c r="E759" s="6">
        <x:v>43389.969999999666</x:v>
      </x:c>
      <x:c r="F759" s="6">
        <x:v>85350026.439999998</x:v>
      </x:c>
      <x:c r="G759" s="1">
        <x:f t="shared" ref="G759:G764" si="179">+C759-D759-E759-F759</x:f>
        <x:v>0</x:v>
      </x:c>
      <x:c r="J759" s="3">
        <x:v>30</x:v>
      </x:c>
      <x:c r="K759" s="3">
        <x:v>21.003668000000001</x:v>
      </x:c>
      <x:c r="L759" s="4">
        <x:v>-0.2</x:v>
      </x:c>
      <x:c r="M759" s="3">
        <x:f t="shared" si="177"/>
        <x:v>30729100.985544324</x:v>
      </x:c>
      <x:c r="N759" s="3">
        <x:v>1.1191994213697134</x:v>
      </x:c>
      <x:c r="O759" s="3">
        <x:f t="shared" si="178"/>
        <x:v>34391992.0422327</x:v>
      </x:c>
      <x:c r="P759" s="15">
        <x:f t="shared" si="172"/>
        <x:v>0</x:v>
      </x:c>
      <x:c r="Q759" s="15">
        <x:f t="shared" si="173"/>
        <x:v>17475.205533268163</x:v>
      </x:c>
      <x:c r="R759" s="15">
        <x:f t="shared" si="174"/>
        <x:v>34374516.836699434</x:v>
      </x:c>
      <x:c r="S759" s="15">
        <x:f t="shared" si="175"/>
        <x:v>0</x:v>
      </x:c>
    </x:row>
    <x:row r="760" spans="1:19">
      <x:c r="A760" s="12" t="s">
        <x:v>118</x:v>
      </x:c>
      <x:c r="B760" s="7" t="s">
        <x:v>102</x:v>
      </x:c>
      <x:c r="C760" s="6">
        <x:v>5341.86</x:v>
      </x:c>
      <x:c r="E760" s="6">
        <x:v>2482.04</x:v>
      </x:c>
      <x:c r="F760" s="6">
        <x:v>2859.82</x:v>
      </x:c>
      <x:c r="G760" s="1">
        <x:f t="shared" si="179"/>
        <x:v>0</x:v>
      </x:c>
      <x:c r="J760" s="3">
        <x:v>30</x:v>
      </x:c>
      <x:c r="K760" s="3">
        <x:v>19.429905000000002</x:v>
      </x:c>
      <x:c r="L760" s="4">
        <x:v>-0.2</x:v>
      </x:c>
      <x:c r="M760" s="3">
        <x:f t="shared" si="177"/>
        <x:v>2258.5587070679994</x:v>
      </x:c>
      <x:c r="N760" s="3">
        <x:v>1.1191994213697134</x:v>
      </x:c>
      <x:c r="O760" s="3">
        <x:f t="shared" si="178"/>
        <x:v>2527.7775980800329</x:v>
      </x:c>
      <x:c r="P760" s="15">
        <x:f t="shared" si="172"/>
        <x:v>0</x:v>
      </x:c>
      <x:c r="Q760" s="15">
        <x:f t="shared" si="173"/>
        <x:v>1174.5057170233899</x:v>
      </x:c>
      <x:c r="R760" s="15">
        <x:f t="shared" si="174"/>
        <x:v>1353.2718810566435</x:v>
      </x:c>
      <x:c r="S760" s="15">
        <x:f t="shared" si="175"/>
        <x:v>0</x:v>
      </x:c>
    </x:row>
    <x:row r="761" spans="1:19">
      <x:c r="A761" s="12" t="s">
        <x:v>118</x:v>
      </x:c>
      <x:c r="B761" s="7" t="s">
        <x:v>101</x:v>
      </x:c>
      <x:c r="C761" s="6">
        <x:v>5143716.5999999996</x:v>
      </x:c>
      <x:c r="E761" s="6">
        <x:v>4965507.1899999995</x:v>
      </x:c>
      <x:c r="F761" s="6">
        <x:v>178209.41000000003</x:v>
      </x:c>
      <x:c r="G761" s="1">
        <x:f t="shared" si="179"/>
        <x:v>0</x:v>
      </x:c>
      <x:c r="J761" s="3">
        <x:v>30</x:v>
      </x:c>
      <x:c r="K761" s="3">
        <x:v>18.662182000000001</x:v>
      </x:c>
      <x:c r="L761" s="4">
        <x:v>-0.2</x:v>
      </x:c>
      <x:c r="M761" s="3">
        <x:f t="shared" si="177"/>
        <x:v>2332740.9061751515</x:v>
      </x:c>
      <x:c r="N761" s="3">
        <x:v>1.1191994213697134</x:v>
      </x:c>
      <x:c r="O761" s="3">
        <x:f t="shared" si="178"/>
        <x:v>2610802.2723966902</x:v>
      </x:c>
      <x:c r="P761" s="15">
        <x:f t="shared" si="172"/>
        <x:v>0</x:v>
      </x:c>
      <x:c r="Q761" s="15">
        <x:f t="shared" si="173"/>
        <x:v>2520348.3129793936</x:v>
      </x:c>
      <x:c r="R761" s="15">
        <x:f t="shared" si="174"/>
        <x:v>90453.959417296341</x:v>
      </x:c>
      <x:c r="S761" s="15">
        <x:f t="shared" si="175"/>
        <x:v>2.3283064365386963E-10</x:v>
      </x:c>
    </x:row>
    <x:row r="762" spans="1:19">
      <x:c r="A762" s="12" t="s">
        <x:v>118</x:v>
      </x:c>
      <x:c r="B762" s="7" t="s">
        <x:v>100</x:v>
      </x:c>
      <x:c r="C762" s="6">
        <x:v>53637567.909999996</x:v>
      </x:c>
      <x:c r="E762" s="6">
        <x:v>20426753.350000001</x:v>
      </x:c>
      <x:c r="F762" s="6">
        <x:v>33210814.56000001</x:v>
      </x:c>
      <x:c r="G762" s="1">
        <x:f t="shared" si="179"/>
        <x:v>0</x:v>
      </x:c>
      <x:c r="J762" s="3">
        <x:v>30</x:v>
      </x:c>
      <x:c r="K762" s="3">
        <x:v>17.908397999999998</x:v>
      </x:c>
      <x:c r="L762" s="4">
        <x:v>-0.2</x:v>
      </x:c>
      <x:c r="M762" s="3">
        <x:f t="shared" si="177"/>
        <x:v>25942564.936627671</x:v>
      </x:c>
      <x:c r="N762" s="3">
        <x:v>1.1191994213697134</x:v>
      </x:c>
      <x:c r="O762" s="3">
        <x:f t="shared" si="178"/>
        <x:v>29034903.665919904</x:v>
      </x:c>
      <x:c r="P762" s="15">
        <x:f t="shared" si="172"/>
        <x:v>0</x:v>
      </x:c>
      <x:c r="Q762" s="15">
        <x:f t="shared" si="173"/>
        <x:v>11057339.824205253</x:v>
      </x:c>
      <x:c r="R762" s="15">
        <x:f t="shared" si="174"/>
        <x:v>17977563.841714658</x:v>
      </x:c>
      <x:c r="S762" s="15">
        <x:f t="shared" si="175"/>
        <x:v>0</x:v>
      </x:c>
    </x:row>
    <x:row r="763" spans="1:19">
      <x:c r="A763" s="12" t="s">
        <x:v>118</x:v>
      </x:c>
      <x:c r="B763" s="7" t="s">
        <x:v>99</x:v>
      </x:c>
      <x:c r="C763" s="6">
        <x:v>57073980.759999998</x:v>
      </x:c>
      <x:c r="E763" s="6">
        <x:v>25261804.779999997</x:v>
      </x:c>
      <x:c r="F763" s="6">
        <x:v>31812175.979999997</x:v>
      </x:c>
      <x:c r="G763" s="1">
        <x:f t="shared" si="179"/>
        <x:v>0</x:v>
      </x:c>
      <x:c r="J763" s="3">
        <x:v>30</x:v>
      </x:c>
      <x:c r="K763" s="3">
        <x:v>17.168391</x:v>
      </x:c>
      <x:c r="L763" s="4">
        <x:v>-0.2</x:v>
      </x:c>
      <x:c r="M763" s="3">
        <x:f t="shared" si="177"/>
        <x:v>29294040.207433715</x:v>
      </x:c>
      <x:c r="N763" s="3">
        <x:v>1.1191994213697134</x:v>
      </x:c>
      <x:c r="O763" s="3">
        <x:f t="shared" si="178"/>
        <x:v>32785872.849740934</x:v>
      </x:c>
      <x:c r="P763" s="15">
        <x:f t="shared" si="172"/>
        <x:v>0</x:v>
      </x:c>
      <x:c r="Q763" s="15">
        <x:f t="shared" si="173"/>
        <x:v>14511521.860632483</x:v>
      </x:c>
      <x:c r="R763" s="15">
        <x:f t="shared" si="174"/>
        <x:v>18274350.989108447</x:v>
      </x:c>
      <x:c r="S763" s="15">
        <x:f t="shared" si="175"/>
        <x:v>0</x:v>
      </x:c>
    </x:row>
    <x:row r="764" spans="1:19">
      <x:c r="A764" s="5" t="s">
        <x:v>135</x:v>
      </x:c>
      <x:c r="B764" s="7"/>
      <x:c r="C764" s="6">
        <x:f>SUBTOTAL(9,C750:C763)</x:f>
        <x:v>280325883.81999999</x:v>
      </x:c>
      <x:c r="D764" s="6">
        <x:f>SUBTOTAL(9,D750:D763)</x:f>
        <x:v>0</x:v>
      </x:c>
      <x:c r="E764" s="6">
        <x:f>SUBTOTAL(9,E750:E763)</x:f>
        <x:v>53737889.899999999</x:v>
      </x:c>
      <x:c r="F764" s="6">
        <x:f>SUBTOTAL(9,F750:F763)</x:f>
        <x:v>226587993.91999996</x:v>
      </x:c>
      <x:c r="G764" s="1">
        <x:f t="shared" si="179"/>
        <x:v>0</x:v>
      </x:c>
      <x:c r="L764" s="4"/>
      <x:c r="M764" s="3">
        <x:f>SUBTOTAL(9,M750:M763)</x:f>
        <x:v>101976420.03184667</x:v>
      </x:c>
      <x:c r="N764" s="3">
        <x:v>1.1191994213697134</x:v>
      </x:c>
      <x:c r="O764" s="3">
        <x:f>SUBTOTAL(9,O750:O763)</x:f>
        <x:v>114131751.9364619</x:v>
      </x:c>
      <x:c r="P764" s="15">
        <x:f t="shared" si="172"/>
        <x:v>0</x:v>
      </x:c>
      <x:c r="Q764" s="17">
        <x:f>SUBTOTAL(9,Q750:Q763)</x:f>
        <x:v>28369566.640702322</x:v>
      </x:c>
      <x:c r="R764" s="17">
        <x:f>SUBTOTAL(9,R750:R763)</x:f>
        <x:v>85762185.295759559</x:v>
      </x:c>
      <x:c r="S764" s="15">
        <x:f t="shared" si="175"/>
        <x:v>0</x:v>
      </x:c>
    </x:row>
    <x:row r="767" spans="1:19">
      <x:c r="A767" s="12">
        <x:v>351.3</x:v>
      </x:c>
      <x:c r="B767" s="6" t="s">
        <x:v>111</x:v>
      </x:c>
      <x:c r="C767" s="6">
        <x:v>233.12</x:v>
      </x:c>
      <x:c r="F767" s="6">
        <x:v>233.12</x:v>
      </x:c>
      <x:c r="J767" s="16">
        <x:v>24</x:v>
      </x:c>
      <x:c r="K767" s="16">
        <x:v>21.170558</x:v>
      </x:c>
      <x:c r="L767" s="4">
        <x:v>-0.05</x:v>
      </x:c>
      <x:c r="M767" s="16">
        <x:f t="shared" ref="M767:M769" si="180">+C767*(1-K767/J767)*(1-L767)</x:f>
        <x:v>28.857478957999994</x:v>
      </x:c>
      <x:c r="N767" s="1">
        <x:f>1213664.3/M770</x:f>
        <x:v>2.1685356730870877</x:v>
      </x:c>
      <x:c r="O767" s="1">
        <x:f>+M767*N767</x:f>
        <x:v>62.578472555782987</x:v>
      </x:c>
      <x:c r="Q767" s="15">
        <x:f t="shared" ref="Q767:Q770" si="181">+E767/$C767*$O767</x:f>
        <x:v>0</x:v>
      </x:c>
      <x:c r="R767" s="15">
        <x:f t="shared" ref="R767:R770" si="182">+F767/$C767*$O767</x:f>
        <x:v>62.578472555782987</x:v>
      </x:c>
    </x:row>
    <x:row r="768" spans="1:19">
      <x:c r="A768" s="12">
        <x:v>351.3</x:v>
      </x:c>
      <x:c r="B768" s="6" t="s">
        <x:v>110</x:v>
      </x:c>
      <x:c r="C768" s="6">
        <x:v>3519663.67</x:v>
      </x:c>
      <x:c r="F768" s="6">
        <x:v>3519663.67</x:v>
      </x:c>
      <x:c r="J768" s="16">
        <x:v>24</x:v>
      </x:c>
      <x:c r="K768" s="16">
        <x:v>20.383922999999999</x:v>
      </x:c>
      <x:c r="L768" s="4">
        <x:v>-0.05</x:v>
      </x:c>
      <x:c r="M768" s="16">
        <x:f t="shared" si="180"/>
        <x:v>556822.64946098858</x:v>
      </x:c>
      <x:c r="N768" s="1">
        <x:f t="shared" ref="N768:N769" si="183">$N$767</x:f>
        <x:v>2.1685356730870877</x:v>
      </x:c>
      <x:c r="O768" s="15">
        <x:f t="shared" ref="O768:O769" si="184">+M768*N768</x:f>
        <x:v>1207489.7789390204</x:v>
      </x:c>
      <x:c r="Q768" s="15">
        <x:f t="shared" si="181"/>
        <x:v>0</x:v>
      </x:c>
      <x:c r="R768" s="15">
        <x:f t="shared" si="182"/>
        <x:v>1207489.7789390204</x:v>
      </x:c>
    </x:row>
    <x:row r="769" spans="1:20">
      <x:c r="A769" s="12">
        <x:v>351.3</x:v>
      </x:c>
      <x:c r="B769" s="6" t="s">
        <x:v>105</x:v>
      </x:c>
      <x:c r="C769" s="6">
        <x:v>8707.4599999999991</x:v>
      </x:c>
      <x:c r="F769" s="6">
        <x:v>8707.4599999999991</x:v>
      </x:c>
      <x:c r="J769" s="16">
        <x:v>24</x:v>
      </x:c>
      <x:c r="K769" s="16">
        <x:v>16.601509</x:v>
      </x:c>
      <x:c r="L769" s="4">
        <x:v>-0.05</x:v>
      </x:c>
      <x:c r="M769" s="16">
        <x:f t="shared" si="180"/>
        <x:v>2818.4653193751251</x:v>
      </x:c>
      <x:c r="N769" s="17">
        <x:f t="shared" si="183"/>
        <x:v>2.1685356730870877</x:v>
      </x:c>
      <x:c r="O769" s="15">
        <x:f t="shared" si="184"/>
        <x:v>6111.9425884237507</x:v>
      </x:c>
      <x:c r="P769" s="17">
        <x:f t="shared" ref="P769:S769" si="185">SUBTOTAL(9,P765:P768)</x:f>
        <x:v>0</x:v>
      </x:c>
      <x:c r="Q769" s="15">
        <x:f t="shared" si="181"/>
        <x:v>0</x:v>
      </x:c>
      <x:c r="R769" s="15">
        <x:f t="shared" si="182"/>
        <x:v>6111.9425884237507</x:v>
      </x:c>
      <x:c r="S769" s="17">
        <x:f t="shared" si="185"/>
        <x:v>0</x:v>
      </x:c>
    </x:row>
    <x:row r="770" spans="1:20">
      <x:c r="A770" s="5" t="s">
        <x:v>153</x:v>
      </x:c>
      <x:c r="B770" s="22"/>
      <x:c r="C770" s="17">
        <x:f>SUBTOTAL(9,C766:C769)</x:f>
        <x:v>3528604.25</x:v>
      </x:c>
      <x:c r="D770" s="17"/>
      <x:c r="E770" s="17"/>
      <x:c r="F770" s="17">
        <x:f>SUBTOTAL(9,F766:F769)</x:f>
        <x:v>3528604.25</x:v>
      </x:c>
      <x:c r="G770" s="15"/>
      <x:c r="J770" s="16"/>
      <x:c r="K770" s="16"/>
      <x:c r="L770" s="4"/>
      <x:c r="M770" s="17">
        <x:f t="shared" ref="M770:T770" si="186">SUBTOTAL(9,M766:M769)</x:f>
        <x:v>559669.97225932172</x:v>
      </x:c>
      <x:c r="N770" s="17" t="s">
        <x:v>145</x:v>
      </x:c>
      <x:c r="O770" s="17">
        <x:f>SUBTOTAL(9,O766:O769)</x:f>
        <x:v>1213664.3</x:v>
      </x:c>
      <x:c r="P770" s="17">
        <x:f t="shared" si="186"/>
        <x:v>0</x:v>
      </x:c>
      <x:c r="Q770" s="15">
        <x:f t="shared" si="181"/>
        <x:v>0</x:v>
      </x:c>
      <x:c r="R770" s="15">
        <x:f t="shared" si="182"/>
        <x:v>1213664.3</x:v>
      </x:c>
      <x:c r="S770" s="17">
        <x:f t="shared" si="186"/>
        <x:v>0</x:v>
      </x:c>
      <x:c r="T770" s="17">
        <x:f t="shared" si="186"/>
        <x:v>0</x:v>
      </x:c>
    </x:row>
    <x:row r="771" spans="1:20">
      <x:c r="J771" s="16"/>
      <x:c r="K771" s="16"/>
      <x:c r="L771" s="4"/>
    </x:row>
    <x:row r="772" spans="1:20">
      <x:c r="L772" s="15"/>
    </x:row>
    <x:row r="773" spans="1:20">
      <x:c r="L773" s="15"/>
    </x:row>
    <x:row r="774" spans="1:20">
      <x:c r="L774" s="15"/>
    </x:row>
    <x:row r="775" spans="1:20">
      <x:c r="L775" s="15"/>
    </x:row>
  </x:sheetData>
  <x:mergeCells count="1">
    <x:mergeCell ref="D1:F1"/>
  </x:mergeCells>
  <x:pageMargins left="0.75" right="0.75" top="2" bottom="1" header="0.75" footer="0.5"/>
  <x:pageSetup scale="49" fitToWidth="2" fitToHeight="15" orientation="landscape" r:id="rId1"/>
  <x:headerFooter>
    <x:oddHeader>&amp;C
2025 RATE CASE
ONCOR ELECTRIC DELVIERY COMPANY LLC
WP/II-B-5_3 ONCOR LEGACY
TRANSMISSION FUNCTION ALLOCATION
TEST YEAR ENDING DECEMBER 31, 2024
SPONSOR: D.A. WATSON&amp;RWP II-B-5/3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2025-04-04T18:59:37.0000000Z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