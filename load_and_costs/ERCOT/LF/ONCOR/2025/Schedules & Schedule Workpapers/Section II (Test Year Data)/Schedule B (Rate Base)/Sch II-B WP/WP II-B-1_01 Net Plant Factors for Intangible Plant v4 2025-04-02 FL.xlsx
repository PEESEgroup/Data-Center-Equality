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59E7C0BA-0351-4A66-805F-5AD55C00623B}" xr6:coauthVersionLast="47" xr6:coauthVersionMax="47" xr10:uidLastSave="{00000000-0000-0000-0000-000000000000}"/>
  <x:bookViews>
    <x:workbookView xWindow="25974" yWindow="-109" windowWidth="26301" windowHeight="14169" xr2:uid="{00000000-000D-0000-FFFF-FFFF00000000}"/>
  </x:bookViews>
  <x:sheets>
    <x:sheet name="WP II-B-1_01" sheetId="1" r:id="rId1"/>
  </x:sheets>
  <x:definedNames>
    <x:definedName name="_xlnm._FilterDatabase" localSheetId="0" hidden="1">'WP II-B-1_01'!$A$4:$K$4</x:definedName>
    <x:definedName name="_xlnm.Print_Titles" localSheetId="0">'WP II-B-1_01'!$4:$4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K26" i="1" l="1"/>
  <x:c r="J26" i="1"/>
  <x:c r="H26" i="1"/>
  <x:c r="G26" i="1"/>
  <x:c r="E26" i="1"/>
  <x:c r="D26" i="1"/>
  <x:c r="C26" i="1"/>
  <x:c r="B26" i="1"/>
  <x:c r="I25" i="1"/>
  <x:c r="I24" i="1"/>
  <x:c r="F25" i="1"/>
  <x:c r="F24" i="1"/>
  <x:c r="I23" i="1"/>
  <x:c r="F23" i="1"/>
  <x:c r="K21" i="1"/>
  <x:c r="J21" i="1"/>
  <x:c r="H21" i="1"/>
  <x:c r="G21" i="1"/>
  <x:c r="E21" i="1"/>
  <x:c r="D21" i="1"/>
  <x:c r="C21" i="1"/>
  <x:c r="B21" i="1"/>
  <x:c r="I20" i="1"/>
  <x:c r="F20" i="1"/>
  <x:c r="I19" i="1"/>
  <x:c r="F19" i="1"/>
  <x:c r="F21" i="1" s="1"/>
  <x:c r="K17" i="1"/>
  <x:c r="J17" i="1"/>
  <x:c r="H17" i="1"/>
  <x:c r="G17" i="1"/>
  <x:c r="E17" i="1"/>
  <x:c r="E28" i="1" s="1"/>
  <x:c r="D17" i="1"/>
  <x:c r="C17" i="1"/>
  <x:c r="B17" i="1"/>
  <x:c r="I16" i="1"/>
  <x:c r="L16" i="1" s="1"/>
  <x:c r="F16" i="1"/>
  <x:c r="I15" i="1"/>
  <x:c r="I17" i="1" s="1"/>
  <x:c r="F15" i="1"/>
  <x:c r="F17" i="1" s="1"/>
  <x:c r="B28" i="1" l="1"/>
  <x:c r="L23" i="1"/>
  <x:c r="I21" i="1"/>
  <x:c r="L20" i="1"/>
  <x:c r="H28" i="1"/>
  <x:c r="G28" i="1"/>
  <x:c r="J28" i="1"/>
  <x:c r="C28" i="1"/>
  <x:c r="L24" i="1"/>
  <x:c r="K28" i="1"/>
  <x:c r="D28" i="1"/>
  <x:c r="I26" i="1"/>
  <x:c r="L25" i="1"/>
  <x:c r="F26" i="1"/>
  <x:c r="L21" i="1"/>
  <x:c r="L17" i="1"/>
  <x:c r="L15" i="1"/>
  <x:c r="L19" i="1"/>
  <x:c r="I12" i="1"/>
  <x:c r="F12" i="1"/>
  <x:c r="L12" i="1" s="1"/>
  <x:c r="I11" i="1"/>
  <x:c r="F11" i="1"/>
  <x:c r="K9" i="1"/>
  <x:c r="K13" i="1" s="1"/>
  <x:c r="J9" i="1"/>
  <x:c r="J13" i="1" s="1"/>
  <x:c r="H9" i="1"/>
  <x:c r="H13" i="1" s="1"/>
  <x:c r="G9" i="1"/>
  <x:c r="G13" i="1" s="1"/>
  <x:c r="E9" i="1"/>
  <x:c r="E13" i="1" s="1"/>
  <x:c r="E30" i="1" s="1"/>
  <x:c r="E33" i="1" s="1"/>
  <x:c r="D9" i="1"/>
  <x:c r="D13" i="1" s="1"/>
  <x:c r="C9" i="1"/>
  <x:c r="C13" i="1" s="1"/>
  <x:c r="B9" i="1"/>
  <x:c r="I8" i="1"/>
  <x:c r="L8" i="1" s="1"/>
  <x:c r="I7" i="1"/>
  <x:c r="F7" i="1"/>
  <x:c r="L7" i="1" s="1"/>
  <x:c r="I28" i="1" l="1"/>
  <x:c r="H30" i="1"/>
  <x:c r="G30" i="1"/>
  <x:c r="G33" i="1" s="1"/>
  <x:c r="I33" i="1" s="1"/>
  <x:c r="C30" i="1"/>
  <x:c r="C33" i="1" s="1"/>
  <x:c r="J30" i="1"/>
  <x:c r="J33" i="1" s="1"/>
  <x:c r="K30" i="1"/>
  <x:c r="K33" i="1" s="1"/>
  <x:c r="L26" i="1"/>
  <x:c r="D30" i="1"/>
  <x:c r="F28" i="1"/>
  <x:c r="L28" i="1" s="1"/>
  <x:c r="L11" i="1"/>
  <x:c r="B13" i="1"/>
  <x:c r="B30" i="1" s="1"/>
  <x:c r="I6" i="1"/>
  <x:c r="I9" i="1" s="1"/>
  <x:c r="I13" i="1" s="1"/>
  <x:c r="I30" i="1" s="1"/>
  <x:c r="F6" i="1"/>
  <x:c r="L6" i="1" l="1"/>
  <x:c r="F9" i="1"/>
  <x:c r="F13" i="1" l="1"/>
  <x:c r="L9" i="1"/>
  <x:c r="F33" i="1"/>
  <x:c r="B33" i="1" s="1"/>
  <x:c r="L33" i="1" s="1"/>
  <x:c r="L13" i="1" l="1"/>
  <x:c r="F30" i="1"/>
  <x:c r="L30" i="1" s="1"/>
  <x:c r="G35" i="1"/>
  <x:c r="J35" i="1" l="1"/>
  <x:c r="K35" i="1"/>
  <x:c r="F35" i="1"/>
  <x:c r="M35" i="1" l="1"/>
  <x:c r="K41" i="1" l="1"/>
  <x:c r="J41" i="1"/>
  <x:c r="G41" i="1"/>
  <x:c r="E41" i="1"/>
  <x:c r="C41" i="1"/>
  <x:c r="F41" i="1" s="1"/>
  <x:c r="I41" i="1" l="1"/>
  <x:c r="B41" i="1" s="1"/>
  <x:c r="K43" i="1" s="1"/>
  <x:c r="J43" i="1" l="1"/>
  <x:c r="L41" i="1"/>
  <x:c r="G43" i="1"/>
  <x:c r="F43" i="1"/>
  <x:c r="F39" i="1" l="1"/>
  <x:c r="I39" i="1" l="1"/>
  <x:c r="L39" i="1" s="1"/>
  <x:c r="M43" i="1" l="1"/>
</x:calcChain>
</file>

<file path=xl/sharedStrings.xml><?xml version="1.0" encoding="utf-8"?>
<sst xmlns="http://schemas.openxmlformats.org/spreadsheetml/2006/main" count="33" uniqueCount="33">
  <si>
    <t>TRAN</t>
  </si>
  <si>
    <t>DIST</t>
  </si>
  <si>
    <t>MET</t>
  </si>
  <si>
    <t>TDCS</t>
  </si>
  <si>
    <t>Allocation to Texas</t>
  </si>
  <si>
    <t>NTU TRAN</t>
  </si>
  <si>
    <t>DC TIE</t>
  </si>
  <si>
    <t>Consol TRAN</t>
  </si>
  <si>
    <t>NTU DIST</t>
  </si>
  <si>
    <t>Consol DIST</t>
  </si>
  <si>
    <t>Allocation % for Intangible Asset - Spectrum 700MHz</t>
  </si>
  <si>
    <t>TOTAL TRAN, DIST PLANT-GROSS (Lines 23+44) from Schedule II-B-1 Excluding NTU</t>
  </si>
  <si>
    <t>Total Net Plant Less Intangible, Software, Computer  Equipment (397-0215, Function HG), &amp; NTU</t>
  </si>
  <si>
    <t>II-B-5 Line 25</t>
  </si>
  <si>
    <t>II-B-5 Line 46</t>
  </si>
  <si>
    <t>Intangible Systems not Direct Assigned are allocated based on Net Plant excluding Intangible, Software, Computer Equipment (397-0215, Function HG) &amp; NTU or Transmission &amp; Distribution Gross Plant excluding NTU</t>
  </si>
  <si>
    <t>Gross Plant excluding Intangible, Software &amp; Computer Equipment</t>
  </si>
  <si>
    <t>Transmission Reserve less Intangible, Software &amp; Computer Equipment</t>
  </si>
  <si>
    <t>Distribution Reserve less Intangible, Software &amp; Computer Equipment</t>
  </si>
  <si>
    <t>General Plant Reserve less Intangible, Software &amp; Computer Equipment</t>
  </si>
  <si>
    <t>Reserve less Intangible, Software &amp; Computer Equipment</t>
  </si>
  <si>
    <t>Net Plant excluding Intangible, Software &amp; Computer Equipment</t>
  </si>
  <si>
    <t>II-B-1 excluding Intangible, Software &amp; Computer Equipment</t>
  </si>
  <si>
    <t>II-B-5 Line 66</t>
  </si>
  <si>
    <t>Less A363.2 Computer Software Line 30</t>
  </si>
  <si>
    <t>Less A351.2 Computer Software Line 13</t>
  </si>
  <si>
    <t>II-B-1 Total Transmission, Distribution Plant - Gross (Lines 23+44) Line 47</t>
  </si>
  <si>
    <t>II-B-2 Total General Plant - Gross Line 19</t>
  </si>
  <si>
    <t>II-B-3 A397.3 Communication Equipment Line 4</t>
  </si>
  <si>
    <t>Less A351.2 Computer Software Line 14</t>
  </si>
  <si>
    <t>Less A363.2 Computer Software Line 33</t>
  </si>
  <si>
    <t>II-B-5 A397.3 Communication Equipment Line 70</t>
  </si>
  <si>
    <t>II-B-5 A398 Miscellaneous Equipment Line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</si>
</sst>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%"/>
  </numFmts>
  <fonts count="7">
    <font>
      <sz val="10"/>
      <name val="Arial"/>
    </font>
    <font>
      <sz val="10"/>
      <name val="Arial"/>
      <family val="2"/>
    </font>
    <font>
      <sz val="10"/>
      <color indexed="6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2" fillId="0" borderId="0"/>
    <xf numFmtId="9" fontId="1" fillId="0" borderId="0" applyFont="0" applyFill="0" applyBorder="0" applyAlignment="0" applyProtection="0"/>
    <xf numFmtId="0" fontId="6" fillId="0" borderId="0"/>
  </cellStyleXfs>
  <cellXfs count="24">
    <xf numFmtId="0" fontId="0" fillId="0" borderId="0" xfId="0"/>
    <xf numFmtId="0" fontId="5" fillId="0" borderId="0" xfId="0" applyFont="1"/>
    <xf numFmtId="40" fontId="5" fillId="0" borderId="0" xfId="0" applyNumberFormat="1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0" fontId="5" fillId="0" borderId="0" xfId="0" applyNumberFormat="1" applyFont="1"/>
    <xf numFmtId="40" fontId="5" fillId="0" borderId="0" xfId="0" applyNumberFormat="1" applyFont="1" applyFill="1"/>
    <xf numFmtId="0" fontId="4" fillId="0" borderId="0" xfId="0" applyFont="1" applyAlignment="1"/>
    <xf numFmtId="0" fontId="5" fillId="0" borderId="0" xfId="0" applyFont="1" applyFill="1"/>
    <xf numFmtId="10" fontId="5" fillId="0" borderId="0" xfId="0" applyNumberFormat="1" applyFont="1" applyFill="1"/>
    <xf numFmtId="164" fontId="4" fillId="0" borderId="0" xfId="2" applyNumberFormat="1" applyFont="1" applyFill="1" applyAlignment="1">
      <alignment horizontal="center"/>
    </xf>
    <xf numFmtId="164" fontId="5" fillId="0" borderId="0" xfId="0" applyNumberFormat="1" applyFont="1" applyFill="1" applyAlignment="1">
      <alignment horizontal="center"/>
    </xf>
    <xf numFmtId="164" fontId="5" fillId="0" borderId="0" xfId="0" applyNumberFormat="1" applyFont="1" applyFill="1"/>
    <xf numFmtId="0" fontId="4" fillId="0" borderId="0" xfId="0" applyFont="1" applyFill="1" applyBorder="1" applyAlignment="1">
      <alignment horizontal="center" wrapText="1"/>
    </xf>
    <xf numFmtId="40" fontId="4" fillId="0" borderId="1" xfId="0" applyNumberFormat="1" applyFont="1" applyFill="1" applyBorder="1" applyAlignment="1">
      <alignment horizontal="center" wrapText="1"/>
    </xf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wrapText="1"/>
    </xf>
    <xf numFmtId="40" fontId="5" fillId="0" borderId="2" xfId="0" applyNumberFormat="1" applyFont="1" applyFill="1" applyBorder="1"/>
    <xf numFmtId="39" fontId="5" fillId="0" borderId="0" xfId="0" applyNumberFormat="1" applyFont="1"/>
    <xf numFmtId="39" fontId="5" fillId="0" borderId="0" xfId="0" applyNumberFormat="1" applyFont="1" applyFill="1"/>
    <xf numFmtId="40" fontId="5" fillId="0" borderId="3" xfId="0" applyNumberFormat="1" applyFont="1" applyFill="1" applyBorder="1"/>
    <xf numFmtId="0" fontId="4" fillId="0" borderId="0" xfId="0" applyFont="1" applyFill="1" applyAlignment="1"/>
    <xf numFmtId="0" fontId="4" fillId="0" borderId="0" xfId="0" applyFont="1" applyAlignment="1">
      <alignment horizontal="left" vertical="center" wrapText="1"/>
    </xf>
  </cellXfs>
  <cellStyles count="4">
    <cellStyle name="Normal" xfId="0" builtinId="0"/>
    <cellStyle name="Normal 2" xfId="3" xr:uid="{00000000-0005-0000-0000-000001000000}"/>
    <cellStyle name="nPlosion" xfId="1" xr:uid="{00000000-0005-0000-0000-000002000000}"/>
    <cellStyle name="Percent" xfId="2" builtin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M43"/>
  <x:sheetViews>
    <x:sheetView tabSelected="1" zoomScaleNormal="100" workbookViewId="0">
      <x:pane xSplit="1" ySplit="4" topLeftCell="E17" activePane="bottomRight" state="frozen"/>
      <x:selection pane="topRight" activeCell="B1" sqref="B1"/>
      <x:selection pane="bottomLeft" activeCell="A5" sqref="A5"/>
      <x:selection pane="bottomRight" activeCell="M35" sqref="M35"/>
    </x:sheetView>
  </x:sheetViews>
  <x:sheetFormatPr defaultColWidth="9.125" defaultRowHeight="15.65"/>
  <x:cols>
    <x:col min="1" max="1" width="80.375" style="3" customWidth="1"/>
    <x:col min="2" max="2" width="22.75" style="2" customWidth="1"/>
    <x:col min="3" max="3" width="21.25" style="2" bestFit="1" customWidth="1"/>
    <x:col min="4" max="4" width="19.625" style="2" bestFit="1" customWidth="1"/>
    <x:col min="5" max="5" width="16.75" style="2" bestFit="1" customWidth="1"/>
    <x:col min="6" max="7" width="21.25" style="2" bestFit="1" customWidth="1"/>
    <x:col min="8" max="8" width="17.75" style="1" bestFit="1" customWidth="1"/>
    <x:col min="9" max="9" width="21.25" style="1" bestFit="1" customWidth="1"/>
    <x:col min="10" max="10" width="18.125" style="1" bestFit="1" customWidth="1"/>
    <x:col min="11" max="11" width="17.75" style="1" bestFit="1" customWidth="1"/>
    <x:col min="12" max="12" width="7" style="19" bestFit="1" customWidth="1"/>
    <x:col min="13" max="13" width="11.25" style="1" bestFit="1" customWidth="1"/>
    <x:col min="14" max="16384" width="9.125" style="1"/>
  </x:cols>
  <x:sheetData>
    <x:row r="1" spans="1:12" ht="15.8" customHeight="1">
      <x:c r="A1" s="23" t="s">
        <x:v>15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</x:row>
    <x:row r="2" spans="1:12" ht="15.8" customHeight="1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 spans="1:12" ht="14.95" customHeight="1">
      <x:c r="A3" s="8"/>
    </x:row>
    <x:row r="4" spans="1:12" s="9" customFormat="1">
      <x:c r="A4" s="14"/>
      <x:c r="B4" s="15" t="s">
        <x:v>4</x:v>
      </x:c>
      <x:c r="C4" s="15" t="s">
        <x:v>0</x:v>
      </x:c>
      <x:c r="D4" s="15" t="s">
        <x:v>5</x:v>
      </x:c>
      <x:c r="E4" s="15" t="s">
        <x:v>6</x:v>
      </x:c>
      <x:c r="F4" s="15" t="s">
        <x:v>7</x:v>
      </x:c>
      <x:c r="G4" s="15" t="s">
        <x:v>1</x:v>
      </x:c>
      <x:c r="H4" s="15" t="s">
        <x:v>8</x:v>
      </x:c>
      <x:c r="I4" s="15" t="s">
        <x:v>9</x:v>
      </x:c>
      <x:c r="J4" s="15" t="s">
        <x:v>2</x:v>
      </x:c>
      <x:c r="K4" s="15" t="s">
        <x:v>3</x:v>
      </x:c>
      <x:c r="L4" s="20"/>
    </x:row>
    <x:row r="5" spans="1:12" s="9" customFormat="1">
      <x:c r="A5" s="16"/>
      <x:c r="B5" s="7"/>
      <x:c r="C5" s="7"/>
      <x:c r="D5" s="7"/>
      <x:c r="E5" s="7"/>
      <x:c r="F5" s="7"/>
      <x:c r="G5" s="7"/>
      <x:c r="L5" s="20"/>
    </x:row>
    <x:row r="6" spans="1:12" s="9" customFormat="1" ht="31.25">
      <x:c r="A6" s="17" t="s">
        <x:v>26</x:v>
      </x:c>
      <x:c r="B6" s="7">
        <x:v>38516360656.57</x:v>
      </x:c>
      <x:c r="C6" s="7">
        <x:v>15604715915.920002</x:v>
      </x:c>
      <x:c r="D6" s="7">
        <x:v>1722143641.1800001</x:v>
      </x:c>
      <x:c r="E6" s="7">
        <x:v>21007909.579999983</x:v>
      </x:c>
      <x:c r="F6" s="7">
        <x:f>SUM(C6:E6)</x:f>
        <x:v>17347867466.680004</x:v>
      </x:c>
      <x:c r="G6" s="7">
        <x:v>19907180317.879997</x:v>
      </x:c>
      <x:c r="H6" s="7">
        <x:v>141456042.31</x:v>
      </x:c>
      <x:c r="I6" s="7">
        <x:f>SUM(G6:H6)</x:f>
        <x:v>20048636360.189999</x:v>
      </x:c>
      <x:c r="J6" s="7">
        <x:v>784983594.01999998</x:v>
      </x:c>
      <x:c r="K6" s="7">
        <x:v>334873235.67999995</x:v>
      </x:c>
      <x:c r="L6" s="20">
        <x:f>B6-F6-I6-J6-K6</x:f>
        <x:v>-2.9802322387695313E-6</x:v>
      </x:c>
    </x:row>
    <x:row r="7" spans="1:12" s="9" customFormat="1">
      <x:c r="A7" s="17" t="s">
        <x:v>25</x:v>
      </x:c>
      <x:c r="B7" s="7">
        <x:v>150825746.09999999</x:v>
      </x:c>
      <x:c r="C7" s="7">
        <x:v>150825746.09999999</x:v>
      </x:c>
      <x:c r="D7" s="7"/>
      <x:c r="E7" s="7"/>
      <x:c r="F7" s="7">
        <x:f>SUM(C7:E7)</x:f>
        <x:v>150825746.09999999</x:v>
      </x:c>
      <x:c r="G7" s="7"/>
      <x:c r="H7" s="7"/>
      <x:c r="I7" s="7">
        <x:f>SUM(G7:H7)</x:f>
        <x:v>0</x:v>
      </x:c>
      <x:c r="J7" s="7"/>
      <x:c r="K7" s="7"/>
      <x:c r="L7" s="20">
        <x:f>B7-F7-I7-J7-K7</x:f>
        <x:v>0</x:v>
      </x:c>
    </x:row>
    <x:row r="8" spans="1:12" s="9" customFormat="1">
      <x:c r="A8" s="17" t="s">
        <x:v>24</x:v>
      </x:c>
      <x:c r="B8" s="18">
        <x:v>783527550.65000021</x:v>
      </x:c>
      <x:c r="C8" s="18"/>
      <x:c r="D8" s="18"/>
      <x:c r="E8" s="18"/>
      <x:c r="F8" s="18"/>
      <x:c r="G8" s="18">
        <x:v>327580421.52000022</x:v>
      </x:c>
      <x:c r="H8" s="18"/>
      <x:c r="I8" s="18">
        <x:f>SUM(G8:H8)</x:f>
        <x:v>327580421.52000022</x:v>
      </x:c>
      <x:c r="J8" s="18">
        <x:v>121073893.45000005</x:v>
      </x:c>
      <x:c r="K8" s="18">
        <x:v>334873235.67999995</x:v>
      </x:c>
      <x:c r="L8" s="20">
        <x:f>B8-F8-I8-J8-K8</x:f>
        <x:v>0</x:v>
      </x:c>
    </x:row>
    <x:row r="9" spans="1:12" s="9" customFormat="1">
      <x:c r="A9" s="17" t="s">
        <x:v>22</x:v>
      </x:c>
      <x:c r="B9" s="7">
        <x:f>B6-B7-B8</x:f>
        <x:v>37582007359.82</x:v>
      </x:c>
      <x:c r="C9" s="7">
        <x:f t="shared" ref="C9:K9" si="0">C6-C7-C8</x:f>
        <x:v>15453890169.820002</x:v>
      </x:c>
      <x:c r="D9" s="7">
        <x:f t="shared" si="0"/>
        <x:v>1722143641.1800001</x:v>
      </x:c>
      <x:c r="E9" s="7">
        <x:f t="shared" si="0"/>
        <x:v>21007909.579999983</x:v>
      </x:c>
      <x:c r="F9" s="7">
        <x:f t="shared" si="0"/>
        <x:v>17197041720.580006</x:v>
      </x:c>
      <x:c r="G9" s="7">
        <x:f t="shared" si="0"/>
        <x:v>19579599896.359997</x:v>
      </x:c>
      <x:c r="H9" s="7">
        <x:f t="shared" si="0"/>
        <x:v>141456042.31</x:v>
      </x:c>
      <x:c r="I9" s="7">
        <x:f t="shared" si="0"/>
        <x:v>19721055938.669998</x:v>
      </x:c>
      <x:c r="J9" s="7">
        <x:f t="shared" si="0"/>
        <x:v>663909700.56999993</x:v>
      </x:c>
      <x:c r="K9" s="7">
        <x:f t="shared" si="0"/>
        <x:v>0</x:v>
      </x:c>
      <x:c r="L9" s="20">
        <x:f>B9-F9-I9-J9-K9</x:f>
        <x:v>-4.0531158447265625E-6</x:v>
      </x:c>
    </x:row>
    <x:row r="10" spans="1:12" s="9" customFormat="1">
      <x:c r="A10" s="1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20"/>
    </x:row>
    <x:row r="11" spans="1:12" s="9" customFormat="1">
      <x:c r="A11" s="17" t="s">
        <x:v>27</x:v>
      </x:c>
      <x:c r="B11" s="7">
        <x:v>612100441.77999985</x:v>
      </x:c>
      <x:c r="C11" s="7">
        <x:v>210647663.62999994</x:v>
      </x:c>
      <x:c r="D11" s="7">
        <x:v>4541729.42</x:v>
      </x:c>
      <x:c r="E11" s="7"/>
      <x:c r="F11" s="7">
        <x:f>SUM(C11:E11)</x:f>
        <x:v>215189393.04999992</x:v>
      </x:c>
      <x:c r="G11" s="7">
        <x:v>329554332.70999992</x:v>
      </x:c>
      <x:c r="H11" s="7"/>
      <x:c r="I11" s="7">
        <x:f>SUM(G11:H11)</x:f>
        <x:v>329554332.70999992</x:v>
      </x:c>
      <x:c r="J11" s="7">
        <x:v>45511526.899999984</x:v>
      </x:c>
      <x:c r="K11" s="7">
        <x:v>21845189.11999999</x:v>
      </x:c>
      <x:c r="L11" s="20">
        <x:f>B11-F11-I11-J11-K11</x:f>
        <x:v>0</x:v>
      </x:c>
    </x:row>
    <x:row r="12" spans="1:12" s="9" customFormat="1">
      <x:c r="A12" s="17" t="s">
        <x:v>28</x:v>
      </x:c>
      <x:c r="B12" s="7">
        <x:v>119621642.84</x:v>
      </x:c>
      <x:c r="C12" s="7">
        <x:v>42519999.990000002</x:v>
      </x:c>
      <x:c r="D12" s="7">
        <x:v>16570.82</x:v>
      </x:c>
      <x:c r="E12" s="7"/>
      <x:c r="F12" s="7">
        <x:f>SUM(C12:E12)</x:f>
        <x:v>42536570.810000002</x:v>
      </x:c>
      <x:c r="G12" s="7">
        <x:v>58294861.840000004</x:v>
      </x:c>
      <x:c r="H12" s="7"/>
      <x:c r="I12" s="7">
        <x:f>SUM(G12:H12)</x:f>
        <x:v>58294861.840000004</x:v>
      </x:c>
      <x:c r="J12" s="7">
        <x:v>11299012.679999974</x:v>
      </x:c>
      <x:c r="K12" s="7">
        <x:v>7491197.5099999998</x:v>
      </x:c>
      <x:c r="L12" s="20">
        <x:f>B12-F12-I12-J12-K12</x:f>
        <x:v>2.4214386940002441E-8</x:v>
      </x:c>
    </x:row>
    <x:row r="13" spans="1:12" s="9" customFormat="1" ht="16.3" thickBot="1">
      <x:c r="A13" s="17" t="s">
        <x:v>16</x:v>
      </x:c>
      <x:c r="B13" s="21">
        <x:f>SUM(B9:B12)</x:f>
        <x:v>38313729444.439995</x:v>
      </x:c>
      <x:c r="C13" s="21">
        <x:f t="shared" ref="C13:K13" si="1">SUM(C9:C12)</x:f>
        <x:v>15707057833.440001</x:v>
      </x:c>
      <x:c r="D13" s="21">
        <x:f t="shared" si="1"/>
        <x:v>1726701941.4200001</x:v>
      </x:c>
      <x:c r="E13" s="21">
        <x:f t="shared" si="1"/>
        <x:v>21007909.579999983</x:v>
      </x:c>
      <x:c r="F13" s="21">
        <x:f t="shared" si="1"/>
        <x:v>17454767684.440006</x:v>
      </x:c>
      <x:c r="G13" s="21">
        <x:f t="shared" si="1"/>
        <x:v>19967449090.909996</x:v>
      </x:c>
      <x:c r="H13" s="21">
        <x:f t="shared" si="1"/>
        <x:v>141456042.31</x:v>
      </x:c>
      <x:c r="I13" s="21">
        <x:f t="shared" si="1"/>
        <x:v>20108905133.219997</x:v>
      </x:c>
      <x:c r="J13" s="21">
        <x:f t="shared" si="1"/>
        <x:v>720720240.14999986</x:v>
      </x:c>
      <x:c r="K13" s="21">
        <x:f t="shared" si="1"/>
        <x:v>29336386.629999988</x:v>
      </x:c>
      <x:c r="L13" s="20">
        <x:f>B13-F13-I13-J13-K13</x:f>
        <x:v>-8.6948275566101074E-6</x:v>
      </x:c>
    </x:row>
    <x:row r="14" spans="1:12" s="9" customFormat="1" ht="16.3" thickTop="1">
      <x:c r="A14" s="1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20"/>
    </x:row>
    <x:row r="15" spans="1:12" s="9" customFormat="1">
      <x:c r="A15" s="17" t="s">
        <x:v>13</x:v>
      </x:c>
      <x:c r="B15" s="7">
        <x:v>4075659477.8499999</x:v>
      </x:c>
      <x:c r="C15" s="7">
        <x:v>3517553065.1714921</x:v>
      </x:c>
      <x:c r="D15" s="7">
        <x:v>400426659.09850776</x:v>
      </x:c>
      <x:c r="E15" s="7">
        <x:v>10438214.73</x:v>
      </x:c>
      <x:c r="F15" s="7">
        <x:f>SUM(C15:E15)</x:f>
        <x:v>3928417939</x:v>
      </x:c>
      <x:c r="G15" s="7">
        <x:v>134427843.09999999</x:v>
      </x:c>
      <x:c r="H15" s="7">
        <x:v>12813695.75</x:v>
      </x:c>
      <x:c r="I15" s="7">
        <x:f>SUM(G15:H15)</x:f>
        <x:v>147241538.84999999</x:v>
      </x:c>
      <x:c r="J15" s="7"/>
      <x:c r="K15" s="7"/>
      <x:c r="L15" s="20">
        <x:f>B15-F15-I15-J15-K15</x:f>
        <x:v>-8.9406967163085938E-8</x:v>
      </x:c>
    </x:row>
    <x:row r="16" spans="1:12" s="9" customFormat="1">
      <x:c r="A16" s="17" t="s">
        <x:v>29</x:v>
      </x:c>
      <x:c r="B16" s="18">
        <x:v>56291412.899999999</x:v>
      </x:c>
      <x:c r="C16" s="18">
        <x:v>56291412.899999999</x:v>
      </x:c>
      <x:c r="D16" s="18"/>
      <x:c r="E16" s="18"/>
      <x:c r="F16" s="18">
        <x:f>SUM(C16:E16)</x:f>
        <x:v>56291412.899999999</x:v>
      </x:c>
      <x:c r="G16" s="18"/>
      <x:c r="H16" s="18"/>
      <x:c r="I16" s="18">
        <x:f>SUM(G16:H16)</x:f>
        <x:v>0</x:v>
      </x:c>
      <x:c r="J16" s="18"/>
      <x:c r="K16" s="18"/>
      <x:c r="L16" s="20">
        <x:f>B16-F16-I16-J16-K16</x:f>
        <x:v>0</x:v>
      </x:c>
    </x:row>
    <x:row r="17" spans="1:12" s="9" customFormat="1" ht="31.25">
      <x:c r="A17" s="17" t="s">
        <x:v>17</x:v>
      </x:c>
      <x:c r="B17" s="7">
        <x:f>B15-B16</x:f>
        <x:v>4019368064.9499998</x:v>
      </x:c>
      <x:c r="C17" s="7">
        <x:f t="shared" ref="C17:K17" si="2">C15-C16</x:f>
        <x:v>3461261652.271492</x:v>
      </x:c>
      <x:c r="D17" s="7">
        <x:f t="shared" si="2"/>
        <x:v>400426659.09850776</x:v>
      </x:c>
      <x:c r="E17" s="7">
        <x:f t="shared" si="2"/>
        <x:v>10438214.73</x:v>
      </x:c>
      <x:c r="F17" s="7">
        <x:f t="shared" si="2"/>
        <x:v>3872126526.0999999</x:v>
      </x:c>
      <x:c r="G17" s="7">
        <x:f t="shared" si="2"/>
        <x:v>134427843.09999999</x:v>
      </x:c>
      <x:c r="H17" s="7">
        <x:f t="shared" si="2"/>
        <x:v>12813695.75</x:v>
      </x:c>
      <x:c r="I17" s="7">
        <x:f t="shared" si="2"/>
        <x:v>147241538.84999999</x:v>
      </x:c>
      <x:c r="J17" s="7">
        <x:f t="shared" si="2"/>
        <x:v>0</x:v>
      </x:c>
      <x:c r="K17" s="7">
        <x:f t="shared" si="2"/>
        <x:v>0</x:v>
      </x:c>
      <x:c r="L17" s="20">
        <x:f>B17-F17-I17-J17-K17</x:f>
        <x:v>-8.9406967163085938E-8</x:v>
      </x:c>
    </x:row>
    <x:row r="18" spans="1:12" s="9" customFormat="1">
      <x:c r="A18" s="1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20"/>
    </x:row>
    <x:row r="19" spans="1:12" s="9" customFormat="1">
      <x:c r="A19" s="17" t="s">
        <x:v>14</x:v>
      </x:c>
      <x:c r="B19" s="7">
        <x:v>6967230459.829999</x:v>
      </x:c>
      <x:c r="C19" s="7">
        <x:v>150433248.65000001</x:v>
      </x:c>
      <x:c r="D19" s="7">
        <x:v>14294556.859999999</x:v>
      </x:c>
      <x:c r="E19" s="7"/>
      <x:c r="F19" s="7">
        <x:f>SUM(C19:E19)</x:f>
        <x:v>164727805.50999999</x:v>
      </x:c>
      <x:c r="G19" s="7">
        <x:v>6242116932.9676867</x:v>
      </x:c>
      <x:c r="H19" s="7">
        <x:v>23960368.412312914</x:v>
      </x:c>
      <x:c r="I19" s="7">
        <x:f>SUM(G19:H19)</x:f>
        <x:v>6266077301.3799992</x:v>
      </x:c>
      <x:c r="J19" s="7">
        <x:v>427582352.38</x:v>
      </x:c>
      <x:c r="K19" s="7">
        <x:v>108843000.56</x:v>
      </x:c>
      <x:c r="L19" s="20">
        <x:f>B19-F19-I19-J19-K19</x:f>
        <x:v>-4.1723251342773438E-7</x:v>
      </x:c>
    </x:row>
    <x:row r="20" spans="1:12" s="9" customFormat="1">
      <x:c r="A20" s="17" t="s">
        <x:v>30</x:v>
      </x:c>
      <x:c r="B20" s="18">
        <x:v>288603718.38999999</x:v>
      </x:c>
      <x:c r="C20" s="18"/>
      <x:c r="D20" s="18"/>
      <x:c r="E20" s="18"/>
      <x:c r="F20" s="18">
        <x:f>SUM(C20:E20)</x:f>
        <x:v>0</x:v>
      </x:c>
      <x:c r="G20" s="18">
        <x:v>90241525.159999996</x:v>
      </x:c>
      <x:c r="H20" s="18"/>
      <x:c r="I20" s="18">
        <x:f>SUM(G20:H20)</x:f>
        <x:v>90241525.159999996</x:v>
      </x:c>
      <x:c r="J20" s="18">
        <x:v>89519192.670000002</x:v>
      </x:c>
      <x:c r="K20" s="18">
        <x:v>108843000.56</x:v>
      </x:c>
      <x:c r="L20" s="20">
        <x:f>B20-F20-I20-J20-K20</x:f>
        <x:v>0</x:v>
      </x:c>
    </x:row>
    <x:row r="21" spans="1:12" s="9" customFormat="1">
      <x:c r="A21" s="17" t="s">
        <x:v>18</x:v>
      </x:c>
      <x:c r="B21" s="7">
        <x:f>B19-B20</x:f>
        <x:v>6678626741.4399986</x:v>
      </x:c>
      <x:c r="C21" s="7">
        <x:f t="shared" ref="C21:K21" si="3">C19-C20</x:f>
        <x:v>150433248.65000001</x:v>
      </x:c>
      <x:c r="D21" s="7">
        <x:f t="shared" si="3"/>
        <x:v>14294556.859999999</x:v>
      </x:c>
      <x:c r="E21" s="7">
        <x:f t="shared" si="3"/>
        <x:v>0</x:v>
      </x:c>
      <x:c r="F21" s="7">
        <x:f t="shared" si="3"/>
        <x:v>164727805.50999999</x:v>
      </x:c>
      <x:c r="G21" s="7">
        <x:f t="shared" si="3"/>
        <x:v>6151875407.8076868</x:v>
      </x:c>
      <x:c r="H21" s="7">
        <x:f t="shared" si="3"/>
        <x:v>23960368.412312914</x:v>
      </x:c>
      <x:c r="I21" s="7">
        <x:f t="shared" si="3"/>
        <x:v>6175835776.2199993</x:v>
      </x:c>
      <x:c r="J21" s="7">
        <x:f t="shared" si="3"/>
        <x:v>338063159.70999998</x:v>
      </x:c>
      <x:c r="K21" s="7">
        <x:f t="shared" si="3"/>
        <x:v>0</x:v>
      </x:c>
      <x:c r="L21" s="20">
        <x:f>B21-F21-I21-J21-K21</x:f>
        <x:v>-8.9406967163085938E-7</x:v>
      </x:c>
    </x:row>
    <x:row r="22" spans="1:12" s="9" customFormat="1">
      <x:c r="A22" s="1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20"/>
    </x:row>
    <x:row r="23" spans="1:12" s="9" customFormat="1">
      <x:c r="A23" s="17" t="s">
        <x:v>23</x:v>
      </x:c>
      <x:c r="B23" s="7">
        <x:v>73699163.579999998</x:v>
      </x:c>
      <x:c r="C23" s="7">
        <x:v>27664080.59</x:v>
      </x:c>
      <x:c r="D23" s="7">
        <x:v>1521626.2399999998</x:v>
      </x:c>
      <x:c r="E23" s="7"/>
      <x:c r="F23" s="7">
        <x:f>SUM(C23:E23)</x:f>
        <x:v>29185706.829999998</x:v>
      </x:c>
      <x:c r="G23" s="7">
        <x:v>38475227.75</x:v>
      </x:c>
      <x:c r="H23" s="7"/>
      <x:c r="I23" s="7">
        <x:f>SUM(G23:H23)</x:f>
        <x:v>38475227.75</x:v>
      </x:c>
      <x:c r="J23" s="7">
        <x:v>4480185.4799999995</x:v>
      </x:c>
      <x:c r="K23" s="7">
        <x:v>1558043.52</x:v>
      </x:c>
      <x:c r="L23" s="20">
        <x:f>B23-F23-I23-J23-K23</x:f>
        <x:v>0</x:v>
      </x:c>
    </x:row>
    <x:row r="24" spans="1:12" s="9" customFormat="1">
      <x:c r="A24" s="17" t="s">
        <x:v>31</x:v>
      </x:c>
      <x:c r="B24" s="7">
        <x:v>20944267.41</x:v>
      </x:c>
      <x:c r="C24" s="7">
        <x:v>8041167.1200000001</x:v>
      </x:c>
      <x:c r="D24" s="20">
        <x:v>-65537.78</x:v>
      </x:c>
      <x:c r="E24" s="7"/>
      <x:c r="F24" s="7">
        <x:f t="shared" ref="F24:F25" si="4">SUM(C24:E24)</x:f>
        <x:v>7975629.3399999999</x:v>
      </x:c>
      <x:c r="G24" s="7">
        <x:v>9583076.1699999999</x:v>
      </x:c>
      <x:c r="H24" s="7"/>
      <x:c r="I24" s="7">
        <x:f t="shared" ref="I24:I25" si="5">SUM(G24:H24)</x:f>
        <x:v>9583076.1699999999</x:v>
      </x:c>
      <x:c r="J24" s="7">
        <x:v>2013076.53</x:v>
      </x:c>
      <x:c r="K24" s="7">
        <x:v>1372485.37</x:v>
      </x:c>
      <x:c r="L24" s="20">
        <x:f t="shared" ref="L24:L30" si="6">B24-F24-I24-J24-K24</x:f>
        <x:v>0</x:v>
      </x:c>
    </x:row>
    <x:row r="25" spans="1:12" s="9" customFormat="1">
      <x:c r="A25" s="17" t="s">
        <x:v>32</x:v>
      </x:c>
      <x:c r="B25" s="18">
        <x:v>2561478.9500000002</x:v>
      </x:c>
      <x:c r="C25" s="18">
        <x:v>1112225.73</x:v>
      </x:c>
      <x:c r="D25" s="18">
        <x:v>10880.6</x:v>
      </x:c>
      <x:c r="E25" s="18"/>
      <x:c r="F25" s="18">
        <x:f t="shared" si="4"/>
        <x:v>1123106.33</x:v>
      </x:c>
      <x:c r="G25" s="18">
        <x:v>1226435.93</x:v>
      </x:c>
      <x:c r="H25" s="18"/>
      <x:c r="I25" s="18">
        <x:f t="shared" si="5"/>
        <x:v>1226435.93</x:v>
      </x:c>
      <x:c r="J25" s="18">
        <x:v>211936.69</x:v>
      </x:c>
      <x:c r="K25" s="18"/>
      <x:c r="L25" s="20">
        <x:f t="shared" si="6"/>
        <x:v>1.7462298274040222E-10</x:v>
      </x:c>
    </x:row>
    <x:row r="26" spans="1:12" s="9" customFormat="1" ht="31.25">
      <x:c r="A26" s="17" t="s">
        <x:v>19</x:v>
      </x:c>
      <x:c r="B26" s="7">
        <x:f>SUM(B23:B25)</x:f>
        <x:v>97204909.939999998</x:v>
      </x:c>
      <x:c r="C26" s="7">
        <x:f t="shared" ref="C26:K26" si="7">SUM(C23:C25)</x:f>
        <x:v>36817473.439999998</x:v>
      </x:c>
      <x:c r="D26" s="7">
        <x:f t="shared" si="7"/>
        <x:v>1466969.0599999998</x:v>
      </x:c>
      <x:c r="E26" s="7">
        <x:f t="shared" si="7"/>
        <x:v>0</x:v>
      </x:c>
      <x:c r="F26" s="7">
        <x:f t="shared" si="7"/>
        <x:v>38284442.5</x:v>
      </x:c>
      <x:c r="G26" s="7">
        <x:f t="shared" si="7"/>
        <x:v>49284739.850000001</x:v>
      </x:c>
      <x:c r="H26" s="7">
        <x:f t="shared" si="7"/>
        <x:v>0</x:v>
      </x:c>
      <x:c r="I26" s="7">
        <x:f t="shared" si="7"/>
        <x:v>49284739.850000001</x:v>
      </x:c>
      <x:c r="J26" s="7">
        <x:f t="shared" si="7"/>
        <x:v>6705198.7000000002</x:v>
      </x:c>
      <x:c r="K26" s="7">
        <x:f t="shared" si="7"/>
        <x:v>2930528.89</x:v>
      </x:c>
      <x:c r="L26" s="20">
        <x:f t="shared" si="6"/>
        <x:v>-4.1909515857696533E-9</x:v>
      </x:c>
    </x:row>
    <x:row r="27" spans="1:12" s="9" customFormat="1">
      <x:c r="A27" s="1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20"/>
    </x:row>
    <x:row r="28" spans="1:12" s="9" customFormat="1" ht="16.3" thickBot="1">
      <x:c r="A28" s="17" t="s">
        <x:v>20</x:v>
      </x:c>
      <x:c r="B28" s="21">
        <x:f>B17+B21+B26</x:f>
        <x:v>10795199716.33</x:v>
      </x:c>
      <x:c r="C28" s="21">
        <x:f t="shared" ref="C28:K28" si="8">C17+C21+C26</x:f>
        <x:v>3648512374.3614922</x:v>
      </x:c>
      <x:c r="D28" s="21">
        <x:f t="shared" si="8"/>
        <x:v>416188185.01850778</x:v>
      </x:c>
      <x:c r="E28" s="21">
        <x:f t="shared" si="8"/>
        <x:v>10438214.73</x:v>
      </x:c>
      <x:c r="F28" s="21">
        <x:f t="shared" si="8"/>
        <x:v>4075138774.1099997</x:v>
      </x:c>
      <x:c r="G28" s="21">
        <x:f t="shared" si="8"/>
        <x:v>6335587990.7576876</x:v>
      </x:c>
      <x:c r="H28" s="21">
        <x:f t="shared" si="8"/>
        <x:v>36774064.16231291</x:v>
      </x:c>
      <x:c r="I28" s="21">
        <x:f t="shared" si="8"/>
        <x:v>6372362054.9200001</x:v>
      </x:c>
      <x:c r="J28" s="21">
        <x:f t="shared" si="8"/>
        <x:v>344768358.40999997</x:v>
      </x:c>
      <x:c r="K28" s="21">
        <x:f t="shared" si="8"/>
        <x:v>2930528.89</x:v>
      </x:c>
      <x:c r="L28" s="20">
        <x:f t="shared" si="6"/>
        <x:v>2.2398307919502258E-7</x:v>
      </x:c>
    </x:row>
    <x:row r="29" spans="1:12" s="9" customFormat="1" ht="16.3" thickTop="1">
      <x:c r="A29" s="1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20"/>
    </x:row>
    <x:row r="30" spans="1:12" s="9" customFormat="1" ht="16.3" thickBot="1">
      <x:c r="A30" s="17" t="s">
        <x:v>21</x:v>
      </x:c>
      <x:c r="B30" s="21">
        <x:f>B13-B28</x:f>
        <x:v>27518529728.109993</x:v>
      </x:c>
      <x:c r="C30" s="21">
        <x:f t="shared" ref="C30:K30" si="9">C13-C28</x:f>
        <x:v>12058545459.078508</x:v>
      </x:c>
      <x:c r="D30" s="21">
        <x:f t="shared" si="9"/>
        <x:v>1310513756.4014924</x:v>
      </x:c>
      <x:c r="E30" s="21">
        <x:f t="shared" si="9"/>
        <x:v>10569694.849999983</x:v>
      </x:c>
      <x:c r="F30" s="21">
        <x:f t="shared" si="9"/>
        <x:v>13379628910.330006</x:v>
      </x:c>
      <x:c r="G30" s="21">
        <x:f t="shared" si="9"/>
        <x:v>13631861100.152309</x:v>
      </x:c>
      <x:c r="H30" s="21">
        <x:f t="shared" si="9"/>
        <x:v>104681978.14768709</x:v>
      </x:c>
      <x:c r="I30" s="21">
        <x:f t="shared" si="9"/>
        <x:v>13736543078.299997</x:v>
      </x:c>
      <x:c r="J30" s="21">
        <x:f t="shared" si="9"/>
        <x:v>375951881.73999989</x:v>
      </x:c>
      <x:c r="K30" s="21">
        <x:f t="shared" si="9"/>
        <x:v>26405857.739999987</x:v>
      </x:c>
      <x:c r="L30" s="20">
        <x:f t="shared" si="6"/>
        <x:v>-9.8720192909240723E-6</x:v>
      </x:c>
    </x:row>
    <x:row r="31" spans="1:12" s="9" customFormat="1" ht="16.3" thickTop="1">
      <x:c r="A31" s="1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20"/>
    </x:row>
    <x:row r="32" spans="1:12" s="9" customFormat="1">
      <x:c r="A32" s="22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20"/>
    </x:row>
    <x:row r="33" spans="1:13" s="9" customFormat="1" ht="31.25">
      <x:c r="A33" s="17" t="s">
        <x:v>12</x:v>
      </x:c>
      <x:c r="B33" s="7">
        <x:f>F33+I33+J33+K33</x:f>
        <x:v>26103333993.560822</x:v>
      </x:c>
      <x:c r="C33" s="7">
        <x:f>C30</x:f>
        <x:v>12058545459.078508</x:v>
      </x:c>
      <x:c r="D33" s="7"/>
      <x:c r="E33" s="7">
        <x:f>E30</x:f>
        <x:v>10569694.849999983</x:v>
      </x:c>
      <x:c r="F33" s="7">
        <x:f>SUM(C33:E33)</x:f>
        <x:v>12069115153.928509</x:v>
      </x:c>
      <x:c r="G33" s="7">
        <x:f>G30</x:f>
        <x:v>13631861100.152309</x:v>
      </x:c>
      <x:c r="H33" s="7"/>
      <x:c r="I33" s="7">
        <x:f t="shared" ref="I33" si="10">SUM(G33:H33)</x:f>
        <x:v>13631861100.152309</x:v>
      </x:c>
      <x:c r="J33" s="7">
        <x:f>J30</x:f>
        <x:v>375951881.73999989</x:v>
      </x:c>
      <x:c r="K33" s="7">
        <x:f>K30</x:f>
        <x:v>26405857.739999987</x:v>
      </x:c>
      <x:c r="L33" s="20">
        <x:f t="shared" ref="L33" si="11">B33-F33-I33-J33-K33</x:f>
        <x:v>3.4794211387634277E-6</x:v>
      </x:c>
    </x:row>
    <x:row r="34" spans="1:13" s="9" customFormat="1">
      <x:c r="A34" s="1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20"/>
    </x:row>
    <x:row r="35" spans="1:13" s="9" customFormat="1">
      <x:c r="A35" s="16"/>
      <x:c r="B35" s="7"/>
      <x:c r="C35" s="7"/>
      <x:c r="D35" s="7"/>
      <x:c r="E35" s="7"/>
      <x:c r="F35" s="11">
        <x:f>ROUND(F33/$B$33,5)</x:f>
        <x:v>0.46235999999999999</x:v>
      </x:c>
      <x:c r="G35" s="11">
        <x:f>ROUND(G33/$B$33,5)</x:f>
        <x:v>0.52222999999999997</x:v>
      </x:c>
      <x:c r="H35" s="7"/>
      <x:c r="I35" s="7"/>
      <x:c r="J35" s="11">
        <x:f t="shared" ref="J35:K35" si="12">ROUND(J33/$B$33,5)</x:f>
        <x:v>1.44E-2</x:v>
      </x:c>
      <x:c r="K35" s="11">
        <x:f t="shared" si="12"/>
        <x:v>1.01E-3</x:v>
      </x:c>
      <x:c r="L35" s="20"/>
      <x:c r="M35" s="13">
        <x:f>SUM(F35:K35)</x:f>
        <x:v>0.99999999999999989</x:v>
      </x:c>
    </x:row>
    <x:row r="36" spans="1:13" s="9" customFormat="1">
      <x:c r="A36" s="16"/>
      <x:c r="B36" s="7"/>
      <x:c r="C36" s="7"/>
      <x:c r="D36" s="7"/>
      <x:c r="E36" s="7"/>
      <x:c r="F36" s="11"/>
      <x:c r="G36" s="11"/>
      <x:c r="H36" s="7"/>
      <x:c r="I36" s="7"/>
      <x:c r="J36" s="11"/>
      <x:c r="K36" s="11"/>
      <x:c r="L36" s="20"/>
      <x:c r="M36" s="13"/>
    </x:row>
    <x:row r="37" spans="1:13" s="9" customFormat="1">
      <x:c r="A37" s="16"/>
      <x:c r="B37" s="7"/>
      <x:c r="C37" s="7"/>
      <x:c r="D37" s="7"/>
      <x:c r="E37" s="7"/>
      <x:c r="F37" s="11"/>
      <x:c r="G37" s="11"/>
      <x:c r="H37" s="7"/>
      <x:c r="I37" s="7"/>
      <x:c r="J37" s="11"/>
      <x:c r="K37" s="11"/>
      <x:c r="L37" s="20"/>
      <x:c r="M37" s="13"/>
    </x:row>
    <x:row r="38" spans="1:13">
      <x:c r="B38" s="7"/>
      <x:c r="C38" s="7"/>
      <x:c r="D38" s="7"/>
      <x:c r="E38" s="7"/>
      <x:c r="F38" s="7"/>
      <x:c r="G38" s="7"/>
      <x:c r="H38" s="9"/>
      <x:c r="I38" s="9"/>
      <x:c r="J38" s="9"/>
      <x:c r="K38" s="9"/>
      <x:c r="M38" s="6"/>
    </x:row>
    <x:row r="39" spans="1:13" ht="31.25">
      <x:c r="A39" s="5" t="s">
        <x:v>11</x:v>
      </x:c>
      <x:c r="B39" s="7">
        <x:v>38516360656.57</x:v>
      </x:c>
      <x:c r="C39" s="7">
        <x:v>15604715915.920002</x:v>
      </x:c>
      <x:c r="D39" s="7">
        <x:v>1722143641.1800001</x:v>
      </x:c>
      <x:c r="E39" s="7">
        <x:v>21007909.579999983</x:v>
      </x:c>
      <x:c r="F39" s="7">
        <x:f>SUM(C39:E39)</x:f>
        <x:v>17347867466.680004</x:v>
      </x:c>
      <x:c r="G39" s="7">
        <x:v>19907180317.879997</x:v>
      </x:c>
      <x:c r="H39" s="7">
        <x:v>141456042.31</x:v>
      </x:c>
      <x:c r="I39" s="7">
        <x:f>SUM(G39:H39)</x:f>
        <x:v>20048636360.189999</x:v>
      </x:c>
      <x:c r="J39" s="7">
        <x:v>784983594.01999998</x:v>
      </x:c>
      <x:c r="K39" s="7">
        <x:v>334873235.67999995</x:v>
      </x:c>
      <x:c r="L39" s="20">
        <x:f>B39-F39-I39-J39-K39</x:f>
        <x:v>-2.9802322387695313E-6</x:v>
      </x:c>
      <x:c r="M39" s="10"/>
    </x:row>
    <x:row r="40" spans="1:13">
      <x:c r="A40" s="5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20"/>
      <x:c r="M40" s="10"/>
    </x:row>
    <x:row r="41" spans="1:13">
      <x:c r="A41" s="5"/>
      <x:c r="B41" s="7">
        <x:f>F41+I41+J41+K41</x:f>
        <x:v>36652760973.079994</x:v>
      </x:c>
      <x:c r="C41" s="7">
        <x:f>C39</x:f>
        <x:v>15604715915.920002</x:v>
      </x:c>
      <x:c r="D41" s="7"/>
      <x:c r="E41" s="7">
        <x:f>E39</x:f>
        <x:v>21007909.579999983</x:v>
      </x:c>
      <x:c r="F41" s="7">
        <x:f>SUM(C41:E41)</x:f>
        <x:v>15625723825.500002</x:v>
      </x:c>
      <x:c r="G41" s="7">
        <x:f>G39</x:f>
        <x:v>19907180317.879997</x:v>
      </x:c>
      <x:c r="H41" s="7"/>
      <x:c r="I41" s="7">
        <x:f>SUM(G41:H41)</x:f>
        <x:v>19907180317.879997</x:v>
      </x:c>
      <x:c r="J41" s="7">
        <x:f>J39</x:f>
        <x:v>784983594.01999998</x:v>
      </x:c>
      <x:c r="K41" s="7">
        <x:f>K39</x:f>
        <x:v>334873235.67999995</x:v>
      </x:c>
      <x:c r="L41" s="20">
        <x:f>B41-F41-I41-J41-K41</x:f>
        <x:v>-2.9802322387695313E-6</x:v>
      </x:c>
      <x:c r="M41" s="10"/>
    </x:row>
    <x:row r="42" spans="1:13">
      <x:c r="B42" s="7"/>
      <x:c r="C42" s="7"/>
      <x:c r="D42" s="7"/>
      <x:c r="E42" s="7"/>
      <x:c r="F42" s="7"/>
      <x:c r="G42" s="7"/>
      <x:c r="H42" s="9"/>
      <x:c r="I42" s="9"/>
      <x:c r="J42" s="9"/>
      <x:c r="K42" s="9"/>
      <x:c r="L42" s="20"/>
      <x:c r="M42" s="10"/>
    </x:row>
    <x:row r="43" spans="1:13">
      <x:c r="A43" s="4" t="s">
        <x:v>10</x:v>
      </x:c>
      <x:c r="B43" s="7"/>
      <x:c r="C43" s="7"/>
      <x:c r="D43" s="7"/>
      <x:c r="E43" s="7"/>
      <x:c r="F43" s="11">
        <x:f>ROUND(F41/$B$41,5)</x:f>
        <x:v>0.42631999999999998</x:v>
      </x:c>
      <x:c r="G43" s="11">
        <x:f>ROUND(G41/$B$41,5)</x:f>
        <x:v>0.54313</x:v>
      </x:c>
      <x:c r="H43" s="12"/>
      <x:c r="I43" s="11"/>
      <x:c r="J43" s="11">
        <x:f>ROUND(J41/$B$41,5)</x:f>
        <x:v>2.1420000000000002E-2</x:v>
      </x:c>
      <x:c r="K43" s="11">
        <x:f>ROUND(K41/$B$41,5)-0.00001</x:f>
        <x:v>9.130000000000001E-3</x:v>
      </x:c>
      <x:c r="L43" s="20"/>
      <x:c r="M43" s="13">
        <x:f>SUM(F43:K43)</x:f>
        <x:v>0.99999999999999989</x:v>
      </x:c>
    </x:row>
  </x:sheetData>
  <x:sortState xmlns:xlrd2="http://schemas.microsoft.com/office/spreadsheetml/2017/richdata2" ref="A2:P230">
    <x:sortCondition ref="A2:A230"/>
  </x:sortState>
  <x:mergeCells count="1">
    <x:mergeCell ref="A1:K2"/>
  </x:mergeCells>
  <x:phoneticPr fontId="3" type="noConversion"/>
  <x:pageMargins left="0.7" right="0.7" top="2.5" bottom="0.75" header="1.5" footer="0.3"/>
  <x:pageSetup scale="42" fitToHeight="0" orientation="landscape" r:id="rId1"/>
  <x:headerFooter alignWithMargins="0">
    <x:oddHeader>&amp;C&amp;"Arial,Bold"&amp;12
2025 RATE CASE
ONCOR ELECTRIC DELIVERY COMPANY LLC
NET PLANT FACTORS FOR INTANGIBLE PLANT
FOR THE TEST YEAR ENDING DECEMBER 31, 2024
SPONSOR: W. A. LEDBETTER
&amp;R&amp;"Arial,Bold"&amp;12WP/II-B-1/01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2025-04-02T18:42:11.0000000Z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