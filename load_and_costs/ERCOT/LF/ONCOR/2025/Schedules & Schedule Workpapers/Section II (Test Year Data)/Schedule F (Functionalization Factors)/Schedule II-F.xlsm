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fileSharing readOnlyRecommended="1" userName="Logi, Jason" algorithmName="SHA-512" hashValue="nfeuNsNN5ExqFewdbZcZRUG43dEuGrY1ND6YYPmXq7w3wbbXWK0zfFd79leIES6jazTBRiW72MuN8VZzMY8HNA==" saltValue="V4oNneURq30UyS444B97vg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chedules &amp; Schedule Workpapers\Section II (Test Year Data)\Schedule F (Functionalization Factors)\"/>
    </mc:Choice>
  </mc:AlternateContent>
  <xr:revisionPtr revIDLastSave="0" documentId="13_ncr:10001_{8792FD74-4C6D-446E-BC76-229F9B4E0A65}" xr6:coauthVersionLast="47" xr6:coauthVersionMax="47" xr10:uidLastSave="{00000000-0000-0000-0000-000000000000}"/>
  <bookViews>
    <workbookView xWindow="-120" yWindow="-120" windowWidth="29040" windowHeight="15720" tabRatio="699" activeTab="1" xr2:uid="{00000000-000D-0000-FFFF-FFFF00000000}"/>
  </bookViews>
  <sheets>
    <sheet name="Link Sheet" sheetId="138" r:id="rId1"/>
    <sheet name="II-F Alloc_Data" sheetId="2" r:id="rId2"/>
    <sheet name="II-F Alloc_Factor" sheetId="3" r:id="rId3"/>
  </sheets>
  <externalReferences>
    <externalReference r:id="rId4"/>
    <externalReference r:id="rId5"/>
    <externalReference r:id="rId6"/>
    <externalReference r:id="rId7"/>
  </externalReferences>
  <definedNames>
    <definedName name="_xlnm.Print_Area" localSheetId="1">'II-F Alloc_Data'!$A$11:$N$40</definedName>
    <definedName name="_xlnm.Print_Area" localSheetId="2">'II-F Alloc_Factor'!$A$10:$N$40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4" i="2" l="1"/>
  <c r="I34" i="2"/>
  <c r="E34" i="2"/>
  <c r="M24" i="2"/>
  <c r="L24" i="2"/>
  <c r="J24" i="2"/>
  <c r="I24" i="2"/>
  <c r="G24" i="2"/>
  <c r="F24" i="2"/>
  <c r="E24" i="2"/>
  <c r="M41" i="2"/>
  <c r="L41" i="2"/>
  <c r="J41" i="2"/>
  <c r="I41" i="2"/>
  <c r="G41" i="2"/>
  <c r="F41" i="2"/>
  <c r="E41" i="2"/>
  <c r="M35" i="2"/>
  <c r="L35" i="2"/>
  <c r="J35" i="2"/>
  <c r="I35" i="2"/>
  <c r="G35" i="2"/>
  <c r="F35" i="2"/>
  <c r="E35" i="2"/>
  <c r="M33" i="2"/>
  <c r="L33" i="2"/>
  <c r="J33" i="2"/>
  <c r="I33" i="2"/>
  <c r="G33" i="2"/>
  <c r="F33" i="2"/>
  <c r="E33" i="2"/>
  <c r="M32" i="2"/>
  <c r="L32" i="2"/>
  <c r="J32" i="2"/>
  <c r="I32" i="2"/>
  <c r="G32" i="2"/>
  <c r="F32" i="2"/>
  <c r="E32" i="2"/>
  <c r="M31" i="2"/>
  <c r="L31" i="2"/>
  <c r="J31" i="2"/>
  <c r="I31" i="2"/>
  <c r="G31" i="2"/>
  <c r="F31" i="2"/>
  <c r="E31" i="2"/>
  <c r="M19" i="2"/>
  <c r="L19" i="2"/>
  <c r="J19" i="2"/>
  <c r="I19" i="2"/>
  <c r="G19" i="2"/>
  <c r="F19" i="2"/>
  <c r="E19" i="2"/>
  <c r="A5" i="3"/>
  <c r="A3" i="3"/>
  <c r="A5" i="2"/>
  <c r="A3" i="2"/>
  <c r="A4" i="3"/>
  <c r="A2" i="3"/>
  <c r="A1" i="3"/>
  <c r="A4" i="2"/>
  <c r="A2" i="2"/>
  <c r="A1" i="2"/>
  <c r="K41" i="2" l="1"/>
  <c r="H41" i="2"/>
  <c r="N41" i="2" s="1"/>
  <c r="G41" i="3" s="1"/>
  <c r="I41" i="3" l="1"/>
  <c r="M41" i="3"/>
  <c r="L41" i="3"/>
  <c r="J41" i="3"/>
  <c r="F41" i="3"/>
  <c r="E41" i="3"/>
  <c r="H41" i="3" l="1"/>
  <c r="K41" i="3"/>
  <c r="N28" i="3"/>
  <c r="N41" i="3" l="1"/>
  <c r="M38" i="2"/>
  <c r="L38" i="2"/>
  <c r="H30" i="2" l="1"/>
  <c r="H29" i="2"/>
  <c r="K26" i="2"/>
  <c r="H26" i="2"/>
  <c r="K25" i="2"/>
  <c r="K23" i="2"/>
  <c r="K20" i="2"/>
  <c r="K37" i="2"/>
  <c r="K30" i="2"/>
  <c r="K27" i="2"/>
  <c r="K21" i="2"/>
  <c r="H28" i="2"/>
  <c r="H27" i="2"/>
  <c r="H22" i="2"/>
  <c r="K17" i="2"/>
  <c r="H17" i="2" l="1"/>
  <c r="K29" i="2"/>
  <c r="K22" i="2"/>
  <c r="H37" i="2"/>
  <c r="K36" i="2"/>
  <c r="H20" i="2"/>
  <c r="H25" i="2"/>
  <c r="H36" i="2"/>
  <c r="H23" i="2"/>
  <c r="H21" i="2"/>
  <c r="H35" i="2" l="1"/>
  <c r="N22" i="2" l="1"/>
  <c r="N37" i="2"/>
  <c r="N23" i="2"/>
  <c r="N20" i="2"/>
  <c r="F23" i="3" l="1"/>
  <c r="G23" i="3"/>
  <c r="L23" i="3"/>
  <c r="J23" i="3"/>
  <c r="E23" i="3"/>
  <c r="M23" i="3"/>
  <c r="F37" i="3"/>
  <c r="M37" i="3"/>
  <c r="G37" i="3"/>
  <c r="L37" i="3"/>
  <c r="J37" i="3"/>
  <c r="I37" i="3"/>
  <c r="E37" i="3"/>
  <c r="E22" i="3"/>
  <c r="J22" i="3"/>
  <c r="G22" i="3"/>
  <c r="F22" i="3"/>
  <c r="M22" i="3"/>
  <c r="L22" i="3"/>
  <c r="M20" i="3"/>
  <c r="I20" i="3"/>
  <c r="G20" i="3"/>
  <c r="L20" i="3"/>
  <c r="E20" i="3"/>
  <c r="F20" i="3"/>
  <c r="J20" i="3"/>
  <c r="N26" i="2"/>
  <c r="N27" i="2"/>
  <c r="N29" i="2"/>
  <c r="N25" i="2"/>
  <c r="N30" i="2"/>
  <c r="K37" i="3" l="1"/>
  <c r="F26" i="3"/>
  <c r="L26" i="3"/>
  <c r="J26" i="3"/>
  <c r="M26" i="3"/>
  <c r="G26" i="3"/>
  <c r="I26" i="3"/>
  <c r="E26" i="3"/>
  <c r="I22" i="3"/>
  <c r="K22" i="3" s="1"/>
  <c r="I23" i="3"/>
  <c r="K23" i="3" s="1"/>
  <c r="G27" i="3"/>
  <c r="L27" i="3"/>
  <c r="E27" i="3"/>
  <c r="F27" i="3"/>
  <c r="I27" i="3"/>
  <c r="J27" i="3"/>
  <c r="M27" i="3"/>
  <c r="H22" i="3"/>
  <c r="I30" i="3"/>
  <c r="L30" i="3"/>
  <c r="E30" i="3"/>
  <c r="F30" i="3"/>
  <c r="G30" i="3"/>
  <c r="J30" i="3"/>
  <c r="M30" i="3"/>
  <c r="M29" i="3"/>
  <c r="I29" i="3"/>
  <c r="L29" i="3"/>
  <c r="F29" i="3"/>
  <c r="G29" i="3"/>
  <c r="E29" i="3"/>
  <c r="J29" i="3"/>
  <c r="K29" i="3" s="1"/>
  <c r="H20" i="3"/>
  <c r="K20" i="3"/>
  <c r="H37" i="3"/>
  <c r="N37" i="3" s="1"/>
  <c r="H23" i="3"/>
  <c r="G25" i="3"/>
  <c r="M25" i="3"/>
  <c r="L25" i="3"/>
  <c r="I25" i="3"/>
  <c r="J25" i="3"/>
  <c r="F25" i="3"/>
  <c r="E25" i="3"/>
  <c r="H27" i="3" l="1"/>
  <c r="H26" i="3"/>
  <c r="H30" i="3"/>
  <c r="H25" i="3"/>
  <c r="H29" i="3"/>
  <c r="K30" i="3"/>
  <c r="K27" i="3"/>
  <c r="K26" i="3"/>
  <c r="K25" i="3"/>
  <c r="D29" i="3"/>
  <c r="C29" i="3"/>
  <c r="C18" i="3"/>
  <c r="C19" i="3"/>
  <c r="C20" i="3"/>
  <c r="C21" i="3"/>
  <c r="C22" i="3"/>
  <c r="C17" i="3"/>
  <c r="N30" i="3" l="1"/>
  <c r="N22" i="3"/>
  <c r="N29" i="3"/>
  <c r="N26" i="3"/>
  <c r="N27" i="3"/>
  <c r="N25" i="3"/>
  <c r="N23" i="3"/>
  <c r="N20" i="3"/>
  <c r="N21" i="2" l="1"/>
  <c r="N36" i="2"/>
  <c r="N17" i="2"/>
  <c r="E17" i="3" l="1"/>
  <c r="G17" i="3"/>
  <c r="I17" i="3"/>
  <c r="F17" i="3"/>
  <c r="L17" i="3"/>
  <c r="J17" i="3"/>
  <c r="E36" i="3"/>
  <c r="L36" i="3"/>
  <c r="F36" i="3"/>
  <c r="J36" i="3"/>
  <c r="M36" i="3"/>
  <c r="I36" i="3"/>
  <c r="G36" i="3"/>
  <c r="I21" i="3"/>
  <c r="L21" i="3"/>
  <c r="G21" i="3"/>
  <c r="J21" i="3"/>
  <c r="F21" i="3"/>
  <c r="M21" i="3"/>
  <c r="E21" i="3"/>
  <c r="K36" i="3" l="1"/>
  <c r="H21" i="3"/>
  <c r="K17" i="3"/>
  <c r="K21" i="3"/>
  <c r="H36" i="3"/>
  <c r="H17" i="3"/>
  <c r="N36" i="3" l="1"/>
  <c r="M17" i="3"/>
  <c r="N21" i="3"/>
  <c r="N17" i="3" l="1"/>
  <c r="G38" i="2" l="1"/>
  <c r="F39" i="2" l="1"/>
  <c r="H39" i="2" l="1"/>
  <c r="J39" i="2" l="1"/>
  <c r="K39" i="2" l="1"/>
  <c r="N39" i="2" s="1"/>
  <c r="J39" i="3" s="1"/>
  <c r="F39" i="3" l="1"/>
  <c r="L39" i="3"/>
  <c r="M39" i="3"/>
  <c r="I39" i="3"/>
  <c r="G39" i="3"/>
  <c r="E39" i="3"/>
  <c r="K39" i="3" l="1"/>
  <c r="H39" i="3"/>
  <c r="N39" i="3" l="1"/>
  <c r="K31" i="2" l="1"/>
  <c r="H31" i="2" l="1"/>
  <c r="N31" i="2" s="1"/>
  <c r="E31" i="3" s="1"/>
  <c r="F31" i="3" l="1"/>
  <c r="I31" i="3"/>
  <c r="L31" i="3"/>
  <c r="G31" i="3"/>
  <c r="J31" i="3"/>
  <c r="M31" i="3"/>
  <c r="H31" i="3" l="1"/>
  <c r="K31" i="3"/>
  <c r="N31" i="3" l="1"/>
  <c r="K19" i="2"/>
  <c r="I38" i="2"/>
  <c r="K38" i="2" s="1"/>
  <c r="K28" i="2"/>
  <c r="N28" i="2" s="1"/>
  <c r="I28" i="3" l="1"/>
  <c r="E28" i="3"/>
  <c r="J28" i="3"/>
  <c r="K28" i="3" s="1"/>
  <c r="M28" i="3"/>
  <c r="F28" i="3"/>
  <c r="L28" i="3"/>
  <c r="G28" i="3"/>
  <c r="H28" i="3" l="1"/>
  <c r="H19" i="2"/>
  <c r="N19" i="2" s="1"/>
  <c r="E38" i="2"/>
  <c r="H38" i="2" l="1"/>
  <c r="N38" i="2" s="1"/>
  <c r="E38" i="3" s="1"/>
  <c r="E19" i="3"/>
  <c r="L19" i="3"/>
  <c r="F19" i="3"/>
  <c r="J19" i="3"/>
  <c r="I19" i="3"/>
  <c r="M19" i="3"/>
  <c r="G19" i="3"/>
  <c r="K19" i="3" l="1"/>
  <c r="H19" i="3"/>
  <c r="L38" i="3"/>
  <c r="F38" i="3"/>
  <c r="M38" i="3"/>
  <c r="I38" i="3"/>
  <c r="J38" i="3"/>
  <c r="G38" i="3"/>
  <c r="N19" i="3" l="1"/>
  <c r="H38" i="3"/>
  <c r="K38" i="3"/>
  <c r="N38" i="3" l="1"/>
  <c r="K18" i="2" l="1"/>
  <c r="H18" i="2"/>
  <c r="N18" i="2" s="1"/>
  <c r="E18" i="3" l="1"/>
  <c r="F18" i="3"/>
  <c r="G18" i="3"/>
  <c r="I18" i="3"/>
  <c r="J18" i="3"/>
  <c r="L18" i="3"/>
  <c r="K18" i="3" l="1"/>
  <c r="H18" i="3"/>
  <c r="M18" i="3" l="1"/>
  <c r="N18" i="3" s="1"/>
  <c r="K35" i="2" l="1"/>
  <c r="N35" i="2" s="1"/>
  <c r="I35" i="3" s="1"/>
  <c r="J35" i="3" l="1"/>
  <c r="K35" i="3" s="1"/>
  <c r="E35" i="3"/>
  <c r="L35" i="3"/>
  <c r="F35" i="3"/>
  <c r="G35" i="3"/>
  <c r="M35" i="3"/>
  <c r="H35" i="3" l="1"/>
  <c r="N35" i="3" l="1"/>
  <c r="H33" i="2" l="1"/>
  <c r="K32" i="2" l="1"/>
  <c r="H32" i="2"/>
  <c r="N32" i="2" l="1"/>
  <c r="M32" i="3" s="1"/>
  <c r="I32" i="3" l="1"/>
  <c r="G32" i="3"/>
  <c r="L32" i="3"/>
  <c r="E32" i="3"/>
  <c r="F32" i="3"/>
  <c r="J32" i="3"/>
  <c r="K32" i="3" l="1"/>
  <c r="H32" i="3"/>
  <c r="N32" i="3" l="1"/>
  <c r="K33" i="2" l="1"/>
  <c r="N33" i="2" l="1"/>
  <c r="G33" i="3" l="1"/>
  <c r="E33" i="3"/>
  <c r="L33" i="3"/>
  <c r="M33" i="3"/>
  <c r="F33" i="3"/>
  <c r="J33" i="3"/>
  <c r="I33" i="3"/>
  <c r="K33" i="3" l="1"/>
  <c r="H33" i="3"/>
  <c r="N33" i="3" l="1"/>
  <c r="K24" i="2" l="1"/>
  <c r="E40" i="2"/>
  <c r="H40" i="2"/>
  <c r="M40" i="2" l="1"/>
  <c r="L40" i="2"/>
  <c r="H24" i="2"/>
  <c r="I40" i="2"/>
  <c r="K40" i="2" l="1"/>
  <c r="N24" i="2"/>
  <c r="E24" i="3" l="1"/>
  <c r="F24" i="3"/>
  <c r="G24" i="3"/>
  <c r="I24" i="3"/>
  <c r="J24" i="3"/>
  <c r="L24" i="3"/>
  <c r="M24" i="3"/>
  <c r="N40" i="2"/>
  <c r="J40" i="3" l="1"/>
  <c r="E40" i="3"/>
  <c r="F40" i="3"/>
  <c r="G40" i="3"/>
  <c r="I40" i="3"/>
  <c r="M40" i="3"/>
  <c r="L40" i="3"/>
  <c r="K24" i="3"/>
  <c r="H24" i="3"/>
  <c r="H40" i="3" l="1"/>
  <c r="N24" i="3"/>
  <c r="K40" i="3"/>
  <c r="N40" i="3" l="1"/>
  <c r="H34" i="2" l="1"/>
  <c r="K34" i="2"/>
  <c r="N34" i="2" l="1"/>
  <c r="F34" i="3" l="1"/>
  <c r="M34" i="3"/>
  <c r="G34" i="3"/>
  <c r="J34" i="3"/>
  <c r="L34" i="3"/>
  <c r="I34" i="3"/>
  <c r="E34" i="3"/>
  <c r="H34" i="3" l="1"/>
  <c r="K34" i="3"/>
  <c r="N34" i="3" l="1"/>
</calcChain>
</file>

<file path=xl/sharedStrings.xml><?xml version="1.0" encoding="utf-8"?>
<sst xmlns="http://schemas.openxmlformats.org/spreadsheetml/2006/main" count="162" uniqueCount="80">
  <si>
    <t>Functional Allocation Data</t>
  </si>
  <si>
    <t>Description</t>
  </si>
  <si>
    <t>FF Label</t>
  </si>
  <si>
    <t>TOTAL</t>
  </si>
  <si>
    <t>Functional Allocation Factors</t>
  </si>
  <si>
    <t>FF</t>
  </si>
  <si>
    <t>#</t>
  </si>
  <si>
    <t>MET</t>
  </si>
  <si>
    <t>TDCS</t>
  </si>
  <si>
    <t>TRAN</t>
  </si>
  <si>
    <t>DIST</t>
  </si>
  <si>
    <t>(a)</t>
  </si>
  <si>
    <t>(b)</t>
  </si>
  <si>
    <t>(c)</t>
  </si>
  <si>
    <t>(d)</t>
  </si>
  <si>
    <t>(e)</t>
  </si>
  <si>
    <t>(f)</t>
  </si>
  <si>
    <t>(g)</t>
  </si>
  <si>
    <t>(h)</t>
  </si>
  <si>
    <t>Line</t>
  </si>
  <si>
    <t>No</t>
  </si>
  <si>
    <t>PAYXAG</t>
  </si>
  <si>
    <t>TOMXFP</t>
  </si>
  <si>
    <t>PLTSVC-N</t>
  </si>
  <si>
    <t>DISTMAX</t>
  </si>
  <si>
    <t>DISTOPX</t>
  </si>
  <si>
    <t>C902_3</t>
  </si>
  <si>
    <t>Payroll, Excluding Admin. &amp; General Salaries</t>
  </si>
  <si>
    <t>Total O&amp;M Expense, Excluding Fuel &amp; Purchase Power</t>
  </si>
  <si>
    <t>DIST Maintenance Composite Allocator</t>
  </si>
  <si>
    <t>DIST Operations Composite Allocator</t>
  </si>
  <si>
    <t>Composite Allocator</t>
  </si>
  <si>
    <t>(i)</t>
  </si>
  <si>
    <t>C906_9</t>
  </si>
  <si>
    <t>Total Cost of Service</t>
  </si>
  <si>
    <t>A924</t>
  </si>
  <si>
    <t>A925</t>
  </si>
  <si>
    <t>Account 924</t>
  </si>
  <si>
    <t>Account 925</t>
  </si>
  <si>
    <t>Account 926</t>
  </si>
  <si>
    <t>A926</t>
  </si>
  <si>
    <t>Net Plant in Service (Distribution Spread)</t>
  </si>
  <si>
    <t>PLTSVC-d</t>
  </si>
  <si>
    <t>Account 930.2</t>
  </si>
  <si>
    <t>A930.2</t>
  </si>
  <si>
    <t>Administrative and General Salaries</t>
  </si>
  <si>
    <t>A920</t>
  </si>
  <si>
    <t>Intangible</t>
  </si>
  <si>
    <t>Net Intangible Plant</t>
  </si>
  <si>
    <t>A165</t>
  </si>
  <si>
    <t>Account 165</t>
  </si>
  <si>
    <t>Materials &amp; Supplies</t>
  </si>
  <si>
    <t>M&amp;S</t>
  </si>
  <si>
    <t>TCS</t>
  </si>
  <si>
    <t>Synchronized Interest</t>
  </si>
  <si>
    <t>Sync_Int</t>
  </si>
  <si>
    <t>Property Insurance Reserve</t>
  </si>
  <si>
    <t>Ins_Reserve</t>
  </si>
  <si>
    <t>D-PAYXAG</t>
  </si>
  <si>
    <t>T-PAYXAG</t>
  </si>
  <si>
    <t>Distribution Payroll Factor</t>
  </si>
  <si>
    <t>Transmissiion Payroll Factor</t>
  </si>
  <si>
    <t>NTU</t>
  </si>
  <si>
    <t>DC</t>
  </si>
  <si>
    <t>Consol</t>
  </si>
  <si>
    <t>TIE</t>
  </si>
  <si>
    <t>(j)</t>
  </si>
  <si>
    <t>(k)</t>
  </si>
  <si>
    <t>(n)</t>
  </si>
  <si>
    <t>(o)</t>
  </si>
  <si>
    <t>Net Plant in Service - Oncor Only</t>
  </si>
  <si>
    <t>Net Plant in Service - NTU Only</t>
  </si>
  <si>
    <t>PLTSVC-ONC</t>
  </si>
  <si>
    <t>PLTSVC-NTU</t>
  </si>
  <si>
    <t>Net Plant in Service (Oncor + NTU)</t>
  </si>
  <si>
    <t>Total Cost of Service (Oncor + NTU)</t>
  </si>
  <si>
    <t>Total Cost of Service (Oncor Only)</t>
  </si>
  <si>
    <t>TCS_ONC</t>
  </si>
  <si>
    <t>Computer Software (Net)</t>
  </si>
  <si>
    <t>CS-NET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</si>
</sst>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3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7" fillId="0" borderId="0" xfId="0" applyFont="1" applyBorder="1"/>
    <xf numFmtId="0" fontId="3" fillId="0" borderId="0" xfId="0" applyFont="1" applyFill="1" applyBorder="1"/>
    <xf numFmtId="0" fontId="3" fillId="0" borderId="0" xfId="0" applyFont="1" applyBorder="1"/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/>
    <xf numFmtId="0" fontId="6" fillId="0" borderId="0" xfId="0" applyFont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3" fillId="0" borderId="0" xfId="0" quotePrefix="1" applyFont="1" applyFill="1" applyBorder="1"/>
    <xf numFmtId="164" fontId="3" fillId="0" borderId="0" xfId="1" applyNumberFormat="1" applyFont="1" applyBorder="1"/>
    <xf numFmtId="164" fontId="3" fillId="0" borderId="0" xfId="1" applyNumberFormat="1" applyFont="1" applyFill="1" applyBorder="1"/>
    <xf numFmtId="0" fontId="3" fillId="0" borderId="4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7" fillId="0" borderId="1" xfId="0" quotePrefix="1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3" fillId="0" borderId="0" xfId="0" applyFont="1" applyFill="1"/>
    <xf numFmtId="0" fontId="3" fillId="0" borderId="3" xfId="0" applyFont="1" applyFill="1" applyBorder="1" applyAlignment="1">
      <alignment horizontal="center"/>
    </xf>
    <xf numFmtId="0" fontId="3" fillId="0" borderId="4" xfId="0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9" fontId="3" fillId="0" borderId="0" xfId="3" applyFont="1" applyBorder="1" applyAlignment="1">
      <alignment horizontal="center"/>
    </xf>
    <xf numFmtId="164" fontId="3" fillId="0" borderId="4" xfId="1" applyNumberFormat="1" applyFont="1" applyFill="1" applyBorder="1" applyAlignment="1">
      <alignment horizontal="center"/>
    </xf>
    <xf numFmtId="9" fontId="3" fillId="0" borderId="0" xfId="3" applyFont="1" applyFill="1" applyBorder="1" applyAlignment="1">
      <alignment horizontal="center"/>
    </xf>
    <xf numFmtId="9" fontId="3" fillId="0" borderId="0" xfId="3" applyFont="1" applyFill="1" applyBorder="1"/>
    <xf numFmtId="0" fontId="10" fillId="0" borderId="0" xfId="0" applyFont="1" applyBorder="1"/>
    <xf numFmtId="164" fontId="10" fillId="0" borderId="0" xfId="0" applyNumberFormat="1" applyFont="1" applyFill="1" applyBorder="1"/>
    <xf numFmtId="9" fontId="3" fillId="0" borderId="0" xfId="3" applyFont="1" applyBorder="1"/>
    <xf numFmtId="164" fontId="10" fillId="0" borderId="0" xfId="0" applyNumberFormat="1" applyFont="1" applyBorder="1"/>
    <xf numFmtId="0" fontId="6" fillId="0" borderId="0" xfId="0" applyFont="1" applyBorder="1" applyAlignment="1">
      <alignment horizontal="center"/>
    </xf>
    <xf numFmtId="164" fontId="8" fillId="0" borderId="0" xfId="1" applyNumberFormat="1" applyFont="1" applyBorder="1"/>
    <xf numFmtId="9" fontId="9" fillId="0" borderId="0" xfId="2" applyNumberFormat="1" applyFont="1" applyFill="1" applyBorder="1" applyAlignment="1" applyProtection="1"/>
    <xf numFmtId="1" fontId="3" fillId="0" borderId="0" xfId="3" applyNumberFormat="1" applyFont="1" applyFill="1" applyBorder="1" applyAlignment="1">
      <alignment horizontal="center"/>
    </xf>
    <xf numFmtId="0" fontId="3" fillId="0" borderId="0" xfId="1" applyNumberFormat="1" applyFont="1" applyBorder="1" applyAlignment="1">
      <alignment horizontal="center"/>
    </xf>
    <xf numFmtId="9" fontId="7" fillId="0" borderId="0" xfId="3" applyFont="1" applyBorder="1"/>
    <xf numFmtId="9" fontId="7" fillId="0" borderId="0" xfId="3" applyFont="1" applyBorder="1" applyAlignment="1">
      <alignment horizontal="center"/>
    </xf>
    <xf numFmtId="164" fontId="7" fillId="0" borderId="1" xfId="1" applyNumberFormat="1" applyFont="1" applyFill="1" applyBorder="1" applyAlignment="1">
      <alignment horizontal="center"/>
    </xf>
    <xf numFmtId="164" fontId="7" fillId="0" borderId="2" xfId="1" applyNumberFormat="1" applyFont="1" applyFill="1" applyBorder="1" applyAlignment="1">
      <alignment horizontal="center"/>
    </xf>
    <xf numFmtId="14" fontId="7" fillId="0" borderId="0" xfId="0" applyNumberFormat="1" applyFont="1" applyFill="1" applyBorder="1" applyAlignment="1">
      <alignment horizontal="left"/>
    </xf>
    <xf numFmtId="9" fontId="3" fillId="0" borderId="4" xfId="3" applyFont="1" applyFill="1" applyBorder="1"/>
    <xf numFmtId="0" fontId="0" fillId="0" borderId="0" xfId="0" applyAlignment="1">
      <alignment horizontal="center"/>
    </xf>
    <xf numFmtId="164" fontId="11" fillId="0" borderId="0" xfId="1" applyNumberFormat="1" applyFont="1" applyFill="1" applyBorder="1"/>
    <xf numFmtId="164" fontId="7" fillId="0" borderId="0" xfId="1" applyNumberFormat="1" applyFont="1" applyBorder="1"/>
    <xf numFmtId="10" fontId="7" fillId="0" borderId="0" xfId="3" applyNumberFormat="1" applyFont="1" applyBorder="1"/>
    <xf numFmtId="164" fontId="8" fillId="0" borderId="0" xfId="1" applyNumberFormat="1" applyFont="1" applyFill="1" applyBorder="1"/>
    <xf numFmtId="10" fontId="3" fillId="0" borderId="0" xfId="3" applyNumberFormat="1" applyFont="1" applyFill="1" applyBorder="1"/>
    <xf numFmtId="0" fontId="1" fillId="0" borderId="3" xfId="0" applyFont="1" applyFill="1" applyBorder="1" applyAlignment="1">
      <alignment horizontal="center"/>
    </xf>
    <xf numFmtId="9" fontId="1" fillId="0" borderId="0" xfId="3" applyFont="1" applyFill="1" applyBorder="1"/>
    <xf numFmtId="9" fontId="6" fillId="0" borderId="0" xfId="3" applyFont="1" applyFill="1" applyBorder="1" applyAlignment="1">
      <alignment horizontal="center"/>
    </xf>
    <xf numFmtId="9" fontId="1" fillId="0" borderId="0" xfId="3" applyFont="1" applyBorder="1"/>
    <xf numFmtId="41" fontId="3" fillId="0" borderId="0" xfId="0" applyNumberFormat="1" applyFont="1" applyBorder="1"/>
    <xf numFmtId="0" fontId="1" fillId="0" borderId="0" xfId="0" applyFont="1" applyFill="1" applyAlignment="1">
      <alignment horizontal="center"/>
    </xf>
    <xf numFmtId="10" fontId="7" fillId="0" borderId="0" xfId="3" applyNumberFormat="1" applyFont="1" applyFill="1" applyBorder="1"/>
    <xf numFmtId="41" fontId="7" fillId="0" borderId="0" xfId="1" applyNumberFormat="1" applyFont="1" applyBorder="1"/>
    <xf numFmtId="9" fontId="1" fillId="0" borderId="0" xfId="3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Border="1" applyAlignment="1">
      <alignment horizontal="center"/>
    </xf>
    <xf numFmtId="10" fontId="3" fillId="0" borderId="0" xfId="0" applyNumberFormat="1" applyFont="1" applyBorder="1"/>
    <xf numFmtId="164" fontId="8" fillId="0" borderId="0" xfId="1" applyNumberFormat="1" applyFont="1" applyFill="1" applyBorder="1" applyAlignment="1"/>
    <xf numFmtId="9" fontId="6" fillId="0" borderId="0" xfId="3" applyFont="1" applyFill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476250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AC5004B-BC92-4883-A74F-D48E46161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Schedules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chedule%20Heading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B%20(Rate%20Base)/Schedule%20II-B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%20(Summary)/Schedule%20I-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E%20(Other%20Items)/Schedule%20II-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2024</v>
          </cell>
        </row>
        <row r="9">
          <cell r="A9" t="str">
            <v>2025 RATE CASE</v>
          </cell>
        </row>
      </sheetData>
      <sheetData sheetId="1">
        <row r="120">
          <cell r="A120" t="str">
            <v xml:space="preserve">II-F  </v>
          </cell>
          <cell r="B120" t="str">
            <v>FUNCTIONALIZATION FACTORS</v>
          </cell>
          <cell r="D120" t="str">
            <v>W. ALAN LEDBETTER &amp;&amp; R. PRACHYL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B"/>
      <sheetName val="II-B-1"/>
      <sheetName val="II-B-1a"/>
      <sheetName val="II-B-2"/>
      <sheetName val="II-B-3"/>
      <sheetName val="II-B-4"/>
      <sheetName val="II-B-5"/>
      <sheetName val="II-B-6"/>
      <sheetName val="II-B-7"/>
      <sheetName val="II-B-8"/>
      <sheetName val="II-B-9"/>
      <sheetName val="II-B-10"/>
      <sheetName val="II-B-11"/>
      <sheetName val="II-B-12"/>
      <sheetName val="II-B-13"/>
      <sheetName val="II-B-14"/>
      <sheetName val="II-B-14 Attachment 1"/>
      <sheetName val="II-B-15A"/>
      <sheetName val="II-B-15B"/>
    </sheetNames>
    <sheetDataSet>
      <sheetData sheetId="0">
        <row r="109">
          <cell r="D109">
            <v>17382401.434679456</v>
          </cell>
          <cell r="E109">
            <v>0</v>
          </cell>
          <cell r="F109">
            <v>0</v>
          </cell>
          <cell r="H109">
            <v>127742955.85948826</v>
          </cell>
          <cell r="I109">
            <v>0</v>
          </cell>
          <cell r="K109">
            <v>584939.38897891541</v>
          </cell>
          <cell r="L109">
            <v>529501.175314861</v>
          </cell>
        </row>
        <row r="125">
          <cell r="D125">
            <v>219128707.50999999</v>
          </cell>
          <cell r="E125">
            <v>0</v>
          </cell>
          <cell r="F125">
            <v>0</v>
          </cell>
          <cell r="H125">
            <v>157958065.75</v>
          </cell>
          <cell r="I125">
            <v>0</v>
          </cell>
          <cell r="K125">
            <v>1241799.47</v>
          </cell>
          <cell r="L125">
            <v>0</v>
          </cell>
        </row>
        <row r="136">
          <cell r="D136">
            <v>4269917.71</v>
          </cell>
          <cell r="E136">
            <v>0</v>
          </cell>
          <cell r="F136">
            <v>0</v>
          </cell>
          <cell r="H136">
            <v>5441318.1600000001</v>
          </cell>
          <cell r="I136">
            <v>0</v>
          </cell>
          <cell r="K136">
            <v>204139.49</v>
          </cell>
          <cell r="L136">
            <v>91462.5</v>
          </cell>
        </row>
      </sheetData>
      <sheetData sheetId="1">
        <row r="22">
          <cell r="G22">
            <v>12302851355.600002</v>
          </cell>
          <cell r="H22">
            <v>1310586083.2800002</v>
          </cell>
          <cell r="I22">
            <v>10569694.849999983</v>
          </cell>
          <cell r="K22">
            <v>14051090173.349998</v>
          </cell>
          <cell r="L22">
            <v>104681978.15000001</v>
          </cell>
          <cell r="N22">
            <v>421137977.91999996</v>
          </cell>
          <cell r="O22">
            <v>278403750.57999992</v>
          </cell>
        </row>
      </sheetData>
      <sheetData sheetId="2">
        <row r="26">
          <cell r="N26">
            <v>150825746.09999999</v>
          </cell>
          <cell r="O26">
            <v>0</v>
          </cell>
          <cell r="P26">
            <v>0</v>
          </cell>
          <cell r="R26">
            <v>0</v>
          </cell>
          <cell r="S26">
            <v>0</v>
          </cell>
          <cell r="U26">
            <v>0</v>
          </cell>
          <cell r="V26">
            <v>0</v>
          </cell>
        </row>
        <row r="44">
          <cell r="N44">
            <v>0</v>
          </cell>
          <cell r="O44">
            <v>0</v>
          </cell>
          <cell r="P44">
            <v>0</v>
          </cell>
          <cell r="R44">
            <v>327580421.52000022</v>
          </cell>
          <cell r="S44">
            <v>0</v>
          </cell>
          <cell r="U44">
            <v>121073893.45000005</v>
          </cell>
          <cell r="V44">
            <v>334873235.67999995</v>
          </cell>
        </row>
      </sheetData>
      <sheetData sheetId="3"/>
      <sheetData sheetId="4"/>
      <sheetData sheetId="5">
        <row r="17">
          <cell r="N17">
            <v>166633757.63999996</v>
          </cell>
          <cell r="O17">
            <v>0</v>
          </cell>
          <cell r="P17">
            <v>0</v>
          </cell>
          <cell r="R17">
            <v>188210803.86999995</v>
          </cell>
          <cell r="S17">
            <v>0</v>
          </cell>
          <cell r="U17">
            <v>5189735.49</v>
          </cell>
          <cell r="V17">
            <v>364002.32</v>
          </cell>
        </row>
      </sheetData>
      <sheetData sheetId="6"/>
      <sheetData sheetId="7">
        <row r="28">
          <cell r="N28">
            <v>56291412.899999999</v>
          </cell>
          <cell r="O28">
            <v>0</v>
          </cell>
          <cell r="P28">
            <v>0</v>
          </cell>
          <cell r="R28">
            <v>0</v>
          </cell>
          <cell r="S28">
            <v>0</v>
          </cell>
          <cell r="U28">
            <v>0</v>
          </cell>
          <cell r="V28">
            <v>0</v>
          </cell>
        </row>
        <row r="47">
          <cell r="N47">
            <v>0</v>
          </cell>
          <cell r="O47">
            <v>0</v>
          </cell>
          <cell r="P47">
            <v>0</v>
          </cell>
          <cell r="R47">
            <v>90241525.159999996</v>
          </cell>
          <cell r="S47">
            <v>0</v>
          </cell>
          <cell r="U47">
            <v>89519192.670000002</v>
          </cell>
          <cell r="V47">
            <v>108843000.56</v>
          </cell>
        </row>
        <row r="83">
          <cell r="N83">
            <v>45880881.789999999</v>
          </cell>
          <cell r="O83">
            <v>0</v>
          </cell>
          <cell r="P83">
            <v>0</v>
          </cell>
          <cell r="R83">
            <v>51821898.32</v>
          </cell>
          <cell r="S83">
            <v>0</v>
          </cell>
          <cell r="U83">
            <v>1428939.99</v>
          </cell>
          <cell r="V83">
            <v>100224.27</v>
          </cell>
        </row>
      </sheetData>
      <sheetData sheetId="8"/>
      <sheetData sheetId="9"/>
      <sheetData sheetId="10"/>
      <sheetData sheetId="11"/>
      <sheetData sheetId="12"/>
      <sheetData sheetId="13"/>
      <sheetData sheetId="14">
        <row r="42">
          <cell r="N42">
            <v>14569025.09</v>
          </cell>
          <cell r="O42">
            <v>2435676.29</v>
          </cell>
          <cell r="P42">
            <v>0</v>
          </cell>
          <cell r="R42">
            <v>319335368.44999999</v>
          </cell>
          <cell r="S42">
            <v>0</v>
          </cell>
          <cell r="U42">
            <v>0</v>
          </cell>
          <cell r="V42">
            <v>0</v>
          </cell>
        </row>
        <row r="43">
          <cell r="N43">
            <v>32518079.279999997</v>
          </cell>
          <cell r="O43">
            <v>-946280.72</v>
          </cell>
          <cell r="P43">
            <v>0</v>
          </cell>
          <cell r="R43">
            <v>726291097.57999992</v>
          </cell>
          <cell r="S43">
            <v>0</v>
          </cell>
          <cell r="U43">
            <v>0</v>
          </cell>
          <cell r="V43">
            <v>0</v>
          </cell>
        </row>
      </sheetData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-A"/>
      <sheetName val="I-A-1"/>
      <sheetName val="I-A-2"/>
    </sheetNames>
    <sheetDataSet>
      <sheetData sheetId="0">
        <row r="9">
          <cell r="E9">
            <v>1801722711.9711599</v>
          </cell>
          <cell r="F9">
            <v>153771951.63116503</v>
          </cell>
          <cell r="G9">
            <v>2093265.3636269988</v>
          </cell>
          <cell r="I9">
            <v>5626905593.3991833</v>
          </cell>
          <cell r="J9">
            <v>12691180.663816001</v>
          </cell>
          <cell r="L9">
            <v>219358204.15620071</v>
          </cell>
          <cell r="M9">
            <v>121750128.90898402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>
        <row r="20">
          <cell r="N20">
            <v>301237409.81</v>
          </cell>
          <cell r="R20">
            <v>367406953.74000001</v>
          </cell>
          <cell r="U20">
            <v>11998934.289999999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0"/>
  </sheetPr>
  <dimension ref="A1"/>
  <sheetViews>
    <sheetView workbookViewId="0"/>
  </sheetViews>
  <sheetFormatPr defaultRowHeight="12.75" x14ac:dyDescent="0.2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_Schedule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476250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pageSetUpPr fitToPage="1"/>
  </sheetPr>
  <dimension ref="A1:P41"/>
  <sheetViews>
    <sheetView tabSelected="1" zoomScale="85" zoomScaleNormal="85" workbookViewId="0">
      <pane xSplit="4" ySplit="13" topLeftCell="E14" activePane="bottomRight" state="frozen"/>
      <selection pane="topRight" activeCell="E1" sqref="E1"/>
      <selection pane="bottomLeft" activeCell="A14" sqref="A14"/>
      <selection pane="bottomRight" activeCell="E17" sqref="E17:N41"/>
    </sheetView>
  </sheetViews>
  <sheetFormatPr defaultColWidth="9.140625" defaultRowHeight="12.75" x14ac:dyDescent="0.2"/>
  <cols>
    <col min="1" max="2" width="5.7109375" style="6" customWidth="1"/>
    <col min="3" max="3" width="48.42578125" style="6" bestFit="1" customWidth="1"/>
    <col min="4" max="4" width="13.42578125" style="1" bestFit="1" customWidth="1"/>
    <col min="5" max="5" width="16.7109375" style="6" bestFit="1" customWidth="1"/>
    <col min="6" max="8" width="16.7109375" style="6" customWidth="1"/>
    <col min="9" max="9" width="16.7109375" style="6" bestFit="1" customWidth="1"/>
    <col min="10" max="10" width="14.140625" style="6" customWidth="1"/>
    <col min="11" max="11" width="15.28515625" style="6" bestFit="1" customWidth="1"/>
    <col min="12" max="12" width="14.140625" style="6" customWidth="1"/>
    <col min="13" max="13" width="16" style="6" customWidth="1"/>
    <col min="14" max="14" width="17.28515625" style="15" customWidth="1"/>
    <col min="15" max="15" width="14.140625" style="1" customWidth="1"/>
    <col min="16" max="16" width="13.85546875" style="6" customWidth="1"/>
    <col min="17" max="16384" width="9.140625" style="6"/>
  </cols>
  <sheetData>
    <row r="1" spans="1:15" x14ac:dyDescent="0.2">
      <c r="A1" s="4" t="str">
        <f>+'[1]Input Data'!$A$9</f>
        <v>2025 RATE CASE</v>
      </c>
    </row>
    <row r="2" spans="1:15" x14ac:dyDescent="0.2">
      <c r="A2" s="8" t="str">
        <f>+'[1]Input Data'!$A$2</f>
        <v>ONCOR ELECTRIC DELIVERY COMPANY LLC</v>
      </c>
      <c r="B2" s="5"/>
      <c r="C2" s="5"/>
      <c r="D2" s="18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5" x14ac:dyDescent="0.2">
      <c r="A3" s="7" t="str">
        <f>CONCATENATE('[1]Schedule Sponsors'!$A$120,'[1]Schedule Sponsors'!$B$120)</f>
        <v>II-F  FUNCTIONALIZATION FACTORS</v>
      </c>
      <c r="B3" s="5"/>
      <c r="D3" s="18"/>
      <c r="E3" s="5"/>
      <c r="F3" s="5"/>
      <c r="G3" s="5"/>
      <c r="H3" s="5"/>
      <c r="I3" s="5"/>
      <c r="J3" s="5"/>
      <c r="K3" s="5"/>
      <c r="L3" s="5"/>
      <c r="M3" s="5"/>
      <c r="N3" s="21"/>
    </row>
    <row r="4" spans="1:15" x14ac:dyDescent="0.2">
      <c r="A4" s="42" t="str">
        <f>+'[1]Input Data'!$A$4</f>
        <v>TEST YEAR ENDING DECEMBER 31, 2024</v>
      </c>
      <c r="B4" s="5"/>
      <c r="D4" s="18"/>
      <c r="E4" s="14"/>
      <c r="F4" s="14"/>
      <c r="G4" s="14"/>
      <c r="H4" s="14"/>
      <c r="I4" s="5"/>
      <c r="J4" s="5"/>
      <c r="K4" s="5"/>
      <c r="L4" s="5"/>
      <c r="M4" s="5"/>
      <c r="N4" s="21"/>
    </row>
    <row r="5" spans="1:15" x14ac:dyDescent="0.2">
      <c r="A5" s="7" t="str">
        <f>CONCATENATE("SPONSOR: ",'[1]Schedule Sponsors'!$D$120)</f>
        <v>SPONSOR: W. ALAN LEDBETTER &amp;&amp; R. PRACHYL</v>
      </c>
      <c r="B5" s="5"/>
      <c r="D5" s="18"/>
      <c r="E5" s="5"/>
      <c r="F5" s="5"/>
      <c r="G5" s="5"/>
      <c r="H5" s="5"/>
      <c r="I5" s="5"/>
      <c r="J5" s="5"/>
      <c r="K5" s="5"/>
      <c r="L5" s="5"/>
      <c r="M5" s="5"/>
      <c r="N5" s="16"/>
    </row>
    <row r="6" spans="1:15" x14ac:dyDescent="0.2">
      <c r="B6" s="5"/>
      <c r="D6" s="18"/>
      <c r="E6" s="5"/>
      <c r="F6" s="5"/>
      <c r="G6" s="5"/>
      <c r="H6" s="5"/>
      <c r="I6" s="5"/>
      <c r="J6" s="5"/>
      <c r="K6" s="5"/>
      <c r="L6" s="5"/>
      <c r="M6" s="5"/>
      <c r="N6" s="16"/>
    </row>
    <row r="7" spans="1:15" x14ac:dyDescent="0.2">
      <c r="B7" s="5"/>
      <c r="D7" s="18"/>
      <c r="E7" s="5"/>
      <c r="F7" s="5"/>
      <c r="G7" s="5"/>
      <c r="H7" s="5"/>
      <c r="I7" s="5"/>
      <c r="J7" s="5"/>
      <c r="K7" s="5"/>
      <c r="L7" s="5"/>
      <c r="M7" s="5"/>
      <c r="N7" s="16"/>
    </row>
    <row r="8" spans="1:15" x14ac:dyDescent="0.2">
      <c r="A8" s="5"/>
      <c r="B8" s="8"/>
      <c r="C8" s="5"/>
      <c r="D8" s="18"/>
      <c r="E8" s="5"/>
      <c r="F8" s="5"/>
      <c r="G8" s="5"/>
      <c r="H8" s="5"/>
      <c r="I8" s="5"/>
      <c r="J8" s="5"/>
      <c r="K8" s="5"/>
      <c r="L8" s="5"/>
      <c r="M8" s="5"/>
      <c r="N8" s="16"/>
    </row>
    <row r="9" spans="1:15" x14ac:dyDescent="0.2">
      <c r="A9" s="18"/>
      <c r="B9" s="24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6"/>
    </row>
    <row r="10" spans="1:15" ht="13.5" thickBot="1" x14ac:dyDescent="0.25">
      <c r="A10" s="18"/>
      <c r="B10" s="24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6"/>
    </row>
    <row r="11" spans="1:15" s="4" customFormat="1" x14ac:dyDescent="0.2">
      <c r="A11" s="11" t="s">
        <v>19</v>
      </c>
      <c r="B11" s="11" t="s">
        <v>5</v>
      </c>
      <c r="C11" s="11"/>
      <c r="D11" s="11"/>
      <c r="E11" s="11"/>
      <c r="F11" s="11" t="s">
        <v>62</v>
      </c>
      <c r="G11" s="11" t="s">
        <v>63</v>
      </c>
      <c r="H11" s="11" t="s">
        <v>64</v>
      </c>
      <c r="I11" s="11"/>
      <c r="J11" s="11" t="s">
        <v>62</v>
      </c>
      <c r="K11" s="11" t="s">
        <v>64</v>
      </c>
      <c r="L11" s="11"/>
      <c r="M11" s="11"/>
      <c r="N11" s="40"/>
      <c r="O11" s="39"/>
    </row>
    <row r="12" spans="1:15" s="4" customFormat="1" x14ac:dyDescent="0.2">
      <c r="A12" s="12" t="s">
        <v>20</v>
      </c>
      <c r="B12" s="12" t="s">
        <v>6</v>
      </c>
      <c r="C12" s="12" t="s">
        <v>1</v>
      </c>
      <c r="D12" s="12" t="s">
        <v>2</v>
      </c>
      <c r="E12" s="12" t="s">
        <v>9</v>
      </c>
      <c r="F12" s="12" t="s">
        <v>9</v>
      </c>
      <c r="G12" s="12" t="s">
        <v>65</v>
      </c>
      <c r="H12" s="12" t="s">
        <v>9</v>
      </c>
      <c r="I12" s="12" t="s">
        <v>10</v>
      </c>
      <c r="J12" s="12" t="s">
        <v>10</v>
      </c>
      <c r="K12" s="12" t="s">
        <v>10</v>
      </c>
      <c r="L12" s="12" t="s">
        <v>7</v>
      </c>
      <c r="M12" s="12" t="s">
        <v>8</v>
      </c>
      <c r="N12" s="41" t="s">
        <v>3</v>
      </c>
      <c r="O12" s="39"/>
    </row>
    <row r="13" spans="1:15" s="4" customFormat="1" ht="13.5" thickBot="1" x14ac:dyDescent="0.25">
      <c r="A13" s="13"/>
      <c r="B13" s="22" t="s">
        <v>11</v>
      </c>
      <c r="C13" s="22" t="s">
        <v>12</v>
      </c>
      <c r="D13" s="22" t="s">
        <v>13</v>
      </c>
      <c r="E13" s="22" t="s">
        <v>14</v>
      </c>
      <c r="F13" s="50" t="s">
        <v>15</v>
      </c>
      <c r="G13" s="50" t="s">
        <v>16</v>
      </c>
      <c r="H13" s="50" t="s">
        <v>17</v>
      </c>
      <c r="I13" s="50" t="s">
        <v>18</v>
      </c>
      <c r="J13" s="50" t="s">
        <v>32</v>
      </c>
      <c r="K13" s="50" t="s">
        <v>66</v>
      </c>
      <c r="L13" s="50" t="s">
        <v>67</v>
      </c>
      <c r="M13" s="50" t="s">
        <v>68</v>
      </c>
      <c r="N13" s="50" t="s">
        <v>69</v>
      </c>
      <c r="O13" s="39"/>
    </row>
    <row r="14" spans="1:15" s="5" customFormat="1" x14ac:dyDescent="0.2"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26"/>
      <c r="O14" s="27"/>
    </row>
    <row r="15" spans="1:15" x14ac:dyDescent="0.2">
      <c r="A15" s="1">
        <v>1</v>
      </c>
      <c r="C15" s="3" t="s">
        <v>0</v>
      </c>
    </row>
    <row r="16" spans="1:15" x14ac:dyDescent="0.2">
      <c r="A16" s="1">
        <v>2</v>
      </c>
    </row>
    <row r="17" spans="1:16" s="29" customFormat="1" x14ac:dyDescent="0.2">
      <c r="A17" s="1">
        <v>3</v>
      </c>
      <c r="B17" s="18"/>
      <c r="C17" s="28" t="s">
        <v>27</v>
      </c>
      <c r="D17" s="18" t="s">
        <v>21</v>
      </c>
      <c r="E17" s="48">
        <v>51868562.670000002</v>
      </c>
      <c r="F17" s="48">
        <v>0</v>
      </c>
      <c r="G17" s="48">
        <v>0</v>
      </c>
      <c r="H17" s="48">
        <f>SUM(E17:G17)</f>
        <v>51868562.670000002</v>
      </c>
      <c r="I17" s="48">
        <v>138521612.75</v>
      </c>
      <c r="J17" s="48">
        <v>0</v>
      </c>
      <c r="K17" s="48">
        <f>SUM(I17:J17)</f>
        <v>138521612.75</v>
      </c>
      <c r="L17" s="48">
        <v>38734366.329999998</v>
      </c>
      <c r="M17" s="48">
        <v>1587729.16</v>
      </c>
      <c r="N17" s="45">
        <f>+H17+K17+L17+M17</f>
        <v>230712270.91</v>
      </c>
      <c r="O17" s="20"/>
    </row>
    <row r="18" spans="1:16" s="5" customFormat="1" x14ac:dyDescent="0.2">
      <c r="A18" s="1">
        <v>4</v>
      </c>
      <c r="B18" s="18"/>
      <c r="C18" s="28" t="s">
        <v>28</v>
      </c>
      <c r="D18" s="27" t="s">
        <v>22</v>
      </c>
      <c r="E18" s="48">
        <v>241637203.83000001</v>
      </c>
      <c r="F18" s="48">
        <v>0</v>
      </c>
      <c r="G18" s="48">
        <v>0</v>
      </c>
      <c r="H18" s="48">
        <f t="shared" ref="H18:H32" si="0">SUM(E18:G18)</f>
        <v>241637203.83000001</v>
      </c>
      <c r="I18" s="48">
        <v>2813002450.0999999</v>
      </c>
      <c r="J18" s="48">
        <v>0</v>
      </c>
      <c r="K18" s="48">
        <f t="shared" ref="K18:K32" si="1">SUM(I18:J18)</f>
        <v>2813002450.0999999</v>
      </c>
      <c r="L18" s="48">
        <v>121604317.76000001</v>
      </c>
      <c r="M18" s="48">
        <v>110079178.16</v>
      </c>
      <c r="N18" s="45">
        <f t="shared" ref="N18:N32" si="2">+H18+K18+L18+M18</f>
        <v>3286323149.8499999</v>
      </c>
      <c r="O18" s="16"/>
      <c r="P18" s="30"/>
    </row>
    <row r="19" spans="1:16" x14ac:dyDescent="0.2">
      <c r="A19" s="1">
        <v>5</v>
      </c>
      <c r="C19" s="51" t="s">
        <v>74</v>
      </c>
      <c r="D19" s="44" t="s">
        <v>23</v>
      </c>
      <c r="E19" s="48">
        <f>+'[2]II-B'!G22</f>
        <v>12302851355.600002</v>
      </c>
      <c r="F19" s="48">
        <f>+'[2]II-B'!H22</f>
        <v>1310586083.2800002</v>
      </c>
      <c r="G19" s="48">
        <f>+'[2]II-B'!I22</f>
        <v>10569694.849999983</v>
      </c>
      <c r="H19" s="48">
        <f t="shared" si="0"/>
        <v>13624007133.730003</v>
      </c>
      <c r="I19" s="48">
        <f>+'[2]II-B'!K22</f>
        <v>14051090173.349998</v>
      </c>
      <c r="J19" s="48">
        <f>+'[2]II-B'!L22</f>
        <v>104681978.15000001</v>
      </c>
      <c r="K19" s="48">
        <f t="shared" si="1"/>
        <v>14155772151.499998</v>
      </c>
      <c r="L19" s="48">
        <f>+'[2]II-B'!N22</f>
        <v>421137977.91999996</v>
      </c>
      <c r="M19" s="48">
        <f>+'[2]II-B'!O22</f>
        <v>278403750.57999992</v>
      </c>
      <c r="N19" s="45">
        <f t="shared" si="2"/>
        <v>28479321013.730003</v>
      </c>
      <c r="O19" s="15"/>
      <c r="P19" s="32"/>
    </row>
    <row r="20" spans="1:16" s="9" customFormat="1" x14ac:dyDescent="0.2">
      <c r="A20" s="1">
        <v>6</v>
      </c>
      <c r="C20" s="28" t="s">
        <v>29</v>
      </c>
      <c r="D20" s="44" t="s">
        <v>24</v>
      </c>
      <c r="E20" s="48">
        <v>356213.18</v>
      </c>
      <c r="F20" s="48">
        <v>0</v>
      </c>
      <c r="G20" s="48">
        <v>0</v>
      </c>
      <c r="H20" s="48">
        <f t="shared" si="0"/>
        <v>356213.18</v>
      </c>
      <c r="I20" s="48">
        <v>183495099.72999999</v>
      </c>
      <c r="J20" s="48">
        <v>0</v>
      </c>
      <c r="K20" s="48">
        <f t="shared" si="1"/>
        <v>183495099.72999999</v>
      </c>
      <c r="L20" s="48">
        <v>23124793.75</v>
      </c>
      <c r="M20" s="48">
        <v>0</v>
      </c>
      <c r="N20" s="45">
        <f t="shared" si="2"/>
        <v>206976106.66</v>
      </c>
      <c r="O20" s="33"/>
      <c r="P20" s="32"/>
    </row>
    <row r="21" spans="1:16" x14ac:dyDescent="0.2">
      <c r="A21" s="1">
        <v>7</v>
      </c>
      <c r="C21" s="28" t="s">
        <v>30</v>
      </c>
      <c r="D21" s="44" t="s">
        <v>25</v>
      </c>
      <c r="E21" s="48">
        <v>169294.9</v>
      </c>
      <c r="F21" s="48">
        <v>0</v>
      </c>
      <c r="G21" s="48">
        <v>0</v>
      </c>
      <c r="H21" s="48">
        <f t="shared" si="0"/>
        <v>169294.9</v>
      </c>
      <c r="I21" s="48">
        <v>58031633.579999998</v>
      </c>
      <c r="J21" s="48">
        <v>0</v>
      </c>
      <c r="K21" s="48">
        <f t="shared" si="1"/>
        <v>58031633.579999998</v>
      </c>
      <c r="L21" s="48">
        <v>34864512.600000001</v>
      </c>
      <c r="M21" s="48">
        <v>0</v>
      </c>
      <c r="N21" s="45">
        <f t="shared" si="2"/>
        <v>93065441.079999998</v>
      </c>
      <c r="O21" s="34"/>
      <c r="P21" s="32"/>
    </row>
    <row r="22" spans="1:16" x14ac:dyDescent="0.2">
      <c r="A22" s="1">
        <v>8</v>
      </c>
      <c r="C22" s="28" t="s">
        <v>31</v>
      </c>
      <c r="D22" s="44" t="s">
        <v>26</v>
      </c>
      <c r="E22" s="48">
        <v>0</v>
      </c>
      <c r="F22" s="48">
        <v>0</v>
      </c>
      <c r="G22" s="48">
        <v>0</v>
      </c>
      <c r="H22" s="48">
        <f t="shared" si="0"/>
        <v>0</v>
      </c>
      <c r="I22" s="48">
        <v>0</v>
      </c>
      <c r="J22" s="48">
        <v>0</v>
      </c>
      <c r="K22" s="48">
        <f t="shared" si="1"/>
        <v>0</v>
      </c>
      <c r="L22" s="48">
        <v>9813682.9600000009</v>
      </c>
      <c r="M22" s="48">
        <v>14011990.93</v>
      </c>
      <c r="N22" s="45">
        <f t="shared" si="2"/>
        <v>23825673.890000001</v>
      </c>
      <c r="O22" s="34"/>
      <c r="P22" s="32"/>
    </row>
    <row r="23" spans="1:16" x14ac:dyDescent="0.2">
      <c r="A23" s="1">
        <v>9</v>
      </c>
      <c r="C23" s="28" t="s">
        <v>31</v>
      </c>
      <c r="D23" s="44" t="s">
        <v>33</v>
      </c>
      <c r="E23" s="48">
        <v>0</v>
      </c>
      <c r="F23" s="48">
        <v>0</v>
      </c>
      <c r="G23" s="48">
        <v>0</v>
      </c>
      <c r="H23" s="48">
        <f t="shared" si="0"/>
        <v>0</v>
      </c>
      <c r="I23" s="48">
        <v>230789.12</v>
      </c>
      <c r="J23" s="48">
        <v>0</v>
      </c>
      <c r="K23" s="48">
        <f t="shared" si="1"/>
        <v>230789.12</v>
      </c>
      <c r="L23" s="48">
        <v>0</v>
      </c>
      <c r="M23" s="48">
        <v>54483507.170000002</v>
      </c>
      <c r="N23" s="45">
        <f t="shared" si="2"/>
        <v>54714296.289999999</v>
      </c>
      <c r="O23" s="34"/>
      <c r="P23" s="32"/>
    </row>
    <row r="24" spans="1:16" s="5" customFormat="1" x14ac:dyDescent="0.2">
      <c r="A24" s="1">
        <v>10</v>
      </c>
      <c r="C24" s="51" t="s">
        <v>75</v>
      </c>
      <c r="D24" s="18" t="s">
        <v>53</v>
      </c>
      <c r="E24" s="48">
        <f>IF(ISERROR(+'[3]Link Sheet'!E9),0,+'[3]Link Sheet'!E9)</f>
        <v>1801722711.9711599</v>
      </c>
      <c r="F24" s="48">
        <f>IF(ISERROR(+'[3]Link Sheet'!F9),0,+'[3]Link Sheet'!F9)</f>
        <v>153771951.63116503</v>
      </c>
      <c r="G24" s="48">
        <f>IF(ISERROR(+'[3]Link Sheet'!G9),0,+'[3]Link Sheet'!G9)</f>
        <v>2093265.3636269988</v>
      </c>
      <c r="H24" s="48">
        <f t="shared" si="0"/>
        <v>1957587928.9659519</v>
      </c>
      <c r="I24" s="48">
        <f>IF(ISERROR(+'[3]Link Sheet'!I9),0,+'[3]Link Sheet'!I9)</f>
        <v>5626905593.3991833</v>
      </c>
      <c r="J24" s="48">
        <f>IF(ISERROR(+'[3]Link Sheet'!J9),0,+'[3]Link Sheet'!J9)</f>
        <v>12691180.663816001</v>
      </c>
      <c r="K24" s="48">
        <f t="shared" si="1"/>
        <v>5639596774.0629997</v>
      </c>
      <c r="L24" s="48">
        <f>IF(ISERROR(+'[3]Link Sheet'!L9),0,+'[3]Link Sheet'!L9)</f>
        <v>219358204.15620071</v>
      </c>
      <c r="M24" s="48">
        <f>IF(ISERROR(+'[3]Link Sheet'!M9),0,+'[3]Link Sheet'!M9)</f>
        <v>121750128.90898402</v>
      </c>
      <c r="N24" s="45">
        <f t="shared" si="2"/>
        <v>7938293036.0941362</v>
      </c>
      <c r="O24" s="18"/>
    </row>
    <row r="25" spans="1:16" x14ac:dyDescent="0.2">
      <c r="A25" s="1">
        <v>11</v>
      </c>
      <c r="C25" s="28" t="s">
        <v>37</v>
      </c>
      <c r="D25" s="44" t="s">
        <v>35</v>
      </c>
      <c r="E25" s="48">
        <v>13945419.91</v>
      </c>
      <c r="F25" s="48">
        <v>1450874.54</v>
      </c>
      <c r="G25" s="48">
        <v>0</v>
      </c>
      <c r="H25" s="48">
        <f t="shared" si="0"/>
        <v>15396294.449999999</v>
      </c>
      <c r="I25" s="48">
        <v>227086923.88</v>
      </c>
      <c r="J25" s="48">
        <v>144720.46</v>
      </c>
      <c r="K25" s="48">
        <f t="shared" si="1"/>
        <v>227231644.34</v>
      </c>
      <c r="L25" s="48">
        <v>0</v>
      </c>
      <c r="M25" s="48">
        <v>0</v>
      </c>
      <c r="N25" s="45">
        <f t="shared" si="2"/>
        <v>242627938.78999999</v>
      </c>
    </row>
    <row r="26" spans="1:16" x14ac:dyDescent="0.2">
      <c r="A26" s="1">
        <v>12</v>
      </c>
      <c r="C26" s="28" t="s">
        <v>38</v>
      </c>
      <c r="D26" s="1" t="s">
        <v>36</v>
      </c>
      <c r="E26" s="48">
        <v>18764973.620000001</v>
      </c>
      <c r="F26" s="48">
        <v>0</v>
      </c>
      <c r="G26" s="48">
        <v>0</v>
      </c>
      <c r="H26" s="48">
        <f t="shared" si="0"/>
        <v>18764973.620000001</v>
      </c>
      <c r="I26" s="48">
        <v>37020765.780000001</v>
      </c>
      <c r="J26" s="48">
        <v>0</v>
      </c>
      <c r="K26" s="48">
        <f t="shared" si="1"/>
        <v>37020765.780000001</v>
      </c>
      <c r="L26" s="48">
        <v>0</v>
      </c>
      <c r="M26" s="48">
        <v>0</v>
      </c>
      <c r="N26" s="45">
        <f t="shared" si="2"/>
        <v>55785739.400000006</v>
      </c>
    </row>
    <row r="27" spans="1:16" x14ac:dyDescent="0.2">
      <c r="A27" s="1">
        <v>13</v>
      </c>
      <c r="C27" s="28" t="s">
        <v>39</v>
      </c>
      <c r="D27" s="1" t="s">
        <v>40</v>
      </c>
      <c r="E27" s="48">
        <v>19306753.059999999</v>
      </c>
      <c r="F27" s="48">
        <v>0</v>
      </c>
      <c r="G27" s="48">
        <v>0</v>
      </c>
      <c r="H27" s="48">
        <f t="shared" si="0"/>
        <v>19306753.059999999</v>
      </c>
      <c r="I27" s="48">
        <v>49391178.479999997</v>
      </c>
      <c r="J27" s="48">
        <v>0</v>
      </c>
      <c r="K27" s="48">
        <f t="shared" si="1"/>
        <v>49391178.479999997</v>
      </c>
      <c r="L27" s="48">
        <v>17695151.780000001</v>
      </c>
      <c r="M27" s="48">
        <v>6088833.4900000002</v>
      </c>
      <c r="N27" s="45">
        <f t="shared" si="2"/>
        <v>92481916.809999987</v>
      </c>
    </row>
    <row r="28" spans="1:16" x14ac:dyDescent="0.2">
      <c r="A28" s="1">
        <v>14</v>
      </c>
      <c r="C28" s="28" t="s">
        <v>41</v>
      </c>
      <c r="D28" s="44" t="s">
        <v>42</v>
      </c>
      <c r="E28" s="48">
        <v>0</v>
      </c>
      <c r="F28" s="48">
        <v>0</v>
      </c>
      <c r="G28" s="48">
        <v>0</v>
      </c>
      <c r="H28" s="48">
        <f t="shared" si="0"/>
        <v>0</v>
      </c>
      <c r="I28" s="48">
        <v>0</v>
      </c>
      <c r="J28" s="48">
        <v>0</v>
      </c>
      <c r="K28" s="48">
        <f t="shared" si="1"/>
        <v>0</v>
      </c>
      <c r="L28" s="48">
        <v>0</v>
      </c>
      <c r="M28" s="48">
        <v>0</v>
      </c>
      <c r="N28" s="46">
        <f t="shared" si="2"/>
        <v>0</v>
      </c>
    </row>
    <row r="29" spans="1:16" x14ac:dyDescent="0.2">
      <c r="A29" s="1">
        <v>15</v>
      </c>
      <c r="C29" s="28" t="s">
        <v>43</v>
      </c>
      <c r="D29" s="1" t="s">
        <v>44</v>
      </c>
      <c r="E29" s="48">
        <v>1802857.59</v>
      </c>
      <c r="F29" s="48">
        <v>46.86</v>
      </c>
      <c r="G29" s="48">
        <v>0</v>
      </c>
      <c r="H29" s="48">
        <f t="shared" si="0"/>
        <v>1802904.4500000002</v>
      </c>
      <c r="I29" s="48">
        <v>8873686.2799999993</v>
      </c>
      <c r="J29" s="48">
        <v>3.06</v>
      </c>
      <c r="K29" s="48">
        <f t="shared" si="1"/>
        <v>8873689.3399999999</v>
      </c>
      <c r="L29" s="48">
        <v>1371806</v>
      </c>
      <c r="M29" s="48">
        <v>5797550.8099999996</v>
      </c>
      <c r="N29" s="46">
        <f t="shared" si="2"/>
        <v>17845950.599999998</v>
      </c>
    </row>
    <row r="30" spans="1:16" x14ac:dyDescent="0.2">
      <c r="A30" s="1">
        <v>16</v>
      </c>
      <c r="C30" s="5" t="s">
        <v>45</v>
      </c>
      <c r="D30" s="1" t="s">
        <v>46</v>
      </c>
      <c r="E30" s="48">
        <v>28174289.780000001</v>
      </c>
      <c r="F30" s="48">
        <v>0</v>
      </c>
      <c r="G30" s="48">
        <v>0</v>
      </c>
      <c r="H30" s="48">
        <f t="shared" si="0"/>
        <v>28174289.780000001</v>
      </c>
      <c r="I30" s="48">
        <v>66292531.850000001</v>
      </c>
      <c r="J30" s="48">
        <v>0</v>
      </c>
      <c r="K30" s="48">
        <f t="shared" si="1"/>
        <v>66292531.850000001</v>
      </c>
      <c r="L30" s="48">
        <v>18435034.780000001</v>
      </c>
      <c r="M30" s="48">
        <v>20893354.059999999</v>
      </c>
      <c r="N30" s="46">
        <f t="shared" si="2"/>
        <v>133795210.47</v>
      </c>
    </row>
    <row r="31" spans="1:16" x14ac:dyDescent="0.2">
      <c r="A31" s="1">
        <v>17</v>
      </c>
      <c r="C31" s="28" t="s">
        <v>48</v>
      </c>
      <c r="D31" s="1" t="s">
        <v>47</v>
      </c>
      <c r="E31" s="48">
        <f>+'[2]Link Sheet'!D136</f>
        <v>4269917.71</v>
      </c>
      <c r="F31" s="48">
        <f>+'[2]Link Sheet'!E136</f>
        <v>0</v>
      </c>
      <c r="G31" s="48">
        <f>+'[2]Link Sheet'!F136</f>
        <v>0</v>
      </c>
      <c r="H31" s="48">
        <f t="shared" si="0"/>
        <v>4269917.71</v>
      </c>
      <c r="I31" s="48">
        <f>+'[2]Link Sheet'!H136</f>
        <v>5441318.1600000001</v>
      </c>
      <c r="J31" s="48">
        <f>+'[2]Link Sheet'!I136</f>
        <v>0</v>
      </c>
      <c r="K31" s="48">
        <f t="shared" si="1"/>
        <v>5441318.1600000001</v>
      </c>
      <c r="L31" s="48">
        <f>+'[2]Link Sheet'!K136</f>
        <v>204139.49</v>
      </c>
      <c r="M31" s="48">
        <f>+'[2]Link Sheet'!L136</f>
        <v>91462.5</v>
      </c>
      <c r="N31" s="46">
        <f t="shared" si="2"/>
        <v>10006837.860000001</v>
      </c>
    </row>
    <row r="32" spans="1:16" x14ac:dyDescent="0.2">
      <c r="A32" s="1">
        <v>18</v>
      </c>
      <c r="C32" s="31" t="s">
        <v>50</v>
      </c>
      <c r="D32" s="25" t="s">
        <v>49</v>
      </c>
      <c r="E32" s="48">
        <f>+'[2]Link Sheet'!D109</f>
        <v>17382401.434679456</v>
      </c>
      <c r="F32" s="48">
        <f>+'[2]Link Sheet'!E109</f>
        <v>0</v>
      </c>
      <c r="G32" s="48">
        <f>+'[2]Link Sheet'!F109</f>
        <v>0</v>
      </c>
      <c r="H32" s="48">
        <f t="shared" si="0"/>
        <v>17382401.434679456</v>
      </c>
      <c r="I32" s="48">
        <f>+'[2]Link Sheet'!H109</f>
        <v>127742955.85948826</v>
      </c>
      <c r="J32" s="48">
        <f>+'[2]Link Sheet'!I109</f>
        <v>0</v>
      </c>
      <c r="K32" s="48">
        <f t="shared" si="1"/>
        <v>127742955.85948826</v>
      </c>
      <c r="L32" s="48">
        <f>+'[2]Link Sheet'!K109</f>
        <v>584939.38897891541</v>
      </c>
      <c r="M32" s="48">
        <f>+'[2]Link Sheet'!L109</f>
        <v>529501.175314861</v>
      </c>
      <c r="N32" s="46">
        <f t="shared" si="2"/>
        <v>146239797.85846153</v>
      </c>
    </row>
    <row r="33" spans="1:14" x14ac:dyDescent="0.2">
      <c r="A33" s="1">
        <v>19</v>
      </c>
      <c r="C33" s="28" t="s">
        <v>51</v>
      </c>
      <c r="D33" s="1" t="s">
        <v>52</v>
      </c>
      <c r="E33" s="48">
        <f>+'[2]Link Sheet'!D125</f>
        <v>219128707.50999999</v>
      </c>
      <c r="F33" s="48">
        <f>+'[2]Link Sheet'!E125</f>
        <v>0</v>
      </c>
      <c r="G33" s="48">
        <f>+'[2]Link Sheet'!F125</f>
        <v>0</v>
      </c>
      <c r="H33" s="48">
        <f t="shared" ref="H33:H35" si="3">SUM(E33:G33)</f>
        <v>219128707.50999999</v>
      </c>
      <c r="I33" s="48">
        <f>+'[2]Link Sheet'!H125</f>
        <v>157958065.75</v>
      </c>
      <c r="J33" s="48">
        <f>+'[2]Link Sheet'!I125</f>
        <v>0</v>
      </c>
      <c r="K33" s="48">
        <f t="shared" ref="K33:K35" si="4">SUM(I33:J33)</f>
        <v>157958065.75</v>
      </c>
      <c r="L33" s="48">
        <f>+'[2]Link Sheet'!K125</f>
        <v>1241799.47</v>
      </c>
      <c r="M33" s="48">
        <f>+'[2]Link Sheet'!L125</f>
        <v>0</v>
      </c>
      <c r="N33" s="46">
        <f t="shared" ref="N33:N35" si="5">+H33+K33+L33+M33</f>
        <v>378328572.73000002</v>
      </c>
    </row>
    <row r="34" spans="1:14" x14ac:dyDescent="0.2">
      <c r="A34" s="1">
        <v>20</v>
      </c>
      <c r="C34" s="28" t="s">
        <v>54</v>
      </c>
      <c r="D34" s="25" t="s">
        <v>55</v>
      </c>
      <c r="E34" s="48">
        <f>+'[4]II-E-3'!N20</f>
        <v>301237409.81</v>
      </c>
      <c r="F34" s="48">
        <v>0</v>
      </c>
      <c r="G34" s="48">
        <v>0</v>
      </c>
      <c r="H34" s="48">
        <f t="shared" si="3"/>
        <v>301237409.81</v>
      </c>
      <c r="I34" s="48">
        <f>+'[4]II-E-3'!R20</f>
        <v>367406953.74000001</v>
      </c>
      <c r="J34" s="48">
        <v>0</v>
      </c>
      <c r="K34" s="48">
        <f t="shared" si="4"/>
        <v>367406953.74000001</v>
      </c>
      <c r="L34" s="48">
        <f>+'[4]II-E-3'!U20</f>
        <v>11998934.289999999</v>
      </c>
      <c r="M34" s="48">
        <v>0</v>
      </c>
      <c r="N34" s="46">
        <f t="shared" si="5"/>
        <v>680643297.83999991</v>
      </c>
    </row>
    <row r="35" spans="1:14" x14ac:dyDescent="0.2">
      <c r="A35" s="1">
        <v>21</v>
      </c>
      <c r="C35" s="28" t="s">
        <v>56</v>
      </c>
      <c r="D35" s="27" t="s">
        <v>57</v>
      </c>
      <c r="E35" s="62">
        <f>+'[2]II-B-12'!N42+'[2]II-B-12'!N43</f>
        <v>47087104.369999997</v>
      </c>
      <c r="F35" s="62">
        <f>+'[2]II-B-12'!O42+'[2]II-B-12'!O43</f>
        <v>1489395.57</v>
      </c>
      <c r="G35" s="62">
        <f>+'[2]II-B-12'!P42+'[2]II-B-12'!P43</f>
        <v>0</v>
      </c>
      <c r="H35" s="48">
        <f t="shared" si="3"/>
        <v>48576499.939999998</v>
      </c>
      <c r="I35" s="62">
        <f>+'[2]II-B-12'!R42+'[2]II-B-12'!R43</f>
        <v>1045626466.03</v>
      </c>
      <c r="J35" s="62">
        <f>+'[2]II-B-12'!S42+'[2]II-B-12'!S43</f>
        <v>0</v>
      </c>
      <c r="K35" s="48">
        <f t="shared" si="4"/>
        <v>1045626466.03</v>
      </c>
      <c r="L35" s="62">
        <f>+'[2]II-B-12'!U42+'[2]II-B-12'!U43</f>
        <v>0</v>
      </c>
      <c r="M35" s="62">
        <f>+'[2]II-B-12'!V42+'[2]II-B-12'!V43</f>
        <v>0</v>
      </c>
      <c r="N35" s="46">
        <f t="shared" si="5"/>
        <v>1094202965.97</v>
      </c>
    </row>
    <row r="36" spans="1:14" x14ac:dyDescent="0.2">
      <c r="A36" s="1">
        <v>22</v>
      </c>
      <c r="C36" s="51" t="s">
        <v>60</v>
      </c>
      <c r="D36" s="1" t="s">
        <v>58</v>
      </c>
      <c r="E36" s="54">
        <v>485890.78</v>
      </c>
      <c r="F36" s="54">
        <v>0</v>
      </c>
      <c r="G36" s="54">
        <v>0</v>
      </c>
      <c r="H36" s="48">
        <f t="shared" ref="H36:H40" si="6">SUM(E36:G36)</f>
        <v>485890.78</v>
      </c>
      <c r="I36" s="54">
        <v>128222368.48999999</v>
      </c>
      <c r="J36" s="54">
        <v>0</v>
      </c>
      <c r="K36" s="48">
        <f t="shared" ref="K36:K40" si="7">SUM(I36:J36)</f>
        <v>128222368.48999999</v>
      </c>
      <c r="L36" s="54">
        <v>38734366.329999998</v>
      </c>
      <c r="M36" s="54">
        <v>1587729.16</v>
      </c>
      <c r="N36" s="57">
        <f t="shared" ref="N36:N41" si="8">+H36+K36+L36+M36</f>
        <v>169030354.75999999</v>
      </c>
    </row>
    <row r="37" spans="1:14" x14ac:dyDescent="0.2">
      <c r="A37" s="1">
        <v>23</v>
      </c>
      <c r="C37" s="51" t="s">
        <v>61</v>
      </c>
      <c r="D37" s="1" t="s">
        <v>59</v>
      </c>
      <c r="E37" s="54">
        <v>51382671.890000001</v>
      </c>
      <c r="F37" s="54">
        <v>0</v>
      </c>
      <c r="G37" s="54">
        <v>0</v>
      </c>
      <c r="H37" s="48">
        <f t="shared" si="6"/>
        <v>51382671.890000001</v>
      </c>
      <c r="I37" s="54">
        <v>10299244.26</v>
      </c>
      <c r="J37" s="54">
        <v>0</v>
      </c>
      <c r="K37" s="48">
        <f t="shared" si="7"/>
        <v>10299244.26</v>
      </c>
      <c r="L37" s="54">
        <v>0</v>
      </c>
      <c r="M37" s="54">
        <v>0</v>
      </c>
      <c r="N37" s="57">
        <f t="shared" si="8"/>
        <v>61681916.149999999</v>
      </c>
    </row>
    <row r="38" spans="1:14" x14ac:dyDescent="0.2">
      <c r="A38" s="1">
        <v>24</v>
      </c>
      <c r="C38" s="6" t="s">
        <v>70</v>
      </c>
      <c r="D38" s="1" t="s">
        <v>72</v>
      </c>
      <c r="E38" s="54">
        <f>+E19</f>
        <v>12302851355.600002</v>
      </c>
      <c r="F38" s="54">
        <v>0</v>
      </c>
      <c r="G38" s="54">
        <f>+G19</f>
        <v>10569694.849999983</v>
      </c>
      <c r="H38" s="48">
        <f t="shared" si="6"/>
        <v>12313421050.450003</v>
      </c>
      <c r="I38" s="54">
        <f>+I19</f>
        <v>14051090173.349998</v>
      </c>
      <c r="J38" s="54">
        <v>0</v>
      </c>
      <c r="K38" s="48">
        <f t="shared" si="7"/>
        <v>14051090173.349998</v>
      </c>
      <c r="L38" s="54">
        <f>+L19</f>
        <v>421137977.91999996</v>
      </c>
      <c r="M38" s="54">
        <f>+M19</f>
        <v>278403750.57999992</v>
      </c>
      <c r="N38" s="57">
        <f t="shared" si="8"/>
        <v>27064052952.300003</v>
      </c>
    </row>
    <row r="39" spans="1:14" x14ac:dyDescent="0.2">
      <c r="A39" s="1">
        <v>25</v>
      </c>
      <c r="C39" s="6" t="s">
        <v>71</v>
      </c>
      <c r="D39" s="1" t="s">
        <v>73</v>
      </c>
      <c r="E39" s="54">
        <v>0</v>
      </c>
      <c r="F39" s="54">
        <f>+F19</f>
        <v>1310586083.2800002</v>
      </c>
      <c r="G39" s="54">
        <v>0</v>
      </c>
      <c r="H39" s="48">
        <f t="shared" si="6"/>
        <v>1310586083.2800002</v>
      </c>
      <c r="I39" s="54">
        <v>0</v>
      </c>
      <c r="J39" s="54">
        <f>+J19</f>
        <v>104681978.15000001</v>
      </c>
      <c r="K39" s="48">
        <f t="shared" si="7"/>
        <v>104681978.15000001</v>
      </c>
      <c r="L39" s="54">
        <v>0</v>
      </c>
      <c r="M39" s="54">
        <v>0</v>
      </c>
      <c r="N39" s="57">
        <f t="shared" si="8"/>
        <v>1415268061.4300003</v>
      </c>
    </row>
    <row r="40" spans="1:14" x14ac:dyDescent="0.2">
      <c r="A40" s="1">
        <v>26</v>
      </c>
      <c r="C40" s="51" t="s">
        <v>76</v>
      </c>
      <c r="D40" s="60" t="s">
        <v>77</v>
      </c>
      <c r="E40" s="54">
        <f>+E24</f>
        <v>1801722711.9711599</v>
      </c>
      <c r="F40" s="54">
        <v>0</v>
      </c>
      <c r="G40" s="54">
        <v>0</v>
      </c>
      <c r="H40" s="48">
        <f t="shared" si="6"/>
        <v>1801722711.9711599</v>
      </c>
      <c r="I40" s="54">
        <f>+I24</f>
        <v>5626905593.3991833</v>
      </c>
      <c r="J40" s="54">
        <v>0</v>
      </c>
      <c r="K40" s="48">
        <f t="shared" si="7"/>
        <v>5626905593.3991833</v>
      </c>
      <c r="L40" s="54">
        <f>+L24</f>
        <v>219358204.15620071</v>
      </c>
      <c r="M40" s="54">
        <f>+M24</f>
        <v>121750128.90898402</v>
      </c>
      <c r="N40" s="57">
        <f t="shared" si="8"/>
        <v>7769736638.4355278</v>
      </c>
    </row>
    <row r="41" spans="1:14" x14ac:dyDescent="0.2">
      <c r="A41" s="1">
        <v>27</v>
      </c>
      <c r="C41" s="51" t="s">
        <v>78</v>
      </c>
      <c r="D41" s="60" t="s">
        <v>79</v>
      </c>
      <c r="E41" s="54">
        <f>+'[2]II-B-1'!N26+'[2]II-B-1'!N44+'[2]II-B-3'!N17-'[2]II-B-5'!N28-'[2]II-B-5'!N47-'[2]II-B-5'!N83</f>
        <v>215287209.04999995</v>
      </c>
      <c r="F41" s="54">
        <f>+'[2]II-B-1'!O26+'[2]II-B-1'!O44+'[2]II-B-3'!O17-'[2]II-B-5'!O28-'[2]II-B-5'!O47-'[2]II-B-5'!O83</f>
        <v>0</v>
      </c>
      <c r="G41" s="54">
        <f>+'[2]II-B-1'!P26+'[2]II-B-1'!P44+'[2]II-B-3'!P17-'[2]II-B-5'!P28-'[2]II-B-5'!P47-'[2]II-B-5'!P83</f>
        <v>0</v>
      </c>
      <c r="H41" s="54">
        <f>SUM(E41:G41)</f>
        <v>215287209.04999995</v>
      </c>
      <c r="I41" s="54">
        <f>+'[2]II-B-1'!R26+'[2]II-B-1'!R44+'[2]II-B-3'!R17-'[2]II-B-5'!R28-'[2]II-B-5'!R47-'[2]II-B-5'!R83</f>
        <v>373727801.91000015</v>
      </c>
      <c r="J41" s="54">
        <f>+'[2]II-B-1'!S26+'[2]II-B-1'!S44+'[2]II-B-3'!S17-'[2]II-B-5'!S28-'[2]II-B-5'!S47-'[2]II-B-5'!S83</f>
        <v>0</v>
      </c>
      <c r="K41" s="54">
        <f>SUM(I41:J41)</f>
        <v>373727801.91000015</v>
      </c>
      <c r="L41" s="54">
        <f>+'[2]II-B-1'!U26+'[2]II-B-1'!U44+'[2]II-B-3'!U17-'[2]II-B-5'!U28-'[2]II-B-5'!U47-'[2]II-B-5'!U83</f>
        <v>35315496.280000038</v>
      </c>
      <c r="M41" s="54">
        <f>+'[2]II-B-1'!V26+'[2]II-B-1'!V44+'[2]II-B-3'!V17-'[2]II-B-5'!V28-'[2]II-B-5'!V47-'[2]II-B-5'!V83</f>
        <v>226294013.16999993</v>
      </c>
      <c r="N41" s="57">
        <f t="shared" si="8"/>
        <v>850624520.41000009</v>
      </c>
    </row>
  </sheetData>
  <phoneticPr fontId="2" type="noConversion"/>
  <printOptions horizontalCentered="1"/>
  <pageMargins left="0.5" right="0.5" top="2.5" bottom="0.5" header="1.25" footer="0.25"/>
  <pageSetup scale="55" pageOrder="overThenDown" orientation="landscape" horizontalDpi="2400" verticalDpi="2400"/>
  <headerFooter alignWithMargins="0">
    <oddHeader>&amp;R&amp;"Arial,Bold"Schedule II-F
Page 1 of 2&amp;C&amp;B
2025 RATE CASE
ONCOR ELECTRIC DELIVERY COMPANY LLC
II-F  FUNCTIONALIZATION FACTORS
TEST YEAR ENDING DECEMBER 31, 2024
SPONSOR: W. ALAN LEDBETTER &amp;&amp; R. PRACHYL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pageSetUpPr fitToPage="1"/>
  </sheetPr>
  <dimension ref="A1:Q41"/>
  <sheetViews>
    <sheetView zoomScale="85" zoomScaleNormal="85" workbookViewId="0">
      <pane xSplit="4" ySplit="13" topLeftCell="E14" activePane="bottomRight" state="frozen"/>
      <selection pane="topRight" activeCell="E1" sqref="E1"/>
      <selection pane="bottomLeft" activeCell="A14" sqref="A14"/>
      <selection pane="bottomRight" activeCell="E17" sqref="E17:N41"/>
    </sheetView>
  </sheetViews>
  <sheetFormatPr defaultColWidth="9.140625" defaultRowHeight="12.75" x14ac:dyDescent="0.2"/>
  <cols>
    <col min="1" max="1" width="5.7109375" style="31" customWidth="1"/>
    <col min="2" max="2" width="5.7109375" style="15" customWidth="1"/>
    <col min="3" max="3" width="56.5703125" style="31" bestFit="1" customWidth="1"/>
    <col min="4" max="4" width="13.42578125" style="25" bestFit="1" customWidth="1"/>
    <col min="5" max="8" width="12.5703125" style="31" customWidth="1"/>
    <col min="9" max="11" width="11.140625" style="31" customWidth="1"/>
    <col min="12" max="13" width="12.140625" style="31" customWidth="1"/>
    <col min="14" max="14" width="12.7109375" style="31" customWidth="1"/>
    <col min="15" max="15" width="10.42578125" style="31" customWidth="1"/>
    <col min="16" max="16" width="11" style="31" customWidth="1"/>
    <col min="17" max="17" width="8.85546875" style="25" customWidth="1"/>
    <col min="18" max="16384" width="9.140625" style="31"/>
  </cols>
  <sheetData>
    <row r="1" spans="1:17" x14ac:dyDescent="0.2">
      <c r="A1" s="38" t="str">
        <f>+'[1]Input Data'!$A$9</f>
        <v>2025 RATE CASE</v>
      </c>
    </row>
    <row r="2" spans="1:17" x14ac:dyDescent="0.2">
      <c r="A2" s="8" t="str">
        <f>+'[1]Input Data'!$A$2</f>
        <v>ONCOR ELECTRIC DELIVERY COMPANY LLC</v>
      </c>
      <c r="B2" s="16"/>
      <c r="C2" s="28"/>
      <c r="D2" s="27"/>
      <c r="E2" s="28"/>
      <c r="F2" s="28"/>
      <c r="G2" s="28"/>
      <c r="H2" s="28"/>
      <c r="I2" s="35"/>
      <c r="J2" s="35"/>
      <c r="K2" s="35"/>
      <c r="L2" s="28"/>
      <c r="M2" s="28"/>
      <c r="N2" s="5"/>
    </row>
    <row r="3" spans="1:17" x14ac:dyDescent="0.2">
      <c r="A3" s="7" t="str">
        <f>CONCATENATE('[1]Schedule Sponsors'!$A$120,'[1]Schedule Sponsors'!$B$120)</f>
        <v>II-F  FUNCTIONALIZATION FACTORS</v>
      </c>
      <c r="B3" s="5"/>
      <c r="D3" s="27"/>
      <c r="E3" s="28"/>
      <c r="F3" s="28"/>
      <c r="G3" s="28"/>
      <c r="H3" s="28"/>
      <c r="I3" s="28"/>
      <c r="J3" s="28"/>
      <c r="K3" s="28"/>
      <c r="L3" s="28"/>
      <c r="M3" s="28"/>
      <c r="N3" s="21"/>
    </row>
    <row r="4" spans="1:17" x14ac:dyDescent="0.2">
      <c r="A4" s="42" t="str">
        <f>+'[1]Input Data'!$A$4</f>
        <v>TEST YEAR ENDING DECEMBER 31, 2024</v>
      </c>
      <c r="B4" s="5"/>
      <c r="D4" s="27"/>
      <c r="E4" s="28"/>
      <c r="F4" s="28"/>
      <c r="G4" s="28"/>
      <c r="H4" s="28"/>
      <c r="I4" s="28"/>
      <c r="J4" s="28"/>
      <c r="K4" s="28"/>
      <c r="L4" s="28"/>
      <c r="M4" s="28"/>
      <c r="N4" s="21"/>
    </row>
    <row r="5" spans="1:17" x14ac:dyDescent="0.2">
      <c r="A5" s="7" t="str">
        <f>CONCATENATE("SPONSOR: ",'[1]Schedule Sponsors'!$D$120)</f>
        <v>SPONSOR: W. ALAN LEDBETTER &amp;&amp; R. PRACHYL</v>
      </c>
      <c r="B5" s="5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7" x14ac:dyDescent="0.2">
      <c r="B6" s="5"/>
      <c r="D6" s="27"/>
      <c r="E6" s="28"/>
      <c r="F6" s="28"/>
      <c r="G6" s="28"/>
      <c r="H6" s="28"/>
      <c r="I6" s="28"/>
      <c r="J6" s="28"/>
      <c r="K6" s="28"/>
      <c r="L6" s="28"/>
      <c r="M6" s="28"/>
      <c r="N6" s="28"/>
    </row>
    <row r="7" spans="1:17" x14ac:dyDescent="0.2">
      <c r="B7" s="5"/>
      <c r="C7" s="63"/>
      <c r="D7" s="63"/>
      <c r="E7" s="63"/>
      <c r="F7" s="63"/>
      <c r="G7" s="63"/>
      <c r="H7" s="63"/>
      <c r="I7" s="63"/>
      <c r="J7" s="63"/>
      <c r="K7" s="63"/>
      <c r="L7" s="63"/>
      <c r="M7" s="52"/>
      <c r="N7" s="28"/>
    </row>
    <row r="8" spans="1:17" x14ac:dyDescent="0.2">
      <c r="A8" s="28"/>
      <c r="B8" s="8"/>
      <c r="C8" s="5"/>
      <c r="D8" s="27"/>
      <c r="E8" s="28"/>
      <c r="F8" s="28"/>
      <c r="G8" s="28"/>
      <c r="H8" s="28"/>
      <c r="I8" s="28"/>
      <c r="J8" s="28"/>
      <c r="K8" s="28"/>
      <c r="L8" s="28"/>
      <c r="M8" s="28"/>
      <c r="N8" s="28"/>
    </row>
    <row r="9" spans="1:17" ht="13.5" thickBot="1" x14ac:dyDescent="0.25">
      <c r="A9" s="28"/>
      <c r="B9" s="16"/>
      <c r="C9" s="28"/>
      <c r="D9" s="27"/>
      <c r="E9" s="36"/>
      <c r="F9" s="36"/>
      <c r="G9" s="36"/>
      <c r="H9" s="36"/>
      <c r="I9" s="36"/>
      <c r="J9" s="36"/>
      <c r="K9" s="36"/>
      <c r="L9" s="36"/>
      <c r="M9" s="36"/>
      <c r="N9" s="36"/>
    </row>
    <row r="10" spans="1:17" s="38" customFormat="1" x14ac:dyDescent="0.2">
      <c r="A10" s="10"/>
      <c r="B10" s="11"/>
      <c r="C10" s="11"/>
      <c r="D10" s="11"/>
      <c r="E10" s="19"/>
      <c r="F10" s="19"/>
      <c r="G10" s="19"/>
      <c r="H10" s="19"/>
      <c r="I10" s="11"/>
      <c r="J10" s="11"/>
      <c r="K10" s="11"/>
      <c r="L10" s="11"/>
      <c r="M10" s="11"/>
      <c r="N10" s="11"/>
      <c r="O10" s="2"/>
      <c r="P10" s="4"/>
      <c r="Q10" s="2"/>
    </row>
    <row r="11" spans="1:17" s="38" customFormat="1" x14ac:dyDescent="0.2">
      <c r="A11" s="12" t="s">
        <v>19</v>
      </c>
      <c r="B11" s="12" t="s">
        <v>5</v>
      </c>
      <c r="C11" s="12"/>
      <c r="D11" s="12"/>
      <c r="E11" s="12"/>
      <c r="F11" s="12" t="s">
        <v>62</v>
      </c>
      <c r="G11" s="12" t="s">
        <v>63</v>
      </c>
      <c r="H11" s="12" t="s">
        <v>64</v>
      </c>
      <c r="I11" s="12"/>
      <c r="J11" s="12" t="s">
        <v>62</v>
      </c>
      <c r="K11" s="12" t="s">
        <v>64</v>
      </c>
      <c r="L11" s="12"/>
      <c r="M11" s="12"/>
      <c r="N11" s="12"/>
      <c r="O11" s="39"/>
      <c r="P11" s="4"/>
      <c r="Q11" s="39"/>
    </row>
    <row r="12" spans="1:17" s="38" customFormat="1" x14ac:dyDescent="0.2">
      <c r="A12" s="12" t="s">
        <v>20</v>
      </c>
      <c r="B12" s="12" t="s">
        <v>6</v>
      </c>
      <c r="C12" s="12" t="s">
        <v>1</v>
      </c>
      <c r="D12" s="12" t="s">
        <v>2</v>
      </c>
      <c r="E12" s="12" t="s">
        <v>9</v>
      </c>
      <c r="F12" s="12" t="s">
        <v>9</v>
      </c>
      <c r="G12" s="12" t="s">
        <v>65</v>
      </c>
      <c r="H12" s="12" t="s">
        <v>9</v>
      </c>
      <c r="I12" s="12" t="s">
        <v>10</v>
      </c>
      <c r="J12" s="12" t="s">
        <v>10</v>
      </c>
      <c r="K12" s="12" t="s">
        <v>10</v>
      </c>
      <c r="L12" s="12" t="s">
        <v>7</v>
      </c>
      <c r="M12" s="12" t="s">
        <v>8</v>
      </c>
      <c r="N12" s="12" t="s">
        <v>3</v>
      </c>
      <c r="O12" s="39"/>
      <c r="P12" s="4"/>
      <c r="Q12" s="39"/>
    </row>
    <row r="13" spans="1:17" ht="13.5" thickBot="1" x14ac:dyDescent="0.25">
      <c r="A13" s="22"/>
      <c r="B13" s="22" t="s">
        <v>11</v>
      </c>
      <c r="C13" s="22" t="s">
        <v>12</v>
      </c>
      <c r="D13" s="22" t="s">
        <v>13</v>
      </c>
      <c r="E13" s="22" t="s">
        <v>14</v>
      </c>
      <c r="F13" s="22" t="s">
        <v>15</v>
      </c>
      <c r="G13" s="22" t="s">
        <v>16</v>
      </c>
      <c r="H13" s="22" t="s">
        <v>17</v>
      </c>
      <c r="I13" s="22" t="s">
        <v>18</v>
      </c>
      <c r="J13" s="22" t="s">
        <v>32</v>
      </c>
      <c r="K13" s="22" t="s">
        <v>66</v>
      </c>
      <c r="L13" s="22" t="s">
        <v>67</v>
      </c>
      <c r="M13" s="50" t="s">
        <v>68</v>
      </c>
      <c r="N13" s="50" t="s">
        <v>69</v>
      </c>
      <c r="O13" s="25"/>
      <c r="P13" s="6"/>
    </row>
    <row r="14" spans="1:17" s="28" customFormat="1" x14ac:dyDescent="0.2">
      <c r="A14" s="43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23"/>
      <c r="O14" s="27"/>
      <c r="P14" s="5"/>
      <c r="Q14" s="27"/>
    </row>
    <row r="15" spans="1:17" x14ac:dyDescent="0.2">
      <c r="A15" s="37">
        <v>1</v>
      </c>
      <c r="B15" s="6"/>
      <c r="C15" s="3" t="s">
        <v>4</v>
      </c>
      <c r="D15" s="1"/>
      <c r="E15" s="6"/>
      <c r="F15" s="6"/>
      <c r="G15" s="6"/>
      <c r="H15" s="6"/>
      <c r="I15" s="6"/>
      <c r="J15" s="6"/>
      <c r="K15" s="6"/>
      <c r="L15" s="6"/>
      <c r="M15" s="6"/>
      <c r="N15" s="6"/>
      <c r="O15" s="1"/>
      <c r="P15" s="6"/>
    </row>
    <row r="16" spans="1:17" x14ac:dyDescent="0.2">
      <c r="A16" s="37">
        <v>2</v>
      </c>
      <c r="B16" s="6"/>
      <c r="C16" s="6"/>
      <c r="D16" s="1"/>
      <c r="E16" s="2"/>
      <c r="F16" s="2"/>
      <c r="G16" s="2"/>
      <c r="H16" s="2"/>
      <c r="I16" s="2"/>
      <c r="J16" s="2"/>
      <c r="K16" s="2"/>
      <c r="L16" s="2"/>
      <c r="M16" s="2"/>
      <c r="N16" s="2"/>
      <c r="O16" s="1"/>
      <c r="P16" s="6"/>
    </row>
    <row r="17" spans="1:16" x14ac:dyDescent="0.2">
      <c r="A17" s="37">
        <v>3</v>
      </c>
      <c r="B17" s="1"/>
      <c r="C17" s="28" t="str">
        <f>+'II-F Alloc_Data'!C17</f>
        <v>Payroll, Excluding Admin. &amp; General Salaries</v>
      </c>
      <c r="D17" s="18" t="s">
        <v>21</v>
      </c>
      <c r="E17" s="49">
        <f>IF(ISERROR(+'II-F Alloc_Data'!E17/'II-F Alloc_Data'!$N17),0,+'II-F Alloc_Data'!E17/'II-F Alloc_Data'!$N17)</f>
        <v>0.2248192628221051</v>
      </c>
      <c r="F17" s="49">
        <f>IF(ISERROR(+'II-F Alloc_Data'!F17/'II-F Alloc_Data'!$N17),0,+'II-F Alloc_Data'!F17/'II-F Alloc_Data'!$N17)</f>
        <v>0</v>
      </c>
      <c r="G17" s="49">
        <f>IF(ISERROR(+'II-F Alloc_Data'!G17/'II-F Alloc_Data'!$N17),0,+'II-F Alloc_Data'!G17/'II-F Alloc_Data'!$N17)</f>
        <v>0</v>
      </c>
      <c r="H17" s="49">
        <f>SUM(E17:G17)</f>
        <v>0.2248192628221051</v>
      </c>
      <c r="I17" s="49">
        <f>IF(ISERROR(+'II-F Alloc_Data'!I17/'II-F Alloc_Data'!$N17),0,+'II-F Alloc_Data'!I17/'II-F Alloc_Data'!$N17)</f>
        <v>0.60040851838364839</v>
      </c>
      <c r="J17" s="49">
        <f>IF(ISERROR(+'II-F Alloc_Data'!J17/'II-F Alloc_Data'!$N17),0,+'II-F Alloc_Data'!J17/'II-F Alloc_Data'!$N17)</f>
        <v>0</v>
      </c>
      <c r="K17" s="49">
        <f>SUM(I17:J17)</f>
        <v>0.60040851838364839</v>
      </c>
      <c r="L17" s="49">
        <f>IF(ISERROR(+'II-F Alloc_Data'!L17/'II-F Alloc_Data'!$N17),0,+'II-F Alloc_Data'!L17/'II-F Alloc_Data'!$N17)</f>
        <v>0.16789036047896269</v>
      </c>
      <c r="M17" s="49">
        <f>1-H17-K17-L17</f>
        <v>6.8818583152838453E-3</v>
      </c>
      <c r="N17" s="47">
        <f>+H17+K17+L17+M17</f>
        <v>1</v>
      </c>
      <c r="O17" s="1"/>
      <c r="P17" s="61"/>
    </row>
    <row r="18" spans="1:16" x14ac:dyDescent="0.2">
      <c r="A18" s="37">
        <v>4</v>
      </c>
      <c r="B18" s="1"/>
      <c r="C18" s="28" t="str">
        <f>+'II-F Alloc_Data'!C18</f>
        <v>Total O&amp;M Expense, Excluding Fuel &amp; Purchase Power</v>
      </c>
      <c r="D18" s="27" t="s">
        <v>22</v>
      </c>
      <c r="E18" s="49">
        <f>IF(ISERROR(+'II-F Alloc_Data'!E18/'II-F Alloc_Data'!$N18),0,+'II-F Alloc_Data'!E18/'II-F Alloc_Data'!$N18)</f>
        <v>7.3528132448274067E-2</v>
      </c>
      <c r="F18" s="49">
        <f>IF(ISERROR(+'II-F Alloc_Data'!F18/'II-F Alloc_Data'!$N18),0,+'II-F Alloc_Data'!F18/'II-F Alloc_Data'!$N18)</f>
        <v>0</v>
      </c>
      <c r="G18" s="49">
        <f>IF(ISERROR(+'II-F Alloc_Data'!G18/'II-F Alloc_Data'!$N18),0,+'II-F Alloc_Data'!G18/'II-F Alloc_Data'!$N18)</f>
        <v>0</v>
      </c>
      <c r="H18" s="49">
        <f>SUM(E18:G18)</f>
        <v>7.3528132448274067E-2</v>
      </c>
      <c r="I18" s="49">
        <f>IF(ISERROR(+'II-F Alloc_Data'!I18/'II-F Alloc_Data'!$N18),0,+'II-F Alloc_Data'!I18/'II-F Alloc_Data'!$N18)</f>
        <v>0.85597256320590254</v>
      </c>
      <c r="J18" s="49">
        <f>IF(ISERROR(+'II-F Alloc_Data'!J18/'II-F Alloc_Data'!$N18),0,+'II-F Alloc_Data'!J18/'II-F Alloc_Data'!$N18)</f>
        <v>0</v>
      </c>
      <c r="K18" s="49">
        <f>SUM(I18:J18)</f>
        <v>0.85597256320590254</v>
      </c>
      <c r="L18" s="49">
        <f>IF(ISERROR(+'II-F Alloc_Data'!L18/'II-F Alloc_Data'!$N18),0,+'II-F Alloc_Data'!L18/'II-F Alloc_Data'!$N18)</f>
        <v>3.7003152829188597E-2</v>
      </c>
      <c r="M18" s="49">
        <f>1-H18-K18-L18</f>
        <v>3.3496151516634813E-2</v>
      </c>
      <c r="N18" s="56">
        <f t="shared" ref="N18:N40" si="0">+H18+K18+L18+M18</f>
        <v>1</v>
      </c>
      <c r="O18" s="1"/>
      <c r="P18" s="6"/>
    </row>
    <row r="19" spans="1:16" x14ac:dyDescent="0.2">
      <c r="A19" s="37">
        <v>5</v>
      </c>
      <c r="B19" s="6"/>
      <c r="C19" s="28" t="str">
        <f>+'II-F Alloc_Data'!C19</f>
        <v>Net Plant in Service (Oncor + NTU)</v>
      </c>
      <c r="D19" s="59" t="s">
        <v>23</v>
      </c>
      <c r="E19" s="49">
        <f>IF(ISERROR(+'II-F Alloc_Data'!E19/'II-F Alloc_Data'!$N19),0,+'II-F Alloc_Data'!E19/'II-F Alloc_Data'!$N19)</f>
        <v>0.43199243934462989</v>
      </c>
      <c r="F19" s="49">
        <f>IF(ISERROR(+'II-F Alloc_Data'!F19/'II-F Alloc_Data'!$N19),0,+'II-F Alloc_Data'!F19/'II-F Alloc_Data'!$N19)</f>
        <v>4.6018866905154131E-2</v>
      </c>
      <c r="G19" s="49">
        <f>IF(ISERROR(+'II-F Alloc_Data'!G19/'II-F Alloc_Data'!$N19),0,+'II-F Alloc_Data'!G19/'II-F Alloc_Data'!$N19)</f>
        <v>3.7113577409041062E-4</v>
      </c>
      <c r="H19" s="49">
        <f t="shared" ref="H19:H32" si="1">SUM(E19:G19)</f>
        <v>0.47838244202387442</v>
      </c>
      <c r="I19" s="49">
        <f>IF(ISERROR(+'II-F Alloc_Data'!I19/'II-F Alloc_Data'!$N19),0,+'II-F Alloc_Data'!I19/'II-F Alloc_Data'!$N19)</f>
        <v>0.49337869279172447</v>
      </c>
      <c r="J19" s="49">
        <f>IF(ISERROR(+'II-F Alloc_Data'!J19/'II-F Alloc_Data'!$N19),0,+'II-F Alloc_Data'!J19/'II-F Alloc_Data'!$N19)</f>
        <v>3.6757188873826163E-3</v>
      </c>
      <c r="K19" s="49">
        <f t="shared" ref="K19:K32" si="2">SUM(I19:J19)</f>
        <v>0.49705441167910708</v>
      </c>
      <c r="L19" s="49">
        <f>IF(ISERROR(+'II-F Alloc_Data'!L19/'II-F Alloc_Data'!$N19),0,+'II-F Alloc_Data'!L19/'II-F Alloc_Data'!$N19)</f>
        <v>1.4787500647117518E-2</v>
      </c>
      <c r="M19" s="49">
        <f>IF(ISERROR(+'II-F Alloc_Data'!M19/'II-F Alloc_Data'!$N19),0,+'II-F Alloc_Data'!M19/'II-F Alloc_Data'!$N19)</f>
        <v>9.7756456499008618E-3</v>
      </c>
      <c r="N19" s="56">
        <f t="shared" si="0"/>
        <v>0.99999999999999989</v>
      </c>
    </row>
    <row r="20" spans="1:16" x14ac:dyDescent="0.2">
      <c r="A20" s="37">
        <v>6</v>
      </c>
      <c r="B20" s="9"/>
      <c r="C20" s="28" t="str">
        <f>+'II-F Alloc_Data'!C20</f>
        <v>DIST Maintenance Composite Allocator</v>
      </c>
      <c r="D20" s="44" t="s">
        <v>24</v>
      </c>
      <c r="E20" s="49">
        <f>IF(ISERROR(+'II-F Alloc_Data'!E20/'II-F Alloc_Data'!$N20),0,+'II-F Alloc_Data'!E20/'II-F Alloc_Data'!$N20)</f>
        <v>1.7210352718884214E-3</v>
      </c>
      <c r="F20" s="49">
        <f>IF(ISERROR(+'II-F Alloc_Data'!F20/'II-F Alloc_Data'!$N20),0,+'II-F Alloc_Data'!F20/'II-F Alloc_Data'!$N20)</f>
        <v>0</v>
      </c>
      <c r="G20" s="49">
        <f>IF(ISERROR(+'II-F Alloc_Data'!G20/'II-F Alloc_Data'!$N20),0,+'II-F Alloc_Data'!G20/'II-F Alloc_Data'!$N20)</f>
        <v>0</v>
      </c>
      <c r="H20" s="49">
        <f t="shared" si="1"/>
        <v>1.7210352718884214E-3</v>
      </c>
      <c r="I20" s="49">
        <f>IF(ISERROR(+'II-F Alloc_Data'!I20/'II-F Alloc_Data'!$N20),0,+'II-F Alloc_Data'!I20/'II-F Alloc_Data'!$N20)</f>
        <v>0.88655208898787385</v>
      </c>
      <c r="J20" s="49">
        <f>IF(ISERROR(+'II-F Alloc_Data'!J20/'II-F Alloc_Data'!$N20),0,+'II-F Alloc_Data'!J20/'II-F Alloc_Data'!$N20)</f>
        <v>0</v>
      </c>
      <c r="K20" s="49">
        <f t="shared" si="2"/>
        <v>0.88655208898787385</v>
      </c>
      <c r="L20" s="49">
        <f>IF(ISERROR(+'II-F Alloc_Data'!L20/'II-F Alloc_Data'!$N20),0,+'II-F Alloc_Data'!L20/'II-F Alloc_Data'!$N20)</f>
        <v>0.11172687574023768</v>
      </c>
      <c r="M20" s="49">
        <f>IF(ISERROR(+'II-F Alloc_Data'!M20/'II-F Alloc_Data'!$N20),0,+'II-F Alloc_Data'!M20/'II-F Alloc_Data'!$N20)</f>
        <v>0</v>
      </c>
      <c r="N20" s="47">
        <f t="shared" si="0"/>
        <v>0.99999999999999989</v>
      </c>
    </row>
    <row r="21" spans="1:16" x14ac:dyDescent="0.2">
      <c r="A21" s="37">
        <v>7</v>
      </c>
      <c r="B21" s="9"/>
      <c r="C21" s="28" t="str">
        <f>+'II-F Alloc_Data'!C21</f>
        <v>DIST Operations Composite Allocator</v>
      </c>
      <c r="D21" s="44" t="s">
        <v>25</v>
      </c>
      <c r="E21" s="49">
        <f>IF(ISERROR(+'II-F Alloc_Data'!E21/'II-F Alloc_Data'!$N21),0,+'II-F Alloc_Data'!E21/'II-F Alloc_Data'!$N21)</f>
        <v>1.8190952305751431E-3</v>
      </c>
      <c r="F21" s="49">
        <f>IF(ISERROR(+'II-F Alloc_Data'!F21/'II-F Alloc_Data'!$N21),0,+'II-F Alloc_Data'!F21/'II-F Alloc_Data'!$N21)</f>
        <v>0</v>
      </c>
      <c r="G21" s="49">
        <f>IF(ISERROR(+'II-F Alloc_Data'!G21/'II-F Alloc_Data'!$N21),0,+'II-F Alloc_Data'!G21/'II-F Alloc_Data'!$N21)</f>
        <v>0</v>
      </c>
      <c r="H21" s="49">
        <f t="shared" si="1"/>
        <v>1.8190952305751431E-3</v>
      </c>
      <c r="I21" s="49">
        <f>IF(ISERROR(+'II-F Alloc_Data'!I21/'II-F Alloc_Data'!$N21),0,+'II-F Alloc_Data'!I21/'II-F Alloc_Data'!$N21)</f>
        <v>0.62355728298881019</v>
      </c>
      <c r="J21" s="49">
        <f>IF(ISERROR(+'II-F Alloc_Data'!J21/'II-F Alloc_Data'!$N21),0,+'II-F Alloc_Data'!J21/'II-F Alloc_Data'!$N21)</f>
        <v>0</v>
      </c>
      <c r="K21" s="49">
        <f t="shared" si="2"/>
        <v>0.62355728298881019</v>
      </c>
      <c r="L21" s="49">
        <f>IF(ISERROR(+'II-F Alloc_Data'!L21/'II-F Alloc_Data'!$N21),0,+'II-F Alloc_Data'!L21/'II-F Alloc_Data'!$N21)</f>
        <v>0.3746236217806147</v>
      </c>
      <c r="M21" s="49">
        <f>IF(ISERROR(+'II-F Alloc_Data'!M21/'II-F Alloc_Data'!$N21),0,+'II-F Alloc_Data'!M21/'II-F Alloc_Data'!$N21)</f>
        <v>0</v>
      </c>
      <c r="N21" s="47">
        <f t="shared" si="0"/>
        <v>1</v>
      </c>
    </row>
    <row r="22" spans="1:16" x14ac:dyDescent="0.2">
      <c r="A22" s="37">
        <v>8</v>
      </c>
      <c r="B22" s="9"/>
      <c r="C22" s="28" t="str">
        <f>+'II-F Alloc_Data'!C22</f>
        <v>Composite Allocator</v>
      </c>
      <c r="D22" s="44" t="s">
        <v>26</v>
      </c>
      <c r="E22" s="49">
        <f>IF(ISERROR(+'II-F Alloc_Data'!E22/'II-F Alloc_Data'!$N22),0,+'II-F Alloc_Data'!E22/'II-F Alloc_Data'!$N22)</f>
        <v>0</v>
      </c>
      <c r="F22" s="49">
        <f>IF(ISERROR(+'II-F Alloc_Data'!F22/'II-F Alloc_Data'!$N22),0,+'II-F Alloc_Data'!F22/'II-F Alloc_Data'!$N22)</f>
        <v>0</v>
      </c>
      <c r="G22" s="49">
        <f>IF(ISERROR(+'II-F Alloc_Data'!G22/'II-F Alloc_Data'!$N22),0,+'II-F Alloc_Data'!G22/'II-F Alloc_Data'!$N22)</f>
        <v>0</v>
      </c>
      <c r="H22" s="49">
        <f t="shared" si="1"/>
        <v>0</v>
      </c>
      <c r="I22" s="49">
        <f>1-L22-M22</f>
        <v>0</v>
      </c>
      <c r="J22" s="49">
        <f>IF(ISERROR(+'II-F Alloc_Data'!J22/'II-F Alloc_Data'!$N22),0,+'II-F Alloc_Data'!J22/'II-F Alloc_Data'!$N22)</f>
        <v>0</v>
      </c>
      <c r="K22" s="49">
        <f t="shared" si="2"/>
        <v>0</v>
      </c>
      <c r="L22" s="49">
        <f>IF(ISERROR(+'II-F Alloc_Data'!L22/'II-F Alloc_Data'!$N22),0,+'II-F Alloc_Data'!L22/'II-F Alloc_Data'!$N22)</f>
        <v>0.41189529434963656</v>
      </c>
      <c r="M22" s="49">
        <f>IF(ISERROR(+'II-F Alloc_Data'!M22/'II-F Alloc_Data'!$N22),0,+'II-F Alloc_Data'!M22/'II-F Alloc_Data'!$N22)</f>
        <v>0.58810470565036344</v>
      </c>
      <c r="N22" s="47">
        <f t="shared" si="0"/>
        <v>1</v>
      </c>
    </row>
    <row r="23" spans="1:16" x14ac:dyDescent="0.2">
      <c r="A23" s="37">
        <v>9</v>
      </c>
      <c r="B23" s="9"/>
      <c r="C23" s="28" t="s">
        <v>31</v>
      </c>
      <c r="D23" s="44" t="s">
        <v>33</v>
      </c>
      <c r="E23" s="49">
        <f>IF(ISERROR(+'II-F Alloc_Data'!E23/'II-F Alloc_Data'!$N23),0,+'II-F Alloc_Data'!E23/'II-F Alloc_Data'!$N23)</f>
        <v>0</v>
      </c>
      <c r="F23" s="49">
        <f>IF(ISERROR(+'II-F Alloc_Data'!F23/'II-F Alloc_Data'!$N23),0,+'II-F Alloc_Data'!F23/'II-F Alloc_Data'!$N23)</f>
        <v>0</v>
      </c>
      <c r="G23" s="49">
        <f>IF(ISERROR(+'II-F Alloc_Data'!G23/'II-F Alloc_Data'!$N23),0,+'II-F Alloc_Data'!G23/'II-F Alloc_Data'!$N23)</f>
        <v>0</v>
      </c>
      <c r="H23" s="49">
        <f t="shared" si="1"/>
        <v>0</v>
      </c>
      <c r="I23" s="49">
        <f>1-L23-M23</f>
        <v>4.2180770959157066E-3</v>
      </c>
      <c r="J23" s="49">
        <f>IF(ISERROR(+'II-F Alloc_Data'!J23/'II-F Alloc_Data'!$N23),0,+'II-F Alloc_Data'!J23/'II-F Alloc_Data'!$N23)</f>
        <v>0</v>
      </c>
      <c r="K23" s="49">
        <f t="shared" si="2"/>
        <v>4.2180770959157066E-3</v>
      </c>
      <c r="L23" s="49">
        <f>IF(ISERROR(+'II-F Alloc_Data'!L23/'II-F Alloc_Data'!$N23),0,+'II-F Alloc_Data'!L23/'II-F Alloc_Data'!$N23)</f>
        <v>0</v>
      </c>
      <c r="M23" s="49">
        <f>IF(ISERROR(+'II-F Alloc_Data'!M23/'II-F Alloc_Data'!$N23),0,+'II-F Alloc_Data'!M23/'II-F Alloc_Data'!$N23)</f>
        <v>0.99578192290408429</v>
      </c>
      <c r="N23" s="47">
        <f t="shared" si="0"/>
        <v>1</v>
      </c>
    </row>
    <row r="24" spans="1:16" x14ac:dyDescent="0.2">
      <c r="A24" s="37">
        <v>10</v>
      </c>
      <c r="B24" s="9"/>
      <c r="C24" s="28" t="s">
        <v>34</v>
      </c>
      <c r="D24" s="25" t="s">
        <v>53</v>
      </c>
      <c r="E24" s="49">
        <f>IF(ISERROR(+'II-F Alloc_Data'!E24/'II-F Alloc_Data'!$N24),0,+'II-F Alloc_Data'!E24/'II-F Alloc_Data'!$N24)</f>
        <v>0.22696601193468391</v>
      </c>
      <c r="F24" s="49">
        <f>IF(ISERROR(+'II-F Alloc_Data'!F24/'II-F Alloc_Data'!$N24),0,+'II-F Alloc_Data'!F24/'II-F Alloc_Data'!$N24)</f>
        <v>1.9370908951331072E-2</v>
      </c>
      <c r="G24" s="49">
        <f>IF(ISERROR(+'II-F Alloc_Data'!G24/'II-F Alloc_Data'!$N24),0,+'II-F Alloc_Data'!G24/'II-F Alloc_Data'!$N24)</f>
        <v>2.6369212551228069E-4</v>
      </c>
      <c r="H24" s="49">
        <f t="shared" si="1"/>
        <v>0.24660061301152725</v>
      </c>
      <c r="I24" s="49">
        <f>IF(ISERROR(+'II-F Alloc_Data'!I24/'II-F Alloc_Data'!$N24),0,+'II-F Alloc_Data'!I24/'II-F Alloc_Data'!$N24)</f>
        <v>0.7088306727673761</v>
      </c>
      <c r="J24" s="49">
        <f>IF(ISERROR(+'II-F Alloc_Data'!J24/'II-F Alloc_Data'!$N24),0,+'II-F Alloc_Data'!J24/'II-F Alloc_Data'!$N24)</f>
        <v>1.5987291734017946E-3</v>
      </c>
      <c r="K24" s="49">
        <f t="shared" si="2"/>
        <v>0.71042940194077786</v>
      </c>
      <c r="L24" s="49">
        <f>IF(ISERROR(+'II-F Alloc_Data'!L24/'II-F Alloc_Data'!$N24),0,+'II-F Alloc_Data'!L24/'II-F Alloc_Data'!$N24)</f>
        <v>2.7632918457257044E-2</v>
      </c>
      <c r="M24" s="49">
        <f>IF(ISERROR(+'II-F Alloc_Data'!M24/'II-F Alloc_Data'!$N24),0,+'II-F Alloc_Data'!M24/'II-F Alloc_Data'!$N24)</f>
        <v>1.5337066590437749E-2</v>
      </c>
      <c r="N24" s="47">
        <f t="shared" si="0"/>
        <v>0.99999999999999989</v>
      </c>
    </row>
    <row r="25" spans="1:16" x14ac:dyDescent="0.2">
      <c r="A25" s="37">
        <v>11</v>
      </c>
      <c r="C25" s="28" t="s">
        <v>37</v>
      </c>
      <c r="D25" s="44" t="s">
        <v>35</v>
      </c>
      <c r="E25" s="49">
        <f>IF(ISERROR(+'II-F Alloc_Data'!E25/'II-F Alloc_Data'!$N25),0,+'II-F Alloc_Data'!E25/'II-F Alloc_Data'!$N25)</f>
        <v>5.7476562590222054E-2</v>
      </c>
      <c r="F25" s="49">
        <f>IF(ISERROR(+'II-F Alloc_Data'!F25/'II-F Alloc_Data'!$N25),0,+'II-F Alloc_Data'!F25/'II-F Alloc_Data'!$N25)</f>
        <v>5.9798329377712964E-3</v>
      </c>
      <c r="G25" s="49">
        <f>IF(ISERROR(+'II-F Alloc_Data'!G25/'II-F Alloc_Data'!$N25),0,+'II-F Alloc_Data'!G25/'II-F Alloc_Data'!$N25)</f>
        <v>0</v>
      </c>
      <c r="H25" s="49">
        <f t="shared" si="1"/>
        <v>6.3456395527993356E-2</v>
      </c>
      <c r="I25" s="49">
        <f>IF(ISERROR(+'II-F Alloc_Data'!I25/'II-F Alloc_Data'!$N25),0,+'II-F Alloc_Data'!I25/'II-F Alloc_Data'!$N25)</f>
        <v>0.93594713375753857</v>
      </c>
      <c r="J25" s="49">
        <f>IF(ISERROR(+'II-F Alloc_Data'!J25/'II-F Alloc_Data'!$N25),0,+'II-F Alloc_Data'!J25/'II-F Alloc_Data'!$N25)</f>
        <v>5.9647071446812582E-4</v>
      </c>
      <c r="K25" s="49">
        <f t="shared" si="2"/>
        <v>0.93654360447200669</v>
      </c>
      <c r="L25" s="49">
        <f>IF(ISERROR(+'II-F Alloc_Data'!L25/'II-F Alloc_Data'!$N25),0,+'II-F Alloc_Data'!L25/'II-F Alloc_Data'!$N25)</f>
        <v>0</v>
      </c>
      <c r="M25" s="49">
        <f>IF(ISERROR(+'II-F Alloc_Data'!M25/'II-F Alloc_Data'!$N25),0,+'II-F Alloc_Data'!M25/'II-F Alloc_Data'!$N25)</f>
        <v>0</v>
      </c>
      <c r="N25" s="47">
        <f t="shared" si="0"/>
        <v>1</v>
      </c>
    </row>
    <row r="26" spans="1:16" x14ac:dyDescent="0.2">
      <c r="A26" s="37">
        <v>12</v>
      </c>
      <c r="C26" s="28" t="s">
        <v>38</v>
      </c>
      <c r="D26" s="1" t="s">
        <v>36</v>
      </c>
      <c r="E26" s="49">
        <f>IF(ISERROR(+'II-F Alloc_Data'!E26/'II-F Alloc_Data'!$N26),0,+'II-F Alloc_Data'!E26/'II-F Alloc_Data'!$N26)</f>
        <v>0.33637581614630352</v>
      </c>
      <c r="F26" s="49">
        <f>IF(ISERROR(+'II-F Alloc_Data'!F26/'II-F Alloc_Data'!$N26),0,+'II-F Alloc_Data'!F26/'II-F Alloc_Data'!$N26)</f>
        <v>0</v>
      </c>
      <c r="G26" s="49">
        <f>IF(ISERROR(+'II-F Alloc_Data'!G26/'II-F Alloc_Data'!$N26),0,+'II-F Alloc_Data'!G26/'II-F Alloc_Data'!$N26)</f>
        <v>0</v>
      </c>
      <c r="H26" s="49">
        <f t="shared" si="1"/>
        <v>0.33637581614630352</v>
      </c>
      <c r="I26" s="49">
        <f>IF(ISERROR(+'II-F Alloc_Data'!I26/'II-F Alloc_Data'!$N26),0,+'II-F Alloc_Data'!I26/'II-F Alloc_Data'!$N26)</f>
        <v>0.66362418385369648</v>
      </c>
      <c r="J26" s="49">
        <f>IF(ISERROR(+'II-F Alloc_Data'!J26/'II-F Alloc_Data'!$N26),0,+'II-F Alloc_Data'!J26/'II-F Alloc_Data'!$N26)</f>
        <v>0</v>
      </c>
      <c r="K26" s="49">
        <f t="shared" si="2"/>
        <v>0.66362418385369648</v>
      </c>
      <c r="L26" s="49">
        <f>IF(ISERROR(+'II-F Alloc_Data'!L26/'II-F Alloc_Data'!$N26),0,+'II-F Alloc_Data'!L26/'II-F Alloc_Data'!$N26)</f>
        <v>0</v>
      </c>
      <c r="M26" s="49">
        <f>IF(ISERROR(+'II-F Alloc_Data'!M26/'II-F Alloc_Data'!$N26),0,+'II-F Alloc_Data'!M26/'II-F Alloc_Data'!$N26)</f>
        <v>0</v>
      </c>
      <c r="N26" s="47">
        <f t="shared" si="0"/>
        <v>1</v>
      </c>
    </row>
    <row r="27" spans="1:16" x14ac:dyDescent="0.2">
      <c r="A27" s="37">
        <v>13</v>
      </c>
      <c r="C27" s="31" t="s">
        <v>39</v>
      </c>
      <c r="D27" s="25" t="s">
        <v>40</v>
      </c>
      <c r="E27" s="49">
        <f>IF(ISERROR(+'II-F Alloc_Data'!E27/'II-F Alloc_Data'!$N27),0,+'II-F Alloc_Data'!E27/'II-F Alloc_Data'!$N27)</f>
        <v>0.20876246650104441</v>
      </c>
      <c r="F27" s="49">
        <f>IF(ISERROR(+'II-F Alloc_Data'!F27/'II-F Alloc_Data'!$N27),0,+'II-F Alloc_Data'!F27/'II-F Alloc_Data'!$N27)</f>
        <v>0</v>
      </c>
      <c r="G27" s="49">
        <f>IF(ISERROR(+'II-F Alloc_Data'!G27/'II-F Alloc_Data'!$N27),0,+'II-F Alloc_Data'!G27/'II-F Alloc_Data'!$N27)</f>
        <v>0</v>
      </c>
      <c r="H27" s="49">
        <f t="shared" si="1"/>
        <v>0.20876246650104441</v>
      </c>
      <c r="I27" s="49">
        <f>IF(ISERROR(+'II-F Alloc_Data'!I27/'II-F Alloc_Data'!$N27),0,+'II-F Alloc_Data'!I27/'II-F Alloc_Data'!$N27)</f>
        <v>0.53406309237158212</v>
      </c>
      <c r="J27" s="49">
        <f>IF(ISERROR(+'II-F Alloc_Data'!J27/'II-F Alloc_Data'!$N27),0,+'II-F Alloc_Data'!J27/'II-F Alloc_Data'!$N27)</f>
        <v>0</v>
      </c>
      <c r="K27" s="49">
        <f t="shared" si="2"/>
        <v>0.53406309237158212</v>
      </c>
      <c r="L27" s="49">
        <f>IF(ISERROR(+'II-F Alloc_Data'!L27/'II-F Alloc_Data'!$N27),0,+'II-F Alloc_Data'!L27/'II-F Alloc_Data'!$N27)</f>
        <v>0.19133634325890875</v>
      </c>
      <c r="M27" s="49">
        <f>IF(ISERROR(+'II-F Alloc_Data'!M27/'II-F Alloc_Data'!$N27),0,+'II-F Alloc_Data'!M27/'II-F Alloc_Data'!$N27)</f>
        <v>6.5838097868464812E-2</v>
      </c>
      <c r="N27" s="47">
        <f t="shared" si="0"/>
        <v>1</v>
      </c>
    </row>
    <row r="28" spans="1:16" x14ac:dyDescent="0.2">
      <c r="A28" s="37">
        <v>14</v>
      </c>
      <c r="C28" s="28" t="s">
        <v>41</v>
      </c>
      <c r="D28" s="25" t="s">
        <v>42</v>
      </c>
      <c r="E28" s="49">
        <f>IF(ISERROR(+'II-F Alloc_Data'!E28/'II-F Alloc_Data'!$N28),0,+'II-F Alloc_Data'!E28/'II-F Alloc_Data'!$N28)</f>
        <v>0</v>
      </c>
      <c r="F28" s="49">
        <f>IF(ISERROR(+'II-F Alloc_Data'!F28/'II-F Alloc_Data'!$N28),0,+'II-F Alloc_Data'!F28/'II-F Alloc_Data'!$N28)</f>
        <v>0</v>
      </c>
      <c r="G28" s="49">
        <f>IF(ISERROR(+'II-F Alloc_Data'!G28/'II-F Alloc_Data'!$N28),0,+'II-F Alloc_Data'!G28/'II-F Alloc_Data'!$N28)</f>
        <v>0</v>
      </c>
      <c r="H28" s="49">
        <f t="shared" si="1"/>
        <v>0</v>
      </c>
      <c r="I28" s="49">
        <f>IF(ISERROR(+'II-F Alloc_Data'!I28/'II-F Alloc_Data'!$N28),0,+'II-F Alloc_Data'!I28/'II-F Alloc_Data'!$N28)</f>
        <v>0</v>
      </c>
      <c r="J28" s="49">
        <f>IF(ISERROR(+'II-F Alloc_Data'!J28/'II-F Alloc_Data'!$N28),0,+'II-F Alloc_Data'!J28/'II-F Alloc_Data'!$N28)</f>
        <v>0</v>
      </c>
      <c r="K28" s="49">
        <f t="shared" si="2"/>
        <v>0</v>
      </c>
      <c r="L28" s="49">
        <f>IF(ISERROR(+'II-F Alloc_Data'!L28/'II-F Alloc_Data'!$N28),0,+'II-F Alloc_Data'!L28/'II-F Alloc_Data'!$N28)</f>
        <v>0</v>
      </c>
      <c r="M28" s="49">
        <f>IF(ISERROR(+'II-F Alloc_Data'!M28/'II-F Alloc_Data'!$N28),0,+'II-F Alloc_Data'!M28/'II-F Alloc_Data'!$N28)</f>
        <v>0</v>
      </c>
      <c r="N28" s="47">
        <f t="shared" si="0"/>
        <v>0</v>
      </c>
    </row>
    <row r="29" spans="1:16" x14ac:dyDescent="0.2">
      <c r="A29" s="37">
        <v>15</v>
      </c>
      <c r="C29" s="31" t="str">
        <f>+'II-F Alloc_Data'!C29</f>
        <v>Account 930.2</v>
      </c>
      <c r="D29" s="25" t="str">
        <f>+'II-F Alloc_Data'!D29</f>
        <v>A930.2</v>
      </c>
      <c r="E29" s="49">
        <f>IF(ISERROR(+'II-F Alloc_Data'!E29/'II-F Alloc_Data'!$N29),0,+'II-F Alloc_Data'!E29/'II-F Alloc_Data'!$N29)</f>
        <v>0.10102334307705639</v>
      </c>
      <c r="F29" s="49">
        <f>IF(ISERROR(+'II-F Alloc_Data'!F29/'II-F Alloc_Data'!$N29),0,+'II-F Alloc_Data'!F29/'II-F Alloc_Data'!$N29)</f>
        <v>2.6258057668275739E-6</v>
      </c>
      <c r="G29" s="49">
        <f>IF(ISERROR(+'II-F Alloc_Data'!G29/'II-F Alloc_Data'!$N29),0,+'II-F Alloc_Data'!G29/'II-F Alloc_Data'!$N29)</f>
        <v>0</v>
      </c>
      <c r="H29" s="49">
        <f t="shared" si="1"/>
        <v>0.10102596888282322</v>
      </c>
      <c r="I29" s="49">
        <f>IF(ISERROR(+'II-F Alloc_Data'!I29/'II-F Alloc_Data'!$N29),0,+'II-F Alloc_Data'!I29/'II-F Alloc_Data'!$N29)</f>
        <v>0.49723808380372858</v>
      </c>
      <c r="J29" s="49">
        <f>IF(ISERROR(+'II-F Alloc_Data'!J29/'II-F Alloc_Data'!$N29),0,+'II-F Alloc_Data'!J29/'II-F Alloc_Data'!$N29)</f>
        <v>1.7146747004891969E-7</v>
      </c>
      <c r="K29" s="49">
        <f t="shared" si="2"/>
        <v>0.49723825527119864</v>
      </c>
      <c r="L29" s="49">
        <f>IF(ISERROR(+'II-F Alloc_Data'!L29/'II-F Alloc_Data'!$N29),0,+'II-F Alloc_Data'!L29/'II-F Alloc_Data'!$N29)</f>
        <v>7.6869315103898148E-2</v>
      </c>
      <c r="M29" s="49">
        <f>IF(ISERROR(+'II-F Alloc_Data'!M29/'II-F Alloc_Data'!$N29),0,+'II-F Alloc_Data'!M29/'II-F Alloc_Data'!$N29)</f>
        <v>0.32486646074208009</v>
      </c>
      <c r="N29" s="47">
        <f t="shared" si="0"/>
        <v>1.0000000000000002</v>
      </c>
    </row>
    <row r="30" spans="1:16" x14ac:dyDescent="0.2">
      <c r="A30" s="37">
        <v>16</v>
      </c>
      <c r="C30" s="5" t="s">
        <v>45</v>
      </c>
      <c r="D30" s="25" t="s">
        <v>46</v>
      </c>
      <c r="E30" s="49">
        <f>IF(ISERROR(+'II-F Alloc_Data'!E30/'II-F Alloc_Data'!$N30),0,+'II-F Alloc_Data'!E30/'II-F Alloc_Data'!$N30)</f>
        <v>0.21057771560752045</v>
      </c>
      <c r="F30" s="49">
        <f>IF(ISERROR(+'II-F Alloc_Data'!F30/'II-F Alloc_Data'!$N30),0,+'II-F Alloc_Data'!F30/'II-F Alloc_Data'!$N30)</f>
        <v>0</v>
      </c>
      <c r="G30" s="49">
        <f>IF(ISERROR(+'II-F Alloc_Data'!G30/'II-F Alloc_Data'!$N30),0,+'II-F Alloc_Data'!G30/'II-F Alloc_Data'!$N30)</f>
        <v>0</v>
      </c>
      <c r="H30" s="49">
        <f t="shared" si="1"/>
        <v>0.21057771560752045</v>
      </c>
      <c r="I30" s="49">
        <f>IF(ISERROR(+'II-F Alloc_Data'!I30/'II-F Alloc_Data'!$N30),0,+'II-F Alloc_Data'!I30/'II-F Alloc_Data'!$N30)</f>
        <v>0.49547761550750224</v>
      </c>
      <c r="J30" s="49">
        <f>IF(ISERROR(+'II-F Alloc_Data'!J30/'II-F Alloc_Data'!$N30),0,+'II-F Alloc_Data'!J30/'II-F Alloc_Data'!$N30)</f>
        <v>0</v>
      </c>
      <c r="K30" s="49">
        <f t="shared" si="2"/>
        <v>0.49547761550750224</v>
      </c>
      <c r="L30" s="49">
        <f>IF(ISERROR(+'II-F Alloc_Data'!L30/'II-F Alloc_Data'!$N30),0,+'II-F Alloc_Data'!L30/'II-F Alloc_Data'!$N30)</f>
        <v>0.13778546119282473</v>
      </c>
      <c r="M30" s="49">
        <f>IF(ISERROR(+'II-F Alloc_Data'!M30/'II-F Alloc_Data'!$N30),0,+'II-F Alloc_Data'!M30/'II-F Alloc_Data'!$N30)</f>
        <v>0.15615920769215258</v>
      </c>
      <c r="N30" s="47">
        <f t="shared" si="0"/>
        <v>1</v>
      </c>
    </row>
    <row r="31" spans="1:16" x14ac:dyDescent="0.2">
      <c r="A31" s="37">
        <v>17</v>
      </c>
      <c r="C31" s="28" t="s">
        <v>48</v>
      </c>
      <c r="D31" s="25" t="s">
        <v>47</v>
      </c>
      <c r="E31" s="49">
        <f>IF(ISERROR(+'II-F Alloc_Data'!E31/'II-F Alloc_Data'!$N31),0,+'II-F Alloc_Data'!E31/'II-F Alloc_Data'!$N31)</f>
        <v>0.42669999951413218</v>
      </c>
      <c r="F31" s="49">
        <f>IF(ISERROR(+'II-F Alloc_Data'!F31/'II-F Alloc_Data'!$N31),0,+'II-F Alloc_Data'!F31/'II-F Alloc_Data'!$N31)</f>
        <v>0</v>
      </c>
      <c r="G31" s="49">
        <f>IF(ISERROR(+'II-F Alloc_Data'!G31/'II-F Alloc_Data'!$N31),0,+'II-F Alloc_Data'!G31/'II-F Alloc_Data'!$N31)</f>
        <v>0</v>
      </c>
      <c r="H31" s="49">
        <f t="shared" si="1"/>
        <v>0.42669999951413218</v>
      </c>
      <c r="I31" s="49">
        <f>IF(ISERROR(+'II-F Alloc_Data'!I31/'II-F Alloc_Data'!$N31),0,+'II-F Alloc_Data'!I31/'II-F Alloc_Data'!$N31)</f>
        <v>0.54376000052428142</v>
      </c>
      <c r="J31" s="49">
        <f>IF(ISERROR(+'II-F Alloc_Data'!J31/'II-F Alloc_Data'!$N31),0,+'II-F Alloc_Data'!J31/'II-F Alloc_Data'!$N31)</f>
        <v>0</v>
      </c>
      <c r="K31" s="49">
        <f t="shared" si="2"/>
        <v>0.54376000052428142</v>
      </c>
      <c r="L31" s="49">
        <f>IF(ISERROR(+'II-F Alloc_Data'!L31/'II-F Alloc_Data'!$N31),0,+'II-F Alloc_Data'!L31/'II-F Alloc_Data'!$N31)</f>
        <v>2.0399999765760166E-2</v>
      </c>
      <c r="M31" s="49">
        <f>IF(ISERROR(+'II-F Alloc_Data'!M31/'II-F Alloc_Data'!$N31),0,+'II-F Alloc_Data'!M31/'II-F Alloc_Data'!$N31)</f>
        <v>9.1400001958260955E-3</v>
      </c>
      <c r="N31" s="47">
        <f t="shared" si="0"/>
        <v>0.99999999999999978</v>
      </c>
    </row>
    <row r="32" spans="1:16" x14ac:dyDescent="0.2">
      <c r="A32" s="37">
        <v>18</v>
      </c>
      <c r="C32" s="31" t="s">
        <v>50</v>
      </c>
      <c r="D32" s="25" t="s">
        <v>49</v>
      </c>
      <c r="E32" s="49">
        <f>IF(ISERROR(+'II-F Alloc_Data'!E32/'II-F Alloc_Data'!$N32),0,+'II-F Alloc_Data'!E32/'II-F Alloc_Data'!$N32)</f>
        <v>0.11886231852907132</v>
      </c>
      <c r="F32" s="49">
        <f>IF(ISERROR(+'II-F Alloc_Data'!F32/'II-F Alloc_Data'!$N32),0,+'II-F Alloc_Data'!F32/'II-F Alloc_Data'!$N32)</f>
        <v>0</v>
      </c>
      <c r="G32" s="49">
        <f>IF(ISERROR(+'II-F Alloc_Data'!G32/'II-F Alloc_Data'!$N32),0,+'II-F Alloc_Data'!G32/'II-F Alloc_Data'!$N32)</f>
        <v>0</v>
      </c>
      <c r="H32" s="49">
        <f t="shared" si="1"/>
        <v>0.11886231852907132</v>
      </c>
      <c r="I32" s="49">
        <f>IF(ISERROR(+'II-F Alloc_Data'!I32/'II-F Alloc_Data'!$N32),0,+'II-F Alloc_Data'!I32/'II-F Alloc_Data'!$N32)</f>
        <v>0.87351704344616599</v>
      </c>
      <c r="J32" s="49">
        <f>IF(ISERROR(+'II-F Alloc_Data'!J32/'II-F Alloc_Data'!$N32),0,+'II-F Alloc_Data'!J32/'II-F Alloc_Data'!$N32)</f>
        <v>0</v>
      </c>
      <c r="K32" s="49">
        <f t="shared" si="2"/>
        <v>0.87351704344616599</v>
      </c>
      <c r="L32" s="49">
        <f>IF(ISERROR(+'II-F Alloc_Data'!L32/'II-F Alloc_Data'!$N32),0,+'II-F Alloc_Data'!L32/'II-F Alloc_Data'!$N32)</f>
        <v>3.9998645891527428E-3</v>
      </c>
      <c r="M32" s="49">
        <f>IF(ISERROR(+'II-F Alloc_Data'!M32/'II-F Alloc_Data'!$N32),0,+'II-F Alloc_Data'!M32/'II-F Alloc_Data'!$N32)</f>
        <v>3.6207734356097764E-3</v>
      </c>
      <c r="N32" s="47">
        <f t="shared" si="0"/>
        <v>0.99999999999999978</v>
      </c>
    </row>
    <row r="33" spans="1:14" x14ac:dyDescent="0.2">
      <c r="A33" s="37">
        <v>19</v>
      </c>
      <c r="C33" s="28" t="s">
        <v>51</v>
      </c>
      <c r="D33" s="1" t="s">
        <v>52</v>
      </c>
      <c r="E33" s="49">
        <f>IF(ISERROR(+'II-F Alloc_Data'!E33/'II-F Alloc_Data'!$N33),0,+'II-F Alloc_Data'!E33/'II-F Alloc_Data'!$N33)</f>
        <v>0.57920210976606445</v>
      </c>
      <c r="F33" s="49">
        <f>IF(ISERROR(+'II-F Alloc_Data'!F33/'II-F Alloc_Data'!$N33),0,+'II-F Alloc_Data'!F33/'II-F Alloc_Data'!$N33)</f>
        <v>0</v>
      </c>
      <c r="G33" s="49">
        <f>IF(ISERROR(+'II-F Alloc_Data'!G33/'II-F Alloc_Data'!$N33),0,+'II-F Alloc_Data'!G33/'II-F Alloc_Data'!$N33)</f>
        <v>0</v>
      </c>
      <c r="H33" s="49">
        <f t="shared" ref="H33:H35" si="3">SUM(E33:G33)</f>
        <v>0.57920210976606445</v>
      </c>
      <c r="I33" s="49">
        <f>IF(ISERROR(+'II-F Alloc_Data'!I33/'II-F Alloc_Data'!$N33),0,+'II-F Alloc_Data'!I33/'II-F Alloc_Data'!$N33)</f>
        <v>0.41751555958404757</v>
      </c>
      <c r="J33" s="49">
        <f>IF(ISERROR(+'II-F Alloc_Data'!J33/'II-F Alloc_Data'!$N33),0,+'II-F Alloc_Data'!J33/'II-F Alloc_Data'!$N33)</f>
        <v>0</v>
      </c>
      <c r="K33" s="49">
        <f t="shared" ref="K33:K35" si="4">SUM(I33:J33)</f>
        <v>0.41751555958404757</v>
      </c>
      <c r="L33" s="49">
        <f>IF(ISERROR(+'II-F Alloc_Data'!L33/'II-F Alloc_Data'!$N33),0,+'II-F Alloc_Data'!L33/'II-F Alloc_Data'!$N33)</f>
        <v>3.2823306498878401E-3</v>
      </c>
      <c r="M33" s="49">
        <f>IF(ISERROR(+'II-F Alloc_Data'!M33/'II-F Alloc_Data'!$N33),0,+'II-F Alloc_Data'!M33/'II-F Alloc_Data'!$N33)</f>
        <v>0</v>
      </c>
      <c r="N33" s="47">
        <f t="shared" si="0"/>
        <v>0.99999999999999989</v>
      </c>
    </row>
    <row r="34" spans="1:14" x14ac:dyDescent="0.2">
      <c r="A34" s="37">
        <v>20</v>
      </c>
      <c r="C34" s="28" t="s">
        <v>54</v>
      </c>
      <c r="D34" s="25" t="s">
        <v>55</v>
      </c>
      <c r="E34" s="49">
        <f>IF(ISERROR(+'II-F Alloc_Data'!E34/'II-F Alloc_Data'!$N34),0,+'II-F Alloc_Data'!E34/'II-F Alloc_Data'!$N34)</f>
        <v>0.44257750096999038</v>
      </c>
      <c r="F34" s="49">
        <f>IF(ISERROR(+'II-F Alloc_Data'!F34/'II-F Alloc_Data'!$N34),0,+'II-F Alloc_Data'!F34/'II-F Alloc_Data'!$N34)</f>
        <v>0</v>
      </c>
      <c r="G34" s="49">
        <f>IF(ISERROR(+'II-F Alloc_Data'!G34/'II-F Alloc_Data'!$N34),0,+'II-F Alloc_Data'!G34/'II-F Alloc_Data'!$N34)</f>
        <v>0</v>
      </c>
      <c r="H34" s="49">
        <f t="shared" si="3"/>
        <v>0.44257750096999038</v>
      </c>
      <c r="I34" s="49">
        <f>IF(ISERROR(+'II-F Alloc_Data'!I34/'II-F Alloc_Data'!$N34),0,+'II-F Alloc_Data'!I34/'II-F Alloc_Data'!$N34)</f>
        <v>0.53979368474787659</v>
      </c>
      <c r="J34" s="49">
        <f>IF(ISERROR(+'II-F Alloc_Data'!J34/'II-F Alloc_Data'!$N34),0,+'II-F Alloc_Data'!J34/'II-F Alloc_Data'!$N34)</f>
        <v>0</v>
      </c>
      <c r="K34" s="49">
        <f t="shared" si="4"/>
        <v>0.53979368474787659</v>
      </c>
      <c r="L34" s="49">
        <f>IF(ISERROR(+'II-F Alloc_Data'!L34/'II-F Alloc_Data'!$N34),0,+'II-F Alloc_Data'!L34/'II-F Alloc_Data'!$N34)</f>
        <v>1.7628814282133153E-2</v>
      </c>
      <c r="M34" s="49">
        <f>IF(ISERROR(+'II-F Alloc_Data'!M34/'II-F Alloc_Data'!$N34),0,+'II-F Alloc_Data'!M34/'II-F Alloc_Data'!$N34)</f>
        <v>0</v>
      </c>
      <c r="N34" s="47">
        <f t="shared" si="0"/>
        <v>1.0000000000000002</v>
      </c>
    </row>
    <row r="35" spans="1:14" x14ac:dyDescent="0.2">
      <c r="A35" s="37">
        <v>21</v>
      </c>
      <c r="B35" s="6"/>
      <c r="C35" s="28" t="s">
        <v>56</v>
      </c>
      <c r="D35" s="27" t="s">
        <v>57</v>
      </c>
      <c r="E35" s="49">
        <f>IF(ISERROR(+'II-F Alloc_Data'!E35/'II-F Alloc_Data'!$N35),0,+'II-F Alloc_Data'!E35/'II-F Alloc_Data'!$N35)</f>
        <v>4.3033245050892135E-2</v>
      </c>
      <c r="F35" s="49">
        <f>IF(ISERROR(+'II-F Alloc_Data'!F35/'II-F Alloc_Data'!$N35),0,+'II-F Alloc_Data'!F35/'II-F Alloc_Data'!$N35)</f>
        <v>1.3611693774560972E-3</v>
      </c>
      <c r="G35" s="49">
        <f>IF(ISERROR(+'II-F Alloc_Data'!G35/'II-F Alloc_Data'!$N35),0,+'II-F Alloc_Data'!G35/'II-F Alloc_Data'!$N35)</f>
        <v>0</v>
      </c>
      <c r="H35" s="49">
        <f t="shared" si="3"/>
        <v>4.4394414428348232E-2</v>
      </c>
      <c r="I35" s="49">
        <f>IF(ISERROR(+'II-F Alloc_Data'!I35/'II-F Alloc_Data'!$N35),0,+'II-F Alloc_Data'!I35/'II-F Alloc_Data'!$N35)</f>
        <v>0.95560558557165176</v>
      </c>
      <c r="J35" s="49">
        <f>IF(ISERROR(+'II-F Alloc_Data'!J35/'II-F Alloc_Data'!$N35),0,+'II-F Alloc_Data'!J35/'II-F Alloc_Data'!$N35)</f>
        <v>0</v>
      </c>
      <c r="K35" s="49">
        <f t="shared" si="4"/>
        <v>0.95560558557165176</v>
      </c>
      <c r="L35" s="49">
        <f>IF(ISERROR(+'II-F Alloc_Data'!L35/'II-F Alloc_Data'!$N35),0,+'II-F Alloc_Data'!L35/'II-F Alloc_Data'!$N35)</f>
        <v>0</v>
      </c>
      <c r="M35" s="49">
        <f>IF(ISERROR(+'II-F Alloc_Data'!M35/'II-F Alloc_Data'!$N35),0,+'II-F Alloc_Data'!M35/'II-F Alloc_Data'!$N35)</f>
        <v>0</v>
      </c>
      <c r="N35" s="47">
        <f t="shared" si="0"/>
        <v>1</v>
      </c>
    </row>
    <row r="36" spans="1:14" x14ac:dyDescent="0.2">
      <c r="A36" s="37">
        <v>22</v>
      </c>
      <c r="B36" s="6"/>
      <c r="C36" s="51" t="s">
        <v>60</v>
      </c>
      <c r="D36" s="1" t="s">
        <v>58</v>
      </c>
      <c r="E36" s="49">
        <f>IF(ISERROR(+'II-F Alloc_Data'!E36/'II-F Alloc_Data'!$N36),0,+'II-F Alloc_Data'!E36/'II-F Alloc_Data'!$N36)</f>
        <v>2.8745770585993182E-3</v>
      </c>
      <c r="F36" s="49">
        <f>IF(ISERROR(+'II-F Alloc_Data'!F36/'II-F Alloc_Data'!$N36),0,+'II-F Alloc_Data'!F36/'II-F Alloc_Data'!$N36)</f>
        <v>0</v>
      </c>
      <c r="G36" s="49">
        <f>IF(ISERROR(+'II-F Alloc_Data'!G36/'II-F Alloc_Data'!$N36),0,+'II-F Alloc_Data'!G36/'II-F Alloc_Data'!$N36)</f>
        <v>0</v>
      </c>
      <c r="H36" s="49">
        <f t="shared" ref="H36:H40" si="5">SUM(E36:G36)</f>
        <v>2.8745770585993182E-3</v>
      </c>
      <c r="I36" s="49">
        <f>IF(ISERROR(+'II-F Alloc_Data'!I36/'II-F Alloc_Data'!$N36),0,+'II-F Alloc_Data'!I36/'II-F Alloc_Data'!$N36)</f>
        <v>0.75857598874508803</v>
      </c>
      <c r="J36" s="49">
        <f>IF(ISERROR(+'II-F Alloc_Data'!J36/'II-F Alloc_Data'!$N36),0,+'II-F Alloc_Data'!J36/'II-F Alloc_Data'!$N36)</f>
        <v>0</v>
      </c>
      <c r="K36" s="49">
        <f t="shared" ref="K36:K40" si="6">SUM(I36:J36)</f>
        <v>0.75857598874508803</v>
      </c>
      <c r="L36" s="49">
        <f>IF(ISERROR(+'II-F Alloc_Data'!L36/'II-F Alloc_Data'!$N36),0,+'II-F Alloc_Data'!L36/'II-F Alloc_Data'!$N36)</f>
        <v>0.22915627423842011</v>
      </c>
      <c r="M36" s="49">
        <f>IF(ISERROR(+'II-F Alloc_Data'!M36/'II-F Alloc_Data'!$N36),0,+'II-F Alloc_Data'!M36/'II-F Alloc_Data'!$N36)</f>
        <v>9.3931599578925239E-3</v>
      </c>
      <c r="N36" s="47">
        <f t="shared" si="0"/>
        <v>0.99999999999999989</v>
      </c>
    </row>
    <row r="37" spans="1:14" x14ac:dyDescent="0.2">
      <c r="A37" s="37">
        <v>23</v>
      </c>
      <c r="B37" s="6"/>
      <c r="C37" s="51" t="s">
        <v>61</v>
      </c>
      <c r="D37" s="1" t="s">
        <v>59</v>
      </c>
      <c r="E37" s="49">
        <f>IF(ISERROR(+'II-F Alloc_Data'!E37/'II-F Alloc_Data'!$N37),0,+'II-F Alloc_Data'!E37/'II-F Alloc_Data'!$N37)</f>
        <v>0.83302651890784363</v>
      </c>
      <c r="F37" s="49">
        <f>IF(ISERROR(+'II-F Alloc_Data'!F37/'II-F Alloc_Data'!$N37),0,+'II-F Alloc_Data'!F37/'II-F Alloc_Data'!$N37)</f>
        <v>0</v>
      </c>
      <c r="G37" s="49">
        <f>IF(ISERROR(+'II-F Alloc_Data'!G37/'II-F Alloc_Data'!$N37),0,+'II-F Alloc_Data'!G37/'II-F Alloc_Data'!$N37)</f>
        <v>0</v>
      </c>
      <c r="H37" s="49">
        <f t="shared" si="5"/>
        <v>0.83302651890784363</v>
      </c>
      <c r="I37" s="49">
        <f>IF(ISERROR(+'II-F Alloc_Data'!I37/'II-F Alloc_Data'!$N37),0,+'II-F Alloc_Data'!I37/'II-F Alloc_Data'!$N37)</f>
        <v>0.16697348109215637</v>
      </c>
      <c r="J37" s="49">
        <f>IF(ISERROR(+'II-F Alloc_Data'!J37/'II-F Alloc_Data'!$N37),0,+'II-F Alloc_Data'!J37/'II-F Alloc_Data'!$N37)</f>
        <v>0</v>
      </c>
      <c r="K37" s="49">
        <f t="shared" si="6"/>
        <v>0.16697348109215637</v>
      </c>
      <c r="L37" s="49">
        <f>IF(ISERROR(+'II-F Alloc_Data'!L37/'II-F Alloc_Data'!$N37),0,+'II-F Alloc_Data'!L37/'II-F Alloc_Data'!$N37)</f>
        <v>0</v>
      </c>
      <c r="M37" s="49">
        <f>IF(ISERROR(+'II-F Alloc_Data'!M37/'II-F Alloc_Data'!$N37),0,+'II-F Alloc_Data'!M37/'II-F Alloc_Data'!$N37)</f>
        <v>0</v>
      </c>
      <c r="N37" s="47">
        <f t="shared" si="0"/>
        <v>1</v>
      </c>
    </row>
    <row r="38" spans="1:14" x14ac:dyDescent="0.2">
      <c r="A38" s="37">
        <v>24</v>
      </c>
      <c r="C38" s="51" t="s">
        <v>70</v>
      </c>
      <c r="D38" s="55" t="s">
        <v>72</v>
      </c>
      <c r="E38" s="49">
        <f>IF(ISERROR(+'II-F Alloc_Data'!E38/'II-F Alloc_Data'!$N38),0,+'II-F Alloc_Data'!E38/'II-F Alloc_Data'!$N38)</f>
        <v>0.45458274033396245</v>
      </c>
      <c r="F38" s="49">
        <f>IF(ISERROR(+'II-F Alloc_Data'!F38/'II-F Alloc_Data'!$N38),0,+'II-F Alloc_Data'!F38/'II-F Alloc_Data'!$N38)</f>
        <v>0</v>
      </c>
      <c r="G38" s="49">
        <f>IF(ISERROR(+'II-F Alloc_Data'!G38/'II-F Alloc_Data'!$N38),0,+'II-F Alloc_Data'!G38/'II-F Alloc_Data'!$N38)</f>
        <v>3.9054368052814981E-4</v>
      </c>
      <c r="H38" s="49">
        <f t="shared" si="5"/>
        <v>0.45497328401449061</v>
      </c>
      <c r="I38" s="49">
        <f>IF(ISERROR(+'II-F Alloc_Data'!I38/'II-F Alloc_Data'!$N38),0,+'II-F Alloc_Data'!I38/'II-F Alloc_Data'!$N38)</f>
        <v>0.51917908223557052</v>
      </c>
      <c r="J38" s="49">
        <f>IF(ISERROR(+'II-F Alloc_Data'!J38/'II-F Alloc_Data'!$N38),0,+'II-F Alloc_Data'!J38/'II-F Alloc_Data'!$N38)</f>
        <v>0</v>
      </c>
      <c r="K38" s="49">
        <f t="shared" si="6"/>
        <v>0.51917908223557052</v>
      </c>
      <c r="L38" s="49">
        <f>IF(ISERROR(+'II-F Alloc_Data'!L38/'II-F Alloc_Data'!$N38),0,+'II-F Alloc_Data'!L38/'II-F Alloc_Data'!$N38)</f>
        <v>1.5560787538446273E-2</v>
      </c>
      <c r="M38" s="49">
        <f>IF(ISERROR(+'II-F Alloc_Data'!M38/'II-F Alloc_Data'!$N38),0,+'II-F Alloc_Data'!M38/'II-F Alloc_Data'!$N38)</f>
        <v>1.0286846211492508E-2</v>
      </c>
      <c r="N38" s="56">
        <f t="shared" si="0"/>
        <v>0.99999999999999989</v>
      </c>
    </row>
    <row r="39" spans="1:14" x14ac:dyDescent="0.2">
      <c r="A39" s="37">
        <v>25</v>
      </c>
      <c r="C39" s="53" t="s">
        <v>71</v>
      </c>
      <c r="D39" s="58" t="s">
        <v>73</v>
      </c>
      <c r="E39" s="49">
        <f>IF(ISERROR(+'II-F Alloc_Data'!E39/'II-F Alloc_Data'!$N39),0,+'II-F Alloc_Data'!E39/'II-F Alloc_Data'!$N39)</f>
        <v>0</v>
      </c>
      <c r="F39" s="49">
        <f>IF(ISERROR(+'II-F Alloc_Data'!F39/'II-F Alloc_Data'!$N39),0,+'II-F Alloc_Data'!F39/'II-F Alloc_Data'!$N39)</f>
        <v>0.92603381578170541</v>
      </c>
      <c r="G39" s="49">
        <f>IF(ISERROR(+'II-F Alloc_Data'!G39/'II-F Alloc_Data'!$N39),0,+'II-F Alloc_Data'!G39/'II-F Alloc_Data'!$N39)</f>
        <v>0</v>
      </c>
      <c r="H39" s="49">
        <f t="shared" si="5"/>
        <v>0.92603381578170541</v>
      </c>
      <c r="I39" s="49">
        <f>IF(ISERROR(+'II-F Alloc_Data'!I39/'II-F Alloc_Data'!$N39),0,+'II-F Alloc_Data'!I39/'II-F Alloc_Data'!$N39)</f>
        <v>0</v>
      </c>
      <c r="J39" s="49">
        <f>IF(ISERROR(+'II-F Alloc_Data'!J39/'II-F Alloc_Data'!$N39),0,+'II-F Alloc_Data'!J39/'II-F Alloc_Data'!$N39)</f>
        <v>7.3966184218294553E-2</v>
      </c>
      <c r="K39" s="49">
        <f t="shared" si="6"/>
        <v>7.3966184218294553E-2</v>
      </c>
      <c r="L39" s="49">
        <f>IF(ISERROR(+'II-F Alloc_Data'!L39/'II-F Alloc_Data'!$N39),0,+'II-F Alloc_Data'!L39/'II-F Alloc_Data'!$N39)</f>
        <v>0</v>
      </c>
      <c r="M39" s="49">
        <f>IF(ISERROR(+'II-F Alloc_Data'!M39/'II-F Alloc_Data'!$N39),0,+'II-F Alloc_Data'!M39/'II-F Alloc_Data'!$N39)</f>
        <v>0</v>
      </c>
      <c r="N39" s="56">
        <f t="shared" si="0"/>
        <v>1</v>
      </c>
    </row>
    <row r="40" spans="1:14" x14ac:dyDescent="0.2">
      <c r="A40" s="37">
        <v>26</v>
      </c>
      <c r="C40" s="51" t="s">
        <v>76</v>
      </c>
      <c r="D40" s="60" t="s">
        <v>77</v>
      </c>
      <c r="E40" s="49">
        <f>IF(ISERROR(+'II-F Alloc_Data'!E40/'II-F Alloc_Data'!$N40),0,+'II-F Alloc_Data'!E40/'II-F Alloc_Data'!$N40)</f>
        <v>0.23188980474040174</v>
      </c>
      <c r="F40" s="49">
        <f>IF(ISERROR(+'II-F Alloc_Data'!F40/'II-F Alloc_Data'!$N40),0,+'II-F Alloc_Data'!F40/'II-F Alloc_Data'!$N40)</f>
        <v>0</v>
      </c>
      <c r="G40" s="49">
        <f>IF(ISERROR(+'II-F Alloc_Data'!G40/'II-F Alloc_Data'!$N40),0,+'II-F Alloc_Data'!G40/'II-F Alloc_Data'!$N40)</f>
        <v>0</v>
      </c>
      <c r="H40" s="49">
        <f t="shared" si="5"/>
        <v>0.23188980474040174</v>
      </c>
      <c r="I40" s="49">
        <f>IF(ISERROR(+'II-F Alloc_Data'!I40/'II-F Alloc_Data'!$N40),0,+'II-F Alloc_Data'!I40/'II-F Alloc_Data'!$N40)</f>
        <v>0.72420802084382963</v>
      </c>
      <c r="J40" s="49">
        <f>IF(ISERROR(+'II-F Alloc_Data'!J40/'II-F Alloc_Data'!$N40),0,+'II-F Alloc_Data'!J40/'II-F Alloc_Data'!$N40)</f>
        <v>0</v>
      </c>
      <c r="K40" s="49">
        <f t="shared" si="6"/>
        <v>0.72420802084382963</v>
      </c>
      <c r="L40" s="49">
        <f>IF(ISERROR(+'II-F Alloc_Data'!L40/'II-F Alloc_Data'!$N40),0,+'II-F Alloc_Data'!L40/'II-F Alloc_Data'!$N40)</f>
        <v>2.8232386033662203E-2</v>
      </c>
      <c r="M40" s="49">
        <f>IF(ISERROR(+'II-F Alloc_Data'!M40/'II-F Alloc_Data'!$N40),0,+'II-F Alloc_Data'!M40/'II-F Alloc_Data'!$N40)</f>
        <v>1.5669788382106472E-2</v>
      </c>
      <c r="N40" s="56">
        <f t="shared" si="0"/>
        <v>1</v>
      </c>
    </row>
    <row r="41" spans="1:14" x14ac:dyDescent="0.2">
      <c r="A41" s="37">
        <v>27</v>
      </c>
      <c r="C41" s="51" t="s">
        <v>78</v>
      </c>
      <c r="D41" s="60" t="s">
        <v>79</v>
      </c>
      <c r="E41" s="49">
        <f>IF(ISERROR(+'II-F Alloc_Data'!E41/'II-F Alloc_Data'!$N41),0,+'II-F Alloc_Data'!E41/'II-F Alloc_Data'!$N41)</f>
        <v>0.25309311439344795</v>
      </c>
      <c r="F41" s="49">
        <f>IF(ISERROR(+'II-F Alloc_Data'!F41/'II-F Alloc_Data'!$N41),0,+'II-F Alloc_Data'!F41/'II-F Alloc_Data'!$N41)</f>
        <v>0</v>
      </c>
      <c r="G41" s="49">
        <f>IF(ISERROR(+'II-F Alloc_Data'!G41/'II-F Alloc_Data'!$N41),0,+'II-F Alloc_Data'!G41/'II-F Alloc_Data'!$N41)</f>
        <v>0</v>
      </c>
      <c r="H41" s="49">
        <f t="shared" ref="H41" si="7">SUM(E41:G41)</f>
        <v>0.25309311439344795</v>
      </c>
      <c r="I41" s="49">
        <f>IF(ISERROR(+'II-F Alloc_Data'!I41/'II-F Alloc_Data'!$N41),0,+'II-F Alloc_Data'!I41/'II-F Alloc_Data'!$N41)</f>
        <v>0.43935695826151799</v>
      </c>
      <c r="J41" s="49">
        <f>IF(ISERROR(+'II-F Alloc_Data'!J41/'II-F Alloc_Data'!$N41),0,+'II-F Alloc_Data'!J41/'II-F Alloc_Data'!$N41)</f>
        <v>0</v>
      </c>
      <c r="K41" s="49">
        <f t="shared" ref="K41" si="8">SUM(I41:J41)</f>
        <v>0.43935695826151799</v>
      </c>
      <c r="L41" s="49">
        <f>IF(ISERROR(+'II-F Alloc_Data'!L41/'II-F Alloc_Data'!$N41),0,+'II-F Alloc_Data'!L41/'II-F Alloc_Data'!$N41)</f>
        <v>4.1517138799358859E-2</v>
      </c>
      <c r="M41" s="49">
        <f>IF(ISERROR(+'II-F Alloc_Data'!M41/'II-F Alloc_Data'!$N41),0,+'II-F Alloc_Data'!M41/'II-F Alloc_Data'!$N41)</f>
        <v>0.26603278854567519</v>
      </c>
      <c r="N41" s="56">
        <f t="shared" ref="N41" si="9">+H41+K41+L41+M41</f>
        <v>1</v>
      </c>
    </row>
  </sheetData>
  <mergeCells count="1">
    <mergeCell ref="C7:L7"/>
  </mergeCells>
  <phoneticPr fontId="2" type="noConversion"/>
  <printOptions horizontalCentered="1"/>
  <pageMargins left="0.5" right="0.5" top="2.5" bottom="0.5" header="1.25" footer="0"/>
  <pageSetup scale="64" pageOrder="overThenDown" orientation="landscape"/>
  <headerFooter alignWithMargins="0">
    <oddHeader>&amp;R&amp;"Arial,Bold"Schedule II-F
Page 2 of 2&amp;C&amp;B
2025 RATE CASE
ONCOR ELECTRIC DELIVERY COMPANY LLC
II-F  FUNCTIONALIZATION FACTORS
TEST YEAR ENDING DECEMBER 31, 2024
SPONSOR: W. ALAN LEDBETTER &amp;&amp; R. PRACHYL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Link Sheet</vt:lpstr>
      <vt:lpstr>II-F Alloc_Data</vt:lpstr>
      <vt:lpstr>II-F Alloc_Factor</vt:lpstr>
      <vt:lpstr>'II-F Alloc_Data'!Print_Area</vt:lpstr>
      <vt:lpstr>'II-F Alloc_Factor'!Print_Area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Tenorio, Stephanie</cp:lastModifiedBy>
  <cp:lastPrinted>1900-01-01T06:00:00Z</cp:lastPrinted>
  <dcterms:created xsi:type="dcterms:W3CDTF">1900-01-01T06:00:00Z</dcterms:created>
  <dcterms:modified xsi:type="dcterms:W3CDTF">2025-06-25T18:29:34Z</dcterms:modified>
</cp:coreProperties>
</file>