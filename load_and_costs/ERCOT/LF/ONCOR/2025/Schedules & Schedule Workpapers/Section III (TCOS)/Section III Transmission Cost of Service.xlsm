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chedules &amp; Schedule Workpapers\Section III (TCOS)\"/>
    </mc:Choice>
  </mc:AlternateContent>
  <xr:revisionPtr revIDLastSave="0" documentId="13_ncr:1_{59739659-5D5E-4F87-A426-27AC7A492EFF}" xr6:coauthVersionLast="47" xr6:coauthVersionMax="47" xr10:uidLastSave="{00000000-0000-0000-0000-000000000000}"/>
  <bookViews>
    <workbookView xWindow="-120" yWindow="-120" windowWidth="29040" windowHeight="15720" tabRatio="877" activeTab="1" xr2:uid="{00000000-000D-0000-FFFF-FFFF00000000}"/>
  </bookViews>
  <sheets>
    <sheet name="III-A" sheetId="151" r:id="rId1"/>
    <sheet name="III-A-1" sheetId="12" r:id="rId2"/>
    <sheet name="III-B" sheetId="32" r:id="rId3"/>
    <sheet name="III-B-1" sheetId="31" state="hidden" r:id="rId4"/>
    <sheet name="III-B-2" sheetId="30" state="hidden" r:id="rId5"/>
    <sheet name="III-B-3" sheetId="141" state="hidden" r:id="rId6"/>
    <sheet name="III-B-4" sheetId="142" state="hidden" r:id="rId7"/>
    <sheet name="III-B-5" sheetId="143" state="hidden" r:id="rId8"/>
    <sheet name="III-B-6" sheetId="144" state="hidden" r:id="rId9"/>
    <sheet name="III-B-7" sheetId="145" state="hidden" r:id="rId10"/>
    <sheet name="III-B-8" sheetId="146" state="hidden" r:id="rId11"/>
    <sheet name="III-B-9" sheetId="147" state="hidden" r:id="rId12"/>
    <sheet name="III-B-10" sheetId="148" state="hidden" r:id="rId13"/>
    <sheet name="III-B-11" sheetId="149" state="hidden" r:id="rId14"/>
    <sheet name="III-B-12" sheetId="150" state="hidden" r:id="rId15"/>
    <sheet name="III-C" sheetId="29" state="hidden" r:id="rId16"/>
    <sheet name="III-D-1" sheetId="28" state="hidden" r:id="rId17"/>
    <sheet name="III-D-2" sheetId="27" state="hidden" r:id="rId18"/>
    <sheet name="III-D-3" sheetId="26" state="hidden" r:id="rId19"/>
    <sheet name="III-D-4" sheetId="25" state="hidden" r:id="rId20"/>
    <sheet name="III-E-1" sheetId="24" state="hidden" r:id="rId21"/>
    <sheet name="III-E-2" sheetId="23" state="hidden" r:id="rId22"/>
    <sheet name="III-E-3" sheetId="140" state="hidden" r:id="rId23"/>
    <sheet name="III-E-4" sheetId="139" state="hidden" r:id="rId24"/>
    <sheet name="III-E-5" sheetId="22" r:id="rId25"/>
  </sheets>
  <externalReferences>
    <externalReference r:id="rId26"/>
    <externalReference r:id="rId27"/>
    <externalReference r:id="rId28"/>
    <externalReference r:id="rId29"/>
  </externalReferences>
  <definedNames>
    <definedName name="_xlnm.Print_Area" localSheetId="0">'III-A'!$A$11:$H$31</definedName>
    <definedName name="_xlnm.Print_Area" localSheetId="1">'III-A-1'!$A$11:$K$31</definedName>
    <definedName name="_xlnm.Print_Area" localSheetId="2">'III-B'!$A$10:$K$41</definedName>
    <definedName name="_xlnm.Print_Area" localSheetId="3">'III-B-1'!$A$10:$C$14</definedName>
    <definedName name="_xlnm.Print_Area" localSheetId="12">'III-B-10'!$A$10:$C$14</definedName>
    <definedName name="_xlnm.Print_Area" localSheetId="13">'III-B-11'!$A$10:$C$14</definedName>
    <definedName name="_xlnm.Print_Area" localSheetId="14">'III-B-12'!$A$10:$C$14</definedName>
    <definedName name="_xlnm.Print_Area" localSheetId="4">'III-B-2'!$A$10:$C$14</definedName>
    <definedName name="_xlnm.Print_Area" localSheetId="5">'III-B-3'!$A$10:$C$14</definedName>
    <definedName name="_xlnm.Print_Area" localSheetId="6">'III-B-4'!$A$10:$C$14</definedName>
    <definedName name="_xlnm.Print_Area" localSheetId="7">'III-B-5'!$A$10:$C$14</definedName>
    <definedName name="_xlnm.Print_Area" localSheetId="8">'III-B-6'!$A$10:$C$14</definedName>
    <definedName name="_xlnm.Print_Area" localSheetId="9">'III-B-7'!$A$10:$C$14</definedName>
    <definedName name="_xlnm.Print_Area" localSheetId="10">'III-B-8'!$A$10:$C$14</definedName>
    <definedName name="_xlnm.Print_Area" localSheetId="11">'III-B-9'!$A$10:$C$14</definedName>
    <definedName name="_xlnm.Print_Area" localSheetId="15">'III-C'!$A$10:$C$14</definedName>
    <definedName name="_xlnm.Print_Area" localSheetId="16">'III-D-1'!$A$10:$C$14</definedName>
    <definedName name="_xlnm.Print_Area" localSheetId="17">'III-D-2'!$A$10:$C$14</definedName>
    <definedName name="_xlnm.Print_Area" localSheetId="18">'III-D-3'!$A$10:$C$14</definedName>
    <definedName name="_xlnm.Print_Area" localSheetId="19">'III-D-4'!$A$10:$C$14</definedName>
    <definedName name="_xlnm.Print_Area" localSheetId="20">'III-E-1'!$A$10:$C$14</definedName>
    <definedName name="_xlnm.Print_Area" localSheetId="21">'III-E-2'!$A$10:$C$14</definedName>
    <definedName name="_xlnm.Print_Area" localSheetId="22">'III-E-3'!$A$10:$C$14</definedName>
    <definedName name="_xlnm.Print_Area" localSheetId="23">'III-E-4'!$A$10:$C$14</definedName>
    <definedName name="_xlnm.Print_Area" localSheetId="24">'III-E-5'!$A$10:$H$33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1" i="22" l="1"/>
  <c r="J31" i="22"/>
  <c r="I31" i="22"/>
  <c r="H31" i="22"/>
  <c r="G31" i="22"/>
  <c r="F31" i="22"/>
  <c r="E31" i="22"/>
  <c r="K30" i="22"/>
  <c r="J30" i="22"/>
  <c r="I30" i="22"/>
  <c r="H30" i="22"/>
  <c r="G30" i="22"/>
  <c r="F30" i="22"/>
  <c r="E30" i="22"/>
  <c r="K29" i="22"/>
  <c r="J29" i="22"/>
  <c r="I29" i="22"/>
  <c r="H29" i="22"/>
  <c r="G29" i="22"/>
  <c r="F29" i="22"/>
  <c r="E29" i="22"/>
  <c r="K28" i="22"/>
  <c r="J28" i="22"/>
  <c r="I28" i="22"/>
  <c r="H28" i="22"/>
  <c r="G28" i="22"/>
  <c r="F28" i="22"/>
  <c r="E28" i="22"/>
  <c r="K27" i="22"/>
  <c r="J27" i="22"/>
  <c r="I27" i="22"/>
  <c r="H27" i="22"/>
  <c r="G27" i="22"/>
  <c r="F27" i="22"/>
  <c r="E27" i="22"/>
  <c r="K26" i="22"/>
  <c r="J26" i="22"/>
  <c r="I26" i="22"/>
  <c r="H26" i="22"/>
  <c r="G26" i="22"/>
  <c r="F26" i="22"/>
  <c r="E26" i="22"/>
  <c r="K25" i="22"/>
  <c r="J25" i="22"/>
  <c r="I25" i="22"/>
  <c r="H25" i="22"/>
  <c r="G25" i="22"/>
  <c r="F25" i="22"/>
  <c r="E25" i="22"/>
  <c r="K24" i="22"/>
  <c r="J24" i="22"/>
  <c r="I24" i="22"/>
  <c r="H24" i="22"/>
  <c r="G24" i="22"/>
  <c r="F24" i="22"/>
  <c r="E24" i="22"/>
  <c r="K23" i="22"/>
  <c r="J23" i="22"/>
  <c r="I23" i="22"/>
  <c r="H23" i="22"/>
  <c r="G23" i="22"/>
  <c r="F23" i="22"/>
  <c r="E23" i="22"/>
  <c r="K22" i="22"/>
  <c r="J22" i="22"/>
  <c r="I22" i="22"/>
  <c r="H22" i="22"/>
  <c r="G22" i="22"/>
  <c r="F22" i="22"/>
  <c r="E22" i="22"/>
  <c r="K21" i="22"/>
  <c r="J21" i="22"/>
  <c r="I21" i="22"/>
  <c r="H21" i="22"/>
  <c r="G21" i="22"/>
  <c r="F21" i="22"/>
  <c r="E21" i="22"/>
  <c r="K20" i="22"/>
  <c r="J20" i="22"/>
  <c r="I20" i="22"/>
  <c r="H20" i="22"/>
  <c r="G20" i="22"/>
  <c r="F20" i="22"/>
  <c r="E20" i="22"/>
  <c r="K19" i="22"/>
  <c r="J19" i="22"/>
  <c r="I19" i="22"/>
  <c r="H19" i="22"/>
  <c r="G19" i="22"/>
  <c r="F19" i="22"/>
  <c r="E19" i="22"/>
  <c r="K18" i="22"/>
  <c r="J18" i="22"/>
  <c r="I18" i="22"/>
  <c r="H18" i="22"/>
  <c r="G18" i="22"/>
  <c r="F18" i="22"/>
  <c r="E18" i="22"/>
  <c r="K17" i="22"/>
  <c r="J17" i="22"/>
  <c r="I17" i="22"/>
  <c r="H17" i="22"/>
  <c r="G17" i="22"/>
  <c r="F17" i="22"/>
  <c r="E17" i="22"/>
  <c r="J39" i="32"/>
  <c r="I39" i="32"/>
  <c r="H39" i="32"/>
  <c r="G39" i="32"/>
  <c r="F39" i="32"/>
  <c r="D39" i="32"/>
  <c r="J33" i="32"/>
  <c r="I33" i="32"/>
  <c r="H33" i="32"/>
  <c r="G33" i="32"/>
  <c r="F33" i="32"/>
  <c r="E33" i="32"/>
  <c r="D33" i="32"/>
  <c r="J32" i="32"/>
  <c r="I32" i="32"/>
  <c r="H32" i="32"/>
  <c r="G32" i="32"/>
  <c r="F32" i="32"/>
  <c r="E32" i="32"/>
  <c r="D32" i="32"/>
  <c r="J31" i="32"/>
  <c r="I31" i="32"/>
  <c r="H31" i="32"/>
  <c r="G31" i="32"/>
  <c r="F31" i="32"/>
  <c r="E31" i="32"/>
  <c r="D31" i="32"/>
  <c r="J30" i="32"/>
  <c r="I30" i="32"/>
  <c r="H30" i="32"/>
  <c r="G30" i="32"/>
  <c r="F30" i="32"/>
  <c r="E30" i="32"/>
  <c r="D30" i="32"/>
  <c r="J29" i="32"/>
  <c r="I29" i="32"/>
  <c r="H29" i="32"/>
  <c r="G29" i="32"/>
  <c r="F29" i="32"/>
  <c r="E29" i="32"/>
  <c r="D29" i="32"/>
  <c r="J28" i="32"/>
  <c r="I28" i="32"/>
  <c r="H28" i="32"/>
  <c r="G28" i="32"/>
  <c r="F28" i="32"/>
  <c r="E28" i="32"/>
  <c r="D28" i="32"/>
  <c r="J27" i="32"/>
  <c r="I27" i="32"/>
  <c r="H27" i="32"/>
  <c r="G27" i="32"/>
  <c r="F27" i="32"/>
  <c r="E27" i="32"/>
  <c r="D27" i="32"/>
  <c r="J26" i="32"/>
  <c r="I26" i="32"/>
  <c r="H26" i="32"/>
  <c r="G26" i="32"/>
  <c r="F26" i="32"/>
  <c r="E26" i="32"/>
  <c r="D26" i="32"/>
  <c r="J25" i="32"/>
  <c r="I25" i="32"/>
  <c r="H25" i="32"/>
  <c r="G25" i="32"/>
  <c r="F25" i="32"/>
  <c r="E25" i="32"/>
  <c r="D25" i="32"/>
  <c r="J20" i="32"/>
  <c r="I20" i="32"/>
  <c r="H20" i="32"/>
  <c r="G20" i="32"/>
  <c r="F20" i="32"/>
  <c r="E20" i="32"/>
  <c r="D20" i="32"/>
  <c r="J17" i="32"/>
  <c r="I17" i="32"/>
  <c r="H17" i="32"/>
  <c r="G17" i="32"/>
  <c r="F17" i="32"/>
  <c r="E17" i="32"/>
  <c r="D17" i="32"/>
  <c r="J16" i="32"/>
  <c r="I16" i="32"/>
  <c r="H16" i="32"/>
  <c r="G16" i="32"/>
  <c r="F16" i="32"/>
  <c r="E16" i="32"/>
  <c r="D16" i="32"/>
  <c r="J15" i="32"/>
  <c r="I15" i="32"/>
  <c r="H15" i="32"/>
  <c r="G15" i="32"/>
  <c r="F15" i="32"/>
  <c r="E15" i="32"/>
  <c r="D15" i="32"/>
  <c r="J29" i="12"/>
  <c r="I29" i="12"/>
  <c r="H29" i="12"/>
  <c r="G29" i="12"/>
  <c r="F29" i="12"/>
  <c r="E29" i="12"/>
  <c r="D29" i="12"/>
  <c r="J27" i="12"/>
  <c r="I27" i="12"/>
  <c r="H27" i="12"/>
  <c r="G27" i="12"/>
  <c r="F27" i="12"/>
  <c r="E27" i="12"/>
  <c r="D27" i="12"/>
  <c r="J25" i="12"/>
  <c r="I25" i="12"/>
  <c r="H25" i="12"/>
  <c r="G25" i="12"/>
  <c r="F25" i="12"/>
  <c r="E25" i="12"/>
  <c r="D25" i="12"/>
  <c r="J21" i="12"/>
  <c r="I21" i="12"/>
  <c r="H21" i="12"/>
  <c r="G21" i="12"/>
  <c r="F21" i="12"/>
  <c r="E21" i="12"/>
  <c r="D21" i="12"/>
  <c r="J19" i="12"/>
  <c r="I19" i="12"/>
  <c r="H19" i="12"/>
  <c r="G19" i="12"/>
  <c r="F19" i="12"/>
  <c r="E19" i="12"/>
  <c r="D19" i="12"/>
  <c r="J18" i="12"/>
  <c r="I18" i="12"/>
  <c r="H18" i="12"/>
  <c r="G18" i="12"/>
  <c r="F18" i="12"/>
  <c r="E18" i="12"/>
  <c r="D18" i="12"/>
  <c r="J17" i="12"/>
  <c r="I17" i="12"/>
  <c r="H17" i="12"/>
  <c r="G17" i="12"/>
  <c r="F17" i="12"/>
  <c r="E17" i="12"/>
  <c r="D17" i="12"/>
  <c r="J16" i="12"/>
  <c r="I16" i="12"/>
  <c r="H16" i="12"/>
  <c r="G16" i="12"/>
  <c r="F16" i="12"/>
  <c r="E16" i="12"/>
  <c r="D16" i="12"/>
  <c r="G29" i="151"/>
  <c r="F29" i="151"/>
  <c r="E29" i="151"/>
  <c r="D29" i="151"/>
  <c r="G27" i="151"/>
  <c r="F27" i="151"/>
  <c r="E27" i="151"/>
  <c r="D27" i="151"/>
  <c r="G25" i="151"/>
  <c r="F25" i="151"/>
  <c r="E25" i="151"/>
  <c r="D25" i="151"/>
  <c r="G21" i="151"/>
  <c r="F21" i="151"/>
  <c r="E21" i="151"/>
  <c r="D21" i="151"/>
  <c r="G19" i="151"/>
  <c r="F19" i="151"/>
  <c r="E19" i="151"/>
  <c r="D19" i="151"/>
  <c r="G18" i="151"/>
  <c r="F18" i="151"/>
  <c r="E18" i="151"/>
  <c r="D18" i="151"/>
  <c r="G17" i="151"/>
  <c r="F17" i="151"/>
  <c r="E17" i="151"/>
  <c r="D17" i="151"/>
  <c r="G16" i="151"/>
  <c r="F16" i="151"/>
  <c r="E16" i="151"/>
  <c r="D16" i="151"/>
  <c r="A5" i="22"/>
  <c r="A5" i="139"/>
  <c r="A5" i="140"/>
  <c r="A5" i="23"/>
  <c r="A5" i="24"/>
  <c r="A5" i="25"/>
  <c r="A5" i="26"/>
  <c r="A5" i="27"/>
  <c r="A5" i="28"/>
  <c r="A5" i="29"/>
  <c r="A5" i="150"/>
  <c r="A5" i="149"/>
  <c r="A5" i="148"/>
  <c r="A5" i="147"/>
  <c r="A5" i="146"/>
  <c r="A5" i="145"/>
  <c r="A5" i="144"/>
  <c r="A5" i="143"/>
  <c r="A5" i="142"/>
  <c r="A5" i="141"/>
  <c r="A5" i="30"/>
  <c r="A5" i="31"/>
  <c r="A5" i="32"/>
  <c r="A5" i="12"/>
  <c r="A5" i="151"/>
  <c r="A4" i="22"/>
  <c r="A2" i="22"/>
  <c r="A1" i="22"/>
  <c r="A4" i="139"/>
  <c r="A2" i="139"/>
  <c r="A1" i="139"/>
  <c r="A4" i="140"/>
  <c r="A2" i="140"/>
  <c r="A1" i="140"/>
  <c r="A4" i="23"/>
  <c r="A2" i="23"/>
  <c r="A1" i="23"/>
  <c r="A4" i="24"/>
  <c r="A2" i="24"/>
  <c r="A1" i="24"/>
  <c r="A4" i="25"/>
  <c r="A2" i="25"/>
  <c r="A1" i="25"/>
  <c r="A4" i="26"/>
  <c r="A2" i="26"/>
  <c r="A1" i="26"/>
  <c r="A4" i="27"/>
  <c r="A2" i="27"/>
  <c r="A1" i="27"/>
  <c r="A4" i="28"/>
  <c r="A2" i="28"/>
  <c r="A1" i="28"/>
  <c r="A4" i="29"/>
  <c r="A2" i="29"/>
  <c r="A1" i="29"/>
  <c r="A4" i="150"/>
  <c r="A2" i="150"/>
  <c r="A1" i="150"/>
  <c r="A4" i="149"/>
  <c r="A2" i="149"/>
  <c r="A1" i="149"/>
  <c r="A4" i="148"/>
  <c r="A2" i="148"/>
  <c r="A1" i="148"/>
  <c r="A4" i="147"/>
  <c r="A2" i="147"/>
  <c r="A1" i="147"/>
  <c r="A4" i="146"/>
  <c r="A2" i="146"/>
  <c r="A1" i="146"/>
  <c r="A4" i="145"/>
  <c r="A2" i="145"/>
  <c r="A1" i="145"/>
  <c r="A4" i="144"/>
  <c r="A2" i="144"/>
  <c r="A1" i="144"/>
  <c r="A4" i="143"/>
  <c r="A2" i="143"/>
  <c r="A1" i="143"/>
  <c r="A4" i="142"/>
  <c r="A2" i="142"/>
  <c r="A1" i="142"/>
  <c r="A4" i="141"/>
  <c r="A2" i="141"/>
  <c r="A1" i="141"/>
  <c r="A4" i="30"/>
  <c r="A2" i="30"/>
  <c r="A1" i="30"/>
  <c r="A4" i="31"/>
  <c r="A2" i="31"/>
  <c r="A1" i="31"/>
  <c r="A4" i="32"/>
  <c r="A2" i="32"/>
  <c r="A1" i="32"/>
  <c r="A4" i="12"/>
  <c r="A2" i="12"/>
  <c r="A1" i="12"/>
  <c r="A4" i="151"/>
  <c r="A2" i="151"/>
  <c r="A1" i="151"/>
  <c r="J33" i="22" l="1"/>
  <c r="I33" i="22" l="1"/>
  <c r="K33" i="22"/>
  <c r="J18" i="32"/>
  <c r="I18" i="32" l="1"/>
  <c r="H18" i="32"/>
  <c r="F33" i="22" l="1"/>
  <c r="H33" i="22"/>
  <c r="E33" i="22" l="1"/>
  <c r="G33" i="22" l="1"/>
  <c r="E18" i="32" l="1"/>
  <c r="D18" i="32" l="1"/>
  <c r="F18" i="32" l="1"/>
  <c r="G18" i="32" l="1"/>
  <c r="E22" i="32" l="1"/>
  <c r="I22" i="32" l="1"/>
  <c r="H22" i="32" l="1"/>
  <c r="J22" i="32"/>
  <c r="F22" i="32" l="1"/>
  <c r="D22" i="32"/>
  <c r="G22" i="32" l="1"/>
  <c r="E35" i="32" l="1"/>
  <c r="E37" i="32" s="1"/>
  <c r="D23" i="12" l="1"/>
  <c r="D31" i="12" s="1"/>
  <c r="F23" i="12" l="1"/>
  <c r="F31" i="12" s="1"/>
  <c r="E23" i="12"/>
  <c r="E31" i="12" s="1"/>
  <c r="E23" i="151"/>
  <c r="E31" i="151" s="1"/>
  <c r="F23" i="151"/>
  <c r="F31" i="151" s="1"/>
  <c r="G23" i="151"/>
  <c r="G31" i="151" s="1"/>
  <c r="I23" i="12"/>
  <c r="I31" i="12" s="1"/>
  <c r="H23" i="12"/>
  <c r="H31" i="12" s="1"/>
  <c r="J23" i="12"/>
  <c r="J31" i="12" s="1"/>
  <c r="G23" i="12"/>
  <c r="G31" i="12" s="1"/>
  <c r="D23" i="151"/>
  <c r="D31" i="151" s="1"/>
  <c r="D35" i="32"/>
  <c r="D37" i="32" s="1"/>
  <c r="D41" i="32" s="1"/>
  <c r="F35" i="32"/>
  <c r="F37" i="32" s="1"/>
  <c r="F41" i="32" s="1"/>
  <c r="I35" i="32"/>
  <c r="I37" i="32" s="1"/>
  <c r="I41" i="32" s="1"/>
  <c r="J35" i="32" l="1"/>
  <c r="J37" i="32" s="1"/>
  <c r="J41" i="32" s="1"/>
  <c r="H35" i="32"/>
  <c r="H37" i="32" s="1"/>
  <c r="H41" i="32" s="1"/>
  <c r="E41" i="32"/>
  <c r="G35" i="32"/>
  <c r="G37" i="32" s="1"/>
  <c r="G41" i="32" s="1"/>
</calcChain>
</file>

<file path=xl/sharedStrings.xml><?xml version="1.0" encoding="utf-8"?>
<sst xmlns="http://schemas.openxmlformats.org/spreadsheetml/2006/main" count="254" uniqueCount="156">
  <si>
    <t>III-A-1 SUMMARY OF TOTAL COST OF SERVICE BY FUNCTION</t>
  </si>
  <si>
    <t>III-B RATE BASE BY FUNCTION</t>
  </si>
  <si>
    <t>III-B-1 ORIGINAL COST OF UTILITY PLANT</t>
  </si>
  <si>
    <t>III-B-3 COMMUNICATION EQUIPMENT</t>
  </si>
  <si>
    <t>III-B-2 GENERAL PLANT</t>
  </si>
  <si>
    <t>III-B-4 CONSTRUCTION WORK IN PROGRESS</t>
  </si>
  <si>
    <t>III-B-5 ACCUMULATED DEPRECIATION</t>
  </si>
  <si>
    <t>III-B-6 PLANT HELD FOR FUTURE USE</t>
  </si>
  <si>
    <t>III-B-7 ACCUMULATED PROVISION BALANCES</t>
  </si>
  <si>
    <t>III-B-8 MATERIALS AND SUPPLIES</t>
  </si>
  <si>
    <t>III-B-9 CASH WORKING CAPITAL</t>
  </si>
  <si>
    <t>III-B-10 PREPAYMENTS</t>
  </si>
  <si>
    <t>III-B-11 OTHER RATE BASE ITEMS</t>
  </si>
  <si>
    <t>III-B-12 REGULATORY ASSETS</t>
  </si>
  <si>
    <t>III-C RATE OF RETURN</t>
  </si>
  <si>
    <t>III-D-3 PAYROLL EXPENSES</t>
  </si>
  <si>
    <t>III-D-4 SUMMARY OF EXCLUSIONS FROM THE REPORTING PERIOD</t>
  </si>
  <si>
    <t>III-E-1 DEPRECIATION EXPENSE</t>
  </si>
  <si>
    <t>III-E-2 TAXES OTHER THAN INCOME TAXES</t>
  </si>
  <si>
    <t>III-E-3 FEDERAL INCOME TAXES</t>
  </si>
  <si>
    <t>III-E-4 OTHER EXPENSES</t>
  </si>
  <si>
    <t>III-E-5 REVENUE CREDITS</t>
  </si>
  <si>
    <t>See Schedule II-C</t>
  </si>
  <si>
    <t>III-D-1 OPERATION AND MAINTENANCE EXPENSE</t>
  </si>
  <si>
    <t>III-D-2 ADMINISTRATIVE AND GENERAL EXPENSE</t>
  </si>
  <si>
    <t>Regulated</t>
  </si>
  <si>
    <t>Known and</t>
  </si>
  <si>
    <t>Adjusted</t>
  </si>
  <si>
    <t>Transmission</t>
  </si>
  <si>
    <t>Line</t>
  </si>
  <si>
    <t>Reference</t>
  </si>
  <si>
    <t>T&amp;D</t>
  </si>
  <si>
    <t>Measurable</t>
  </si>
  <si>
    <t>Function</t>
  </si>
  <si>
    <t>No</t>
  </si>
  <si>
    <t>Description</t>
  </si>
  <si>
    <t>Schedule</t>
  </si>
  <si>
    <t>Electric</t>
  </si>
  <si>
    <t>Adjustments</t>
  </si>
  <si>
    <t>(TRAN)</t>
  </si>
  <si>
    <t>(a)</t>
  </si>
  <si>
    <t>(b)</t>
  </si>
  <si>
    <t>(c)</t>
  </si>
  <si>
    <t>(d)</t>
  </si>
  <si>
    <t>(e)</t>
  </si>
  <si>
    <t>(f)</t>
  </si>
  <si>
    <t>Operating and Maintenance Expenses</t>
  </si>
  <si>
    <t>II-D-2</t>
  </si>
  <si>
    <t>Depreciation &amp; Amortization Expenses</t>
  </si>
  <si>
    <t>II-E-1</t>
  </si>
  <si>
    <t>Taxes Other Than Federal Income Tax</t>
  </si>
  <si>
    <t>II-E-2</t>
  </si>
  <si>
    <t>Federal Income Tax</t>
  </si>
  <si>
    <t>II-E-3</t>
  </si>
  <si>
    <t>Return on  Rate Base</t>
  </si>
  <si>
    <t>II-B</t>
  </si>
  <si>
    <t>TOTAL COST OF SERVICE</t>
  </si>
  <si>
    <t>Decommissioning Expense</t>
  </si>
  <si>
    <t>Other Non-Bypassable Charges</t>
  </si>
  <si>
    <t>Minus:  Other Revenues</t>
  </si>
  <si>
    <t>II-E-5</t>
  </si>
  <si>
    <t>TOTAL ADJUSTED REVENUE REQUIREMENT</t>
  </si>
  <si>
    <t>Known</t>
  </si>
  <si>
    <t>Change</t>
  </si>
  <si>
    <t>TRAN</t>
  </si>
  <si>
    <t>Original Cost of Plant</t>
  </si>
  <si>
    <t>II-B-1</t>
  </si>
  <si>
    <t>General Plant</t>
  </si>
  <si>
    <t>II-B-2</t>
  </si>
  <si>
    <t>Communication Equipment</t>
  </si>
  <si>
    <t>II-B-3</t>
  </si>
  <si>
    <t>Total Plant</t>
  </si>
  <si>
    <t>Minus:  Accumulated Depreciation</t>
  </si>
  <si>
    <t>II-B-5</t>
  </si>
  <si>
    <t>Net Plant In Service</t>
  </si>
  <si>
    <t>Other Rate Base Items:</t>
  </si>
  <si>
    <t>CWIP</t>
  </si>
  <si>
    <t>II-B-4</t>
  </si>
  <si>
    <t>Plant Held for Future Use</t>
  </si>
  <si>
    <t>II-B-6</t>
  </si>
  <si>
    <t>Customer Deposits</t>
  </si>
  <si>
    <t>II-B-7</t>
  </si>
  <si>
    <t>Materials &amp; Supplies</t>
  </si>
  <si>
    <t>II-B-8</t>
  </si>
  <si>
    <t>Cash Working Capital</t>
  </si>
  <si>
    <t>II-B-9</t>
  </si>
  <si>
    <t>Prepayments</t>
  </si>
  <si>
    <t>II-B-10</t>
  </si>
  <si>
    <t>II-E-3.7</t>
  </si>
  <si>
    <t>Regulatory Assets</t>
  </si>
  <si>
    <t>II-B-12</t>
  </si>
  <si>
    <t>Subtotal</t>
  </si>
  <si>
    <t>TOTAL RATE BASE</t>
  </si>
  <si>
    <t>Rate of Return</t>
  </si>
  <si>
    <t>RETURN ON RATE BASE</t>
  </si>
  <si>
    <t>See Schedule II-B-1, Column (m), for Transmission amounts.</t>
  </si>
  <si>
    <t>See Schedule II-B-2, Column (m), for Transmission amounts.</t>
  </si>
  <si>
    <t>See Schedule II-B-3, Column (m), for Transmission amounts.</t>
  </si>
  <si>
    <t>See Schedule II-B-4, Column (m), for Transmission amounts.</t>
  </si>
  <si>
    <t>See Schedule II-B-5, Column (m), for Transmission amounts.</t>
  </si>
  <si>
    <t>See Schedule II-B-6, Column (m), for Transmission amounts.</t>
  </si>
  <si>
    <t>See Schedule II-B-7, Column (m), for Transmission amounts.</t>
  </si>
  <si>
    <t>See Schedule II-B-8, Column (m), for Transmission amounts.</t>
  </si>
  <si>
    <t>See Schedule II-B-9, Column (m), for Transmission amounts.</t>
  </si>
  <si>
    <t>See Schedule II-B-10, Column (m), for Transmission amounts.</t>
  </si>
  <si>
    <t>See Schedule II-B-11, Column (m), for Transmission amounts.</t>
  </si>
  <si>
    <t>See Schedule II-B-12, Column (m), for Transmission amounts.</t>
  </si>
  <si>
    <t>See Schedule II-D-1, Column (n), for Transmission amounts.</t>
  </si>
  <si>
    <t>See Schedule II-D-2, Column (n), for Transmission amounts.</t>
  </si>
  <si>
    <t>See Schedule II-D-3, Column (n), for Transmission amounts.</t>
  </si>
  <si>
    <t>See Schedule II-D-4, Column (m), for Transmission amounts.</t>
  </si>
  <si>
    <t>See Schedule II-E-1, Column (m), for Transmission amounts.</t>
  </si>
  <si>
    <t>See Schedule II-E-2, Column (m), for Transmission amounts.</t>
  </si>
  <si>
    <t>See Schedule II-E-3, Column (m), for Transmission amounts.</t>
  </si>
  <si>
    <t>See Schedule II-E-4, Column (m), for Transmission amounts.</t>
  </si>
  <si>
    <t>Other Rate Base Items</t>
  </si>
  <si>
    <t>Accumulated Deferred Income Taxes</t>
  </si>
  <si>
    <t>II-B-11</t>
  </si>
  <si>
    <t>(g)</t>
  </si>
  <si>
    <t>Account</t>
  </si>
  <si>
    <t>Number</t>
  </si>
  <si>
    <t>Other Revenues:</t>
  </si>
  <si>
    <t>Non-Electric Revenue</t>
  </si>
  <si>
    <t>A450</t>
  </si>
  <si>
    <t>Forfeited Discounts</t>
  </si>
  <si>
    <t>A451</t>
  </si>
  <si>
    <t>Misc. Service Revenues - Discretionary</t>
  </si>
  <si>
    <t>Misc. Service Revenues - Other</t>
  </si>
  <si>
    <t>A454</t>
  </si>
  <si>
    <t>Rent from Property:</t>
  </si>
  <si>
    <t>Pole Contacts</t>
  </si>
  <si>
    <t>Fiber Optics</t>
  </si>
  <si>
    <t>Antenna Leases</t>
  </si>
  <si>
    <t>A456</t>
  </si>
  <si>
    <t>Other Electric Revenues</t>
  </si>
  <si>
    <t>TOTAL OTHER REVENUES</t>
  </si>
  <si>
    <t>A442</t>
  </si>
  <si>
    <t>Power Factor</t>
  </si>
  <si>
    <t>III-A SUMMARY OF WHOLESALE TRANSMISSION COST OF SERVICE</t>
  </si>
  <si>
    <t>NTU</t>
  </si>
  <si>
    <t>DC</t>
  </si>
  <si>
    <t>TRANS</t>
  </si>
  <si>
    <t>TIE</t>
  </si>
  <si>
    <t>CONSOL</t>
  </si>
  <si>
    <t>(NTU-TRAN)</t>
  </si>
  <si>
    <t>(h)</t>
  </si>
  <si>
    <t>(i)</t>
  </si>
  <si>
    <t>Consol</t>
  </si>
  <si>
    <t>Tie</t>
  </si>
  <si>
    <t>(j)</t>
  </si>
  <si>
    <t>System Resiliency Plan</t>
  </si>
  <si>
    <t>Rent from Property and ROW</t>
  </si>
  <si>
    <t>Total Cost of Ownership - NTUSU</t>
  </si>
  <si>
    <t>Total Cost of Ownership - Sharyland</t>
  </si>
  <si>
    <t>DC Ties with Investment</t>
  </si>
  <si>
    <t xml:space="preserve">         DC Ties without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</si>
</sst>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u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133">
    <xf numFmtId="0" fontId="0" fillId="0" borderId="0" xfId="0"/>
    <xf numFmtId="0" fontId="4" fillId="0" borderId="0" xfId="0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Border="1" applyAlignment="1">
      <alignment horizontal="center"/>
    </xf>
    <xf numFmtId="0" fontId="3" fillId="0" borderId="0" xfId="0" applyFont="1" applyFill="1" applyBorder="1"/>
    <xf numFmtId="0" fontId="3" fillId="0" borderId="0" xfId="0" applyFont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/>
    <xf numFmtId="0" fontId="3" fillId="0" borderId="0" xfId="0" quotePrefix="1" applyFont="1" applyFill="1" applyBorder="1"/>
    <xf numFmtId="164" fontId="3" fillId="0" borderId="0" xfId="1" applyNumberFormat="1" applyFont="1" applyFill="1" applyBorder="1"/>
    <xf numFmtId="0" fontId="3" fillId="0" borderId="0" xfId="0" applyFont="1" applyFill="1" applyBorder="1" applyAlignment="1">
      <alignment horizontal="center"/>
    </xf>
    <xf numFmtId="0" fontId="9" fillId="0" borderId="0" xfId="2" applyFont="1" applyBorder="1" applyAlignment="1" applyProtection="1"/>
    <xf numFmtId="0" fontId="3" fillId="0" borderId="0" xfId="0" applyFont="1" applyBorder="1" applyAlignment="1">
      <alignment horizontal="centerContinuous"/>
    </xf>
    <xf numFmtId="0" fontId="3" fillId="0" borderId="0" xfId="0" applyFont="1" applyFill="1" applyBorder="1" applyAlignment="1">
      <alignment horizontal="centerContinuous"/>
    </xf>
    <xf numFmtId="0" fontId="10" fillId="0" borderId="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64" fontId="8" fillId="0" borderId="0" xfId="1" applyNumberFormat="1" applyFont="1" applyFill="1" applyBorder="1"/>
    <xf numFmtId="164" fontId="3" fillId="0" borderId="0" xfId="1" quotePrefix="1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right"/>
    </xf>
    <xf numFmtId="0" fontId="10" fillId="0" borderId="0" xfId="0" applyFont="1" applyFill="1" applyBorder="1" applyAlignment="1">
      <alignment horizontal="center"/>
    </xf>
    <xf numFmtId="0" fontId="3" fillId="0" borderId="0" xfId="0" quotePrefix="1" applyFont="1" applyFill="1" applyBorder="1" applyAlignment="1">
      <alignment horizontal="left"/>
    </xf>
    <xf numFmtId="0" fontId="3" fillId="0" borderId="0" xfId="0" quotePrefix="1" applyFont="1" applyFill="1" applyBorder="1" applyAlignment="1">
      <alignment horizontal="center"/>
    </xf>
    <xf numFmtId="164" fontId="8" fillId="0" borderId="0" xfId="1" applyNumberFormat="1" applyFont="1" applyFill="1" applyBorder="1" applyAlignment="1">
      <alignment horizontal="center"/>
    </xf>
    <xf numFmtId="0" fontId="4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10" fillId="0" borderId="0" xfId="0" quotePrefix="1" applyFont="1" applyFill="1" applyBorder="1" applyAlignment="1">
      <alignment horizontal="center"/>
    </xf>
    <xf numFmtId="0" fontId="3" fillId="0" borderId="0" xfId="0" applyFont="1" applyFill="1"/>
    <xf numFmtId="0" fontId="7" fillId="0" borderId="0" xfId="0" applyFont="1" applyFill="1" applyBorder="1"/>
    <xf numFmtId="0" fontId="3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0" fontId="3" fillId="0" borderId="0" xfId="0" quotePrefix="1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3" fillId="0" borderId="0" xfId="0" quotePrefix="1" applyFon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8" fillId="0" borderId="0" xfId="0" quotePrefix="1" applyFont="1" applyFill="1" applyBorder="1" applyAlignment="1" applyProtection="1">
      <alignment horizontal="left"/>
      <protection locked="0"/>
    </xf>
    <xf numFmtId="164" fontId="8" fillId="0" borderId="0" xfId="1" applyNumberFormat="1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164" fontId="3" fillId="0" borderId="0" xfId="1" applyNumberFormat="1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right"/>
      <protection locked="0"/>
    </xf>
    <xf numFmtId="0" fontId="3" fillId="0" borderId="0" xfId="0" applyFont="1" applyFill="1" applyBorder="1" applyAlignment="1" applyProtection="1">
      <alignment horizontal="right"/>
      <protection locked="0"/>
    </xf>
    <xf numFmtId="164" fontId="3" fillId="0" borderId="0" xfId="1" quotePrefix="1" applyNumberFormat="1" applyFont="1" applyFill="1" applyBorder="1" applyAlignment="1" applyProtection="1">
      <alignment horizontal="center"/>
      <protection locked="0"/>
    </xf>
    <xf numFmtId="0" fontId="3" fillId="0" borderId="0" xfId="0" quotePrefix="1" applyFont="1" applyFill="1" applyBorder="1" applyAlignment="1" applyProtection="1">
      <alignment horizontal="left"/>
      <protection locked="0"/>
    </xf>
    <xf numFmtId="0" fontId="8" fillId="0" borderId="0" xfId="0" quotePrefix="1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164" fontId="5" fillId="0" borderId="0" xfId="1" applyNumberFormat="1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164" fontId="4" fillId="0" borderId="0" xfId="1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164" fontId="8" fillId="0" borderId="0" xfId="1" quotePrefix="1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9" fillId="0" borderId="0" xfId="2" applyFont="1" applyFill="1" applyBorder="1" applyAlignment="1" applyProtection="1">
      <protection locked="0"/>
    </xf>
    <xf numFmtId="14" fontId="8" fillId="0" borderId="0" xfId="0" applyNumberFormat="1" applyFont="1" applyFill="1" applyBorder="1" applyAlignment="1">
      <alignment horizontal="left"/>
    </xf>
    <xf numFmtId="0" fontId="8" fillId="0" borderId="0" xfId="0" applyFont="1" applyBorder="1"/>
    <xf numFmtId="0" fontId="8" fillId="0" borderId="0" xfId="0" applyFont="1"/>
    <xf numFmtId="0" fontId="3" fillId="0" borderId="0" xfId="0" applyFont="1" applyBorder="1" applyAlignment="1">
      <alignment vertical="center"/>
    </xf>
    <xf numFmtId="0" fontId="8" fillId="0" borderId="1" xfId="0" applyFont="1" applyFill="1" applyBorder="1"/>
    <xf numFmtId="0" fontId="8" fillId="0" borderId="1" xfId="0" applyFont="1" applyFill="1" applyBorder="1" applyAlignment="1">
      <alignment horizontal="center"/>
    </xf>
    <xf numFmtId="0" fontId="3" fillId="0" borderId="0" xfId="0" quotePrefix="1" applyFont="1" applyBorder="1" applyAlignment="1">
      <alignment horizontal="center"/>
    </xf>
    <xf numFmtId="37" fontId="3" fillId="0" borderId="0" xfId="0" quotePrefix="1" applyNumberFormat="1" applyFont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4" fillId="0" borderId="0" xfId="0" applyFont="1" applyBorder="1"/>
    <xf numFmtId="164" fontId="3" fillId="0" borderId="0" xfId="1" applyNumberFormat="1" applyFont="1" applyBorder="1"/>
    <xf numFmtId="164" fontId="3" fillId="0" borderId="0" xfId="1" applyNumberFormat="1" applyFont="1"/>
    <xf numFmtId="0" fontId="3" fillId="0" borderId="0" xfId="0" quotePrefix="1" applyFont="1" applyBorder="1" applyAlignment="1">
      <alignment horizontal="left"/>
    </xf>
    <xf numFmtId="164" fontId="3" fillId="0" borderId="0" xfId="1" quotePrefix="1" applyNumberFormat="1" applyFont="1" applyBorder="1" applyAlignment="1">
      <alignment horizontal="center"/>
    </xf>
    <xf numFmtId="164" fontId="3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1" applyNumberFormat="1" applyFont="1" applyBorder="1" applyAlignment="1">
      <alignment horizontal="center"/>
    </xf>
    <xf numFmtId="0" fontId="8" fillId="0" borderId="0" xfId="0" quotePrefix="1" applyFont="1" applyFill="1" applyBorder="1" applyAlignment="1">
      <alignment horizontal="left"/>
    </xf>
    <xf numFmtId="0" fontId="8" fillId="0" borderId="0" xfId="0" quotePrefix="1" applyFont="1" applyFill="1" applyBorder="1" applyAlignment="1">
      <alignment horizontal="center"/>
    </xf>
    <xf numFmtId="164" fontId="8" fillId="0" borderId="0" xfId="1" applyNumberFormat="1" applyFont="1"/>
    <xf numFmtId="164" fontId="8" fillId="0" borderId="0" xfId="0" applyNumberFormat="1" applyFont="1"/>
    <xf numFmtId="0" fontId="8" fillId="0" borderId="1" xfId="0" applyFont="1" applyFill="1" applyBorder="1" applyAlignment="1">
      <alignment horizontal="fill"/>
    </xf>
    <xf numFmtId="0" fontId="8" fillId="0" borderId="2" xfId="0" applyFont="1" applyFill="1" applyBorder="1"/>
    <xf numFmtId="0" fontId="8" fillId="0" borderId="4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3" xfId="0" applyFont="1" applyBorder="1"/>
    <xf numFmtId="0" fontId="11" fillId="0" borderId="0" xfId="0" applyFont="1" applyBorder="1"/>
    <xf numFmtId="0" fontId="11" fillId="0" borderId="0" xfId="0" applyFont="1" applyBorder="1" applyAlignment="1">
      <alignment horizontal="center"/>
    </xf>
    <xf numFmtId="164" fontId="3" fillId="0" borderId="0" xfId="1" applyNumberFormat="1" applyFont="1" applyBorder="1" applyProtection="1">
      <protection locked="0"/>
    </xf>
    <xf numFmtId="37" fontId="3" fillId="0" borderId="0" xfId="1" applyNumberFormat="1" applyFont="1" applyBorder="1" applyProtection="1">
      <protection locked="0"/>
    </xf>
    <xf numFmtId="164" fontId="8" fillId="0" borderId="0" xfId="1" applyNumberFormat="1" applyFont="1" applyBorder="1" applyProtection="1">
      <protection locked="0"/>
    </xf>
    <xf numFmtId="164" fontId="3" fillId="0" borderId="5" xfId="1" quotePrefix="1" applyNumberFormat="1" applyFont="1" applyBorder="1" applyAlignment="1">
      <alignment horizontal="fill"/>
    </xf>
    <xf numFmtId="164" fontId="3" fillId="0" borderId="5" xfId="1" applyNumberFormat="1" applyFont="1" applyBorder="1" applyProtection="1">
      <protection locked="0"/>
    </xf>
    <xf numFmtId="0" fontId="11" fillId="0" borderId="0" xfId="0" applyFont="1" applyBorder="1" applyAlignment="1">
      <alignment horizontal="left"/>
    </xf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center"/>
    </xf>
    <xf numFmtId="164" fontId="3" fillId="0" borderId="5" xfId="1" applyNumberFormat="1" applyFont="1" applyFill="1" applyBorder="1" applyProtection="1">
      <protection locked="0"/>
    </xf>
    <xf numFmtId="0" fontId="8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10" fontId="3" fillId="0" borderId="0" xfId="3" applyNumberFormat="1" applyFont="1" applyFill="1" applyBorder="1" applyProtection="1">
      <protection locked="0"/>
    </xf>
    <xf numFmtId="0" fontId="1" fillId="0" borderId="4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42" fontId="3" fillId="0" borderId="0" xfId="1" applyNumberFormat="1" applyFont="1" applyBorder="1"/>
    <xf numFmtId="42" fontId="3" fillId="0" borderId="0" xfId="1" quotePrefix="1" applyNumberFormat="1" applyFont="1" applyBorder="1" applyAlignment="1">
      <alignment horizontal="center"/>
    </xf>
    <xf numFmtId="42" fontId="8" fillId="0" borderId="0" xfId="1" applyNumberFormat="1" applyFont="1" applyBorder="1"/>
    <xf numFmtId="42" fontId="8" fillId="0" borderId="0" xfId="1" quotePrefix="1" applyNumberFormat="1" applyFont="1" applyBorder="1" applyAlignment="1">
      <alignment horizontal="center"/>
    </xf>
    <xf numFmtId="164" fontId="1" fillId="0" borderId="0" xfId="1" applyNumberFormat="1" applyFont="1" applyFill="1" applyBorder="1"/>
    <xf numFmtId="42" fontId="3" fillId="0" borderId="0" xfId="1" applyNumberFormat="1" applyFont="1" applyBorder="1" applyProtection="1">
      <protection locked="0"/>
    </xf>
    <xf numFmtId="42" fontId="3" fillId="0" borderId="0" xfId="0" applyNumberFormat="1" applyFont="1" applyBorder="1"/>
    <xf numFmtId="42" fontId="8" fillId="0" borderId="5" xfId="1" applyNumberFormat="1" applyFont="1" applyBorder="1" applyProtection="1">
      <protection locked="0"/>
    </xf>
    <xf numFmtId="42" fontId="8" fillId="0" borderId="0" xfId="1" applyNumberFormat="1" applyFont="1" applyBorder="1" applyProtection="1">
      <protection locked="0"/>
    </xf>
    <xf numFmtId="0" fontId="1" fillId="0" borderId="0" xfId="0" applyFont="1" applyFill="1" applyBorder="1"/>
    <xf numFmtId="0" fontId="1" fillId="0" borderId="3" xfId="0" applyFont="1" applyFill="1" applyBorder="1"/>
    <xf numFmtId="0" fontId="1" fillId="0" borderId="3" xfId="0" quotePrefix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42" fontId="1" fillId="0" borderId="0" xfId="1" applyNumberFormat="1" applyFont="1" applyFill="1" applyBorder="1"/>
    <xf numFmtId="42" fontId="8" fillId="0" borderId="0" xfId="1" applyNumberFormat="1" applyFont="1" applyFill="1" applyBorder="1"/>
    <xf numFmtId="0" fontId="1" fillId="0" borderId="0" xfId="0" applyFont="1" applyFill="1" applyBorder="1" applyAlignment="1">
      <alignment horizontal="left"/>
    </xf>
    <xf numFmtId="164" fontId="1" fillId="0" borderId="5" xfId="1" applyNumberFormat="1" applyFont="1" applyFill="1" applyBorder="1"/>
    <xf numFmtId="41" fontId="1" fillId="0" borderId="0" xfId="1" applyNumberFormat="1" applyFont="1" applyFill="1" applyBorder="1"/>
    <xf numFmtId="164" fontId="3" fillId="0" borderId="0" xfId="1" quotePrefix="1" applyNumberFormat="1" applyFont="1" applyBorder="1" applyAlignment="1">
      <alignment horizontal="fill"/>
    </xf>
    <xf numFmtId="0" fontId="1" fillId="0" borderId="0" xfId="0" applyFont="1"/>
    <xf numFmtId="0" fontId="1" fillId="0" borderId="0" xfId="0" applyFont="1" applyAlignment="1">
      <alignment horizontal="left" indent="3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17</xdr:row>
          <xdr:rowOff>38100</xdr:rowOff>
        </xdr:from>
        <xdr:to>
          <xdr:col>17</xdr:col>
          <xdr:colOff>600075</xdr:colOff>
          <xdr:row>21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C7502A0-136C-4550-8E57-28B063C35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Schedules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chedule%20Heading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%20(Summary)/Schedule%20I-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B%20(Rate%20Base)/Schedule%20II-B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E%20(Other%20Items)/Schedule%20II-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2024</v>
          </cell>
        </row>
        <row r="9">
          <cell r="A9" t="str">
            <v>2025 RATE CASE</v>
          </cell>
        </row>
      </sheetData>
      <sheetData sheetId="1">
        <row r="156">
          <cell r="D156" t="str">
            <v>R. PRACHYL &amp;&amp; W. ALAN LEDBETTER</v>
          </cell>
        </row>
        <row r="157">
          <cell r="D157" t="str">
            <v>R. PRACHYL &amp;&amp; W. ALAN LEDBETTER</v>
          </cell>
        </row>
        <row r="158">
          <cell r="D158" t="str">
            <v>W. ALAN LEDBETTER</v>
          </cell>
        </row>
        <row r="159">
          <cell r="D159" t="str">
            <v>R. PRACHYL</v>
          </cell>
        </row>
        <row r="162">
          <cell r="D162" t="str">
            <v>M. TROXLE</v>
          </cell>
        </row>
        <row r="163">
          <cell r="D163" t="str">
            <v>M. TROXLE</v>
          </cell>
        </row>
        <row r="164">
          <cell r="D164" t="str">
            <v>M. TROXLE</v>
          </cell>
        </row>
        <row r="165">
          <cell r="D165" t="str">
            <v>D. NELSON</v>
          </cell>
        </row>
        <row r="166">
          <cell r="D166" t="str">
            <v>D. NELSON</v>
          </cell>
        </row>
        <row r="167">
          <cell r="D167" t="str">
            <v>M. TROXLE</v>
          </cell>
        </row>
        <row r="168">
          <cell r="D168" t="str">
            <v>M. TROXLE</v>
          </cell>
        </row>
        <row r="169">
          <cell r="D169" t="str">
            <v>D. NELSON</v>
          </cell>
        </row>
        <row r="172">
          <cell r="D172" t="str">
            <v>V. SNOW &amp;&amp; R. PRACHYL</v>
          </cell>
        </row>
        <row r="173">
          <cell r="D173" t="str">
            <v>V. SNOW &amp;&amp; R. PRACHYL</v>
          </cell>
        </row>
        <row r="174">
          <cell r="D174" t="str">
            <v>V. SNOW</v>
          </cell>
        </row>
        <row r="175">
          <cell r="D175" t="str">
            <v>V. SNOW</v>
          </cell>
        </row>
        <row r="176">
          <cell r="D176" t="str">
            <v>V. SNOW &amp;&amp; R. PRACHYL</v>
          </cell>
        </row>
        <row r="177">
          <cell r="D177" t="str">
            <v>V. SNOW &amp;&amp; R. PRACHYL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-A"/>
      <sheetName val="I-A-1"/>
      <sheetName val="I-A-2"/>
    </sheetNames>
    <sheetDataSet>
      <sheetData sheetId="0"/>
      <sheetData sheetId="1"/>
      <sheetData sheetId="2">
        <row r="16">
          <cell r="D16">
            <v>3304990861.8000002</v>
          </cell>
          <cell r="E16">
            <v>493586912.30000001</v>
          </cell>
          <cell r="F16">
            <v>3798577774.0999999</v>
          </cell>
          <cell r="G16">
            <v>281417380.88999999</v>
          </cell>
          <cell r="H16">
            <v>8707411.9800000004</v>
          </cell>
          <cell r="I16">
            <v>475836.37</v>
          </cell>
          <cell r="J16">
            <v>290600629.24000001</v>
          </cell>
        </row>
        <row r="17">
          <cell r="D17">
            <v>1106591960.6300001</v>
          </cell>
          <cell r="E17">
            <v>139113714.87</v>
          </cell>
          <cell r="F17">
            <v>1245705675.5000002</v>
          </cell>
          <cell r="G17">
            <v>440521727.81</v>
          </cell>
          <cell r="H17">
            <v>39098651.869999997</v>
          </cell>
          <cell r="I17">
            <v>724347.19000000006</v>
          </cell>
          <cell r="J17">
            <v>480344726.87</v>
          </cell>
        </row>
        <row r="18">
          <cell r="D18">
            <v>602990546.21000004</v>
          </cell>
          <cell r="E18">
            <v>40120343.340000004</v>
          </cell>
          <cell r="F18">
            <v>643110889.54999995</v>
          </cell>
          <cell r="G18">
            <v>133395590.33</v>
          </cell>
          <cell r="H18">
            <v>13570049.27</v>
          </cell>
          <cell r="I18">
            <v>116226.7</v>
          </cell>
          <cell r="J18">
            <v>147081866.29999998</v>
          </cell>
        </row>
        <row r="19">
          <cell r="D19">
            <v>176438072.97</v>
          </cell>
          <cell r="E19">
            <v>97745867.890000001</v>
          </cell>
          <cell r="F19">
            <v>274183940.86000001</v>
          </cell>
          <cell r="G19">
            <v>119092626.45</v>
          </cell>
          <cell r="H19">
            <v>9497732.6099999994</v>
          </cell>
          <cell r="I19">
            <v>86769.75</v>
          </cell>
          <cell r="J19">
            <v>128677128.81</v>
          </cell>
        </row>
        <row r="21">
          <cell r="D21">
            <v>1991618366.5711608</v>
          </cell>
          <cell r="E21">
            <v>-14903610.487025738</v>
          </cell>
          <cell r="F21">
            <v>1976714756.0841351</v>
          </cell>
          <cell r="G21">
            <v>827295386.4911598</v>
          </cell>
          <cell r="H21">
            <v>82898105.901165023</v>
          </cell>
          <cell r="I21">
            <v>690085.35362699884</v>
          </cell>
          <cell r="J21">
            <v>910883577.74595177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9">
          <cell r="D29">
            <v>94183571.75</v>
          </cell>
          <cell r="E29">
            <v>32962474.130000003</v>
          </cell>
          <cell r="F29">
            <v>127146045.88</v>
          </cell>
          <cell r="G29">
            <v>44003243.119999997</v>
          </cell>
          <cell r="H29">
            <v>373328.27</v>
          </cell>
          <cell r="I29">
            <v>1755145.34</v>
          </cell>
          <cell r="J29">
            <v>46131716.730000004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B"/>
      <sheetName val="II-B-1"/>
      <sheetName val="II-B-1a"/>
      <sheetName val="II-B-2"/>
      <sheetName val="II-B-3"/>
      <sheetName val="II-B-4"/>
      <sheetName val="II-B-5"/>
      <sheetName val="II-B-6"/>
      <sheetName val="II-B-7"/>
      <sheetName val="II-B-8"/>
      <sheetName val="II-B-9"/>
      <sheetName val="II-B-10"/>
      <sheetName val="II-B-11"/>
      <sheetName val="II-B-12"/>
      <sheetName val="II-B-13"/>
      <sheetName val="II-B-14"/>
      <sheetName val="II-B-14 Attachment 1"/>
      <sheetName val="II-B-15A"/>
      <sheetName val="II-B-15B"/>
    </sheetNames>
    <sheetDataSet>
      <sheetData sheetId="0"/>
      <sheetData sheetId="1">
        <row r="15">
          <cell r="D15">
            <v>38857880674</v>
          </cell>
          <cell r="E15">
            <v>-325620017.43000031</v>
          </cell>
          <cell r="F15">
            <v>38532260656.57</v>
          </cell>
          <cell r="G15">
            <v>15611500445.920002</v>
          </cell>
          <cell r="H15">
            <v>1722143641.1800001</v>
          </cell>
          <cell r="I15">
            <v>21007909.579999983</v>
          </cell>
          <cell r="J15">
            <v>17354651996.68</v>
          </cell>
        </row>
        <row r="16">
          <cell r="D16">
            <v>805656680.13999999</v>
          </cell>
          <cell r="E16">
            <v>-193556238.36000016</v>
          </cell>
          <cell r="F16">
            <v>612100441.77999985</v>
          </cell>
          <cell r="G16">
            <v>210647663.62999994</v>
          </cell>
          <cell r="H16">
            <v>4541729.42</v>
          </cell>
          <cell r="I16">
            <v>0</v>
          </cell>
          <cell r="J16">
            <v>215189393.04999995</v>
          </cell>
        </row>
        <row r="17">
          <cell r="D17">
            <v>161341597.34999999</v>
          </cell>
          <cell r="E17">
            <v>488716302.74000001</v>
          </cell>
          <cell r="F17">
            <v>650057900.09000003</v>
          </cell>
          <cell r="G17">
            <v>251204071.02999997</v>
          </cell>
          <cell r="H17">
            <v>30618.510000000002</v>
          </cell>
          <cell r="I17">
            <v>0</v>
          </cell>
          <cell r="J17">
            <v>251234689.53999996</v>
          </cell>
        </row>
        <row r="20">
          <cell r="D20">
            <v>11324801327.52</v>
          </cell>
          <cell r="E20">
            <v>-9703342.810000062</v>
          </cell>
          <cell r="F20">
            <v>11315097984.710001</v>
          </cell>
          <cell r="G20">
            <v>3770500824.98</v>
          </cell>
          <cell r="H20">
            <v>416129905.83000004</v>
          </cell>
          <cell r="I20">
            <v>10438214.73</v>
          </cell>
          <cell r="J20">
            <v>4197068945.54</v>
          </cell>
        </row>
        <row r="25">
          <cell r="D25">
            <v>1704962610.8399963</v>
          </cell>
          <cell r="E25">
            <v>-1704962610.8399963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D26">
            <v>71356012.039999992</v>
          </cell>
          <cell r="E26">
            <v>-3200205.7</v>
          </cell>
          <cell r="F26">
            <v>68155806.339999989</v>
          </cell>
          <cell r="G26">
            <v>61450357.970000021</v>
          </cell>
          <cell r="H26">
            <v>0</v>
          </cell>
          <cell r="I26">
            <v>0</v>
          </cell>
          <cell r="J26">
            <v>61450357.970000021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D28">
            <v>378535520.38999999</v>
          </cell>
          <cell r="E28">
            <v>-206947.64999997616</v>
          </cell>
          <cell r="F28">
            <v>378328572.74000001</v>
          </cell>
          <cell r="G28">
            <v>219128707.50999999</v>
          </cell>
          <cell r="H28">
            <v>0</v>
          </cell>
          <cell r="I28">
            <v>0</v>
          </cell>
          <cell r="J28">
            <v>219128707.50999999</v>
          </cell>
        </row>
        <row r="29">
          <cell r="D29">
            <v>-82280403</v>
          </cell>
          <cell r="E29">
            <v>0</v>
          </cell>
          <cell r="F29">
            <v>-82280403</v>
          </cell>
          <cell r="G29">
            <v>-50401681.159999996</v>
          </cell>
          <cell r="H29">
            <v>-5687892.9699999997</v>
          </cell>
          <cell r="I29">
            <v>0</v>
          </cell>
          <cell r="J29">
            <v>-56089574.129999995</v>
          </cell>
        </row>
        <row r="30">
          <cell r="D30">
            <v>138858259.0138461</v>
          </cell>
          <cell r="E30">
            <v>7381538.844615384</v>
          </cell>
          <cell r="F30">
            <v>146239797.85846147</v>
          </cell>
          <cell r="G30">
            <v>17382401.434679456</v>
          </cell>
          <cell r="H30">
            <v>0</v>
          </cell>
          <cell r="I30">
            <v>0</v>
          </cell>
          <cell r="J30">
            <v>17382401.434679456</v>
          </cell>
        </row>
        <row r="31">
          <cell r="D31">
            <v>-196662426.21999997</v>
          </cell>
          <cell r="E31">
            <v>194899913.91999999</v>
          </cell>
          <cell r="F31">
            <v>-1762512.3</v>
          </cell>
          <cell r="G31">
            <v>517979.78</v>
          </cell>
          <cell r="H31">
            <v>0</v>
          </cell>
          <cell r="I31">
            <v>0</v>
          </cell>
          <cell r="J31">
            <v>517979.78</v>
          </cell>
        </row>
        <row r="32">
          <cell r="D32">
            <v>-1301408771.5799999</v>
          </cell>
          <cell r="E32">
            <v>1544845745.1199999</v>
          </cell>
          <cell r="F32">
            <v>243436973.53999996</v>
          </cell>
          <cell r="G32">
            <v>-369668775.85000002</v>
          </cell>
          <cell r="H32">
            <v>-43500356.460000001</v>
          </cell>
          <cell r="I32">
            <v>-381709.47</v>
          </cell>
          <cell r="J32">
            <v>-413550841.78000003</v>
          </cell>
        </row>
        <row r="33">
          <cell r="D33">
            <v>-2551880640.0300002</v>
          </cell>
          <cell r="E33">
            <v>-217513681.38</v>
          </cell>
          <cell r="F33">
            <v>-2769394321.4099998</v>
          </cell>
          <cell r="G33">
            <v>-1106355572.98</v>
          </cell>
          <cell r="H33">
            <v>-151650766.90000001</v>
          </cell>
          <cell r="I33">
            <v>-949894.97</v>
          </cell>
          <cell r="J33">
            <v>-1258956234.8500001</v>
          </cell>
        </row>
        <row r="39">
          <cell r="D39">
            <v>7.4700000000000003E-2</v>
          </cell>
          <cell r="F39">
            <v>7.4700000000000003E-2</v>
          </cell>
          <cell r="G39">
            <v>7.4700000000000003E-2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17">
          <cell r="H17">
            <v>0</v>
          </cell>
          <cell r="I17">
            <v>34378539</v>
          </cell>
          <cell r="J17">
            <v>34378539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H18">
            <v>758930.8</v>
          </cell>
          <cell r="I18">
            <v>0</v>
          </cell>
          <cell r="J18">
            <v>758930.8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H19">
            <v>1220691.1200000001</v>
          </cell>
          <cell r="I19">
            <v>-1220691.1200000001</v>
          </cell>
          <cell r="J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H20">
            <v>26594344.41</v>
          </cell>
          <cell r="I20">
            <v>1213350.5899999999</v>
          </cell>
          <cell r="J20">
            <v>27807695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H21">
            <v>107361.28</v>
          </cell>
          <cell r="I21">
            <v>0</v>
          </cell>
          <cell r="J21">
            <v>107361.28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H22"/>
          <cell r="I22"/>
          <cell r="J22"/>
          <cell r="O22"/>
          <cell r="P22"/>
          <cell r="Q22"/>
          <cell r="R22"/>
        </row>
        <row r="23">
          <cell r="H23">
            <v>10615770.26</v>
          </cell>
          <cell r="I23">
            <v>0</v>
          </cell>
          <cell r="J23">
            <v>10615770.26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H24">
            <v>2244275.1799999997</v>
          </cell>
          <cell r="I24">
            <v>0</v>
          </cell>
          <cell r="J24">
            <v>2244275.1799999997</v>
          </cell>
          <cell r="O24">
            <v>961339</v>
          </cell>
          <cell r="P24">
            <v>0</v>
          </cell>
          <cell r="Q24">
            <v>0</v>
          </cell>
          <cell r="R24">
            <v>961339</v>
          </cell>
        </row>
        <row r="25">
          <cell r="H25">
            <v>11507204.149999999</v>
          </cell>
          <cell r="I25">
            <v>0</v>
          </cell>
          <cell r="J25">
            <v>11507204.149999999</v>
          </cell>
          <cell r="O25">
            <v>11507204.149999999</v>
          </cell>
          <cell r="P25">
            <v>0</v>
          </cell>
          <cell r="Q25">
            <v>0</v>
          </cell>
          <cell r="R25">
            <v>11507204.149999999</v>
          </cell>
        </row>
        <row r="26">
          <cell r="H26">
            <v>1219190.1000000001</v>
          </cell>
          <cell r="I26">
            <v>0</v>
          </cell>
          <cell r="J26">
            <v>1219190.1000000001</v>
          </cell>
          <cell r="O26">
            <v>1182437.47</v>
          </cell>
          <cell r="P26">
            <v>0</v>
          </cell>
          <cell r="Q26">
            <v>0</v>
          </cell>
          <cell r="R26">
            <v>1182437.47</v>
          </cell>
        </row>
        <row r="27">
          <cell r="H27">
            <v>122416.24000000002</v>
          </cell>
          <cell r="I27">
            <v>246892.34</v>
          </cell>
          <cell r="J27">
            <v>369308.58</v>
          </cell>
          <cell r="O27">
            <v>369308.58</v>
          </cell>
          <cell r="P27">
            <v>0</v>
          </cell>
          <cell r="Q27">
            <v>0</v>
          </cell>
          <cell r="R27">
            <v>369308.58</v>
          </cell>
        </row>
        <row r="28">
          <cell r="H28">
            <v>260.98000000000013</v>
          </cell>
          <cell r="I28">
            <v>0</v>
          </cell>
          <cell r="J28">
            <v>260.98000000000013</v>
          </cell>
          <cell r="O28">
            <v>260.98000000000013</v>
          </cell>
          <cell r="P28">
            <v>0</v>
          </cell>
          <cell r="Q28">
            <v>0</v>
          </cell>
          <cell r="R28">
            <v>260.98000000000013</v>
          </cell>
        </row>
        <row r="29">
          <cell r="H29">
            <v>36438754.820000008</v>
          </cell>
          <cell r="I29">
            <v>-1655616.68</v>
          </cell>
          <cell r="J29">
            <v>34783138.140000008</v>
          </cell>
          <cell r="O29">
            <v>28756794.140000001</v>
          </cell>
          <cell r="P29">
            <v>0</v>
          </cell>
          <cell r="Q29">
            <v>0</v>
          </cell>
          <cell r="R29">
            <v>28756794.140000001</v>
          </cell>
        </row>
        <row r="30">
          <cell r="H30">
            <v>1987707.08</v>
          </cell>
          <cell r="I30">
            <v>0</v>
          </cell>
          <cell r="J30">
            <v>1987707.08</v>
          </cell>
          <cell r="O30">
            <v>0</v>
          </cell>
          <cell r="P30">
            <v>232561.74</v>
          </cell>
          <cell r="Q30">
            <v>1755145.34</v>
          </cell>
          <cell r="R30">
            <v>1987707.08</v>
          </cell>
        </row>
        <row r="31">
          <cell r="H31">
            <v>1366665.33</v>
          </cell>
          <cell r="I31">
            <v>0</v>
          </cell>
          <cell r="J31">
            <v>1366665.33</v>
          </cell>
          <cell r="O31">
            <v>1225898.8</v>
          </cell>
          <cell r="P31">
            <v>140766.53</v>
          </cell>
          <cell r="Q31">
            <v>0</v>
          </cell>
          <cell r="R31">
            <v>1366665.33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M31"/>
  <sheetViews>
    <sheetView zoomScaleNormal="100" workbookViewId="0">
      <pane ySplit="14" topLeftCell="A15" activePane="bottomLeft" state="frozen"/>
      <selection activeCell="G16" sqref="G16"/>
      <selection pane="bottomLeft" activeCell="A5" sqref="A5"/>
    </sheetView>
  </sheetViews>
  <sheetFormatPr defaultColWidth="9.140625" defaultRowHeight="12.75" x14ac:dyDescent="0.2"/>
  <cols>
    <col min="1" max="1" width="5.7109375" style="5" customWidth="1"/>
    <col min="2" max="2" width="41.42578125" style="5" bestFit="1" customWidth="1"/>
    <col min="3" max="3" width="10.28515625" style="5" bestFit="1" customWidth="1"/>
    <col min="4" max="4" width="15" style="5" bestFit="1" customWidth="1"/>
    <col min="5" max="6" width="13.5703125" style="5" customWidth="1"/>
    <col min="7" max="7" width="15" style="5" bestFit="1" customWidth="1"/>
    <col min="8" max="8" width="3.7109375" style="5" customWidth="1"/>
    <col min="9" max="9" width="13.42578125" style="5" bestFit="1" customWidth="1"/>
    <col min="10" max="10" width="15" style="5" bestFit="1" customWidth="1"/>
    <col min="11" max="16384" width="9.140625" style="5"/>
  </cols>
  <sheetData>
    <row r="1" spans="1:13" x14ac:dyDescent="0.2">
      <c r="A1" s="55" t="str">
        <f>+'[1]Input Data'!$A$9</f>
        <v>2025 RATE CASE</v>
      </c>
    </row>
    <row r="2" spans="1:13" x14ac:dyDescent="0.2">
      <c r="A2" s="7" t="str">
        <f>+'[1]Input Data'!$A$2</f>
        <v>ONCOR ELECTRIC DELIVERY COMPANY LLC</v>
      </c>
      <c r="C2" s="4"/>
      <c r="D2" s="12"/>
      <c r="E2" s="12"/>
      <c r="F2" s="12"/>
      <c r="G2" s="12"/>
    </row>
    <row r="3" spans="1:13" x14ac:dyDescent="0.2">
      <c r="A3" s="6" t="s">
        <v>138</v>
      </c>
      <c r="C3" s="6"/>
    </row>
    <row r="4" spans="1:13" x14ac:dyDescent="0.2">
      <c r="A4" s="54" t="str">
        <f>+'[1]Input Data'!$A$4</f>
        <v>TEST YEAR ENDING DECEMBER 31, 2024</v>
      </c>
      <c r="C4" s="7"/>
    </row>
    <row r="5" spans="1:13" x14ac:dyDescent="0.2">
      <c r="A5" s="6" t="str">
        <f>CONCATENATE("SPONSOR: ",'[1]Schedule Sponsors'!$D$156)</f>
        <v>SPONSOR: R. PRACHYL &amp;&amp; W. ALAN LEDBETTER</v>
      </c>
      <c r="C5" s="6"/>
      <c r="D5" s="13"/>
      <c r="E5" s="13"/>
      <c r="F5" s="13"/>
      <c r="G5" s="13"/>
    </row>
    <row r="10" spans="1:13" ht="13.5" thickBot="1" x14ac:dyDescent="0.25">
      <c r="A10" s="57"/>
      <c r="B10" s="57"/>
      <c r="C10" s="57"/>
    </row>
    <row r="11" spans="1:13" s="2" customFormat="1" x14ac:dyDescent="0.2">
      <c r="A11" s="58"/>
      <c r="B11" s="59"/>
      <c r="C11" s="59"/>
      <c r="D11" s="59" t="s">
        <v>28</v>
      </c>
      <c r="E11" s="59" t="s">
        <v>139</v>
      </c>
      <c r="F11" s="59" t="s">
        <v>140</v>
      </c>
      <c r="G11" s="59"/>
      <c r="H11" s="61"/>
      <c r="I11" s="15"/>
      <c r="J11" s="15"/>
      <c r="K11" s="61"/>
    </row>
    <row r="12" spans="1:13" s="2" customFormat="1" x14ac:dyDescent="0.2">
      <c r="A12" s="62" t="s">
        <v>29</v>
      </c>
      <c r="B12" s="62"/>
      <c r="C12" s="62" t="s">
        <v>30</v>
      </c>
      <c r="D12" s="62" t="s">
        <v>33</v>
      </c>
      <c r="E12" s="62" t="s">
        <v>141</v>
      </c>
      <c r="F12" s="62" t="s">
        <v>142</v>
      </c>
      <c r="G12" s="62" t="s">
        <v>143</v>
      </c>
      <c r="I12" s="15"/>
      <c r="J12" s="15"/>
    </row>
    <row r="13" spans="1:13" s="2" customFormat="1" ht="13.5" thickBot="1" x14ac:dyDescent="0.25">
      <c r="A13" s="62" t="s">
        <v>34</v>
      </c>
      <c r="B13" s="62" t="s">
        <v>35</v>
      </c>
      <c r="C13" s="62" t="s">
        <v>36</v>
      </c>
      <c r="D13" s="80" t="s">
        <v>39</v>
      </c>
      <c r="E13" s="80" t="s">
        <v>144</v>
      </c>
      <c r="F13" s="80"/>
      <c r="G13" s="80" t="s">
        <v>141</v>
      </c>
      <c r="I13" s="15"/>
      <c r="J13" s="15"/>
    </row>
    <row r="14" spans="1:13" s="2" customFormat="1" x14ac:dyDescent="0.2">
      <c r="A14" s="63"/>
      <c r="B14" s="64" t="s">
        <v>40</v>
      </c>
      <c r="C14" s="64" t="s">
        <v>41</v>
      </c>
      <c r="D14" s="115" t="s">
        <v>42</v>
      </c>
      <c r="E14" s="115" t="s">
        <v>43</v>
      </c>
      <c r="F14" s="115" t="s">
        <v>44</v>
      </c>
      <c r="G14" s="115" t="s">
        <v>45</v>
      </c>
      <c r="I14" s="115"/>
      <c r="J14" s="115"/>
    </row>
    <row r="15" spans="1:13" s="2" customFormat="1" x14ac:dyDescent="0.2">
      <c r="A15" s="5"/>
      <c r="B15" s="65"/>
      <c r="C15" s="65"/>
      <c r="D15" s="3"/>
      <c r="E15" s="3"/>
      <c r="F15" s="3"/>
      <c r="G15" s="3"/>
      <c r="I15" s="5"/>
      <c r="J15" s="5"/>
    </row>
    <row r="16" spans="1:13" s="2" customFormat="1" x14ac:dyDescent="0.2">
      <c r="A16" s="10">
        <v>1</v>
      </c>
      <c r="B16" s="68" t="s">
        <v>46</v>
      </c>
      <c r="C16" s="3" t="s">
        <v>47</v>
      </c>
      <c r="D16" s="103">
        <f>+'[2]I-A-1'!G16</f>
        <v>281417380.88999999</v>
      </c>
      <c r="E16" s="103">
        <f>+'[2]I-A-1'!H16</f>
        <v>8707411.9800000004</v>
      </c>
      <c r="F16" s="103">
        <f>+'[2]I-A-1'!I16</f>
        <v>475836.37</v>
      </c>
      <c r="G16" s="103">
        <f>+'[2]I-A-1'!J16</f>
        <v>290600629.24000001</v>
      </c>
      <c r="H16" s="104"/>
      <c r="I16" s="104"/>
      <c r="J16" s="104"/>
      <c r="K16" s="69"/>
      <c r="L16" s="70"/>
      <c r="M16" s="70"/>
    </row>
    <row r="17" spans="1:13" s="2" customFormat="1" x14ac:dyDescent="0.2">
      <c r="A17" s="10">
        <v>2</v>
      </c>
      <c r="B17" s="5" t="s">
        <v>48</v>
      </c>
      <c r="C17" s="3" t="s">
        <v>49</v>
      </c>
      <c r="D17" s="66">
        <f>+'[2]I-A-1'!G17</f>
        <v>440521727.81</v>
      </c>
      <c r="E17" s="66">
        <f>+'[2]I-A-1'!H17</f>
        <v>39098651.869999997</v>
      </c>
      <c r="F17" s="66">
        <f>+'[2]I-A-1'!I17</f>
        <v>724347.19000000006</v>
      </c>
      <c r="G17" s="66">
        <f>+'[2]I-A-1'!J17</f>
        <v>480344726.87</v>
      </c>
      <c r="H17" s="69"/>
      <c r="I17" s="69"/>
      <c r="J17" s="69"/>
      <c r="K17" s="69"/>
      <c r="L17" s="70"/>
      <c r="M17" s="70"/>
    </row>
    <row r="18" spans="1:13" s="2" customFormat="1" x14ac:dyDescent="0.2">
      <c r="A18" s="10">
        <v>3</v>
      </c>
      <c r="B18" s="5" t="s">
        <v>50</v>
      </c>
      <c r="C18" s="3" t="s">
        <v>51</v>
      </c>
      <c r="D18" s="66">
        <f>+'[2]I-A-1'!G18</f>
        <v>133395590.33</v>
      </c>
      <c r="E18" s="66">
        <f>+'[2]I-A-1'!H18</f>
        <v>13570049.27</v>
      </c>
      <c r="F18" s="66">
        <f>+'[2]I-A-1'!I18</f>
        <v>116226.7</v>
      </c>
      <c r="G18" s="66">
        <f>+'[2]I-A-1'!J18</f>
        <v>147081866.29999998</v>
      </c>
      <c r="H18" s="69"/>
      <c r="I18" s="69"/>
      <c r="J18" s="69"/>
      <c r="K18" s="69"/>
      <c r="L18" s="70"/>
      <c r="M18" s="70"/>
    </row>
    <row r="19" spans="1:13" s="2" customFormat="1" x14ac:dyDescent="0.2">
      <c r="A19" s="10">
        <v>4</v>
      </c>
      <c r="B19" s="68" t="s">
        <v>52</v>
      </c>
      <c r="C19" s="3" t="s">
        <v>53</v>
      </c>
      <c r="D19" s="66">
        <f>+'[2]I-A-1'!G19</f>
        <v>119092626.45</v>
      </c>
      <c r="E19" s="66">
        <f>+'[2]I-A-1'!H19</f>
        <v>9497732.6099999994</v>
      </c>
      <c r="F19" s="66">
        <f>+'[2]I-A-1'!I19</f>
        <v>86769.75</v>
      </c>
      <c r="G19" s="66">
        <f>+'[2]I-A-1'!J19</f>
        <v>128677128.81</v>
      </c>
      <c r="H19" s="67"/>
      <c r="I19" s="69"/>
      <c r="J19" s="69"/>
      <c r="K19" s="67"/>
      <c r="L19" s="70"/>
      <c r="M19" s="70"/>
    </row>
    <row r="20" spans="1:13" s="2" customFormat="1" x14ac:dyDescent="0.2">
      <c r="A20" s="10">
        <v>5</v>
      </c>
      <c r="B20" s="68"/>
      <c r="C20" s="60"/>
      <c r="D20" s="66"/>
      <c r="E20" s="66"/>
      <c r="F20" s="66"/>
      <c r="G20" s="66"/>
      <c r="H20" s="67"/>
      <c r="I20" s="69"/>
      <c r="J20" s="69"/>
      <c r="K20" s="67"/>
      <c r="L20" s="70"/>
      <c r="M20" s="70"/>
    </row>
    <row r="21" spans="1:13" s="2" customFormat="1" x14ac:dyDescent="0.2">
      <c r="A21" s="10">
        <v>6</v>
      </c>
      <c r="B21" s="5" t="s">
        <v>54</v>
      </c>
      <c r="C21" s="3" t="s">
        <v>55</v>
      </c>
      <c r="D21" s="66">
        <f>+'[2]I-A-1'!G21</f>
        <v>827295386.4911598</v>
      </c>
      <c r="E21" s="66">
        <f>+'[2]I-A-1'!H21</f>
        <v>82898105.901165023</v>
      </c>
      <c r="F21" s="66">
        <f>+'[2]I-A-1'!I21</f>
        <v>690085.35362699884</v>
      </c>
      <c r="G21" s="66">
        <f>+'[2]I-A-1'!J21</f>
        <v>910883577.74595177</v>
      </c>
      <c r="I21" s="69"/>
      <c r="J21" s="69"/>
      <c r="L21" s="70"/>
      <c r="M21" s="70"/>
    </row>
    <row r="22" spans="1:13" s="2" customFormat="1" x14ac:dyDescent="0.2">
      <c r="A22" s="10">
        <v>7</v>
      </c>
      <c r="B22" s="68"/>
      <c r="C22" s="60"/>
      <c r="D22" s="66"/>
      <c r="E22" s="66"/>
      <c r="F22" s="66"/>
      <c r="G22" s="66"/>
      <c r="H22" s="69"/>
      <c r="I22" s="69"/>
      <c r="J22" s="69"/>
      <c r="K22" s="69"/>
      <c r="L22" s="70"/>
      <c r="M22" s="70"/>
    </row>
    <row r="23" spans="1:13" s="2" customFormat="1" x14ac:dyDescent="0.2">
      <c r="A23" s="10">
        <v>8</v>
      </c>
      <c r="B23" s="71" t="s">
        <v>56</v>
      </c>
      <c r="C23" s="60"/>
      <c r="D23" s="105">
        <f>SUM(D16:D21)</f>
        <v>1801722711.9711599</v>
      </c>
      <c r="E23" s="105">
        <f t="shared" ref="E23:G23" si="0">SUM(E16:E21)</f>
        <v>153771951.63116503</v>
      </c>
      <c r="F23" s="105">
        <f t="shared" si="0"/>
        <v>2093265.3636269988</v>
      </c>
      <c r="G23" s="105">
        <f t="shared" si="0"/>
        <v>1957587928.9659519</v>
      </c>
      <c r="H23" s="106"/>
      <c r="I23" s="106"/>
      <c r="J23" s="106"/>
      <c r="K23" s="69"/>
      <c r="L23" s="70"/>
      <c r="M23" s="70"/>
    </row>
    <row r="24" spans="1:13" s="2" customFormat="1" x14ac:dyDescent="0.2">
      <c r="A24" s="10">
        <v>9</v>
      </c>
      <c r="B24" s="68"/>
      <c r="C24" s="60"/>
      <c r="D24" s="66"/>
      <c r="E24" s="66"/>
      <c r="F24" s="66"/>
      <c r="G24" s="66"/>
      <c r="H24" s="69"/>
      <c r="I24" s="69"/>
      <c r="J24" s="69"/>
      <c r="K24" s="69"/>
      <c r="L24" s="70"/>
      <c r="M24" s="70"/>
    </row>
    <row r="25" spans="1:13" s="2" customFormat="1" x14ac:dyDescent="0.2">
      <c r="A25" s="10">
        <v>10</v>
      </c>
      <c r="B25" s="72" t="s">
        <v>57</v>
      </c>
      <c r="C25" s="60"/>
      <c r="D25" s="66">
        <f>+'[2]I-A-1'!G25</f>
        <v>0</v>
      </c>
      <c r="E25" s="66">
        <f>+'[2]I-A-1'!H25</f>
        <v>0</v>
      </c>
      <c r="F25" s="66">
        <f>+'[2]I-A-1'!I25</f>
        <v>0</v>
      </c>
      <c r="G25" s="66">
        <f>+'[2]I-A-1'!J25</f>
        <v>0</v>
      </c>
      <c r="H25" s="69"/>
      <c r="I25" s="69"/>
      <c r="J25" s="69"/>
      <c r="K25" s="69"/>
      <c r="L25" s="70"/>
      <c r="M25" s="70"/>
    </row>
    <row r="26" spans="1:13" s="2" customFormat="1" x14ac:dyDescent="0.2">
      <c r="A26" s="10">
        <v>11</v>
      </c>
      <c r="B26" s="68"/>
      <c r="C26" s="60"/>
      <c r="D26" s="66"/>
      <c r="E26" s="66"/>
      <c r="F26" s="66"/>
      <c r="G26" s="66"/>
      <c r="H26" s="69"/>
      <c r="I26" s="69"/>
      <c r="J26" s="69"/>
      <c r="K26" s="69"/>
      <c r="L26" s="70"/>
      <c r="M26" s="70"/>
    </row>
    <row r="27" spans="1:13" s="2" customFormat="1" x14ac:dyDescent="0.2">
      <c r="A27" s="10">
        <v>12</v>
      </c>
      <c r="B27" s="5" t="s">
        <v>58</v>
      </c>
      <c r="C27" s="3"/>
      <c r="D27" s="66">
        <f>+'[2]I-A-1'!G27</f>
        <v>0</v>
      </c>
      <c r="E27" s="66">
        <f>+'[2]I-A-1'!H27</f>
        <v>0</v>
      </c>
      <c r="F27" s="66">
        <f>+'[2]I-A-1'!I27</f>
        <v>0</v>
      </c>
      <c r="G27" s="66">
        <f>+'[2]I-A-1'!J27</f>
        <v>0</v>
      </c>
      <c r="H27" s="69"/>
      <c r="I27" s="69"/>
      <c r="J27" s="69"/>
      <c r="K27" s="69"/>
      <c r="L27" s="70"/>
      <c r="M27" s="70"/>
    </row>
    <row r="28" spans="1:13" s="2" customFormat="1" x14ac:dyDescent="0.2">
      <c r="A28" s="10">
        <v>13</v>
      </c>
      <c r="B28" s="5"/>
      <c r="C28" s="3"/>
      <c r="D28" s="66"/>
      <c r="E28" s="66"/>
      <c r="F28" s="66"/>
      <c r="G28" s="66"/>
      <c r="H28" s="69"/>
      <c r="I28" s="69"/>
      <c r="J28" s="69"/>
      <c r="K28" s="69"/>
      <c r="L28" s="70"/>
      <c r="M28" s="70"/>
    </row>
    <row r="29" spans="1:13" s="2" customFormat="1" x14ac:dyDescent="0.2">
      <c r="A29" s="10">
        <v>14</v>
      </c>
      <c r="B29" s="5" t="s">
        <v>59</v>
      </c>
      <c r="C29" s="3" t="s">
        <v>60</v>
      </c>
      <c r="D29" s="66">
        <f>+'[2]I-A-1'!G29</f>
        <v>44003243.119999997</v>
      </c>
      <c r="E29" s="66">
        <f>+'[2]I-A-1'!H29</f>
        <v>373328.27</v>
      </c>
      <c r="F29" s="66">
        <f>+'[2]I-A-1'!I29</f>
        <v>1755145.34</v>
      </c>
      <c r="G29" s="66">
        <f>+'[2]I-A-1'!J29</f>
        <v>46131716.730000004</v>
      </c>
      <c r="H29" s="69"/>
      <c r="I29" s="69"/>
      <c r="J29" s="69"/>
      <c r="K29" s="69"/>
      <c r="L29" s="70"/>
      <c r="M29" s="70"/>
    </row>
    <row r="30" spans="1:13" s="2" customFormat="1" x14ac:dyDescent="0.2">
      <c r="A30" s="10">
        <v>15</v>
      </c>
      <c r="B30" s="5"/>
      <c r="C30" s="3"/>
      <c r="D30" s="73"/>
      <c r="E30" s="73"/>
      <c r="F30" s="73"/>
      <c r="G30" s="73"/>
      <c r="H30" s="69"/>
      <c r="I30" s="69"/>
      <c r="J30" s="69"/>
      <c r="K30" s="69"/>
      <c r="L30" s="70"/>
      <c r="M30" s="70"/>
    </row>
    <row r="31" spans="1:13" s="56" customFormat="1" x14ac:dyDescent="0.2">
      <c r="A31" s="10">
        <v>16</v>
      </c>
      <c r="B31" s="74" t="s">
        <v>61</v>
      </c>
      <c r="C31" s="75"/>
      <c r="D31" s="105">
        <f>+D23+D25+D27-D29</f>
        <v>1757719468.85116</v>
      </c>
      <c r="E31" s="105">
        <f t="shared" ref="E31:G31" si="1">+E23+E25+E27-E29</f>
        <v>153398623.36116502</v>
      </c>
      <c r="F31" s="105">
        <f t="shared" si="1"/>
        <v>338120.02362699877</v>
      </c>
      <c r="G31" s="105">
        <f t="shared" si="1"/>
        <v>1911456212.2359519</v>
      </c>
      <c r="H31" s="105"/>
      <c r="I31" s="105"/>
      <c r="J31" s="105"/>
      <c r="K31" s="76"/>
      <c r="L31" s="77"/>
      <c r="M31" s="77"/>
    </row>
  </sheetData>
  <printOptions horizontalCentered="1"/>
  <pageMargins left="0.5" right="0.5" top="3" bottom="0.5" header="1.5" footer="0.25"/>
  <pageSetup pageOrder="overThenDown" orientation="landscape"/>
  <headerFooter alignWithMargins="0">
    <oddHeader>&amp;R&amp;"Arial,Bold"Schedule &amp;A
Page &amp;P of &amp;N&amp;C&amp;B
2025 RATE CASE
ONCOR ELECTRIC DELIVERY COMPANY LLC
III-A SUMMARY OF WHOLESALE TRANSMISSION COST OF SERVICE
TEST YEAR ENDING DECEMBER 31, 2024
SPONSOR: R. PRACHYL &amp;&amp; W. ALAN LEDBETTER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1"/>
  <sheetViews>
    <sheetView tabSelected="1" zoomScaleNormal="100" workbookViewId="0">
      <pane ySplit="14" topLeftCell="A15" activePane="bottomLeft" state="frozen"/>
      <selection activeCell="G16" sqref="G16"/>
      <selection pane="bottomLeft" activeCell="D16" sqref="D16"/>
    </sheetView>
  </sheetViews>
  <sheetFormatPr defaultColWidth="9.140625" defaultRowHeight="12.75" x14ac:dyDescent="0.2"/>
  <cols>
    <col min="1" max="1" width="5.7109375" style="5" customWidth="1"/>
    <col min="2" max="2" width="41.42578125" style="5" bestFit="1" customWidth="1"/>
    <col min="3" max="3" width="10.28515625" style="5" bestFit="1" customWidth="1"/>
    <col min="4" max="4" width="15" style="5" customWidth="1"/>
    <col min="5" max="5" width="13.5703125" style="5" bestFit="1" customWidth="1"/>
    <col min="6" max="6" width="15.140625" style="5" bestFit="1" customWidth="1"/>
    <col min="7" max="7" width="15" style="5" bestFit="1" customWidth="1"/>
    <col min="8" max="9" width="13.5703125" style="5" customWidth="1"/>
    <col min="10" max="10" width="15" style="5" bestFit="1" customWidth="1"/>
    <col min="11" max="11" width="3.7109375" style="5" customWidth="1"/>
    <col min="12" max="12" width="13.42578125" style="5" bestFit="1" customWidth="1"/>
    <col min="13" max="13" width="15" style="5" bestFit="1" customWidth="1"/>
    <col min="14" max="16384" width="9.140625" style="5"/>
  </cols>
  <sheetData>
    <row r="1" spans="1:16" x14ac:dyDescent="0.2">
      <c r="A1" s="55" t="str">
        <f>+'[1]Input Data'!$A$9</f>
        <v>2025 RATE CASE</v>
      </c>
    </row>
    <row r="2" spans="1:16" x14ac:dyDescent="0.2">
      <c r="A2" s="7" t="str">
        <f>+'[1]Input Data'!$A$2</f>
        <v>ONCOR ELECTRIC DELIVERY COMPANY LLC</v>
      </c>
      <c r="C2" s="4"/>
      <c r="G2" s="12"/>
      <c r="H2" s="12"/>
      <c r="I2" s="12"/>
      <c r="J2" s="12"/>
    </row>
    <row r="3" spans="1:16" x14ac:dyDescent="0.2">
      <c r="A3" s="6" t="s">
        <v>0</v>
      </c>
      <c r="C3" s="6"/>
      <c r="D3" s="6"/>
      <c r="E3" s="4"/>
      <c r="F3" s="8"/>
    </row>
    <row r="4" spans="1:16" x14ac:dyDescent="0.2">
      <c r="A4" s="54" t="str">
        <f>+'[1]Input Data'!$A$4</f>
        <v>TEST YEAR ENDING DECEMBER 31, 2024</v>
      </c>
      <c r="C4" s="7"/>
      <c r="D4" s="7"/>
      <c r="E4" s="4"/>
      <c r="F4" s="8"/>
    </row>
    <row r="5" spans="1:16" x14ac:dyDescent="0.2">
      <c r="A5" s="6" t="str">
        <f>CONCATENATE("SPONSOR: ",'[1]Schedule Sponsors'!$D$157)</f>
        <v>SPONSOR: R. PRACHYL &amp;&amp; W. ALAN LEDBETTER</v>
      </c>
      <c r="C5" s="6"/>
      <c r="D5" s="6"/>
      <c r="E5" s="6"/>
      <c r="F5" s="6"/>
      <c r="G5" s="13"/>
      <c r="H5" s="13"/>
      <c r="I5" s="13"/>
      <c r="J5" s="13"/>
    </row>
    <row r="10" spans="1:16" ht="13.5" thickBot="1" x14ac:dyDescent="0.25">
      <c r="A10" s="57"/>
      <c r="B10" s="57"/>
      <c r="C10" s="57"/>
    </row>
    <row r="11" spans="1:16" s="2" customFormat="1" x14ac:dyDescent="0.2">
      <c r="A11" s="58"/>
      <c r="B11" s="59"/>
      <c r="C11" s="59"/>
      <c r="D11" s="59" t="s">
        <v>25</v>
      </c>
      <c r="E11" s="59" t="s">
        <v>26</v>
      </c>
      <c r="F11" s="59" t="s">
        <v>27</v>
      </c>
      <c r="G11" s="59" t="s">
        <v>28</v>
      </c>
      <c r="H11" s="59" t="s">
        <v>139</v>
      </c>
      <c r="I11" s="59" t="s">
        <v>140</v>
      </c>
      <c r="J11" s="59"/>
      <c r="K11" s="61"/>
      <c r="L11" s="15"/>
      <c r="M11" s="15"/>
      <c r="N11" s="61"/>
    </row>
    <row r="12" spans="1:16" s="2" customFormat="1" x14ac:dyDescent="0.2">
      <c r="A12" s="62" t="s">
        <v>29</v>
      </c>
      <c r="B12" s="62"/>
      <c r="C12" s="62" t="s">
        <v>30</v>
      </c>
      <c r="D12" s="62" t="s">
        <v>31</v>
      </c>
      <c r="E12" s="62" t="s">
        <v>32</v>
      </c>
      <c r="F12" s="62" t="s">
        <v>31</v>
      </c>
      <c r="G12" s="62" t="s">
        <v>33</v>
      </c>
      <c r="H12" s="62" t="s">
        <v>141</v>
      </c>
      <c r="I12" s="62" t="s">
        <v>142</v>
      </c>
      <c r="J12" s="62" t="s">
        <v>143</v>
      </c>
      <c r="L12" s="15"/>
      <c r="M12" s="15"/>
    </row>
    <row r="13" spans="1:16" s="2" customFormat="1" ht="13.5" thickBot="1" x14ac:dyDescent="0.25">
      <c r="A13" s="62" t="s">
        <v>34</v>
      </c>
      <c r="B13" s="62" t="s">
        <v>35</v>
      </c>
      <c r="C13" s="62" t="s">
        <v>36</v>
      </c>
      <c r="D13" s="62" t="s">
        <v>37</v>
      </c>
      <c r="E13" s="62" t="s">
        <v>38</v>
      </c>
      <c r="F13" s="62" t="s">
        <v>37</v>
      </c>
      <c r="G13" s="80" t="s">
        <v>39</v>
      </c>
      <c r="H13" s="80" t="s">
        <v>144</v>
      </c>
      <c r="I13" s="80"/>
      <c r="J13" s="80" t="s">
        <v>141</v>
      </c>
      <c r="L13" s="15"/>
      <c r="M13" s="15"/>
    </row>
    <row r="14" spans="1:16" s="2" customFormat="1" x14ac:dyDescent="0.2">
      <c r="A14" s="63"/>
      <c r="B14" s="64" t="s">
        <v>40</v>
      </c>
      <c r="C14" s="64" t="s">
        <v>41</v>
      </c>
      <c r="D14" s="64" t="s">
        <v>42</v>
      </c>
      <c r="E14" s="64" t="s">
        <v>43</v>
      </c>
      <c r="F14" s="64" t="s">
        <v>44</v>
      </c>
      <c r="G14" s="10" t="s">
        <v>45</v>
      </c>
      <c r="H14" s="115" t="s">
        <v>118</v>
      </c>
      <c r="I14" s="115" t="s">
        <v>145</v>
      </c>
      <c r="J14" s="115" t="s">
        <v>146</v>
      </c>
      <c r="L14" s="115"/>
      <c r="M14" s="115"/>
    </row>
    <row r="15" spans="1:16" s="2" customFormat="1" x14ac:dyDescent="0.2">
      <c r="A15" s="5"/>
      <c r="B15" s="65"/>
      <c r="C15" s="65"/>
      <c r="D15" s="65"/>
      <c r="E15" s="65"/>
      <c r="F15" s="65"/>
      <c r="G15" s="3"/>
      <c r="H15" s="3"/>
      <c r="I15" s="3"/>
      <c r="J15" s="3"/>
      <c r="L15" s="5"/>
      <c r="M15" s="5"/>
    </row>
    <row r="16" spans="1:16" s="2" customFormat="1" x14ac:dyDescent="0.2">
      <c r="A16" s="10">
        <v>1</v>
      </c>
      <c r="B16" s="68" t="s">
        <v>46</v>
      </c>
      <c r="C16" s="3" t="s">
        <v>47</v>
      </c>
      <c r="D16" s="103">
        <f>+'[2]I-A-1'!D16</f>
        <v>3304990861.8000002</v>
      </c>
      <c r="E16" s="103">
        <f>+'[2]I-A-1'!E16</f>
        <v>493586912.30000001</v>
      </c>
      <c r="F16" s="103">
        <f>+'[2]I-A-1'!F16</f>
        <v>3798577774.0999999</v>
      </c>
      <c r="G16" s="103">
        <f>+'[2]I-A-1'!G16</f>
        <v>281417380.88999999</v>
      </c>
      <c r="H16" s="103">
        <f>+'[2]I-A-1'!H16</f>
        <v>8707411.9800000004</v>
      </c>
      <c r="I16" s="103">
        <f>+'[2]I-A-1'!I16</f>
        <v>475836.37</v>
      </c>
      <c r="J16" s="103">
        <f>+'[2]I-A-1'!J16</f>
        <v>290600629.24000001</v>
      </c>
      <c r="K16" s="104"/>
      <c r="L16" s="104"/>
      <c r="M16" s="104"/>
      <c r="N16" s="69"/>
      <c r="O16" s="70"/>
      <c r="P16" s="70"/>
    </row>
    <row r="17" spans="1:16" s="2" customFormat="1" x14ac:dyDescent="0.2">
      <c r="A17" s="10">
        <v>2</v>
      </c>
      <c r="B17" s="5" t="s">
        <v>48</v>
      </c>
      <c r="C17" s="3" t="s">
        <v>49</v>
      </c>
      <c r="D17" s="66">
        <f>+'[2]I-A-1'!D17</f>
        <v>1106591960.6300001</v>
      </c>
      <c r="E17" s="66">
        <f>+'[2]I-A-1'!E17</f>
        <v>139113714.87</v>
      </c>
      <c r="F17" s="66">
        <f>+'[2]I-A-1'!F17</f>
        <v>1245705675.5000002</v>
      </c>
      <c r="G17" s="66">
        <f>+'[2]I-A-1'!G17</f>
        <v>440521727.81</v>
      </c>
      <c r="H17" s="66">
        <f>+'[2]I-A-1'!H17</f>
        <v>39098651.869999997</v>
      </c>
      <c r="I17" s="66">
        <f>+'[2]I-A-1'!I17</f>
        <v>724347.19000000006</v>
      </c>
      <c r="J17" s="66">
        <f>+'[2]I-A-1'!J17</f>
        <v>480344726.87</v>
      </c>
      <c r="K17" s="69"/>
      <c r="L17" s="69"/>
      <c r="M17" s="69"/>
      <c r="N17" s="69"/>
      <c r="O17" s="70"/>
      <c r="P17" s="70"/>
    </row>
    <row r="18" spans="1:16" s="2" customFormat="1" x14ac:dyDescent="0.2">
      <c r="A18" s="10">
        <v>3</v>
      </c>
      <c r="B18" s="5" t="s">
        <v>50</v>
      </c>
      <c r="C18" s="3" t="s">
        <v>51</v>
      </c>
      <c r="D18" s="66">
        <f>+'[2]I-A-1'!D18</f>
        <v>602990546.21000004</v>
      </c>
      <c r="E18" s="66">
        <f>+'[2]I-A-1'!E18</f>
        <v>40120343.340000004</v>
      </c>
      <c r="F18" s="66">
        <f>+'[2]I-A-1'!F18</f>
        <v>643110889.54999995</v>
      </c>
      <c r="G18" s="66">
        <f>+'[2]I-A-1'!G18</f>
        <v>133395590.33</v>
      </c>
      <c r="H18" s="66">
        <f>+'[2]I-A-1'!H18</f>
        <v>13570049.27</v>
      </c>
      <c r="I18" s="66">
        <f>+'[2]I-A-1'!I18</f>
        <v>116226.7</v>
      </c>
      <c r="J18" s="66">
        <f>+'[2]I-A-1'!J18</f>
        <v>147081866.29999998</v>
      </c>
      <c r="K18" s="69"/>
      <c r="L18" s="69"/>
      <c r="M18" s="69"/>
      <c r="N18" s="69"/>
      <c r="O18" s="70"/>
      <c r="P18" s="70"/>
    </row>
    <row r="19" spans="1:16" s="2" customFormat="1" x14ac:dyDescent="0.2">
      <c r="A19" s="10">
        <v>4</v>
      </c>
      <c r="B19" s="68" t="s">
        <v>52</v>
      </c>
      <c r="C19" s="3" t="s">
        <v>53</v>
      </c>
      <c r="D19" s="66">
        <f>+'[2]I-A-1'!D19</f>
        <v>176438072.97</v>
      </c>
      <c r="E19" s="66">
        <f>+'[2]I-A-1'!E19</f>
        <v>97745867.890000001</v>
      </c>
      <c r="F19" s="66">
        <f>+'[2]I-A-1'!F19</f>
        <v>274183940.86000001</v>
      </c>
      <c r="G19" s="66">
        <f>+'[2]I-A-1'!G19</f>
        <v>119092626.45</v>
      </c>
      <c r="H19" s="66">
        <f>+'[2]I-A-1'!H19</f>
        <v>9497732.6099999994</v>
      </c>
      <c r="I19" s="66">
        <f>+'[2]I-A-1'!I19</f>
        <v>86769.75</v>
      </c>
      <c r="J19" s="66">
        <f>+'[2]I-A-1'!J19</f>
        <v>128677128.81</v>
      </c>
      <c r="K19" s="67"/>
      <c r="L19" s="69"/>
      <c r="M19" s="69"/>
      <c r="N19" s="67"/>
      <c r="O19" s="70"/>
      <c r="P19" s="70"/>
    </row>
    <row r="20" spans="1:16" s="2" customFormat="1" x14ac:dyDescent="0.2">
      <c r="A20" s="10">
        <v>5</v>
      </c>
      <c r="B20" s="68"/>
      <c r="C20" s="60"/>
      <c r="D20" s="66"/>
      <c r="E20" s="66"/>
      <c r="F20" s="9"/>
      <c r="G20" s="66"/>
      <c r="H20" s="66"/>
      <c r="I20" s="66"/>
      <c r="J20" s="66"/>
      <c r="K20" s="67"/>
      <c r="L20" s="69"/>
      <c r="M20" s="69"/>
      <c r="N20" s="67"/>
      <c r="O20" s="70"/>
      <c r="P20" s="70"/>
    </row>
    <row r="21" spans="1:16" s="2" customFormat="1" x14ac:dyDescent="0.2">
      <c r="A21" s="10">
        <v>6</v>
      </c>
      <c r="B21" s="5" t="s">
        <v>54</v>
      </c>
      <c r="C21" s="3" t="s">
        <v>55</v>
      </c>
      <c r="D21" s="66">
        <f>+'[2]I-A-1'!D21</f>
        <v>1991618366.5711608</v>
      </c>
      <c r="E21" s="66">
        <f>+'[2]I-A-1'!E21</f>
        <v>-14903610.487025738</v>
      </c>
      <c r="F21" s="66">
        <f>+'[2]I-A-1'!F21</f>
        <v>1976714756.0841351</v>
      </c>
      <c r="G21" s="66">
        <f>+'[2]I-A-1'!G21</f>
        <v>827295386.4911598</v>
      </c>
      <c r="H21" s="66">
        <f>+'[2]I-A-1'!H21</f>
        <v>82898105.901165023</v>
      </c>
      <c r="I21" s="66">
        <f>+'[2]I-A-1'!I21</f>
        <v>690085.35362699884</v>
      </c>
      <c r="J21" s="66">
        <f>+'[2]I-A-1'!J21</f>
        <v>910883577.74595177</v>
      </c>
      <c r="L21" s="69"/>
      <c r="M21" s="69"/>
      <c r="O21" s="70"/>
      <c r="P21" s="70"/>
    </row>
    <row r="22" spans="1:16" s="2" customFormat="1" x14ac:dyDescent="0.2">
      <c r="A22" s="10">
        <v>7</v>
      </c>
      <c r="B22" s="68"/>
      <c r="C22" s="60"/>
      <c r="D22" s="66"/>
      <c r="E22" s="66"/>
      <c r="F22" s="9"/>
      <c r="G22" s="66"/>
      <c r="H22" s="66"/>
      <c r="I22" s="66"/>
      <c r="J22" s="66"/>
      <c r="K22" s="69"/>
      <c r="L22" s="69"/>
      <c r="M22" s="69"/>
      <c r="N22" s="69"/>
      <c r="O22" s="70"/>
      <c r="P22" s="70"/>
    </row>
    <row r="23" spans="1:16" s="2" customFormat="1" x14ac:dyDescent="0.2">
      <c r="A23" s="10">
        <v>8</v>
      </c>
      <c r="B23" s="71" t="s">
        <v>56</v>
      </c>
      <c r="C23" s="60"/>
      <c r="D23" s="105">
        <f>SUM(D16:D21)</f>
        <v>7182629808.1811619</v>
      </c>
      <c r="E23" s="105">
        <f>SUM(E16:E21)</f>
        <v>755663227.91297436</v>
      </c>
      <c r="F23" s="105">
        <f>SUM(F16:F21)</f>
        <v>7938293036.0941353</v>
      </c>
      <c r="G23" s="105">
        <f>SUM(G16:G21)</f>
        <v>1801722711.9711599</v>
      </c>
      <c r="H23" s="105">
        <f t="shared" ref="H23:J23" si="0">SUM(H16:H21)</f>
        <v>153771951.63116503</v>
      </c>
      <c r="I23" s="105">
        <f t="shared" si="0"/>
        <v>2093265.3636269988</v>
      </c>
      <c r="J23" s="105">
        <f t="shared" si="0"/>
        <v>1957587928.9659519</v>
      </c>
      <c r="K23" s="106"/>
      <c r="L23" s="106"/>
      <c r="M23" s="106"/>
      <c r="N23" s="69"/>
      <c r="O23" s="70"/>
      <c r="P23" s="70"/>
    </row>
    <row r="24" spans="1:16" s="2" customFormat="1" x14ac:dyDescent="0.2">
      <c r="A24" s="10">
        <v>9</v>
      </c>
      <c r="B24" s="68"/>
      <c r="C24" s="60"/>
      <c r="D24" s="66"/>
      <c r="E24" s="66"/>
      <c r="F24" s="66"/>
      <c r="G24" s="66"/>
      <c r="H24" s="66"/>
      <c r="I24" s="66"/>
      <c r="J24" s="66"/>
      <c r="K24" s="69"/>
      <c r="L24" s="69"/>
      <c r="M24" s="69"/>
      <c r="N24" s="69"/>
      <c r="O24" s="70"/>
      <c r="P24" s="70"/>
    </row>
    <row r="25" spans="1:16" s="2" customFormat="1" x14ac:dyDescent="0.2">
      <c r="A25" s="10">
        <v>10</v>
      </c>
      <c r="B25" s="72" t="s">
        <v>57</v>
      </c>
      <c r="C25" s="60"/>
      <c r="D25" s="66">
        <f>+'[2]I-A-1'!D25</f>
        <v>0</v>
      </c>
      <c r="E25" s="66">
        <f>+'[2]I-A-1'!E25</f>
        <v>0</v>
      </c>
      <c r="F25" s="66">
        <f>+'[2]I-A-1'!F25</f>
        <v>0</v>
      </c>
      <c r="G25" s="66">
        <f>+'[2]I-A-1'!G25</f>
        <v>0</v>
      </c>
      <c r="H25" s="66">
        <f>+'[2]I-A-1'!H25</f>
        <v>0</v>
      </c>
      <c r="I25" s="66">
        <f>+'[2]I-A-1'!I25</f>
        <v>0</v>
      </c>
      <c r="J25" s="66">
        <f>+'[2]I-A-1'!J25</f>
        <v>0</v>
      </c>
      <c r="K25" s="69"/>
      <c r="L25" s="69"/>
      <c r="M25" s="69"/>
      <c r="N25" s="69"/>
      <c r="O25" s="70"/>
      <c r="P25" s="70"/>
    </row>
    <row r="26" spans="1:16" s="2" customFormat="1" x14ac:dyDescent="0.2">
      <c r="A26" s="10">
        <v>11</v>
      </c>
      <c r="B26" s="68"/>
      <c r="C26" s="60"/>
      <c r="D26" s="66"/>
      <c r="E26" s="66"/>
      <c r="F26" s="66"/>
      <c r="G26" s="66"/>
      <c r="H26" s="66"/>
      <c r="I26" s="66"/>
      <c r="J26" s="66"/>
      <c r="K26" s="69"/>
      <c r="L26" s="69"/>
      <c r="M26" s="69"/>
      <c r="N26" s="69"/>
      <c r="O26" s="70"/>
      <c r="P26" s="70"/>
    </row>
    <row r="27" spans="1:16" s="2" customFormat="1" x14ac:dyDescent="0.2">
      <c r="A27" s="10">
        <v>12</v>
      </c>
      <c r="B27" s="5" t="s">
        <v>58</v>
      </c>
      <c r="C27" s="3"/>
      <c r="D27" s="66">
        <f>+'[2]I-A-1'!D27</f>
        <v>0</v>
      </c>
      <c r="E27" s="66">
        <f>+'[2]I-A-1'!E27</f>
        <v>0</v>
      </c>
      <c r="F27" s="66">
        <f>+'[2]I-A-1'!F27</f>
        <v>0</v>
      </c>
      <c r="G27" s="66">
        <f>+'[2]I-A-1'!G27</f>
        <v>0</v>
      </c>
      <c r="H27" s="66">
        <f>+'[2]I-A-1'!H27</f>
        <v>0</v>
      </c>
      <c r="I27" s="66">
        <f>+'[2]I-A-1'!I27</f>
        <v>0</v>
      </c>
      <c r="J27" s="66">
        <f>+'[2]I-A-1'!J27</f>
        <v>0</v>
      </c>
      <c r="K27" s="69"/>
      <c r="L27" s="69"/>
      <c r="M27" s="69"/>
      <c r="N27" s="69"/>
      <c r="O27" s="70"/>
      <c r="P27" s="70"/>
    </row>
    <row r="28" spans="1:16" s="2" customFormat="1" x14ac:dyDescent="0.2">
      <c r="A28" s="10">
        <v>13</v>
      </c>
      <c r="B28" s="5"/>
      <c r="C28" s="3"/>
      <c r="D28" s="66"/>
      <c r="E28" s="66"/>
      <c r="F28" s="66"/>
      <c r="G28" s="66"/>
      <c r="H28" s="66"/>
      <c r="I28" s="66"/>
      <c r="J28" s="66"/>
      <c r="K28" s="69"/>
      <c r="L28" s="69"/>
      <c r="M28" s="69"/>
      <c r="N28" s="69"/>
      <c r="O28" s="70"/>
      <c r="P28" s="70"/>
    </row>
    <row r="29" spans="1:16" s="2" customFormat="1" x14ac:dyDescent="0.2">
      <c r="A29" s="10">
        <v>14</v>
      </c>
      <c r="B29" s="5" t="s">
        <v>59</v>
      </c>
      <c r="C29" s="3" t="s">
        <v>60</v>
      </c>
      <c r="D29" s="66">
        <f>+'[2]I-A-1'!D29</f>
        <v>94183571.75</v>
      </c>
      <c r="E29" s="66">
        <f>+'[2]I-A-1'!E29</f>
        <v>32962474.130000003</v>
      </c>
      <c r="F29" s="66">
        <f>+'[2]I-A-1'!F29</f>
        <v>127146045.88</v>
      </c>
      <c r="G29" s="66">
        <f>+'[2]I-A-1'!G29</f>
        <v>44003243.119999997</v>
      </c>
      <c r="H29" s="66">
        <f>+'[2]I-A-1'!H29</f>
        <v>373328.27</v>
      </c>
      <c r="I29" s="66">
        <f>+'[2]I-A-1'!I29</f>
        <v>1755145.34</v>
      </c>
      <c r="J29" s="66">
        <f>+'[2]I-A-1'!J29</f>
        <v>46131716.730000004</v>
      </c>
      <c r="K29" s="69"/>
      <c r="L29" s="69"/>
      <c r="M29" s="69"/>
      <c r="N29" s="69"/>
      <c r="O29" s="70"/>
      <c r="P29" s="70"/>
    </row>
    <row r="30" spans="1:16" s="2" customFormat="1" x14ac:dyDescent="0.2">
      <c r="A30" s="10">
        <v>15</v>
      </c>
      <c r="B30" s="5"/>
      <c r="C30" s="3"/>
      <c r="D30" s="73"/>
      <c r="E30" s="73"/>
      <c r="F30" s="73"/>
      <c r="G30" s="73"/>
      <c r="H30" s="73"/>
      <c r="I30" s="73"/>
      <c r="J30" s="73"/>
      <c r="K30" s="69"/>
      <c r="L30" s="69"/>
      <c r="M30" s="69"/>
      <c r="N30" s="69"/>
      <c r="O30" s="70"/>
      <c r="P30" s="70"/>
    </row>
    <row r="31" spans="1:16" s="56" customFormat="1" x14ac:dyDescent="0.2">
      <c r="A31" s="10">
        <v>16</v>
      </c>
      <c r="B31" s="74" t="s">
        <v>61</v>
      </c>
      <c r="C31" s="75"/>
      <c r="D31" s="105">
        <f>+D23+D25+D27-D29</f>
        <v>7088446236.4311619</v>
      </c>
      <c r="E31" s="105">
        <f>+E23+E25+E27-E29</f>
        <v>722700753.78297436</v>
      </c>
      <c r="F31" s="105">
        <f>+F23+F25+F27-F29</f>
        <v>7811146990.2141352</v>
      </c>
      <c r="G31" s="105">
        <f>+G23+G25+G27-G29</f>
        <v>1757719468.85116</v>
      </c>
      <c r="H31" s="105">
        <f t="shared" ref="H31:J31" si="1">+H23+H25+H27-H29</f>
        <v>153398623.36116502</v>
      </c>
      <c r="I31" s="105">
        <f t="shared" si="1"/>
        <v>338120.02362699877</v>
      </c>
      <c r="J31" s="105">
        <f t="shared" si="1"/>
        <v>1911456212.2359519</v>
      </c>
      <c r="K31" s="105"/>
      <c r="L31" s="105"/>
      <c r="M31" s="105"/>
      <c r="N31" s="76"/>
      <c r="O31" s="77"/>
      <c r="P31" s="77"/>
    </row>
  </sheetData>
  <phoneticPr fontId="2" type="noConversion"/>
  <conditionalFormatting sqref="D29:F29">
    <cfRule type="cellIs" priority="1" stopIfTrue="1" operator="lessThan">
      <formula>0</formula>
    </cfRule>
  </conditionalFormatting>
  <printOptions horizontalCentered="1"/>
  <pageMargins left="0.5" right="0.5" top="2.5" bottom="0.5" header="1.5" footer="0.25"/>
  <pageSetup scale="74" pageOrder="overThenDown" orientation="landscape" r:id="rId1"/>
  <headerFooter alignWithMargins="0">
    <oddHeader>&amp;R&amp;"Arial,Bold"Schedule &amp;A
Page &amp;P of &amp;N&amp;C&amp;B
2025 RATE CASE
ONCOR ELECTRIC DELIVERY COMPANY LLC
III-A-1 SUMMARY OF TOTAL COST OF SERVICE BY FUNCTION
TEST YEAR ENDING DECEMBER 31, 2024
SPONSOR: R. PRACHYL &amp;&amp; W. ALAN LEDBETTER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_Schedules">
                <anchor moveWithCells="1" sizeWithCells="1">
                  <from>
                    <xdr:col>14</xdr:col>
                    <xdr:colOff>266700</xdr:colOff>
                    <xdr:row>17</xdr:row>
                    <xdr:rowOff>38100</xdr:rowOff>
                  </from>
                  <to>
                    <xdr:col>17</xdr:col>
                    <xdr:colOff>600075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EB41"/>
  <sheetViews>
    <sheetView zoomScaleNormal="100" workbookViewId="0">
      <pane ySplit="13" topLeftCell="A14" activePane="bottomLeft" state="frozen"/>
      <selection activeCell="G16" sqref="G16"/>
      <selection pane="bottomLeft" activeCell="E17" sqref="E17"/>
    </sheetView>
  </sheetViews>
  <sheetFormatPr defaultColWidth="9.140625" defaultRowHeight="12.75" x14ac:dyDescent="0.2"/>
  <cols>
    <col min="1" max="1" width="5.7109375" style="5" customWidth="1"/>
    <col min="2" max="2" width="32.140625" style="5" bestFit="1" customWidth="1"/>
    <col min="3" max="3" width="10.28515625" style="5" bestFit="1" customWidth="1"/>
    <col min="4" max="4" width="16" style="3" bestFit="1" customWidth="1"/>
    <col min="5" max="5" width="15.5703125" style="5" bestFit="1" customWidth="1"/>
    <col min="6" max="6" width="16" style="5" bestFit="1" customWidth="1"/>
    <col min="7" max="7" width="15.5703125" style="5" bestFit="1" customWidth="1"/>
    <col min="8" max="10" width="15.5703125" style="5" customWidth="1"/>
    <col min="11" max="11" width="3.7109375" style="5" customWidth="1"/>
    <col min="12" max="12" width="13.42578125" style="5" bestFit="1" customWidth="1"/>
    <col min="13" max="13" width="15.5703125" style="5" bestFit="1" customWidth="1"/>
    <col min="14" max="16384" width="9.140625" style="5"/>
  </cols>
  <sheetData>
    <row r="1" spans="1:132" x14ac:dyDescent="0.2">
      <c r="A1" s="55" t="str">
        <f>+'[1]Input Data'!$A$9</f>
        <v>2025 RATE CASE</v>
      </c>
    </row>
    <row r="2" spans="1:132" x14ac:dyDescent="0.2">
      <c r="A2" s="7" t="str">
        <f>+'[1]Input Data'!$A$2</f>
        <v>ONCOR ELECTRIC DELIVERY COMPANY LLC</v>
      </c>
      <c r="B2" s="4"/>
      <c r="C2" s="4"/>
      <c r="D2" s="10"/>
      <c r="E2" s="4"/>
      <c r="F2" s="4"/>
      <c r="G2" s="4"/>
      <c r="H2" s="4"/>
      <c r="I2" s="4"/>
      <c r="J2" s="4"/>
      <c r="K2" s="4"/>
      <c r="L2" s="4"/>
      <c r="N2" s="11"/>
    </row>
    <row r="3" spans="1:132" x14ac:dyDescent="0.2">
      <c r="A3" s="6" t="s">
        <v>1</v>
      </c>
      <c r="B3" s="4"/>
      <c r="D3" s="10"/>
      <c r="E3" s="4"/>
      <c r="F3" s="8"/>
      <c r="G3" s="4"/>
      <c r="H3" s="4"/>
      <c r="I3" s="4"/>
      <c r="J3" s="4"/>
      <c r="K3" s="4"/>
      <c r="L3" s="4"/>
    </row>
    <row r="4" spans="1:132" x14ac:dyDescent="0.2">
      <c r="A4" s="54" t="str">
        <f>+'[1]Input Data'!$A$4</f>
        <v>TEST YEAR ENDING DECEMBER 31, 2024</v>
      </c>
      <c r="B4" s="4"/>
      <c r="D4" s="10"/>
      <c r="E4" s="4"/>
      <c r="F4" s="8"/>
      <c r="G4" s="4"/>
      <c r="H4" s="4"/>
      <c r="I4" s="4"/>
      <c r="J4" s="4"/>
      <c r="K4" s="4"/>
      <c r="L4" s="4"/>
    </row>
    <row r="5" spans="1:132" x14ac:dyDescent="0.2">
      <c r="A5" s="6" t="str">
        <f>CONCATENATE("SPONSOR: ",'[1]Schedule Sponsors'!$D$158)</f>
        <v>SPONSOR: W. ALAN LEDBETTER</v>
      </c>
      <c r="B5" s="4"/>
      <c r="D5" s="10"/>
      <c r="E5" s="4"/>
      <c r="F5" s="4"/>
      <c r="G5" s="4"/>
      <c r="H5" s="4"/>
      <c r="I5" s="4"/>
      <c r="J5" s="4"/>
      <c r="K5" s="4"/>
      <c r="L5" s="4"/>
    </row>
    <row r="6" spans="1:132" x14ac:dyDescent="0.2">
      <c r="B6" s="4"/>
      <c r="D6" s="10"/>
      <c r="E6" s="4"/>
      <c r="F6" s="4"/>
      <c r="G6" s="4"/>
      <c r="H6" s="4"/>
      <c r="I6" s="4"/>
      <c r="J6" s="4"/>
      <c r="K6" s="4"/>
      <c r="L6" s="4"/>
    </row>
    <row r="7" spans="1:132" x14ac:dyDescent="0.2">
      <c r="B7" s="4"/>
      <c r="D7" s="10"/>
      <c r="E7" s="4"/>
      <c r="F7" s="4"/>
      <c r="G7" s="4"/>
      <c r="H7" s="4"/>
      <c r="I7" s="4"/>
      <c r="J7" s="4"/>
      <c r="K7" s="4"/>
      <c r="L7" s="4"/>
    </row>
    <row r="8" spans="1:132" x14ac:dyDescent="0.2">
      <c r="A8" s="27"/>
      <c r="B8" s="4"/>
      <c r="D8" s="10"/>
      <c r="E8" s="4"/>
      <c r="F8" s="4"/>
      <c r="G8" s="4"/>
      <c r="H8" s="4"/>
      <c r="I8" s="4"/>
      <c r="J8" s="4"/>
      <c r="K8" s="4"/>
      <c r="L8" s="4"/>
    </row>
    <row r="9" spans="1:132" ht="13.5" thickBot="1" x14ac:dyDescent="0.25"/>
    <row r="10" spans="1:132" s="55" customFormat="1" x14ac:dyDescent="0.2">
      <c r="A10" s="58"/>
      <c r="B10" s="78"/>
      <c r="C10" s="78"/>
      <c r="D10" s="59" t="s">
        <v>25</v>
      </c>
      <c r="E10" s="58"/>
      <c r="F10" s="59" t="s">
        <v>27</v>
      </c>
      <c r="G10" s="59"/>
      <c r="H10" s="59"/>
      <c r="I10" s="59"/>
      <c r="J10" s="59"/>
      <c r="L10" s="15"/>
      <c r="M10" s="15"/>
    </row>
    <row r="11" spans="1:132" s="55" customFormat="1" x14ac:dyDescent="0.2">
      <c r="A11" s="62" t="s">
        <v>29</v>
      </c>
      <c r="B11" s="79"/>
      <c r="C11" s="62" t="s">
        <v>30</v>
      </c>
      <c r="D11" s="62" t="s">
        <v>31</v>
      </c>
      <c r="E11" s="62" t="s">
        <v>62</v>
      </c>
      <c r="F11" s="62" t="s">
        <v>31</v>
      </c>
      <c r="G11" s="62"/>
      <c r="H11" s="62" t="s">
        <v>139</v>
      </c>
      <c r="I11" s="62" t="s">
        <v>140</v>
      </c>
      <c r="J11" s="62" t="s">
        <v>147</v>
      </c>
      <c r="L11" s="15"/>
      <c r="M11" s="15"/>
    </row>
    <row r="12" spans="1:132" s="55" customFormat="1" x14ac:dyDescent="0.2">
      <c r="A12" s="62" t="s">
        <v>34</v>
      </c>
      <c r="B12" s="62" t="s">
        <v>35</v>
      </c>
      <c r="C12" s="62" t="s">
        <v>36</v>
      </c>
      <c r="D12" s="62" t="s">
        <v>37</v>
      </c>
      <c r="E12" s="62" t="s">
        <v>63</v>
      </c>
      <c r="F12" s="62" t="s">
        <v>37</v>
      </c>
      <c r="G12" s="62" t="s">
        <v>64</v>
      </c>
      <c r="H12" s="62" t="s">
        <v>64</v>
      </c>
      <c r="I12" s="62" t="s">
        <v>142</v>
      </c>
      <c r="J12" s="62" t="s">
        <v>64</v>
      </c>
      <c r="L12" s="15"/>
      <c r="M12" s="15"/>
    </row>
    <row r="13" spans="1:132" s="55" customFormat="1" ht="13.5" thickBot="1" x14ac:dyDescent="0.25">
      <c r="A13" s="80"/>
      <c r="B13" s="81" t="s">
        <v>40</v>
      </c>
      <c r="C13" s="81" t="s">
        <v>41</v>
      </c>
      <c r="D13" s="81" t="s">
        <v>42</v>
      </c>
      <c r="E13" s="81" t="s">
        <v>43</v>
      </c>
      <c r="F13" s="81" t="s">
        <v>44</v>
      </c>
      <c r="G13" s="101" t="s">
        <v>45</v>
      </c>
      <c r="H13" s="101" t="s">
        <v>118</v>
      </c>
      <c r="I13" s="101" t="s">
        <v>145</v>
      </c>
      <c r="J13" s="101" t="s">
        <v>146</v>
      </c>
      <c r="L13" s="115"/>
      <c r="M13" s="115"/>
    </row>
    <row r="14" spans="1:132" x14ac:dyDescent="0.2">
      <c r="A14" s="82"/>
      <c r="B14" s="82"/>
      <c r="C14" s="82"/>
      <c r="D14" s="82"/>
      <c r="E14" s="82"/>
      <c r="F14" s="82"/>
      <c r="G14" s="82"/>
    </row>
    <row r="15" spans="1:132" x14ac:dyDescent="0.2">
      <c r="A15" s="3">
        <v>1</v>
      </c>
      <c r="B15" s="83" t="s">
        <v>65</v>
      </c>
      <c r="C15" s="84" t="s">
        <v>66</v>
      </c>
      <c r="D15" s="108">
        <f>+'[3]II-B'!D15</f>
        <v>38857880674</v>
      </c>
      <c r="E15" s="108">
        <f>+'[3]II-B'!E15</f>
        <v>-325620017.43000031</v>
      </c>
      <c r="F15" s="108">
        <f>+'[3]II-B'!F15</f>
        <v>38532260656.57</v>
      </c>
      <c r="G15" s="108">
        <f>+'[3]II-B'!G15</f>
        <v>15611500445.920002</v>
      </c>
      <c r="H15" s="108">
        <f>+'[3]II-B'!H15</f>
        <v>1722143641.1800001</v>
      </c>
      <c r="I15" s="108">
        <f>+'[3]II-B'!I15</f>
        <v>21007909.579999983</v>
      </c>
      <c r="J15" s="108">
        <f>+'[3]II-B'!J15</f>
        <v>17354651996.68</v>
      </c>
      <c r="K15" s="109"/>
      <c r="L15" s="108"/>
      <c r="M15" s="108"/>
    </row>
    <row r="16" spans="1:132" x14ac:dyDescent="0.2">
      <c r="A16" s="3">
        <v>2</v>
      </c>
      <c r="B16" s="83" t="s">
        <v>67</v>
      </c>
      <c r="C16" s="84" t="s">
        <v>68</v>
      </c>
      <c r="D16" s="85">
        <f>+'[3]II-B'!D16</f>
        <v>805656680.13999999</v>
      </c>
      <c r="E16" s="85">
        <f>+'[3]II-B'!E16</f>
        <v>-193556238.36000016</v>
      </c>
      <c r="F16" s="85">
        <f>+'[3]II-B'!F16</f>
        <v>612100441.77999985</v>
      </c>
      <c r="G16" s="85">
        <f>+'[3]II-B'!G16</f>
        <v>210647663.62999994</v>
      </c>
      <c r="H16" s="85">
        <f>+'[3]II-B'!H16</f>
        <v>4541729.42</v>
      </c>
      <c r="I16" s="85">
        <f>+'[3]II-B'!I16</f>
        <v>0</v>
      </c>
      <c r="J16" s="85">
        <f>+'[3]II-B'!J16</f>
        <v>215189393.04999995</v>
      </c>
      <c r="K16" s="86"/>
      <c r="L16" s="85"/>
      <c r="M16" s="85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6"/>
      <c r="CM16" s="86"/>
      <c r="CN16" s="86"/>
      <c r="CO16" s="86"/>
      <c r="CP16" s="86"/>
      <c r="CQ16" s="86"/>
      <c r="CR16" s="86"/>
      <c r="CS16" s="86"/>
      <c r="CT16" s="86"/>
      <c r="CU16" s="86"/>
      <c r="CV16" s="86"/>
      <c r="CW16" s="86"/>
      <c r="CX16" s="86"/>
      <c r="CY16" s="86"/>
      <c r="CZ16" s="86"/>
      <c r="DA16" s="86"/>
      <c r="DB16" s="86"/>
      <c r="DC16" s="86"/>
      <c r="DD16" s="86"/>
      <c r="DE16" s="86"/>
      <c r="DF16" s="86"/>
      <c r="DG16" s="86"/>
      <c r="DH16" s="86"/>
      <c r="DI16" s="86"/>
      <c r="DJ16" s="86"/>
      <c r="DK16" s="86"/>
      <c r="DL16" s="86"/>
      <c r="DM16" s="86"/>
      <c r="DN16" s="86"/>
      <c r="DO16" s="86"/>
      <c r="DP16" s="86"/>
      <c r="DQ16" s="86"/>
      <c r="DR16" s="86"/>
      <c r="DS16" s="86"/>
      <c r="DT16" s="86"/>
      <c r="DU16" s="86"/>
      <c r="DV16" s="86"/>
      <c r="DW16" s="86"/>
      <c r="DX16" s="86"/>
      <c r="DY16" s="86"/>
      <c r="DZ16" s="86"/>
      <c r="EA16" s="86"/>
      <c r="EB16" s="86"/>
    </row>
    <row r="17" spans="1:132" x14ac:dyDescent="0.2">
      <c r="A17" s="3">
        <v>3</v>
      </c>
      <c r="B17" s="83" t="s">
        <v>69</v>
      </c>
      <c r="C17" s="84" t="s">
        <v>70</v>
      </c>
      <c r="D17" s="85">
        <f>+'[3]II-B'!D17</f>
        <v>161341597.34999999</v>
      </c>
      <c r="E17" s="85">
        <f>+'[3]II-B'!E17</f>
        <v>488716302.74000001</v>
      </c>
      <c r="F17" s="85">
        <f>+'[3]II-B'!F17</f>
        <v>650057900.09000003</v>
      </c>
      <c r="G17" s="85">
        <f>+'[3]II-B'!G17</f>
        <v>251204071.02999997</v>
      </c>
      <c r="H17" s="85">
        <f>+'[3]II-B'!H17</f>
        <v>30618.510000000002</v>
      </c>
      <c r="I17" s="85">
        <f>+'[3]II-B'!I17</f>
        <v>0</v>
      </c>
      <c r="J17" s="85">
        <f>+'[3]II-B'!J17</f>
        <v>251234689.53999996</v>
      </c>
      <c r="K17" s="86"/>
      <c r="L17" s="85"/>
      <c r="M17" s="85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6"/>
      <c r="CM17" s="86"/>
      <c r="CN17" s="86"/>
      <c r="CO17" s="86"/>
      <c r="CP17" s="86"/>
      <c r="CQ17" s="86"/>
      <c r="CR17" s="86"/>
      <c r="CS17" s="86"/>
      <c r="CT17" s="86"/>
      <c r="CU17" s="86"/>
      <c r="CV17" s="86"/>
      <c r="CW17" s="86"/>
      <c r="CX17" s="86"/>
      <c r="CY17" s="86"/>
      <c r="CZ17" s="86"/>
      <c r="DA17" s="86"/>
      <c r="DB17" s="86"/>
      <c r="DC17" s="86"/>
      <c r="DD17" s="86"/>
      <c r="DE17" s="86"/>
      <c r="DF17" s="86"/>
      <c r="DG17" s="86"/>
      <c r="DH17" s="86"/>
      <c r="DI17" s="86"/>
      <c r="DJ17" s="86"/>
      <c r="DK17" s="86"/>
      <c r="DL17" s="86"/>
      <c r="DM17" s="86"/>
      <c r="DN17" s="86"/>
      <c r="DO17" s="86"/>
      <c r="DP17" s="86"/>
      <c r="DQ17" s="86"/>
      <c r="DR17" s="86"/>
      <c r="DS17" s="86"/>
      <c r="DT17" s="86"/>
      <c r="DU17" s="86"/>
      <c r="DV17" s="86"/>
      <c r="DW17" s="86"/>
      <c r="DX17" s="86"/>
      <c r="DY17" s="86"/>
      <c r="DZ17" s="86"/>
      <c r="EA17" s="86"/>
      <c r="EB17" s="86"/>
    </row>
    <row r="18" spans="1:132" x14ac:dyDescent="0.2">
      <c r="A18" s="3">
        <v>4</v>
      </c>
      <c r="B18" s="83" t="s">
        <v>71</v>
      </c>
      <c r="C18" s="84"/>
      <c r="D18" s="110">
        <f>SUM(D15:D17)</f>
        <v>39824878951.489998</v>
      </c>
      <c r="E18" s="110">
        <f>SUM(E15:E17)</f>
        <v>-30459953.050000429</v>
      </c>
      <c r="F18" s="110">
        <f>SUM(F15:F17)</f>
        <v>39794418998.439995</v>
      </c>
      <c r="G18" s="110">
        <f>SUM(G15:G17)</f>
        <v>16073352180.580002</v>
      </c>
      <c r="H18" s="110">
        <f t="shared" ref="H18:J18" si="0">SUM(H15:H17)</f>
        <v>1726715989.1100001</v>
      </c>
      <c r="I18" s="110">
        <f t="shared" si="0"/>
        <v>21007909.579999983</v>
      </c>
      <c r="J18" s="110">
        <f t="shared" si="0"/>
        <v>17821076079.27</v>
      </c>
      <c r="K18" s="109"/>
      <c r="L18" s="111"/>
      <c r="M18" s="111"/>
    </row>
    <row r="19" spans="1:132" x14ac:dyDescent="0.2">
      <c r="A19" s="3">
        <v>5</v>
      </c>
      <c r="B19" s="83"/>
      <c r="C19" s="84"/>
      <c r="D19" s="87"/>
      <c r="E19" s="87"/>
      <c r="F19" s="87"/>
      <c r="G19" s="87"/>
      <c r="H19" s="87"/>
      <c r="I19" s="87"/>
      <c r="J19" s="87"/>
      <c r="L19" s="87"/>
      <c r="M19" s="87"/>
    </row>
    <row r="20" spans="1:132" x14ac:dyDescent="0.2">
      <c r="A20" s="3">
        <v>6</v>
      </c>
      <c r="B20" s="83" t="s">
        <v>72</v>
      </c>
      <c r="C20" s="84" t="s">
        <v>73</v>
      </c>
      <c r="D20" s="108">
        <f>+'[3]II-B'!D20</f>
        <v>11324801327.52</v>
      </c>
      <c r="E20" s="108">
        <f>+'[3]II-B'!E20</f>
        <v>-9703342.810000062</v>
      </c>
      <c r="F20" s="108">
        <f>+'[3]II-B'!F20</f>
        <v>11315097984.710001</v>
      </c>
      <c r="G20" s="108">
        <f>+'[3]II-B'!G20</f>
        <v>3770500824.98</v>
      </c>
      <c r="H20" s="108">
        <f>+'[3]II-B'!H20</f>
        <v>416129905.83000004</v>
      </c>
      <c r="I20" s="108">
        <f>+'[3]II-B'!I20</f>
        <v>10438214.73</v>
      </c>
      <c r="J20" s="108">
        <f>+'[3]II-B'!J20</f>
        <v>4197068945.54</v>
      </c>
      <c r="K20" s="108"/>
      <c r="L20" s="108"/>
      <c r="M20" s="108"/>
    </row>
    <row r="21" spans="1:132" x14ac:dyDescent="0.2">
      <c r="A21" s="3">
        <v>7</v>
      </c>
      <c r="B21" s="83"/>
      <c r="C21" s="84"/>
      <c r="D21" s="88"/>
      <c r="E21" s="88"/>
      <c r="F21" s="88"/>
      <c r="G21" s="88"/>
      <c r="H21" s="88"/>
      <c r="I21" s="88"/>
      <c r="J21" s="88"/>
      <c r="L21" s="121"/>
      <c r="M21" s="121"/>
    </row>
    <row r="22" spans="1:132" x14ac:dyDescent="0.2">
      <c r="A22" s="3">
        <v>8</v>
      </c>
      <c r="B22" s="90" t="s">
        <v>74</v>
      </c>
      <c r="C22" s="84"/>
      <c r="D22" s="111">
        <f>+D18-D20</f>
        <v>28500077623.969997</v>
      </c>
      <c r="E22" s="111">
        <f>+E18-E20</f>
        <v>-20756610.240000367</v>
      </c>
      <c r="F22" s="111">
        <f>+F18-F20</f>
        <v>28479321013.729996</v>
      </c>
      <c r="G22" s="111">
        <f>+G18-G20</f>
        <v>12302851355.600002</v>
      </c>
      <c r="H22" s="111">
        <f t="shared" ref="H22:J22" si="1">+H18-H20</f>
        <v>1310586083.2800002</v>
      </c>
      <c r="I22" s="111">
        <f t="shared" si="1"/>
        <v>10569694.849999983</v>
      </c>
      <c r="J22" s="111">
        <f t="shared" si="1"/>
        <v>13624007133.73</v>
      </c>
      <c r="K22" s="111"/>
      <c r="L22" s="111"/>
      <c r="M22" s="111"/>
    </row>
    <row r="23" spans="1:132" x14ac:dyDescent="0.2">
      <c r="A23" s="3">
        <v>9</v>
      </c>
      <c r="B23" s="83"/>
      <c r="C23" s="84"/>
      <c r="D23" s="85"/>
      <c r="E23" s="85"/>
      <c r="F23" s="85"/>
      <c r="G23" s="85"/>
      <c r="H23" s="85"/>
      <c r="I23" s="85"/>
      <c r="J23" s="85"/>
      <c r="L23" s="85"/>
      <c r="M23" s="85"/>
    </row>
    <row r="24" spans="1:132" x14ac:dyDescent="0.2">
      <c r="A24" s="3">
        <v>10</v>
      </c>
      <c r="B24" s="91" t="s">
        <v>75</v>
      </c>
      <c r="C24" s="92"/>
      <c r="D24" s="85"/>
      <c r="E24" s="85"/>
      <c r="F24" s="85"/>
      <c r="G24" s="85"/>
      <c r="H24" s="85"/>
      <c r="I24" s="85"/>
      <c r="J24" s="85"/>
      <c r="L24" s="85"/>
      <c r="M24" s="85"/>
    </row>
    <row r="25" spans="1:132" x14ac:dyDescent="0.2">
      <c r="A25" s="3">
        <v>11</v>
      </c>
      <c r="B25" s="90" t="s">
        <v>76</v>
      </c>
      <c r="C25" s="84" t="s">
        <v>77</v>
      </c>
      <c r="D25" s="108">
        <f>+'[3]II-B'!D25</f>
        <v>1704962610.8399963</v>
      </c>
      <c r="E25" s="108">
        <f>+'[3]II-B'!E25</f>
        <v>-1704962610.8399963</v>
      </c>
      <c r="F25" s="108">
        <f>+'[3]II-B'!F25</f>
        <v>0</v>
      </c>
      <c r="G25" s="108">
        <f>+'[3]II-B'!G25</f>
        <v>0</v>
      </c>
      <c r="H25" s="108">
        <f>+'[3]II-B'!H25</f>
        <v>0</v>
      </c>
      <c r="I25" s="108">
        <f>+'[3]II-B'!I25</f>
        <v>0</v>
      </c>
      <c r="J25" s="108">
        <f>+'[3]II-B'!J25</f>
        <v>0</v>
      </c>
      <c r="K25" s="108"/>
      <c r="L25" s="108"/>
      <c r="M25" s="108"/>
    </row>
    <row r="26" spans="1:132" x14ac:dyDescent="0.2">
      <c r="A26" s="3">
        <v>12</v>
      </c>
      <c r="B26" s="90" t="s">
        <v>78</v>
      </c>
      <c r="C26" s="84" t="s">
        <v>79</v>
      </c>
      <c r="D26" s="85">
        <f>+'[3]II-B'!D26</f>
        <v>71356012.039999992</v>
      </c>
      <c r="E26" s="85">
        <f>+'[3]II-B'!E26</f>
        <v>-3200205.7</v>
      </c>
      <c r="F26" s="85">
        <f>+'[3]II-B'!F26</f>
        <v>68155806.339999989</v>
      </c>
      <c r="G26" s="85">
        <f>+'[3]II-B'!G26</f>
        <v>61450357.970000021</v>
      </c>
      <c r="H26" s="85">
        <f>+'[3]II-B'!H26</f>
        <v>0</v>
      </c>
      <c r="I26" s="85">
        <f>+'[3]II-B'!I26</f>
        <v>0</v>
      </c>
      <c r="J26" s="85">
        <f>+'[3]II-B'!J26</f>
        <v>61450357.970000021</v>
      </c>
      <c r="L26" s="85"/>
      <c r="M26" s="85"/>
    </row>
    <row r="27" spans="1:132" x14ac:dyDescent="0.2">
      <c r="A27" s="3">
        <v>13</v>
      </c>
      <c r="B27" s="5" t="s">
        <v>80</v>
      </c>
      <c r="C27" s="3" t="s">
        <v>81</v>
      </c>
      <c r="D27" s="85">
        <f>+'[3]II-B'!D27</f>
        <v>0</v>
      </c>
      <c r="E27" s="85">
        <f>+'[3]II-B'!E27</f>
        <v>0</v>
      </c>
      <c r="F27" s="85">
        <f>+'[3]II-B'!F27</f>
        <v>0</v>
      </c>
      <c r="G27" s="85">
        <f>+'[3]II-B'!G27</f>
        <v>0</v>
      </c>
      <c r="H27" s="85">
        <f>+'[3]II-B'!H27</f>
        <v>0</v>
      </c>
      <c r="I27" s="85">
        <f>+'[3]II-B'!I27</f>
        <v>0</v>
      </c>
      <c r="J27" s="85">
        <f>+'[3]II-B'!J27</f>
        <v>0</v>
      </c>
      <c r="L27" s="85"/>
      <c r="M27" s="85"/>
    </row>
    <row r="28" spans="1:132" x14ac:dyDescent="0.2">
      <c r="A28" s="3">
        <v>14</v>
      </c>
      <c r="B28" s="90" t="s">
        <v>82</v>
      </c>
      <c r="C28" s="84" t="s">
        <v>83</v>
      </c>
      <c r="D28" s="85">
        <f>+'[3]II-B'!D28</f>
        <v>378535520.38999999</v>
      </c>
      <c r="E28" s="85">
        <f>+'[3]II-B'!E28</f>
        <v>-206947.64999997616</v>
      </c>
      <c r="F28" s="85">
        <f>+'[3]II-B'!F28</f>
        <v>378328572.74000001</v>
      </c>
      <c r="G28" s="85">
        <f>+'[3]II-B'!G28</f>
        <v>219128707.50999999</v>
      </c>
      <c r="H28" s="85">
        <f>+'[3]II-B'!H28</f>
        <v>0</v>
      </c>
      <c r="I28" s="85">
        <f>+'[3]II-B'!I28</f>
        <v>0</v>
      </c>
      <c r="J28" s="85">
        <f>+'[3]II-B'!J28</f>
        <v>219128707.50999999</v>
      </c>
      <c r="L28" s="85"/>
      <c r="M28" s="85"/>
    </row>
    <row r="29" spans="1:132" x14ac:dyDescent="0.2">
      <c r="A29" s="3">
        <v>15</v>
      </c>
      <c r="B29" s="90" t="s">
        <v>84</v>
      </c>
      <c r="C29" s="84" t="s">
        <v>85</v>
      </c>
      <c r="D29" s="85">
        <f>+'[3]II-B'!D29</f>
        <v>-82280403</v>
      </c>
      <c r="E29" s="85">
        <f>+'[3]II-B'!E29</f>
        <v>0</v>
      </c>
      <c r="F29" s="85">
        <f>+'[3]II-B'!F29</f>
        <v>-82280403</v>
      </c>
      <c r="G29" s="85">
        <f>+'[3]II-B'!G29</f>
        <v>-50401681.159999996</v>
      </c>
      <c r="H29" s="85">
        <f>+'[3]II-B'!H29</f>
        <v>-5687892.9699999997</v>
      </c>
      <c r="I29" s="85">
        <f>+'[3]II-B'!I29</f>
        <v>0</v>
      </c>
      <c r="J29" s="85">
        <f>+'[3]II-B'!J29</f>
        <v>-56089574.129999995</v>
      </c>
      <c r="L29" s="85"/>
      <c r="M29" s="85"/>
    </row>
    <row r="30" spans="1:132" x14ac:dyDescent="0.2">
      <c r="A30" s="3">
        <v>16</v>
      </c>
      <c r="B30" s="90" t="s">
        <v>86</v>
      </c>
      <c r="C30" s="84" t="s">
        <v>87</v>
      </c>
      <c r="D30" s="85">
        <f>+'[3]II-B'!D30</f>
        <v>138858259.0138461</v>
      </c>
      <c r="E30" s="85">
        <f>+'[3]II-B'!E30</f>
        <v>7381538.844615384</v>
      </c>
      <c r="F30" s="85">
        <f>+'[3]II-B'!F30</f>
        <v>146239797.85846147</v>
      </c>
      <c r="G30" s="85">
        <f>+'[3]II-B'!G30</f>
        <v>17382401.434679456</v>
      </c>
      <c r="H30" s="85">
        <f>+'[3]II-B'!H30</f>
        <v>0</v>
      </c>
      <c r="I30" s="85">
        <f>+'[3]II-B'!I30</f>
        <v>0</v>
      </c>
      <c r="J30" s="85">
        <f>+'[3]II-B'!J30</f>
        <v>17382401.434679456</v>
      </c>
      <c r="L30" s="85"/>
      <c r="M30" s="85"/>
    </row>
    <row r="31" spans="1:132" x14ac:dyDescent="0.2">
      <c r="A31" s="3">
        <v>17</v>
      </c>
      <c r="B31" s="93" t="s">
        <v>115</v>
      </c>
      <c r="C31" s="94" t="s">
        <v>117</v>
      </c>
      <c r="D31" s="85">
        <f>+'[3]II-B'!D31</f>
        <v>-196662426.21999997</v>
      </c>
      <c r="E31" s="85">
        <f>+'[3]II-B'!E31</f>
        <v>194899913.91999999</v>
      </c>
      <c r="F31" s="85">
        <f>+'[3]II-B'!F31</f>
        <v>-1762512.3</v>
      </c>
      <c r="G31" s="85">
        <f>+'[3]II-B'!G31</f>
        <v>517979.78</v>
      </c>
      <c r="H31" s="85">
        <f>+'[3]II-B'!H31</f>
        <v>0</v>
      </c>
      <c r="I31" s="85">
        <f>+'[3]II-B'!I31</f>
        <v>0</v>
      </c>
      <c r="J31" s="85">
        <f>+'[3]II-B'!J31</f>
        <v>517979.78</v>
      </c>
      <c r="L31" s="85"/>
      <c r="M31" s="85"/>
    </row>
    <row r="32" spans="1:132" x14ac:dyDescent="0.2">
      <c r="A32" s="3">
        <v>18</v>
      </c>
      <c r="B32" s="5" t="s">
        <v>89</v>
      </c>
      <c r="C32" s="3" t="s">
        <v>90</v>
      </c>
      <c r="D32" s="85">
        <f>+'[3]II-B'!D32</f>
        <v>-1301408771.5799999</v>
      </c>
      <c r="E32" s="85">
        <f>+'[3]II-B'!E32</f>
        <v>1544845745.1199999</v>
      </c>
      <c r="F32" s="85">
        <f>+'[3]II-B'!F32</f>
        <v>243436973.53999996</v>
      </c>
      <c r="G32" s="85">
        <f>+'[3]II-B'!G32</f>
        <v>-369668775.85000002</v>
      </c>
      <c r="H32" s="85">
        <f>+'[3]II-B'!H32</f>
        <v>-43500356.460000001</v>
      </c>
      <c r="I32" s="85">
        <f>+'[3]II-B'!I32</f>
        <v>-381709.47</v>
      </c>
      <c r="J32" s="85">
        <f>+'[3]II-B'!J32</f>
        <v>-413550841.78000003</v>
      </c>
      <c r="L32" s="85"/>
      <c r="M32" s="85"/>
    </row>
    <row r="33" spans="1:13" x14ac:dyDescent="0.2">
      <c r="A33" s="3">
        <v>19</v>
      </c>
      <c r="B33" s="93" t="s">
        <v>116</v>
      </c>
      <c r="C33" s="3" t="s">
        <v>88</v>
      </c>
      <c r="D33" s="85">
        <f>+'[3]II-B'!$D$33</f>
        <v>-2551880640.0300002</v>
      </c>
      <c r="E33" s="85">
        <f>+'[3]II-B'!$E$33</f>
        <v>-217513681.38</v>
      </c>
      <c r="F33" s="85">
        <f>+'[3]II-B'!$F$33</f>
        <v>-2769394321.4099998</v>
      </c>
      <c r="G33" s="85">
        <f>+'[3]II-B'!G33</f>
        <v>-1106355572.98</v>
      </c>
      <c r="H33" s="85">
        <f>+'[3]II-B'!H33</f>
        <v>-151650766.90000001</v>
      </c>
      <c r="I33" s="85">
        <f>+'[3]II-B'!I33</f>
        <v>-949894.97</v>
      </c>
      <c r="J33" s="85">
        <f>+'[3]II-B'!J33</f>
        <v>-1258956234.8500001</v>
      </c>
      <c r="L33" s="85"/>
      <c r="M33" s="85"/>
    </row>
    <row r="34" spans="1:13" x14ac:dyDescent="0.2">
      <c r="A34" s="3">
        <v>20</v>
      </c>
      <c r="C34" s="3"/>
      <c r="D34" s="89"/>
      <c r="E34" s="89"/>
      <c r="F34" s="95"/>
      <c r="G34" s="95"/>
      <c r="H34" s="95"/>
      <c r="I34" s="95"/>
      <c r="J34" s="95"/>
      <c r="L34" s="38"/>
      <c r="M34" s="38"/>
    </row>
    <row r="35" spans="1:13" x14ac:dyDescent="0.2">
      <c r="A35" s="3">
        <v>21</v>
      </c>
      <c r="B35" s="96" t="s">
        <v>91</v>
      </c>
      <c r="C35" s="96"/>
      <c r="D35" s="111">
        <f>SUM(D25:D33)</f>
        <v>-1838519838.5461581</v>
      </c>
      <c r="E35" s="111">
        <f>SUM(E25:E33)</f>
        <v>-178756247.68538082</v>
      </c>
      <c r="F35" s="111">
        <f>SUM(F25:F33)</f>
        <v>-2017276086.2315385</v>
      </c>
      <c r="G35" s="111">
        <f>SUM(G25:G33)</f>
        <v>-1227946583.2953205</v>
      </c>
      <c r="H35" s="111">
        <f t="shared" ref="H35:J35" si="2">SUM(H25:H33)</f>
        <v>-200839016.33000001</v>
      </c>
      <c r="I35" s="111">
        <f t="shared" si="2"/>
        <v>-1331604.44</v>
      </c>
      <c r="J35" s="111">
        <f t="shared" si="2"/>
        <v>-1430117204.0653207</v>
      </c>
      <c r="K35" s="111"/>
      <c r="L35" s="111"/>
      <c r="M35" s="111"/>
    </row>
    <row r="36" spans="1:13" x14ac:dyDescent="0.2">
      <c r="A36" s="3">
        <v>22</v>
      </c>
      <c r="B36" s="90"/>
      <c r="C36" s="90"/>
      <c r="D36" s="85"/>
      <c r="E36" s="85"/>
      <c r="F36" s="38"/>
      <c r="G36" s="85"/>
      <c r="H36" s="85"/>
      <c r="I36" s="85"/>
      <c r="J36" s="85"/>
      <c r="L36" s="85"/>
      <c r="M36" s="85"/>
    </row>
    <row r="37" spans="1:13" s="55" customFormat="1" x14ac:dyDescent="0.2">
      <c r="A37" s="3">
        <v>23</v>
      </c>
      <c r="B37" s="97" t="s">
        <v>92</v>
      </c>
      <c r="C37" s="97"/>
      <c r="D37" s="111">
        <f>+D22+D35</f>
        <v>26661557785.42384</v>
      </c>
      <c r="E37" s="111">
        <f>+E22+E35</f>
        <v>-199512857.92538118</v>
      </c>
      <c r="F37" s="111">
        <f>+F22+F35</f>
        <v>26462044927.498459</v>
      </c>
      <c r="G37" s="111">
        <f>+G22+G35</f>
        <v>11074904772.304682</v>
      </c>
      <c r="H37" s="111">
        <f t="shared" ref="H37:J37" si="3">+H22+H35</f>
        <v>1109747066.9500003</v>
      </c>
      <c r="I37" s="111">
        <f t="shared" si="3"/>
        <v>9238090.4099999834</v>
      </c>
      <c r="J37" s="111">
        <f t="shared" si="3"/>
        <v>12193889929.664679</v>
      </c>
      <c r="K37" s="111"/>
      <c r="L37" s="111"/>
      <c r="M37" s="111"/>
    </row>
    <row r="38" spans="1:13" x14ac:dyDescent="0.2">
      <c r="A38" s="3">
        <v>24</v>
      </c>
      <c r="B38" s="98"/>
      <c r="C38" s="98"/>
      <c r="D38" s="38"/>
      <c r="E38" s="38"/>
      <c r="F38" s="38"/>
      <c r="G38" s="38"/>
      <c r="H38" s="38"/>
      <c r="I38" s="38"/>
      <c r="J38" s="38"/>
      <c r="L38" s="38"/>
      <c r="M38" s="38"/>
    </row>
    <row r="39" spans="1:13" x14ac:dyDescent="0.2">
      <c r="A39" s="3">
        <v>25</v>
      </c>
      <c r="B39" s="99" t="s">
        <v>93</v>
      </c>
      <c r="C39" s="98"/>
      <c r="D39" s="100">
        <f>+'[3]II-B'!$D$39</f>
        <v>7.4700000000000003E-2</v>
      </c>
      <c r="E39" s="100"/>
      <c r="F39" s="100">
        <f>+'[3]II-B'!$F$39</f>
        <v>7.4700000000000003E-2</v>
      </c>
      <c r="G39" s="100">
        <f>+'[3]II-B'!$G$39</f>
        <v>7.4700000000000003E-2</v>
      </c>
      <c r="H39" s="100">
        <f>+'[3]II-B'!$G$39</f>
        <v>7.4700000000000003E-2</v>
      </c>
      <c r="I39" s="100">
        <f>+'[3]II-B'!$G$39</f>
        <v>7.4700000000000003E-2</v>
      </c>
      <c r="J39" s="100">
        <f>+'[3]II-B'!$G$39</f>
        <v>7.4700000000000003E-2</v>
      </c>
      <c r="L39" s="100"/>
      <c r="M39" s="100"/>
    </row>
    <row r="40" spans="1:13" x14ac:dyDescent="0.2">
      <c r="A40" s="3">
        <v>26</v>
      </c>
      <c r="B40" s="4"/>
      <c r="C40" s="4"/>
      <c r="D40" s="38"/>
      <c r="E40" s="38"/>
      <c r="F40" s="38"/>
      <c r="G40" s="38"/>
      <c r="H40" s="38"/>
      <c r="I40" s="38"/>
      <c r="J40" s="38"/>
      <c r="L40" s="38"/>
      <c r="M40" s="38"/>
    </row>
    <row r="41" spans="1:13" s="55" customFormat="1" x14ac:dyDescent="0.2">
      <c r="A41" s="3">
        <v>27</v>
      </c>
      <c r="B41" s="7" t="s">
        <v>94</v>
      </c>
      <c r="C41" s="7"/>
      <c r="D41" s="111">
        <f>+D37*D39</f>
        <v>1991618366.5711608</v>
      </c>
      <c r="E41" s="111">
        <f>+F41-D41</f>
        <v>-14903610.487025738</v>
      </c>
      <c r="F41" s="111">
        <f>+F37*F39</f>
        <v>1976714756.0841351</v>
      </c>
      <c r="G41" s="111">
        <f>+G37*G39</f>
        <v>827295386.4911598</v>
      </c>
      <c r="H41" s="111">
        <f t="shared" ref="H41:J41" si="4">+H37*H39</f>
        <v>82898105.901165023</v>
      </c>
      <c r="I41" s="111">
        <f t="shared" si="4"/>
        <v>690085.35362699884</v>
      </c>
      <c r="J41" s="111">
        <f t="shared" si="4"/>
        <v>910883577.74595153</v>
      </c>
      <c r="K41" s="111"/>
      <c r="L41" s="111"/>
      <c r="M41" s="111"/>
    </row>
  </sheetData>
  <phoneticPr fontId="2" type="noConversion"/>
  <printOptions horizontalCentered="1"/>
  <pageMargins left="0.5" right="0.5" top="2.5" bottom="0.5" header="1.5" footer="0.25"/>
  <pageSetup scale="74" pageOrder="overThenDown" orientation="landscape"/>
  <headerFooter alignWithMargins="0">
    <oddHeader>&amp;R&amp;"Arial,Bold"Schedule &amp;A
Page &amp;P of &amp;N&amp;C&amp;B
2025 RATE CASE
ONCOR ELECTRIC DELIVERY COMPANY LLC
III-B RATE BASE BY FUNCTION
TEST YEAR ENDING DECEMBER 31, 2024
SPONSOR: W. ALAN LEDBETTER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R15"/>
  <sheetViews>
    <sheetView zoomScaleNormal="100" workbookViewId="0">
      <selection activeCell="G16" sqref="G16"/>
    </sheetView>
  </sheetViews>
  <sheetFormatPr defaultColWidth="9.140625" defaultRowHeight="12.75" x14ac:dyDescent="0.2"/>
  <cols>
    <col min="1" max="1" width="5.7109375" style="5" customWidth="1"/>
    <col min="2" max="2" width="8.42578125" style="5" customWidth="1"/>
    <col min="3" max="3" width="45.7109375" style="5" customWidth="1"/>
    <col min="4" max="4" width="10.5703125" style="3" customWidth="1"/>
    <col min="5" max="5" width="14" style="5" bestFit="1" customWidth="1"/>
    <col min="6" max="6" width="17" style="5" bestFit="1" customWidth="1"/>
    <col min="7" max="7" width="14" style="5" bestFit="1" customWidth="1"/>
    <col min="8" max="8" width="12.7109375" style="5" customWidth="1"/>
    <col min="9" max="9" width="14" style="5" bestFit="1" customWidth="1"/>
    <col min="10" max="10" width="14" style="5" customWidth="1"/>
    <col min="11" max="11" width="14" style="5" bestFit="1" customWidth="1"/>
    <col min="12" max="12" width="12.7109375" style="14" customWidth="1"/>
    <col min="13" max="13" width="16.85546875" style="3" bestFit="1" customWidth="1"/>
    <col min="14" max="18" width="12.7109375" style="5" customWidth="1"/>
    <col min="19" max="16384" width="9.140625" style="5"/>
  </cols>
  <sheetData>
    <row r="1" spans="1:18" x14ac:dyDescent="0.2">
      <c r="A1" s="55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4"/>
      <c r="C2" s="4"/>
      <c r="D2" s="10"/>
      <c r="E2" s="4"/>
      <c r="F2" s="4"/>
      <c r="G2" s="4"/>
      <c r="H2" s="4"/>
      <c r="I2" s="4"/>
      <c r="J2" s="4"/>
      <c r="K2" s="4"/>
      <c r="L2" s="19"/>
      <c r="M2" s="10"/>
      <c r="N2" s="4"/>
      <c r="O2" s="4"/>
      <c r="P2" s="4"/>
      <c r="Q2" s="4"/>
      <c r="R2" s="4"/>
    </row>
    <row r="3" spans="1:18" x14ac:dyDescent="0.2">
      <c r="A3" s="6" t="s">
        <v>2</v>
      </c>
      <c r="B3" s="4"/>
      <c r="D3" s="10"/>
      <c r="E3" s="4"/>
      <c r="F3" s="8"/>
      <c r="G3" s="4"/>
      <c r="H3" s="4"/>
      <c r="I3" s="4"/>
      <c r="J3" s="4"/>
      <c r="K3" s="26"/>
      <c r="L3" s="19"/>
      <c r="M3" s="10"/>
      <c r="N3" s="4"/>
      <c r="O3" s="4"/>
      <c r="P3" s="4"/>
      <c r="Q3" s="4"/>
      <c r="R3" s="26"/>
    </row>
    <row r="4" spans="1:18" x14ac:dyDescent="0.2">
      <c r="A4" s="54" t="str">
        <f>+'[1]Input Data'!$A$4</f>
        <v>TEST YEAR ENDING DECEMBER 31, 2024</v>
      </c>
      <c r="B4" s="4"/>
      <c r="D4" s="10"/>
      <c r="E4" s="4"/>
      <c r="F4" s="8"/>
      <c r="G4" s="4"/>
      <c r="H4" s="4"/>
      <c r="I4" s="4"/>
      <c r="J4" s="4"/>
      <c r="K4" s="26"/>
      <c r="L4" s="19"/>
      <c r="M4" s="10"/>
      <c r="N4" s="4"/>
      <c r="O4" s="4"/>
      <c r="P4" s="4"/>
      <c r="Q4" s="4"/>
      <c r="R4" s="26"/>
    </row>
    <row r="5" spans="1:18" x14ac:dyDescent="0.2">
      <c r="A5" s="6" t="str">
        <f>CONCATENATE("SPONSOR: ",'[1]Schedule Sponsors'!$D$157)</f>
        <v>SPONSOR: R. PRACHYL &amp;&amp; W. ALAN LEDBETTER</v>
      </c>
      <c r="B5" s="4"/>
      <c r="D5" s="10"/>
      <c r="E5" s="4"/>
      <c r="F5" s="4"/>
      <c r="G5" s="4"/>
      <c r="H5" s="4"/>
      <c r="I5" s="4"/>
      <c r="J5" s="4"/>
      <c r="K5" s="4"/>
      <c r="L5" s="19"/>
      <c r="M5" s="10"/>
      <c r="N5" s="4"/>
      <c r="O5" s="4"/>
      <c r="P5" s="4"/>
      <c r="Q5" s="4"/>
      <c r="R5" s="4"/>
    </row>
    <row r="6" spans="1:18" x14ac:dyDescent="0.2">
      <c r="B6" s="4"/>
      <c r="D6" s="10"/>
      <c r="E6" s="4"/>
      <c r="F6" s="4"/>
      <c r="G6" s="4"/>
      <c r="H6" s="4"/>
      <c r="I6" s="4"/>
      <c r="J6" s="4"/>
      <c r="K6" s="4"/>
      <c r="L6" s="19"/>
      <c r="M6" s="10"/>
      <c r="N6" s="4"/>
      <c r="O6" s="4"/>
      <c r="P6" s="4"/>
      <c r="Q6" s="4"/>
      <c r="R6" s="4"/>
    </row>
    <row r="7" spans="1:18" x14ac:dyDescent="0.2">
      <c r="B7" s="4"/>
      <c r="D7" s="10"/>
      <c r="E7" s="4"/>
      <c r="F7" s="4"/>
      <c r="G7" s="4"/>
      <c r="H7" s="4"/>
      <c r="I7" s="4"/>
      <c r="J7" s="4"/>
      <c r="K7" s="4"/>
      <c r="L7" s="19"/>
      <c r="M7" s="10"/>
      <c r="N7" s="4"/>
      <c r="O7" s="4"/>
      <c r="P7" s="4"/>
      <c r="Q7" s="4"/>
      <c r="R7" s="4"/>
    </row>
    <row r="8" spans="1:18" x14ac:dyDescent="0.2">
      <c r="A8" s="4"/>
      <c r="B8" s="27"/>
      <c r="C8" s="4"/>
      <c r="D8" s="10"/>
      <c r="E8" s="4"/>
      <c r="F8" s="4"/>
      <c r="G8" s="4"/>
      <c r="H8" s="4"/>
      <c r="I8" s="4"/>
      <c r="J8" s="4"/>
      <c r="K8" s="4"/>
      <c r="L8" s="19"/>
      <c r="M8" s="10"/>
      <c r="N8" s="4"/>
      <c r="O8" s="4"/>
      <c r="P8" s="4"/>
      <c r="Q8" s="4"/>
      <c r="R8" s="4"/>
    </row>
    <row r="9" spans="1:18" ht="13.5" thickBot="1" x14ac:dyDescent="0.25"/>
    <row r="10" spans="1:18" ht="13.5" thickTop="1" x14ac:dyDescent="0.2">
      <c r="A10" s="124" t="s">
        <v>95</v>
      </c>
      <c r="B10" s="125"/>
      <c r="C10" s="126"/>
    </row>
    <row r="11" spans="1:18" x14ac:dyDescent="0.2">
      <c r="A11" s="127"/>
      <c r="B11" s="128"/>
      <c r="C11" s="129"/>
    </row>
    <row r="12" spans="1:18" x14ac:dyDescent="0.2">
      <c r="A12" s="127"/>
      <c r="B12" s="128"/>
      <c r="C12" s="129"/>
    </row>
    <row r="13" spans="1:18" x14ac:dyDescent="0.2">
      <c r="A13" s="127"/>
      <c r="B13" s="128"/>
      <c r="C13" s="129"/>
    </row>
    <row r="14" spans="1:18" ht="13.5" thickBot="1" x14ac:dyDescent="0.25">
      <c r="A14" s="130"/>
      <c r="B14" s="131"/>
      <c r="C14" s="132"/>
    </row>
    <row r="15" spans="1:18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0.5" header="1.5" footer="0.5"/>
  <pageSetup scale="74" pageOrder="overThenDown" orientation="landscape"/>
  <headerFooter alignWithMargins="0">
    <oddHeader xml:space="preserve">&amp;R&amp;"Arial,Bold"Schedule &amp;A
Page &amp;P of &amp;N&amp;C&amp;B
2017 RATE CASE
ONCOR ELECTRIC DELIVERY COMPANY LLC
III-B-1 ORIGINAL COST OF UTILITY PLANT
TEST YEAR ENDING DECEMBER 31, 2016
SPONSOR: </oddHeader>
  </headerFooter>
  <colBreaks count="1" manualBreakCount="1">
    <brk id="1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R84"/>
  <sheetViews>
    <sheetView zoomScaleNormal="75" workbookViewId="0">
      <selection activeCell="G16" sqref="G16"/>
    </sheetView>
  </sheetViews>
  <sheetFormatPr defaultColWidth="9.140625" defaultRowHeight="12.75" x14ac:dyDescent="0.2"/>
  <cols>
    <col min="1" max="1" width="5.7109375" style="5" customWidth="1"/>
    <col min="2" max="2" width="8.7109375" style="5" customWidth="1"/>
    <col min="3" max="3" width="45.7109375" style="5" customWidth="1"/>
    <col min="4" max="4" width="10.5703125" style="3" customWidth="1"/>
    <col min="5" max="5" width="12.7109375" style="5" customWidth="1"/>
    <col min="6" max="6" width="17" style="5" bestFit="1" customWidth="1"/>
    <col min="7" max="11" width="12.7109375" style="5" customWidth="1"/>
    <col min="12" max="12" width="12.7109375" style="14" customWidth="1"/>
    <col min="13" max="13" width="16.85546875" style="3" bestFit="1" customWidth="1"/>
    <col min="14" max="18" width="12.7109375" style="5" customWidth="1"/>
    <col min="19" max="16384" width="9.140625" style="5"/>
  </cols>
  <sheetData>
    <row r="1" spans="1:18" x14ac:dyDescent="0.2">
      <c r="A1" s="55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4"/>
      <c r="C2" s="4"/>
      <c r="D2" s="10"/>
      <c r="E2" s="4"/>
      <c r="F2" s="4"/>
      <c r="G2" s="4"/>
      <c r="H2" s="4"/>
      <c r="I2" s="4"/>
      <c r="J2" s="4"/>
      <c r="K2" s="4"/>
      <c r="L2" s="19"/>
      <c r="M2" s="10"/>
      <c r="N2" s="4"/>
      <c r="O2" s="4"/>
      <c r="P2" s="4"/>
      <c r="Q2" s="4"/>
      <c r="R2" s="4"/>
    </row>
    <row r="3" spans="1:18" x14ac:dyDescent="0.2">
      <c r="A3" s="6" t="s">
        <v>4</v>
      </c>
      <c r="B3" s="4"/>
      <c r="D3" s="10"/>
      <c r="E3" s="4"/>
      <c r="F3" s="8"/>
      <c r="G3" s="4"/>
      <c r="H3" s="4"/>
      <c r="I3" s="4"/>
      <c r="J3" s="4"/>
      <c r="K3" s="26"/>
      <c r="L3" s="19"/>
      <c r="M3" s="10"/>
      <c r="N3" s="4"/>
      <c r="O3" s="4"/>
      <c r="P3" s="4"/>
      <c r="Q3" s="4"/>
      <c r="R3" s="26"/>
    </row>
    <row r="4" spans="1:18" x14ac:dyDescent="0.2">
      <c r="A4" s="54" t="str">
        <f>+'[1]Input Data'!$A$4</f>
        <v>TEST YEAR ENDING DECEMBER 31, 2024</v>
      </c>
      <c r="B4" s="4"/>
      <c r="D4" s="10"/>
      <c r="E4" s="4"/>
      <c r="F4" s="8"/>
      <c r="G4" s="4"/>
      <c r="H4" s="4"/>
      <c r="I4" s="4"/>
      <c r="J4" s="4"/>
      <c r="K4" s="26"/>
      <c r="L4" s="19"/>
      <c r="M4" s="10"/>
      <c r="N4" s="4"/>
      <c r="O4" s="4"/>
      <c r="P4" s="4"/>
      <c r="Q4" s="4"/>
      <c r="R4" s="26"/>
    </row>
    <row r="5" spans="1:18" x14ac:dyDescent="0.2">
      <c r="A5" s="6" t="str">
        <f>CONCATENATE("SPONSOR: ",'[1]Schedule Sponsors'!$D$158)</f>
        <v>SPONSOR: W. ALAN LEDBETTER</v>
      </c>
      <c r="B5" s="4"/>
      <c r="D5" s="10"/>
      <c r="E5" s="4"/>
      <c r="F5" s="4"/>
      <c r="G5" s="4"/>
      <c r="H5" s="4"/>
      <c r="I5" s="4"/>
      <c r="J5" s="4"/>
      <c r="K5" s="4"/>
      <c r="L5" s="19"/>
      <c r="M5" s="10"/>
      <c r="N5" s="4"/>
      <c r="O5" s="4"/>
      <c r="P5" s="4"/>
      <c r="Q5" s="4"/>
      <c r="R5" s="4"/>
    </row>
    <row r="6" spans="1:18" x14ac:dyDescent="0.2">
      <c r="B6" s="4"/>
      <c r="D6" s="10"/>
      <c r="E6" s="4"/>
      <c r="F6" s="4"/>
      <c r="G6" s="4"/>
      <c r="H6" s="4"/>
      <c r="I6" s="4"/>
      <c r="J6" s="4"/>
      <c r="K6" s="4"/>
      <c r="L6" s="19"/>
      <c r="M6" s="10"/>
      <c r="N6" s="4"/>
      <c r="O6" s="4"/>
      <c r="P6" s="4"/>
      <c r="Q6" s="4"/>
      <c r="R6" s="4"/>
    </row>
    <row r="7" spans="1:18" x14ac:dyDescent="0.2">
      <c r="B7" s="4"/>
      <c r="D7" s="10"/>
      <c r="E7" s="4"/>
      <c r="F7" s="4"/>
      <c r="G7" s="4"/>
      <c r="H7" s="4"/>
      <c r="I7" s="4"/>
      <c r="J7" s="4"/>
      <c r="K7" s="4"/>
      <c r="L7" s="19"/>
      <c r="M7" s="10"/>
      <c r="N7" s="4"/>
      <c r="O7" s="4"/>
      <c r="P7" s="4"/>
      <c r="Q7" s="4"/>
      <c r="R7" s="4"/>
    </row>
    <row r="8" spans="1:18" x14ac:dyDescent="0.2">
      <c r="A8" s="4"/>
      <c r="B8" s="27"/>
      <c r="C8" s="4"/>
      <c r="D8" s="10"/>
      <c r="E8" s="4"/>
      <c r="F8" s="4"/>
      <c r="G8" s="4"/>
      <c r="H8" s="4"/>
      <c r="I8" s="4"/>
      <c r="J8" s="4"/>
      <c r="K8" s="4"/>
      <c r="L8" s="19"/>
      <c r="M8" s="10"/>
      <c r="N8" s="4"/>
      <c r="O8" s="4"/>
      <c r="P8" s="4"/>
      <c r="Q8" s="4"/>
      <c r="R8" s="4"/>
    </row>
    <row r="9" spans="1:18" s="7" customFormat="1" ht="13.5" thickBot="1" x14ac:dyDescent="0.25">
      <c r="B9" s="4"/>
      <c r="C9" s="4"/>
      <c r="D9" s="15"/>
      <c r="E9" s="9"/>
      <c r="F9" s="9"/>
      <c r="G9" s="16"/>
      <c r="H9" s="9"/>
      <c r="I9" s="9"/>
      <c r="J9" s="9"/>
      <c r="K9" s="17"/>
      <c r="L9" s="10"/>
      <c r="M9" s="10"/>
      <c r="N9" s="17"/>
      <c r="O9" s="9"/>
      <c r="P9" s="9"/>
      <c r="Q9" s="9"/>
      <c r="R9" s="17"/>
    </row>
    <row r="10" spans="1:18" s="7" customFormat="1" ht="13.5" thickTop="1" x14ac:dyDescent="0.2">
      <c r="A10" s="124" t="s">
        <v>96</v>
      </c>
      <c r="B10" s="125"/>
      <c r="C10" s="126"/>
      <c r="D10" s="15"/>
      <c r="E10" s="9"/>
      <c r="F10" s="9"/>
      <c r="G10" s="16"/>
      <c r="H10" s="9"/>
      <c r="I10" s="9"/>
      <c r="J10" s="9"/>
      <c r="K10" s="17"/>
      <c r="L10" s="10"/>
      <c r="M10" s="10"/>
      <c r="N10" s="17"/>
      <c r="O10" s="17"/>
      <c r="P10" s="17"/>
      <c r="Q10" s="17"/>
      <c r="R10" s="17"/>
    </row>
    <row r="11" spans="1:18" s="7" customFormat="1" x14ac:dyDescent="0.2">
      <c r="A11" s="127"/>
      <c r="B11" s="128"/>
      <c r="C11" s="129"/>
      <c r="D11" s="15"/>
      <c r="E11" s="22"/>
      <c r="F11" s="22"/>
      <c r="G11" s="22"/>
      <c r="H11" s="22"/>
      <c r="I11" s="22"/>
      <c r="J11" s="22"/>
      <c r="K11" s="22"/>
      <c r="L11" s="15"/>
      <c r="M11" s="15"/>
      <c r="N11" s="22"/>
      <c r="O11" s="22"/>
      <c r="P11" s="22"/>
      <c r="Q11" s="22"/>
      <c r="R11" s="22"/>
    </row>
    <row r="12" spans="1:18" s="7" customFormat="1" x14ac:dyDescent="0.2">
      <c r="A12" s="127"/>
      <c r="B12" s="128"/>
      <c r="C12" s="129"/>
      <c r="D12" s="15"/>
      <c r="E12" s="16"/>
      <c r="F12" s="16"/>
      <c r="G12" s="16"/>
      <c r="H12" s="16"/>
      <c r="I12" s="16"/>
      <c r="J12" s="16"/>
      <c r="K12" s="16"/>
      <c r="L12" s="10"/>
      <c r="M12" s="10"/>
      <c r="N12" s="16"/>
      <c r="O12" s="16"/>
      <c r="P12" s="16"/>
    </row>
    <row r="13" spans="1:18" s="7" customFormat="1" x14ac:dyDescent="0.2">
      <c r="A13" s="127"/>
      <c r="B13" s="128"/>
      <c r="C13" s="129"/>
      <c r="D13" s="15"/>
      <c r="E13" s="9"/>
      <c r="F13" s="9"/>
      <c r="G13" s="16"/>
      <c r="H13" s="9"/>
      <c r="I13" s="9"/>
      <c r="J13" s="9"/>
      <c r="K13" s="17"/>
      <c r="L13" s="10"/>
      <c r="M13" s="10"/>
      <c r="N13" s="9"/>
      <c r="O13" s="9"/>
      <c r="P13" s="9"/>
      <c r="Q13" s="9"/>
      <c r="R13" s="17"/>
    </row>
    <row r="14" spans="1:18" s="7" customFormat="1" ht="13.5" thickBot="1" x14ac:dyDescent="0.25">
      <c r="A14" s="130"/>
      <c r="B14" s="131"/>
      <c r="C14" s="132"/>
      <c r="D14" s="15"/>
      <c r="E14" s="9"/>
      <c r="F14" s="9"/>
      <c r="G14" s="16"/>
      <c r="H14" s="9"/>
      <c r="I14" s="9"/>
      <c r="J14" s="9"/>
      <c r="K14" s="17"/>
      <c r="L14" s="10"/>
      <c r="M14" s="10"/>
      <c r="N14" s="17"/>
      <c r="O14" s="17"/>
      <c r="P14" s="17"/>
      <c r="Q14" s="17"/>
      <c r="R14" s="17"/>
    </row>
    <row r="15" spans="1:18" s="7" customFormat="1" ht="13.5" thickTop="1" x14ac:dyDescent="0.2">
      <c r="B15" s="4"/>
      <c r="C15" s="4"/>
      <c r="D15" s="15"/>
      <c r="E15" s="9"/>
      <c r="F15" s="9"/>
      <c r="G15" s="16"/>
      <c r="H15" s="9"/>
      <c r="I15" s="9"/>
      <c r="J15" s="9"/>
      <c r="K15" s="17"/>
      <c r="L15" s="10"/>
      <c r="M15" s="10"/>
      <c r="N15" s="17"/>
      <c r="O15" s="17"/>
      <c r="P15" s="17"/>
      <c r="Q15" s="17"/>
      <c r="R15" s="17"/>
    </row>
    <row r="16" spans="1:18" s="7" customFormat="1" x14ac:dyDescent="0.2">
      <c r="B16" s="4"/>
      <c r="C16" s="4"/>
      <c r="D16" s="15"/>
      <c r="E16" s="9"/>
      <c r="F16" s="9"/>
      <c r="G16" s="16"/>
      <c r="H16" s="9"/>
      <c r="I16" s="9"/>
      <c r="J16" s="9"/>
      <c r="K16" s="17"/>
      <c r="L16" s="10"/>
      <c r="M16" s="10"/>
      <c r="N16" s="17"/>
      <c r="O16" s="17"/>
      <c r="P16" s="17"/>
      <c r="Q16" s="17"/>
      <c r="R16" s="17"/>
    </row>
    <row r="17" spans="2:18" s="7" customFormat="1" x14ac:dyDescent="0.2">
      <c r="C17" s="18"/>
      <c r="D17" s="15"/>
      <c r="E17" s="16"/>
      <c r="F17" s="16"/>
      <c r="G17" s="16"/>
      <c r="H17" s="16"/>
      <c r="I17" s="16"/>
      <c r="J17" s="16"/>
      <c r="K17" s="16"/>
      <c r="L17" s="15"/>
      <c r="M17" s="15"/>
      <c r="N17" s="16"/>
      <c r="O17" s="16"/>
      <c r="P17" s="16"/>
      <c r="Q17" s="16"/>
      <c r="R17" s="16"/>
    </row>
    <row r="18" spans="2:18" s="4" customFormat="1" x14ac:dyDescent="0.2">
      <c r="B18" s="7"/>
      <c r="D18" s="10"/>
      <c r="L18" s="19"/>
      <c r="M18" s="10"/>
    </row>
    <row r="19" spans="2:18" s="4" customFormat="1" x14ac:dyDescent="0.2">
      <c r="D19" s="10"/>
      <c r="L19" s="19"/>
      <c r="M19" s="10"/>
    </row>
    <row r="20" spans="2:18" s="4" customFormat="1" x14ac:dyDescent="0.2">
      <c r="D20" s="10"/>
      <c r="L20" s="19"/>
      <c r="M20" s="10"/>
    </row>
    <row r="21" spans="2:18" s="4" customFormat="1" x14ac:dyDescent="0.2">
      <c r="D21" s="10"/>
      <c r="L21" s="19"/>
      <c r="M21" s="10"/>
    </row>
    <row r="22" spans="2:18" s="4" customFormat="1" x14ac:dyDescent="0.2">
      <c r="D22" s="10"/>
      <c r="L22" s="19"/>
      <c r="M22" s="10"/>
    </row>
    <row r="23" spans="2:18" s="4" customFormat="1" x14ac:dyDescent="0.2">
      <c r="C23" s="23"/>
      <c r="D23" s="1"/>
      <c r="L23" s="24"/>
      <c r="M23" s="1"/>
    </row>
    <row r="24" spans="2:18" s="4" customFormat="1" x14ac:dyDescent="0.2">
      <c r="D24" s="10"/>
      <c r="L24" s="19"/>
      <c r="M24" s="10"/>
    </row>
    <row r="25" spans="2:18" s="4" customFormat="1" x14ac:dyDescent="0.2">
      <c r="C25" s="20"/>
      <c r="D25" s="21"/>
      <c r="L25" s="25"/>
      <c r="M25" s="21"/>
    </row>
    <row r="26" spans="2:18" s="4" customFormat="1" x14ac:dyDescent="0.2">
      <c r="D26" s="10"/>
      <c r="L26" s="19"/>
      <c r="M26" s="10"/>
    </row>
    <row r="27" spans="2:18" s="4" customFormat="1" x14ac:dyDescent="0.2">
      <c r="C27" s="20"/>
      <c r="D27" s="10"/>
      <c r="L27" s="25"/>
      <c r="M27" s="21"/>
    </row>
    <row r="28" spans="2:18" s="4" customFormat="1" x14ac:dyDescent="0.2">
      <c r="C28" s="21"/>
      <c r="D28" s="21"/>
      <c r="L28" s="25"/>
      <c r="M28" s="21"/>
    </row>
    <row r="29" spans="2:18" s="4" customFormat="1" x14ac:dyDescent="0.2">
      <c r="D29" s="10"/>
      <c r="L29" s="19"/>
      <c r="M29" s="10"/>
    </row>
    <row r="30" spans="2:18" s="4" customFormat="1" x14ac:dyDescent="0.2">
      <c r="B30" s="7"/>
      <c r="D30" s="10"/>
      <c r="L30" s="19"/>
      <c r="M30" s="10"/>
    </row>
    <row r="31" spans="2:18" s="4" customFormat="1" x14ac:dyDescent="0.2">
      <c r="D31" s="10"/>
      <c r="L31" s="19"/>
      <c r="M31" s="10"/>
    </row>
    <row r="32" spans="2:18" s="4" customFormat="1" x14ac:dyDescent="0.2">
      <c r="D32" s="10"/>
      <c r="L32" s="19"/>
      <c r="M32" s="10"/>
    </row>
    <row r="33" spans="4:13" s="4" customFormat="1" x14ac:dyDescent="0.2">
      <c r="D33" s="10"/>
      <c r="L33" s="19"/>
      <c r="M33" s="10"/>
    </row>
    <row r="34" spans="4:13" s="4" customFormat="1" x14ac:dyDescent="0.2">
      <c r="D34" s="10"/>
      <c r="L34" s="19"/>
      <c r="M34" s="10"/>
    </row>
    <row r="35" spans="4:13" s="4" customFormat="1" x14ac:dyDescent="0.2">
      <c r="D35" s="10"/>
      <c r="L35" s="19"/>
      <c r="M35" s="10"/>
    </row>
    <row r="36" spans="4:13" s="4" customFormat="1" x14ac:dyDescent="0.2">
      <c r="D36" s="10"/>
      <c r="L36" s="19"/>
      <c r="M36" s="10"/>
    </row>
    <row r="37" spans="4:13" s="4" customFormat="1" x14ac:dyDescent="0.2">
      <c r="D37" s="10"/>
      <c r="L37" s="19"/>
      <c r="M37" s="10"/>
    </row>
    <row r="38" spans="4:13" s="4" customFormat="1" x14ac:dyDescent="0.2">
      <c r="D38" s="10"/>
      <c r="L38" s="19"/>
      <c r="M38" s="10"/>
    </row>
    <row r="39" spans="4:13" s="4" customFormat="1" x14ac:dyDescent="0.2">
      <c r="D39" s="10"/>
      <c r="L39" s="19"/>
      <c r="M39" s="10"/>
    </row>
    <row r="40" spans="4:13" s="4" customFormat="1" x14ac:dyDescent="0.2">
      <c r="D40" s="10"/>
      <c r="L40" s="19"/>
      <c r="M40" s="10"/>
    </row>
    <row r="41" spans="4:13" s="4" customFormat="1" x14ac:dyDescent="0.2">
      <c r="D41" s="10"/>
      <c r="L41" s="19"/>
      <c r="M41" s="10"/>
    </row>
    <row r="42" spans="4:13" s="4" customFormat="1" x14ac:dyDescent="0.2">
      <c r="D42" s="10"/>
      <c r="L42" s="19"/>
      <c r="M42" s="10"/>
    </row>
    <row r="43" spans="4:13" s="4" customFormat="1" x14ac:dyDescent="0.2">
      <c r="D43" s="10"/>
      <c r="L43" s="19"/>
      <c r="M43" s="10"/>
    </row>
    <row r="44" spans="4:13" s="4" customFormat="1" x14ac:dyDescent="0.2">
      <c r="D44" s="10"/>
      <c r="L44" s="19"/>
      <c r="M44" s="10"/>
    </row>
    <row r="45" spans="4:13" s="4" customFormat="1" x14ac:dyDescent="0.2">
      <c r="D45" s="10"/>
      <c r="L45" s="19"/>
      <c r="M45" s="10"/>
    </row>
    <row r="46" spans="4:13" s="4" customFormat="1" x14ac:dyDescent="0.2">
      <c r="D46" s="10"/>
      <c r="L46" s="19"/>
      <c r="M46" s="10"/>
    </row>
    <row r="47" spans="4:13" s="4" customFormat="1" x14ac:dyDescent="0.2">
      <c r="D47" s="10"/>
      <c r="L47" s="19"/>
      <c r="M47" s="10"/>
    </row>
    <row r="48" spans="4:13" s="4" customFormat="1" x14ac:dyDescent="0.2">
      <c r="D48" s="10"/>
      <c r="L48" s="19"/>
      <c r="M48" s="10"/>
    </row>
    <row r="49" spans="4:13" s="4" customFormat="1" x14ac:dyDescent="0.2">
      <c r="D49" s="10"/>
      <c r="L49" s="19"/>
      <c r="M49" s="10"/>
    </row>
    <row r="50" spans="4:13" s="4" customFormat="1" x14ac:dyDescent="0.2">
      <c r="D50" s="10"/>
      <c r="L50" s="19"/>
      <c r="M50" s="10"/>
    </row>
    <row r="51" spans="4:13" s="4" customFormat="1" x14ac:dyDescent="0.2">
      <c r="D51" s="10"/>
      <c r="L51" s="19"/>
      <c r="M51" s="10"/>
    </row>
    <row r="52" spans="4:13" s="4" customFormat="1" x14ac:dyDescent="0.2">
      <c r="D52" s="10"/>
      <c r="L52" s="19"/>
      <c r="M52" s="10"/>
    </row>
    <row r="53" spans="4:13" s="4" customFormat="1" x14ac:dyDescent="0.2">
      <c r="D53" s="10"/>
      <c r="L53" s="19"/>
      <c r="M53" s="10"/>
    </row>
    <row r="54" spans="4:13" s="4" customFormat="1" x14ac:dyDescent="0.2">
      <c r="D54" s="10"/>
      <c r="L54" s="19"/>
      <c r="M54" s="10"/>
    </row>
    <row r="55" spans="4:13" s="4" customFormat="1" x14ac:dyDescent="0.2">
      <c r="D55" s="10"/>
      <c r="L55" s="19"/>
      <c r="M55" s="10"/>
    </row>
    <row r="56" spans="4:13" s="4" customFormat="1" x14ac:dyDescent="0.2">
      <c r="D56" s="10"/>
      <c r="L56" s="19"/>
      <c r="M56" s="10"/>
    </row>
    <row r="57" spans="4:13" s="4" customFormat="1" x14ac:dyDescent="0.2">
      <c r="D57" s="10"/>
      <c r="L57" s="19"/>
      <c r="M57" s="10"/>
    </row>
    <row r="58" spans="4:13" s="4" customFormat="1" x14ac:dyDescent="0.2">
      <c r="D58" s="10"/>
      <c r="L58" s="19"/>
      <c r="M58" s="10"/>
    </row>
    <row r="59" spans="4:13" s="4" customFormat="1" x14ac:dyDescent="0.2">
      <c r="D59" s="10"/>
      <c r="L59" s="19"/>
      <c r="M59" s="10"/>
    </row>
    <row r="60" spans="4:13" s="4" customFormat="1" x14ac:dyDescent="0.2">
      <c r="D60" s="10"/>
      <c r="L60" s="19"/>
      <c r="M60" s="10"/>
    </row>
    <row r="61" spans="4:13" s="4" customFormat="1" x14ac:dyDescent="0.2">
      <c r="D61" s="10"/>
      <c r="L61" s="19"/>
      <c r="M61" s="10"/>
    </row>
    <row r="62" spans="4:13" s="4" customFormat="1" x14ac:dyDescent="0.2">
      <c r="D62" s="10"/>
      <c r="L62" s="19"/>
      <c r="M62" s="10"/>
    </row>
    <row r="63" spans="4:13" s="4" customFormat="1" x14ac:dyDescent="0.2">
      <c r="D63" s="10"/>
      <c r="L63" s="19"/>
      <c r="M63" s="10"/>
    </row>
    <row r="64" spans="4:13" s="4" customFormat="1" x14ac:dyDescent="0.2">
      <c r="D64" s="10"/>
      <c r="L64" s="19"/>
      <c r="M64" s="10"/>
    </row>
    <row r="65" spans="4:13" s="4" customFormat="1" x14ac:dyDescent="0.2">
      <c r="D65" s="10"/>
      <c r="L65" s="19"/>
      <c r="M65" s="10"/>
    </row>
    <row r="66" spans="4:13" s="4" customFormat="1" x14ac:dyDescent="0.2">
      <c r="D66" s="10"/>
      <c r="L66" s="19"/>
      <c r="M66" s="10"/>
    </row>
    <row r="67" spans="4:13" s="4" customFormat="1" x14ac:dyDescent="0.2">
      <c r="D67" s="10"/>
      <c r="L67" s="19"/>
      <c r="M67" s="10"/>
    </row>
    <row r="68" spans="4:13" s="4" customFormat="1" x14ac:dyDescent="0.2">
      <c r="D68" s="10"/>
      <c r="L68" s="19"/>
      <c r="M68" s="10"/>
    </row>
    <row r="69" spans="4:13" s="4" customFormat="1" x14ac:dyDescent="0.2">
      <c r="D69" s="10"/>
      <c r="L69" s="19"/>
      <c r="M69" s="10"/>
    </row>
    <row r="70" spans="4:13" s="4" customFormat="1" x14ac:dyDescent="0.2">
      <c r="D70" s="10"/>
      <c r="L70" s="19"/>
      <c r="M70" s="10"/>
    </row>
    <row r="71" spans="4:13" s="4" customFormat="1" x14ac:dyDescent="0.2">
      <c r="D71" s="10"/>
      <c r="L71" s="19"/>
      <c r="M71" s="10"/>
    </row>
    <row r="72" spans="4:13" s="4" customFormat="1" x14ac:dyDescent="0.2">
      <c r="D72" s="10"/>
      <c r="L72" s="19"/>
      <c r="M72" s="10"/>
    </row>
    <row r="73" spans="4:13" s="4" customFormat="1" x14ac:dyDescent="0.2">
      <c r="D73" s="10"/>
      <c r="L73" s="19"/>
      <c r="M73" s="10"/>
    </row>
    <row r="74" spans="4:13" s="4" customFormat="1" x14ac:dyDescent="0.2">
      <c r="D74" s="10"/>
      <c r="L74" s="19"/>
      <c r="M74" s="10"/>
    </row>
    <row r="75" spans="4:13" s="4" customFormat="1" x14ac:dyDescent="0.2">
      <c r="D75" s="10"/>
      <c r="L75" s="19"/>
      <c r="M75" s="10"/>
    </row>
    <row r="76" spans="4:13" s="4" customFormat="1" x14ac:dyDescent="0.2">
      <c r="D76" s="10"/>
      <c r="L76" s="19"/>
      <c r="M76" s="10"/>
    </row>
    <row r="77" spans="4:13" s="4" customFormat="1" x14ac:dyDescent="0.2">
      <c r="D77" s="10"/>
      <c r="L77" s="19"/>
      <c r="M77" s="10"/>
    </row>
    <row r="78" spans="4:13" s="4" customFormat="1" x14ac:dyDescent="0.2">
      <c r="D78" s="10"/>
      <c r="L78" s="19"/>
      <c r="M78" s="10"/>
    </row>
    <row r="79" spans="4:13" s="4" customFormat="1" x14ac:dyDescent="0.2">
      <c r="D79" s="10"/>
      <c r="L79" s="19"/>
      <c r="M79" s="10"/>
    </row>
    <row r="80" spans="4:13" s="4" customFormat="1" x14ac:dyDescent="0.2">
      <c r="D80" s="10"/>
      <c r="L80" s="19"/>
      <c r="M80" s="10"/>
    </row>
    <row r="81" spans="4:13" s="4" customFormat="1" x14ac:dyDescent="0.2">
      <c r="D81" s="10"/>
      <c r="L81" s="19"/>
      <c r="M81" s="10"/>
    </row>
    <row r="82" spans="4:13" s="4" customFormat="1" x14ac:dyDescent="0.2">
      <c r="D82" s="10"/>
      <c r="L82" s="19"/>
      <c r="M82" s="10"/>
    </row>
    <row r="83" spans="4:13" s="4" customFormat="1" x14ac:dyDescent="0.2">
      <c r="D83" s="10"/>
      <c r="L83" s="19"/>
      <c r="M83" s="10"/>
    </row>
    <row r="84" spans="4:13" s="4" customFormat="1" x14ac:dyDescent="0.2">
      <c r="D84" s="10"/>
      <c r="L84" s="19"/>
      <c r="M84" s="10"/>
    </row>
  </sheetData>
  <mergeCells count="1">
    <mergeCell ref="A10:C14"/>
  </mergeCells>
  <phoneticPr fontId="2" type="noConversion"/>
  <printOptions horizontalCentered="1"/>
  <pageMargins left="0.5" right="0.5" top="2.5" bottom="0.5" header="1.5" footer="0.5"/>
  <pageSetup scale="74" pageOrder="overThenDown" orientation="landscape"/>
  <headerFooter alignWithMargins="0">
    <oddHeader xml:space="preserve">&amp;R&amp;"Arial,Bold"Schedule &amp;A
Page &amp;P of &amp;N&amp;C&amp;B
2017 RATE CASE
ONCOR ELECTRIC DELIVERY COMPANY LLC
III-B-2 GENERAL PLANT
TEST YEAR ENDING DECEMBER 31, 2016
SPONSOR: </oddHeader>
  </headerFooter>
  <colBreaks count="1" manualBreakCount="1">
    <brk id="10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3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Sponsors'!$D$159)</f>
        <v>SPONSOR: R. PRACHYL</v>
      </c>
    </row>
    <row r="9" spans="1:3" ht="13.5" thickBot="1" x14ac:dyDescent="0.25"/>
    <row r="10" spans="1:3" ht="13.5" thickTop="1" x14ac:dyDescent="0.2">
      <c r="A10" s="124" t="s">
        <v>97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III-B-3 COMMUNICATION EQUIPMENT
TEST YEAR ENDING DECEMBER 31, 2016
SPONSOR: J. M. SHERBURNE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5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Sponsors'!$D$160)</f>
        <v xml:space="preserve">SPONSOR: </v>
      </c>
    </row>
    <row r="9" spans="1:3" ht="13.5" thickBot="1" x14ac:dyDescent="0.25"/>
    <row r="10" spans="1:3" ht="13.5" thickTop="1" x14ac:dyDescent="0.2">
      <c r="A10" s="124" t="s">
        <v>98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III-B-4 CONSTRUCTION WORK IN PROGRESS
TEST YEAR ENDING DECEMBER 31, 2016
SPONSOR: J. M. SHERBURNE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6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Sponsors'!$D$161)</f>
        <v xml:space="preserve">SPONSOR: </v>
      </c>
    </row>
    <row r="9" spans="1:3" ht="13.5" thickBot="1" x14ac:dyDescent="0.25"/>
    <row r="10" spans="1:3" ht="13.5" thickTop="1" x14ac:dyDescent="0.2">
      <c r="A10" s="124" t="s">
        <v>99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III-B-5 ACCUMULATED DEPRECIATION
TEST YEAR ENDING DECEMBER 31, 2016
SPONSOR: J. M. SHERBURNE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7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Sponsors'!$D$162)</f>
        <v>SPONSOR: M. TROXLE</v>
      </c>
    </row>
    <row r="9" spans="1:3" ht="13.5" thickBot="1" x14ac:dyDescent="0.25"/>
    <row r="10" spans="1:3" ht="13.5" thickTop="1" x14ac:dyDescent="0.2">
      <c r="A10" s="124" t="s">
        <v>100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III-B-6 PLANT HELD FOR FUTURE USE
TEST YEAR ENDING DECEMBER 31, 2016
SPONSOR: D. NELSON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8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Sponsors'!$D$163)</f>
        <v>SPONSOR: M. TROXLE</v>
      </c>
    </row>
    <row r="9" spans="1:3" ht="13.5" thickBot="1" x14ac:dyDescent="0.25"/>
    <row r="10" spans="1:3" ht="13.5" thickTop="1" x14ac:dyDescent="0.2">
      <c r="A10" s="124" t="s">
        <v>101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III-B-7 ACCUMULATED PROVISION BALANCES
TEST YEAR ENDING DECEMBER 31, 2016
SPONSOR: J. M. SHERBURNE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9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Sponsors'!$D$164)</f>
        <v>SPONSOR: M. TROXLE</v>
      </c>
    </row>
    <row r="9" spans="1:3" ht="13.5" thickBot="1" x14ac:dyDescent="0.25"/>
    <row r="10" spans="1:3" ht="13.5" thickTop="1" x14ac:dyDescent="0.2">
      <c r="A10" s="124" t="s">
        <v>102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III-B-8 MATERIALS AND SUPPLIES
TEST YEAR ENDING DECEMBER 31, 2016
SPONSOR: J. M. SHERBURNE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10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Sponsors'!$D$165)</f>
        <v>SPONSOR: D. NELSON</v>
      </c>
    </row>
    <row r="9" spans="1:3" ht="13.5" thickBot="1" x14ac:dyDescent="0.25"/>
    <row r="10" spans="1:3" ht="13.5" thickTop="1" x14ac:dyDescent="0.2">
      <c r="A10" s="124" t="s">
        <v>103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III-B-9 CASH WORKING CAPITAL
TEST YEAR ENDING DECEMBER 31, 2016
SPONSOR: J. M. SHERBURNE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11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Sponsors'!$D$166)</f>
        <v>SPONSOR: D. NELSON</v>
      </c>
    </row>
    <row r="9" spans="1:3" ht="13.5" thickBot="1" x14ac:dyDescent="0.25"/>
    <row r="10" spans="1:3" ht="13.5" thickTop="1" x14ac:dyDescent="0.2">
      <c r="A10" s="124" t="s">
        <v>104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III-B-10 PREPAYMENTS
TEST YEAR ENDING DECEMBER 31, 2016
SPONSOR: D. NELSON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2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12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Sponsors'!$D$167)</f>
        <v>SPONSOR: M. TROXLE</v>
      </c>
    </row>
    <row r="9" spans="1:3" ht="13.5" thickBot="1" x14ac:dyDescent="0.25"/>
    <row r="10" spans="1:3" ht="13.5" thickTop="1" x14ac:dyDescent="0.2">
      <c r="A10" s="124" t="s">
        <v>105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 xml:space="preserve">&amp;R&amp;"Arial,Bold"Schedule &amp;A
Page &amp;P of &amp;N&amp;C&amp;B
2017 RATE CASE
ONCOR ELECTRIC DELIVERY COMPANY LLC
III-B-11 OTHER RATE BASE ITEMS
TEST YEAR ENDING DECEMBER 31, 2016
SPONSOR: 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13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Sponsors'!$D$168)</f>
        <v>SPONSOR: M. TROXLE</v>
      </c>
    </row>
    <row r="9" spans="1:3" ht="13.5" thickBot="1" x14ac:dyDescent="0.25"/>
    <row r="10" spans="1:3" ht="13.5" thickTop="1" x14ac:dyDescent="0.2">
      <c r="A10" s="124" t="s">
        <v>106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 xml:space="preserve">&amp;R&amp;"Arial,Bold"Schedule &amp;A
Page &amp;P of &amp;N&amp;C&amp;B
2017 RATE CASE
ONCOR ELECTRIC DELIVERY COMPANY LLC
III-B-12 REGULATORY ASSETS
TEST YEAR ENDING DECEMBER 31, 2016
SPONSOR: 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R15"/>
  <sheetViews>
    <sheetView zoomScaleNormal="75" workbookViewId="0">
      <selection activeCell="G16" sqref="G16"/>
    </sheetView>
  </sheetViews>
  <sheetFormatPr defaultColWidth="9.140625" defaultRowHeight="12.75" x14ac:dyDescent="0.2"/>
  <cols>
    <col min="1" max="1" width="5.7109375" style="5" customWidth="1"/>
    <col min="2" max="2" width="8.7109375" style="5" customWidth="1"/>
    <col min="3" max="3" width="45.7109375" style="5" customWidth="1"/>
    <col min="4" max="4" width="15.7109375" style="3" customWidth="1"/>
    <col min="5" max="5" width="12.85546875" style="5" customWidth="1"/>
    <col min="6" max="6" width="17" style="5" bestFit="1" customWidth="1"/>
    <col min="7" max="10" width="12.7109375" style="5" customWidth="1"/>
    <col min="11" max="11" width="14" style="5" bestFit="1" customWidth="1"/>
    <col min="12" max="12" width="12.7109375" style="14" customWidth="1"/>
    <col min="13" max="13" width="16.85546875" style="3" bestFit="1" customWidth="1"/>
    <col min="14" max="18" width="12.7109375" style="5" customWidth="1"/>
    <col min="19" max="16384" width="9.140625" style="5"/>
  </cols>
  <sheetData>
    <row r="1" spans="1:18" x14ac:dyDescent="0.2">
      <c r="A1" s="55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4"/>
      <c r="C2" s="4"/>
      <c r="D2" s="10"/>
      <c r="E2" s="4"/>
      <c r="F2" s="4"/>
      <c r="G2" s="4"/>
      <c r="H2" s="4"/>
      <c r="I2" s="4"/>
      <c r="J2" s="4"/>
      <c r="K2" s="4"/>
      <c r="L2" s="19"/>
      <c r="M2" s="10"/>
      <c r="N2" s="4"/>
      <c r="O2" s="4"/>
      <c r="P2" s="4"/>
      <c r="Q2" s="4"/>
      <c r="R2" s="4"/>
    </row>
    <row r="3" spans="1:18" x14ac:dyDescent="0.2">
      <c r="A3" s="6" t="s">
        <v>14</v>
      </c>
      <c r="B3" s="4"/>
      <c r="D3" s="10"/>
      <c r="E3" s="4"/>
      <c r="F3" s="8"/>
      <c r="G3" s="4"/>
      <c r="H3" s="4"/>
      <c r="I3" s="4"/>
      <c r="J3" s="4"/>
      <c r="K3" s="26"/>
      <c r="L3" s="19"/>
      <c r="M3" s="10"/>
      <c r="N3" s="4"/>
      <c r="O3" s="4"/>
      <c r="P3" s="4"/>
      <c r="Q3" s="4"/>
      <c r="R3" s="26"/>
    </row>
    <row r="4" spans="1:18" x14ac:dyDescent="0.2">
      <c r="A4" s="54" t="str">
        <f>+'[1]Input Data'!$A$4</f>
        <v>TEST YEAR ENDING DECEMBER 31, 2024</v>
      </c>
      <c r="B4" s="4"/>
      <c r="D4" s="10"/>
      <c r="E4" s="4"/>
      <c r="F4" s="8"/>
      <c r="G4" s="4"/>
      <c r="H4" s="4"/>
      <c r="I4" s="4"/>
      <c r="J4" s="4"/>
      <c r="K4" s="26"/>
      <c r="L4" s="19"/>
      <c r="M4" s="10"/>
      <c r="N4" s="4"/>
      <c r="O4" s="4"/>
      <c r="P4" s="4"/>
      <c r="Q4" s="4"/>
      <c r="R4" s="26"/>
    </row>
    <row r="5" spans="1:18" x14ac:dyDescent="0.2">
      <c r="A5" s="6" t="str">
        <f>CONCATENATE("SPONSOR: ",'[1]Schedule Sponsors'!$D$169)</f>
        <v>SPONSOR: D. NELSON</v>
      </c>
      <c r="B5" s="4"/>
      <c r="D5" s="10"/>
      <c r="E5" s="4"/>
      <c r="F5" s="4"/>
      <c r="G5" s="4"/>
      <c r="H5" s="4"/>
      <c r="I5" s="4"/>
      <c r="J5" s="4"/>
      <c r="K5" s="4"/>
      <c r="L5" s="19"/>
      <c r="M5" s="10"/>
      <c r="N5" s="4"/>
      <c r="O5" s="4"/>
      <c r="P5" s="4"/>
      <c r="Q5" s="4"/>
      <c r="R5" s="4"/>
    </row>
    <row r="6" spans="1:18" x14ac:dyDescent="0.2">
      <c r="B6" s="4"/>
      <c r="D6" s="10"/>
      <c r="E6" s="4"/>
      <c r="F6" s="4"/>
      <c r="G6" s="4"/>
      <c r="H6" s="4"/>
      <c r="I6" s="4"/>
      <c r="J6" s="4"/>
      <c r="K6" s="4"/>
      <c r="L6" s="19"/>
      <c r="M6" s="10"/>
      <c r="N6" s="4"/>
      <c r="O6" s="4"/>
      <c r="P6" s="4"/>
      <c r="Q6" s="4"/>
      <c r="R6" s="4"/>
    </row>
    <row r="7" spans="1:18" x14ac:dyDescent="0.2">
      <c r="B7" s="4"/>
      <c r="D7" s="10"/>
      <c r="E7" s="4"/>
      <c r="F7" s="4"/>
      <c r="G7" s="4"/>
      <c r="H7" s="4"/>
      <c r="I7" s="4"/>
      <c r="J7" s="4"/>
      <c r="K7" s="4"/>
      <c r="L7" s="19"/>
      <c r="M7" s="10"/>
      <c r="N7" s="4"/>
      <c r="O7" s="4"/>
      <c r="P7" s="4"/>
      <c r="Q7" s="4"/>
      <c r="R7" s="4"/>
    </row>
    <row r="8" spans="1:18" x14ac:dyDescent="0.2">
      <c r="A8" s="4"/>
      <c r="B8" s="27"/>
      <c r="C8" s="4"/>
      <c r="D8" s="10"/>
      <c r="E8" s="4"/>
      <c r="F8" s="4"/>
      <c r="G8" s="4"/>
      <c r="H8" s="4"/>
      <c r="I8" s="4"/>
      <c r="J8" s="4"/>
      <c r="K8" s="4"/>
      <c r="L8" s="19"/>
      <c r="M8" s="10"/>
      <c r="N8" s="4"/>
      <c r="O8" s="4"/>
      <c r="P8" s="4"/>
      <c r="Q8" s="4"/>
      <c r="R8" s="4"/>
    </row>
    <row r="9" spans="1:18" ht="13.5" thickBot="1" x14ac:dyDescent="0.25"/>
    <row r="10" spans="1:18" ht="13.5" thickTop="1" x14ac:dyDescent="0.2">
      <c r="A10" s="124" t="s">
        <v>22</v>
      </c>
      <c r="B10" s="125"/>
      <c r="C10" s="126"/>
    </row>
    <row r="11" spans="1:18" x14ac:dyDescent="0.2">
      <c r="A11" s="127"/>
      <c r="B11" s="128"/>
      <c r="C11" s="129"/>
    </row>
    <row r="12" spans="1:18" x14ac:dyDescent="0.2">
      <c r="A12" s="127"/>
      <c r="B12" s="128"/>
      <c r="C12" s="129"/>
    </row>
    <row r="13" spans="1:18" x14ac:dyDescent="0.2">
      <c r="A13" s="127"/>
      <c r="B13" s="128"/>
      <c r="C13" s="129"/>
    </row>
    <row r="14" spans="1:18" ht="13.5" thickBot="1" x14ac:dyDescent="0.25">
      <c r="A14" s="130"/>
      <c r="B14" s="131"/>
      <c r="C14" s="132"/>
    </row>
    <row r="15" spans="1:18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0.5" header="1.5" footer="0.25"/>
  <pageSetup scale="74" pageOrder="overThenDown" orientation="landscape"/>
  <headerFooter alignWithMargins="0">
    <oddHeader>&amp;R&amp;"Arial,Bold"Schedule &amp;A
Page &amp;P of &amp;N&amp;C&amp;B
2017 RATE CASE
ONCOR ELECTRIC DELIVERY COMPANY LLC
III-C RATE OF RETURN
TEST YEAR ENDING DECEMBER 31, 2016
SPONSOR: D. MITRISIN &amp;&amp; R. K. PRUETT</oddHeader>
  </headerFooter>
  <colBreaks count="1" manualBreakCount="1">
    <brk id="10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S116"/>
  <sheetViews>
    <sheetView zoomScaleNormal="75" workbookViewId="0">
      <selection activeCell="G16" sqref="G16"/>
    </sheetView>
  </sheetViews>
  <sheetFormatPr defaultColWidth="9.140625" defaultRowHeight="12.75" x14ac:dyDescent="0.2"/>
  <cols>
    <col min="1" max="1" width="5.7109375" style="28" customWidth="1"/>
    <col min="2" max="2" width="8.7109375" style="30" customWidth="1"/>
    <col min="3" max="3" width="45.7109375" style="30" customWidth="1"/>
    <col min="4" max="4" width="10.5703125" style="30" customWidth="1"/>
    <col min="5" max="5" width="12.7109375" style="30" customWidth="1"/>
    <col min="6" max="6" width="17" style="30" bestFit="1" customWidth="1"/>
    <col min="7" max="10" width="12.7109375" style="30" customWidth="1"/>
    <col min="11" max="11" width="12.42578125" style="34" bestFit="1" customWidth="1"/>
    <col min="12" max="12" width="12.7109375" style="30" customWidth="1"/>
    <col min="13" max="13" width="16.85546875" style="34" bestFit="1" customWidth="1"/>
    <col min="14" max="18" width="12.7109375" style="30" customWidth="1"/>
    <col min="19" max="16384" width="9.140625" style="30"/>
  </cols>
  <sheetData>
    <row r="1" spans="1:18" x14ac:dyDescent="0.2">
      <c r="A1" s="32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28"/>
      <c r="C2" s="28"/>
      <c r="D2" s="28"/>
      <c r="E2" s="28"/>
      <c r="F2" s="28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x14ac:dyDescent="0.2">
      <c r="A3" s="6" t="s">
        <v>23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x14ac:dyDescent="0.2">
      <c r="A4" s="54" t="str">
        <f>+'[1]Input Data'!$A$4</f>
        <v>TEST YEAR ENDING DECEMBER 31, 2024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x14ac:dyDescent="0.2">
      <c r="A5" s="6" t="str">
        <f>CONCATENATE("SPONSOR: ",'[1]Schedule Sponsors'!$D$170)</f>
        <v xml:space="preserve">SPONSOR: 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1:18" x14ac:dyDescent="0.2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1:18" x14ac:dyDescent="0.2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1:18" s="32" customFormat="1" x14ac:dyDescent="0.2">
      <c r="C8" s="39"/>
      <c r="D8" s="36"/>
      <c r="E8" s="36"/>
      <c r="F8" s="36"/>
      <c r="G8" s="36"/>
      <c r="H8" s="36"/>
      <c r="I8" s="36"/>
      <c r="J8" s="36"/>
      <c r="K8" s="37"/>
      <c r="L8" s="36"/>
      <c r="M8" s="37"/>
      <c r="N8" s="36"/>
      <c r="O8" s="36"/>
      <c r="P8" s="36"/>
      <c r="Q8" s="36"/>
      <c r="R8" s="36"/>
    </row>
    <row r="9" spans="1:18" s="28" customFormat="1" ht="13.5" thickBot="1" x14ac:dyDescent="0.25">
      <c r="D9" s="38"/>
      <c r="E9" s="38"/>
      <c r="F9" s="38"/>
      <c r="G9" s="38"/>
      <c r="H9" s="38"/>
      <c r="I9" s="38"/>
      <c r="J9" s="38"/>
      <c r="K9" s="29"/>
      <c r="L9" s="38"/>
      <c r="M9" s="29"/>
      <c r="N9" s="38"/>
      <c r="O9" s="38"/>
      <c r="P9" s="38"/>
      <c r="Q9" s="38"/>
    </row>
    <row r="10" spans="1:18" s="32" customFormat="1" ht="13.5" thickTop="1" x14ac:dyDescent="0.2">
      <c r="A10" s="124" t="s">
        <v>107</v>
      </c>
      <c r="B10" s="125"/>
      <c r="C10" s="126"/>
      <c r="D10" s="36"/>
      <c r="E10" s="36"/>
      <c r="F10" s="45"/>
      <c r="G10" s="36"/>
      <c r="H10" s="36"/>
      <c r="I10" s="36"/>
      <c r="J10" s="36"/>
      <c r="K10" s="37"/>
      <c r="L10" s="36"/>
      <c r="M10" s="46"/>
      <c r="N10" s="36"/>
      <c r="O10" s="36"/>
      <c r="P10" s="36"/>
      <c r="Q10" s="36"/>
    </row>
    <row r="11" spans="1:18" s="28" customFormat="1" x14ac:dyDescent="0.2">
      <c r="A11" s="127"/>
      <c r="B11" s="128"/>
      <c r="C11" s="129"/>
      <c r="D11" s="47"/>
      <c r="E11" s="38"/>
      <c r="F11" s="38"/>
      <c r="G11" s="38"/>
      <c r="H11" s="38"/>
      <c r="I11" s="38"/>
      <c r="J11" s="38"/>
      <c r="K11" s="29"/>
      <c r="L11" s="38"/>
      <c r="M11" s="29"/>
      <c r="N11" s="38"/>
      <c r="O11" s="41"/>
      <c r="P11" s="41"/>
      <c r="Q11" s="41"/>
      <c r="R11" s="41"/>
    </row>
    <row r="12" spans="1:18" s="28" customFormat="1" x14ac:dyDescent="0.2">
      <c r="A12" s="127"/>
      <c r="B12" s="128"/>
      <c r="C12" s="129"/>
      <c r="D12" s="47"/>
      <c r="E12" s="38"/>
      <c r="F12" s="38"/>
      <c r="G12" s="38"/>
      <c r="H12" s="38"/>
      <c r="I12" s="38"/>
      <c r="J12" s="38"/>
      <c r="K12" s="29"/>
      <c r="L12" s="38"/>
      <c r="M12" s="29"/>
      <c r="N12" s="38"/>
      <c r="O12" s="41"/>
      <c r="P12" s="41"/>
      <c r="Q12" s="41"/>
      <c r="R12" s="41"/>
    </row>
    <row r="13" spans="1:18" s="28" customFormat="1" x14ac:dyDescent="0.2">
      <c r="A13" s="127"/>
      <c r="B13" s="128"/>
      <c r="C13" s="129"/>
      <c r="D13" s="47"/>
      <c r="E13" s="38"/>
      <c r="F13" s="38"/>
      <c r="G13" s="38"/>
      <c r="H13" s="38"/>
      <c r="I13" s="38"/>
      <c r="J13" s="38"/>
      <c r="K13" s="29"/>
      <c r="L13" s="38"/>
      <c r="M13" s="29"/>
      <c r="N13" s="38"/>
      <c r="O13" s="41"/>
      <c r="P13" s="41"/>
      <c r="Q13" s="41"/>
      <c r="R13" s="41"/>
    </row>
    <row r="14" spans="1:18" s="28" customFormat="1" ht="13.5" thickBot="1" x14ac:dyDescent="0.25">
      <c r="A14" s="130"/>
      <c r="B14" s="131"/>
      <c r="C14" s="132"/>
      <c r="D14" s="47"/>
      <c r="E14" s="38"/>
      <c r="F14" s="38"/>
      <c r="G14" s="38"/>
      <c r="H14" s="38"/>
      <c r="I14" s="38"/>
      <c r="J14" s="38"/>
      <c r="K14" s="29"/>
      <c r="L14" s="38"/>
      <c r="M14" s="29"/>
      <c r="N14" s="38"/>
      <c r="O14" s="41"/>
      <c r="P14" s="41"/>
      <c r="Q14" s="41"/>
      <c r="R14" s="41"/>
    </row>
    <row r="15" spans="1:18" s="28" customFormat="1" ht="13.5" thickTop="1" x14ac:dyDescent="0.2">
      <c r="D15" s="47"/>
      <c r="E15" s="38"/>
      <c r="F15" s="38"/>
      <c r="G15" s="38"/>
      <c r="H15" s="38"/>
      <c r="I15" s="38"/>
      <c r="J15" s="38"/>
      <c r="K15" s="29"/>
      <c r="L15" s="38"/>
      <c r="M15" s="29"/>
      <c r="N15" s="38"/>
      <c r="O15" s="41"/>
      <c r="P15" s="41"/>
      <c r="Q15" s="41"/>
      <c r="R15" s="41"/>
    </row>
    <row r="16" spans="1:18" s="28" customFormat="1" x14ac:dyDescent="0.2">
      <c r="D16" s="47"/>
      <c r="E16" s="38"/>
      <c r="F16" s="38"/>
      <c r="G16" s="38"/>
      <c r="H16" s="38"/>
      <c r="I16" s="38"/>
      <c r="J16" s="38"/>
      <c r="K16" s="29"/>
      <c r="L16" s="38"/>
      <c r="M16" s="29"/>
      <c r="N16" s="38"/>
      <c r="O16" s="41"/>
      <c r="P16" s="41"/>
      <c r="Q16" s="41"/>
      <c r="R16" s="41"/>
    </row>
    <row r="17" spans="2:19" s="28" customFormat="1" x14ac:dyDescent="0.2">
      <c r="D17" s="47"/>
      <c r="E17" s="38"/>
      <c r="F17" s="38"/>
      <c r="G17" s="38"/>
      <c r="H17" s="38"/>
      <c r="I17" s="38"/>
      <c r="J17" s="38"/>
      <c r="K17" s="29"/>
      <c r="L17" s="38"/>
      <c r="M17" s="29"/>
      <c r="N17" s="38"/>
      <c r="O17" s="9"/>
      <c r="P17" s="9"/>
      <c r="Q17" s="9"/>
      <c r="R17" s="9"/>
    </row>
    <row r="18" spans="2:19" s="28" customFormat="1" x14ac:dyDescent="0.2">
      <c r="D18" s="47"/>
      <c r="E18" s="38"/>
      <c r="F18" s="38"/>
      <c r="G18" s="38"/>
      <c r="H18" s="38"/>
      <c r="I18" s="38"/>
      <c r="J18" s="38"/>
      <c r="K18" s="29"/>
      <c r="L18" s="38"/>
      <c r="M18" s="29"/>
      <c r="N18" s="38"/>
      <c r="O18" s="41"/>
      <c r="P18" s="41"/>
      <c r="Q18" s="41"/>
      <c r="R18" s="41"/>
    </row>
    <row r="19" spans="2:19" s="28" customFormat="1" x14ac:dyDescent="0.2">
      <c r="D19" s="47"/>
      <c r="E19" s="38"/>
      <c r="F19" s="38"/>
      <c r="G19" s="38"/>
      <c r="H19" s="38"/>
      <c r="I19" s="38"/>
      <c r="J19" s="38"/>
      <c r="K19" s="29"/>
      <c r="L19" s="38"/>
      <c r="M19" s="29"/>
      <c r="N19" s="38"/>
      <c r="O19" s="41"/>
      <c r="P19" s="41"/>
      <c r="Q19" s="41"/>
      <c r="R19" s="41"/>
    </row>
    <row r="20" spans="2:19" s="28" customFormat="1" x14ac:dyDescent="0.2">
      <c r="D20" s="47"/>
      <c r="E20" s="38"/>
      <c r="F20" s="38"/>
      <c r="G20" s="38"/>
      <c r="H20" s="38"/>
      <c r="I20" s="38"/>
      <c r="J20" s="38"/>
      <c r="K20" s="29"/>
      <c r="L20" s="38"/>
      <c r="M20" s="29"/>
      <c r="N20" s="38"/>
      <c r="O20" s="41"/>
      <c r="P20" s="41"/>
      <c r="Q20" s="41"/>
      <c r="R20" s="41"/>
    </row>
    <row r="21" spans="2:19" s="32" customFormat="1" x14ac:dyDescent="0.2">
      <c r="C21" s="39"/>
      <c r="D21" s="45"/>
      <c r="E21" s="36"/>
      <c r="F21" s="36"/>
      <c r="G21" s="36"/>
      <c r="H21" s="36"/>
      <c r="I21" s="36"/>
      <c r="J21" s="36"/>
      <c r="K21" s="46"/>
      <c r="L21" s="36"/>
      <c r="M21" s="37"/>
      <c r="N21" s="36"/>
      <c r="O21" s="36"/>
      <c r="P21" s="36"/>
      <c r="Q21" s="36"/>
      <c r="R21" s="36"/>
      <c r="S21" s="28"/>
    </row>
    <row r="22" spans="2:19" s="28" customFormat="1" x14ac:dyDescent="0.2">
      <c r="C22" s="40"/>
      <c r="D22" s="47"/>
      <c r="E22" s="38"/>
      <c r="F22" s="38"/>
      <c r="G22" s="38"/>
      <c r="H22" s="38"/>
      <c r="I22" s="38"/>
      <c r="J22" s="38"/>
      <c r="K22" s="48"/>
      <c r="L22" s="38"/>
      <c r="M22" s="29"/>
      <c r="N22" s="38"/>
      <c r="O22" s="38"/>
      <c r="P22" s="38"/>
      <c r="Q22" s="38"/>
    </row>
    <row r="23" spans="2:19" s="32" customFormat="1" x14ac:dyDescent="0.2">
      <c r="B23" s="49"/>
      <c r="D23" s="45"/>
      <c r="E23" s="36"/>
      <c r="F23" s="36"/>
      <c r="G23" s="36"/>
      <c r="H23" s="36"/>
      <c r="I23" s="36"/>
      <c r="J23" s="36"/>
      <c r="K23" s="46"/>
      <c r="L23" s="36"/>
      <c r="M23" s="37"/>
      <c r="N23" s="36"/>
      <c r="O23" s="36"/>
      <c r="P23" s="36"/>
      <c r="Q23" s="36"/>
      <c r="R23" s="36"/>
      <c r="S23" s="28"/>
    </row>
    <row r="24" spans="2:19" s="28" customFormat="1" x14ac:dyDescent="0.2">
      <c r="C24" s="39"/>
      <c r="D24" s="47"/>
      <c r="E24" s="38"/>
      <c r="F24" s="38"/>
      <c r="G24" s="38"/>
      <c r="H24" s="38"/>
      <c r="I24" s="38"/>
      <c r="J24" s="38"/>
      <c r="K24" s="48"/>
      <c r="L24" s="38"/>
      <c r="M24" s="37"/>
      <c r="N24" s="38"/>
      <c r="O24" s="38"/>
      <c r="P24" s="38"/>
      <c r="Q24" s="38"/>
      <c r="R24" s="38"/>
    </row>
    <row r="25" spans="2:19" s="32" customFormat="1" x14ac:dyDescent="0.2">
      <c r="C25" s="39"/>
      <c r="D25" s="36"/>
      <c r="E25" s="36"/>
      <c r="F25" s="36"/>
      <c r="G25" s="36"/>
      <c r="H25" s="36"/>
      <c r="I25" s="36"/>
      <c r="J25" s="36"/>
      <c r="K25" s="46"/>
      <c r="L25" s="36"/>
      <c r="M25" s="37"/>
      <c r="N25" s="36"/>
      <c r="O25" s="36"/>
      <c r="P25" s="36"/>
      <c r="Q25" s="36"/>
      <c r="R25" s="36"/>
    </row>
    <row r="26" spans="2:19" s="32" customFormat="1" x14ac:dyDescent="0.2">
      <c r="C26" s="39"/>
      <c r="D26" s="45"/>
      <c r="E26" s="36"/>
      <c r="F26" s="36"/>
      <c r="G26" s="36"/>
      <c r="H26" s="36"/>
      <c r="I26" s="36"/>
      <c r="J26" s="36"/>
      <c r="K26" s="46"/>
      <c r="L26" s="36"/>
      <c r="M26" s="37"/>
      <c r="N26" s="36"/>
      <c r="O26" s="36"/>
      <c r="P26" s="36"/>
      <c r="Q26" s="36"/>
    </row>
    <row r="27" spans="2:19" s="32" customFormat="1" x14ac:dyDescent="0.2">
      <c r="C27" s="39"/>
      <c r="D27" s="36"/>
      <c r="E27" s="36"/>
      <c r="F27" s="36"/>
      <c r="G27" s="36"/>
      <c r="H27" s="36"/>
      <c r="I27" s="36"/>
      <c r="J27" s="36"/>
      <c r="K27" s="46"/>
      <c r="L27" s="36"/>
      <c r="M27" s="37"/>
      <c r="N27" s="36"/>
      <c r="O27" s="50"/>
      <c r="P27" s="50"/>
      <c r="Q27" s="50"/>
      <c r="R27" s="50"/>
    </row>
    <row r="28" spans="2:19" s="32" customFormat="1" x14ac:dyDescent="0.2">
      <c r="C28" s="39"/>
      <c r="D28" s="45"/>
      <c r="E28" s="36"/>
      <c r="F28" s="36"/>
      <c r="G28" s="36"/>
      <c r="H28" s="36"/>
      <c r="I28" s="36"/>
      <c r="J28" s="36"/>
      <c r="K28" s="46"/>
      <c r="L28" s="36"/>
      <c r="M28" s="37"/>
      <c r="N28" s="36"/>
      <c r="O28" s="36"/>
      <c r="P28" s="36"/>
      <c r="Q28" s="36"/>
    </row>
    <row r="29" spans="2:19" s="32" customFormat="1" x14ac:dyDescent="0.2">
      <c r="B29" s="35"/>
      <c r="C29" s="39"/>
      <c r="D29" s="45"/>
      <c r="E29" s="36"/>
      <c r="F29" s="36"/>
      <c r="G29" s="36"/>
      <c r="H29" s="36"/>
      <c r="I29" s="36"/>
      <c r="J29" s="36"/>
      <c r="K29" s="46"/>
      <c r="L29" s="36"/>
      <c r="M29" s="37"/>
      <c r="N29" s="36"/>
      <c r="O29" s="36"/>
      <c r="P29" s="36"/>
      <c r="Q29" s="36"/>
      <c r="R29" s="36"/>
    </row>
    <row r="30" spans="2:19" s="28" customFormat="1" x14ac:dyDescent="0.2">
      <c r="C30" s="39"/>
      <c r="D30" s="47"/>
      <c r="E30" s="38"/>
      <c r="F30" s="38"/>
      <c r="G30" s="38"/>
      <c r="H30" s="38"/>
      <c r="I30" s="38"/>
      <c r="J30" s="38"/>
      <c r="K30" s="48"/>
      <c r="L30" s="38"/>
      <c r="M30" s="37"/>
      <c r="N30" s="38"/>
      <c r="O30" s="38"/>
      <c r="P30" s="38"/>
      <c r="Q30" s="38"/>
    </row>
    <row r="31" spans="2:19" s="28" customFormat="1" x14ac:dyDescent="0.2">
      <c r="C31" s="39"/>
      <c r="D31" s="47"/>
      <c r="E31" s="38"/>
      <c r="F31" s="38"/>
      <c r="G31" s="38"/>
      <c r="H31" s="38"/>
      <c r="I31" s="38"/>
      <c r="J31" s="38"/>
      <c r="K31" s="29"/>
      <c r="L31" s="38"/>
      <c r="M31" s="29"/>
      <c r="N31" s="38"/>
      <c r="O31" s="41"/>
      <c r="P31" s="41"/>
      <c r="Q31" s="41"/>
      <c r="R31" s="41"/>
    </row>
    <row r="32" spans="2:19" s="28" customFormat="1" x14ac:dyDescent="0.2">
      <c r="C32" s="39"/>
      <c r="D32" s="47"/>
      <c r="E32" s="38"/>
      <c r="F32" s="38"/>
      <c r="G32" s="38"/>
      <c r="H32" s="38"/>
      <c r="I32" s="38"/>
      <c r="J32" s="38"/>
      <c r="K32" s="29"/>
      <c r="L32" s="38"/>
      <c r="M32" s="29"/>
      <c r="N32" s="38"/>
      <c r="O32" s="41"/>
      <c r="P32" s="41"/>
      <c r="Q32" s="41"/>
      <c r="R32" s="41"/>
    </row>
    <row r="33" spans="3:18" s="28" customFormat="1" x14ac:dyDescent="0.2">
      <c r="C33" s="39"/>
      <c r="D33" s="47"/>
      <c r="E33" s="38"/>
      <c r="F33" s="38"/>
      <c r="G33" s="38"/>
      <c r="H33" s="38"/>
      <c r="I33" s="38"/>
      <c r="J33" s="38"/>
      <c r="K33" s="48"/>
      <c r="L33" s="38"/>
      <c r="M33" s="37"/>
      <c r="N33" s="38"/>
      <c r="O33" s="38"/>
      <c r="P33" s="38"/>
      <c r="Q33" s="38"/>
    </row>
    <row r="34" spans="3:18" s="28" customFormat="1" x14ac:dyDescent="0.2">
      <c r="C34" s="51"/>
      <c r="D34" s="47"/>
      <c r="E34" s="38"/>
      <c r="F34" s="38"/>
      <c r="G34" s="38"/>
      <c r="H34" s="38"/>
      <c r="I34" s="38"/>
      <c r="J34" s="38"/>
      <c r="K34" s="29"/>
      <c r="L34" s="38"/>
      <c r="M34" s="29"/>
      <c r="N34" s="38"/>
      <c r="O34" s="41"/>
      <c r="P34" s="41"/>
      <c r="Q34" s="41"/>
      <c r="R34" s="41"/>
    </row>
    <row r="35" spans="3:18" s="28" customFormat="1" x14ac:dyDescent="0.2">
      <c r="C35" s="52"/>
      <c r="D35" s="47"/>
      <c r="E35" s="38"/>
      <c r="F35" s="38"/>
      <c r="G35" s="38"/>
      <c r="H35" s="38"/>
      <c r="I35" s="38"/>
      <c r="J35" s="38"/>
      <c r="K35" s="29"/>
      <c r="L35" s="38"/>
      <c r="M35" s="29"/>
      <c r="N35" s="38"/>
      <c r="O35" s="41"/>
      <c r="P35" s="41"/>
      <c r="Q35" s="41"/>
      <c r="R35" s="41"/>
    </row>
    <row r="36" spans="3:18" s="28" customFormat="1" x14ac:dyDescent="0.2">
      <c r="D36" s="47"/>
      <c r="E36" s="38"/>
      <c r="F36" s="38"/>
      <c r="G36" s="38"/>
      <c r="H36" s="38"/>
      <c r="I36" s="38"/>
      <c r="J36" s="38"/>
      <c r="K36" s="29"/>
      <c r="L36" s="38"/>
      <c r="M36" s="29"/>
      <c r="N36" s="38"/>
      <c r="O36" s="41"/>
      <c r="P36" s="41"/>
      <c r="Q36" s="41"/>
      <c r="R36" s="41"/>
    </row>
    <row r="37" spans="3:18" s="28" customFormat="1" x14ac:dyDescent="0.2">
      <c r="K37" s="29"/>
      <c r="M37" s="29"/>
    </row>
    <row r="38" spans="3:18" s="28" customFormat="1" x14ac:dyDescent="0.2">
      <c r="K38" s="29"/>
      <c r="M38" s="29"/>
    </row>
    <row r="39" spans="3:18" s="28" customFormat="1" x14ac:dyDescent="0.2">
      <c r="K39" s="29"/>
      <c r="M39" s="29"/>
    </row>
    <row r="40" spans="3:18" s="28" customFormat="1" x14ac:dyDescent="0.2">
      <c r="K40" s="29"/>
      <c r="M40" s="29"/>
    </row>
    <row r="41" spans="3:18" s="28" customFormat="1" x14ac:dyDescent="0.2">
      <c r="K41" s="29"/>
      <c r="M41" s="29"/>
    </row>
    <row r="42" spans="3:18" s="28" customFormat="1" x14ac:dyDescent="0.2">
      <c r="K42" s="29"/>
      <c r="M42" s="29"/>
    </row>
    <row r="43" spans="3:18" s="28" customFormat="1" x14ac:dyDescent="0.2">
      <c r="K43" s="29"/>
      <c r="M43" s="29"/>
    </row>
    <row r="44" spans="3:18" s="28" customFormat="1" x14ac:dyDescent="0.2">
      <c r="K44" s="29"/>
      <c r="M44" s="29"/>
    </row>
    <row r="45" spans="3:18" s="28" customFormat="1" x14ac:dyDescent="0.2">
      <c r="K45" s="29"/>
      <c r="M45" s="29"/>
    </row>
    <row r="46" spans="3:18" s="28" customFormat="1" x14ac:dyDescent="0.2">
      <c r="K46" s="29"/>
      <c r="M46" s="29"/>
    </row>
    <row r="47" spans="3:18" s="28" customFormat="1" x14ac:dyDescent="0.2">
      <c r="K47" s="29"/>
      <c r="M47" s="29"/>
    </row>
    <row r="48" spans="3:18" s="28" customFormat="1" x14ac:dyDescent="0.2">
      <c r="K48" s="29"/>
      <c r="M48" s="29"/>
    </row>
    <row r="49" spans="11:13" s="28" customFormat="1" x14ac:dyDescent="0.2">
      <c r="K49" s="29"/>
      <c r="M49" s="29"/>
    </row>
    <row r="50" spans="11:13" s="28" customFormat="1" x14ac:dyDescent="0.2">
      <c r="K50" s="29"/>
      <c r="M50" s="29"/>
    </row>
    <row r="51" spans="11:13" s="28" customFormat="1" x14ac:dyDescent="0.2">
      <c r="K51" s="29"/>
      <c r="M51" s="29"/>
    </row>
    <row r="52" spans="11:13" s="28" customFormat="1" x14ac:dyDescent="0.2">
      <c r="K52" s="29"/>
      <c r="M52" s="29"/>
    </row>
    <row r="53" spans="11:13" s="28" customFormat="1" x14ac:dyDescent="0.2">
      <c r="K53" s="29"/>
      <c r="M53" s="29"/>
    </row>
    <row r="54" spans="11:13" s="28" customFormat="1" x14ac:dyDescent="0.2">
      <c r="K54" s="29"/>
      <c r="M54" s="29"/>
    </row>
    <row r="55" spans="11:13" s="28" customFormat="1" x14ac:dyDescent="0.2">
      <c r="K55" s="29"/>
      <c r="M55" s="29"/>
    </row>
    <row r="56" spans="11:13" s="28" customFormat="1" x14ac:dyDescent="0.2">
      <c r="K56" s="29"/>
      <c r="M56" s="29"/>
    </row>
    <row r="57" spans="11:13" s="28" customFormat="1" x14ac:dyDescent="0.2">
      <c r="K57" s="29"/>
      <c r="M57" s="29"/>
    </row>
    <row r="58" spans="11:13" s="28" customFormat="1" x14ac:dyDescent="0.2">
      <c r="K58" s="29"/>
      <c r="M58" s="29"/>
    </row>
    <row r="59" spans="11:13" s="28" customFormat="1" x14ac:dyDescent="0.2">
      <c r="K59" s="29"/>
      <c r="M59" s="29"/>
    </row>
    <row r="60" spans="11:13" s="28" customFormat="1" x14ac:dyDescent="0.2">
      <c r="K60" s="29"/>
      <c r="M60" s="29"/>
    </row>
    <row r="61" spans="11:13" s="28" customFormat="1" x14ac:dyDescent="0.2">
      <c r="K61" s="29"/>
      <c r="M61" s="29"/>
    </row>
    <row r="62" spans="11:13" s="28" customFormat="1" x14ac:dyDescent="0.2">
      <c r="K62" s="29"/>
      <c r="M62" s="29"/>
    </row>
    <row r="63" spans="11:13" s="28" customFormat="1" x14ac:dyDescent="0.2">
      <c r="K63" s="29"/>
      <c r="M63" s="29"/>
    </row>
    <row r="64" spans="11:13" s="28" customFormat="1" x14ac:dyDescent="0.2">
      <c r="K64" s="29"/>
      <c r="M64" s="29"/>
    </row>
    <row r="65" spans="11:13" s="28" customFormat="1" x14ac:dyDescent="0.2">
      <c r="K65" s="29"/>
      <c r="M65" s="29"/>
    </row>
    <row r="66" spans="11:13" s="28" customFormat="1" x14ac:dyDescent="0.2">
      <c r="K66" s="29"/>
      <c r="M66" s="29"/>
    </row>
    <row r="67" spans="11:13" s="28" customFormat="1" x14ac:dyDescent="0.2">
      <c r="K67" s="29"/>
      <c r="M67" s="29"/>
    </row>
    <row r="68" spans="11:13" s="28" customFormat="1" x14ac:dyDescent="0.2">
      <c r="K68" s="29"/>
      <c r="M68" s="29"/>
    </row>
    <row r="69" spans="11:13" s="28" customFormat="1" x14ac:dyDescent="0.2">
      <c r="K69" s="29"/>
      <c r="M69" s="29"/>
    </row>
    <row r="70" spans="11:13" s="28" customFormat="1" x14ac:dyDescent="0.2">
      <c r="K70" s="29"/>
      <c r="M70" s="29"/>
    </row>
    <row r="71" spans="11:13" s="28" customFormat="1" x14ac:dyDescent="0.2">
      <c r="K71" s="29"/>
      <c r="M71" s="29"/>
    </row>
    <row r="72" spans="11:13" s="28" customFormat="1" x14ac:dyDescent="0.2">
      <c r="K72" s="29"/>
      <c r="M72" s="29"/>
    </row>
    <row r="73" spans="11:13" s="28" customFormat="1" x14ac:dyDescent="0.2">
      <c r="K73" s="29"/>
      <c r="M73" s="29"/>
    </row>
    <row r="74" spans="11:13" s="28" customFormat="1" x14ac:dyDescent="0.2">
      <c r="K74" s="29"/>
      <c r="M74" s="29"/>
    </row>
    <row r="75" spans="11:13" s="28" customFormat="1" x14ac:dyDescent="0.2">
      <c r="K75" s="29"/>
      <c r="M75" s="29"/>
    </row>
    <row r="76" spans="11:13" s="28" customFormat="1" x14ac:dyDescent="0.2">
      <c r="K76" s="29"/>
      <c r="M76" s="29"/>
    </row>
    <row r="77" spans="11:13" s="28" customFormat="1" x14ac:dyDescent="0.2">
      <c r="K77" s="29"/>
      <c r="M77" s="29"/>
    </row>
    <row r="78" spans="11:13" s="28" customFormat="1" x14ac:dyDescent="0.2">
      <c r="K78" s="29"/>
      <c r="M78" s="29"/>
    </row>
    <row r="79" spans="11:13" s="28" customFormat="1" x14ac:dyDescent="0.2">
      <c r="K79" s="29"/>
      <c r="M79" s="29"/>
    </row>
    <row r="80" spans="11:13" s="28" customFormat="1" x14ac:dyDescent="0.2">
      <c r="K80" s="29"/>
      <c r="M80" s="29"/>
    </row>
    <row r="81" spans="11:13" s="28" customFormat="1" x14ac:dyDescent="0.2">
      <c r="K81" s="29"/>
      <c r="M81" s="29"/>
    </row>
    <row r="82" spans="11:13" s="28" customFormat="1" x14ac:dyDescent="0.2">
      <c r="K82" s="29"/>
      <c r="M82" s="29"/>
    </row>
    <row r="83" spans="11:13" s="28" customFormat="1" x14ac:dyDescent="0.2">
      <c r="K83" s="29"/>
      <c r="M83" s="29"/>
    </row>
    <row r="84" spans="11:13" s="28" customFormat="1" x14ac:dyDescent="0.2">
      <c r="K84" s="29"/>
      <c r="M84" s="29"/>
    </row>
    <row r="85" spans="11:13" s="28" customFormat="1" x14ac:dyDescent="0.2">
      <c r="K85" s="29"/>
      <c r="M85" s="29"/>
    </row>
    <row r="86" spans="11:13" s="28" customFormat="1" x14ac:dyDescent="0.2">
      <c r="K86" s="29"/>
      <c r="M86" s="29"/>
    </row>
    <row r="87" spans="11:13" s="28" customFormat="1" x14ac:dyDescent="0.2">
      <c r="K87" s="29"/>
      <c r="M87" s="29"/>
    </row>
    <row r="88" spans="11:13" s="28" customFormat="1" x14ac:dyDescent="0.2">
      <c r="K88" s="29"/>
      <c r="M88" s="29"/>
    </row>
    <row r="89" spans="11:13" s="28" customFormat="1" x14ac:dyDescent="0.2">
      <c r="K89" s="29"/>
      <c r="M89" s="29"/>
    </row>
    <row r="90" spans="11:13" s="28" customFormat="1" x14ac:dyDescent="0.2">
      <c r="K90" s="29"/>
      <c r="M90" s="29"/>
    </row>
    <row r="91" spans="11:13" s="28" customFormat="1" x14ac:dyDescent="0.2">
      <c r="K91" s="29"/>
      <c r="M91" s="29"/>
    </row>
    <row r="92" spans="11:13" s="28" customFormat="1" x14ac:dyDescent="0.2">
      <c r="K92" s="29"/>
      <c r="M92" s="29"/>
    </row>
    <row r="93" spans="11:13" s="28" customFormat="1" x14ac:dyDescent="0.2">
      <c r="K93" s="29"/>
      <c r="M93" s="29"/>
    </row>
    <row r="94" spans="11:13" s="28" customFormat="1" x14ac:dyDescent="0.2">
      <c r="K94" s="29"/>
      <c r="M94" s="29"/>
    </row>
    <row r="95" spans="11:13" s="28" customFormat="1" x14ac:dyDescent="0.2">
      <c r="K95" s="29"/>
      <c r="M95" s="29"/>
    </row>
    <row r="96" spans="11:13" s="28" customFormat="1" x14ac:dyDescent="0.2">
      <c r="K96" s="29"/>
      <c r="M96" s="29"/>
    </row>
    <row r="97" spans="11:13" s="28" customFormat="1" x14ac:dyDescent="0.2">
      <c r="K97" s="29"/>
      <c r="M97" s="29"/>
    </row>
    <row r="98" spans="11:13" s="28" customFormat="1" x14ac:dyDescent="0.2">
      <c r="K98" s="29"/>
      <c r="M98" s="29"/>
    </row>
    <row r="99" spans="11:13" s="28" customFormat="1" x14ac:dyDescent="0.2">
      <c r="K99" s="29"/>
      <c r="M99" s="29"/>
    </row>
    <row r="100" spans="11:13" s="28" customFormat="1" x14ac:dyDescent="0.2">
      <c r="K100" s="29"/>
      <c r="M100" s="29"/>
    </row>
    <row r="101" spans="11:13" s="28" customFormat="1" x14ac:dyDescent="0.2">
      <c r="K101" s="29"/>
      <c r="M101" s="29"/>
    </row>
    <row r="102" spans="11:13" s="28" customFormat="1" x14ac:dyDescent="0.2">
      <c r="K102" s="29"/>
      <c r="M102" s="29"/>
    </row>
    <row r="103" spans="11:13" s="28" customFormat="1" x14ac:dyDescent="0.2">
      <c r="K103" s="29"/>
      <c r="M103" s="29"/>
    </row>
    <row r="104" spans="11:13" s="28" customFormat="1" x14ac:dyDescent="0.2">
      <c r="K104" s="29"/>
      <c r="M104" s="29"/>
    </row>
    <row r="105" spans="11:13" s="28" customFormat="1" x14ac:dyDescent="0.2">
      <c r="K105" s="29"/>
      <c r="M105" s="29"/>
    </row>
    <row r="106" spans="11:13" s="28" customFormat="1" x14ac:dyDescent="0.2">
      <c r="K106" s="29"/>
      <c r="M106" s="29"/>
    </row>
    <row r="107" spans="11:13" s="28" customFormat="1" x14ac:dyDescent="0.2">
      <c r="K107" s="29"/>
      <c r="M107" s="29"/>
    </row>
    <row r="108" spans="11:13" s="28" customFormat="1" x14ac:dyDescent="0.2">
      <c r="K108" s="29"/>
      <c r="M108" s="29"/>
    </row>
    <row r="109" spans="11:13" s="28" customFormat="1" x14ac:dyDescent="0.2">
      <c r="K109" s="29"/>
      <c r="M109" s="29"/>
    </row>
    <row r="110" spans="11:13" s="28" customFormat="1" x14ac:dyDescent="0.2">
      <c r="K110" s="29"/>
      <c r="M110" s="29"/>
    </row>
    <row r="111" spans="11:13" s="28" customFormat="1" x14ac:dyDescent="0.2">
      <c r="K111" s="29"/>
      <c r="M111" s="29"/>
    </row>
    <row r="112" spans="11:13" s="28" customFormat="1" x14ac:dyDescent="0.2">
      <c r="K112" s="29"/>
      <c r="M112" s="29"/>
    </row>
    <row r="113" spans="11:13" s="28" customFormat="1" x14ac:dyDescent="0.2">
      <c r="K113" s="29"/>
      <c r="M113" s="29"/>
    </row>
    <row r="114" spans="11:13" s="28" customFormat="1" x14ac:dyDescent="0.2">
      <c r="K114" s="29"/>
      <c r="M114" s="29"/>
    </row>
    <row r="115" spans="11:13" s="28" customFormat="1" x14ac:dyDescent="0.2">
      <c r="K115" s="29"/>
      <c r="M115" s="29"/>
    </row>
    <row r="116" spans="11:13" s="28" customFormat="1" x14ac:dyDescent="0.2">
      <c r="K116" s="29"/>
      <c r="M116" s="29"/>
    </row>
  </sheetData>
  <mergeCells count="1">
    <mergeCell ref="A10:C14"/>
  </mergeCells>
  <phoneticPr fontId="2" type="noConversion"/>
  <printOptions horizontalCentered="1"/>
  <pageMargins left="0.5" right="0.5" top="2.5" bottom="0.5" header="1.5" footer="0.25"/>
  <pageSetup scale="74" pageOrder="overThenDown" orientation="landscape"/>
  <headerFooter alignWithMargins="0">
    <oddHeader>&amp;R&amp;"Arial,Bold"Schedule &amp;A
Page &amp;P of &amp;N&amp;C&amp;B
2017 RATE CASE
ONCOR ELECTRIC DELIVERY COMPANY LLC
III-D-1 OPERATION AND MAINTENANCE EXPENSE
TEST YEAR ENDING DECEMBER 31, 2016
SPONSOR: D. MITRISIN &amp;&amp; R. K. PRUETT</oddHeader>
  </headerFooter>
  <colBreaks count="1" manualBreakCount="1">
    <brk id="10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R15"/>
  <sheetViews>
    <sheetView zoomScaleNormal="75" workbookViewId="0">
      <selection activeCell="G16" sqref="G16"/>
    </sheetView>
  </sheetViews>
  <sheetFormatPr defaultColWidth="9.140625" defaultRowHeight="12.75" customHeight="1" x14ac:dyDescent="0.2"/>
  <cols>
    <col min="1" max="1" width="5.7109375" style="28" customWidth="1"/>
    <col min="2" max="2" width="8.7109375" style="30" customWidth="1"/>
    <col min="3" max="3" width="45.7109375" style="30" customWidth="1"/>
    <col min="4" max="4" width="10.5703125" style="30" customWidth="1"/>
    <col min="5" max="5" width="12.7109375" style="30" customWidth="1"/>
    <col min="6" max="6" width="17" style="30" bestFit="1" customWidth="1"/>
    <col min="7" max="10" width="12.7109375" style="30" customWidth="1"/>
    <col min="11" max="11" width="12.7109375" style="34" customWidth="1"/>
    <col min="12" max="12" width="12.7109375" style="30" customWidth="1"/>
    <col min="13" max="13" width="16.85546875" style="34" bestFit="1" customWidth="1"/>
    <col min="14" max="18" width="12.7109375" style="30" customWidth="1"/>
    <col min="19" max="16384" width="9.140625" style="30"/>
  </cols>
  <sheetData>
    <row r="1" spans="1:18" ht="12.75" customHeight="1" x14ac:dyDescent="0.2">
      <c r="A1" s="32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x14ac:dyDescent="0.2">
      <c r="A3" s="6" t="s">
        <v>24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x14ac:dyDescent="0.2">
      <c r="A4" s="54" t="str">
        <f>+'[1]Input Data'!$A$4</f>
        <v>TEST YEAR ENDING DECEMBER 31, 2024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x14ac:dyDescent="0.2">
      <c r="A5" s="6" t="str">
        <f>CONCATENATE("SPONSOR: ",'[1]Schedule Sponsors'!$D$171)</f>
        <v xml:space="preserve">SPONSOR: 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1:18" x14ac:dyDescent="0.2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1:18" x14ac:dyDescent="0.2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1:18" x14ac:dyDescent="0.2">
      <c r="B8" s="32"/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spans="1:18" ht="12.75" customHeight="1" thickBot="1" x14ac:dyDescent="0.25"/>
    <row r="10" spans="1:18" ht="12.75" customHeight="1" thickTop="1" x14ac:dyDescent="0.2">
      <c r="A10" s="124" t="s">
        <v>108</v>
      </c>
      <c r="B10" s="125"/>
      <c r="C10" s="126"/>
    </row>
    <row r="11" spans="1:18" ht="12.75" customHeight="1" x14ac:dyDescent="0.2">
      <c r="A11" s="127"/>
      <c r="B11" s="128"/>
      <c r="C11" s="129"/>
    </row>
    <row r="12" spans="1:18" ht="12.75" customHeight="1" x14ac:dyDescent="0.2">
      <c r="A12" s="127"/>
      <c r="B12" s="128"/>
      <c r="C12" s="129"/>
    </row>
    <row r="13" spans="1:18" ht="12.75" customHeight="1" x14ac:dyDescent="0.2">
      <c r="A13" s="127"/>
      <c r="B13" s="128"/>
      <c r="C13" s="129"/>
    </row>
    <row r="14" spans="1:18" ht="12.75" customHeight="1" thickBot="1" x14ac:dyDescent="0.25">
      <c r="A14" s="130"/>
      <c r="B14" s="131"/>
      <c r="C14" s="132"/>
    </row>
    <row r="15" spans="1:18" ht="12.75" customHeight="1" thickTop="1" x14ac:dyDescent="0.2"/>
  </sheetData>
  <mergeCells count="1">
    <mergeCell ref="A10:C14"/>
  </mergeCells>
  <phoneticPr fontId="2" type="noConversion"/>
  <printOptions horizontalCentered="1"/>
  <pageMargins left="0.5" right="0.5" top="2.5" bottom="0.5" header="1.5" footer="0.5"/>
  <pageSetup scale="74" pageOrder="overThenDown" orientation="landscape"/>
  <headerFooter alignWithMargins="0">
    <oddHeader xml:space="preserve">&amp;R&amp;"Arial,Bold"Schedule &amp;A
Page &amp;P of &amp;N&amp;C&amp;B
2017 RATE CASE
ONCOR ELECTRIC DELIVERY COMPANY LLC
III-D-2 ADMINISTRATIVE AND GENERAL EXPENSE
TEST YEAR ENDING DECEMBER 31, 2016
SPONSOR: D. MITRISIN  </oddHeader>
  </headerFooter>
  <colBreaks count="1" manualBreakCount="1">
    <brk id="10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S129"/>
  <sheetViews>
    <sheetView zoomScaleNormal="75" workbookViewId="0">
      <selection activeCell="G16" sqref="G16"/>
    </sheetView>
  </sheetViews>
  <sheetFormatPr defaultColWidth="9.140625" defaultRowHeight="12.75" customHeight="1" x14ac:dyDescent="0.2"/>
  <cols>
    <col min="1" max="1" width="5.7109375" style="28" customWidth="1"/>
    <col min="2" max="2" width="8.7109375" style="30" customWidth="1"/>
    <col min="3" max="3" width="45.7109375" style="30" customWidth="1"/>
    <col min="4" max="4" width="10.5703125" style="30" customWidth="1"/>
    <col min="5" max="5" width="12.7109375" style="30" customWidth="1"/>
    <col min="6" max="6" width="17" style="30" bestFit="1" customWidth="1"/>
    <col min="7" max="10" width="12.7109375" style="30" customWidth="1"/>
    <col min="11" max="11" width="12.7109375" style="34" customWidth="1"/>
    <col min="12" max="12" width="12.7109375" style="30" customWidth="1"/>
    <col min="13" max="13" width="16.85546875" style="34" bestFit="1" customWidth="1"/>
    <col min="14" max="18" width="12.7109375" style="30" customWidth="1"/>
    <col min="19" max="16384" width="9.140625" style="30"/>
  </cols>
  <sheetData>
    <row r="1" spans="1:18" ht="12.75" customHeight="1" x14ac:dyDescent="0.2">
      <c r="A1" s="32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x14ac:dyDescent="0.2">
      <c r="A3" s="6" t="s">
        <v>15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x14ac:dyDescent="0.2">
      <c r="A4" s="54" t="str">
        <f>+'[1]Input Data'!$A$4</f>
        <v>TEST YEAR ENDING DECEMBER 31, 2024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x14ac:dyDescent="0.2">
      <c r="A5" s="6" t="str">
        <f>CONCATENATE("SPONSOR: ",'[1]Schedule Sponsors'!$D$172)</f>
        <v>SPONSOR: V. SNOW &amp;&amp; R. PRACHYL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1:18" x14ac:dyDescent="0.2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1:18" x14ac:dyDescent="0.2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1:18" x14ac:dyDescent="0.2">
      <c r="B8" s="32"/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spans="1:18" s="28" customFormat="1" ht="12.75" customHeight="1" thickBot="1" x14ac:dyDescent="0.25">
      <c r="C9" s="42"/>
      <c r="D9" s="38"/>
      <c r="E9" s="38"/>
      <c r="F9" s="38"/>
      <c r="G9" s="38"/>
      <c r="H9" s="38"/>
      <c r="I9" s="38"/>
      <c r="J9" s="38"/>
      <c r="K9" s="29"/>
      <c r="L9" s="38"/>
      <c r="M9" s="29"/>
      <c r="N9" s="38"/>
      <c r="O9" s="41"/>
      <c r="P9" s="41"/>
      <c r="Q9" s="41"/>
      <c r="R9" s="41"/>
    </row>
    <row r="10" spans="1:18" s="28" customFormat="1" ht="12.75" customHeight="1" thickTop="1" x14ac:dyDescent="0.2">
      <c r="A10" s="124" t="s">
        <v>109</v>
      </c>
      <c r="B10" s="125"/>
      <c r="C10" s="126"/>
      <c r="D10" s="38"/>
      <c r="E10" s="38"/>
      <c r="F10" s="38"/>
      <c r="G10" s="38"/>
      <c r="H10" s="38"/>
      <c r="I10" s="38"/>
      <c r="J10" s="38"/>
      <c r="K10" s="29"/>
      <c r="L10" s="38"/>
      <c r="M10" s="33"/>
      <c r="N10" s="38"/>
      <c r="O10" s="41"/>
      <c r="P10" s="41"/>
      <c r="Q10" s="41"/>
      <c r="R10" s="41"/>
    </row>
    <row r="11" spans="1:18" s="32" customFormat="1" ht="12.75" customHeight="1" x14ac:dyDescent="0.2">
      <c r="A11" s="127"/>
      <c r="B11" s="128"/>
      <c r="C11" s="129"/>
      <c r="D11" s="36"/>
      <c r="E11" s="36"/>
      <c r="F11" s="36"/>
      <c r="G11" s="36"/>
      <c r="H11" s="36"/>
      <c r="I11" s="36"/>
      <c r="J11" s="36"/>
      <c r="K11" s="37"/>
      <c r="L11" s="36"/>
      <c r="M11" s="43"/>
      <c r="N11" s="36"/>
      <c r="O11" s="36"/>
      <c r="P11" s="36"/>
      <c r="Q11" s="36"/>
      <c r="R11" s="36"/>
    </row>
    <row r="12" spans="1:18" s="28" customFormat="1" ht="12.75" customHeight="1" x14ac:dyDescent="0.2">
      <c r="A12" s="127"/>
      <c r="B12" s="128"/>
      <c r="C12" s="129"/>
      <c r="D12" s="38"/>
      <c r="E12" s="38"/>
      <c r="F12" s="38"/>
      <c r="G12" s="38"/>
      <c r="H12" s="38"/>
      <c r="I12" s="38"/>
      <c r="J12" s="38"/>
      <c r="K12" s="29"/>
      <c r="L12" s="38"/>
      <c r="M12" s="33"/>
      <c r="N12" s="38"/>
      <c r="O12" s="41"/>
      <c r="P12" s="41"/>
      <c r="Q12" s="41"/>
      <c r="R12" s="41"/>
    </row>
    <row r="13" spans="1:18" s="28" customFormat="1" ht="12.75" customHeight="1" x14ac:dyDescent="0.2">
      <c r="A13" s="127"/>
      <c r="B13" s="128"/>
      <c r="C13" s="129"/>
      <c r="D13" s="38"/>
      <c r="E13" s="38"/>
      <c r="F13" s="38"/>
      <c r="G13" s="38"/>
      <c r="H13" s="38"/>
      <c r="I13" s="38"/>
      <c r="J13" s="38"/>
      <c r="K13" s="29"/>
      <c r="L13" s="38"/>
      <c r="M13" s="29"/>
      <c r="N13" s="38"/>
      <c r="O13" s="41"/>
      <c r="P13" s="41"/>
      <c r="Q13" s="41"/>
      <c r="R13" s="41"/>
    </row>
    <row r="14" spans="1:18" s="28" customFormat="1" ht="12.75" customHeight="1" thickBot="1" x14ac:dyDescent="0.25">
      <c r="A14" s="130"/>
      <c r="B14" s="131"/>
      <c r="C14" s="132"/>
      <c r="D14" s="38"/>
      <c r="E14" s="38"/>
      <c r="F14" s="38"/>
      <c r="G14" s="38"/>
      <c r="H14" s="38"/>
      <c r="I14" s="38"/>
      <c r="J14" s="38"/>
      <c r="K14" s="29"/>
      <c r="L14" s="38"/>
      <c r="M14" s="29"/>
      <c r="N14" s="38"/>
      <c r="O14" s="41"/>
      <c r="P14" s="41"/>
      <c r="Q14" s="41"/>
      <c r="R14" s="41"/>
    </row>
    <row r="15" spans="1:18" s="28" customFormat="1" ht="12.75" customHeight="1" thickTop="1" x14ac:dyDescent="0.2">
      <c r="D15" s="38"/>
      <c r="E15" s="38"/>
      <c r="F15" s="38"/>
      <c r="G15" s="38"/>
      <c r="H15" s="38"/>
      <c r="I15" s="38"/>
      <c r="J15" s="38"/>
      <c r="K15" s="29"/>
      <c r="L15" s="38"/>
      <c r="M15" s="29"/>
      <c r="N15" s="38"/>
      <c r="O15" s="41"/>
      <c r="P15" s="41"/>
      <c r="Q15" s="41"/>
      <c r="R15" s="41"/>
    </row>
    <row r="16" spans="1:18" s="32" customFormat="1" ht="12.75" customHeight="1" x14ac:dyDescent="0.2">
      <c r="C16" s="39"/>
      <c r="D16" s="36"/>
      <c r="E16" s="36"/>
      <c r="F16" s="36"/>
      <c r="G16" s="36"/>
      <c r="H16" s="36"/>
      <c r="I16" s="36"/>
      <c r="J16" s="36"/>
      <c r="K16" s="37"/>
      <c r="L16" s="36"/>
      <c r="M16" s="37"/>
      <c r="N16" s="36"/>
      <c r="O16" s="36"/>
      <c r="P16" s="36"/>
      <c r="Q16" s="36"/>
      <c r="R16" s="36"/>
    </row>
    <row r="17" spans="2:18" s="28" customFormat="1" ht="12.75" customHeight="1" x14ac:dyDescent="0.2">
      <c r="C17" s="39"/>
      <c r="D17" s="38"/>
      <c r="E17" s="38"/>
      <c r="F17" s="38"/>
      <c r="G17" s="38"/>
      <c r="H17" s="38"/>
      <c r="I17" s="38"/>
      <c r="J17" s="38"/>
      <c r="K17" s="29"/>
      <c r="L17" s="38"/>
      <c r="M17" s="29"/>
      <c r="N17" s="38"/>
      <c r="O17" s="38"/>
      <c r="P17" s="38"/>
      <c r="Q17" s="38"/>
      <c r="R17" s="38"/>
    </row>
    <row r="18" spans="2:18" s="28" customFormat="1" ht="12.75" customHeight="1" x14ac:dyDescent="0.2">
      <c r="C18" s="39"/>
      <c r="D18" s="38"/>
      <c r="E18" s="38"/>
      <c r="F18" s="38"/>
      <c r="G18" s="38"/>
      <c r="H18" s="38"/>
      <c r="I18" s="38"/>
      <c r="J18" s="38"/>
      <c r="K18" s="29"/>
      <c r="L18" s="38"/>
      <c r="M18" s="29"/>
      <c r="N18" s="38"/>
      <c r="O18" s="38"/>
      <c r="P18" s="38"/>
      <c r="Q18" s="38"/>
      <c r="R18" s="38"/>
    </row>
    <row r="19" spans="2:18" s="28" customFormat="1" ht="12.75" customHeight="1" x14ac:dyDescent="0.2">
      <c r="D19" s="38"/>
      <c r="E19" s="38"/>
      <c r="F19" s="38"/>
      <c r="G19" s="38"/>
      <c r="H19" s="38"/>
      <c r="I19" s="38"/>
      <c r="J19" s="38"/>
      <c r="K19" s="29"/>
      <c r="L19" s="38"/>
      <c r="M19" s="29"/>
      <c r="N19" s="38"/>
      <c r="O19" s="38"/>
      <c r="P19" s="38"/>
      <c r="Q19" s="38"/>
    </row>
    <row r="20" spans="2:18" s="32" customFormat="1" ht="12.75" customHeight="1" x14ac:dyDescent="0.2">
      <c r="B20" s="44"/>
      <c r="D20" s="36"/>
      <c r="E20" s="36"/>
      <c r="F20" s="36"/>
      <c r="G20" s="36"/>
      <c r="H20" s="36"/>
      <c r="I20" s="36"/>
      <c r="J20" s="36"/>
      <c r="K20" s="37"/>
      <c r="L20" s="36"/>
      <c r="M20" s="37"/>
      <c r="N20" s="36"/>
      <c r="O20" s="36"/>
      <c r="P20" s="36"/>
      <c r="Q20" s="36"/>
    </row>
    <row r="21" spans="2:18" s="28" customFormat="1" ht="12.75" customHeight="1" x14ac:dyDescent="0.2">
      <c r="E21" s="38"/>
      <c r="F21" s="38"/>
      <c r="G21" s="38"/>
      <c r="H21" s="38"/>
      <c r="I21" s="38"/>
      <c r="J21" s="38"/>
      <c r="K21" s="29"/>
      <c r="L21" s="38"/>
      <c r="M21" s="29"/>
      <c r="N21" s="38"/>
      <c r="O21" s="41"/>
      <c r="P21" s="41"/>
      <c r="Q21" s="41"/>
      <c r="R21" s="41"/>
    </row>
    <row r="22" spans="2:18" s="28" customFormat="1" ht="12.75" customHeight="1" x14ac:dyDescent="0.2">
      <c r="D22" s="38"/>
      <c r="E22" s="38"/>
      <c r="F22" s="38"/>
      <c r="G22" s="38"/>
      <c r="H22" s="38"/>
      <c r="I22" s="38"/>
      <c r="J22" s="38"/>
      <c r="K22" s="29"/>
      <c r="L22" s="38"/>
      <c r="M22" s="29"/>
      <c r="N22" s="38"/>
      <c r="O22" s="38"/>
      <c r="P22" s="38"/>
      <c r="Q22" s="38"/>
    </row>
    <row r="23" spans="2:18" s="28" customFormat="1" ht="12.75" customHeight="1" x14ac:dyDescent="0.2">
      <c r="D23" s="36"/>
      <c r="E23" s="38"/>
      <c r="F23" s="38"/>
      <c r="G23" s="38"/>
      <c r="H23" s="38"/>
      <c r="I23" s="38"/>
      <c r="J23" s="38"/>
      <c r="K23" s="29"/>
      <c r="L23" s="38"/>
      <c r="M23" s="29"/>
      <c r="N23" s="38"/>
      <c r="O23" s="9"/>
      <c r="P23" s="9"/>
      <c r="Q23" s="9"/>
      <c r="R23" s="9"/>
    </row>
    <row r="24" spans="2:18" s="28" customFormat="1" ht="12.75" customHeight="1" x14ac:dyDescent="0.2">
      <c r="D24" s="38"/>
      <c r="E24" s="38"/>
      <c r="F24" s="38"/>
      <c r="G24" s="38"/>
      <c r="H24" s="38"/>
      <c r="I24" s="38"/>
      <c r="J24" s="38"/>
      <c r="K24" s="29"/>
      <c r="L24" s="38"/>
      <c r="M24" s="29"/>
      <c r="N24" s="38"/>
      <c r="O24" s="9"/>
      <c r="P24" s="9"/>
      <c r="Q24" s="9"/>
      <c r="R24" s="9"/>
    </row>
    <row r="25" spans="2:18" s="32" customFormat="1" ht="12.75" customHeight="1" x14ac:dyDescent="0.2">
      <c r="C25" s="39"/>
      <c r="D25" s="36"/>
      <c r="E25" s="36"/>
      <c r="F25" s="36"/>
      <c r="G25" s="36"/>
      <c r="H25" s="36"/>
      <c r="I25" s="36"/>
      <c r="J25" s="36"/>
      <c r="K25" s="37"/>
      <c r="L25" s="36"/>
      <c r="M25" s="37"/>
      <c r="N25" s="36"/>
      <c r="O25" s="36"/>
      <c r="P25" s="36"/>
      <c r="Q25" s="36"/>
      <c r="R25" s="36"/>
    </row>
    <row r="26" spans="2:18" s="28" customFormat="1" ht="12.75" customHeight="1" x14ac:dyDescent="0.2">
      <c r="D26" s="38"/>
      <c r="E26" s="38"/>
      <c r="F26" s="38"/>
      <c r="G26" s="38"/>
      <c r="H26" s="38"/>
      <c r="I26" s="38"/>
      <c r="J26" s="38"/>
      <c r="K26" s="29"/>
      <c r="L26" s="38"/>
      <c r="M26" s="29"/>
      <c r="N26" s="38"/>
      <c r="O26" s="38"/>
      <c r="P26" s="38"/>
      <c r="Q26" s="38"/>
    </row>
    <row r="27" spans="2:18" s="32" customFormat="1" ht="12.75" customHeight="1" x14ac:dyDescent="0.2">
      <c r="C27" s="44"/>
      <c r="D27" s="36"/>
      <c r="E27" s="36"/>
      <c r="F27" s="45"/>
      <c r="G27" s="36"/>
      <c r="H27" s="36"/>
      <c r="I27" s="36"/>
      <c r="J27" s="36"/>
      <c r="K27" s="37"/>
      <c r="L27" s="36"/>
      <c r="M27" s="46"/>
      <c r="N27" s="36"/>
      <c r="O27" s="36"/>
      <c r="P27" s="36"/>
      <c r="Q27" s="36"/>
    </row>
    <row r="28" spans="2:18" s="28" customFormat="1" ht="12.75" customHeight="1" x14ac:dyDescent="0.2">
      <c r="D28" s="47"/>
      <c r="E28" s="38"/>
      <c r="F28" s="38"/>
      <c r="G28" s="38"/>
      <c r="H28" s="38"/>
      <c r="I28" s="38"/>
      <c r="J28" s="38"/>
      <c r="K28" s="29"/>
      <c r="L28" s="38"/>
      <c r="M28" s="29"/>
      <c r="N28" s="38"/>
      <c r="O28" s="41"/>
      <c r="P28" s="41"/>
      <c r="Q28" s="41"/>
      <c r="R28" s="41"/>
    </row>
    <row r="29" spans="2:18" s="28" customFormat="1" ht="12.75" customHeight="1" x14ac:dyDescent="0.2">
      <c r="D29" s="47"/>
      <c r="E29" s="38"/>
      <c r="F29" s="38"/>
      <c r="G29" s="38"/>
      <c r="H29" s="38"/>
      <c r="I29" s="38"/>
      <c r="J29" s="38"/>
      <c r="K29" s="29"/>
      <c r="L29" s="38"/>
      <c r="M29" s="29"/>
      <c r="N29" s="38"/>
      <c r="O29" s="41"/>
      <c r="P29" s="41"/>
      <c r="Q29" s="41"/>
      <c r="R29" s="41"/>
    </row>
    <row r="30" spans="2:18" s="28" customFormat="1" ht="12.75" customHeight="1" x14ac:dyDescent="0.2">
      <c r="D30" s="47"/>
      <c r="E30" s="38"/>
      <c r="F30" s="38"/>
      <c r="G30" s="38"/>
      <c r="H30" s="38"/>
      <c r="I30" s="38"/>
      <c r="J30" s="38"/>
      <c r="K30" s="29"/>
      <c r="L30" s="38"/>
      <c r="M30" s="29"/>
      <c r="N30" s="38"/>
      <c r="O30" s="41"/>
      <c r="P30" s="41"/>
      <c r="Q30" s="41"/>
      <c r="R30" s="41"/>
    </row>
    <row r="31" spans="2:18" s="28" customFormat="1" ht="12.75" customHeight="1" x14ac:dyDescent="0.2">
      <c r="D31" s="47"/>
      <c r="E31" s="38"/>
      <c r="F31" s="38"/>
      <c r="G31" s="38"/>
      <c r="H31" s="38"/>
      <c r="I31" s="38"/>
      <c r="J31" s="38"/>
      <c r="K31" s="29"/>
      <c r="L31" s="38"/>
      <c r="M31" s="29"/>
      <c r="N31" s="38"/>
      <c r="O31" s="41"/>
      <c r="P31" s="41"/>
      <c r="Q31" s="41"/>
      <c r="R31" s="41"/>
    </row>
    <row r="32" spans="2:18" s="28" customFormat="1" ht="12.75" customHeight="1" x14ac:dyDescent="0.2">
      <c r="D32" s="47"/>
      <c r="E32" s="38"/>
      <c r="F32" s="38"/>
      <c r="G32" s="38"/>
      <c r="H32" s="38"/>
      <c r="I32" s="38"/>
      <c r="J32" s="38"/>
      <c r="K32" s="29"/>
      <c r="L32" s="38"/>
      <c r="M32" s="29"/>
      <c r="N32" s="38"/>
      <c r="O32" s="41"/>
      <c r="P32" s="41"/>
      <c r="Q32" s="41"/>
      <c r="R32" s="41"/>
    </row>
    <row r="33" spans="2:19" s="28" customFormat="1" ht="12.75" customHeight="1" x14ac:dyDescent="0.2">
      <c r="D33" s="47"/>
      <c r="E33" s="38"/>
      <c r="F33" s="38"/>
      <c r="G33" s="38"/>
      <c r="H33" s="38"/>
      <c r="I33" s="38"/>
      <c r="J33" s="38"/>
      <c r="K33" s="29"/>
      <c r="L33" s="38"/>
      <c r="M33" s="29"/>
      <c r="N33" s="38"/>
      <c r="O33" s="41"/>
      <c r="P33" s="41"/>
      <c r="Q33" s="41"/>
      <c r="R33" s="41"/>
    </row>
    <row r="34" spans="2:19" s="28" customFormat="1" ht="12.75" customHeight="1" x14ac:dyDescent="0.2">
      <c r="D34" s="47"/>
      <c r="E34" s="38"/>
      <c r="F34" s="38"/>
      <c r="G34" s="38"/>
      <c r="H34" s="38"/>
      <c r="I34" s="38"/>
      <c r="J34" s="38"/>
      <c r="K34" s="29"/>
      <c r="L34" s="38"/>
      <c r="M34" s="29"/>
      <c r="N34" s="38"/>
      <c r="O34" s="9"/>
      <c r="P34" s="9"/>
      <c r="Q34" s="9"/>
      <c r="R34" s="9"/>
    </row>
    <row r="35" spans="2:19" s="28" customFormat="1" ht="12.75" customHeight="1" x14ac:dyDescent="0.2">
      <c r="D35" s="47"/>
      <c r="E35" s="38"/>
      <c r="F35" s="38"/>
      <c r="G35" s="38"/>
      <c r="H35" s="38"/>
      <c r="I35" s="38"/>
      <c r="J35" s="38"/>
      <c r="K35" s="29"/>
      <c r="L35" s="38"/>
      <c r="M35" s="29"/>
      <c r="N35" s="38"/>
      <c r="O35" s="41"/>
      <c r="P35" s="41"/>
      <c r="Q35" s="41"/>
      <c r="R35" s="41"/>
    </row>
    <row r="36" spans="2:19" s="28" customFormat="1" ht="12.75" customHeight="1" x14ac:dyDescent="0.2">
      <c r="D36" s="47"/>
      <c r="E36" s="38"/>
      <c r="F36" s="38"/>
      <c r="G36" s="38"/>
      <c r="H36" s="38"/>
      <c r="I36" s="38"/>
      <c r="J36" s="38"/>
      <c r="K36" s="29"/>
      <c r="L36" s="38"/>
      <c r="M36" s="29"/>
      <c r="N36" s="38"/>
      <c r="O36" s="41"/>
      <c r="P36" s="41"/>
      <c r="Q36" s="41"/>
      <c r="R36" s="41"/>
    </row>
    <row r="37" spans="2:19" s="28" customFormat="1" ht="12.75" customHeight="1" x14ac:dyDescent="0.2">
      <c r="D37" s="47"/>
      <c r="E37" s="38"/>
      <c r="F37" s="38"/>
      <c r="G37" s="38"/>
      <c r="H37" s="38"/>
      <c r="I37" s="38"/>
      <c r="J37" s="38"/>
      <c r="K37" s="29"/>
      <c r="L37" s="38"/>
      <c r="M37" s="29"/>
      <c r="N37" s="38"/>
      <c r="O37" s="41"/>
      <c r="P37" s="41"/>
      <c r="Q37" s="41"/>
      <c r="R37" s="41"/>
    </row>
    <row r="38" spans="2:19" s="32" customFormat="1" ht="12.75" customHeight="1" x14ac:dyDescent="0.2">
      <c r="C38" s="39"/>
      <c r="D38" s="45"/>
      <c r="E38" s="36"/>
      <c r="F38" s="36"/>
      <c r="G38" s="36"/>
      <c r="H38" s="36"/>
      <c r="I38" s="36"/>
      <c r="J38" s="36"/>
      <c r="K38" s="46"/>
      <c r="L38" s="36"/>
      <c r="M38" s="37"/>
      <c r="N38" s="36"/>
      <c r="O38" s="36"/>
      <c r="P38" s="36"/>
      <c r="Q38" s="36"/>
      <c r="R38" s="36"/>
      <c r="S38" s="28"/>
    </row>
    <row r="39" spans="2:19" s="28" customFormat="1" ht="12.75" customHeight="1" x14ac:dyDescent="0.2">
      <c r="C39" s="40"/>
      <c r="D39" s="47"/>
      <c r="E39" s="38"/>
      <c r="F39" s="38"/>
      <c r="G39" s="38"/>
      <c r="H39" s="38"/>
      <c r="I39" s="38"/>
      <c r="J39" s="38"/>
      <c r="K39" s="48"/>
      <c r="L39" s="38"/>
      <c r="M39" s="29"/>
      <c r="N39" s="38"/>
      <c r="O39" s="38"/>
      <c r="P39" s="38"/>
      <c r="Q39" s="38"/>
    </row>
    <row r="40" spans="2:19" s="32" customFormat="1" ht="12.75" customHeight="1" x14ac:dyDescent="0.2">
      <c r="B40" s="49"/>
      <c r="D40" s="45"/>
      <c r="E40" s="36"/>
      <c r="F40" s="36"/>
      <c r="G40" s="36"/>
      <c r="H40" s="36"/>
      <c r="I40" s="36"/>
      <c r="J40" s="36"/>
      <c r="K40" s="46"/>
      <c r="L40" s="36"/>
      <c r="M40" s="37"/>
      <c r="N40" s="36"/>
      <c r="O40" s="36"/>
      <c r="P40" s="36"/>
      <c r="Q40" s="36"/>
      <c r="R40" s="36"/>
      <c r="S40" s="28"/>
    </row>
    <row r="41" spans="2:19" s="28" customFormat="1" ht="12.75" customHeight="1" x14ac:dyDescent="0.2">
      <c r="C41" s="39"/>
      <c r="D41" s="47"/>
      <c r="E41" s="38"/>
      <c r="F41" s="38"/>
      <c r="G41" s="38"/>
      <c r="H41" s="38"/>
      <c r="I41" s="38"/>
      <c r="J41" s="38"/>
      <c r="K41" s="48"/>
      <c r="L41" s="38"/>
      <c r="M41" s="37"/>
      <c r="N41" s="38"/>
      <c r="O41" s="38"/>
      <c r="P41" s="38"/>
      <c r="Q41" s="38"/>
      <c r="R41" s="38"/>
    </row>
    <row r="42" spans="2:19" s="32" customFormat="1" ht="12.75" customHeight="1" x14ac:dyDescent="0.2">
      <c r="C42" s="39"/>
      <c r="D42" s="36"/>
      <c r="E42" s="36"/>
      <c r="F42" s="36"/>
      <c r="G42" s="36"/>
      <c r="H42" s="36"/>
      <c r="I42" s="36"/>
      <c r="J42" s="36"/>
      <c r="K42" s="46"/>
      <c r="L42" s="36"/>
      <c r="M42" s="37"/>
      <c r="N42" s="36"/>
      <c r="O42" s="36"/>
      <c r="P42" s="36"/>
      <c r="Q42" s="36"/>
      <c r="R42" s="36"/>
    </row>
    <row r="43" spans="2:19" s="32" customFormat="1" ht="12.75" customHeight="1" x14ac:dyDescent="0.2">
      <c r="C43" s="39"/>
      <c r="D43" s="45"/>
      <c r="E43" s="36"/>
      <c r="F43" s="36"/>
      <c r="G43" s="36"/>
      <c r="H43" s="36"/>
      <c r="I43" s="36"/>
      <c r="J43" s="36"/>
      <c r="K43" s="46"/>
      <c r="L43" s="36"/>
      <c r="M43" s="37"/>
      <c r="N43" s="36"/>
      <c r="O43" s="36"/>
      <c r="P43" s="36"/>
      <c r="Q43" s="36"/>
    </row>
    <row r="44" spans="2:19" s="32" customFormat="1" ht="12.75" customHeight="1" x14ac:dyDescent="0.2">
      <c r="C44" s="39"/>
      <c r="D44" s="36"/>
      <c r="E44" s="36"/>
      <c r="F44" s="36"/>
      <c r="G44" s="36"/>
      <c r="H44" s="36"/>
      <c r="I44" s="36"/>
      <c r="J44" s="36"/>
      <c r="K44" s="46"/>
      <c r="L44" s="36"/>
      <c r="M44" s="37"/>
      <c r="N44" s="36"/>
      <c r="O44" s="50"/>
      <c r="P44" s="50"/>
      <c r="Q44" s="50"/>
      <c r="R44" s="50"/>
    </row>
    <row r="45" spans="2:19" s="32" customFormat="1" ht="12.75" customHeight="1" x14ac:dyDescent="0.2">
      <c r="C45" s="39"/>
      <c r="D45" s="45"/>
      <c r="E45" s="36"/>
      <c r="F45" s="36"/>
      <c r="G45" s="36"/>
      <c r="H45" s="36"/>
      <c r="I45" s="36"/>
      <c r="J45" s="36"/>
      <c r="K45" s="46"/>
      <c r="L45" s="36"/>
      <c r="M45" s="37"/>
      <c r="N45" s="36"/>
      <c r="O45" s="36"/>
      <c r="P45" s="36"/>
      <c r="Q45" s="36"/>
    </row>
    <row r="46" spans="2:19" s="32" customFormat="1" ht="12.75" customHeight="1" x14ac:dyDescent="0.2">
      <c r="B46" s="35"/>
      <c r="C46" s="39"/>
      <c r="D46" s="45"/>
      <c r="E46" s="36"/>
      <c r="F46" s="36"/>
      <c r="G46" s="36"/>
      <c r="H46" s="36"/>
      <c r="I46" s="36"/>
      <c r="J46" s="36"/>
      <c r="K46" s="46"/>
      <c r="L46" s="36"/>
      <c r="M46" s="37"/>
      <c r="N46" s="36"/>
      <c r="O46" s="36"/>
      <c r="P46" s="36"/>
      <c r="Q46" s="36"/>
      <c r="R46" s="36"/>
    </row>
    <row r="47" spans="2:19" s="28" customFormat="1" ht="12.75" customHeight="1" x14ac:dyDescent="0.2">
      <c r="C47" s="39"/>
      <c r="D47" s="47"/>
      <c r="E47" s="38"/>
      <c r="F47" s="38"/>
      <c r="G47" s="38"/>
      <c r="H47" s="38"/>
      <c r="I47" s="38"/>
      <c r="J47" s="38"/>
      <c r="K47" s="48"/>
      <c r="L47" s="38"/>
      <c r="M47" s="37"/>
      <c r="N47" s="38"/>
      <c r="O47" s="38"/>
      <c r="P47" s="38"/>
      <c r="Q47" s="38"/>
    </row>
    <row r="48" spans="2:19" s="28" customFormat="1" ht="12.75" customHeight="1" x14ac:dyDescent="0.2">
      <c r="C48" s="39"/>
      <c r="D48" s="47"/>
      <c r="E48" s="38"/>
      <c r="F48" s="38"/>
      <c r="G48" s="38"/>
      <c r="H48" s="38"/>
      <c r="I48" s="38"/>
      <c r="J48" s="38"/>
      <c r="K48" s="29"/>
      <c r="L48" s="38"/>
      <c r="M48" s="29"/>
      <c r="N48" s="38"/>
      <c r="O48" s="41"/>
      <c r="P48" s="41"/>
      <c r="Q48" s="41"/>
      <c r="R48" s="41"/>
    </row>
    <row r="49" spans="3:18" s="28" customFormat="1" ht="12.75" customHeight="1" x14ac:dyDescent="0.2">
      <c r="C49" s="39"/>
      <c r="D49" s="47"/>
      <c r="E49" s="38"/>
      <c r="F49" s="38"/>
      <c r="G49" s="38"/>
      <c r="H49" s="38"/>
      <c r="I49" s="38"/>
      <c r="J49" s="38"/>
      <c r="K49" s="29"/>
      <c r="L49" s="38"/>
      <c r="M49" s="29"/>
      <c r="N49" s="38"/>
      <c r="O49" s="41"/>
      <c r="P49" s="41"/>
      <c r="Q49" s="41"/>
      <c r="R49" s="41"/>
    </row>
    <row r="50" spans="3:18" s="28" customFormat="1" ht="12.75" customHeight="1" x14ac:dyDescent="0.2">
      <c r="C50" s="39"/>
      <c r="D50" s="47"/>
      <c r="E50" s="38"/>
      <c r="F50" s="38"/>
      <c r="G50" s="38"/>
      <c r="H50" s="38"/>
      <c r="I50" s="38"/>
      <c r="J50" s="38"/>
      <c r="K50" s="48"/>
      <c r="L50" s="38"/>
      <c r="M50" s="37"/>
      <c r="N50" s="38"/>
      <c r="O50" s="38"/>
      <c r="P50" s="38"/>
      <c r="Q50" s="38"/>
    </row>
    <row r="51" spans="3:18" s="28" customFormat="1" ht="12.75" customHeight="1" x14ac:dyDescent="0.2">
      <c r="C51" s="51"/>
      <c r="D51" s="47"/>
      <c r="E51" s="38"/>
      <c r="F51" s="38"/>
      <c r="G51" s="38"/>
      <c r="H51" s="38"/>
      <c r="I51" s="38"/>
      <c r="J51" s="38"/>
      <c r="K51" s="29"/>
      <c r="L51" s="38"/>
      <c r="M51" s="29"/>
      <c r="N51" s="38"/>
      <c r="O51" s="41"/>
      <c r="P51" s="41"/>
      <c r="Q51" s="41"/>
      <c r="R51" s="41"/>
    </row>
    <row r="52" spans="3:18" s="28" customFormat="1" ht="12.75" customHeight="1" x14ac:dyDescent="0.2">
      <c r="C52" s="52"/>
      <c r="D52" s="47"/>
      <c r="E52" s="38"/>
      <c r="F52" s="38"/>
      <c r="G52" s="38"/>
      <c r="H52" s="38"/>
      <c r="I52" s="38"/>
      <c r="J52" s="38"/>
      <c r="K52" s="29"/>
      <c r="L52" s="38"/>
      <c r="M52" s="29"/>
      <c r="N52" s="38"/>
      <c r="O52" s="41"/>
      <c r="P52" s="41"/>
      <c r="Q52" s="41"/>
      <c r="R52" s="41"/>
    </row>
    <row r="53" spans="3:18" s="28" customFormat="1" ht="12.75" customHeight="1" x14ac:dyDescent="0.2">
      <c r="K53" s="29"/>
      <c r="M53" s="29"/>
    </row>
    <row r="54" spans="3:18" s="28" customFormat="1" ht="12.75" customHeight="1" x14ac:dyDescent="0.2">
      <c r="K54" s="29"/>
      <c r="M54" s="29"/>
    </row>
    <row r="55" spans="3:18" s="28" customFormat="1" ht="12.75" customHeight="1" x14ac:dyDescent="0.2">
      <c r="K55" s="29"/>
      <c r="M55" s="29"/>
    </row>
    <row r="56" spans="3:18" s="28" customFormat="1" ht="12.75" customHeight="1" x14ac:dyDescent="0.2">
      <c r="K56" s="29"/>
      <c r="M56" s="29"/>
    </row>
    <row r="57" spans="3:18" s="28" customFormat="1" ht="12.75" customHeight="1" x14ac:dyDescent="0.2">
      <c r="K57" s="29"/>
      <c r="M57" s="29"/>
    </row>
    <row r="58" spans="3:18" s="28" customFormat="1" ht="12.75" customHeight="1" x14ac:dyDescent="0.2">
      <c r="K58" s="29"/>
      <c r="M58" s="29"/>
    </row>
    <row r="59" spans="3:18" s="28" customFormat="1" ht="12.75" customHeight="1" x14ac:dyDescent="0.2">
      <c r="K59" s="29"/>
      <c r="M59" s="29"/>
    </row>
    <row r="60" spans="3:18" s="28" customFormat="1" ht="12.75" customHeight="1" x14ac:dyDescent="0.2">
      <c r="K60" s="29"/>
      <c r="M60" s="29"/>
    </row>
    <row r="61" spans="3:18" s="28" customFormat="1" ht="12.75" customHeight="1" x14ac:dyDescent="0.2">
      <c r="K61" s="29"/>
      <c r="M61" s="29"/>
    </row>
    <row r="62" spans="3:18" s="28" customFormat="1" ht="12.75" customHeight="1" x14ac:dyDescent="0.2">
      <c r="K62" s="29"/>
      <c r="M62" s="29"/>
    </row>
    <row r="63" spans="3:18" s="28" customFormat="1" ht="12.75" customHeight="1" x14ac:dyDescent="0.2">
      <c r="K63" s="29"/>
      <c r="M63" s="29"/>
    </row>
    <row r="64" spans="3:18" s="28" customFormat="1" ht="12.75" customHeight="1" x14ac:dyDescent="0.2">
      <c r="K64" s="29"/>
      <c r="M64" s="29"/>
    </row>
    <row r="65" spans="11:13" s="28" customFormat="1" ht="12.75" customHeight="1" x14ac:dyDescent="0.2">
      <c r="K65" s="29"/>
      <c r="M65" s="29"/>
    </row>
    <row r="66" spans="11:13" s="28" customFormat="1" ht="12.75" customHeight="1" x14ac:dyDescent="0.2">
      <c r="K66" s="29"/>
      <c r="M66" s="29"/>
    </row>
    <row r="67" spans="11:13" s="28" customFormat="1" ht="12.75" customHeight="1" x14ac:dyDescent="0.2">
      <c r="K67" s="29"/>
      <c r="M67" s="29"/>
    </row>
    <row r="68" spans="11:13" s="28" customFormat="1" ht="12.75" customHeight="1" x14ac:dyDescent="0.2">
      <c r="K68" s="29"/>
      <c r="M68" s="29"/>
    </row>
    <row r="69" spans="11:13" s="28" customFormat="1" ht="12.75" customHeight="1" x14ac:dyDescent="0.2">
      <c r="K69" s="29"/>
      <c r="M69" s="29"/>
    </row>
    <row r="70" spans="11:13" s="28" customFormat="1" ht="12.75" customHeight="1" x14ac:dyDescent="0.2">
      <c r="K70" s="29"/>
      <c r="M70" s="29"/>
    </row>
    <row r="71" spans="11:13" s="28" customFormat="1" ht="12.75" customHeight="1" x14ac:dyDescent="0.2">
      <c r="K71" s="29"/>
      <c r="M71" s="29"/>
    </row>
    <row r="72" spans="11:13" s="28" customFormat="1" ht="12.75" customHeight="1" x14ac:dyDescent="0.2">
      <c r="K72" s="29"/>
      <c r="M72" s="29"/>
    </row>
    <row r="73" spans="11:13" s="28" customFormat="1" ht="12.75" customHeight="1" x14ac:dyDescent="0.2">
      <c r="K73" s="29"/>
      <c r="M73" s="29"/>
    </row>
    <row r="74" spans="11:13" s="28" customFormat="1" ht="12.75" customHeight="1" x14ac:dyDescent="0.2">
      <c r="K74" s="29"/>
      <c r="M74" s="29"/>
    </row>
    <row r="75" spans="11:13" s="28" customFormat="1" ht="12.75" customHeight="1" x14ac:dyDescent="0.2">
      <c r="K75" s="29"/>
      <c r="M75" s="29"/>
    </row>
    <row r="76" spans="11:13" s="28" customFormat="1" ht="12.75" customHeight="1" x14ac:dyDescent="0.2">
      <c r="K76" s="29"/>
      <c r="M76" s="29"/>
    </row>
    <row r="77" spans="11:13" s="28" customFormat="1" ht="12.75" customHeight="1" x14ac:dyDescent="0.2">
      <c r="K77" s="29"/>
      <c r="M77" s="29"/>
    </row>
    <row r="78" spans="11:13" s="28" customFormat="1" ht="12.75" customHeight="1" x14ac:dyDescent="0.2">
      <c r="K78" s="29"/>
      <c r="M78" s="29"/>
    </row>
    <row r="79" spans="11:13" s="28" customFormat="1" ht="12.75" customHeight="1" x14ac:dyDescent="0.2">
      <c r="K79" s="29"/>
      <c r="M79" s="29"/>
    </row>
    <row r="80" spans="11:13" s="28" customFormat="1" ht="12.75" customHeight="1" x14ac:dyDescent="0.2">
      <c r="K80" s="29"/>
      <c r="M80" s="29"/>
    </row>
    <row r="81" spans="11:13" s="28" customFormat="1" ht="12.75" customHeight="1" x14ac:dyDescent="0.2">
      <c r="K81" s="29"/>
      <c r="M81" s="29"/>
    </row>
    <row r="82" spans="11:13" s="28" customFormat="1" ht="12.75" customHeight="1" x14ac:dyDescent="0.2">
      <c r="K82" s="29"/>
      <c r="M82" s="29"/>
    </row>
    <row r="83" spans="11:13" s="28" customFormat="1" ht="12.75" customHeight="1" x14ac:dyDescent="0.2">
      <c r="K83" s="29"/>
      <c r="M83" s="29"/>
    </row>
    <row r="84" spans="11:13" s="28" customFormat="1" ht="12.75" customHeight="1" x14ac:dyDescent="0.2">
      <c r="K84" s="29"/>
      <c r="M84" s="29"/>
    </row>
    <row r="85" spans="11:13" s="28" customFormat="1" ht="12.75" customHeight="1" x14ac:dyDescent="0.2">
      <c r="K85" s="29"/>
      <c r="M85" s="29"/>
    </row>
    <row r="86" spans="11:13" s="28" customFormat="1" ht="12.75" customHeight="1" x14ac:dyDescent="0.2">
      <c r="K86" s="29"/>
      <c r="M86" s="29"/>
    </row>
    <row r="87" spans="11:13" s="28" customFormat="1" ht="12.75" customHeight="1" x14ac:dyDescent="0.2">
      <c r="K87" s="29"/>
      <c r="M87" s="29"/>
    </row>
    <row r="88" spans="11:13" s="28" customFormat="1" ht="12.75" customHeight="1" x14ac:dyDescent="0.2">
      <c r="K88" s="29"/>
      <c r="M88" s="29"/>
    </row>
    <row r="89" spans="11:13" s="28" customFormat="1" ht="12.75" customHeight="1" x14ac:dyDescent="0.2">
      <c r="K89" s="29"/>
      <c r="M89" s="29"/>
    </row>
    <row r="90" spans="11:13" s="28" customFormat="1" ht="12.75" customHeight="1" x14ac:dyDescent="0.2">
      <c r="K90" s="29"/>
      <c r="M90" s="29"/>
    </row>
    <row r="91" spans="11:13" s="28" customFormat="1" ht="12.75" customHeight="1" x14ac:dyDescent="0.2">
      <c r="K91" s="29"/>
      <c r="M91" s="29"/>
    </row>
    <row r="92" spans="11:13" s="28" customFormat="1" ht="12.75" customHeight="1" x14ac:dyDescent="0.2">
      <c r="K92" s="29"/>
      <c r="M92" s="29"/>
    </row>
    <row r="93" spans="11:13" s="28" customFormat="1" ht="12.75" customHeight="1" x14ac:dyDescent="0.2">
      <c r="K93" s="29"/>
      <c r="M93" s="29"/>
    </row>
    <row r="94" spans="11:13" s="28" customFormat="1" ht="12.75" customHeight="1" x14ac:dyDescent="0.2">
      <c r="K94" s="29"/>
      <c r="M94" s="29"/>
    </row>
    <row r="95" spans="11:13" s="28" customFormat="1" ht="12.75" customHeight="1" x14ac:dyDescent="0.2">
      <c r="K95" s="29"/>
      <c r="M95" s="29"/>
    </row>
    <row r="96" spans="11:13" s="28" customFormat="1" ht="12.75" customHeight="1" x14ac:dyDescent="0.2">
      <c r="K96" s="29"/>
      <c r="M96" s="29"/>
    </row>
    <row r="97" spans="11:13" s="28" customFormat="1" ht="12.75" customHeight="1" x14ac:dyDescent="0.2">
      <c r="K97" s="29"/>
      <c r="M97" s="29"/>
    </row>
    <row r="98" spans="11:13" s="28" customFormat="1" ht="12.75" customHeight="1" x14ac:dyDescent="0.2">
      <c r="K98" s="29"/>
      <c r="M98" s="29"/>
    </row>
    <row r="99" spans="11:13" s="28" customFormat="1" ht="12.75" customHeight="1" x14ac:dyDescent="0.2">
      <c r="K99" s="29"/>
      <c r="M99" s="29"/>
    </row>
    <row r="100" spans="11:13" s="28" customFormat="1" ht="12.75" customHeight="1" x14ac:dyDescent="0.2">
      <c r="K100" s="29"/>
      <c r="M100" s="29"/>
    </row>
    <row r="101" spans="11:13" s="28" customFormat="1" ht="12.75" customHeight="1" x14ac:dyDescent="0.2">
      <c r="K101" s="29"/>
      <c r="M101" s="29"/>
    </row>
    <row r="102" spans="11:13" s="28" customFormat="1" ht="12.75" customHeight="1" x14ac:dyDescent="0.2">
      <c r="K102" s="29"/>
      <c r="M102" s="29"/>
    </row>
    <row r="103" spans="11:13" s="28" customFormat="1" ht="12.75" customHeight="1" x14ac:dyDescent="0.2">
      <c r="K103" s="29"/>
      <c r="M103" s="29"/>
    </row>
    <row r="104" spans="11:13" s="28" customFormat="1" ht="12.75" customHeight="1" x14ac:dyDescent="0.2">
      <c r="K104" s="29"/>
      <c r="M104" s="29"/>
    </row>
    <row r="105" spans="11:13" s="28" customFormat="1" ht="12.75" customHeight="1" x14ac:dyDescent="0.2">
      <c r="K105" s="29"/>
      <c r="M105" s="29"/>
    </row>
    <row r="106" spans="11:13" s="28" customFormat="1" ht="12.75" customHeight="1" x14ac:dyDescent="0.2">
      <c r="K106" s="29"/>
      <c r="M106" s="29"/>
    </row>
    <row r="107" spans="11:13" s="28" customFormat="1" ht="12.75" customHeight="1" x14ac:dyDescent="0.2">
      <c r="K107" s="29"/>
      <c r="M107" s="29"/>
    </row>
    <row r="108" spans="11:13" s="28" customFormat="1" ht="12.75" customHeight="1" x14ac:dyDescent="0.2">
      <c r="K108" s="29"/>
      <c r="M108" s="29"/>
    </row>
    <row r="109" spans="11:13" s="28" customFormat="1" ht="12.75" customHeight="1" x14ac:dyDescent="0.2">
      <c r="K109" s="29"/>
      <c r="M109" s="29"/>
    </row>
    <row r="110" spans="11:13" s="28" customFormat="1" ht="12.75" customHeight="1" x14ac:dyDescent="0.2">
      <c r="K110" s="29"/>
      <c r="M110" s="29"/>
    </row>
    <row r="111" spans="11:13" s="28" customFormat="1" ht="12.75" customHeight="1" x14ac:dyDescent="0.2">
      <c r="K111" s="29"/>
      <c r="M111" s="29"/>
    </row>
    <row r="112" spans="11:13" s="28" customFormat="1" ht="12.75" customHeight="1" x14ac:dyDescent="0.2">
      <c r="K112" s="29"/>
      <c r="M112" s="29"/>
    </row>
    <row r="113" spans="11:13" s="28" customFormat="1" ht="12.75" customHeight="1" x14ac:dyDescent="0.2">
      <c r="K113" s="29"/>
      <c r="M113" s="29"/>
    </row>
    <row r="114" spans="11:13" s="28" customFormat="1" ht="12.75" customHeight="1" x14ac:dyDescent="0.2">
      <c r="K114" s="29"/>
      <c r="M114" s="29"/>
    </row>
    <row r="115" spans="11:13" s="28" customFormat="1" ht="12.75" customHeight="1" x14ac:dyDescent="0.2">
      <c r="K115" s="29"/>
      <c r="M115" s="29"/>
    </row>
    <row r="116" spans="11:13" s="28" customFormat="1" ht="12.75" customHeight="1" x14ac:dyDescent="0.2">
      <c r="K116" s="29"/>
      <c r="M116" s="29"/>
    </row>
    <row r="117" spans="11:13" s="28" customFormat="1" ht="12.75" customHeight="1" x14ac:dyDescent="0.2">
      <c r="K117" s="29"/>
      <c r="M117" s="29"/>
    </row>
    <row r="118" spans="11:13" s="28" customFormat="1" ht="12.75" customHeight="1" x14ac:dyDescent="0.2">
      <c r="K118" s="29"/>
      <c r="M118" s="29"/>
    </row>
    <row r="119" spans="11:13" s="28" customFormat="1" ht="12.75" customHeight="1" x14ac:dyDescent="0.2">
      <c r="K119" s="29"/>
      <c r="M119" s="29"/>
    </row>
    <row r="120" spans="11:13" s="28" customFormat="1" ht="12.75" customHeight="1" x14ac:dyDescent="0.2">
      <c r="K120" s="29"/>
      <c r="M120" s="29"/>
    </row>
    <row r="121" spans="11:13" s="28" customFormat="1" ht="12.75" customHeight="1" x14ac:dyDescent="0.2">
      <c r="K121" s="29"/>
      <c r="M121" s="29"/>
    </row>
    <row r="122" spans="11:13" s="28" customFormat="1" ht="12.75" customHeight="1" x14ac:dyDescent="0.2">
      <c r="K122" s="29"/>
      <c r="M122" s="29"/>
    </row>
    <row r="123" spans="11:13" s="28" customFormat="1" ht="12.75" customHeight="1" x14ac:dyDescent="0.2">
      <c r="K123" s="29"/>
      <c r="M123" s="29"/>
    </row>
    <row r="124" spans="11:13" s="28" customFormat="1" ht="12.75" customHeight="1" x14ac:dyDescent="0.2">
      <c r="K124" s="29"/>
      <c r="M124" s="29"/>
    </row>
    <row r="125" spans="11:13" s="28" customFormat="1" ht="12.75" customHeight="1" x14ac:dyDescent="0.2">
      <c r="K125" s="29"/>
      <c r="M125" s="29"/>
    </row>
    <row r="126" spans="11:13" s="28" customFormat="1" ht="12.75" customHeight="1" x14ac:dyDescent="0.2">
      <c r="K126" s="29"/>
      <c r="M126" s="29"/>
    </row>
    <row r="127" spans="11:13" s="28" customFormat="1" ht="12.75" customHeight="1" x14ac:dyDescent="0.2">
      <c r="K127" s="29"/>
      <c r="M127" s="29"/>
    </row>
    <row r="128" spans="11:13" s="28" customFormat="1" ht="12.75" customHeight="1" x14ac:dyDescent="0.2">
      <c r="K128" s="29"/>
      <c r="M128" s="29"/>
    </row>
    <row r="129" spans="11:13" s="28" customFormat="1" ht="12.75" customHeight="1" x14ac:dyDescent="0.2">
      <c r="K129" s="29"/>
      <c r="M129" s="29"/>
    </row>
  </sheetData>
  <mergeCells count="1">
    <mergeCell ref="A10:C14"/>
  </mergeCells>
  <phoneticPr fontId="2" type="noConversion"/>
  <printOptions horizontalCentered="1"/>
  <pageMargins left="0.5" right="0.5" top="2.5" bottom="0.5" header="1.5" footer="0.5"/>
  <pageSetup scale="74" pageOrder="overThenDown" orientation="landscape"/>
  <headerFooter alignWithMargins="0">
    <oddHeader>&amp;R&amp;"Arial,Bold"Schedule &amp;A
Page &amp;P of &amp;N&amp;C&amp;B
2017 RATE CASE
ONCOR ELECTRIC DELIVERY COMPANY LLC
III-D-3 PAYROLL EXPENSES
TEST YEAR ENDING DECEMBER 31, 2016
SPONSOR: D. MITRISIN</oddHeader>
  </headerFooter>
  <colBreaks count="1" manualBreakCount="1">
    <brk id="10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R15"/>
  <sheetViews>
    <sheetView zoomScaleNormal="75" workbookViewId="0">
      <selection activeCell="G16" sqref="G16"/>
    </sheetView>
  </sheetViews>
  <sheetFormatPr defaultColWidth="9.140625" defaultRowHeight="12.75" x14ac:dyDescent="0.2"/>
  <cols>
    <col min="1" max="1" width="5.7109375" style="28" customWidth="1"/>
    <col min="2" max="2" width="8.7109375" style="30" customWidth="1"/>
    <col min="3" max="3" width="45.7109375" style="30" customWidth="1"/>
    <col min="4" max="4" width="10.5703125" style="30" customWidth="1"/>
    <col min="5" max="5" width="12.7109375" style="30" customWidth="1"/>
    <col min="6" max="6" width="17" style="30" bestFit="1" customWidth="1"/>
    <col min="7" max="10" width="12.7109375" style="30" customWidth="1"/>
    <col min="11" max="11" width="12.7109375" style="34" customWidth="1"/>
    <col min="12" max="12" width="12.7109375" style="30" customWidth="1"/>
    <col min="13" max="13" width="16.85546875" style="34" bestFit="1" customWidth="1"/>
    <col min="14" max="18" width="12.7109375" style="30" customWidth="1"/>
    <col min="19" max="16384" width="9.140625" style="30"/>
  </cols>
  <sheetData>
    <row r="1" spans="1:18" x14ac:dyDescent="0.2">
      <c r="A1" s="32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x14ac:dyDescent="0.2">
      <c r="A3" s="6" t="s">
        <v>16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x14ac:dyDescent="0.2">
      <c r="A4" s="54" t="str">
        <f>+'[1]Input Data'!$A$4</f>
        <v>TEST YEAR ENDING DECEMBER 31, 2024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x14ac:dyDescent="0.2">
      <c r="A5" s="6" t="str">
        <f>CONCATENATE("SPONSOR: ",'[1]Schedule Sponsors'!$D$173)</f>
        <v>SPONSOR: V. SNOW &amp;&amp; R. PRACHYL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1:18" x14ac:dyDescent="0.2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1:18" x14ac:dyDescent="0.2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1:18" x14ac:dyDescent="0.2">
      <c r="B8" s="32"/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spans="1:18" ht="13.5" thickBot="1" x14ac:dyDescent="0.25"/>
    <row r="10" spans="1:18" ht="13.5" thickTop="1" x14ac:dyDescent="0.2">
      <c r="A10" s="124" t="s">
        <v>110</v>
      </c>
      <c r="B10" s="125"/>
      <c r="C10" s="126"/>
    </row>
    <row r="11" spans="1:18" x14ac:dyDescent="0.2">
      <c r="A11" s="127"/>
      <c r="B11" s="128"/>
      <c r="C11" s="129"/>
    </row>
    <row r="12" spans="1:18" x14ac:dyDescent="0.2">
      <c r="A12" s="127"/>
      <c r="B12" s="128"/>
      <c r="C12" s="129"/>
    </row>
    <row r="13" spans="1:18" x14ac:dyDescent="0.2">
      <c r="A13" s="127"/>
      <c r="B13" s="128"/>
      <c r="C13" s="129"/>
    </row>
    <row r="14" spans="1:18" ht="13.5" thickBot="1" x14ac:dyDescent="0.25">
      <c r="A14" s="130"/>
      <c r="B14" s="131"/>
      <c r="C14" s="132"/>
    </row>
    <row r="15" spans="1:18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0.5" header="1.5" footer="0.5"/>
  <pageSetup scale="74" pageOrder="overThenDown" orientation="landscape"/>
  <headerFooter alignWithMargins="0">
    <oddHeader>&amp;R&amp;"Arial,Bold"Schedule &amp;A
Page &amp;P of &amp;N&amp;C&amp;B
2017 RATE CASE
ONCOR ELECTRIC DELIVERY COMPANY LLC
III-D-4 SUMMARY OF EXCLUSIONS FROM THE REPORTING PERIOD
TEST YEAR ENDING DECEMBER 31, 2016
SPONSOR: D. MITRISIN</oddHeader>
  </headerFooter>
  <colBreaks count="1" manualBreakCount="1">
    <brk id="10" max="1048575" man="1"/>
  </col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1:R15"/>
  <sheetViews>
    <sheetView zoomScaleNormal="100" workbookViewId="0">
      <selection activeCell="G16" sqref="G16"/>
    </sheetView>
  </sheetViews>
  <sheetFormatPr defaultColWidth="9.140625" defaultRowHeight="12.75" customHeight="1" x14ac:dyDescent="0.2"/>
  <cols>
    <col min="1" max="1" width="5.7109375" style="28" customWidth="1"/>
    <col min="2" max="2" width="8.7109375" style="30" customWidth="1"/>
    <col min="3" max="3" width="45.7109375" style="30" customWidth="1"/>
    <col min="4" max="4" width="10.5703125" style="30" customWidth="1"/>
    <col min="5" max="5" width="12.7109375" style="30" customWidth="1"/>
    <col min="6" max="6" width="17" style="30" bestFit="1" customWidth="1"/>
    <col min="7" max="10" width="12.7109375" style="30" customWidth="1"/>
    <col min="11" max="11" width="12.7109375" style="34" customWidth="1"/>
    <col min="12" max="12" width="12.7109375" style="30" customWidth="1"/>
    <col min="13" max="13" width="16.85546875" style="34" bestFit="1" customWidth="1"/>
    <col min="14" max="18" width="12.7109375" style="30" customWidth="1"/>
    <col min="19" max="16384" width="9.140625" style="30"/>
  </cols>
  <sheetData>
    <row r="1" spans="1:18" ht="12.75" customHeight="1" x14ac:dyDescent="0.2">
      <c r="A1" s="32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x14ac:dyDescent="0.2">
      <c r="A3" s="6" t="s">
        <v>17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x14ac:dyDescent="0.2">
      <c r="A4" s="54" t="str">
        <f>+'[1]Input Data'!$A$4</f>
        <v>TEST YEAR ENDING DECEMBER 31, 2024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x14ac:dyDescent="0.2">
      <c r="A5" s="6" t="str">
        <f>CONCATENATE("SPONSOR: ",'[1]Schedule Sponsors'!$D$174)</f>
        <v>SPONSOR: V. SNOW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1:18" x14ac:dyDescent="0.2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1:18" x14ac:dyDescent="0.2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1:18" x14ac:dyDescent="0.2">
      <c r="B8" s="32"/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spans="1:18" ht="12.75" customHeight="1" thickBot="1" x14ac:dyDescent="0.25"/>
    <row r="10" spans="1:18" ht="12.75" customHeight="1" thickTop="1" x14ac:dyDescent="0.2">
      <c r="A10" s="124" t="s">
        <v>111</v>
      </c>
      <c r="B10" s="125"/>
      <c r="C10" s="126"/>
    </row>
    <row r="11" spans="1:18" ht="12.75" customHeight="1" x14ac:dyDescent="0.2">
      <c r="A11" s="127"/>
      <c r="B11" s="128"/>
      <c r="C11" s="129"/>
    </row>
    <row r="12" spans="1:18" ht="12.75" customHeight="1" x14ac:dyDescent="0.2">
      <c r="A12" s="127"/>
      <c r="B12" s="128"/>
      <c r="C12" s="129"/>
    </row>
    <row r="13" spans="1:18" ht="12.75" customHeight="1" x14ac:dyDescent="0.2">
      <c r="A13" s="127"/>
      <c r="B13" s="128"/>
      <c r="C13" s="129"/>
    </row>
    <row r="14" spans="1:18" ht="12.75" customHeight="1" thickBot="1" x14ac:dyDescent="0.25">
      <c r="A14" s="130"/>
      <c r="B14" s="131"/>
      <c r="C14" s="132"/>
    </row>
    <row r="15" spans="1:18" ht="12.75" customHeight="1" thickTop="1" x14ac:dyDescent="0.2"/>
  </sheetData>
  <mergeCells count="1">
    <mergeCell ref="A10:C14"/>
  </mergeCells>
  <phoneticPr fontId="2" type="noConversion"/>
  <printOptions horizontalCentered="1"/>
  <pageMargins left="0.5" right="0.5" top="2.5" bottom="0.5" header="1.5" footer="0.5"/>
  <pageSetup scale="74" pageOrder="overThenDown" orientation="landscape"/>
  <headerFooter alignWithMargins="0">
    <oddHeader>&amp;R&amp;"Arial,Bold"Schedule &amp;A
Page &amp;P of &amp;N&amp;C&amp;B
2017 RATE CASE
ONCOR ELECTRIC DELIVERY COMPANY LLC
III-E-1 DEPRECIATION EXPENSE
TEST YEAR ENDING DECEMBER 31, 2016
SPONSOR: D. MITRISIN</oddHeader>
  </headerFooter>
  <colBreaks count="1" manualBreakCount="1">
    <brk id="10" max="1048575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R15"/>
  <sheetViews>
    <sheetView zoomScaleNormal="75" workbookViewId="0">
      <selection activeCell="G16" sqref="G16"/>
    </sheetView>
  </sheetViews>
  <sheetFormatPr defaultColWidth="9.140625" defaultRowHeight="12.75" customHeight="1" x14ac:dyDescent="0.2"/>
  <cols>
    <col min="1" max="1" width="5.7109375" style="28" customWidth="1"/>
    <col min="2" max="2" width="8.7109375" style="30" customWidth="1"/>
    <col min="3" max="3" width="45.7109375" style="30" customWidth="1"/>
    <col min="4" max="4" width="10.5703125" style="30" customWidth="1"/>
    <col min="5" max="5" width="12.7109375" style="30" customWidth="1"/>
    <col min="6" max="6" width="17" style="30" bestFit="1" customWidth="1"/>
    <col min="7" max="10" width="12.7109375" style="30" customWidth="1"/>
    <col min="11" max="11" width="12.7109375" style="34" customWidth="1"/>
    <col min="12" max="12" width="12.7109375" style="30" customWidth="1"/>
    <col min="13" max="13" width="16.85546875" style="34" bestFit="1" customWidth="1"/>
    <col min="14" max="18" width="12.7109375" style="30" customWidth="1"/>
    <col min="19" max="16384" width="9.140625" style="30"/>
  </cols>
  <sheetData>
    <row r="1" spans="1:18" ht="12.75" customHeight="1" x14ac:dyDescent="0.2">
      <c r="A1" s="32" t="str">
        <f>+'[1]Input Data'!$A$9</f>
        <v>2025 RATE CASE</v>
      </c>
    </row>
    <row r="2" spans="1:18" x14ac:dyDescent="0.2">
      <c r="A2" s="7" t="str">
        <f>+'[1]Input Data'!$A$2</f>
        <v>ONCOR ELECTRIC DELIVERY COMPANY LLC</v>
      </c>
      <c r="B2" s="28"/>
      <c r="C2" s="28"/>
      <c r="D2" s="28"/>
      <c r="E2" s="28"/>
      <c r="F2" s="53"/>
      <c r="G2" s="28"/>
      <c r="H2" s="28"/>
      <c r="I2" s="28"/>
      <c r="J2" s="28"/>
      <c r="K2" s="29"/>
      <c r="L2" s="28"/>
      <c r="M2" s="29"/>
      <c r="N2" s="4"/>
      <c r="O2" s="28"/>
      <c r="P2" s="28"/>
      <c r="Q2" s="28"/>
      <c r="R2" s="28"/>
    </row>
    <row r="3" spans="1:18" x14ac:dyDescent="0.2">
      <c r="A3" s="6" t="s">
        <v>18</v>
      </c>
      <c r="B3" s="4"/>
      <c r="D3" s="28"/>
      <c r="E3" s="28"/>
      <c r="F3" s="31"/>
      <c r="G3" s="28"/>
      <c r="H3" s="28"/>
      <c r="I3" s="28"/>
      <c r="J3" s="28"/>
      <c r="K3" s="29"/>
      <c r="L3" s="28"/>
      <c r="M3" s="29"/>
      <c r="N3" s="26"/>
      <c r="O3" s="28"/>
      <c r="P3" s="28"/>
      <c r="Q3" s="28"/>
      <c r="R3" s="28"/>
    </row>
    <row r="4" spans="1:18" x14ac:dyDescent="0.2">
      <c r="A4" s="54" t="str">
        <f>+'[1]Input Data'!$A$4</f>
        <v>TEST YEAR ENDING DECEMBER 31, 2024</v>
      </c>
      <c r="B4" s="4"/>
      <c r="D4" s="28"/>
      <c r="E4" s="28"/>
      <c r="F4" s="31"/>
      <c r="G4" s="28"/>
      <c r="H4" s="28"/>
      <c r="I4" s="28"/>
      <c r="J4" s="28"/>
      <c r="K4" s="29"/>
      <c r="L4" s="28"/>
      <c r="M4" s="29"/>
      <c r="N4" s="26"/>
      <c r="O4" s="28"/>
      <c r="P4" s="28"/>
      <c r="Q4" s="28"/>
      <c r="R4" s="28"/>
    </row>
    <row r="5" spans="1:18" x14ac:dyDescent="0.2">
      <c r="A5" s="6" t="str">
        <f>CONCATENATE("SPONSOR: ",'[1]Schedule Sponsors'!$D$175)</f>
        <v>SPONSOR: V. SNOW</v>
      </c>
      <c r="B5" s="4"/>
      <c r="D5" s="28"/>
      <c r="E5" s="28"/>
      <c r="F5" s="28"/>
      <c r="G5" s="28"/>
      <c r="H5" s="28"/>
      <c r="I5" s="28"/>
      <c r="J5" s="28"/>
      <c r="K5" s="29"/>
      <c r="L5" s="28"/>
      <c r="M5" s="29"/>
      <c r="N5" s="28"/>
      <c r="O5" s="28"/>
      <c r="P5" s="28"/>
      <c r="Q5" s="28"/>
      <c r="R5" s="28"/>
    </row>
    <row r="6" spans="1:18" x14ac:dyDescent="0.2">
      <c r="B6" s="4"/>
      <c r="D6" s="28"/>
      <c r="E6" s="28"/>
      <c r="F6" s="28"/>
      <c r="G6" s="28"/>
      <c r="H6" s="28"/>
      <c r="I6" s="28"/>
      <c r="J6" s="28"/>
      <c r="K6" s="29"/>
      <c r="L6" s="28"/>
      <c r="M6" s="29"/>
      <c r="N6" s="28"/>
      <c r="O6" s="28"/>
      <c r="P6" s="28"/>
      <c r="Q6" s="28"/>
      <c r="R6" s="28"/>
    </row>
    <row r="7" spans="1:18" x14ac:dyDescent="0.2">
      <c r="B7" s="4"/>
      <c r="D7" s="28"/>
      <c r="E7" s="28"/>
      <c r="F7" s="28"/>
      <c r="G7" s="28"/>
      <c r="H7" s="28"/>
      <c r="I7" s="28"/>
      <c r="J7" s="28"/>
      <c r="K7" s="29"/>
      <c r="L7" s="28"/>
      <c r="M7" s="29"/>
      <c r="N7" s="28"/>
      <c r="O7" s="28"/>
      <c r="P7" s="28"/>
      <c r="Q7" s="28"/>
      <c r="R7" s="28"/>
    </row>
    <row r="8" spans="1:18" x14ac:dyDescent="0.2">
      <c r="C8" s="28"/>
      <c r="D8" s="28"/>
      <c r="E8" s="28"/>
      <c r="F8" s="28"/>
      <c r="G8" s="28"/>
      <c r="H8" s="28"/>
      <c r="I8" s="28"/>
      <c r="J8" s="28"/>
      <c r="K8" s="29"/>
      <c r="L8" s="28"/>
      <c r="M8" s="29"/>
      <c r="N8" s="28"/>
      <c r="O8" s="28"/>
      <c r="P8" s="28"/>
      <c r="Q8" s="28"/>
      <c r="R8" s="28"/>
    </row>
    <row r="9" spans="1:18" ht="12.75" customHeight="1" thickBot="1" x14ac:dyDescent="0.25"/>
    <row r="10" spans="1:18" ht="12.75" customHeight="1" thickTop="1" x14ac:dyDescent="0.2">
      <c r="A10" s="124" t="s">
        <v>112</v>
      </c>
      <c r="B10" s="125"/>
      <c r="C10" s="126"/>
    </row>
    <row r="11" spans="1:18" ht="12.75" customHeight="1" x14ac:dyDescent="0.2">
      <c r="A11" s="127"/>
      <c r="B11" s="128"/>
      <c r="C11" s="129"/>
    </row>
    <row r="12" spans="1:18" ht="12.75" customHeight="1" x14ac:dyDescent="0.2">
      <c r="A12" s="127"/>
      <c r="B12" s="128"/>
      <c r="C12" s="129"/>
    </row>
    <row r="13" spans="1:18" ht="12.75" customHeight="1" x14ac:dyDescent="0.2">
      <c r="A13" s="127"/>
      <c r="B13" s="128"/>
      <c r="C13" s="129"/>
    </row>
    <row r="14" spans="1:18" ht="12.75" customHeight="1" thickBot="1" x14ac:dyDescent="0.25">
      <c r="A14" s="130"/>
      <c r="B14" s="131"/>
      <c r="C14" s="132"/>
    </row>
    <row r="15" spans="1:18" ht="12.75" customHeight="1" thickTop="1" x14ac:dyDescent="0.2"/>
  </sheetData>
  <mergeCells count="1">
    <mergeCell ref="A10:C14"/>
  </mergeCells>
  <phoneticPr fontId="2" type="noConversion"/>
  <printOptions horizontalCentered="1"/>
  <pageMargins left="0.5" right="0.5" top="2.5" bottom="0.5" header="1.5" footer="0.5"/>
  <pageSetup scale="74" pageOrder="overThenDown" orientation="landscape"/>
  <headerFooter alignWithMargins="0">
    <oddHeader>&amp;R&amp;"Arial,Bold"Schedule &amp;A
Page &amp;P of &amp;N&amp;C&amp;B
2017 RATE CASE
ONCOR ELECTRIC DELIVERY COMPANY LLC
III-E-2 TAXES OTHER THAN INCOME TAXES
TEST YEAR ENDING DECEMBER 31, 2016
SPONSOR: D. MITRISIN</oddHeader>
  </headerFooter>
  <colBreaks count="1" manualBreakCount="1">
    <brk id="10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19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Sponsors'!$D$176)</f>
        <v>SPONSOR: V. SNOW &amp;&amp; R. PRACHYL</v>
      </c>
    </row>
    <row r="9" spans="1:3" ht="13.5" thickBot="1" x14ac:dyDescent="0.25"/>
    <row r="10" spans="1:3" ht="13.5" thickTop="1" x14ac:dyDescent="0.2">
      <c r="A10" s="124" t="s">
        <v>113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III-E-3 FEDERAL INCOME TAXES
TEST YEAR ENDING DECEMBER 31, 2016
SPONSOR: D. MITRISIN &amp;&amp; R. K. PRUETT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C15"/>
  <sheetViews>
    <sheetView workbookViewId="0">
      <selection activeCell="G16" sqref="G16"/>
    </sheetView>
  </sheetViews>
  <sheetFormatPr defaultRowHeight="12.75" x14ac:dyDescent="0.2"/>
  <cols>
    <col min="1" max="1" width="5.7109375" customWidth="1"/>
    <col min="2" max="2" width="8.7109375" customWidth="1"/>
    <col min="3" max="3" width="45.7109375" customWidth="1"/>
  </cols>
  <sheetData>
    <row r="1" spans="1:3" x14ac:dyDescent="0.2">
      <c r="A1" s="56" t="str">
        <f>+'[1]Input Data'!$A$9</f>
        <v>2025 RATE CASE</v>
      </c>
    </row>
    <row r="2" spans="1:3" x14ac:dyDescent="0.2">
      <c r="A2" s="7" t="str">
        <f>+'[1]Input Data'!$A$2</f>
        <v>ONCOR ELECTRIC DELIVERY COMPANY LLC</v>
      </c>
    </row>
    <row r="3" spans="1:3" x14ac:dyDescent="0.2">
      <c r="A3" s="6" t="s">
        <v>20</v>
      </c>
    </row>
    <row r="4" spans="1:3" x14ac:dyDescent="0.2">
      <c r="A4" s="54" t="str">
        <f>+'[1]Input Data'!$A$4</f>
        <v>TEST YEAR ENDING DECEMBER 31, 2024</v>
      </c>
    </row>
    <row r="5" spans="1:3" x14ac:dyDescent="0.2">
      <c r="A5" s="6" t="str">
        <f>CONCATENATE("SPONSOR: ",'[1]Schedule Sponsors'!$D$177)</f>
        <v>SPONSOR: V. SNOW &amp;&amp; R. PRACHYL</v>
      </c>
    </row>
    <row r="9" spans="1:3" ht="13.5" thickBot="1" x14ac:dyDescent="0.25"/>
    <row r="10" spans="1:3" ht="13.5" thickTop="1" x14ac:dyDescent="0.2">
      <c r="A10" s="124" t="s">
        <v>114</v>
      </c>
      <c r="B10" s="125"/>
      <c r="C10" s="126"/>
    </row>
    <row r="11" spans="1:3" x14ac:dyDescent="0.2">
      <c r="A11" s="127"/>
      <c r="B11" s="128"/>
      <c r="C11" s="129"/>
    </row>
    <row r="12" spans="1:3" x14ac:dyDescent="0.2">
      <c r="A12" s="127"/>
      <c r="B12" s="128"/>
      <c r="C12" s="129"/>
    </row>
    <row r="13" spans="1:3" x14ac:dyDescent="0.2">
      <c r="A13" s="127"/>
      <c r="B13" s="128"/>
      <c r="C13" s="129"/>
    </row>
    <row r="14" spans="1:3" ht="13.5" thickBot="1" x14ac:dyDescent="0.25">
      <c r="A14" s="130"/>
      <c r="B14" s="131"/>
      <c r="C14" s="132"/>
    </row>
    <row r="15" spans="1:3" ht="13.5" thickTop="1" x14ac:dyDescent="0.2"/>
  </sheetData>
  <mergeCells count="1">
    <mergeCell ref="A10:C14"/>
  </mergeCells>
  <phoneticPr fontId="2" type="noConversion"/>
  <printOptions horizontalCentered="1"/>
  <pageMargins left="0.5" right="0.5" top="2.5" bottom="1" header="1.5" footer="0.5"/>
  <pageSetup scale="75" orientation="landscape"/>
  <headerFooter alignWithMargins="0">
    <oddHeader>&amp;R&amp;"Arial,Bold"Schedule &amp;A
Page &amp;P of &amp;N&amp;C&amp;B
2017 RATE CASE
ONCOR ELECTRIC DELIVERY COMPANY LLC
III-E-4 OTHER EXPENSES
TEST YEAR ENDING DECEMBER 31, 2016
SPONSOR: D. MITRISIN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/>
  <dimension ref="A1:K47"/>
  <sheetViews>
    <sheetView zoomScaleNormal="75" workbookViewId="0">
      <pane ySplit="13" topLeftCell="A14" activePane="bottomLeft" state="frozen"/>
      <selection pane="bottomLeft" activeCell="C36" sqref="C36"/>
    </sheetView>
  </sheetViews>
  <sheetFormatPr defaultColWidth="9.140625" defaultRowHeight="12.75" customHeight="1" x14ac:dyDescent="0.2"/>
  <cols>
    <col min="1" max="1" width="5.7109375" style="28" customWidth="1"/>
    <col min="2" max="2" width="8.7109375" style="30" customWidth="1"/>
    <col min="3" max="3" width="45.7109375" style="30" customWidth="1"/>
    <col min="4" max="4" width="10.5703125" style="30" customWidth="1"/>
    <col min="5" max="5" width="12.7109375" style="30" customWidth="1"/>
    <col min="6" max="6" width="14" style="30" bestFit="1" customWidth="1"/>
    <col min="7" max="7" width="14" style="30" customWidth="1"/>
    <col min="8" max="11" width="13.7109375" style="30" customWidth="1"/>
    <col min="12" max="16384" width="9.140625" style="30"/>
  </cols>
  <sheetData>
    <row r="1" spans="1:11" ht="12.75" customHeight="1" x14ac:dyDescent="0.2">
      <c r="A1" s="32" t="str">
        <f>+'[1]Input Data'!$A$9</f>
        <v>2025 RATE CASE</v>
      </c>
    </row>
    <row r="2" spans="1:11" x14ac:dyDescent="0.2">
      <c r="A2" s="7" t="str">
        <f>+'[1]Input Data'!$A$2</f>
        <v>ONCOR ELECTRIC DELIVERY COMPANY LLC</v>
      </c>
      <c r="B2" s="28"/>
      <c r="C2" s="28"/>
      <c r="D2" s="28"/>
      <c r="E2" s="28"/>
      <c r="F2" s="28"/>
      <c r="G2" s="28"/>
      <c r="H2" s="28"/>
    </row>
    <row r="3" spans="1:11" x14ac:dyDescent="0.2">
      <c r="A3" s="6" t="s">
        <v>21</v>
      </c>
      <c r="B3" s="4"/>
      <c r="D3" s="28"/>
      <c r="E3" s="28"/>
      <c r="F3" s="28"/>
      <c r="G3" s="28"/>
      <c r="H3" s="28"/>
    </row>
    <row r="4" spans="1:11" x14ac:dyDescent="0.2">
      <c r="A4" s="54" t="str">
        <f>+'[1]Input Data'!$A$4</f>
        <v>TEST YEAR ENDING DECEMBER 31, 2024</v>
      </c>
      <c r="B4" s="4"/>
      <c r="D4" s="28"/>
      <c r="E4" s="28"/>
      <c r="F4" s="28"/>
      <c r="G4" s="28"/>
      <c r="H4" s="28"/>
    </row>
    <row r="5" spans="1:11" x14ac:dyDescent="0.2">
      <c r="A5" s="6" t="str">
        <f>CONCATENATE("SPONSOR: ",'[1]Schedule Sponsors'!$D$159)</f>
        <v>SPONSOR: R. PRACHYL</v>
      </c>
      <c r="B5" s="4"/>
      <c r="D5" s="28"/>
      <c r="E5" s="28"/>
      <c r="F5" s="28"/>
      <c r="G5" s="28"/>
      <c r="H5" s="28"/>
    </row>
    <row r="6" spans="1:11" x14ac:dyDescent="0.2">
      <c r="B6" s="4"/>
      <c r="D6" s="28"/>
      <c r="E6" s="28"/>
      <c r="F6" s="28"/>
      <c r="G6" s="28"/>
      <c r="H6" s="28"/>
    </row>
    <row r="7" spans="1:11" x14ac:dyDescent="0.2">
      <c r="B7" s="4"/>
      <c r="D7" s="28"/>
      <c r="E7" s="28"/>
      <c r="F7" s="28"/>
      <c r="G7" s="28"/>
      <c r="H7" s="28"/>
    </row>
    <row r="8" spans="1:11" x14ac:dyDescent="0.2">
      <c r="B8" s="32"/>
      <c r="C8" s="28"/>
      <c r="D8" s="28"/>
      <c r="E8" s="28"/>
      <c r="F8" s="28"/>
      <c r="G8" s="28"/>
      <c r="H8" s="28"/>
    </row>
    <row r="9" spans="1:11" ht="12.75" customHeight="1" thickBot="1" x14ac:dyDescent="0.25"/>
    <row r="10" spans="1:11" s="55" customFormat="1" x14ac:dyDescent="0.2">
      <c r="A10" s="58"/>
      <c r="B10" s="58"/>
      <c r="C10" s="58"/>
      <c r="D10" s="58"/>
      <c r="E10" s="59" t="s">
        <v>25</v>
      </c>
      <c r="F10" s="59" t="s">
        <v>26</v>
      </c>
      <c r="G10" s="59" t="s">
        <v>27</v>
      </c>
      <c r="H10" s="59"/>
      <c r="I10" s="59"/>
      <c r="J10" s="59"/>
      <c r="K10" s="59"/>
    </row>
    <row r="11" spans="1:11" s="55" customFormat="1" x14ac:dyDescent="0.2">
      <c r="A11" s="62" t="s">
        <v>29</v>
      </c>
      <c r="B11" s="62" t="s">
        <v>119</v>
      </c>
      <c r="C11" s="62"/>
      <c r="D11" s="62" t="s">
        <v>30</v>
      </c>
      <c r="E11" s="62" t="s">
        <v>31</v>
      </c>
      <c r="F11" s="62" t="s">
        <v>32</v>
      </c>
      <c r="G11" s="62" t="s">
        <v>25</v>
      </c>
      <c r="H11" s="62"/>
      <c r="I11" s="62" t="s">
        <v>139</v>
      </c>
      <c r="J11" s="62" t="s">
        <v>140</v>
      </c>
      <c r="K11" s="62" t="s">
        <v>147</v>
      </c>
    </row>
    <row r="12" spans="1:11" s="55" customFormat="1" x14ac:dyDescent="0.2">
      <c r="A12" s="62" t="s">
        <v>34</v>
      </c>
      <c r="B12" s="62" t="s">
        <v>120</v>
      </c>
      <c r="C12" s="62" t="s">
        <v>35</v>
      </c>
      <c r="D12" s="62" t="s">
        <v>36</v>
      </c>
      <c r="E12" s="62" t="s">
        <v>37</v>
      </c>
      <c r="F12" s="62" t="s">
        <v>38</v>
      </c>
      <c r="G12" s="62" t="s">
        <v>31</v>
      </c>
      <c r="H12" s="62" t="s">
        <v>64</v>
      </c>
      <c r="I12" s="62" t="s">
        <v>64</v>
      </c>
      <c r="J12" s="62" t="s">
        <v>148</v>
      </c>
      <c r="K12" s="62" t="s">
        <v>64</v>
      </c>
    </row>
    <row r="13" spans="1:11" s="55" customFormat="1" ht="13.5" thickBot="1" x14ac:dyDescent="0.25">
      <c r="A13" s="80"/>
      <c r="B13" s="101" t="s">
        <v>40</v>
      </c>
      <c r="C13" s="101" t="s">
        <v>41</v>
      </c>
      <c r="D13" s="101" t="s">
        <v>42</v>
      </c>
      <c r="E13" s="101" t="s">
        <v>43</v>
      </c>
      <c r="F13" s="101" t="s">
        <v>44</v>
      </c>
      <c r="G13" s="101" t="s">
        <v>45</v>
      </c>
      <c r="H13" s="101" t="s">
        <v>118</v>
      </c>
      <c r="I13" s="101" t="s">
        <v>145</v>
      </c>
      <c r="J13" s="101" t="s">
        <v>146</v>
      </c>
      <c r="K13" s="101" t="s">
        <v>149</v>
      </c>
    </row>
    <row r="14" spans="1:11" s="112" customFormat="1" x14ac:dyDescent="0.2">
      <c r="B14" s="113"/>
      <c r="C14" s="113"/>
      <c r="D14" s="102"/>
      <c r="E14" s="114"/>
      <c r="F14" s="114"/>
      <c r="G14" s="114"/>
      <c r="H14" s="114"/>
    </row>
    <row r="15" spans="1:11" s="7" customFormat="1" x14ac:dyDescent="0.2">
      <c r="A15" s="115">
        <v>1</v>
      </c>
      <c r="B15" s="7" t="s">
        <v>121</v>
      </c>
      <c r="D15" s="15" t="s">
        <v>60</v>
      </c>
      <c r="E15" s="16"/>
      <c r="F15" s="16"/>
      <c r="G15" s="16"/>
      <c r="H15" s="16"/>
    </row>
    <row r="16" spans="1:11" s="7" customFormat="1" x14ac:dyDescent="0.2">
      <c r="A16" s="115">
        <v>2</v>
      </c>
      <c r="B16" s="7" t="s">
        <v>122</v>
      </c>
      <c r="D16" s="15"/>
      <c r="E16" s="107"/>
      <c r="F16" s="16"/>
      <c r="G16" s="16"/>
      <c r="H16" s="16"/>
    </row>
    <row r="17" spans="1:11" s="7" customFormat="1" x14ac:dyDescent="0.2">
      <c r="A17" s="115">
        <v>3</v>
      </c>
      <c r="B17" s="122" t="s">
        <v>136</v>
      </c>
      <c r="C17" s="122" t="s">
        <v>137</v>
      </c>
      <c r="D17" s="15"/>
      <c r="E17" s="116">
        <f>+'[4]II-E-5'!H17</f>
        <v>0</v>
      </c>
      <c r="F17" s="116">
        <f>+'[4]II-E-5'!I17</f>
        <v>34378539</v>
      </c>
      <c r="G17" s="116">
        <f>+'[4]II-E-5'!J17</f>
        <v>34378539</v>
      </c>
      <c r="H17" s="116">
        <f>+'[4]II-E-5'!O17</f>
        <v>0</v>
      </c>
      <c r="I17" s="116">
        <f>+'[4]II-E-5'!P17</f>
        <v>0</v>
      </c>
      <c r="J17" s="116">
        <f>+'[4]II-E-5'!Q17</f>
        <v>0</v>
      </c>
      <c r="K17" s="116">
        <f>+'[4]II-E-5'!R17</f>
        <v>0</v>
      </c>
    </row>
    <row r="18" spans="1:11" s="112" customFormat="1" x14ac:dyDescent="0.2">
      <c r="A18" s="115">
        <v>4</v>
      </c>
      <c r="B18" s="122" t="s">
        <v>123</v>
      </c>
      <c r="C18" s="122" t="s">
        <v>124</v>
      </c>
      <c r="D18" s="115"/>
      <c r="E18" s="120">
        <f>+'[4]II-E-5'!H18</f>
        <v>758930.8</v>
      </c>
      <c r="F18" s="120">
        <f>+'[4]II-E-5'!I18</f>
        <v>0</v>
      </c>
      <c r="G18" s="120">
        <f>+'[4]II-E-5'!J18</f>
        <v>758930.8</v>
      </c>
      <c r="H18" s="120">
        <f>+'[4]II-E-5'!O18</f>
        <v>0</v>
      </c>
      <c r="I18" s="120">
        <f>+'[4]II-E-5'!P18</f>
        <v>0</v>
      </c>
      <c r="J18" s="120">
        <f>+'[4]II-E-5'!Q18</f>
        <v>0</v>
      </c>
      <c r="K18" s="120">
        <f>+'[4]II-E-5'!R18</f>
        <v>0</v>
      </c>
    </row>
    <row r="19" spans="1:11" s="112" customFormat="1" x14ac:dyDescent="0.2">
      <c r="A19" s="115">
        <v>5</v>
      </c>
      <c r="B19" s="122" t="s">
        <v>123</v>
      </c>
      <c r="C19" s="122" t="s">
        <v>150</v>
      </c>
      <c r="D19" s="115"/>
      <c r="E19" s="120">
        <f>+'[4]II-E-5'!H19</f>
        <v>1220691.1200000001</v>
      </c>
      <c r="F19" s="120">
        <f>+'[4]II-E-5'!I19</f>
        <v>-1220691.1200000001</v>
      </c>
      <c r="G19" s="120">
        <f>+'[4]II-E-5'!J19</f>
        <v>0</v>
      </c>
      <c r="H19" s="120">
        <f>+'[4]II-E-5'!O19</f>
        <v>0</v>
      </c>
      <c r="I19" s="120">
        <f>+'[4]II-E-5'!P19</f>
        <v>0</v>
      </c>
      <c r="J19" s="120">
        <f>+'[4]II-E-5'!Q19</f>
        <v>0</v>
      </c>
      <c r="K19" s="120">
        <f>+'[4]II-E-5'!R19</f>
        <v>0</v>
      </c>
    </row>
    <row r="20" spans="1:11" s="112" customFormat="1" x14ac:dyDescent="0.2">
      <c r="A20" s="115">
        <v>6</v>
      </c>
      <c r="B20" s="122" t="s">
        <v>125</v>
      </c>
      <c r="C20" s="122" t="s">
        <v>126</v>
      </c>
      <c r="D20" s="115"/>
      <c r="E20" s="120">
        <f>+'[4]II-E-5'!H20</f>
        <v>26594344.41</v>
      </c>
      <c r="F20" s="120">
        <f>+'[4]II-E-5'!I20</f>
        <v>1213350.5899999999</v>
      </c>
      <c r="G20" s="120">
        <f>+'[4]II-E-5'!J20</f>
        <v>27807695</v>
      </c>
      <c r="H20" s="120">
        <f>+'[4]II-E-5'!O20</f>
        <v>0</v>
      </c>
      <c r="I20" s="120">
        <f>+'[4]II-E-5'!P20</f>
        <v>0</v>
      </c>
      <c r="J20" s="120">
        <f>+'[4]II-E-5'!Q20</f>
        <v>0</v>
      </c>
      <c r="K20" s="120">
        <f>+'[4]II-E-5'!R20</f>
        <v>0</v>
      </c>
    </row>
    <row r="21" spans="1:11" s="112" customFormat="1" x14ac:dyDescent="0.2">
      <c r="A21" s="115">
        <v>7</v>
      </c>
      <c r="B21" s="122" t="s">
        <v>125</v>
      </c>
      <c r="C21" s="122" t="s">
        <v>127</v>
      </c>
      <c r="D21" s="115"/>
      <c r="E21" s="120">
        <f>+'[4]II-E-5'!H21</f>
        <v>107361.28</v>
      </c>
      <c r="F21" s="120">
        <f>+'[4]II-E-5'!I21</f>
        <v>0</v>
      </c>
      <c r="G21" s="120">
        <f>+'[4]II-E-5'!J21</f>
        <v>107361.28</v>
      </c>
      <c r="H21" s="120">
        <f>+'[4]II-E-5'!O21</f>
        <v>0</v>
      </c>
      <c r="I21" s="120">
        <f>+'[4]II-E-5'!P21</f>
        <v>0</v>
      </c>
      <c r="J21" s="120">
        <f>+'[4]II-E-5'!Q21</f>
        <v>0</v>
      </c>
      <c r="K21" s="120">
        <f>+'[4]II-E-5'!R21</f>
        <v>0</v>
      </c>
    </row>
    <row r="22" spans="1:11" s="112" customFormat="1" x14ac:dyDescent="0.2">
      <c r="A22" s="115">
        <v>8</v>
      </c>
      <c r="B22" s="122" t="s">
        <v>128</v>
      </c>
      <c r="C22" s="122" t="s">
        <v>129</v>
      </c>
      <c r="D22" s="115"/>
      <c r="E22" s="120">
        <f>+'[4]II-E-5'!H22</f>
        <v>0</v>
      </c>
      <c r="F22" s="120">
        <f>+'[4]II-E-5'!I22</f>
        <v>0</v>
      </c>
      <c r="G22" s="120">
        <f>+'[4]II-E-5'!J22</f>
        <v>0</v>
      </c>
      <c r="H22" s="120">
        <f>+'[4]II-E-5'!O22</f>
        <v>0</v>
      </c>
      <c r="I22" s="120">
        <f>+'[4]II-E-5'!P22</f>
        <v>0</v>
      </c>
      <c r="J22" s="120">
        <f>+'[4]II-E-5'!Q22</f>
        <v>0</v>
      </c>
      <c r="K22" s="120">
        <f>+'[4]II-E-5'!R22</f>
        <v>0</v>
      </c>
    </row>
    <row r="23" spans="1:11" s="112" customFormat="1" x14ac:dyDescent="0.2">
      <c r="A23" s="115">
        <v>9</v>
      </c>
      <c r="B23" s="122"/>
      <c r="C23" s="123" t="s">
        <v>130</v>
      </c>
      <c r="D23" s="115"/>
      <c r="E23" s="120">
        <f>+'[4]II-E-5'!H23</f>
        <v>10615770.26</v>
      </c>
      <c r="F23" s="120">
        <f>+'[4]II-E-5'!I23</f>
        <v>0</v>
      </c>
      <c r="G23" s="120">
        <f>+'[4]II-E-5'!J23</f>
        <v>10615770.26</v>
      </c>
      <c r="H23" s="120">
        <f>+'[4]II-E-5'!O23</f>
        <v>0</v>
      </c>
      <c r="I23" s="120">
        <f>+'[4]II-E-5'!P23</f>
        <v>0</v>
      </c>
      <c r="J23" s="120">
        <f>+'[4]II-E-5'!Q23</f>
        <v>0</v>
      </c>
      <c r="K23" s="120">
        <f>+'[4]II-E-5'!R23</f>
        <v>0</v>
      </c>
    </row>
    <row r="24" spans="1:11" s="112" customFormat="1" x14ac:dyDescent="0.2">
      <c r="A24" s="115">
        <v>10</v>
      </c>
      <c r="B24" s="122"/>
      <c r="C24" s="123" t="s">
        <v>131</v>
      </c>
      <c r="D24" s="115"/>
      <c r="E24" s="120">
        <f>+'[4]II-E-5'!H24</f>
        <v>2244275.1799999997</v>
      </c>
      <c r="F24" s="120">
        <f>+'[4]II-E-5'!I24</f>
        <v>0</v>
      </c>
      <c r="G24" s="120">
        <f>+'[4]II-E-5'!J24</f>
        <v>2244275.1799999997</v>
      </c>
      <c r="H24" s="120">
        <f>+'[4]II-E-5'!O24</f>
        <v>961339</v>
      </c>
      <c r="I24" s="120">
        <f>+'[4]II-E-5'!P24</f>
        <v>0</v>
      </c>
      <c r="J24" s="120">
        <f>+'[4]II-E-5'!Q24</f>
        <v>0</v>
      </c>
      <c r="K24" s="120">
        <f>+'[4]II-E-5'!R24</f>
        <v>961339</v>
      </c>
    </row>
    <row r="25" spans="1:11" s="112" customFormat="1" x14ac:dyDescent="0.2">
      <c r="A25" s="115">
        <v>11</v>
      </c>
      <c r="B25" s="122"/>
      <c r="C25" s="123" t="s">
        <v>132</v>
      </c>
      <c r="D25" s="115"/>
      <c r="E25" s="120">
        <f>+'[4]II-E-5'!H25</f>
        <v>11507204.149999999</v>
      </c>
      <c r="F25" s="120">
        <f>+'[4]II-E-5'!I25</f>
        <v>0</v>
      </c>
      <c r="G25" s="120">
        <f>+'[4]II-E-5'!J25</f>
        <v>11507204.149999999</v>
      </c>
      <c r="H25" s="120">
        <f>+'[4]II-E-5'!O25</f>
        <v>11507204.149999999</v>
      </c>
      <c r="I25" s="120">
        <f>+'[4]II-E-5'!P25</f>
        <v>0</v>
      </c>
      <c r="J25" s="120">
        <f>+'[4]II-E-5'!Q25</f>
        <v>0</v>
      </c>
      <c r="K25" s="120">
        <f>+'[4]II-E-5'!R25</f>
        <v>11507204.149999999</v>
      </c>
    </row>
    <row r="26" spans="1:11" s="112" customFormat="1" x14ac:dyDescent="0.2">
      <c r="A26" s="115">
        <v>12</v>
      </c>
      <c r="B26" s="122"/>
      <c r="C26" s="123" t="s">
        <v>151</v>
      </c>
      <c r="D26" s="115"/>
      <c r="E26" s="120">
        <f>+'[4]II-E-5'!H26</f>
        <v>1219190.1000000001</v>
      </c>
      <c r="F26" s="120">
        <f>+'[4]II-E-5'!I26</f>
        <v>0</v>
      </c>
      <c r="G26" s="120">
        <f>+'[4]II-E-5'!J26</f>
        <v>1219190.1000000001</v>
      </c>
      <c r="H26" s="120">
        <f>+'[4]II-E-5'!O26</f>
        <v>1182437.47</v>
      </c>
      <c r="I26" s="120">
        <f>+'[4]II-E-5'!P26</f>
        <v>0</v>
      </c>
      <c r="J26" s="120">
        <f>+'[4]II-E-5'!Q26</f>
        <v>0</v>
      </c>
      <c r="K26" s="120">
        <f>+'[4]II-E-5'!R26</f>
        <v>1182437.47</v>
      </c>
    </row>
    <row r="27" spans="1:11" s="112" customFormat="1" x14ac:dyDescent="0.2">
      <c r="A27" s="115">
        <v>13</v>
      </c>
      <c r="B27" s="122"/>
      <c r="C27" s="123" t="s">
        <v>152</v>
      </c>
      <c r="D27" s="115"/>
      <c r="E27" s="120">
        <f>+'[4]II-E-5'!H27</f>
        <v>122416.24000000002</v>
      </c>
      <c r="F27" s="120">
        <f>+'[4]II-E-5'!I27</f>
        <v>246892.34</v>
      </c>
      <c r="G27" s="120">
        <f>+'[4]II-E-5'!J27</f>
        <v>369308.58</v>
      </c>
      <c r="H27" s="120">
        <f>+'[4]II-E-5'!O27</f>
        <v>369308.58</v>
      </c>
      <c r="I27" s="120">
        <f>+'[4]II-E-5'!P27</f>
        <v>0</v>
      </c>
      <c r="J27" s="120">
        <f>+'[4]II-E-5'!Q27</f>
        <v>0</v>
      </c>
      <c r="K27" s="120">
        <f>+'[4]II-E-5'!R27</f>
        <v>369308.58</v>
      </c>
    </row>
    <row r="28" spans="1:11" s="112" customFormat="1" x14ac:dyDescent="0.2">
      <c r="A28" s="115">
        <v>14</v>
      </c>
      <c r="B28" s="122"/>
      <c r="C28" s="123" t="s">
        <v>153</v>
      </c>
      <c r="D28" s="115"/>
      <c r="E28" s="120">
        <f>+'[4]II-E-5'!H28</f>
        <v>260.98000000000013</v>
      </c>
      <c r="F28" s="120">
        <f>+'[4]II-E-5'!I28</f>
        <v>0</v>
      </c>
      <c r="G28" s="120">
        <f>+'[4]II-E-5'!J28</f>
        <v>260.98000000000013</v>
      </c>
      <c r="H28" s="120">
        <f>+'[4]II-E-5'!O28</f>
        <v>260.98000000000013</v>
      </c>
      <c r="I28" s="120">
        <f>+'[4]II-E-5'!P28</f>
        <v>0</v>
      </c>
      <c r="J28" s="120">
        <f>+'[4]II-E-5'!Q28</f>
        <v>0</v>
      </c>
      <c r="K28" s="120">
        <f>+'[4]II-E-5'!R28</f>
        <v>260.98000000000013</v>
      </c>
    </row>
    <row r="29" spans="1:11" s="112" customFormat="1" x14ac:dyDescent="0.2">
      <c r="A29" s="115">
        <v>15</v>
      </c>
      <c r="B29" s="122" t="s">
        <v>133</v>
      </c>
      <c r="C29" s="123" t="s">
        <v>134</v>
      </c>
      <c r="D29" s="115"/>
      <c r="E29" s="120">
        <f>+'[4]II-E-5'!H29</f>
        <v>36438754.820000008</v>
      </c>
      <c r="F29" s="120">
        <f>+'[4]II-E-5'!I29</f>
        <v>-1655616.68</v>
      </c>
      <c r="G29" s="120">
        <f>+'[4]II-E-5'!J29</f>
        <v>34783138.140000008</v>
      </c>
      <c r="H29" s="120">
        <f>+'[4]II-E-5'!O29</f>
        <v>28756794.140000001</v>
      </c>
      <c r="I29" s="120">
        <f>+'[4]II-E-5'!P29</f>
        <v>0</v>
      </c>
      <c r="J29" s="120">
        <f>+'[4]II-E-5'!Q29</f>
        <v>0</v>
      </c>
      <c r="K29" s="120">
        <f>+'[4]II-E-5'!R29</f>
        <v>28756794.140000001</v>
      </c>
    </row>
    <row r="30" spans="1:11" s="112" customFormat="1" x14ac:dyDescent="0.2">
      <c r="A30" s="115">
        <v>16</v>
      </c>
      <c r="B30" s="122"/>
      <c r="C30" s="123" t="s">
        <v>154</v>
      </c>
      <c r="D30" s="115"/>
      <c r="E30" s="120">
        <f>+'[4]II-E-5'!H30</f>
        <v>1987707.08</v>
      </c>
      <c r="F30" s="120">
        <f>+'[4]II-E-5'!I30</f>
        <v>0</v>
      </c>
      <c r="G30" s="120">
        <f>+'[4]II-E-5'!J30</f>
        <v>1987707.08</v>
      </c>
      <c r="H30" s="120">
        <f>+'[4]II-E-5'!O30</f>
        <v>0</v>
      </c>
      <c r="I30" s="120">
        <f>+'[4]II-E-5'!P30</f>
        <v>232561.74</v>
      </c>
      <c r="J30" s="120">
        <f>+'[4]II-E-5'!Q30</f>
        <v>1755145.34</v>
      </c>
      <c r="K30" s="120">
        <f>+'[4]II-E-5'!R30</f>
        <v>1987707.08</v>
      </c>
    </row>
    <row r="31" spans="1:11" s="112" customFormat="1" x14ac:dyDescent="0.2">
      <c r="A31" s="115">
        <v>17</v>
      </c>
      <c r="B31" s="122"/>
      <c r="C31" s="122" t="s">
        <v>155</v>
      </c>
      <c r="D31" s="115"/>
      <c r="E31" s="120">
        <f>+'[4]II-E-5'!H31</f>
        <v>1366665.33</v>
      </c>
      <c r="F31" s="120">
        <f>+'[4]II-E-5'!I31</f>
        <v>0</v>
      </c>
      <c r="G31" s="120">
        <f>+'[4]II-E-5'!J31</f>
        <v>1366665.33</v>
      </c>
      <c r="H31" s="120">
        <f>+'[4]II-E-5'!O31</f>
        <v>1225898.8</v>
      </c>
      <c r="I31" s="120">
        <f>+'[4]II-E-5'!P31</f>
        <v>140766.53</v>
      </c>
      <c r="J31" s="120">
        <f>+'[4]II-E-5'!Q31</f>
        <v>0</v>
      </c>
      <c r="K31" s="120">
        <f>+'[4]II-E-5'!R31</f>
        <v>1366665.33</v>
      </c>
    </row>
    <row r="32" spans="1:11" s="112" customFormat="1" x14ac:dyDescent="0.2">
      <c r="A32" s="115">
        <v>18</v>
      </c>
      <c r="C32" s="118"/>
      <c r="D32" s="115"/>
      <c r="E32" s="119"/>
      <c r="F32" s="119"/>
      <c r="G32" s="119"/>
      <c r="H32" s="119"/>
      <c r="I32" s="119"/>
      <c r="J32" s="119"/>
      <c r="K32" s="119"/>
    </row>
    <row r="33" spans="1:11" s="7" customFormat="1" x14ac:dyDescent="0.2">
      <c r="A33" s="115">
        <v>19</v>
      </c>
      <c r="B33" s="7" t="s">
        <v>135</v>
      </c>
      <c r="C33" s="15"/>
      <c r="D33" s="15" t="s">
        <v>60</v>
      </c>
      <c r="E33" s="117">
        <f>SUM(E17:E31)</f>
        <v>94183571.75</v>
      </c>
      <c r="F33" s="117">
        <f>SUM(F17:F31)</f>
        <v>32962474.130000003</v>
      </c>
      <c r="G33" s="117">
        <f>SUM(G17:G31)</f>
        <v>127146045.88000003</v>
      </c>
      <c r="H33" s="117">
        <f>SUM(H17:H31)</f>
        <v>44003243.119999997</v>
      </c>
      <c r="I33" s="117">
        <f t="shared" ref="I33:K33" si="0">SUM(I17:I31)</f>
        <v>373328.27</v>
      </c>
      <c r="J33" s="117">
        <f t="shared" si="0"/>
        <v>1755145.34</v>
      </c>
      <c r="K33" s="117">
        <f t="shared" si="0"/>
        <v>46131716.729999997</v>
      </c>
    </row>
    <row r="47" spans="1:11" ht="15.75" customHeight="1" x14ac:dyDescent="0.2"/>
  </sheetData>
  <phoneticPr fontId="2" type="noConversion"/>
  <printOptions horizontalCentered="1"/>
  <pageMargins left="0.5" right="0.5" top="2.5" bottom="0.5" header="1.5" footer="0.5"/>
  <pageSetup scale="74" pageOrder="overThenDown" orientation="landscape"/>
  <headerFooter alignWithMargins="0">
    <oddHeader>&amp;R&amp;"Arial,Bold"Schedule &amp;A
Page &amp;P of &amp;N&amp;C&amp;B
2025 RATE CASE
ONCOR ELECTRIC DELIVERY COMPANY LLC
III-E-5 REVENUE CREDITS
TEST YEAR ENDING DECEMBER 31, 2024
SPONSOR: R. PRACHYL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25</vt:i4>
      </vt:variant>
    </vt:vector>
  </HeadingPairs>
  <TitlesOfParts>
    <vt:vector size="50" baseType="lpstr">
      <vt:lpstr>III-A</vt:lpstr>
      <vt:lpstr>III-A-1</vt:lpstr>
      <vt:lpstr>III-B</vt:lpstr>
      <vt:lpstr>III-B-1</vt:lpstr>
      <vt:lpstr>III-B-2</vt:lpstr>
      <vt:lpstr>III-B-3</vt:lpstr>
      <vt:lpstr>III-B-4</vt:lpstr>
      <vt:lpstr>III-B-5</vt:lpstr>
      <vt:lpstr>III-B-6</vt:lpstr>
      <vt:lpstr>III-B-7</vt:lpstr>
      <vt:lpstr>III-B-8</vt:lpstr>
      <vt:lpstr>III-B-9</vt:lpstr>
      <vt:lpstr>III-B-10</vt:lpstr>
      <vt:lpstr>III-B-11</vt:lpstr>
      <vt:lpstr>III-B-12</vt:lpstr>
      <vt:lpstr>III-C</vt:lpstr>
      <vt:lpstr>III-D-1</vt:lpstr>
      <vt:lpstr>III-D-2</vt:lpstr>
      <vt:lpstr>III-D-3</vt:lpstr>
      <vt:lpstr>III-D-4</vt:lpstr>
      <vt:lpstr>III-E-1</vt:lpstr>
      <vt:lpstr>III-E-2</vt:lpstr>
      <vt:lpstr>III-E-3</vt:lpstr>
      <vt:lpstr>III-E-4</vt:lpstr>
      <vt:lpstr>III-E-5</vt:lpstr>
      <vt:lpstr>'III-A'!Print_Area</vt:lpstr>
      <vt:lpstr>'III-A-1'!Print_Area</vt:lpstr>
      <vt:lpstr>'III-B'!Print_Area</vt:lpstr>
      <vt:lpstr>'III-B-1'!Print_Area</vt:lpstr>
      <vt:lpstr>'III-B-10'!Print_Area</vt:lpstr>
      <vt:lpstr>'III-B-11'!Print_Area</vt:lpstr>
      <vt:lpstr>'III-B-12'!Print_Area</vt:lpstr>
      <vt:lpstr>'III-B-2'!Print_Area</vt:lpstr>
      <vt:lpstr>'III-B-3'!Print_Area</vt:lpstr>
      <vt:lpstr>'III-B-4'!Print_Area</vt:lpstr>
      <vt:lpstr>'III-B-5'!Print_Area</vt:lpstr>
      <vt:lpstr>'III-B-6'!Print_Area</vt:lpstr>
      <vt:lpstr>'III-B-7'!Print_Area</vt:lpstr>
      <vt:lpstr>'III-B-8'!Print_Area</vt:lpstr>
      <vt:lpstr>'III-B-9'!Print_Area</vt:lpstr>
      <vt:lpstr>'III-C'!Print_Area</vt:lpstr>
      <vt:lpstr>'III-D-1'!Print_Area</vt:lpstr>
      <vt:lpstr>'III-D-2'!Print_Area</vt:lpstr>
      <vt:lpstr>'III-D-3'!Print_Area</vt:lpstr>
      <vt:lpstr>'III-D-4'!Print_Area</vt:lpstr>
      <vt:lpstr>'III-E-1'!Print_Area</vt:lpstr>
      <vt:lpstr>'III-E-2'!Print_Area</vt:lpstr>
      <vt:lpstr>'III-E-3'!Print_Area</vt:lpstr>
      <vt:lpstr>'III-E-4'!Print_Area</vt:lpstr>
      <vt:lpstr>'III-E-5'!Print_Area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Tenorio, Stephanie</cp:lastModifiedBy>
  <cp:lastPrinted>1900-01-01T06:00:00Z</cp:lastPrinted>
  <dcterms:created xsi:type="dcterms:W3CDTF">1900-01-01T06:00:00Z</dcterms:created>
  <dcterms:modified xsi:type="dcterms:W3CDTF">2025-06-25T18:42:08Z</dcterms:modified>
</cp:coreProperties>
</file>