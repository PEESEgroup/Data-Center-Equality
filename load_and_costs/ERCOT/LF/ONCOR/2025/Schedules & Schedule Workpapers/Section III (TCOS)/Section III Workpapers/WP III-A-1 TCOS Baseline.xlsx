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fileSharing readOnlyRecommended="1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I (TCOS)\Section III Workpapers\"/>
    </mc:Choice>
  </mc:AlternateContent>
  <xr:revisionPtr revIDLastSave="0" documentId="13_ncr:1_{A254BD38-F99E-4933-8257-3D99DF3B27A0}" xr6:coauthVersionLast="47" xr6:coauthVersionMax="47" xr10:uidLastSave="{00000000-0000-0000-0000-000000000000}"/>
  <x:bookViews>
    <x:workbookView xWindow="28680" yWindow="-120" windowWidth="29040" windowHeight="15720" tabRatio="827" xr2:uid="{00000000-000D-0000-FFFF-FFFF00000000}"/>
  </x:bookViews>
  <x:sheets>
    <x:sheet name="Schedule A" sheetId="6" r:id="rId1"/>
    <x:sheet name="Schedule B" sheetId="5" r:id="rId2"/>
    <x:sheet name="Schedule B-1" sheetId="4" r:id="rId3"/>
    <x:sheet name="Schedule B-5" sheetId="1" r:id="rId4"/>
    <x:sheet name="Schedule E-1" sheetId="2" r:id="rId5"/>
    <x:sheet name="Schedule E-2" sheetId="3" r:id="rId6"/>
    <x:sheet name="Schedule E-3" sheetId="7" r:id="rId7"/>
  </x:sheets>
  <x:externalReferences>
    <x:externalReference r:id="rId8"/>
    <x:externalReference r:id="rId9"/>
    <x:externalReference r:id="rId10"/>
    <x:externalReference r:id="rId11"/>
    <x:externalReference r:id="rId12"/>
  </x:externalReferences>
  <x:definedNames>
    <x:definedName name="APN">[1]Sheet1!#REF!</x:definedName>
    <x:definedName name="FY">[1]Sheet1!#REF!</x:definedName>
    <x:definedName name="NvsASD">"V2009-06-30"</x:definedName>
    <x:definedName name="NvsAutoDrillOk">"VY"</x:definedName>
    <x:definedName name="NvsElapsedTime">0.000879629631526768</x:definedName>
    <x:definedName name="NvsEndTime">40002.1158796296</x:definedName>
    <x:definedName name="NvsInstLang">"VENG"</x:definedName>
    <x:definedName name="NvsInstSpec">"%"</x:definedName>
    <x:definedName name="NvsInstSpec1">","</x:definedName>
    <x:definedName name="NvsInstSpec2">","</x:definedName>
    <x:definedName name="NvsInstSpec3">","</x:definedName>
    <x:definedName name="NvsInstSpec4">","</x:definedName>
    <x:definedName name="NvsInstSpec5">","</x:definedName>
    <x:definedName name="NvsInstSpec6">","</x:definedName>
    <x:definedName name="NvsInstSpec7">","</x:definedName>
    <x:definedName name="NvsInstSpec8">","</x:definedName>
    <x:definedName name="NvsInstSpec9">","</x:definedName>
    <x:definedName name="NvsLayoutType">"M3"</x:definedName>
    <x:definedName name="NvsNplSpec">"%,X,RZF.ACCOUNT.nPlosion,CZF.."</x:definedName>
    <x:definedName name="NvsPanelBusUnit">"V"</x:definedName>
    <x:definedName name="NvsPanelEffdt">"V2009-12-31"</x:definedName>
    <x:definedName name="NvsPanelSetid">"VSHARE"</x:definedName>
    <x:definedName name="NvsReqBU">"VX0300"</x:definedName>
    <x:definedName name="NvsReqBUOnly">"VN"</x:definedName>
    <x:definedName name="NvsTransLed">"VN"</x:definedName>
    <x:definedName name="NvsTreeASD">"V2009-06-30"</x:definedName>
    <x:definedName name="NvsValTbl.ACCOUNT">"GL_ACCOUNT_TBL"</x:definedName>
    <x:definedName name="NvsValTbl.BUSINESS_UNIT">"BUS_UNIT_TBL_FS"</x:definedName>
    <x:definedName name="NvsValTbl.CURRENCY_CD">"CURRENCY_CD_VW"</x:definedName>
    <x:definedName name="NvsValTbl.PF_SCENARIO_ID">"PF_SCENARIO_VW"</x:definedName>
    <x:definedName name="PED">[1]Sheet1!#REF!</x:definedName>
    <x:definedName name="_xlnm.Print_Area" localSheetId="0">'Schedule A'!$A$1:$C$24</x:definedName>
    <x:definedName name="_xlnm.Print_Area" localSheetId="1">'Schedule B'!$A$1:$C$33</x:definedName>
    <x:definedName name="_xlnm.Print_Area" localSheetId="2">'Schedule B-1'!$A$1:$E$35</x:definedName>
    <x:definedName name="_xlnm.Print_Area" localSheetId="3">'Schedule B-5'!$A$1:$E$36</x:definedName>
    <x:definedName name="_xlnm.Print_Area" localSheetId="4">'Schedule E-1'!$A$1:$G$47</x:definedName>
    <x:definedName name="_xlnm.Print_Area" localSheetId="5">'Schedule E-2'!$A$1:$E$23</x:definedName>
    <x:definedName name="_xlnm.Print_Area" localSheetId="6">'Schedule E-3'!$A$1:$E$46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E47" i="2" l="1"/>
  <x:c r="F13" i="2"/>
  <x:c r="E37" i="2" l="1"/>
  <x:c r="C20" i="5"/>
  <x:c r="C17" i="6" l="1"/>
  <x:c r="E20" i="1" l="1"/>
  <x:c r="E17" i="1"/>
  <x:c r="E15" i="1"/>
  <x:c r="E32" i="1" l="1"/>
  <x:c r="E31" i="1"/>
  <x:c r="E30" i="1"/>
  <x:c r="E25" i="1"/>
  <x:c r="E24" i="1"/>
  <x:c r="E23" i="1"/>
  <x:c r="E22" i="1"/>
  <x:c r="E21" i="1"/>
  <x:c r="E11" i="1"/>
  <x:c r="E10" i="4" l="1"/>
  <x:c r="E29" i="4"/>
  <x:c r="E31" i="4" l="1"/>
  <x:c r="E30" i="4"/>
  <x:c r="E24" i="4"/>
  <x:c r="E23" i="4"/>
  <x:c r="E22" i="4"/>
  <x:c r="E21" i="4"/>
  <x:c r="E20" i="4"/>
  <x:c r="E19" i="4"/>
  <x:c r="E18" i="4"/>
  <x:c r="E17" i="4"/>
  <x:c r="E16" i="4"/>
  <x:c r="E15" i="4"/>
  <x:c r="E14" i="4"/>
  <x:c r="E32" i="2" l="1"/>
  <x:c r="E31" i="2"/>
  <x:c r="E20" i="2"/>
  <x:c r="E19" i="2"/>
  <x:c r="E18" i="2"/>
  <x:c r="E30" i="2" l="1"/>
  <x:c r="E33" i="2" s="1"/>
  <x:c r="E25" i="2" l="1"/>
  <x:c r="E24" i="2"/>
  <x:c r="E23" i="2"/>
  <x:c r="E22" i="2"/>
  <x:c r="E21" i="2"/>
  <x:c r="E17" i="2"/>
  <x:c r="E16" i="2"/>
  <x:c r="E15" i="2"/>
  <x:c r="E11" i="2"/>
  <x:c r="F25" i="2"/>
  <x:c r="F24" i="2"/>
  <x:c r="F23" i="2"/>
  <x:c r="F22" i="2"/>
  <x:c r="F21" i="2"/>
  <x:c r="F20" i="2"/>
  <x:c r="F19" i="2"/>
  <x:c r="F18" i="2"/>
  <x:c r="F17" i="2"/>
  <x:c r="F16" i="2"/>
  <x:c r="F15" i="2"/>
  <x:c r="F11" i="2"/>
  <x:c r="E27" i="2" l="1"/>
  <x:c r="E14" i="3"/>
  <x:c r="E38" i="7"/>
  <x:c r="E36" i="7"/>
  <x:c r="E35" i="7"/>
  <x:c r="E34" i="7"/>
  <x:c r="E33" i="7"/>
  <x:c r="E32" i="7"/>
  <x:c r="E23" i="7"/>
  <x:c r="E22" i="7"/>
  <x:c r="E19" i="7"/>
  <x:c r="E18" i="7"/>
  <x:c r="E17" i="7"/>
  <x:c r="E16" i="7"/>
  <x:c r="E15" i="7"/>
  <x:c r="E14" i="7"/>
  <x:c r="E19" i="3"/>
  <x:c r="E13" i="3"/>
  <x:c r="E12" i="3"/>
  <x:c r="E22" i="3" l="1"/>
  <x:c r="C9" i="6"/>
  <x:c r="E45" i="7" l="1"/>
  <x:c r="E44" i="7"/>
  <x:c r="E43" i="7"/>
  <x:c r="E7" i="7"/>
  <x:c r="E7" i="3"/>
  <x:c r="E7" i="2"/>
  <x:c r="E7" i="1"/>
  <x:c r="E7" i="4"/>
  <x:c r="C7" i="5"/>
  <x:c r="E27" i="7"/>
  <x:c r="E26" i="4"/>
  <x:c r="C11" i="6"/>
  <x:c r="E32" i="4"/>
  <x:c r="E27" i="1"/>
  <x:c r="E33" i="1"/>
  <x:c r="A4" i="1"/>
  <x:c r="A4" i="5"/>
  <x:c r="A2" i="7"/>
  <x:c r="A1" i="7"/>
  <x:c r="A2" i="3"/>
  <x:c r="A1" i="3"/>
  <x:c r="A2" i="2"/>
  <x:c r="A1" i="2"/>
  <x:c r="A2" i="1"/>
  <x:c r="A1" i="1"/>
  <x:c r="A2" i="4"/>
  <x:c r="A1" i="4"/>
  <x:c r="A2" i="5"/>
  <x:c r="A1" i="5"/>
  <x:c r="A5" i="5"/>
  <x:c r="A4" i="7"/>
  <x:c r="A5" i="7"/>
  <x:c r="A4" i="3"/>
  <x:c r="A5" i="3"/>
  <x:c r="A4" i="4"/>
  <x:c r="A5" i="4"/>
  <x:c r="A5" i="1" s="1"/>
  <x:c r="A4" i="2"/>
  <x:c r="A5" i="2"/>
  <x:c r="E35" i="1" l="1"/>
  <x:c r="C12" i="5" s="1"/>
  <x:c r="E34" i="4"/>
  <x:c r="E35" i="2"/>
  <x:c r="E46" i="7"/>
  <x:c r="C11" i="5" l="1"/>
  <x:c r="C13" i="5" s="1"/>
  <x:c r="C22" i="5" s="1"/>
  <x:c r="C26" i="5" s="1"/>
  <x:c r="E11" i="7" s="1"/>
  <x:c r="E25" i="7" s="1"/>
  <x:c r="E29" i="7" s="1"/>
  <x:c r="E39" i="7" s="1"/>
  <x:c r="C12" i="6" s="1"/>
  <x:c r="E39" i="2"/>
  <x:c r="C13" i="6" l="1"/>
  <x:c r="C10" i="6"/>
  <x:c r="C15" i="6" l="1"/>
  <x:c r="C19" i="6" l="1"/>
  <x:c r="C23" i="6" s="1"/>
</x:calcChain>
</file>

<file path=xl/sharedStrings.xml><?xml version="1.0" encoding="utf-8"?>
<sst xmlns="http://schemas.openxmlformats.org/spreadsheetml/2006/main" count="285" uniqueCount="141">
  <si>
    <t>Depreciation Differences</t>
  </si>
  <si>
    <t>Rate Base</t>
  </si>
  <si>
    <t>Total Transmission Accumulated Depreciation</t>
  </si>
  <si>
    <t>Depreciation Expense</t>
  </si>
  <si>
    <t>Taxes Other Than Federal Income Tax</t>
  </si>
  <si>
    <t>Federal Income Tax</t>
  </si>
  <si>
    <t>Total Federal Income Tax</t>
  </si>
  <si>
    <t>Federal Income Tax:</t>
  </si>
  <si>
    <t>Texas Margin Tax</t>
  </si>
  <si>
    <t>Schedule A</t>
  </si>
  <si>
    <t>Acct. No.</t>
  </si>
  <si>
    <t>Account Description</t>
  </si>
  <si>
    <t>Transmission Plant</t>
  </si>
  <si>
    <t>A350</t>
  </si>
  <si>
    <t>Land and Land Rights</t>
  </si>
  <si>
    <t>A352</t>
  </si>
  <si>
    <t>A353</t>
  </si>
  <si>
    <t>A354</t>
  </si>
  <si>
    <t>Towers and Fixtures</t>
  </si>
  <si>
    <t>A355</t>
  </si>
  <si>
    <t>Poles and Fixtures</t>
  </si>
  <si>
    <t>A356</t>
  </si>
  <si>
    <t>O. H. Conductors &amp; Devices</t>
  </si>
  <si>
    <t>A357</t>
  </si>
  <si>
    <t>Underground Conduit</t>
  </si>
  <si>
    <t>A358</t>
  </si>
  <si>
    <t>Underground Conductors</t>
  </si>
  <si>
    <t>A359</t>
  </si>
  <si>
    <t>Roads and Trails</t>
  </si>
  <si>
    <t>Total Transmission Plant</t>
  </si>
  <si>
    <t>Distribution Plant</t>
  </si>
  <si>
    <t>A360</t>
  </si>
  <si>
    <t>Land and Land Rights (above 60 kV)</t>
  </si>
  <si>
    <t>A361</t>
  </si>
  <si>
    <t>Structures and Improvements (above 60 kV)</t>
  </si>
  <si>
    <t>A362</t>
  </si>
  <si>
    <t>Station Equipment (above 60 kV)</t>
  </si>
  <si>
    <t>Total Distribution Plant</t>
  </si>
  <si>
    <t>Total Transmission Plant in Service - Gross</t>
  </si>
  <si>
    <t>Accumulated Depreciation</t>
  </si>
  <si>
    <t>O. H. conductors &amp; Devices</t>
  </si>
  <si>
    <t>Various</t>
  </si>
  <si>
    <t>Taxes Other Than Income Taxes</t>
  </si>
  <si>
    <t>Federal Income Taxes</t>
  </si>
  <si>
    <t>Return on Rate Base</t>
  </si>
  <si>
    <t>Schedule B</t>
  </si>
  <si>
    <t>Total Revenue Requirement</t>
  </si>
  <si>
    <t>Other Revenues</t>
  </si>
  <si>
    <t>Total</t>
  </si>
  <si>
    <t>ERCOT Average 4 CP (MW)</t>
  </si>
  <si>
    <t>Wholesale Rate $/MW</t>
  </si>
  <si>
    <t>Direct Assigned:</t>
  </si>
  <si>
    <t>FERC Accounts (350 - 362)</t>
  </si>
  <si>
    <t>Original Plant In Service</t>
  </si>
  <si>
    <t>(Accumulated Depreciation)</t>
  </si>
  <si>
    <t xml:space="preserve">     Net Plant In Service</t>
  </si>
  <si>
    <t xml:space="preserve">          Subtotal</t>
  </si>
  <si>
    <t xml:space="preserve">         </t>
  </si>
  <si>
    <t>Total Rate Base</t>
  </si>
  <si>
    <t>Rate of Return</t>
  </si>
  <si>
    <t>Return On Rate Base</t>
  </si>
  <si>
    <t>Total Direct Assigned</t>
  </si>
  <si>
    <t>Allocated Expense Accounts - Net</t>
  </si>
  <si>
    <t>Total Transmission Depreciation Expense</t>
  </si>
  <si>
    <t>FERC Account</t>
  </si>
  <si>
    <t>Taxes Other Than Income Taxes:</t>
  </si>
  <si>
    <t>Non-Revenue Related</t>
  </si>
  <si>
    <t>1</t>
  </si>
  <si>
    <t>Ad Valorem Taxes</t>
  </si>
  <si>
    <t>2</t>
  </si>
  <si>
    <t>Payroll Taxes</t>
  </si>
  <si>
    <t>3</t>
  </si>
  <si>
    <t>Revenue Related Taxes</t>
  </si>
  <si>
    <t>4</t>
  </si>
  <si>
    <t>Total Taxes Other Than FIT Taxes</t>
  </si>
  <si>
    <t>Deduct:</t>
  </si>
  <si>
    <t>Synchronized Interest Included In Return</t>
  </si>
  <si>
    <t>ITC Amortization</t>
  </si>
  <si>
    <t>Other</t>
  </si>
  <si>
    <t>Add:</t>
  </si>
  <si>
    <t>Depreciation Addback</t>
  </si>
  <si>
    <t>Taxable Component of Return</t>
  </si>
  <si>
    <t>Federal Income Taxes Before Adjustments</t>
  </si>
  <si>
    <t>ONCOR ELECTRIC DELIVERY COMPANY LLC</t>
  </si>
  <si>
    <t>Schedule / Workpaper Reference</t>
  </si>
  <si>
    <t>Line No.</t>
  </si>
  <si>
    <t>Description</t>
  </si>
  <si>
    <t>Operation &amp; Maintenance</t>
  </si>
  <si>
    <t>Depreciation and Amortization</t>
  </si>
  <si>
    <t>11a</t>
  </si>
  <si>
    <t>Tax Factor (1/1 - .21)(.21)</t>
  </si>
  <si>
    <t>Tax Factor (1/1 - .35)(.35)</t>
  </si>
  <si>
    <t>4a</t>
  </si>
  <si>
    <t>4b</t>
  </si>
  <si>
    <t>Amort of Protected Excess DFIT</t>
  </si>
  <si>
    <t>Amort of Unprotected Excess DFIT</t>
  </si>
  <si>
    <t>Recap of Amortization of Excess DFIT</t>
  </si>
  <si>
    <t xml:space="preserve">    Total Amortization of Excess DFIT</t>
  </si>
  <si>
    <t>Baseline of Wholesale Transmission Cost of Service</t>
  </si>
  <si>
    <t>Meals, Commuter Expense, Empl Comp Plans</t>
  </si>
  <si>
    <t>Amort of Excess ADFIT Reserve</t>
  </si>
  <si>
    <t>R&amp;D Tax Credit</t>
  </si>
  <si>
    <t>4c</t>
  </si>
  <si>
    <t>Acquisition Adjustment, ADFIT and Excess Deferred Tax</t>
  </si>
  <si>
    <t>Regulatory Liabilities Related to the Tax Cuts and Jobs Act.</t>
  </si>
  <si>
    <t>Notes:  Line 8, "Other" includes Inventory, Prepayments, Electric Plant</t>
  </si>
  <si>
    <t>Sponsors:  W. Alan Ledbetter and Matthew A. Troxle</t>
  </si>
  <si>
    <t>2a</t>
  </si>
  <si>
    <t>2b</t>
  </si>
  <si>
    <t>2c</t>
  </si>
  <si>
    <t>3a</t>
  </si>
  <si>
    <t>3b</t>
  </si>
  <si>
    <t>3c</t>
  </si>
  <si>
    <t>Structures and Improvements - Base</t>
  </si>
  <si>
    <t>Structures and Improvements - DC Tie</t>
  </si>
  <si>
    <t>Structures and Improvements - SVC</t>
  </si>
  <si>
    <t>Station Equipment - Base</t>
  </si>
  <si>
    <t>Station Equipment - DC Tie</t>
  </si>
  <si>
    <t>Station Equipment - SVC</t>
  </si>
  <si>
    <t>As of December 31, 2024</t>
  </si>
  <si>
    <t>5</t>
  </si>
  <si>
    <t>Other Franchise Taxes</t>
  </si>
  <si>
    <t>A351.1</t>
  </si>
  <si>
    <t>A351.2</t>
  </si>
  <si>
    <t>A351.3</t>
  </si>
  <si>
    <t>Computer Hardware</t>
  </si>
  <si>
    <t>Computer Software</t>
  </si>
  <si>
    <t>Communication Equipment</t>
  </si>
  <si>
    <t>Test Year Ending 12/31/2024</t>
  </si>
  <si>
    <t>*</t>
  </si>
  <si>
    <t>3 year</t>
  </si>
  <si>
    <t>5 year</t>
  </si>
  <si>
    <t>8 year</t>
  </si>
  <si>
    <t>15 year</t>
  </si>
  <si>
    <t>Note that Account A351.2 Computer Software reflects a composite rate based on the following breakdown:</t>
  </si>
  <si>
    <t>Depreciation % requested</t>
  </si>
  <si>
    <t>Schedule Reference</t>
  </si>
  <si>
    <t>Allocated Plant Accounts - Net</t>
  </si>
  <si>
    <t>Working Capital</t>
  </si>
  <si>
    <t>Plant Held for Future Use</t>
  </si>
  <si>
    <t>Regulatory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</si>
</sst>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_(* #,##0_);_(* \(#,##0\);_(* &quot;-&quot;??_);_(@_)"/>
    <numFmt numFmtId="166" formatCode="0.0000%"/>
    <numFmt numFmtId="167" formatCode="0.0000000%"/>
    <numFmt numFmtId="168" formatCode="0.000000"/>
    <numFmt numFmtId="169" formatCode="_(&quot;$&quot;* #,##0.000000_);_(&quot;$&quot;* \(#,##0.000000\);_(&quot;$&quot;* &quot;-&quot;??????_);_(@_)"/>
    <numFmt numFmtId="170" formatCode="_(* #,##0.0000_);_(* \(#,##0.0000\);_(* &quot;-&quot;_);_(@_)"/>
    <numFmt numFmtId="171" formatCode="_(&quot;$&quot;* #,##0.00_);_(&quot;$&quot;* \(#,##0.00\);_(&quot;$&quot;* &quot;-&quot;_);_(@_)"/>
    <numFmt numFmtId="172" formatCode="_(* #,##0.0000_);_(* \(#,##0.0000\);_(* &quot;-&quot;????_);_(@_)"/>
    <numFmt numFmtId="173" formatCode="#,##0.0000_);\(#,##0.0000\)"/>
    <numFmt numFmtId="174" formatCode="0.000000000%"/>
    <numFmt numFmtId="175" formatCode="#,##0.00000000_);\(#,##0.00000000\)"/>
    <numFmt numFmtId="176" formatCode="_(&quot;$&quot;* #,##0.00000000_);_(&quot;$&quot;* \(#,##0.00000000\);_(&quot;$&quot;* &quot;-&quot;????????_);_(@_)"/>
    <numFmt numFmtId="177" formatCode="#,##0.00000000000_);\(#,##0.00000000000\)"/>
    <numFmt numFmtId="178" formatCode="#,##0.000000"/>
    <numFmt numFmtId="179" formatCode="#,##0.000000_);\(#,##0.000000\)"/>
    <numFmt numFmtId="180" formatCode="_(* #,##0.0000_);_(* \(#,##0.0000\);_(* &quot;-&quot;??_);_(@_)"/>
    <numFmt numFmtId="181" formatCode="_(* #,##0.000000_);_(* \(#,##0.000000\);_(* &quot;-&quot;??_);_(@_)"/>
    <numFmt numFmtId="182" formatCode="_(&quot;$&quot;* #,##0.000000_);_(&quot;$&quot;* \(#,##0.000000\);_(&quot;$&quot;* &quot;-&quot;_);_(@_)"/>
    <numFmt numFmtId="183" formatCode="_(&quot;$&quot;* #,##0.00000000000_);_(&quot;$&quot;* \(#,##0.00000000000\);_(&quot;$&quot;* &quot;-&quot;_);_(@_)"/>
    <numFmt numFmtId="184" formatCode="_(&quot;$&quot;* #,##0.00_);_(&quot;$&quot;* \(#,##0.00\);_(&quot;$&quot;* &quot;-&quot;??????_);_(@_)"/>
    <numFmt numFmtId="185" formatCode="0.00000%"/>
    <numFmt numFmtId="186" formatCode="_(&quot;$&quot;* #,##0.00000000_);_(&quot;$&quot;* \(#,##0.00000000\);_(&quot;$&quot;* &quot;-&quot;??????_);_(@_)"/>
    <numFmt numFmtId="187" formatCode="_(* #,##0.00000000_);_(* \(#,##0.00000000\);_(* &quot;-&quot;??_);_(@_)"/>
    <numFmt numFmtId="188" formatCode="_(&quot;$&quot;* #,##0.000_);_(&quot;$&quot;* \(#,##0.000\);_(&quot;$&quot;* &quot;-&quot;??????_);_(@_)"/>
    <numFmt numFmtId="189" formatCode="_(&quot;$&quot;* #,##0_);_(&quot;$&quot;* \(#,##0\);_(&quot;$&quot;* &quot;-&quot;??_);_(@_)"/>
  </numFmts>
  <fonts count="15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12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2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2"/>
      <color indexed="62"/>
      <name val="Arial"/>
      <family val="2"/>
    </font>
    <font>
      <sz val="10"/>
      <color indexed="8"/>
      <name val="Arial"/>
      <family val="2"/>
    </font>
    <font>
      <sz val="10"/>
      <name val="Calibri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0" fontId="12" fillId="0" borderId="0"/>
    <xf numFmtId="0" fontId="4" fillId="0" borderId="0"/>
    <xf numFmtId="43" fontId="11" fillId="0" borderId="0"/>
    <xf numFmtId="9" fontId="1" fillId="0" borderId="0" applyFont="0" applyFill="0" applyBorder="0" applyAlignment="0" applyProtection="0"/>
  </cellStyleXfs>
  <cellXfs count="212">
    <xf numFmtId="0" fontId="0" fillId="0" borderId="0" xfId="0"/>
    <xf numFmtId="0" fontId="2" fillId="0" borderId="0" xfId="0" applyFont="1" applyAlignment="1">
      <alignment horizontal="centerContinuous"/>
    </xf>
    <xf numFmtId="0" fontId="2" fillId="0" borderId="0" xfId="0" applyFont="1" applyAlignment="1" applyProtection="1">
      <alignment horizontal="centerContinuous"/>
      <protection locked="0"/>
    </xf>
    <xf numFmtId="0" fontId="3" fillId="0" borderId="0" xfId="0" applyFon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3" fillId="0" borderId="2" xfId="0" quotePrefix="1" applyFont="1" applyBorder="1" applyAlignment="1">
      <alignment horizontal="center" wrapText="1"/>
    </xf>
    <xf numFmtId="0" fontId="3" fillId="0" borderId="3" xfId="0" applyFont="1" applyBorder="1"/>
    <xf numFmtId="0" fontId="3" fillId="0" borderId="4" xfId="0" applyFont="1" applyBorder="1"/>
    <xf numFmtId="0" fontId="3" fillId="0" borderId="3" xfId="0" applyFont="1" applyBorder="1" applyProtection="1">
      <protection locked="0"/>
    </xf>
    <xf numFmtId="0" fontId="3" fillId="0" borderId="0" xfId="0" applyFont="1" applyBorder="1" applyProtection="1">
      <protection locked="0"/>
    </xf>
    <xf numFmtId="41" fontId="3" fillId="0" borderId="3" xfId="0" applyNumberFormat="1" applyFont="1" applyBorder="1" applyProtection="1">
      <protection locked="0"/>
    </xf>
    <xf numFmtId="41" fontId="3" fillId="0" borderId="0" xfId="0" applyNumberFormat="1" applyFont="1" applyBorder="1" applyProtection="1">
      <protection locked="0"/>
    </xf>
    <xf numFmtId="0" fontId="3" fillId="0" borderId="5" xfId="0" applyFont="1" applyBorder="1" applyAlignment="1">
      <alignment horizontal="center"/>
    </xf>
    <xf numFmtId="0" fontId="3" fillId="0" borderId="0" xfId="0" applyFont="1" applyBorder="1"/>
    <xf numFmtId="0" fontId="0" fillId="0" borderId="2" xfId="0" applyBorder="1"/>
    <xf numFmtId="0" fontId="3" fillId="0" borderId="6" xfId="0" applyFont="1" applyBorder="1"/>
    <xf numFmtId="0" fontId="3" fillId="0" borderId="7" xfId="0" applyFont="1" applyBorder="1"/>
    <xf numFmtId="0" fontId="3" fillId="0" borderId="0" xfId="0" applyFont="1" applyAlignment="1">
      <alignment horizontal="centerContinuous"/>
    </xf>
    <xf numFmtId="0" fontId="2" fillId="0" borderId="1" xfId="0" applyFont="1" applyBorder="1" applyAlignment="1">
      <alignment horizontal="center" wrapText="1"/>
    </xf>
    <xf numFmtId="0" fontId="3" fillId="0" borderId="2" xfId="0" applyFont="1" applyBorder="1"/>
    <xf numFmtId="0" fontId="2" fillId="0" borderId="2" xfId="0" quotePrefix="1" applyFont="1" applyBorder="1" applyAlignment="1">
      <alignment horizontal="center"/>
    </xf>
    <xf numFmtId="0" fontId="2" fillId="0" borderId="3" xfId="0" applyFont="1" applyBorder="1"/>
    <xf numFmtId="3" fontId="2" fillId="0" borderId="3" xfId="0" applyNumberFormat="1" applyFont="1" applyBorder="1"/>
    <xf numFmtId="3" fontId="3" fillId="0" borderId="3" xfId="0" applyNumberFormat="1" applyFont="1" applyBorder="1"/>
    <xf numFmtId="41" fontId="3" fillId="0" borderId="3" xfId="0" applyNumberFormat="1" applyFont="1" applyBorder="1"/>
    <xf numFmtId="3" fontId="3" fillId="0" borderId="3" xfId="0" applyNumberFormat="1" applyFont="1" applyBorder="1" applyProtection="1">
      <protection locked="0"/>
    </xf>
    <xf numFmtId="41" fontId="3" fillId="0" borderId="1" xfId="0" applyNumberFormat="1" applyFont="1" applyBorder="1" applyProtection="1">
      <protection locked="0"/>
    </xf>
    <xf numFmtId="41" fontId="3" fillId="0" borderId="1" xfId="0" applyNumberFormat="1" applyFont="1" applyBorder="1"/>
    <xf numFmtId="37" fontId="3" fillId="0" borderId="3" xfId="0" applyNumberFormat="1" applyFont="1" applyBorder="1" applyProtection="1">
      <protection locked="0"/>
    </xf>
    <xf numFmtId="3" fontId="3" fillId="0" borderId="4" xfId="0" applyNumberFormat="1" applyFont="1" applyBorder="1"/>
    <xf numFmtId="0" fontId="2" fillId="0" borderId="8" xfId="0" applyFont="1" applyBorder="1" applyAlignment="1">
      <alignment horizontal="center" wrapText="1"/>
    </xf>
    <xf numFmtId="0" fontId="2" fillId="0" borderId="6" xfId="0" applyFont="1" applyBorder="1"/>
    <xf numFmtId="0" fontId="3" fillId="0" borderId="2" xfId="0" applyFont="1" applyBorder="1" applyProtection="1">
      <protection locked="0"/>
    </xf>
    <xf numFmtId="3" fontId="2" fillId="0" borderId="2" xfId="0" quotePrefix="1" applyNumberFormat="1" applyFont="1" applyBorder="1" applyAlignment="1" applyProtection="1">
      <alignment horizontal="center"/>
      <protection locked="0"/>
    </xf>
    <xf numFmtId="0" fontId="2" fillId="0" borderId="4" xfId="0" applyFont="1" applyBorder="1"/>
    <xf numFmtId="0" fontId="2" fillId="0" borderId="0" xfId="0" applyFont="1" applyBorder="1"/>
    <xf numFmtId="3" fontId="3" fillId="0" borderId="2" xfId="0" applyNumberFormat="1" applyFont="1" applyBorder="1" applyProtection="1">
      <protection locked="0"/>
    </xf>
    <xf numFmtId="37" fontId="3" fillId="0" borderId="0" xfId="2" applyNumberFormat="1" applyFont="1"/>
    <xf numFmtId="3" fontId="3" fillId="0" borderId="0" xfId="0" applyNumberFormat="1" applyFont="1"/>
    <xf numFmtId="0" fontId="3" fillId="0" borderId="0" xfId="0" applyFont="1" applyAlignment="1"/>
    <xf numFmtId="0" fontId="2" fillId="0" borderId="1" xfId="0" applyFont="1" applyBorder="1" applyAlignment="1">
      <alignment wrapText="1"/>
    </xf>
    <xf numFmtId="0" fontId="2" fillId="0" borderId="8" xfId="0" applyFont="1" applyBorder="1" applyAlignment="1">
      <alignment horizontal="center"/>
    </xf>
    <xf numFmtId="3" fontId="2" fillId="0" borderId="3" xfId="0" quotePrefix="1" applyNumberFormat="1" applyFont="1" applyBorder="1" applyAlignment="1" applyProtection="1">
      <alignment horizontal="center"/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Protection="1">
      <protection locked="0"/>
    </xf>
    <xf numFmtId="3" fontId="2" fillId="0" borderId="0" xfId="0" quotePrefix="1" applyNumberFormat="1" applyFont="1" applyBorder="1" applyAlignment="1" applyProtection="1">
      <alignment horizontal="center"/>
      <protection locked="0"/>
    </xf>
    <xf numFmtId="3" fontId="3" fillId="0" borderId="0" xfId="0" applyNumberFormat="1" applyFont="1" applyBorder="1" applyProtection="1">
      <protection locked="0"/>
    </xf>
    <xf numFmtId="3" fontId="3" fillId="0" borderId="9" xfId="0" applyNumberFormat="1" applyFont="1" applyBorder="1" applyProtection="1">
      <protection locked="0"/>
    </xf>
    <xf numFmtId="10" fontId="3" fillId="0" borderId="3" xfId="0" applyNumberFormat="1" applyFont="1" applyBorder="1" applyProtection="1">
      <protection locked="0"/>
    </xf>
    <xf numFmtId="165" fontId="2" fillId="0" borderId="0" xfId="1" applyNumberFormat="1" applyFont="1" applyAlignment="1">
      <alignment horizontal="centerContinuous"/>
    </xf>
    <xf numFmtId="165" fontId="2" fillId="0" borderId="0" xfId="1" applyNumberFormat="1" applyFont="1" applyAlignment="1" applyProtection="1">
      <alignment horizontal="centerContinuous"/>
      <protection locked="0"/>
    </xf>
    <xf numFmtId="165" fontId="3" fillId="0" borderId="0" xfId="1" applyNumberFormat="1" applyFont="1" applyAlignment="1"/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49" fontId="3" fillId="0" borderId="3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165" fontId="3" fillId="0" borderId="0" xfId="1" applyNumberFormat="1" applyFont="1"/>
    <xf numFmtId="0" fontId="2" fillId="0" borderId="0" xfId="0" applyFont="1" applyAlignment="1"/>
    <xf numFmtId="0" fontId="2" fillId="0" borderId="0" xfId="0" applyFont="1" applyAlignment="1" applyProtection="1">
      <protection locked="0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Fill="1" applyBorder="1"/>
    <xf numFmtId="165" fontId="3" fillId="0" borderId="3" xfId="1" applyNumberFormat="1" applyFont="1" applyFill="1" applyBorder="1" applyProtection="1">
      <protection locked="0"/>
    </xf>
    <xf numFmtId="165" fontId="3" fillId="0" borderId="3" xfId="1" applyNumberFormat="1" applyFont="1" applyBorder="1" applyProtection="1">
      <protection locked="0"/>
    </xf>
    <xf numFmtId="0" fontId="3" fillId="0" borderId="10" xfId="5" applyFont="1" applyFill="1" applyBorder="1" applyProtection="1"/>
    <xf numFmtId="41" fontId="3" fillId="0" borderId="11" xfId="1" applyNumberFormat="1" applyFont="1" applyBorder="1" applyProtection="1">
      <protection locked="0"/>
    </xf>
    <xf numFmtId="167" fontId="3" fillId="0" borderId="9" xfId="7" applyNumberFormat="1" applyFont="1" applyBorder="1" applyProtection="1">
      <protection locked="0"/>
    </xf>
    <xf numFmtId="0" fontId="3" fillId="0" borderId="0" xfId="5" applyFont="1" applyFill="1" applyBorder="1" applyProtection="1"/>
    <xf numFmtId="165" fontId="3" fillId="0" borderId="2" xfId="1" applyNumberFormat="1" applyFont="1" applyBorder="1" applyProtection="1">
      <protection locked="0"/>
    </xf>
    <xf numFmtId="0" fontId="3" fillId="0" borderId="1" xfId="0" applyFont="1" applyBorder="1"/>
    <xf numFmtId="43" fontId="3" fillId="0" borderId="0" xfId="1" applyFont="1"/>
    <xf numFmtId="165" fontId="3" fillId="0" borderId="0" xfId="0" applyNumberFormat="1" applyFont="1"/>
    <xf numFmtId="43" fontId="0" fillId="0" borderId="0" xfId="0" applyNumberFormat="1"/>
    <xf numFmtId="0" fontId="7" fillId="0" borderId="0" xfId="0" applyFont="1"/>
    <xf numFmtId="42" fontId="3" fillId="0" borderId="3" xfId="0" applyNumberFormat="1" applyFont="1" applyBorder="1" applyProtection="1">
      <protection locked="0"/>
    </xf>
    <xf numFmtId="42" fontId="3" fillId="0" borderId="0" xfId="0" applyNumberFormat="1" applyFont="1" applyBorder="1" applyProtection="1">
      <protection locked="0"/>
    </xf>
    <xf numFmtId="42" fontId="3" fillId="0" borderId="5" xfId="0" applyNumberFormat="1" applyFont="1" applyBorder="1" applyProtection="1">
      <protection locked="0"/>
    </xf>
    <xf numFmtId="41" fontId="3" fillId="0" borderId="2" xfId="0" applyNumberFormat="1" applyFont="1" applyBorder="1" applyProtection="1">
      <protection locked="0"/>
    </xf>
    <xf numFmtId="42" fontId="3" fillId="0" borderId="3" xfId="0" applyNumberFormat="1" applyFont="1" applyBorder="1"/>
    <xf numFmtId="42" fontId="3" fillId="0" borderId="1" xfId="0" applyNumberFormat="1" applyFont="1" applyBorder="1"/>
    <xf numFmtId="42" fontId="3" fillId="0" borderId="1" xfId="0" applyNumberFormat="1" applyFont="1" applyBorder="1" applyProtection="1">
      <protection locked="0"/>
    </xf>
    <xf numFmtId="42" fontId="3" fillId="0" borderId="12" xfId="0" applyNumberFormat="1" applyFont="1" applyBorder="1" applyProtection="1">
      <protection locked="0"/>
    </xf>
    <xf numFmtId="41" fontId="3" fillId="0" borderId="9" xfId="1" applyNumberFormat="1" applyFont="1" applyBorder="1" applyProtection="1">
      <protection locked="0"/>
    </xf>
    <xf numFmtId="165" fontId="3" fillId="0" borderId="11" xfId="1" applyNumberFormat="1" applyFont="1" applyBorder="1" applyProtection="1">
      <protection locked="0"/>
    </xf>
    <xf numFmtId="166" fontId="3" fillId="0" borderId="3" xfId="0" applyNumberFormat="1" applyFont="1" applyBorder="1" applyProtection="1">
      <protection locked="0"/>
    </xf>
    <xf numFmtId="42" fontId="3" fillId="0" borderId="11" xfId="1" applyNumberFormat="1" applyFont="1" applyBorder="1" applyProtection="1">
      <protection locked="0"/>
    </xf>
    <xf numFmtId="42" fontId="3" fillId="0" borderId="13" xfId="1" applyNumberFormat="1" applyFont="1" applyBorder="1" applyProtection="1">
      <protection locked="0"/>
    </xf>
    <xf numFmtId="37" fontId="3" fillId="0" borderId="0" xfId="0" applyNumberFormat="1" applyFont="1"/>
    <xf numFmtId="41" fontId="3" fillId="0" borderId="5" xfId="0" applyNumberFormat="1" applyFont="1" applyBorder="1" applyProtection="1">
      <protection locked="0"/>
    </xf>
    <xf numFmtId="41" fontId="3" fillId="0" borderId="12" xfId="0" applyNumberFormat="1" applyFont="1" applyBorder="1" applyProtection="1">
      <protection locked="0"/>
    </xf>
    <xf numFmtId="37" fontId="3" fillId="0" borderId="0" xfId="0" applyNumberFormat="1" applyFont="1" applyBorder="1" applyProtection="1">
      <protection locked="0"/>
    </xf>
    <xf numFmtId="3" fontId="2" fillId="0" borderId="0" xfId="0" applyNumberFormat="1" applyFont="1" applyBorder="1" applyAlignment="1" applyProtection="1">
      <alignment horizontal="center"/>
      <protection locked="0"/>
    </xf>
    <xf numFmtId="10" fontId="3" fillId="0" borderId="0" xfId="0" applyNumberFormat="1" applyFont="1" applyBorder="1" applyProtection="1">
      <protection locked="0"/>
    </xf>
    <xf numFmtId="9" fontId="3" fillId="0" borderId="0" xfId="7" applyFont="1"/>
    <xf numFmtId="43" fontId="0" fillId="0" borderId="0" xfId="1" applyFont="1"/>
    <xf numFmtId="0" fontId="2" fillId="0" borderId="0" xfId="0" applyFont="1"/>
    <xf numFmtId="0" fontId="2" fillId="0" borderId="5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 wrapText="1"/>
    </xf>
    <xf numFmtId="43" fontId="3" fillId="0" borderId="0" xfId="0" applyNumberFormat="1" applyFont="1"/>
    <xf numFmtId="0" fontId="8" fillId="0" borderId="0" xfId="0" applyFont="1" applyAlignment="1">
      <alignment horizontal="center"/>
    </xf>
    <xf numFmtId="41" fontId="0" fillId="0" borderId="0" xfId="0" applyNumberFormat="1"/>
    <xf numFmtId="169" fontId="3" fillId="0" borderId="0" xfId="0" applyNumberFormat="1" applyFont="1"/>
    <xf numFmtId="42" fontId="3" fillId="0" borderId="0" xfId="0" applyNumberFormat="1" applyFont="1"/>
    <xf numFmtId="42" fontId="0" fillId="0" borderId="0" xfId="0" applyNumberFormat="1"/>
    <xf numFmtId="174" fontId="0" fillId="0" borderId="0" xfId="0" applyNumberFormat="1"/>
    <xf numFmtId="174" fontId="10" fillId="0" borderId="0" xfId="0" applyNumberFormat="1" applyFont="1"/>
    <xf numFmtId="170" fontId="3" fillId="0" borderId="0" xfId="0" applyNumberFormat="1" applyFont="1"/>
    <xf numFmtId="0" fontId="3" fillId="0" borderId="0" xfId="0" quotePrefix="1" applyFont="1"/>
    <xf numFmtId="175" fontId="3" fillId="0" borderId="0" xfId="0" applyNumberFormat="1" applyFont="1"/>
    <xf numFmtId="176" fontId="3" fillId="0" borderId="0" xfId="0" applyNumberFormat="1" applyFont="1"/>
    <xf numFmtId="170" fontId="5" fillId="0" borderId="0" xfId="0" applyNumberFormat="1" applyFont="1" applyBorder="1"/>
    <xf numFmtId="0" fontId="10" fillId="0" borderId="0" xfId="0" applyFont="1" applyAlignment="1">
      <alignment horizontal="right"/>
    </xf>
    <xf numFmtId="164" fontId="0" fillId="0" borderId="0" xfId="0" applyNumberFormat="1"/>
    <xf numFmtId="174" fontId="7" fillId="0" borderId="0" xfId="0" applyNumberFormat="1" applyFont="1"/>
    <xf numFmtId="39" fontId="3" fillId="0" borderId="0" xfId="0" applyNumberFormat="1" applyFont="1"/>
    <xf numFmtId="171" fontId="3" fillId="0" borderId="0" xfId="0" applyNumberFormat="1" applyFont="1"/>
    <xf numFmtId="174" fontId="3" fillId="0" borderId="0" xfId="0" applyNumberFormat="1" applyFont="1"/>
    <xf numFmtId="41" fontId="3" fillId="0" borderId="0" xfId="0" applyNumberFormat="1" applyFont="1"/>
    <xf numFmtId="173" fontId="3" fillId="0" borderId="0" xfId="0" applyNumberFormat="1" applyFont="1"/>
    <xf numFmtId="178" fontId="3" fillId="0" borderId="0" xfId="0" applyNumberFormat="1" applyFont="1"/>
    <xf numFmtId="44" fontId="3" fillId="0" borderId="0" xfId="0" applyNumberFormat="1" applyFont="1"/>
    <xf numFmtId="170" fontId="0" fillId="0" borderId="0" xfId="0" applyNumberFormat="1"/>
    <xf numFmtId="168" fontId="0" fillId="0" borderId="0" xfId="0" applyNumberFormat="1"/>
    <xf numFmtId="169" fontId="0" fillId="0" borderId="0" xfId="0" applyNumberFormat="1"/>
    <xf numFmtId="41" fontId="3" fillId="0" borderId="17" xfId="0" applyNumberFormat="1" applyFont="1" applyBorder="1"/>
    <xf numFmtId="37" fontId="3" fillId="0" borderId="9" xfId="0" applyNumberFormat="1" applyFont="1" applyBorder="1"/>
    <xf numFmtId="0" fontId="3" fillId="0" borderId="11" xfId="0" applyFont="1" applyBorder="1"/>
    <xf numFmtId="37" fontId="3" fillId="0" borderId="2" xfId="0" applyNumberFormat="1" applyFont="1" applyBorder="1" applyProtection="1">
      <protection locked="0"/>
    </xf>
    <xf numFmtId="2" fontId="0" fillId="0" borderId="0" xfId="0" applyNumberFormat="1"/>
    <xf numFmtId="179" fontId="3" fillId="0" borderId="0" xfId="0" applyNumberFormat="1" applyFont="1"/>
    <xf numFmtId="180" fontId="3" fillId="0" borderId="0" xfId="1" applyNumberFormat="1" applyFont="1"/>
    <xf numFmtId="175" fontId="3" fillId="0" borderId="0" xfId="0" quotePrefix="1" applyNumberFormat="1" applyFont="1" applyAlignment="1">
      <alignment horizontal="center"/>
    </xf>
    <xf numFmtId="165" fontId="0" fillId="0" borderId="0" xfId="1" applyNumberFormat="1" applyFont="1"/>
    <xf numFmtId="165" fontId="0" fillId="0" borderId="0" xfId="0" applyNumberFormat="1"/>
    <xf numFmtId="165" fontId="7" fillId="0" borderId="0" xfId="1" applyNumberFormat="1" applyFont="1"/>
    <xf numFmtId="166" fontId="7" fillId="0" borderId="0" xfId="7" applyNumberFormat="1" applyFont="1"/>
    <xf numFmtId="3" fontId="0" fillId="0" borderId="0" xfId="0" applyNumberFormat="1"/>
    <xf numFmtId="167" fontId="7" fillId="0" borderId="0" xfId="7" applyNumberFormat="1" applyFont="1" applyBorder="1" applyProtection="1">
      <protection locked="0"/>
    </xf>
    <xf numFmtId="42" fontId="7" fillId="0" borderId="0" xfId="1" applyNumberFormat="1" applyFont="1" applyBorder="1" applyProtection="1">
      <protection locked="0"/>
    </xf>
    <xf numFmtId="0" fontId="13" fillId="0" borderId="0" xfId="0" applyFont="1"/>
    <xf numFmtId="181" fontId="3" fillId="0" borderId="0" xfId="1" applyNumberFormat="1" applyFont="1"/>
    <xf numFmtId="44" fontId="7" fillId="0" borderId="0" xfId="0" applyNumberFormat="1" applyFont="1"/>
    <xf numFmtId="42" fontId="7" fillId="0" borderId="0" xfId="0" applyNumberFormat="1" applyFont="1"/>
    <xf numFmtId="165" fontId="3" fillId="0" borderId="7" xfId="1" applyNumberFormat="1" applyFont="1" applyBorder="1"/>
    <xf numFmtId="183" fontId="3" fillId="0" borderId="0" xfId="0" applyNumberFormat="1" applyFont="1"/>
    <xf numFmtId="184" fontId="3" fillId="0" borderId="0" xfId="0" applyNumberFormat="1" applyFont="1"/>
    <xf numFmtId="182" fontId="3" fillId="0" borderId="0" xfId="0" applyNumberFormat="1" applyFont="1"/>
    <xf numFmtId="10" fontId="0" fillId="0" borderId="0" xfId="7" applyNumberFormat="1" applyFont="1"/>
    <xf numFmtId="177" fontId="6" fillId="0" borderId="0" xfId="0" applyNumberFormat="1" applyFont="1"/>
    <xf numFmtId="165" fontId="10" fillId="0" borderId="0" xfId="1" applyNumberFormat="1" applyFont="1"/>
    <xf numFmtId="186" fontId="3" fillId="0" borderId="0" xfId="0" applyNumberFormat="1" applyFont="1"/>
    <xf numFmtId="43" fontId="0" fillId="0" borderId="0" xfId="1" applyNumberFormat="1" applyFont="1"/>
    <xf numFmtId="179" fontId="3" fillId="0" borderId="0" xfId="0" quotePrefix="1" applyNumberFormat="1" applyFont="1" applyAlignment="1"/>
    <xf numFmtId="185" fontId="0" fillId="0" borderId="0" xfId="7" applyNumberFormat="1" applyFont="1"/>
    <xf numFmtId="172" fontId="3" fillId="0" borderId="9" xfId="0" applyNumberFormat="1" applyFont="1" applyBorder="1"/>
    <xf numFmtId="39" fontId="0" fillId="0" borderId="0" xfId="0" applyNumberFormat="1"/>
    <xf numFmtId="44" fontId="0" fillId="0" borderId="0" xfId="0" applyNumberFormat="1"/>
    <xf numFmtId="165" fontId="0" fillId="0" borderId="0" xfId="1" applyNumberFormat="1" applyFont="1" applyAlignment="1">
      <alignment wrapText="1"/>
    </xf>
    <xf numFmtId="172" fontId="0" fillId="0" borderId="0" xfId="0" applyNumberFormat="1"/>
    <xf numFmtId="0" fontId="3" fillId="0" borderId="4" xfId="0" applyFont="1" applyFill="1" applyBorder="1" applyAlignment="1">
      <alignment horizontal="left"/>
    </xf>
    <xf numFmtId="43" fontId="3" fillId="0" borderId="0" xfId="1" quotePrefix="1" applyFont="1" applyAlignment="1">
      <alignment horizontal="center"/>
    </xf>
    <xf numFmtId="187" fontId="10" fillId="0" borderId="0" xfId="1" applyNumberFormat="1" applyFont="1"/>
    <xf numFmtId="0" fontId="3" fillId="0" borderId="0" xfId="0" applyFont="1" applyAlignment="1">
      <alignment horizontal="right"/>
    </xf>
    <xf numFmtId="0" fontId="3" fillId="0" borderId="4" xfId="0" applyFont="1" applyBorder="1" applyAlignment="1">
      <alignment horizontal="right"/>
    </xf>
    <xf numFmtId="165" fontId="2" fillId="0" borderId="0" xfId="1" applyNumberFormat="1" applyFont="1" applyAlignment="1"/>
    <xf numFmtId="165" fontId="2" fillId="0" borderId="0" xfId="1" applyNumberFormat="1" applyFont="1" applyAlignment="1" applyProtection="1">
      <protection locked="0"/>
    </xf>
    <xf numFmtId="175" fontId="8" fillId="0" borderId="0" xfId="0" applyNumberFormat="1" applyFont="1" applyAlignment="1">
      <alignment horizontal="center"/>
    </xf>
    <xf numFmtId="39" fontId="8" fillId="0" borderId="0" xfId="0" quotePrefix="1" applyNumberFormat="1" applyFont="1" applyAlignment="1">
      <alignment horizontal="center"/>
    </xf>
    <xf numFmtId="181" fontId="3" fillId="0" borderId="0" xfId="0" applyNumberFormat="1" applyFont="1"/>
    <xf numFmtId="165" fontId="3" fillId="0" borderId="15" xfId="1" applyNumberFormat="1" applyFont="1" applyBorder="1"/>
    <xf numFmtId="0" fontId="3" fillId="0" borderId="3" xfId="0" applyFont="1" applyBorder="1" applyAlignment="1">
      <alignment horizontal="right"/>
    </xf>
    <xf numFmtId="41" fontId="3" fillId="0" borderId="3" xfId="0" applyNumberFormat="1" applyFont="1" applyFill="1" applyBorder="1"/>
    <xf numFmtId="188" fontId="3" fillId="0" borderId="9" xfId="0" applyNumberFormat="1" applyFont="1" applyBorder="1"/>
    <xf numFmtId="0" fontId="3" fillId="0" borderId="4" xfId="0" applyFont="1" applyFill="1" applyBorder="1"/>
    <xf numFmtId="0" fontId="3" fillId="0" borderId="3" xfId="0" applyFont="1" applyFill="1" applyBorder="1" applyProtection="1">
      <protection locked="0"/>
    </xf>
    <xf numFmtId="43" fontId="0" fillId="0" borderId="0" xfId="1" applyFont="1" applyFill="1"/>
    <xf numFmtId="0" fontId="2" fillId="0" borderId="0" xfId="0" applyFont="1" applyFill="1" applyBorder="1"/>
    <xf numFmtId="0" fontId="2" fillId="0" borderId="4" xfId="0" applyFont="1" applyFill="1" applyBorder="1"/>
    <xf numFmtId="0" fontId="3" fillId="0" borderId="6" xfId="0" applyFont="1" applyFill="1" applyBorder="1"/>
    <xf numFmtId="0" fontId="3" fillId="0" borderId="7" xfId="0" applyFont="1" applyFill="1" applyBorder="1"/>
    <xf numFmtId="0" fontId="3" fillId="0" borderId="2" xfId="0" applyFont="1" applyFill="1" applyBorder="1" applyProtection="1">
      <protection locked="0"/>
    </xf>
    <xf numFmtId="0" fontId="0" fillId="0" borderId="0" xfId="0" applyFill="1"/>
    <xf numFmtId="0" fontId="3" fillId="0" borderId="0" xfId="0" applyFont="1" applyFill="1"/>
    <xf numFmtId="37" fontId="3" fillId="0" borderId="0" xfId="2" applyNumberFormat="1" applyFont="1" applyFill="1"/>
    <xf numFmtId="10" fontId="3" fillId="0" borderId="3" xfId="0" applyNumberFormat="1" applyFont="1" applyFill="1" applyBorder="1" applyProtection="1">
      <protection locked="0"/>
    </xf>
    <xf numFmtId="10" fontId="14" fillId="0" borderId="0" xfId="0" applyNumberFormat="1" applyFont="1"/>
    <xf numFmtId="0" fontId="14" fillId="0" borderId="0" xfId="0" applyFont="1" applyAlignment="1">
      <alignment horizontal="center"/>
    </xf>
    <xf numFmtId="0" fontId="3" fillId="0" borderId="0" xfId="0" applyFont="1" applyBorder="1" applyAlignment="1">
      <alignment horizontal="right"/>
    </xf>
    <xf numFmtId="189" fontId="3" fillId="0" borderId="0" xfId="2" applyNumberFormat="1" applyFont="1"/>
    <xf numFmtId="189" fontId="3" fillId="0" borderId="0" xfId="1" applyNumberFormat="1" applyFont="1"/>
    <xf numFmtId="189" fontId="3" fillId="0" borderId="7" xfId="1" applyNumberFormat="1" applyFont="1" applyBorder="1"/>
    <xf numFmtId="10" fontId="3" fillId="0" borderId="3" xfId="7" applyNumberFormat="1" applyFont="1" applyBorder="1" applyProtection="1">
      <protection locked="0"/>
    </xf>
    <xf numFmtId="0" fontId="3" fillId="0" borderId="4" xfId="0" applyFont="1" applyFill="1" applyBorder="1" applyProtection="1">
      <protection locked="0"/>
    </xf>
    <xf numFmtId="3" fontId="3" fillId="0" borderId="3" xfId="0" applyNumberFormat="1" applyFont="1" applyFill="1" applyBorder="1" applyProtection="1">
      <protection locked="0"/>
    </xf>
    <xf numFmtId="42" fontId="3" fillId="0" borderId="3" xfId="0" applyNumberFormat="1" applyFont="1" applyFill="1" applyBorder="1" applyProtection="1">
      <protection locked="0"/>
    </xf>
    <xf numFmtId="41" fontId="3" fillId="0" borderId="3" xfId="0" applyNumberFormat="1" applyFont="1" applyFill="1" applyBorder="1" applyProtection="1">
      <protection locked="0"/>
    </xf>
    <xf numFmtId="41" fontId="3" fillId="0" borderId="5" xfId="0" applyNumberFormat="1" applyFont="1" applyFill="1" applyBorder="1" applyProtection="1">
      <protection locked="0"/>
    </xf>
    <xf numFmtId="42" fontId="3" fillId="0" borderId="12" xfId="0" applyNumberFormat="1" applyFont="1" applyFill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protection locked="0"/>
    </xf>
    <xf numFmtId="0" fontId="2" fillId="0" borderId="2" xfId="0" quotePrefix="1" applyFont="1" applyBorder="1" applyAlignment="1">
      <alignment horizontal="center" wrapText="1"/>
    </xf>
    <xf numFmtId="3" fontId="3" fillId="0" borderId="18" xfId="0" applyNumberFormat="1" applyFont="1" applyBorder="1" applyProtection="1">
      <protection locked="0"/>
    </xf>
    <xf numFmtId="0" fontId="3" fillId="0" borderId="6" xfId="0" applyFont="1" applyFill="1" applyBorder="1" applyProtection="1">
      <protection locked="0"/>
    </xf>
    <xf numFmtId="37" fontId="3" fillId="0" borderId="3" xfId="0" applyNumberFormat="1" applyFont="1" applyFill="1" applyBorder="1" applyProtection="1">
      <protection locked="0"/>
    </xf>
    <xf numFmtId="0" fontId="2" fillId="0" borderId="5" xfId="0" applyFont="1" applyBorder="1" applyAlignment="1">
      <alignment wrapText="1"/>
    </xf>
    <xf numFmtId="0" fontId="2" fillId="0" borderId="14" xfId="0" applyFont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 3" xfId="3" xr:uid="{00000000-0005-0000-0000-000003000000}"/>
    <cellStyle name="Normal 5" xfId="4" xr:uid="{00000000-0005-0000-0000-000004000000}"/>
    <cellStyle name="Normal_TUE Sched II E-3" xfId="5" xr:uid="{00000000-0005-0000-0000-000005000000}"/>
    <cellStyle name="nPlosion" xfId="6" xr:uid="{00000000-0005-0000-0000-000006000000}"/>
    <cellStyle name="Percent" xfId="7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jx08\RCE%202025%20Case\WP%20E2%20_1_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%20Rate%20Case/Section%20III%20(TCOS)/Section%20III%20Transmission%20Cost%20of%20Service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%20Rate%20Case/Section%20II%20(Test%20Year%20Data)/Schedule%20B%20(Rate%20Base)/Schedule%20II-B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%20Rate%20Case/Section%20II%20(Test%20Year%20Data)/Schedule%20E%20(Other%20Items)/Schedule%20II-E%20Workpapers/WP%20II-E-1_02%20Proposed%20Expense%20by%20Acct%20v3%20FL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%20Rate%20Case/Section%20II%20(Test%20Year%20Data)/Schedule%20E%20(Other%20Items)/Schedule%20II-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II-A"/>
      <sheetName val="III-A-1"/>
      <sheetName val="III-B"/>
      <sheetName val="III-B-1"/>
      <sheetName val="III-B-2"/>
      <sheetName val="III-B-3"/>
      <sheetName val="III-B-4"/>
      <sheetName val="III-B-5"/>
      <sheetName val="III-B-6"/>
      <sheetName val="III-B-7"/>
      <sheetName val="III-B-8"/>
      <sheetName val="III-B-9"/>
      <sheetName val="III-B-10"/>
      <sheetName val="III-B-11"/>
      <sheetName val="III-B-12"/>
      <sheetName val="III-C"/>
      <sheetName val="III-D-1"/>
      <sheetName val="III-D-2"/>
      <sheetName val="III-D-3"/>
      <sheetName val="III-D-4"/>
      <sheetName val="III-E-1"/>
      <sheetName val="III-E-2"/>
      <sheetName val="III-E-3"/>
      <sheetName val="III-E-4"/>
      <sheetName val="III-E-5"/>
    </sheetNames>
    <sheetDataSet>
      <sheetData sheetId="0">
        <row r="16">
          <cell r="G16">
            <v>290600629.24000001</v>
          </cell>
        </row>
        <row r="29">
          <cell r="G29">
            <v>46131716.730000004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 Sheet"/>
      <sheetName val="II-B"/>
      <sheetName val="II-B-1"/>
      <sheetName val="II-B-1a"/>
      <sheetName val="II-B-2"/>
      <sheetName val="II-B-3"/>
      <sheetName val="II-B-4"/>
      <sheetName val="II-B-5"/>
      <sheetName val="II-B-6"/>
      <sheetName val="II-B-7"/>
      <sheetName val="II-B-8"/>
      <sheetName val="II-B-9"/>
      <sheetName val="II-B-10"/>
      <sheetName val="II-B-11"/>
      <sheetName val="II-B-12"/>
      <sheetName val="II-B-13"/>
      <sheetName val="II-B-14"/>
      <sheetName val="II-B-14 Attachment 1"/>
      <sheetName val="II-B-15A"/>
      <sheetName val="II-B-15B"/>
    </sheetNames>
    <sheetDataSet>
      <sheetData sheetId="0"/>
      <sheetData sheetId="1"/>
      <sheetData sheetId="2">
        <row r="23">
          <cell r="Q23">
            <v>159848557.65000001</v>
          </cell>
        </row>
        <row r="24">
          <cell r="Q24">
            <v>675723772.93000007</v>
          </cell>
        </row>
        <row r="56">
          <cell r="Q56">
            <v>35890398.07</v>
          </cell>
        </row>
      </sheetData>
      <sheetData sheetId="3"/>
      <sheetData sheetId="4"/>
      <sheetData sheetId="5"/>
      <sheetData sheetId="6"/>
      <sheetData sheetId="7">
        <row r="26">
          <cell r="Q26">
            <v>140778734.75999999</v>
          </cell>
        </row>
        <row r="32">
          <cell r="Q32">
            <v>648032224.47000003</v>
          </cell>
        </row>
        <row r="33">
          <cell r="Q33">
            <v>1024421623.0999999</v>
          </cell>
        </row>
        <row r="34">
          <cell r="Q34">
            <v>869670013.72000003</v>
          </cell>
        </row>
        <row r="35">
          <cell r="Q35">
            <v>24828550.920000002</v>
          </cell>
        </row>
        <row r="36">
          <cell r="Q36">
            <v>35777645.020000003</v>
          </cell>
        </row>
        <row r="43">
          <cell r="Q43">
            <v>339719.3</v>
          </cell>
        </row>
        <row r="44">
          <cell r="Q44">
            <v>22759234.809999999</v>
          </cell>
        </row>
        <row r="45">
          <cell r="Q45">
            <v>141628851.40000001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6">
          <cell r="M26">
            <v>9.5324396490293652E-3</v>
          </cell>
          <cell r="Z26">
            <v>6441296.0847743228</v>
          </cell>
        </row>
        <row r="27">
          <cell r="C27">
            <v>547003848.83000016</v>
          </cell>
          <cell r="D27">
            <v>85663166.569999963</v>
          </cell>
          <cell r="M27">
            <v>2.2840949332387398E-2</v>
          </cell>
          <cell r="Z27">
            <v>14450715.243024159</v>
          </cell>
        </row>
        <row r="28">
          <cell r="C28">
            <v>3956106535.8500128</v>
          </cell>
          <cell r="D28">
            <v>232188792.70999998</v>
          </cell>
          <cell r="M28">
            <v>2.2209554224745642E-2</v>
          </cell>
          <cell r="S28">
            <v>87863362.626831502</v>
          </cell>
          <cell r="T28">
            <v>5156809.58207097</v>
          </cell>
          <cell r="U28">
            <v>0</v>
          </cell>
        </row>
        <row r="29">
          <cell r="C29">
            <v>1658634363.7799988</v>
          </cell>
          <cell r="D29">
            <v>494788932.56999993</v>
          </cell>
          <cell r="M29">
            <v>1.919578813089327E-2</v>
          </cell>
          <cell r="Z29">
            <v>41336657.352864355</v>
          </cell>
        </row>
        <row r="30">
          <cell r="C30">
            <v>3848480092.3999958</v>
          </cell>
          <cell r="D30">
            <v>225093485.89000005</v>
          </cell>
          <cell r="M30">
            <v>3.0847559234549415E-2</v>
          </cell>
          <cell r="Z30">
            <v>125659802.25259607</v>
          </cell>
        </row>
        <row r="31">
          <cell r="C31">
            <v>3294965407.6899943</v>
          </cell>
          <cell r="D31">
            <v>439827963.11999989</v>
          </cell>
          <cell r="M31">
            <v>2.3329767071399967E-2</v>
          </cell>
          <cell r="Z31">
            <v>87131859.400805891</v>
          </cell>
        </row>
        <row r="32">
          <cell r="C32">
            <v>61796401.399999961</v>
          </cell>
          <cell r="M32">
            <v>1.654769250895952E-2</v>
          </cell>
          <cell r="Z32">
            <v>1022587.848527435</v>
          </cell>
        </row>
        <row r="33">
          <cell r="C33">
            <v>96633109.49000001</v>
          </cell>
          <cell r="M33">
            <v>1.8455583964650954E-2</v>
          </cell>
          <cell r="Z33">
            <v>1783420.4659580041</v>
          </cell>
        </row>
        <row r="34">
          <cell r="E34">
            <v>1693652.7500000002</v>
          </cell>
          <cell r="M34">
            <v>2.1988453575813652E-2</v>
          </cell>
          <cell r="Z34">
            <v>37240.804866924133</v>
          </cell>
        </row>
        <row r="35">
          <cell r="E35">
            <v>19314256.829999998</v>
          </cell>
          <cell r="M35">
            <v>3.5575087988690114E-2</v>
          </cell>
          <cell r="U35">
            <v>687106.38616340898</v>
          </cell>
        </row>
        <row r="36">
          <cell r="C36">
            <v>12728829.080000002</v>
          </cell>
          <cell r="D36">
            <v>7695877.1999999993</v>
          </cell>
          <cell r="M36">
            <v>5.3826537301673555E-2</v>
          </cell>
          <cell r="Z36">
            <v>1099391.2144561461</v>
          </cell>
        </row>
        <row r="37">
          <cell r="C37">
            <v>226587993.92000002</v>
          </cell>
          <cell r="D37">
            <v>65577498.18</v>
          </cell>
          <cell r="M37">
            <v>3.8147441016643913E-2</v>
          </cell>
          <cell r="S37">
            <v>8643752.1331428699</v>
          </cell>
          <cell r="T37">
            <v>2501613.7438406236</v>
          </cell>
        </row>
        <row r="52">
          <cell r="C52">
            <v>2551204.6974469074</v>
          </cell>
          <cell r="S52">
            <v>36178.582011571147</v>
          </cell>
        </row>
        <row r="54">
          <cell r="C54">
            <v>119137928.72739999</v>
          </cell>
          <cell r="D54">
            <v>15955721.348645926</v>
          </cell>
        </row>
        <row r="55">
          <cell r="C55">
            <v>871254835.31362319</v>
          </cell>
          <cell r="D55">
            <v>38370489.127761871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 Sheet"/>
      <sheetName val="II-E-1"/>
      <sheetName val="II-E-2"/>
      <sheetName val="II-E-2.1"/>
      <sheetName val="II-E-3 Attachment"/>
      <sheetName val="II-E-3"/>
      <sheetName val="II-E-3.1"/>
      <sheetName val="II-E-3.2a"/>
      <sheetName val="II-E-3.2b"/>
      <sheetName val="II-E-3.3"/>
      <sheetName val="II-E-3.4"/>
      <sheetName val="II-E-3.5"/>
      <sheetName val="II-E-3.5a"/>
      <sheetName val="II-E-3.6"/>
      <sheetName val="II-E-3.7"/>
      <sheetName val="II-E-3.8"/>
      <sheetName val="II-E-3.9"/>
      <sheetName val="II-E-3.10"/>
      <sheetName val="II-E-3.11"/>
      <sheetName val="II-E-3.12"/>
      <sheetName val="II-E-3.13"/>
      <sheetName val="II-E-3.14"/>
      <sheetName val="II-E-3.15"/>
      <sheetName val="II-E-3.16"/>
      <sheetName val="II-E-3.17"/>
      <sheetName val="II-E-3.18"/>
      <sheetName val="II-E-3.19"/>
      <sheetName val="II-E-3.20"/>
      <sheetName val="II-E-3.21"/>
      <sheetName val="II-E-3.22"/>
      <sheetName val="II-E-3.23"/>
      <sheetName val="II-E-3.24"/>
      <sheetName val="II-E-4"/>
      <sheetName val="II-E-4.1"/>
      <sheetName val="II-E-4.1.1"/>
      <sheetName val="II-E-4.2"/>
      <sheetName val="II-E-4.3"/>
      <sheetName val="II-E-4.4"/>
      <sheetName val="II-E-4.5"/>
      <sheetName val="II-E-4.6"/>
      <sheetName val="II-E-5"/>
    </sheetNames>
    <sheetDataSet>
      <sheetData sheetId="0"/>
      <sheetData sheetId="1">
        <row r="20">
          <cell r="Q20">
            <v>486900.61</v>
          </cell>
        </row>
        <row r="43">
          <cell r="Q43">
            <v>2888075.9</v>
          </cell>
        </row>
        <row r="44">
          <cell r="Q44">
            <v>21322027.099999998</v>
          </cell>
        </row>
        <row r="78">
          <cell r="Q78">
            <v>48697755.020000003</v>
          </cell>
        </row>
        <row r="82">
          <cell r="N82">
            <v>9888367</v>
          </cell>
        </row>
        <row r="83">
          <cell r="N83">
            <v>425064.95999999996</v>
          </cell>
        </row>
      </sheetData>
      <sheetData sheetId="2">
        <row r="22">
          <cell r="Q22">
            <v>4772872.63</v>
          </cell>
        </row>
        <row r="27">
          <cell r="Q27">
            <v>135647129.13</v>
          </cell>
        </row>
        <row r="30">
          <cell r="Q30">
            <v>6660528.0499999998</v>
          </cell>
        </row>
        <row r="32">
          <cell r="Q32">
            <v>1336.4899999999998</v>
          </cell>
        </row>
      </sheetData>
      <sheetData sheetId="3"/>
      <sheetData sheetId="4"/>
      <sheetData sheetId="5">
        <row r="20">
          <cell r="Q20">
            <v>331673806.08999997</v>
          </cell>
        </row>
        <row r="21">
          <cell r="Q21">
            <v>485229.49</v>
          </cell>
        </row>
        <row r="22">
          <cell r="Q22">
            <v>8793525.3100000005</v>
          </cell>
        </row>
        <row r="23">
          <cell r="Q23">
            <v>11501583.959999999</v>
          </cell>
        </row>
        <row r="24">
          <cell r="Q24">
            <v>-782812.41000000027</v>
          </cell>
        </row>
        <row r="25">
          <cell r="Q25">
            <v>36110.080000000002</v>
          </cell>
        </row>
        <row r="30">
          <cell r="Q30">
            <v>402497.99</v>
          </cell>
        </row>
        <row r="31">
          <cell r="Q31">
            <v>969088.11</v>
          </cell>
        </row>
        <row r="33">
          <cell r="Q33">
            <v>342827.24</v>
          </cell>
        </row>
        <row r="34">
          <cell r="Q34">
            <v>-2968971.78</v>
          </cell>
        </row>
        <row r="44">
          <cell r="Q44">
            <v>485229.49</v>
          </cell>
        </row>
        <row r="45">
          <cell r="Q45">
            <v>8793525.3100000005</v>
          </cell>
        </row>
        <row r="46">
          <cell r="Q46">
            <v>11501583.959999999</v>
          </cell>
        </row>
        <row r="47">
          <cell r="Q47">
            <v>-782812.41000000027</v>
          </cell>
        </row>
        <row r="48">
          <cell r="Q48">
            <v>36110.080000000002</v>
          </cell>
        </row>
        <row r="51">
          <cell r="Q51">
            <v>402497.99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L64"/>
  <x:sheetViews>
    <x:sheetView tabSelected="1" zoomScale="75" workbookViewId="0"/>
  </x:sheetViews>
  <x:sheetFormatPr defaultRowHeight="15" x14ac:dyDescent="0.2"/>
  <x:cols>
    <x:col min="1" max="1" width="7" customWidth="1"/>
    <x:col min="2" max="2" width="36" style="3" customWidth="1"/>
    <x:col min="3" max="3" width="22.7109375" style="3" customWidth="1"/>
    <x:col min="4" max="4" width="23" style="3" customWidth="1"/>
    <x:col min="5" max="5" width="23.140625" style="3" customWidth="1"/>
    <x:col min="6" max="6" width="18.85546875" customWidth="1"/>
    <x:col min="8" max="8" width="18.7109375" customWidth="1"/>
    <x:col min="9" max="9" width="5" customWidth="1"/>
    <x:col min="10" max="10" width="18.28515625" customWidth="1"/>
    <x:col min="11" max="11" width="15" customWidth="1"/>
  </x:cols>
  <x:sheetData>
    <x:row r="1" spans="1:10" ht="15.75" x14ac:dyDescent="0.25">
      <x:c r="A1" s="1" t="s">
        <x:v>83</x:v>
      </x:c>
      <x:c r="B1" s="1"/>
      <x:c r="C1" s="1"/>
      <x:c r="D1" s="60"/>
      <x:c r="E1" s="60"/>
      <x:c r="F1" s="60"/>
    </x:row>
    <x:row r="2" spans="1:10" ht="15.75" x14ac:dyDescent="0.25">
      <x:c r="A2" s="1" t="s">
        <x:v>98</x:v>
      </x:c>
      <x:c r="B2" s="1"/>
      <x:c r="C2" s="1"/>
      <x:c r="D2" s="60"/>
      <x:c r="E2" s="60"/>
      <x:c r="F2" s="60"/>
    </x:row>
    <x:row r="3" spans="1:10" ht="15.75" x14ac:dyDescent="0.25">
      <x:c r="A3" s="1" t="s">
        <x:v>119</x:v>
      </x:c>
      <x:c r="B3" s="1"/>
      <x:c r="C3" s="1"/>
      <x:c r="D3" s="60"/>
      <x:c r="E3" s="60"/>
      <x:c r="F3" s="60"/>
    </x:row>
    <x:row r="4" spans="1:10" ht="15.75" x14ac:dyDescent="0.25">
      <x:c r="A4" s="2" t="s">
        <x:v>106</x:v>
      </x:c>
      <x:c r="B4" s="1"/>
      <x:c r="C4" s="2"/>
      <x:c r="D4" s="61"/>
      <x:c r="E4" s="61"/>
      <x:c r="F4" s="60"/>
    </x:row>
    <x:row r="5" spans="1:10" ht="15.75" x14ac:dyDescent="0.25">
      <x:c r="A5" s="19"/>
      <x:c r="B5" s="1"/>
      <x:c r="C5" s="19"/>
      <x:c r="F5" s="3"/>
    </x:row>
    <x:row r="6" spans="1:10" ht="31.5" x14ac:dyDescent="0.25">
      <x:c r="A6" s="4" t="s">
        <x:v>85</x:v>
      </x:c>
      <x:c r="B6" s="32" t="s">
        <x:v>86</x:v>
      </x:c>
      <x:c r="C6" s="20" t="s">
        <x:v>128</x:v>
      </x:c>
      <x:c r="D6"/>
      <x:c r="E6"/>
    </x:row>
    <x:row r="7" spans="1:10" x14ac:dyDescent="0.2">
      <x:c r="A7" s="5"/>
      <x:c r="B7" s="6"/>
      <x:c r="C7" s="7"/>
      <x:c r="D7" s="165"/>
      <x:c r="E7"/>
    </x:row>
    <x:row r="8" spans="1:10" x14ac:dyDescent="0.2">
      <x:c r="A8" s="8"/>
      <x:c r="B8" s="9"/>
      <x:c r="C8" s="10"/>
      <x:c r="D8" s="163"/>
      <x:c r="E8"/>
    </x:row>
    <x:row r="9" spans="1:10" x14ac:dyDescent="0.2">
      <x:c r="A9" s="8">
        <x:v>1</x:v>
      </x:c>
      <x:c r="B9" s="9" t="s">
        <x:v>87</x:v>
      </x:c>
      <x:c r="C9" s="78">
        <x:f>'[2]III-A'!$G$16</x:f>
        <x:v>290600629.24000001</x:v>
      </x:c>
      <x:c r="D9" s="138"/>
      <x:c r="E9" s="145"/>
      <x:c r="F9" s="109"/>
      <x:c r="I9" s="145"/>
      <x:c r="J9" s="109"/>
    </x:row>
    <x:row r="10" spans="1:10" x14ac:dyDescent="0.2">
      <x:c r="A10" s="8">
        <x:v>2</x:v>
      </x:c>
      <x:c r="B10" s="9" t="s">
        <x:v>88</x:v>
      </x:c>
      <x:c r="C10" s="12">
        <x:f>'Schedule E-1'!E39</x:f>
        <x:v>480344726.8619343</x:v>
      </x:c>
      <x:c r="D10" s="153"/>
      <x:c r="E10" s="145"/>
      <x:c r="F10" s="109"/>
      <x:c r="I10" s="145"/>
      <x:c r="J10" s="109"/>
    </x:row>
    <x:row r="11" spans="1:10" x14ac:dyDescent="0.2">
      <x:c r="A11" s="8">
        <x:v>3</x:v>
      </x:c>
      <x:c r="B11" s="9" t="s">
        <x:v>42</x:v>
      </x:c>
      <x:c r="C11" s="12">
        <x:f>'Schedule E-2'!E22</x:f>
        <x:v>147081866.30000001</x:v>
      </x:c>
      <x:c r="D11" s="153"/>
      <x:c r="E11" s="145"/>
      <x:c r="F11" s="153"/>
      <x:c r="I11" s="145"/>
      <x:c r="J11" s="153"/>
    </x:row>
    <x:row r="12" spans="1:10" x14ac:dyDescent="0.2">
      <x:c r="A12" s="8">
        <x:v>4</x:v>
      </x:c>
      <x:c r="B12" s="9" t="s">
        <x:v>43</x:v>
      </x:c>
      <x:c r="C12" s="12">
        <x:f>'Schedule E-3'!E39-1</x:f>
        <x:v>128677128.55999999</x:v>
      </x:c>
      <x:c r="D12" s="153"/>
      <x:c r="E12" s="145"/>
      <x:c r="F12" s="153"/>
      <x:c r="I12" s="145"/>
      <x:c r="J12" s="153"/>
    </x:row>
    <x:row r="13" spans="1:10" x14ac:dyDescent="0.2">
      <x:c r="A13" s="8">
        <x:v>5</x:v>
      </x:c>
      <x:c r="B13" s="9" t="s">
        <x:v>44</x:v>
      </x:c>
      <x:c r="C13" s="81">
        <x:f>'Schedule B'!C26</x:f>
        <x:v>910883578</x:v>
      </x:c>
      <x:c r="D13" s="153"/>
      <x:c r="E13" s="145"/>
      <x:c r="F13" s="109"/>
      <x:c r="H13" s="153"/>
      <x:c r="I13" s="145"/>
      <x:c r="J13" s="109"/>
    </x:row>
    <x:row r="14" spans="1:10" x14ac:dyDescent="0.2">
      <x:c r="A14" s="8"/>
      <x:c r="B14" s="169"/>
      <x:c r="C14" s="12"/>
      <x:c r="D14" s="153"/>
      <x:c r="E14"/>
      <x:c r="F14" s="109"/>
      <x:c r="H14" s="153"/>
      <x:c r="J14" s="109"/>
    </x:row>
    <x:row r="15" spans="1:10" x14ac:dyDescent="0.2">
      <x:c r="A15" s="8">
        <x:v>6</x:v>
      </x:c>
      <x:c r="B15" s="9" t="s">
        <x:v>46</x:v>
      </x:c>
      <x:c r="C15" s="12">
        <x:f>SUM(C9:C13)+C14</x:f>
        <x:v>1957587928.9619343</x:v>
      </x:c>
      <x:c r="D15" s="153"/>
      <x:c r="E15"/>
      <x:c r="F15" s="109"/>
      <x:c r="H15" s="153"/>
      <x:c r="J15" s="109"/>
    </x:row>
    <x:row r="16" spans="1:10" x14ac:dyDescent="0.2">
      <x:c r="A16" s="8"/>
      <x:c r="B16" s="9"/>
      <x:c r="C16" s="12"/>
      <x:c r="D16"/>
      <x:c r="E16"/>
      <x:c r="F16" s="109"/>
      <x:c r="J16" s="109"/>
    </x:row>
    <x:row r="17" spans="1:11" x14ac:dyDescent="0.2">
      <x:c r="A17" s="8">
        <x:v>7</x:v>
      </x:c>
      <x:c r="B17" s="9" t="s">
        <x:v>47</x:v>
      </x:c>
      <x:c r="C17" s="12">
        <x:f>-'[2]III-A'!$G$29</x:f>
        <x:v>-46131716.730000004</x:v>
      </x:c>
      <x:c r="D17" s="138"/>
      <x:c r="E17"/>
      <x:c r="F17" s="109"/>
      <x:c r="H17" s="138"/>
      <x:c r="J17" s="109"/>
    </x:row>
    <x:row r="18" spans="1:11" x14ac:dyDescent="0.2">
      <x:c r="A18" s="8"/>
      <x:c r="B18" s="9"/>
      <x:c r="C18" s="12"/>
      <x:c r="D18" s="106"/>
      <x:c r="E18"/>
      <x:c r="F18" s="109"/>
      <x:c r="H18" s="106"/>
      <x:c r="J18" s="109"/>
    </x:row>
    <x:row r="19" spans="1:11" x14ac:dyDescent="0.2">
      <x:c r="A19" s="8">
        <x:v>8</x:v>
      </x:c>
      <x:c r="B19" s="14" t="s">
        <x:v>48</x:v>
      </x:c>
      <x:c r="C19" s="80">
        <x:f>(C15+C17)</x:f>
        <x:v>1911456212.2319343</x:v>
      </x:c>
      <x:c r="D19" s="139"/>
      <x:c r="E19" s="74"/>
      <x:c r="F19" s="109"/>
      <x:c r="H19" s="139"/>
      <x:c r="J19" s="109"/>
      <x:c r="K19" s="139"/>
    </x:row>
    <x:row r="20" spans="1:11" x14ac:dyDescent="0.2">
      <x:c r="A20" s="8"/>
      <x:c r="B20" s="73"/>
      <x:c r="C20" s="130"/>
      <x:c r="D20" s="159"/>
      <x:c r="E20" s="74"/>
      <x:c r="H20" s="159"/>
    </x:row>
    <x:row r="21" spans="1:11" x14ac:dyDescent="0.2">
      <x:c r="A21" s="8">
        <x:v>9</x:v>
      </x:c>
      <x:c r="B21" s="8" t="s">
        <x:v>49</x:v>
      </x:c>
      <x:c r="C21" s="160">
        <x:v>81042.656556000002</x:v>
      </x:c>
      <x:c r="D21" s="116"/>
      <x:c r="E21" s="128"/>
      <x:c r="G21" s="77"/>
      <x:c r="H21" s="116"/>
      <x:c r="K21" s="164"/>
    </x:row>
    <x:row r="22" spans="1:11" x14ac:dyDescent="0.2">
      <x:c r="A22" s="8"/>
      <x:c r="B22" s="8"/>
      <x:c r="C22" s="131"/>
      <x:c r="D22"/>
      <x:c r="E22"/>
    </x:row>
    <x:row r="23" spans="1:11" x14ac:dyDescent="0.2">
      <x:c r="A23" s="8">
        <x:v>10</x:v>
      </x:c>
      <x:c r="B23" s="8" t="s">
        <x:v>50</x:v>
      </x:c>
      <x:c r="C23" s="178">
        <x:f>C19/C21</x:f>
        <x:v>23585.80398843576</x:v>
      </x:c>
      <x:c r="D23"/>
      <x:c r="E23" s="174"/>
    </x:row>
    <x:row r="24" spans="1:11" x14ac:dyDescent="0.2">
      <x:c r="A24" s="16"/>
      <x:c r="B24" s="21"/>
      <x:c r="C24" s="132"/>
      <x:c r="D24"/>
      <x:c r="E24" s="174"/>
    </x:row>
    <x:row r="25" spans="1:11" x14ac:dyDescent="0.2">
      <x:c r="C25" s="114"/>
      <x:c r="D25" s="137"/>
      <x:c r="E25" s="174"/>
    </x:row>
    <x:row r="26" spans="1:11" x14ac:dyDescent="0.2">
      <x:c r="A26" s="3"/>
      <x:c r="B26" s="168"/>
      <x:c r="C26" s="135"/>
      <x:c r="D26" s="114"/>
      <x:c r="E26" s="114"/>
      <x:c r="K26" s="77"/>
    </x:row>
    <x:row r="27" spans="1:11" x14ac:dyDescent="0.2">
      <x:c r="A27" s="3"/>
      <x:c r="B27" s="168"/>
      <x:c r="C27" s="135"/>
      <x:c r="D27" s="114"/>
      <x:c r="E27" s="114"/>
      <x:c r="K27" s="77"/>
    </x:row>
    <x:row r="28" spans="1:11" x14ac:dyDescent="0.2">
      <x:c r="A28" s="3"/>
      <x:c r="B28" s="168"/>
      <x:c r="C28" s="135"/>
      <x:c r="D28" s="114"/>
      <x:c r="E28" s="114"/>
      <x:c r="K28" s="77"/>
    </x:row>
    <x:row r="29" spans="1:11" x14ac:dyDescent="0.2">
      <x:c r="C29" s="114"/>
      <x:c r="D29" s="166"/>
      <x:c r="E29" s="137"/>
      <x:c r="K29" s="77"/>
    </x:row>
    <x:row r="30" spans="1:11" x14ac:dyDescent="0.2">
      <x:c r="B30" s="62"/>
      <x:c r="C30" s="172"/>
      <x:c r="D30" s="173"/>
      <x:c r="E30" s="158"/>
      <x:c r="K30" s="77"/>
    </x:row>
    <x:row r="31" spans="1:11" x14ac:dyDescent="0.2">
      <x:c r="C31" s="74"/>
      <x:c r="D31" s="91"/>
      <x:c r="E31" s="158"/>
      <x:c r="K31" s="77"/>
    </x:row>
    <x:row r="32" spans="1:11" x14ac:dyDescent="0.2">
      <x:c r="C32" s="74"/>
      <x:c r="D32" s="124"/>
      <x:c r="E32" s="158"/>
      <x:c r="K32" s="77"/>
    </x:row>
    <x:row r="33" spans="2:12" x14ac:dyDescent="0.2">
      <x:c r="C33" s="151"/>
      <x:c r="D33" s="121"/>
      <x:c r="E33" s="115"/>
      <x:c r="F33" s="129"/>
    </x:row>
    <x:row r="34" spans="2:12" x14ac:dyDescent="0.2">
      <x:c r="C34" s="151"/>
      <x:c r="D34" s="120"/>
      <x:c r="E34" s="135"/>
      <x:c r="F34" s="127"/>
      <x:c r="K34" s="139"/>
    </x:row>
    <x:row r="35" spans="2:12" x14ac:dyDescent="0.2">
      <x:c r="C35" s="115"/>
      <x:c r="D35" s="120"/>
      <x:c r="E35" s="115"/>
      <x:c r="F35" s="98"/>
      <x:c r="K35" s="139"/>
    </x:row>
    <x:row r="36" spans="2:12" x14ac:dyDescent="0.2">
      <x:c r="C36" s="74"/>
      <x:c r="D36" s="91"/>
      <x:c r="E36" s="156"/>
      <x:c r="F36" s="98"/>
      <x:c r="K36" s="139"/>
    </x:row>
    <x:row r="37" spans="2:12" x14ac:dyDescent="0.2">
      <x:c r="C37" s="74"/>
      <x:c r="D37" s="124"/>
      <x:c r="E37" s="114"/>
      <x:c r="F37" s="98"/>
    </x:row>
    <x:row r="38" spans="2:12" x14ac:dyDescent="0.2">
      <x:c r="C38" s="151"/>
      <x:c r="D38" s="121"/>
      <x:c r="E38" s="108"/>
      <x:c r="F38" s="135"/>
    </x:row>
    <x:row r="39" spans="2:12" x14ac:dyDescent="0.2">
      <x:c r="C39" s="151"/>
      <x:c r="D39" s="120"/>
      <x:c r="E39" s="59"/>
      <x:c r="F39" s="129"/>
      <x:c r="H39" s="109"/>
      <x:c r="K39" s="139"/>
      <x:c r="L39" s="77"/>
    </x:row>
    <x:row r="40" spans="2:12" x14ac:dyDescent="0.2">
      <x:c r="C40" s="115"/>
      <x:c r="D40" s="120"/>
      <x:c r="E40" s="115"/>
      <x:c r="F40" s="76"/>
      <x:c r="K40" s="139"/>
      <x:c r="L40" s="77"/>
    </x:row>
    <x:row r="41" spans="2:12" x14ac:dyDescent="0.2">
      <x:c r="B41" s="113"/>
      <x:c r="C41" s="151"/>
      <x:c r="D41" s="120"/>
      <x:c r="E41" s="108"/>
      <x:c r="F41" s="76"/>
      <x:c r="K41" s="139"/>
      <x:c r="L41" s="77"/>
    </x:row>
    <x:row r="42" spans="2:12" x14ac:dyDescent="0.2">
      <x:c r="B42" s="113"/>
      <x:c r="C42" s="151"/>
      <x:c r="D42" s="120"/>
      <x:c r="E42" s="150"/>
      <x:c r="F42" s="125"/>
    </x:row>
    <x:row r="43" spans="2:12" x14ac:dyDescent="0.2">
      <x:c r="B43" s="113"/>
      <x:c r="C43" s="151"/>
      <x:c r="D43" s="121"/>
      <x:c r="E43" s="108"/>
      <x:c r="F43" s="76"/>
      <x:c r="G43" s="77"/>
    </x:row>
    <x:row r="44" spans="2:12" x14ac:dyDescent="0.2">
      <x:c r="B44" s="113"/>
      <x:c r="C44" s="151"/>
      <x:c r="D44" s="114"/>
      <x:c r="E44" s="108"/>
      <x:c r="F44" s="76"/>
    </x:row>
    <x:row r="45" spans="2:12" x14ac:dyDescent="0.2">
      <x:c r="B45" s="113"/>
      <x:c r="C45" s="151"/>
      <x:c r="D45" s="114"/>
      <x:c r="E45" s="108"/>
      <x:c r="F45" s="76"/>
    </x:row>
    <x:row r="46" spans="2:12" x14ac:dyDescent="0.2">
      <x:c r="B46" s="113"/>
      <x:c r="C46" s="151"/>
      <x:c r="D46" s="120"/>
      <x:c r="E46" s="108"/>
      <x:c r="F46" s="124"/>
    </x:row>
    <x:row r="47" spans="2:12" x14ac:dyDescent="0.2">
      <x:c r="C47" s="107"/>
      <x:c r="D47" s="120"/>
      <x:c r="E47" s="108"/>
      <x:c r="F47" s="125"/>
    </x:row>
    <x:row r="48" spans="2:12" x14ac:dyDescent="0.2">
      <x:c r="C48" s="151"/>
      <x:c r="D48" s="121"/>
      <x:c r="E48" s="107"/>
    </x:row>
    <x:row r="49" spans="3:6" x14ac:dyDescent="0.2">
      <x:c r="C49" s="135"/>
      <x:c r="D49" s="114"/>
      <x:c r="E49" s="112"/>
      <x:c r="F49" s="124"/>
    </x:row>
    <x:row r="50" spans="3:6" x14ac:dyDescent="0.2">
      <x:c r="C50" s="151"/>
      <x:c r="D50" s="114"/>
      <x:c r="E50" s="108"/>
      <x:c r="F50" s="125"/>
    </x:row>
    <x:row r="51" spans="3:6" x14ac:dyDescent="0.2">
      <x:c r="C51" s="107"/>
      <x:c r="D51" s="120"/>
    </x:row>
    <x:row r="52" spans="3:6" x14ac:dyDescent="0.2">
      <x:c r="C52" s="107"/>
      <x:c r="D52" s="120"/>
    </x:row>
    <x:row r="53" spans="3:6" x14ac:dyDescent="0.2">
      <x:c r="D53" s="152"/>
      <x:c r="E53" s="126"/>
    </x:row>
    <x:row r="54" spans="3:6" x14ac:dyDescent="0.2">
      <x:c r="C54" s="59"/>
      <x:c r="D54" s="152"/>
    </x:row>
    <x:row r="55" spans="3:6" x14ac:dyDescent="0.2">
      <x:c r="C55" s="59"/>
      <x:c r="D55" s="146"/>
    </x:row>
    <x:row r="56" spans="3:6" x14ac:dyDescent="0.2">
      <x:c r="C56" s="136"/>
      <x:c r="D56" s="136"/>
    </x:row>
    <x:row r="57" spans="3:6" x14ac:dyDescent="0.2">
      <x:c r="C57" s="59"/>
      <x:c r="D57" s="59"/>
    </x:row>
    <x:row r="58" spans="3:6" x14ac:dyDescent="0.2">
      <x:c r="C58" s="146"/>
      <x:c r="D58" s="146"/>
    </x:row>
    <x:row r="59" spans="3:6" x14ac:dyDescent="0.2">
      <x:c r="F59" s="109"/>
    </x:row>
    <x:row r="60" spans="3:6" x14ac:dyDescent="0.2">
      <x:c r="F60" s="127"/>
    </x:row>
    <x:row r="61" spans="3:6" x14ac:dyDescent="0.2">
      <x:c r="F61" s="129"/>
    </x:row>
    <x:row r="63" spans="3:6" x14ac:dyDescent="0.2">
      <x:c r="F63" s="128"/>
    </x:row>
    <x:row r="64" spans="3:6" x14ac:dyDescent="0.2">
      <x:c r="F64" s="129"/>
    </x:row>
  </x:sheetData>
  <x:phoneticPr fontId="9" type="noConversion"/>
  <x:printOptions horizontalCentered="1"/>
  <x:pageMargins left="1.5" right="0.5" top="1.6" bottom="0.75" header="1" footer="0.5"/>
  <x:pageSetup orientation="portrait" r:id="rId1"/>
  <x:headerFooter alignWithMargins="0">
    <x:oddHeader xml:space="preserve">&amp;RWP/III-A-1
Page 1 of 7
TCOS Baseline - Schedule A
</x:oddHeader>
  </x:headerFooter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P45"/>
  <x:sheetViews>
    <x:sheetView zoomScale="75" workbookViewId="0">
      <x:selection activeCell="E28" sqref="E28"/>
    </x:sheetView>
  </x:sheetViews>
  <x:sheetFormatPr defaultRowHeight="12.75" x14ac:dyDescent="0.2"/>
  <x:cols>
    <x:col min="1" max="1" width="5.42578125" customWidth="1"/>
    <x:col min="2" max="2" width="38.5703125" customWidth="1"/>
    <x:col min="3" max="3" width="21.7109375" customWidth="1"/>
    <x:col min="4" max="4" width="21.28515625" customWidth="1"/>
    <x:col min="5" max="5" width="22.42578125" customWidth="1"/>
    <x:col min="6" max="6" width="29.5703125" customWidth="1"/>
    <x:col min="7" max="7" width="15" customWidth="1"/>
    <x:col min="8" max="8" width="18.85546875" customWidth="1"/>
    <x:col min="16" max="16" width="18.85546875" style="98" bestFit="1" customWidth="1"/>
    <x:col min="18" max="18" width="16.85546875" bestFit="1" customWidth="1"/>
  </x:cols>
  <x:sheetData>
    <x:row r="1" spans="1:9" ht="15.75" x14ac:dyDescent="0.25">
      <x:c r="A1" s="1" t="str">
        <x:f>'Schedule A'!$A$1</x:f>
        <x:v>ONCOR ELECTRIC DELIVERY COMPANY LLC</x:v>
      </x:c>
      <x:c r="B1" s="19"/>
      <x:c r="C1" s="1"/>
      <x:c r="D1" s="60"/>
      <x:c r="E1" s="60"/>
      <x:c r="F1" s="60"/>
    </x:row>
    <x:row r="2" spans="1:9" ht="15.75" x14ac:dyDescent="0.25">
      <x:c r="A2" s="1" t="str">
        <x:f>'Schedule A'!$A$2</x:f>
        <x:v>Baseline of Wholesale Transmission Cost of Service</x:v>
      </x:c>
      <x:c r="B2" s="19"/>
      <x:c r="C2" s="1"/>
      <x:c r="D2" s="60"/>
      <x:c r="E2" s="60"/>
      <x:c r="F2" s="60"/>
    </x:row>
    <x:row r="3" spans="1:9" ht="15.75" x14ac:dyDescent="0.25">
      <x:c r="A3" s="1" t="s">
        <x:v>1</x:v>
      </x:c>
      <x:c r="B3" s="19"/>
      <x:c r="C3" s="1"/>
      <x:c r="D3" s="60"/>
      <x:c r="E3" s="60"/>
      <x:c r="F3" s="60"/>
    </x:row>
    <x:row r="4" spans="1:9" ht="15.75" x14ac:dyDescent="0.25">
      <x:c r="A4" s="1" t="str">
        <x:f>'Schedule A'!A3</x:f>
        <x:v>As of December 31, 2024</x:v>
      </x:c>
      <x:c r="B4" s="19"/>
      <x:c r="C4" s="1"/>
      <x:c r="D4" s="60"/>
      <x:c r="E4" s="60"/>
      <x:c r="F4" s="60"/>
    </x:row>
    <x:row r="5" spans="1:9" ht="15.75" x14ac:dyDescent="0.25">
      <x:c r="A5" s="1" t="str">
        <x:f>'Schedule A'!A4</x:f>
        <x:v>Sponsors:  W. Alan Ledbetter and Matthew A. Troxle</x:v>
      </x:c>
      <x:c r="B5" s="19"/>
      <x:c r="C5" s="1"/>
      <x:c r="D5" s="60"/>
      <x:c r="E5" s="60"/>
      <x:c r="F5" s="60"/>
    </x:row>
    <x:row r="6" spans="1:9" ht="15.75" x14ac:dyDescent="0.25">
      <x:c r="A6" s="3"/>
      <x:c r="B6" s="99"/>
      <x:c r="C6" s="3"/>
      <x:c r="D6" s="3"/>
      <x:c r="E6" s="3"/>
      <x:c r="F6" s="3"/>
    </x:row>
    <x:row r="7" spans="1:9" ht="45.75" x14ac:dyDescent="0.25">
      <x:c r="A7" s="4" t="s">
        <x:v>85</x:v>
      </x:c>
      <x:c r="B7" s="20" t="s">
        <x:v>86</x:v>
      </x:c>
      <x:c r="C7" s="20" t="str">
        <x:f>'Schedule A'!C6</x:f>
        <x:v>Test Year Ending 12/31/2024</x:v>
      </x:c>
    </x:row>
    <x:row r="8" spans="1:9" ht="15.75" x14ac:dyDescent="0.25">
      <x:c r="A8" s="21"/>
      <x:c r="B8" s="17"/>
      <x:c r="C8" s="22"/>
    </x:row>
    <x:row r="9" spans="1:9" ht="15.75" x14ac:dyDescent="0.25">
      <x:c r="A9" s="8"/>
      <x:c r="B9" s="23" t="s">
        <x:v>51</x:v>
      </x:c>
      <x:c r="C9" s="8"/>
    </x:row>
    <x:row r="10" spans="1:9" ht="15.75" x14ac:dyDescent="0.25">
      <x:c r="A10" s="8"/>
      <x:c r="B10" s="24" t="s">
        <x:v>52</x:v>
      </x:c>
      <x:c r="C10" s="25"/>
    </x:row>
    <x:row r="11" spans="1:9" ht="15" x14ac:dyDescent="0.2">
      <x:c r="A11" s="8">
        <x:v>1</x:v>
      </x:c>
      <x:c r="B11" s="25" t="s">
        <x:v>53</x:v>
      </x:c>
      <x:c r="C11" s="82">
        <x:f>'Schedule B-1'!E34</x:f>
        <x:v>17347867466.474876</x:v>
      </x:c>
      <x:c r="D11" s="138"/>
      <x:c r="H11" s="138"/>
    </x:row>
    <x:row r="12" spans="1:9" ht="15" x14ac:dyDescent="0.2">
      <x:c r="A12" s="8">
        <x:v>2</x:v>
      </x:c>
      <x:c r="B12" s="25" t="s">
        <x:v>54</x:v>
      </x:c>
      <x:c r="C12" s="12">
        <x:f>-'Schedule B-5'!E35</x:f>
        <x:v>-4093145744.5189886</x:v>
      </x:c>
      <x:c r="D12" s="138"/>
      <x:c r="H12" s="138"/>
    </x:row>
    <x:row r="13" spans="1:9" ht="15" x14ac:dyDescent="0.2">
      <x:c r="A13" s="8">
        <x:v>3</x:v>
      </x:c>
      <x:c r="B13" s="25" t="s">
        <x:v>55</x:v>
      </x:c>
      <x:c r="C13" s="28">
        <x:f>SUM(C11:C12)</x:f>
        <x:v>13254721721.955887</x:v>
      </x:c>
      <x:c r="D13" s="138"/>
      <x:c r="H13" s="138"/>
    </x:row>
    <x:row r="14" spans="1:9" ht="15" x14ac:dyDescent="0.2">
      <x:c r="A14" s="8"/>
      <x:c r="B14" s="25"/>
      <x:c r="C14" s="177"/>
      <x:c r="D14" s="138"/>
      <x:c r="H14" s="138"/>
    </x:row>
    <x:row r="15" spans="1:9" ht="15" x14ac:dyDescent="0.2">
      <x:c r="A15" s="8">
        <x:v>4</x:v>
      </x:c>
      <x:c r="B15" s="25" t="s">
        <x:v>137</x:v>
      </x:c>
      <x:c r="C15" s="177">
        <x:v>369285411.55999988</x:v>
      </x:c>
      <x:c r="D15" s="140"/>
      <x:c r="H15" s="140"/>
    </x:row>
    <x:row r="16" spans="1:9" ht="15" x14ac:dyDescent="0.2">
      <x:c r="A16" s="8">
        <x:v>5</x:v>
      </x:c>
      <x:c r="B16" s="25" t="s">
        <x:v>138</x:v>
      </x:c>
      <x:c r="C16" s="177">
        <x:v>-56089574.129999995</x:v>
      </x:c>
      <x:c r="D16" s="138"/>
      <x:c r="E16" s="139"/>
      <x:c r="G16" s="77"/>
      <x:c r="H16" s="138"/>
      <x:c r="I16" s="139"/>
    </x:row>
    <x:row r="17" spans="1:9" ht="15" x14ac:dyDescent="0.2">
      <x:c r="A17" s="8">
        <x:v>6</x:v>
      </x:c>
      <x:c r="B17" s="25" t="s">
        <x:v>139</x:v>
      </x:c>
      <x:c r="C17" s="177">
        <x:v>61450357.970000021</x:v>
      </x:c>
      <x:c r="D17" s="138"/>
      <x:c r="H17" s="138"/>
    </x:row>
    <x:row r="18" spans="1:9" ht="15" x14ac:dyDescent="0.2">
      <x:c r="A18" s="8">
        <x:v>7</x:v>
      </x:c>
      <x:c r="B18" s="25" t="s">
        <x:v>140</x:v>
      </x:c>
      <x:c r="C18" s="177">
        <x:v>50224687.770000003</x:v>
      </x:c>
      <x:c r="D18" s="138"/>
      <x:c r="H18" s="138"/>
    </x:row>
    <x:row r="19" spans="1:9" ht="15" x14ac:dyDescent="0.2">
      <x:c r="A19" s="8">
        <x:v>8</x:v>
      </x:c>
      <x:c r="B19" s="25" t="s">
        <x:v>78</x:v>
      </x:c>
      <x:c r="C19" s="177">
        <x:v>-1485702675.6753206</x:v>
      </x:c>
      <x:c r="D19" s="140"/>
      <x:c r="E19" s="139"/>
      <x:c r="G19" s="77"/>
      <x:c r="H19" s="138"/>
      <x:c r="I19" s="139"/>
    </x:row>
    <x:row r="20" spans="1:9" ht="15" x14ac:dyDescent="0.2">
      <x:c r="A20" s="8">
        <x:v>9</x:v>
      </x:c>
      <x:c r="B20" s="25" t="s">
        <x:v>56</x:v>
      </x:c>
      <x:c r="C20" s="29">
        <x:f>SUM(C15:C19)</x:f>
        <x:v>-1060831792.5053208</x:v>
      </x:c>
      <x:c r="D20" s="138"/>
      <x:c r="E20" s="106"/>
      <x:c r="H20" s="138"/>
    </x:row>
    <x:row r="21" spans="1:9" ht="15" x14ac:dyDescent="0.2">
      <x:c r="A21" s="8"/>
      <x:c r="B21" s="25" t="s">
        <x:v>57</x:v>
      </x:c>
      <x:c r="C21" s="26"/>
      <x:c r="D21" s="157"/>
      <x:c r="E21" s="106"/>
      <x:c r="H21" s="157"/>
    </x:row>
    <x:row r="22" spans="1:9" ht="15" x14ac:dyDescent="0.2">
      <x:c r="A22" s="8">
        <x:v>10</x:v>
      </x:c>
      <x:c r="B22" s="25" t="s">
        <x:v>58</x:v>
      </x:c>
      <x:c r="C22" s="83">
        <x:f>C13+C20</x:f>
        <x:v>12193889929.450565</x:v>
      </x:c>
      <x:c r="D22" s="138"/>
      <x:c r="E22" s="139"/>
      <x:c r="H22" s="138"/>
      <x:c r="I22" s="139"/>
    </x:row>
    <x:row r="23" spans="1:9" ht="15" x14ac:dyDescent="0.2">
      <x:c r="A23" s="8"/>
      <x:c r="B23" s="25"/>
      <x:c r="C23" s="30"/>
      <x:c r="D23" s="138"/>
      <x:c r="H23" s="138"/>
    </x:row>
    <x:row r="24" spans="1:9" ht="15" x14ac:dyDescent="0.2">
      <x:c r="A24" s="8">
        <x:v>11</x:v>
      </x:c>
      <x:c r="B24" s="25" t="s">
        <x:v>59</x:v>
      </x:c>
      <x:c r="C24" s="197">
        <x:v>7.4700000000000003E-2</x:v>
      </x:c>
      <x:c r="D24" s="141"/>
      <x:c r="H24" s="141"/>
    </x:row>
    <x:row r="25" spans="1:9" ht="15" x14ac:dyDescent="0.2">
      <x:c r="A25" s="8"/>
      <x:c r="B25" s="25"/>
      <x:c r="C25" s="133"/>
      <x:c r="D25" s="138"/>
      <x:c r="H25" s="138"/>
    </x:row>
    <x:row r="26" spans="1:9" ht="15" x14ac:dyDescent="0.2">
      <x:c r="A26" s="8">
        <x:v>12</x:v>
      </x:c>
      <x:c r="B26" s="25" t="s">
        <x:v>60</x:v>
      </x:c>
      <x:c r="C26" s="84">
        <x:f>ROUND(C22*C24,0)</x:f>
        <x:v>910883578</x:v>
      </x:c>
      <x:c r="D26" s="140"/>
      <x:c r="E26" s="139"/>
      <x:c r="G26" s="76"/>
      <x:c r="H26" s="140"/>
      <x:c r="I26" s="139"/>
    </x:row>
    <x:row r="27" spans="1:9" ht="15" x14ac:dyDescent="0.2">
      <x:c r="A27" s="8"/>
      <x:c r="B27" s="31"/>
      <x:c r="C27" s="30"/>
      <x:c r="D27" s="109"/>
      <x:c r="E27" s="77"/>
      <x:c r="H27" s="109"/>
      <x:c r="I27" s="77"/>
    </x:row>
    <x:row r="28" spans="1:9" ht="15" x14ac:dyDescent="0.2">
      <x:c r="A28" s="8"/>
      <x:c r="B28" s="31"/>
      <x:c r="C28" s="27"/>
      <x:c r="D28" s="109"/>
      <x:c r="E28" s="77"/>
      <x:c r="H28" s="109"/>
      <x:c r="I28" s="77"/>
    </x:row>
    <x:row r="29" spans="1:9" ht="15" x14ac:dyDescent="0.2">
      <x:c r="A29" s="21"/>
      <x:c r="B29" s="17"/>
      <x:c r="C29" s="21"/>
    </x:row>
    <x:row r="30" spans="1:9" x14ac:dyDescent="0.2">
      <x:c r="H30" s="77"/>
    </x:row>
    <x:row r="31" spans="1:9" x14ac:dyDescent="0.2">
      <x:c r="A31" s="77" t="s">
        <x:v>105</x:v>
      </x:c>
      <x:c r="C31" s="110"/>
      <x:c r="D31" s="119"/>
      <x:c r="E31" s="110"/>
    </x:row>
    <x:row r="32" spans="1:9" ht="15" x14ac:dyDescent="0.2">
      <x:c r="B32" s="77" t="s">
        <x:v>103</x:v>
      </x:c>
      <x:c r="C32" s="98"/>
      <x:c r="D32" s="122"/>
      <x:c r="E32" s="118"/>
    </x:row>
    <x:row r="33" spans="2:5" x14ac:dyDescent="0.2">
      <x:c r="B33" s="77" t="s">
        <x:v>104</x:v>
      </x:c>
      <x:c r="C33" s="98"/>
      <x:c r="D33" s="98"/>
    </x:row>
    <x:row r="34" spans="2:5" ht="15" x14ac:dyDescent="0.2">
      <x:c r="C34" s="167"/>
      <x:c r="D34" s="74"/>
      <x:c r="E34" s="98"/>
    </x:row>
    <x:row r="35" spans="2:5" x14ac:dyDescent="0.2">
      <x:c r="C35" s="154"/>
      <x:c r="D35" s="154"/>
      <x:c r="E35" s="147"/>
    </x:row>
    <x:row r="36" spans="2:5" ht="15" x14ac:dyDescent="0.2">
      <x:c r="B36" s="117"/>
      <x:c r="C36" s="155"/>
      <x:c r="D36" s="111"/>
      <x:c r="E36" s="109"/>
    </x:row>
    <x:row r="37" spans="2:5" x14ac:dyDescent="0.2">
      <x:c r="D37" s="161"/>
      <x:c r="E37" s="148"/>
    </x:row>
    <x:row r="38" spans="2:5" x14ac:dyDescent="0.2">
      <x:c r="D38" s="162"/>
      <x:c r="E38" s="109"/>
    </x:row>
    <x:row r="39" spans="2:5" x14ac:dyDescent="0.2">
      <x:c r="E39" s="109"/>
    </x:row>
    <x:row r="40" spans="2:5" x14ac:dyDescent="0.2">
      <x:c r="E40" s="109"/>
    </x:row>
    <x:row r="41" spans="2:5" x14ac:dyDescent="0.2">
      <x:c r="E41" s="109"/>
    </x:row>
    <x:row r="43" spans="2:5" x14ac:dyDescent="0.2">
      <x:c r="E43" s="109"/>
    </x:row>
    <x:row r="44" spans="2:5" x14ac:dyDescent="0.2">
      <x:c r="E44" s="109"/>
    </x:row>
    <x:row r="45" spans="2:5" x14ac:dyDescent="0.2">
      <x:c r="E45" s="109"/>
    </x:row>
  </x:sheetData>
  <x:phoneticPr fontId="9" type="noConversion"/>
  <x:printOptions horizontalCentered="1"/>
  <x:pageMargins left="1.5" right="0.5" top="1.6" bottom="0.75" header="1" footer="0.5"/>
  <x:pageSetup orientation="portrait" r:id="rId1"/>
  <x:headerFooter alignWithMargins="0">
    <x:oddHeader xml:space="preserve">&amp;RWP/III-A-1
Page 2 of 7
TCOS Baseline - Schedule B
</x:oddHeader>
  </x:headerFooter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L37"/>
  <x:sheetViews>
    <x:sheetView zoomScale="75" workbookViewId="0">
      <x:selection activeCell="H32" sqref="H32"/>
    </x:sheetView>
  </x:sheetViews>
  <x:sheetFormatPr defaultRowHeight="15" x14ac:dyDescent="0.2"/>
  <x:cols>
    <x:col min="1" max="1" width="6.42578125" style="3" customWidth="1"/>
    <x:col min="2" max="2" width="9.42578125" style="3" customWidth="1"/>
    <x:col min="3" max="3" width="46.7109375" style="3" customWidth="1"/>
    <x:col min="4" max="4" width="16" style="3" customWidth="1"/>
    <x:col min="5" max="5" width="20.7109375" style="3" customWidth="1"/>
    <x:col min="6" max="8" width="19.5703125" style="3" customWidth="1"/>
    <x:col min="9" max="9" width="20.85546875" style="3" customWidth="1"/>
    <x:col min="10" max="10" width="18.42578125" style="3" bestFit="1" customWidth="1"/>
    <x:col min="12" max="12" width="16.5703125" bestFit="1" customWidth="1"/>
  </x:cols>
  <x:sheetData>
    <x:row r="1" spans="1:12" ht="15.75" x14ac:dyDescent="0.25">
      <x:c r="A1" s="1" t="str">
        <x:f>'Schedule A'!$A$1</x:f>
        <x:v>ONCOR ELECTRIC DELIVERY COMPANY LLC</x:v>
      </x:c>
      <x:c r="B1" s="1"/>
      <x:c r="C1" s="1"/>
      <x:c r="D1" s="1"/>
      <x:c r="E1" s="1"/>
      <x:c r="F1" s="60"/>
      <x:c r="G1" s="60"/>
      <x:c r="H1" s="60"/>
      <x:c r="I1" s="60"/>
      <x:c r="J1" s="60"/>
    </x:row>
    <x:row r="2" spans="1:12" ht="15.75" x14ac:dyDescent="0.25">
      <x:c r="A2" s="1" t="str">
        <x:f>'Schedule A'!$A$2</x:f>
        <x:v>Baseline of Wholesale Transmission Cost of Service</x:v>
      </x:c>
      <x:c r="B2" s="1"/>
      <x:c r="C2" s="1"/>
      <x:c r="D2" s="1"/>
      <x:c r="E2" s="1"/>
      <x:c r="F2" s="60"/>
      <x:c r="G2" s="60"/>
      <x:c r="H2" s="60"/>
      <x:c r="I2" s="60"/>
      <x:c r="J2" s="60"/>
    </x:row>
    <x:row r="3" spans="1:12" ht="15.75" x14ac:dyDescent="0.25">
      <x:c r="A3" s="1" t="s">
        <x:v>12</x:v>
      </x:c>
      <x:c r="B3" s="1"/>
      <x:c r="C3" s="1"/>
      <x:c r="D3" s="1"/>
      <x:c r="E3" s="1"/>
      <x:c r="F3" s="60"/>
      <x:c r="G3" s="60"/>
      <x:c r="H3" s="60"/>
      <x:c r="I3" s="60"/>
      <x:c r="J3" s="60"/>
    </x:row>
    <x:row r="4" spans="1:12" ht="15.75" x14ac:dyDescent="0.25">
      <x:c r="A4" s="1" t="str">
        <x:f>'Schedule A'!A3</x:f>
        <x:v>As of December 31, 2024</x:v>
      </x:c>
      <x:c r="B4" s="1"/>
      <x:c r="C4" s="1"/>
      <x:c r="D4" s="1"/>
      <x:c r="E4" s="1"/>
      <x:c r="F4" s="60"/>
      <x:c r="G4" s="60"/>
      <x:c r="H4" s="60"/>
      <x:c r="I4" s="60"/>
      <x:c r="J4" s="60"/>
    </x:row>
    <x:row r="5" spans="1:12" ht="15.75" x14ac:dyDescent="0.25">
      <x:c r="A5" s="2" t="str">
        <x:f>'Schedule A'!A4</x:f>
        <x:v>Sponsors:  W. Alan Ledbetter and Matthew A. Troxle</x:v>
      </x:c>
      <x:c r="B5" s="1"/>
      <x:c r="C5" s="2"/>
      <x:c r="D5" s="2"/>
      <x:c r="E5" s="2"/>
      <x:c r="F5" s="61"/>
      <x:c r="G5" s="61"/>
      <x:c r="H5" s="61"/>
      <x:c r="I5" s="61"/>
      <x:c r="J5" s="60"/>
    </x:row>
    <x:row r="6" spans="1:12" ht="15.75" x14ac:dyDescent="0.25">
      <x:c r="C6" s="99"/>
      <x:c r="E6" s="40"/>
      <x:c r="F6" s="40"/>
      <x:c r="G6" s="40"/>
      <x:c r="H6" s="40"/>
    </x:row>
    <x:row r="7" spans="1:12" ht="47.25" x14ac:dyDescent="0.25">
      <x:c r="A7" s="20" t="s">
        <x:v>85</x:v>
      </x:c>
      <x:c r="B7" s="32" t="s">
        <x:v>10</x:v>
      </x:c>
      <x:c r="C7" s="32" t="s">
        <x:v>11</x:v>
      </x:c>
      <x:c r="D7" s="32" t="s">
        <x:v>84</x:v>
      </x:c>
      <x:c r="E7" s="20" t="str">
        <x:f>'Schedule A'!C6</x:f>
        <x:v>Test Year Ending 12/31/2024</x:v>
      </x:c>
      <x:c r="F7"/>
      <x:c r="G7"/>
      <x:c r="H7"/>
      <x:c r="I7"/>
      <x:c r="J7"/>
    </x:row>
    <x:row r="8" spans="1:12" ht="15.75" x14ac:dyDescent="0.25">
      <x:c r="A8" s="21"/>
      <x:c r="B8" s="33"/>
      <x:c r="C8" s="21"/>
      <x:c r="D8" s="45"/>
      <x:c r="E8" s="35"/>
      <x:c r="F8"/>
      <x:c r="G8"/>
      <x:c r="H8"/>
      <x:c r="I8"/>
      <x:c r="J8"/>
    </x:row>
    <x:row r="9" spans="1:12" ht="15.75" x14ac:dyDescent="0.25">
      <x:c r="A9" s="8"/>
      <x:c r="B9" s="36" t="s">
        <x:v>12</x:v>
      </x:c>
      <x:c r="C9" s="15"/>
      <x:c r="D9" s="46"/>
      <x:c r="E9" s="27"/>
      <x:c r="F9"/>
      <x:c r="G9"/>
      <x:c r="H9"/>
      <x:c r="I9"/>
      <x:c r="J9"/>
    </x:row>
    <x:row r="10" spans="1:12" x14ac:dyDescent="0.2">
      <x:c r="A10" s="8">
        <x:v>1</x:v>
      </x:c>
      <x:c r="B10" s="179" t="s">
        <x:v>13</x:v>
      </x:c>
      <x:c r="C10" s="65" t="s">
        <x:v>14</x:v>
      </x:c>
      <x:c r="D10" s="198"/>
      <x:c r="E10" s="200">
        <x:f>'[3]II-B-1'!$Q$23+'[3]II-B-1'!$Q$24</x:f>
        <x:v>835572330.58000004</x:v>
      </x:c>
      <x:c r="F10" s="181"/>
      <x:c r="G10"/>
      <x:c r="H10"/>
      <x:c r="I10" s="98"/>
      <x:c r="J10"/>
      <x:c r="L10" s="98"/>
    </x:row>
    <x:row r="11" spans="1:12" x14ac:dyDescent="0.2">
      <x:c r="A11" s="176" t="s">
        <x:v>107</x:v>
      </x:c>
      <x:c r="B11" s="179" t="s">
        <x:v>122</x:v>
      </x:c>
      <x:c r="C11" s="65" t="s">
        <x:v>125</x:v>
      </x:c>
      <x:c r="D11" s="198"/>
      <x:c r="E11" s="201">
        <x:v>0</x:v>
      </x:c>
      <x:c r="F11" s="181"/>
      <x:c r="G11"/>
      <x:c r="H11"/>
      <x:c r="I11" s="98"/>
      <x:c r="J11"/>
      <x:c r="L11" s="98"/>
    </x:row>
    <x:row r="12" spans="1:12" x14ac:dyDescent="0.2">
      <x:c r="A12" s="176" t="s">
        <x:v>108</x:v>
      </x:c>
      <x:c r="B12" s="179" t="s">
        <x:v>123</x:v>
      </x:c>
      <x:c r="C12" s="65" t="s">
        <x:v>126</x:v>
      </x:c>
      <x:c r="D12" s="198"/>
      <x:c r="E12" s="201">
        <x:v>150825746.09999999</x:v>
      </x:c>
      <x:c r="F12" s="181"/>
      <x:c r="G12"/>
      <x:c r="H12"/>
      <x:c r="I12" s="98"/>
      <x:c r="J12"/>
      <x:c r="L12" s="98"/>
    </x:row>
    <x:row r="13" spans="1:12" x14ac:dyDescent="0.2">
      <x:c r="A13" s="176" t="s">
        <x:v>109</x:v>
      </x:c>
      <x:c r="B13" s="179" t="s">
        <x:v>124</x:v>
      </x:c>
      <x:c r="C13" s="65" t="s">
        <x:v>127</x:v>
      </x:c>
      <x:c r="D13" s="198"/>
      <x:c r="E13" s="201">
        <x:v>3528604.25</x:v>
      </x:c>
      <x:c r="F13" s="181"/>
      <x:c r="G13"/>
      <x:c r="H13"/>
      <x:c r="I13" s="98"/>
      <x:c r="J13"/>
      <x:c r="L13" s="98"/>
    </x:row>
    <x:row r="14" spans="1:12" x14ac:dyDescent="0.2">
      <x:c r="A14" s="176" t="s">
        <x:v>110</x:v>
      </x:c>
      <x:c r="B14" s="179" t="s">
        <x:v>15</x:v>
      </x:c>
      <x:c r="C14" s="65" t="s">
        <x:v>113</x:v>
      </x:c>
      <x:c r="D14" s="198"/>
      <x:c r="E14" s="201">
        <x:f>[4]Sheet1!$C$27+[4]Sheet1!$D$27</x:f>
        <x:v>632667015.4000001</x:v>
      </x:c>
      <x:c r="F14" s="181"/>
      <x:c r="G14"/>
      <x:c r="H14"/>
      <x:c r="I14" s="98"/>
      <x:c r="J14"/>
      <x:c r="L14" s="98"/>
    </x:row>
    <x:row r="15" spans="1:12" x14ac:dyDescent="0.2">
      <x:c r="A15" s="176" t="s">
        <x:v>111</x:v>
      </x:c>
      <x:c r="B15" s="179" t="s">
        <x:v>15</x:v>
      </x:c>
      <x:c r="C15" s="65" t="s">
        <x:v>114</x:v>
      </x:c>
      <x:c r="D15" s="198"/>
      <x:c r="E15" s="201">
        <x:f>[4]Sheet1!$E$34</x:f>
        <x:v>1693652.7500000002</x:v>
      </x:c>
      <x:c r="F15" s="181"/>
      <x:c r="G15"/>
      <x:c r="H15"/>
      <x:c r="I15" s="98"/>
      <x:c r="J15"/>
      <x:c r="L15" s="98"/>
    </x:row>
    <x:row r="16" spans="1:12" x14ac:dyDescent="0.2">
      <x:c r="A16" s="176" t="s">
        <x:v>112</x:v>
      </x:c>
      <x:c r="B16" s="179" t="s">
        <x:v>15</x:v>
      </x:c>
      <x:c r="C16" s="65" t="s">
        <x:v>115</x:v>
      </x:c>
      <x:c r="D16" s="198"/>
      <x:c r="E16" s="201">
        <x:f>[4]Sheet1!$C$36+[4]Sheet1!$D$36</x:f>
        <x:v>20424706.280000001</x:v>
      </x:c>
      <x:c r="F16" s="181"/>
      <x:c r="G16"/>
      <x:c r="H16"/>
      <x:c r="I16" s="98"/>
      <x:c r="J16"/>
      <x:c r="L16" s="98"/>
    </x:row>
    <x:row r="17" spans="1:12" x14ac:dyDescent="0.2">
      <x:c r="A17" s="176" t="s">
        <x:v>92</x:v>
      </x:c>
      <x:c r="B17" s="179" t="s">
        <x:v>16</x:v>
      </x:c>
      <x:c r="C17" s="65" t="s">
        <x:v>116</x:v>
      </x:c>
      <x:c r="D17" s="198"/>
      <x:c r="E17" s="201">
        <x:f>[4]Sheet1!$C$28+[4]Sheet1!$D$28</x:f>
        <x:v>4188295328.5600128</x:v>
      </x:c>
      <x:c r="F17" s="181"/>
      <x:c r="G17"/>
      <x:c r="H17"/>
      <x:c r="I17" s="98"/>
      <x:c r="J17"/>
      <x:c r="L17" s="98"/>
    </x:row>
    <x:row r="18" spans="1:12" x14ac:dyDescent="0.2">
      <x:c r="A18" s="176" t="s">
        <x:v>93</x:v>
      </x:c>
      <x:c r="B18" s="179" t="s">
        <x:v>16</x:v>
      </x:c>
      <x:c r="C18" s="65" t="s">
        <x:v>117</x:v>
      </x:c>
      <x:c r="D18" s="198"/>
      <x:c r="E18" s="201">
        <x:f>[4]Sheet1!$E$35</x:f>
        <x:v>19314256.829999998</x:v>
      </x:c>
      <x:c r="F18" s="181"/>
      <x:c r="G18"/>
      <x:c r="H18"/>
      <x:c r="I18" s="98"/>
      <x:c r="J18"/>
      <x:c r="L18" s="98"/>
    </x:row>
    <x:row r="19" spans="1:12" x14ac:dyDescent="0.2">
      <x:c r="A19" s="176" t="s">
        <x:v>102</x:v>
      </x:c>
      <x:c r="B19" s="179" t="s">
        <x:v>16</x:v>
      </x:c>
      <x:c r="C19" s="65" t="s">
        <x:v>118</x:v>
      </x:c>
      <x:c r="D19" s="198"/>
      <x:c r="E19" s="201">
        <x:f>[4]Sheet1!$C$37+[4]Sheet1!$D$37</x:f>
        <x:v>292165492.10000002</x:v>
      </x:c>
      <x:c r="F19" s="181"/>
      <x:c r="G19"/>
      <x:c r="H19"/>
      <x:c r="I19" s="98"/>
      <x:c r="J19"/>
      <x:c r="L19" s="98"/>
    </x:row>
    <x:row r="20" spans="1:12" x14ac:dyDescent="0.2">
      <x:c r="A20" s="8">
        <x:v>5</x:v>
      </x:c>
      <x:c r="B20" s="179" t="s">
        <x:v>17</x:v>
      </x:c>
      <x:c r="C20" s="65" t="s">
        <x:v>18</x:v>
      </x:c>
      <x:c r="D20" s="198"/>
      <x:c r="E20" s="201">
        <x:f>[4]Sheet1!$C$29+[4]Sheet1!$D$29</x:f>
        <x:v>2153423296.3499985</x:v>
      </x:c>
      <x:c r="F20" s="181"/>
      <x:c r="G20"/>
      <x:c r="H20"/>
      <x:c r="I20" s="98"/>
      <x:c r="J20"/>
      <x:c r="L20" s="98"/>
    </x:row>
    <x:row r="21" spans="1:12" x14ac:dyDescent="0.2">
      <x:c r="A21" s="8">
        <x:v>6</x:v>
      </x:c>
      <x:c r="B21" s="179" t="s">
        <x:v>19</x:v>
      </x:c>
      <x:c r="C21" s="65" t="s">
        <x:v>20</x:v>
      </x:c>
      <x:c r="D21" s="198"/>
      <x:c r="E21" s="201">
        <x:f>[4]Sheet1!$C$30+[4]Sheet1!$D$30</x:f>
        <x:v>4073573578.2899957</x:v>
      </x:c>
      <x:c r="F21" s="181"/>
      <x:c r="G21"/>
      <x:c r="H21"/>
      <x:c r="I21" s="98"/>
      <x:c r="J21"/>
      <x:c r="L21" s="98"/>
    </x:row>
    <x:row r="22" spans="1:12" x14ac:dyDescent="0.2">
      <x:c r="A22" s="8">
        <x:v>7</x:v>
      </x:c>
      <x:c r="B22" s="179" t="s">
        <x:v>21</x:v>
      </x:c>
      <x:c r="C22" s="65" t="s">
        <x:v>22</x:v>
      </x:c>
      <x:c r="D22" s="198"/>
      <x:c r="E22" s="201">
        <x:f>[4]Sheet1!$C$31+[4]Sheet1!$D$31</x:f>
        <x:v>3734793370.8099942</x:v>
      </x:c>
      <x:c r="F22" s="181"/>
      <x:c r="G22"/>
      <x:c r="H22"/>
      <x:c r="I22" s="98"/>
      <x:c r="J22"/>
      <x:c r="L22" s="98"/>
    </x:row>
    <x:row r="23" spans="1:12" x14ac:dyDescent="0.2">
      <x:c r="A23" s="8">
        <x:v>8</x:v>
      </x:c>
      <x:c r="B23" s="179" t="s">
        <x:v>23</x:v>
      </x:c>
      <x:c r="C23" s="65" t="s">
        <x:v>24</x:v>
      </x:c>
      <x:c r="D23" s="198"/>
      <x:c r="E23" s="201">
        <x:f>[4]Sheet1!$C$32</x:f>
        <x:v>61796401.399999961</x:v>
      </x:c>
      <x:c r="F23" s="181"/>
      <x:c r="G23"/>
      <x:c r="H23"/>
      <x:c r="I23" s="98"/>
      <x:c r="J23"/>
      <x:c r="L23" s="98"/>
    </x:row>
    <x:row r="24" spans="1:12" x14ac:dyDescent="0.2">
      <x:c r="A24" s="8">
        <x:v>9</x:v>
      </x:c>
      <x:c r="B24" s="179" t="s">
        <x:v>25</x:v>
      </x:c>
      <x:c r="C24" s="65" t="s">
        <x:v>26</x:v>
      </x:c>
      <x:c r="D24" s="198"/>
      <x:c r="E24" s="201">
        <x:f>[4]Sheet1!$C$33</x:f>
        <x:v>96633109.49000001</x:v>
      </x:c>
      <x:c r="F24" s="181"/>
      <x:c r="G24"/>
      <x:c r="H24"/>
      <x:c r="I24" s="98"/>
      <x:c r="J24"/>
      <x:c r="L24" s="98"/>
    </x:row>
    <x:row r="25" spans="1:12" x14ac:dyDescent="0.2">
      <x:c r="A25" s="8">
        <x:v>10</x:v>
      </x:c>
      <x:c r="B25" s="179" t="s">
        <x:v>27</x:v>
      </x:c>
      <x:c r="C25" s="65" t="s">
        <x:v>28</x:v>
      </x:c>
      <x:c r="D25" s="198"/>
      <x:c r="E25" s="209">
        <x:v>0</x:v>
      </x:c>
      <x:c r="F25" s="181"/>
      <x:c r="G25"/>
      <x:c r="H25"/>
      <x:c r="I25" s="98"/>
      <x:c r="J25"/>
      <x:c r="L25" s="98"/>
    </x:row>
    <x:row r="26" spans="1:12" ht="15.75" x14ac:dyDescent="0.25">
      <x:c r="A26" s="8">
        <x:v>11</x:v>
      </x:c>
      <x:c r="B26" s="179"/>
      <x:c r="C26" s="182" t="s">
        <x:v>29</x:v>
      </x:c>
      <x:c r="D26" s="198"/>
      <x:c r="E26" s="202">
        <x:f>SUM(E10:E25)</x:f>
        <x:v>16264706889.190001</x:v>
      </x:c>
      <x:c r="F26" s="181"/>
      <x:c r="G26"/>
      <x:c r="H26"/>
      <x:c r="I26" s="98"/>
      <x:c r="J26"/>
      <x:c r="L26" s="98"/>
    </x:row>
    <x:row r="27" spans="1:12" x14ac:dyDescent="0.2">
      <x:c r="A27" s="8"/>
      <x:c r="B27" s="179"/>
      <x:c r="C27" s="65"/>
      <x:c r="D27" s="198"/>
      <x:c r="E27" s="201"/>
      <x:c r="F27" s="181"/>
      <x:c r="G27"/>
      <x:c r="H27"/>
      <x:c r="I27" s="98"/>
      <x:c r="J27"/>
      <x:c r="L27" s="98"/>
    </x:row>
    <x:row r="28" spans="1:12" ht="15.75" x14ac:dyDescent="0.25">
      <x:c r="A28" s="8"/>
      <x:c r="B28" s="183" t="s">
        <x:v>30</x:v>
      </x:c>
      <x:c r="C28" s="65"/>
      <x:c r="D28" s="198"/>
      <x:c r="E28" s="201"/>
      <x:c r="F28" s="181"/>
      <x:c r="G28"/>
      <x:c r="H28"/>
      <x:c r="I28" s="98"/>
      <x:c r="J28"/>
      <x:c r="L28" s="98"/>
    </x:row>
    <x:row r="29" spans="1:12" x14ac:dyDescent="0.2">
      <x:c r="A29" s="8">
        <x:v>12</x:v>
      </x:c>
      <x:c r="B29" s="179" t="s">
        <x:v>31</x:v>
      </x:c>
      <x:c r="C29" s="65" t="s">
        <x:v>32</x:v>
      </x:c>
      <x:c r="D29" s="198"/>
      <x:c r="E29" s="201">
        <x:f>[4]Sheet1!$C$52+'[3]II-B-1'!$Q$56</x:f>
        <x:v>38441602.767446905</x:v>
      </x:c>
      <x:c r="F29" s="181"/>
      <x:c r="G29"/>
      <x:c r="H29"/>
      <x:c r="I29" s="98"/>
      <x:c r="J29"/>
      <x:c r="L29" s="98"/>
    </x:row>
    <x:row r="30" spans="1:12" x14ac:dyDescent="0.2">
      <x:c r="A30" s="8">
        <x:v>13</x:v>
      </x:c>
      <x:c r="B30" s="179" t="s">
        <x:v>33</x:v>
      </x:c>
      <x:c r="C30" s="65" t="s">
        <x:v>34</x:v>
      </x:c>
      <x:c r="D30" s="198"/>
      <x:c r="E30" s="201">
        <x:f>[4]Sheet1!$C$54+[4]Sheet1!$D$54</x:f>
        <x:v>135093650.07604593</x:v>
      </x:c>
      <x:c r="F30" s="181"/>
      <x:c r="G30"/>
      <x:c r="H30"/>
      <x:c r="I30" s="98"/>
      <x:c r="J30"/>
      <x:c r="L30" s="98"/>
    </x:row>
    <x:row r="31" spans="1:12" x14ac:dyDescent="0.2">
      <x:c r="A31" s="8">
        <x:v>14</x:v>
      </x:c>
      <x:c r="B31" s="179" t="s">
        <x:v>35</x:v>
      </x:c>
      <x:c r="C31" s="65" t="s">
        <x:v>36</x:v>
      </x:c>
      <x:c r="D31" s="198"/>
      <x:c r="E31" s="201">
        <x:f>[4]Sheet1!$C$55+[4]Sheet1!$D$55</x:f>
        <x:v>909625324.44138503</x:v>
      </x:c>
      <x:c r="F31" s="181"/>
      <x:c r="G31"/>
      <x:c r="H31"/>
      <x:c r="I31" s="98"/>
      <x:c r="J31"/>
      <x:c r="L31" s="98"/>
    </x:row>
    <x:row r="32" spans="1:12" ht="15.75" x14ac:dyDescent="0.25">
      <x:c r="A32" s="8">
        <x:v>15</x:v>
      </x:c>
      <x:c r="B32" s="179"/>
      <x:c r="C32" s="182" t="s">
        <x:v>37</x:v>
      </x:c>
      <x:c r="D32" s="198"/>
      <x:c r="E32" s="202">
        <x:f>SUM(E29:E31)</x:f>
        <x:v>1083160577.2848778</x:v>
      </x:c>
      <x:c r="F32" s="181"/>
      <x:c r="G32"/>
      <x:c r="H32"/>
      <x:c r="I32" s="98"/>
      <x:c r="J32"/>
      <x:c r="L32" s="98"/>
    </x:row>
    <x:row r="33" spans="1:12" x14ac:dyDescent="0.2">
      <x:c r="A33" s="8"/>
      <x:c r="B33" s="179"/>
      <x:c r="C33" s="65"/>
      <x:c r="D33" s="198"/>
      <x:c r="E33" s="199"/>
      <x:c r="F33" s="181"/>
      <x:c r="G33"/>
      <x:c r="H33"/>
      <x:c r="I33" s="98"/>
      <x:c r="J33"/>
      <x:c r="L33" s="98"/>
    </x:row>
    <x:row r="34" spans="1:12" ht="16.5" thickBot="1" x14ac:dyDescent="0.3">
      <x:c r="A34" s="8">
        <x:v>16</x:v>
      </x:c>
      <x:c r="B34" s="183" t="s">
        <x:v>38</x:v>
      </x:c>
      <x:c r="C34" s="65"/>
      <x:c r="D34" s="198" t="s">
        <x:v>45</x:v>
      </x:c>
      <x:c r="E34" s="203">
        <x:f>E26+E32</x:f>
        <x:v>17347867466.474876</x:v>
      </x:c>
      <x:c r="F34" s="181"/>
      <x:c r="G34"/>
      <x:c r="H34"/>
      <x:c r="I34" s="98"/>
      <x:c r="J34"/>
      <x:c r="L34" s="98"/>
    </x:row>
    <x:row r="35" spans="1:12" ht="15.75" thickTop="1" x14ac:dyDescent="0.2">
      <x:c r="A35" s="21"/>
      <x:c r="B35" s="184"/>
      <x:c r="C35" s="185"/>
      <x:c r="D35" s="208"/>
      <x:c r="E35" s="186"/>
      <x:c r="F35" s="187"/>
      <x:c r="G35"/>
      <x:c r="H35"/>
      <x:c r="I35"/>
      <x:c r="J35"/>
    </x:row>
    <x:row r="36" spans="1:12" x14ac:dyDescent="0.2">
      <x:c r="B36" s="188"/>
      <x:c r="C36" s="188"/>
      <x:c r="D36" s="188"/>
      <x:c r="E36" s="189"/>
      <x:c r="F36" s="189"/>
      <x:c r="G36" s="39"/>
      <x:c r="H36" s="39"/>
    </x:row>
    <x:row r="37" spans="1:12" x14ac:dyDescent="0.2">
      <x:c r="G37" s="40"/>
      <x:c r="H37" s="40"/>
    </x:row>
  </x:sheetData>
  <x:phoneticPr fontId="9" type="noConversion"/>
  <x:printOptions horizontalCentered="1"/>
  <x:pageMargins left="1.5" right="0.5" top="1.6" bottom="0.75" header="1" footer="0.5"/>
  <x:pageSetup scale="85" orientation="portrait" r:id="rId1"/>
  <x:headerFooter alignWithMargins="0">
    <x:oddHeader xml:space="preserve">&amp;RWP/III-A-1
Page 3 of 7
TCOS Baselne - Schedule B-1
</x:oddHeader>
  </x:headerFooter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pageSetUpPr fitToPage="1"/>
  </x:sheetPr>
  <x:dimension ref="A1:I40"/>
  <x:sheetViews>
    <x:sheetView zoomScale="75" workbookViewId="0">
      <x:selection activeCell="G19" sqref="G19"/>
    </x:sheetView>
  </x:sheetViews>
  <x:sheetFormatPr defaultRowHeight="15" x14ac:dyDescent="0.2"/>
  <x:cols>
    <x:col min="1" max="1" width="6.42578125" style="3" customWidth="1"/>
    <x:col min="2" max="2" width="12.42578125" style="3" customWidth="1"/>
    <x:col min="3" max="3" width="46" style="3" customWidth="1"/>
    <x:col min="4" max="4" width="15" style="3" customWidth="1"/>
    <x:col min="5" max="5" width="19.5703125" style="3" customWidth="1"/>
    <x:col min="6" max="6" width="19.7109375" style="3" customWidth="1"/>
    <x:col min="7" max="7" width="18" style="3" customWidth="1"/>
    <x:col min="8" max="8" width="23" style="3" customWidth="1"/>
    <x:col min="9" max="9" width="21.5703125" style="3" customWidth="1"/>
  </x:cols>
  <x:sheetData>
    <x:row r="1" spans="1:9" ht="15.75" x14ac:dyDescent="0.25">
      <x:c r="A1" s="1" t="str">
        <x:f>'Schedule A'!$A$1</x:f>
        <x:v>ONCOR ELECTRIC DELIVERY COMPANY LLC</x:v>
      </x:c>
      <x:c r="B1" s="1"/>
      <x:c r="C1" s="1"/>
      <x:c r="D1" s="1"/>
      <x:c r="E1" s="1"/>
      <x:c r="F1" s="60"/>
      <x:c r="G1" s="60"/>
      <x:c r="H1" s="60"/>
      <x:c r="I1" s="60"/>
    </x:row>
    <x:row r="2" spans="1:9" ht="15.75" x14ac:dyDescent="0.25">
      <x:c r="A2" s="1" t="str">
        <x:f>'Schedule A'!$A$2</x:f>
        <x:v>Baseline of Wholesale Transmission Cost of Service</x:v>
      </x:c>
      <x:c r="B2" s="1"/>
      <x:c r="C2" s="1"/>
      <x:c r="D2" s="1"/>
      <x:c r="E2" s="1"/>
      <x:c r="F2" s="60"/>
      <x:c r="G2" s="60"/>
      <x:c r="H2" s="60"/>
      <x:c r="I2" s="60"/>
    </x:row>
    <x:row r="3" spans="1:9" ht="15.75" x14ac:dyDescent="0.25">
      <x:c r="A3" s="1" t="s">
        <x:v>39</x:v>
      </x:c>
      <x:c r="B3" s="1"/>
      <x:c r="C3" s="1"/>
      <x:c r="D3" s="1"/>
      <x:c r="E3" s="1"/>
      <x:c r="F3" s="60"/>
      <x:c r="G3" s="60"/>
      <x:c r="H3" s="60"/>
      <x:c r="I3" s="60"/>
    </x:row>
    <x:row r="4" spans="1:9" ht="15.75" x14ac:dyDescent="0.25">
      <x:c r="A4" s="1" t="str">
        <x:f>'Schedule A'!A3</x:f>
        <x:v>As of December 31, 2024</x:v>
      </x:c>
      <x:c r="B4" s="1"/>
      <x:c r="C4" s="1"/>
      <x:c r="D4" s="1"/>
      <x:c r="E4" s="1"/>
      <x:c r="F4" s="60"/>
      <x:c r="G4" s="60"/>
      <x:c r="H4" s="60"/>
      <x:c r="I4" s="60"/>
    </x:row>
    <x:row r="5" spans="1:9" ht="15.75" x14ac:dyDescent="0.25">
      <x:c r="A5" s="2" t="str">
        <x:f>'Schedule B-1'!A5</x:f>
        <x:v>Sponsors:  W. Alan Ledbetter and Matthew A. Troxle</x:v>
      </x:c>
      <x:c r="B5" s="1"/>
      <x:c r="C5" s="2"/>
      <x:c r="D5" s="2"/>
      <x:c r="E5" s="2"/>
      <x:c r="F5" s="61"/>
      <x:c r="G5" s="61"/>
      <x:c r="H5" s="61"/>
      <x:c r="I5" s="60"/>
    </x:row>
    <x:row r="6" spans="1:9" ht="15.75" x14ac:dyDescent="0.25">
      <x:c r="A6" s="19"/>
      <x:c r="B6" s="19"/>
      <x:c r="C6" s="1"/>
      <x:c r="D6" s="19"/>
      <x:c r="E6" s="19"/>
      <x:c r="F6" s="41"/>
      <x:c r="G6" s="41"/>
      <x:c r="H6" s="41"/>
      <x:c r="I6" s="41"/>
    </x:row>
    <x:row r="7" spans="1:9" ht="47.25" x14ac:dyDescent="0.25">
      <x:c r="A7" s="42" t="s">
        <x:v>85</x:v>
      </x:c>
      <x:c r="B7" s="32" t="s">
        <x:v>10</x:v>
      </x:c>
      <x:c r="C7" s="43" t="s">
        <x:v>11</x:v>
      </x:c>
      <x:c r="D7" s="20" t="s">
        <x:v>84</x:v>
      </x:c>
      <x:c r="E7" s="20" t="str">
        <x:f>'Schedule A'!C6</x:f>
        <x:v>Test Year Ending 12/31/2024</x:v>
      </x:c>
      <x:c r="F7"/>
      <x:c r="G7"/>
      <x:c r="H7"/>
      <x:c r="I7"/>
    </x:row>
    <x:row r="8" spans="1:9" ht="15.75" x14ac:dyDescent="0.25">
      <x:c r="A8" s="21"/>
      <x:c r="B8" s="33"/>
      <x:c r="C8" s="21"/>
      <x:c r="D8" s="34"/>
      <x:c r="E8" s="35"/>
      <x:c r="F8"/>
      <x:c r="G8"/>
      <x:c r="H8"/>
      <x:c r="I8"/>
    </x:row>
    <x:row r="9" spans="1:9" ht="15.75" x14ac:dyDescent="0.25">
      <x:c r="A9" s="8"/>
      <x:c r="B9" s="36" t="s">
        <x:v>39</x:v>
      </x:c>
      <x:c r="C9" s="15"/>
      <x:c r="D9" s="10"/>
      <x:c r="E9" s="44"/>
      <x:c r="F9"/>
      <x:c r="G9"/>
      <x:c r="H9"/>
      <x:c r="I9"/>
    </x:row>
    <x:row r="10" spans="1:9" ht="15.75" x14ac:dyDescent="0.25">
      <x:c r="A10" s="8"/>
      <x:c r="B10" s="183" t="s">
        <x:v>12</x:v>
      </x:c>
      <x:c r="C10" s="65"/>
      <x:c r="D10" s="180"/>
      <x:c r="E10" s="199"/>
      <x:c r="F10" s="187"/>
      <x:c r="G10"/>
      <x:c r="H10"/>
      <x:c r="I10"/>
    </x:row>
    <x:row r="11" spans="1:9" x14ac:dyDescent="0.2">
      <x:c r="A11" s="8">
        <x:v>1</x:v>
      </x:c>
      <x:c r="B11" s="179" t="s">
        <x:v>13</x:v>
      </x:c>
      <x:c r="C11" s="65" t="s">
        <x:v>14</x:v>
      </x:c>
      <x:c r="D11" s="180"/>
      <x:c r="E11" s="200">
        <x:f>'[3]II-B-5'!$Q$26</x:f>
        <x:v>140778734.75999999</x:v>
      </x:c>
      <x:c r="F11" s="187"/>
      <x:c r="G11"/>
      <x:c r="H11"/>
      <x:c r="I11"/>
    </x:row>
    <x:row r="12" spans="1:9" x14ac:dyDescent="0.2">
      <x:c r="A12" s="176" t="s">
        <x:v>107</x:v>
      </x:c>
      <x:c r="B12" s="179" t="s">
        <x:v>122</x:v>
      </x:c>
      <x:c r="C12" s="65" t="s">
        <x:v>125</x:v>
      </x:c>
      <x:c r="D12" s="180"/>
      <x:c r="E12" s="201">
        <x:v>0</x:v>
      </x:c>
      <x:c r="F12" s="187"/>
      <x:c r="G12"/>
      <x:c r="H12"/>
      <x:c r="I12"/>
    </x:row>
    <x:row r="13" spans="1:9" x14ac:dyDescent="0.2">
      <x:c r="A13" s="176" t="s">
        <x:v>108</x:v>
      </x:c>
      <x:c r="B13" s="179" t="s">
        <x:v>123</x:v>
      </x:c>
      <x:c r="C13" s="65" t="s">
        <x:v>126</x:v>
      </x:c>
      <x:c r="D13" s="180"/>
      <x:c r="E13" s="201">
        <x:v>56291412.899999999</x:v>
      </x:c>
      <x:c r="F13" s="187"/>
      <x:c r="G13"/>
      <x:c r="H13"/>
      <x:c r="I13"/>
    </x:row>
    <x:row r="14" spans="1:9" x14ac:dyDescent="0.2">
      <x:c r="A14" s="176" t="s">
        <x:v>109</x:v>
      </x:c>
      <x:c r="B14" s="179" t="s">
        <x:v>124</x:v>
      </x:c>
      <x:c r="C14" s="65" t="s">
        <x:v>127</x:v>
      </x:c>
      <x:c r="D14" s="180"/>
      <x:c r="E14" s="201">
        <x:v>1213664.3</x:v>
      </x:c>
      <x:c r="F14" s="187"/>
      <x:c r="G14"/>
      <x:c r="H14"/>
      <x:c r="I14"/>
    </x:row>
    <x:row r="15" spans="1:9" x14ac:dyDescent="0.2">
      <x:c r="A15" s="176" t="s">
        <x:v>110</x:v>
      </x:c>
      <x:c r="B15" s="179" t="s">
        <x:v>15</x:v>
      </x:c>
      <x:c r="C15" s="65" t="s">
        <x:v>113</x:v>
      </x:c>
      <x:c r="D15" s="180"/>
      <x:c r="E15" s="201">
        <x:f>133197748.04967+24796762.5938403</x:f>
        <x:v>157994510.64351028</x:v>
      </x:c>
      <x:c r="F15" s="187"/>
      <x:c r="G15"/>
      <x:c r="H15"/>
      <x:c r="I15"/>
    </x:row>
    <x:row r="16" spans="1:9" x14ac:dyDescent="0.2">
      <x:c r="A16" s="176" t="s">
        <x:v>111</x:v>
      </x:c>
      <x:c r="B16" s="179" t="s">
        <x:v>15</x:v>
      </x:c>
      <x:c r="C16" s="65" t="s">
        <x:v>114</x:v>
      </x:c>
      <x:c r="D16" s="180"/>
      <x:c r="E16" s="201">
        <x:v>1013443.7632034129</x:v>
      </x:c>
      <x:c r="F16" s="187"/>
      <x:c r="G16"/>
      <x:c r="H16"/>
      <x:c r="I16"/>
    </x:row>
    <x:row r="17" spans="1:9" x14ac:dyDescent="0.2">
      <x:c r="A17" s="176" t="s">
        <x:v>112</x:v>
      </x:c>
      <x:c r="B17" s="179" t="s">
        <x:v>15</x:v>
      </x:c>
      <x:c r="C17" s="65" t="s">
        <x:v>115</x:v>
      </x:c>
      <x:c r="D17" s="180"/>
      <x:c r="E17" s="201">
        <x:f>4115588.80353817+1315449.34295129</x:f>
        <x:v>5431038.14648946</x:v>
      </x:c>
      <x:c r="F17" s="187"/>
      <x:c r="G17"/>
      <x:c r="H17"/>
      <x:c r="I17"/>
    </x:row>
    <x:row r="18" spans="1:9" x14ac:dyDescent="0.2">
      <x:c r="A18" s="176" t="s">
        <x:v>92</x:v>
      </x:c>
      <x:c r="B18" s="179" t="s">
        <x:v>16</x:v>
      </x:c>
      <x:c r="C18" s="65" t="s">
        <x:v>116</x:v>
      </x:c>
      <x:c r="D18" s="180"/>
      <x:c r="E18" s="201">
        <x:v>851207005.7425549</x:v>
      </x:c>
      <x:c r="F18" s="187"/>
      <x:c r="G18"/>
      <x:c r="H18"/>
      <x:c r="I18"/>
    </x:row>
    <x:row r="19" spans="1:9" x14ac:dyDescent="0.2">
      <x:c r="A19" s="176" t="s">
        <x:v>93</x:v>
      </x:c>
      <x:c r="B19" s="179" t="s">
        <x:v>16</x:v>
      </x:c>
      <x:c r="C19" s="65" t="s">
        <x:v>117</x:v>
      </x:c>
      <x:c r="D19" s="180"/>
      <x:c r="E19" s="201">
        <x:v>9424770.9704226181</x:v>
      </x:c>
      <x:c r="F19" s="187"/>
      <x:c r="G19"/>
      <x:c r="H19"/>
      <x:c r="I19"/>
    </x:row>
    <x:row r="20" spans="1:9" x14ac:dyDescent="0.2">
      <x:c r="A20" s="176" t="s">
        <x:v>102</x:v>
      </x:c>
      <x:c r="B20" s="179" t="s">
        <x:v>16</x:v>
      </x:c>
      <x:c r="C20" s="65" t="s">
        <x:v>118</x:v>
      </x:c>
      <x:c r="D20" s="180"/>
      <x:c r="E20" s="201">
        <x:f>85762185.2957596+16571115.2570487</x:f>
        <x:v>102333300.5528083</x:v>
      </x:c>
      <x:c r="F20" s="187"/>
      <x:c r="G20"/>
      <x:c r="H20"/>
      <x:c r="I20"/>
    </x:row>
    <x:row r="21" spans="1:9" x14ac:dyDescent="0.2">
      <x:c r="A21" s="8">
        <x:v>5</x:v>
      </x:c>
      <x:c r="B21" s="179" t="s">
        <x:v>17</x:v>
      </x:c>
      <x:c r="C21" s="65" t="s">
        <x:v>18</x:v>
      </x:c>
      <x:c r="D21" s="180"/>
      <x:c r="E21" s="201">
        <x:f>'[3]II-B-5'!$Q$32</x:f>
        <x:v>648032224.47000003</x:v>
      </x:c>
      <x:c r="F21" s="187"/>
      <x:c r="G21"/>
      <x:c r="H21"/>
      <x:c r="I21"/>
    </x:row>
    <x:row r="22" spans="1:9" x14ac:dyDescent="0.2">
      <x:c r="A22" s="8">
        <x:v>6</x:v>
      </x:c>
      <x:c r="B22" s="179" t="s">
        <x:v>19</x:v>
      </x:c>
      <x:c r="C22" s="65" t="s">
        <x:v>20</x:v>
      </x:c>
      <x:c r="D22" s="180"/>
      <x:c r="E22" s="201">
        <x:f>'[3]II-B-5'!$Q$33</x:f>
        <x:v>1024421623.0999999</x:v>
      </x:c>
      <x:c r="F22" s="187"/>
      <x:c r="G22"/>
      <x:c r="H22"/>
      <x:c r="I22"/>
    </x:row>
    <x:row r="23" spans="1:9" x14ac:dyDescent="0.2">
      <x:c r="A23" s="8">
        <x:v>7</x:v>
      </x:c>
      <x:c r="B23" s="179" t="s">
        <x:v>21</x:v>
      </x:c>
      <x:c r="C23" s="65" t="s">
        <x:v>40</x:v>
      </x:c>
      <x:c r="D23" s="180"/>
      <x:c r="E23" s="201">
        <x:f>'[3]II-B-5'!$Q$34</x:f>
        <x:v>869670013.72000003</x:v>
      </x:c>
      <x:c r="F23" s="187"/>
      <x:c r="G23"/>
      <x:c r="H23"/>
      <x:c r="I23"/>
    </x:row>
    <x:row r="24" spans="1:9" x14ac:dyDescent="0.2">
      <x:c r="A24" s="8">
        <x:v>8</x:v>
      </x:c>
      <x:c r="B24" s="179" t="s">
        <x:v>23</x:v>
      </x:c>
      <x:c r="C24" s="65" t="s">
        <x:v>24</x:v>
      </x:c>
      <x:c r="D24" s="180"/>
      <x:c r="E24" s="201">
        <x:f>'[3]II-B-5'!$Q$35</x:f>
        <x:v>24828550.920000002</x:v>
      </x:c>
      <x:c r="F24" s="187"/>
      <x:c r="G24"/>
      <x:c r="H24"/>
      <x:c r="I24"/>
    </x:row>
    <x:row r="25" spans="1:9" x14ac:dyDescent="0.2">
      <x:c r="A25" s="8">
        <x:v>9</x:v>
      </x:c>
      <x:c r="B25" s="179" t="s">
        <x:v>25</x:v>
      </x:c>
      <x:c r="C25" s="65" t="s">
        <x:v>26</x:v>
      </x:c>
      <x:c r="D25" s="180"/>
      <x:c r="E25" s="201">
        <x:f>'[3]II-B-5'!$Q$36</x:f>
        <x:v>35777645.020000003</x:v>
      </x:c>
      <x:c r="F25" s="187"/>
      <x:c r="G25"/>
      <x:c r="H25"/>
      <x:c r="I25"/>
    </x:row>
    <x:row r="26" spans="1:9" x14ac:dyDescent="0.2">
      <x:c r="A26" s="8">
        <x:v>10</x:v>
      </x:c>
      <x:c r="B26" s="179" t="s">
        <x:v>27</x:v>
      </x:c>
      <x:c r="C26" s="65" t="s">
        <x:v>28</x:v>
      </x:c>
      <x:c r="D26" s="180"/>
      <x:c r="E26" s="201">
        <x:v>0</x:v>
      </x:c>
      <x:c r="F26" s="187"/>
      <x:c r="G26"/>
      <x:c r="H26"/>
      <x:c r="I26"/>
    </x:row>
    <x:row r="27" spans="1:9" ht="15.75" x14ac:dyDescent="0.25">
      <x:c r="A27" s="8">
        <x:v>11</x:v>
      </x:c>
      <x:c r="B27" s="179"/>
      <x:c r="C27" s="182" t="s">
        <x:v>29</x:v>
      </x:c>
      <x:c r="D27" s="180"/>
      <x:c r="E27" s="202">
        <x:f>SUM(E11:E26)</x:f>
        <x:v>3928417939.0089889</x:v>
      </x:c>
      <x:c r="F27" s="187"/>
      <x:c r="G27"/>
      <x:c r="H27"/>
      <x:c r="I27"/>
    </x:row>
    <x:row r="28" spans="1:9" x14ac:dyDescent="0.2">
      <x:c r="A28" s="8"/>
      <x:c r="B28" s="179"/>
      <x:c r="C28" s="65"/>
      <x:c r="D28" s="180"/>
      <x:c r="E28" s="201"/>
      <x:c r="F28" s="187"/>
      <x:c r="G28"/>
      <x:c r="H28"/>
      <x:c r="I28"/>
    </x:row>
    <x:row r="29" spans="1:9" ht="15.75" x14ac:dyDescent="0.25">
      <x:c r="A29" s="8"/>
      <x:c r="B29" s="183" t="s">
        <x:v>30</x:v>
      </x:c>
      <x:c r="C29" s="65"/>
      <x:c r="D29" s="180"/>
      <x:c r="E29" s="201"/>
      <x:c r="F29" s="187"/>
      <x:c r="G29"/>
      <x:c r="H29"/>
      <x:c r="I29"/>
    </x:row>
    <x:row r="30" spans="1:9" x14ac:dyDescent="0.2">
      <x:c r="A30" s="8">
        <x:v>12</x:v>
      </x:c>
      <x:c r="B30" s="179" t="s">
        <x:v>31</x:v>
      </x:c>
      <x:c r="C30" s="65" t="s">
        <x:v>32</x:v>
      </x:c>
      <x:c r="D30" s="180"/>
      <x:c r="E30" s="201">
        <x:f>'[3]II-B-5'!$Q$43</x:f>
        <x:v>339719.3</x:v>
      </x:c>
      <x:c r="F30" s="187"/>
      <x:c r="G30"/>
      <x:c r="H30"/>
      <x:c r="I30"/>
    </x:row>
    <x:row r="31" spans="1:9" x14ac:dyDescent="0.2">
      <x:c r="A31" s="8">
        <x:v>13</x:v>
      </x:c>
      <x:c r="B31" s="179" t="s">
        <x:v>33</x:v>
      </x:c>
      <x:c r="C31" s="65" t="s">
        <x:v>34</x:v>
      </x:c>
      <x:c r="D31" s="180"/>
      <x:c r="E31" s="201">
        <x:f>'[3]II-B-5'!$Q$44</x:f>
        <x:v>22759234.809999999</x:v>
      </x:c>
      <x:c r="F31" s="187"/>
      <x:c r="G31"/>
      <x:c r="H31"/>
      <x:c r="I31"/>
    </x:row>
    <x:row r="32" spans="1:9" x14ac:dyDescent="0.2">
      <x:c r="A32" s="8">
        <x:v>14</x:v>
      </x:c>
      <x:c r="B32" s="179" t="s">
        <x:v>35</x:v>
      </x:c>
      <x:c r="C32" s="65" t="s">
        <x:v>36</x:v>
      </x:c>
      <x:c r="D32" s="180"/>
      <x:c r="E32" s="201">
        <x:f>'[3]II-B-5'!$Q$45</x:f>
        <x:v>141628851.40000001</x:v>
      </x:c>
      <x:c r="F32" s="187"/>
      <x:c r="G32"/>
      <x:c r="H32"/>
      <x:c r="I32"/>
    </x:row>
    <x:row r="33" spans="1:9" ht="15.75" x14ac:dyDescent="0.25">
      <x:c r="A33" s="8">
        <x:v>15</x:v>
      </x:c>
      <x:c r="B33" s="179"/>
      <x:c r="C33" s="182" t="s">
        <x:v>37</x:v>
      </x:c>
      <x:c r="D33" s="180"/>
      <x:c r="E33" s="202">
        <x:f>SUM(E30:E32)</x:f>
        <x:v>164727805.50999999</x:v>
      </x:c>
      <x:c r="F33" s="187"/>
      <x:c r="G33"/>
      <x:c r="H33"/>
      <x:c r="I33"/>
    </x:row>
    <x:row r="34" spans="1:9" x14ac:dyDescent="0.2">
      <x:c r="A34" s="8"/>
      <x:c r="B34" s="179"/>
      <x:c r="C34" s="65"/>
      <x:c r="D34" s="180"/>
      <x:c r="E34" s="201"/>
      <x:c r="F34" s="187"/>
      <x:c r="G34"/>
      <x:c r="H34"/>
      <x:c r="I34"/>
    </x:row>
    <x:row r="35" spans="1:9" ht="16.5" thickBot="1" x14ac:dyDescent="0.3">
      <x:c r="A35" s="8">
        <x:v>16</x:v>
      </x:c>
      <x:c r="B35" s="183" t="s">
        <x:v>2</x:v>
      </x:c>
      <x:c r="C35" s="65"/>
      <x:c r="D35" s="180" t="s">
        <x:v>45</x:v>
      </x:c>
      <x:c r="E35" s="203">
        <x:f>E27+E33</x:f>
        <x:v>4093145744.5189886</x:v>
      </x:c>
      <x:c r="F35" s="187"/>
      <x:c r="G35"/>
      <x:c r="H35"/>
      <x:c r="I35"/>
    </x:row>
    <x:row r="36" spans="1:9" ht="15.75" thickTop="1" x14ac:dyDescent="0.2">
      <x:c r="A36" s="21"/>
      <x:c r="B36" s="17"/>
      <x:c r="C36" s="18"/>
      <x:c r="D36" s="34"/>
      <x:c r="E36" s="34"/>
      <x:c r="F36"/>
      <x:c r="G36"/>
      <x:c r="H36"/>
      <x:c r="I36"/>
    </x:row>
    <x:row r="38" spans="1:9" x14ac:dyDescent="0.2">
      <x:c r="G38" s="104"/>
      <x:c r="H38" s="59"/>
    </x:row>
    <x:row r="39" spans="1:9" x14ac:dyDescent="0.2">
      <x:c r="G39" s="104"/>
      <x:c r="H39" s="59"/>
    </x:row>
    <x:row r="40" spans="1:9" x14ac:dyDescent="0.2">
      <x:c r="H40" s="75"/>
    </x:row>
  </x:sheetData>
  <x:phoneticPr fontId="9" type="noConversion"/>
  <x:printOptions horizontalCentered="1"/>
  <x:pageMargins left="1.5" right="0.5" top="1.6" bottom="0.75" header="1" footer="0.5"/>
  <x:pageSetup scale="85" orientation="portrait" r:id="rId1"/>
  <x:headerFooter alignWithMargins="0">
    <x:oddHeader xml:space="preserve">&amp;RWP/III-A-1
Page 4 of 7
TCOS Baselne - Schedule B-5
</x:oddHeader>
  </x:headerFooter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pageSetUpPr fitToPage="1"/>
  </x:sheetPr>
  <x:dimension ref="A1:J71"/>
  <x:sheetViews>
    <x:sheetView zoomScale="75" workbookViewId="0">
      <x:pane xSplit="3" ySplit="7" topLeftCell="D8" activePane="bottomRight" state="frozen"/>
      <x:selection pane="topRight" activeCell="D1" sqref="D1"/>
      <x:selection pane="bottomLeft" activeCell="A10" sqref="A10"/>
      <x:selection pane="bottomRight" activeCell="O39" sqref="O39"/>
    </x:sheetView>
  </x:sheetViews>
  <x:sheetFormatPr defaultRowHeight="15" x14ac:dyDescent="0.2"/>
  <x:cols>
    <x:col min="1" max="1" width="5.85546875" style="3" customWidth="1"/>
    <x:col min="2" max="2" width="14.5703125" style="3" customWidth="1"/>
    <x:col min="3" max="3" width="46.85546875" style="3" customWidth="1"/>
    <x:col min="4" max="4" width="14.140625" style="3" customWidth="1"/>
    <x:col min="5" max="5" width="19.140625" style="3" customWidth="1"/>
    <x:col min="6" max="6" width="16" style="3" customWidth="1"/>
    <x:col min="7" max="7" width="2.28515625" style="3" bestFit="1" customWidth="1"/>
    <x:col min="8" max="8" width="18.140625" style="3" customWidth="1"/>
    <x:col min="9" max="9" width="13.140625" bestFit="1" customWidth="1"/>
  </x:cols>
  <x:sheetData>
    <x:row r="1" spans="1:10" ht="15.75" x14ac:dyDescent="0.25">
      <x:c r="A1" s="1" t="str">
        <x:f>'Schedule A'!$A$1</x:f>
        <x:v>ONCOR ELECTRIC DELIVERY COMPANY LLC</x:v>
      </x:c>
      <x:c r="B1" s="1"/>
      <x:c r="C1" s="1"/>
      <x:c r="D1" s="1"/>
      <x:c r="E1" s="1"/>
      <x:c r="F1" s="1"/>
      <x:c r="G1" s="60"/>
      <x:c r="H1" s="60"/>
    </x:row>
    <x:row r="2" spans="1:10" ht="15.75" x14ac:dyDescent="0.25">
      <x:c r="A2" s="1" t="str">
        <x:f>'Schedule A'!$A$2</x:f>
        <x:v>Baseline of Wholesale Transmission Cost of Service</x:v>
      </x:c>
      <x:c r="B2" s="1"/>
      <x:c r="C2" s="1"/>
      <x:c r="D2" s="1"/>
      <x:c r="E2" s="1"/>
      <x:c r="F2" s="1"/>
      <x:c r="G2" s="60"/>
      <x:c r="H2" s="60"/>
    </x:row>
    <x:row r="3" spans="1:10" ht="15.75" x14ac:dyDescent="0.25">
      <x:c r="A3" s="1" t="s">
        <x:v>3</x:v>
      </x:c>
      <x:c r="B3" s="1"/>
      <x:c r="C3" s="1"/>
      <x:c r="D3" s="1"/>
      <x:c r="E3" s="1"/>
      <x:c r="F3" s="1"/>
      <x:c r="G3" s="60"/>
      <x:c r="H3" s="60"/>
    </x:row>
    <x:row r="4" spans="1:10" ht="15.75" x14ac:dyDescent="0.25">
      <x:c r="A4" s="1" t="str">
        <x:f>'Schedule A'!A3</x:f>
        <x:v>As of December 31, 2024</x:v>
      </x:c>
      <x:c r="B4" s="1"/>
      <x:c r="C4" s="1"/>
      <x:c r="D4" s="1"/>
      <x:c r="E4" s="1"/>
      <x:c r="F4" s="1"/>
      <x:c r="G4" s="60"/>
      <x:c r="H4" s="60"/>
    </x:row>
    <x:row r="5" spans="1:10" ht="15.75" x14ac:dyDescent="0.25">
      <x:c r="A5" s="2" t="str">
        <x:f>'Schedule A'!A4</x:f>
        <x:v>Sponsors:  W. Alan Ledbetter and Matthew A. Troxle</x:v>
      </x:c>
      <x:c r="B5" s="1"/>
      <x:c r="C5" s="2"/>
      <x:c r="D5" s="2"/>
      <x:c r="E5" s="2"/>
      <x:c r="F5" s="1"/>
      <x:c r="G5" s="60"/>
      <x:c r="H5" s="60"/>
    </x:row>
    <x:row r="6" spans="1:10" ht="15.75" x14ac:dyDescent="0.25">
      <x:c r="A6" s="19"/>
      <x:c r="B6" s="19"/>
      <x:c r="C6" s="1"/>
      <x:c r="D6" s="19"/>
      <x:c r="E6" s="19"/>
      <x:c r="F6" s="19"/>
      <x:c r="G6" s="41"/>
      <x:c r="H6" s="41"/>
    </x:row>
    <x:row r="7" spans="1:10" ht="47.25" x14ac:dyDescent="0.25">
      <x:c r="A7" s="210" t="s">
        <x:v>85</x:v>
      </x:c>
      <x:c r="B7" s="101" t="s">
        <x:v>10</x:v>
      </x:c>
      <x:c r="C7" s="211" t="s">
        <x:v>11</x:v>
      </x:c>
      <x:c r="D7" s="101" t="s">
        <x:v>84</x:v>
      </x:c>
      <x:c r="E7" s="100" t="str">
        <x:f>'Schedule A'!C6</x:f>
        <x:v>Test Year Ending 12/31/2024</x:v>
      </x:c>
      <x:c r="F7" s="100" t="s">
        <x:v>135</x:v>
      </x:c>
      <x:c r="G7"/>
      <x:c r="H7"/>
    </x:row>
    <x:row r="8" spans="1:10" ht="15.75" x14ac:dyDescent="0.25">
      <x:c r="A8" s="23" t="s">
        <x:v>51</x:v>
      </x:c>
      <x:c r="B8" s="9"/>
      <x:c r="C8" s="15"/>
      <x:c r="D8" s="46"/>
      <x:c r="E8" s="44"/>
      <x:c r="F8" s="44"/>
      <x:c r="G8"/>
      <x:c r="H8"/>
    </x:row>
    <x:row r="9" spans="1:10" ht="15.75" x14ac:dyDescent="0.25">
      <x:c r="A9" s="23" t="s">
        <x:v>52</x:v>
      </x:c>
      <x:c r="B9" s="9"/>
      <x:c r="C9" s="15"/>
      <x:c r="D9" s="46"/>
      <x:c r="E9" s="44"/>
      <x:c r="F9" s="44"/>
      <x:c r="G9"/>
      <x:c r="H9"/>
    </x:row>
    <x:row r="10" spans="1:10" ht="15.75" x14ac:dyDescent="0.25">
      <x:c r="A10" s="8"/>
      <x:c r="B10" s="36" t="s">
        <x:v>12</x:v>
      </x:c>
      <x:c r="C10" s="15"/>
      <x:c r="D10" s="46"/>
      <x:c r="E10" s="27"/>
      <x:c r="F10" s="27"/>
      <x:c r="G10"/>
      <x:c r="H10"/>
    </x:row>
    <x:row r="11" spans="1:10" x14ac:dyDescent="0.2">
      <x:c r="A11" s="8">
        <x:v>1</x:v>
      </x:c>
      <x:c r="B11" s="9" t="s">
        <x:v>13</x:v>
      </x:c>
      <x:c r="C11" s="15" t="s">
        <x:v>14</x:v>
      </x:c>
      <x:c r="D11" s="46"/>
      <x:c r="E11" s="78">
        <x:f>[4]Sheet1!$Z$26</x:f>
        <x:v>6441296.0847743228</x:v>
      </x:c>
      <x:c r="F11" s="50">
        <x:f>[4]Sheet1!$M$26</x:f>
        <x:v>9.5324396490293652E-3</x:v>
      </x:c>
      <x:c r="G11" s="77"/>
      <x:c r="H11" s="134"/>
      <x:c r="J11" s="134"/>
    </x:row>
    <x:row r="12" spans="1:10" x14ac:dyDescent="0.2">
      <x:c r="A12" s="176" t="s">
        <x:v>107</x:v>
      </x:c>
      <x:c r="B12" s="9" t="s">
        <x:v>122</x:v>
      </x:c>
      <x:c r="C12" s="15" t="s">
        <x:v>125</x:v>
      </x:c>
      <x:c r="D12" s="46"/>
      <x:c r="E12" s="12">
        <x:v>0</x:v>
      </x:c>
      <x:c r="F12" s="190"/>
      <x:c r="G12" s="77"/>
      <x:c r="H12" s="134"/>
      <x:c r="J12" s="134"/>
    </x:row>
    <x:row r="13" spans="1:10" x14ac:dyDescent="0.2">
      <x:c r="A13" s="176" t="s">
        <x:v>108</x:v>
      </x:c>
      <x:c r="B13" s="9" t="s">
        <x:v>123</x:v>
      </x:c>
      <x:c r="C13" s="15" t="s">
        <x:v>126</x:v>
      </x:c>
      <x:c r="D13" s="46"/>
      <x:c r="E13" s="12">
        <x:v>12662464.560000001</x:v>
      </x:c>
      <x:c r="F13" s="190">
        <x:f>AVERAGE(F43:F46)</x:f>
        <x:v>0.17286102638080755</x:v>
      </x:c>
      <x:c r="G13" s="3" t="s">
        <x:v>129</x:v>
      </x:c>
      <x:c r="H13" s="134"/>
      <x:c r="J13" s="134"/>
    </x:row>
    <x:row r="14" spans="1:10" x14ac:dyDescent="0.2">
      <x:c r="A14" s="176" t="s">
        <x:v>109</x:v>
      </x:c>
      <x:c r="B14" s="9" t="s">
        <x:v>124</x:v>
      </x:c>
      <x:c r="C14" s="15" t="s">
        <x:v>127</x:v>
      </x:c>
      <x:c r="D14" s="46"/>
      <x:c r="E14" s="12">
        <x:v>122277.99</x:v>
      </x:c>
      <x:c r="F14" s="190">
        <x:v>3.4700000000000002E-2</x:v>
      </x:c>
      <x:c r="G14" s="77"/>
      <x:c r="H14" s="134"/>
      <x:c r="J14" s="134"/>
    </x:row>
    <x:row r="15" spans="1:10" x14ac:dyDescent="0.2">
      <x:c r="A15" s="176" t="s">
        <x:v>110</x:v>
      </x:c>
      <x:c r="B15" s="9" t="s">
        <x:v>15</x:v>
      </x:c>
      <x:c r="C15" s="15" t="s">
        <x:v>113</x:v>
      </x:c>
      <x:c r="D15" s="46"/>
      <x:c r="E15" s="12">
        <x:f>[4]Sheet1!$Z$27</x:f>
        <x:v>14450715.243024159</x:v>
      </x:c>
      <x:c r="F15" s="50">
        <x:f>[4]Sheet1!$M$27</x:f>
        <x:v>2.2840949332387398E-2</x:v>
      </x:c>
      <x:c r="G15"/>
      <x:c r="H15" s="134"/>
      <x:c r="J15" s="134"/>
    </x:row>
    <x:row r="16" spans="1:10" x14ac:dyDescent="0.2">
      <x:c r="A16" s="176" t="s">
        <x:v>111</x:v>
      </x:c>
      <x:c r="B16" s="9" t="s">
        <x:v>15</x:v>
      </x:c>
      <x:c r="C16" s="15" t="s">
        <x:v>114</x:v>
      </x:c>
      <x:c r="D16" s="46"/>
      <x:c r="E16" s="12">
        <x:f>[4]Sheet1!$Z$34</x:f>
        <x:v>37240.804866924133</x:v>
      </x:c>
      <x:c r="F16" s="50">
        <x:f>[4]Sheet1!$M$34</x:f>
        <x:v>2.1988453575813652E-2</x:v>
      </x:c>
      <x:c r="G16"/>
      <x:c r="H16" s="134"/>
      <x:c r="J16" s="134"/>
    </x:row>
    <x:row r="17" spans="1:10" x14ac:dyDescent="0.2">
      <x:c r="A17" s="176" t="s">
        <x:v>112</x:v>
      </x:c>
      <x:c r="B17" s="9" t="s">
        <x:v>15</x:v>
      </x:c>
      <x:c r="C17" s="15" t="s">
        <x:v>115</x:v>
      </x:c>
      <x:c r="D17" s="46"/>
      <x:c r="E17" s="12">
        <x:f>[4]Sheet1!$Z$36</x:f>
        <x:v>1099391.2144561461</x:v>
      </x:c>
      <x:c r="F17" s="50">
        <x:f>[4]Sheet1!$M$36</x:f>
        <x:v>5.3826537301673555E-2</x:v>
      </x:c>
      <x:c r="G17"/>
      <x:c r="H17" s="134"/>
      <x:c r="J17" s="134"/>
    </x:row>
    <x:row r="18" spans="1:10" x14ac:dyDescent="0.2">
      <x:c r="A18" s="176" t="s">
        <x:v>92</x:v>
      </x:c>
      <x:c r="B18" s="9" t="s">
        <x:v>16</x:v>
      </x:c>
      <x:c r="C18" s="15" t="s">
        <x:v>116</x:v>
      </x:c>
      <x:c r="D18" s="46"/>
      <x:c r="E18" s="12">
        <x:f>[4]Sheet1!$S$28+[4]Sheet1!$T$28+[4]Sheet1!$U$28</x:f>
        <x:v>93020172.208902478</x:v>
      </x:c>
      <x:c r="F18" s="50">
        <x:f>[4]Sheet1!$M$28</x:f>
        <x:v>2.2209554224745642E-2</x:v>
      </x:c>
      <x:c r="G18"/>
      <x:c r="H18" s="134"/>
      <x:c r="J18" s="134"/>
    </x:row>
    <x:row r="19" spans="1:10" x14ac:dyDescent="0.2">
      <x:c r="A19" s="176" t="s">
        <x:v>93</x:v>
      </x:c>
      <x:c r="B19" s="9" t="s">
        <x:v>16</x:v>
      </x:c>
      <x:c r="C19" s="15" t="s">
        <x:v>117</x:v>
      </x:c>
      <x:c r="D19" s="46"/>
      <x:c r="E19" s="12">
        <x:f>[4]Sheet1!$U$35</x:f>
        <x:v>687106.38616340898</x:v>
      </x:c>
      <x:c r="F19" s="50">
        <x:f>[4]Sheet1!$M$35</x:f>
        <x:v>3.5575087988690114E-2</x:v>
      </x:c>
      <x:c r="G19"/>
      <x:c r="H19" s="134"/>
      <x:c r="J19" s="134"/>
    </x:row>
    <x:row r="20" spans="1:10" x14ac:dyDescent="0.2">
      <x:c r="A20" s="176" t="s">
        <x:v>102</x:v>
      </x:c>
      <x:c r="B20" s="9" t="s">
        <x:v>16</x:v>
      </x:c>
      <x:c r="C20" s="15" t="s">
        <x:v>118</x:v>
      </x:c>
      <x:c r="D20" s="46"/>
      <x:c r="E20" s="12">
        <x:f>[4]Sheet1!$T$37+[4]Sheet1!$S$37</x:f>
        <x:v>11145365.876983494</x:v>
      </x:c>
      <x:c r="F20" s="50">
        <x:f>[4]Sheet1!$M$37</x:f>
        <x:v>3.8147441016643913E-2</x:v>
      </x:c>
      <x:c r="G20"/>
      <x:c r="H20" s="134"/>
      <x:c r="J20" s="134"/>
    </x:row>
    <x:row r="21" spans="1:10" x14ac:dyDescent="0.2">
      <x:c r="A21" s="8">
        <x:v>5</x:v>
      </x:c>
      <x:c r="B21" s="9" t="s">
        <x:v>17</x:v>
      </x:c>
      <x:c r="C21" s="15" t="s">
        <x:v>18</x:v>
      </x:c>
      <x:c r="D21" s="46"/>
      <x:c r="E21" s="12">
        <x:f>[4]Sheet1!$Z$29</x:f>
        <x:v>41336657.352864355</x:v>
      </x:c>
      <x:c r="F21" s="50">
        <x:f>[4]Sheet1!$M$29</x:f>
        <x:v>1.919578813089327E-2</x:v>
      </x:c>
      <x:c r="G21"/>
      <x:c r="H21" s="134"/>
      <x:c r="J21" s="134"/>
    </x:row>
    <x:row r="22" spans="1:10" x14ac:dyDescent="0.2">
      <x:c r="A22" s="8">
        <x:v>6</x:v>
      </x:c>
      <x:c r="B22" s="9" t="s">
        <x:v>19</x:v>
      </x:c>
      <x:c r="C22" s="15" t="s">
        <x:v>20</x:v>
      </x:c>
      <x:c r="D22" s="46"/>
      <x:c r="E22" s="12">
        <x:f>[4]Sheet1!$Z$30</x:f>
        <x:v>125659802.25259607</x:v>
      </x:c>
      <x:c r="F22" s="50">
        <x:f>[4]Sheet1!$M$30</x:f>
        <x:v>3.0847559234549415E-2</x:v>
      </x:c>
      <x:c r="G22"/>
      <x:c r="H22" s="134"/>
      <x:c r="J22" s="134"/>
    </x:row>
    <x:row r="23" spans="1:10" x14ac:dyDescent="0.2">
      <x:c r="A23" s="8">
        <x:v>7</x:v>
      </x:c>
      <x:c r="B23" s="9" t="s">
        <x:v>21</x:v>
      </x:c>
      <x:c r="C23" s="15" t="s">
        <x:v>40</x:v>
      </x:c>
      <x:c r="D23" s="46"/>
      <x:c r="E23" s="12">
        <x:f>[4]Sheet1!$Z$31</x:f>
        <x:v>87131859.400805891</x:v>
      </x:c>
      <x:c r="F23" s="50">
        <x:f>[4]Sheet1!$M$31</x:f>
        <x:v>2.3329767071399967E-2</x:v>
      </x:c>
      <x:c r="G23"/>
      <x:c r="H23" s="134"/>
      <x:c r="J23" s="134"/>
    </x:row>
    <x:row r="24" spans="1:10" x14ac:dyDescent="0.2">
      <x:c r="A24" s="8">
        <x:v>8</x:v>
      </x:c>
      <x:c r="B24" s="9" t="s">
        <x:v>23</x:v>
      </x:c>
      <x:c r="C24" s="15" t="s">
        <x:v>24</x:v>
      </x:c>
      <x:c r="D24" s="46"/>
      <x:c r="E24" s="12">
        <x:f>[4]Sheet1!$Z$32</x:f>
        <x:v>1022587.848527435</x:v>
      </x:c>
      <x:c r="F24" s="50">
        <x:f>[4]Sheet1!$M$32</x:f>
        <x:v>1.654769250895952E-2</x:v>
      </x:c>
      <x:c r="G24"/>
      <x:c r="H24" s="134"/>
      <x:c r="J24" s="134"/>
    </x:row>
    <x:row r="25" spans="1:10" x14ac:dyDescent="0.2">
      <x:c r="A25" s="8">
        <x:v>9</x:v>
      </x:c>
      <x:c r="B25" s="9" t="s">
        <x:v>25</x:v>
      </x:c>
      <x:c r="C25" s="15" t="s">
        <x:v>26</x:v>
      </x:c>
      <x:c r="D25" s="46"/>
      <x:c r="E25" s="12">
        <x:f>[4]Sheet1!$Z$33</x:f>
        <x:v>1783420.4659580041</x:v>
      </x:c>
      <x:c r="F25" s="50">
        <x:f>[4]Sheet1!$M$33</x:f>
        <x:v>1.8455583964650954E-2</x:v>
      </x:c>
      <x:c r="G25"/>
      <x:c r="H25" s="134"/>
      <x:c r="J25" s="134"/>
    </x:row>
    <x:row r="26" spans="1:10" x14ac:dyDescent="0.2">
      <x:c r="A26" s="8">
        <x:v>10</x:v>
      </x:c>
      <x:c r="B26" s="9" t="s">
        <x:v>27</x:v>
      </x:c>
      <x:c r="C26" s="15" t="s">
        <x:v>28</x:v>
      </x:c>
      <x:c r="D26" s="46"/>
      <x:c r="E26" s="30">
        <x:v>0</x:v>
      </x:c>
      <x:c r="F26" s="50"/>
      <x:c r="G26"/>
      <x:c r="H26" s="134"/>
      <x:c r="J26" s="134"/>
    </x:row>
    <x:row r="27" spans="1:10" ht="15.75" x14ac:dyDescent="0.25">
      <x:c r="A27" s="8">
        <x:v>11</x:v>
      </x:c>
      <x:c r="B27" s="9"/>
      <x:c r="C27" s="37" t="s">
        <x:v>29</x:v>
      </x:c>
      <x:c r="D27" s="46"/>
      <x:c r="E27" s="92">
        <x:f>SUM(E11:E26)</x:f>
        <x:v>396600357.68992269</x:v>
      </x:c>
      <x:c r="F27" s="27"/>
      <x:c r="G27"/>
      <x:c r="H27" s="134"/>
      <x:c r="J27" s="134"/>
    </x:row>
    <x:row r="28" spans="1:10" x14ac:dyDescent="0.2">
      <x:c r="A28" s="8"/>
      <x:c r="B28" s="9"/>
      <x:c r="C28" s="15"/>
      <x:c r="D28" s="46"/>
      <x:c r="E28" s="12"/>
      <x:c r="F28" s="27"/>
      <x:c r="G28"/>
      <x:c r="H28" s="134"/>
      <x:c r="J28" s="134"/>
    </x:row>
    <x:row r="29" spans="1:10" ht="15.75" x14ac:dyDescent="0.25">
      <x:c r="A29" s="8"/>
      <x:c r="B29" s="36" t="s">
        <x:v>30</x:v>
      </x:c>
      <x:c r="C29" s="15"/>
      <x:c r="D29" s="46"/>
      <x:c r="E29" s="12"/>
      <x:c r="F29" s="27"/>
      <x:c r="G29"/>
      <x:c r="H29" s="134"/>
      <x:c r="J29" s="134"/>
    </x:row>
    <x:row r="30" spans="1:10" x14ac:dyDescent="0.2">
      <x:c r="A30" s="8">
        <x:v>12</x:v>
      </x:c>
      <x:c r="B30" s="9" t="s">
        <x:v>31</x:v>
      </x:c>
      <x:c r="C30" s="15" t="s">
        <x:v>32</x:v>
      </x:c>
      <x:c r="D30" s="46"/>
      <x:c r="E30" s="30">
        <x:f>[4]Sheet1!$S$52</x:f>
        <x:v>36178.582011571147</x:v>
      </x:c>
      <x:c r="F30" s="50">
        <x:v>1.418097969472089E-2</x:v>
      </x:c>
      <x:c r="G30"/>
      <x:c r="H30" s="134"/>
      <x:c r="J30" s="134"/>
    </x:row>
    <x:row r="31" spans="1:10" x14ac:dyDescent="0.2">
      <x:c r="A31" s="8">
        <x:v>13</x:v>
      </x:c>
      <x:c r="B31" s="9" t="s">
        <x:v>33</x:v>
      </x:c>
      <x:c r="C31" s="15" t="s">
        <x:v>34</x:v>
      </x:c>
      <x:c r="D31" s="46"/>
      <x:c r="E31" s="12">
        <x:f>'[5]II-E-1'!$Q$43</x:f>
        <x:v>2888075.9</x:v>
      </x:c>
      <x:c r="F31" s="50">
        <x:v>2.1378324553922159E-2</x:v>
      </x:c>
      <x:c r="G31"/>
      <x:c r="H31" s="134"/>
      <x:c r="J31" s="134"/>
    </x:row>
    <x:row r="32" spans="1:10" x14ac:dyDescent="0.2">
      <x:c r="A32" s="8">
        <x:v>14</x:v>
      </x:c>
      <x:c r="B32" s="9" t="s">
        <x:v>35</x:v>
      </x:c>
      <x:c r="C32" s="15" t="s">
        <x:v>36</x:v>
      </x:c>
      <x:c r="D32" s="46"/>
      <x:c r="E32" s="12">
        <x:f>'[5]II-E-1'!$Q$44</x:f>
        <x:v>21322027.099999998</x:v>
      </x:c>
      <x:c r="F32" s="50">
        <x:v>2.3440450174418846E-2</x:v>
      </x:c>
      <x:c r="G32"/>
      <x:c r="H32" s="134"/>
      <x:c r="J32" s="134"/>
    </x:row>
    <x:row r="33" spans="1:8" ht="15.75" x14ac:dyDescent="0.25">
      <x:c r="A33" s="8">
        <x:v>15</x:v>
      </x:c>
      <x:c r="B33" s="9"/>
      <x:c r="C33" s="37" t="s">
        <x:v>37</x:v>
      </x:c>
      <x:c r="D33" s="46"/>
      <x:c r="E33" s="92">
        <x:f>SUM(E30:E32)</x:f>
        <x:v>24246281.582011569</x:v>
      </x:c>
      <x:c r="F33" s="27"/>
      <x:c r="G33"/>
      <x:c r="H33"/>
    </x:row>
    <x:row r="34" spans="1:8" x14ac:dyDescent="0.2">
      <x:c r="A34" s="8"/>
      <x:c r="B34" s="9"/>
      <x:c r="C34" s="15"/>
      <x:c r="D34" s="46"/>
      <x:c r="E34" s="12"/>
      <x:c r="F34" s="27"/>
      <x:c r="G34"/>
      <x:c r="H34"/>
    </x:row>
    <x:row r="35" spans="1:8" ht="16.5" thickBot="1" x14ac:dyDescent="0.3">
      <x:c r="A35" s="8">
        <x:v>16</x:v>
      </x:c>
      <x:c r="B35" s="36" t="s">
        <x:v>61</x:v>
      </x:c>
      <x:c r="C35" s="15"/>
      <x:c r="D35" s="46"/>
      <x:c r="E35" s="93">
        <x:f>E27+E33</x:f>
        <x:v>420846639.27193427</x:v>
      </x:c>
      <x:c r="F35" s="27"/>
      <x:c r="G35"/>
      <x:c r="H35"/>
    </x:row>
    <x:row r="36" spans="1:8" ht="16.5" thickTop="1" x14ac:dyDescent="0.25">
      <x:c r="A36" s="8"/>
      <x:c r="B36" s="36"/>
      <x:c r="C36" s="15"/>
      <x:c r="D36" s="46"/>
      <x:c r="E36" s="12"/>
      <x:c r="F36" s="27"/>
      <x:c r="G36"/>
      <x:c r="H36"/>
    </x:row>
    <x:row r="37" spans="1:8" x14ac:dyDescent="0.2">
      <x:c r="A37" s="8">
        <x:v>17</x:v>
      </x:c>
      <x:c r="B37" s="9" t="s">
        <x:v>62</x:v>
      </x:c>
      <x:c r="C37" s="15"/>
      <x:c r="D37" s="46"/>
      <x:c r="E37" s="12">
        <x:f>'[5]II-E-1'!$Q$78+'[5]II-E-1'!$Q$20+'[5]II-E-1'!$N$82+'[5]II-E-1'!$N$83</x:f>
        <x:v>59498087.590000004</x:v>
      </x:c>
      <x:c r="F37" s="50" t="s">
        <x:v>41</x:v>
      </x:c>
      <x:c r="G37"/>
      <x:c r="H37"/>
    </x:row>
    <x:row r="38" spans="1:8" x14ac:dyDescent="0.2">
      <x:c r="A38" s="8"/>
      <x:c r="B38" s="9"/>
      <x:c r="C38" s="15"/>
      <x:c r="D38" s="46"/>
      <x:c r="E38" s="12"/>
      <x:c r="F38" s="27"/>
      <x:c r="G38"/>
      <x:c r="H38"/>
    </x:row>
    <x:row r="39" spans="1:8" ht="16.5" thickBot="1" x14ac:dyDescent="0.3">
      <x:c r="A39" s="8">
        <x:v>18</x:v>
      </x:c>
      <x:c r="B39" s="36" t="s">
        <x:v>63</x:v>
      </x:c>
      <x:c r="C39" s="15"/>
      <x:c r="D39" s="46" t="s">
        <x:v>9</x:v>
      </x:c>
      <x:c r="E39" s="85">
        <x:f>E35+E37</x:f>
        <x:v>480344726.8619343</x:v>
      </x:c>
      <x:c r="F39" s="27"/>
      <x:c r="G39"/>
      <x:c r="H39"/>
    </x:row>
    <x:row r="40" spans="1:8" ht="15.75" thickTop="1" x14ac:dyDescent="0.2">
      <x:c r="A40" s="21"/>
      <x:c r="B40" s="17"/>
      <x:c r="C40" s="18"/>
      <x:c r="D40" s="45"/>
      <x:c r="E40" s="34"/>
      <x:c r="F40" s="38"/>
      <x:c r="G40"/>
      <x:c r="H40"/>
    </x:row>
    <x:row r="41" spans="1:8" x14ac:dyDescent="0.2">
      <x:c r="G41"/>
      <x:c r="H41"/>
    </x:row>
    <x:row r="42" spans="1:8" ht="15.75" x14ac:dyDescent="0.25">
      <x:c r="A42" s="193" t="s">
        <x:v>129</x:v>
      </x:c>
      <x:c r="B42" s="3" t="s">
        <x:v>134</x:v>
      </x:c>
      <x:c r="E42" s="95"/>
    </x:row>
    <x:row r="43" spans="1:8" ht="15.75" x14ac:dyDescent="0.25">
      <x:c r="A43" s="15"/>
      <x:c r="B43" s="15"/>
      <x:c r="D43" s="192" t="s">
        <x:v>130</x:v>
      </x:c>
      <x:c r="E43" s="194">
        <x:v>97373.957986507288</x:v>
      </x:c>
      <x:c r="F43" s="191">
        <x:v>0.33945796301605496</x:v>
      </x:c>
      <x:c r="G43" s="95"/>
      <x:c r="H43" s="95"/>
    </x:row>
    <x:row r="44" spans="1:8" ht="15.75" x14ac:dyDescent="0.25">
      <x:c r="A44" s="15"/>
      <x:c r="B44" s="15"/>
      <x:c r="D44" s="192" t="s">
        <x:v>131</x:v>
      </x:c>
      <x:c r="E44" s="195">
        <x:v>676915.25114179391</x:v>
      </x:c>
      <x:c r="F44" s="191">
        <x:v>0.19044704407590424</x:v>
      </x:c>
      <x:c r="G44" s="47"/>
      <x:c r="H44" s="47"/>
    </x:row>
    <x:row r="45" spans="1:8" ht="15.75" x14ac:dyDescent="0.25">
      <x:c r="A45" s="37"/>
      <x:c r="B45" s="15"/>
      <x:c r="D45" s="192" t="s">
        <x:v>132</x:v>
      </x:c>
      <x:c r="E45" s="195">
        <x:v>7233296.8960381262</x:v>
      </x:c>
      <x:c r="F45" s="191">
        <x:v>9.778526321511273E-2</x:v>
      </x:c>
      <x:c r="G45" s="47"/>
      <x:c r="H45" s="47"/>
    </x:row>
    <x:row r="46" spans="1:8" ht="15.75" x14ac:dyDescent="0.25">
      <x:c r="A46" s="37"/>
      <x:c r="B46" s="15"/>
      <x:c r="D46" s="192" t="s">
        <x:v>133</x:v>
      </x:c>
      <x:c r="E46" s="196">
        <x:v>4654878.4508087579</x:v>
      </x:c>
      <x:c r="F46" s="191">
        <x:v>6.3753835216158308E-2</x:v>
      </x:c>
      <x:c r="G46" s="47"/>
      <x:c r="H46" s="47"/>
    </x:row>
    <x:row r="47" spans="1:8" ht="15.75" x14ac:dyDescent="0.25">
      <x:c r="A47" s="15"/>
      <x:c r="B47" s="37"/>
      <x:c r="C47" s="15"/>
      <x:c r="D47" s="11"/>
      <x:c r="E47" s="194">
        <x:f>SUM(E43:E46)</x:f>
        <x:v>12662464.555975186</x:v>
      </x:c>
      <x:c r="F47" s="48"/>
      <x:c r="G47" s="48"/>
      <x:c r="H47" s="48"/>
    </x:row>
    <x:row r="48" spans="1:8" x14ac:dyDescent="0.2">
      <x:c r="A48" s="15"/>
      <x:c r="B48" s="15"/>
      <x:c r="C48" s="15"/>
      <x:c r="D48" s="11"/>
      <x:c r="E48" s="79"/>
      <x:c r="F48" s="96"/>
      <x:c r="G48" s="94"/>
      <x:c r="H48" s="79"/>
    </x:row>
    <x:row r="49" spans="1:8" x14ac:dyDescent="0.2">
      <x:c r="A49" s="15"/>
      <x:c r="B49" s="15"/>
      <x:c r="C49" s="15"/>
      <x:c r="D49" s="11"/>
      <x:c r="E49" s="13"/>
      <x:c r="F49" s="96"/>
      <x:c r="G49" s="13"/>
      <x:c r="H49" s="13"/>
    </x:row>
    <x:row r="50" spans="1:8" x14ac:dyDescent="0.2">
      <x:c r="A50" s="15"/>
      <x:c r="B50" s="15"/>
      <x:c r="C50" s="15"/>
      <x:c r="D50" s="11"/>
      <x:c r="E50" s="13"/>
      <x:c r="F50" s="96"/>
      <x:c r="G50" s="13"/>
      <x:c r="H50" s="13"/>
    </x:row>
    <x:row r="51" spans="1:8" x14ac:dyDescent="0.2">
      <x:c r="A51" s="15"/>
      <x:c r="B51" s="15"/>
      <x:c r="C51" s="15"/>
      <x:c r="D51" s="11"/>
      <x:c r="E51" s="13"/>
      <x:c r="F51" s="96"/>
      <x:c r="G51" s="13"/>
      <x:c r="H51" s="13"/>
    </x:row>
    <x:row r="52" spans="1:8" x14ac:dyDescent="0.2">
      <x:c r="A52" s="15"/>
      <x:c r="B52" s="15"/>
      <x:c r="C52" s="15"/>
      <x:c r="D52" s="11"/>
      <x:c r="E52" s="13"/>
      <x:c r="F52" s="96"/>
      <x:c r="G52" s="13"/>
      <x:c r="H52" s="13"/>
    </x:row>
    <x:row r="53" spans="1:8" x14ac:dyDescent="0.2">
      <x:c r="A53" s="15"/>
      <x:c r="B53" s="15"/>
      <x:c r="C53" s="15"/>
      <x:c r="D53" s="11"/>
      <x:c r="E53" s="13"/>
      <x:c r="F53" s="96"/>
      <x:c r="G53" s="13"/>
      <x:c r="H53" s="13"/>
    </x:row>
    <x:row r="54" spans="1:8" x14ac:dyDescent="0.2">
      <x:c r="A54" s="15"/>
      <x:c r="B54" s="15"/>
      <x:c r="C54" s="15"/>
      <x:c r="D54" s="11"/>
      <x:c r="E54" s="13"/>
      <x:c r="F54" s="96"/>
      <x:c r="G54" s="94"/>
      <x:c r="H54" s="13"/>
    </x:row>
    <x:row r="55" spans="1:8" x14ac:dyDescent="0.2">
      <x:c r="A55" s="15"/>
      <x:c r="B55" s="15"/>
      <x:c r="C55" s="15"/>
      <x:c r="D55" s="11"/>
      <x:c r="E55" s="13"/>
      <x:c r="F55" s="96"/>
      <x:c r="G55" s="94"/>
      <x:c r="H55" s="13"/>
    </x:row>
    <x:row r="56" spans="1:8" x14ac:dyDescent="0.2">
      <x:c r="A56" s="15"/>
      <x:c r="B56" s="15"/>
      <x:c r="C56" s="15"/>
      <x:c r="D56" s="11"/>
      <x:c r="E56" s="94"/>
      <x:c r="F56" s="96"/>
      <x:c r="G56" s="94"/>
      <x:c r="H56" s="94"/>
    </x:row>
    <x:row r="57" spans="1:8" ht="15.75" x14ac:dyDescent="0.25">
      <x:c r="A57" s="15"/>
      <x:c r="B57" s="15"/>
      <x:c r="C57" s="37"/>
      <x:c r="D57" s="11"/>
      <x:c r="E57" s="13"/>
      <x:c r="F57" s="48"/>
      <x:c r="G57" s="13"/>
      <x:c r="H57" s="13"/>
    </x:row>
    <x:row r="58" spans="1:8" x14ac:dyDescent="0.2">
      <x:c r="A58" s="15"/>
      <x:c r="B58" s="15"/>
      <x:c r="C58" s="15"/>
      <x:c r="D58" s="11"/>
      <x:c r="E58" s="13"/>
      <x:c r="F58" s="48"/>
      <x:c r="G58" s="13"/>
      <x:c r="H58" s="13"/>
    </x:row>
    <x:row r="59" spans="1:8" ht="15.75" x14ac:dyDescent="0.25">
      <x:c r="A59" s="15"/>
      <x:c r="B59" s="37"/>
      <x:c r="C59" s="15"/>
      <x:c r="D59" s="11"/>
      <x:c r="E59" s="13"/>
      <x:c r="F59" s="48"/>
      <x:c r="G59" s="13"/>
      <x:c r="H59" s="13"/>
    </x:row>
    <x:row r="60" spans="1:8" x14ac:dyDescent="0.2">
      <x:c r="A60" s="15"/>
      <x:c r="B60" s="15"/>
      <x:c r="C60" s="15"/>
      <x:c r="D60" s="11"/>
      <x:c r="E60" s="94"/>
      <x:c r="F60" s="96"/>
      <x:c r="G60" s="94"/>
      <x:c r="H60" s="94"/>
    </x:row>
    <x:row r="61" spans="1:8" x14ac:dyDescent="0.2">
      <x:c r="A61" s="15"/>
      <x:c r="B61" s="15"/>
      <x:c r="C61" s="15"/>
      <x:c r="D61" s="11"/>
      <x:c r="E61" s="13"/>
      <x:c r="F61" s="96"/>
      <x:c r="G61" s="13"/>
      <x:c r="H61" s="13"/>
    </x:row>
    <x:row r="62" spans="1:8" x14ac:dyDescent="0.2">
      <x:c r="A62" s="15"/>
      <x:c r="B62" s="15"/>
      <x:c r="C62" s="15"/>
      <x:c r="D62" s="11"/>
      <x:c r="E62" s="13"/>
      <x:c r="F62" s="96"/>
      <x:c r="G62" s="13"/>
      <x:c r="H62" s="13"/>
    </x:row>
    <x:row r="63" spans="1:8" ht="15.75" x14ac:dyDescent="0.25">
      <x:c r="A63" s="15"/>
      <x:c r="B63" s="15"/>
      <x:c r="C63" s="37"/>
      <x:c r="D63" s="11"/>
      <x:c r="E63" s="13"/>
      <x:c r="F63" s="48"/>
      <x:c r="G63" s="13"/>
      <x:c r="H63" s="13"/>
    </x:row>
    <x:row r="64" spans="1:8" x14ac:dyDescent="0.2">
      <x:c r="A64" s="15"/>
      <x:c r="B64" s="15"/>
      <x:c r="C64" s="15"/>
      <x:c r="D64" s="11"/>
      <x:c r="E64" s="13"/>
      <x:c r="F64" s="48"/>
      <x:c r="G64" s="13"/>
      <x:c r="H64" s="13"/>
    </x:row>
    <x:row r="65" spans="1:8" ht="15.75" x14ac:dyDescent="0.25">
      <x:c r="A65" s="15"/>
      <x:c r="B65" s="37"/>
      <x:c r="C65" s="15"/>
      <x:c r="D65" s="11"/>
      <x:c r="E65" s="13"/>
      <x:c r="F65" s="48"/>
      <x:c r="G65" s="13"/>
      <x:c r="H65" s="13"/>
    </x:row>
    <x:row r="66" spans="1:8" ht="15.75" x14ac:dyDescent="0.25">
      <x:c r="A66" s="15"/>
      <x:c r="B66" s="37"/>
      <x:c r="C66" s="15"/>
      <x:c r="D66" s="11"/>
      <x:c r="E66" s="13"/>
      <x:c r="F66" s="48"/>
      <x:c r="G66" s="13"/>
      <x:c r="H66" s="13"/>
    </x:row>
    <x:row r="67" spans="1:8" x14ac:dyDescent="0.2">
      <x:c r="A67" s="15"/>
      <x:c r="B67" s="15"/>
      <x:c r="C67" s="15"/>
      <x:c r="D67" s="11"/>
      <x:c r="E67" s="13"/>
      <x:c r="F67" s="96"/>
      <x:c r="G67" s="94"/>
      <x:c r="H67" s="13"/>
    </x:row>
    <x:row r="68" spans="1:8" x14ac:dyDescent="0.2">
      <x:c r="A68" s="15"/>
      <x:c r="B68" s="15"/>
      <x:c r="C68" s="15"/>
      <x:c r="D68" s="11"/>
      <x:c r="E68" s="13"/>
      <x:c r="F68" s="48"/>
      <x:c r="G68" s="13"/>
      <x:c r="H68" s="13"/>
    </x:row>
    <x:row r="69" spans="1:8" ht="15.75" x14ac:dyDescent="0.25">
      <x:c r="A69" s="15"/>
      <x:c r="B69" s="37"/>
      <x:c r="C69" s="15"/>
      <x:c r="D69" s="11"/>
      <x:c r="E69" s="79"/>
      <x:c r="F69" s="48"/>
      <x:c r="G69" s="13"/>
      <x:c r="H69" s="79"/>
    </x:row>
    <x:row r="70" spans="1:8" x14ac:dyDescent="0.2">
      <x:c r="A70" s="15"/>
      <x:c r="B70" s="15"/>
      <x:c r="C70" s="15"/>
      <x:c r="D70" s="11"/>
      <x:c r="E70" s="11"/>
      <x:c r="F70" s="48"/>
      <x:c r="G70" s="48"/>
      <x:c r="H70" s="48"/>
    </x:row>
    <x:row r="71" spans="1:8" x14ac:dyDescent="0.2">
      <x:c r="A71" s="15"/>
      <x:c r="B71" s="15"/>
      <x:c r="C71" s="15"/>
      <x:c r="D71" s="15"/>
      <x:c r="E71" s="15"/>
      <x:c r="F71" s="15"/>
      <x:c r="G71" s="15"/>
      <x:c r="H71" s="15"/>
    </x:row>
  </x:sheetData>
  <x:phoneticPr fontId="9" type="noConversion"/>
  <x:printOptions horizontalCentered="1"/>
  <x:pageMargins left="1.5" right="0.5" top="1.6" bottom="0.75" header="1" footer="0.5"/>
  <x:pageSetup scale="71" orientation="portrait" r:id="rId1"/>
  <x:headerFooter alignWithMargins="0">
    <x:oddHeader xml:space="preserve">&amp;RWP/III-A-1
Page 5 of 7
TCOS Baselne - Schedule E-1
</x:oddHeader>
  </x:headerFooter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pageSetUpPr fitToPage="1"/>
  </x:sheetPr>
  <x:dimension ref="A1:Q36"/>
  <x:sheetViews>
    <x:sheetView zoomScale="75" workbookViewId="0">
      <x:selection activeCell="M31" sqref="M31"/>
    </x:sheetView>
  </x:sheetViews>
  <x:sheetFormatPr defaultRowHeight="15" x14ac:dyDescent="0.2"/>
  <x:cols>
    <x:col min="1" max="1" width="6" style="58" customWidth="1"/>
    <x:col min="2" max="2" width="12.42578125" style="3" customWidth="1"/>
    <x:col min="3" max="3" width="30.85546875" style="3" customWidth="1"/>
    <x:col min="4" max="4" width="15.7109375" style="3" customWidth="1"/>
    <x:col min="5" max="5" width="24" style="3" customWidth="1"/>
    <x:col min="6" max="6" width="17.28515625" style="59" customWidth="1"/>
    <x:col min="7" max="7" width="19.28515625" style="3" customWidth="1"/>
    <x:col min="9" max="9" width="17.7109375" customWidth="1"/>
  </x:cols>
  <x:sheetData>
    <x:row r="1" spans="1:9" ht="15.75" x14ac:dyDescent="0.25">
      <x:c r="A1" s="1" t="str">
        <x:f>'Schedule A'!$A$1</x:f>
        <x:v>ONCOR ELECTRIC DELIVERY COMPANY LLC</x:v>
      </x:c>
      <x:c r="B1" s="19"/>
      <x:c r="C1" s="19"/>
      <x:c r="D1" s="19"/>
      <x:c r="E1" s="19"/>
      <x:c r="F1" s="53"/>
      <x:c r="G1" s="41"/>
    </x:row>
    <x:row r="2" spans="1:9" ht="15.75" x14ac:dyDescent="0.25">
      <x:c r="A2" s="1" t="str">
        <x:f>'Schedule A'!$A$2</x:f>
        <x:v>Baseline of Wholesale Transmission Cost of Service</x:v>
      </x:c>
      <x:c r="B2" s="1"/>
      <x:c r="C2" s="51"/>
      <x:c r="D2" s="51"/>
      <x:c r="E2" s="51"/>
      <x:c r="F2" s="170"/>
      <x:c r="G2" s="170"/>
    </x:row>
    <x:row r="3" spans="1:9" ht="15.75" x14ac:dyDescent="0.25">
      <x:c r="A3" s="51" t="s">
        <x:v>4</x:v>
      </x:c>
      <x:c r="B3" s="1"/>
      <x:c r="C3" s="51"/>
      <x:c r="D3" s="51"/>
      <x:c r="E3" s="51"/>
      <x:c r="F3" s="170"/>
      <x:c r="G3" s="170"/>
    </x:row>
    <x:row r="4" spans="1:9" ht="15.75" x14ac:dyDescent="0.25">
      <x:c r="A4" s="51" t="str">
        <x:f>'Schedule A'!A3</x:f>
        <x:v>As of December 31, 2024</x:v>
      </x:c>
      <x:c r="B4" s="1"/>
      <x:c r="C4" s="51"/>
      <x:c r="D4" s="51"/>
      <x:c r="E4" s="51"/>
      <x:c r="F4" s="170"/>
      <x:c r="G4" s="170"/>
    </x:row>
    <x:row r="5" spans="1:9" ht="15.75" x14ac:dyDescent="0.25">
      <x:c r="A5" s="52" t="str">
        <x:f>'Schedule A'!A4</x:f>
        <x:v>Sponsors:  W. Alan Ledbetter and Matthew A. Troxle</x:v>
      </x:c>
      <x:c r="B5" s="1"/>
      <x:c r="C5" s="52"/>
      <x:c r="D5" s="52"/>
      <x:c r="E5" s="52"/>
      <x:c r="F5" s="171"/>
      <x:c r="G5" s="171"/>
    </x:row>
    <x:row r="6" spans="1:9" ht="15.75" x14ac:dyDescent="0.25">
      <x:c r="A6" s="41"/>
      <x:c r="B6" s="41"/>
      <x:c r="C6" s="60"/>
      <x:c r="D6" s="41"/>
      <x:c r="E6" s="41"/>
      <x:c r="F6" s="53"/>
      <x:c r="G6" s="41"/>
    </x:row>
    <x:row r="7" spans="1:9" ht="47.25" x14ac:dyDescent="0.25">
      <x:c r="A7" s="20" t="s">
        <x:v>85</x:v>
      </x:c>
      <x:c r="B7" s="32" t="s">
        <x:v>64</x:v>
      </x:c>
      <x:c r="C7" s="43" t="s">
        <x:v>11</x:v>
      </x:c>
      <x:c r="D7" s="32" t="s">
        <x:v>84</x:v>
      </x:c>
      <x:c r="E7" s="20" t="str">
        <x:f>'Schedule A'!C6</x:f>
        <x:v>Test Year Ending 12/31/2024</x:v>
      </x:c>
      <x:c r="F7"/>
      <x:c r="G7"/>
    </x:row>
    <x:row r="8" spans="1:9" ht="15.75" x14ac:dyDescent="0.25">
      <x:c r="A8" s="54"/>
      <x:c r="B8" s="55"/>
      <x:c r="C8" s="54"/>
      <x:c r="D8" s="55"/>
      <x:c r="E8" s="206"/>
      <x:c r="F8"/>
      <x:c r="G8"/>
    </x:row>
    <x:row r="9" spans="1:9" x14ac:dyDescent="0.2">
      <x:c r="A9" s="8"/>
      <x:c r="B9" s="9"/>
      <x:c r="C9" s="15"/>
      <x:c r="D9" s="46"/>
      <x:c r="E9" s="27"/>
      <x:c r="F9"/>
      <x:c r="G9"/>
    </x:row>
    <x:row r="10" spans="1:9" ht="15.75" x14ac:dyDescent="0.25">
      <x:c r="A10" s="56"/>
      <x:c r="B10" s="36" t="s">
        <x:v>65</x:v>
      </x:c>
      <x:c r="C10" s="15"/>
      <x:c r="D10" s="46"/>
      <x:c r="E10" s="27"/>
      <x:c r="F10"/>
      <x:c r="G10"/>
    </x:row>
    <x:row r="11" spans="1:9" ht="15.75" x14ac:dyDescent="0.25">
      <x:c r="A11" s="56"/>
      <x:c r="B11" s="36" t="s">
        <x:v>66</x:v>
      </x:c>
      <x:c r="C11" s="15"/>
      <x:c r="D11" s="46"/>
      <x:c r="E11" s="27"/>
      <x:c r="F11"/>
      <x:c r="G11"/>
    </x:row>
    <x:row r="12" spans="1:9" ht="15.75" x14ac:dyDescent="0.25">
      <x:c r="A12" s="56" t="s">
        <x:v>67</x:v>
      </x:c>
      <x:c r="B12" s="36"/>
      <x:c r="C12" s="15" t="s">
        <x:v>68</x:v>
      </x:c>
      <x:c r="D12" s="46"/>
      <x:c r="E12" s="78">
        <x:f>'[5]II-E-2'!$Q$27</x:f>
        <x:v>135647129.13</x:v>
      </x:c>
      <x:c r="F12" s="138"/>
      <x:c r="G12"/>
      <x:c r="I12" s="138"/>
    </x:row>
    <x:row r="13" spans="1:9" x14ac:dyDescent="0.2">
      <x:c r="A13" s="56" t="s">
        <x:v>69</x:v>
      </x:c>
      <x:c r="B13" s="9"/>
      <x:c r="C13" s="15" t="s">
        <x:v>70</x:v>
      </x:c>
      <x:c r="D13" s="204"/>
      <x:c r="E13" s="12">
        <x:f>'[5]II-E-2'!$Q$22</x:f>
        <x:v>4772872.63</x:v>
      </x:c>
      <x:c r="F13" s="140"/>
      <x:c r="G13"/>
      <x:c r="I13" s="138"/>
    </x:row>
    <x:row r="14" spans="1:9" x14ac:dyDescent="0.2">
      <x:c r="A14" s="56" t="s">
        <x:v>71</x:v>
      </x:c>
      <x:c r="B14" s="9"/>
      <x:c r="C14" s="15" t="s">
        <x:v>121</x:v>
      </x:c>
      <x:c r="D14" s="204"/>
      <x:c r="E14" s="12">
        <x:f>'[5]II-E-2'!$Q$32</x:f>
        <x:v>1336.4899999999998</x:v>
      </x:c>
      <x:c r="F14" s="138"/>
      <x:c r="G14"/>
      <x:c r="I14" s="138"/>
    </x:row>
    <x:row r="15" spans="1:9" x14ac:dyDescent="0.2">
      <x:c r="A15" s="56"/>
      <x:c r="B15" s="9"/>
      <x:c r="C15" s="15"/>
      <x:c r="D15" s="46"/>
      <x:c r="E15" s="12"/>
      <x:c r="F15" s="138"/>
      <x:c r="G15"/>
      <x:c r="I15" s="138"/>
    </x:row>
    <x:row r="16" spans="1:9" x14ac:dyDescent="0.2">
      <x:c r="A16" s="56"/>
      <x:c r="B16" s="9"/>
      <x:c r="C16" s="15"/>
      <x:c r="D16" s="204"/>
      <x:c r="E16" s="12"/>
      <x:c r="F16" s="138"/>
      <x:c r="G16"/>
      <x:c r="I16" s="138"/>
    </x:row>
    <x:row r="17" spans="1:10" ht="15.75" x14ac:dyDescent="0.25">
      <x:c r="A17" s="56"/>
      <x:c r="B17" s="36" t="s">
        <x:v>72</x:v>
      </x:c>
      <x:c r="C17" s="15"/>
      <x:c r="D17" s="204"/>
      <x:c r="E17" s="12"/>
      <x:c r="F17" s="138"/>
      <x:c r="G17"/>
      <x:c r="I17" s="138"/>
    </x:row>
    <x:row r="18" spans="1:10" x14ac:dyDescent="0.2">
      <x:c r="A18" s="56"/>
      <x:c r="B18" s="9"/>
      <x:c r="C18" s="15"/>
      <x:c r="D18" s="204"/>
      <x:c r="E18" s="12"/>
      <x:c r="F18" s="138"/>
      <x:c r="G18"/>
      <x:c r="I18" s="138"/>
    </x:row>
    <x:row r="19" spans="1:10" x14ac:dyDescent="0.2">
      <x:c r="A19" s="56" t="s">
        <x:v>73</x:v>
      </x:c>
      <x:c r="B19" s="9"/>
      <x:c r="C19" s="15" t="s">
        <x:v>8</x:v>
      </x:c>
      <x:c r="D19" s="205"/>
      <x:c r="E19" s="27">
        <x:f>'[5]II-E-2'!$Q$30</x:f>
        <x:v>6660528.0499999998</x:v>
      </x:c>
      <x:c r="F19" s="138"/>
      <x:c r="G19" s="142"/>
      <x:c r="I19" s="138"/>
      <x:c r="J19" s="142"/>
    </x:row>
    <x:row r="20" spans="1:10" x14ac:dyDescent="0.2">
      <x:c r="A20" s="56"/>
      <x:c r="B20" s="9"/>
      <x:c r="C20" s="15"/>
      <x:c r="D20" s="46"/>
      <x:c r="E20" s="27"/>
      <x:c r="F20" s="138"/>
      <x:c r="G20"/>
      <x:c r="I20" s="138"/>
    </x:row>
    <x:row r="21" spans="1:10" x14ac:dyDescent="0.2">
      <x:c r="A21" s="56"/>
      <x:c r="B21" s="9"/>
      <x:c r="C21" s="15"/>
      <x:c r="D21" s="46"/>
      <x:c r="E21" s="27"/>
      <x:c r="F21" s="138"/>
      <x:c r="G21"/>
      <x:c r="I21" s="138"/>
    </x:row>
    <x:row r="22" spans="1:10" ht="16.5" thickBot="1" x14ac:dyDescent="0.3">
      <x:c r="A22" s="56" t="s">
        <x:v>120</x:v>
      </x:c>
      <x:c r="B22" s="36" t="s">
        <x:v>74</x:v>
      </x:c>
      <x:c r="C22" s="15"/>
      <x:c r="D22" s="46" t="s">
        <x:v>9</x:v>
      </x:c>
      <x:c r="E22" s="85">
        <x:f>SUM(E12:E19)</x:f>
        <x:v>147081866.30000001</x:v>
      </x:c>
      <x:c r="F22" s="138"/>
      <x:c r="G22"/>
      <x:c r="I22" s="138"/>
    </x:row>
    <x:row r="23" spans="1:10" ht="15.75" thickTop="1" x14ac:dyDescent="0.2">
      <x:c r="A23" s="57"/>
      <x:c r="B23" s="17"/>
      <x:c r="C23" s="18"/>
      <x:c r="D23" s="45"/>
      <x:c r="E23" s="207"/>
      <x:c r="F23" s="138"/>
      <x:c r="G23"/>
      <x:c r="I23" s="138"/>
    </x:row>
    <x:row r="31" spans="1:10" x14ac:dyDescent="0.2">
      <x:c r="D31" s="59"/>
      <x:c r="E31" s="97"/>
    </x:row>
    <x:row r="32" spans="1:10" x14ac:dyDescent="0.2">
      <x:c r="D32" s="59"/>
      <x:c r="E32" s="97"/>
    </x:row>
    <x:row r="33" spans="4:17" x14ac:dyDescent="0.2">
      <x:c r="D33" s="59"/>
      <x:c r="E33" s="97"/>
    </x:row>
    <x:row r="36" spans="4:17" x14ac:dyDescent="0.2">
      <x:c r="Q36" s="77"/>
    </x:row>
  </x:sheetData>
  <x:phoneticPr fontId="9" type="noConversion"/>
  <x:printOptions horizontalCentered="1"/>
  <x:pageMargins left="1.5" right="0.5" top="1.6" bottom="0.75" header="1" footer="0.5"/>
  <x:pageSetup scale="95" orientation="portrait" r:id="rId1"/>
  <x:headerFooter alignWithMargins="0">
    <x:oddHeader xml:space="preserve">&amp;RWP/III-A-1
Page 6 of 7
TCOS Baselne - Schedule E-2
</x:oddHeader>
  </x:headerFooter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pageSetUpPr fitToPage="1"/>
  </x:sheetPr>
  <x:dimension ref="A1:I46"/>
  <x:sheetViews>
    <x:sheetView zoomScale="75" workbookViewId="0">
      <x:selection activeCell="H35" sqref="H35"/>
    </x:sheetView>
  </x:sheetViews>
  <x:sheetFormatPr defaultRowHeight="15" x14ac:dyDescent="0.2"/>
  <x:cols>
    <x:col min="1" max="1" width="5.5703125" style="62" customWidth="1"/>
    <x:col min="2" max="2" width="2.7109375" style="3" customWidth="1"/>
    <x:col min="3" max="3" width="51.5703125" style="3" bestFit="1" customWidth="1"/>
    <x:col min="4" max="4" width="14.85546875" style="3" bestFit="1" customWidth="1"/>
    <x:col min="5" max="5" width="19.5703125" style="3" bestFit="1" customWidth="1"/>
    <x:col min="6" max="6" width="16" style="3" customWidth="1"/>
    <x:col min="7" max="7" width="17.85546875" style="3" customWidth="1"/>
    <x:col min="9" max="9" width="18.7109375" customWidth="1"/>
  </x:cols>
  <x:sheetData>
    <x:row r="1" spans="1:9" ht="15.75" x14ac:dyDescent="0.25">
      <x:c r="A1" s="1" t="str">
        <x:f>'Schedule A'!$A$1</x:f>
        <x:v>ONCOR ELECTRIC DELIVERY COMPANY LLC</x:v>
      </x:c>
      <x:c r="B1" s="1"/>
      <x:c r="C1" s="1"/>
      <x:c r="D1" s="1"/>
      <x:c r="E1" s="1"/>
      <x:c r="F1" s="60"/>
      <x:c r="G1" s="60"/>
    </x:row>
    <x:row r="2" spans="1:9" ht="15.75" x14ac:dyDescent="0.25">
      <x:c r="A2" s="1" t="str">
        <x:f>'Schedule A'!$A$2</x:f>
        <x:v>Baseline of Wholesale Transmission Cost of Service</x:v>
      </x:c>
      <x:c r="B2" s="1"/>
      <x:c r="C2" s="1"/>
      <x:c r="D2" s="1"/>
      <x:c r="E2" s="1"/>
      <x:c r="F2" s="60"/>
      <x:c r="G2" s="60"/>
    </x:row>
    <x:row r="3" spans="1:9" ht="15.75" x14ac:dyDescent="0.25">
      <x:c r="A3" s="1" t="s">
        <x:v>5</x:v>
      </x:c>
      <x:c r="B3" s="1"/>
      <x:c r="C3" s="1"/>
      <x:c r="D3" s="1"/>
      <x:c r="E3" s="1"/>
      <x:c r="F3" s="60"/>
      <x:c r="G3" s="60"/>
    </x:row>
    <x:row r="4" spans="1:9" ht="15.75" x14ac:dyDescent="0.25">
      <x:c r="A4" s="1" t="str">
        <x:f>'Schedule A'!A3</x:f>
        <x:v>As of December 31, 2024</x:v>
      </x:c>
      <x:c r="B4" s="1"/>
      <x:c r="C4" s="1"/>
      <x:c r="D4" s="1"/>
      <x:c r="E4" s="1"/>
      <x:c r="F4" s="60"/>
      <x:c r="G4" s="60"/>
    </x:row>
    <x:row r="5" spans="1:9" ht="15.75" x14ac:dyDescent="0.25">
      <x:c r="A5" s="2" t="str">
        <x:f>'Schedule A'!A4</x:f>
        <x:v>Sponsors:  W. Alan Ledbetter and Matthew A. Troxle</x:v>
      </x:c>
      <x:c r="B5" s="1"/>
      <x:c r="C5" s="2"/>
      <x:c r="D5" s="2"/>
      <x:c r="E5" s="2"/>
      <x:c r="F5" s="61"/>
      <x:c r="G5" s="61"/>
    </x:row>
    <x:row r="6" spans="1:9" ht="15.75" x14ac:dyDescent="0.25">
      <x:c r="C6" s="99"/>
    </x:row>
    <x:row r="7" spans="1:9" ht="47.25" x14ac:dyDescent="0.25">
      <x:c r="A7" s="100" t="s">
        <x:v>85</x:v>
      </x:c>
      <x:c r="B7" s="101"/>
      <x:c r="C7" s="102" t="s">
        <x:v>11</x:v>
      </x:c>
      <x:c r="D7" s="100" t="s">
        <x:v>136</x:v>
      </x:c>
      <x:c r="E7" s="103" t="str">
        <x:f>'Schedule A'!C6</x:f>
        <x:v>Test Year Ending 12/31/2024</x:v>
      </x:c>
      <x:c r="F7"/>
      <x:c r="G7"/>
    </x:row>
    <x:row r="8" spans="1:9" x14ac:dyDescent="0.2">
      <x:c r="A8" s="63"/>
      <x:c r="B8" s="9"/>
      <x:c r="C8" s="15"/>
      <x:c r="D8" s="10"/>
      <x:c r="E8" s="49"/>
      <x:c r="F8"/>
      <x:c r="G8"/>
    </x:row>
    <x:row r="9" spans="1:9" ht="15.75" x14ac:dyDescent="0.25">
      <x:c r="A9" s="64"/>
      <x:c r="B9" s="36" t="s">
        <x:v>7</x:v>
      </x:c>
      <x:c r="C9" s="15"/>
      <x:c r="D9" s="10"/>
      <x:c r="E9" s="49"/>
      <x:c r="F9"/>
      <x:c r="G9"/>
    </x:row>
    <x:row r="10" spans="1:9" ht="15.75" x14ac:dyDescent="0.25">
      <x:c r="A10" s="64"/>
      <x:c r="B10" s="36"/>
      <x:c r="C10" s="15"/>
      <x:c r="D10" s="10"/>
      <x:c r="E10" s="49"/>
      <x:c r="F10"/>
      <x:c r="G10"/>
    </x:row>
    <x:row r="11" spans="1:9" x14ac:dyDescent="0.2">
      <x:c r="A11" s="64">
        <x:v>1</x:v>
      </x:c>
      <x:c r="B11" s="9"/>
      <x:c r="C11" s="65" t="s">
        <x:v>44</x:v>
      </x:c>
      <x:c r="D11" s="66" t="s">
        <x:v>45</x:v>
      </x:c>
      <x:c r="E11" s="89">
        <x:f>'Schedule B'!C26</x:f>
        <x:v>910883578</x:v>
      </x:c>
      <x:c r="F11" s="138"/>
      <x:c r="G11"/>
      <x:c r="I11" s="138"/>
    </x:row>
    <x:row r="12" spans="1:9" x14ac:dyDescent="0.2">
      <x:c r="A12" s="64"/>
      <x:c r="B12" s="9"/>
      <x:c r="C12" s="65"/>
      <x:c r="D12" s="67"/>
      <x:c r="E12" s="86"/>
      <x:c r="F12" s="138"/>
      <x:c r="G12"/>
      <x:c r="I12" s="138"/>
    </x:row>
    <x:row r="13" spans="1:9" x14ac:dyDescent="0.2">
      <x:c r="A13" s="64"/>
      <x:c r="B13" s="9"/>
      <x:c r="C13" s="65" t="s">
        <x:v>75</x:v>
      </x:c>
      <x:c r="D13" s="67"/>
      <x:c r="E13" s="86"/>
      <x:c r="F13" s="138"/>
      <x:c r="G13"/>
      <x:c r="I13" s="138"/>
    </x:row>
    <x:row r="14" spans="1:9" x14ac:dyDescent="0.2">
      <x:c r="A14" s="64">
        <x:v>2</x:v>
      </x:c>
      <x:c r="B14" s="9"/>
      <x:c r="C14" s="65" t="s">
        <x:v>76</x:v>
      </x:c>
      <x:c r="D14" s="66"/>
      <x:c r="E14" s="86">
        <x:f>'[5]II-E-3'!$Q$20</x:f>
        <x:v>331673806.08999997</x:v>
      </x:c>
      <x:c r="F14" s="138"/>
      <x:c r="G14"/>
      <x:c r="I14" s="138"/>
    </x:row>
    <x:row r="15" spans="1:9" x14ac:dyDescent="0.2">
      <x:c r="A15" s="64">
        <x:v>3</x:v>
      </x:c>
      <x:c r="B15" s="9"/>
      <x:c r="C15" s="65" t="s">
        <x:v>77</x:v>
      </x:c>
      <x:c r="D15" s="67"/>
      <x:c r="E15" s="86">
        <x:f>'[5]II-E-3'!$Q$21</x:f>
        <x:v>485229.49</x:v>
      </x:c>
      <x:c r="F15" s="138"/>
      <x:c r="G15"/>
      <x:c r="I15" s="138"/>
    </x:row>
    <x:row r="16" spans="1:9" x14ac:dyDescent="0.2">
      <x:c r="A16" s="64" t="s">
        <x:v>92</x:v>
      </x:c>
      <x:c r="B16" s="9"/>
      <x:c r="C16" s="65" t="s">
        <x:v>94</x:v>
      </x:c>
      <x:c r="D16" s="67"/>
      <x:c r="E16" s="86">
        <x:f>'[5]II-E-3'!$Q$22</x:f>
        <x:v>8793525.3100000005</x:v>
      </x:c>
      <x:c r="F16" s="138"/>
      <x:c r="G16"/>
      <x:c r="I16" s="138"/>
    </x:row>
    <x:row r="17" spans="1:9" x14ac:dyDescent="0.2">
      <x:c r="A17" s="64" t="s">
        <x:v>93</x:v>
      </x:c>
      <x:c r="B17" s="9"/>
      <x:c r="C17" s="68" t="s">
        <x:v>95</x:v>
      </x:c>
      <x:c r="D17" s="66"/>
      <x:c r="E17" s="86">
        <x:f>'[5]II-E-3'!$Q$23</x:f>
        <x:v>11501583.959999999</x:v>
      </x:c>
      <x:c r="F17" s="138"/>
      <x:c r="G17"/>
      <x:c r="I17" s="138"/>
    </x:row>
    <x:row r="18" spans="1:9" x14ac:dyDescent="0.2">
      <x:c r="A18" s="64" t="s">
        <x:v>102</x:v>
      </x:c>
      <x:c r="B18" s="9"/>
      <x:c r="C18" s="68" t="s">
        <x:v>100</x:v>
      </x:c>
      <x:c r="D18" s="66"/>
      <x:c r="E18" s="86">
        <x:f>'[5]II-E-3'!$Q$24</x:f>
        <x:v>-782812.41000000027</x:v>
      </x:c>
      <x:c r="F18" s="138"/>
      <x:c r="G18"/>
      <x:c r="I18" s="138"/>
    </x:row>
    <x:row r="19" spans="1:9" x14ac:dyDescent="0.2">
      <x:c r="A19" s="64">
        <x:v>5</x:v>
      </x:c>
      <x:c r="B19" s="9"/>
      <x:c r="C19" s="65" t="s">
        <x:v>78</x:v>
      </x:c>
      <x:c r="D19" s="67"/>
      <x:c r="E19" s="86">
        <x:f>'[5]II-E-3'!$Q$25</x:f>
        <x:v>36110.080000000002</x:v>
      </x:c>
      <x:c r="F19" s="138"/>
      <x:c r="G19"/>
      <x:c r="I19" s="138"/>
    </x:row>
    <x:row r="20" spans="1:9" x14ac:dyDescent="0.2">
      <x:c r="A20" s="64"/>
      <x:c r="B20" s="9"/>
      <x:c r="C20" s="65"/>
      <x:c r="D20" s="67"/>
      <x:c r="E20" s="86"/>
      <x:c r="F20" s="138"/>
      <x:c r="G20"/>
      <x:c r="I20" s="138"/>
    </x:row>
    <x:row r="21" spans="1:9" x14ac:dyDescent="0.2">
      <x:c r="A21" s="64"/>
      <x:c r="B21" s="9"/>
      <x:c r="C21" s="65" t="s">
        <x:v>79</x:v>
      </x:c>
      <x:c r="D21" s="67"/>
      <x:c r="E21" s="86"/>
      <x:c r="F21" s="138"/>
      <x:c r="G21"/>
      <x:c r="I21" s="138"/>
    </x:row>
    <x:row r="22" spans="1:9" x14ac:dyDescent="0.2">
      <x:c r="A22" s="64">
        <x:v>6</x:v>
      </x:c>
      <x:c r="B22" s="9"/>
      <x:c r="C22" s="65" t="s">
        <x:v>80</x:v>
      </x:c>
      <x:c r="D22" s="66"/>
      <x:c r="E22" s="86">
        <x:f>'[5]II-E-3'!$Q$30</x:f>
        <x:v>402497.99</x:v>
      </x:c>
      <x:c r="F22" s="138"/>
      <x:c r="G22"/>
      <x:c r="I22" s="138"/>
    </x:row>
    <x:row r="23" spans="1:9" x14ac:dyDescent="0.2">
      <x:c r="A23" s="64">
        <x:v>7</x:v>
      </x:c>
      <x:c r="B23" s="9"/>
      <x:c r="C23" s="15" t="s">
        <x:v>99</x:v>
      </x:c>
      <x:c r="D23" s="67"/>
      <x:c r="E23" s="69">
        <x:f>'[5]II-E-3'!$Q$31+'[5]II-E-3'!$Q$33+'[5]II-E-3'!$Q$34</x:f>
        <x:v>-1657056.4299999997</x:v>
      </x:c>
      <x:c r="F23" s="138"/>
      <x:c r="G23"/>
      <x:c r="I23" s="138"/>
    </x:row>
    <x:row r="24" spans="1:9" x14ac:dyDescent="0.2">
      <x:c r="A24" s="64"/>
      <x:c r="B24" s="9"/>
      <x:c r="C24" s="15"/>
      <x:c r="D24" s="67"/>
      <x:c r="E24" s="86"/>
      <x:c r="F24" s="138"/>
      <x:c r="G24"/>
      <x:c r="I24" s="138"/>
    </x:row>
    <x:row r="25" spans="1:9" x14ac:dyDescent="0.2">
      <x:c r="A25" s="64">
        <x:v>8</x:v>
      </x:c>
      <x:c r="B25" s="9"/>
      <x:c r="C25" s="15" t="s">
        <x:v>81</x:v>
      </x:c>
      <x:c r="D25" s="67"/>
      <x:c r="E25" s="69">
        <x:f>E11-E14-E15-E16-E17-E18-E19+E22+E23</x:f>
        <x:v>557921577.04000008</x:v>
      </x:c>
      <x:c r="F25" s="138"/>
      <x:c r="G25"/>
      <x:c r="I25" s="138"/>
    </x:row>
    <x:row r="26" spans="1:9" x14ac:dyDescent="0.2">
      <x:c r="A26" s="64"/>
      <x:c r="B26" s="9"/>
      <x:c r="C26" s="15" t="s">
        <x:v>91</x:v>
      </x:c>
      <x:c r="D26" s="10"/>
      <x:c r="E26" s="49"/>
      <x:c r="F26" s="138"/>
      <x:c r="G26"/>
      <x:c r="I26" s="138"/>
    </x:row>
    <x:row r="27" spans="1:9" x14ac:dyDescent="0.2">
      <x:c r="A27" s="64">
        <x:v>9</x:v>
      </x:c>
      <x:c r="B27" s="9"/>
      <x:c r="C27" s="15" t="s">
        <x:v>90</x:v>
      </x:c>
      <x:c r="D27" s="88"/>
      <x:c r="E27" s="70">
        <x:f>(1/(1-0.21))*0.21</x:f>
        <x:v>0.26582278481012656</x:v>
      </x:c>
      <x:c r="F27" s="143"/>
      <x:c r="G27"/>
      <x:c r="I27" s="143"/>
    </x:row>
    <x:row r="28" spans="1:9" x14ac:dyDescent="0.2">
      <x:c r="A28" s="64"/>
      <x:c r="B28" s="9"/>
      <x:c r="C28" s="15"/>
      <x:c r="D28" s="10"/>
      <x:c r="E28" s="49"/>
      <x:c r="F28" s="140"/>
      <x:c r="G28"/>
      <x:c r="I28" s="140"/>
    </x:row>
    <x:row r="29" spans="1:9" x14ac:dyDescent="0.2">
      <x:c r="A29" s="64">
        <x:v>10</x:v>
      </x:c>
      <x:c r="B29" s="9"/>
      <x:c r="C29" s="15" t="s">
        <x:v>82</x:v>
      </x:c>
      <x:c r="D29" s="67"/>
      <x:c r="E29" s="69">
        <x:f>ROUND(E25*E27,0)</x:f>
        <x:v>148308267</x:v>
      </x:c>
      <x:c r="F29" s="138"/>
      <x:c r="G29"/>
      <x:c r="I29" s="138"/>
    </x:row>
    <x:row r="30" spans="1:9" ht="15.75" x14ac:dyDescent="0.25">
      <x:c r="A30" s="64"/>
      <x:c r="B30" s="36"/>
      <x:c r="C30" s="15"/>
      <x:c r="D30" s="67"/>
      <x:c r="E30" s="86"/>
      <x:c r="F30" s="138"/>
      <x:c r="G30"/>
      <x:c r="I30" s="138"/>
    </x:row>
    <x:row r="31" spans="1:9" x14ac:dyDescent="0.2">
      <x:c r="A31" s="64"/>
      <x:c r="B31" s="9"/>
      <x:c r="C31" s="15" t="s">
        <x:v>75</x:v>
      </x:c>
      <x:c r="D31" s="67"/>
      <x:c r="E31" s="86"/>
      <x:c r="F31" s="138"/>
      <x:c r="G31"/>
      <x:c r="I31" s="138"/>
    </x:row>
    <x:row r="32" spans="1:9" ht="15.75" x14ac:dyDescent="0.25">
      <x:c r="A32" s="64">
        <x:v>11</x:v>
      </x:c>
      <x:c r="B32" s="36"/>
      <x:c r="C32" s="15" t="s">
        <x:v>77</x:v>
      </x:c>
      <x:c r="D32" s="67"/>
      <x:c r="E32" s="86">
        <x:f>'[5]II-E-3'!$Q$44</x:f>
        <x:v>485229.49</x:v>
      </x:c>
      <x:c r="F32" s="138"/>
      <x:c r="G32"/>
      <x:c r="I32" s="138"/>
    </x:row>
    <x:row r="33" spans="1:9" ht="15.75" x14ac:dyDescent="0.25">
      <x:c r="A33" s="64" t="s">
        <x:v>89</x:v>
      </x:c>
      <x:c r="B33" s="36"/>
      <x:c r="C33" s="65" t="s">
        <x:v>94</x:v>
      </x:c>
      <x:c r="D33" s="67"/>
      <x:c r="E33" s="86">
        <x:f>'[5]II-E-3'!$Q$45</x:f>
        <x:v>8793525.3100000005</x:v>
      </x:c>
      <x:c r="F33" s="138"/>
      <x:c r="G33"/>
      <x:c r="I33" s="138"/>
    </x:row>
    <x:row r="34" spans="1:9" ht="15.75" x14ac:dyDescent="0.25">
      <x:c r="A34" s="64">
        <x:v>12</x:v>
      </x:c>
      <x:c r="B34" s="36"/>
      <x:c r="C34" s="68" t="s">
        <x:v>95</x:v>
      </x:c>
      <x:c r="D34" s="67"/>
      <x:c r="E34" s="86">
        <x:f>'[5]II-E-3'!$Q$46</x:f>
        <x:v>11501583.959999999</x:v>
      </x:c>
      <x:c r="F34" s="138"/>
      <x:c r="G34"/>
      <x:c r="H34" s="77"/>
      <x:c r="I34" s="138"/>
    </x:row>
    <x:row r="35" spans="1:9" ht="15.75" x14ac:dyDescent="0.25">
      <x:c r="A35" s="64">
        <x:v>13</x:v>
      </x:c>
      <x:c r="B35" s="36"/>
      <x:c r="C35" s="68" t="s">
        <x:v>100</x:v>
      </x:c>
      <x:c r="D35" s="67"/>
      <x:c r="E35" s="86">
        <x:f>'[5]II-E-3'!$Q$47</x:f>
        <x:v>-782812.41000000027</x:v>
      </x:c>
      <x:c r="F35" s="138"/>
      <x:c r="G35"/>
      <x:c r="H35" s="77"/>
      <x:c r="I35" s="138"/>
    </x:row>
    <x:row r="36" spans="1:9" x14ac:dyDescent="0.2">
      <x:c r="A36" s="64">
        <x:v>14</x:v>
      </x:c>
      <x:c r="B36" s="9"/>
      <x:c r="C36" s="68" t="s">
        <x:v>101</x:v>
      </x:c>
      <x:c r="D36" s="67"/>
      <x:c r="E36" s="86">
        <x:f>'[5]II-E-3'!$Q$48</x:f>
        <x:v>36110.080000000002</x:v>
      </x:c>
      <x:c r="F36" s="138"/>
      <x:c r="G36"/>
      <x:c r="H36" s="77"/>
      <x:c r="I36" s="138"/>
    </x:row>
    <x:row r="37" spans="1:9" x14ac:dyDescent="0.2">
      <x:c r="A37" s="64"/>
      <x:c r="B37" s="9"/>
      <x:c r="C37" s="71" t="s">
        <x:v>79</x:v>
      </x:c>
      <x:c r="D37" s="67"/>
      <x:c r="E37" s="86"/>
      <x:c r="F37" s="138"/>
      <x:c r="G37"/>
      <x:c r="I37" s="138"/>
    </x:row>
    <x:row r="38" spans="1:9" x14ac:dyDescent="0.2">
      <x:c r="A38" s="64">
        <x:v>15</x:v>
      </x:c>
      <x:c r="B38" s="9"/>
      <x:c r="C38" s="15" t="s">
        <x:v>0</x:v>
      </x:c>
      <x:c r="D38" s="67"/>
      <x:c r="E38" s="86">
        <x:f>'[5]II-E-3'!$Q$51</x:f>
        <x:v>402497.99</x:v>
      </x:c>
      <x:c r="F38" s="138"/>
      <x:c r="G38"/>
      <x:c r="I38" s="138"/>
    </x:row>
    <x:row r="39" spans="1:9" ht="16.5" thickBot="1" x14ac:dyDescent="0.3">
      <x:c r="A39" s="64">
        <x:v>16</x:v>
      </x:c>
      <x:c r="B39" s="36" t="s">
        <x:v>6</x:v>
      </x:c>
      <x:c r="C39" s="15"/>
      <x:c r="D39" s="67" t="s">
        <x:v>9</x:v>
      </x:c>
      <x:c r="E39" s="90">
        <x:f>E29-E32-E33-E34-E35-E36+E38+1</x:f>
        <x:v>128677129.55999999</x:v>
      </x:c>
      <x:c r="F39" s="144"/>
      <x:c r="G39"/>
      <x:c r="I39" s="144"/>
    </x:row>
    <x:row r="40" spans="1:9" ht="15.75" thickTop="1" x14ac:dyDescent="0.2">
      <x:c r="A40" s="6"/>
      <x:c r="B40" s="17"/>
      <x:c r="C40" s="18"/>
      <x:c r="D40" s="72"/>
      <x:c r="E40" s="87"/>
      <x:c r="F40"/>
      <x:c r="G40"/>
    </x:row>
    <x:row r="42" spans="1:9" x14ac:dyDescent="0.2">
      <x:c r="C42" s="105" t="s">
        <x:v>96</x:v>
      </x:c>
      <x:c r="G42" s="123"/>
    </x:row>
    <x:row r="43" spans="1:9" x14ac:dyDescent="0.2">
      <x:c r="C43" s="3" t="s">
        <x:v>94</x:v>
      </x:c>
      <x:c r="E43" s="59">
        <x:f>E33</x:f>
        <x:v>8793525.3100000005</x:v>
      </x:c>
    </x:row>
    <x:row r="44" spans="1:9" x14ac:dyDescent="0.2">
      <x:c r="C44" s="3" t="s">
        <x:v>95</x:v>
      </x:c>
      <x:c r="E44" s="59">
        <x:f>E34</x:f>
        <x:v>11501583.959999999</x:v>
      </x:c>
    </x:row>
    <x:row r="45" spans="1:9" x14ac:dyDescent="0.2">
      <x:c r="C45" s="3" t="s">
        <x:v>100</x:v>
      </x:c>
      <x:c r="E45" s="149">
        <x:f>E35</x:f>
        <x:v>-782812.41000000027</x:v>
      </x:c>
    </x:row>
    <x:row r="46" spans="1:9" x14ac:dyDescent="0.2">
      <x:c r="C46" s="3" t="s">
        <x:v>97</x:v>
      </x:c>
      <x:c r="E46" s="175">
        <x:f>E43+E44+E45</x:f>
        <x:v>19512296.859999999</x:v>
      </x:c>
    </x:row>
  </x:sheetData>
  <x:phoneticPr fontId="9" type="noConversion"/>
  <x:printOptions horizontalCentered="1"/>
  <x:pageMargins left="1.5" right="0.5" top="1.6" bottom="0.75" header="1" footer="0.5"/>
  <x:pageSetup scale="87" orientation="portrait" r:id="rId1"/>
  <x:headerFooter alignWithMargins="0">
    <x:oddHeader xml:space="preserve">&amp;RWP/III-A-1
Page 7 of 7
TCOS Baselne - Schedule E-3
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2025-05-01T16:40:04.0000000Z</dcterms:modified>
</coreProperties>
</file>