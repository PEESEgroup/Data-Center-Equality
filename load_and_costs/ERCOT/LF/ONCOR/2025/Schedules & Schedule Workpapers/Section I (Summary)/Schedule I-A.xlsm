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fileSharing readOnlyRecommended="1" userName="Logi, Jason" algorithmName="SHA-512" hashValue="yqFHul8whBXaqn5AlQB3AA1Erb4HOLyo/ufKejWMDUMLa+dyYfTZaql1VfdDdOp9EZ8ejhJWQLThBiudTiKM9Q==" saltValue="2NC+CMzTnsP8cCD+BGonQw==" spinCount="100000"/>
  <workbookPr codeName="ThisWorkbook" defaultThemeVersion="124226"/>
  <mc:AlternateContent xmlns:mc="http://schemas.openxmlformats.org/markup-compatibility/2006">
    <mc:Choice Requires="x15">
      <x15ac:absPath xmlns:x15ac="http://schemas.microsoft.com/office/spreadsheetml/2010/11/ac" url="D:\Schedules &amp; Schedule Workpapers\Section I (Summary)\"/>
    </mc:Choice>
  </mc:AlternateContent>
  <xr:revisionPtr revIDLastSave="0" documentId="13_ncr:10001_{B7962D07-A7F1-4019-9744-6AFD7240FB86}" xr6:coauthVersionLast="47" xr6:coauthVersionMax="47" xr10:uidLastSave="{00000000-0000-0000-0000-000000000000}"/>
  <bookViews>
    <workbookView xWindow="-120" yWindow="-120" windowWidth="29040" windowHeight="15720" activeTab="2" xr2:uid="{00000000-000D-0000-FFFF-FFFF00000000}"/>
  </bookViews>
  <sheets>
    <sheet name="Link Sheet" sheetId="138" r:id="rId1"/>
    <sheet name="I-A" sheetId="36" r:id="rId2"/>
    <sheet name="I-A-1" sheetId="10" r:id="rId3"/>
    <sheet name="I-A-2" sheetId="139" r:id="rId4"/>
  </sheets>
  <externalReferences>
    <externalReference r:id="rId5"/>
    <externalReference r:id="rId6"/>
    <externalReference r:id="rId7"/>
    <externalReference r:id="rId8"/>
    <externalReference r:id="rId9"/>
    <externalReference r:id="rId10"/>
  </externalReferences>
  <definedNames>
    <definedName name="_xlnm.Print_Area" localSheetId="1">'I-A'!$A$9:$F$25</definedName>
    <definedName name="_xlnm.Print_Area" localSheetId="2">'I-A-1'!$A$11:$P$68</definedName>
    <definedName name="_xlnm.Print_Area" localSheetId="3">'I-A-2'!$A$15:$F$1820</definedName>
    <definedName name="_xlnm.Print_Titles" localSheetId="1">'I-A'!$B:$B</definedName>
    <definedName name="_xlnm.Print_Titles" localSheetId="2">'I-A-1'!$A:$B</definedName>
    <definedName name="_xlnm.Print_Titles" localSheetId="3">'I-A-2'!$11:$14</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16" i="10" l="1"/>
  <c r="N16" i="10"/>
  <c r="L16" i="10"/>
  <c r="K16" i="10"/>
  <c r="I16" i="10"/>
  <c r="H16" i="10"/>
  <c r="G16" i="10"/>
  <c r="F16" i="10"/>
  <c r="E16" i="10"/>
  <c r="D16" i="10"/>
  <c r="E596" i="139"/>
  <c r="E595" i="139"/>
  <c r="E588" i="139"/>
  <c r="E587" i="139"/>
  <c r="E580" i="139"/>
  <c r="E579" i="139"/>
  <c r="E572" i="139"/>
  <c r="E571" i="139"/>
  <c r="E564" i="139"/>
  <c r="E563" i="139"/>
  <c r="E556" i="139"/>
  <c r="E555" i="139"/>
  <c r="E548" i="139"/>
  <c r="E547" i="139"/>
  <c r="E540" i="139"/>
  <c r="E539" i="139"/>
  <c r="E532" i="139"/>
  <c r="E531" i="139"/>
  <c r="E524" i="139"/>
  <c r="E523" i="139"/>
  <c r="E516" i="139"/>
  <c r="E515" i="139"/>
  <c r="E508" i="139"/>
  <c r="E507" i="139"/>
  <c r="E500" i="139"/>
  <c r="E499" i="139"/>
  <c r="E492" i="139"/>
  <c r="E491" i="139"/>
  <c r="E484" i="139"/>
  <c r="E483" i="139"/>
  <c r="E476" i="139"/>
  <c r="E475" i="139"/>
  <c r="E468" i="139"/>
  <c r="E467" i="139"/>
  <c r="E460" i="139"/>
  <c r="E459" i="139"/>
  <c r="E452" i="139"/>
  <c r="E451" i="139"/>
  <c r="E444" i="139"/>
  <c r="E443" i="139"/>
  <c r="E436" i="139"/>
  <c r="E435" i="139"/>
  <c r="E428" i="139"/>
  <c r="E427" i="139"/>
  <c r="E420" i="139"/>
  <c r="E419" i="139"/>
  <c r="E412" i="139"/>
  <c r="E411" i="139"/>
  <c r="E404" i="139"/>
  <c r="E403" i="139"/>
  <c r="E396" i="139"/>
  <c r="E395" i="139"/>
  <c r="E388" i="139"/>
  <c r="E387" i="139"/>
  <c r="E380" i="139"/>
  <c r="E379" i="139"/>
  <c r="E372" i="139"/>
  <c r="E371" i="139"/>
  <c r="E364" i="139"/>
  <c r="E363" i="139"/>
  <c r="E356" i="139"/>
  <c r="E355" i="139"/>
  <c r="E348" i="139"/>
  <c r="E347" i="139"/>
  <c r="E340" i="139"/>
  <c r="E339" i="139"/>
  <c r="E332" i="139"/>
  <c r="E331" i="139"/>
  <c r="E324" i="139"/>
  <c r="E323" i="139"/>
  <c r="E316" i="139"/>
  <c r="E315" i="139"/>
  <c r="E308" i="139"/>
  <c r="E307" i="139"/>
  <c r="E300" i="139"/>
  <c r="E299" i="139"/>
  <c r="E292" i="139"/>
  <c r="E291" i="139"/>
  <c r="E284" i="139"/>
  <c r="E283" i="139"/>
  <c r="E276" i="139"/>
  <c r="E275" i="139"/>
  <c r="E268" i="139"/>
  <c r="E267" i="139"/>
  <c r="E260" i="139"/>
  <c r="E259" i="139"/>
  <c r="E252" i="139"/>
  <c r="E251" i="139"/>
  <c r="E244" i="139"/>
  <c r="E236" i="139"/>
  <c r="E235" i="139"/>
  <c r="E228" i="139"/>
  <c r="E227" i="139"/>
  <c r="E220" i="139"/>
  <c r="E219" i="139"/>
  <c r="E212" i="139"/>
  <c r="E211" i="139"/>
  <c r="E204" i="139"/>
  <c r="E203" i="139"/>
  <c r="E196" i="139"/>
  <c r="E195" i="139"/>
  <c r="E188" i="139"/>
  <c r="E187" i="139"/>
  <c r="E180" i="139"/>
  <c r="E179" i="139"/>
  <c r="E172" i="139"/>
  <c r="E171" i="139"/>
  <c r="E164" i="139"/>
  <c r="E163" i="139"/>
  <c r="E156" i="139"/>
  <c r="E155" i="139"/>
  <c r="E148" i="139"/>
  <c r="E147" i="139"/>
  <c r="E140" i="139"/>
  <c r="E139" i="139"/>
  <c r="E132" i="139"/>
  <c r="E131" i="139"/>
  <c r="E124" i="139"/>
  <c r="E123" i="139"/>
  <c r="E116" i="139"/>
  <c r="E115" i="139"/>
  <c r="E108" i="139"/>
  <c r="E107" i="139"/>
  <c r="E100" i="139"/>
  <c r="E99" i="139"/>
  <c r="E92" i="139"/>
  <c r="E91" i="139"/>
  <c r="E84" i="139"/>
  <c r="E83" i="139"/>
  <c r="E76" i="139"/>
  <c r="E75" i="139"/>
  <c r="E68" i="139"/>
  <c r="E67" i="139"/>
  <c r="E60" i="139"/>
  <c r="E59" i="139"/>
  <c r="E52" i="139"/>
  <c r="E51" i="139"/>
  <c r="E44" i="139"/>
  <c r="E43" i="139"/>
  <c r="E36" i="139"/>
  <c r="E35" i="139"/>
  <c r="E28" i="139"/>
  <c r="E27" i="139"/>
  <c r="E20" i="139"/>
  <c r="E19" i="139"/>
  <c r="O21" i="10"/>
  <c r="N21" i="10"/>
  <c r="L21" i="10"/>
  <c r="K21" i="10"/>
  <c r="I21" i="10"/>
  <c r="H21" i="10"/>
  <c r="G21" i="10"/>
  <c r="F21" i="10"/>
  <c r="E21" i="10"/>
  <c r="D21" i="10"/>
  <c r="B1802" i="139"/>
  <c r="B1801" i="139"/>
  <c r="B1800" i="139"/>
  <c r="B1799" i="139"/>
  <c r="B1798" i="139"/>
  <c r="B1797" i="139"/>
  <c r="B1796" i="139"/>
  <c r="B1795" i="139"/>
  <c r="B1794" i="139"/>
  <c r="B1793" i="139"/>
  <c r="B1792" i="139"/>
  <c r="B1791" i="139"/>
  <c r="B1790" i="139"/>
  <c r="B1789" i="139"/>
  <c r="B1788" i="139"/>
  <c r="C1787" i="139"/>
  <c r="B1787" i="139"/>
  <c r="E1785" i="139"/>
  <c r="B1785" i="139"/>
  <c r="E1784" i="139"/>
  <c r="B1784" i="139"/>
  <c r="E1783" i="139"/>
  <c r="B1783" i="139"/>
  <c r="E1782" i="139"/>
  <c r="B1782" i="139"/>
  <c r="E1781" i="139"/>
  <c r="B1781" i="139"/>
  <c r="E1780" i="139"/>
  <c r="B1780" i="139"/>
  <c r="E1779" i="139"/>
  <c r="B1779" i="139"/>
  <c r="E1778" i="139"/>
  <c r="B1778" i="139"/>
  <c r="E1777" i="139"/>
  <c r="B1777" i="139"/>
  <c r="E1776" i="139"/>
  <c r="B1776" i="139"/>
  <c r="E1775" i="139"/>
  <c r="B1775" i="139"/>
  <c r="E1774" i="139"/>
  <c r="B1774" i="139"/>
  <c r="E1773" i="139"/>
  <c r="B1773" i="139"/>
  <c r="E1772" i="139"/>
  <c r="B1772" i="139"/>
  <c r="E1771" i="139"/>
  <c r="B1771" i="139"/>
  <c r="E1770" i="139"/>
  <c r="B1770" i="139"/>
  <c r="E1768" i="139"/>
  <c r="B1768" i="139"/>
  <c r="E1767" i="139"/>
  <c r="B1767" i="139"/>
  <c r="E1766" i="139"/>
  <c r="B1766" i="139"/>
  <c r="E1765" i="139"/>
  <c r="B1765" i="139"/>
  <c r="E1764" i="139"/>
  <c r="B1764" i="139"/>
  <c r="E1763" i="139"/>
  <c r="B1763" i="139"/>
  <c r="E1762" i="139"/>
  <c r="B1762" i="139"/>
  <c r="E1761" i="139"/>
  <c r="B1761" i="139"/>
  <c r="E1760" i="139"/>
  <c r="B1760" i="139"/>
  <c r="E1759" i="139"/>
  <c r="B1759" i="139"/>
  <c r="E1758" i="139"/>
  <c r="B1758" i="139"/>
  <c r="E1757" i="139"/>
  <c r="B1757" i="139"/>
  <c r="E1756" i="139"/>
  <c r="B1756" i="139"/>
  <c r="E1755" i="139"/>
  <c r="B1755" i="139"/>
  <c r="E1754" i="139"/>
  <c r="B1754" i="139"/>
  <c r="E1753" i="139"/>
  <c r="B1753" i="139"/>
  <c r="E1740" i="139"/>
  <c r="E1739" i="139"/>
  <c r="E1731" i="139"/>
  <c r="E1730" i="139"/>
  <c r="E1722" i="139"/>
  <c r="B1722" i="139"/>
  <c r="E1721" i="139"/>
  <c r="B1721" i="139"/>
  <c r="E1713" i="139"/>
  <c r="B1713" i="139"/>
  <c r="E1712" i="139"/>
  <c r="B1712" i="139"/>
  <c r="E1704" i="139"/>
  <c r="B1704" i="139"/>
  <c r="E1703" i="139"/>
  <c r="B1703" i="139"/>
  <c r="E1619" i="139"/>
  <c r="E1618" i="139"/>
  <c r="E1617" i="139"/>
  <c r="E1616" i="139"/>
  <c r="E1615" i="139"/>
  <c r="E1614" i="139"/>
  <c r="E1606" i="139"/>
  <c r="E1605" i="139"/>
  <c r="E1597" i="139"/>
  <c r="E1596" i="139"/>
  <c r="E780" i="139"/>
  <c r="E779" i="139"/>
  <c r="E772" i="139"/>
  <c r="E771" i="139"/>
  <c r="E764" i="139"/>
  <c r="E763" i="139"/>
  <c r="E756" i="139"/>
  <c r="E755" i="139"/>
  <c r="E748" i="139"/>
  <c r="E747" i="139"/>
  <c r="E740" i="139"/>
  <c r="E739" i="139"/>
  <c r="E732" i="139"/>
  <c r="E731" i="139"/>
  <c r="E724" i="139"/>
  <c r="E723" i="139"/>
  <c r="E716" i="139"/>
  <c r="E715" i="139"/>
  <c r="E708" i="139"/>
  <c r="E707" i="139"/>
  <c r="E700" i="139"/>
  <c r="E699" i="139"/>
  <c r="E692" i="139"/>
  <c r="E691" i="139"/>
  <c r="E684" i="139"/>
  <c r="E683" i="139"/>
  <c r="E676" i="139"/>
  <c r="E675" i="139"/>
  <c r="E668" i="139"/>
  <c r="E667" i="139"/>
  <c r="E660" i="139"/>
  <c r="E659" i="139"/>
  <c r="E652" i="139"/>
  <c r="E651" i="139"/>
  <c r="E644" i="139"/>
  <c r="E643" i="139"/>
  <c r="E636" i="139"/>
  <c r="E635" i="139"/>
  <c r="E628" i="139"/>
  <c r="E627" i="139"/>
  <c r="E620" i="139"/>
  <c r="E619" i="139"/>
  <c r="E612" i="139"/>
  <c r="E611" i="139"/>
  <c r="E604" i="139"/>
  <c r="E603" i="139"/>
  <c r="O29" i="10"/>
  <c r="N29" i="10"/>
  <c r="L29" i="10"/>
  <c r="K29" i="10"/>
  <c r="I29" i="10"/>
  <c r="H29" i="10"/>
  <c r="G29" i="10"/>
  <c r="E29" i="10"/>
  <c r="D29" i="10"/>
  <c r="O19" i="10"/>
  <c r="N19" i="10"/>
  <c r="L19" i="10"/>
  <c r="K19" i="10"/>
  <c r="I19" i="10"/>
  <c r="H19" i="10"/>
  <c r="G19" i="10"/>
  <c r="F19" i="10"/>
  <c r="E19" i="10"/>
  <c r="D19" i="10"/>
  <c r="E1689" i="139"/>
  <c r="E1688" i="139"/>
  <c r="E1681" i="139"/>
  <c r="E1680" i="139"/>
  <c r="E1672" i="139"/>
  <c r="E1671" i="139"/>
  <c r="E1663" i="139"/>
  <c r="E1662" i="139"/>
  <c r="E1654" i="139"/>
  <c r="E1653" i="139"/>
  <c r="E1645" i="139"/>
  <c r="E1644" i="139"/>
  <c r="E1636" i="139"/>
  <c r="E1635" i="139"/>
  <c r="O18" i="10"/>
  <c r="N18" i="10"/>
  <c r="L18" i="10"/>
  <c r="K18" i="10"/>
  <c r="I18" i="10"/>
  <c r="H18" i="10"/>
  <c r="G18" i="10"/>
  <c r="F18" i="10"/>
  <c r="E18" i="10"/>
  <c r="D18" i="10"/>
  <c r="E1588" i="139"/>
  <c r="E1587" i="139"/>
  <c r="E1579" i="139"/>
  <c r="E1578" i="139"/>
  <c r="E1570" i="139"/>
  <c r="E1569" i="139"/>
  <c r="E1561" i="139"/>
  <c r="E1560" i="139"/>
  <c r="E1552" i="139"/>
  <c r="E1551" i="139"/>
  <c r="E1543" i="139"/>
  <c r="E1542" i="139"/>
  <c r="E1534" i="139"/>
  <c r="E1533" i="139"/>
  <c r="E1525" i="139"/>
  <c r="E1524" i="139"/>
  <c r="E1516" i="139"/>
  <c r="E1515" i="139"/>
  <c r="E1507" i="139"/>
  <c r="E1506" i="139"/>
  <c r="E1498" i="139"/>
  <c r="E1497" i="139"/>
  <c r="E1489" i="139"/>
  <c r="E1488" i="139"/>
  <c r="E1480" i="139"/>
  <c r="E1479" i="139"/>
  <c r="E1471" i="139"/>
  <c r="E1470" i="139"/>
  <c r="E1462" i="139"/>
  <c r="E1461" i="139"/>
  <c r="E1453" i="139"/>
  <c r="E1452" i="139"/>
  <c r="E1444" i="139"/>
  <c r="E1443" i="139"/>
  <c r="E1435" i="139"/>
  <c r="E1434" i="139"/>
  <c r="E1426" i="139"/>
  <c r="E1425" i="139"/>
  <c r="E1417" i="139"/>
  <c r="E1416" i="139"/>
  <c r="E1408" i="139"/>
  <c r="E1407" i="139"/>
  <c r="E1399" i="139"/>
  <c r="E1398" i="139"/>
  <c r="E1390" i="139"/>
  <c r="E1389" i="139"/>
  <c r="E1381" i="139"/>
  <c r="E1380" i="139"/>
  <c r="E1372" i="139"/>
  <c r="E1371" i="139"/>
  <c r="E1363" i="139"/>
  <c r="E1362" i="139"/>
  <c r="E1354" i="139"/>
  <c r="E1353" i="139"/>
  <c r="E1345" i="139"/>
  <c r="E1344" i="139"/>
  <c r="E1336" i="139"/>
  <c r="E1335" i="139"/>
  <c r="E1327" i="139"/>
  <c r="E1326" i="139"/>
  <c r="E1318" i="139"/>
  <c r="E1317" i="139"/>
  <c r="E1309" i="139"/>
  <c r="E1308" i="139"/>
  <c r="E1300" i="139"/>
  <c r="E1299" i="139"/>
  <c r="E1291" i="139"/>
  <c r="E1290" i="139"/>
  <c r="E1282" i="139"/>
  <c r="E1281" i="139"/>
  <c r="E1273" i="139"/>
  <c r="E1272" i="139"/>
  <c r="O17" i="10"/>
  <c r="N17" i="10"/>
  <c r="L17" i="10"/>
  <c r="K17" i="10"/>
  <c r="I17" i="10"/>
  <c r="H17" i="10"/>
  <c r="G17" i="10"/>
  <c r="F17" i="10"/>
  <c r="E17" i="10"/>
  <c r="D17" i="10"/>
  <c r="E1258" i="139"/>
  <c r="E1257" i="139"/>
  <c r="E1256" i="139"/>
  <c r="E1255" i="139"/>
  <c r="E1246" i="139"/>
  <c r="E1245" i="139"/>
  <c r="E1244" i="139"/>
  <c r="E1243" i="139"/>
  <c r="E1234" i="139"/>
  <c r="E1233" i="139"/>
  <c r="E1232" i="139"/>
  <c r="E1223" i="139"/>
  <c r="E1222" i="139"/>
  <c r="E1221" i="139"/>
  <c r="E1220" i="139"/>
  <c r="E1219" i="139"/>
  <c r="E1218" i="139"/>
  <c r="E1217" i="139"/>
  <c r="E1216" i="139"/>
  <c r="E1215" i="139"/>
  <c r="E1214" i="139"/>
  <c r="E1205" i="139"/>
  <c r="E1196" i="139"/>
  <c r="E1187" i="139"/>
  <c r="E1178" i="139"/>
  <c r="E1169" i="139"/>
  <c r="E1168" i="139"/>
  <c r="E1167" i="139"/>
  <c r="E1158" i="139"/>
  <c r="E1157" i="139"/>
  <c r="E1156" i="139"/>
  <c r="E1147" i="139"/>
  <c r="E1138" i="139"/>
  <c r="E1129" i="139"/>
  <c r="E1120" i="139"/>
  <c r="E1119" i="139"/>
  <c r="E1118" i="139"/>
  <c r="E1117" i="139"/>
  <c r="E1116" i="139"/>
  <c r="E1115" i="139"/>
  <c r="E1114" i="139"/>
  <c r="E1113" i="139"/>
  <c r="E1112" i="139"/>
  <c r="E1111" i="139"/>
  <c r="E1110" i="139"/>
  <c r="E1109" i="139"/>
  <c r="E1108" i="139"/>
  <c r="E1099" i="139"/>
  <c r="E1098" i="139"/>
  <c r="E1097" i="139"/>
  <c r="E1088" i="139"/>
  <c r="E1087" i="139"/>
  <c r="E1086" i="139"/>
  <c r="E1085" i="139"/>
  <c r="E1076" i="139"/>
  <c r="E1067" i="139"/>
  <c r="E1058" i="139"/>
  <c r="E1048" i="139"/>
  <c r="E1039" i="139"/>
  <c r="E1030" i="139"/>
  <c r="E1029" i="139"/>
  <c r="E1028" i="139"/>
  <c r="E1027" i="139"/>
  <c r="E1026" i="139"/>
  <c r="E1025" i="139"/>
  <c r="E1016" i="139"/>
  <c r="E1015" i="139"/>
  <c r="E1014" i="139"/>
  <c r="E1013" i="139"/>
  <c r="E1012" i="139"/>
  <c r="E1011" i="139"/>
  <c r="E1002" i="139"/>
  <c r="E1001" i="139"/>
  <c r="E992" i="139"/>
  <c r="E983" i="139"/>
  <c r="E974" i="139"/>
  <c r="E965" i="139"/>
  <c r="E956" i="139"/>
  <c r="E955" i="139"/>
  <c r="E946" i="139"/>
  <c r="E945" i="139"/>
  <c r="E936" i="139"/>
  <c r="E927" i="139"/>
  <c r="E918" i="139"/>
  <c r="E909" i="139"/>
  <c r="E908" i="139"/>
  <c r="E899" i="139"/>
  <c r="E898" i="139"/>
  <c r="E897" i="139"/>
  <c r="E888" i="139"/>
  <c r="E879" i="139"/>
  <c r="E870" i="139"/>
  <c r="E861" i="139"/>
  <c r="E852" i="139"/>
  <c r="E843" i="139"/>
  <c r="E842" i="139"/>
  <c r="E841" i="139"/>
  <c r="E832" i="139"/>
  <c r="E831" i="139"/>
  <c r="E830" i="139"/>
  <c r="E820" i="139"/>
  <c r="E811" i="139"/>
  <c r="E810" i="139"/>
  <c r="E801" i="139"/>
  <c r="E800" i="139"/>
  <c r="D14" i="36"/>
  <c r="A5" i="139"/>
  <c r="A3" i="139"/>
  <c r="A5" i="10"/>
  <c r="A3" i="10"/>
  <c r="A5" i="36"/>
  <c r="A3" i="36"/>
  <c r="A4" i="139"/>
  <c r="A2" i="139"/>
  <c r="A1" i="139"/>
  <c r="A4" i="10"/>
  <c r="A2" i="10"/>
  <c r="A1" i="10"/>
  <c r="A4" i="36"/>
  <c r="A2" i="36"/>
  <c r="A1" i="36"/>
  <c r="E1691" i="139" l="1"/>
  <c r="E1260" i="139"/>
  <c r="B1581" i="139" l="1"/>
  <c r="B1579" i="139"/>
  <c r="B1572" i="139"/>
  <c r="B1570" i="139"/>
  <c r="B1563" i="139"/>
  <c r="B1561" i="139"/>
  <c r="B1401" i="139"/>
  <c r="B1399" i="139"/>
  <c r="B1302" i="139"/>
  <c r="B1293" i="139"/>
  <c r="E1791" i="139" l="1"/>
  <c r="E1572" i="139"/>
  <c r="E1795" i="139"/>
  <c r="E1790" i="139"/>
  <c r="E1789" i="139"/>
  <c r="E1801" i="139"/>
  <c r="E1802" i="139"/>
  <c r="E1794" i="139"/>
  <c r="E1793" i="139"/>
  <c r="E1792" i="139"/>
  <c r="E1796" i="139"/>
  <c r="E1800" i="139"/>
  <c r="E1797" i="139"/>
  <c r="E1798" i="139"/>
  <c r="E1799" i="139"/>
  <c r="E1581" i="139"/>
  <c r="E1401" i="139"/>
  <c r="E1621" i="139"/>
  <c r="E1293" i="139"/>
  <c r="E1302" i="139"/>
  <c r="E1207" i="139" l="1"/>
  <c r="E1198" i="139"/>
  <c r="B1189" i="139"/>
  <c r="E1189" i="139"/>
  <c r="E1180" i="139"/>
  <c r="E1149" i="139"/>
  <c r="E1140" i="139"/>
  <c r="E1131" i="139"/>
  <c r="E1078" i="139"/>
  <c r="E1069" i="139"/>
  <c r="E1060" i="139"/>
  <c r="E1050" i="139"/>
  <c r="E1041" i="139"/>
  <c r="E994" i="139"/>
  <c r="E985" i="139"/>
  <c r="E976" i="139"/>
  <c r="E967" i="139"/>
  <c r="E938" i="139"/>
  <c r="E929" i="139"/>
  <c r="E920" i="139"/>
  <c r="E890" i="139"/>
  <c r="E881" i="139"/>
  <c r="E872" i="139"/>
  <c r="E863" i="139"/>
  <c r="B863" i="139"/>
  <c r="E854" i="139"/>
  <c r="E1248" i="139" l="1"/>
  <c r="E1236" i="139"/>
  <c r="E1225" i="139"/>
  <c r="E1160" i="139"/>
  <c r="E1171" i="139"/>
  <c r="E1122" i="139"/>
  <c r="E1090" i="139"/>
  <c r="E1101" i="139"/>
  <c r="E958" i="139"/>
  <c r="E1004" i="139"/>
  <c r="E1032" i="139"/>
  <c r="E1018" i="139"/>
  <c r="E911" i="139"/>
  <c r="E948" i="139"/>
  <c r="E901" i="139"/>
  <c r="E845" i="139"/>
  <c r="E834" i="139"/>
  <c r="B686" i="139" l="1"/>
  <c r="E686" i="139" l="1"/>
  <c r="B774" i="139" l="1"/>
  <c r="E774" i="139" l="1"/>
  <c r="B598" i="139" l="1"/>
  <c r="B590" i="139"/>
  <c r="B486" i="139"/>
  <c r="B438" i="139"/>
  <c r="B430" i="139"/>
  <c r="B422" i="139"/>
  <c r="B414" i="139"/>
  <c r="B406" i="139"/>
  <c r="B398" i="139"/>
  <c r="B390" i="139"/>
  <c r="B382" i="139"/>
  <c r="B374" i="139"/>
  <c r="B366" i="139"/>
  <c r="B358" i="139"/>
  <c r="B342" i="139"/>
  <c r="B334" i="139"/>
  <c r="B326" i="139"/>
  <c r="B270" i="139"/>
  <c r="B254" i="139"/>
  <c r="B230" i="139"/>
  <c r="B222" i="139"/>
  <c r="B214" i="139"/>
  <c r="B206" i="139"/>
  <c r="B198" i="139"/>
  <c r="B190" i="139"/>
  <c r="B174" i="139"/>
  <c r="B182" i="139"/>
  <c r="B166" i="139"/>
  <c r="B150" i="139"/>
  <c r="B142" i="139"/>
  <c r="B118" i="139"/>
  <c r="B110" i="139"/>
  <c r="B102" i="139"/>
  <c r="B94" i="139"/>
  <c r="B86" i="139"/>
  <c r="B62" i="139"/>
  <c r="B30" i="139"/>
  <c r="B38" i="139"/>
  <c r="B54" i="139"/>
  <c r="E438" i="139" l="1"/>
  <c r="E486" i="139"/>
  <c r="E598" i="139"/>
  <c r="E590" i="139"/>
  <c r="E430" i="139"/>
  <c r="E326" i="139"/>
  <c r="E382" i="139"/>
  <c r="E422" i="139"/>
  <c r="E414" i="139"/>
  <c r="E406" i="139"/>
  <c r="E398" i="139"/>
  <c r="E390" i="139"/>
  <c r="E374" i="139"/>
  <c r="E366" i="139"/>
  <c r="E358" i="139"/>
  <c r="E334" i="139"/>
  <c r="E270" i="139"/>
  <c r="E342" i="139"/>
  <c r="E254" i="139"/>
  <c r="E182" i="139"/>
  <c r="E198" i="139"/>
  <c r="E230" i="139"/>
  <c r="E222" i="139"/>
  <c r="E214" i="139"/>
  <c r="E206" i="139"/>
  <c r="E190" i="139"/>
  <c r="E102" i="139"/>
  <c r="E118" i="139"/>
  <c r="E110" i="139"/>
  <c r="E94" i="139"/>
  <c r="E86" i="139"/>
  <c r="E54" i="139"/>
  <c r="E62" i="139"/>
  <c r="O52" i="10" l="1"/>
  <c r="O50" i="10"/>
  <c r="N52" i="10"/>
  <c r="N50" i="10"/>
  <c r="K52" i="10"/>
  <c r="M52" i="10" s="1"/>
  <c r="K50" i="10"/>
  <c r="M50" i="10" s="1"/>
  <c r="I52" i="10"/>
  <c r="J52" i="10" s="1"/>
  <c r="I50" i="10"/>
  <c r="H52" i="10"/>
  <c r="H50" i="10"/>
  <c r="G52" i="10"/>
  <c r="G50" i="10"/>
  <c r="P50" i="10" l="1"/>
  <c r="P52" i="10"/>
  <c r="J50" i="10"/>
  <c r="B246" i="139"/>
  <c r="B1742" i="139" l="1"/>
  <c r="B1733" i="139"/>
  <c r="B1724" i="139"/>
  <c r="B1715" i="139"/>
  <c r="B1706" i="139"/>
  <c r="B1656" i="139"/>
  <c r="B1654" i="139"/>
  <c r="B1647" i="139"/>
  <c r="B1645" i="139"/>
  <c r="B1638" i="139"/>
  <c r="B1636" i="139"/>
  <c r="B1621" i="139"/>
  <c r="B1608" i="139"/>
  <c r="B1606" i="139"/>
  <c r="B1599" i="139"/>
  <c r="B1597" i="139"/>
  <c r="B1590" i="139"/>
  <c r="B1588" i="139"/>
  <c r="B1554" i="139"/>
  <c r="B1552" i="139"/>
  <c r="B1545" i="139"/>
  <c r="B1543" i="139"/>
  <c r="B1536" i="139"/>
  <c r="B1534" i="139"/>
  <c r="B1527" i="139"/>
  <c r="B1525" i="139"/>
  <c r="B1518" i="139"/>
  <c r="B1516" i="139"/>
  <c r="B1509" i="139"/>
  <c r="B1507" i="139"/>
  <c r="B1500" i="139"/>
  <c r="B1498" i="139"/>
  <c r="B1482" i="139"/>
  <c r="B1480" i="139"/>
  <c r="B1473" i="139"/>
  <c r="B1471" i="139"/>
  <c r="B1464" i="139"/>
  <c r="B1462" i="139"/>
  <c r="B1455" i="139"/>
  <c r="B1453" i="139"/>
  <c r="B1446" i="139"/>
  <c r="B1444" i="139"/>
  <c r="B1437" i="139"/>
  <c r="B1435" i="139"/>
  <c r="B1428" i="139"/>
  <c r="B1426" i="139"/>
  <c r="B1419" i="139"/>
  <c r="B1417" i="139"/>
  <c r="B1410" i="139"/>
  <c r="B1408" i="139"/>
  <c r="B1392" i="139"/>
  <c r="B1390" i="139"/>
  <c r="B1383" i="139"/>
  <c r="B1381" i="139"/>
  <c r="B1374" i="139"/>
  <c r="B1372" i="139"/>
  <c r="B1365" i="139"/>
  <c r="B1363" i="139"/>
  <c r="B1356" i="139"/>
  <c r="B1354" i="139"/>
  <c r="B1347" i="139"/>
  <c r="B1345" i="139"/>
  <c r="B1338" i="139"/>
  <c r="B1336" i="139"/>
  <c r="B1329" i="139"/>
  <c r="B1327" i="139"/>
  <c r="B1320" i="139"/>
  <c r="B1318" i="139"/>
  <c r="B1311" i="139"/>
  <c r="B1284" i="139"/>
  <c r="B1275" i="139"/>
  <c r="B1198" i="139" l="1"/>
  <c r="B1180" i="139"/>
  <c r="B1149" i="139"/>
  <c r="B1140" i="139"/>
  <c r="B1131" i="139" l="1"/>
  <c r="B1090" i="139"/>
  <c r="B985" i="139"/>
  <c r="B976" i="139"/>
  <c r="B967" i="139" l="1"/>
  <c r="B938" i="139"/>
  <c r="B929" i="139" l="1"/>
  <c r="B920" i="139"/>
  <c r="B890" i="139"/>
  <c r="B881" i="139"/>
  <c r="B872" i="139"/>
  <c r="B854" i="139"/>
  <c r="B823" i="139"/>
  <c r="B813" i="139"/>
  <c r="E823" i="139" l="1"/>
  <c r="B803" i="139" l="1"/>
  <c r="B782" i="139"/>
  <c r="B766" i="139"/>
  <c r="B758" i="139"/>
  <c r="B750" i="139"/>
  <c r="B742" i="139"/>
  <c r="B734" i="139"/>
  <c r="B726" i="139"/>
  <c r="B718" i="139"/>
  <c r="B710" i="139"/>
  <c r="B702" i="139"/>
  <c r="B694" i="139"/>
  <c r="B678" i="139"/>
  <c r="B670" i="139"/>
  <c r="B662" i="139"/>
  <c r="B654" i="139"/>
  <c r="B646" i="139"/>
  <c r="B638" i="139"/>
  <c r="B630" i="139"/>
  <c r="B622" i="139"/>
  <c r="B614" i="139"/>
  <c r="B606" i="139"/>
  <c r="B582" i="139" l="1"/>
  <c r="B574" i="139"/>
  <c r="B566" i="139"/>
  <c r="B558" i="139"/>
  <c r="B550" i="139"/>
  <c r="B542" i="139"/>
  <c r="B534" i="139"/>
  <c r="B526" i="139"/>
  <c r="B518" i="139"/>
  <c r="B510" i="139"/>
  <c r="B502" i="139"/>
  <c r="B494" i="139"/>
  <c r="B478" i="139"/>
  <c r="B470" i="139"/>
  <c r="B462" i="139"/>
  <c r="B454" i="139"/>
  <c r="B446" i="139"/>
  <c r="B350" i="139"/>
  <c r="B318" i="139"/>
  <c r="B310" i="139"/>
  <c r="B302" i="139"/>
  <c r="B294" i="139"/>
  <c r="B286" i="139"/>
  <c r="B278" i="139"/>
  <c r="B262" i="139"/>
  <c r="B238" i="139"/>
  <c r="B158" i="139"/>
  <c r="B134" i="139"/>
  <c r="B126" i="139"/>
  <c r="B78" i="139"/>
  <c r="B22" i="139"/>
  <c r="B46" i="139"/>
  <c r="B70" i="139"/>
  <c r="F11" i="138" l="1"/>
  <c r="G11" i="138"/>
  <c r="H11" i="138"/>
  <c r="I11" i="138"/>
  <c r="J11" i="138"/>
  <c r="K11" i="138"/>
  <c r="L11" i="138"/>
  <c r="M11" i="138"/>
  <c r="F12" i="138"/>
  <c r="G12" i="138"/>
  <c r="H12" i="138"/>
  <c r="I12" i="138"/>
  <c r="J12" i="138"/>
  <c r="K12" i="138"/>
  <c r="L12" i="138"/>
  <c r="M12" i="138"/>
  <c r="P27" i="10"/>
  <c r="P25" i="10"/>
  <c r="C11" i="138" l="1"/>
  <c r="F25" i="10"/>
  <c r="F50" i="10" s="1"/>
  <c r="E11" i="138"/>
  <c r="C12" i="138"/>
  <c r="F27" i="10"/>
  <c r="F52" i="10" s="1"/>
  <c r="E12" i="138"/>
  <c r="B12" i="138"/>
  <c r="B11" i="138"/>
  <c r="R25" i="10" l="1"/>
  <c r="S25" i="10"/>
  <c r="S27" i="10"/>
  <c r="R27" i="10"/>
  <c r="D12" i="138"/>
  <c r="D11" i="138"/>
  <c r="E710" i="139" l="1"/>
  <c r="E614" i="139"/>
  <c r="E622" i="139" l="1"/>
  <c r="E630" i="139"/>
  <c r="E654" i="139"/>
  <c r="E694" i="139"/>
  <c r="E678" i="139"/>
  <c r="E638" i="139"/>
  <c r="E702" i="139"/>
  <c r="O42" i="10" l="1"/>
  <c r="M5" i="138"/>
  <c r="I42" i="10"/>
  <c r="G5" i="138"/>
  <c r="E1706" i="139" l="1"/>
  <c r="H42" i="10" l="1"/>
  <c r="F5" i="138"/>
  <c r="E1715" i="139" l="1"/>
  <c r="E1500" i="139"/>
  <c r="E1536" i="139"/>
  <c r="E1311" i="139"/>
  <c r="E1347" i="139"/>
  <c r="E1374" i="139"/>
  <c r="E1410" i="139"/>
  <c r="E1446" i="139"/>
  <c r="E1518" i="139"/>
  <c r="E1554" i="139"/>
  <c r="E1275" i="139"/>
  <c r="E1329" i="139"/>
  <c r="E1365" i="139"/>
  <c r="E1392" i="139"/>
  <c r="E1428" i="139"/>
  <c r="E1464" i="139"/>
  <c r="E1563" i="139" l="1"/>
  <c r="E1491" i="139"/>
  <c r="E1545" i="139"/>
  <c r="E1527" i="139"/>
  <c r="E1356" i="139"/>
  <c r="E1338" i="139"/>
  <c r="E1320" i="139"/>
  <c r="E1455" i="139"/>
  <c r="E1419" i="139"/>
  <c r="E1437" i="139"/>
  <c r="E1509" i="139"/>
  <c r="E1383" i="139"/>
  <c r="E1733" i="139"/>
  <c r="E1590" i="139"/>
  <c r="E1724" i="139"/>
  <c r="E1284" i="139"/>
  <c r="E1599" i="139"/>
  <c r="E1626" i="139" s="1"/>
  <c r="E1742" i="139"/>
  <c r="E734" i="139"/>
  <c r="E766" i="139"/>
  <c r="E718" i="139"/>
  <c r="E742" i="139"/>
  <c r="N42" i="10"/>
  <c r="L5" i="138"/>
  <c r="E1482" i="139"/>
  <c r="E1473" i="139"/>
  <c r="C13" i="138"/>
  <c r="E1625" i="139" l="1"/>
  <c r="E1746" i="139"/>
  <c r="E1817" i="139" s="1"/>
  <c r="G1817" i="139" s="1"/>
  <c r="B13" i="138"/>
  <c r="F29" i="10"/>
  <c r="E782" i="139"/>
  <c r="E750" i="139"/>
  <c r="E726" i="139"/>
  <c r="E758" i="139"/>
  <c r="E606" i="139"/>
  <c r="D13" i="138" l="1"/>
  <c r="B7" i="138"/>
  <c r="B5" i="138"/>
  <c r="K42" i="10" l="1"/>
  <c r="M42" i="10" s="1"/>
  <c r="P42" i="10" s="1"/>
  <c r="I5" i="138"/>
  <c r="G42" i="10" l="1"/>
  <c r="J42" i="10" s="1"/>
  <c r="J17" i="10"/>
  <c r="E5" i="138"/>
  <c r="H5" i="138" l="1"/>
  <c r="N54" i="10" l="1"/>
  <c r="L13" i="138"/>
  <c r="G54" i="10" l="1"/>
  <c r="E13" i="138"/>
  <c r="K54" i="10"/>
  <c r="M54" i="10" s="1"/>
  <c r="I13" i="138"/>
  <c r="E662" i="139" l="1"/>
  <c r="B4" i="138" l="1"/>
  <c r="E246" i="139" l="1"/>
  <c r="E470" i="139" l="1"/>
  <c r="E262" i="139" l="1"/>
  <c r="E534" i="139" l="1"/>
  <c r="E558" i="139"/>
  <c r="E566" i="139"/>
  <c r="E1608" i="139" l="1"/>
  <c r="E350" i="139"/>
  <c r="E1627" i="139" l="1"/>
  <c r="E1628" i="139" s="1"/>
  <c r="E1809" i="139" s="1"/>
  <c r="E462" i="139"/>
  <c r="C5" i="138"/>
  <c r="G1809" i="139" l="1"/>
  <c r="D5" i="138" l="1"/>
  <c r="M17" i="10" l="1"/>
  <c r="J5" i="138"/>
  <c r="F42" i="10"/>
  <c r="K5" i="138" l="1"/>
  <c r="P17" i="10"/>
  <c r="R17" i="10"/>
  <c r="S17" i="10"/>
  <c r="E582" i="139" l="1"/>
  <c r="E574" i="139"/>
  <c r="E646" i="139" l="1"/>
  <c r="E158" i="139" l="1"/>
  <c r="E22" i="139"/>
  <c r="E446" i="139"/>
  <c r="E286" i="139"/>
  <c r="E318" i="139"/>
  <c r="E294" i="139"/>
  <c r="E310" i="139"/>
  <c r="E238" i="139"/>
  <c r="E166" i="139"/>
  <c r="E174" i="139"/>
  <c r="E150" i="139"/>
  <c r="E142" i="139"/>
  <c r="E134" i="139"/>
  <c r="E70" i="139"/>
  <c r="E78" i="139"/>
  <c r="E30" i="139"/>
  <c r="E38" i="139"/>
  <c r="E46" i="139"/>
  <c r="E550" i="139"/>
  <c r="E494" i="139"/>
  <c r="E454" i="139"/>
  <c r="E502" i="139"/>
  <c r="E126" i="139"/>
  <c r="E786" i="139" l="1"/>
  <c r="E785" i="139"/>
  <c r="E542" i="139"/>
  <c r="E518" i="139"/>
  <c r="E510" i="139"/>
  <c r="E478" i="139"/>
  <c r="E278" i="139"/>
  <c r="E302" i="139"/>
  <c r="E787" i="139" l="1"/>
  <c r="E526" i="139"/>
  <c r="E788" i="139" s="1"/>
  <c r="E670" i="139" l="1"/>
  <c r="E789" i="139" s="1"/>
  <c r="E790" i="139" l="1"/>
  <c r="E792" i="139" s="1"/>
  <c r="B6" i="138" l="1"/>
  <c r="E1683" i="139" l="1"/>
  <c r="E1813" i="139" l="1"/>
  <c r="J4" i="138" l="1"/>
  <c r="I41" i="10"/>
  <c r="G4" i="138"/>
  <c r="N41" i="10"/>
  <c r="L4" i="138"/>
  <c r="H41" i="10"/>
  <c r="F4" i="138"/>
  <c r="E4" i="138" l="1"/>
  <c r="G41" i="10"/>
  <c r="J41" i="10" s="1"/>
  <c r="J16" i="10"/>
  <c r="H4" i="138" l="1"/>
  <c r="O41" i="10" l="1"/>
  <c r="M4" i="138"/>
  <c r="I54" i="10" l="1"/>
  <c r="G13" i="138"/>
  <c r="H54" i="10"/>
  <c r="F13" i="138"/>
  <c r="J29" i="10"/>
  <c r="F54" i="10"/>
  <c r="J13" i="138"/>
  <c r="M29" i="10"/>
  <c r="J54" i="10" l="1"/>
  <c r="K13" i="138"/>
  <c r="H13" i="138"/>
  <c r="O54" i="10" l="1"/>
  <c r="P54" i="10" s="1"/>
  <c r="M13" i="138"/>
  <c r="S29" i="10"/>
  <c r="P29" i="10"/>
  <c r="R29" i="10"/>
  <c r="E1656" i="139" l="1"/>
  <c r="E1638" i="139"/>
  <c r="E1647" i="139"/>
  <c r="F41" i="10" l="1"/>
  <c r="M16" i="10"/>
  <c r="D6" i="138"/>
  <c r="E6" i="138"/>
  <c r="I43" i="10"/>
  <c r="K43" i="10"/>
  <c r="M43" i="10" s="1"/>
  <c r="J6" i="138"/>
  <c r="N43" i="10"/>
  <c r="C7" i="138"/>
  <c r="D7" i="138"/>
  <c r="J19" i="10"/>
  <c r="F7" i="138"/>
  <c r="O44" i="10"/>
  <c r="D23" i="10"/>
  <c r="H46" i="10"/>
  <c r="I46" i="10"/>
  <c r="K46" i="10"/>
  <c r="M46" i="10" s="1"/>
  <c r="M21" i="10"/>
  <c r="K8" i="138" s="1"/>
  <c r="L8" i="138"/>
  <c r="O46" i="10"/>
  <c r="K41" i="10"/>
  <c r="M41" i="10" s="1"/>
  <c r="P41" i="10" s="1"/>
  <c r="I44" i="10"/>
  <c r="K44" i="10"/>
  <c r="M44" i="10" s="1"/>
  <c r="N44" i="10"/>
  <c r="G46" i="10"/>
  <c r="E803" i="139"/>
  <c r="E1665" i="139"/>
  <c r="E1674" i="139"/>
  <c r="E1787" i="139"/>
  <c r="E1788" i="139"/>
  <c r="G1813" i="139"/>
  <c r="C4" i="138"/>
  <c r="D4" i="138"/>
  <c r="I4" i="138"/>
  <c r="C6" i="138"/>
  <c r="G6" i="138"/>
  <c r="I6" i="138"/>
  <c r="G7" i="138"/>
  <c r="L7" i="138"/>
  <c r="M7" i="138"/>
  <c r="B8" i="138"/>
  <c r="C8" i="138"/>
  <c r="D8" i="138"/>
  <c r="E8" i="138"/>
  <c r="F8" i="138"/>
  <c r="G8" i="138"/>
  <c r="I8" i="138"/>
  <c r="M8" i="138"/>
  <c r="H23" i="10" l="1"/>
  <c r="F9" i="138" s="1"/>
  <c r="F15" i="138" s="1"/>
  <c r="F6" i="138"/>
  <c r="H44" i="10"/>
  <c r="M18" i="10"/>
  <c r="K6" i="138" s="1"/>
  <c r="G44" i="10"/>
  <c r="J44" i="10" s="1"/>
  <c r="F46" i="10"/>
  <c r="E1803" i="139"/>
  <c r="E1811" i="139" s="1"/>
  <c r="G1811" i="139" s="1"/>
  <c r="M19" i="10"/>
  <c r="P19" i="10" s="1"/>
  <c r="J21" i="10"/>
  <c r="H8" i="138" s="1"/>
  <c r="H43" i="10"/>
  <c r="E7" i="138"/>
  <c r="F44" i="10"/>
  <c r="L6" i="138"/>
  <c r="H7" i="138"/>
  <c r="D31" i="10"/>
  <c r="B9" i="138"/>
  <c r="B15" i="138" s="1"/>
  <c r="E1696" i="139"/>
  <c r="E1810" i="139" s="1"/>
  <c r="G1810" i="139" s="1"/>
  <c r="O23" i="10"/>
  <c r="M9" i="138" s="1"/>
  <c r="M15" i="138" s="1"/>
  <c r="H31" i="10"/>
  <c r="H56" i="10" s="1"/>
  <c r="L23" i="10"/>
  <c r="H48" i="10"/>
  <c r="J7" i="138"/>
  <c r="I7" i="138"/>
  <c r="J46" i="10"/>
  <c r="K23" i="10"/>
  <c r="K48" i="10" s="1"/>
  <c r="M48" i="10" s="1"/>
  <c r="I23" i="10"/>
  <c r="G9" i="138" s="1"/>
  <c r="G15" i="138" s="1"/>
  <c r="P44" i="10"/>
  <c r="F43" i="10"/>
  <c r="E23" i="10"/>
  <c r="C9" i="138" s="1"/>
  <c r="C15" i="138" s="1"/>
  <c r="K4" i="138"/>
  <c r="P16" i="10"/>
  <c r="R16" i="10"/>
  <c r="S16" i="10"/>
  <c r="O48" i="10"/>
  <c r="R18" i="10"/>
  <c r="M6" i="138"/>
  <c r="S18" i="10"/>
  <c r="F23" i="10"/>
  <c r="O43" i="10"/>
  <c r="P43" i="10" s="1"/>
  <c r="N46" i="10"/>
  <c r="P46" i="10" s="1"/>
  <c r="J8" i="138"/>
  <c r="G43" i="10"/>
  <c r="G23" i="10"/>
  <c r="N23" i="10"/>
  <c r="J18" i="10"/>
  <c r="P21" i="10"/>
  <c r="J43" i="10" l="1"/>
  <c r="P18" i="10"/>
  <c r="S19" i="10"/>
  <c r="L31" i="10"/>
  <c r="F65" i="10"/>
  <c r="M23" i="10"/>
  <c r="K7" i="138"/>
  <c r="R19" i="10"/>
  <c r="B17" i="138"/>
  <c r="E31" i="10"/>
  <c r="C17" i="138" s="1"/>
  <c r="R21" i="10"/>
  <c r="S21" i="10"/>
  <c r="I9" i="138"/>
  <c r="I15" i="138" s="1"/>
  <c r="K31" i="10"/>
  <c r="K56" i="10" s="1"/>
  <c r="M56" i="10" s="1"/>
  <c r="J9" i="138"/>
  <c r="J15" i="138" s="1"/>
  <c r="O31" i="10"/>
  <c r="O56" i="10" s="1"/>
  <c r="F17" i="138"/>
  <c r="I31" i="10"/>
  <c r="I56" i="10" s="1"/>
  <c r="I48" i="10"/>
  <c r="J23" i="10"/>
  <c r="R23" i="10" s="1"/>
  <c r="H6" i="138"/>
  <c r="K9" i="138"/>
  <c r="K15" i="138" s="1"/>
  <c r="P23" i="10"/>
  <c r="M31" i="10"/>
  <c r="D9" i="138"/>
  <c r="D15" i="138" s="1"/>
  <c r="F48" i="10"/>
  <c r="F31" i="10"/>
  <c r="N48" i="10"/>
  <c r="P48" i="10" s="1"/>
  <c r="L9" i="138"/>
  <c r="L15" i="138" s="1"/>
  <c r="N31" i="10"/>
  <c r="N56" i="10" s="1"/>
  <c r="P56" i="10" s="1"/>
  <c r="E9" i="138"/>
  <c r="E15" i="138" s="1"/>
  <c r="G31" i="10"/>
  <c r="G56" i="10" s="1"/>
  <c r="G48" i="10"/>
  <c r="J17" i="138" l="1"/>
  <c r="I17" i="138"/>
  <c r="F14" i="36"/>
  <c r="E14" i="36" s="1"/>
  <c r="F64" i="10"/>
  <c r="F66" i="10" s="1"/>
  <c r="M17" i="138"/>
  <c r="J48" i="10"/>
  <c r="J56" i="10"/>
  <c r="E813" i="139"/>
  <c r="E1265" i="139" s="1"/>
  <c r="E1808" i="139" s="1"/>
  <c r="P31" i="10"/>
  <c r="L17" i="138"/>
  <c r="G17" i="138"/>
  <c r="S23" i="10"/>
  <c r="D17" i="138"/>
  <c r="K17" i="138"/>
  <c r="J31" i="10"/>
  <c r="R31" i="10" s="1"/>
  <c r="H9" i="138"/>
  <c r="H15" i="138" s="1"/>
  <c r="H17" i="138" s="1"/>
  <c r="E17" i="138"/>
  <c r="F56" i="10"/>
  <c r="G1808" i="139" l="1"/>
  <c r="E1815" i="139"/>
  <c r="S31" i="10"/>
  <c r="E1819" i="139" l="1"/>
  <c r="G1819" i="139" s="1"/>
  <c r="G1815" i="139"/>
</calcChain>
</file>

<file path=xl/sharedStrings.xml><?xml version="1.0" encoding="utf-8"?>
<sst xmlns="http://schemas.openxmlformats.org/spreadsheetml/2006/main" count="1453" uniqueCount="555">
  <si>
    <t>Other Non-Bypassable Charges</t>
  </si>
  <si>
    <t>Description</t>
  </si>
  <si>
    <t>Transmission</t>
  </si>
  <si>
    <t>Distribution</t>
  </si>
  <si>
    <t>Reference</t>
  </si>
  <si>
    <t>Function</t>
  </si>
  <si>
    <t>Schedule</t>
  </si>
  <si>
    <t>Total</t>
  </si>
  <si>
    <t>Electric</t>
  </si>
  <si>
    <t>Other</t>
  </si>
  <si>
    <t>TX-Retail</t>
  </si>
  <si>
    <t>(DIST)</t>
  </si>
  <si>
    <t>Operating and Maintenance Expenses</t>
  </si>
  <si>
    <t>Depreciation &amp; Amortization Expenses</t>
  </si>
  <si>
    <t>Decommissioning Expense</t>
  </si>
  <si>
    <t>Taxes Other Than Federal Income Tax</t>
  </si>
  <si>
    <t>Federal Income Tax</t>
  </si>
  <si>
    <t>Return on  Rate Base</t>
  </si>
  <si>
    <t>TOTAL COST OF SERVICE</t>
  </si>
  <si>
    <t>TOTAL ADJUSTED REVENUE REQUIREMENT</t>
  </si>
  <si>
    <t>Metering</t>
  </si>
  <si>
    <t>(TRAN)</t>
  </si>
  <si>
    <t>(MET)</t>
  </si>
  <si>
    <t>Adjustments</t>
  </si>
  <si>
    <t>Amount</t>
  </si>
  <si>
    <t>Transmission and Distribution Cost of Service</t>
  </si>
  <si>
    <t>Minus:  Other Revenues</t>
  </si>
  <si>
    <t>II-E-1</t>
  </si>
  <si>
    <t>II-E-2</t>
  </si>
  <si>
    <t>II-E-3</t>
  </si>
  <si>
    <t>(a)</t>
  </si>
  <si>
    <t>(b)</t>
  </si>
  <si>
    <t>(c)</t>
  </si>
  <si>
    <t>(d)</t>
  </si>
  <si>
    <t>(e)</t>
  </si>
  <si>
    <t>(f)</t>
  </si>
  <si>
    <t>(g)</t>
  </si>
  <si>
    <t>(h)</t>
  </si>
  <si>
    <t>(i)</t>
  </si>
  <si>
    <t>(j)</t>
  </si>
  <si>
    <t>Line</t>
  </si>
  <si>
    <t>No</t>
  </si>
  <si>
    <t>II-D-2</t>
  </si>
  <si>
    <t>(TDCS)</t>
  </si>
  <si>
    <t>Known and</t>
  </si>
  <si>
    <t>Measurable</t>
  </si>
  <si>
    <t>Adjusted</t>
  </si>
  <si>
    <t>Regulated</t>
  </si>
  <si>
    <t>T&amp;D</t>
  </si>
  <si>
    <t>II-B</t>
  </si>
  <si>
    <t>II-E-5</t>
  </si>
  <si>
    <t>(k)</t>
  </si>
  <si>
    <t>Cust. Srvc.</t>
  </si>
  <si>
    <t>Depreciation, Amortization, &amp; Other Expenses</t>
  </si>
  <si>
    <t>Schedule I-A-1</t>
  </si>
  <si>
    <t>Workpaper</t>
  </si>
  <si>
    <t>Sponsoring</t>
  </si>
  <si>
    <t>Witness</t>
  </si>
  <si>
    <t>Amount at</t>
  </si>
  <si>
    <t>Existing Rates</t>
  </si>
  <si>
    <t>Adjustment to</t>
  </si>
  <si>
    <t>Proposed Rates</t>
  </si>
  <si>
    <t>NTU</t>
  </si>
  <si>
    <t>TRANS</t>
  </si>
  <si>
    <t>(NTU-TRAN)</t>
  </si>
  <si>
    <t>DIST</t>
  </si>
  <si>
    <t>(NTU-DIST)</t>
  </si>
  <si>
    <t>CONSOL</t>
  </si>
  <si>
    <t>(l)</t>
  </si>
  <si>
    <t>(m)</t>
  </si>
  <si>
    <t>(n)</t>
  </si>
  <si>
    <t>(o)</t>
  </si>
  <si>
    <t>DC</t>
  </si>
  <si>
    <t>TIE</t>
  </si>
  <si>
    <t>TRAN</t>
  </si>
  <si>
    <t>Consol</t>
  </si>
  <si>
    <t>Schedule B</t>
  </si>
  <si>
    <t>Original Cost of Utility Plant (II-B-1)</t>
  </si>
  <si>
    <t>Col (d), Ln. 6</t>
  </si>
  <si>
    <t>W. ALAN LEDBETTER</t>
  </si>
  <si>
    <t>A. THENMADATHIL</t>
  </si>
  <si>
    <t>D. WATSON</t>
  </si>
  <si>
    <t>W. SPEED</t>
  </si>
  <si>
    <t>B. L. CLUTTER</t>
  </si>
  <si>
    <t>A390 - Regulated T&amp;D Electric</t>
  </si>
  <si>
    <t>A390 - Adjusted T&amp;D Electric</t>
  </si>
  <si>
    <t>A392 - Regulated T&amp;D Electric</t>
  </si>
  <si>
    <t>A392 - Adjusted T&amp;D Electric</t>
  </si>
  <si>
    <t>General Plant Functionalization (II-B-2)</t>
  </si>
  <si>
    <t>Construction Work in Progress (II-B-4)</t>
  </si>
  <si>
    <t>A107 - Regulated T&amp;D Electric</t>
  </si>
  <si>
    <t>A107 - Adjusted T&amp;D Electric</t>
  </si>
  <si>
    <t>Accumulated Depreciation (II-B-5)</t>
  </si>
  <si>
    <t>Plant Held for Future Use (II-B-6)</t>
  </si>
  <si>
    <t>A105 - Regulated T&amp;D Electric</t>
  </si>
  <si>
    <t>A105 - Adjusted T&amp;D Electric</t>
  </si>
  <si>
    <t>Other Rate Case Items (II-B-11)</t>
  </si>
  <si>
    <t>Regulatory Assets (II-B-12)</t>
  </si>
  <si>
    <t>A182 - Regulated T&amp;D Electric - Pension &amp; OPEB Reg Asset-ONCOR (GAAP)</t>
  </si>
  <si>
    <t>A182 - Adjusted T&amp;D Electric - Pension &amp; OPEB Reg Asset-ONCOR (GAAP)</t>
  </si>
  <si>
    <t>A182 - Regulated T&amp;D Electric - CWIP Tran &amp; Dist Non-Service Cost Pension/OPEBs (GAAP)</t>
  </si>
  <si>
    <t>A182 - Adjusted T&amp;D Electric - CWIP Tran &amp; Dist Non-Service Cost Pension/OPEBs (GAAP)</t>
  </si>
  <si>
    <t>A189 - Regulated T&amp;D Electric - Unamortized Losses - Reacquired Debt</t>
  </si>
  <si>
    <t>A189 - Adjusted T&amp;D Electric - Unamortized Losses - Reacquired Debt</t>
  </si>
  <si>
    <t>A186 - Regulated T&amp;D Electric - Workers Compensation</t>
  </si>
  <si>
    <t>A186 - Adjusted T&amp;D Electric - Workers Compensation</t>
  </si>
  <si>
    <t>A254 - Regulated T&amp;D Electric - Estimated net removal costs (GAAP)</t>
  </si>
  <si>
    <t>A254 - Adjusted T&amp;D Electric - Estimated net removal costs (GAAP)</t>
  </si>
  <si>
    <t>A228/A254 - Regulated T&amp;D Electric - Energy Efficiency incl. Unbilled Deferral</t>
  </si>
  <si>
    <t>A228/A254 - Adjusted T&amp;D Electric - Energy Efficiency incl. Unbilled Deferral</t>
  </si>
  <si>
    <t>A254 - Regulated T&amp;D Electric - TCRF Unbilled Revenue Deferral (GAAP)</t>
  </si>
  <si>
    <t>A254 - Adjusted T&amp;D Electric - TCRF Unbilled Revenue Deferral (GAAP)</t>
  </si>
  <si>
    <t>A254 - Regulated T&amp;D Electric - AMS Unbilled Revenue Deferral (GAAP)</t>
  </si>
  <si>
    <t>A254 - Adjusted T&amp;D Electric - AMS Unbilled Revenue Deferral (GAAP)</t>
  </si>
  <si>
    <t>A257 - Regulated T&amp;D Electric - Unamortized Gains - Reacquired Debt</t>
  </si>
  <si>
    <t>A257 - Adjusted T&amp;D Electric - Unamortized Gains - Reacquired Debt</t>
  </si>
  <si>
    <t>A254 - Regulated T&amp;D Electric - FAS109 - Unamortized ITC</t>
  </si>
  <si>
    <t>A254 - Adjusted T&amp;D Electric - FAS109 - Unamortized ITC</t>
  </si>
  <si>
    <t>A254 - Regulated T&amp;D Electric - Excess DFIT Reserve Gross-up</t>
  </si>
  <si>
    <t>A254 - Adjusted T&amp;D Electric - Excess DFIT Reserve Gross-up</t>
  </si>
  <si>
    <t>A254 - Regulated T&amp;D Electric - Pension/OPEB - FAS109</t>
  </si>
  <si>
    <t>A254 - Adjusted T&amp;D Electric - Pension/OPEB - FAS109</t>
  </si>
  <si>
    <t>A254 - Regulated T&amp;D Electric - Pension/OPEB - Gross-up</t>
  </si>
  <si>
    <t>A254 - Adjusted T&amp;D Electric - Pension/OPEB - Gross-up</t>
  </si>
  <si>
    <t>ADFIT (II-E-3.5)</t>
  </si>
  <si>
    <t>A282 - Regulated T&amp;D Electric - EPIS - Flow Through Gross-up</t>
  </si>
  <si>
    <t>A282 - Adjusted T&amp;D Electric - EPIS - Flow Through Gross-up</t>
  </si>
  <si>
    <t>A282 - Regulated T&amp;D Electric - CWIP - Flow Through Gross-up</t>
  </si>
  <si>
    <t>A282 - Adjusted T&amp;D Electric - CWIP - Flow Through Gross-up</t>
  </si>
  <si>
    <t>A282 - Regulated T&amp;D Electric - Tax Depreciation</t>
  </si>
  <si>
    <t>A282 - Adjusted T&amp;D Electric - Tax Depreciation</t>
  </si>
  <si>
    <t>A283 - Regulated T&amp;D Electric - Rate Case Expense</t>
  </si>
  <si>
    <t>A283 - Adjusted T&amp;D Electric - Rate Case Expense</t>
  </si>
  <si>
    <t>A283 - Regulated T&amp;D Electric - Reg Asset - Efficiency Performance Bonus</t>
  </si>
  <si>
    <t>A283 - Adjusted T&amp;D Electric - Reg Asset - Efficiency Performance Bonus</t>
  </si>
  <si>
    <t>A283 - Regulated T&amp;D Electric - Reg Asset - Defaulted REPs</t>
  </si>
  <si>
    <t>A283 - Adjusted T&amp;D Electric - Reg Asset - Defaulted REPs</t>
  </si>
  <si>
    <t>A283 - Regulated T&amp;D Electric - Reg Asset - Workers Comp</t>
  </si>
  <si>
    <t>A283 - Adjusted T&amp;D Electric - Reg Asset - Workers Comp</t>
  </si>
  <si>
    <t>A283 - Regulated T&amp;D Electric - Excess DFIT - Tax Gross-up</t>
  </si>
  <si>
    <t>A283 - Adjusted T&amp;D Electric - Excess DFIT - Tax Gross-up</t>
  </si>
  <si>
    <t>A190 - Regulated T&amp;D Electric - Pension/OPEB - Gross-up</t>
  </si>
  <si>
    <t>A190 - Adjusted T&amp;D Electric - Pension/OPEB - Gross-up</t>
  </si>
  <si>
    <t>A190 - Regulated T&amp;D Electric - OPEB FAS 112</t>
  </si>
  <si>
    <t>A190 - Adjusted T&amp;D Electric - OPEB FAS 112</t>
  </si>
  <si>
    <t>A190 - Regulated T&amp;D Electric - Merger Transaction Costs</t>
  </si>
  <si>
    <t>A190 - Adjusted T&amp;D Electric - Merger Transaction Costs</t>
  </si>
  <si>
    <t>A190 - Regulated T&amp;D Electric - Excess DFIT - Tax Gross-up</t>
  </si>
  <si>
    <t>A190 - Adjusted T&amp;D Electric - Excess DFIT - Tax Gross-up</t>
  </si>
  <si>
    <t>A190 - Regulated T&amp;D Electric -ITC-Deferred Tax Gross-up</t>
  </si>
  <si>
    <t>A190 - Adjusted T&amp;D Electric - ITC-Deferred Tax Gross-up</t>
  </si>
  <si>
    <t>Total Plant Adjustments</t>
  </si>
  <si>
    <t>Minus Accumulated Depreciation</t>
  </si>
  <si>
    <t>Net Plant in Service</t>
  </si>
  <si>
    <t>II-B Other Rate Base Items</t>
  </si>
  <si>
    <t>ADFIT</t>
  </si>
  <si>
    <t>Total Rate Base</t>
  </si>
  <si>
    <t>Return on Rate Base</t>
  </si>
  <si>
    <t>Schedule D</t>
  </si>
  <si>
    <t>Col (d), Ln. 1</t>
  </si>
  <si>
    <t>O&amp;M Adjustment #1</t>
  </si>
  <si>
    <t>A565 - Per Book</t>
  </si>
  <si>
    <t>A565 - Requested</t>
  </si>
  <si>
    <t>A908 - Per Book</t>
  </si>
  <si>
    <t>A908 - Requested</t>
  </si>
  <si>
    <t>O&amp;M Adjustment #2</t>
  </si>
  <si>
    <t>WP/II-D Adjustment /1</t>
  </si>
  <si>
    <t>WP/II-D Adjustment /2</t>
  </si>
  <si>
    <t>O&amp;M Adjustment #3</t>
  </si>
  <si>
    <t>WP/II-D Adjustment /3</t>
  </si>
  <si>
    <t>A926 - Requested</t>
  </si>
  <si>
    <t>O&amp;M Adjustment #4</t>
  </si>
  <si>
    <t>WP/II-D Adjustment /4</t>
  </si>
  <si>
    <t>O&amp;M Adjustment #5</t>
  </si>
  <si>
    <t>WP/II-D Adjustment /5</t>
  </si>
  <si>
    <t>O&amp;M Adjustment #6</t>
  </si>
  <si>
    <t>WP/II-D Adjustment /6</t>
  </si>
  <si>
    <t>O&amp;M Adjustment #7</t>
  </si>
  <si>
    <t>WP/II-D Adjustment /7</t>
  </si>
  <si>
    <t>A925 - Requested</t>
  </si>
  <si>
    <t>O&amp;M Adjustment #8</t>
  </si>
  <si>
    <t>WP/II-D Adjustment /8</t>
  </si>
  <si>
    <t>A920 - Requested</t>
  </si>
  <si>
    <t>O&amp;M Adjustment #9</t>
  </si>
  <si>
    <t>WP/II-D Adjustment /9</t>
  </si>
  <si>
    <t>A923 - Requested</t>
  </si>
  <si>
    <t>O&amp;M Adjustment #10</t>
  </si>
  <si>
    <t>WP/II-D Adjustment /10</t>
  </si>
  <si>
    <t>A593 - Requested</t>
  </si>
  <si>
    <t>O&amp;M Adjustment #11</t>
  </si>
  <si>
    <t>WP/II-D Adjustment /11</t>
  </si>
  <si>
    <t>A903 - Requested</t>
  </si>
  <si>
    <t>O&amp;M Adjustment #12</t>
  </si>
  <si>
    <t>WP/II-D Adjustment /12</t>
  </si>
  <si>
    <t>A566 - Requested</t>
  </si>
  <si>
    <t>O&amp;M Adjustment #13</t>
  </si>
  <si>
    <t>WP/II-D Adjustment /13</t>
  </si>
  <si>
    <t>O&amp;M Adjustment #14</t>
  </si>
  <si>
    <t>WP/II-D Adjustment /14</t>
  </si>
  <si>
    <t>A921 - Requested</t>
  </si>
  <si>
    <t>A904 - Requested</t>
  </si>
  <si>
    <t>O&amp;M Adjustment #15</t>
  </si>
  <si>
    <t>WP/II-D Adjustment /15</t>
  </si>
  <si>
    <t>A931 - Requested</t>
  </si>
  <si>
    <t>O&amp;M Adjustment #16</t>
  </si>
  <si>
    <t>WP/II-D Adjustment /16</t>
  </si>
  <si>
    <t>A588 - Per Book</t>
  </si>
  <si>
    <t>A580 - Requested</t>
  </si>
  <si>
    <t>A588 - Requested</t>
  </si>
  <si>
    <t>A930.2 - Requested</t>
  </si>
  <si>
    <t>O&amp;M Adjustment #17</t>
  </si>
  <si>
    <t>WP/II-D Adjustment /17</t>
  </si>
  <si>
    <t>O&amp;M Adjustment #18</t>
  </si>
  <si>
    <t>WP/II-D Adjustment /18</t>
  </si>
  <si>
    <t>A592 - Requested</t>
  </si>
  <si>
    <t>O&amp;M Adjustment #19</t>
  </si>
  <si>
    <t>WP/II-D Adjustment /19</t>
  </si>
  <si>
    <t>O&amp;M Adjustment #20</t>
  </si>
  <si>
    <t>WP/II-D Adjustment /20</t>
  </si>
  <si>
    <t>O&amp;M Adjustment #21</t>
  </si>
  <si>
    <t>WP/II-D Adjustment /21</t>
  </si>
  <si>
    <t>O&amp;M Adjustment #22</t>
  </si>
  <si>
    <t>WP/II-D Adjustment /22</t>
  </si>
  <si>
    <t>O&amp;M Adjustment #23</t>
  </si>
  <si>
    <t>WP/II-D Adjustment /23</t>
  </si>
  <si>
    <t>Total Adjustment</t>
  </si>
  <si>
    <t>O&amp;M Adjustment #24</t>
  </si>
  <si>
    <t>WP/II-D Adjustment /24</t>
  </si>
  <si>
    <t>A928 - Requested</t>
  </si>
  <si>
    <t>O&amp;M Adjustment #25</t>
  </si>
  <si>
    <t>WP/II-D Adjustment /25</t>
  </si>
  <si>
    <t>A561 - Requested</t>
  </si>
  <si>
    <t>A586 - Requested</t>
  </si>
  <si>
    <t>O&amp;M Adjustment #26</t>
  </si>
  <si>
    <t>WP/II-D Adjustment /26</t>
  </si>
  <si>
    <t>O&amp;M Adjustment #27</t>
  </si>
  <si>
    <t>WP/II-D Adjustment /27</t>
  </si>
  <si>
    <t>O&amp;M Adjustment #28</t>
  </si>
  <si>
    <t>WP/II-D Adjustment /28</t>
  </si>
  <si>
    <t>O&amp;M Adjustment #29</t>
  </si>
  <si>
    <t>WP/II-D Adjustment /29</t>
  </si>
  <si>
    <t>A924 - Requested</t>
  </si>
  <si>
    <t>O&amp;M Adjustment #30</t>
  </si>
  <si>
    <t>WP/II-D Adjustment /30</t>
  </si>
  <si>
    <t>O&amp;M Adjustment #31</t>
  </si>
  <si>
    <t>WP/II-D Adjustment /31</t>
  </si>
  <si>
    <t>O&amp;M Adjustment #32</t>
  </si>
  <si>
    <t>WP/II-D Adjustment /32</t>
  </si>
  <si>
    <t>A589 - Requested</t>
  </si>
  <si>
    <t>O&amp;M Adjustment #33</t>
  </si>
  <si>
    <t>WP/II-D Adjustment /33</t>
  </si>
  <si>
    <t>O&amp;M Adjustment #34</t>
  </si>
  <si>
    <t>WP/II-D Adjustment /34</t>
  </si>
  <si>
    <t>O&amp;M Adjustment #35</t>
  </si>
  <si>
    <t>WP/II-D Adjustment /35</t>
  </si>
  <si>
    <t>A902 - Requested</t>
  </si>
  <si>
    <t>O&amp;M Adjustment #36</t>
  </si>
  <si>
    <t>WP/II-D Adjustment /36</t>
  </si>
  <si>
    <t>O&amp;M Adjustment #37</t>
  </si>
  <si>
    <t>WP/II-D Adjustment /37</t>
  </si>
  <si>
    <t>O&amp;M Adjustment #38</t>
  </si>
  <si>
    <t>WP/II-D Adjustment /38</t>
  </si>
  <si>
    <t>O&amp;M Adjustment #39</t>
  </si>
  <si>
    <t>WP/II-D Adjustment /39</t>
  </si>
  <si>
    <t>O&amp;M Adjustment #40</t>
  </si>
  <si>
    <t>WP/II-D Adjustment /40</t>
  </si>
  <si>
    <t>O&amp;M Adjustment #41</t>
  </si>
  <si>
    <t>WP/II-D Adjustment /41</t>
  </si>
  <si>
    <t>A563 - Requested</t>
  </si>
  <si>
    <t>A583 - Requested</t>
  </si>
  <si>
    <t>O&amp;M Adjustment #42</t>
  </si>
  <si>
    <t>WP/II-D Adjustment /42</t>
  </si>
  <si>
    <t>O&amp;M Adjustment #43</t>
  </si>
  <si>
    <t>WP/II-D Adjustment /43</t>
  </si>
  <si>
    <t>O&amp;M Adjustment #44</t>
  </si>
  <si>
    <t>WP/II-D Adjustment /44</t>
  </si>
  <si>
    <t>Schedule II-E-1</t>
  </si>
  <si>
    <t>Depreciation Expense (II-E-1)</t>
  </si>
  <si>
    <t>Col (d), Ln. 2</t>
  </si>
  <si>
    <t>A303 - Per Book</t>
  </si>
  <si>
    <t>A303 - Requested</t>
  </si>
  <si>
    <t>A350 - Per Book</t>
  </si>
  <si>
    <t>A350 - Requested</t>
  </si>
  <si>
    <t>A352 - Per Book</t>
  </si>
  <si>
    <t>A352 - Requested</t>
  </si>
  <si>
    <t>A353 - Per Book</t>
  </si>
  <si>
    <t>A354 - Per Book</t>
  </si>
  <si>
    <t>A355 - Per Book</t>
  </si>
  <si>
    <t>A356 - Per Book</t>
  </si>
  <si>
    <t>A357 - Per Book</t>
  </si>
  <si>
    <t>A358 - Per Book</t>
  </si>
  <si>
    <t>A360 - Per Book</t>
  </si>
  <si>
    <t>A361 - Per Book</t>
  </si>
  <si>
    <t>A362 - Per Book</t>
  </si>
  <si>
    <t>A364 - Per Book</t>
  </si>
  <si>
    <t>A365 - Per Book</t>
  </si>
  <si>
    <t>A366 - Per Book</t>
  </si>
  <si>
    <t>A367 - Per Book</t>
  </si>
  <si>
    <t>A368 - Per Book</t>
  </si>
  <si>
    <t>A369 - Per Book</t>
  </si>
  <si>
    <t>A370 - Per Book</t>
  </si>
  <si>
    <t>A371 - Per Book</t>
  </si>
  <si>
    <t>A373 - Per Book</t>
  </si>
  <si>
    <t>A389.1 - Per Book</t>
  </si>
  <si>
    <t>A389.1 - Requested</t>
  </si>
  <si>
    <t>A389.1 - Adjustment</t>
  </si>
  <si>
    <t>A390 - Per Book</t>
  </si>
  <si>
    <t>A391 - Per Book</t>
  </si>
  <si>
    <t>A392 - Per Book</t>
  </si>
  <si>
    <t>A393 - Per Book</t>
  </si>
  <si>
    <t>A394 - Per Book</t>
  </si>
  <si>
    <t>A395 - Per Book</t>
  </si>
  <si>
    <t>A396 - Per Book</t>
  </si>
  <si>
    <t>A398 - Per Book</t>
  </si>
  <si>
    <t>Other Expenses (II-E-4)</t>
  </si>
  <si>
    <t>A431 - Per Book</t>
  </si>
  <si>
    <t>Deferred Expenses from Prior Dockets (II-E-4.1)</t>
  </si>
  <si>
    <t>A406 - Per Book -Amortization of Electric Plant Acquisition Adjustments - Transmission Facilities Acquired from SPS - NTU</t>
  </si>
  <si>
    <t>Depreciation and Amortization</t>
  </si>
  <si>
    <t>Misc. Other Expense</t>
  </si>
  <si>
    <t>Deferrred Expenses from Prior Dockets</t>
  </si>
  <si>
    <t>Taxes Other than Income Taxes (II-E-2)</t>
  </si>
  <si>
    <t>Col (d), Ln. 3</t>
  </si>
  <si>
    <t>FICA - Per Book</t>
  </si>
  <si>
    <t>FUTA - Per Book</t>
  </si>
  <si>
    <t>SUTA - Per Book</t>
  </si>
  <si>
    <t>Ad Valorem - Per Book</t>
  </si>
  <si>
    <t>Ad Valorem - Requested</t>
  </si>
  <si>
    <t>Ad Valorem - Adjustment</t>
  </si>
  <si>
    <t>Texas Gross Margin Tax - Per Book</t>
  </si>
  <si>
    <t>Texas Gross Margin Tax - Requested</t>
  </si>
  <si>
    <t>Texas Gross Margin - Adjustment</t>
  </si>
  <si>
    <t>Municipal Franchise Fees - Per Book</t>
  </si>
  <si>
    <t>Municipal Franchise Fees - Requested</t>
  </si>
  <si>
    <t>Municipal Franchise Fees - Adjustment</t>
  </si>
  <si>
    <t>Other Revenues</t>
  </si>
  <si>
    <t>Other Revenue Items (II-E-5)</t>
  </si>
  <si>
    <t>Col (d), Ln. 14</t>
  </si>
  <si>
    <t>A456 - Per Book - Other Electric Revenues</t>
  </si>
  <si>
    <t>A456 - Requested - Other Electric Revenues</t>
  </si>
  <si>
    <t>Federal Income Taxes</t>
  </si>
  <si>
    <t>Federal Income Taxes (II-E-3)</t>
  </si>
  <si>
    <t>Col (d), Ln. 4</t>
  </si>
  <si>
    <t>Summary</t>
  </si>
  <si>
    <t>A182 - Regulated T&amp;D Electric - Non-protected Excess Asset Gross-up</t>
  </si>
  <si>
    <t>A182 - Adjusted T&amp;D Electric - Non-protected Excess Asset Gross-up</t>
  </si>
  <si>
    <t>A254 - Regulated T&amp;D Electric - Non-protected Excess DFIT Liability Gross-up</t>
  </si>
  <si>
    <t>A254 - Adjusted T&amp;D Electric - Non-protected Excess DFIT Liability Gross-up</t>
  </si>
  <si>
    <t>A254 - Regulated T&amp;D Electric - Excess DFIT Gross-up</t>
  </si>
  <si>
    <t>A254 - Adjusted T&amp;D Electric - Excess DFIT Gross-up</t>
  </si>
  <si>
    <t>Materials &amp; Supplies (II-B-8)</t>
  </si>
  <si>
    <t>A154 - Regulated T&amp;D Electric</t>
  </si>
  <si>
    <t>A154 - Adjusted T&amp;D Electric</t>
  </si>
  <si>
    <t>Wholesale Transmission Service Expense</t>
  </si>
  <si>
    <t>Merit Increase and Wages Annualized</t>
  </si>
  <si>
    <t>Incentive Compensation Adjustment</t>
  </si>
  <si>
    <t>COVID19 Incremental Expense Reg Asset Amortization</t>
  </si>
  <si>
    <t>Defaulted REPs 16 TAC § 25.107 Bad Debt Expense Reg Asset Amortization</t>
  </si>
  <si>
    <t>Self-Insurance Reserve Reg Asset Amortization - To Be Reviewed</t>
  </si>
  <si>
    <t>OPEB Reg Asset Amortization - To Be Reviewed</t>
  </si>
  <si>
    <t>A582 - Requested</t>
  </si>
  <si>
    <t>A584 - Requested</t>
  </si>
  <si>
    <t>A590 - Requested</t>
  </si>
  <si>
    <t>A594 - Requested</t>
  </si>
  <si>
    <t>A595 - Requested</t>
  </si>
  <si>
    <t>A596 - Requested</t>
  </si>
  <si>
    <t>A598 - Requested</t>
  </si>
  <si>
    <t>A303 - Regulated T&amp;D Electric</t>
  </si>
  <si>
    <t>A303 - Adjusted T&amp;D Electric</t>
  </si>
  <si>
    <t>A351.2 - Regulated T&amp;D Electric</t>
  </si>
  <si>
    <t>A351.2 - Adjusted T&amp;D Electric</t>
  </si>
  <si>
    <t>A351.3 - Regulated T&amp;D Electric</t>
  </si>
  <si>
    <t>A351.3 - Adjusted T&amp;D Electric</t>
  </si>
  <si>
    <t>A362 - Regulated T&amp;D Electric</t>
  </si>
  <si>
    <t>A362 - Adjusted T&amp;D Electric</t>
  </si>
  <si>
    <t>A363.2 - Regulated T&amp;D Electric</t>
  </si>
  <si>
    <t>A363.2 - Adjusted T&amp;D Electric</t>
  </si>
  <si>
    <t>A363.3 - Regulated T&amp;D Electric</t>
  </si>
  <si>
    <t>A363.3 - Adjusted T&amp;D Electric</t>
  </si>
  <si>
    <t>A391 - Regulated T&amp;D Electric</t>
  </si>
  <si>
    <t>A391 - Adjusted T&amp;D Electric</t>
  </si>
  <si>
    <t>A394 - Regulated T&amp;D Electric</t>
  </si>
  <si>
    <t>A394 - Adjusted T&amp;D Electric</t>
  </si>
  <si>
    <t>Communication Equipment (II-B-3)</t>
  </si>
  <si>
    <t>A397.3 - Regulated T&amp;D Electric</t>
  </si>
  <si>
    <t>A397.3 - Adjusted T&amp;D Electric</t>
  </si>
  <si>
    <t>A397.1 - Regulated T&amp;D Electric</t>
  </si>
  <si>
    <t>A397.1 - Adjusted T&amp;D Electric</t>
  </si>
  <si>
    <t>A397.2 - Regulated T&amp;D Electric</t>
  </si>
  <si>
    <t>A397.2 - Adjusted T&amp;D Electric</t>
  </si>
  <si>
    <t>Prepayments (II-B-10)</t>
  </si>
  <si>
    <t>A165 - Regulated T&amp;D Electric</t>
  </si>
  <si>
    <t>A165 - Adjusted T&amp;D Electric</t>
  </si>
  <si>
    <t>A114 - Regulated T&amp;D Electric</t>
  </si>
  <si>
    <t>A114 - Adjusted T&amp;D Electric</t>
  </si>
  <si>
    <t>A252 - Regulated T&amp;D Electric</t>
  </si>
  <si>
    <t>A252 - Adjusted T&amp;D Electric</t>
  </si>
  <si>
    <t>A182 - Regulated T&amp;D Electric - SRP Distribution-Related Incremental O&amp;M VM (PURA Sec. 38.078)</t>
  </si>
  <si>
    <t>A182 - Adjusted T&amp;D Electric - SRP Distribution-Related Incremental O&amp;M VM (PURA Sec. 38.078)</t>
  </si>
  <si>
    <t>A182 - Regulated T&amp;D Electric - HB 2483 Mbl Gens &amp; rel. costs (PURA 39.918)</t>
  </si>
  <si>
    <t>A182 - Adjusted T&amp;D Electric - HB 2483 Mbl Gens &amp; rel. costs (PURA 39.918)</t>
  </si>
  <si>
    <t>A182 - Regulated T&amp;D Electric - HB 2483 Long-Lead Time Materials (PURA 39.918) (b)</t>
  </si>
  <si>
    <t>A182 - Adjusted T&amp;D Electric - HB 2483 Long-Lead Time Materials (PURA 39.918) (b)</t>
  </si>
  <si>
    <t>A182 - Regulated T&amp;D Electric - Energy Efficiency Perf Bonus (Docket No. 56682)</t>
  </si>
  <si>
    <t>A182 - Adjusted T&amp;D Electric - Energy Efficiency Perf Bonus (Docket No. 56682)</t>
  </si>
  <si>
    <t>A182 - Regulated T&amp;D Electric - Reg Asset - Defaulted REPs (b)</t>
  </si>
  <si>
    <t>A182 - Adjusted T&amp;D Electric - Reg Asset - Defaulted REPs (b)</t>
  </si>
  <si>
    <t>A182 - Regulated T&amp;D Electric - Net Plant Tran &amp; Dist Non-Service Cost Pension/OPEBs (GAAP)</t>
  </si>
  <si>
    <t>A182 - Adjusted T&amp;D Electric - Net Plant Tran &amp; Dist Non-Service Cost Pension/OPEBs (GAAP)</t>
  </si>
  <si>
    <t>A186 - Regulated T&amp;D Electric - Self-Insurance (b)</t>
  </si>
  <si>
    <t>A186 - Adjusted T&amp;D Electric - Self-Insurance (b)</t>
  </si>
  <si>
    <t>A186 - Regulated T&amp;D Electric - Rate Case Expenses (Non-standard Metering Opt-out)</t>
  </si>
  <si>
    <t>A186 - Adjusted T&amp;D Electric - Rate Case Expenses (Non-standard Metering Opt-out)</t>
  </si>
  <si>
    <t>A186 - Regulated T&amp;D Electric - Rate Case Expenses - 2021 Test Year, Docket No. 53601 (reviewed)</t>
  </si>
  <si>
    <t>A186 - Adjusted T&amp;D Electric - Rate Case Expenses - 2021 Test Year, Docket No. 53601 (reviewed)</t>
  </si>
  <si>
    <t>A186 - Regulated T&amp;D Electric - Rate Case Expenses - 2021 Test Year, Docket No. 53601 (Post-Cutoff)</t>
  </si>
  <si>
    <t>A186 - Adjusted T&amp;D Electric - Rate Case Expenses - 2021 Test Year, Docket No. 53601 (Post-Cutoff)</t>
  </si>
  <si>
    <t>A186 - Regulated T&amp;D Electric - Rate Case Expenses - DCRF Case, Docket No. 55190</t>
  </si>
  <si>
    <t>A186 - Adjusted T&amp;D Electric - Rate Case Expenses - DCRF Case, Docket No. 55190</t>
  </si>
  <si>
    <t>A186 - Regulated T&amp;D Electric - Rate Case Expenses - DCRF Case, Docket No. 55525</t>
  </si>
  <si>
    <t>A186 - Adjusted T&amp;D Electric - Rate Case Expenses - DCRF Case, Docket No. 55525</t>
  </si>
  <si>
    <t>A186 - Regulated T&amp;D Electric - Rate Case Expenses - DCRF Case, Docket No. 56306</t>
  </si>
  <si>
    <t>A186 - Adjusted T&amp;D Electric - Rate Case Expenses - DCRF Case, Docket No. 56306</t>
  </si>
  <si>
    <t>A186 - Regulated T&amp;D Electric - SRP Application and Compliance, Docket No. 56545</t>
  </si>
  <si>
    <t>A186 - Adjusted T&amp;D Electric - SRP Application and Compliance, Docket No. 56545</t>
  </si>
  <si>
    <t>A186 - Regulated T&amp;D Electric - Rate Case Expenses - DCRF Case, Docket No. 56963</t>
  </si>
  <si>
    <t>A186 - Adjusted T&amp;D Electric - Rate Case Expenses - DCRF Case, Docket No. 56963</t>
  </si>
  <si>
    <t>A186 - Regulated T&amp;D Electric - Insurance Case, Docket No. 57774</t>
  </si>
  <si>
    <t>A186 - Adjusted T&amp;D Electric - Insurance Case, Docket No. 57774</t>
  </si>
  <si>
    <t>A186 - Regulated T&amp;D Electric -Rate Case Expenses - December 2024 Test Year Rate Case (Estimate)</t>
  </si>
  <si>
    <t>A186 - Adjusted T&amp;D Electric - Rate Case Expenses - December 2024 Test Year Rate Case (Estimate)</t>
  </si>
  <si>
    <t>A254 - Regulated T&amp;D Electric - Transmission Cost Recovery (TCRF) under-/(over-)recovery</t>
  </si>
  <si>
    <t>A254 - Adjusted T&amp;D Electric - Transmission Cost Recovery (TCRF) under-/(over-)recovery</t>
  </si>
  <si>
    <t>A254 - Regulated T&amp;D Electric - RCE Unbilled Revenue Deferral (GAAP)</t>
  </si>
  <si>
    <t>A254 - Adjusted T&amp;D Electric - RCE Unbilled Revenue Deferral (GAAP)</t>
  </si>
  <si>
    <t>A182 - Regulated T&amp;D Electric - Unrecog. Exp - Pension/OPEB</t>
  </si>
  <si>
    <t>A182 - Adjusted T&amp;D Electric - Unrecog. Exp - Pension/OPEB</t>
  </si>
  <si>
    <t>A182 - Regulated T&amp;D Electric - Unrecognized Exp - Gross Up</t>
  </si>
  <si>
    <t>A182 - Adjusted T&amp;D Electric - Unrecognized Exp - Gross Up</t>
  </si>
  <si>
    <t>A182 - Regulated T&amp;D Electric - FAS109-EPIS-Basis Diff</t>
  </si>
  <si>
    <t>A182 - Adjusted T&amp;D Electric - FAS109-EPIS-Basis Diff</t>
  </si>
  <si>
    <t>A182 - Regulated T&amp;D Electric - FAS109-CWIP Flowthrough</t>
  </si>
  <si>
    <t>A182 - Adjusted T&amp;D Electric - FAS109-CWIP Flowthrough</t>
  </si>
  <si>
    <t>A254 - Regulated T&amp;D Electric - Protected Excess DFIT</t>
  </si>
  <si>
    <t>A254 - Adjusted T&amp;D Electric - Protected Excess DFIT</t>
  </si>
  <si>
    <t>A254 - Regulated T&amp;D Electric - Non-protected Plant-related Excess DFIT</t>
  </si>
  <si>
    <t>A254 - Adjusted T&amp;D Electric - Non-protected Plant-related Excess DFIT</t>
  </si>
  <si>
    <t>A282 - Regulated T&amp;D Electric - Pension/OPEB - Gross-up</t>
  </si>
  <si>
    <t>A282 - Adjusted T&amp;D Electric - Pension/OPEB - Gross-up</t>
  </si>
  <si>
    <t>A282 - Regulated T&amp;D Electric - NTU Book/Tax Depreciation</t>
  </si>
  <si>
    <t>A282 - Adjusted T&amp;D Electric - NTU Book/Tax Depreciation</t>
  </si>
  <si>
    <t>A283 - Regulated T&amp;D Electric - Self Insurance Reserve</t>
  </si>
  <si>
    <t>A283 - Adjusted T&amp;D Electric - Self Insurance Reserve</t>
  </si>
  <si>
    <t xml:space="preserve">A283 - Regulated T&amp;D Electric - Reg Asset - HB 2483 Long Lead Materials </t>
  </si>
  <si>
    <t xml:space="preserve">A283 - Adjusted T&amp;D Electric - Reg Asset - HB 2483 Long Lead Materials </t>
  </si>
  <si>
    <t>A283 - Regulated T&amp;D Electric - Reg Asset - Deferred Mobile Generator Costs</t>
  </si>
  <si>
    <t>A283 - Adjusted T&amp;D Electric - Reg Asset - Deferred Mobile Generator Costs</t>
  </si>
  <si>
    <t>A283 - Regulated T&amp;D Electric - Reg Asset - SRP-VM</t>
  </si>
  <si>
    <t>A283 - Adjusted T&amp;D Electric - Reg Asset - SRP-VM</t>
  </si>
  <si>
    <t>A190 - Regulated T&amp;D Electric - Performance Enhancement Plan</t>
  </si>
  <si>
    <t>A190 - Adjusted T&amp;D Electric - Performance Enhancement Plan</t>
  </si>
  <si>
    <t>A190 - Regulated T&amp;D Electric - Deferred Unbilled TCRF Reg Liability</t>
  </si>
  <si>
    <t>A190 - Adjusted T&amp;D Electric - Deferred Unbilled TCRF Reg Liability</t>
  </si>
  <si>
    <t>A190 - Regulated T&amp;D Electric - Supplemental Retirement Plan</t>
  </si>
  <si>
    <t>A190 - Adjusted T&amp;D Electric - Supplemental Retirement Plan</t>
  </si>
  <si>
    <t>A190 - Regulated T&amp;D Electric - LTIP Amortization</t>
  </si>
  <si>
    <t>A190 - Adjusted T&amp;D Electric - LTIP Amortization</t>
  </si>
  <si>
    <t>Rate of Return 7.47%</t>
  </si>
  <si>
    <t>R. PRACHYL</t>
  </si>
  <si>
    <t>Wholesale Distribution Substation Service (From Oncor NTU Dist to Oncor Dist)</t>
  </si>
  <si>
    <t>Remove EECRF Amounts from test year.</t>
  </si>
  <si>
    <t>Prepayment Adjustment to Insurance</t>
  </si>
  <si>
    <t>Adjustment to Remove Incurred But Not Reported Credit in 2024 and Include Q4 2024 Benefit Expenses Paid in 2025</t>
  </si>
  <si>
    <t>Pension Expense Adjustment</t>
  </si>
  <si>
    <t>OPEB Expense Adjustment</t>
  </si>
  <si>
    <t>FAS 112 Expense Adjustment</t>
  </si>
  <si>
    <t>HR Contract with Visier Inc.</t>
  </si>
  <si>
    <t>Pension Reg Asset Amotization - To Be Reviewed</t>
  </si>
  <si>
    <t>Power Line Safety Act PURA § 36.066 Reg Asset Amortization</t>
  </si>
  <si>
    <t>Rider CSR - Capital Structure Refund - Over-Refund</t>
  </si>
  <si>
    <t>Rider TRF - FIT Rate Refund - Over-Refund</t>
  </si>
  <si>
    <t>Interest-Rate Savings Dkt 47675 &amp; 55453</t>
  </si>
  <si>
    <t>Non-Standard Metering Service (Docket No. 41890)</t>
  </si>
  <si>
    <t>Self-Insurance Reserve - Cost of Service Accrual</t>
  </si>
  <si>
    <t>Remove Weather Events 30 - 32</t>
  </si>
  <si>
    <t>Excluded Project Costs</t>
  </si>
  <si>
    <t>A930.1 - Requested</t>
  </si>
  <si>
    <t>IT HCL COLA New Resource Adjustment</t>
  </si>
  <si>
    <t>Hardware and Software Maintenance Adjustment</t>
  </si>
  <si>
    <t>IT IBM COLA New Resource Adjustment</t>
  </si>
  <si>
    <t>Remove Rate Case Expense Amortization for Docket No. 53601 Riders RCE and WRCE</t>
  </si>
  <si>
    <t>Amortization Adjustment for Deferred PUCT Docket Costs</t>
  </si>
  <si>
    <t>Mobile Gen Adjustment</t>
  </si>
  <si>
    <t>Sales Tax Audit Settlement</t>
  </si>
  <si>
    <t>Expense Report Adjustment</t>
  </si>
  <si>
    <t>GC Services Adjustment</t>
  </si>
  <si>
    <t>Adjustment for Powerline Safety (PURA Sec. 36.066) Accrual Based on 2025 Estimate</t>
  </si>
  <si>
    <t>Remove Affiliate Billing Correction from 2023</t>
  </si>
  <si>
    <t>Waxahachie Lease Transfer Adjustment</t>
  </si>
  <si>
    <t>Social Club Dues Adjustment</t>
  </si>
  <si>
    <t>Remove O&amp;M Costs for Net Jets</t>
  </si>
  <si>
    <t>Adjust Credit Facility Fees</t>
  </si>
  <si>
    <t>Everman Lease Adjustment</t>
  </si>
  <si>
    <t>Remove AR Facility Affiliate Servicer Fees</t>
  </si>
  <si>
    <t>Construction Suppliers Adjustment</t>
  </si>
  <si>
    <t>Capgemini F&amp;A and Supply Chain Adjustment</t>
  </si>
  <si>
    <t>Lobbying Expense Exclusion Adjustment</t>
  </si>
  <si>
    <t>A351.2 - Per Book</t>
  </si>
  <si>
    <t>A351.2 - Requested</t>
  </si>
  <si>
    <t>A.351.3 - Per Book</t>
  </si>
  <si>
    <t>A.351.3 - Requested</t>
  </si>
  <si>
    <t>A363.2 - Per Book</t>
  </si>
  <si>
    <t>A397.1 - Per Book</t>
  </si>
  <si>
    <t>A397.2 - Per Book</t>
  </si>
  <si>
    <t>A397.3 - Per Book</t>
  </si>
  <si>
    <t>A407 - SRP Regulatory Asset - SRP Operating Expenses</t>
  </si>
  <si>
    <t>A407 - SRP Regulatory Asset - SRP Vegetation Management Operating Expenses</t>
  </si>
  <si>
    <t>A407 - Wholesale Distribution Substation Service</t>
  </si>
  <si>
    <t>A407 - Over-collection - Intangible Asset Over-Amortization (TRAN)</t>
  </si>
  <si>
    <t>A407 - Over-collection - Intangible Asset Over-Amortization (DIST)</t>
  </si>
  <si>
    <t>A407 - HB 2483 Long-Lead Time Materials (PURA 39.918)</t>
  </si>
  <si>
    <t>A454 - Per Book - Total Cost of Ownership - NTUSU</t>
  </si>
  <si>
    <t>A454 - Requested - Total Cost of Ownership - NTUSU</t>
  </si>
  <si>
    <t>Tax Factor</t>
  </si>
  <si>
    <t>O&amp;M Adjustment #45</t>
  </si>
  <si>
    <t>A562 - Requested</t>
  </si>
  <si>
    <t>A935 - Requested</t>
  </si>
  <si>
    <t>Other Franchise Taxes - Per Book</t>
  </si>
  <si>
    <t>Other Franchise Taxes - Requested</t>
  </si>
  <si>
    <t>Other Franchise Taxes - Adjustment</t>
  </si>
  <si>
    <t>Rider NDC (See RFP Schedule IV-J-7, Page 16 of 20)</t>
  </si>
  <si>
    <t>Rider TCRF (See RFP Schedule II-H-4.1, Page 9 of 9)</t>
  </si>
  <si>
    <t>Rider EECRF (See RFP Schedule IV-J-7, Page 14 of 20)</t>
  </si>
  <si>
    <t>Rider RCE (See RFP Schedule IV-J-7, Page 18 of 20)</t>
  </si>
  <si>
    <t xml:space="preserve">          Total Cost of Service Column (e) Line No. 33  </t>
  </si>
  <si>
    <t xml:space="preserve">Total Cost of Service for NTU DIST Column (k) Line No. 8  </t>
  </si>
  <si>
    <t xml:space="preserve">  Cost of service for wholesale distribution substation service that Oncor NTU (NTU DIST) must charge Oncor (DIST)</t>
  </si>
  <si>
    <t xml:space="preserve">Total Cost of Service Column (e) Line No. 8  </t>
  </si>
  <si>
    <t xml:space="preserve">Note:   Excludes Oncor NTU Distribution (NTU DIST) total cost of service associated with wholesale distribution substation service (“WDSS”) since it is already included in O&amp;M expense for Oncor (DIST) consistent with Docket No. 53601 (2022 rate case).  </t>
  </si>
  <si>
    <t xml:space="preserve">            Oncor NTU’s rate WDSS was initially approved in Docket No. 53601 (Order on Rehearing page 63, Finding of Fact Nos. 402 and 403) with its update pending review and approval in this proceeding.</t>
  </si>
  <si>
    <t>M. TROXLE</t>
  </si>
  <si>
    <t>J. FENNELL</t>
  </si>
  <si>
    <t>S. CORRIE</t>
  </si>
  <si>
    <t>A. GUILLORY</t>
  </si>
  <si>
    <t>A. LOGAN</t>
  </si>
  <si>
    <t>A. LEDBETTER</t>
  </si>
  <si>
    <t>G. WILSON</t>
  </si>
  <si>
    <t>M. HODGES</t>
  </si>
  <si>
    <t>C. BANKHEAD</t>
  </si>
  <si>
    <t>C. SANDERS</t>
  </si>
  <si>
    <t>B. CLUTTER</t>
  </si>
  <si>
    <t>A.MACHOKA</t>
  </si>
  <si>
    <t>K. FEASE</t>
  </si>
  <si>
    <t>K. HULL</t>
  </si>
  <si>
    <t>R. LULSEGED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</si>
</sst>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00%"/>
    <numFmt numFmtId="167" formatCode="0.00000%"/>
    <numFmt numFmtId="168" formatCode="_(* #,##0.00_);_(* \(#,##0.00\);_(* &quot;-&quot;_);_(@_)"/>
  </numFmts>
  <fonts count="22" x14ac:knownFonts="1">
    <font>
      <sz val="10"/>
      <name val="Arial"/>
    </font>
    <font>
      <b/>
      <sz val="10"/>
      <name val="Arial"/>
      <family val="2"/>
    </font>
    <font>
      <sz val="10"/>
      <name val="Arial"/>
      <family val="2"/>
    </font>
    <font>
      <sz val="8"/>
      <name val="Arial"/>
      <family val="2"/>
    </font>
    <font>
      <sz val="10"/>
      <name val="Arial"/>
      <family val="2"/>
    </font>
    <font>
      <u/>
      <sz val="10"/>
      <name val="Arial"/>
      <family val="2"/>
    </font>
    <font>
      <b/>
      <u/>
      <sz val="10"/>
      <name val="Arial"/>
      <family val="2"/>
    </font>
    <font>
      <u/>
      <sz val="10"/>
      <color indexed="12"/>
      <name val="Arial"/>
      <family val="2"/>
    </font>
    <font>
      <b/>
      <sz val="10"/>
      <color indexed="10"/>
      <name val="Arial"/>
      <family val="2"/>
    </font>
    <font>
      <b/>
      <sz val="10"/>
      <name val="Arial"/>
      <family val="2"/>
    </font>
    <font>
      <sz val="10"/>
      <color indexed="12"/>
      <name val="Arial"/>
      <family val="2"/>
    </font>
    <font>
      <sz val="10"/>
      <name val="Arial"/>
      <family val="2"/>
    </font>
    <font>
      <sz val="10"/>
      <name val="Times New Roman"/>
      <family val="1"/>
    </font>
    <font>
      <sz val="10"/>
      <name val="Arial"/>
      <family val="2"/>
    </font>
    <font>
      <b/>
      <sz val="10"/>
      <name val="Times New Roman"/>
      <family val="1"/>
    </font>
    <font>
      <sz val="10"/>
      <name val="Times New Roman"/>
      <family val="1"/>
    </font>
    <font>
      <sz val="10"/>
      <name val="Arial"/>
      <family val="2"/>
    </font>
    <font>
      <b/>
      <u/>
      <sz val="10"/>
      <name val="Times New Roman"/>
      <family val="1"/>
    </font>
    <font>
      <sz val="10"/>
      <name val="Arial"/>
      <family val="2"/>
    </font>
    <font>
      <u/>
      <sz val="10"/>
      <name val="Times New Roman"/>
      <family val="1"/>
    </font>
    <font>
      <sz val="10"/>
      <name val="Arial"/>
      <family val="2"/>
    </font>
    <font>
      <sz val="8"/>
      <name val="Arial"/>
      <family val="2"/>
    </font>
  </fonts>
  <fills count="3">
    <fill>
      <patternFill patternType="none"/>
    </fill>
    <fill>
      <patternFill patternType="gray125"/>
    </fill>
    <fill>
      <patternFill patternType="solid">
        <fgColor rgb="FFFFFF00"/>
        <bgColor indexed="64"/>
      </patternFill>
    </fill>
  </fills>
  <borders count="22">
    <border>
      <left/>
      <right/>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top/>
      <bottom style="double">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44" fontId="2" fillId="0" borderId="0" applyFont="0" applyFill="0" applyBorder="0" applyAlignment="0" applyProtection="0"/>
    <xf numFmtId="0" fontId="7" fillId="0" borderId="0" applyNumberFormat="0" applyFill="0" applyBorder="0" applyAlignment="0" applyProtection="0">
      <alignment vertical="top"/>
      <protection locked="0"/>
    </xf>
    <xf numFmtId="9" fontId="2" fillId="0" borderId="0" applyFont="0" applyFill="0" applyBorder="0" applyAlignment="0" applyProtection="0"/>
  </cellStyleXfs>
  <cellXfs count="176">
    <xf numFmtId="0" fontId="0" fillId="0" borderId="0" xfId="0"/>
    <xf numFmtId="0" fontId="4" fillId="0" borderId="0" xfId="0" applyFont="1"/>
    <xf numFmtId="164" fontId="4" fillId="0" borderId="0" xfId="0" applyNumberFormat="1" applyFont="1"/>
    <xf numFmtId="164" fontId="4" fillId="0" borderId="0" xfId="1" applyNumberFormat="1" applyFont="1"/>
    <xf numFmtId="0" fontId="4" fillId="0" borderId="0" xfId="0" applyFont="1" applyBorder="1" applyAlignment="1">
      <alignment horizontal="left"/>
    </xf>
    <xf numFmtId="0" fontId="4" fillId="0" borderId="0" xfId="0" applyFont="1" applyBorder="1" applyAlignment="1">
      <alignment horizontal="center"/>
    </xf>
    <xf numFmtId="0" fontId="4" fillId="0" borderId="0" xfId="0" applyFont="1" applyFill="1" applyBorder="1"/>
    <xf numFmtId="0" fontId="9" fillId="0" borderId="0" xfId="0" applyFont="1"/>
    <xf numFmtId="0" fontId="4" fillId="0" borderId="0" xfId="0" applyFont="1" applyBorder="1"/>
    <xf numFmtId="0" fontId="9" fillId="0" borderId="0" xfId="0" applyFont="1" applyFill="1" applyBorder="1" applyAlignment="1">
      <alignment horizontal="left"/>
    </xf>
    <xf numFmtId="0" fontId="9" fillId="0" borderId="0" xfId="0" applyFont="1" applyFill="1" applyBorder="1"/>
    <xf numFmtId="0" fontId="8" fillId="0" borderId="0" xfId="0" applyFont="1" applyBorder="1"/>
    <xf numFmtId="0" fontId="5" fillId="0" borderId="1" xfId="0" applyFont="1" applyBorder="1"/>
    <xf numFmtId="0" fontId="4" fillId="0" borderId="0" xfId="0" quotePrefix="1" applyFont="1" applyBorder="1" applyAlignment="1">
      <alignment horizontal="left"/>
    </xf>
    <xf numFmtId="0" fontId="4" fillId="0" borderId="0" xfId="0" quotePrefix="1" applyFont="1" applyBorder="1" applyAlignment="1">
      <alignment horizontal="center"/>
    </xf>
    <xf numFmtId="0" fontId="9" fillId="0" borderId="2" xfId="0" applyFont="1" applyFill="1" applyBorder="1"/>
    <xf numFmtId="0" fontId="9" fillId="0" borderId="2" xfId="0" applyFont="1" applyFill="1" applyBorder="1" applyAlignment="1">
      <alignment horizontal="center"/>
    </xf>
    <xf numFmtId="0" fontId="9" fillId="0" borderId="3" xfId="0" applyFont="1" applyFill="1" applyBorder="1" applyAlignment="1">
      <alignment horizontal="center"/>
    </xf>
    <xf numFmtId="0" fontId="4" fillId="0" borderId="0" xfId="0" quotePrefix="1" applyFont="1" applyFill="1" applyBorder="1"/>
    <xf numFmtId="0" fontId="4" fillId="0" borderId="0" xfId="0" applyFont="1" applyAlignment="1">
      <alignment horizontal="center"/>
    </xf>
    <xf numFmtId="37" fontId="4" fillId="0" borderId="0" xfId="0" quotePrefix="1" applyNumberFormat="1" applyFont="1" applyBorder="1" applyAlignment="1">
      <alignment horizontal="center"/>
    </xf>
    <xf numFmtId="164" fontId="4" fillId="0" borderId="0" xfId="1" applyNumberFormat="1" applyFont="1" applyBorder="1"/>
    <xf numFmtId="164" fontId="4" fillId="0" borderId="0" xfId="1" quotePrefix="1" applyNumberFormat="1" applyFont="1" applyBorder="1" applyAlignment="1">
      <alignment horizontal="center"/>
    </xf>
    <xf numFmtId="164" fontId="4" fillId="0" borderId="0" xfId="1" applyNumberFormat="1" applyFont="1" applyFill="1" applyBorder="1"/>
    <xf numFmtId="164" fontId="4" fillId="0" borderId="0" xfId="1" applyNumberFormat="1" applyFont="1" applyBorder="1" applyAlignment="1">
      <alignment horizontal="center"/>
    </xf>
    <xf numFmtId="164" fontId="9" fillId="0" borderId="0" xfId="1" applyNumberFormat="1" applyFont="1"/>
    <xf numFmtId="164" fontId="9" fillId="0" borderId="0" xfId="0" applyNumberFormat="1" applyFont="1"/>
    <xf numFmtId="0" fontId="6" fillId="0" borderId="0" xfId="0" applyFont="1" applyFill="1" applyBorder="1"/>
    <xf numFmtId="0" fontId="4" fillId="0" borderId="0" xfId="0" applyFont="1" applyFill="1" applyBorder="1" applyAlignment="1">
      <alignment horizontal="center"/>
    </xf>
    <xf numFmtId="0" fontId="4" fillId="0" borderId="4" xfId="0" applyFont="1" applyBorder="1"/>
    <xf numFmtId="0" fontId="5" fillId="0" borderId="0" xfId="0" applyFont="1" applyBorder="1"/>
    <xf numFmtId="164" fontId="10" fillId="0" borderId="0" xfId="1" applyNumberFormat="1" applyFont="1"/>
    <xf numFmtId="0" fontId="6" fillId="0" borderId="0" xfId="0" applyFont="1" applyBorder="1"/>
    <xf numFmtId="0" fontId="9" fillId="0" borderId="2" xfId="0" quotePrefix="1" applyFont="1" applyFill="1" applyBorder="1" applyAlignment="1">
      <alignment horizontal="center"/>
    </xf>
    <xf numFmtId="0" fontId="4" fillId="0" borderId="1" xfId="0" applyFont="1" applyBorder="1"/>
    <xf numFmtId="0" fontId="9" fillId="0" borderId="0" xfId="0" applyFont="1" applyFill="1" applyBorder="1" applyAlignment="1">
      <alignment horizontal="center"/>
    </xf>
    <xf numFmtId="0" fontId="9" fillId="0" borderId="0" xfId="0" quotePrefix="1" applyFont="1" applyFill="1" applyBorder="1" applyAlignment="1">
      <alignment horizontal="center"/>
    </xf>
    <xf numFmtId="0" fontId="4" fillId="0" borderId="5" xfId="0" applyFont="1" applyFill="1" applyBorder="1" applyAlignment="1">
      <alignment horizontal="center"/>
    </xf>
    <xf numFmtId="14" fontId="9" fillId="0" borderId="0" xfId="0" applyNumberFormat="1" applyFont="1" applyFill="1" applyBorder="1" applyAlignment="1">
      <alignment horizontal="left"/>
    </xf>
    <xf numFmtId="0" fontId="0" fillId="0" borderId="0" xfId="0" applyBorder="1"/>
    <xf numFmtId="0" fontId="9" fillId="0" borderId="6" xfId="0" applyFont="1" applyFill="1" applyBorder="1" applyAlignment="1">
      <alignment horizontal="center"/>
    </xf>
    <xf numFmtId="164" fontId="0" fillId="0" borderId="0" xfId="1" applyNumberFormat="1" applyFont="1"/>
    <xf numFmtId="0" fontId="4" fillId="0" borderId="1" xfId="0" applyFont="1" applyFill="1" applyBorder="1" applyAlignment="1">
      <alignment horizontal="center"/>
    </xf>
    <xf numFmtId="0" fontId="9" fillId="0" borderId="1" xfId="0" applyFont="1" applyFill="1" applyBorder="1" applyAlignment="1">
      <alignment horizontal="center"/>
    </xf>
    <xf numFmtId="0" fontId="11" fillId="0" borderId="0" xfId="0" applyFont="1"/>
    <xf numFmtId="0" fontId="7" fillId="0" borderId="0" xfId="3" applyFont="1" applyAlignment="1" applyProtection="1"/>
    <xf numFmtId="0" fontId="11" fillId="0" borderId="0" xfId="0" applyFont="1" applyBorder="1"/>
    <xf numFmtId="0" fontId="12" fillId="0" borderId="0" xfId="0" applyFont="1" applyBorder="1" applyAlignment="1">
      <alignment horizontal="center"/>
    </xf>
    <xf numFmtId="0" fontId="13" fillId="0" borderId="0" xfId="0" applyFont="1" applyBorder="1" applyAlignment="1">
      <alignment horizontal="center"/>
    </xf>
    <xf numFmtId="0" fontId="13" fillId="0" borderId="0" xfId="0" applyFont="1" applyBorder="1"/>
    <xf numFmtId="164" fontId="12" fillId="0" borderId="0" xfId="1" quotePrefix="1" applyNumberFormat="1" applyFont="1" applyBorder="1" applyAlignment="1">
      <alignment horizontal="center"/>
    </xf>
    <xf numFmtId="164" fontId="13" fillId="0" borderId="0" xfId="0" applyNumberFormat="1" applyFont="1"/>
    <xf numFmtId="0" fontId="13" fillId="0" borderId="0" xfId="0" applyFont="1"/>
    <xf numFmtId="164" fontId="12" fillId="0" borderId="0" xfId="1" applyNumberFormat="1" applyFont="1"/>
    <xf numFmtId="164" fontId="14" fillId="0" borderId="0" xfId="1" applyNumberFormat="1" applyFont="1"/>
    <xf numFmtId="164" fontId="1" fillId="0" borderId="0" xfId="0" applyNumberFormat="1" applyFont="1"/>
    <xf numFmtId="0" fontId="1" fillId="0" borderId="0" xfId="0" applyFont="1"/>
    <xf numFmtId="0" fontId="15" fillId="0" borderId="0" xfId="0" applyFont="1" applyBorder="1"/>
    <xf numFmtId="0" fontId="15" fillId="0" borderId="0" xfId="0" applyFont="1" applyFill="1" applyBorder="1"/>
    <xf numFmtId="0" fontId="16" fillId="0" borderId="0" xfId="0" applyFont="1"/>
    <xf numFmtId="164" fontId="16" fillId="0" borderId="0" xfId="0" applyNumberFormat="1" applyFont="1"/>
    <xf numFmtId="0" fontId="17" fillId="0" borderId="0" xfId="0" applyFont="1" applyFill="1" applyBorder="1"/>
    <xf numFmtId="0" fontId="18" fillId="0" borderId="0" xfId="0" applyFont="1"/>
    <xf numFmtId="164" fontId="18" fillId="0" borderId="0" xfId="0" applyNumberFormat="1" applyFont="1"/>
    <xf numFmtId="0" fontId="15" fillId="0" borderId="4" xfId="0" applyFont="1" applyBorder="1"/>
    <xf numFmtId="0" fontId="19" fillId="0" borderId="0" xfId="0" applyFont="1" applyBorder="1"/>
    <xf numFmtId="0" fontId="20" fillId="0" borderId="0" xfId="0" applyFont="1"/>
    <xf numFmtId="164" fontId="20" fillId="0" borderId="0" xfId="0" applyNumberFormat="1" applyFont="1"/>
    <xf numFmtId="0" fontId="15" fillId="0" borderId="0" xfId="0" quotePrefix="1" applyFont="1" applyBorder="1" applyAlignment="1">
      <alignment horizontal="left"/>
    </xf>
    <xf numFmtId="0" fontId="15" fillId="0" borderId="4" xfId="0" quotePrefix="1" applyFont="1" applyBorder="1" applyAlignment="1">
      <alignment horizontal="left"/>
    </xf>
    <xf numFmtId="0" fontId="15" fillId="0" borderId="0" xfId="0" quotePrefix="1" applyFont="1" applyBorder="1" applyAlignment="1">
      <alignment horizontal="center"/>
    </xf>
    <xf numFmtId="0" fontId="16" fillId="0" borderId="4" xfId="0" applyFont="1" applyBorder="1"/>
    <xf numFmtId="0" fontId="17" fillId="0" borderId="0" xfId="0" applyFont="1" applyBorder="1"/>
    <xf numFmtId="0" fontId="9" fillId="0" borderId="0" xfId="0" quotePrefix="1" applyFont="1" applyBorder="1" applyAlignment="1">
      <alignment horizontal="left"/>
    </xf>
    <xf numFmtId="0" fontId="9" fillId="0" borderId="0" xfId="0" quotePrefix="1" applyFont="1" applyFill="1" applyBorder="1" applyAlignment="1">
      <alignment horizontal="left"/>
    </xf>
    <xf numFmtId="10" fontId="4" fillId="0" borderId="0" xfId="4" applyNumberFormat="1" applyFont="1" applyAlignment="1">
      <alignment horizontal="center"/>
    </xf>
    <xf numFmtId="43" fontId="0" fillId="0" borderId="0" xfId="1" applyFont="1"/>
    <xf numFmtId="165" fontId="4" fillId="0" borderId="0" xfId="2" applyNumberFormat="1" applyFont="1" applyBorder="1" applyAlignment="1">
      <alignment horizontal="center"/>
    </xf>
    <xf numFmtId="165" fontId="9" fillId="0" borderId="0" xfId="2" applyNumberFormat="1" applyFont="1" applyFill="1" applyBorder="1" applyAlignment="1">
      <alignment horizontal="center"/>
    </xf>
    <xf numFmtId="165" fontId="4" fillId="0" borderId="0" xfId="2" applyNumberFormat="1" applyFont="1" applyBorder="1"/>
    <xf numFmtId="165" fontId="9" fillId="0" borderId="0" xfId="2" applyNumberFormat="1" applyFont="1" applyBorder="1"/>
    <xf numFmtId="165" fontId="9" fillId="0" borderId="0" xfId="2" applyNumberFormat="1" applyFont="1" applyFill="1" applyBorder="1"/>
    <xf numFmtId="0" fontId="21" fillId="0" borderId="0" xfId="0" applyFont="1"/>
    <xf numFmtId="0" fontId="21" fillId="0" borderId="0" xfId="0" applyFont="1" applyBorder="1" applyAlignment="1">
      <alignment horizontal="center"/>
    </xf>
    <xf numFmtId="0" fontId="21" fillId="0" borderId="0" xfId="0" quotePrefix="1" applyFont="1" applyBorder="1" applyAlignment="1">
      <alignment horizontal="center"/>
    </xf>
    <xf numFmtId="164" fontId="21" fillId="0" borderId="0" xfId="1" applyNumberFormat="1" applyFont="1"/>
    <xf numFmtId="164" fontId="21" fillId="0" borderId="0" xfId="1" quotePrefix="1" applyNumberFormat="1" applyFont="1" applyBorder="1" applyAlignment="1">
      <alignment horizontal="center"/>
    </xf>
    <xf numFmtId="43" fontId="21" fillId="0" borderId="0" xfId="1" quotePrefix="1" applyFont="1" applyBorder="1" applyAlignment="1">
      <alignment horizontal="center"/>
    </xf>
    <xf numFmtId="164" fontId="21" fillId="0" borderId="0" xfId="1" applyNumberFormat="1" applyFont="1" applyBorder="1" applyAlignment="1">
      <alignment horizontal="left"/>
    </xf>
    <xf numFmtId="0" fontId="9" fillId="0" borderId="5" xfId="0" applyFont="1" applyFill="1" applyBorder="1" applyAlignment="1">
      <alignment horizontal="center"/>
    </xf>
    <xf numFmtId="0" fontId="2" fillId="0" borderId="1" xfId="0" applyFont="1" applyFill="1" applyBorder="1" applyAlignment="1">
      <alignment horizontal="center"/>
    </xf>
    <xf numFmtId="166" fontId="4" fillId="0" borderId="0" xfId="4" applyNumberFormat="1" applyFont="1" applyBorder="1"/>
    <xf numFmtId="0" fontId="2" fillId="0" borderId="0" xfId="0" applyFont="1" applyBorder="1"/>
    <xf numFmtId="0" fontId="1" fillId="0" borderId="2" xfId="0" applyFont="1" applyFill="1" applyBorder="1" applyAlignment="1">
      <alignment horizontal="center"/>
    </xf>
    <xf numFmtId="0" fontId="1" fillId="0" borderId="3" xfId="0" applyFont="1" applyFill="1" applyBorder="1" applyAlignment="1">
      <alignment horizontal="center"/>
    </xf>
    <xf numFmtId="0" fontId="2" fillId="0" borderId="5" xfId="0" applyFont="1" applyFill="1" applyBorder="1" applyAlignment="1">
      <alignment horizontal="center"/>
    </xf>
    <xf numFmtId="0" fontId="2" fillId="0" borderId="0" xfId="0" quotePrefix="1" applyFont="1" applyBorder="1" applyAlignment="1">
      <alignment horizontal="center"/>
    </xf>
    <xf numFmtId="0" fontId="15" fillId="0" borderId="0" xfId="0" applyFont="1" applyFill="1" applyBorder="1" applyAlignment="1">
      <alignment horizontal="center"/>
    </xf>
    <xf numFmtId="0" fontId="17" fillId="0" borderId="0" xfId="0" applyFont="1" applyFill="1" applyBorder="1" applyAlignment="1">
      <alignment horizontal="center"/>
    </xf>
    <xf numFmtId="0" fontId="19" fillId="0" borderId="0" xfId="0" applyFont="1" applyBorder="1" applyAlignment="1">
      <alignment horizontal="center"/>
    </xf>
    <xf numFmtId="43" fontId="4" fillId="0" borderId="0" xfId="1" applyNumberFormat="1" applyFont="1"/>
    <xf numFmtId="43" fontId="21" fillId="0" borderId="0" xfId="1" quotePrefix="1" applyNumberFormat="1" applyFont="1" applyBorder="1" applyAlignment="1">
      <alignment horizontal="center"/>
    </xf>
    <xf numFmtId="0" fontId="4" fillId="0" borderId="0" xfId="0" applyFont="1" applyFill="1"/>
    <xf numFmtId="0" fontId="0" fillId="0" borderId="0" xfId="0" applyFill="1"/>
    <xf numFmtId="0" fontId="1" fillId="0" borderId="2" xfId="0" applyFont="1" applyFill="1" applyBorder="1"/>
    <xf numFmtId="0" fontId="1" fillId="0" borderId="5" xfId="0" applyFont="1" applyFill="1" applyBorder="1" applyAlignment="1">
      <alignment horizontal="center"/>
    </xf>
    <xf numFmtId="0" fontId="2" fillId="0" borderId="0" xfId="0" applyFont="1" applyFill="1" applyAlignment="1">
      <alignment horizontal="center"/>
    </xf>
    <xf numFmtId="164" fontId="2" fillId="0" borderId="0" xfId="1" applyNumberFormat="1" applyFont="1" applyBorder="1" applyAlignment="1">
      <alignment horizontal="center"/>
    </xf>
    <xf numFmtId="0" fontId="1" fillId="0" borderId="0" xfId="0" applyFont="1" applyFill="1" applyBorder="1" applyAlignment="1">
      <alignment horizontal="center"/>
    </xf>
    <xf numFmtId="0" fontId="1" fillId="2" borderId="0" xfId="0" applyFont="1" applyFill="1" applyBorder="1" applyAlignment="1">
      <alignment horizontal="center"/>
    </xf>
    <xf numFmtId="0" fontId="9" fillId="2" borderId="6" xfId="0" applyFont="1" applyFill="1" applyBorder="1" applyAlignment="1">
      <alignment horizontal="center"/>
    </xf>
    <xf numFmtId="0" fontId="1" fillId="2" borderId="0" xfId="0" quotePrefix="1" applyFont="1" applyFill="1" applyBorder="1" applyAlignment="1">
      <alignment horizontal="center"/>
    </xf>
    <xf numFmtId="0" fontId="9" fillId="2" borderId="0" xfId="0" applyFont="1" applyFill="1" applyBorder="1" applyAlignment="1">
      <alignment horizontal="center"/>
    </xf>
    <xf numFmtId="0" fontId="1" fillId="0" borderId="2" xfId="0" quotePrefix="1" applyFont="1" applyFill="1" applyBorder="1" applyAlignment="1">
      <alignment horizontal="center"/>
    </xf>
    <xf numFmtId="164" fontId="0" fillId="2" borderId="0" xfId="1" applyNumberFormat="1" applyFont="1" applyFill="1"/>
    <xf numFmtId="0" fontId="1" fillId="0" borderId="7" xfId="0" applyFont="1" applyFill="1" applyBorder="1"/>
    <xf numFmtId="0" fontId="2" fillId="0" borderId="0" xfId="0" applyFont="1" applyFill="1" applyBorder="1"/>
    <xf numFmtId="0" fontId="2" fillId="0" borderId="10" xfId="0" applyFont="1" applyFill="1" applyBorder="1"/>
    <xf numFmtId="0" fontId="0" fillId="0" borderId="10" xfId="0" applyFill="1" applyBorder="1"/>
    <xf numFmtId="0" fontId="2" fillId="0" borderId="11" xfId="0" applyFont="1" applyFill="1" applyBorder="1"/>
    <xf numFmtId="0" fontId="0" fillId="0" borderId="4" xfId="0" applyFill="1" applyBorder="1"/>
    <xf numFmtId="0" fontId="0" fillId="0" borderId="0" xfId="0" applyFill="1" applyBorder="1"/>
    <xf numFmtId="0" fontId="2" fillId="0" borderId="12" xfId="0" applyFont="1" applyFill="1" applyBorder="1"/>
    <xf numFmtId="0" fontId="2" fillId="0" borderId="4" xfId="0" applyFont="1" applyFill="1" applyBorder="1"/>
    <xf numFmtId="42" fontId="0" fillId="0" borderId="0" xfId="0" applyNumberFormat="1" applyFill="1" applyBorder="1"/>
    <xf numFmtId="41" fontId="0" fillId="0" borderId="0" xfId="0" applyNumberFormat="1" applyFill="1" applyBorder="1"/>
    <xf numFmtId="0" fontId="1" fillId="0" borderId="4" xfId="0" applyFont="1"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1" fillId="0" borderId="9" xfId="0" applyFont="1" applyFill="1" applyBorder="1"/>
    <xf numFmtId="0" fontId="0" fillId="0" borderId="0" xfId="0" applyAlignment="1">
      <alignment horizontal="center"/>
    </xf>
    <xf numFmtId="42" fontId="1" fillId="0" borderId="8" xfId="0" applyNumberFormat="1" applyFont="1" applyFill="1" applyBorder="1"/>
    <xf numFmtId="42" fontId="0" fillId="0" borderId="0" xfId="0" applyNumberFormat="1" applyFill="1"/>
    <xf numFmtId="0" fontId="2" fillId="0" borderId="0" xfId="0" applyFont="1" applyFill="1"/>
    <xf numFmtId="41" fontId="0" fillId="0" borderId="0" xfId="0" applyNumberFormat="1" applyFill="1"/>
    <xf numFmtId="42" fontId="0" fillId="0" borderId="16" xfId="0" applyNumberFormat="1" applyFill="1" applyBorder="1"/>
    <xf numFmtId="42" fontId="1" fillId="0" borderId="17" xfId="0" applyNumberFormat="1" applyFont="1" applyFill="1" applyBorder="1"/>
    <xf numFmtId="42" fontId="1" fillId="0" borderId="0" xfId="0" applyNumberFormat="1" applyFont="1" applyFill="1" applyBorder="1"/>
    <xf numFmtId="41" fontId="1" fillId="0" borderId="4" xfId="0" applyNumberFormat="1" applyFont="1" applyFill="1" applyBorder="1"/>
    <xf numFmtId="0" fontId="1" fillId="0" borderId="0" xfId="0" applyFont="1" applyFill="1" applyBorder="1"/>
    <xf numFmtId="42" fontId="1" fillId="0" borderId="0" xfId="0" applyNumberFormat="1" applyFont="1" applyFill="1"/>
    <xf numFmtId="0" fontId="1" fillId="0" borderId="0" xfId="0" applyFont="1" applyFill="1" applyAlignment="1">
      <alignment horizontal="left"/>
    </xf>
    <xf numFmtId="0" fontId="2" fillId="0" borderId="0" xfId="0" applyFont="1" applyBorder="1" applyAlignment="1">
      <alignment horizontal="right"/>
    </xf>
    <xf numFmtId="0" fontId="2" fillId="0" borderId="0" xfId="0" applyFont="1" applyFill="1" applyAlignment="1">
      <alignment horizontal="right"/>
    </xf>
    <xf numFmtId="43" fontId="0" fillId="0" borderId="0" xfId="0" applyNumberFormat="1"/>
    <xf numFmtId="0" fontId="1" fillId="0" borderId="0" xfId="0" applyFont="1" applyFill="1"/>
    <xf numFmtId="42" fontId="0" fillId="0" borderId="18" xfId="0" applyNumberFormat="1" applyFill="1" applyBorder="1"/>
    <xf numFmtId="165" fontId="2" fillId="0" borderId="0" xfId="2" applyNumberFormat="1" applyFont="1" applyFill="1" applyBorder="1" applyAlignment="1">
      <alignment horizontal="center"/>
    </xf>
    <xf numFmtId="41" fontId="4" fillId="0" borderId="0" xfId="1" applyNumberFormat="1" applyFont="1" applyBorder="1"/>
    <xf numFmtId="165" fontId="2" fillId="0" borderId="0" xfId="2" applyNumberFormat="1" applyFont="1" applyBorder="1" applyAlignment="1">
      <alignment horizontal="center"/>
    </xf>
    <xf numFmtId="164" fontId="4" fillId="0" borderId="0" xfId="1" applyNumberFormat="1" applyFont="1" applyFill="1" applyBorder="1" applyAlignment="1">
      <alignment horizontal="center"/>
    </xf>
    <xf numFmtId="0" fontId="4" fillId="0" borderId="0" xfId="0" quotePrefix="1" applyFont="1" applyFill="1" applyBorder="1" applyAlignment="1">
      <alignment horizontal="left"/>
    </xf>
    <xf numFmtId="0" fontId="2" fillId="0" borderId="0" xfId="0" applyFont="1" applyBorder="1" applyAlignment="1">
      <alignment horizontal="left"/>
    </xf>
    <xf numFmtId="42" fontId="4" fillId="0" borderId="0" xfId="2" applyNumberFormat="1" applyFont="1" applyBorder="1"/>
    <xf numFmtId="42" fontId="9" fillId="0" borderId="0" xfId="2" applyNumberFormat="1" applyFont="1" applyBorder="1"/>
    <xf numFmtId="41" fontId="4" fillId="0" borderId="0" xfId="1" applyNumberFormat="1" applyFont="1" applyFill="1" applyBorder="1"/>
    <xf numFmtId="42" fontId="9" fillId="0" borderId="0" xfId="2" applyNumberFormat="1" applyFont="1" applyFill="1" applyBorder="1"/>
    <xf numFmtId="42" fontId="4" fillId="0" borderId="0" xfId="0" applyNumberFormat="1" applyFont="1"/>
    <xf numFmtId="42" fontId="4" fillId="0" borderId="0" xfId="0" applyNumberFormat="1" applyFont="1" applyAlignment="1">
      <alignment horizontal="center"/>
    </xf>
    <xf numFmtId="0" fontId="0" fillId="0" borderId="16" xfId="0" applyFill="1" applyBorder="1"/>
    <xf numFmtId="42" fontId="0" fillId="0" borderId="0" xfId="0" applyNumberFormat="1"/>
    <xf numFmtId="164" fontId="0" fillId="0" borderId="0" xfId="1" applyNumberFormat="1" applyFont="1" applyFill="1" applyBorder="1"/>
    <xf numFmtId="165" fontId="0" fillId="0" borderId="0" xfId="2" applyNumberFormat="1" applyFont="1" applyFill="1" applyBorder="1"/>
    <xf numFmtId="0" fontId="0" fillId="0" borderId="0" xfId="0" applyFill="1" applyBorder="1" applyAlignment="1">
      <alignment horizontal="center"/>
    </xf>
    <xf numFmtId="167" fontId="0" fillId="0" borderId="0" xfId="4" applyNumberFormat="1" applyFont="1" applyFill="1" applyBorder="1" applyAlignment="1">
      <alignment horizontal="center"/>
    </xf>
    <xf numFmtId="168" fontId="4" fillId="0" borderId="0" xfId="0" applyNumberFormat="1" applyFont="1"/>
    <xf numFmtId="42" fontId="4" fillId="0" borderId="0" xfId="0" applyNumberFormat="1" applyFont="1" applyBorder="1"/>
    <xf numFmtId="0" fontId="2" fillId="0" borderId="0" xfId="0" quotePrefix="1" applyFont="1" applyBorder="1" applyAlignment="1">
      <alignment horizontal="right"/>
    </xf>
    <xf numFmtId="164" fontId="4" fillId="0" borderId="0" xfId="1" quotePrefix="1" applyNumberFormat="1" applyFont="1" applyBorder="1" applyAlignment="1">
      <alignment horizontal="left"/>
    </xf>
    <xf numFmtId="42" fontId="1" fillId="0" borderId="8" xfId="0" applyNumberFormat="1" applyFont="1" applyBorder="1"/>
    <xf numFmtId="0" fontId="2" fillId="0" borderId="0" xfId="0" applyFont="1" applyAlignment="1">
      <alignment horizontal="left"/>
    </xf>
    <xf numFmtId="0" fontId="4" fillId="0" borderId="19" xfId="0" applyFont="1" applyBorder="1" applyAlignment="1">
      <alignment horizontal="center"/>
    </xf>
    <xf numFmtId="0" fontId="4" fillId="0" borderId="20" xfId="0" applyFont="1" applyBorder="1" applyAlignment="1">
      <alignment horizontal="center"/>
    </xf>
    <xf numFmtId="0" fontId="4" fillId="0" borderId="21" xfId="0" applyFont="1" applyBorder="1" applyAlignment="1">
      <alignment horizontal="center"/>
    </xf>
  </cellXfs>
  <cellStyles count="5">
    <cellStyle name="Comma" xfId="1" builtinId="3"/>
    <cellStyle name="Currency" xfId="2" builtinId="4"/>
    <cellStyle name="Hyperlink" xfId="3" builtinId="8"/>
    <cellStyle name="Normal" xfId="0" builtinId="0"/>
    <cellStyle name="Percent" xfId="4" builtin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theme" Target="theme/theme1.xml"/><Relationship Id="rId5" Type="http://schemas.openxmlformats.org/officeDocument/2006/relationships/externalLink" Target="externalLinks/externalLink1.xml"/><Relationship Id="rId10"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ch%20I-A%20WP/WP%20I-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hedules%20&amp;%20Schedule%20Workpapers/Schedule%20Heading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D%20(O%20&amp;%20M%20Expense)/Schedule%20II-D%20Workpapers/WP_II-D%20Adjustment%20Summary.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E%20(Other%20Items)/Schedule%20II-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B%20(Rate%20Base)/Schedule%20II-B.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D%20(O%20&amp;%20M%20Expense)/Schedule%20II-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P I-A"/>
    </sheetNames>
    <sheetDataSet>
      <sheetData sheetId="0">
        <row r="15">
          <cell r="B15">
            <v>7029779369.4737921</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Data"/>
      <sheetName val="Schedule Sponsors"/>
    </sheetNames>
    <sheetDataSet>
      <sheetData sheetId="0">
        <row r="2">
          <cell r="A2" t="str">
            <v>ONCOR ELECTRIC DELIVERY COMPANY LLC</v>
          </cell>
        </row>
        <row r="4">
          <cell r="A4" t="str">
            <v>TEST YEAR ENDING DECEMBER 31, 2024</v>
          </cell>
        </row>
        <row r="9">
          <cell r="A9" t="str">
            <v>2025 RATE CASE</v>
          </cell>
        </row>
      </sheetData>
      <sheetData sheetId="1">
        <row r="6">
          <cell r="A6" t="str">
            <v>I-A</v>
          </cell>
          <cell r="B6" t="str">
            <v xml:space="preserve">COST OF SERVICE SUMMARY </v>
          </cell>
          <cell r="D6" t="str">
            <v>W. ALAN LEDBETTER &amp;&amp; M. TROXLE</v>
          </cell>
        </row>
        <row r="7">
          <cell r="A7" t="str">
            <v>I-A-1</v>
          </cell>
          <cell r="B7" t="str">
            <v>TOTAL  COST OF SERVICE BY FUNCTION</v>
          </cell>
          <cell r="D7" t="str">
            <v>W. ALAN LEDBETTER &amp;&amp; R. PRACHYL</v>
          </cell>
        </row>
        <row r="8">
          <cell r="A8" t="str">
            <v>I-A-2</v>
          </cell>
          <cell r="B8" t="str">
            <v>ADJUSTMENTS TO TEST YEAR</v>
          </cell>
          <cell r="D8" t="str">
            <v>W. ALAN LEDBETTER &amp;&amp; R. PRACHYL</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ummary"/>
      <sheetName val="Labor Summary"/>
      <sheetName val="Template"/>
      <sheetName val="Adj. #1"/>
      <sheetName val="Adj. #2"/>
      <sheetName val="Adj. #3"/>
      <sheetName val="Adj. #4"/>
      <sheetName val="Adj. #5"/>
      <sheetName val="Adj. #6"/>
      <sheetName val="Adj. #7"/>
      <sheetName val="Adj. #8"/>
      <sheetName val="Adj. #9"/>
      <sheetName val="Adj. #10"/>
      <sheetName val="Adj. #11"/>
      <sheetName val="Adj. #12"/>
      <sheetName val="Adj. #13"/>
      <sheetName val="Adj. #14"/>
      <sheetName val="Adj. #15"/>
      <sheetName val="Adj. #16"/>
      <sheetName val="Adj. #17"/>
      <sheetName val="Adj. #18"/>
      <sheetName val="Adj. #19"/>
      <sheetName val="Adj. #20"/>
      <sheetName val="Adj. #21"/>
      <sheetName val="Adj. #22"/>
      <sheetName val="Adj. #23"/>
      <sheetName val="Adj. #24"/>
      <sheetName val="Adj. #25"/>
      <sheetName val="Adj. #26"/>
      <sheetName val="Adj. #27"/>
      <sheetName val="Adj. #28"/>
      <sheetName val="Adj. #29"/>
      <sheetName val="Adj. #30"/>
      <sheetName val="Adj. #31"/>
      <sheetName val="Adj. #32"/>
      <sheetName val="Adj. #33"/>
      <sheetName val="Adj. #34"/>
      <sheetName val="Adj. #35"/>
      <sheetName val="Adj. #36"/>
      <sheetName val="Adj. #37"/>
      <sheetName val="Adj. #38"/>
      <sheetName val="Adj. #39"/>
      <sheetName val="Adj. #40"/>
      <sheetName val="Adj. #41"/>
      <sheetName val="Adj. #42"/>
      <sheetName val="Adj. #43"/>
      <sheetName val="Adj. #44"/>
      <sheetName val="Adj. #45"/>
    </sheetNames>
    <sheetDataSet>
      <sheetData sheetId="0"/>
      <sheetData sheetId="1"/>
      <sheetData sheetId="2"/>
      <sheetData sheetId="3">
        <row r="9">
          <cell r="E9">
            <v>1967817098.26</v>
          </cell>
        </row>
        <row r="11">
          <cell r="E11">
            <v>2100841472.6600001</v>
          </cell>
        </row>
      </sheetData>
      <sheetData sheetId="4">
        <row r="9">
          <cell r="F9">
            <v>15382470.25</v>
          </cell>
        </row>
        <row r="11">
          <cell r="F11">
            <v>12691180.663816001</v>
          </cell>
        </row>
      </sheetData>
      <sheetData sheetId="5">
        <row r="9">
          <cell r="M9">
            <v>54319348.25</v>
          </cell>
        </row>
      </sheetData>
      <sheetData sheetId="6">
        <row r="23">
          <cell r="D23">
            <v>66444.37</v>
          </cell>
        </row>
        <row r="24">
          <cell r="D24">
            <v>16352574.340000007</v>
          </cell>
        </row>
        <row r="25">
          <cell r="D25">
            <v>1138035</v>
          </cell>
        </row>
      </sheetData>
      <sheetData sheetId="7">
        <row r="23">
          <cell r="D23">
            <v>4248916.13</v>
          </cell>
        </row>
        <row r="24">
          <cell r="D24">
            <v>13831475.74</v>
          </cell>
        </row>
        <row r="25">
          <cell r="D25">
            <v>10416839.32</v>
          </cell>
        </row>
      </sheetData>
      <sheetData sheetId="8">
        <row r="23">
          <cell r="D23">
            <v>701340.01</v>
          </cell>
        </row>
      </sheetData>
      <sheetData sheetId="9">
        <row r="23">
          <cell r="D23">
            <v>-5115880.75</v>
          </cell>
        </row>
      </sheetData>
      <sheetData sheetId="10">
        <row r="23">
          <cell r="D23">
            <v>365748.34</v>
          </cell>
        </row>
      </sheetData>
      <sheetData sheetId="11">
        <row r="23">
          <cell r="D23">
            <v>87693.69</v>
          </cell>
        </row>
      </sheetData>
      <sheetData sheetId="12">
        <row r="23">
          <cell r="D23">
            <v>225108.27</v>
          </cell>
        </row>
      </sheetData>
      <sheetData sheetId="13">
        <row r="23">
          <cell r="D23">
            <v>1506168.18</v>
          </cell>
        </row>
        <row r="24">
          <cell r="D24">
            <v>1699179.27</v>
          </cell>
        </row>
        <row r="25">
          <cell r="D25">
            <v>-1140496.6299999999</v>
          </cell>
        </row>
      </sheetData>
      <sheetData sheetId="14">
        <row r="23">
          <cell r="D23">
            <v>148605703.97</v>
          </cell>
        </row>
        <row r="24">
          <cell r="D24">
            <v>2966875.26</v>
          </cell>
        </row>
      </sheetData>
      <sheetData sheetId="15">
        <row r="23">
          <cell r="D23">
            <v>-9005653.1099999994</v>
          </cell>
        </row>
      </sheetData>
      <sheetData sheetId="16">
        <row r="26">
          <cell r="D26">
            <v>-7968680.6399999997</v>
          </cell>
        </row>
      </sheetData>
      <sheetData sheetId="17">
        <row r="23">
          <cell r="D23">
            <v>532280.16</v>
          </cell>
        </row>
      </sheetData>
      <sheetData sheetId="18">
        <row r="23">
          <cell r="D23">
            <v>35329.22</v>
          </cell>
        </row>
        <row r="24">
          <cell r="D24">
            <v>445156.52</v>
          </cell>
        </row>
      </sheetData>
      <sheetData sheetId="19">
        <row r="23">
          <cell r="D23">
            <v>686957.67</v>
          </cell>
        </row>
        <row r="24">
          <cell r="D24">
            <v>6581.33</v>
          </cell>
        </row>
      </sheetData>
      <sheetData sheetId="20">
        <row r="23">
          <cell r="D23">
            <v>-10.73</v>
          </cell>
        </row>
      </sheetData>
      <sheetData sheetId="21">
        <row r="23">
          <cell r="D23">
            <v>-148.41</v>
          </cell>
        </row>
      </sheetData>
      <sheetData sheetId="22">
        <row r="23">
          <cell r="D23">
            <v>-5171.8500000000004</v>
          </cell>
        </row>
      </sheetData>
      <sheetData sheetId="23">
        <row r="23">
          <cell r="D23">
            <v>-2429.31</v>
          </cell>
        </row>
      </sheetData>
      <sheetData sheetId="24">
        <row r="23">
          <cell r="D23">
            <v>221558960</v>
          </cell>
        </row>
        <row r="24">
          <cell r="D24">
            <v>10141040</v>
          </cell>
        </row>
      </sheetData>
      <sheetData sheetId="25">
        <row r="23">
          <cell r="D23">
            <v>-3982.13</v>
          </cell>
        </row>
        <row r="24">
          <cell r="D24">
            <v>-2216.14</v>
          </cell>
        </row>
        <row r="25">
          <cell r="D25">
            <v>-110.99</v>
          </cell>
        </row>
        <row r="26">
          <cell r="D26">
            <v>-1218529.55</v>
          </cell>
        </row>
        <row r="27">
          <cell r="D27">
            <v>-87039</v>
          </cell>
        </row>
        <row r="28">
          <cell r="D28">
            <v>-11695.73</v>
          </cell>
        </row>
      </sheetData>
      <sheetData sheetId="26">
        <row r="25">
          <cell r="D25">
            <v>-7880990.5199999996</v>
          </cell>
        </row>
        <row r="26">
          <cell r="D26">
            <v>-27323.68</v>
          </cell>
        </row>
        <row r="27">
          <cell r="D27">
            <v>-367675.57</v>
          </cell>
        </row>
        <row r="28">
          <cell r="D28">
            <v>8191251.5300000003</v>
          </cell>
        </row>
        <row r="29">
          <cell r="D29">
            <v>-20015</v>
          </cell>
        </row>
        <row r="30">
          <cell r="D30">
            <v>-13586.34</v>
          </cell>
        </row>
      </sheetData>
      <sheetData sheetId="27">
        <row r="23">
          <cell r="D23">
            <v>763564.99</v>
          </cell>
        </row>
      </sheetData>
      <sheetData sheetId="28">
        <row r="23">
          <cell r="D23">
            <v>947743.96</v>
          </cell>
        </row>
      </sheetData>
      <sheetData sheetId="29">
        <row r="23">
          <cell r="D23">
            <v>1763210.11</v>
          </cell>
        </row>
      </sheetData>
      <sheetData sheetId="30">
        <row r="23">
          <cell r="D23">
            <v>-5547316.1799999997</v>
          </cell>
        </row>
      </sheetData>
      <sheetData sheetId="31">
        <row r="28">
          <cell r="D28">
            <v>994065.7</v>
          </cell>
        </row>
      </sheetData>
      <sheetData sheetId="32">
        <row r="23">
          <cell r="D23">
            <v>-2838233.33</v>
          </cell>
        </row>
        <row r="24">
          <cell r="D24">
            <v>-2609865.7999999998</v>
          </cell>
        </row>
        <row r="25">
          <cell r="D25">
            <v>3033.64</v>
          </cell>
        </row>
        <row r="26">
          <cell r="D26">
            <v>-130539.54</v>
          </cell>
        </row>
      </sheetData>
      <sheetData sheetId="33">
        <row r="23">
          <cell r="D23">
            <v>1101557.3400000001</v>
          </cell>
        </row>
        <row r="24">
          <cell r="D24">
            <v>5698446.6600000001</v>
          </cell>
        </row>
        <row r="25">
          <cell r="D25">
            <v>3319068.21</v>
          </cell>
        </row>
      </sheetData>
      <sheetData sheetId="34">
        <row r="23">
          <cell r="D23">
            <v>-7.52</v>
          </cell>
        </row>
        <row r="24">
          <cell r="D24">
            <v>-89.83</v>
          </cell>
        </row>
        <row r="25">
          <cell r="D25">
            <v>-34273.519999999997</v>
          </cell>
        </row>
        <row r="26">
          <cell r="D26">
            <v>-204.28</v>
          </cell>
        </row>
        <row r="27">
          <cell r="D27">
            <v>-29.06</v>
          </cell>
        </row>
        <row r="28">
          <cell r="D28">
            <v>-0.88</v>
          </cell>
        </row>
        <row r="29">
          <cell r="D29">
            <v>-49820.160000000003</v>
          </cell>
        </row>
        <row r="30">
          <cell r="D30">
            <v>-2.96</v>
          </cell>
        </row>
        <row r="31">
          <cell r="D31">
            <v>-302.72000000000003</v>
          </cell>
        </row>
        <row r="32">
          <cell r="D32">
            <v>-2155</v>
          </cell>
        </row>
        <row r="33">
          <cell r="D33">
            <v>-1165.98</v>
          </cell>
        </row>
        <row r="34">
          <cell r="D34">
            <v>-491818.4</v>
          </cell>
        </row>
        <row r="35">
          <cell r="D35">
            <v>-861.94</v>
          </cell>
        </row>
      </sheetData>
      <sheetData sheetId="35">
        <row r="23">
          <cell r="D23">
            <v>186632.3</v>
          </cell>
        </row>
      </sheetData>
      <sheetData sheetId="36">
        <row r="23">
          <cell r="D23">
            <v>399999.92</v>
          </cell>
        </row>
      </sheetData>
      <sheetData sheetId="37">
        <row r="23">
          <cell r="D23">
            <v>267260.95</v>
          </cell>
        </row>
      </sheetData>
      <sheetData sheetId="38">
        <row r="23">
          <cell r="D23">
            <v>109348</v>
          </cell>
        </row>
        <row r="24">
          <cell r="D24">
            <v>-100925.79</v>
          </cell>
        </row>
        <row r="25">
          <cell r="D25">
            <v>-11735.56</v>
          </cell>
        </row>
      </sheetData>
      <sheetData sheetId="39">
        <row r="23">
          <cell r="D23">
            <v>-3500</v>
          </cell>
        </row>
        <row r="24">
          <cell r="D24">
            <v>-5189.03</v>
          </cell>
        </row>
        <row r="25">
          <cell r="D25">
            <v>-256648.71</v>
          </cell>
        </row>
      </sheetData>
      <sheetData sheetId="40">
        <row r="23">
          <cell r="D23">
            <v>-1800882.79</v>
          </cell>
        </row>
      </sheetData>
      <sheetData sheetId="41">
        <row r="23">
          <cell r="D23">
            <v>2203528.2999999998</v>
          </cell>
        </row>
      </sheetData>
      <sheetData sheetId="42">
        <row r="23">
          <cell r="D23">
            <v>246021</v>
          </cell>
        </row>
      </sheetData>
      <sheetData sheetId="43">
        <row r="23">
          <cell r="D23">
            <v>-6733011.7000000002</v>
          </cell>
        </row>
      </sheetData>
      <sheetData sheetId="44">
        <row r="23">
          <cell r="D23">
            <v>41499.74</v>
          </cell>
        </row>
        <row r="24">
          <cell r="D24">
            <v>44943.3</v>
          </cell>
        </row>
        <row r="25">
          <cell r="D25">
            <v>172614.89</v>
          </cell>
        </row>
        <row r="26">
          <cell r="D26">
            <v>609.13</v>
          </cell>
        </row>
        <row r="27">
          <cell r="D27">
            <v>1718.4</v>
          </cell>
        </row>
        <row r="28">
          <cell r="D28">
            <v>3928.87</v>
          </cell>
        </row>
        <row r="29">
          <cell r="D29">
            <v>160080.93</v>
          </cell>
        </row>
        <row r="30">
          <cell r="D30">
            <v>69.349999999999994</v>
          </cell>
        </row>
        <row r="31">
          <cell r="D31">
            <v>213532.41</v>
          </cell>
        </row>
        <row r="32">
          <cell r="D32">
            <v>22314.98</v>
          </cell>
        </row>
      </sheetData>
      <sheetData sheetId="45">
        <row r="23">
          <cell r="D23">
            <v>1619.53</v>
          </cell>
        </row>
        <row r="24">
          <cell r="D24">
            <v>13367.49</v>
          </cell>
        </row>
        <row r="25">
          <cell r="D25">
            <v>100869.08</v>
          </cell>
        </row>
      </sheetData>
      <sheetData sheetId="46">
        <row r="23">
          <cell r="D23">
            <v>-3952</v>
          </cell>
        </row>
        <row r="24">
          <cell r="D24">
            <v>-200</v>
          </cell>
        </row>
        <row r="25">
          <cell r="D25">
            <v>-762.47</v>
          </cell>
        </row>
        <row r="26">
          <cell r="D26">
            <v>-40418.94</v>
          </cell>
        </row>
      </sheetData>
      <sheetData sheetId="47">
        <row r="23">
          <cell r="D23">
            <v>1282583.33</v>
          </cell>
        </row>
        <row r="24">
          <cell r="D24">
            <v>10080</v>
          </cell>
        </row>
        <row r="25">
          <cell r="D25">
            <v>3916666.67</v>
          </cell>
        </row>
        <row r="26">
          <cell r="D26">
            <v>3309088.41</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E-1"/>
      <sheetName val="II-E-2"/>
      <sheetName val="II-E-2.1"/>
      <sheetName val="II-E-3 Attachment"/>
      <sheetName val="II-E-3"/>
      <sheetName val="II-E-3.1"/>
      <sheetName val="II-E-3.2a"/>
      <sheetName val="II-E-3.2b"/>
      <sheetName val="II-E-3.3"/>
      <sheetName val="II-E-3.4"/>
      <sheetName val="II-E-3.5"/>
      <sheetName val="II-E-3.5a"/>
      <sheetName val="II-E-3.6"/>
      <sheetName val="II-E-3.7"/>
      <sheetName val="II-E-3.8"/>
      <sheetName val="II-E-3.9"/>
      <sheetName val="II-E-3.10"/>
      <sheetName val="II-E-3.11"/>
      <sheetName val="II-E-3.12"/>
      <sheetName val="II-E-3.13"/>
      <sheetName val="II-E-3.14"/>
      <sheetName val="II-E-3.15"/>
      <sheetName val="II-E-3.16"/>
      <sheetName val="II-E-3.17"/>
      <sheetName val="II-E-3.18"/>
      <sheetName val="II-E-3.19"/>
      <sheetName val="II-E-3.20"/>
      <sheetName val="II-E-3.21"/>
      <sheetName val="II-E-3.22"/>
      <sheetName val="II-E-3.23"/>
      <sheetName val="II-E-3.24"/>
      <sheetName val="II-E-4"/>
      <sheetName val="II-E-4.1"/>
      <sheetName val="II-E-4.1.1"/>
      <sheetName val="II-E-4.2"/>
      <sheetName val="II-E-4.3"/>
      <sheetName val="II-E-4.4"/>
      <sheetName val="II-E-4.5"/>
      <sheetName val="II-E-4.6"/>
      <sheetName val="II-E-5"/>
    </sheetNames>
    <sheetDataSet>
      <sheetData sheetId="0">
        <row r="108">
          <cell r="D108">
            <v>94183571.75</v>
          </cell>
          <cell r="E108">
            <v>32962474.130000003</v>
          </cell>
          <cell r="G108">
            <v>44003243.119999997</v>
          </cell>
          <cell r="H108">
            <v>373328.27</v>
          </cell>
          <cell r="I108">
            <v>1755145.34</v>
          </cell>
          <cell r="K108">
            <v>66812956.150000006</v>
          </cell>
          <cell r="L108">
            <v>0</v>
          </cell>
          <cell r="N108">
            <v>14115591</v>
          </cell>
          <cell r="O108">
            <v>85782</v>
          </cell>
        </row>
        <row r="112">
          <cell r="D112">
            <v>176438072.97</v>
          </cell>
          <cell r="E112">
            <v>97745867.890000001</v>
          </cell>
          <cell r="F112">
            <v>274183940.86000001</v>
          </cell>
          <cell r="G112">
            <v>119092626.45</v>
          </cell>
          <cell r="H112">
            <v>9497732.6099999994</v>
          </cell>
          <cell r="I112">
            <v>86769.75</v>
          </cell>
          <cell r="K112">
            <v>140081472.55000001</v>
          </cell>
          <cell r="L112">
            <v>767794.43</v>
          </cell>
          <cell r="N112">
            <v>1780846.85</v>
          </cell>
          <cell r="O112">
            <v>2876698.22</v>
          </cell>
        </row>
      </sheetData>
      <sheetData sheetId="1">
        <row r="20">
          <cell r="G20">
            <v>107434101.61</v>
          </cell>
          <cell r="I20">
            <v>1141084.150000006</v>
          </cell>
        </row>
        <row r="25">
          <cell r="G25">
            <v>6059977.29</v>
          </cell>
          <cell r="I25">
            <v>6441296.0800000001</v>
          </cell>
        </row>
        <row r="27">
          <cell r="G27">
            <v>0</v>
          </cell>
          <cell r="I27">
            <v>12662464.560000001</v>
          </cell>
        </row>
        <row r="28">
          <cell r="G28">
            <v>0</v>
          </cell>
          <cell r="I28">
            <v>122277.99</v>
          </cell>
        </row>
        <row r="29">
          <cell r="G29">
            <v>16511584.35</v>
          </cell>
          <cell r="I29">
            <v>15587347.26</v>
          </cell>
        </row>
        <row r="30">
          <cell r="G30">
            <v>105866388.55</v>
          </cell>
          <cell r="I30">
            <v>117413208.17999999</v>
          </cell>
        </row>
        <row r="31">
          <cell r="G31">
            <v>38621975.509999998</v>
          </cell>
          <cell r="I31">
            <v>41336657.349999994</v>
          </cell>
        </row>
        <row r="32">
          <cell r="G32">
            <v>117316397.05</v>
          </cell>
          <cell r="I32">
            <v>125659802.25999999</v>
          </cell>
        </row>
        <row r="33">
          <cell r="G33">
            <v>77828285.170000002</v>
          </cell>
          <cell r="I33">
            <v>87131859.400000006</v>
          </cell>
        </row>
        <row r="34">
          <cell r="G34">
            <v>983025.55</v>
          </cell>
          <cell r="I34">
            <v>1022587.8500000001</v>
          </cell>
        </row>
        <row r="35">
          <cell r="G35">
            <v>1985359.28</v>
          </cell>
          <cell r="I35">
            <v>1783420.47</v>
          </cell>
        </row>
        <row r="42">
          <cell r="G42">
            <v>348121.12</v>
          </cell>
          <cell r="I42">
            <v>396976.51</v>
          </cell>
        </row>
        <row r="43">
          <cell r="G43">
            <v>7840271.6299999999</v>
          </cell>
          <cell r="I43">
            <v>8966658.7799999993</v>
          </cell>
        </row>
        <row r="44">
          <cell r="G44">
            <v>64620424.520000003</v>
          </cell>
          <cell r="I44">
            <v>80858784.730000004</v>
          </cell>
        </row>
        <row r="46">
          <cell r="G46">
            <v>0</v>
          </cell>
          <cell r="I46">
            <v>61123258.920000002</v>
          </cell>
        </row>
        <row r="48">
          <cell r="G48">
            <v>119364492.42</v>
          </cell>
          <cell r="I48">
            <v>132796485.15000001</v>
          </cell>
        </row>
        <row r="49">
          <cell r="G49">
            <v>66363956.960000001</v>
          </cell>
          <cell r="I49">
            <v>61730996.340000004</v>
          </cell>
        </row>
        <row r="50">
          <cell r="G50">
            <v>34057475.969999999</v>
          </cell>
          <cell r="I50">
            <v>40156740.299999997</v>
          </cell>
        </row>
        <row r="51">
          <cell r="G51">
            <v>67389875.620000005</v>
          </cell>
          <cell r="I51">
            <v>79930430.859999999</v>
          </cell>
        </row>
        <row r="52">
          <cell r="G52">
            <v>68754514.599999994</v>
          </cell>
          <cell r="I52">
            <v>74746040.789999992</v>
          </cell>
        </row>
        <row r="53">
          <cell r="G53">
            <v>57182473.460000001</v>
          </cell>
          <cell r="I53">
            <v>69028413.349999994</v>
          </cell>
        </row>
        <row r="54">
          <cell r="G54">
            <v>21720667.18</v>
          </cell>
          <cell r="I54">
            <v>20313009.949999999</v>
          </cell>
        </row>
        <row r="55">
          <cell r="G55">
            <v>2351974.7599999998</v>
          </cell>
          <cell r="I55">
            <v>2687947.96</v>
          </cell>
        </row>
        <row r="57">
          <cell r="G57">
            <v>24930169.34</v>
          </cell>
          <cell r="I57">
            <v>25906306.390000001</v>
          </cell>
        </row>
        <row r="63">
          <cell r="G63">
            <v>2761.04</v>
          </cell>
          <cell r="I63">
            <v>2826.9</v>
          </cell>
        </row>
        <row r="64">
          <cell r="G64">
            <v>7443096.5999999996</v>
          </cell>
          <cell r="I64">
            <v>8193786.5899999999</v>
          </cell>
        </row>
        <row r="65">
          <cell r="G65">
            <v>31714261.27</v>
          </cell>
          <cell r="I65">
            <v>1872731.9600000009</v>
          </cell>
        </row>
        <row r="66">
          <cell r="G66">
            <v>1894795.83</v>
          </cell>
          <cell r="I66">
            <v>2003657.48</v>
          </cell>
        </row>
        <row r="67">
          <cell r="G67">
            <v>383122.8</v>
          </cell>
          <cell r="I67">
            <v>404946.08999999997</v>
          </cell>
        </row>
        <row r="68">
          <cell r="G68">
            <v>3061645.09</v>
          </cell>
          <cell r="I68">
            <v>3212586.6999999997</v>
          </cell>
        </row>
        <row r="69">
          <cell r="G69">
            <v>3555144.55</v>
          </cell>
          <cell r="I69">
            <v>3635346.8</v>
          </cell>
        </row>
        <row r="70">
          <cell r="G70">
            <v>801773.1</v>
          </cell>
          <cell r="I70">
            <v>966510.55</v>
          </cell>
        </row>
        <row r="71">
          <cell r="G71">
            <v>0</v>
          </cell>
          <cell r="I71">
            <v>33007312.989999998</v>
          </cell>
        </row>
        <row r="72">
          <cell r="G72">
            <v>0</v>
          </cell>
          <cell r="I72">
            <v>59789519.740000002</v>
          </cell>
        </row>
        <row r="73">
          <cell r="G73">
            <v>7298048.0700000003</v>
          </cell>
          <cell r="I73">
            <v>11436700.57</v>
          </cell>
        </row>
        <row r="74">
          <cell r="G74">
            <v>943947.53</v>
          </cell>
          <cell r="I74">
            <v>1033677.55</v>
          </cell>
        </row>
        <row r="85">
          <cell r="G85">
            <v>1106591960.6300001</v>
          </cell>
          <cell r="H85">
            <v>139113714.87</v>
          </cell>
          <cell r="I85">
            <v>1245705675.5000002</v>
          </cell>
          <cell r="N85">
            <v>440521727.81</v>
          </cell>
          <cell r="O85">
            <v>39098651.869999997</v>
          </cell>
          <cell r="P85">
            <v>724347.19000000006</v>
          </cell>
          <cell r="R85">
            <v>666845677.53999996</v>
          </cell>
          <cell r="S85">
            <v>3224043.4699999997</v>
          </cell>
          <cell r="U85">
            <v>55297654.120000005</v>
          </cell>
          <cell r="V85">
            <v>39993573.500000007</v>
          </cell>
        </row>
      </sheetData>
      <sheetData sheetId="2">
        <row r="18">
          <cell r="G18">
            <v>20953312.190000001</v>
          </cell>
          <cell r="I18">
            <v>20367418.100000001</v>
          </cell>
        </row>
        <row r="19">
          <cell r="G19">
            <v>416408.25</v>
          </cell>
          <cell r="I19">
            <v>442124.47</v>
          </cell>
        </row>
        <row r="20">
          <cell r="G20">
            <v>473446.8</v>
          </cell>
          <cell r="I20">
            <v>420278.09</v>
          </cell>
        </row>
        <row r="25">
          <cell r="G25">
            <v>254333384.25</v>
          </cell>
          <cell r="I25">
            <v>283553736.94</v>
          </cell>
        </row>
        <row r="30">
          <cell r="G30">
            <v>31866850.189999998</v>
          </cell>
          <cell r="I30">
            <v>38283647</v>
          </cell>
        </row>
        <row r="31">
          <cell r="G31">
            <v>294946844.52999997</v>
          </cell>
          <cell r="I31">
            <v>300041884.94999999</v>
          </cell>
        </row>
        <row r="32">
          <cell r="G32">
            <v>300</v>
          </cell>
          <cell r="I32">
            <v>1800</v>
          </cell>
        </row>
        <row r="36">
          <cell r="G36">
            <v>602990546.21000004</v>
          </cell>
          <cell r="H36">
            <v>40120343.340000004</v>
          </cell>
          <cell r="I36">
            <v>643110889.54999995</v>
          </cell>
          <cell r="N36">
            <v>133395590.33</v>
          </cell>
          <cell r="O36">
            <v>13570049.27</v>
          </cell>
          <cell r="P36">
            <v>116226.7</v>
          </cell>
          <cell r="R36">
            <v>482520278.13999999</v>
          </cell>
          <cell r="S36">
            <v>1042263.83</v>
          </cell>
          <cell r="U36">
            <v>8908968.5600000005</v>
          </cell>
          <cell r="V36">
            <v>3557512.72</v>
          </cell>
        </row>
      </sheetData>
      <sheetData sheetId="3"/>
      <sheetData sheetId="4"/>
      <sheetData sheetId="5">
        <row r="17">
          <cell r="C17" t="str">
            <v>Return on Rate Base</v>
          </cell>
          <cell r="G17">
            <v>1555644227.1300001</v>
          </cell>
          <cell r="I17">
            <v>1976714756.0800002</v>
          </cell>
        </row>
        <row r="20">
          <cell r="C20" t="str">
            <v>Synchronized Interest</v>
          </cell>
          <cell r="G20">
            <v>653540734.52999997</v>
          </cell>
          <cell r="I20">
            <v>719767622.02999997</v>
          </cell>
        </row>
        <row r="21">
          <cell r="C21" t="str">
            <v>ITC Amortization</v>
          </cell>
          <cell r="G21">
            <v>479524.92</v>
          </cell>
          <cell r="I21">
            <v>485229.49</v>
          </cell>
        </row>
        <row r="22">
          <cell r="C22" t="str">
            <v>Amortization of Protected Excess ADFIT</v>
          </cell>
          <cell r="G22">
            <v>16233756.41</v>
          </cell>
          <cell r="I22">
            <v>17271740.120000001</v>
          </cell>
        </row>
        <row r="23">
          <cell r="C23" t="str">
            <v>Amortization of Non-protected Excess ADFIT</v>
          </cell>
          <cell r="G23">
            <v>36089813.840000004</v>
          </cell>
          <cell r="I23">
            <v>32588176.080000006</v>
          </cell>
        </row>
        <row r="24">
          <cell r="C24" t="str">
            <v>Amortization of Excess ADFIT Reserve</v>
          </cell>
          <cell r="G24">
            <v>-1608928.6</v>
          </cell>
          <cell r="I24">
            <v>-3947398.3800000004</v>
          </cell>
        </row>
        <row r="32">
          <cell r="C32" t="str">
            <v>Social Club Dues</v>
          </cell>
          <cell r="G32">
            <v>267483.76</v>
          </cell>
          <cell r="I32">
            <v>0</v>
          </cell>
        </row>
        <row r="34">
          <cell r="C34" t="str">
            <v>Employee Compensation Plans</v>
          </cell>
          <cell r="G34">
            <v>-8505119.0000000019</v>
          </cell>
          <cell r="I34">
            <v>-14221770.000000002</v>
          </cell>
        </row>
        <row r="35">
          <cell r="C35" t="str">
            <v>FIN 48 Tax and Interest</v>
          </cell>
          <cell r="G35">
            <v>-19042</v>
          </cell>
          <cell r="I35">
            <v>0</v>
          </cell>
        </row>
        <row r="36">
          <cell r="C36" t="str">
            <v>Prior Period Adjustments</v>
          </cell>
          <cell r="G36">
            <v>856722.03</v>
          </cell>
          <cell r="I36">
            <v>0</v>
          </cell>
        </row>
        <row r="39">
          <cell r="H39">
            <v>0.26582278481012656</v>
          </cell>
        </row>
        <row r="44">
          <cell r="C44" t="str">
            <v>ITC Amortization</v>
          </cell>
          <cell r="G44">
            <v>479524.92</v>
          </cell>
          <cell r="I44">
            <v>485229.49</v>
          </cell>
        </row>
        <row r="45">
          <cell r="C45" t="str">
            <v>Amortization of Protected Excess ADFIT</v>
          </cell>
          <cell r="G45">
            <v>16233756.41</v>
          </cell>
          <cell r="I45">
            <v>17271740.120000001</v>
          </cell>
        </row>
        <row r="46">
          <cell r="C46" t="str">
            <v>Amortization of Non-protected Excess ADFIT</v>
          </cell>
          <cell r="G46">
            <v>36089813.840000004</v>
          </cell>
          <cell r="I46">
            <v>32588176.080000006</v>
          </cell>
        </row>
        <row r="47">
          <cell r="C47" t="str">
            <v>Amortization of Excess ADFIT Reserve</v>
          </cell>
          <cell r="G47">
            <v>-1608928.6</v>
          </cell>
          <cell r="I47">
            <v>-3947398.3800000004</v>
          </cell>
        </row>
        <row r="52">
          <cell r="C52" t="str">
            <v>FIN 48 Tax and  Interest</v>
          </cell>
          <cell r="G52">
            <v>-19042</v>
          </cell>
          <cell r="I52">
            <v>0</v>
          </cell>
        </row>
        <row r="53">
          <cell r="C53" t="str">
            <v>Prior Period Adjustments</v>
          </cell>
          <cell r="G53">
            <v>856722.03</v>
          </cell>
          <cell r="I53">
            <v>0</v>
          </cell>
        </row>
      </sheetData>
      <sheetData sheetId="6"/>
      <sheetData sheetId="7"/>
      <sheetData sheetId="8"/>
      <sheetData sheetId="9"/>
      <sheetData sheetId="10"/>
      <sheetData sheetId="11">
        <row r="18">
          <cell r="G18">
            <v>44229087.270000003</v>
          </cell>
          <cell r="I18">
            <v>0</v>
          </cell>
        </row>
        <row r="19">
          <cell r="G19">
            <v>43566659.75</v>
          </cell>
          <cell r="I19">
            <v>0</v>
          </cell>
        </row>
        <row r="20">
          <cell r="G20">
            <v>8476771.2699999996</v>
          </cell>
          <cell r="I20">
            <v>0</v>
          </cell>
        </row>
        <row r="24">
          <cell r="G24">
            <v>165059421.63000005</v>
          </cell>
          <cell r="I24">
            <v>163768384.30000004</v>
          </cell>
        </row>
        <row r="28">
          <cell r="G28">
            <v>3178056736.25</v>
          </cell>
          <cell r="I28">
            <v>3177765769.8499999</v>
          </cell>
        </row>
        <row r="40">
          <cell r="G40">
            <v>2192604.39</v>
          </cell>
          <cell r="I40">
            <v>2198170.1</v>
          </cell>
        </row>
        <row r="41">
          <cell r="G41">
            <v>229506772.41</v>
          </cell>
          <cell r="I41">
            <v>229782622.84999999</v>
          </cell>
        </row>
        <row r="45">
          <cell r="G45">
            <v>75660.2</v>
          </cell>
          <cell r="I45">
            <v>146481.29999999999</v>
          </cell>
        </row>
        <row r="46">
          <cell r="G46">
            <v>3484398.54</v>
          </cell>
          <cell r="I46">
            <v>0</v>
          </cell>
        </row>
        <row r="47">
          <cell r="G47">
            <v>341366</v>
          </cell>
          <cell r="I47">
            <v>0</v>
          </cell>
        </row>
        <row r="51">
          <cell r="G51">
            <v>1636485.86</v>
          </cell>
          <cell r="I51">
            <v>1657593.2300000002</v>
          </cell>
        </row>
        <row r="58">
          <cell r="G58">
            <v>152663.72</v>
          </cell>
          <cell r="I58">
            <v>152716.09</v>
          </cell>
        </row>
        <row r="59">
          <cell r="G59">
            <v>1766887.01</v>
          </cell>
          <cell r="I59">
            <v>0</v>
          </cell>
        </row>
        <row r="60">
          <cell r="G60">
            <v>13532890.859999999</v>
          </cell>
          <cell r="I60">
            <v>0</v>
          </cell>
        </row>
        <row r="65">
          <cell r="G65">
            <v>44229087.270000003</v>
          </cell>
          <cell r="I65">
            <v>0</v>
          </cell>
        </row>
        <row r="72">
          <cell r="G72">
            <v>16957840.43</v>
          </cell>
          <cell r="I72">
            <v>16396585.798999999</v>
          </cell>
        </row>
        <row r="73">
          <cell r="G73">
            <v>19336684.629999999</v>
          </cell>
          <cell r="I73">
            <v>19229339.73</v>
          </cell>
        </row>
        <row r="83">
          <cell r="G83">
            <v>9038370.5500000007</v>
          </cell>
          <cell r="I83">
            <v>0</v>
          </cell>
        </row>
        <row r="84">
          <cell r="G84">
            <v>12874222.91</v>
          </cell>
          <cell r="I84">
            <v>11523367.539999999</v>
          </cell>
        </row>
        <row r="86">
          <cell r="G86">
            <v>4772027.28</v>
          </cell>
          <cell r="I86">
            <v>3005140.2700000005</v>
          </cell>
        </row>
        <row r="89">
          <cell r="G89">
            <v>1277621.29</v>
          </cell>
          <cell r="I89">
            <v>0</v>
          </cell>
        </row>
        <row r="94">
          <cell r="G94">
            <v>275246531.94</v>
          </cell>
          <cell r="I94">
            <v>0</v>
          </cell>
        </row>
        <row r="95">
          <cell r="G95">
            <v>542395.86</v>
          </cell>
          <cell r="I95">
            <v>0</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ow r="18">
          <cell r="G18">
            <v>7817075</v>
          </cell>
          <cell r="I18">
            <v>9895806</v>
          </cell>
        </row>
      </sheetData>
      <sheetData sheetId="33">
        <row r="19">
          <cell r="G19">
            <v>-30673.559999999998</v>
          </cell>
          <cell r="I19">
            <v>-30673.559999999998</v>
          </cell>
        </row>
        <row r="49">
          <cell r="I49">
            <v>987442</v>
          </cell>
        </row>
        <row r="50">
          <cell r="I50">
            <v>1454438.96</v>
          </cell>
        </row>
        <row r="51">
          <cell r="I51">
            <v>5588147.0899999999</v>
          </cell>
        </row>
        <row r="52">
          <cell r="I52">
            <v>-10507.84</v>
          </cell>
        </row>
        <row r="53">
          <cell r="I53">
            <v>-997594.02</v>
          </cell>
        </row>
        <row r="54">
          <cell r="I54">
            <v>139506</v>
          </cell>
        </row>
      </sheetData>
      <sheetData sheetId="34"/>
      <sheetData sheetId="35"/>
      <sheetData sheetId="36"/>
      <sheetData sheetId="37"/>
      <sheetData sheetId="38"/>
      <sheetData sheetId="39"/>
      <sheetData sheetId="40">
        <row r="17">
          <cell r="B17" t="str">
            <v>A442</v>
          </cell>
          <cell r="C17" t="str">
            <v>Power Factor</v>
          </cell>
          <cell r="H17">
            <v>0</v>
          </cell>
          <cell r="J17">
            <v>34378539</v>
          </cell>
        </row>
        <row r="19">
          <cell r="B19" t="str">
            <v>A450</v>
          </cell>
          <cell r="C19" t="str">
            <v>System Resiliency Plan</v>
          </cell>
          <cell r="H19">
            <v>1220691.1200000001</v>
          </cell>
          <cell r="J19">
            <v>0</v>
          </cell>
        </row>
        <row r="20">
          <cell r="B20" t="str">
            <v>A451</v>
          </cell>
          <cell r="C20" t="str">
            <v>Misc. Service Revenues - Discretionary</v>
          </cell>
          <cell r="H20">
            <v>26594344.41</v>
          </cell>
          <cell r="J20">
            <v>27807695</v>
          </cell>
        </row>
        <row r="27">
          <cell r="H27">
            <v>122416.24000000002</v>
          </cell>
          <cell r="J27">
            <v>369308.58</v>
          </cell>
        </row>
        <row r="29">
          <cell r="H29">
            <v>36438754.820000008</v>
          </cell>
          <cell r="J29">
            <v>34783138.140000008</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B"/>
      <sheetName val="II-B-1"/>
      <sheetName val="II-B-1a"/>
      <sheetName val="II-B-2"/>
      <sheetName val="II-B-3"/>
      <sheetName val="II-B-4"/>
      <sheetName val="II-B-5"/>
      <sheetName val="II-B-6"/>
      <sheetName val="II-B-7"/>
      <sheetName val="II-B-8"/>
      <sheetName val="II-B-9"/>
      <sheetName val="II-B-10"/>
      <sheetName val="II-B-11"/>
      <sheetName val="II-B-12"/>
      <sheetName val="II-B-13"/>
      <sheetName val="II-B-14"/>
      <sheetName val="II-B-14 Attachment 1"/>
      <sheetName val="II-B-15A"/>
      <sheetName val="II-B-15B"/>
    </sheetNames>
    <sheetDataSet>
      <sheetData sheetId="0"/>
      <sheetData sheetId="1">
        <row r="39">
          <cell r="D39">
            <v>7.4700000000000003E-2</v>
          </cell>
        </row>
        <row r="41">
          <cell r="D41">
            <v>1991618366.5711608</v>
          </cell>
          <cell r="E41">
            <v>-14903610.487025738</v>
          </cell>
          <cell r="F41">
            <v>1976714756.0841351</v>
          </cell>
          <cell r="G41">
            <v>827295386.4911598</v>
          </cell>
          <cell r="H41">
            <v>82898105.901165023</v>
          </cell>
          <cell r="I41">
            <v>690085.35362699884</v>
          </cell>
          <cell r="K41">
            <v>1009018361.9291828</v>
          </cell>
          <cell r="L41">
            <v>6673855.4138160003</v>
          </cell>
          <cell r="N41">
            <v>32952955.556200724</v>
          </cell>
          <cell r="O41">
            <v>17186005.438984018</v>
          </cell>
        </row>
      </sheetData>
      <sheetData sheetId="2">
        <row r="18">
          <cell r="G18">
            <v>1310758587.25</v>
          </cell>
          <cell r="I18">
            <v>15899999.999999523</v>
          </cell>
        </row>
        <row r="26">
          <cell r="G26">
            <v>0</v>
          </cell>
          <cell r="I26">
            <v>150825746.09999999</v>
          </cell>
        </row>
        <row r="27">
          <cell r="G27">
            <v>0</v>
          </cell>
          <cell r="I27">
            <v>3528604.2500000005</v>
          </cell>
        </row>
        <row r="42">
          <cell r="G42">
            <v>3456375288.6799998</v>
          </cell>
          <cell r="I42">
            <v>3449540607.2399998</v>
          </cell>
        </row>
        <row r="44">
          <cell r="G44">
            <v>0</v>
          </cell>
          <cell r="I44">
            <v>783527550.65000021</v>
          </cell>
        </row>
        <row r="45">
          <cell r="G45">
            <v>0</v>
          </cell>
          <cell r="I45">
            <v>38191350.260000005</v>
          </cell>
        </row>
      </sheetData>
      <sheetData sheetId="3"/>
      <sheetData sheetId="4">
        <row r="18">
          <cell r="G18">
            <v>402851129.63999999</v>
          </cell>
          <cell r="I18">
            <v>383599729.63999999</v>
          </cell>
        </row>
        <row r="19">
          <cell r="G19">
            <v>198284027.01999998</v>
          </cell>
          <cell r="I19">
            <v>28353060.269999802</v>
          </cell>
        </row>
        <row r="20">
          <cell r="G20">
            <v>24553637.989999998</v>
          </cell>
          <cell r="I20">
            <v>20199287.829999998</v>
          </cell>
        </row>
        <row r="22">
          <cell r="G22">
            <v>37069380.68</v>
          </cell>
          <cell r="I22">
            <v>37049859.229999997</v>
          </cell>
        </row>
      </sheetData>
      <sheetData sheetId="5">
        <row r="16">
          <cell r="G16">
            <v>0</v>
          </cell>
          <cell r="I16">
            <v>170037957.93000001</v>
          </cell>
        </row>
        <row r="17">
          <cell r="G17">
            <v>0</v>
          </cell>
          <cell r="I17">
            <v>360398299.31999999</v>
          </cell>
        </row>
        <row r="18">
          <cell r="G18">
            <v>161341597.34999999</v>
          </cell>
          <cell r="I18">
            <v>119621642.84</v>
          </cell>
        </row>
      </sheetData>
      <sheetData sheetId="6">
        <row r="16">
          <cell r="G16">
            <v>1704962610.8399963</v>
          </cell>
          <cell r="I16">
            <v>0</v>
          </cell>
        </row>
      </sheetData>
      <sheetData sheetId="7">
        <row r="19">
          <cell r="G19">
            <v>450018100.62</v>
          </cell>
          <cell r="I19">
            <v>5893162.1399999857</v>
          </cell>
        </row>
        <row r="28">
          <cell r="G28">
            <v>0</v>
          </cell>
          <cell r="I28">
            <v>56291412.899999999</v>
          </cell>
        </row>
        <row r="29">
          <cell r="G29">
            <v>0</v>
          </cell>
          <cell r="I29">
            <v>1213664.3</v>
          </cell>
        </row>
        <row r="45">
          <cell r="G45">
            <v>666271797.25</v>
          </cell>
          <cell r="I45">
            <v>664120376.42999995</v>
          </cell>
        </row>
        <row r="47">
          <cell r="G47">
            <v>0</v>
          </cell>
          <cell r="I47">
            <v>288603718.38999999</v>
          </cell>
        </row>
        <row r="48">
          <cell r="G48">
            <v>0</v>
          </cell>
          <cell r="I48">
            <v>39392672.700000003</v>
          </cell>
        </row>
        <row r="72">
          <cell r="G72">
            <v>42849633.729999997</v>
          </cell>
          <cell r="I72">
            <v>37687247.140000001</v>
          </cell>
        </row>
        <row r="73">
          <cell r="G73">
            <v>74935853.310000002</v>
          </cell>
          <cell r="I73">
            <v>5057822.7300000042</v>
          </cell>
        </row>
        <row r="74">
          <cell r="G74">
            <v>6744845.0300000003</v>
          </cell>
          <cell r="I74">
            <v>4359000.2100000009</v>
          </cell>
        </row>
        <row r="76">
          <cell r="G76">
            <v>9305516.0700000003</v>
          </cell>
          <cell r="I76">
            <v>9301825.4800000004</v>
          </cell>
        </row>
        <row r="82">
          <cell r="G82">
            <v>0</v>
          </cell>
          <cell r="I82">
            <v>69878030.579999998</v>
          </cell>
        </row>
        <row r="83">
          <cell r="G83">
            <v>0</v>
          </cell>
          <cell r="I83">
            <v>99231944.370000005</v>
          </cell>
        </row>
        <row r="84">
          <cell r="G84">
            <v>61552741.579999998</v>
          </cell>
          <cell r="I84">
            <v>20944267.409999996</v>
          </cell>
        </row>
      </sheetData>
      <sheetData sheetId="8">
        <row r="16">
          <cell r="G16">
            <v>71356012.039999992</v>
          </cell>
          <cell r="I16">
            <v>68155806.339999989</v>
          </cell>
        </row>
      </sheetData>
      <sheetData sheetId="9"/>
      <sheetData sheetId="10">
        <row r="32">
          <cell r="H32">
            <v>-206947.65</v>
          </cell>
        </row>
      </sheetData>
      <sheetData sheetId="11"/>
      <sheetData sheetId="12">
        <row r="32">
          <cell r="G32">
            <v>138858259.0138461</v>
          </cell>
          <cell r="I32">
            <v>146239797.8584615</v>
          </cell>
        </row>
      </sheetData>
      <sheetData sheetId="13">
        <row r="19">
          <cell r="G19">
            <v>20742553.34</v>
          </cell>
          <cell r="I19">
            <v>0</v>
          </cell>
        </row>
        <row r="21">
          <cell r="G21">
            <v>-215642467.25999999</v>
          </cell>
          <cell r="I21">
            <v>0</v>
          </cell>
        </row>
      </sheetData>
      <sheetData sheetId="14">
        <row r="19">
          <cell r="G19">
            <v>6117208.4000000004</v>
          </cell>
          <cell r="I19">
            <v>0</v>
          </cell>
        </row>
        <row r="21">
          <cell r="G21">
            <v>726970.12</v>
          </cell>
          <cell r="I21">
            <v>727219.48</v>
          </cell>
        </row>
        <row r="23">
          <cell r="G23">
            <v>1625552.39</v>
          </cell>
          <cell r="I23">
            <v>0</v>
          </cell>
        </row>
        <row r="24">
          <cell r="G24">
            <v>360286.66</v>
          </cell>
          <cell r="I24">
            <v>697529.98</v>
          </cell>
        </row>
        <row r="25">
          <cell r="G25">
            <v>16592374</v>
          </cell>
          <cell r="I25">
            <v>0</v>
          </cell>
        </row>
        <row r="27">
          <cell r="G27">
            <v>2560889.5099999998</v>
          </cell>
          <cell r="I27">
            <v>2661400.7999999998</v>
          </cell>
        </row>
        <row r="32">
          <cell r="G32">
            <v>166385615</v>
          </cell>
          <cell r="I32">
            <v>0</v>
          </cell>
        </row>
        <row r="33">
          <cell r="G33">
            <v>905444.52</v>
          </cell>
          <cell r="I33">
            <v>0</v>
          </cell>
        </row>
        <row r="34">
          <cell r="G34">
            <v>115959118.03999999</v>
          </cell>
          <cell r="I34">
            <v>0</v>
          </cell>
        </row>
        <row r="43">
          <cell r="G43">
            <v>756549322.5999999</v>
          </cell>
          <cell r="I43">
            <v>757862896.13999987</v>
          </cell>
        </row>
        <row r="44">
          <cell r="G44">
            <v>8413747.6600000001</v>
          </cell>
          <cell r="I44">
            <v>0</v>
          </cell>
        </row>
        <row r="45">
          <cell r="G45">
            <v>14642.460000000001</v>
          </cell>
          <cell r="I45">
            <v>0</v>
          </cell>
        </row>
        <row r="46">
          <cell r="G46">
            <v>679916.12000000011</v>
          </cell>
          <cell r="I46">
            <v>0</v>
          </cell>
        </row>
        <row r="47">
          <cell r="G47">
            <v>3267894.2</v>
          </cell>
          <cell r="I47">
            <v>0</v>
          </cell>
        </row>
        <row r="48">
          <cell r="G48">
            <v>597493.65999999992</v>
          </cell>
          <cell r="I48">
            <v>0</v>
          </cell>
        </row>
        <row r="49">
          <cell r="G49">
            <v>312886.08</v>
          </cell>
          <cell r="I49">
            <v>0</v>
          </cell>
        </row>
        <row r="50">
          <cell r="G50">
            <v>511485.67000000004</v>
          </cell>
          <cell r="I50">
            <v>0</v>
          </cell>
        </row>
        <row r="51">
          <cell r="G51">
            <v>4802365.76</v>
          </cell>
          <cell r="I51">
            <v>4823828.9400000004</v>
          </cell>
        </row>
        <row r="52">
          <cell r="G52">
            <v>99855</v>
          </cell>
          <cell r="I52">
            <v>0</v>
          </cell>
        </row>
        <row r="53">
          <cell r="G53">
            <v>141459.35</v>
          </cell>
          <cell r="I53">
            <v>146499.54999999999</v>
          </cell>
        </row>
        <row r="55">
          <cell r="G55">
            <v>12975</v>
          </cell>
          <cell r="I55">
            <v>0</v>
          </cell>
        </row>
        <row r="59">
          <cell r="G59">
            <v>-1587778656.9300001</v>
          </cell>
          <cell r="I59">
            <v>0</v>
          </cell>
        </row>
        <row r="60">
          <cell r="G60">
            <v>3081929.790000001</v>
          </cell>
          <cell r="I60">
            <v>0</v>
          </cell>
        </row>
        <row r="63">
          <cell r="G63">
            <v>47184136.209999993</v>
          </cell>
          <cell r="I63">
            <v>0</v>
          </cell>
        </row>
        <row r="64">
          <cell r="G64">
            <v>-91568284.419999987</v>
          </cell>
          <cell r="I64">
            <v>0</v>
          </cell>
        </row>
        <row r="65">
          <cell r="G65">
            <v>-1233869</v>
          </cell>
          <cell r="I65">
            <v>0</v>
          </cell>
        </row>
        <row r="66">
          <cell r="G66">
            <v>-318542.61999999994</v>
          </cell>
          <cell r="I66">
            <v>0</v>
          </cell>
        </row>
        <row r="72">
          <cell r="G72">
            <v>-23717979.550000001</v>
          </cell>
          <cell r="I72">
            <v>0</v>
          </cell>
        </row>
        <row r="79">
          <cell r="G79">
            <v>34940978.939999998</v>
          </cell>
          <cell r="I79">
            <v>0</v>
          </cell>
        </row>
        <row r="80">
          <cell r="G80">
            <v>9288108.3300000001</v>
          </cell>
          <cell r="I80">
            <v>0</v>
          </cell>
        </row>
        <row r="81">
          <cell r="G81">
            <v>43566659.75</v>
          </cell>
          <cell r="I81">
            <v>0</v>
          </cell>
        </row>
        <row r="82">
          <cell r="G82">
            <v>8476771.2699999996</v>
          </cell>
          <cell r="I82">
            <v>0</v>
          </cell>
        </row>
        <row r="84">
          <cell r="G84">
            <v>13532890.859999999</v>
          </cell>
          <cell r="I84">
            <v>0</v>
          </cell>
        </row>
        <row r="88">
          <cell r="G88">
            <v>-542395.86</v>
          </cell>
          <cell r="I88">
            <v>0</v>
          </cell>
        </row>
        <row r="90">
          <cell r="G90">
            <v>-13219690.810000001</v>
          </cell>
          <cell r="I90">
            <v>0</v>
          </cell>
        </row>
        <row r="91">
          <cell r="G91">
            <v>-921473107</v>
          </cell>
          <cell r="I91">
            <v>-1062055414.46</v>
          </cell>
        </row>
        <row r="92">
          <cell r="G92">
            <v>-266566197.09999999</v>
          </cell>
          <cell r="I92">
            <v>0</v>
          </cell>
        </row>
        <row r="93">
          <cell r="G93">
            <v>-81323539.280000001</v>
          </cell>
          <cell r="I93">
            <v>59258768.180000007</v>
          </cell>
        </row>
        <row r="95">
          <cell r="G95">
            <v>4539355.9800000004</v>
          </cell>
          <cell r="I95">
            <v>0</v>
          </cell>
        </row>
        <row r="96">
          <cell r="G96">
            <v>-34940978.939999998</v>
          </cell>
          <cell r="I96">
            <v>0</v>
          </cell>
        </row>
        <row r="97">
          <cell r="G97">
            <v>-9288108.3300000001</v>
          </cell>
          <cell r="I97">
            <v>0</v>
          </cell>
        </row>
      </sheetData>
      <sheetData sheetId="15"/>
      <sheetData sheetId="16"/>
      <sheetData sheetId="17"/>
      <sheetData sheetId="18"/>
      <sheetData sheetId="1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D-1"/>
      <sheetName val="II-D-1a"/>
      <sheetName val="II-D-1.1"/>
      <sheetName val="II-D-2"/>
      <sheetName val="II-D-2a"/>
      <sheetName val="II-D-2.1"/>
      <sheetName val="II-D-2.2.1"/>
      <sheetName val="II-D-2.2.2"/>
      <sheetName val="II-D-2.2.3"/>
      <sheetName val="II-D-2.2a"/>
      <sheetName val="II-D-2.3"/>
      <sheetName val="II-D-2.4"/>
      <sheetName val="II-D-2.4a"/>
      <sheetName val="II-D-2.5"/>
      <sheetName val="II-D-2.6"/>
      <sheetName val="II-D-2.6a"/>
      <sheetName val="II-D-2.6b"/>
      <sheetName val="II-D-2.6c"/>
      <sheetName val="II-D-2.7 Conf."/>
      <sheetName val="II-D-2.8"/>
      <sheetName val="II-D-2.9"/>
      <sheetName val="II-D-2.9a"/>
      <sheetName val="II-D-2.9b"/>
      <sheetName val="II-D-2.9c"/>
      <sheetName val="II-D-2.9 Attachment 1"/>
      <sheetName val="II-D-3"/>
      <sheetName val="II-D-3.1"/>
      <sheetName val="II-D-3.2"/>
      <sheetName val="II-D-3.3"/>
      <sheetName val="II-D-3.4"/>
      <sheetName val="II-D-3.5"/>
      <sheetName val="II-D-3.6"/>
      <sheetName val="II-D-3.7.1"/>
      <sheetName val="II-D-3.7.2"/>
      <sheetName val="II-D-3.7.3"/>
      <sheetName val="II-D-3.7.4"/>
      <sheetName val="II-D-3.7.4a"/>
      <sheetName val="II-D-3.7.5"/>
      <sheetName val="II-D-3.8.1"/>
      <sheetName val="II-D-3.8.2"/>
      <sheetName val="II-D-3.8.3"/>
      <sheetName val="II-D-3.9.1"/>
      <sheetName val="II-D-3.9.2"/>
      <sheetName val="II-D-3.9.3"/>
      <sheetName val="II-D-3.10"/>
      <sheetName val="II-D-3.10 Attachment 1"/>
      <sheetName val="II-D-4"/>
    </sheetNames>
    <sheetDataSet>
      <sheetData sheetId="0">
        <row r="79">
          <cell r="G79">
            <v>3304990861.8000002</v>
          </cell>
          <cell r="H79">
            <v>493586912.30000007</v>
          </cell>
          <cell r="I79">
            <v>3798577774.0999994</v>
          </cell>
          <cell r="J79">
            <v>281417380.88999999</v>
          </cell>
          <cell r="K79">
            <v>8707411.9800000004</v>
          </cell>
          <cell r="L79">
            <v>475836.37</v>
          </cell>
          <cell r="N79">
            <v>3328439803.2399998</v>
          </cell>
          <cell r="O79">
            <v>983223.52</v>
          </cell>
          <cell r="Q79">
            <v>120417779.07000001</v>
          </cell>
          <cell r="R79">
            <v>58136339.030000001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0"/>
  </sheetPr>
  <dimension ref="A1:M17"/>
  <sheetViews>
    <sheetView workbookViewId="0">
      <selection activeCell="H15" sqref="H15"/>
    </sheetView>
  </sheetViews>
  <sheetFormatPr defaultRowHeight="12.75" x14ac:dyDescent="0.2"/>
  <cols>
    <col min="1" max="1" width="41.42578125" bestFit="1" customWidth="1"/>
    <col min="2" max="2" width="16.5703125" bestFit="1" customWidth="1"/>
    <col min="3" max="3" width="13.5703125" bestFit="1" customWidth="1"/>
    <col min="4" max="5" width="15" bestFit="1" customWidth="1"/>
    <col min="6" max="7" width="14" customWidth="1"/>
    <col min="8" max="9" width="15" bestFit="1" customWidth="1"/>
    <col min="10" max="10" width="14" customWidth="1"/>
    <col min="11" max="11" width="15" bestFit="1" customWidth="1"/>
    <col min="12" max="12" width="14" bestFit="1" customWidth="1"/>
    <col min="13" max="13" width="12.28515625" bestFit="1" customWidth="1"/>
  </cols>
  <sheetData>
    <row r="1" spans="1:13" s="39" customFormat="1" x14ac:dyDescent="0.2">
      <c r="B1" s="35" t="s">
        <v>47</v>
      </c>
      <c r="C1" s="35" t="s">
        <v>44</v>
      </c>
      <c r="D1" s="35" t="s">
        <v>46</v>
      </c>
      <c r="E1" s="35" t="s">
        <v>2</v>
      </c>
      <c r="F1" s="109" t="s">
        <v>62</v>
      </c>
      <c r="G1" s="108" t="s">
        <v>72</v>
      </c>
      <c r="H1" s="109" t="s">
        <v>75</v>
      </c>
      <c r="I1" s="36" t="s">
        <v>3</v>
      </c>
      <c r="J1" s="111" t="s">
        <v>62</v>
      </c>
      <c r="K1" s="111" t="s">
        <v>75</v>
      </c>
      <c r="L1" s="36" t="s">
        <v>20</v>
      </c>
      <c r="M1" s="112"/>
    </row>
    <row r="2" spans="1:13" s="39" customFormat="1" x14ac:dyDescent="0.2">
      <c r="B2" s="35" t="s">
        <v>48</v>
      </c>
      <c r="C2" s="35" t="s">
        <v>45</v>
      </c>
      <c r="D2" s="35" t="s">
        <v>47</v>
      </c>
      <c r="E2" s="35" t="s">
        <v>5</v>
      </c>
      <c r="F2" s="109" t="s">
        <v>74</v>
      </c>
      <c r="G2" s="108" t="s">
        <v>73</v>
      </c>
      <c r="H2" s="109" t="s">
        <v>74</v>
      </c>
      <c r="I2" s="35" t="s">
        <v>5</v>
      </c>
      <c r="J2" s="109" t="s">
        <v>65</v>
      </c>
      <c r="K2" s="109" t="s">
        <v>62</v>
      </c>
      <c r="L2" s="35" t="s">
        <v>5</v>
      </c>
      <c r="M2" s="112" t="s">
        <v>9</v>
      </c>
    </row>
    <row r="3" spans="1:13" s="39" customFormat="1" ht="13.5" thickBot="1" x14ac:dyDescent="0.25">
      <c r="B3" s="40" t="s">
        <v>8</v>
      </c>
      <c r="C3" s="40" t="s">
        <v>23</v>
      </c>
      <c r="D3" s="40" t="s">
        <v>48</v>
      </c>
      <c r="E3" s="40" t="s">
        <v>21</v>
      </c>
      <c r="F3" s="110"/>
      <c r="G3" s="40"/>
      <c r="H3" s="110"/>
      <c r="I3" s="40" t="s">
        <v>11</v>
      </c>
      <c r="J3" s="110"/>
      <c r="K3" s="110"/>
      <c r="L3" s="40" t="s">
        <v>22</v>
      </c>
      <c r="M3" s="110" t="s">
        <v>43</v>
      </c>
    </row>
    <row r="4" spans="1:13" x14ac:dyDescent="0.2">
      <c r="A4" s="13" t="s">
        <v>12</v>
      </c>
      <c r="B4" s="41">
        <f>+'I-A-1'!D16</f>
        <v>3304990861.8000002</v>
      </c>
      <c r="C4" s="41">
        <f>+'I-A-1'!E16</f>
        <v>493586912.30000001</v>
      </c>
      <c r="D4" s="41">
        <f>+'I-A-1'!F16</f>
        <v>3798577774.0999999</v>
      </c>
      <c r="E4" s="41">
        <f>+'I-A-1'!G16</f>
        <v>281417380.88999999</v>
      </c>
      <c r="F4" s="41">
        <f>+'I-A-1'!H16</f>
        <v>8707411.9800000004</v>
      </c>
      <c r="G4" s="41">
        <f>+'I-A-1'!I16</f>
        <v>475836.37</v>
      </c>
      <c r="H4" s="41">
        <f>+'I-A-1'!J16</f>
        <v>290600629.24000001</v>
      </c>
      <c r="I4" s="41">
        <f>+'I-A-1'!K16</f>
        <v>3328439803.2399998</v>
      </c>
      <c r="J4" s="41">
        <f>+'I-A-1'!L16</f>
        <v>983223.52</v>
      </c>
      <c r="K4" s="41">
        <f>+'I-A-1'!M16</f>
        <v>3329423026.7599998</v>
      </c>
      <c r="L4" s="41">
        <f>+'I-A-1'!N16</f>
        <v>120417779.06999999</v>
      </c>
      <c r="M4" s="41">
        <f>+'I-A-1'!O16</f>
        <v>58136339.030000001</v>
      </c>
    </row>
    <row r="5" spans="1:13" x14ac:dyDescent="0.2">
      <c r="A5" s="8" t="s">
        <v>13</v>
      </c>
      <c r="B5" s="41">
        <f>+'I-A-1'!D17</f>
        <v>1106591960.6300001</v>
      </c>
      <c r="C5" s="41">
        <f>+'I-A-1'!E17</f>
        <v>139113714.87</v>
      </c>
      <c r="D5" s="41">
        <f>+'I-A-1'!F17</f>
        <v>1245705675.5000002</v>
      </c>
      <c r="E5" s="41">
        <f>+'I-A-1'!G17</f>
        <v>440521727.81</v>
      </c>
      <c r="F5" s="41">
        <f>+'I-A-1'!H17</f>
        <v>39098651.869999997</v>
      </c>
      <c r="G5" s="41">
        <f>+'I-A-1'!I17</f>
        <v>724347.19000000006</v>
      </c>
      <c r="H5" s="41">
        <f>+'I-A-1'!J17</f>
        <v>480344726.87</v>
      </c>
      <c r="I5" s="41">
        <f>+'I-A-1'!K17</f>
        <v>666845677.53999996</v>
      </c>
      <c r="J5" s="41">
        <f>+'I-A-1'!L17</f>
        <v>3224043.4699999997</v>
      </c>
      <c r="K5" s="41">
        <f>+'I-A-1'!M17</f>
        <v>670069721.00999999</v>
      </c>
      <c r="L5" s="41">
        <f>+'I-A-1'!N17</f>
        <v>55297654.120000005</v>
      </c>
      <c r="M5" s="41">
        <f>+'I-A-1'!O17</f>
        <v>39993573.500000007</v>
      </c>
    </row>
    <row r="6" spans="1:13" x14ac:dyDescent="0.2">
      <c r="A6" s="8" t="s">
        <v>15</v>
      </c>
      <c r="B6" s="41">
        <f>+'I-A-1'!D18</f>
        <v>602990546.21000004</v>
      </c>
      <c r="C6" s="41">
        <f>+'I-A-1'!E18</f>
        <v>40120343.340000004</v>
      </c>
      <c r="D6" s="41">
        <f>+'I-A-1'!F18</f>
        <v>643110889.54999995</v>
      </c>
      <c r="E6" s="41">
        <f>+'I-A-1'!G18</f>
        <v>133395590.33</v>
      </c>
      <c r="F6" s="41">
        <f>+'I-A-1'!H18</f>
        <v>13570049.27</v>
      </c>
      <c r="G6" s="41">
        <f>+'I-A-1'!I18</f>
        <v>116226.7</v>
      </c>
      <c r="H6" s="41">
        <f>+'I-A-1'!J18</f>
        <v>147081866.29999998</v>
      </c>
      <c r="I6" s="41">
        <f>+'I-A-1'!K18</f>
        <v>482520278.13999999</v>
      </c>
      <c r="J6" s="41">
        <f>+'I-A-1'!L18</f>
        <v>1042263.83</v>
      </c>
      <c r="K6" s="41">
        <f>+'I-A-1'!M18</f>
        <v>483562541.96999997</v>
      </c>
      <c r="L6" s="41">
        <f>+'I-A-1'!N18</f>
        <v>8908968.5600000005</v>
      </c>
      <c r="M6" s="41">
        <f>+'I-A-1'!O18</f>
        <v>3557512.72</v>
      </c>
    </row>
    <row r="7" spans="1:13" x14ac:dyDescent="0.2">
      <c r="A7" s="13" t="s">
        <v>16</v>
      </c>
      <c r="B7" s="41">
        <f>+'I-A-1'!D19</f>
        <v>176438072.97</v>
      </c>
      <c r="C7" s="41">
        <f>+'I-A-1'!E19</f>
        <v>97745867.890000001</v>
      </c>
      <c r="D7" s="41">
        <f>+'I-A-1'!F19</f>
        <v>274183940.86000001</v>
      </c>
      <c r="E7" s="41">
        <f>+'I-A-1'!G19</f>
        <v>119092626.45</v>
      </c>
      <c r="F7" s="41">
        <f>+'I-A-1'!H19</f>
        <v>9497732.6099999994</v>
      </c>
      <c r="G7" s="41">
        <f>+'I-A-1'!I19</f>
        <v>86769.75</v>
      </c>
      <c r="H7" s="41">
        <f>+'I-A-1'!J19</f>
        <v>128677128.81</v>
      </c>
      <c r="I7" s="41">
        <f>+'I-A-1'!K19</f>
        <v>140081472.55000001</v>
      </c>
      <c r="J7" s="41">
        <f>+'I-A-1'!L19</f>
        <v>767794.43</v>
      </c>
      <c r="K7" s="41">
        <f>+'I-A-1'!M19</f>
        <v>140849266.98000002</v>
      </c>
      <c r="L7" s="41">
        <f>+'I-A-1'!N19</f>
        <v>1780846.85</v>
      </c>
      <c r="M7" s="41">
        <f>+'I-A-1'!O19</f>
        <v>2876698.22</v>
      </c>
    </row>
    <row r="8" spans="1:13" x14ac:dyDescent="0.2">
      <c r="A8" s="8" t="s">
        <v>17</v>
      </c>
      <c r="B8" s="41">
        <f>+'I-A-1'!D21</f>
        <v>1991618366.5711608</v>
      </c>
      <c r="C8" s="41">
        <f>+'I-A-1'!E21</f>
        <v>-14903610.487025738</v>
      </c>
      <c r="D8" s="41">
        <f>+'I-A-1'!F21</f>
        <v>1976714756.0841351</v>
      </c>
      <c r="E8" s="41">
        <f>+'I-A-1'!G21</f>
        <v>827295386.4911598</v>
      </c>
      <c r="F8" s="41">
        <f>+'I-A-1'!H21</f>
        <v>82898105.901165023</v>
      </c>
      <c r="G8" s="41">
        <f>+'I-A-1'!I21</f>
        <v>690085.35362699884</v>
      </c>
      <c r="H8" s="41">
        <f>+'I-A-1'!J21</f>
        <v>910883577.74595177</v>
      </c>
      <c r="I8" s="41">
        <f>+'I-A-1'!K21</f>
        <v>1009018361.9291828</v>
      </c>
      <c r="J8" s="41">
        <f>+'I-A-1'!L21</f>
        <v>6673855.4138160003</v>
      </c>
      <c r="K8" s="41">
        <f>+'I-A-1'!M21</f>
        <v>1015692217.3429987</v>
      </c>
      <c r="L8" s="41">
        <f>+'I-A-1'!N21</f>
        <v>32952955.556200724</v>
      </c>
      <c r="M8" s="41">
        <f>+'I-A-1'!O21</f>
        <v>17186005.438984018</v>
      </c>
    </row>
    <row r="9" spans="1:13" x14ac:dyDescent="0.2">
      <c r="A9" s="13" t="s">
        <v>18</v>
      </c>
      <c r="B9" s="41">
        <f>+'I-A-1'!D23</f>
        <v>7182629808.1811619</v>
      </c>
      <c r="C9" s="41">
        <f>+'I-A-1'!E23</f>
        <v>755663227.91297436</v>
      </c>
      <c r="D9" s="41">
        <f>+'I-A-1'!F23</f>
        <v>7938293036.0941353</v>
      </c>
      <c r="E9" s="41">
        <f>+'I-A-1'!G23</f>
        <v>1801722711.9711599</v>
      </c>
      <c r="F9" s="41">
        <f>+'I-A-1'!H23</f>
        <v>153771951.63116503</v>
      </c>
      <c r="G9" s="41">
        <f>+'I-A-1'!I23</f>
        <v>2093265.3636269988</v>
      </c>
      <c r="H9" s="41">
        <f>+'I-A-1'!J23</f>
        <v>1957587928.9659519</v>
      </c>
      <c r="I9" s="41">
        <f>+'I-A-1'!K23</f>
        <v>5626905593.3991833</v>
      </c>
      <c r="J9" s="41">
        <f>+'I-A-1'!L23</f>
        <v>12691180.663816001</v>
      </c>
      <c r="K9" s="41">
        <f>+'I-A-1'!M23</f>
        <v>5639596774.0629978</v>
      </c>
      <c r="L9" s="41">
        <f>+'I-A-1'!N23</f>
        <v>219358204.15620071</v>
      </c>
      <c r="M9" s="41">
        <f>+'I-A-1'!O23</f>
        <v>121750128.90898402</v>
      </c>
    </row>
    <row r="11" spans="1:13" x14ac:dyDescent="0.2">
      <c r="A11" s="4" t="s">
        <v>14</v>
      </c>
      <c r="B11" s="76">
        <f>+'I-A-1'!D25</f>
        <v>0</v>
      </c>
      <c r="C11" s="76">
        <f>+'I-A-1'!E25</f>
        <v>0</v>
      </c>
      <c r="D11" s="76">
        <f>+'I-A-1'!F25</f>
        <v>0</v>
      </c>
      <c r="E11" s="76">
        <f>+'I-A-1'!G25</f>
        <v>0</v>
      </c>
      <c r="F11" s="76">
        <f>+'I-A-1'!H25</f>
        <v>0</v>
      </c>
      <c r="G11" s="76">
        <f>+'I-A-1'!I25</f>
        <v>0</v>
      </c>
      <c r="H11" s="76">
        <f>+'I-A-1'!J25</f>
        <v>0</v>
      </c>
      <c r="I11" s="76">
        <f>+'I-A-1'!K25</f>
        <v>0</v>
      </c>
      <c r="J11" s="76">
        <f>+'I-A-1'!L25</f>
        <v>0</v>
      </c>
      <c r="K11" s="76">
        <f>+'I-A-1'!M25</f>
        <v>0</v>
      </c>
      <c r="L11" s="76">
        <f>+'I-A-1'!N25</f>
        <v>0</v>
      </c>
      <c r="M11" s="76">
        <f>+'I-A-1'!O25</f>
        <v>0</v>
      </c>
    </row>
    <row r="12" spans="1:13" x14ac:dyDescent="0.2">
      <c r="A12" s="8" t="s">
        <v>0</v>
      </c>
      <c r="B12" s="76">
        <f>+'I-A-1'!D27</f>
        <v>0</v>
      </c>
      <c r="C12" s="76">
        <f>+'I-A-1'!E27</f>
        <v>0</v>
      </c>
      <c r="D12" s="76">
        <f>+'I-A-1'!F27</f>
        <v>0</v>
      </c>
      <c r="E12" s="76">
        <f>+'I-A-1'!G27</f>
        <v>0</v>
      </c>
      <c r="F12" s="76">
        <f>+'I-A-1'!H27</f>
        <v>0</v>
      </c>
      <c r="G12" s="76">
        <f>+'I-A-1'!I27</f>
        <v>0</v>
      </c>
      <c r="H12" s="76">
        <f>+'I-A-1'!J27</f>
        <v>0</v>
      </c>
      <c r="I12" s="76">
        <f>+'I-A-1'!K27</f>
        <v>0</v>
      </c>
      <c r="J12" s="76">
        <f>+'I-A-1'!L27</f>
        <v>0</v>
      </c>
      <c r="K12" s="76">
        <f>+'I-A-1'!M27</f>
        <v>0</v>
      </c>
      <c r="L12" s="76">
        <f>+'I-A-1'!N27</f>
        <v>0</v>
      </c>
      <c r="M12" s="76">
        <f>+'I-A-1'!O27</f>
        <v>0</v>
      </c>
    </row>
    <row r="13" spans="1:13" x14ac:dyDescent="0.2">
      <c r="A13" s="8" t="s">
        <v>26</v>
      </c>
      <c r="B13" s="76">
        <f>+'I-A-1'!D29</f>
        <v>94183571.75</v>
      </c>
      <c r="C13" s="76">
        <f>+'I-A-1'!E29</f>
        <v>32962474.130000003</v>
      </c>
      <c r="D13" s="76">
        <f>+'I-A-1'!F29</f>
        <v>127146045.88</v>
      </c>
      <c r="E13" s="76">
        <f>+'I-A-1'!G29</f>
        <v>44003243.119999997</v>
      </c>
      <c r="F13" s="76">
        <f>+'I-A-1'!H29</f>
        <v>373328.27</v>
      </c>
      <c r="G13" s="76">
        <f>+'I-A-1'!I29</f>
        <v>1755145.34</v>
      </c>
      <c r="H13" s="76">
        <f>+'I-A-1'!J29</f>
        <v>46131716.730000004</v>
      </c>
      <c r="I13" s="76">
        <f>+'I-A-1'!K29</f>
        <v>66812956.150000006</v>
      </c>
      <c r="J13" s="76">
        <f>+'I-A-1'!L29</f>
        <v>0</v>
      </c>
      <c r="K13" s="76">
        <f>+'I-A-1'!M29</f>
        <v>66812956.150000006</v>
      </c>
      <c r="L13" s="76">
        <f>+'I-A-1'!N29</f>
        <v>14115591</v>
      </c>
      <c r="M13" s="76">
        <f>+'I-A-1'!O29</f>
        <v>85782</v>
      </c>
    </row>
    <row r="15" spans="1:13" x14ac:dyDescent="0.2">
      <c r="A15" t="s">
        <v>19</v>
      </c>
      <c r="B15" s="41">
        <f>+B9+B11+B12-B13</f>
        <v>7088446236.4311619</v>
      </c>
      <c r="C15" s="41">
        <f t="shared" ref="C15:E15" si="0">+C9+C11+C12-C13</f>
        <v>722700753.78297436</v>
      </c>
      <c r="D15" s="41">
        <f t="shared" si="0"/>
        <v>7811146990.2141352</v>
      </c>
      <c r="E15" s="114">
        <f t="shared" si="0"/>
        <v>1757719468.85116</v>
      </c>
      <c r="F15" s="41">
        <f t="shared" ref="F15:M15" si="1">+F9+F11+F12-F13</f>
        <v>153398623.36116502</v>
      </c>
      <c r="G15" s="114">
        <f t="shared" si="1"/>
        <v>338120.02362699877</v>
      </c>
      <c r="H15" s="41">
        <f t="shared" si="1"/>
        <v>1911456212.2359519</v>
      </c>
      <c r="I15" s="41">
        <f t="shared" si="1"/>
        <v>5560092637.2491837</v>
      </c>
      <c r="J15" s="41">
        <f t="shared" si="1"/>
        <v>12691180.663816001</v>
      </c>
      <c r="K15" s="41">
        <f t="shared" si="1"/>
        <v>5572783817.9129982</v>
      </c>
      <c r="L15" s="41">
        <f t="shared" si="1"/>
        <v>205242613.15620071</v>
      </c>
      <c r="M15" s="41">
        <f t="shared" si="1"/>
        <v>121664346.90898402</v>
      </c>
    </row>
    <row r="17" spans="2:13" x14ac:dyDescent="0.2">
      <c r="B17" t="b">
        <f>+B15='I-A-1'!D31</f>
        <v>1</v>
      </c>
      <c r="C17" t="b">
        <f>+C15='I-A-1'!E31</f>
        <v>1</v>
      </c>
      <c r="D17" t="b">
        <f>+D15='I-A-1'!F31</f>
        <v>1</v>
      </c>
      <c r="E17" t="b">
        <f>+E15='I-A-1'!G31</f>
        <v>1</v>
      </c>
      <c r="F17" t="b">
        <f>+F15='I-A-1'!H31</f>
        <v>1</v>
      </c>
      <c r="G17" t="b">
        <f>+G15='I-A-1'!I31</f>
        <v>1</v>
      </c>
      <c r="H17" t="b">
        <f>+H15='I-A-1'!J31</f>
        <v>1</v>
      </c>
      <c r="I17" t="b">
        <f>+I15='I-A-1'!K31</f>
        <v>1</v>
      </c>
      <c r="J17" t="b">
        <f>+J15='I-A-1'!L31</f>
        <v>1</v>
      </c>
      <c r="K17" t="b">
        <f>+K15='I-A-1'!M31</f>
        <v>1</v>
      </c>
      <c r="L17" t="b">
        <f>+L15='I-A-1'!N31</f>
        <v>1</v>
      </c>
      <c r="M17" t="b">
        <f>+M15='I-A-1'!O31</f>
        <v>1</v>
      </c>
    </row>
  </sheetData>
  <phoneticPr fontId="3" type="noConversion"/>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A1:GT72"/>
  <sheetViews>
    <sheetView zoomScaleNormal="100" workbookViewId="0">
      <selection activeCell="E25" sqref="E25"/>
    </sheetView>
  </sheetViews>
  <sheetFormatPr defaultColWidth="9.140625" defaultRowHeight="12.75" x14ac:dyDescent="0.2"/>
  <cols>
    <col min="1" max="1" width="5.140625" style="52" bestFit="1" customWidth="1"/>
    <col min="2" max="2" width="49.42578125" style="52" bestFit="1" customWidth="1"/>
    <col min="3" max="3" width="11.7109375" style="52" customWidth="1"/>
    <col min="4" max="5" width="27.85546875" style="52" bestFit="1" customWidth="1"/>
    <col min="6" max="6" width="28.28515625" style="52" bestFit="1" customWidth="1"/>
    <col min="7" max="7" width="14" style="52" customWidth="1"/>
    <col min="8" max="9" width="13.28515625" style="52" customWidth="1"/>
    <col min="10" max="10" width="17.7109375" style="52" customWidth="1"/>
    <col min="11" max="11" width="11.42578125" style="52" customWidth="1"/>
    <col min="12" max="16384" width="9.140625" style="52"/>
  </cols>
  <sheetData>
    <row r="1" spans="1:202" x14ac:dyDescent="0.2">
      <c r="A1" s="7" t="str">
        <f>+'[2]Input Data'!$A$9</f>
        <v>2025 RATE CASE</v>
      </c>
    </row>
    <row r="2" spans="1:202" s="44" customFormat="1" x14ac:dyDescent="0.2">
      <c r="A2" s="10" t="str">
        <f>+'[2]Input Data'!$A$2</f>
        <v>ONCOR ELECTRIC DELIVERY COMPANY LLC</v>
      </c>
      <c r="B2" s="8"/>
      <c r="C2" s="6"/>
      <c r="D2" s="1"/>
      <c r="F2" s="45"/>
    </row>
    <row r="3" spans="1:202" s="44" customFormat="1" x14ac:dyDescent="0.2">
      <c r="A3" s="9" t="str">
        <f>CONCATENATE('[2]Schedule Sponsors'!$A$6," ",'[2]Schedule Sponsors'!$B$6)</f>
        <v xml:space="preserve">I-A COST OF SERVICE SUMMARY </v>
      </c>
      <c r="B3" s="46"/>
      <c r="C3" s="9"/>
      <c r="D3" s="6"/>
    </row>
    <row r="4" spans="1:202" s="44" customFormat="1" x14ac:dyDescent="0.2">
      <c r="A4" s="38" t="str">
        <f>+'[2]Input Data'!$A$4</f>
        <v>TEST YEAR ENDING DECEMBER 31, 2024</v>
      </c>
      <c r="B4" s="46"/>
      <c r="C4" s="10"/>
      <c r="D4" s="6"/>
    </row>
    <row r="5" spans="1:202" s="44" customFormat="1" x14ac:dyDescent="0.2">
      <c r="A5" s="9" t="str">
        <f>CONCATENATE("SPONSOR: ",'[2]Schedule Sponsors'!$D$6)</f>
        <v>SPONSOR: W. ALAN LEDBETTER &amp;&amp; M. TROXLE</v>
      </c>
      <c r="B5" s="46"/>
      <c r="C5" s="9"/>
      <c r="D5" s="6"/>
    </row>
    <row r="6" spans="1:202" s="44" customFormat="1" x14ac:dyDescent="0.2">
      <c r="B6" s="46"/>
      <c r="C6" s="9"/>
      <c r="D6" s="6"/>
    </row>
    <row r="7" spans="1:202" s="44" customFormat="1" x14ac:dyDescent="0.2">
      <c r="B7" s="46"/>
      <c r="C7" s="9"/>
      <c r="D7" s="6"/>
    </row>
    <row r="8" spans="1:202" s="44" customFormat="1" x14ac:dyDescent="0.2">
      <c r="A8" s="11"/>
      <c r="B8" s="8"/>
      <c r="C8" s="8"/>
      <c r="D8" s="8"/>
    </row>
    <row r="9" spans="1:202" s="49" customFormat="1" ht="13.5" thickBot="1" x14ac:dyDescent="0.25">
      <c r="A9" s="8"/>
      <c r="B9" s="8"/>
      <c r="C9" s="8"/>
      <c r="D9" s="5"/>
      <c r="E9" s="47"/>
      <c r="F9" s="47"/>
      <c r="G9" s="47"/>
      <c r="H9" s="47"/>
      <c r="I9" s="47"/>
      <c r="J9" s="47"/>
      <c r="K9" s="47"/>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48"/>
      <c r="BA9" s="48"/>
      <c r="BB9" s="48"/>
      <c r="BC9" s="48"/>
      <c r="BD9" s="48"/>
      <c r="BE9" s="48"/>
      <c r="BF9" s="48"/>
      <c r="BG9" s="48"/>
      <c r="BH9" s="48"/>
      <c r="BI9" s="48"/>
      <c r="BJ9" s="48"/>
      <c r="BK9" s="48"/>
      <c r="BL9" s="48"/>
      <c r="BM9" s="48"/>
      <c r="BN9" s="48"/>
      <c r="BO9" s="48"/>
      <c r="BP9" s="48"/>
      <c r="BQ9" s="48"/>
      <c r="BR9" s="48"/>
      <c r="BS9" s="48"/>
      <c r="BT9" s="48"/>
      <c r="BU9" s="48"/>
      <c r="BV9" s="48"/>
      <c r="BW9" s="48"/>
      <c r="BX9" s="48"/>
      <c r="BY9" s="48"/>
      <c r="BZ9" s="48"/>
      <c r="CA9" s="48"/>
      <c r="CB9" s="48"/>
      <c r="CC9" s="48"/>
      <c r="CD9" s="48"/>
      <c r="CE9" s="48"/>
      <c r="CF9" s="48"/>
      <c r="CG9" s="48"/>
      <c r="CH9" s="48"/>
      <c r="CI9" s="48"/>
      <c r="CJ9" s="48"/>
      <c r="CK9" s="48"/>
      <c r="CL9" s="48"/>
      <c r="CM9" s="48"/>
      <c r="CN9" s="48"/>
      <c r="CO9" s="48"/>
      <c r="CP9" s="48"/>
      <c r="CQ9" s="48"/>
      <c r="CR9" s="48"/>
      <c r="CS9" s="48"/>
      <c r="CT9" s="48"/>
      <c r="CU9" s="48"/>
      <c r="CV9" s="48"/>
      <c r="CW9" s="48"/>
      <c r="CX9" s="48"/>
      <c r="CY9" s="48"/>
      <c r="CZ9" s="48"/>
      <c r="DA9" s="48"/>
      <c r="DB9" s="48"/>
      <c r="DC9" s="48"/>
      <c r="DD9" s="48"/>
      <c r="DE9" s="48"/>
      <c r="DF9" s="48"/>
      <c r="DG9" s="48"/>
      <c r="DH9" s="48"/>
      <c r="DI9" s="48"/>
      <c r="DJ9" s="48"/>
      <c r="DK9" s="48"/>
      <c r="DL9" s="48"/>
      <c r="DM9" s="48"/>
      <c r="DN9" s="48"/>
      <c r="DO9" s="48"/>
      <c r="DP9" s="48"/>
      <c r="DQ9" s="48"/>
      <c r="DR9" s="48"/>
      <c r="DS9" s="48"/>
      <c r="DT9" s="48"/>
      <c r="DU9" s="48"/>
      <c r="DV9" s="48"/>
      <c r="DW9" s="48"/>
      <c r="DX9" s="48"/>
      <c r="DY9" s="48"/>
      <c r="DZ9" s="48"/>
      <c r="EA9" s="48"/>
      <c r="EB9" s="48"/>
      <c r="EC9" s="48"/>
      <c r="ED9" s="48"/>
      <c r="EE9" s="48"/>
      <c r="EF9" s="48"/>
      <c r="EG9" s="48"/>
      <c r="EH9" s="48"/>
      <c r="EI9" s="48"/>
      <c r="EJ9" s="48"/>
      <c r="EK9" s="48"/>
      <c r="EL9" s="48"/>
      <c r="EM9" s="48"/>
      <c r="EN9" s="48"/>
      <c r="EO9" s="48"/>
      <c r="EP9" s="48"/>
      <c r="EQ9" s="48"/>
      <c r="ER9" s="48"/>
      <c r="ES9" s="48"/>
      <c r="ET9" s="48"/>
      <c r="EU9" s="48"/>
      <c r="EV9" s="48"/>
      <c r="EW9" s="48"/>
      <c r="EX9" s="48"/>
      <c r="EY9" s="48"/>
      <c r="EZ9" s="48"/>
      <c r="FA9" s="48"/>
      <c r="FB9" s="48"/>
      <c r="FC9" s="48"/>
      <c r="FD9" s="48"/>
      <c r="FE9" s="48"/>
      <c r="FF9" s="48"/>
      <c r="FG9" s="48"/>
      <c r="FH9" s="48"/>
      <c r="FI9" s="48"/>
      <c r="FJ9" s="48"/>
      <c r="FK9" s="48"/>
      <c r="FL9" s="48"/>
      <c r="FM9" s="48"/>
      <c r="FN9" s="48"/>
      <c r="FO9" s="48"/>
      <c r="FP9" s="48"/>
      <c r="FQ9" s="48"/>
      <c r="FR9" s="48"/>
      <c r="FS9" s="48"/>
      <c r="FT9" s="48"/>
      <c r="FU9" s="48"/>
      <c r="FV9" s="48"/>
      <c r="FW9" s="48"/>
      <c r="FX9" s="48"/>
      <c r="FY9" s="48"/>
      <c r="FZ9" s="48"/>
      <c r="GA9" s="48"/>
      <c r="GB9" s="48"/>
      <c r="GC9" s="48"/>
      <c r="GD9" s="48"/>
      <c r="GE9" s="48"/>
      <c r="GF9" s="48"/>
      <c r="GG9" s="48"/>
      <c r="GH9" s="48"/>
      <c r="GI9" s="48"/>
      <c r="GJ9" s="48"/>
      <c r="GK9" s="48"/>
      <c r="GL9" s="48"/>
      <c r="GM9" s="48"/>
      <c r="GN9" s="48"/>
      <c r="GO9" s="48"/>
      <c r="GP9" s="48"/>
      <c r="GQ9" s="48"/>
      <c r="GR9" s="48"/>
      <c r="GS9" s="48"/>
      <c r="GT9" s="48"/>
    </row>
    <row r="10" spans="1:202" s="44" customFormat="1" x14ac:dyDescent="0.2">
      <c r="A10" s="16" t="s">
        <v>40</v>
      </c>
      <c r="B10" s="16"/>
      <c r="C10" s="16" t="s">
        <v>4</v>
      </c>
      <c r="D10" s="93" t="s">
        <v>58</v>
      </c>
      <c r="E10" s="93" t="s">
        <v>60</v>
      </c>
      <c r="F10" s="93" t="s">
        <v>58</v>
      </c>
    </row>
    <row r="11" spans="1:202" s="44" customFormat="1" x14ac:dyDescent="0.2">
      <c r="A11" s="17" t="s">
        <v>41</v>
      </c>
      <c r="B11" s="17" t="s">
        <v>1</v>
      </c>
      <c r="C11" s="17" t="s">
        <v>6</v>
      </c>
      <c r="D11" s="94" t="s">
        <v>59</v>
      </c>
      <c r="E11" s="94" t="s">
        <v>59</v>
      </c>
      <c r="F11" s="94" t="s">
        <v>61</v>
      </c>
    </row>
    <row r="12" spans="1:202" s="44" customFormat="1" ht="13.5" thickBot="1" x14ac:dyDescent="0.25">
      <c r="A12" s="37"/>
      <c r="B12" s="37" t="s">
        <v>30</v>
      </c>
      <c r="C12" s="37" t="s">
        <v>31</v>
      </c>
      <c r="D12" s="37" t="s">
        <v>32</v>
      </c>
      <c r="E12" s="95" t="s">
        <v>33</v>
      </c>
      <c r="F12" s="95" t="s">
        <v>34</v>
      </c>
    </row>
    <row r="13" spans="1:202" s="44" customFormat="1" x14ac:dyDescent="0.2">
      <c r="A13" s="34"/>
      <c r="B13" s="12"/>
      <c r="C13" s="12"/>
      <c r="D13" s="12"/>
    </row>
    <row r="14" spans="1:202" x14ac:dyDescent="0.2">
      <c r="A14" s="5">
        <v>1</v>
      </c>
      <c r="B14" s="4" t="s">
        <v>25</v>
      </c>
      <c r="C14" s="96"/>
      <c r="D14" s="149">
        <f>+'[1]WP I-A'!$B$15</f>
        <v>7029779369.4737921</v>
      </c>
      <c r="E14" s="151">
        <f>+F14-D14</f>
        <v>895822485.95652676</v>
      </c>
      <c r="F14" s="77">
        <f>+'I-A-1'!F48</f>
        <v>7925601855.4303188</v>
      </c>
      <c r="G14" s="50"/>
      <c r="H14" s="50"/>
      <c r="I14" s="50"/>
      <c r="J14" s="51"/>
      <c r="K14" s="51"/>
    </row>
    <row r="15" spans="1:202" x14ac:dyDescent="0.2">
      <c r="A15" s="28">
        <v>2</v>
      </c>
      <c r="B15" s="8"/>
      <c r="C15" s="5"/>
      <c r="D15" s="21"/>
      <c r="E15" s="50"/>
      <c r="F15" s="50"/>
      <c r="G15" s="50"/>
      <c r="H15" s="50"/>
      <c r="I15" s="50"/>
      <c r="J15" s="51"/>
      <c r="K15" s="51"/>
    </row>
    <row r="16" spans="1:202" x14ac:dyDescent="0.2">
      <c r="A16" s="5">
        <v>3</v>
      </c>
      <c r="B16" s="4" t="s">
        <v>530</v>
      </c>
      <c r="C16" s="14"/>
      <c r="D16" s="24"/>
      <c r="E16" s="107"/>
      <c r="F16" s="107"/>
      <c r="G16" s="50"/>
      <c r="H16" s="50"/>
      <c r="I16" s="50"/>
      <c r="J16" s="51"/>
      <c r="K16" s="51"/>
    </row>
    <row r="17" spans="1:11" x14ac:dyDescent="0.2">
      <c r="A17" s="5">
        <v>4</v>
      </c>
      <c r="B17" s="8"/>
      <c r="C17" s="5"/>
      <c r="D17" s="24"/>
      <c r="E17" s="50"/>
      <c r="F17" s="107"/>
      <c r="G17" s="50"/>
      <c r="H17" s="50"/>
      <c r="I17" s="50"/>
      <c r="J17" s="51"/>
      <c r="K17" s="51"/>
    </row>
    <row r="18" spans="1:11" x14ac:dyDescent="0.2">
      <c r="A18" s="28">
        <v>5</v>
      </c>
      <c r="B18" s="92" t="s">
        <v>531</v>
      </c>
      <c r="C18" s="5"/>
      <c r="D18" s="107"/>
      <c r="E18" s="107"/>
      <c r="F18" s="107"/>
      <c r="G18" s="50"/>
      <c r="H18" s="50"/>
      <c r="I18" s="50"/>
      <c r="J18" s="51"/>
      <c r="K18" s="51"/>
    </row>
    <row r="19" spans="1:11" x14ac:dyDescent="0.2">
      <c r="A19" s="5">
        <v>6</v>
      </c>
      <c r="B19" s="8"/>
      <c r="C19" s="5"/>
      <c r="D19" s="21"/>
      <c r="E19" s="50"/>
      <c r="F19" s="107"/>
      <c r="G19" s="50"/>
      <c r="H19" s="50"/>
      <c r="I19" s="50"/>
      <c r="J19" s="51"/>
      <c r="K19" s="51"/>
    </row>
    <row r="20" spans="1:11" x14ac:dyDescent="0.2">
      <c r="A20" s="5">
        <v>7</v>
      </c>
      <c r="B20" s="92" t="s">
        <v>532</v>
      </c>
      <c r="C20" s="5"/>
      <c r="D20" s="107"/>
      <c r="E20" s="107"/>
      <c r="F20" s="107"/>
      <c r="G20" s="50"/>
      <c r="H20" s="50"/>
      <c r="I20" s="50"/>
      <c r="J20" s="51"/>
      <c r="K20" s="51"/>
    </row>
    <row r="21" spans="1:11" x14ac:dyDescent="0.2">
      <c r="A21" s="28">
        <v>8</v>
      </c>
      <c r="B21" s="92"/>
      <c r="C21" s="5"/>
      <c r="D21" s="24"/>
      <c r="E21" s="50"/>
      <c r="F21" s="107"/>
      <c r="G21" s="50"/>
      <c r="H21" s="50"/>
      <c r="I21" s="50"/>
      <c r="J21" s="51"/>
      <c r="K21" s="51"/>
    </row>
    <row r="22" spans="1:11" s="56" customFormat="1" x14ac:dyDescent="0.2">
      <c r="A22" s="5">
        <v>9</v>
      </c>
      <c r="B22" s="92" t="s">
        <v>533</v>
      </c>
      <c r="C22" s="36"/>
      <c r="D22" s="78"/>
      <c r="E22" s="78"/>
      <c r="F22" s="78"/>
      <c r="G22" s="54"/>
      <c r="H22" s="54"/>
      <c r="I22" s="54"/>
      <c r="J22" s="55"/>
      <c r="K22" s="55"/>
    </row>
    <row r="23" spans="1:11" s="59" customFormat="1" x14ac:dyDescent="0.2">
      <c r="A23" s="5">
        <v>10</v>
      </c>
      <c r="B23" s="58"/>
      <c r="C23" s="97"/>
      <c r="D23" s="58"/>
      <c r="J23" s="60"/>
      <c r="K23" s="60"/>
    </row>
    <row r="24" spans="1:11" s="62" customFormat="1" x14ac:dyDescent="0.2">
      <c r="A24" s="28">
        <v>11</v>
      </c>
      <c r="B24" s="154"/>
      <c r="C24" s="98"/>
      <c r="D24" s="61"/>
      <c r="J24" s="63"/>
      <c r="K24" s="63"/>
    </row>
    <row r="25" spans="1:11" s="66" customFormat="1" x14ac:dyDescent="0.2">
      <c r="A25" s="28"/>
      <c r="B25" s="4"/>
      <c r="C25" s="99"/>
      <c r="D25" s="65"/>
      <c r="J25" s="67"/>
      <c r="K25" s="67"/>
    </row>
    <row r="26" spans="1:11" x14ac:dyDescent="0.2">
      <c r="A26" s="64"/>
      <c r="B26" s="4"/>
      <c r="C26" s="57"/>
      <c r="D26" s="57"/>
      <c r="E26" s="50"/>
      <c r="F26" s="50"/>
      <c r="G26" s="50"/>
      <c r="H26" s="50"/>
      <c r="I26" s="50"/>
      <c r="J26" s="51"/>
      <c r="K26" s="51"/>
    </row>
    <row r="27" spans="1:11" x14ac:dyDescent="0.2">
      <c r="A27" s="64"/>
      <c r="B27" s="4"/>
      <c r="C27" s="57"/>
      <c r="D27" s="57"/>
      <c r="E27" s="50"/>
      <c r="F27" s="50"/>
      <c r="G27" s="50"/>
      <c r="H27" s="50"/>
      <c r="I27" s="50"/>
      <c r="J27" s="51"/>
      <c r="K27" s="51"/>
    </row>
    <row r="28" spans="1:11" x14ac:dyDescent="0.2">
      <c r="A28" s="64"/>
      <c r="B28" s="4"/>
      <c r="C28" s="57"/>
      <c r="D28" s="57"/>
      <c r="E28" s="50"/>
      <c r="F28" s="50"/>
      <c r="G28" s="50"/>
      <c r="H28" s="50"/>
      <c r="I28" s="50"/>
      <c r="J28" s="51"/>
      <c r="K28" s="51"/>
    </row>
    <row r="29" spans="1:11" x14ac:dyDescent="0.2">
      <c r="A29" s="64"/>
      <c r="B29" s="4"/>
      <c r="C29" s="57"/>
      <c r="D29" s="57"/>
      <c r="E29" s="50"/>
      <c r="F29" s="50"/>
      <c r="G29" s="50"/>
      <c r="H29" s="50"/>
      <c r="I29" s="50"/>
      <c r="J29" s="51"/>
      <c r="K29" s="51"/>
    </row>
    <row r="30" spans="1:11" x14ac:dyDescent="0.2">
      <c r="A30" s="64"/>
      <c r="B30" s="4"/>
      <c r="C30" s="68"/>
      <c r="D30" s="68"/>
      <c r="E30" s="50"/>
      <c r="F30" s="50"/>
      <c r="G30" s="50"/>
      <c r="H30" s="50"/>
      <c r="I30" s="50"/>
      <c r="J30" s="51"/>
      <c r="K30" s="51"/>
    </row>
    <row r="31" spans="1:11" x14ac:dyDescent="0.2">
      <c r="A31" s="64"/>
      <c r="B31" s="4"/>
      <c r="C31" s="57"/>
      <c r="D31" s="57"/>
      <c r="E31" s="50"/>
      <c r="F31" s="50"/>
      <c r="G31" s="50"/>
      <c r="H31" s="50"/>
      <c r="I31" s="50"/>
      <c r="J31" s="51"/>
      <c r="K31" s="51"/>
    </row>
    <row r="32" spans="1:11" x14ac:dyDescent="0.2">
      <c r="A32" s="69"/>
      <c r="B32" s="57"/>
      <c r="C32" s="57"/>
      <c r="D32" s="57"/>
      <c r="E32" s="50"/>
      <c r="F32" s="50"/>
      <c r="G32" s="50"/>
      <c r="H32" s="50"/>
      <c r="I32" s="50"/>
      <c r="J32" s="51"/>
      <c r="K32" s="51"/>
    </row>
    <row r="33" spans="1:11" x14ac:dyDescent="0.2">
      <c r="A33" s="64"/>
      <c r="B33" s="70"/>
      <c r="C33" s="70"/>
      <c r="D33" s="70"/>
      <c r="E33" s="53"/>
      <c r="F33" s="53"/>
      <c r="G33" s="53"/>
      <c r="H33" s="53"/>
      <c r="I33" s="53"/>
      <c r="J33" s="51"/>
      <c r="K33" s="51"/>
    </row>
    <row r="34" spans="1:11" s="59" customFormat="1" x14ac:dyDescent="0.2">
      <c r="A34" s="64"/>
      <c r="B34" s="57"/>
      <c r="C34" s="57"/>
      <c r="D34" s="57"/>
      <c r="J34" s="60"/>
      <c r="K34" s="60"/>
    </row>
    <row r="35" spans="1:11" s="66" customFormat="1" x14ac:dyDescent="0.2">
      <c r="A35" s="64"/>
      <c r="B35" s="65"/>
      <c r="C35" s="65"/>
      <c r="D35" s="65"/>
      <c r="J35" s="67"/>
      <c r="K35" s="67"/>
    </row>
    <row r="36" spans="1:11" x14ac:dyDescent="0.2">
      <c r="A36" s="64"/>
      <c r="B36" s="57"/>
      <c r="C36" s="57"/>
      <c r="D36" s="57"/>
      <c r="E36" s="50"/>
      <c r="F36" s="50"/>
      <c r="G36" s="50"/>
      <c r="H36" s="50"/>
      <c r="I36" s="50"/>
      <c r="J36" s="51"/>
      <c r="K36" s="51"/>
    </row>
    <row r="37" spans="1:11" x14ac:dyDescent="0.2">
      <c r="A37" s="64"/>
      <c r="B37" s="57"/>
      <c r="C37" s="57"/>
      <c r="D37" s="57"/>
      <c r="E37" s="50"/>
      <c r="F37" s="50"/>
      <c r="G37" s="50"/>
      <c r="H37" s="50"/>
      <c r="I37" s="50"/>
      <c r="J37" s="51"/>
      <c r="K37" s="51"/>
    </row>
    <row r="38" spans="1:11" x14ac:dyDescent="0.2">
      <c r="A38" s="64"/>
      <c r="B38" s="57"/>
      <c r="C38" s="57"/>
      <c r="D38" s="57"/>
      <c r="E38" s="50"/>
      <c r="F38" s="50"/>
      <c r="G38" s="50"/>
      <c r="H38" s="50"/>
      <c r="I38" s="50"/>
      <c r="J38" s="51"/>
      <c r="K38" s="51"/>
    </row>
    <row r="39" spans="1:11" x14ac:dyDescent="0.2">
      <c r="A39" s="64"/>
      <c r="B39" s="57"/>
      <c r="C39" s="57"/>
      <c r="D39" s="57"/>
      <c r="E39" s="50"/>
      <c r="F39" s="50"/>
      <c r="G39" s="50"/>
      <c r="H39" s="50"/>
      <c r="I39" s="50"/>
      <c r="J39" s="51"/>
      <c r="K39" s="51"/>
    </row>
    <row r="40" spans="1:11" x14ac:dyDescent="0.2">
      <c r="A40" s="64"/>
      <c r="B40" s="57"/>
      <c r="C40" s="57"/>
      <c r="D40" s="57"/>
      <c r="E40" s="50"/>
      <c r="F40" s="50"/>
      <c r="G40" s="50"/>
      <c r="H40" s="50"/>
      <c r="I40" s="50"/>
      <c r="J40" s="51"/>
      <c r="K40" s="51"/>
    </row>
    <row r="41" spans="1:11" x14ac:dyDescent="0.2">
      <c r="A41" s="64"/>
      <c r="B41" s="70"/>
      <c r="C41" s="70"/>
      <c r="D41" s="70"/>
      <c r="E41" s="53"/>
      <c r="F41" s="53"/>
      <c r="G41" s="53"/>
      <c r="H41" s="53"/>
      <c r="I41" s="53"/>
      <c r="J41" s="51"/>
      <c r="K41" s="51"/>
    </row>
    <row r="42" spans="1:11" s="59" customFormat="1" x14ac:dyDescent="0.2">
      <c r="A42" s="64"/>
      <c r="B42" s="57"/>
      <c r="C42" s="57"/>
      <c r="D42" s="57"/>
      <c r="J42" s="60"/>
      <c r="K42" s="60"/>
    </row>
    <row r="43" spans="1:11" s="62" customFormat="1" x14ac:dyDescent="0.2">
      <c r="A43" s="71"/>
      <c r="B43" s="72"/>
      <c r="C43" s="72"/>
      <c r="D43" s="72"/>
      <c r="J43" s="63"/>
      <c r="K43" s="63"/>
    </row>
    <row r="44" spans="1:11" s="66" customFormat="1" x14ac:dyDescent="0.2">
      <c r="A44" s="64"/>
      <c r="B44" s="65"/>
      <c r="C44" s="65"/>
      <c r="D44" s="65"/>
      <c r="J44" s="67"/>
      <c r="K44" s="67"/>
    </row>
    <row r="45" spans="1:11" x14ac:dyDescent="0.2">
      <c r="A45" s="69"/>
      <c r="B45" s="57"/>
      <c r="C45" s="57"/>
      <c r="D45" s="57"/>
      <c r="E45" s="50"/>
      <c r="F45" s="50"/>
      <c r="G45" s="50"/>
      <c r="H45" s="50"/>
      <c r="I45" s="50"/>
      <c r="J45" s="51"/>
      <c r="K45" s="51"/>
    </row>
    <row r="46" spans="1:11" x14ac:dyDescent="0.2">
      <c r="A46" s="69"/>
      <c r="B46" s="68"/>
      <c r="C46" s="68"/>
      <c r="D46" s="68"/>
      <c r="E46" s="50"/>
      <c r="F46" s="50"/>
      <c r="G46" s="50"/>
      <c r="H46" s="50"/>
      <c r="I46" s="50"/>
      <c r="J46" s="51"/>
      <c r="K46" s="51"/>
    </row>
    <row r="47" spans="1:11" x14ac:dyDescent="0.2">
      <c r="A47" s="64"/>
      <c r="B47" s="57"/>
      <c r="C47" s="57"/>
      <c r="D47" s="57"/>
      <c r="E47" s="50"/>
      <c r="F47" s="50"/>
      <c r="G47" s="50"/>
      <c r="H47" s="50"/>
      <c r="I47" s="50"/>
      <c r="J47" s="51"/>
      <c r="K47" s="51"/>
    </row>
    <row r="48" spans="1:11" x14ac:dyDescent="0.2">
      <c r="A48" s="64"/>
      <c r="B48" s="57"/>
      <c r="C48" s="57"/>
      <c r="D48" s="57"/>
      <c r="E48" s="50"/>
      <c r="F48" s="50"/>
      <c r="G48" s="50"/>
      <c r="H48" s="50"/>
      <c r="I48" s="50"/>
      <c r="J48" s="51"/>
      <c r="K48" s="51"/>
    </row>
    <row r="49" spans="1:11" x14ac:dyDescent="0.2">
      <c r="A49" s="64"/>
      <c r="B49" s="68"/>
      <c r="C49" s="68"/>
      <c r="D49" s="68"/>
      <c r="E49" s="50"/>
      <c r="F49" s="50"/>
      <c r="G49" s="50"/>
      <c r="H49" s="50"/>
      <c r="I49" s="50"/>
      <c r="J49" s="51"/>
      <c r="K49" s="51"/>
    </row>
    <row r="50" spans="1:11" x14ac:dyDescent="0.2">
      <c r="A50" s="64"/>
      <c r="B50" s="57"/>
      <c r="C50" s="57"/>
      <c r="D50" s="57"/>
      <c r="E50" s="50"/>
      <c r="F50" s="50"/>
      <c r="G50" s="50"/>
      <c r="H50" s="50"/>
      <c r="I50" s="50"/>
      <c r="J50" s="51"/>
      <c r="K50" s="51"/>
    </row>
    <row r="51" spans="1:11" x14ac:dyDescent="0.2">
      <c r="A51" s="69"/>
      <c r="B51" s="70"/>
      <c r="C51" s="70"/>
      <c r="D51" s="70"/>
      <c r="E51" s="53"/>
      <c r="F51" s="53"/>
      <c r="G51" s="53"/>
      <c r="H51" s="53"/>
      <c r="I51" s="53"/>
      <c r="J51" s="51"/>
      <c r="K51" s="51"/>
    </row>
    <row r="52" spans="1:11" s="59" customFormat="1" x14ac:dyDescent="0.2">
      <c r="A52" s="64"/>
      <c r="B52" s="70"/>
      <c r="C52" s="70"/>
      <c r="D52" s="70"/>
      <c r="J52" s="60"/>
      <c r="K52" s="60"/>
    </row>
    <row r="53" spans="1:11" s="66" customFormat="1" x14ac:dyDescent="0.2">
      <c r="A53" s="64"/>
      <c r="B53" s="65"/>
      <c r="C53" s="65"/>
      <c r="D53" s="65"/>
      <c r="J53" s="67"/>
      <c r="K53" s="67"/>
    </row>
    <row r="54" spans="1:11" x14ac:dyDescent="0.2">
      <c r="A54" s="69"/>
      <c r="B54" s="57"/>
      <c r="C54" s="57"/>
      <c r="D54" s="57"/>
      <c r="E54" s="50"/>
      <c r="F54" s="50"/>
      <c r="G54" s="50"/>
      <c r="H54" s="50"/>
      <c r="I54" s="50"/>
      <c r="J54" s="51"/>
      <c r="K54" s="51"/>
    </row>
    <row r="55" spans="1:11" x14ac:dyDescent="0.2">
      <c r="A55" s="69"/>
      <c r="B55" s="57"/>
      <c r="C55" s="57"/>
      <c r="D55" s="57"/>
      <c r="E55" s="50"/>
      <c r="F55" s="50"/>
      <c r="G55" s="50"/>
      <c r="H55" s="50"/>
      <c r="I55" s="50"/>
      <c r="J55" s="51"/>
      <c r="K55" s="51"/>
    </row>
    <row r="56" spans="1:11" x14ac:dyDescent="0.2">
      <c r="A56" s="69"/>
      <c r="B56" s="68"/>
      <c r="C56" s="68"/>
      <c r="D56" s="68"/>
      <c r="E56" s="50"/>
      <c r="F56" s="50"/>
      <c r="G56" s="50"/>
      <c r="H56" s="50"/>
      <c r="I56" s="50"/>
      <c r="J56" s="51"/>
      <c r="K56" s="51"/>
    </row>
    <row r="57" spans="1:11" x14ac:dyDescent="0.2">
      <c r="A57" s="69"/>
      <c r="B57" s="57"/>
      <c r="C57" s="57"/>
      <c r="D57" s="57"/>
      <c r="E57" s="50"/>
      <c r="F57" s="50"/>
      <c r="G57" s="50"/>
      <c r="H57" s="50"/>
      <c r="I57" s="50"/>
      <c r="J57" s="51"/>
      <c r="K57" s="51"/>
    </row>
    <row r="58" spans="1:11" x14ac:dyDescent="0.2">
      <c r="A58" s="69"/>
      <c r="B58" s="68"/>
      <c r="C58" s="68"/>
      <c r="D58" s="68"/>
      <c r="E58" s="50"/>
      <c r="F58" s="50"/>
      <c r="G58" s="50"/>
      <c r="H58" s="50"/>
      <c r="I58" s="50"/>
      <c r="J58" s="51"/>
      <c r="K58" s="51"/>
    </row>
    <row r="59" spans="1:11" x14ac:dyDescent="0.2">
      <c r="A59" s="64"/>
      <c r="B59" s="70"/>
      <c r="C59" s="70"/>
      <c r="D59" s="70"/>
      <c r="E59" s="53"/>
      <c r="F59" s="53"/>
      <c r="G59" s="53"/>
      <c r="H59" s="53"/>
      <c r="I59" s="53"/>
      <c r="J59" s="51"/>
      <c r="K59" s="51"/>
    </row>
    <row r="60" spans="1:11" s="59" customFormat="1" x14ac:dyDescent="0.2">
      <c r="A60" s="64"/>
      <c r="B60" s="57"/>
      <c r="C60" s="57"/>
      <c r="D60" s="57"/>
      <c r="J60" s="60"/>
      <c r="K60" s="60"/>
    </row>
    <row r="61" spans="1:11" s="62" customFormat="1" x14ac:dyDescent="0.2">
      <c r="A61" s="64"/>
      <c r="B61" s="72"/>
      <c r="C61" s="72"/>
      <c r="D61" s="72"/>
      <c r="J61" s="63"/>
      <c r="K61" s="63"/>
    </row>
    <row r="62" spans="1:11" s="66" customFormat="1" x14ac:dyDescent="0.2">
      <c r="A62" s="64"/>
      <c r="B62" s="65"/>
      <c r="C62" s="65"/>
      <c r="D62" s="65"/>
      <c r="J62" s="67"/>
      <c r="K62" s="67"/>
    </row>
    <row r="63" spans="1:11" x14ac:dyDescent="0.2">
      <c r="A63" s="64"/>
      <c r="B63" s="57"/>
      <c r="C63" s="57"/>
      <c r="D63" s="57"/>
      <c r="E63" s="50"/>
      <c r="F63" s="50"/>
      <c r="G63" s="50"/>
      <c r="H63" s="50"/>
      <c r="I63" s="50"/>
      <c r="J63" s="51"/>
      <c r="K63" s="51"/>
    </row>
    <row r="64" spans="1:11" x14ac:dyDescent="0.2">
      <c r="A64" s="64"/>
      <c r="B64" s="57"/>
      <c r="C64" s="57"/>
      <c r="D64" s="57"/>
      <c r="E64" s="50"/>
      <c r="F64" s="50"/>
      <c r="G64" s="50"/>
      <c r="H64" s="50"/>
      <c r="I64" s="50"/>
      <c r="J64" s="51"/>
      <c r="K64" s="51"/>
    </row>
    <row r="65" spans="1:11" x14ac:dyDescent="0.2">
      <c r="A65" s="64"/>
      <c r="B65" s="57"/>
      <c r="C65" s="57"/>
      <c r="D65" s="57"/>
      <c r="E65" s="50"/>
      <c r="F65" s="50"/>
      <c r="G65" s="50"/>
      <c r="H65" s="50"/>
      <c r="I65" s="50"/>
      <c r="J65" s="51"/>
      <c r="K65" s="51"/>
    </row>
    <row r="66" spans="1:11" x14ac:dyDescent="0.2">
      <c r="A66" s="64"/>
      <c r="B66" s="57"/>
      <c r="C66" s="57"/>
      <c r="D66" s="57"/>
      <c r="E66" s="50"/>
      <c r="F66" s="50"/>
      <c r="G66" s="50"/>
      <c r="H66" s="50"/>
      <c r="I66" s="50"/>
      <c r="J66" s="51"/>
      <c r="K66" s="51"/>
    </row>
    <row r="67" spans="1:11" x14ac:dyDescent="0.2">
      <c r="A67" s="64"/>
      <c r="B67" s="57"/>
      <c r="C67" s="57"/>
      <c r="D67" s="57"/>
      <c r="E67" s="50"/>
      <c r="F67" s="50"/>
      <c r="G67" s="50"/>
      <c r="H67" s="50"/>
      <c r="I67" s="50"/>
      <c r="J67" s="51"/>
      <c r="K67" s="51"/>
    </row>
    <row r="68" spans="1:11" x14ac:dyDescent="0.2">
      <c r="A68" s="64"/>
      <c r="B68" s="70"/>
      <c r="C68" s="70"/>
      <c r="D68" s="70"/>
      <c r="E68" s="53"/>
      <c r="F68" s="53"/>
      <c r="G68" s="53"/>
      <c r="H68" s="53"/>
      <c r="I68" s="53"/>
      <c r="J68" s="51"/>
      <c r="K68" s="51"/>
    </row>
    <row r="69" spans="1:11" s="59" customFormat="1" x14ac:dyDescent="0.2">
      <c r="A69" s="64"/>
      <c r="B69" s="57"/>
      <c r="C69" s="57"/>
      <c r="D69" s="57"/>
      <c r="J69" s="60"/>
      <c r="K69" s="60"/>
    </row>
    <row r="70" spans="1:11" s="66" customFormat="1" x14ac:dyDescent="0.2">
      <c r="A70" s="64"/>
      <c r="B70" s="65"/>
      <c r="C70" s="65"/>
      <c r="D70" s="65"/>
      <c r="J70" s="67"/>
      <c r="K70" s="67"/>
    </row>
    <row r="71" spans="1:11" x14ac:dyDescent="0.2">
      <c r="A71" s="64"/>
      <c r="B71" s="57"/>
      <c r="C71" s="57"/>
      <c r="D71" s="57"/>
      <c r="E71" s="50"/>
      <c r="F71" s="50"/>
      <c r="G71" s="50"/>
      <c r="H71" s="50"/>
      <c r="I71" s="50"/>
      <c r="J71" s="51"/>
      <c r="K71" s="51"/>
    </row>
    <row r="72" spans="1:11" x14ac:dyDescent="0.2">
      <c r="A72" s="64"/>
      <c r="B72" s="68"/>
      <c r="C72" s="68"/>
      <c r="D72" s="68"/>
      <c r="E72" s="50"/>
      <c r="F72" s="50"/>
      <c r="G72" s="50"/>
      <c r="H72" s="50"/>
      <c r="I72" s="50"/>
      <c r="J72" s="51"/>
      <c r="K72" s="51"/>
    </row>
  </sheetData>
  <phoneticPr fontId="3" type="noConversion"/>
  <printOptions horizontalCentered="1"/>
  <pageMargins left="0.5" right="0.5" top="3" bottom="0.5" header="1.5" footer="0.25"/>
  <pageSetup scale="65" pageOrder="overThenDown" orientation="landscape"/>
  <headerFooter alignWithMargins="0">
    <oddHeader>&amp;R&amp;"Arial,Bold"Schedule &amp;A
Page &amp;P of &amp;N&amp;C&amp;B
2025 RATE CASE
ONCOR ELECTRIC DELIVERY COMPANY LLC
I-A COST OF SERVICE SUMMARY 
TEST YEAR ENDING DECEMBER 31, 2024
SPONSOR: W. ALAN LEDBETTER &amp;&amp; M. TROXLE</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HE81"/>
  <sheetViews>
    <sheetView tabSelected="1" zoomScale="85" zoomScaleNormal="85" workbookViewId="0">
      <pane xSplit="2" ySplit="14" topLeftCell="C24" activePane="bottomRight" state="frozen"/>
      <selection activeCell="B25" sqref="B25"/>
      <selection pane="topRight" activeCell="B25" sqref="B25"/>
      <selection pane="bottomLeft" activeCell="B25" sqref="B25"/>
      <selection pane="bottomRight" activeCell="N47" sqref="N47"/>
    </sheetView>
  </sheetViews>
  <sheetFormatPr defaultColWidth="9.140625" defaultRowHeight="12.75" x14ac:dyDescent="0.2"/>
  <cols>
    <col min="1" max="1" width="5.7109375" style="1" customWidth="1"/>
    <col min="2" max="2" width="41.42578125" style="1" bestFit="1" customWidth="1"/>
    <col min="3" max="3" width="10.28515625" style="1" bestFit="1" customWidth="1"/>
    <col min="4" max="4" width="16.7109375" style="1" bestFit="1" customWidth="1"/>
    <col min="5" max="5" width="15.85546875" style="1" bestFit="1" customWidth="1"/>
    <col min="6" max="6" width="16.7109375" style="1" bestFit="1" customWidth="1"/>
    <col min="7" max="7" width="16.28515625" style="19" bestFit="1" customWidth="1"/>
    <col min="8" max="9" width="15.28515625" style="19" customWidth="1"/>
    <col min="10" max="10" width="16.28515625" style="19" bestFit="1" customWidth="1"/>
    <col min="11" max="11" width="16.5703125" style="1" bestFit="1" customWidth="1"/>
    <col min="12" max="13" width="16.5703125" style="1" customWidth="1"/>
    <col min="14" max="14" width="15" style="1" bestFit="1" customWidth="1"/>
    <col min="15" max="15" width="15.140625" style="1" bestFit="1" customWidth="1"/>
    <col min="16" max="16" width="16.5703125" style="1" bestFit="1" customWidth="1"/>
    <col min="17" max="17" width="2.7109375" style="82" customWidth="1"/>
    <col min="18" max="18" width="14" style="1" customWidth="1"/>
    <col min="19" max="19" width="14.85546875" style="1" bestFit="1" customWidth="1"/>
    <col min="20" max="20" width="15" style="1" bestFit="1" customWidth="1"/>
    <col min="21" max="21" width="17.7109375" style="1" customWidth="1"/>
    <col min="22" max="22" width="11.42578125" style="1" customWidth="1"/>
    <col min="23" max="16384" width="9.140625" style="1"/>
  </cols>
  <sheetData>
    <row r="1" spans="1:213" x14ac:dyDescent="0.2">
      <c r="A1" s="7" t="str">
        <f>+'[2]Input Data'!$A$9</f>
        <v>2025 RATE CASE</v>
      </c>
    </row>
    <row r="2" spans="1:213" x14ac:dyDescent="0.2">
      <c r="A2" s="10" t="str">
        <f>+'[2]Input Data'!$A$2</f>
        <v>ONCOR ELECTRIC DELIVERY COMPANY LLC</v>
      </c>
      <c r="B2" s="8"/>
      <c r="C2" s="6"/>
      <c r="G2" s="5"/>
      <c r="H2" s="5"/>
      <c r="I2" s="5"/>
      <c r="J2" s="5"/>
      <c r="K2" s="8"/>
      <c r="L2" s="8"/>
      <c r="M2" s="8"/>
      <c r="N2" s="8"/>
      <c r="O2" s="8"/>
      <c r="P2" s="8"/>
    </row>
    <row r="3" spans="1:213" x14ac:dyDescent="0.2">
      <c r="A3" s="9" t="str">
        <f>CONCATENATE('[2]Schedule Sponsors'!$A$7," ",'[2]Schedule Sponsors'!$B$7)</f>
        <v>I-A-1 TOTAL  COST OF SERVICE BY FUNCTION</v>
      </c>
      <c r="B3" s="8"/>
      <c r="C3" s="9"/>
      <c r="D3" s="6"/>
      <c r="E3" s="6"/>
      <c r="F3" s="18"/>
    </row>
    <row r="4" spans="1:213" x14ac:dyDescent="0.2">
      <c r="A4" s="38" t="str">
        <f>+'[2]Input Data'!$A$4</f>
        <v>TEST YEAR ENDING DECEMBER 31, 2024</v>
      </c>
      <c r="B4" s="8"/>
      <c r="C4" s="10"/>
      <c r="D4" s="6"/>
      <c r="E4" s="6"/>
      <c r="F4" s="18"/>
    </row>
    <row r="5" spans="1:213" x14ac:dyDescent="0.2">
      <c r="A5" s="9" t="str">
        <f>CONCATENATE("SPONSOR: ",'[2]Schedule Sponsors'!$D$7)</f>
        <v>SPONSOR: W. ALAN LEDBETTER &amp;&amp; R. PRACHYL</v>
      </c>
      <c r="B5" s="8"/>
      <c r="C5" s="9"/>
      <c r="D5" s="6"/>
      <c r="E5" s="9"/>
    </row>
    <row r="6" spans="1:213" x14ac:dyDescent="0.2">
      <c r="A6" s="9"/>
      <c r="B6" s="8"/>
      <c r="C6" s="9"/>
      <c r="D6" s="6"/>
      <c r="E6" s="9"/>
    </row>
    <row r="7" spans="1:213" x14ac:dyDescent="0.2">
      <c r="A7" s="7"/>
      <c r="B7" s="8"/>
      <c r="C7" s="9"/>
      <c r="D7" s="6"/>
      <c r="E7" s="9"/>
      <c r="F7" s="159"/>
      <c r="G7" s="160"/>
      <c r="H7" s="160"/>
      <c r="I7" s="160"/>
      <c r="J7" s="160"/>
      <c r="K7" s="160"/>
      <c r="L7" s="160"/>
      <c r="M7" s="160"/>
      <c r="N7" s="160"/>
      <c r="O7" s="160"/>
    </row>
    <row r="8" spans="1:213" x14ac:dyDescent="0.2">
      <c r="B8" s="8"/>
      <c r="C8" s="9"/>
      <c r="D8" s="6"/>
      <c r="E8" s="9"/>
      <c r="F8" s="167"/>
      <c r="G8" s="167"/>
      <c r="H8" s="167"/>
      <c r="I8" s="167"/>
      <c r="J8" s="167"/>
      <c r="K8" s="167"/>
      <c r="L8" s="167"/>
      <c r="M8" s="167"/>
      <c r="N8" s="167"/>
      <c r="O8" s="167"/>
      <c r="P8" s="167"/>
    </row>
    <row r="9" spans="1:213" x14ac:dyDescent="0.2">
      <c r="A9" s="11"/>
      <c r="B9" s="6"/>
      <c r="C9" s="8"/>
      <c r="D9" s="8"/>
      <c r="E9" s="8"/>
      <c r="F9" s="8"/>
    </row>
    <row r="10" spans="1:213" s="8" customFormat="1" ht="13.5" thickBot="1" x14ac:dyDescent="0.25">
      <c r="D10" s="5"/>
      <c r="E10" s="5"/>
      <c r="F10" s="5"/>
      <c r="G10" s="5"/>
      <c r="H10" s="5"/>
      <c r="I10" s="5"/>
      <c r="J10" s="5"/>
      <c r="K10" s="14"/>
      <c r="L10" s="14"/>
      <c r="M10" s="14"/>
      <c r="N10" s="5"/>
      <c r="O10" s="5"/>
      <c r="P10" s="14"/>
      <c r="Q10" s="83"/>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row>
    <row r="11" spans="1:213" x14ac:dyDescent="0.2">
      <c r="A11" s="15"/>
      <c r="B11" s="16"/>
      <c r="C11" s="16"/>
      <c r="D11" s="16" t="s">
        <v>47</v>
      </c>
      <c r="E11" s="16" t="s">
        <v>44</v>
      </c>
      <c r="F11" s="16" t="s">
        <v>46</v>
      </c>
      <c r="G11" s="16" t="s">
        <v>2</v>
      </c>
      <c r="H11" s="93" t="s">
        <v>62</v>
      </c>
      <c r="I11" s="93" t="s">
        <v>72</v>
      </c>
      <c r="J11" s="16"/>
      <c r="K11" s="33" t="s">
        <v>3</v>
      </c>
      <c r="L11" s="113" t="s">
        <v>62</v>
      </c>
      <c r="M11" s="33"/>
      <c r="N11" s="33" t="s">
        <v>20</v>
      </c>
      <c r="O11" s="16" t="s">
        <v>52</v>
      </c>
      <c r="P11" s="33"/>
      <c r="Q11" s="84"/>
      <c r="R11" s="20"/>
      <c r="S11" s="20"/>
      <c r="T11" s="20"/>
    </row>
    <row r="12" spans="1:213" x14ac:dyDescent="0.2">
      <c r="A12" s="17" t="s">
        <v>40</v>
      </c>
      <c r="B12" s="17"/>
      <c r="C12" s="17" t="s">
        <v>4</v>
      </c>
      <c r="D12" s="17" t="s">
        <v>48</v>
      </c>
      <c r="E12" s="17" t="s">
        <v>45</v>
      </c>
      <c r="F12" s="17" t="s">
        <v>48</v>
      </c>
      <c r="G12" s="17" t="s">
        <v>5</v>
      </c>
      <c r="H12" s="94" t="s">
        <v>63</v>
      </c>
      <c r="I12" s="94" t="s">
        <v>73</v>
      </c>
      <c r="J12" s="94" t="s">
        <v>67</v>
      </c>
      <c r="K12" s="17" t="s">
        <v>5</v>
      </c>
      <c r="L12" s="94" t="s">
        <v>65</v>
      </c>
      <c r="M12" s="94" t="s">
        <v>67</v>
      </c>
      <c r="N12" s="17" t="s">
        <v>5</v>
      </c>
      <c r="O12" s="17" t="s">
        <v>5</v>
      </c>
      <c r="P12" s="17" t="s">
        <v>7</v>
      </c>
    </row>
    <row r="13" spans="1:213" ht="13.5" thickBot="1" x14ac:dyDescent="0.25">
      <c r="A13" s="17" t="s">
        <v>41</v>
      </c>
      <c r="B13" s="17" t="s">
        <v>1</v>
      </c>
      <c r="C13" s="17" t="s">
        <v>6</v>
      </c>
      <c r="D13" s="17" t="s">
        <v>8</v>
      </c>
      <c r="E13" s="17" t="s">
        <v>23</v>
      </c>
      <c r="F13" s="17" t="s">
        <v>8</v>
      </c>
      <c r="G13" s="17" t="s">
        <v>21</v>
      </c>
      <c r="H13" s="94" t="s">
        <v>64</v>
      </c>
      <c r="I13" s="94"/>
      <c r="J13" s="94" t="s">
        <v>63</v>
      </c>
      <c r="K13" s="17" t="s">
        <v>11</v>
      </c>
      <c r="L13" s="94" t="s">
        <v>66</v>
      </c>
      <c r="M13" s="94" t="s">
        <v>65</v>
      </c>
      <c r="N13" s="17" t="s">
        <v>22</v>
      </c>
      <c r="O13" s="17" t="s">
        <v>43</v>
      </c>
      <c r="P13" s="17" t="s">
        <v>10</v>
      </c>
    </row>
    <row r="14" spans="1:213" x14ac:dyDescent="0.2">
      <c r="A14" s="43"/>
      <c r="B14" s="42" t="s">
        <v>30</v>
      </c>
      <c r="C14" s="42" t="s">
        <v>31</v>
      </c>
      <c r="D14" s="42" t="s">
        <v>32</v>
      </c>
      <c r="E14" s="42" t="s">
        <v>33</v>
      </c>
      <c r="F14" s="42" t="s">
        <v>34</v>
      </c>
      <c r="G14" s="42" t="s">
        <v>35</v>
      </c>
      <c r="H14" s="90" t="s">
        <v>36</v>
      </c>
      <c r="I14" s="90" t="s">
        <v>37</v>
      </c>
      <c r="J14" s="90" t="s">
        <v>38</v>
      </c>
      <c r="K14" s="90" t="s">
        <v>39</v>
      </c>
      <c r="L14" s="90" t="s">
        <v>51</v>
      </c>
      <c r="M14" s="90" t="s">
        <v>68</v>
      </c>
      <c r="N14" s="90" t="s">
        <v>69</v>
      </c>
      <c r="O14" s="90" t="s">
        <v>70</v>
      </c>
      <c r="P14" s="90" t="s">
        <v>71</v>
      </c>
    </row>
    <row r="15" spans="1:213" x14ac:dyDescent="0.2">
      <c r="A15" s="8"/>
      <c r="B15" s="30"/>
      <c r="C15" s="30"/>
      <c r="D15" s="30"/>
      <c r="E15" s="30"/>
      <c r="F15" s="30"/>
      <c r="G15" s="5"/>
      <c r="H15" s="5"/>
      <c r="I15" s="5"/>
      <c r="J15" s="5"/>
      <c r="K15" s="21"/>
      <c r="L15" s="21"/>
      <c r="M15" s="21"/>
      <c r="N15" s="21"/>
      <c r="O15" s="21"/>
      <c r="P15" s="21"/>
      <c r="Q15" s="85"/>
    </row>
    <row r="16" spans="1:213" x14ac:dyDescent="0.2">
      <c r="A16" s="28">
        <v>1</v>
      </c>
      <c r="B16" s="13" t="s">
        <v>12</v>
      </c>
      <c r="C16" s="5" t="s">
        <v>42</v>
      </c>
      <c r="D16" s="155">
        <f>ROUND(+'[6]Link Sheet'!G79,2)</f>
        <v>3304990861.8000002</v>
      </c>
      <c r="E16" s="155">
        <f>ROUND(+'[6]Link Sheet'!H79,2)</f>
        <v>493586912.30000001</v>
      </c>
      <c r="F16" s="155">
        <f>ROUND(+'[6]Link Sheet'!I79,2)</f>
        <v>3798577774.0999999</v>
      </c>
      <c r="G16" s="155">
        <f>ROUND(+'[6]Link Sheet'!J79,2)</f>
        <v>281417380.88999999</v>
      </c>
      <c r="H16" s="155">
        <f>ROUND(+'[6]Link Sheet'!K79,2)</f>
        <v>8707411.9800000004</v>
      </c>
      <c r="I16" s="155">
        <f>ROUND(+'[6]Link Sheet'!L79,2)</f>
        <v>475836.37</v>
      </c>
      <c r="J16" s="155">
        <f>SUM(G16:I16)</f>
        <v>290600629.24000001</v>
      </c>
      <c r="K16" s="155">
        <f>ROUND(+'[6]Link Sheet'!N79,2)</f>
        <v>3328439803.2399998</v>
      </c>
      <c r="L16" s="155">
        <f>ROUND(+'[6]Link Sheet'!O79,2)</f>
        <v>983223.52</v>
      </c>
      <c r="M16" s="155">
        <f>SUM(K16:L16)</f>
        <v>3329423026.7599998</v>
      </c>
      <c r="N16" s="155">
        <f>ROUND(+'[6]Link Sheet'!Q79,2)</f>
        <v>120417779.06999999</v>
      </c>
      <c r="O16" s="155">
        <f>ROUND(+'[6]Link Sheet'!R79,2)</f>
        <v>58136339.030000001</v>
      </c>
      <c r="P16" s="155">
        <f>+M16+N16+O16</f>
        <v>3507977144.8600001</v>
      </c>
      <c r="R16" s="86" t="b">
        <f>+F16=(+J16+M16+N16+O16)</f>
        <v>1</v>
      </c>
      <c r="S16" s="87">
        <f>+F16-J16-M16-N16-O16</f>
        <v>-8.9406967163085938E-8</v>
      </c>
      <c r="T16" s="22"/>
      <c r="U16" s="2"/>
      <c r="V16" s="2"/>
    </row>
    <row r="17" spans="1:22" x14ac:dyDescent="0.2">
      <c r="A17" s="28">
        <v>2</v>
      </c>
      <c r="B17" s="92" t="s">
        <v>53</v>
      </c>
      <c r="C17" s="5" t="s">
        <v>27</v>
      </c>
      <c r="D17" s="150">
        <f>+'[4]II-E-1'!G85</f>
        <v>1106591960.6300001</v>
      </c>
      <c r="E17" s="150">
        <f>+'[4]II-E-1'!H85</f>
        <v>139113714.87</v>
      </c>
      <c r="F17" s="150">
        <f>+'[4]II-E-1'!I85</f>
        <v>1245705675.5000002</v>
      </c>
      <c r="G17" s="150">
        <f>+'[4]II-E-1'!N85</f>
        <v>440521727.81</v>
      </c>
      <c r="H17" s="150">
        <f>+'[4]II-E-1'!O85</f>
        <v>39098651.869999997</v>
      </c>
      <c r="I17" s="150">
        <f>+'[4]II-E-1'!P85</f>
        <v>724347.19000000006</v>
      </c>
      <c r="J17" s="150">
        <f t="shared" ref="J17:J21" si="0">SUM(G17:I17)</f>
        <v>480344726.87</v>
      </c>
      <c r="K17" s="150">
        <f>+'[4]II-E-1'!R85</f>
        <v>666845677.53999996</v>
      </c>
      <c r="L17" s="150">
        <f>+'[4]II-E-1'!S85</f>
        <v>3224043.4699999997</v>
      </c>
      <c r="M17" s="150">
        <f t="shared" ref="M17:M21" si="1">SUM(K17:L17)</f>
        <v>670069721.00999999</v>
      </c>
      <c r="N17" s="150">
        <f>+'[4]II-E-1'!U85</f>
        <v>55297654.120000005</v>
      </c>
      <c r="O17" s="150">
        <f>+'[4]II-E-1'!V85</f>
        <v>39993573.500000007</v>
      </c>
      <c r="P17" s="150">
        <f t="shared" ref="P17:P19" si="2">+M17+N17+O17</f>
        <v>765360948.63</v>
      </c>
      <c r="R17" s="86" t="b">
        <f t="shared" ref="R17:R19" si="3">+F17=(+J17+M17+N17+O17)</f>
        <v>1</v>
      </c>
      <c r="S17" s="87">
        <f t="shared" ref="S17:S19" si="4">+F17-J17-M17-N17-O17</f>
        <v>2.3096799850463867E-7</v>
      </c>
      <c r="T17" s="22"/>
      <c r="U17" s="2"/>
      <c r="V17" s="2"/>
    </row>
    <row r="18" spans="1:22" x14ac:dyDescent="0.2">
      <c r="A18" s="28">
        <v>3</v>
      </c>
      <c r="B18" s="8" t="s">
        <v>15</v>
      </c>
      <c r="C18" s="5" t="s">
        <v>28</v>
      </c>
      <c r="D18" s="150">
        <f>ROUND(+'[4]II-E-2'!G36,2)</f>
        <v>602990546.21000004</v>
      </c>
      <c r="E18" s="150">
        <f>ROUND(+'[4]II-E-2'!H36,2)</f>
        <v>40120343.340000004</v>
      </c>
      <c r="F18" s="150">
        <f>ROUND(+'[4]II-E-2'!I36,2)</f>
        <v>643110889.54999995</v>
      </c>
      <c r="G18" s="150">
        <f>ROUND(+'[4]II-E-2'!N36,2)</f>
        <v>133395590.33</v>
      </c>
      <c r="H18" s="150">
        <f>ROUND(+'[4]II-E-2'!O36,2)</f>
        <v>13570049.27</v>
      </c>
      <c r="I18" s="150">
        <f>ROUND(+'[4]II-E-2'!P36,2)</f>
        <v>116226.7</v>
      </c>
      <c r="J18" s="150">
        <f t="shared" si="0"/>
        <v>147081866.29999998</v>
      </c>
      <c r="K18" s="150">
        <f>ROUND(+'[4]II-E-2'!R36,2)</f>
        <v>482520278.13999999</v>
      </c>
      <c r="L18" s="150">
        <f>ROUND(+'[4]II-E-2'!S36,2)</f>
        <v>1042263.83</v>
      </c>
      <c r="M18" s="150">
        <f t="shared" si="1"/>
        <v>483562541.96999997</v>
      </c>
      <c r="N18" s="150">
        <f>ROUND(+'[4]II-E-2'!U36,2)</f>
        <v>8908968.5600000005</v>
      </c>
      <c r="O18" s="150">
        <f>ROUND(+'[4]II-E-2'!V36,2)</f>
        <v>3557512.72</v>
      </c>
      <c r="P18" s="150">
        <f t="shared" si="2"/>
        <v>496029023.25</v>
      </c>
      <c r="R18" s="86" t="b">
        <f>+F18=(+G18+H18+I18+K18+L18+N18+O18)</f>
        <v>1</v>
      </c>
      <c r="S18" s="101">
        <f>+F18-G18-H18-I18-K18-L18-N18-O18</f>
        <v>1.3504177331924438E-8</v>
      </c>
      <c r="T18" s="22"/>
      <c r="U18" s="2"/>
      <c r="V18" s="2"/>
    </row>
    <row r="19" spans="1:22" x14ac:dyDescent="0.2">
      <c r="A19" s="28">
        <v>4</v>
      </c>
      <c r="B19" s="13" t="s">
        <v>16</v>
      </c>
      <c r="C19" s="5" t="s">
        <v>29</v>
      </c>
      <c r="D19" s="150">
        <f>+'[4]Link Sheet'!D112</f>
        <v>176438072.97</v>
      </c>
      <c r="E19" s="150">
        <f>+'[4]Link Sheet'!E112</f>
        <v>97745867.890000001</v>
      </c>
      <c r="F19" s="150">
        <f>+'[4]Link Sheet'!F112</f>
        <v>274183940.86000001</v>
      </c>
      <c r="G19" s="150">
        <f>+'[4]Link Sheet'!G112</f>
        <v>119092626.45</v>
      </c>
      <c r="H19" s="150">
        <f>+'[4]Link Sheet'!H112</f>
        <v>9497732.6099999994</v>
      </c>
      <c r="I19" s="150">
        <f>+'[4]Link Sheet'!I112</f>
        <v>86769.75</v>
      </c>
      <c r="J19" s="150">
        <f t="shared" si="0"/>
        <v>128677128.81</v>
      </c>
      <c r="K19" s="150">
        <f>+'[4]Link Sheet'!K112</f>
        <v>140081472.55000001</v>
      </c>
      <c r="L19" s="150">
        <f>+'[4]Link Sheet'!L112</f>
        <v>767794.43</v>
      </c>
      <c r="M19" s="150">
        <f t="shared" si="1"/>
        <v>140849266.98000002</v>
      </c>
      <c r="N19" s="150">
        <f>+'[4]Link Sheet'!N112</f>
        <v>1780846.85</v>
      </c>
      <c r="O19" s="150">
        <f>+'[4]Link Sheet'!O112</f>
        <v>2876698.22</v>
      </c>
      <c r="P19" s="150">
        <f t="shared" si="2"/>
        <v>145506812.05000001</v>
      </c>
      <c r="R19" s="86" t="b">
        <f t="shared" si="3"/>
        <v>1</v>
      </c>
      <c r="S19" s="87">
        <f t="shared" si="4"/>
        <v>-7.4505805969238281E-9</v>
      </c>
      <c r="T19" s="100"/>
      <c r="U19" s="2"/>
      <c r="V19" s="2"/>
    </row>
    <row r="20" spans="1:22" x14ac:dyDescent="0.2">
      <c r="A20" s="28">
        <v>5</v>
      </c>
      <c r="B20" s="13"/>
      <c r="C20" s="14"/>
      <c r="D20" s="21"/>
      <c r="E20" s="21"/>
      <c r="F20" s="23"/>
      <c r="G20" s="21"/>
      <c r="H20" s="21"/>
      <c r="I20" s="21"/>
      <c r="J20" s="21"/>
      <c r="K20" s="21"/>
      <c r="L20" s="21"/>
      <c r="M20" s="21"/>
      <c r="N20" s="21"/>
      <c r="O20" s="21"/>
      <c r="P20" s="21"/>
      <c r="R20" s="86"/>
      <c r="S20" s="85"/>
      <c r="T20" s="3"/>
      <c r="U20" s="2"/>
      <c r="V20" s="2"/>
    </row>
    <row r="21" spans="1:22" x14ac:dyDescent="0.2">
      <c r="A21" s="28">
        <v>6</v>
      </c>
      <c r="B21" s="8" t="s">
        <v>17</v>
      </c>
      <c r="C21" s="5" t="s">
        <v>49</v>
      </c>
      <c r="D21" s="155">
        <f>+'[5]II-B'!D41</f>
        <v>1991618366.5711608</v>
      </c>
      <c r="E21" s="155">
        <f>+'[5]II-B'!E41</f>
        <v>-14903610.487025738</v>
      </c>
      <c r="F21" s="155">
        <f>+'[5]II-B'!F41</f>
        <v>1976714756.0841351</v>
      </c>
      <c r="G21" s="155">
        <f>+'[5]II-B'!G41</f>
        <v>827295386.4911598</v>
      </c>
      <c r="H21" s="155">
        <f>+'[5]II-B'!H41</f>
        <v>82898105.901165023</v>
      </c>
      <c r="I21" s="155">
        <f>+'[5]II-B'!I41</f>
        <v>690085.35362699884</v>
      </c>
      <c r="J21" s="150">
        <f t="shared" si="0"/>
        <v>910883577.74595177</v>
      </c>
      <c r="K21" s="155">
        <f>+'[5]II-B'!K41</f>
        <v>1009018361.9291828</v>
      </c>
      <c r="L21" s="155">
        <f>+'[5]II-B'!L41</f>
        <v>6673855.4138160003</v>
      </c>
      <c r="M21" s="150">
        <f t="shared" si="1"/>
        <v>1015692217.3429987</v>
      </c>
      <c r="N21" s="155">
        <f>+'[5]II-B'!N41</f>
        <v>32952955.556200724</v>
      </c>
      <c r="O21" s="155">
        <f>+'[5]II-B'!O41</f>
        <v>17186005.438984018</v>
      </c>
      <c r="P21" s="155">
        <f>+M21+N21+O21</f>
        <v>1065831178.3381835</v>
      </c>
      <c r="R21" s="86" t="b">
        <f>+F21=(+J21+M21+N21+O21)</f>
        <v>1</v>
      </c>
      <c r="S21" s="87">
        <f>+F21-J21-M21-N21-O21</f>
        <v>-2.0116567611694336E-7</v>
      </c>
      <c r="U21" s="2"/>
      <c r="V21" s="2"/>
    </row>
    <row r="22" spans="1:22" x14ac:dyDescent="0.2">
      <c r="A22" s="28">
        <v>7</v>
      </c>
      <c r="B22" s="13"/>
      <c r="C22" s="14"/>
      <c r="D22" s="21"/>
      <c r="E22" s="21"/>
      <c r="F22" s="23"/>
      <c r="G22" s="21"/>
      <c r="H22" s="21"/>
      <c r="I22" s="21"/>
      <c r="J22" s="21"/>
      <c r="K22" s="21"/>
      <c r="L22" s="21"/>
      <c r="M22" s="21"/>
      <c r="N22" s="21"/>
      <c r="O22" s="21"/>
      <c r="P22" s="23"/>
      <c r="R22" s="86"/>
      <c r="S22" s="86"/>
      <c r="T22" s="22"/>
      <c r="U22" s="2"/>
      <c r="V22" s="2"/>
    </row>
    <row r="23" spans="1:22" x14ac:dyDescent="0.2">
      <c r="A23" s="28">
        <v>8</v>
      </c>
      <c r="B23" s="73" t="s">
        <v>18</v>
      </c>
      <c r="C23" s="14"/>
      <c r="D23" s="156">
        <f t="shared" ref="D23:G23" si="5">SUM(D16:D19)+D21</f>
        <v>7182629808.1811619</v>
      </c>
      <c r="E23" s="156">
        <f t="shared" si="5"/>
        <v>755663227.91297436</v>
      </c>
      <c r="F23" s="156">
        <f t="shared" si="5"/>
        <v>7938293036.0941353</v>
      </c>
      <c r="G23" s="156">
        <f t="shared" si="5"/>
        <v>1801722711.9711599</v>
      </c>
      <c r="H23" s="156">
        <f t="shared" ref="H23:O23" si="6">SUM(H16:H19)+H21</f>
        <v>153771951.63116503</v>
      </c>
      <c r="I23" s="156">
        <f t="shared" si="6"/>
        <v>2093265.3636269988</v>
      </c>
      <c r="J23" s="156">
        <f t="shared" si="6"/>
        <v>1957587928.9659519</v>
      </c>
      <c r="K23" s="156">
        <f t="shared" si="6"/>
        <v>5626905593.3991833</v>
      </c>
      <c r="L23" s="156">
        <f t="shared" si="6"/>
        <v>12691180.663816001</v>
      </c>
      <c r="M23" s="156">
        <f t="shared" si="6"/>
        <v>5639596774.0629978</v>
      </c>
      <c r="N23" s="156">
        <f t="shared" si="6"/>
        <v>219358204.15620071</v>
      </c>
      <c r="O23" s="156">
        <f t="shared" si="6"/>
        <v>121750128.90898402</v>
      </c>
      <c r="P23" s="156">
        <f>+M23+N23+O23</f>
        <v>5980705107.1281824</v>
      </c>
      <c r="R23" s="86" t="b">
        <f>+F23=(+J23+M23+N23+O23)</f>
        <v>0</v>
      </c>
      <c r="S23" s="87">
        <f>+F23-J23-M23-N23-O23</f>
        <v>8.1956386566162109E-7</v>
      </c>
      <c r="T23" s="22"/>
      <c r="U23" s="2"/>
      <c r="V23" s="2"/>
    </row>
    <row r="24" spans="1:22" x14ac:dyDescent="0.2">
      <c r="A24" s="28">
        <v>9</v>
      </c>
      <c r="B24" s="13"/>
      <c r="C24" s="14"/>
      <c r="D24" s="21"/>
      <c r="E24" s="21"/>
      <c r="F24" s="21"/>
      <c r="G24" s="91"/>
      <c r="H24" s="91"/>
      <c r="I24" s="91"/>
      <c r="J24" s="91"/>
      <c r="K24" s="91"/>
      <c r="L24" s="91"/>
      <c r="M24" s="91"/>
      <c r="N24" s="91"/>
      <c r="O24" s="91"/>
      <c r="P24" s="23"/>
      <c r="R24" s="88"/>
      <c r="S24" s="86"/>
      <c r="T24" s="22"/>
      <c r="U24" s="2"/>
      <c r="V24" s="2"/>
    </row>
    <row r="25" spans="1:22" x14ac:dyDescent="0.2">
      <c r="A25" s="28">
        <v>10</v>
      </c>
      <c r="B25" s="4" t="s">
        <v>14</v>
      </c>
      <c r="C25" s="14"/>
      <c r="D25" s="150">
        <v>0</v>
      </c>
      <c r="E25" s="150">
        <v>0</v>
      </c>
      <c r="F25" s="150">
        <f>+D25+E25</f>
        <v>0</v>
      </c>
      <c r="G25" s="150">
        <v>0</v>
      </c>
      <c r="H25" s="150">
        <v>0</v>
      </c>
      <c r="I25" s="150">
        <v>0</v>
      </c>
      <c r="J25" s="150">
        <v>0</v>
      </c>
      <c r="K25" s="150">
        <v>0</v>
      </c>
      <c r="L25" s="150">
        <v>0</v>
      </c>
      <c r="M25" s="150">
        <v>0</v>
      </c>
      <c r="N25" s="150">
        <v>0</v>
      </c>
      <c r="O25" s="150">
        <v>0</v>
      </c>
      <c r="P25" s="150">
        <f>+M25+N25+O25</f>
        <v>0</v>
      </c>
      <c r="R25" s="86" t="b">
        <f>+F25=(+J25+M25+N25+O25)</f>
        <v>1</v>
      </c>
      <c r="S25" s="87">
        <f>+F25-J25-M25-N25-O25</f>
        <v>0</v>
      </c>
      <c r="T25" s="22"/>
      <c r="U25" s="2"/>
      <c r="V25" s="2"/>
    </row>
    <row r="26" spans="1:22" x14ac:dyDescent="0.2">
      <c r="A26" s="28">
        <v>11</v>
      </c>
      <c r="B26" s="13"/>
      <c r="C26" s="14"/>
      <c r="D26" s="150"/>
      <c r="E26" s="150"/>
      <c r="F26" s="150"/>
      <c r="G26" s="150"/>
      <c r="H26" s="150"/>
      <c r="I26" s="150"/>
      <c r="J26" s="150"/>
      <c r="K26" s="150"/>
      <c r="L26" s="150"/>
      <c r="M26" s="150"/>
      <c r="N26" s="150"/>
      <c r="O26" s="150"/>
      <c r="P26" s="157"/>
      <c r="R26" s="88"/>
      <c r="S26" s="86"/>
      <c r="T26" s="22"/>
      <c r="U26" s="2"/>
      <c r="V26" s="2"/>
    </row>
    <row r="27" spans="1:22" x14ac:dyDescent="0.2">
      <c r="A27" s="28">
        <v>12</v>
      </c>
      <c r="B27" s="8" t="s">
        <v>0</v>
      </c>
      <c r="C27" s="5"/>
      <c r="D27" s="150">
        <v>0</v>
      </c>
      <c r="E27" s="150">
        <v>0</v>
      </c>
      <c r="F27" s="150">
        <f>+D27+E27</f>
        <v>0</v>
      </c>
      <c r="G27" s="150">
        <v>0</v>
      </c>
      <c r="H27" s="150">
        <v>0</v>
      </c>
      <c r="I27" s="150">
        <v>0</v>
      </c>
      <c r="J27" s="150">
        <v>0</v>
      </c>
      <c r="K27" s="150">
        <v>0</v>
      </c>
      <c r="L27" s="150">
        <v>0</v>
      </c>
      <c r="M27" s="150">
        <v>0</v>
      </c>
      <c r="N27" s="150">
        <v>0</v>
      </c>
      <c r="O27" s="150">
        <v>0</v>
      </c>
      <c r="P27" s="150">
        <f>+M27+N27+O27</f>
        <v>0</v>
      </c>
      <c r="R27" s="86" t="b">
        <f>+F27=(+J27+M27+N27+O27)</f>
        <v>1</v>
      </c>
      <c r="S27" s="87">
        <f>+F27-J27-M27-N27-O27</f>
        <v>0</v>
      </c>
      <c r="T27" s="22"/>
      <c r="U27" s="2"/>
      <c r="V27" s="2"/>
    </row>
    <row r="28" spans="1:22" x14ac:dyDescent="0.2">
      <c r="A28" s="28">
        <v>13</v>
      </c>
      <c r="B28" s="8"/>
      <c r="C28" s="5"/>
      <c r="D28" s="21"/>
      <c r="E28" s="21"/>
      <c r="F28" s="21"/>
      <c r="G28" s="21"/>
      <c r="H28" s="21"/>
      <c r="I28" s="21"/>
      <c r="J28" s="21"/>
      <c r="K28" s="21"/>
      <c r="L28" s="21"/>
      <c r="M28" s="21"/>
      <c r="N28" s="21"/>
      <c r="O28" s="21"/>
      <c r="P28" s="23"/>
      <c r="R28" s="86"/>
      <c r="S28" s="86"/>
      <c r="T28" s="22"/>
      <c r="U28" s="2"/>
      <c r="V28" s="2"/>
    </row>
    <row r="29" spans="1:22" x14ac:dyDescent="0.2">
      <c r="A29" s="28">
        <v>14</v>
      </c>
      <c r="B29" s="8" t="s">
        <v>26</v>
      </c>
      <c r="C29" s="5" t="s">
        <v>50</v>
      </c>
      <c r="D29" s="155">
        <f>+'[4]Link Sheet'!$D$108</f>
        <v>94183571.75</v>
      </c>
      <c r="E29" s="155">
        <f>+'[4]Link Sheet'!$E$108</f>
        <v>32962474.130000003</v>
      </c>
      <c r="F29" s="155">
        <f>+D29+E29</f>
        <v>127146045.88</v>
      </c>
      <c r="G29" s="155">
        <f>+'[4]Link Sheet'!G108</f>
        <v>44003243.119999997</v>
      </c>
      <c r="H29" s="155">
        <f>+'[4]Link Sheet'!H108</f>
        <v>373328.27</v>
      </c>
      <c r="I29" s="155">
        <f>+'[4]Link Sheet'!I108</f>
        <v>1755145.34</v>
      </c>
      <c r="J29" s="155">
        <f>SUM(G29:I29)</f>
        <v>46131716.730000004</v>
      </c>
      <c r="K29" s="155">
        <f>+'[4]Link Sheet'!K108</f>
        <v>66812956.150000006</v>
      </c>
      <c r="L29" s="155">
        <f>+'[4]Link Sheet'!L108</f>
        <v>0</v>
      </c>
      <c r="M29" s="155">
        <f>SUM(K29:L29)</f>
        <v>66812956.150000006</v>
      </c>
      <c r="N29" s="155">
        <f>+'[4]Link Sheet'!N108</f>
        <v>14115591</v>
      </c>
      <c r="O29" s="155">
        <f>+'[4]Link Sheet'!O108</f>
        <v>85782</v>
      </c>
      <c r="P29" s="155">
        <f>+M29+N29+O29</f>
        <v>81014329.150000006</v>
      </c>
      <c r="R29" s="86" t="b">
        <f>+F29=(+J29+M29+N29+O29)</f>
        <v>1</v>
      </c>
      <c r="S29" s="87">
        <f>+F29-J29-M29-N29-O29</f>
        <v>-1.4901161193847656E-8</v>
      </c>
      <c r="T29" s="87"/>
      <c r="U29" s="2"/>
      <c r="V29" s="2"/>
    </row>
    <row r="30" spans="1:22" x14ac:dyDescent="0.2">
      <c r="A30" s="28">
        <v>15</v>
      </c>
      <c r="B30" s="8"/>
      <c r="C30" s="5"/>
      <c r="D30" s="24"/>
      <c r="E30" s="24"/>
      <c r="F30" s="24"/>
      <c r="G30" s="24"/>
      <c r="H30" s="24"/>
      <c r="I30" s="24"/>
      <c r="J30" s="24"/>
      <c r="K30" s="24"/>
      <c r="L30" s="24"/>
      <c r="M30" s="24"/>
      <c r="N30" s="24"/>
      <c r="O30" s="24"/>
      <c r="P30" s="21"/>
      <c r="R30" s="86"/>
      <c r="S30" s="86"/>
      <c r="T30" s="22"/>
      <c r="U30" s="2"/>
      <c r="V30" s="2"/>
    </row>
    <row r="31" spans="1:22" s="7" customFormat="1" x14ac:dyDescent="0.2">
      <c r="A31" s="28">
        <v>16</v>
      </c>
      <c r="B31" s="74" t="s">
        <v>19</v>
      </c>
      <c r="C31" s="36"/>
      <c r="D31" s="158">
        <f>+D23+D25+D27-D29</f>
        <v>7088446236.4311619</v>
      </c>
      <c r="E31" s="158">
        <f t="shared" ref="E31:G31" si="7">+E23+E25+E27-E29</f>
        <v>722700753.78297436</v>
      </c>
      <c r="F31" s="158">
        <f t="shared" si="7"/>
        <v>7811146990.2141352</v>
      </c>
      <c r="G31" s="158">
        <f t="shared" si="7"/>
        <v>1757719468.85116</v>
      </c>
      <c r="H31" s="158">
        <f t="shared" ref="H31:O31" si="8">+H23+H25+H27-H29</f>
        <v>153398623.36116502</v>
      </c>
      <c r="I31" s="158">
        <f t="shared" si="8"/>
        <v>338120.02362699877</v>
      </c>
      <c r="J31" s="158">
        <f t="shared" si="8"/>
        <v>1911456212.2359519</v>
      </c>
      <c r="K31" s="158">
        <f t="shared" si="8"/>
        <v>5560092637.2491837</v>
      </c>
      <c r="L31" s="158">
        <f t="shared" si="8"/>
        <v>12691180.663816001</v>
      </c>
      <c r="M31" s="158">
        <f t="shared" si="8"/>
        <v>5572783817.9129982</v>
      </c>
      <c r="N31" s="158">
        <f t="shared" si="8"/>
        <v>205242613.15620071</v>
      </c>
      <c r="O31" s="158">
        <f t="shared" si="8"/>
        <v>121664346.90898402</v>
      </c>
      <c r="P31" s="156">
        <f>+M31+N31+O31</f>
        <v>5899690777.9781828</v>
      </c>
      <c r="R31" s="86" t="b">
        <f>+F31=(+J31+M31+N31+O31)</f>
        <v>1</v>
      </c>
      <c r="S31" s="87">
        <f>+F31-J31-M31-N31-O31</f>
        <v>8.1956386566162109E-7</v>
      </c>
      <c r="T31" s="25"/>
      <c r="U31" s="26"/>
      <c r="V31" s="26"/>
    </row>
    <row r="32" spans="1:22" x14ac:dyDescent="0.2">
      <c r="A32" s="28">
        <v>17</v>
      </c>
      <c r="B32" s="6"/>
      <c r="C32" s="6"/>
      <c r="D32" s="6"/>
      <c r="E32" s="6"/>
      <c r="F32" s="6"/>
      <c r="P32" s="23"/>
      <c r="Q32" s="85"/>
      <c r="U32" s="2"/>
      <c r="V32" s="2"/>
    </row>
    <row r="33" spans="1:22" x14ac:dyDescent="0.2">
      <c r="A33" s="28">
        <v>18</v>
      </c>
      <c r="B33" s="27"/>
      <c r="C33" s="27"/>
      <c r="D33" s="27"/>
      <c r="E33" s="27"/>
      <c r="F33" s="27"/>
      <c r="G33" s="28"/>
      <c r="H33" s="28"/>
      <c r="I33" s="28"/>
      <c r="J33" s="28"/>
      <c r="K33" s="23"/>
      <c r="L33" s="23"/>
      <c r="M33" s="23"/>
      <c r="N33" s="23"/>
      <c r="O33" s="23"/>
      <c r="P33" s="23"/>
      <c r="Q33" s="85"/>
      <c r="U33" s="2"/>
      <c r="V33" s="2"/>
    </row>
    <row r="34" spans="1:22" ht="13.5" thickBot="1" x14ac:dyDescent="0.25">
      <c r="A34" s="28">
        <v>19</v>
      </c>
      <c r="B34" s="30"/>
      <c r="C34" s="30"/>
      <c r="D34" s="30"/>
      <c r="E34" s="30"/>
      <c r="F34" s="30"/>
      <c r="G34" s="75"/>
      <c r="H34" s="75"/>
      <c r="I34" s="75"/>
      <c r="J34" s="75"/>
      <c r="K34" s="75"/>
      <c r="L34" s="75"/>
      <c r="M34" s="75"/>
      <c r="N34" s="75"/>
      <c r="O34" s="75"/>
      <c r="P34" s="3"/>
      <c r="Q34" s="85"/>
      <c r="U34" s="2"/>
      <c r="V34" s="2"/>
    </row>
    <row r="35" spans="1:22" ht="13.5" thickBot="1" x14ac:dyDescent="0.25">
      <c r="A35" s="28">
        <v>20</v>
      </c>
      <c r="B35" s="173"/>
      <c r="C35" s="174"/>
      <c r="D35" s="174"/>
      <c r="E35" s="174"/>
      <c r="F35" s="174"/>
      <c r="G35" s="174"/>
      <c r="H35" s="174"/>
      <c r="I35" s="174"/>
      <c r="J35" s="174"/>
      <c r="K35" s="174"/>
      <c r="L35" s="174"/>
      <c r="M35" s="174"/>
      <c r="N35" s="174"/>
      <c r="O35" s="174"/>
      <c r="P35" s="175"/>
      <c r="Q35" s="86"/>
      <c r="R35" s="22"/>
      <c r="S35" s="22"/>
      <c r="T35" s="22"/>
      <c r="U35" s="2"/>
      <c r="V35" s="2"/>
    </row>
    <row r="36" spans="1:22" x14ac:dyDescent="0.2">
      <c r="A36" s="28">
        <v>21</v>
      </c>
      <c r="B36" s="16"/>
      <c r="C36" s="16"/>
      <c r="D36" s="16" t="s">
        <v>47</v>
      </c>
      <c r="E36" s="16" t="s">
        <v>44</v>
      </c>
      <c r="F36" s="16" t="s">
        <v>46</v>
      </c>
      <c r="G36" s="16" t="s">
        <v>2</v>
      </c>
      <c r="H36" s="93" t="s">
        <v>62</v>
      </c>
      <c r="I36" s="93" t="s">
        <v>72</v>
      </c>
      <c r="J36" s="16"/>
      <c r="K36" s="33" t="s">
        <v>3</v>
      </c>
      <c r="L36" s="113" t="s">
        <v>62</v>
      </c>
      <c r="M36" s="33"/>
      <c r="N36" s="33" t="s">
        <v>20</v>
      </c>
      <c r="O36" s="16" t="s">
        <v>52</v>
      </c>
      <c r="P36" s="33"/>
      <c r="Q36" s="84"/>
      <c r="R36" s="20"/>
      <c r="S36" s="20"/>
      <c r="T36" s="20"/>
    </row>
    <row r="37" spans="1:22" x14ac:dyDescent="0.2">
      <c r="A37" s="28">
        <v>22</v>
      </c>
      <c r="B37" s="17"/>
      <c r="C37" s="17" t="s">
        <v>4</v>
      </c>
      <c r="D37" s="17" t="s">
        <v>48</v>
      </c>
      <c r="E37" s="17" t="s">
        <v>45</v>
      </c>
      <c r="F37" s="17" t="s">
        <v>48</v>
      </c>
      <c r="G37" s="17" t="s">
        <v>5</v>
      </c>
      <c r="H37" s="94" t="s">
        <v>63</v>
      </c>
      <c r="I37" s="94" t="s">
        <v>73</v>
      </c>
      <c r="J37" s="94" t="s">
        <v>67</v>
      </c>
      <c r="K37" s="17" t="s">
        <v>5</v>
      </c>
      <c r="L37" s="94" t="s">
        <v>65</v>
      </c>
      <c r="M37" s="94" t="s">
        <v>67</v>
      </c>
      <c r="N37" s="17" t="s">
        <v>5</v>
      </c>
      <c r="O37" s="17" t="s">
        <v>5</v>
      </c>
      <c r="P37" s="17" t="s">
        <v>7</v>
      </c>
    </row>
    <row r="38" spans="1:22" ht="13.5" thickBot="1" x14ac:dyDescent="0.25">
      <c r="A38" s="28">
        <v>23</v>
      </c>
      <c r="B38" s="17" t="s">
        <v>1</v>
      </c>
      <c r="C38" s="17" t="s">
        <v>6</v>
      </c>
      <c r="D38" s="17" t="s">
        <v>8</v>
      </c>
      <c r="E38" s="17" t="s">
        <v>23</v>
      </c>
      <c r="F38" s="17" t="s">
        <v>8</v>
      </c>
      <c r="G38" s="17" t="s">
        <v>21</v>
      </c>
      <c r="H38" s="94" t="s">
        <v>64</v>
      </c>
      <c r="I38" s="94"/>
      <c r="J38" s="94" t="s">
        <v>63</v>
      </c>
      <c r="K38" s="17" t="s">
        <v>11</v>
      </c>
      <c r="L38" s="94" t="s">
        <v>66</v>
      </c>
      <c r="M38" s="94" t="s">
        <v>65</v>
      </c>
      <c r="N38" s="17" t="s">
        <v>22</v>
      </c>
      <c r="O38" s="17" t="s">
        <v>43</v>
      </c>
      <c r="P38" s="17" t="s">
        <v>10</v>
      </c>
    </row>
    <row r="39" spans="1:22" x14ac:dyDescent="0.2">
      <c r="A39" s="28">
        <v>24</v>
      </c>
      <c r="B39" s="42" t="s">
        <v>30</v>
      </c>
      <c r="C39" s="42" t="s">
        <v>31</v>
      </c>
      <c r="D39" s="42" t="s">
        <v>32</v>
      </c>
      <c r="E39" s="42" t="s">
        <v>33</v>
      </c>
      <c r="F39" s="42" t="s">
        <v>34</v>
      </c>
      <c r="G39" s="42" t="s">
        <v>35</v>
      </c>
      <c r="H39" s="90" t="s">
        <v>36</v>
      </c>
      <c r="I39" s="90" t="s">
        <v>37</v>
      </c>
      <c r="J39" s="90" t="s">
        <v>38</v>
      </c>
      <c r="K39" s="90" t="s">
        <v>39</v>
      </c>
      <c r="L39" s="90" t="s">
        <v>51</v>
      </c>
      <c r="M39" s="90" t="s">
        <v>68</v>
      </c>
      <c r="N39" s="90" t="s">
        <v>69</v>
      </c>
      <c r="O39" s="90" t="s">
        <v>70</v>
      </c>
      <c r="P39" s="90" t="s">
        <v>71</v>
      </c>
    </row>
    <row r="40" spans="1:22" x14ac:dyDescent="0.2">
      <c r="A40" s="28">
        <v>25</v>
      </c>
      <c r="B40" s="30"/>
      <c r="C40" s="30"/>
      <c r="D40" s="30"/>
      <c r="E40" s="30"/>
      <c r="F40" s="30"/>
      <c r="G40" s="5"/>
      <c r="H40" s="5"/>
      <c r="I40" s="5"/>
      <c r="J40" s="5"/>
      <c r="K40" s="21"/>
      <c r="L40" s="21"/>
      <c r="M40" s="21"/>
      <c r="N40" s="21"/>
      <c r="O40" s="21"/>
      <c r="P40" s="21"/>
      <c r="Q40" s="85"/>
    </row>
    <row r="41" spans="1:22" x14ac:dyDescent="0.2">
      <c r="A41" s="28">
        <v>26</v>
      </c>
      <c r="B41" s="13" t="s">
        <v>12</v>
      </c>
      <c r="C41" s="5" t="s">
        <v>42</v>
      </c>
      <c r="D41" s="79"/>
      <c r="E41" s="79"/>
      <c r="F41" s="155">
        <f>+F16-L16</f>
        <v>3797594550.5799999</v>
      </c>
      <c r="G41" s="155">
        <f>G16</f>
        <v>281417380.88999999</v>
      </c>
      <c r="H41" s="155">
        <f>H16</f>
        <v>8707411.9800000004</v>
      </c>
      <c r="I41" s="155">
        <f>I16</f>
        <v>475836.37</v>
      </c>
      <c r="J41" s="155">
        <f>SUM(G41:I41)</f>
        <v>290600629.24000001</v>
      </c>
      <c r="K41" s="155">
        <f>K16</f>
        <v>3328439803.2399998</v>
      </c>
      <c r="L41" s="155">
        <v>0</v>
      </c>
      <c r="M41" s="155">
        <f>SUM(K41:L41)</f>
        <v>3328439803.2399998</v>
      </c>
      <c r="N41" s="155">
        <f>N16</f>
        <v>120417779.06999999</v>
      </c>
      <c r="O41" s="155">
        <f>O16</f>
        <v>58136339.030000001</v>
      </c>
      <c r="P41" s="155">
        <f>SUM(M41:O41)</f>
        <v>3506993921.3400002</v>
      </c>
      <c r="R41" s="86"/>
      <c r="S41" s="87"/>
      <c r="T41" s="22"/>
      <c r="U41" s="2"/>
      <c r="V41" s="2"/>
    </row>
    <row r="42" spans="1:22" x14ac:dyDescent="0.2">
      <c r="A42" s="28">
        <v>27</v>
      </c>
      <c r="B42" s="92" t="s">
        <v>53</v>
      </c>
      <c r="C42" s="5" t="s">
        <v>27</v>
      </c>
      <c r="D42" s="150"/>
      <c r="E42" s="150"/>
      <c r="F42" s="150">
        <f t="shared" ref="F42:F44" si="9">+F17-L17</f>
        <v>1242481632.0300002</v>
      </c>
      <c r="G42" s="150">
        <f t="shared" ref="G42:H44" si="10">G17</f>
        <v>440521727.81</v>
      </c>
      <c r="H42" s="150">
        <f t="shared" si="10"/>
        <v>39098651.869999997</v>
      </c>
      <c r="I42" s="150">
        <f t="shared" ref="I42:K42" si="11">I17</f>
        <v>724347.19000000006</v>
      </c>
      <c r="J42" s="150">
        <f t="shared" ref="J42:J44" si="12">SUM(G42:I42)</f>
        <v>480344726.87</v>
      </c>
      <c r="K42" s="150">
        <f t="shared" si="11"/>
        <v>666845677.53999996</v>
      </c>
      <c r="L42" s="150">
        <v>0</v>
      </c>
      <c r="M42" s="150">
        <f t="shared" ref="M42:M44" si="13">SUM(K42:L42)</f>
        <v>666845677.53999996</v>
      </c>
      <c r="N42" s="150">
        <f t="shared" ref="N42:O42" si="14">N17</f>
        <v>55297654.120000005</v>
      </c>
      <c r="O42" s="150">
        <f t="shared" si="14"/>
        <v>39993573.500000007</v>
      </c>
      <c r="P42" s="150">
        <f t="shared" ref="P42:P44" si="15">SUM(M42:O42)</f>
        <v>762136905.15999997</v>
      </c>
      <c r="R42" s="86"/>
      <c r="S42" s="87"/>
      <c r="T42" s="22"/>
      <c r="U42" s="2"/>
      <c r="V42" s="2"/>
    </row>
    <row r="43" spans="1:22" x14ac:dyDescent="0.2">
      <c r="A43" s="28">
        <v>28</v>
      </c>
      <c r="B43" s="8" t="s">
        <v>15</v>
      </c>
      <c r="C43" s="5" t="s">
        <v>28</v>
      </c>
      <c r="D43" s="150"/>
      <c r="E43" s="150"/>
      <c r="F43" s="150">
        <f t="shared" si="9"/>
        <v>642068625.71999991</v>
      </c>
      <c r="G43" s="150">
        <f t="shared" si="10"/>
        <v>133395590.33</v>
      </c>
      <c r="H43" s="150">
        <f t="shared" si="10"/>
        <v>13570049.27</v>
      </c>
      <c r="I43" s="150">
        <f t="shared" ref="I43:K43" si="16">I18</f>
        <v>116226.7</v>
      </c>
      <c r="J43" s="150">
        <f t="shared" si="12"/>
        <v>147081866.29999998</v>
      </c>
      <c r="K43" s="150">
        <f t="shared" si="16"/>
        <v>482520278.13999999</v>
      </c>
      <c r="L43" s="150">
        <v>0</v>
      </c>
      <c r="M43" s="150">
        <f t="shared" si="13"/>
        <v>482520278.13999999</v>
      </c>
      <c r="N43" s="150">
        <f t="shared" ref="N43:O43" si="17">N18</f>
        <v>8908968.5600000005</v>
      </c>
      <c r="O43" s="150">
        <f t="shared" si="17"/>
        <v>3557512.72</v>
      </c>
      <c r="P43" s="150">
        <f t="shared" si="15"/>
        <v>494986759.42000002</v>
      </c>
      <c r="R43" s="86"/>
      <c r="S43" s="101"/>
      <c r="T43" s="22"/>
      <c r="U43" s="2"/>
      <c r="V43" s="2"/>
    </row>
    <row r="44" spans="1:22" x14ac:dyDescent="0.2">
      <c r="A44" s="28">
        <v>29</v>
      </c>
      <c r="B44" s="13" t="s">
        <v>16</v>
      </c>
      <c r="C44" s="5" t="s">
        <v>29</v>
      </c>
      <c r="D44" s="150"/>
      <c r="E44" s="150"/>
      <c r="F44" s="150">
        <f t="shared" si="9"/>
        <v>273416146.43000001</v>
      </c>
      <c r="G44" s="150">
        <f t="shared" si="10"/>
        <v>119092626.45</v>
      </c>
      <c r="H44" s="150">
        <f t="shared" si="10"/>
        <v>9497732.6099999994</v>
      </c>
      <c r="I44" s="150">
        <f t="shared" ref="I44:K44" si="18">I19</f>
        <v>86769.75</v>
      </c>
      <c r="J44" s="150">
        <f t="shared" si="12"/>
        <v>128677128.81</v>
      </c>
      <c r="K44" s="150">
        <f t="shared" si="18"/>
        <v>140081472.55000001</v>
      </c>
      <c r="L44" s="150">
        <v>0</v>
      </c>
      <c r="M44" s="150">
        <f t="shared" si="13"/>
        <v>140081472.55000001</v>
      </c>
      <c r="N44" s="150">
        <f t="shared" ref="N44:O44" si="19">N19</f>
        <v>1780846.85</v>
      </c>
      <c r="O44" s="150">
        <f t="shared" si="19"/>
        <v>2876698.22</v>
      </c>
      <c r="P44" s="150">
        <f t="shared" si="15"/>
        <v>144739017.62</v>
      </c>
      <c r="R44" s="86"/>
      <c r="S44" s="87"/>
      <c r="T44" s="100"/>
      <c r="U44" s="2"/>
      <c r="V44" s="2"/>
    </row>
    <row r="45" spans="1:22" x14ac:dyDescent="0.2">
      <c r="A45" s="28">
        <v>30</v>
      </c>
      <c r="B45" s="13"/>
      <c r="C45" s="14"/>
      <c r="D45" s="21"/>
      <c r="E45" s="21"/>
      <c r="F45" s="23"/>
      <c r="G45" s="21"/>
      <c r="H45" s="21"/>
      <c r="I45" s="21"/>
      <c r="J45" s="21"/>
      <c r="K45" s="21"/>
      <c r="L45" s="21"/>
      <c r="M45" s="21"/>
      <c r="N45" s="21"/>
      <c r="O45" s="21"/>
      <c r="P45" s="21"/>
      <c r="R45" s="86"/>
      <c r="S45" s="85"/>
      <c r="T45" s="3"/>
      <c r="U45" s="2"/>
      <c r="V45" s="2"/>
    </row>
    <row r="46" spans="1:22" x14ac:dyDescent="0.2">
      <c r="A46" s="28">
        <v>31</v>
      </c>
      <c r="B46" s="8" t="s">
        <v>17</v>
      </c>
      <c r="C46" s="5" t="s">
        <v>49</v>
      </c>
      <c r="D46" s="79"/>
      <c r="E46" s="79"/>
      <c r="F46" s="155">
        <f>+F21-L21</f>
        <v>1970040900.6703191</v>
      </c>
      <c r="G46" s="155">
        <f>G21</f>
        <v>827295386.4911598</v>
      </c>
      <c r="H46" s="155">
        <f>H21</f>
        <v>82898105.901165023</v>
      </c>
      <c r="I46" s="155">
        <f>I21</f>
        <v>690085.35362699884</v>
      </c>
      <c r="J46" s="155">
        <f>SUM(G46:I46)</f>
        <v>910883577.74595177</v>
      </c>
      <c r="K46" s="155">
        <f>K21</f>
        <v>1009018361.9291828</v>
      </c>
      <c r="L46" s="155">
        <v>0</v>
      </c>
      <c r="M46" s="155">
        <f>SUM(K46:L46)</f>
        <v>1009018361.9291828</v>
      </c>
      <c r="N46" s="155">
        <f>N21</f>
        <v>32952955.556200724</v>
      </c>
      <c r="O46" s="155">
        <f>O21</f>
        <v>17186005.438984018</v>
      </c>
      <c r="P46" s="155">
        <f>SUM(M46:O46)</f>
        <v>1059157322.9243675</v>
      </c>
      <c r="R46" s="86"/>
      <c r="S46" s="87"/>
      <c r="U46" s="2"/>
      <c r="V46" s="2"/>
    </row>
    <row r="47" spans="1:22" x14ac:dyDescent="0.2">
      <c r="A47" s="28">
        <v>32</v>
      </c>
      <c r="B47" s="13"/>
      <c r="C47" s="14"/>
      <c r="D47" s="21"/>
      <c r="E47" s="21"/>
      <c r="F47" s="23"/>
      <c r="G47" s="21"/>
      <c r="H47" s="21"/>
      <c r="I47" s="21"/>
      <c r="J47" s="21"/>
      <c r="K47" s="21"/>
      <c r="L47" s="21"/>
      <c r="M47" s="21"/>
      <c r="N47" s="21"/>
      <c r="O47" s="21"/>
      <c r="P47" s="23"/>
      <c r="R47" s="86"/>
      <c r="S47" s="86"/>
      <c r="T47" s="22"/>
      <c r="U47" s="2"/>
      <c r="V47" s="2"/>
    </row>
    <row r="48" spans="1:22" x14ac:dyDescent="0.2">
      <c r="A48" s="28">
        <v>33</v>
      </c>
      <c r="B48" s="73" t="s">
        <v>18</v>
      </c>
      <c r="C48" s="14"/>
      <c r="D48" s="80"/>
      <c r="E48" s="80"/>
      <c r="F48" s="155">
        <f>+F23-L23</f>
        <v>7925601855.4303188</v>
      </c>
      <c r="G48" s="155">
        <f>G23</f>
        <v>1801722711.9711599</v>
      </c>
      <c r="H48" s="155">
        <f>H23</f>
        <v>153771951.63116503</v>
      </c>
      <c r="I48" s="155">
        <f>I23</f>
        <v>2093265.3636269988</v>
      </c>
      <c r="J48" s="155">
        <f>SUM(G48:I48)</f>
        <v>1957587928.9659519</v>
      </c>
      <c r="K48" s="155">
        <f>K23</f>
        <v>5626905593.3991833</v>
      </c>
      <c r="L48" s="155">
        <v>0</v>
      </c>
      <c r="M48" s="155">
        <f>SUM(K48:L48)</f>
        <v>5626905593.3991833</v>
      </c>
      <c r="N48" s="155">
        <f>N23</f>
        <v>219358204.15620071</v>
      </c>
      <c r="O48" s="155">
        <f>O23</f>
        <v>121750128.90898402</v>
      </c>
      <c r="P48" s="155">
        <f>SUM(M48:O48)</f>
        <v>5968013926.4643679</v>
      </c>
      <c r="R48" s="86"/>
      <c r="S48" s="87"/>
      <c r="T48" s="22"/>
      <c r="U48" s="2"/>
      <c r="V48" s="2"/>
    </row>
    <row r="49" spans="1:22" x14ac:dyDescent="0.2">
      <c r="A49" s="28">
        <v>34</v>
      </c>
      <c r="B49" s="13"/>
      <c r="C49" s="14"/>
      <c r="D49" s="21"/>
      <c r="E49" s="21"/>
      <c r="F49" s="23"/>
      <c r="G49" s="91"/>
      <c r="H49" s="91"/>
      <c r="I49" s="91"/>
      <c r="J49" s="91"/>
      <c r="K49" s="91"/>
      <c r="L49" s="91"/>
      <c r="M49" s="91"/>
      <c r="N49" s="91"/>
      <c r="O49" s="91"/>
      <c r="P49" s="23"/>
      <c r="R49" s="88"/>
      <c r="S49" s="86"/>
      <c r="T49" s="22"/>
      <c r="U49" s="2"/>
      <c r="V49" s="2"/>
    </row>
    <row r="50" spans="1:22" x14ac:dyDescent="0.2">
      <c r="A50" s="28">
        <v>35</v>
      </c>
      <c r="B50" s="4" t="s">
        <v>14</v>
      </c>
      <c r="C50" s="14"/>
      <c r="D50" s="21"/>
      <c r="E50" s="21"/>
      <c r="F50" s="157">
        <f>+F25-L25</f>
        <v>0</v>
      </c>
      <c r="G50" s="150">
        <f>G25</f>
        <v>0</v>
      </c>
      <c r="H50" s="150">
        <f>H25</f>
        <v>0</v>
      </c>
      <c r="I50" s="150">
        <f>I25</f>
        <v>0</v>
      </c>
      <c r="J50" s="150">
        <f>SUM(G50:I50)</f>
        <v>0</v>
      </c>
      <c r="K50" s="150">
        <f>K25</f>
        <v>0</v>
      </c>
      <c r="L50" s="150">
        <v>0</v>
      </c>
      <c r="M50" s="150">
        <f>SUM(K50:L50)</f>
        <v>0</v>
      </c>
      <c r="N50" s="150">
        <f>N25</f>
        <v>0</v>
      </c>
      <c r="O50" s="150">
        <f>O25</f>
        <v>0</v>
      </c>
      <c r="P50" s="150">
        <f>SUM(M50:O50)</f>
        <v>0</v>
      </c>
      <c r="R50" s="86"/>
      <c r="S50" s="87"/>
      <c r="T50" s="22"/>
      <c r="U50" s="2"/>
      <c r="V50" s="2"/>
    </row>
    <row r="51" spans="1:22" x14ac:dyDescent="0.2">
      <c r="A51" s="28">
        <v>36</v>
      </c>
      <c r="B51" s="13"/>
      <c r="C51" s="14"/>
      <c r="D51" s="21"/>
      <c r="E51" s="21"/>
      <c r="F51" s="157"/>
      <c r="G51" s="150"/>
      <c r="H51" s="150"/>
      <c r="I51" s="150"/>
      <c r="J51" s="150"/>
      <c r="K51" s="150"/>
      <c r="L51" s="150"/>
      <c r="M51" s="150"/>
      <c r="N51" s="150"/>
      <c r="O51" s="150"/>
      <c r="P51" s="157"/>
      <c r="R51" s="88"/>
      <c r="S51" s="86"/>
      <c r="T51" s="22"/>
      <c r="U51" s="2"/>
      <c r="V51" s="2"/>
    </row>
    <row r="52" spans="1:22" x14ac:dyDescent="0.2">
      <c r="A52" s="28">
        <v>37</v>
      </c>
      <c r="B52" s="8" t="s">
        <v>0</v>
      </c>
      <c r="C52" s="5"/>
      <c r="D52" s="21"/>
      <c r="E52" s="21"/>
      <c r="F52" s="157">
        <f>+F27-L27</f>
        <v>0</v>
      </c>
      <c r="G52" s="150">
        <f>G27</f>
        <v>0</v>
      </c>
      <c r="H52" s="150">
        <f>H27</f>
        <v>0</v>
      </c>
      <c r="I52" s="150">
        <f>I27</f>
        <v>0</v>
      </c>
      <c r="J52" s="150">
        <f>SUM(G52:I52)</f>
        <v>0</v>
      </c>
      <c r="K52" s="150">
        <f>K27</f>
        <v>0</v>
      </c>
      <c r="L52" s="150">
        <v>0</v>
      </c>
      <c r="M52" s="150">
        <f>SUM(K52:L52)</f>
        <v>0</v>
      </c>
      <c r="N52" s="150">
        <f>N27</f>
        <v>0</v>
      </c>
      <c r="O52" s="150">
        <f>O27</f>
        <v>0</v>
      </c>
      <c r="P52" s="150">
        <f>SUM(M52:O52)</f>
        <v>0</v>
      </c>
      <c r="R52" s="86"/>
      <c r="S52" s="87"/>
      <c r="T52" s="22"/>
      <c r="U52" s="2"/>
      <c r="V52" s="2"/>
    </row>
    <row r="53" spans="1:22" x14ac:dyDescent="0.2">
      <c r="A53" s="28">
        <v>38</v>
      </c>
      <c r="B53" s="8"/>
      <c r="C53" s="5"/>
      <c r="D53" s="21"/>
      <c r="E53" s="21"/>
      <c r="F53" s="23"/>
      <c r="G53" s="21"/>
      <c r="H53" s="21"/>
      <c r="I53" s="21"/>
      <c r="J53" s="21"/>
      <c r="K53" s="21"/>
      <c r="L53" s="21"/>
      <c r="M53" s="21"/>
      <c r="N53" s="21"/>
      <c r="O53" s="21"/>
      <c r="P53" s="23"/>
      <c r="R53" s="86"/>
      <c r="S53" s="86"/>
      <c r="T53" s="22"/>
      <c r="U53" s="2"/>
      <c r="V53" s="2"/>
    </row>
    <row r="54" spans="1:22" x14ac:dyDescent="0.2">
      <c r="A54" s="28">
        <v>39</v>
      </c>
      <c r="B54" s="8" t="s">
        <v>26</v>
      </c>
      <c r="C54" s="5" t="s">
        <v>50</v>
      </c>
      <c r="D54" s="79"/>
      <c r="E54" s="79"/>
      <c r="F54" s="155">
        <f>+F29-L29</f>
        <v>127146045.88</v>
      </c>
      <c r="G54" s="155">
        <f>G29</f>
        <v>44003243.119999997</v>
      </c>
      <c r="H54" s="155">
        <f>H29</f>
        <v>373328.27</v>
      </c>
      <c r="I54" s="155">
        <f>I29</f>
        <v>1755145.34</v>
      </c>
      <c r="J54" s="155">
        <f>SUM(G54:I54)</f>
        <v>46131716.730000004</v>
      </c>
      <c r="K54" s="155">
        <f>K29</f>
        <v>66812956.150000006</v>
      </c>
      <c r="L54" s="155">
        <v>0</v>
      </c>
      <c r="M54" s="155">
        <f>SUM(K54:L54)</f>
        <v>66812956.150000006</v>
      </c>
      <c r="N54" s="155">
        <f>N29</f>
        <v>14115591</v>
      </c>
      <c r="O54" s="155">
        <f>O29</f>
        <v>85782</v>
      </c>
      <c r="P54" s="155">
        <f>SUM(M54:O54)</f>
        <v>81014329.150000006</v>
      </c>
      <c r="R54" s="86"/>
      <c r="S54" s="87"/>
      <c r="T54" s="22"/>
      <c r="U54" s="2"/>
      <c r="V54" s="2"/>
    </row>
    <row r="55" spans="1:22" x14ac:dyDescent="0.2">
      <c r="A55" s="28">
        <v>40</v>
      </c>
      <c r="B55" s="8"/>
      <c r="C55" s="5"/>
      <c r="D55" s="24"/>
      <c r="E55" s="24"/>
      <c r="F55" s="152"/>
      <c r="G55" s="24"/>
      <c r="H55" s="24"/>
      <c r="I55" s="24"/>
      <c r="J55" s="24"/>
      <c r="K55" s="24"/>
      <c r="L55" s="24"/>
      <c r="M55" s="24"/>
      <c r="N55" s="24"/>
      <c r="O55" s="24"/>
      <c r="P55" s="21"/>
      <c r="R55" s="86"/>
      <c r="S55" s="86"/>
      <c r="T55" s="22"/>
      <c r="U55" s="2"/>
      <c r="V55" s="2"/>
    </row>
    <row r="56" spans="1:22" s="7" customFormat="1" x14ac:dyDescent="0.2">
      <c r="A56" s="28">
        <v>41</v>
      </c>
      <c r="B56" s="74" t="s">
        <v>19</v>
      </c>
      <c r="C56" s="36"/>
      <c r="D56" s="81"/>
      <c r="E56" s="81"/>
      <c r="F56" s="155">
        <f>+F31-L31</f>
        <v>7798455809.5503187</v>
      </c>
      <c r="G56" s="155">
        <f>G31</f>
        <v>1757719468.85116</v>
      </c>
      <c r="H56" s="155">
        <f>H31</f>
        <v>153398623.36116502</v>
      </c>
      <c r="I56" s="155">
        <f>I31</f>
        <v>338120.02362699877</v>
      </c>
      <c r="J56" s="155">
        <f>SUM(G56:I56)</f>
        <v>1911456212.2359521</v>
      </c>
      <c r="K56" s="155">
        <f>K31</f>
        <v>5560092637.2491837</v>
      </c>
      <c r="L56" s="155">
        <v>0</v>
      </c>
      <c r="M56" s="155">
        <f>SUM(K56:L56)</f>
        <v>5560092637.2491837</v>
      </c>
      <c r="N56" s="155">
        <f>N31</f>
        <v>205242613.15620071</v>
      </c>
      <c r="O56" s="155">
        <f>O31</f>
        <v>121664346.90898402</v>
      </c>
      <c r="P56" s="155">
        <f>SUM(M56:O56)</f>
        <v>5886999597.3143682</v>
      </c>
      <c r="R56" s="86"/>
      <c r="S56" s="87"/>
      <c r="T56" s="25"/>
      <c r="U56" s="26"/>
      <c r="V56" s="26"/>
    </row>
    <row r="57" spans="1:22" x14ac:dyDescent="0.2">
      <c r="A57" s="28">
        <v>42</v>
      </c>
      <c r="B57" s="8"/>
      <c r="C57" s="8"/>
      <c r="D57" s="8"/>
      <c r="E57" s="8"/>
      <c r="F57" s="6"/>
      <c r="K57" s="3"/>
      <c r="L57" s="3"/>
      <c r="M57" s="3"/>
      <c r="N57" s="3"/>
      <c r="O57" s="3"/>
      <c r="P57" s="22"/>
      <c r="Q57" s="86"/>
      <c r="R57" s="22"/>
      <c r="S57" s="22"/>
      <c r="T57" s="22"/>
      <c r="U57" s="2"/>
      <c r="V57" s="2"/>
    </row>
    <row r="58" spans="1:22" x14ac:dyDescent="0.2">
      <c r="A58" s="28">
        <v>43</v>
      </c>
      <c r="B58" s="116" t="s">
        <v>538</v>
      </c>
      <c r="C58" s="13"/>
      <c r="D58" s="13"/>
      <c r="E58" s="13"/>
      <c r="F58" s="153"/>
      <c r="K58" s="3"/>
      <c r="L58" s="3"/>
      <c r="M58" s="3"/>
      <c r="N58" s="3"/>
      <c r="O58" s="3"/>
      <c r="P58" s="22"/>
      <c r="Q58" s="86"/>
      <c r="R58" s="22"/>
      <c r="S58" s="22"/>
      <c r="T58" s="22"/>
      <c r="U58" s="2"/>
      <c r="V58" s="2"/>
    </row>
    <row r="59" spans="1:22" x14ac:dyDescent="0.2">
      <c r="A59" s="28">
        <v>44</v>
      </c>
      <c r="B59" s="116" t="s">
        <v>539</v>
      </c>
      <c r="C59" s="8"/>
      <c r="D59" s="8"/>
      <c r="E59" s="8"/>
      <c r="F59" s="6"/>
      <c r="K59" s="3"/>
      <c r="L59" s="3"/>
      <c r="M59" s="3"/>
      <c r="N59" s="3"/>
      <c r="O59" s="3"/>
      <c r="P59" s="22"/>
      <c r="Q59" s="86"/>
      <c r="R59" s="22"/>
      <c r="S59" s="22"/>
      <c r="T59" s="22"/>
      <c r="U59" s="2"/>
      <c r="V59" s="2"/>
    </row>
    <row r="60" spans="1:22" x14ac:dyDescent="0.2">
      <c r="A60" s="28">
        <v>45</v>
      </c>
      <c r="B60" s="14"/>
      <c r="C60" s="14"/>
      <c r="D60" s="14"/>
      <c r="E60" s="14"/>
      <c r="F60" s="14"/>
      <c r="K60" s="3"/>
      <c r="L60" s="3"/>
      <c r="M60" s="3"/>
      <c r="N60" s="3"/>
      <c r="O60" s="3"/>
      <c r="P60" s="3"/>
      <c r="Q60" s="85"/>
      <c r="R60" s="3"/>
      <c r="S60" s="3"/>
      <c r="T60" s="3"/>
      <c r="U60" s="2"/>
      <c r="V60" s="2"/>
    </row>
    <row r="61" spans="1:22" x14ac:dyDescent="0.2">
      <c r="A61" s="28">
        <v>46</v>
      </c>
      <c r="B61" s="14"/>
      <c r="C61" s="14"/>
      <c r="D61" s="14"/>
      <c r="E61" s="14"/>
      <c r="F61" s="14"/>
      <c r="K61" s="3"/>
      <c r="L61" s="3"/>
      <c r="M61" s="3"/>
      <c r="N61" s="3"/>
      <c r="O61" s="3"/>
      <c r="P61" s="3"/>
      <c r="Q61" s="85"/>
      <c r="U61" s="2"/>
      <c r="V61" s="2"/>
    </row>
    <row r="62" spans="1:22" x14ac:dyDescent="0.2">
      <c r="A62" s="28">
        <v>47</v>
      </c>
      <c r="B62" s="30"/>
      <c r="C62" s="30"/>
      <c r="D62" s="30"/>
      <c r="E62" s="30"/>
      <c r="F62" s="30"/>
      <c r="K62" s="3"/>
      <c r="L62" s="3"/>
      <c r="M62" s="3"/>
      <c r="N62" s="3"/>
      <c r="O62" s="3"/>
      <c r="P62" s="3"/>
      <c r="Q62" s="85"/>
      <c r="U62" s="2"/>
      <c r="V62" s="2"/>
    </row>
    <row r="63" spans="1:22" x14ac:dyDescent="0.2">
      <c r="A63" s="28">
        <v>48</v>
      </c>
      <c r="B63" s="8"/>
      <c r="C63" s="8"/>
      <c r="D63" s="8"/>
      <c r="E63" s="8"/>
      <c r="F63" s="8"/>
      <c r="K63" s="31"/>
      <c r="L63" s="31"/>
      <c r="M63" s="31"/>
      <c r="N63" s="3"/>
      <c r="O63" s="3"/>
      <c r="P63" s="22"/>
      <c r="Q63" s="86"/>
      <c r="R63" s="22"/>
      <c r="S63" s="22"/>
      <c r="T63" s="22"/>
      <c r="U63" s="2"/>
      <c r="V63" s="2"/>
    </row>
    <row r="64" spans="1:22" x14ac:dyDescent="0.2">
      <c r="A64" s="28">
        <v>49</v>
      </c>
      <c r="B64" s="92"/>
      <c r="C64" s="8"/>
      <c r="D64" s="8"/>
      <c r="E64" s="144" t="s">
        <v>534</v>
      </c>
      <c r="F64" s="168">
        <f>+F48</f>
        <v>7925601855.4303188</v>
      </c>
      <c r="K64" s="31"/>
      <c r="L64" s="31"/>
      <c r="M64" s="31"/>
      <c r="N64" s="3"/>
      <c r="O64" s="3"/>
      <c r="P64" s="22"/>
      <c r="Q64" s="86"/>
      <c r="R64" s="22"/>
      <c r="S64" s="22"/>
      <c r="T64" s="22"/>
      <c r="U64" s="2"/>
      <c r="V64" s="2"/>
    </row>
    <row r="65" spans="1:22" x14ac:dyDescent="0.2">
      <c r="A65" s="28">
        <v>50</v>
      </c>
      <c r="B65" s="13"/>
      <c r="C65" s="13"/>
      <c r="D65" s="13"/>
      <c r="E65" s="169" t="s">
        <v>535</v>
      </c>
      <c r="F65" s="170">
        <f>+L23</f>
        <v>12691180.663816001</v>
      </c>
      <c r="G65" s="172" t="s">
        <v>536</v>
      </c>
      <c r="K65" s="31"/>
      <c r="L65" s="31"/>
      <c r="M65" s="31"/>
      <c r="N65" s="3"/>
      <c r="O65" s="3"/>
      <c r="P65" s="22"/>
      <c r="Q65" s="86"/>
      <c r="R65" s="22"/>
      <c r="S65" s="22"/>
      <c r="T65" s="22"/>
      <c r="U65" s="2"/>
      <c r="V65" s="2"/>
    </row>
    <row r="66" spans="1:22" ht="13.5" thickBot="1" x14ac:dyDescent="0.25">
      <c r="A66" s="28">
        <v>51</v>
      </c>
      <c r="B66" s="8"/>
      <c r="C66" s="8"/>
      <c r="D66" s="8"/>
      <c r="E66" s="144" t="s">
        <v>537</v>
      </c>
      <c r="F66" s="171">
        <f>SUM(F64:F65)</f>
        <v>7938293036.0941353</v>
      </c>
      <c r="K66" s="31"/>
      <c r="L66" s="31"/>
      <c r="M66" s="31"/>
      <c r="N66" s="3"/>
      <c r="O66" s="3"/>
      <c r="P66" s="22"/>
      <c r="Q66" s="86"/>
      <c r="R66" s="22"/>
      <c r="S66" s="22"/>
      <c r="T66" s="22"/>
      <c r="U66" s="2"/>
      <c r="V66" s="2"/>
    </row>
    <row r="67" spans="1:22" ht="13.5" thickTop="1" x14ac:dyDescent="0.2">
      <c r="A67" s="28">
        <v>52</v>
      </c>
      <c r="B67" s="13"/>
      <c r="C67" s="13"/>
      <c r="D67" s="13"/>
      <c r="E67" s="13"/>
      <c r="F67" s="13"/>
      <c r="K67" s="31"/>
      <c r="L67" s="31"/>
      <c r="M67" s="31"/>
      <c r="N67" s="3"/>
      <c r="O67" s="3"/>
      <c r="P67" s="22"/>
      <c r="Q67" s="86"/>
      <c r="R67" s="22"/>
      <c r="S67" s="22"/>
      <c r="T67" s="22"/>
      <c r="U67" s="2"/>
      <c r="V67" s="2"/>
    </row>
    <row r="68" spans="1:22" x14ac:dyDescent="0.2">
      <c r="A68" s="28">
        <v>53</v>
      </c>
      <c r="B68" s="14"/>
      <c r="C68" s="14"/>
      <c r="D68" s="14"/>
      <c r="E68" s="14"/>
      <c r="F68" s="14"/>
      <c r="K68" s="3"/>
      <c r="L68" s="3"/>
      <c r="M68" s="3"/>
      <c r="N68" s="3"/>
      <c r="O68" s="3"/>
      <c r="P68" s="3"/>
      <c r="Q68" s="85"/>
      <c r="R68" s="3"/>
      <c r="S68" s="3"/>
      <c r="T68" s="3"/>
      <c r="U68" s="2"/>
      <c r="V68" s="2"/>
    </row>
    <row r="69" spans="1:22" x14ac:dyDescent="0.2">
      <c r="A69" s="29"/>
      <c r="B69" s="8"/>
      <c r="C69" s="8"/>
      <c r="D69" s="8"/>
      <c r="E69" s="8"/>
      <c r="F69" s="8"/>
      <c r="K69" s="3"/>
      <c r="L69" s="3"/>
      <c r="M69" s="3"/>
      <c r="N69" s="3"/>
      <c r="O69" s="3"/>
      <c r="P69" s="3"/>
      <c r="Q69" s="85"/>
      <c r="U69" s="2"/>
      <c r="V69" s="2"/>
    </row>
    <row r="70" spans="1:22" x14ac:dyDescent="0.2">
      <c r="A70" s="29"/>
      <c r="B70" s="32"/>
      <c r="C70" s="32"/>
      <c r="D70" s="32"/>
      <c r="E70" s="32"/>
      <c r="F70" s="32"/>
      <c r="K70" s="3"/>
      <c r="L70" s="3"/>
      <c r="M70" s="3"/>
      <c r="N70" s="3"/>
      <c r="O70" s="3"/>
      <c r="P70" s="3"/>
      <c r="Q70" s="85"/>
      <c r="U70" s="2"/>
      <c r="V70" s="2"/>
    </row>
    <row r="71" spans="1:22" x14ac:dyDescent="0.2">
      <c r="A71" s="29"/>
      <c r="B71" s="30"/>
      <c r="C71" s="30"/>
      <c r="D71" s="30"/>
      <c r="E71" s="30"/>
      <c r="F71" s="30"/>
      <c r="K71" s="3"/>
      <c r="L71" s="3"/>
      <c r="M71" s="3"/>
      <c r="N71" s="3"/>
      <c r="O71" s="3"/>
      <c r="P71" s="3"/>
      <c r="Q71" s="85"/>
      <c r="U71" s="2"/>
      <c r="V71" s="2"/>
    </row>
    <row r="72" spans="1:22" x14ac:dyDescent="0.2">
      <c r="A72" s="29"/>
      <c r="B72" s="8"/>
      <c r="C72" s="8"/>
      <c r="D72" s="8"/>
      <c r="E72" s="8"/>
      <c r="F72" s="8"/>
      <c r="K72" s="31"/>
      <c r="L72" s="31"/>
      <c r="M72" s="31"/>
      <c r="N72" s="31"/>
      <c r="O72" s="31"/>
      <c r="P72" s="22"/>
      <c r="Q72" s="86"/>
      <c r="R72" s="22"/>
      <c r="S72" s="22"/>
      <c r="T72" s="22"/>
      <c r="U72" s="2"/>
      <c r="V72" s="2"/>
    </row>
    <row r="73" spans="1:22" x14ac:dyDescent="0.2">
      <c r="A73" s="29"/>
      <c r="B73" s="8"/>
      <c r="C73" s="8"/>
      <c r="D73" s="8"/>
      <c r="E73" s="8"/>
      <c r="F73" s="8"/>
      <c r="K73" s="31"/>
      <c r="L73" s="31"/>
      <c r="M73" s="31"/>
      <c r="N73" s="31"/>
      <c r="O73" s="31"/>
      <c r="P73" s="22"/>
      <c r="Q73" s="86"/>
      <c r="R73" s="22"/>
      <c r="S73" s="22"/>
      <c r="T73" s="22"/>
      <c r="U73" s="2"/>
      <c r="V73" s="2"/>
    </row>
    <row r="74" spans="1:22" x14ac:dyDescent="0.2">
      <c r="A74" s="29"/>
      <c r="B74" s="8"/>
      <c r="C74" s="8"/>
      <c r="D74" s="8"/>
      <c r="E74" s="8"/>
      <c r="F74" s="8"/>
      <c r="K74" s="31"/>
      <c r="L74" s="31"/>
      <c r="M74" s="31"/>
      <c r="N74" s="31"/>
      <c r="O74" s="31"/>
      <c r="P74" s="22"/>
      <c r="Q74" s="86"/>
      <c r="R74" s="22"/>
      <c r="S74" s="22"/>
      <c r="T74" s="22"/>
      <c r="U74" s="2"/>
      <c r="V74" s="2"/>
    </row>
    <row r="75" spans="1:22" x14ac:dyDescent="0.2">
      <c r="A75" s="29"/>
      <c r="B75" s="8"/>
      <c r="C75" s="8"/>
      <c r="D75" s="8"/>
      <c r="E75" s="8"/>
      <c r="F75" s="8"/>
      <c r="K75" s="31"/>
      <c r="L75" s="31"/>
      <c r="M75" s="31"/>
      <c r="N75" s="31"/>
      <c r="O75" s="31"/>
      <c r="P75" s="22"/>
      <c r="Q75" s="86"/>
      <c r="R75" s="22"/>
      <c r="S75" s="22"/>
      <c r="T75" s="22"/>
      <c r="U75" s="2"/>
      <c r="V75" s="2"/>
    </row>
    <row r="76" spans="1:22" x14ac:dyDescent="0.2">
      <c r="A76" s="29"/>
      <c r="B76" s="8"/>
      <c r="C76" s="8"/>
      <c r="D76" s="8"/>
      <c r="E76" s="8"/>
      <c r="F76" s="8"/>
      <c r="K76" s="31"/>
      <c r="L76" s="31"/>
      <c r="M76" s="31"/>
      <c r="N76" s="31"/>
      <c r="O76" s="31"/>
      <c r="P76" s="22"/>
      <c r="Q76" s="86"/>
      <c r="R76" s="22"/>
      <c r="S76" s="22"/>
      <c r="T76" s="22"/>
      <c r="U76" s="2"/>
      <c r="V76" s="2"/>
    </row>
    <row r="77" spans="1:22" x14ac:dyDescent="0.2">
      <c r="A77" s="29"/>
      <c r="B77" s="14"/>
      <c r="C77" s="14"/>
      <c r="D77" s="14"/>
      <c r="E77" s="14"/>
      <c r="F77" s="14"/>
      <c r="K77" s="3"/>
      <c r="L77" s="3"/>
      <c r="M77" s="3"/>
      <c r="N77" s="3"/>
      <c r="O77" s="3"/>
      <c r="P77" s="3"/>
      <c r="Q77" s="85"/>
      <c r="R77" s="3"/>
      <c r="S77" s="3"/>
      <c r="T77" s="3"/>
      <c r="U77" s="2"/>
      <c r="V77" s="2"/>
    </row>
    <row r="78" spans="1:22" x14ac:dyDescent="0.2">
      <c r="A78" s="29"/>
      <c r="B78" s="8"/>
      <c r="C78" s="8"/>
      <c r="D78" s="8"/>
      <c r="E78" s="8"/>
      <c r="F78" s="8"/>
      <c r="K78" s="3"/>
      <c r="L78" s="3"/>
      <c r="M78" s="3"/>
      <c r="N78" s="3"/>
      <c r="O78" s="3"/>
      <c r="P78" s="3"/>
      <c r="Q78" s="85"/>
      <c r="U78" s="2"/>
      <c r="V78" s="2"/>
    </row>
    <row r="79" spans="1:22" x14ac:dyDescent="0.2">
      <c r="A79" s="29"/>
      <c r="B79" s="30"/>
      <c r="C79" s="30"/>
      <c r="D79" s="30"/>
      <c r="E79" s="30"/>
      <c r="F79" s="30"/>
      <c r="K79" s="3"/>
      <c r="L79" s="3"/>
      <c r="M79" s="3"/>
      <c r="N79" s="3"/>
      <c r="O79" s="3"/>
      <c r="P79" s="3"/>
      <c r="Q79" s="85"/>
      <c r="U79" s="2"/>
      <c r="V79" s="2"/>
    </row>
    <row r="80" spans="1:22" x14ac:dyDescent="0.2">
      <c r="A80" s="29"/>
      <c r="B80" s="8"/>
      <c r="C80" s="8"/>
      <c r="D80" s="8"/>
      <c r="E80" s="8"/>
      <c r="F80" s="8"/>
      <c r="K80" s="31"/>
      <c r="L80" s="31"/>
      <c r="M80" s="31"/>
      <c r="N80" s="31"/>
      <c r="O80" s="31"/>
      <c r="P80" s="22"/>
      <c r="Q80" s="86"/>
      <c r="R80" s="22"/>
      <c r="S80" s="22"/>
      <c r="T80" s="22"/>
      <c r="U80" s="2"/>
      <c r="V80" s="2"/>
    </row>
    <row r="81" spans="1:22" x14ac:dyDescent="0.2">
      <c r="A81" s="29"/>
      <c r="B81" s="13"/>
      <c r="C81" s="13"/>
      <c r="D81" s="13"/>
      <c r="E81" s="13"/>
      <c r="F81" s="13"/>
      <c r="K81" s="31"/>
      <c r="L81" s="31"/>
      <c r="M81" s="31"/>
      <c r="N81" s="31"/>
      <c r="O81" s="31"/>
      <c r="P81" s="22"/>
      <c r="Q81" s="86"/>
      <c r="R81" s="22"/>
      <c r="S81" s="22"/>
      <c r="T81" s="22"/>
      <c r="U81" s="2"/>
      <c r="V81" s="2"/>
    </row>
  </sheetData>
  <mergeCells count="1">
    <mergeCell ref="B35:P35"/>
  </mergeCells>
  <phoneticPr fontId="3" type="noConversion"/>
  <conditionalFormatting sqref="D29:E29">
    <cfRule type="cellIs" priority="2" stopIfTrue="1" operator="lessThan">
      <formula>0</formula>
    </cfRule>
  </conditionalFormatting>
  <conditionalFormatting sqref="D54:E54">
    <cfRule type="cellIs" priority="1" stopIfTrue="1" operator="lessThan">
      <formula>0</formula>
    </cfRule>
  </conditionalFormatting>
  <printOptions horizontalCentered="1"/>
  <pageMargins left="0.25" right="0.25" top="3" bottom="0.25" header="1.5" footer="0.25"/>
  <pageSetup scale="42" fitToHeight="2" pageOrder="overThenDown" orientation="landscape"/>
  <headerFooter alignWithMargins="0">
    <oddHeader>&amp;R&amp;"Arial,Bold"Schedule &amp;A
Page &amp;P of &amp;N&amp;C&amp;B
2025 RATE CASE
ONCOR ELECTRIC DELIVERY COMPANY LLC
I-A-1 TOTAL  COST OF SERVICE BY FUNCTION
TEST YEAR ENDING DECEMBER 31, 2024
SPONSOR: W. ALAN LEDBETTER &amp;&amp; R. PRACHYL</oddHeader>
  </headerFooter>
  <rowBreaks count="1" manualBreakCount="1">
    <brk id="33" max="15"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O1820"/>
  <sheetViews>
    <sheetView zoomScale="115" zoomScaleNormal="115" workbookViewId="0">
      <pane ySplit="14" topLeftCell="A15" activePane="bottomLeft" state="frozen"/>
      <selection pane="bottomLeft" activeCell="A15" sqref="A15"/>
    </sheetView>
  </sheetViews>
  <sheetFormatPr defaultRowHeight="12.75" x14ac:dyDescent="0.2"/>
  <cols>
    <col min="1" max="1" width="6.28515625" customWidth="1"/>
    <col min="2" max="2" width="47.140625" style="103" customWidth="1"/>
    <col min="3" max="3" width="25.7109375" style="103" customWidth="1"/>
    <col min="4" max="4" width="40.28515625" style="103" bestFit="1" customWidth="1"/>
    <col min="5" max="5" width="15.5703125" style="103" bestFit="1" customWidth="1"/>
    <col min="6" max="6" width="20.42578125" style="103" bestFit="1" customWidth="1"/>
    <col min="7" max="7" width="14" bestFit="1" customWidth="1"/>
    <col min="8" max="8" width="11.7109375" bestFit="1" customWidth="1"/>
    <col min="11" max="11" width="16" bestFit="1" customWidth="1"/>
    <col min="12" max="12" width="13.42578125" bestFit="1" customWidth="1"/>
    <col min="13" max="13" width="11.28515625" bestFit="1" customWidth="1"/>
  </cols>
  <sheetData>
    <row r="1" spans="1:15" s="1" customFormat="1" x14ac:dyDescent="0.2">
      <c r="A1" s="7" t="str">
        <f>+'[2]Input Data'!$A$9</f>
        <v>2025 RATE CASE</v>
      </c>
      <c r="B1" s="102"/>
      <c r="C1" s="102"/>
      <c r="D1" s="102"/>
      <c r="E1" s="102"/>
      <c r="F1" s="102"/>
      <c r="G1" s="19"/>
      <c r="N1" s="82"/>
      <c r="O1" s="82"/>
    </row>
    <row r="2" spans="1:15" s="1" customFormat="1" x14ac:dyDescent="0.2">
      <c r="A2" s="10" t="str">
        <f>+'[2]Input Data'!$A$2</f>
        <v>ONCOR ELECTRIC DELIVERY COMPANY LLC</v>
      </c>
      <c r="B2" s="6"/>
      <c r="C2" s="6"/>
      <c r="D2" s="102"/>
      <c r="E2" s="102"/>
      <c r="F2" s="102"/>
      <c r="G2" s="5"/>
      <c r="H2" s="8"/>
      <c r="I2" s="8"/>
      <c r="J2" s="8"/>
      <c r="K2" s="8"/>
      <c r="L2" s="8"/>
      <c r="M2" s="8"/>
      <c r="N2" s="82"/>
      <c r="O2" s="82"/>
    </row>
    <row r="3" spans="1:15" s="1" customFormat="1" x14ac:dyDescent="0.2">
      <c r="A3" s="9" t="str">
        <f>CONCATENATE('[2]Schedule Sponsors'!$A$8," ",'[2]Schedule Sponsors'!$B$8)</f>
        <v>I-A-2 ADJUSTMENTS TO TEST YEAR</v>
      </c>
      <c r="B3" s="6"/>
      <c r="C3" s="9"/>
      <c r="D3" s="6"/>
      <c r="E3" s="6"/>
      <c r="F3" s="18"/>
      <c r="G3" s="19"/>
      <c r="N3" s="82"/>
      <c r="O3" s="82"/>
    </row>
    <row r="4" spans="1:15" s="1" customFormat="1" x14ac:dyDescent="0.2">
      <c r="A4" s="38" t="str">
        <f>+'[2]Input Data'!$A$4</f>
        <v>TEST YEAR ENDING DECEMBER 31, 2024</v>
      </c>
      <c r="B4" s="6"/>
      <c r="C4" s="10"/>
      <c r="D4" s="6"/>
      <c r="E4" s="6"/>
      <c r="F4" s="18"/>
      <c r="G4" s="19"/>
      <c r="N4" s="82"/>
      <c r="O4" s="82"/>
    </row>
    <row r="5" spans="1:15" s="1" customFormat="1" x14ac:dyDescent="0.2">
      <c r="A5" s="9" t="str">
        <f>CONCATENATE("SPONSOR: ",'[2]Schedule Sponsors'!$D$8)</f>
        <v>SPONSOR: W. ALAN LEDBETTER &amp;&amp; R. PRACHYL</v>
      </c>
      <c r="B5" s="6"/>
      <c r="C5" s="9"/>
      <c r="D5" s="6"/>
      <c r="E5" s="9"/>
      <c r="F5" s="102"/>
      <c r="G5" s="19"/>
      <c r="N5" s="82"/>
      <c r="O5" s="82"/>
    </row>
    <row r="10" spans="1:15" ht="13.5" thickBot="1" x14ac:dyDescent="0.25"/>
    <row r="11" spans="1:15" x14ac:dyDescent="0.2">
      <c r="A11" s="16"/>
      <c r="B11" s="16"/>
      <c r="C11" s="93"/>
      <c r="D11" s="104"/>
      <c r="E11" s="104"/>
      <c r="F11" s="104"/>
    </row>
    <row r="12" spans="1:15" x14ac:dyDescent="0.2">
      <c r="A12" s="17" t="s">
        <v>40</v>
      </c>
      <c r="B12" s="17"/>
      <c r="C12" s="94" t="s">
        <v>54</v>
      </c>
      <c r="D12" s="94" t="s">
        <v>55</v>
      </c>
      <c r="E12" s="94"/>
      <c r="F12" s="94" t="s">
        <v>56</v>
      </c>
    </row>
    <row r="13" spans="1:15" ht="13.5" thickBot="1" x14ac:dyDescent="0.25">
      <c r="A13" s="89" t="s">
        <v>41</v>
      </c>
      <c r="B13" s="89" t="s">
        <v>1</v>
      </c>
      <c r="C13" s="105" t="s">
        <v>4</v>
      </c>
      <c r="D13" s="105" t="s">
        <v>4</v>
      </c>
      <c r="E13" s="105" t="s">
        <v>24</v>
      </c>
      <c r="F13" s="105" t="s">
        <v>57</v>
      </c>
    </row>
    <row r="14" spans="1:15" ht="13.5" thickBot="1" x14ac:dyDescent="0.25">
      <c r="B14" s="106" t="s">
        <v>30</v>
      </c>
      <c r="C14" s="106" t="s">
        <v>31</v>
      </c>
      <c r="D14" s="42" t="s">
        <v>32</v>
      </c>
      <c r="E14" s="42" t="s">
        <v>33</v>
      </c>
      <c r="F14" s="42" t="s">
        <v>34</v>
      </c>
    </row>
    <row r="15" spans="1:15" ht="13.5" thickBot="1" x14ac:dyDescent="0.25">
      <c r="A15" s="132">
        <v>1</v>
      </c>
      <c r="B15" s="115" t="s">
        <v>76</v>
      </c>
    </row>
    <row r="16" spans="1:15" x14ac:dyDescent="0.2">
      <c r="A16" s="132">
        <v>2</v>
      </c>
    </row>
    <row r="17" spans="1:9" x14ac:dyDescent="0.2">
      <c r="A17" s="132">
        <v>3</v>
      </c>
      <c r="B17" s="131" t="s">
        <v>77</v>
      </c>
      <c r="C17" s="117" t="s">
        <v>78</v>
      </c>
      <c r="D17" s="118"/>
      <c r="E17" s="118"/>
      <c r="F17" s="119" t="s">
        <v>79</v>
      </c>
      <c r="I17" s="116"/>
    </row>
    <row r="18" spans="1:9" x14ac:dyDescent="0.2">
      <c r="A18" s="132">
        <v>4</v>
      </c>
      <c r="B18" s="120"/>
      <c r="C18" s="121"/>
      <c r="D18" s="121"/>
      <c r="E18" s="121"/>
      <c r="F18" s="122"/>
      <c r="I18" s="116"/>
    </row>
    <row r="19" spans="1:9" x14ac:dyDescent="0.2">
      <c r="A19" s="132">
        <v>5</v>
      </c>
      <c r="B19" s="123" t="s">
        <v>367</v>
      </c>
      <c r="C19" s="121"/>
      <c r="D19" s="121"/>
      <c r="E19" s="124">
        <f>+'[5]II-B-1'!$G$18</f>
        <v>1310758587.25</v>
      </c>
      <c r="F19" s="122"/>
      <c r="I19" s="116"/>
    </row>
    <row r="20" spans="1:9" x14ac:dyDescent="0.2">
      <c r="A20" s="132">
        <v>6</v>
      </c>
      <c r="B20" s="123" t="s">
        <v>368</v>
      </c>
      <c r="C20" s="121"/>
      <c r="D20" s="121"/>
      <c r="E20" s="125">
        <f>+'[5]II-B-1'!$I$18</f>
        <v>15899999.999999523</v>
      </c>
      <c r="F20" s="122"/>
      <c r="I20" s="116"/>
    </row>
    <row r="21" spans="1:9" x14ac:dyDescent="0.2">
      <c r="A21" s="132">
        <v>7</v>
      </c>
      <c r="B21" s="120"/>
      <c r="C21" s="121"/>
      <c r="D21" s="121"/>
      <c r="E21" s="124"/>
      <c r="F21" s="122"/>
    </row>
    <row r="22" spans="1:9" ht="13.5" thickBot="1" x14ac:dyDescent="0.25">
      <c r="A22" s="132">
        <v>8</v>
      </c>
      <c r="B22" s="126" t="str">
        <f>CONCATENATE(MID(B19,1,4)," - Adjustment")</f>
        <v>A303 - Adjustment</v>
      </c>
      <c r="C22" s="121"/>
      <c r="D22" s="121"/>
      <c r="E22" s="133">
        <f>+E20-E19</f>
        <v>-1294858587.2500005</v>
      </c>
      <c r="F22" s="127"/>
    </row>
    <row r="23" spans="1:9" ht="13.5" thickTop="1" x14ac:dyDescent="0.2">
      <c r="A23" s="132">
        <v>9</v>
      </c>
      <c r="B23" s="128"/>
      <c r="C23" s="129"/>
      <c r="D23" s="129"/>
      <c r="E23" s="129"/>
      <c r="F23" s="130"/>
    </row>
    <row r="24" spans="1:9" x14ac:dyDescent="0.2">
      <c r="A24" s="132">
        <v>10</v>
      </c>
    </row>
    <row r="25" spans="1:9" x14ac:dyDescent="0.2">
      <c r="A25" s="132">
        <v>11</v>
      </c>
      <c r="B25" s="131" t="s">
        <v>77</v>
      </c>
      <c r="C25" s="117" t="s">
        <v>78</v>
      </c>
      <c r="D25" s="118"/>
      <c r="E25" s="118"/>
      <c r="F25" s="119" t="s">
        <v>79</v>
      </c>
    </row>
    <row r="26" spans="1:9" x14ac:dyDescent="0.2">
      <c r="A26" s="132">
        <v>12</v>
      </c>
      <c r="B26" s="120"/>
      <c r="C26" s="121"/>
      <c r="D26" s="121"/>
      <c r="E26" s="121"/>
      <c r="F26" s="122"/>
    </row>
    <row r="27" spans="1:9" x14ac:dyDescent="0.2">
      <c r="A27" s="132">
        <v>13</v>
      </c>
      <c r="B27" s="123" t="s">
        <v>369</v>
      </c>
      <c r="C27" s="121"/>
      <c r="D27" s="121"/>
      <c r="E27" s="124">
        <f>+'[5]II-B-1'!$G$26</f>
        <v>0</v>
      </c>
      <c r="F27" s="122"/>
    </row>
    <row r="28" spans="1:9" x14ac:dyDescent="0.2">
      <c r="A28" s="132">
        <v>14</v>
      </c>
      <c r="B28" s="123" t="s">
        <v>370</v>
      </c>
      <c r="C28" s="121"/>
      <c r="D28" s="121"/>
      <c r="E28" s="125">
        <f>+'[5]II-B-1'!$I$26</f>
        <v>150825746.09999999</v>
      </c>
      <c r="F28" s="122"/>
    </row>
    <row r="29" spans="1:9" x14ac:dyDescent="0.2">
      <c r="A29" s="132">
        <v>15</v>
      </c>
      <c r="B29" s="120"/>
      <c r="C29" s="121"/>
      <c r="D29" s="121"/>
      <c r="E29" s="124"/>
      <c r="F29" s="122"/>
    </row>
    <row r="30" spans="1:9" ht="13.5" thickBot="1" x14ac:dyDescent="0.25">
      <c r="A30" s="132">
        <v>16</v>
      </c>
      <c r="B30" s="126" t="str">
        <f>CONCATENATE(MID(B27,1,6)," - Adjustment")</f>
        <v>A351.2 - Adjustment</v>
      </c>
      <c r="C30" s="121"/>
      <c r="D30" s="121"/>
      <c r="E30" s="133">
        <f>+E28-E27</f>
        <v>150825746.09999999</v>
      </c>
      <c r="F30" s="127"/>
    </row>
    <row r="31" spans="1:9" ht="13.5" thickTop="1" x14ac:dyDescent="0.2">
      <c r="A31" s="132">
        <v>17</v>
      </c>
      <c r="B31" s="128"/>
      <c r="C31" s="129"/>
      <c r="D31" s="129"/>
      <c r="E31" s="129"/>
      <c r="F31" s="130"/>
    </row>
    <row r="32" spans="1:9" x14ac:dyDescent="0.2">
      <c r="A32" s="132">
        <v>18</v>
      </c>
    </row>
    <row r="33" spans="1:6" x14ac:dyDescent="0.2">
      <c r="A33" s="132">
        <v>19</v>
      </c>
      <c r="B33" s="131" t="s">
        <v>77</v>
      </c>
      <c r="C33" s="117" t="s">
        <v>78</v>
      </c>
      <c r="D33" s="118"/>
      <c r="E33" s="118"/>
      <c r="F33" s="119" t="s">
        <v>79</v>
      </c>
    </row>
    <row r="34" spans="1:6" x14ac:dyDescent="0.2">
      <c r="A34" s="132">
        <v>20</v>
      </c>
      <c r="B34" s="120"/>
      <c r="C34" s="121"/>
      <c r="D34" s="121"/>
      <c r="E34" s="121"/>
      <c r="F34" s="122"/>
    </row>
    <row r="35" spans="1:6" x14ac:dyDescent="0.2">
      <c r="A35" s="132">
        <v>21</v>
      </c>
      <c r="B35" s="123" t="s">
        <v>371</v>
      </c>
      <c r="C35" s="121"/>
      <c r="D35" s="121"/>
      <c r="E35" s="124">
        <f>+'[5]II-B-1'!$G$27</f>
        <v>0</v>
      </c>
      <c r="F35" s="122"/>
    </row>
    <row r="36" spans="1:6" x14ac:dyDescent="0.2">
      <c r="A36" s="132">
        <v>22</v>
      </c>
      <c r="B36" s="123" t="s">
        <v>372</v>
      </c>
      <c r="C36" s="121"/>
      <c r="D36" s="121"/>
      <c r="E36" s="125">
        <f>+'[5]II-B-1'!$I$27</f>
        <v>3528604.2500000005</v>
      </c>
      <c r="F36" s="122"/>
    </row>
    <row r="37" spans="1:6" x14ac:dyDescent="0.2">
      <c r="A37" s="132">
        <v>23</v>
      </c>
      <c r="B37" s="120"/>
      <c r="C37" s="121"/>
      <c r="D37" s="121"/>
      <c r="E37" s="124"/>
      <c r="F37" s="122"/>
    </row>
    <row r="38" spans="1:6" ht="13.5" thickBot="1" x14ac:dyDescent="0.25">
      <c r="A38" s="132">
        <v>24</v>
      </c>
      <c r="B38" s="126" t="str">
        <f>CONCATENATE(MID(B35,1,6)," - Adjustment")</f>
        <v>A351.3 - Adjustment</v>
      </c>
      <c r="C38" s="121"/>
      <c r="D38" s="121"/>
      <c r="E38" s="133">
        <f>+E36-E35</f>
        <v>3528604.2500000005</v>
      </c>
      <c r="F38" s="127"/>
    </row>
    <row r="39" spans="1:6" ht="13.5" thickTop="1" x14ac:dyDescent="0.2">
      <c r="A39" s="132">
        <v>25</v>
      </c>
      <c r="B39" s="128"/>
      <c r="C39" s="129"/>
      <c r="D39" s="129"/>
      <c r="E39" s="129"/>
      <c r="F39" s="130"/>
    </row>
    <row r="40" spans="1:6" x14ac:dyDescent="0.2">
      <c r="A40" s="132">
        <v>26</v>
      </c>
    </row>
    <row r="41" spans="1:6" x14ac:dyDescent="0.2">
      <c r="A41" s="132">
        <v>27</v>
      </c>
      <c r="B41" s="131" t="s">
        <v>77</v>
      </c>
      <c r="C41" s="117" t="s">
        <v>78</v>
      </c>
      <c r="D41" s="118"/>
      <c r="E41" s="118"/>
      <c r="F41" s="119" t="s">
        <v>79</v>
      </c>
    </row>
    <row r="42" spans="1:6" x14ac:dyDescent="0.2">
      <c r="A42" s="132">
        <v>28</v>
      </c>
      <c r="B42" s="120"/>
      <c r="C42" s="121"/>
      <c r="D42" s="121"/>
      <c r="E42" s="121"/>
      <c r="F42" s="122"/>
    </row>
    <row r="43" spans="1:6" x14ac:dyDescent="0.2">
      <c r="A43" s="132">
        <v>29</v>
      </c>
      <c r="B43" s="123" t="s">
        <v>373</v>
      </c>
      <c r="C43" s="121"/>
      <c r="D43" s="121"/>
      <c r="E43" s="124">
        <f>+'[5]II-B-1'!$G$42</f>
        <v>3456375288.6799998</v>
      </c>
      <c r="F43" s="122"/>
    </row>
    <row r="44" spans="1:6" x14ac:dyDescent="0.2">
      <c r="A44" s="132">
        <v>30</v>
      </c>
      <c r="B44" s="123" t="s">
        <v>374</v>
      </c>
      <c r="C44" s="121"/>
      <c r="D44" s="121"/>
      <c r="E44" s="125">
        <f>+'[5]II-B-1'!$I$42</f>
        <v>3449540607.2399998</v>
      </c>
      <c r="F44" s="122"/>
    </row>
    <row r="45" spans="1:6" x14ac:dyDescent="0.2">
      <c r="A45" s="132">
        <v>31</v>
      </c>
      <c r="B45" s="120"/>
      <c r="C45" s="121"/>
      <c r="D45" s="121"/>
      <c r="E45" s="124"/>
      <c r="F45" s="122"/>
    </row>
    <row r="46" spans="1:6" ht="13.5" thickBot="1" x14ac:dyDescent="0.25">
      <c r="A46" s="132">
        <v>32</v>
      </c>
      <c r="B46" s="126" t="str">
        <f>CONCATENATE(MID(B43,1,4)," - Adjustment")</f>
        <v>A362 - Adjustment</v>
      </c>
      <c r="C46" s="121"/>
      <c r="D46" s="121"/>
      <c r="E46" s="133">
        <f>+E44-E43</f>
        <v>-6834681.4400000572</v>
      </c>
      <c r="F46" s="127"/>
    </row>
    <row r="47" spans="1:6" ht="13.5" thickTop="1" x14ac:dyDescent="0.2">
      <c r="A47" s="132">
        <v>33</v>
      </c>
      <c r="B47" s="128"/>
      <c r="C47" s="129"/>
      <c r="D47" s="129"/>
      <c r="E47" s="129"/>
      <c r="F47" s="130"/>
    </row>
    <row r="48" spans="1:6" x14ac:dyDescent="0.2">
      <c r="A48" s="132">
        <v>34</v>
      </c>
      <c r="B48" s="121"/>
      <c r="C48" s="121"/>
      <c r="D48" s="121"/>
      <c r="E48" s="121"/>
      <c r="F48" s="121"/>
    </row>
    <row r="49" spans="1:6" x14ac:dyDescent="0.2">
      <c r="A49" s="132">
        <v>35</v>
      </c>
      <c r="B49" s="131" t="s">
        <v>77</v>
      </c>
      <c r="C49" s="117" t="s">
        <v>78</v>
      </c>
      <c r="D49" s="118"/>
      <c r="E49" s="118"/>
      <c r="F49" s="119" t="s">
        <v>79</v>
      </c>
    </row>
    <row r="50" spans="1:6" x14ac:dyDescent="0.2">
      <c r="A50" s="132">
        <v>36</v>
      </c>
      <c r="B50" s="120"/>
      <c r="C50" s="121"/>
      <c r="D50" s="121"/>
      <c r="E50" s="121"/>
      <c r="F50" s="122"/>
    </row>
    <row r="51" spans="1:6" x14ac:dyDescent="0.2">
      <c r="A51" s="132">
        <v>37</v>
      </c>
      <c r="B51" s="123" t="s">
        <v>375</v>
      </c>
      <c r="C51" s="121"/>
      <c r="D51" s="121"/>
      <c r="E51" s="124">
        <f>+'[5]II-B-1'!$G$44</f>
        <v>0</v>
      </c>
      <c r="F51" s="122"/>
    </row>
    <row r="52" spans="1:6" x14ac:dyDescent="0.2">
      <c r="A52" s="132">
        <v>38</v>
      </c>
      <c r="B52" s="123" t="s">
        <v>376</v>
      </c>
      <c r="C52" s="121"/>
      <c r="D52" s="121"/>
      <c r="E52" s="125">
        <f>+'[5]II-B-1'!$I$44</f>
        <v>783527550.65000021</v>
      </c>
      <c r="F52" s="122"/>
    </row>
    <row r="53" spans="1:6" x14ac:dyDescent="0.2">
      <c r="A53" s="132">
        <v>39</v>
      </c>
      <c r="B53" s="120"/>
      <c r="C53" s="121"/>
      <c r="D53" s="121"/>
      <c r="E53" s="124"/>
      <c r="F53" s="122"/>
    </row>
    <row r="54" spans="1:6" ht="13.5" thickBot="1" x14ac:dyDescent="0.25">
      <c r="A54" s="132">
        <v>40</v>
      </c>
      <c r="B54" s="126" t="str">
        <f>CONCATENATE(MID(B51,1,6)," - Adjustment")</f>
        <v>A363.2 - Adjustment</v>
      </c>
      <c r="C54" s="121"/>
      <c r="D54" s="121"/>
      <c r="E54" s="133">
        <f>+E52-E51</f>
        <v>783527550.65000021</v>
      </c>
      <c r="F54" s="127"/>
    </row>
    <row r="55" spans="1:6" ht="13.5" thickTop="1" x14ac:dyDescent="0.2">
      <c r="A55" s="132">
        <v>41</v>
      </c>
      <c r="B55" s="128"/>
      <c r="C55" s="129"/>
      <c r="D55" s="129"/>
      <c r="E55" s="129"/>
      <c r="F55" s="130"/>
    </row>
    <row r="56" spans="1:6" x14ac:dyDescent="0.2">
      <c r="A56" s="132">
        <v>42</v>
      </c>
      <c r="B56" s="121"/>
      <c r="C56" s="121"/>
      <c r="D56" s="121"/>
      <c r="E56" s="121"/>
      <c r="F56" s="121"/>
    </row>
    <row r="57" spans="1:6" x14ac:dyDescent="0.2">
      <c r="A57" s="132">
        <v>43</v>
      </c>
      <c r="B57" s="131" t="s">
        <v>77</v>
      </c>
      <c r="C57" s="117" t="s">
        <v>78</v>
      </c>
      <c r="D57" s="118"/>
      <c r="E57" s="118"/>
      <c r="F57" s="119" t="s">
        <v>79</v>
      </c>
    </row>
    <row r="58" spans="1:6" x14ac:dyDescent="0.2">
      <c r="A58" s="132">
        <v>44</v>
      </c>
      <c r="B58" s="120"/>
      <c r="C58" s="121"/>
      <c r="D58" s="121"/>
      <c r="E58" s="121"/>
      <c r="F58" s="122"/>
    </row>
    <row r="59" spans="1:6" x14ac:dyDescent="0.2">
      <c r="A59" s="132">
        <v>45</v>
      </c>
      <c r="B59" s="123" t="s">
        <v>377</v>
      </c>
      <c r="C59" s="121"/>
      <c r="D59" s="121"/>
      <c r="E59" s="124">
        <f>+'[5]II-B-1'!$G$45</f>
        <v>0</v>
      </c>
      <c r="F59" s="122"/>
    </row>
    <row r="60" spans="1:6" x14ac:dyDescent="0.2">
      <c r="A60" s="132">
        <v>46</v>
      </c>
      <c r="B60" s="123" t="s">
        <v>378</v>
      </c>
      <c r="C60" s="121"/>
      <c r="D60" s="121"/>
      <c r="E60" s="125">
        <f>+'[5]II-B-1'!$I$45</f>
        <v>38191350.260000005</v>
      </c>
      <c r="F60" s="122"/>
    </row>
    <row r="61" spans="1:6" x14ac:dyDescent="0.2">
      <c r="A61" s="132">
        <v>47</v>
      </c>
      <c r="B61" s="120"/>
      <c r="C61" s="121"/>
      <c r="D61" s="121"/>
      <c r="E61" s="124"/>
      <c r="F61" s="122"/>
    </row>
    <row r="62" spans="1:6" ht="13.5" thickBot="1" x14ac:dyDescent="0.25">
      <c r="A62" s="132">
        <v>48</v>
      </c>
      <c r="B62" s="126" t="str">
        <f>CONCATENATE(MID(B59,1,6)," - Adjustment")</f>
        <v>A363.3 - Adjustment</v>
      </c>
      <c r="C62" s="121"/>
      <c r="D62" s="121"/>
      <c r="E62" s="133">
        <f>+E60-E59</f>
        <v>38191350.260000005</v>
      </c>
      <c r="F62" s="127"/>
    </row>
    <row r="63" spans="1:6" ht="13.5" thickTop="1" x14ac:dyDescent="0.2">
      <c r="A63" s="132">
        <v>49</v>
      </c>
      <c r="B63" s="128"/>
      <c r="C63" s="129"/>
      <c r="D63" s="129"/>
      <c r="E63" s="129"/>
      <c r="F63" s="130"/>
    </row>
    <row r="64" spans="1:6" x14ac:dyDescent="0.2">
      <c r="A64" s="132">
        <v>50</v>
      </c>
      <c r="B64" s="161"/>
      <c r="C64" s="161"/>
      <c r="D64" s="161"/>
      <c r="E64" s="161"/>
      <c r="F64" s="161"/>
    </row>
    <row r="65" spans="1:6" x14ac:dyDescent="0.2">
      <c r="A65" s="132">
        <v>51</v>
      </c>
      <c r="B65" s="131" t="s">
        <v>88</v>
      </c>
      <c r="C65" s="117" t="s">
        <v>78</v>
      </c>
      <c r="D65" s="118"/>
      <c r="E65" s="118"/>
      <c r="F65" s="119" t="s">
        <v>79</v>
      </c>
    </row>
    <row r="66" spans="1:6" x14ac:dyDescent="0.2">
      <c r="A66" s="132">
        <v>52</v>
      </c>
      <c r="B66" s="120"/>
      <c r="C66" s="121"/>
      <c r="D66" s="121"/>
      <c r="E66" s="121"/>
      <c r="F66" s="122"/>
    </row>
    <row r="67" spans="1:6" x14ac:dyDescent="0.2">
      <c r="A67" s="132">
        <v>53</v>
      </c>
      <c r="B67" s="123" t="s">
        <v>84</v>
      </c>
      <c r="C67" s="121"/>
      <c r="D67" s="121"/>
      <c r="E67" s="124">
        <f>+'[5]II-B-2'!$G$18</f>
        <v>402851129.63999999</v>
      </c>
      <c r="F67" s="122"/>
    </row>
    <row r="68" spans="1:6" x14ac:dyDescent="0.2">
      <c r="A68" s="132">
        <v>54</v>
      </c>
      <c r="B68" s="123" t="s">
        <v>85</v>
      </c>
      <c r="C68" s="121"/>
      <c r="D68" s="121"/>
      <c r="E68" s="125">
        <f>+'[5]II-B-2'!$I$18</f>
        <v>383599729.63999999</v>
      </c>
      <c r="F68" s="122"/>
    </row>
    <row r="69" spans="1:6" x14ac:dyDescent="0.2">
      <c r="A69" s="132">
        <v>55</v>
      </c>
      <c r="B69" s="120"/>
      <c r="C69" s="121"/>
      <c r="D69" s="121"/>
      <c r="E69" s="124"/>
      <c r="F69" s="122"/>
    </row>
    <row r="70" spans="1:6" ht="13.5" thickBot="1" x14ac:dyDescent="0.25">
      <c r="A70" s="132">
        <v>56</v>
      </c>
      <c r="B70" s="126" t="str">
        <f>CONCATENATE(MID(B67,1,4)," - Adjustment")</f>
        <v>A390 - Adjustment</v>
      </c>
      <c r="C70" s="121"/>
      <c r="D70" s="121"/>
      <c r="E70" s="133">
        <f>+E68-E67</f>
        <v>-19251400</v>
      </c>
      <c r="F70" s="127"/>
    </row>
    <row r="71" spans="1:6" ht="13.5" thickTop="1" x14ac:dyDescent="0.2">
      <c r="A71" s="132">
        <v>57</v>
      </c>
      <c r="B71" s="128"/>
      <c r="C71" s="129"/>
      <c r="D71" s="129"/>
      <c r="E71" s="129"/>
      <c r="F71" s="130"/>
    </row>
    <row r="72" spans="1:6" x14ac:dyDescent="0.2">
      <c r="A72" s="132">
        <v>58</v>
      </c>
    </row>
    <row r="73" spans="1:6" x14ac:dyDescent="0.2">
      <c r="A73" s="132">
        <v>59</v>
      </c>
      <c r="B73" s="131" t="s">
        <v>88</v>
      </c>
      <c r="C73" s="117" t="s">
        <v>78</v>
      </c>
      <c r="D73" s="118"/>
      <c r="E73" s="118"/>
      <c r="F73" s="119" t="s">
        <v>79</v>
      </c>
    </row>
    <row r="74" spans="1:6" x14ac:dyDescent="0.2">
      <c r="A74" s="132">
        <v>60</v>
      </c>
      <c r="B74" s="120"/>
      <c r="C74" s="121"/>
      <c r="D74" s="121"/>
      <c r="E74" s="121"/>
      <c r="F74" s="122"/>
    </row>
    <row r="75" spans="1:6" x14ac:dyDescent="0.2">
      <c r="A75" s="132">
        <v>61</v>
      </c>
      <c r="B75" s="123" t="s">
        <v>379</v>
      </c>
      <c r="C75" s="121"/>
      <c r="D75" s="121"/>
      <c r="E75" s="124">
        <f>+'[5]II-B-2'!$G$19</f>
        <v>198284027.01999998</v>
      </c>
      <c r="F75" s="122"/>
    </row>
    <row r="76" spans="1:6" x14ac:dyDescent="0.2">
      <c r="A76" s="132">
        <v>62</v>
      </c>
      <c r="B76" s="123" t="s">
        <v>380</v>
      </c>
      <c r="C76" s="121"/>
      <c r="D76" s="121"/>
      <c r="E76" s="125">
        <f>+'[5]II-B-2'!$I$19</f>
        <v>28353060.269999802</v>
      </c>
      <c r="F76" s="122"/>
    </row>
    <row r="77" spans="1:6" x14ac:dyDescent="0.2">
      <c r="A77" s="132">
        <v>63</v>
      </c>
      <c r="B77" s="120"/>
      <c r="C77" s="121"/>
      <c r="D77" s="121"/>
      <c r="E77" s="124"/>
      <c r="F77" s="122"/>
    </row>
    <row r="78" spans="1:6" ht="13.5" thickBot="1" x14ac:dyDescent="0.25">
      <c r="A78" s="132">
        <v>64</v>
      </c>
      <c r="B78" s="126" t="str">
        <f>CONCATENATE(MID(B75,1,4)," - Adjustment")</f>
        <v>A391 - Adjustment</v>
      </c>
      <c r="C78" s="121"/>
      <c r="D78" s="121"/>
      <c r="E78" s="133">
        <f>+E76-E75</f>
        <v>-169930966.75000018</v>
      </c>
      <c r="F78" s="127"/>
    </row>
    <row r="79" spans="1:6" ht="13.5" thickTop="1" x14ac:dyDescent="0.2">
      <c r="A79" s="132">
        <v>65</v>
      </c>
      <c r="B79" s="126"/>
      <c r="C79" s="121"/>
      <c r="D79" s="121"/>
      <c r="E79" s="139"/>
      <c r="F79" s="127"/>
    </row>
    <row r="80" spans="1:6" x14ac:dyDescent="0.2">
      <c r="A80" s="132">
        <v>66</v>
      </c>
      <c r="B80" s="161"/>
      <c r="C80" s="161"/>
      <c r="D80" s="161"/>
      <c r="E80" s="161"/>
      <c r="F80" s="161"/>
    </row>
    <row r="81" spans="1:6" x14ac:dyDescent="0.2">
      <c r="A81" s="132">
        <v>67</v>
      </c>
      <c r="B81" s="131" t="s">
        <v>88</v>
      </c>
      <c r="C81" s="117" t="s">
        <v>78</v>
      </c>
      <c r="D81" s="118"/>
      <c r="E81" s="118"/>
      <c r="F81" s="119" t="s">
        <v>79</v>
      </c>
    </row>
    <row r="82" spans="1:6" x14ac:dyDescent="0.2">
      <c r="A82" s="132">
        <v>68</v>
      </c>
      <c r="B82" s="120"/>
      <c r="C82" s="121"/>
      <c r="D82" s="121"/>
      <c r="E82" s="121"/>
      <c r="F82" s="122"/>
    </row>
    <row r="83" spans="1:6" x14ac:dyDescent="0.2">
      <c r="A83" s="132">
        <v>69</v>
      </c>
      <c r="B83" s="123" t="s">
        <v>86</v>
      </c>
      <c r="C83" s="121"/>
      <c r="D83" s="121"/>
      <c r="E83" s="124">
        <f>+'[5]II-B-2'!$G$20</f>
        <v>24553637.989999998</v>
      </c>
      <c r="F83" s="122"/>
    </row>
    <row r="84" spans="1:6" x14ac:dyDescent="0.2">
      <c r="A84" s="132">
        <v>70</v>
      </c>
      <c r="B84" s="123" t="s">
        <v>87</v>
      </c>
      <c r="C84" s="121"/>
      <c r="D84" s="121"/>
      <c r="E84" s="125">
        <f>+'[5]II-B-2'!$I$20</f>
        <v>20199287.829999998</v>
      </c>
      <c r="F84" s="122"/>
    </row>
    <row r="85" spans="1:6" x14ac:dyDescent="0.2">
      <c r="A85" s="132">
        <v>71</v>
      </c>
      <c r="B85" s="120"/>
      <c r="C85" s="121"/>
      <c r="D85" s="121"/>
      <c r="E85" s="124"/>
      <c r="F85" s="122"/>
    </row>
    <row r="86" spans="1:6" ht="13.5" thickBot="1" x14ac:dyDescent="0.25">
      <c r="A86" s="132">
        <v>72</v>
      </c>
      <c r="B86" s="126" t="str">
        <f>CONCATENATE(MID(B83,1,4)," - Adjustment")</f>
        <v>A392 - Adjustment</v>
      </c>
      <c r="C86" s="121"/>
      <c r="D86" s="121"/>
      <c r="E86" s="133">
        <f>+E84-E83</f>
        <v>-4354350.16</v>
      </c>
      <c r="F86" s="127"/>
    </row>
    <row r="87" spans="1:6" ht="13.5" thickTop="1" x14ac:dyDescent="0.2">
      <c r="A87" s="132">
        <v>73</v>
      </c>
      <c r="B87" s="128"/>
      <c r="C87" s="129"/>
      <c r="D87" s="129"/>
      <c r="E87" s="129"/>
      <c r="F87" s="130"/>
    </row>
    <row r="88" spans="1:6" x14ac:dyDescent="0.2">
      <c r="A88" s="132">
        <v>74</v>
      </c>
      <c r="B88" s="121"/>
      <c r="C88" s="121"/>
      <c r="D88" s="121"/>
      <c r="E88" s="121"/>
      <c r="F88" s="121"/>
    </row>
    <row r="89" spans="1:6" x14ac:dyDescent="0.2">
      <c r="A89" s="132">
        <v>75</v>
      </c>
      <c r="B89" s="131" t="s">
        <v>88</v>
      </c>
      <c r="C89" s="117" t="s">
        <v>78</v>
      </c>
      <c r="D89" s="118"/>
      <c r="E89" s="118"/>
      <c r="F89" s="119" t="s">
        <v>79</v>
      </c>
    </row>
    <row r="90" spans="1:6" x14ac:dyDescent="0.2">
      <c r="A90" s="132">
        <v>76</v>
      </c>
      <c r="B90" s="120"/>
      <c r="C90" s="121"/>
      <c r="D90" s="121"/>
      <c r="E90" s="121"/>
      <c r="F90" s="122"/>
    </row>
    <row r="91" spans="1:6" x14ac:dyDescent="0.2">
      <c r="A91" s="132">
        <v>77</v>
      </c>
      <c r="B91" s="123" t="s">
        <v>381</v>
      </c>
      <c r="C91" s="121"/>
      <c r="D91" s="121"/>
      <c r="E91" s="124">
        <f>+'[5]II-B-2'!$G$22</f>
        <v>37069380.68</v>
      </c>
      <c r="F91" s="122"/>
    </row>
    <row r="92" spans="1:6" x14ac:dyDescent="0.2">
      <c r="A92" s="132">
        <v>78</v>
      </c>
      <c r="B92" s="123" t="s">
        <v>382</v>
      </c>
      <c r="C92" s="121"/>
      <c r="D92" s="121"/>
      <c r="E92" s="125">
        <f>+'[5]II-B-2'!$I$22</f>
        <v>37049859.229999997</v>
      </c>
      <c r="F92" s="122"/>
    </row>
    <row r="93" spans="1:6" x14ac:dyDescent="0.2">
      <c r="A93" s="132">
        <v>79</v>
      </c>
      <c r="B93" s="120"/>
      <c r="C93" s="121"/>
      <c r="D93" s="121"/>
      <c r="E93" s="124"/>
      <c r="F93" s="122"/>
    </row>
    <row r="94" spans="1:6" ht="13.5" thickBot="1" x14ac:dyDescent="0.25">
      <c r="A94" s="132">
        <v>80</v>
      </c>
      <c r="B94" s="126" t="str">
        <f>CONCATENATE(MID(B91,1,4)," - Adjustment")</f>
        <v>A394 - Adjustment</v>
      </c>
      <c r="C94" s="121"/>
      <c r="D94" s="121"/>
      <c r="E94" s="133">
        <f>+E92-E91</f>
        <v>-19521.45000000298</v>
      </c>
      <c r="F94" s="127"/>
    </row>
    <row r="95" spans="1:6" ht="13.5" thickTop="1" x14ac:dyDescent="0.2">
      <c r="A95" s="132">
        <v>81</v>
      </c>
      <c r="B95" s="128"/>
      <c r="C95" s="129"/>
      <c r="D95" s="129"/>
      <c r="E95" s="129"/>
      <c r="F95" s="130"/>
    </row>
    <row r="96" spans="1:6" x14ac:dyDescent="0.2">
      <c r="A96" s="132">
        <v>82</v>
      </c>
      <c r="B96" s="121"/>
      <c r="C96" s="121"/>
      <c r="D96" s="121"/>
      <c r="E96" s="121"/>
      <c r="F96" s="121"/>
    </row>
    <row r="97" spans="1:6" x14ac:dyDescent="0.2">
      <c r="A97" s="132">
        <v>83</v>
      </c>
      <c r="B97" s="131" t="s">
        <v>383</v>
      </c>
      <c r="C97" s="117" t="s">
        <v>78</v>
      </c>
      <c r="D97" s="118"/>
      <c r="E97" s="118"/>
      <c r="F97" s="119" t="s">
        <v>79</v>
      </c>
    </row>
    <row r="98" spans="1:6" x14ac:dyDescent="0.2">
      <c r="A98" s="132">
        <v>84</v>
      </c>
      <c r="B98" s="120"/>
      <c r="C98" s="121"/>
      <c r="D98" s="121"/>
      <c r="E98" s="121"/>
      <c r="F98" s="122"/>
    </row>
    <row r="99" spans="1:6" x14ac:dyDescent="0.2">
      <c r="A99" s="132">
        <v>85</v>
      </c>
      <c r="B99" s="123" t="s">
        <v>386</v>
      </c>
      <c r="C99" s="121"/>
      <c r="D99" s="121"/>
      <c r="E99" s="124">
        <f>+'[5]II-B-3'!$G$16</f>
        <v>0</v>
      </c>
      <c r="F99" s="122"/>
    </row>
    <row r="100" spans="1:6" x14ac:dyDescent="0.2">
      <c r="A100" s="132">
        <v>86</v>
      </c>
      <c r="B100" s="123" t="s">
        <v>387</v>
      </c>
      <c r="C100" s="121"/>
      <c r="D100" s="121"/>
      <c r="E100" s="125">
        <f>+'[5]II-B-3'!$I$16</f>
        <v>170037957.93000001</v>
      </c>
      <c r="F100" s="122"/>
    </row>
    <row r="101" spans="1:6" x14ac:dyDescent="0.2">
      <c r="A101" s="132">
        <v>87</v>
      </c>
      <c r="B101" s="120"/>
      <c r="C101" s="121"/>
      <c r="D101" s="121"/>
      <c r="E101" s="124"/>
      <c r="F101" s="122"/>
    </row>
    <row r="102" spans="1:6" ht="13.5" thickBot="1" x14ac:dyDescent="0.25">
      <c r="A102" s="132">
        <v>88</v>
      </c>
      <c r="B102" s="126" t="str">
        <f>CONCATENATE(MID(B99,1,6)," - Adjustment")</f>
        <v>A397.1 - Adjustment</v>
      </c>
      <c r="C102" s="121"/>
      <c r="D102" s="121"/>
      <c r="E102" s="133">
        <f>+E100-E99</f>
        <v>170037957.93000001</v>
      </c>
      <c r="F102" s="127"/>
    </row>
    <row r="103" spans="1:6" ht="13.5" thickTop="1" x14ac:dyDescent="0.2">
      <c r="A103" s="132">
        <v>89</v>
      </c>
      <c r="B103" s="128"/>
      <c r="C103" s="129"/>
      <c r="D103" s="129"/>
      <c r="E103" s="129"/>
      <c r="F103" s="130"/>
    </row>
    <row r="104" spans="1:6" x14ac:dyDescent="0.2">
      <c r="A104" s="132">
        <v>90</v>
      </c>
      <c r="B104" s="121"/>
      <c r="C104" s="121"/>
      <c r="D104" s="121"/>
      <c r="E104" s="121"/>
      <c r="F104" s="121"/>
    </row>
    <row r="105" spans="1:6" x14ac:dyDescent="0.2">
      <c r="A105" s="132">
        <v>91</v>
      </c>
      <c r="B105" s="131" t="s">
        <v>383</v>
      </c>
      <c r="C105" s="117" t="s">
        <v>78</v>
      </c>
      <c r="D105" s="118"/>
      <c r="E105" s="118"/>
      <c r="F105" s="119" t="s">
        <v>79</v>
      </c>
    </row>
    <row r="106" spans="1:6" x14ac:dyDescent="0.2">
      <c r="A106" s="132">
        <v>92</v>
      </c>
      <c r="B106" s="120"/>
      <c r="C106" s="121"/>
      <c r="D106" s="121"/>
      <c r="E106" s="121"/>
      <c r="F106" s="122"/>
    </row>
    <row r="107" spans="1:6" x14ac:dyDescent="0.2">
      <c r="A107" s="132">
        <v>93</v>
      </c>
      <c r="B107" s="123" t="s">
        <v>388</v>
      </c>
      <c r="C107" s="121"/>
      <c r="D107" s="121"/>
      <c r="E107" s="124">
        <f>+'[5]II-B-3'!$G$17</f>
        <v>0</v>
      </c>
      <c r="F107" s="122"/>
    </row>
    <row r="108" spans="1:6" x14ac:dyDescent="0.2">
      <c r="A108" s="132">
        <v>94</v>
      </c>
      <c r="B108" s="123" t="s">
        <v>389</v>
      </c>
      <c r="C108" s="121"/>
      <c r="D108" s="121"/>
      <c r="E108" s="125">
        <f>+'[5]II-B-3'!$I$17</f>
        <v>360398299.31999999</v>
      </c>
      <c r="F108" s="122"/>
    </row>
    <row r="109" spans="1:6" x14ac:dyDescent="0.2">
      <c r="A109" s="132">
        <v>95</v>
      </c>
      <c r="B109" s="120"/>
      <c r="C109" s="121"/>
      <c r="D109" s="121"/>
      <c r="E109" s="124"/>
      <c r="F109" s="122"/>
    </row>
    <row r="110" spans="1:6" ht="13.5" thickBot="1" x14ac:dyDescent="0.25">
      <c r="A110" s="132">
        <v>96</v>
      </c>
      <c r="B110" s="126" t="str">
        <f>CONCATENATE(MID(B107,1,6)," - Adjustment")</f>
        <v>A397.2 - Adjustment</v>
      </c>
      <c r="C110" s="121"/>
      <c r="D110" s="121"/>
      <c r="E110" s="133">
        <f>+E108-E107</f>
        <v>360398299.31999999</v>
      </c>
      <c r="F110" s="127"/>
    </row>
    <row r="111" spans="1:6" ht="13.5" thickTop="1" x14ac:dyDescent="0.2">
      <c r="A111" s="132">
        <v>97</v>
      </c>
      <c r="B111" s="128"/>
      <c r="C111" s="129"/>
      <c r="D111" s="129"/>
      <c r="E111" s="129"/>
      <c r="F111" s="130"/>
    </row>
    <row r="112" spans="1:6" x14ac:dyDescent="0.2">
      <c r="A112" s="132">
        <v>98</v>
      </c>
      <c r="B112" s="121"/>
      <c r="C112" s="121"/>
      <c r="D112" s="121"/>
      <c r="E112" s="121"/>
      <c r="F112" s="121"/>
    </row>
    <row r="113" spans="1:6" x14ac:dyDescent="0.2">
      <c r="A113" s="132">
        <v>99</v>
      </c>
      <c r="B113" s="131" t="s">
        <v>383</v>
      </c>
      <c r="C113" s="117" t="s">
        <v>78</v>
      </c>
      <c r="D113" s="118"/>
      <c r="E113" s="118"/>
      <c r="F113" s="119" t="s">
        <v>79</v>
      </c>
    </row>
    <row r="114" spans="1:6" x14ac:dyDescent="0.2">
      <c r="A114" s="132">
        <v>100</v>
      </c>
      <c r="B114" s="120"/>
      <c r="C114" s="121"/>
      <c r="D114" s="121"/>
      <c r="E114" s="121"/>
      <c r="F114" s="122"/>
    </row>
    <row r="115" spans="1:6" x14ac:dyDescent="0.2">
      <c r="A115" s="132">
        <v>101</v>
      </c>
      <c r="B115" s="123" t="s">
        <v>384</v>
      </c>
      <c r="C115" s="121"/>
      <c r="D115" s="121"/>
      <c r="E115" s="124">
        <f>+'[5]II-B-3'!$G$18</f>
        <v>161341597.34999999</v>
      </c>
      <c r="F115" s="122"/>
    </row>
    <row r="116" spans="1:6" x14ac:dyDescent="0.2">
      <c r="A116" s="132">
        <v>102</v>
      </c>
      <c r="B116" s="123" t="s">
        <v>385</v>
      </c>
      <c r="C116" s="121"/>
      <c r="D116" s="121"/>
      <c r="E116" s="125">
        <f>+'[5]II-B-3'!$I$18</f>
        <v>119621642.84</v>
      </c>
      <c r="F116" s="122"/>
    </row>
    <row r="117" spans="1:6" x14ac:dyDescent="0.2">
      <c r="A117" s="132">
        <v>103</v>
      </c>
      <c r="B117" s="120"/>
      <c r="C117" s="121"/>
      <c r="D117" s="121"/>
      <c r="E117" s="124"/>
      <c r="F117" s="122"/>
    </row>
    <row r="118" spans="1:6" ht="13.5" thickBot="1" x14ac:dyDescent="0.25">
      <c r="A118" s="132">
        <v>104</v>
      </c>
      <c r="B118" s="126" t="str">
        <f>CONCATENATE(MID(B115,1,6)," - Adjustment")</f>
        <v>A397.3 - Adjustment</v>
      </c>
      <c r="C118" s="121"/>
      <c r="D118" s="121"/>
      <c r="E118" s="133">
        <f>+E116-E115</f>
        <v>-41719954.50999999</v>
      </c>
      <c r="F118" s="127"/>
    </row>
    <row r="119" spans="1:6" ht="13.5" thickTop="1" x14ac:dyDescent="0.2">
      <c r="A119" s="132">
        <v>105</v>
      </c>
      <c r="B119" s="128"/>
      <c r="C119" s="129"/>
      <c r="D119" s="129"/>
      <c r="E119" s="129"/>
      <c r="F119" s="130"/>
    </row>
    <row r="120" spans="1:6" x14ac:dyDescent="0.2">
      <c r="A120" s="132">
        <v>106</v>
      </c>
      <c r="B120" s="121"/>
      <c r="C120" s="121"/>
      <c r="D120" s="121"/>
      <c r="E120" s="121"/>
      <c r="F120" s="121"/>
    </row>
    <row r="121" spans="1:6" x14ac:dyDescent="0.2">
      <c r="A121" s="132">
        <v>107</v>
      </c>
      <c r="B121" s="131" t="s">
        <v>89</v>
      </c>
      <c r="C121" s="117" t="s">
        <v>78</v>
      </c>
      <c r="D121" s="118"/>
      <c r="E121" s="118"/>
      <c r="F121" s="119" t="s">
        <v>79</v>
      </c>
    </row>
    <row r="122" spans="1:6" x14ac:dyDescent="0.2">
      <c r="A122" s="132">
        <v>108</v>
      </c>
      <c r="B122" s="120"/>
      <c r="C122" s="121"/>
      <c r="D122" s="121"/>
      <c r="E122" s="121"/>
      <c r="F122" s="122"/>
    </row>
    <row r="123" spans="1:6" x14ac:dyDescent="0.2">
      <c r="A123" s="132">
        <v>109</v>
      </c>
      <c r="B123" s="123" t="s">
        <v>90</v>
      </c>
      <c r="C123" s="121"/>
      <c r="D123" s="121"/>
      <c r="E123" s="124">
        <f>+'[5]II-B-4'!$G$16</f>
        <v>1704962610.8399963</v>
      </c>
      <c r="F123" s="122"/>
    </row>
    <row r="124" spans="1:6" x14ac:dyDescent="0.2">
      <c r="A124" s="132">
        <v>110</v>
      </c>
      <c r="B124" s="123" t="s">
        <v>91</v>
      </c>
      <c r="C124" s="121"/>
      <c r="D124" s="121"/>
      <c r="E124" s="125">
        <f>+'[5]II-B-4'!$I$16</f>
        <v>0</v>
      </c>
      <c r="F124" s="122"/>
    </row>
    <row r="125" spans="1:6" x14ac:dyDescent="0.2">
      <c r="A125" s="132">
        <v>111</v>
      </c>
      <c r="B125" s="120"/>
      <c r="C125" s="121"/>
      <c r="D125" s="121"/>
      <c r="E125" s="124"/>
      <c r="F125" s="122"/>
    </row>
    <row r="126" spans="1:6" ht="13.5" thickBot="1" x14ac:dyDescent="0.25">
      <c r="A126" s="132">
        <v>112</v>
      </c>
      <c r="B126" s="126" t="str">
        <f>CONCATENATE(MID(B123,1,4)," - Adjustment")</f>
        <v>A107 - Adjustment</v>
      </c>
      <c r="C126" s="121"/>
      <c r="D126" s="121"/>
      <c r="E126" s="133">
        <f>+E124-E123</f>
        <v>-1704962610.8399963</v>
      </c>
      <c r="F126" s="127"/>
    </row>
    <row r="127" spans="1:6" ht="13.5" thickTop="1" x14ac:dyDescent="0.2">
      <c r="A127" s="132">
        <v>113</v>
      </c>
      <c r="B127" s="128"/>
      <c r="C127" s="129"/>
      <c r="D127" s="129"/>
      <c r="E127" s="129"/>
      <c r="F127" s="130"/>
    </row>
    <row r="128" spans="1:6" x14ac:dyDescent="0.2">
      <c r="A128" s="132">
        <v>114</v>
      </c>
    </row>
    <row r="129" spans="1:6" x14ac:dyDescent="0.2">
      <c r="A129" s="132">
        <v>115</v>
      </c>
      <c r="B129" s="131" t="s">
        <v>92</v>
      </c>
      <c r="C129" s="117" t="s">
        <v>78</v>
      </c>
      <c r="D129" s="118"/>
      <c r="E129" s="118"/>
      <c r="F129" s="119" t="s">
        <v>79</v>
      </c>
    </row>
    <row r="130" spans="1:6" x14ac:dyDescent="0.2">
      <c r="A130" s="132">
        <v>116</v>
      </c>
      <c r="B130" s="120"/>
      <c r="C130" s="121"/>
      <c r="D130" s="121"/>
      <c r="E130" s="121"/>
      <c r="F130" s="122" t="s">
        <v>81</v>
      </c>
    </row>
    <row r="131" spans="1:6" x14ac:dyDescent="0.2">
      <c r="A131" s="132">
        <v>117</v>
      </c>
      <c r="B131" s="123" t="s">
        <v>367</v>
      </c>
      <c r="C131" s="121"/>
      <c r="D131" s="121"/>
      <c r="E131" s="124">
        <f>+'[5]II-B-5'!$G$19</f>
        <v>450018100.62</v>
      </c>
      <c r="F131" s="122"/>
    </row>
    <row r="132" spans="1:6" x14ac:dyDescent="0.2">
      <c r="A132" s="132">
        <v>118</v>
      </c>
      <c r="B132" s="123" t="s">
        <v>368</v>
      </c>
      <c r="C132" s="121"/>
      <c r="D132" s="121"/>
      <c r="E132" s="125">
        <f>+'[5]II-B-5'!$I$19</f>
        <v>5893162.1399999857</v>
      </c>
      <c r="F132" s="122"/>
    </row>
    <row r="133" spans="1:6" x14ac:dyDescent="0.2">
      <c r="A133" s="132">
        <v>119</v>
      </c>
      <c r="B133" s="120"/>
      <c r="C133" s="121"/>
      <c r="D133" s="121"/>
      <c r="E133" s="124"/>
      <c r="F133" s="122"/>
    </row>
    <row r="134" spans="1:6" ht="13.5" thickBot="1" x14ac:dyDescent="0.25">
      <c r="A134" s="132">
        <v>120</v>
      </c>
      <c r="B134" s="126" t="str">
        <f>CONCATENATE(MID(B131,1,4)," - Adjustment")</f>
        <v>A303 - Adjustment</v>
      </c>
      <c r="C134" s="121"/>
      <c r="D134" s="121"/>
      <c r="E134" s="133">
        <f>+E132-E131</f>
        <v>-444124938.48000002</v>
      </c>
      <c r="F134" s="127"/>
    </row>
    <row r="135" spans="1:6" ht="13.5" thickTop="1" x14ac:dyDescent="0.2">
      <c r="A135" s="132">
        <v>121</v>
      </c>
      <c r="B135" s="128"/>
      <c r="C135" s="129"/>
      <c r="D135" s="129"/>
      <c r="E135" s="129"/>
      <c r="F135" s="130"/>
    </row>
    <row r="136" spans="1:6" x14ac:dyDescent="0.2">
      <c r="A136" s="132">
        <v>122</v>
      </c>
    </row>
    <row r="137" spans="1:6" x14ac:dyDescent="0.2">
      <c r="A137" s="132">
        <v>123</v>
      </c>
      <c r="B137" s="131" t="s">
        <v>92</v>
      </c>
      <c r="C137" s="117" t="s">
        <v>78</v>
      </c>
      <c r="D137" s="118"/>
      <c r="E137" s="118"/>
      <c r="F137" s="119" t="s">
        <v>79</v>
      </c>
    </row>
    <row r="138" spans="1:6" x14ac:dyDescent="0.2">
      <c r="A138" s="132">
        <v>124</v>
      </c>
      <c r="B138" s="120"/>
      <c r="C138" s="121"/>
      <c r="D138" s="121"/>
      <c r="E138" s="121"/>
      <c r="F138" s="122" t="s">
        <v>81</v>
      </c>
    </row>
    <row r="139" spans="1:6" x14ac:dyDescent="0.2">
      <c r="A139" s="132">
        <v>125</v>
      </c>
      <c r="B139" s="123" t="s">
        <v>369</v>
      </c>
      <c r="C139" s="121"/>
      <c r="D139" s="121"/>
      <c r="E139" s="124">
        <f>+'[5]II-B-5'!$G$28</f>
        <v>0</v>
      </c>
      <c r="F139" s="122"/>
    </row>
    <row r="140" spans="1:6" x14ac:dyDescent="0.2">
      <c r="A140" s="132">
        <v>126</v>
      </c>
      <c r="B140" s="123" t="s">
        <v>370</v>
      </c>
      <c r="C140" s="121"/>
      <c r="D140" s="121"/>
      <c r="E140" s="125">
        <f>+'[5]II-B-5'!$I$28</f>
        <v>56291412.899999999</v>
      </c>
      <c r="F140" s="122"/>
    </row>
    <row r="141" spans="1:6" x14ac:dyDescent="0.2">
      <c r="A141" s="132">
        <v>127</v>
      </c>
      <c r="B141" s="120"/>
      <c r="C141" s="121"/>
      <c r="D141" s="121"/>
      <c r="E141" s="124"/>
      <c r="F141" s="122"/>
    </row>
    <row r="142" spans="1:6" ht="13.5" thickBot="1" x14ac:dyDescent="0.25">
      <c r="A142" s="132">
        <v>128</v>
      </c>
      <c r="B142" s="126" t="str">
        <f>CONCATENATE(MID(B139,1,6)," - Adjustment")</f>
        <v>A351.2 - Adjustment</v>
      </c>
      <c r="C142" s="121"/>
      <c r="D142" s="121"/>
      <c r="E142" s="133">
        <f>+E140-E139</f>
        <v>56291412.899999999</v>
      </c>
      <c r="F142" s="127"/>
    </row>
    <row r="143" spans="1:6" ht="13.5" thickTop="1" x14ac:dyDescent="0.2">
      <c r="A143" s="132">
        <v>129</v>
      </c>
      <c r="B143" s="128"/>
      <c r="C143" s="129"/>
      <c r="D143" s="129"/>
      <c r="E143" s="129"/>
      <c r="F143" s="130"/>
    </row>
    <row r="144" spans="1:6" x14ac:dyDescent="0.2">
      <c r="A144" s="132">
        <v>130</v>
      </c>
    </row>
    <row r="145" spans="1:6" x14ac:dyDescent="0.2">
      <c r="A145" s="132">
        <v>131</v>
      </c>
      <c r="B145" s="131" t="s">
        <v>92</v>
      </c>
      <c r="C145" s="117" t="s">
        <v>78</v>
      </c>
      <c r="D145" s="118"/>
      <c r="E145" s="118"/>
      <c r="F145" s="119" t="s">
        <v>79</v>
      </c>
    </row>
    <row r="146" spans="1:6" x14ac:dyDescent="0.2">
      <c r="A146" s="132">
        <v>132</v>
      </c>
      <c r="B146" s="120"/>
      <c r="C146" s="121"/>
      <c r="D146" s="121"/>
      <c r="E146" s="121"/>
      <c r="F146" s="122" t="s">
        <v>81</v>
      </c>
    </row>
    <row r="147" spans="1:6" x14ac:dyDescent="0.2">
      <c r="A147" s="132">
        <v>133</v>
      </c>
      <c r="B147" s="123" t="s">
        <v>371</v>
      </c>
      <c r="C147" s="121"/>
      <c r="D147" s="121"/>
      <c r="E147" s="124">
        <f>+'[5]II-B-5'!$G$29</f>
        <v>0</v>
      </c>
      <c r="F147" s="122"/>
    </row>
    <row r="148" spans="1:6" x14ac:dyDescent="0.2">
      <c r="A148" s="132">
        <v>134</v>
      </c>
      <c r="B148" s="123" t="s">
        <v>372</v>
      </c>
      <c r="C148" s="121"/>
      <c r="D148" s="121"/>
      <c r="E148" s="125">
        <f>+'[5]II-B-5'!$I$29</f>
        <v>1213664.3</v>
      </c>
      <c r="F148" s="122"/>
    </row>
    <row r="149" spans="1:6" x14ac:dyDescent="0.2">
      <c r="A149" s="132">
        <v>135</v>
      </c>
      <c r="B149" s="120"/>
      <c r="C149" s="121"/>
      <c r="D149" s="121"/>
      <c r="E149" s="124"/>
      <c r="F149" s="122"/>
    </row>
    <row r="150" spans="1:6" ht="13.5" thickBot="1" x14ac:dyDescent="0.25">
      <c r="A150" s="132">
        <v>136</v>
      </c>
      <c r="B150" s="126" t="str">
        <f>CONCATENATE(MID(B147,1,6)," - Adjustment")</f>
        <v>A351.3 - Adjustment</v>
      </c>
      <c r="C150" s="121"/>
      <c r="D150" s="121"/>
      <c r="E150" s="133">
        <f>+E148-E147</f>
        <v>1213664.3</v>
      </c>
      <c r="F150" s="127"/>
    </row>
    <row r="151" spans="1:6" ht="13.5" thickTop="1" x14ac:dyDescent="0.2">
      <c r="A151" s="132">
        <v>137</v>
      </c>
      <c r="B151" s="128"/>
      <c r="C151" s="129"/>
      <c r="D151" s="129"/>
      <c r="E151" s="129"/>
      <c r="F151" s="130"/>
    </row>
    <row r="152" spans="1:6" x14ac:dyDescent="0.2">
      <c r="A152" s="132">
        <v>138</v>
      </c>
    </row>
    <row r="153" spans="1:6" x14ac:dyDescent="0.2">
      <c r="A153" s="132">
        <v>139</v>
      </c>
      <c r="B153" s="131" t="s">
        <v>92</v>
      </c>
      <c r="C153" s="117" t="s">
        <v>78</v>
      </c>
      <c r="D153" s="118"/>
      <c r="E153" s="118"/>
      <c r="F153" s="119" t="s">
        <v>79</v>
      </c>
    </row>
    <row r="154" spans="1:6" x14ac:dyDescent="0.2">
      <c r="A154" s="132">
        <v>140</v>
      </c>
      <c r="B154" s="120"/>
      <c r="C154" s="121"/>
      <c r="D154" s="121"/>
      <c r="E154" s="121"/>
      <c r="F154" s="122" t="s">
        <v>81</v>
      </c>
    </row>
    <row r="155" spans="1:6" x14ac:dyDescent="0.2">
      <c r="A155" s="132">
        <v>141</v>
      </c>
      <c r="B155" s="123" t="s">
        <v>373</v>
      </c>
      <c r="C155" s="121"/>
      <c r="D155" s="121"/>
      <c r="E155" s="124">
        <f>+'[5]II-B-5'!$G$45</f>
        <v>666271797.25</v>
      </c>
      <c r="F155" s="122"/>
    </row>
    <row r="156" spans="1:6" x14ac:dyDescent="0.2">
      <c r="A156" s="132">
        <v>142</v>
      </c>
      <c r="B156" s="123" t="s">
        <v>374</v>
      </c>
      <c r="C156" s="121"/>
      <c r="D156" s="121"/>
      <c r="E156" s="125">
        <f>+'[5]II-B-5'!$I$45</f>
        <v>664120376.42999995</v>
      </c>
      <c r="F156" s="122"/>
    </row>
    <row r="157" spans="1:6" x14ac:dyDescent="0.2">
      <c r="A157" s="132">
        <v>143</v>
      </c>
      <c r="B157" s="120"/>
      <c r="C157" s="121"/>
      <c r="D157" s="121"/>
      <c r="E157" s="124"/>
      <c r="F157" s="122"/>
    </row>
    <row r="158" spans="1:6" ht="13.5" thickBot="1" x14ac:dyDescent="0.25">
      <c r="A158" s="132">
        <v>144</v>
      </c>
      <c r="B158" s="126" t="str">
        <f>CONCATENATE(MID(B155,1,4)," - Adjustment")</f>
        <v>A362 - Adjustment</v>
      </c>
      <c r="C158" s="121"/>
      <c r="D158" s="121"/>
      <c r="E158" s="133">
        <f>+E156-E155</f>
        <v>-2151420.8200000525</v>
      </c>
      <c r="F158" s="127"/>
    </row>
    <row r="159" spans="1:6" ht="13.5" thickTop="1" x14ac:dyDescent="0.2">
      <c r="A159" s="132">
        <v>145</v>
      </c>
      <c r="B159" s="128"/>
      <c r="C159" s="129"/>
      <c r="D159" s="129"/>
      <c r="E159" s="129"/>
      <c r="F159" s="130"/>
    </row>
    <row r="160" spans="1:6" x14ac:dyDescent="0.2">
      <c r="A160" s="132">
        <v>146</v>
      </c>
    </row>
    <row r="161" spans="1:6" x14ac:dyDescent="0.2">
      <c r="A161" s="132">
        <v>147</v>
      </c>
      <c r="B161" s="131" t="s">
        <v>92</v>
      </c>
      <c r="C161" s="117" t="s">
        <v>78</v>
      </c>
      <c r="D161" s="118"/>
      <c r="E161" s="118"/>
      <c r="F161" s="119" t="s">
        <v>79</v>
      </c>
    </row>
    <row r="162" spans="1:6" x14ac:dyDescent="0.2">
      <c r="A162" s="132">
        <v>148</v>
      </c>
      <c r="B162" s="120"/>
      <c r="C162" s="121"/>
      <c r="D162" s="121"/>
      <c r="E162" s="121"/>
      <c r="F162" s="122" t="s">
        <v>81</v>
      </c>
    </row>
    <row r="163" spans="1:6" x14ac:dyDescent="0.2">
      <c r="A163" s="132">
        <v>149</v>
      </c>
      <c r="B163" s="123" t="s">
        <v>375</v>
      </c>
      <c r="C163" s="121"/>
      <c r="D163" s="121"/>
      <c r="E163" s="124">
        <f>+'[5]II-B-5'!$G$47</f>
        <v>0</v>
      </c>
      <c r="F163" s="122"/>
    </row>
    <row r="164" spans="1:6" x14ac:dyDescent="0.2">
      <c r="A164" s="132">
        <v>150</v>
      </c>
      <c r="B164" s="123" t="s">
        <v>376</v>
      </c>
      <c r="C164" s="121"/>
      <c r="D164" s="121"/>
      <c r="E164" s="125">
        <f>+'[5]II-B-5'!$I$47</f>
        <v>288603718.38999999</v>
      </c>
      <c r="F164" s="122"/>
    </row>
    <row r="165" spans="1:6" x14ac:dyDescent="0.2">
      <c r="A165" s="132">
        <v>151</v>
      </c>
      <c r="B165" s="120"/>
      <c r="C165" s="121"/>
      <c r="D165" s="121"/>
      <c r="E165" s="124"/>
      <c r="F165" s="122"/>
    </row>
    <row r="166" spans="1:6" ht="13.5" thickBot="1" x14ac:dyDescent="0.25">
      <c r="A166" s="132">
        <v>152</v>
      </c>
      <c r="B166" s="126" t="str">
        <f>CONCATENATE(MID(B163,1,6)," - Adjustment")</f>
        <v>A363.2 - Adjustment</v>
      </c>
      <c r="C166" s="121"/>
      <c r="D166" s="121"/>
      <c r="E166" s="133">
        <f>+E164-E163</f>
        <v>288603718.38999999</v>
      </c>
      <c r="F166" s="127"/>
    </row>
    <row r="167" spans="1:6" ht="13.5" thickTop="1" x14ac:dyDescent="0.2">
      <c r="A167" s="132">
        <v>153</v>
      </c>
      <c r="B167" s="128"/>
      <c r="C167" s="129"/>
      <c r="D167" s="129"/>
      <c r="E167" s="129"/>
      <c r="F167" s="130"/>
    </row>
    <row r="168" spans="1:6" x14ac:dyDescent="0.2">
      <c r="A168" s="132">
        <v>154</v>
      </c>
    </row>
    <row r="169" spans="1:6" x14ac:dyDescent="0.2">
      <c r="A169" s="132">
        <v>155</v>
      </c>
      <c r="B169" s="131" t="s">
        <v>92</v>
      </c>
      <c r="C169" s="117" t="s">
        <v>78</v>
      </c>
      <c r="D169" s="118"/>
      <c r="E169" s="118"/>
      <c r="F169" s="119" t="s">
        <v>79</v>
      </c>
    </row>
    <row r="170" spans="1:6" x14ac:dyDescent="0.2">
      <c r="A170" s="132">
        <v>156</v>
      </c>
      <c r="B170" s="120"/>
      <c r="C170" s="121"/>
      <c r="D170" s="121"/>
      <c r="E170" s="121"/>
      <c r="F170" s="122" t="s">
        <v>81</v>
      </c>
    </row>
    <row r="171" spans="1:6" x14ac:dyDescent="0.2">
      <c r="A171" s="132">
        <v>157</v>
      </c>
      <c r="B171" s="123" t="s">
        <v>377</v>
      </c>
      <c r="C171" s="121"/>
      <c r="D171" s="121"/>
      <c r="E171" s="124">
        <f>+'[5]II-B-5'!$G$48</f>
        <v>0</v>
      </c>
      <c r="F171" s="122"/>
    </row>
    <row r="172" spans="1:6" x14ac:dyDescent="0.2">
      <c r="A172" s="132">
        <v>158</v>
      </c>
      <c r="B172" s="123" t="s">
        <v>378</v>
      </c>
      <c r="C172" s="121"/>
      <c r="D172" s="121"/>
      <c r="E172" s="125">
        <f>+'[5]II-B-5'!$I$48</f>
        <v>39392672.700000003</v>
      </c>
      <c r="F172" s="122"/>
    </row>
    <row r="173" spans="1:6" x14ac:dyDescent="0.2">
      <c r="A173" s="132">
        <v>159</v>
      </c>
      <c r="B173" s="120"/>
      <c r="C173" s="121"/>
      <c r="D173" s="121"/>
      <c r="E173" s="124"/>
      <c r="F173" s="122"/>
    </row>
    <row r="174" spans="1:6" ht="13.5" thickBot="1" x14ac:dyDescent="0.25">
      <c r="A174" s="132">
        <v>160</v>
      </c>
      <c r="B174" s="126" t="str">
        <f>CONCATENATE(MID(B171,1,6)," - Adjustment")</f>
        <v>A363.3 - Adjustment</v>
      </c>
      <c r="C174" s="121"/>
      <c r="D174" s="121"/>
      <c r="E174" s="133">
        <f>+E172-E171</f>
        <v>39392672.700000003</v>
      </c>
      <c r="F174" s="127"/>
    </row>
    <row r="175" spans="1:6" ht="13.5" thickTop="1" x14ac:dyDescent="0.2">
      <c r="A175" s="132">
        <v>161</v>
      </c>
      <c r="B175" s="128"/>
      <c r="C175" s="129"/>
      <c r="D175" s="129"/>
      <c r="E175" s="129"/>
      <c r="F175" s="130"/>
    </row>
    <row r="176" spans="1:6" x14ac:dyDescent="0.2">
      <c r="A176" s="132">
        <v>162</v>
      </c>
    </row>
    <row r="177" spans="1:6" x14ac:dyDescent="0.2">
      <c r="A177" s="132">
        <v>163</v>
      </c>
      <c r="B177" s="131" t="s">
        <v>92</v>
      </c>
      <c r="C177" s="117" t="s">
        <v>78</v>
      </c>
      <c r="D177" s="118"/>
      <c r="E177" s="118"/>
      <c r="F177" s="119" t="s">
        <v>79</v>
      </c>
    </row>
    <row r="178" spans="1:6" x14ac:dyDescent="0.2">
      <c r="A178" s="132">
        <v>164</v>
      </c>
      <c r="B178" s="120"/>
      <c r="C178" s="121"/>
      <c r="D178" s="121"/>
      <c r="E178" s="121"/>
      <c r="F178" s="122" t="s">
        <v>81</v>
      </c>
    </row>
    <row r="179" spans="1:6" x14ac:dyDescent="0.2">
      <c r="A179" s="132">
        <v>165</v>
      </c>
      <c r="B179" s="123" t="s">
        <v>84</v>
      </c>
      <c r="C179" s="121"/>
      <c r="D179" s="121"/>
      <c r="E179" s="124">
        <f>+'[5]II-B-5'!$G$72</f>
        <v>42849633.729999997</v>
      </c>
      <c r="F179" s="122"/>
    </row>
    <row r="180" spans="1:6" x14ac:dyDescent="0.2">
      <c r="A180" s="132">
        <v>166</v>
      </c>
      <c r="B180" s="123" t="s">
        <v>85</v>
      </c>
      <c r="C180" s="121"/>
      <c r="D180" s="121"/>
      <c r="E180" s="125">
        <f>+'[5]II-B-5'!$I$72</f>
        <v>37687247.140000001</v>
      </c>
      <c r="F180" s="122"/>
    </row>
    <row r="181" spans="1:6" x14ac:dyDescent="0.2">
      <c r="A181" s="132">
        <v>167</v>
      </c>
      <c r="B181" s="120"/>
      <c r="C181" s="121"/>
      <c r="D181" s="121"/>
      <c r="E181" s="124"/>
      <c r="F181" s="122"/>
    </row>
    <row r="182" spans="1:6" ht="13.5" thickBot="1" x14ac:dyDescent="0.25">
      <c r="A182" s="132">
        <v>168</v>
      </c>
      <c r="B182" s="126" t="str">
        <f>CONCATENATE(MID(B179,1,4)," - Adjustment")</f>
        <v>A390 - Adjustment</v>
      </c>
      <c r="C182" s="121"/>
      <c r="D182" s="121"/>
      <c r="E182" s="133">
        <f>+E180-E179</f>
        <v>-5162386.5899999961</v>
      </c>
      <c r="F182" s="127"/>
    </row>
    <row r="183" spans="1:6" ht="13.5" thickTop="1" x14ac:dyDescent="0.2">
      <c r="A183" s="132">
        <v>169</v>
      </c>
      <c r="B183" s="128"/>
      <c r="C183" s="129"/>
      <c r="D183" s="129"/>
      <c r="E183" s="129"/>
      <c r="F183" s="130"/>
    </row>
    <row r="184" spans="1:6" x14ac:dyDescent="0.2">
      <c r="A184" s="132">
        <v>170</v>
      </c>
    </row>
    <row r="185" spans="1:6" x14ac:dyDescent="0.2">
      <c r="A185" s="132">
        <v>171</v>
      </c>
      <c r="B185" s="131" t="s">
        <v>92</v>
      </c>
      <c r="C185" s="117" t="s">
        <v>78</v>
      </c>
      <c r="D185" s="118"/>
      <c r="E185" s="118"/>
      <c r="F185" s="119" t="s">
        <v>79</v>
      </c>
    </row>
    <row r="186" spans="1:6" x14ac:dyDescent="0.2">
      <c r="A186" s="132">
        <v>172</v>
      </c>
      <c r="B186" s="120"/>
      <c r="C186" s="121"/>
      <c r="D186" s="121"/>
      <c r="E186" s="121"/>
      <c r="F186" s="122" t="s">
        <v>81</v>
      </c>
    </row>
    <row r="187" spans="1:6" x14ac:dyDescent="0.2">
      <c r="A187" s="132">
        <v>173</v>
      </c>
      <c r="B187" s="123" t="s">
        <v>379</v>
      </c>
      <c r="C187" s="121"/>
      <c r="D187" s="121"/>
      <c r="E187" s="124">
        <f>+'[5]II-B-5'!$G$73</f>
        <v>74935853.310000002</v>
      </c>
      <c r="F187" s="122"/>
    </row>
    <row r="188" spans="1:6" x14ac:dyDescent="0.2">
      <c r="A188" s="132">
        <v>174</v>
      </c>
      <c r="B188" s="123" t="s">
        <v>380</v>
      </c>
      <c r="C188" s="121"/>
      <c r="D188" s="121"/>
      <c r="E188" s="125">
        <f>+'[5]II-B-5'!$I$73</f>
        <v>5057822.7300000042</v>
      </c>
      <c r="F188" s="122"/>
    </row>
    <row r="189" spans="1:6" x14ac:dyDescent="0.2">
      <c r="A189" s="132">
        <v>175</v>
      </c>
      <c r="B189" s="120"/>
      <c r="C189" s="121"/>
      <c r="D189" s="121"/>
      <c r="E189" s="124"/>
      <c r="F189" s="122"/>
    </row>
    <row r="190" spans="1:6" ht="13.5" thickBot="1" x14ac:dyDescent="0.25">
      <c r="A190" s="132">
        <v>176</v>
      </c>
      <c r="B190" s="126" t="str">
        <f>CONCATENATE(MID(B187,1,4)," - Adjustment")</f>
        <v>A391 - Adjustment</v>
      </c>
      <c r="C190" s="121"/>
      <c r="D190" s="121"/>
      <c r="E190" s="133">
        <f>+E188-E187</f>
        <v>-69878030.579999998</v>
      </c>
      <c r="F190" s="127"/>
    </row>
    <row r="191" spans="1:6" ht="13.5" thickTop="1" x14ac:dyDescent="0.2">
      <c r="A191" s="132">
        <v>177</v>
      </c>
      <c r="B191" s="128"/>
      <c r="C191" s="129"/>
      <c r="D191" s="129"/>
      <c r="E191" s="129"/>
      <c r="F191" s="130"/>
    </row>
    <row r="192" spans="1:6" x14ac:dyDescent="0.2">
      <c r="A192" s="132">
        <v>178</v>
      </c>
    </row>
    <row r="193" spans="1:6" x14ac:dyDescent="0.2">
      <c r="A193" s="132">
        <v>179</v>
      </c>
      <c r="B193" s="131" t="s">
        <v>92</v>
      </c>
      <c r="C193" s="117" t="s">
        <v>78</v>
      </c>
      <c r="D193" s="118"/>
      <c r="E193" s="118"/>
      <c r="F193" s="119" t="s">
        <v>79</v>
      </c>
    </row>
    <row r="194" spans="1:6" x14ac:dyDescent="0.2">
      <c r="A194" s="132">
        <v>180</v>
      </c>
      <c r="B194" s="120"/>
      <c r="C194" s="121"/>
      <c r="D194" s="121"/>
      <c r="E194" s="121"/>
      <c r="F194" s="122" t="s">
        <v>81</v>
      </c>
    </row>
    <row r="195" spans="1:6" x14ac:dyDescent="0.2">
      <c r="A195" s="132">
        <v>181</v>
      </c>
      <c r="B195" s="123" t="s">
        <v>86</v>
      </c>
      <c r="C195" s="121"/>
      <c r="D195" s="121"/>
      <c r="E195" s="124">
        <f>+'[5]II-B-5'!$G$74</f>
        <v>6744845.0300000003</v>
      </c>
      <c r="F195" s="122"/>
    </row>
    <row r="196" spans="1:6" x14ac:dyDescent="0.2">
      <c r="A196" s="132">
        <v>182</v>
      </c>
      <c r="B196" s="123" t="s">
        <v>87</v>
      </c>
      <c r="C196" s="121"/>
      <c r="D196" s="121"/>
      <c r="E196" s="125">
        <f>+'[5]II-B-5'!$I$74</f>
        <v>4359000.2100000009</v>
      </c>
      <c r="F196" s="122"/>
    </row>
    <row r="197" spans="1:6" x14ac:dyDescent="0.2">
      <c r="A197" s="132">
        <v>183</v>
      </c>
      <c r="B197" s="120"/>
      <c r="C197" s="121"/>
      <c r="D197" s="121"/>
      <c r="E197" s="124"/>
      <c r="F197" s="122"/>
    </row>
    <row r="198" spans="1:6" ht="13.5" thickBot="1" x14ac:dyDescent="0.25">
      <c r="A198" s="132">
        <v>184</v>
      </c>
      <c r="B198" s="126" t="str">
        <f>CONCATENATE(MID(B195,1,4)," - Adjustment")</f>
        <v>A392 - Adjustment</v>
      </c>
      <c r="C198" s="121"/>
      <c r="D198" s="121"/>
      <c r="E198" s="133">
        <f>+E196-E195</f>
        <v>-2385844.8199999994</v>
      </c>
      <c r="F198" s="127"/>
    </row>
    <row r="199" spans="1:6" ht="13.5" thickTop="1" x14ac:dyDescent="0.2">
      <c r="A199" s="132">
        <v>185</v>
      </c>
      <c r="B199" s="128"/>
      <c r="C199" s="129"/>
      <c r="D199" s="129"/>
      <c r="E199" s="129"/>
      <c r="F199" s="130"/>
    </row>
    <row r="200" spans="1:6" x14ac:dyDescent="0.2">
      <c r="A200" s="132">
        <v>186</v>
      </c>
    </row>
    <row r="201" spans="1:6" x14ac:dyDescent="0.2">
      <c r="A201" s="132">
        <v>187</v>
      </c>
      <c r="B201" s="131" t="s">
        <v>92</v>
      </c>
      <c r="C201" s="117" t="s">
        <v>78</v>
      </c>
      <c r="D201" s="118"/>
      <c r="E201" s="118"/>
      <c r="F201" s="119" t="s">
        <v>79</v>
      </c>
    </row>
    <row r="202" spans="1:6" x14ac:dyDescent="0.2">
      <c r="A202" s="132">
        <v>188</v>
      </c>
      <c r="B202" s="120"/>
      <c r="C202" s="121"/>
      <c r="D202" s="121"/>
      <c r="E202" s="121"/>
      <c r="F202" s="122" t="s">
        <v>81</v>
      </c>
    </row>
    <row r="203" spans="1:6" x14ac:dyDescent="0.2">
      <c r="A203" s="132">
        <v>189</v>
      </c>
      <c r="B203" s="123" t="s">
        <v>381</v>
      </c>
      <c r="C203" s="121"/>
      <c r="D203" s="121"/>
      <c r="E203" s="124">
        <f>+'[5]II-B-5'!$G$76</f>
        <v>9305516.0700000003</v>
      </c>
      <c r="F203" s="122"/>
    </row>
    <row r="204" spans="1:6" x14ac:dyDescent="0.2">
      <c r="A204" s="132">
        <v>190</v>
      </c>
      <c r="B204" s="123" t="s">
        <v>382</v>
      </c>
      <c r="C204" s="121"/>
      <c r="D204" s="121"/>
      <c r="E204" s="125">
        <f>+'[5]II-B-5'!$I$76</f>
        <v>9301825.4800000004</v>
      </c>
      <c r="F204" s="122"/>
    </row>
    <row r="205" spans="1:6" x14ac:dyDescent="0.2">
      <c r="A205" s="132">
        <v>191</v>
      </c>
      <c r="B205" s="120"/>
      <c r="C205" s="121"/>
      <c r="D205" s="121"/>
      <c r="E205" s="124"/>
      <c r="F205" s="122"/>
    </row>
    <row r="206" spans="1:6" ht="13.5" thickBot="1" x14ac:dyDescent="0.25">
      <c r="A206" s="132">
        <v>192</v>
      </c>
      <c r="B206" s="126" t="str">
        <f>CONCATENATE(MID(B203,1,4)," - Adjustment")</f>
        <v>A394 - Adjustment</v>
      </c>
      <c r="C206" s="121"/>
      <c r="D206" s="121"/>
      <c r="E206" s="133">
        <f>+E204-E203</f>
        <v>-3690.589999999851</v>
      </c>
      <c r="F206" s="127"/>
    </row>
    <row r="207" spans="1:6" ht="13.5" thickTop="1" x14ac:dyDescent="0.2">
      <c r="A207" s="132">
        <v>193</v>
      </c>
      <c r="B207" s="128"/>
      <c r="C207" s="129"/>
      <c r="D207" s="129"/>
      <c r="E207" s="129"/>
      <c r="F207" s="130"/>
    </row>
    <row r="208" spans="1:6" x14ac:dyDescent="0.2">
      <c r="A208" s="132">
        <v>194</v>
      </c>
    </row>
    <row r="209" spans="1:6" x14ac:dyDescent="0.2">
      <c r="A209" s="132">
        <v>195</v>
      </c>
      <c r="B209" s="131" t="s">
        <v>92</v>
      </c>
      <c r="C209" s="117" t="s">
        <v>78</v>
      </c>
      <c r="D209" s="118"/>
      <c r="E209" s="118"/>
      <c r="F209" s="119" t="s">
        <v>79</v>
      </c>
    </row>
    <row r="210" spans="1:6" x14ac:dyDescent="0.2">
      <c r="A210" s="132">
        <v>196</v>
      </c>
      <c r="B210" s="120"/>
      <c r="C210" s="121"/>
      <c r="D210" s="121"/>
      <c r="E210" s="121"/>
      <c r="F210" s="122" t="s">
        <v>81</v>
      </c>
    </row>
    <row r="211" spans="1:6" x14ac:dyDescent="0.2">
      <c r="A211" s="132">
        <v>197</v>
      </c>
      <c r="B211" s="123" t="s">
        <v>386</v>
      </c>
      <c r="C211" s="121"/>
      <c r="D211" s="121"/>
      <c r="E211" s="124">
        <f>+'[5]II-B-5'!$G$82</f>
        <v>0</v>
      </c>
      <c r="F211" s="122"/>
    </row>
    <row r="212" spans="1:6" x14ac:dyDescent="0.2">
      <c r="A212" s="132">
        <v>198</v>
      </c>
      <c r="B212" s="123" t="s">
        <v>387</v>
      </c>
      <c r="C212" s="121"/>
      <c r="D212" s="121"/>
      <c r="E212" s="125">
        <f>+'[5]II-B-5'!$I$82</f>
        <v>69878030.579999998</v>
      </c>
      <c r="F212" s="122"/>
    </row>
    <row r="213" spans="1:6" x14ac:dyDescent="0.2">
      <c r="A213" s="132">
        <v>199</v>
      </c>
      <c r="B213" s="120"/>
      <c r="C213" s="121"/>
      <c r="D213" s="121"/>
      <c r="E213" s="124"/>
      <c r="F213" s="122"/>
    </row>
    <row r="214" spans="1:6" ht="13.5" thickBot="1" x14ac:dyDescent="0.25">
      <c r="A214" s="132">
        <v>200</v>
      </c>
      <c r="B214" s="126" t="str">
        <f>CONCATENATE(MID(B211,1,6)," - Adjustment")</f>
        <v>A397.1 - Adjustment</v>
      </c>
      <c r="C214" s="121"/>
      <c r="D214" s="121"/>
      <c r="E214" s="133">
        <f>+E212-E211</f>
        <v>69878030.579999998</v>
      </c>
      <c r="F214" s="127"/>
    </row>
    <row r="215" spans="1:6" ht="13.5" thickTop="1" x14ac:dyDescent="0.2">
      <c r="A215" s="132">
        <v>201</v>
      </c>
      <c r="B215" s="128"/>
      <c r="C215" s="129"/>
      <c r="D215" s="129"/>
      <c r="E215" s="129"/>
      <c r="F215" s="130"/>
    </row>
    <row r="216" spans="1:6" x14ac:dyDescent="0.2">
      <c r="A216" s="132">
        <v>202</v>
      </c>
    </row>
    <row r="217" spans="1:6" x14ac:dyDescent="0.2">
      <c r="A217" s="132">
        <v>203</v>
      </c>
      <c r="B217" s="131" t="s">
        <v>92</v>
      </c>
      <c r="C217" s="117" t="s">
        <v>78</v>
      </c>
      <c r="D217" s="118"/>
      <c r="E217" s="118"/>
      <c r="F217" s="119" t="s">
        <v>79</v>
      </c>
    </row>
    <row r="218" spans="1:6" x14ac:dyDescent="0.2">
      <c r="A218" s="132">
        <v>204</v>
      </c>
      <c r="B218" s="120"/>
      <c r="C218" s="121"/>
      <c r="D218" s="121"/>
      <c r="E218" s="121"/>
      <c r="F218" s="122" t="s">
        <v>81</v>
      </c>
    </row>
    <row r="219" spans="1:6" x14ac:dyDescent="0.2">
      <c r="A219" s="132">
        <v>205</v>
      </c>
      <c r="B219" s="123" t="s">
        <v>388</v>
      </c>
      <c r="C219" s="121"/>
      <c r="D219" s="121"/>
      <c r="E219" s="124">
        <f>+'[5]II-B-5'!$G$83</f>
        <v>0</v>
      </c>
      <c r="F219" s="122"/>
    </row>
    <row r="220" spans="1:6" x14ac:dyDescent="0.2">
      <c r="A220" s="132">
        <v>206</v>
      </c>
      <c r="B220" s="123" t="s">
        <v>389</v>
      </c>
      <c r="C220" s="121"/>
      <c r="D220" s="121"/>
      <c r="E220" s="125">
        <f>+'[5]II-B-5'!$I$83</f>
        <v>99231944.370000005</v>
      </c>
      <c r="F220" s="122"/>
    </row>
    <row r="221" spans="1:6" x14ac:dyDescent="0.2">
      <c r="A221" s="132">
        <v>207</v>
      </c>
      <c r="B221" s="120"/>
      <c r="C221" s="121"/>
      <c r="D221" s="121"/>
      <c r="E221" s="124"/>
      <c r="F221" s="122"/>
    </row>
    <row r="222" spans="1:6" ht="13.5" thickBot="1" x14ac:dyDescent="0.25">
      <c r="A222" s="132">
        <v>208</v>
      </c>
      <c r="B222" s="126" t="str">
        <f>CONCATENATE(MID(B219,1,6)," - Adjustment")</f>
        <v>A397.2 - Adjustment</v>
      </c>
      <c r="C222" s="121"/>
      <c r="D222" s="121"/>
      <c r="E222" s="133">
        <f>+E220-E219</f>
        <v>99231944.370000005</v>
      </c>
      <c r="F222" s="127"/>
    </row>
    <row r="223" spans="1:6" ht="13.5" thickTop="1" x14ac:dyDescent="0.2">
      <c r="A223" s="132">
        <v>209</v>
      </c>
      <c r="B223" s="128"/>
      <c r="C223" s="129"/>
      <c r="D223" s="129"/>
      <c r="E223" s="129"/>
      <c r="F223" s="130"/>
    </row>
    <row r="224" spans="1:6" x14ac:dyDescent="0.2">
      <c r="A224" s="132">
        <v>210</v>
      </c>
    </row>
    <row r="225" spans="1:6" x14ac:dyDescent="0.2">
      <c r="A225" s="132">
        <v>211</v>
      </c>
      <c r="B225" s="131" t="s">
        <v>92</v>
      </c>
      <c r="C225" s="117" t="s">
        <v>78</v>
      </c>
      <c r="D225" s="118"/>
      <c r="E225" s="118"/>
      <c r="F225" s="119" t="s">
        <v>79</v>
      </c>
    </row>
    <row r="226" spans="1:6" x14ac:dyDescent="0.2">
      <c r="A226" s="132">
        <v>212</v>
      </c>
      <c r="B226" s="120"/>
      <c r="C226" s="121"/>
      <c r="D226" s="121"/>
      <c r="E226" s="121"/>
      <c r="F226" s="122" t="s">
        <v>81</v>
      </c>
    </row>
    <row r="227" spans="1:6" x14ac:dyDescent="0.2">
      <c r="A227" s="132">
        <v>213</v>
      </c>
      <c r="B227" s="123" t="s">
        <v>384</v>
      </c>
      <c r="C227" s="121"/>
      <c r="D227" s="121"/>
      <c r="E227" s="124">
        <f>+'[5]II-B-5'!$G$84</f>
        <v>61552741.579999998</v>
      </c>
      <c r="F227" s="122"/>
    </row>
    <row r="228" spans="1:6" x14ac:dyDescent="0.2">
      <c r="A228" s="132">
        <v>214</v>
      </c>
      <c r="B228" s="123" t="s">
        <v>385</v>
      </c>
      <c r="C228" s="121"/>
      <c r="D228" s="121"/>
      <c r="E228" s="125">
        <f>+'[5]II-B-5'!$I$84</f>
        <v>20944267.409999996</v>
      </c>
      <c r="F228" s="122"/>
    </row>
    <row r="229" spans="1:6" x14ac:dyDescent="0.2">
      <c r="A229" s="132">
        <v>215</v>
      </c>
      <c r="B229" s="120"/>
      <c r="C229" s="121"/>
      <c r="D229" s="121"/>
      <c r="E229" s="124"/>
      <c r="F229" s="122"/>
    </row>
    <row r="230" spans="1:6" ht="13.5" thickBot="1" x14ac:dyDescent="0.25">
      <c r="A230" s="132">
        <v>216</v>
      </c>
      <c r="B230" s="126" t="str">
        <f>CONCATENATE(MID(B227,1,6)," - Adjustment")</f>
        <v>A397.3 - Adjustment</v>
      </c>
      <c r="C230" s="121"/>
      <c r="D230" s="121"/>
      <c r="E230" s="133">
        <f>+E228-E227</f>
        <v>-40608474.170000002</v>
      </c>
      <c r="F230" s="127"/>
    </row>
    <row r="231" spans="1:6" ht="13.5" thickTop="1" x14ac:dyDescent="0.2">
      <c r="A231" s="132">
        <v>217</v>
      </c>
      <c r="B231" s="128"/>
      <c r="C231" s="129"/>
      <c r="D231" s="129"/>
      <c r="E231" s="129"/>
      <c r="F231" s="130"/>
    </row>
    <row r="232" spans="1:6" x14ac:dyDescent="0.2">
      <c r="A232" s="132">
        <v>218</v>
      </c>
    </row>
    <row r="233" spans="1:6" x14ac:dyDescent="0.2">
      <c r="A233" s="132">
        <v>219</v>
      </c>
      <c r="B233" s="131" t="s">
        <v>93</v>
      </c>
      <c r="C233" s="117" t="s">
        <v>78</v>
      </c>
      <c r="D233" s="118"/>
      <c r="E233" s="118"/>
      <c r="F233" s="119" t="s">
        <v>79</v>
      </c>
    </row>
    <row r="234" spans="1:6" x14ac:dyDescent="0.2">
      <c r="A234" s="132">
        <v>220</v>
      </c>
      <c r="B234" s="120"/>
      <c r="C234" s="121"/>
      <c r="D234" s="121"/>
      <c r="E234" s="121"/>
      <c r="F234" s="122" t="s">
        <v>82</v>
      </c>
    </row>
    <row r="235" spans="1:6" x14ac:dyDescent="0.2">
      <c r="A235" s="132">
        <v>221</v>
      </c>
      <c r="B235" s="123" t="s">
        <v>94</v>
      </c>
      <c r="C235" s="121"/>
      <c r="D235" s="121"/>
      <c r="E235" s="124">
        <f>+'[5]II-B-6'!$G$16</f>
        <v>71356012.039999992</v>
      </c>
      <c r="F235" s="122"/>
    </row>
    <row r="236" spans="1:6" x14ac:dyDescent="0.2">
      <c r="A236" s="132">
        <v>222</v>
      </c>
      <c r="B236" s="123" t="s">
        <v>95</v>
      </c>
      <c r="C236" s="121"/>
      <c r="D236" s="121"/>
      <c r="E236" s="125">
        <f>+'[5]II-B-6'!$I$16</f>
        <v>68155806.339999989</v>
      </c>
      <c r="F236" s="122"/>
    </row>
    <row r="237" spans="1:6" x14ac:dyDescent="0.2">
      <c r="A237" s="132">
        <v>223</v>
      </c>
      <c r="B237" s="120"/>
      <c r="C237" s="121"/>
      <c r="D237" s="121"/>
      <c r="E237" s="124"/>
      <c r="F237" s="122"/>
    </row>
    <row r="238" spans="1:6" ht="13.5" thickBot="1" x14ac:dyDescent="0.25">
      <c r="A238" s="132">
        <v>224</v>
      </c>
      <c r="B238" s="126" t="str">
        <f>CONCATENATE(MID(B235,1,4)," - Adjustment")</f>
        <v>A105 - Adjustment</v>
      </c>
      <c r="C238" s="121"/>
      <c r="D238" s="121"/>
      <c r="E238" s="133">
        <f>+E236-E235</f>
        <v>-3200205.700000003</v>
      </c>
      <c r="F238" s="127"/>
    </row>
    <row r="239" spans="1:6" ht="13.5" thickTop="1" x14ac:dyDescent="0.2">
      <c r="A239" s="132">
        <v>225</v>
      </c>
      <c r="B239" s="128"/>
      <c r="C239" s="129"/>
      <c r="D239" s="129"/>
      <c r="E239" s="129"/>
      <c r="F239" s="130"/>
    </row>
    <row r="240" spans="1:6" x14ac:dyDescent="0.2">
      <c r="A240" s="132">
        <v>226</v>
      </c>
    </row>
    <row r="241" spans="1:6" x14ac:dyDescent="0.2">
      <c r="A241" s="132">
        <v>227</v>
      </c>
      <c r="B241" s="131" t="s">
        <v>350</v>
      </c>
      <c r="C241" s="117" t="s">
        <v>78</v>
      </c>
      <c r="D241" s="118"/>
      <c r="E241" s="118"/>
      <c r="F241" s="119" t="s">
        <v>80</v>
      </c>
    </row>
    <row r="242" spans="1:6" x14ac:dyDescent="0.2">
      <c r="A242" s="132">
        <v>228</v>
      </c>
      <c r="B242" s="120"/>
      <c r="C242" s="121"/>
      <c r="D242" s="121"/>
      <c r="E242" s="121"/>
      <c r="F242" s="122"/>
    </row>
    <row r="243" spans="1:6" x14ac:dyDescent="0.2">
      <c r="A243" s="132">
        <v>229</v>
      </c>
      <c r="B243" s="123" t="s">
        <v>351</v>
      </c>
      <c r="C243" s="121"/>
      <c r="D243" s="121"/>
      <c r="E243" s="124">
        <v>0</v>
      </c>
      <c r="F243" s="122"/>
    </row>
    <row r="244" spans="1:6" x14ac:dyDescent="0.2">
      <c r="A244" s="132">
        <v>230</v>
      </c>
      <c r="B244" s="123" t="s">
        <v>352</v>
      </c>
      <c r="C244" s="121"/>
      <c r="D244" s="121"/>
      <c r="E244" s="125">
        <f>+'[5]II-B-8'!$H$32</f>
        <v>-206947.65</v>
      </c>
      <c r="F244" s="122"/>
    </row>
    <row r="245" spans="1:6" x14ac:dyDescent="0.2">
      <c r="A245" s="132">
        <v>231</v>
      </c>
      <c r="B245" s="120"/>
      <c r="C245" s="121"/>
      <c r="D245" s="121"/>
      <c r="E245" s="124"/>
      <c r="F245" s="122"/>
    </row>
    <row r="246" spans="1:6" ht="13.5" thickBot="1" x14ac:dyDescent="0.25">
      <c r="A246" s="132">
        <v>232</v>
      </c>
      <c r="B246" s="126" t="str">
        <f>CONCATENATE(MID(B243,1,4)," - Adjustment")</f>
        <v>A154 - Adjustment</v>
      </c>
      <c r="C246" s="121"/>
      <c r="D246" s="121"/>
      <c r="E246" s="133">
        <f>+E244-E243</f>
        <v>-206947.65</v>
      </c>
      <c r="F246" s="127"/>
    </row>
    <row r="247" spans="1:6" ht="13.5" thickTop="1" x14ac:dyDescent="0.2">
      <c r="A247" s="132">
        <v>233</v>
      </c>
      <c r="B247" s="128"/>
      <c r="C247" s="129"/>
      <c r="D247" s="129"/>
      <c r="E247" s="129"/>
      <c r="F247" s="130"/>
    </row>
    <row r="248" spans="1:6" x14ac:dyDescent="0.2">
      <c r="A248" s="132">
        <v>234</v>
      </c>
    </row>
    <row r="249" spans="1:6" x14ac:dyDescent="0.2">
      <c r="A249" s="132">
        <v>235</v>
      </c>
      <c r="B249" s="131" t="s">
        <v>390</v>
      </c>
      <c r="C249" s="117" t="s">
        <v>78</v>
      </c>
      <c r="D249" s="118"/>
      <c r="E249" s="118"/>
      <c r="F249" s="119" t="s">
        <v>80</v>
      </c>
    </row>
    <row r="250" spans="1:6" x14ac:dyDescent="0.2">
      <c r="A250" s="132">
        <v>236</v>
      </c>
      <c r="B250" s="120"/>
      <c r="C250" s="121"/>
      <c r="D250" s="121"/>
      <c r="E250" s="121"/>
      <c r="F250" s="122"/>
    </row>
    <row r="251" spans="1:6" x14ac:dyDescent="0.2">
      <c r="A251" s="132">
        <v>237</v>
      </c>
      <c r="B251" s="123" t="s">
        <v>391</v>
      </c>
      <c r="C251" s="121"/>
      <c r="D251" s="121"/>
      <c r="E251" s="124">
        <f>+'[5]II-B-10'!$G$32</f>
        <v>138858259.0138461</v>
      </c>
      <c r="F251" s="122"/>
    </row>
    <row r="252" spans="1:6" x14ac:dyDescent="0.2">
      <c r="A252" s="132">
        <v>238</v>
      </c>
      <c r="B252" s="123" t="s">
        <v>392</v>
      </c>
      <c r="C252" s="121"/>
      <c r="D252" s="121"/>
      <c r="E252" s="125">
        <f>+'[5]II-B-10'!$I$32</f>
        <v>146239797.8584615</v>
      </c>
      <c r="F252" s="122"/>
    </row>
    <row r="253" spans="1:6" x14ac:dyDescent="0.2">
      <c r="A253" s="132">
        <v>239</v>
      </c>
      <c r="B253" s="120"/>
      <c r="C253" s="121"/>
      <c r="D253" s="121"/>
      <c r="E253" s="124"/>
      <c r="F253" s="122"/>
    </row>
    <row r="254" spans="1:6" ht="13.5" thickBot="1" x14ac:dyDescent="0.25">
      <c r="A254" s="132">
        <v>240</v>
      </c>
      <c r="B254" s="126" t="str">
        <f>CONCATENATE(MID(B251,1,4)," - Adjustment")</f>
        <v>A165 - Adjustment</v>
      </c>
      <c r="C254" s="121"/>
      <c r="D254" s="121"/>
      <c r="E254" s="133">
        <f>+E252-E251</f>
        <v>7381538.8446153998</v>
      </c>
      <c r="F254" s="127"/>
    </row>
    <row r="255" spans="1:6" ht="13.5" thickTop="1" x14ac:dyDescent="0.2">
      <c r="A255" s="132">
        <v>241</v>
      </c>
      <c r="B255" s="128"/>
      <c r="C255" s="129"/>
      <c r="D255" s="129"/>
      <c r="E255" s="129"/>
      <c r="F255" s="130"/>
    </row>
    <row r="256" spans="1:6" x14ac:dyDescent="0.2">
      <c r="A256" s="132">
        <v>242</v>
      </c>
    </row>
    <row r="257" spans="1:6" x14ac:dyDescent="0.2">
      <c r="A257" s="132">
        <v>243</v>
      </c>
      <c r="B257" s="131" t="s">
        <v>96</v>
      </c>
      <c r="C257" s="117" t="s">
        <v>78</v>
      </c>
      <c r="D257" s="118"/>
      <c r="E257" s="118"/>
      <c r="F257" s="119" t="s">
        <v>79</v>
      </c>
    </row>
    <row r="258" spans="1:6" x14ac:dyDescent="0.2">
      <c r="A258" s="132">
        <v>244</v>
      </c>
      <c r="B258" s="120"/>
      <c r="C258" s="121"/>
      <c r="D258" s="121"/>
      <c r="E258" s="121"/>
      <c r="F258" s="122" t="s">
        <v>80</v>
      </c>
    </row>
    <row r="259" spans="1:6" x14ac:dyDescent="0.2">
      <c r="A259" s="132">
        <v>245</v>
      </c>
      <c r="B259" s="123" t="s">
        <v>393</v>
      </c>
      <c r="C259" s="121"/>
      <c r="D259" s="121"/>
      <c r="E259" s="124">
        <f>+'[5]II-B-11'!$G$19</f>
        <v>20742553.34</v>
      </c>
      <c r="F259" s="122" t="s">
        <v>83</v>
      </c>
    </row>
    <row r="260" spans="1:6" x14ac:dyDescent="0.2">
      <c r="A260" s="132">
        <v>246</v>
      </c>
      <c r="B260" s="123" t="s">
        <v>394</v>
      </c>
      <c r="C260" s="121"/>
      <c r="D260" s="121"/>
      <c r="E260" s="125">
        <f>+'[5]II-B-11'!$I$19</f>
        <v>0</v>
      </c>
      <c r="F260" s="122"/>
    </row>
    <row r="261" spans="1:6" x14ac:dyDescent="0.2">
      <c r="A261" s="132">
        <v>247</v>
      </c>
      <c r="B261" s="120"/>
      <c r="C261" s="121"/>
      <c r="D261" s="121"/>
      <c r="E261" s="124"/>
      <c r="F261" s="122"/>
    </row>
    <row r="262" spans="1:6" ht="13.5" thickBot="1" x14ac:dyDescent="0.25">
      <c r="A262" s="132">
        <v>248</v>
      </c>
      <c r="B262" s="126" t="str">
        <f>CONCATENATE(MID(B259,1,4)," - Adjustment")</f>
        <v>A114 - Adjustment</v>
      </c>
      <c r="C262" s="121"/>
      <c r="D262" s="121"/>
      <c r="E262" s="133">
        <f>+E260-E259</f>
        <v>-20742553.34</v>
      </c>
      <c r="F262" s="127"/>
    </row>
    <row r="263" spans="1:6" ht="13.5" thickTop="1" x14ac:dyDescent="0.2">
      <c r="A263" s="132">
        <v>249</v>
      </c>
      <c r="B263" s="128"/>
      <c r="C263" s="129"/>
      <c r="D263" s="129"/>
      <c r="E263" s="129"/>
      <c r="F263" s="130"/>
    </row>
    <row r="264" spans="1:6" x14ac:dyDescent="0.2">
      <c r="A264" s="132">
        <v>250</v>
      </c>
    </row>
    <row r="265" spans="1:6" x14ac:dyDescent="0.2">
      <c r="A265" s="132">
        <v>251</v>
      </c>
      <c r="B265" s="131" t="s">
        <v>96</v>
      </c>
      <c r="C265" s="117" t="s">
        <v>78</v>
      </c>
      <c r="D265" s="118"/>
      <c r="E265" s="118"/>
      <c r="F265" s="119" t="s">
        <v>79</v>
      </c>
    </row>
    <row r="266" spans="1:6" x14ac:dyDescent="0.2">
      <c r="A266" s="132">
        <v>252</v>
      </c>
      <c r="B266" s="120"/>
      <c r="C266" s="121"/>
      <c r="D266" s="121"/>
      <c r="E266" s="121"/>
      <c r="F266" s="122" t="s">
        <v>80</v>
      </c>
    </row>
    <row r="267" spans="1:6" x14ac:dyDescent="0.2">
      <c r="A267" s="132">
        <v>253</v>
      </c>
      <c r="B267" s="123" t="s">
        <v>395</v>
      </c>
      <c r="C267" s="121"/>
      <c r="D267" s="121"/>
      <c r="E267" s="124">
        <f>+'[5]II-B-11'!$G$21</f>
        <v>-215642467.25999999</v>
      </c>
      <c r="F267" s="122" t="s">
        <v>83</v>
      </c>
    </row>
    <row r="268" spans="1:6" x14ac:dyDescent="0.2">
      <c r="A268" s="132">
        <v>254</v>
      </c>
      <c r="B268" s="123" t="s">
        <v>396</v>
      </c>
      <c r="C268" s="121"/>
      <c r="D268" s="121"/>
      <c r="E268" s="125">
        <f>+'[5]II-B-11'!$I$21</f>
        <v>0</v>
      </c>
      <c r="F268" s="122"/>
    </row>
    <row r="269" spans="1:6" x14ac:dyDescent="0.2">
      <c r="A269" s="132">
        <v>255</v>
      </c>
      <c r="B269" s="120"/>
      <c r="C269" s="121"/>
      <c r="D269" s="121"/>
      <c r="E269" s="124"/>
      <c r="F269" s="122"/>
    </row>
    <row r="270" spans="1:6" ht="13.5" thickBot="1" x14ac:dyDescent="0.25">
      <c r="A270" s="132">
        <v>256</v>
      </c>
      <c r="B270" s="126" t="str">
        <f>CONCATENATE(MID(B267,1,4)," - Adjustment")</f>
        <v>A252 - Adjustment</v>
      </c>
      <c r="C270" s="121"/>
      <c r="D270" s="121"/>
      <c r="E270" s="133">
        <f>+E268-E267</f>
        <v>215642467.25999999</v>
      </c>
      <c r="F270" s="127"/>
    </row>
    <row r="271" spans="1:6" ht="13.5" thickTop="1" x14ac:dyDescent="0.2">
      <c r="A271" s="132">
        <v>257</v>
      </c>
      <c r="B271" s="128"/>
      <c r="C271" s="129"/>
      <c r="D271" s="129"/>
      <c r="E271" s="129"/>
      <c r="F271" s="130"/>
    </row>
    <row r="272" spans="1:6" x14ac:dyDescent="0.2">
      <c r="A272" s="132">
        <v>258</v>
      </c>
    </row>
    <row r="273" spans="1:6" x14ac:dyDescent="0.2">
      <c r="A273" s="132">
        <v>259</v>
      </c>
      <c r="B273" s="131" t="s">
        <v>97</v>
      </c>
      <c r="C273" s="117" t="s">
        <v>78</v>
      </c>
      <c r="D273" s="118"/>
      <c r="E273" s="118"/>
      <c r="F273" s="119" t="s">
        <v>79</v>
      </c>
    </row>
    <row r="274" spans="1:6" x14ac:dyDescent="0.2">
      <c r="A274" s="132">
        <v>260</v>
      </c>
      <c r="B274" s="120"/>
      <c r="C274" s="121"/>
      <c r="D274" s="121"/>
      <c r="E274" s="121"/>
      <c r="F274" s="122" t="s">
        <v>83</v>
      </c>
    </row>
    <row r="275" spans="1:6" x14ac:dyDescent="0.2">
      <c r="A275" s="132">
        <v>261</v>
      </c>
      <c r="B275" s="123" t="s">
        <v>102</v>
      </c>
      <c r="C275" s="121"/>
      <c r="D275" s="121"/>
      <c r="E275" s="124">
        <f>+'[5]II-B-12'!$G$19</f>
        <v>6117208.4000000004</v>
      </c>
      <c r="F275" s="122"/>
    </row>
    <row r="276" spans="1:6" x14ac:dyDescent="0.2">
      <c r="A276" s="132">
        <v>262</v>
      </c>
      <c r="B276" s="123" t="s">
        <v>103</v>
      </c>
      <c r="C276" s="121"/>
      <c r="D276" s="121"/>
      <c r="E276" s="125">
        <f>+'[5]II-B-12'!$I$19</f>
        <v>0</v>
      </c>
      <c r="F276" s="122"/>
    </row>
    <row r="277" spans="1:6" x14ac:dyDescent="0.2">
      <c r="A277" s="132">
        <v>263</v>
      </c>
      <c r="B277" s="120"/>
      <c r="C277" s="121"/>
      <c r="D277" s="121"/>
      <c r="E277" s="124"/>
      <c r="F277" s="122"/>
    </row>
    <row r="278" spans="1:6" ht="13.5" thickBot="1" x14ac:dyDescent="0.25">
      <c r="A278" s="132">
        <v>264</v>
      </c>
      <c r="B278" s="126" t="str">
        <f>CONCATENATE(MID(B275,1,4)," - Adjustment")</f>
        <v>A189 - Adjustment</v>
      </c>
      <c r="C278" s="121"/>
      <c r="D278" s="121"/>
      <c r="E278" s="133">
        <f>+E276-E275</f>
        <v>-6117208.4000000004</v>
      </c>
      <c r="F278" s="127"/>
    </row>
    <row r="279" spans="1:6" ht="13.5" thickTop="1" x14ac:dyDescent="0.2">
      <c r="A279" s="132">
        <v>265</v>
      </c>
      <c r="B279" s="128"/>
      <c r="C279" s="129"/>
      <c r="D279" s="129"/>
      <c r="E279" s="129"/>
      <c r="F279" s="130"/>
    </row>
    <row r="280" spans="1:6" x14ac:dyDescent="0.2">
      <c r="A280" s="132">
        <v>266</v>
      </c>
    </row>
    <row r="281" spans="1:6" x14ac:dyDescent="0.2">
      <c r="A281" s="132">
        <v>267</v>
      </c>
      <c r="B281" s="131" t="s">
        <v>97</v>
      </c>
      <c r="C281" s="117" t="s">
        <v>78</v>
      </c>
      <c r="D281" s="118"/>
      <c r="E281" s="118"/>
      <c r="F281" s="119" t="s">
        <v>79</v>
      </c>
    </row>
    <row r="282" spans="1:6" x14ac:dyDescent="0.2">
      <c r="A282" s="132">
        <v>268</v>
      </c>
      <c r="B282" s="120"/>
      <c r="C282" s="121"/>
      <c r="D282" s="121"/>
      <c r="E282" s="121"/>
      <c r="F282" s="122" t="s">
        <v>83</v>
      </c>
    </row>
    <row r="283" spans="1:6" x14ac:dyDescent="0.2">
      <c r="A283" s="132">
        <v>269</v>
      </c>
      <c r="B283" s="123" t="s">
        <v>397</v>
      </c>
      <c r="C283" s="121"/>
      <c r="D283" s="121"/>
      <c r="E283" s="124">
        <f>+'[5]II-B-12'!$G$21</f>
        <v>726970.12</v>
      </c>
      <c r="F283" s="122"/>
    </row>
    <row r="284" spans="1:6" x14ac:dyDescent="0.2">
      <c r="A284" s="132">
        <v>270</v>
      </c>
      <c r="B284" s="123" t="s">
        <v>398</v>
      </c>
      <c r="C284" s="121"/>
      <c r="D284" s="121"/>
      <c r="E284" s="125">
        <f>+'[5]II-B-12'!$I$21</f>
        <v>727219.48</v>
      </c>
      <c r="F284" s="122"/>
    </row>
    <row r="285" spans="1:6" x14ac:dyDescent="0.2">
      <c r="A285" s="132">
        <v>271</v>
      </c>
      <c r="B285" s="120"/>
      <c r="C285" s="121"/>
      <c r="D285" s="121"/>
      <c r="E285" s="124"/>
      <c r="F285" s="122"/>
    </row>
    <row r="286" spans="1:6" ht="13.5" thickBot="1" x14ac:dyDescent="0.25">
      <c r="A286" s="132">
        <v>272</v>
      </c>
      <c r="B286" s="126" t="str">
        <f>CONCATENATE(MID(B283,1,4)," - Adjustment")</f>
        <v>A182 - Adjustment</v>
      </c>
      <c r="C286" s="121"/>
      <c r="D286" s="121"/>
      <c r="E286" s="133">
        <f>+E284-E283</f>
        <v>249.35999999998603</v>
      </c>
      <c r="F286" s="127"/>
    </row>
    <row r="287" spans="1:6" ht="13.5" thickTop="1" x14ac:dyDescent="0.2">
      <c r="A287" s="132">
        <v>273</v>
      </c>
      <c r="B287" s="128"/>
      <c r="C287" s="129"/>
      <c r="D287" s="129"/>
      <c r="E287" s="129"/>
      <c r="F287" s="130"/>
    </row>
    <row r="288" spans="1:6" x14ac:dyDescent="0.2">
      <c r="A288" s="132">
        <v>274</v>
      </c>
    </row>
    <row r="289" spans="1:6" x14ac:dyDescent="0.2">
      <c r="A289" s="132">
        <v>275</v>
      </c>
      <c r="B289" s="131" t="s">
        <v>97</v>
      </c>
      <c r="C289" s="117" t="s">
        <v>78</v>
      </c>
      <c r="D289" s="118"/>
      <c r="E289" s="118"/>
      <c r="F289" s="119" t="s">
        <v>79</v>
      </c>
    </row>
    <row r="290" spans="1:6" x14ac:dyDescent="0.2">
      <c r="A290" s="132">
        <v>276</v>
      </c>
      <c r="B290" s="120"/>
      <c r="C290" s="121"/>
      <c r="D290" s="121"/>
      <c r="E290" s="121"/>
      <c r="F290" s="122" t="s">
        <v>83</v>
      </c>
    </row>
    <row r="291" spans="1:6" x14ac:dyDescent="0.2">
      <c r="A291" s="132">
        <v>277</v>
      </c>
      <c r="B291" s="123" t="s">
        <v>399</v>
      </c>
      <c r="C291" s="121"/>
      <c r="D291" s="121"/>
      <c r="E291" s="124">
        <f>+'[5]II-B-12'!$G$23</f>
        <v>1625552.39</v>
      </c>
      <c r="F291" s="122"/>
    </row>
    <row r="292" spans="1:6" x14ac:dyDescent="0.2">
      <c r="A292" s="132">
        <v>278</v>
      </c>
      <c r="B292" s="123" t="s">
        <v>400</v>
      </c>
      <c r="C292" s="121"/>
      <c r="D292" s="121"/>
      <c r="E292" s="125">
        <f>+'[5]II-B-12'!$I$23</f>
        <v>0</v>
      </c>
      <c r="F292" s="122"/>
    </row>
    <row r="293" spans="1:6" x14ac:dyDescent="0.2">
      <c r="A293" s="132">
        <v>279</v>
      </c>
      <c r="B293" s="120"/>
      <c r="C293" s="121"/>
      <c r="D293" s="121"/>
      <c r="E293" s="124"/>
      <c r="F293" s="122"/>
    </row>
    <row r="294" spans="1:6" ht="13.5" thickBot="1" x14ac:dyDescent="0.25">
      <c r="A294" s="132">
        <v>280</v>
      </c>
      <c r="B294" s="126" t="str">
        <f>CONCATENATE(MID(B291,1,4)," - Adjustment")</f>
        <v>A182 - Adjustment</v>
      </c>
      <c r="C294" s="121"/>
      <c r="D294" s="121"/>
      <c r="E294" s="133">
        <f>+E292-E291</f>
        <v>-1625552.39</v>
      </c>
      <c r="F294" s="127"/>
    </row>
    <row r="295" spans="1:6" ht="13.5" thickTop="1" x14ac:dyDescent="0.2">
      <c r="A295" s="132">
        <v>281</v>
      </c>
      <c r="B295" s="128"/>
      <c r="C295" s="129"/>
      <c r="D295" s="129"/>
      <c r="E295" s="129"/>
      <c r="F295" s="130"/>
    </row>
    <row r="296" spans="1:6" x14ac:dyDescent="0.2">
      <c r="A296" s="132">
        <v>282</v>
      </c>
    </row>
    <row r="297" spans="1:6" x14ac:dyDescent="0.2">
      <c r="A297" s="132">
        <v>283</v>
      </c>
      <c r="B297" s="131" t="s">
        <v>97</v>
      </c>
      <c r="C297" s="117" t="s">
        <v>78</v>
      </c>
      <c r="D297" s="118"/>
      <c r="E297" s="118"/>
      <c r="F297" s="119" t="s">
        <v>79</v>
      </c>
    </row>
    <row r="298" spans="1:6" x14ac:dyDescent="0.2">
      <c r="A298" s="132">
        <v>284</v>
      </c>
      <c r="B298" s="120"/>
      <c r="C298" s="121"/>
      <c r="D298" s="121"/>
      <c r="E298" s="121"/>
      <c r="F298" s="122" t="s">
        <v>83</v>
      </c>
    </row>
    <row r="299" spans="1:6" x14ac:dyDescent="0.2">
      <c r="A299" s="132">
        <v>285</v>
      </c>
      <c r="B299" s="123" t="s">
        <v>401</v>
      </c>
      <c r="C299" s="121"/>
      <c r="D299" s="121"/>
      <c r="E299" s="124">
        <f>+'[5]II-B-12'!$G$24</f>
        <v>360286.66</v>
      </c>
      <c r="F299" s="122"/>
    </row>
    <row r="300" spans="1:6" x14ac:dyDescent="0.2">
      <c r="A300" s="132">
        <v>286</v>
      </c>
      <c r="B300" s="123" t="s">
        <v>402</v>
      </c>
      <c r="C300" s="121"/>
      <c r="D300" s="121"/>
      <c r="E300" s="125">
        <f>+'[5]II-B-12'!$I$24</f>
        <v>697529.98</v>
      </c>
      <c r="F300" s="122"/>
    </row>
    <row r="301" spans="1:6" x14ac:dyDescent="0.2">
      <c r="A301" s="132">
        <v>287</v>
      </c>
      <c r="B301" s="120"/>
      <c r="C301" s="121"/>
      <c r="D301" s="121"/>
      <c r="E301" s="124"/>
      <c r="F301" s="122"/>
    </row>
    <row r="302" spans="1:6" ht="13.5" thickBot="1" x14ac:dyDescent="0.25">
      <c r="A302" s="132">
        <v>288</v>
      </c>
      <c r="B302" s="126" t="str">
        <f>CONCATENATE(MID(B299,1,4)," - Adjustment")</f>
        <v>A182 - Adjustment</v>
      </c>
      <c r="C302" s="121"/>
      <c r="D302" s="121"/>
      <c r="E302" s="133">
        <f>+E300-E299</f>
        <v>337243.32</v>
      </c>
      <c r="F302" s="127"/>
    </row>
    <row r="303" spans="1:6" ht="13.5" thickTop="1" x14ac:dyDescent="0.2">
      <c r="A303" s="132">
        <v>289</v>
      </c>
      <c r="B303" s="128"/>
      <c r="C303" s="129"/>
      <c r="D303" s="129"/>
      <c r="E303" s="129"/>
      <c r="F303" s="130"/>
    </row>
    <row r="304" spans="1:6" x14ac:dyDescent="0.2">
      <c r="A304" s="132">
        <v>290</v>
      </c>
    </row>
    <row r="305" spans="1:6" x14ac:dyDescent="0.2">
      <c r="A305" s="132">
        <v>291</v>
      </c>
      <c r="B305" s="131" t="s">
        <v>97</v>
      </c>
      <c r="C305" s="117" t="s">
        <v>78</v>
      </c>
      <c r="D305" s="118"/>
      <c r="E305" s="118"/>
      <c r="F305" s="119" t="s">
        <v>79</v>
      </c>
    </row>
    <row r="306" spans="1:6" x14ac:dyDescent="0.2">
      <c r="A306" s="132">
        <v>292</v>
      </c>
      <c r="B306" s="120"/>
      <c r="C306" s="121"/>
      <c r="D306" s="121"/>
      <c r="E306" s="121"/>
      <c r="F306" s="122" t="s">
        <v>83</v>
      </c>
    </row>
    <row r="307" spans="1:6" x14ac:dyDescent="0.2">
      <c r="A307" s="132">
        <v>293</v>
      </c>
      <c r="B307" s="123" t="s">
        <v>403</v>
      </c>
      <c r="C307" s="121"/>
      <c r="D307" s="121"/>
      <c r="E307" s="124">
        <f>+'[5]II-B-12'!$G$25</f>
        <v>16592374</v>
      </c>
      <c r="F307" s="122"/>
    </row>
    <row r="308" spans="1:6" x14ac:dyDescent="0.2">
      <c r="A308" s="132">
        <v>294</v>
      </c>
      <c r="B308" s="123" t="s">
        <v>404</v>
      </c>
      <c r="C308" s="121"/>
      <c r="D308" s="121"/>
      <c r="E308" s="125">
        <f>+'[5]II-B-12'!$I$25</f>
        <v>0</v>
      </c>
      <c r="F308" s="122"/>
    </row>
    <row r="309" spans="1:6" x14ac:dyDescent="0.2">
      <c r="A309" s="132">
        <v>295</v>
      </c>
      <c r="B309" s="120"/>
      <c r="C309" s="121"/>
      <c r="D309" s="121"/>
      <c r="E309" s="124"/>
      <c r="F309" s="122"/>
    </row>
    <row r="310" spans="1:6" ht="13.5" thickBot="1" x14ac:dyDescent="0.25">
      <c r="A310" s="132">
        <v>296</v>
      </c>
      <c r="B310" s="126" t="str">
        <f>CONCATENATE(MID(B307,1,4)," - Adjustment")</f>
        <v>A182 - Adjustment</v>
      </c>
      <c r="C310" s="121"/>
      <c r="D310" s="121"/>
      <c r="E310" s="133">
        <f>+E308-E307</f>
        <v>-16592374</v>
      </c>
      <c r="F310" s="127"/>
    </row>
    <row r="311" spans="1:6" ht="13.5" thickTop="1" x14ac:dyDescent="0.2">
      <c r="A311" s="132">
        <v>297</v>
      </c>
      <c r="B311" s="128"/>
      <c r="C311" s="129"/>
      <c r="D311" s="129"/>
      <c r="E311" s="129"/>
      <c r="F311" s="130"/>
    </row>
    <row r="312" spans="1:6" x14ac:dyDescent="0.2">
      <c r="A312" s="132">
        <v>298</v>
      </c>
    </row>
    <row r="313" spans="1:6" x14ac:dyDescent="0.2">
      <c r="A313" s="132">
        <v>299</v>
      </c>
      <c r="B313" s="131" t="s">
        <v>97</v>
      </c>
      <c r="C313" s="117" t="s">
        <v>78</v>
      </c>
      <c r="D313" s="118"/>
      <c r="E313" s="118"/>
      <c r="F313" s="119" t="s">
        <v>79</v>
      </c>
    </row>
    <row r="314" spans="1:6" x14ac:dyDescent="0.2">
      <c r="A314" s="132">
        <v>300</v>
      </c>
      <c r="B314" s="120"/>
      <c r="C314" s="121"/>
      <c r="D314" s="121"/>
      <c r="E314" s="121"/>
      <c r="F314" s="122" t="s">
        <v>83</v>
      </c>
    </row>
    <row r="315" spans="1:6" x14ac:dyDescent="0.2">
      <c r="A315" s="132">
        <v>301</v>
      </c>
      <c r="B315" s="123" t="s">
        <v>405</v>
      </c>
      <c r="C315" s="121"/>
      <c r="D315" s="121"/>
      <c r="E315" s="124">
        <f>+'[5]II-B-12'!$G$27</f>
        <v>2560889.5099999998</v>
      </c>
      <c r="F315" s="122"/>
    </row>
    <row r="316" spans="1:6" x14ac:dyDescent="0.2">
      <c r="A316" s="132">
        <v>302</v>
      </c>
      <c r="B316" s="123" t="s">
        <v>406</v>
      </c>
      <c r="C316" s="121"/>
      <c r="D316" s="121"/>
      <c r="E316" s="125">
        <f>+'[5]II-B-12'!$I$27</f>
        <v>2661400.7999999998</v>
      </c>
      <c r="F316" s="122"/>
    </row>
    <row r="317" spans="1:6" x14ac:dyDescent="0.2">
      <c r="A317" s="132">
        <v>303</v>
      </c>
      <c r="B317" s="120"/>
      <c r="C317" s="121"/>
      <c r="D317" s="121"/>
      <c r="E317" s="124"/>
      <c r="F317" s="122"/>
    </row>
    <row r="318" spans="1:6" ht="13.5" thickBot="1" x14ac:dyDescent="0.25">
      <c r="A318" s="132">
        <v>304</v>
      </c>
      <c r="B318" s="126" t="str">
        <f>CONCATENATE(MID(B315,1,4)," - Adjustment")</f>
        <v>A182 - Adjustment</v>
      </c>
      <c r="C318" s="121"/>
      <c r="D318" s="121"/>
      <c r="E318" s="133">
        <f>+E316-E315</f>
        <v>100511.29000000004</v>
      </c>
      <c r="F318" s="127"/>
    </row>
    <row r="319" spans="1:6" ht="13.5" thickTop="1" x14ac:dyDescent="0.2">
      <c r="A319" s="132">
        <v>305</v>
      </c>
      <c r="B319" s="128"/>
      <c r="C319" s="129"/>
      <c r="D319" s="129"/>
      <c r="E319" s="129"/>
      <c r="F319" s="130"/>
    </row>
    <row r="320" spans="1:6" x14ac:dyDescent="0.2">
      <c r="A320" s="132">
        <v>306</v>
      </c>
    </row>
    <row r="321" spans="1:6" x14ac:dyDescent="0.2">
      <c r="A321" s="132">
        <v>307</v>
      </c>
      <c r="B321" s="131" t="s">
        <v>97</v>
      </c>
      <c r="C321" s="117" t="s">
        <v>78</v>
      </c>
      <c r="D321" s="118"/>
      <c r="E321" s="118"/>
      <c r="F321" s="119" t="s">
        <v>79</v>
      </c>
    </row>
    <row r="322" spans="1:6" x14ac:dyDescent="0.2">
      <c r="A322" s="132">
        <v>308</v>
      </c>
      <c r="B322" s="120"/>
      <c r="C322" s="121"/>
      <c r="D322" s="121"/>
      <c r="E322" s="121"/>
      <c r="F322" s="122" t="s">
        <v>83</v>
      </c>
    </row>
    <row r="323" spans="1:6" x14ac:dyDescent="0.2">
      <c r="A323" s="132">
        <v>309</v>
      </c>
      <c r="B323" s="123" t="s">
        <v>98</v>
      </c>
      <c r="C323" s="121"/>
      <c r="D323" s="121"/>
      <c r="E323" s="124">
        <f>+'[5]II-B-12'!$G$32</f>
        <v>166385615</v>
      </c>
      <c r="F323" s="122"/>
    </row>
    <row r="324" spans="1:6" x14ac:dyDescent="0.2">
      <c r="A324" s="132">
        <v>310</v>
      </c>
      <c r="B324" s="123" t="s">
        <v>99</v>
      </c>
      <c r="C324" s="121"/>
      <c r="D324" s="121"/>
      <c r="E324" s="125">
        <f>+'[5]II-B-12'!$I$32</f>
        <v>0</v>
      </c>
      <c r="F324" s="122"/>
    </row>
    <row r="325" spans="1:6" x14ac:dyDescent="0.2">
      <c r="A325" s="132">
        <v>311</v>
      </c>
      <c r="B325" s="120"/>
      <c r="C325" s="121"/>
      <c r="D325" s="121"/>
      <c r="E325" s="124"/>
      <c r="F325" s="122"/>
    </row>
    <row r="326" spans="1:6" ht="13.5" thickBot="1" x14ac:dyDescent="0.25">
      <c r="A326" s="132">
        <v>312</v>
      </c>
      <c r="B326" s="126" t="str">
        <f>CONCATENATE(MID(B323,1,4)," - Adjustment")</f>
        <v>A182 - Adjustment</v>
      </c>
      <c r="C326" s="121"/>
      <c r="D326" s="121"/>
      <c r="E326" s="133">
        <f>+E324-E323</f>
        <v>-166385615</v>
      </c>
      <c r="F326" s="127"/>
    </row>
    <row r="327" spans="1:6" ht="13.5" thickTop="1" x14ac:dyDescent="0.2">
      <c r="A327" s="132">
        <v>313</v>
      </c>
      <c r="B327" s="128"/>
      <c r="C327" s="129"/>
      <c r="D327" s="129"/>
      <c r="E327" s="129"/>
      <c r="F327" s="130"/>
    </row>
    <row r="328" spans="1:6" x14ac:dyDescent="0.2">
      <c r="A328" s="132">
        <v>314</v>
      </c>
    </row>
    <row r="329" spans="1:6" x14ac:dyDescent="0.2">
      <c r="A329" s="132">
        <v>315</v>
      </c>
      <c r="B329" s="131" t="s">
        <v>97</v>
      </c>
      <c r="C329" s="117" t="s">
        <v>78</v>
      </c>
      <c r="D329" s="118"/>
      <c r="E329" s="118"/>
      <c r="F329" s="119" t="s">
        <v>79</v>
      </c>
    </row>
    <row r="330" spans="1:6" x14ac:dyDescent="0.2">
      <c r="A330" s="132">
        <v>316</v>
      </c>
      <c r="B330" s="120"/>
      <c r="C330" s="121"/>
      <c r="D330" s="121"/>
      <c r="E330" s="121"/>
      <c r="F330" s="122" t="s">
        <v>83</v>
      </c>
    </row>
    <row r="331" spans="1:6" x14ac:dyDescent="0.2">
      <c r="A331" s="132">
        <v>317</v>
      </c>
      <c r="B331" s="123" t="s">
        <v>100</v>
      </c>
      <c r="C331" s="121"/>
      <c r="D331" s="121"/>
      <c r="E331" s="124">
        <f>+'[5]II-B-12'!$G$33</f>
        <v>905444.52</v>
      </c>
      <c r="F331" s="122"/>
    </row>
    <row r="332" spans="1:6" x14ac:dyDescent="0.2">
      <c r="A332" s="132">
        <v>318</v>
      </c>
      <c r="B332" s="123" t="s">
        <v>101</v>
      </c>
      <c r="C332" s="121"/>
      <c r="D332" s="121"/>
      <c r="E332" s="125">
        <f>+'[5]II-B-12'!$I$33</f>
        <v>0</v>
      </c>
      <c r="F332" s="122"/>
    </row>
    <row r="333" spans="1:6" x14ac:dyDescent="0.2">
      <c r="A333" s="132">
        <v>319</v>
      </c>
      <c r="B333" s="120"/>
      <c r="C333" s="121"/>
      <c r="D333" s="121"/>
      <c r="E333" s="124"/>
      <c r="F333" s="122"/>
    </row>
    <row r="334" spans="1:6" ht="13.5" thickBot="1" x14ac:dyDescent="0.25">
      <c r="A334" s="132">
        <v>320</v>
      </c>
      <c r="B334" s="126" t="str">
        <f>CONCATENATE(MID(B331,1,4)," - Adjustment")</f>
        <v>A182 - Adjustment</v>
      </c>
      <c r="C334" s="121"/>
      <c r="D334" s="121"/>
      <c r="E334" s="133">
        <f>+E332-E331</f>
        <v>-905444.52</v>
      </c>
      <c r="F334" s="127"/>
    </row>
    <row r="335" spans="1:6" ht="13.5" thickTop="1" x14ac:dyDescent="0.2">
      <c r="A335" s="132">
        <v>321</v>
      </c>
      <c r="B335" s="128"/>
      <c r="C335" s="129"/>
      <c r="D335" s="129"/>
      <c r="E335" s="129"/>
      <c r="F335" s="130"/>
    </row>
    <row r="336" spans="1:6" x14ac:dyDescent="0.2">
      <c r="A336" s="132">
        <v>322</v>
      </c>
    </row>
    <row r="337" spans="1:6" x14ac:dyDescent="0.2">
      <c r="A337" s="132">
        <v>323</v>
      </c>
      <c r="B337" s="131" t="s">
        <v>97</v>
      </c>
      <c r="C337" s="117" t="s">
        <v>78</v>
      </c>
      <c r="D337" s="118"/>
      <c r="E337" s="118"/>
      <c r="F337" s="119" t="s">
        <v>79</v>
      </c>
    </row>
    <row r="338" spans="1:6" x14ac:dyDescent="0.2">
      <c r="A338" s="132">
        <v>324</v>
      </c>
      <c r="B338" s="120"/>
      <c r="C338" s="121"/>
      <c r="D338" s="121"/>
      <c r="E338" s="121"/>
      <c r="F338" s="122" t="s">
        <v>83</v>
      </c>
    </row>
    <row r="339" spans="1:6" x14ac:dyDescent="0.2">
      <c r="A339" s="132">
        <v>325</v>
      </c>
      <c r="B339" s="123" t="s">
        <v>407</v>
      </c>
      <c r="C339" s="121"/>
      <c r="D339" s="121"/>
      <c r="E339" s="124">
        <f>+'[5]II-B-12'!$G$34</f>
        <v>115959118.03999999</v>
      </c>
      <c r="F339" s="122"/>
    </row>
    <row r="340" spans="1:6" x14ac:dyDescent="0.2">
      <c r="A340" s="132">
        <v>326</v>
      </c>
      <c r="B340" s="123" t="s">
        <v>408</v>
      </c>
      <c r="C340" s="121"/>
      <c r="D340" s="121"/>
      <c r="E340" s="125">
        <f>+'[5]II-B-12'!$I$34</f>
        <v>0</v>
      </c>
      <c r="F340" s="122"/>
    </row>
    <row r="341" spans="1:6" x14ac:dyDescent="0.2">
      <c r="A341" s="132">
        <v>327</v>
      </c>
      <c r="B341" s="120"/>
      <c r="C341" s="121"/>
      <c r="D341" s="121"/>
      <c r="E341" s="124"/>
      <c r="F341" s="122"/>
    </row>
    <row r="342" spans="1:6" ht="13.5" thickBot="1" x14ac:dyDescent="0.25">
      <c r="A342" s="132">
        <v>328</v>
      </c>
      <c r="B342" s="126" t="str">
        <f>CONCATENATE(MID(B339,1,4)," - Adjustment")</f>
        <v>A182 - Adjustment</v>
      </c>
      <c r="C342" s="121"/>
      <c r="D342" s="121"/>
      <c r="E342" s="133">
        <f>+E340-E339</f>
        <v>-115959118.03999999</v>
      </c>
      <c r="F342" s="127"/>
    </row>
    <row r="343" spans="1:6" ht="13.5" thickTop="1" x14ac:dyDescent="0.2">
      <c r="A343" s="132">
        <v>329</v>
      </c>
      <c r="B343" s="128"/>
      <c r="C343" s="129"/>
      <c r="D343" s="129"/>
      <c r="E343" s="129"/>
      <c r="F343" s="130"/>
    </row>
    <row r="344" spans="1:6" x14ac:dyDescent="0.2">
      <c r="A344" s="132">
        <v>330</v>
      </c>
    </row>
    <row r="345" spans="1:6" x14ac:dyDescent="0.2">
      <c r="A345" s="132">
        <v>331</v>
      </c>
      <c r="B345" s="131" t="s">
        <v>97</v>
      </c>
      <c r="C345" s="117" t="s">
        <v>78</v>
      </c>
      <c r="D345" s="118"/>
      <c r="E345" s="118"/>
      <c r="F345" s="119" t="s">
        <v>79</v>
      </c>
    </row>
    <row r="346" spans="1:6" x14ac:dyDescent="0.2">
      <c r="A346" s="132">
        <v>332</v>
      </c>
      <c r="B346" s="120"/>
      <c r="C346" s="121"/>
      <c r="D346" s="121"/>
      <c r="E346" s="121"/>
      <c r="F346" s="122" t="s">
        <v>83</v>
      </c>
    </row>
    <row r="347" spans="1:6" x14ac:dyDescent="0.2">
      <c r="A347" s="132">
        <v>333</v>
      </c>
      <c r="B347" s="123" t="s">
        <v>409</v>
      </c>
      <c r="C347" s="121"/>
      <c r="D347" s="121"/>
      <c r="E347" s="124">
        <f>+'[5]II-B-12'!$G$43</f>
        <v>756549322.5999999</v>
      </c>
      <c r="F347" s="122"/>
    </row>
    <row r="348" spans="1:6" x14ac:dyDescent="0.2">
      <c r="A348" s="132">
        <v>334</v>
      </c>
      <c r="B348" s="123" t="s">
        <v>410</v>
      </c>
      <c r="C348" s="121"/>
      <c r="D348" s="121"/>
      <c r="E348" s="125">
        <f>+'[5]II-B-12'!$I$43</f>
        <v>757862896.13999987</v>
      </c>
      <c r="F348" s="122"/>
    </row>
    <row r="349" spans="1:6" x14ac:dyDescent="0.2">
      <c r="A349" s="132">
        <v>335</v>
      </c>
      <c r="B349" s="120"/>
      <c r="C349" s="121"/>
      <c r="D349" s="121"/>
      <c r="E349" s="124"/>
      <c r="F349" s="122"/>
    </row>
    <row r="350" spans="1:6" ht="13.5" thickBot="1" x14ac:dyDescent="0.25">
      <c r="A350" s="132">
        <v>336</v>
      </c>
      <c r="B350" s="126" t="str">
        <f>CONCATENATE(MID(B347,1,4)," - Adjustment")</f>
        <v>A186 - Adjustment</v>
      </c>
      <c r="C350" s="121"/>
      <c r="D350" s="121"/>
      <c r="E350" s="133">
        <f>+E348-E347</f>
        <v>1313573.5399999619</v>
      </c>
      <c r="F350" s="127"/>
    </row>
    <row r="351" spans="1:6" ht="13.5" thickTop="1" x14ac:dyDescent="0.2">
      <c r="A351" s="132">
        <v>337</v>
      </c>
      <c r="B351" s="128"/>
      <c r="C351" s="129"/>
      <c r="D351" s="129"/>
      <c r="E351" s="129"/>
      <c r="F351" s="130"/>
    </row>
    <row r="352" spans="1:6" x14ac:dyDescent="0.2">
      <c r="A352" s="132">
        <v>338</v>
      </c>
    </row>
    <row r="353" spans="1:6" x14ac:dyDescent="0.2">
      <c r="A353" s="132">
        <v>339</v>
      </c>
      <c r="B353" s="131" t="s">
        <v>97</v>
      </c>
      <c r="C353" s="117" t="s">
        <v>78</v>
      </c>
      <c r="D353" s="118"/>
      <c r="E353" s="118"/>
      <c r="F353" s="119" t="s">
        <v>79</v>
      </c>
    </row>
    <row r="354" spans="1:6" x14ac:dyDescent="0.2">
      <c r="A354" s="132">
        <v>340</v>
      </c>
      <c r="B354" s="120"/>
      <c r="C354" s="121"/>
      <c r="D354" s="121"/>
      <c r="E354" s="121"/>
      <c r="F354" s="122" t="s">
        <v>83</v>
      </c>
    </row>
    <row r="355" spans="1:6" x14ac:dyDescent="0.2">
      <c r="A355" s="132">
        <v>341</v>
      </c>
      <c r="B355" s="123" t="s">
        <v>104</v>
      </c>
      <c r="C355" s="121"/>
      <c r="D355" s="121"/>
      <c r="E355" s="124">
        <f>+'[5]II-B-12'!$G$44</f>
        <v>8413747.6600000001</v>
      </c>
      <c r="F355" s="122"/>
    </row>
    <row r="356" spans="1:6" x14ac:dyDescent="0.2">
      <c r="A356" s="132">
        <v>342</v>
      </c>
      <c r="B356" s="123" t="s">
        <v>105</v>
      </c>
      <c r="C356" s="121"/>
      <c r="D356" s="121"/>
      <c r="E356" s="125">
        <f>+'[5]II-B-12'!$I$44</f>
        <v>0</v>
      </c>
      <c r="F356" s="122"/>
    </row>
    <row r="357" spans="1:6" x14ac:dyDescent="0.2">
      <c r="A357" s="132">
        <v>343</v>
      </c>
      <c r="B357" s="120"/>
      <c r="C357" s="121"/>
      <c r="D357" s="121"/>
      <c r="E357" s="124"/>
      <c r="F357" s="122"/>
    </row>
    <row r="358" spans="1:6" ht="13.5" thickBot="1" x14ac:dyDescent="0.25">
      <c r="A358" s="132">
        <v>344</v>
      </c>
      <c r="B358" s="126" t="str">
        <f>CONCATENATE(MID(B355,1,4)," - Adjustment")</f>
        <v>A186 - Adjustment</v>
      </c>
      <c r="C358" s="121"/>
      <c r="D358" s="121"/>
      <c r="E358" s="133">
        <f>+E356-E355</f>
        <v>-8413747.6600000001</v>
      </c>
      <c r="F358" s="127"/>
    </row>
    <row r="359" spans="1:6" ht="13.5" thickTop="1" x14ac:dyDescent="0.2">
      <c r="A359" s="132">
        <v>345</v>
      </c>
      <c r="B359" s="128"/>
      <c r="C359" s="129"/>
      <c r="D359" s="129"/>
      <c r="E359" s="129"/>
      <c r="F359" s="130"/>
    </row>
    <row r="360" spans="1:6" x14ac:dyDescent="0.2">
      <c r="A360" s="132">
        <v>346</v>
      </c>
    </row>
    <row r="361" spans="1:6" x14ac:dyDescent="0.2">
      <c r="A361" s="132">
        <v>347</v>
      </c>
      <c r="B361" s="131" t="s">
        <v>97</v>
      </c>
      <c r="C361" s="117" t="s">
        <v>78</v>
      </c>
      <c r="D361" s="118"/>
      <c r="E361" s="118"/>
      <c r="F361" s="119" t="s">
        <v>79</v>
      </c>
    </row>
    <row r="362" spans="1:6" x14ac:dyDescent="0.2">
      <c r="A362" s="132">
        <v>348</v>
      </c>
      <c r="B362" s="120"/>
      <c r="C362" s="121"/>
      <c r="D362" s="121"/>
      <c r="E362" s="121"/>
      <c r="F362" s="122" t="s">
        <v>83</v>
      </c>
    </row>
    <row r="363" spans="1:6" x14ac:dyDescent="0.2">
      <c r="A363" s="132">
        <v>349</v>
      </c>
      <c r="B363" s="123" t="s">
        <v>411</v>
      </c>
      <c r="C363" s="121"/>
      <c r="D363" s="121"/>
      <c r="E363" s="124">
        <f>+'[5]II-B-12'!$G$45</f>
        <v>14642.460000000001</v>
      </c>
      <c r="F363" s="122"/>
    </row>
    <row r="364" spans="1:6" x14ac:dyDescent="0.2">
      <c r="A364" s="132">
        <v>350</v>
      </c>
      <c r="B364" s="123" t="s">
        <v>412</v>
      </c>
      <c r="C364" s="121"/>
      <c r="D364" s="121"/>
      <c r="E364" s="125">
        <f>+'[5]II-B-12'!$I$45</f>
        <v>0</v>
      </c>
      <c r="F364" s="122"/>
    </row>
    <row r="365" spans="1:6" x14ac:dyDescent="0.2">
      <c r="A365" s="132">
        <v>351</v>
      </c>
      <c r="B365" s="120"/>
      <c r="C365" s="121"/>
      <c r="D365" s="121"/>
      <c r="E365" s="124"/>
      <c r="F365" s="122"/>
    </row>
    <row r="366" spans="1:6" ht="13.5" thickBot="1" x14ac:dyDescent="0.25">
      <c r="A366" s="132">
        <v>352</v>
      </c>
      <c r="B366" s="126" t="str">
        <f>CONCATENATE(MID(B363,1,4)," - Adjustment")</f>
        <v>A186 - Adjustment</v>
      </c>
      <c r="C366" s="121"/>
      <c r="D366" s="121"/>
      <c r="E366" s="133">
        <f>+E364-E363</f>
        <v>-14642.460000000001</v>
      </c>
      <c r="F366" s="127"/>
    </row>
    <row r="367" spans="1:6" ht="13.5" thickTop="1" x14ac:dyDescent="0.2">
      <c r="A367" s="132">
        <v>353</v>
      </c>
      <c r="B367" s="128"/>
      <c r="C367" s="129"/>
      <c r="D367" s="129"/>
      <c r="E367" s="129"/>
      <c r="F367" s="130"/>
    </row>
    <row r="368" spans="1:6" x14ac:dyDescent="0.2">
      <c r="A368" s="132">
        <v>354</v>
      </c>
    </row>
    <row r="369" spans="1:6" x14ac:dyDescent="0.2">
      <c r="A369" s="132">
        <v>355</v>
      </c>
      <c r="B369" s="131" t="s">
        <v>97</v>
      </c>
      <c r="C369" s="117" t="s">
        <v>78</v>
      </c>
      <c r="D369" s="118"/>
      <c r="E369" s="118"/>
      <c r="F369" s="119" t="s">
        <v>79</v>
      </c>
    </row>
    <row r="370" spans="1:6" x14ac:dyDescent="0.2">
      <c r="A370" s="132">
        <v>356</v>
      </c>
      <c r="B370" s="120"/>
      <c r="C370" s="121"/>
      <c r="D370" s="121"/>
      <c r="E370" s="121"/>
      <c r="F370" s="122" t="s">
        <v>83</v>
      </c>
    </row>
    <row r="371" spans="1:6" x14ac:dyDescent="0.2">
      <c r="A371" s="132">
        <v>357</v>
      </c>
      <c r="B371" s="123" t="s">
        <v>413</v>
      </c>
      <c r="C371" s="121"/>
      <c r="D371" s="121"/>
      <c r="E371" s="124">
        <f>+'[5]II-B-12'!$G$46</f>
        <v>679916.12000000011</v>
      </c>
      <c r="F371" s="122"/>
    </row>
    <row r="372" spans="1:6" x14ac:dyDescent="0.2">
      <c r="A372" s="132">
        <v>358</v>
      </c>
      <c r="B372" s="123" t="s">
        <v>414</v>
      </c>
      <c r="C372" s="121"/>
      <c r="D372" s="121"/>
      <c r="E372" s="125">
        <f>+'[5]II-B-12'!$I$46</f>
        <v>0</v>
      </c>
      <c r="F372" s="122"/>
    </row>
    <row r="373" spans="1:6" x14ac:dyDescent="0.2">
      <c r="A373" s="132">
        <v>359</v>
      </c>
      <c r="B373" s="120"/>
      <c r="C373" s="121"/>
      <c r="D373" s="121"/>
      <c r="E373" s="124"/>
      <c r="F373" s="122"/>
    </row>
    <row r="374" spans="1:6" ht="13.5" thickBot="1" x14ac:dyDescent="0.25">
      <c r="A374" s="132">
        <v>360</v>
      </c>
      <c r="B374" s="126" t="str">
        <f>CONCATENATE(MID(B371,1,4)," - Adjustment")</f>
        <v>A186 - Adjustment</v>
      </c>
      <c r="C374" s="121"/>
      <c r="D374" s="121"/>
      <c r="E374" s="133">
        <f>+E372-E371</f>
        <v>-679916.12000000011</v>
      </c>
      <c r="F374" s="127"/>
    </row>
    <row r="375" spans="1:6" ht="13.5" thickTop="1" x14ac:dyDescent="0.2">
      <c r="A375" s="132">
        <v>361</v>
      </c>
      <c r="B375" s="128"/>
      <c r="C375" s="129"/>
      <c r="D375" s="129"/>
      <c r="E375" s="129"/>
      <c r="F375" s="130"/>
    </row>
    <row r="376" spans="1:6" x14ac:dyDescent="0.2">
      <c r="A376" s="132">
        <v>362</v>
      </c>
    </row>
    <row r="377" spans="1:6" x14ac:dyDescent="0.2">
      <c r="A377" s="132">
        <v>363</v>
      </c>
      <c r="B377" s="131" t="s">
        <v>97</v>
      </c>
      <c r="C377" s="117" t="s">
        <v>78</v>
      </c>
      <c r="D377" s="118"/>
      <c r="E377" s="118"/>
      <c r="F377" s="119" t="s">
        <v>79</v>
      </c>
    </row>
    <row r="378" spans="1:6" x14ac:dyDescent="0.2">
      <c r="A378" s="132">
        <v>364</v>
      </c>
      <c r="B378" s="120"/>
      <c r="C378" s="121"/>
      <c r="D378" s="121"/>
      <c r="E378" s="121"/>
      <c r="F378" s="122" t="s">
        <v>83</v>
      </c>
    </row>
    <row r="379" spans="1:6" x14ac:dyDescent="0.2">
      <c r="A379" s="132">
        <v>365</v>
      </c>
      <c r="B379" s="123" t="s">
        <v>415</v>
      </c>
      <c r="C379" s="121"/>
      <c r="D379" s="121"/>
      <c r="E379" s="124">
        <f>+'[5]II-B-12'!$G$47</f>
        <v>3267894.2</v>
      </c>
      <c r="F379" s="122"/>
    </row>
    <row r="380" spans="1:6" x14ac:dyDescent="0.2">
      <c r="A380" s="132">
        <v>366</v>
      </c>
      <c r="B380" s="123" t="s">
        <v>416</v>
      </c>
      <c r="C380" s="121"/>
      <c r="D380" s="121"/>
      <c r="E380" s="125">
        <f>+'[5]II-B-12'!$I$47</f>
        <v>0</v>
      </c>
      <c r="F380" s="122"/>
    </row>
    <row r="381" spans="1:6" x14ac:dyDescent="0.2">
      <c r="A381" s="132">
        <v>367</v>
      </c>
      <c r="B381" s="120"/>
      <c r="C381" s="121"/>
      <c r="D381" s="121"/>
      <c r="E381" s="124"/>
      <c r="F381" s="122"/>
    </row>
    <row r="382" spans="1:6" ht="13.5" thickBot="1" x14ac:dyDescent="0.25">
      <c r="A382" s="132">
        <v>368</v>
      </c>
      <c r="B382" s="126" t="str">
        <f>CONCATENATE(MID(B379,1,4)," - Adjustment")</f>
        <v>A186 - Adjustment</v>
      </c>
      <c r="C382" s="121"/>
      <c r="D382" s="121"/>
      <c r="E382" s="133">
        <f>+E380-E379</f>
        <v>-3267894.2</v>
      </c>
      <c r="F382" s="127"/>
    </row>
    <row r="383" spans="1:6" ht="13.5" thickTop="1" x14ac:dyDescent="0.2">
      <c r="A383" s="132">
        <v>369</v>
      </c>
      <c r="B383" s="128"/>
      <c r="C383" s="129"/>
      <c r="D383" s="129"/>
      <c r="E383" s="129"/>
      <c r="F383" s="130"/>
    </row>
    <row r="384" spans="1:6" x14ac:dyDescent="0.2">
      <c r="A384" s="132">
        <v>370</v>
      </c>
    </row>
    <row r="385" spans="1:6" x14ac:dyDescent="0.2">
      <c r="A385" s="132">
        <v>371</v>
      </c>
      <c r="B385" s="131" t="s">
        <v>97</v>
      </c>
      <c r="C385" s="117" t="s">
        <v>78</v>
      </c>
      <c r="D385" s="118"/>
      <c r="E385" s="118"/>
      <c r="F385" s="119" t="s">
        <v>79</v>
      </c>
    </row>
    <row r="386" spans="1:6" x14ac:dyDescent="0.2">
      <c r="A386" s="132">
        <v>372</v>
      </c>
      <c r="B386" s="120"/>
      <c r="C386" s="121"/>
      <c r="D386" s="121"/>
      <c r="E386" s="121"/>
      <c r="F386" s="122" t="s">
        <v>83</v>
      </c>
    </row>
    <row r="387" spans="1:6" x14ac:dyDescent="0.2">
      <c r="A387" s="132">
        <v>373</v>
      </c>
      <c r="B387" s="123" t="s">
        <v>417</v>
      </c>
      <c r="C387" s="121"/>
      <c r="D387" s="121"/>
      <c r="E387" s="124">
        <f>+'[5]II-B-12'!$G$48</f>
        <v>597493.65999999992</v>
      </c>
      <c r="F387" s="122"/>
    </row>
    <row r="388" spans="1:6" x14ac:dyDescent="0.2">
      <c r="A388" s="132">
        <v>374</v>
      </c>
      <c r="B388" s="123" t="s">
        <v>418</v>
      </c>
      <c r="C388" s="121"/>
      <c r="D388" s="121"/>
      <c r="E388" s="125">
        <f>+'[5]II-B-12'!$I$48</f>
        <v>0</v>
      </c>
      <c r="F388" s="122"/>
    </row>
    <row r="389" spans="1:6" x14ac:dyDescent="0.2">
      <c r="A389" s="132">
        <v>375</v>
      </c>
      <c r="B389" s="120"/>
      <c r="C389" s="121"/>
      <c r="D389" s="121"/>
      <c r="E389" s="124"/>
      <c r="F389" s="122"/>
    </row>
    <row r="390" spans="1:6" ht="13.5" thickBot="1" x14ac:dyDescent="0.25">
      <c r="A390" s="132">
        <v>376</v>
      </c>
      <c r="B390" s="126" t="str">
        <f>CONCATENATE(MID(B387,1,4)," - Adjustment")</f>
        <v>A186 - Adjustment</v>
      </c>
      <c r="C390" s="121"/>
      <c r="D390" s="121"/>
      <c r="E390" s="133">
        <f>+E388-E387</f>
        <v>-597493.65999999992</v>
      </c>
      <c r="F390" s="127"/>
    </row>
    <row r="391" spans="1:6" ht="13.5" thickTop="1" x14ac:dyDescent="0.2">
      <c r="A391" s="132">
        <v>377</v>
      </c>
      <c r="B391" s="128"/>
      <c r="C391" s="129"/>
      <c r="D391" s="129"/>
      <c r="E391" s="129"/>
      <c r="F391" s="130"/>
    </row>
    <row r="392" spans="1:6" x14ac:dyDescent="0.2">
      <c r="A392" s="132">
        <v>378</v>
      </c>
    </row>
    <row r="393" spans="1:6" x14ac:dyDescent="0.2">
      <c r="A393" s="132">
        <v>379</v>
      </c>
      <c r="B393" s="131" t="s">
        <v>97</v>
      </c>
      <c r="C393" s="117" t="s">
        <v>78</v>
      </c>
      <c r="D393" s="118"/>
      <c r="E393" s="118"/>
      <c r="F393" s="119" t="s">
        <v>79</v>
      </c>
    </row>
    <row r="394" spans="1:6" x14ac:dyDescent="0.2">
      <c r="A394" s="132">
        <v>380</v>
      </c>
      <c r="B394" s="120"/>
      <c r="C394" s="121"/>
      <c r="D394" s="121"/>
      <c r="E394" s="121"/>
      <c r="F394" s="122" t="s">
        <v>83</v>
      </c>
    </row>
    <row r="395" spans="1:6" x14ac:dyDescent="0.2">
      <c r="A395" s="132">
        <v>381</v>
      </c>
      <c r="B395" s="123" t="s">
        <v>419</v>
      </c>
      <c r="C395" s="121"/>
      <c r="D395" s="121"/>
      <c r="E395" s="124">
        <f>+'[5]II-B-12'!$G$49</f>
        <v>312886.08</v>
      </c>
      <c r="F395" s="122"/>
    </row>
    <row r="396" spans="1:6" x14ac:dyDescent="0.2">
      <c r="A396" s="132">
        <v>382</v>
      </c>
      <c r="B396" s="123" t="s">
        <v>420</v>
      </c>
      <c r="C396" s="121"/>
      <c r="D396" s="121"/>
      <c r="E396" s="125">
        <f>+'[5]II-B-12'!$I$49</f>
        <v>0</v>
      </c>
      <c r="F396" s="122"/>
    </row>
    <row r="397" spans="1:6" x14ac:dyDescent="0.2">
      <c r="A397" s="132">
        <v>383</v>
      </c>
      <c r="B397" s="120"/>
      <c r="C397" s="121"/>
      <c r="D397" s="121"/>
      <c r="E397" s="124"/>
      <c r="F397" s="122"/>
    </row>
    <row r="398" spans="1:6" ht="13.5" thickBot="1" x14ac:dyDescent="0.25">
      <c r="A398" s="132">
        <v>384</v>
      </c>
      <c r="B398" s="126" t="str">
        <f>CONCATENATE(MID(B395,1,4)," - Adjustment")</f>
        <v>A186 - Adjustment</v>
      </c>
      <c r="C398" s="121"/>
      <c r="D398" s="121"/>
      <c r="E398" s="133">
        <f>+E396-E395</f>
        <v>-312886.08</v>
      </c>
      <c r="F398" s="127"/>
    </row>
    <row r="399" spans="1:6" ht="13.5" thickTop="1" x14ac:dyDescent="0.2">
      <c r="A399" s="132">
        <v>385</v>
      </c>
      <c r="B399" s="128"/>
      <c r="C399" s="129"/>
      <c r="D399" s="129"/>
      <c r="E399" s="129"/>
      <c r="F399" s="130"/>
    </row>
    <row r="400" spans="1:6" x14ac:dyDescent="0.2">
      <c r="A400" s="132">
        <v>386</v>
      </c>
    </row>
    <row r="401" spans="1:6" x14ac:dyDescent="0.2">
      <c r="A401" s="132">
        <v>387</v>
      </c>
      <c r="B401" s="131" t="s">
        <v>97</v>
      </c>
      <c r="C401" s="117" t="s">
        <v>78</v>
      </c>
      <c r="D401" s="118"/>
      <c r="E401" s="118"/>
      <c r="F401" s="119" t="s">
        <v>79</v>
      </c>
    </row>
    <row r="402" spans="1:6" x14ac:dyDescent="0.2">
      <c r="A402" s="132">
        <v>388</v>
      </c>
      <c r="B402" s="120"/>
      <c r="C402" s="121"/>
      <c r="D402" s="121"/>
      <c r="E402" s="121"/>
      <c r="F402" s="122" t="s">
        <v>83</v>
      </c>
    </row>
    <row r="403" spans="1:6" x14ac:dyDescent="0.2">
      <c r="A403" s="132">
        <v>389</v>
      </c>
      <c r="B403" s="123" t="s">
        <v>421</v>
      </c>
      <c r="C403" s="121"/>
      <c r="D403" s="121"/>
      <c r="E403" s="124">
        <f>+'[5]II-B-12'!$G$50</f>
        <v>511485.67000000004</v>
      </c>
      <c r="F403" s="122"/>
    </row>
    <row r="404" spans="1:6" x14ac:dyDescent="0.2">
      <c r="A404" s="132">
        <v>390</v>
      </c>
      <c r="B404" s="123" t="s">
        <v>422</v>
      </c>
      <c r="C404" s="121"/>
      <c r="D404" s="121"/>
      <c r="E404" s="125">
        <f>+'[5]II-B-12'!$I$50</f>
        <v>0</v>
      </c>
      <c r="F404" s="122"/>
    </row>
    <row r="405" spans="1:6" x14ac:dyDescent="0.2">
      <c r="A405" s="132">
        <v>391</v>
      </c>
      <c r="B405" s="120"/>
      <c r="C405" s="121"/>
      <c r="D405" s="121"/>
      <c r="E405" s="124"/>
      <c r="F405" s="122"/>
    </row>
    <row r="406" spans="1:6" ht="13.5" thickBot="1" x14ac:dyDescent="0.25">
      <c r="A406" s="132">
        <v>392</v>
      </c>
      <c r="B406" s="126" t="str">
        <f>CONCATENATE(MID(B403,1,4)," - Adjustment")</f>
        <v>A186 - Adjustment</v>
      </c>
      <c r="C406" s="121"/>
      <c r="D406" s="121"/>
      <c r="E406" s="133">
        <f>+E404-E403</f>
        <v>-511485.67000000004</v>
      </c>
      <c r="F406" s="127"/>
    </row>
    <row r="407" spans="1:6" ht="13.5" thickTop="1" x14ac:dyDescent="0.2">
      <c r="A407" s="132">
        <v>393</v>
      </c>
      <c r="B407" s="128"/>
      <c r="C407" s="129"/>
      <c r="D407" s="129"/>
      <c r="E407" s="129"/>
      <c r="F407" s="130"/>
    </row>
    <row r="408" spans="1:6" x14ac:dyDescent="0.2">
      <c r="A408" s="132">
        <v>394</v>
      </c>
    </row>
    <row r="409" spans="1:6" x14ac:dyDescent="0.2">
      <c r="A409" s="132">
        <v>395</v>
      </c>
      <c r="B409" s="131" t="s">
        <v>97</v>
      </c>
      <c r="C409" s="117" t="s">
        <v>78</v>
      </c>
      <c r="D409" s="118"/>
      <c r="E409" s="118"/>
      <c r="F409" s="119" t="s">
        <v>79</v>
      </c>
    </row>
    <row r="410" spans="1:6" x14ac:dyDescent="0.2">
      <c r="A410" s="132">
        <v>396</v>
      </c>
      <c r="B410" s="120"/>
      <c r="C410" s="121"/>
      <c r="D410" s="121"/>
      <c r="E410" s="121"/>
      <c r="F410" s="122" t="s">
        <v>83</v>
      </c>
    </row>
    <row r="411" spans="1:6" x14ac:dyDescent="0.2">
      <c r="A411" s="132">
        <v>397</v>
      </c>
      <c r="B411" s="123" t="s">
        <v>423</v>
      </c>
      <c r="C411" s="121"/>
      <c r="D411" s="121"/>
      <c r="E411" s="124">
        <f>+'[5]II-B-12'!$G$51</f>
        <v>4802365.76</v>
      </c>
      <c r="F411" s="122"/>
    </row>
    <row r="412" spans="1:6" x14ac:dyDescent="0.2">
      <c r="A412" s="132">
        <v>398</v>
      </c>
      <c r="B412" s="123" t="s">
        <v>424</v>
      </c>
      <c r="C412" s="121"/>
      <c r="D412" s="121"/>
      <c r="E412" s="125">
        <f>+'[5]II-B-12'!$I$51</f>
        <v>4823828.9400000004</v>
      </c>
      <c r="F412" s="122"/>
    </row>
    <row r="413" spans="1:6" x14ac:dyDescent="0.2">
      <c r="A413" s="132">
        <v>399</v>
      </c>
      <c r="B413" s="120"/>
      <c r="C413" s="121"/>
      <c r="D413" s="121"/>
      <c r="E413" s="124"/>
      <c r="F413" s="122"/>
    </row>
    <row r="414" spans="1:6" ht="13.5" thickBot="1" x14ac:dyDescent="0.25">
      <c r="A414" s="132">
        <v>400</v>
      </c>
      <c r="B414" s="126" t="str">
        <f>CONCATENATE(MID(B411,1,4)," - Adjustment")</f>
        <v>A186 - Adjustment</v>
      </c>
      <c r="C414" s="121"/>
      <c r="D414" s="121"/>
      <c r="E414" s="133">
        <f>+E412-E411</f>
        <v>21463.180000000633</v>
      </c>
      <c r="F414" s="127"/>
    </row>
    <row r="415" spans="1:6" ht="13.5" thickTop="1" x14ac:dyDescent="0.2">
      <c r="A415" s="132">
        <v>401</v>
      </c>
      <c r="B415" s="128"/>
      <c r="C415" s="129"/>
      <c r="D415" s="129"/>
      <c r="E415" s="129"/>
      <c r="F415" s="130"/>
    </row>
    <row r="416" spans="1:6" x14ac:dyDescent="0.2">
      <c r="A416" s="132">
        <v>402</v>
      </c>
    </row>
    <row r="417" spans="1:6" x14ac:dyDescent="0.2">
      <c r="A417" s="132">
        <v>403</v>
      </c>
      <c r="B417" s="131" t="s">
        <v>97</v>
      </c>
      <c r="C417" s="117" t="s">
        <v>78</v>
      </c>
      <c r="D417" s="118"/>
      <c r="E417" s="118"/>
      <c r="F417" s="119" t="s">
        <v>79</v>
      </c>
    </row>
    <row r="418" spans="1:6" x14ac:dyDescent="0.2">
      <c r="A418" s="132">
        <v>404</v>
      </c>
      <c r="B418" s="120"/>
      <c r="C418" s="121"/>
      <c r="D418" s="121"/>
      <c r="E418" s="121"/>
      <c r="F418" s="122" t="s">
        <v>83</v>
      </c>
    </row>
    <row r="419" spans="1:6" x14ac:dyDescent="0.2">
      <c r="A419" s="132">
        <v>405</v>
      </c>
      <c r="B419" s="123" t="s">
        <v>425</v>
      </c>
      <c r="C419" s="121"/>
      <c r="D419" s="121"/>
      <c r="E419" s="124">
        <f>+'[5]II-B-12'!$G$52</f>
        <v>99855</v>
      </c>
      <c r="F419" s="122"/>
    </row>
    <row r="420" spans="1:6" x14ac:dyDescent="0.2">
      <c r="A420" s="132">
        <v>406</v>
      </c>
      <c r="B420" s="123" t="s">
        <v>426</v>
      </c>
      <c r="C420" s="121"/>
      <c r="D420" s="121"/>
      <c r="E420" s="125">
        <f>+'[5]II-B-12'!$I$52</f>
        <v>0</v>
      </c>
      <c r="F420" s="122"/>
    </row>
    <row r="421" spans="1:6" x14ac:dyDescent="0.2">
      <c r="A421" s="132">
        <v>407</v>
      </c>
      <c r="B421" s="120"/>
      <c r="C421" s="121"/>
      <c r="D421" s="121"/>
      <c r="E421" s="124"/>
      <c r="F421" s="122"/>
    </row>
    <row r="422" spans="1:6" ht="13.5" thickBot="1" x14ac:dyDescent="0.25">
      <c r="A422" s="132">
        <v>408</v>
      </c>
      <c r="B422" s="126" t="str">
        <f>CONCATENATE(MID(B419,1,4)," - Adjustment")</f>
        <v>A186 - Adjustment</v>
      </c>
      <c r="C422" s="121"/>
      <c r="D422" s="121"/>
      <c r="E422" s="133">
        <f>+E420-E419</f>
        <v>-99855</v>
      </c>
      <c r="F422" s="127"/>
    </row>
    <row r="423" spans="1:6" ht="13.5" thickTop="1" x14ac:dyDescent="0.2">
      <c r="A423" s="132">
        <v>409</v>
      </c>
      <c r="B423" s="128"/>
      <c r="C423" s="129"/>
      <c r="D423" s="129"/>
      <c r="E423" s="129"/>
      <c r="F423" s="130"/>
    </row>
    <row r="424" spans="1:6" x14ac:dyDescent="0.2">
      <c r="A424" s="132">
        <v>410</v>
      </c>
    </row>
    <row r="425" spans="1:6" x14ac:dyDescent="0.2">
      <c r="A425" s="132">
        <v>411</v>
      </c>
      <c r="B425" s="131" t="s">
        <v>97</v>
      </c>
      <c r="C425" s="117" t="s">
        <v>78</v>
      </c>
      <c r="D425" s="118"/>
      <c r="E425" s="118"/>
      <c r="F425" s="119" t="s">
        <v>79</v>
      </c>
    </row>
    <row r="426" spans="1:6" x14ac:dyDescent="0.2">
      <c r="A426" s="132">
        <v>412</v>
      </c>
      <c r="B426" s="120"/>
      <c r="C426" s="121"/>
      <c r="D426" s="121"/>
      <c r="E426" s="121"/>
      <c r="F426" s="122" t="s">
        <v>83</v>
      </c>
    </row>
    <row r="427" spans="1:6" x14ac:dyDescent="0.2">
      <c r="A427" s="132">
        <v>413</v>
      </c>
      <c r="B427" s="123" t="s">
        <v>427</v>
      </c>
      <c r="C427" s="121"/>
      <c r="D427" s="121"/>
      <c r="E427" s="124">
        <f>+'[5]II-B-12'!$G$53</f>
        <v>141459.35</v>
      </c>
      <c r="F427" s="122"/>
    </row>
    <row r="428" spans="1:6" x14ac:dyDescent="0.2">
      <c r="A428" s="132">
        <v>414</v>
      </c>
      <c r="B428" s="123" t="s">
        <v>428</v>
      </c>
      <c r="C428" s="121"/>
      <c r="D428" s="121"/>
      <c r="E428" s="125">
        <f>+'[5]II-B-12'!$I$53</f>
        <v>146499.54999999999</v>
      </c>
      <c r="F428" s="122"/>
    </row>
    <row r="429" spans="1:6" x14ac:dyDescent="0.2">
      <c r="A429" s="132">
        <v>415</v>
      </c>
      <c r="B429" s="120"/>
      <c r="C429" s="121"/>
      <c r="D429" s="121"/>
      <c r="E429" s="124"/>
      <c r="F429" s="122"/>
    </row>
    <row r="430" spans="1:6" ht="13.5" thickBot="1" x14ac:dyDescent="0.25">
      <c r="A430" s="132">
        <v>416</v>
      </c>
      <c r="B430" s="126" t="str">
        <f>CONCATENATE(MID(B427,1,4)," - Adjustment")</f>
        <v>A186 - Adjustment</v>
      </c>
      <c r="C430" s="121"/>
      <c r="D430" s="121"/>
      <c r="E430" s="133">
        <f>+E428-E427</f>
        <v>5040.1999999999825</v>
      </c>
      <c r="F430" s="127"/>
    </row>
    <row r="431" spans="1:6" ht="13.5" thickTop="1" x14ac:dyDescent="0.2">
      <c r="A431" s="132">
        <v>417</v>
      </c>
      <c r="B431" s="128"/>
      <c r="C431" s="129"/>
      <c r="D431" s="129"/>
      <c r="E431" s="129"/>
      <c r="F431" s="130"/>
    </row>
    <row r="432" spans="1:6" x14ac:dyDescent="0.2">
      <c r="A432" s="132">
        <v>418</v>
      </c>
    </row>
    <row r="433" spans="1:6" x14ac:dyDescent="0.2">
      <c r="A433" s="132">
        <v>419</v>
      </c>
      <c r="B433" s="131" t="s">
        <v>97</v>
      </c>
      <c r="C433" s="117" t="s">
        <v>78</v>
      </c>
      <c r="D433" s="118"/>
      <c r="E433" s="118"/>
      <c r="F433" s="119" t="s">
        <v>79</v>
      </c>
    </row>
    <row r="434" spans="1:6" x14ac:dyDescent="0.2">
      <c r="A434" s="132">
        <v>420</v>
      </c>
      <c r="B434" s="120"/>
      <c r="C434" s="121"/>
      <c r="D434" s="121"/>
      <c r="E434" s="121"/>
      <c r="F434" s="122" t="s">
        <v>83</v>
      </c>
    </row>
    <row r="435" spans="1:6" x14ac:dyDescent="0.2">
      <c r="A435" s="132">
        <v>421</v>
      </c>
      <c r="B435" s="123" t="s">
        <v>429</v>
      </c>
      <c r="C435" s="121"/>
      <c r="D435" s="121"/>
      <c r="E435" s="124">
        <f>+'[5]II-B-12'!$G$55</f>
        <v>12975</v>
      </c>
      <c r="F435" s="122"/>
    </row>
    <row r="436" spans="1:6" x14ac:dyDescent="0.2">
      <c r="A436" s="132">
        <v>422</v>
      </c>
      <c r="B436" s="123" t="s">
        <v>430</v>
      </c>
      <c r="C436" s="121"/>
      <c r="D436" s="121"/>
      <c r="E436" s="125">
        <f>+'[5]II-B-12'!$I$55</f>
        <v>0</v>
      </c>
      <c r="F436" s="122"/>
    </row>
    <row r="437" spans="1:6" x14ac:dyDescent="0.2">
      <c r="A437" s="132">
        <v>423</v>
      </c>
      <c r="B437" s="120"/>
      <c r="C437" s="121"/>
      <c r="D437" s="121"/>
      <c r="E437" s="124"/>
      <c r="F437" s="122"/>
    </row>
    <row r="438" spans="1:6" ht="13.5" thickBot="1" x14ac:dyDescent="0.25">
      <c r="A438" s="132">
        <v>424</v>
      </c>
      <c r="B438" s="126" t="str">
        <f>CONCATENATE(MID(B435,1,4)," - Adjustment")</f>
        <v>A186 - Adjustment</v>
      </c>
      <c r="C438" s="121"/>
      <c r="D438" s="121"/>
      <c r="E438" s="133">
        <f>+E436-E435</f>
        <v>-12975</v>
      </c>
      <c r="F438" s="127"/>
    </row>
    <row r="439" spans="1:6" ht="13.5" thickTop="1" x14ac:dyDescent="0.2">
      <c r="A439" s="132">
        <v>425</v>
      </c>
      <c r="B439" s="128"/>
      <c r="C439" s="129"/>
      <c r="D439" s="129"/>
      <c r="E439" s="129"/>
      <c r="F439" s="130"/>
    </row>
    <row r="440" spans="1:6" x14ac:dyDescent="0.2">
      <c r="A440" s="132">
        <v>426</v>
      </c>
    </row>
    <row r="441" spans="1:6" x14ac:dyDescent="0.2">
      <c r="A441" s="132">
        <v>427</v>
      </c>
      <c r="B441" s="131" t="s">
        <v>97</v>
      </c>
      <c r="C441" s="117" t="s">
        <v>78</v>
      </c>
      <c r="D441" s="118"/>
      <c r="E441" s="118"/>
      <c r="F441" s="119" t="s">
        <v>79</v>
      </c>
    </row>
    <row r="442" spans="1:6" x14ac:dyDescent="0.2">
      <c r="A442" s="132">
        <v>428</v>
      </c>
      <c r="B442" s="120"/>
      <c r="C442" s="121"/>
      <c r="D442" s="121"/>
      <c r="E442" s="121"/>
      <c r="F442" s="122" t="s">
        <v>83</v>
      </c>
    </row>
    <row r="443" spans="1:6" x14ac:dyDescent="0.2">
      <c r="A443" s="132">
        <v>429</v>
      </c>
      <c r="B443" s="123" t="s">
        <v>106</v>
      </c>
      <c r="C443" s="121"/>
      <c r="D443" s="121"/>
      <c r="E443" s="124">
        <f>+'[5]II-B-12'!$G$59</f>
        <v>-1587778656.9300001</v>
      </c>
      <c r="F443" s="122"/>
    </row>
    <row r="444" spans="1:6" x14ac:dyDescent="0.2">
      <c r="A444" s="132">
        <v>430</v>
      </c>
      <c r="B444" s="123" t="s">
        <v>107</v>
      </c>
      <c r="C444" s="121"/>
      <c r="D444" s="121"/>
      <c r="E444" s="125">
        <f>+'[5]II-B-12'!$I$59</f>
        <v>0</v>
      </c>
      <c r="F444" s="122"/>
    </row>
    <row r="445" spans="1:6" x14ac:dyDescent="0.2">
      <c r="A445" s="132">
        <v>431</v>
      </c>
      <c r="B445" s="120"/>
      <c r="C445" s="121"/>
      <c r="D445" s="121"/>
      <c r="E445" s="124"/>
      <c r="F445" s="122"/>
    </row>
    <row r="446" spans="1:6" ht="13.5" thickBot="1" x14ac:dyDescent="0.25">
      <c r="A446" s="132">
        <v>432</v>
      </c>
      <c r="B446" s="126" t="str">
        <f>CONCATENATE(MID(B443,1,4)," - Adjustment")</f>
        <v>A254 - Adjustment</v>
      </c>
      <c r="C446" s="121"/>
      <c r="D446" s="121"/>
      <c r="E446" s="133">
        <f>+E444-E443</f>
        <v>1587778656.9300001</v>
      </c>
      <c r="F446" s="127"/>
    </row>
    <row r="447" spans="1:6" ht="13.5" thickTop="1" x14ac:dyDescent="0.2">
      <c r="A447" s="132">
        <v>433</v>
      </c>
      <c r="B447" s="128"/>
      <c r="C447" s="129"/>
      <c r="D447" s="129"/>
      <c r="E447" s="129"/>
      <c r="F447" s="130"/>
    </row>
    <row r="448" spans="1:6" x14ac:dyDescent="0.2">
      <c r="A448" s="132">
        <v>434</v>
      </c>
    </row>
    <row r="449" spans="1:6" x14ac:dyDescent="0.2">
      <c r="A449" s="132">
        <v>435</v>
      </c>
      <c r="B449" s="131" t="s">
        <v>97</v>
      </c>
      <c r="C449" s="117" t="s">
        <v>78</v>
      </c>
      <c r="D449" s="118"/>
      <c r="E449" s="118"/>
      <c r="F449" s="119" t="s">
        <v>79</v>
      </c>
    </row>
    <row r="450" spans="1:6" x14ac:dyDescent="0.2">
      <c r="A450" s="132">
        <v>436</v>
      </c>
      <c r="B450" s="120"/>
      <c r="C450" s="121"/>
      <c r="D450" s="121"/>
      <c r="E450" s="121"/>
      <c r="F450" s="122" t="s">
        <v>83</v>
      </c>
    </row>
    <row r="451" spans="1:6" x14ac:dyDescent="0.2">
      <c r="A451" s="132">
        <v>437</v>
      </c>
      <c r="B451" s="123" t="s">
        <v>108</v>
      </c>
      <c r="C451" s="121"/>
      <c r="D451" s="121"/>
      <c r="E451" s="124">
        <f>+'[5]II-B-12'!$G$60</f>
        <v>3081929.790000001</v>
      </c>
      <c r="F451" s="122"/>
    </row>
    <row r="452" spans="1:6" x14ac:dyDescent="0.2">
      <c r="A452" s="132">
        <v>438</v>
      </c>
      <c r="B452" s="123" t="s">
        <v>109</v>
      </c>
      <c r="C452" s="121"/>
      <c r="D452" s="121"/>
      <c r="E452" s="125">
        <f>+'[5]II-B-12'!$I$60</f>
        <v>0</v>
      </c>
      <c r="F452" s="122"/>
    </row>
    <row r="453" spans="1:6" x14ac:dyDescent="0.2">
      <c r="A453" s="132">
        <v>439</v>
      </c>
      <c r="B453" s="120"/>
      <c r="C453" s="121"/>
      <c r="D453" s="121"/>
      <c r="E453" s="124"/>
      <c r="F453" s="122"/>
    </row>
    <row r="454" spans="1:6" ht="13.5" thickBot="1" x14ac:dyDescent="0.25">
      <c r="A454" s="132">
        <v>440</v>
      </c>
      <c r="B454" s="126" t="str">
        <f>CONCATENATE(MID(B451,1,4)," - Adjustment")</f>
        <v>A228 - Adjustment</v>
      </c>
      <c r="C454" s="121"/>
      <c r="D454" s="121"/>
      <c r="E454" s="133">
        <f>+E452-E451</f>
        <v>-3081929.790000001</v>
      </c>
      <c r="F454" s="127"/>
    </row>
    <row r="455" spans="1:6" ht="13.5" thickTop="1" x14ac:dyDescent="0.2">
      <c r="A455" s="132">
        <v>441</v>
      </c>
      <c r="B455" s="128"/>
      <c r="C455" s="129"/>
      <c r="D455" s="129"/>
      <c r="E455" s="129"/>
      <c r="F455" s="130"/>
    </row>
    <row r="456" spans="1:6" x14ac:dyDescent="0.2">
      <c r="A456" s="132">
        <v>442</v>
      </c>
    </row>
    <row r="457" spans="1:6" x14ac:dyDescent="0.2">
      <c r="A457" s="132">
        <v>443</v>
      </c>
      <c r="B457" s="131" t="s">
        <v>97</v>
      </c>
      <c r="C457" s="117" t="s">
        <v>78</v>
      </c>
      <c r="D457" s="118"/>
      <c r="E457" s="118"/>
      <c r="F457" s="119" t="s">
        <v>79</v>
      </c>
    </row>
    <row r="458" spans="1:6" x14ac:dyDescent="0.2">
      <c r="A458" s="132">
        <v>444</v>
      </c>
      <c r="B458" s="120"/>
      <c r="C458" s="121"/>
      <c r="D458" s="121"/>
      <c r="E458" s="121"/>
      <c r="F458" s="122" t="s">
        <v>83</v>
      </c>
    </row>
    <row r="459" spans="1:6" x14ac:dyDescent="0.2">
      <c r="A459" s="132">
        <v>445</v>
      </c>
      <c r="B459" s="123" t="s">
        <v>431</v>
      </c>
      <c r="C459" s="121"/>
      <c r="D459" s="121"/>
      <c r="E459" s="124">
        <f>+'[5]II-B-12'!$G$63</f>
        <v>47184136.209999993</v>
      </c>
      <c r="F459" s="122"/>
    </row>
    <row r="460" spans="1:6" x14ac:dyDescent="0.2">
      <c r="A460" s="132">
        <v>446</v>
      </c>
      <c r="B460" s="123" t="s">
        <v>432</v>
      </c>
      <c r="C460" s="121"/>
      <c r="D460" s="121"/>
      <c r="E460" s="125">
        <f>+'[5]II-B-12'!$I$63</f>
        <v>0</v>
      </c>
      <c r="F460" s="122"/>
    </row>
    <row r="461" spans="1:6" x14ac:dyDescent="0.2">
      <c r="A461" s="132">
        <v>447</v>
      </c>
      <c r="B461" s="120"/>
      <c r="C461" s="121"/>
      <c r="D461" s="121"/>
      <c r="E461" s="124"/>
      <c r="F461" s="122"/>
    </row>
    <row r="462" spans="1:6" ht="13.5" thickBot="1" x14ac:dyDescent="0.25">
      <c r="A462" s="132">
        <v>448</v>
      </c>
      <c r="B462" s="126" t="str">
        <f>CONCATENATE(MID(B459,1,4)," - Adjustment")</f>
        <v>A254 - Adjustment</v>
      </c>
      <c r="C462" s="121"/>
      <c r="D462" s="121"/>
      <c r="E462" s="133">
        <f>+E460-E459</f>
        <v>-47184136.209999993</v>
      </c>
      <c r="F462" s="127"/>
    </row>
    <row r="463" spans="1:6" ht="13.5" thickTop="1" x14ac:dyDescent="0.2">
      <c r="A463" s="132">
        <v>449</v>
      </c>
      <c r="B463" s="128"/>
      <c r="C463" s="129"/>
      <c r="D463" s="129"/>
      <c r="E463" s="129"/>
      <c r="F463" s="130"/>
    </row>
    <row r="464" spans="1:6" x14ac:dyDescent="0.2">
      <c r="A464" s="132">
        <v>450</v>
      </c>
    </row>
    <row r="465" spans="1:6" x14ac:dyDescent="0.2">
      <c r="A465" s="132">
        <v>451</v>
      </c>
      <c r="B465" s="131" t="s">
        <v>97</v>
      </c>
      <c r="C465" s="117" t="s">
        <v>78</v>
      </c>
      <c r="D465" s="118"/>
      <c r="E465" s="118"/>
      <c r="F465" s="119" t="s">
        <v>79</v>
      </c>
    </row>
    <row r="466" spans="1:6" x14ac:dyDescent="0.2">
      <c r="A466" s="132">
        <v>452</v>
      </c>
      <c r="B466" s="120"/>
      <c r="C466" s="121"/>
      <c r="D466" s="121"/>
      <c r="E466" s="121"/>
      <c r="F466" s="122" t="s">
        <v>83</v>
      </c>
    </row>
    <row r="467" spans="1:6" x14ac:dyDescent="0.2">
      <c r="A467" s="132">
        <v>453</v>
      </c>
      <c r="B467" s="123" t="s">
        <v>110</v>
      </c>
      <c r="C467" s="121"/>
      <c r="D467" s="121"/>
      <c r="E467" s="124">
        <f>+'[5]II-B-12'!$G$64</f>
        <v>-91568284.419999987</v>
      </c>
      <c r="F467" s="122"/>
    </row>
    <row r="468" spans="1:6" x14ac:dyDescent="0.2">
      <c r="A468" s="132">
        <v>454</v>
      </c>
      <c r="B468" s="123" t="s">
        <v>111</v>
      </c>
      <c r="C468" s="121"/>
      <c r="D468" s="121"/>
      <c r="E468" s="125">
        <f>+'[5]II-B-12'!$I$64</f>
        <v>0</v>
      </c>
      <c r="F468" s="122"/>
    </row>
    <row r="469" spans="1:6" x14ac:dyDescent="0.2">
      <c r="A469" s="132">
        <v>455</v>
      </c>
      <c r="B469" s="120"/>
      <c r="C469" s="121"/>
      <c r="D469" s="121"/>
      <c r="E469" s="124"/>
      <c r="F469" s="122"/>
    </row>
    <row r="470" spans="1:6" ht="13.5" thickBot="1" x14ac:dyDescent="0.25">
      <c r="A470" s="132">
        <v>456</v>
      </c>
      <c r="B470" s="126" t="str">
        <f>CONCATENATE(MID(B467,1,4)," - Adjustment")</f>
        <v>A254 - Adjustment</v>
      </c>
      <c r="C470" s="121"/>
      <c r="D470" s="121"/>
      <c r="E470" s="133">
        <f>+E468-E467</f>
        <v>91568284.419999987</v>
      </c>
      <c r="F470" s="127"/>
    </row>
    <row r="471" spans="1:6" ht="13.5" thickTop="1" x14ac:dyDescent="0.2">
      <c r="A471" s="132">
        <v>457</v>
      </c>
      <c r="B471" s="128"/>
      <c r="C471" s="129"/>
      <c r="D471" s="129"/>
      <c r="E471" s="129"/>
      <c r="F471" s="130"/>
    </row>
    <row r="472" spans="1:6" x14ac:dyDescent="0.2">
      <c r="A472" s="132">
        <v>458</v>
      </c>
    </row>
    <row r="473" spans="1:6" x14ac:dyDescent="0.2">
      <c r="A473" s="132">
        <v>459</v>
      </c>
      <c r="B473" s="131" t="s">
        <v>97</v>
      </c>
      <c r="C473" s="117" t="s">
        <v>78</v>
      </c>
      <c r="D473" s="118"/>
      <c r="E473" s="118"/>
      <c r="F473" s="119" t="s">
        <v>79</v>
      </c>
    </row>
    <row r="474" spans="1:6" x14ac:dyDescent="0.2">
      <c r="A474" s="132">
        <v>460</v>
      </c>
      <c r="B474" s="120"/>
      <c r="C474" s="121"/>
      <c r="D474" s="121"/>
      <c r="E474" s="121"/>
      <c r="F474" s="122" t="s">
        <v>83</v>
      </c>
    </row>
    <row r="475" spans="1:6" x14ac:dyDescent="0.2">
      <c r="A475" s="132">
        <v>461</v>
      </c>
      <c r="B475" s="123" t="s">
        <v>112</v>
      </c>
      <c r="C475" s="121"/>
      <c r="D475" s="121"/>
      <c r="E475" s="124">
        <f>+'[5]II-B-12'!$G$65</f>
        <v>-1233869</v>
      </c>
      <c r="F475" s="122"/>
    </row>
    <row r="476" spans="1:6" x14ac:dyDescent="0.2">
      <c r="A476" s="132">
        <v>462</v>
      </c>
      <c r="B476" s="123" t="s">
        <v>113</v>
      </c>
      <c r="C476" s="121"/>
      <c r="D476" s="121"/>
      <c r="E476" s="125">
        <f>+'[5]II-B-12'!$I$65</f>
        <v>0</v>
      </c>
      <c r="F476" s="122"/>
    </row>
    <row r="477" spans="1:6" x14ac:dyDescent="0.2">
      <c r="A477" s="132">
        <v>463</v>
      </c>
      <c r="B477" s="120"/>
      <c r="C477" s="121"/>
      <c r="D477" s="121"/>
      <c r="E477" s="124"/>
      <c r="F477" s="122"/>
    </row>
    <row r="478" spans="1:6" ht="13.5" thickBot="1" x14ac:dyDescent="0.25">
      <c r="A478" s="132">
        <v>464</v>
      </c>
      <c r="B478" s="126" t="str">
        <f>CONCATENATE(MID(B475,1,4)," - Adjustment")</f>
        <v>A254 - Adjustment</v>
      </c>
      <c r="C478" s="121"/>
      <c r="D478" s="121"/>
      <c r="E478" s="133">
        <f>+E476-E475</f>
        <v>1233869</v>
      </c>
      <c r="F478" s="127"/>
    </row>
    <row r="479" spans="1:6" ht="13.5" thickTop="1" x14ac:dyDescent="0.2">
      <c r="A479" s="132">
        <v>465</v>
      </c>
      <c r="B479" s="128"/>
      <c r="C479" s="129"/>
      <c r="D479" s="129"/>
      <c r="E479" s="129"/>
      <c r="F479" s="130"/>
    </row>
    <row r="480" spans="1:6" x14ac:dyDescent="0.2">
      <c r="A480" s="132">
        <v>466</v>
      </c>
    </row>
    <row r="481" spans="1:6" x14ac:dyDescent="0.2">
      <c r="A481" s="132">
        <v>467</v>
      </c>
      <c r="B481" s="131" t="s">
        <v>97</v>
      </c>
      <c r="C481" s="117" t="s">
        <v>78</v>
      </c>
      <c r="D481" s="118"/>
      <c r="E481" s="118"/>
      <c r="F481" s="119" t="s">
        <v>79</v>
      </c>
    </row>
    <row r="482" spans="1:6" x14ac:dyDescent="0.2">
      <c r="A482" s="132">
        <v>468</v>
      </c>
      <c r="B482" s="120"/>
      <c r="C482" s="121"/>
      <c r="D482" s="121"/>
      <c r="E482" s="121"/>
      <c r="F482" s="122" t="s">
        <v>83</v>
      </c>
    </row>
    <row r="483" spans="1:6" x14ac:dyDescent="0.2">
      <c r="A483" s="132">
        <v>469</v>
      </c>
      <c r="B483" s="123" t="s">
        <v>433</v>
      </c>
      <c r="C483" s="121"/>
      <c r="D483" s="121"/>
      <c r="E483" s="124">
        <f>+'[5]II-B-12'!$G$66</f>
        <v>-318542.61999999994</v>
      </c>
      <c r="F483" s="122"/>
    </row>
    <row r="484" spans="1:6" x14ac:dyDescent="0.2">
      <c r="A484" s="132">
        <v>470</v>
      </c>
      <c r="B484" s="123" t="s">
        <v>434</v>
      </c>
      <c r="C484" s="121"/>
      <c r="D484" s="121"/>
      <c r="E484" s="125">
        <f>+'[5]II-B-12'!$I$66</f>
        <v>0</v>
      </c>
      <c r="F484" s="122"/>
    </row>
    <row r="485" spans="1:6" x14ac:dyDescent="0.2">
      <c r="A485" s="132">
        <v>471</v>
      </c>
      <c r="B485" s="120"/>
      <c r="C485" s="121"/>
      <c r="D485" s="121"/>
      <c r="E485" s="124"/>
      <c r="F485" s="122"/>
    </row>
    <row r="486" spans="1:6" ht="13.5" thickBot="1" x14ac:dyDescent="0.25">
      <c r="A486" s="132">
        <v>472</v>
      </c>
      <c r="B486" s="126" t="str">
        <f>CONCATENATE(MID(B483,1,4)," - Adjustment")</f>
        <v>A254 - Adjustment</v>
      </c>
      <c r="C486" s="121"/>
      <c r="D486" s="121"/>
      <c r="E486" s="133">
        <f>+E484-E483</f>
        <v>318542.61999999994</v>
      </c>
      <c r="F486" s="127"/>
    </row>
    <row r="487" spans="1:6" ht="13.5" thickTop="1" x14ac:dyDescent="0.2">
      <c r="A487" s="132">
        <v>473</v>
      </c>
      <c r="B487" s="128"/>
      <c r="C487" s="129"/>
      <c r="D487" s="129"/>
      <c r="E487" s="129"/>
      <c r="F487" s="130"/>
    </row>
    <row r="488" spans="1:6" x14ac:dyDescent="0.2">
      <c r="A488" s="132">
        <v>474</v>
      </c>
    </row>
    <row r="489" spans="1:6" x14ac:dyDescent="0.2">
      <c r="A489" s="132">
        <v>475</v>
      </c>
      <c r="B489" s="131" t="s">
        <v>97</v>
      </c>
      <c r="C489" s="117" t="s">
        <v>78</v>
      </c>
      <c r="D489" s="118"/>
      <c r="E489" s="118"/>
      <c r="F489" s="119" t="s">
        <v>79</v>
      </c>
    </row>
    <row r="490" spans="1:6" x14ac:dyDescent="0.2">
      <c r="A490" s="132">
        <v>476</v>
      </c>
      <c r="B490" s="120"/>
      <c r="C490" s="121"/>
      <c r="D490" s="121"/>
      <c r="E490" s="121"/>
      <c r="F490" s="122" t="s">
        <v>83</v>
      </c>
    </row>
    <row r="491" spans="1:6" x14ac:dyDescent="0.2">
      <c r="A491" s="132">
        <v>477</v>
      </c>
      <c r="B491" s="123" t="s">
        <v>114</v>
      </c>
      <c r="C491" s="121"/>
      <c r="D491" s="121"/>
      <c r="E491" s="124">
        <f>+'[5]II-B-12'!$G$72</f>
        <v>-23717979.550000001</v>
      </c>
      <c r="F491" s="122"/>
    </row>
    <row r="492" spans="1:6" x14ac:dyDescent="0.2">
      <c r="A492" s="132">
        <v>478</v>
      </c>
      <c r="B492" s="123" t="s">
        <v>115</v>
      </c>
      <c r="C492" s="121"/>
      <c r="D492" s="121"/>
      <c r="E492" s="125">
        <f>+'[5]II-B-12'!$I$72</f>
        <v>0</v>
      </c>
      <c r="F492" s="122"/>
    </row>
    <row r="493" spans="1:6" x14ac:dyDescent="0.2">
      <c r="A493" s="132">
        <v>479</v>
      </c>
      <c r="B493" s="120"/>
      <c r="C493" s="121"/>
      <c r="D493" s="121"/>
      <c r="E493" s="124"/>
      <c r="F493" s="122"/>
    </row>
    <row r="494" spans="1:6" ht="13.5" thickBot="1" x14ac:dyDescent="0.25">
      <c r="A494" s="132">
        <v>480</v>
      </c>
      <c r="B494" s="126" t="str">
        <f>CONCATENATE(MID(B491,1,4)," - Adjustment")</f>
        <v>A257 - Adjustment</v>
      </c>
      <c r="C494" s="121"/>
      <c r="D494" s="121"/>
      <c r="E494" s="133">
        <f>+E492-E491</f>
        <v>23717979.550000001</v>
      </c>
      <c r="F494" s="127"/>
    </row>
    <row r="495" spans="1:6" ht="13.5" thickTop="1" x14ac:dyDescent="0.2">
      <c r="A495" s="132">
        <v>481</v>
      </c>
      <c r="B495" s="128"/>
      <c r="C495" s="129"/>
      <c r="D495" s="129"/>
      <c r="E495" s="129"/>
      <c r="F495" s="130"/>
    </row>
    <row r="496" spans="1:6" x14ac:dyDescent="0.2">
      <c r="A496" s="132">
        <v>482</v>
      </c>
    </row>
    <row r="497" spans="1:6" x14ac:dyDescent="0.2">
      <c r="A497" s="132">
        <v>483</v>
      </c>
      <c r="B497" s="131" t="s">
        <v>97</v>
      </c>
      <c r="C497" s="117" t="s">
        <v>78</v>
      </c>
      <c r="D497" s="118"/>
      <c r="E497" s="118"/>
      <c r="F497" s="119" t="s">
        <v>79</v>
      </c>
    </row>
    <row r="498" spans="1:6" x14ac:dyDescent="0.2">
      <c r="A498" s="132">
        <v>484</v>
      </c>
      <c r="B498" s="120"/>
      <c r="C498" s="121"/>
      <c r="D498" s="121"/>
      <c r="E498" s="121"/>
      <c r="F498" s="122" t="s">
        <v>83</v>
      </c>
    </row>
    <row r="499" spans="1:6" x14ac:dyDescent="0.2">
      <c r="A499" s="132">
        <v>485</v>
      </c>
      <c r="B499" s="123" t="s">
        <v>435</v>
      </c>
      <c r="C499" s="121"/>
      <c r="D499" s="121"/>
      <c r="E499" s="124">
        <f>+'[5]II-B-12'!$G$79</f>
        <v>34940978.939999998</v>
      </c>
      <c r="F499" s="122"/>
    </row>
    <row r="500" spans="1:6" x14ac:dyDescent="0.2">
      <c r="A500" s="132">
        <v>486</v>
      </c>
      <c r="B500" s="123" t="s">
        <v>436</v>
      </c>
      <c r="C500" s="121"/>
      <c r="D500" s="121"/>
      <c r="E500" s="125">
        <f>+'[5]II-B-12'!$I$79</f>
        <v>0</v>
      </c>
      <c r="F500" s="122"/>
    </row>
    <row r="501" spans="1:6" x14ac:dyDescent="0.2">
      <c r="A501" s="132">
        <v>487</v>
      </c>
      <c r="B501" s="120"/>
      <c r="C501" s="121"/>
      <c r="D501" s="121"/>
      <c r="E501" s="124"/>
      <c r="F501" s="122"/>
    </row>
    <row r="502" spans="1:6" ht="13.5" thickBot="1" x14ac:dyDescent="0.25">
      <c r="A502" s="132">
        <v>488</v>
      </c>
      <c r="B502" s="126" t="str">
        <f>CONCATENATE(MID(B499,1,4)," - Adjustment")</f>
        <v>A182 - Adjustment</v>
      </c>
      <c r="C502" s="121"/>
      <c r="D502" s="121"/>
      <c r="E502" s="133">
        <f>+E500-E499</f>
        <v>-34940978.939999998</v>
      </c>
      <c r="F502" s="127"/>
    </row>
    <row r="503" spans="1:6" ht="13.5" thickTop="1" x14ac:dyDescent="0.2">
      <c r="A503" s="132">
        <v>489</v>
      </c>
      <c r="B503" s="128"/>
      <c r="C503" s="129"/>
      <c r="D503" s="129"/>
      <c r="E503" s="129"/>
      <c r="F503" s="130"/>
    </row>
    <row r="504" spans="1:6" x14ac:dyDescent="0.2">
      <c r="A504" s="132">
        <v>490</v>
      </c>
    </row>
    <row r="505" spans="1:6" x14ac:dyDescent="0.2">
      <c r="A505" s="132">
        <v>491</v>
      </c>
      <c r="B505" s="131" t="s">
        <v>97</v>
      </c>
      <c r="C505" s="117" t="s">
        <v>78</v>
      </c>
      <c r="D505" s="118"/>
      <c r="E505" s="118"/>
      <c r="F505" s="119" t="s">
        <v>79</v>
      </c>
    </row>
    <row r="506" spans="1:6" x14ac:dyDescent="0.2">
      <c r="A506" s="132">
        <v>492</v>
      </c>
      <c r="B506" s="120"/>
      <c r="C506" s="121"/>
      <c r="D506" s="121"/>
      <c r="E506" s="121"/>
      <c r="F506" s="122" t="s">
        <v>83</v>
      </c>
    </row>
    <row r="507" spans="1:6" x14ac:dyDescent="0.2">
      <c r="A507" s="132">
        <v>493</v>
      </c>
      <c r="B507" s="123" t="s">
        <v>437</v>
      </c>
      <c r="C507" s="121"/>
      <c r="D507" s="121"/>
      <c r="E507" s="124">
        <f>+'[5]II-B-12'!$G$80</f>
        <v>9288108.3300000001</v>
      </c>
      <c r="F507" s="122"/>
    </row>
    <row r="508" spans="1:6" x14ac:dyDescent="0.2">
      <c r="A508" s="132">
        <v>494</v>
      </c>
      <c r="B508" s="123" t="s">
        <v>438</v>
      </c>
      <c r="C508" s="121"/>
      <c r="D508" s="121"/>
      <c r="E508" s="125">
        <f>+'[5]II-B-12'!$I$80</f>
        <v>0</v>
      </c>
      <c r="F508" s="122"/>
    </row>
    <row r="509" spans="1:6" x14ac:dyDescent="0.2">
      <c r="A509" s="132">
        <v>495</v>
      </c>
      <c r="B509" s="120"/>
      <c r="C509" s="121"/>
      <c r="D509" s="121"/>
      <c r="E509" s="124"/>
      <c r="F509" s="122"/>
    </row>
    <row r="510" spans="1:6" ht="13.5" thickBot="1" x14ac:dyDescent="0.25">
      <c r="A510" s="132">
        <v>496</v>
      </c>
      <c r="B510" s="126" t="str">
        <f>CONCATENATE(MID(B507,1,4)," - Adjustment")</f>
        <v>A182 - Adjustment</v>
      </c>
      <c r="C510" s="121"/>
      <c r="D510" s="121"/>
      <c r="E510" s="133">
        <f>+E508-E507</f>
        <v>-9288108.3300000001</v>
      </c>
      <c r="F510" s="127"/>
    </row>
    <row r="511" spans="1:6" ht="13.5" thickTop="1" x14ac:dyDescent="0.2">
      <c r="A511" s="132">
        <v>497</v>
      </c>
      <c r="B511" s="128"/>
      <c r="C511" s="129"/>
      <c r="D511" s="129"/>
      <c r="E511" s="129"/>
      <c r="F511" s="130"/>
    </row>
    <row r="512" spans="1:6" x14ac:dyDescent="0.2">
      <c r="A512" s="132">
        <v>498</v>
      </c>
    </row>
    <row r="513" spans="1:6" x14ac:dyDescent="0.2">
      <c r="A513" s="132">
        <v>499</v>
      </c>
      <c r="B513" s="131" t="s">
        <v>97</v>
      </c>
      <c r="C513" s="117" t="s">
        <v>78</v>
      </c>
      <c r="D513" s="118"/>
      <c r="E513" s="118"/>
      <c r="F513" s="119" t="s">
        <v>79</v>
      </c>
    </row>
    <row r="514" spans="1:6" x14ac:dyDescent="0.2">
      <c r="A514" s="132">
        <v>500</v>
      </c>
      <c r="B514" s="120"/>
      <c r="C514" s="121"/>
      <c r="D514" s="121"/>
      <c r="E514" s="121"/>
      <c r="F514" s="122" t="s">
        <v>83</v>
      </c>
    </row>
    <row r="515" spans="1:6" x14ac:dyDescent="0.2">
      <c r="A515" s="132">
        <v>501</v>
      </c>
      <c r="B515" s="123" t="s">
        <v>439</v>
      </c>
      <c r="C515" s="121"/>
      <c r="D515" s="121"/>
      <c r="E515" s="124">
        <f>+'[5]II-B-12'!$G$81</f>
        <v>43566659.75</v>
      </c>
      <c r="F515" s="122"/>
    </row>
    <row r="516" spans="1:6" x14ac:dyDescent="0.2">
      <c r="A516" s="132">
        <v>502</v>
      </c>
      <c r="B516" s="123" t="s">
        <v>440</v>
      </c>
      <c r="C516" s="121"/>
      <c r="D516" s="121"/>
      <c r="E516" s="125">
        <f>+'[5]II-B-12'!$I$81</f>
        <v>0</v>
      </c>
      <c r="F516" s="122"/>
    </row>
    <row r="517" spans="1:6" x14ac:dyDescent="0.2">
      <c r="A517" s="132">
        <v>503</v>
      </c>
      <c r="B517" s="120"/>
      <c r="C517" s="121"/>
      <c r="D517" s="121"/>
      <c r="E517" s="124"/>
      <c r="F517" s="122"/>
    </row>
    <row r="518" spans="1:6" ht="13.5" thickBot="1" x14ac:dyDescent="0.25">
      <c r="A518" s="132">
        <v>504</v>
      </c>
      <c r="B518" s="126" t="str">
        <f>CONCATENATE(MID(B515,1,4)," - Adjustment")</f>
        <v>A182 - Adjustment</v>
      </c>
      <c r="C518" s="121"/>
      <c r="D518" s="121"/>
      <c r="E518" s="133">
        <f>+E516-E515</f>
        <v>-43566659.75</v>
      </c>
      <c r="F518" s="127"/>
    </row>
    <row r="519" spans="1:6" ht="13.5" thickTop="1" x14ac:dyDescent="0.2">
      <c r="A519" s="132">
        <v>505</v>
      </c>
      <c r="B519" s="128"/>
      <c r="C519" s="129"/>
      <c r="D519" s="129"/>
      <c r="E519" s="129"/>
      <c r="F519" s="130"/>
    </row>
    <row r="520" spans="1:6" x14ac:dyDescent="0.2">
      <c r="A520" s="132">
        <v>506</v>
      </c>
    </row>
    <row r="521" spans="1:6" x14ac:dyDescent="0.2">
      <c r="A521" s="132">
        <v>507</v>
      </c>
      <c r="B521" s="131" t="s">
        <v>97</v>
      </c>
      <c r="C521" s="117" t="s">
        <v>78</v>
      </c>
      <c r="D521" s="118"/>
      <c r="E521" s="118"/>
      <c r="F521" s="119" t="s">
        <v>79</v>
      </c>
    </row>
    <row r="522" spans="1:6" x14ac:dyDescent="0.2">
      <c r="A522" s="132">
        <v>508</v>
      </c>
      <c r="B522" s="120"/>
      <c r="C522" s="121"/>
      <c r="D522" s="121"/>
      <c r="E522" s="121"/>
      <c r="F522" s="122" t="s">
        <v>83</v>
      </c>
    </row>
    <row r="523" spans="1:6" x14ac:dyDescent="0.2">
      <c r="A523" s="132">
        <v>509</v>
      </c>
      <c r="B523" s="123" t="s">
        <v>441</v>
      </c>
      <c r="C523" s="121"/>
      <c r="D523" s="121"/>
      <c r="E523" s="124">
        <f>+'[5]II-B-12'!$G$82</f>
        <v>8476771.2699999996</v>
      </c>
      <c r="F523" s="122"/>
    </row>
    <row r="524" spans="1:6" x14ac:dyDescent="0.2">
      <c r="A524" s="132">
        <v>510</v>
      </c>
      <c r="B524" s="123" t="s">
        <v>442</v>
      </c>
      <c r="C524" s="121"/>
      <c r="D524" s="121"/>
      <c r="E524" s="125">
        <f>+'[5]II-B-12'!$I$82</f>
        <v>0</v>
      </c>
      <c r="F524" s="122"/>
    </row>
    <row r="525" spans="1:6" x14ac:dyDescent="0.2">
      <c r="A525" s="132">
        <v>511</v>
      </c>
      <c r="B525" s="120"/>
      <c r="C525" s="121"/>
      <c r="D525" s="121"/>
      <c r="E525" s="124"/>
      <c r="F525" s="122"/>
    </row>
    <row r="526" spans="1:6" ht="13.5" thickBot="1" x14ac:dyDescent="0.25">
      <c r="A526" s="132">
        <v>512</v>
      </c>
      <c r="B526" s="126" t="str">
        <f>CONCATENATE(MID(B523,1,4)," - Adjustment")</f>
        <v>A182 - Adjustment</v>
      </c>
      <c r="C526" s="121"/>
      <c r="D526" s="121"/>
      <c r="E526" s="133">
        <f>+E524-E523</f>
        <v>-8476771.2699999996</v>
      </c>
      <c r="F526" s="127"/>
    </row>
    <row r="527" spans="1:6" ht="13.5" thickTop="1" x14ac:dyDescent="0.2">
      <c r="A527" s="132">
        <v>513</v>
      </c>
      <c r="B527" s="128"/>
      <c r="C527" s="129"/>
      <c r="D527" s="129"/>
      <c r="E527" s="129"/>
      <c r="F527" s="130"/>
    </row>
    <row r="528" spans="1:6" x14ac:dyDescent="0.2">
      <c r="A528" s="132">
        <v>514</v>
      </c>
    </row>
    <row r="529" spans="1:6" x14ac:dyDescent="0.2">
      <c r="A529" s="132">
        <v>515</v>
      </c>
      <c r="B529" s="131" t="s">
        <v>97</v>
      </c>
      <c r="C529" s="117" t="s">
        <v>78</v>
      </c>
      <c r="D529" s="118"/>
      <c r="E529" s="118"/>
      <c r="F529" s="119" t="s">
        <v>79</v>
      </c>
    </row>
    <row r="530" spans="1:6" x14ac:dyDescent="0.2">
      <c r="A530" s="132">
        <v>516</v>
      </c>
      <c r="B530" s="120"/>
      <c r="C530" s="121"/>
      <c r="D530" s="121"/>
      <c r="E530" s="121"/>
      <c r="F530" s="122" t="s">
        <v>83</v>
      </c>
    </row>
    <row r="531" spans="1:6" x14ac:dyDescent="0.2">
      <c r="A531" s="132">
        <v>517</v>
      </c>
      <c r="B531" s="123" t="s">
        <v>344</v>
      </c>
      <c r="C531" s="121"/>
      <c r="D531" s="121"/>
      <c r="E531" s="124">
        <f>+'[5]II-B-12'!$G$84</f>
        <v>13532890.859999999</v>
      </c>
      <c r="F531" s="122"/>
    </row>
    <row r="532" spans="1:6" x14ac:dyDescent="0.2">
      <c r="A532" s="132">
        <v>518</v>
      </c>
      <c r="B532" s="123" t="s">
        <v>345</v>
      </c>
      <c r="C532" s="121"/>
      <c r="D532" s="121"/>
      <c r="E532" s="125">
        <f>+'[5]II-B-12'!$I$84</f>
        <v>0</v>
      </c>
      <c r="F532" s="122"/>
    </row>
    <row r="533" spans="1:6" x14ac:dyDescent="0.2">
      <c r="A533" s="132">
        <v>519</v>
      </c>
      <c r="B533" s="120"/>
      <c r="C533" s="121"/>
      <c r="D533" s="121"/>
      <c r="E533" s="124"/>
      <c r="F533" s="122"/>
    </row>
    <row r="534" spans="1:6" ht="13.5" thickBot="1" x14ac:dyDescent="0.25">
      <c r="A534" s="132">
        <v>520</v>
      </c>
      <c r="B534" s="126" t="str">
        <f>CONCATENATE(MID(B531,1,4)," - Adjustment")</f>
        <v>A182 - Adjustment</v>
      </c>
      <c r="C534" s="121"/>
      <c r="D534" s="121"/>
      <c r="E534" s="133">
        <f>+E532-E531</f>
        <v>-13532890.859999999</v>
      </c>
      <c r="F534" s="127"/>
    </row>
    <row r="535" spans="1:6" ht="13.5" thickTop="1" x14ac:dyDescent="0.2">
      <c r="A535" s="132">
        <v>521</v>
      </c>
      <c r="B535" s="128"/>
      <c r="C535" s="129"/>
      <c r="D535" s="129"/>
      <c r="E535" s="129"/>
      <c r="F535" s="130"/>
    </row>
    <row r="536" spans="1:6" x14ac:dyDescent="0.2">
      <c r="A536" s="132">
        <v>522</v>
      </c>
    </row>
    <row r="537" spans="1:6" x14ac:dyDescent="0.2">
      <c r="A537" s="132">
        <v>523</v>
      </c>
      <c r="B537" s="131" t="s">
        <v>97</v>
      </c>
      <c r="C537" s="117" t="s">
        <v>78</v>
      </c>
      <c r="D537" s="118"/>
      <c r="E537" s="118"/>
      <c r="F537" s="119" t="s">
        <v>79</v>
      </c>
    </row>
    <row r="538" spans="1:6" x14ac:dyDescent="0.2">
      <c r="A538" s="132">
        <v>524</v>
      </c>
      <c r="B538" s="120"/>
      <c r="C538" s="121"/>
      <c r="D538" s="121"/>
      <c r="E538" s="121"/>
      <c r="F538" s="122" t="s">
        <v>83</v>
      </c>
    </row>
    <row r="539" spans="1:6" x14ac:dyDescent="0.2">
      <c r="A539" s="132">
        <v>525</v>
      </c>
      <c r="B539" s="123" t="s">
        <v>116</v>
      </c>
      <c r="C539" s="121"/>
      <c r="D539" s="121"/>
      <c r="E539" s="124">
        <f>+'[5]II-B-12'!$G$88</f>
        <v>-542395.86</v>
      </c>
      <c r="F539" s="122"/>
    </row>
    <row r="540" spans="1:6" x14ac:dyDescent="0.2">
      <c r="A540" s="132">
        <v>526</v>
      </c>
      <c r="B540" s="123" t="s">
        <v>117</v>
      </c>
      <c r="C540" s="121"/>
      <c r="D540" s="121"/>
      <c r="E540" s="125">
        <f>+'[5]II-B-12'!$I$88</f>
        <v>0</v>
      </c>
      <c r="F540" s="122"/>
    </row>
    <row r="541" spans="1:6" x14ac:dyDescent="0.2">
      <c r="A541" s="132">
        <v>527</v>
      </c>
      <c r="B541" s="120"/>
      <c r="C541" s="121"/>
      <c r="D541" s="121"/>
      <c r="E541" s="124"/>
      <c r="F541" s="122"/>
    </row>
    <row r="542" spans="1:6" ht="13.5" thickBot="1" x14ac:dyDescent="0.25">
      <c r="A542" s="132">
        <v>528</v>
      </c>
      <c r="B542" s="126" t="str">
        <f>CONCATENATE(MID(B539,1,4)," - Adjustment")</f>
        <v>A254 - Adjustment</v>
      </c>
      <c r="C542" s="121"/>
      <c r="D542" s="121"/>
      <c r="E542" s="133">
        <f>+E540-E539</f>
        <v>542395.86</v>
      </c>
      <c r="F542" s="127"/>
    </row>
    <row r="543" spans="1:6" ht="13.5" thickTop="1" x14ac:dyDescent="0.2">
      <c r="A543" s="132">
        <v>529</v>
      </c>
      <c r="B543" s="128"/>
      <c r="C543" s="129"/>
      <c r="D543" s="129"/>
      <c r="E543" s="129"/>
      <c r="F543" s="130"/>
    </row>
    <row r="544" spans="1:6" x14ac:dyDescent="0.2">
      <c r="A544" s="132">
        <v>530</v>
      </c>
    </row>
    <row r="545" spans="1:6" x14ac:dyDescent="0.2">
      <c r="A545" s="132">
        <v>531</v>
      </c>
      <c r="B545" s="131" t="s">
        <v>97</v>
      </c>
      <c r="C545" s="117" t="s">
        <v>78</v>
      </c>
      <c r="D545" s="118"/>
      <c r="E545" s="118"/>
      <c r="F545" s="119" t="s">
        <v>79</v>
      </c>
    </row>
    <row r="546" spans="1:6" x14ac:dyDescent="0.2">
      <c r="A546" s="132">
        <v>532</v>
      </c>
      <c r="B546" s="120"/>
      <c r="C546" s="121"/>
      <c r="D546" s="121"/>
      <c r="E546" s="121"/>
      <c r="F546" s="122" t="s">
        <v>83</v>
      </c>
    </row>
    <row r="547" spans="1:6" x14ac:dyDescent="0.2">
      <c r="A547" s="132">
        <v>533</v>
      </c>
      <c r="B547" s="123" t="s">
        <v>346</v>
      </c>
      <c r="C547" s="121"/>
      <c r="D547" s="121"/>
      <c r="E547" s="124">
        <f>+'[5]II-B-12'!$G$90</f>
        <v>-13219690.810000001</v>
      </c>
      <c r="F547" s="122"/>
    </row>
    <row r="548" spans="1:6" x14ac:dyDescent="0.2">
      <c r="A548" s="132">
        <v>534</v>
      </c>
      <c r="B548" s="123" t="s">
        <v>347</v>
      </c>
      <c r="C548" s="121"/>
      <c r="D548" s="121"/>
      <c r="E548" s="125">
        <f>+'[5]II-B-12'!$I$90</f>
        <v>0</v>
      </c>
      <c r="F548" s="122"/>
    </row>
    <row r="549" spans="1:6" x14ac:dyDescent="0.2">
      <c r="A549" s="132">
        <v>535</v>
      </c>
      <c r="B549" s="120"/>
      <c r="C549" s="121"/>
      <c r="D549" s="121"/>
      <c r="E549" s="124"/>
      <c r="F549" s="122"/>
    </row>
    <row r="550" spans="1:6" ht="13.5" thickBot="1" x14ac:dyDescent="0.25">
      <c r="A550" s="132">
        <v>536</v>
      </c>
      <c r="B550" s="126" t="str">
        <f>CONCATENATE(MID(B547,1,4)," - Adjustment")</f>
        <v>A254 - Adjustment</v>
      </c>
      <c r="C550" s="121"/>
      <c r="D550" s="121"/>
      <c r="E550" s="133">
        <f>+E548-E547</f>
        <v>13219690.810000001</v>
      </c>
      <c r="F550" s="127"/>
    </row>
    <row r="551" spans="1:6" ht="13.5" thickTop="1" x14ac:dyDescent="0.2">
      <c r="A551" s="132">
        <v>537</v>
      </c>
      <c r="B551" s="128"/>
      <c r="C551" s="129"/>
      <c r="D551" s="129"/>
      <c r="E551" s="129"/>
      <c r="F551" s="130"/>
    </row>
    <row r="552" spans="1:6" x14ac:dyDescent="0.2">
      <c r="A552" s="132">
        <v>538</v>
      </c>
    </row>
    <row r="553" spans="1:6" x14ac:dyDescent="0.2">
      <c r="A553" s="132">
        <v>539</v>
      </c>
      <c r="B553" s="131" t="s">
        <v>97</v>
      </c>
      <c r="C553" s="117" t="s">
        <v>78</v>
      </c>
      <c r="D553" s="118"/>
      <c r="E553" s="118"/>
      <c r="F553" s="119" t="s">
        <v>79</v>
      </c>
    </row>
    <row r="554" spans="1:6" x14ac:dyDescent="0.2">
      <c r="A554" s="132">
        <v>540</v>
      </c>
      <c r="B554" s="120"/>
      <c r="C554" s="121"/>
      <c r="D554" s="121"/>
      <c r="E554" s="121"/>
      <c r="F554" s="122" t="s">
        <v>83</v>
      </c>
    </row>
    <row r="555" spans="1:6" x14ac:dyDescent="0.2">
      <c r="A555" s="132">
        <v>541</v>
      </c>
      <c r="B555" s="123" t="s">
        <v>443</v>
      </c>
      <c r="C555" s="121"/>
      <c r="D555" s="121"/>
      <c r="E555" s="124">
        <f>+'[5]II-B-12'!$G$91</f>
        <v>-921473107</v>
      </c>
      <c r="F555" s="122"/>
    </row>
    <row r="556" spans="1:6" x14ac:dyDescent="0.2">
      <c r="A556" s="132">
        <v>542</v>
      </c>
      <c r="B556" s="123" t="s">
        <v>444</v>
      </c>
      <c r="C556" s="121"/>
      <c r="D556" s="121"/>
      <c r="E556" s="125">
        <f>+'[5]II-B-12'!$I$91</f>
        <v>-1062055414.46</v>
      </c>
      <c r="F556" s="122"/>
    </row>
    <row r="557" spans="1:6" x14ac:dyDescent="0.2">
      <c r="A557" s="132">
        <v>543</v>
      </c>
      <c r="B557" s="120"/>
      <c r="C557" s="121"/>
      <c r="D557" s="121"/>
      <c r="E557" s="124"/>
      <c r="F557" s="122"/>
    </row>
    <row r="558" spans="1:6" ht="13.5" thickBot="1" x14ac:dyDescent="0.25">
      <c r="A558" s="132">
        <v>544</v>
      </c>
      <c r="B558" s="126" t="str">
        <f>CONCATENATE(MID(B555,1,4)," - Adjustment")</f>
        <v>A254 - Adjustment</v>
      </c>
      <c r="C558" s="121"/>
      <c r="D558" s="121"/>
      <c r="E558" s="133">
        <f>+E556-E555</f>
        <v>-140582307.46000004</v>
      </c>
      <c r="F558" s="127"/>
    </row>
    <row r="559" spans="1:6" ht="13.5" thickTop="1" x14ac:dyDescent="0.2">
      <c r="A559" s="132">
        <v>545</v>
      </c>
      <c r="B559" s="128"/>
      <c r="C559" s="129"/>
      <c r="D559" s="129"/>
      <c r="E559" s="129"/>
      <c r="F559" s="130"/>
    </row>
    <row r="560" spans="1:6" x14ac:dyDescent="0.2">
      <c r="A560" s="132">
        <v>546</v>
      </c>
    </row>
    <row r="561" spans="1:6" x14ac:dyDescent="0.2">
      <c r="A561" s="132">
        <v>547</v>
      </c>
      <c r="B561" s="131" t="s">
        <v>97</v>
      </c>
      <c r="C561" s="117" t="s">
        <v>78</v>
      </c>
      <c r="D561" s="118"/>
      <c r="E561" s="118"/>
      <c r="F561" s="119" t="s">
        <v>79</v>
      </c>
    </row>
    <row r="562" spans="1:6" x14ac:dyDescent="0.2">
      <c r="A562" s="132">
        <v>548</v>
      </c>
      <c r="B562" s="120"/>
      <c r="C562" s="121"/>
      <c r="D562" s="121"/>
      <c r="E562" s="121"/>
      <c r="F562" s="122" t="s">
        <v>83</v>
      </c>
    </row>
    <row r="563" spans="1:6" x14ac:dyDescent="0.2">
      <c r="A563" s="132">
        <v>549</v>
      </c>
      <c r="B563" s="123" t="s">
        <v>348</v>
      </c>
      <c r="C563" s="121"/>
      <c r="D563" s="121"/>
      <c r="E563" s="124">
        <f>+'[5]II-B-12'!$G$92</f>
        <v>-266566197.09999999</v>
      </c>
      <c r="F563" s="122"/>
    </row>
    <row r="564" spans="1:6" x14ac:dyDescent="0.2">
      <c r="A564" s="132">
        <v>550</v>
      </c>
      <c r="B564" s="123" t="s">
        <v>349</v>
      </c>
      <c r="C564" s="121"/>
      <c r="D564" s="121"/>
      <c r="E564" s="125">
        <f>+'[5]II-B-12'!$I$92</f>
        <v>0</v>
      </c>
      <c r="F564" s="122"/>
    </row>
    <row r="565" spans="1:6" x14ac:dyDescent="0.2">
      <c r="A565" s="132">
        <v>551</v>
      </c>
      <c r="B565" s="120"/>
      <c r="C565" s="121"/>
      <c r="D565" s="121"/>
      <c r="E565" s="124"/>
      <c r="F565" s="122"/>
    </row>
    <row r="566" spans="1:6" ht="13.5" thickBot="1" x14ac:dyDescent="0.25">
      <c r="A566" s="132">
        <v>552</v>
      </c>
      <c r="B566" s="126" t="str">
        <f>CONCATENATE(MID(B563,1,4)," - Adjustment")</f>
        <v>A254 - Adjustment</v>
      </c>
      <c r="C566" s="121"/>
      <c r="D566" s="121"/>
      <c r="E566" s="133">
        <f>+E564-E563</f>
        <v>266566197.09999999</v>
      </c>
      <c r="F566" s="127"/>
    </row>
    <row r="567" spans="1:6" ht="13.5" thickTop="1" x14ac:dyDescent="0.2">
      <c r="A567" s="132">
        <v>553</v>
      </c>
      <c r="B567" s="128"/>
      <c r="C567" s="129"/>
      <c r="D567" s="129"/>
      <c r="E567" s="129"/>
      <c r="F567" s="130"/>
    </row>
    <row r="568" spans="1:6" x14ac:dyDescent="0.2">
      <c r="A568" s="132">
        <v>554</v>
      </c>
    </row>
    <row r="569" spans="1:6" x14ac:dyDescent="0.2">
      <c r="A569" s="132">
        <v>555</v>
      </c>
      <c r="B569" s="131" t="s">
        <v>97</v>
      </c>
      <c r="C569" s="117" t="s">
        <v>78</v>
      </c>
      <c r="D569" s="118"/>
      <c r="E569" s="118"/>
      <c r="F569" s="119" t="s">
        <v>79</v>
      </c>
    </row>
    <row r="570" spans="1:6" x14ac:dyDescent="0.2">
      <c r="A570" s="132">
        <v>556</v>
      </c>
      <c r="B570" s="120"/>
      <c r="C570" s="121"/>
      <c r="D570" s="121"/>
      <c r="E570" s="121"/>
      <c r="F570" s="122" t="s">
        <v>83</v>
      </c>
    </row>
    <row r="571" spans="1:6" x14ac:dyDescent="0.2">
      <c r="A571" s="132">
        <v>557</v>
      </c>
      <c r="B571" s="123" t="s">
        <v>445</v>
      </c>
      <c r="C571" s="121"/>
      <c r="D571" s="121"/>
      <c r="E571" s="124">
        <f>+'[5]II-B-12'!$G$93</f>
        <v>-81323539.280000001</v>
      </c>
      <c r="F571" s="122"/>
    </row>
    <row r="572" spans="1:6" x14ac:dyDescent="0.2">
      <c r="A572" s="132">
        <v>558</v>
      </c>
      <c r="B572" s="123" t="s">
        <v>446</v>
      </c>
      <c r="C572" s="121"/>
      <c r="D572" s="121"/>
      <c r="E572" s="125">
        <f>+'[5]II-B-12'!$I$93</f>
        <v>59258768.180000007</v>
      </c>
      <c r="F572" s="122"/>
    </row>
    <row r="573" spans="1:6" x14ac:dyDescent="0.2">
      <c r="A573" s="132">
        <v>559</v>
      </c>
      <c r="B573" s="120"/>
      <c r="C573" s="121"/>
      <c r="D573" s="121"/>
      <c r="E573" s="124"/>
      <c r="F573" s="122"/>
    </row>
    <row r="574" spans="1:6" ht="13.5" thickBot="1" x14ac:dyDescent="0.25">
      <c r="A574" s="132">
        <v>560</v>
      </c>
      <c r="B574" s="126" t="str">
        <f>CONCATENATE(MID(B571,1,4)," - Adjustment")</f>
        <v>A254 - Adjustment</v>
      </c>
      <c r="C574" s="121"/>
      <c r="D574" s="121"/>
      <c r="E574" s="133">
        <f>+E572-E571</f>
        <v>140582307.46000001</v>
      </c>
      <c r="F574" s="127"/>
    </row>
    <row r="575" spans="1:6" ht="13.5" thickTop="1" x14ac:dyDescent="0.2">
      <c r="A575" s="132">
        <v>561</v>
      </c>
      <c r="B575" s="128"/>
      <c r="C575" s="129"/>
      <c r="D575" s="129"/>
      <c r="E575" s="129"/>
      <c r="F575" s="130"/>
    </row>
    <row r="576" spans="1:6" x14ac:dyDescent="0.2">
      <c r="A576" s="132">
        <v>562</v>
      </c>
    </row>
    <row r="577" spans="1:6" x14ac:dyDescent="0.2">
      <c r="A577" s="132">
        <v>563</v>
      </c>
      <c r="B577" s="131" t="s">
        <v>97</v>
      </c>
      <c r="C577" s="117" t="s">
        <v>78</v>
      </c>
      <c r="D577" s="118"/>
      <c r="E577" s="118"/>
      <c r="F577" s="119" t="s">
        <v>79</v>
      </c>
    </row>
    <row r="578" spans="1:6" x14ac:dyDescent="0.2">
      <c r="A578" s="132">
        <v>564</v>
      </c>
      <c r="B578" s="120"/>
      <c r="C578" s="121"/>
      <c r="D578" s="121"/>
      <c r="E578" s="121"/>
      <c r="F578" s="122" t="s">
        <v>83</v>
      </c>
    </row>
    <row r="579" spans="1:6" x14ac:dyDescent="0.2">
      <c r="A579" s="132">
        <v>565</v>
      </c>
      <c r="B579" s="123" t="s">
        <v>118</v>
      </c>
      <c r="C579" s="121"/>
      <c r="D579" s="121"/>
      <c r="E579" s="124">
        <f>+'[5]II-B-12'!$G$95</f>
        <v>4539355.9800000004</v>
      </c>
      <c r="F579" s="122"/>
    </row>
    <row r="580" spans="1:6" x14ac:dyDescent="0.2">
      <c r="A580" s="132">
        <v>566</v>
      </c>
      <c r="B580" s="123" t="s">
        <v>119</v>
      </c>
      <c r="C580" s="121"/>
      <c r="D580" s="121"/>
      <c r="E580" s="125">
        <f>+'[5]II-B-12'!$I$95</f>
        <v>0</v>
      </c>
      <c r="F580" s="122"/>
    </row>
    <row r="581" spans="1:6" x14ac:dyDescent="0.2">
      <c r="A581" s="132">
        <v>567</v>
      </c>
      <c r="B581" s="120"/>
      <c r="C581" s="121"/>
      <c r="D581" s="121"/>
      <c r="E581" s="124"/>
      <c r="F581" s="122"/>
    </row>
    <row r="582" spans="1:6" ht="13.5" thickBot="1" x14ac:dyDescent="0.25">
      <c r="A582" s="132">
        <v>568</v>
      </c>
      <c r="B582" s="126" t="str">
        <f>CONCATENATE(MID(B579,1,4)," - Adjustment")</f>
        <v>A254 - Adjustment</v>
      </c>
      <c r="C582" s="121"/>
      <c r="D582" s="121"/>
      <c r="E582" s="133">
        <f>+E580-E579</f>
        <v>-4539355.9800000004</v>
      </c>
      <c r="F582" s="127"/>
    </row>
    <row r="583" spans="1:6" ht="13.5" thickTop="1" x14ac:dyDescent="0.2">
      <c r="A583" s="132">
        <v>569</v>
      </c>
      <c r="B583" s="128"/>
      <c r="C583" s="129"/>
      <c r="D583" s="129"/>
      <c r="E583" s="129"/>
      <c r="F583" s="130"/>
    </row>
    <row r="584" spans="1:6" x14ac:dyDescent="0.2">
      <c r="A584" s="132">
        <v>570</v>
      </c>
    </row>
    <row r="585" spans="1:6" x14ac:dyDescent="0.2">
      <c r="A585" s="132">
        <v>571</v>
      </c>
      <c r="B585" s="131" t="s">
        <v>97</v>
      </c>
      <c r="C585" s="117" t="s">
        <v>78</v>
      </c>
      <c r="D585" s="118"/>
      <c r="E585" s="118"/>
      <c r="F585" s="119" t="s">
        <v>79</v>
      </c>
    </row>
    <row r="586" spans="1:6" x14ac:dyDescent="0.2">
      <c r="A586" s="132">
        <v>572</v>
      </c>
      <c r="B586" s="120"/>
      <c r="C586" s="121"/>
      <c r="D586" s="121"/>
      <c r="E586" s="121"/>
      <c r="F586" s="122" t="s">
        <v>83</v>
      </c>
    </row>
    <row r="587" spans="1:6" x14ac:dyDescent="0.2">
      <c r="A587" s="132">
        <v>573</v>
      </c>
      <c r="B587" s="123" t="s">
        <v>120</v>
      </c>
      <c r="C587" s="121"/>
      <c r="D587" s="121"/>
      <c r="E587" s="124">
        <f>+'[5]II-B-12'!$G$96</f>
        <v>-34940978.939999998</v>
      </c>
      <c r="F587" s="122"/>
    </row>
    <row r="588" spans="1:6" x14ac:dyDescent="0.2">
      <c r="A588" s="132">
        <v>574</v>
      </c>
      <c r="B588" s="123" t="s">
        <v>121</v>
      </c>
      <c r="C588" s="121"/>
      <c r="D588" s="121"/>
      <c r="E588" s="125">
        <f>+'[5]II-B-12'!$I$96</f>
        <v>0</v>
      </c>
      <c r="F588" s="122"/>
    </row>
    <row r="589" spans="1:6" x14ac:dyDescent="0.2">
      <c r="A589" s="132">
        <v>575</v>
      </c>
      <c r="B589" s="120"/>
      <c r="C589" s="121"/>
      <c r="D589" s="121"/>
      <c r="E589" s="124"/>
      <c r="F589" s="122"/>
    </row>
    <row r="590" spans="1:6" ht="13.5" thickBot="1" x14ac:dyDescent="0.25">
      <c r="A590" s="132">
        <v>576</v>
      </c>
      <c r="B590" s="126" t="str">
        <f>CONCATENATE(MID(B587,1,4)," - Adjustment")</f>
        <v>A254 - Adjustment</v>
      </c>
      <c r="C590" s="121"/>
      <c r="D590" s="121"/>
      <c r="E590" s="133">
        <f>+E588-E587</f>
        <v>34940978.939999998</v>
      </c>
      <c r="F590" s="127"/>
    </row>
    <row r="591" spans="1:6" ht="13.5" thickTop="1" x14ac:dyDescent="0.2">
      <c r="A591" s="132">
        <v>577</v>
      </c>
      <c r="B591" s="128"/>
      <c r="C591" s="129"/>
      <c r="D591" s="129"/>
      <c r="E591" s="129"/>
      <c r="F591" s="130"/>
    </row>
    <row r="592" spans="1:6" x14ac:dyDescent="0.2">
      <c r="A592" s="132">
        <v>578</v>
      </c>
    </row>
    <row r="593" spans="1:6" x14ac:dyDescent="0.2">
      <c r="A593" s="132">
        <v>579</v>
      </c>
      <c r="B593" s="131" t="s">
        <v>97</v>
      </c>
      <c r="C593" s="117" t="s">
        <v>78</v>
      </c>
      <c r="D593" s="118"/>
      <c r="E593" s="118"/>
      <c r="F593" s="119" t="s">
        <v>79</v>
      </c>
    </row>
    <row r="594" spans="1:6" x14ac:dyDescent="0.2">
      <c r="A594" s="132">
        <v>580</v>
      </c>
      <c r="B594" s="120"/>
      <c r="C594" s="121"/>
      <c r="D594" s="121"/>
      <c r="E594" s="121"/>
      <c r="F594" s="122" t="s">
        <v>83</v>
      </c>
    </row>
    <row r="595" spans="1:6" x14ac:dyDescent="0.2">
      <c r="A595" s="132">
        <v>581</v>
      </c>
      <c r="B595" s="123" t="s">
        <v>122</v>
      </c>
      <c r="C595" s="121"/>
      <c r="D595" s="121"/>
      <c r="E595" s="124">
        <f>+'[5]II-B-12'!$G$97</f>
        <v>-9288108.3300000001</v>
      </c>
      <c r="F595" s="122"/>
    </row>
    <row r="596" spans="1:6" x14ac:dyDescent="0.2">
      <c r="A596" s="132">
        <v>582</v>
      </c>
      <c r="B596" s="123" t="s">
        <v>123</v>
      </c>
      <c r="C596" s="121"/>
      <c r="D596" s="121"/>
      <c r="E596" s="125">
        <f>+'[5]II-B-12'!$I$97</f>
        <v>0</v>
      </c>
      <c r="F596" s="122"/>
    </row>
    <row r="597" spans="1:6" x14ac:dyDescent="0.2">
      <c r="A597" s="132">
        <v>583</v>
      </c>
      <c r="B597" s="120"/>
      <c r="C597" s="121"/>
      <c r="D597" s="121"/>
      <c r="E597" s="124"/>
      <c r="F597" s="122"/>
    </row>
    <row r="598" spans="1:6" ht="13.5" thickBot="1" x14ac:dyDescent="0.25">
      <c r="A598" s="132">
        <v>584</v>
      </c>
      <c r="B598" s="126" t="str">
        <f>CONCATENATE(MID(B595,1,4)," - Adjustment")</f>
        <v>A254 - Adjustment</v>
      </c>
      <c r="C598" s="121"/>
      <c r="D598" s="121"/>
      <c r="E598" s="133">
        <f>+E596-E595</f>
        <v>9288108.3300000001</v>
      </c>
      <c r="F598" s="127"/>
    </row>
    <row r="599" spans="1:6" ht="13.5" thickTop="1" x14ac:dyDescent="0.2">
      <c r="A599" s="132">
        <v>585</v>
      </c>
      <c r="B599" s="128"/>
      <c r="C599" s="129"/>
      <c r="D599" s="129"/>
      <c r="E599" s="129"/>
      <c r="F599" s="130"/>
    </row>
    <row r="600" spans="1:6" x14ac:dyDescent="0.2">
      <c r="A600" s="132">
        <v>586</v>
      </c>
    </row>
    <row r="601" spans="1:6" x14ac:dyDescent="0.2">
      <c r="A601" s="132">
        <v>587</v>
      </c>
      <c r="B601" s="131" t="s">
        <v>124</v>
      </c>
      <c r="C601" s="117" t="s">
        <v>78</v>
      </c>
      <c r="D601" s="118"/>
      <c r="E601" s="118"/>
      <c r="F601" s="119" t="s">
        <v>83</v>
      </c>
    </row>
    <row r="602" spans="1:6" x14ac:dyDescent="0.2">
      <c r="A602" s="132">
        <v>588</v>
      </c>
      <c r="B602" s="120"/>
      <c r="C602" s="121"/>
      <c r="D602" s="121"/>
      <c r="E602" s="121"/>
      <c r="F602" s="122"/>
    </row>
    <row r="603" spans="1:6" x14ac:dyDescent="0.2">
      <c r="A603" s="132">
        <v>589</v>
      </c>
      <c r="B603" s="123" t="s">
        <v>447</v>
      </c>
      <c r="C603" s="121"/>
      <c r="D603" s="121"/>
      <c r="E603" s="124">
        <f>+'[4]II-E-3.5'!$G$18</f>
        <v>44229087.270000003</v>
      </c>
      <c r="F603" s="122"/>
    </row>
    <row r="604" spans="1:6" x14ac:dyDescent="0.2">
      <c r="A604" s="132">
        <v>590</v>
      </c>
      <c r="B604" s="123" t="s">
        <v>448</v>
      </c>
      <c r="C604" s="121"/>
      <c r="D604" s="121"/>
      <c r="E604" s="125">
        <f>+'[4]II-E-3.5'!$I$18</f>
        <v>0</v>
      </c>
      <c r="F604" s="122"/>
    </row>
    <row r="605" spans="1:6" x14ac:dyDescent="0.2">
      <c r="A605" s="132">
        <v>591</v>
      </c>
      <c r="B605" s="120"/>
      <c r="C605" s="121"/>
      <c r="D605" s="121"/>
      <c r="E605" s="124"/>
      <c r="F605" s="122"/>
    </row>
    <row r="606" spans="1:6" ht="13.5" thickBot="1" x14ac:dyDescent="0.25">
      <c r="A606" s="132">
        <v>592</v>
      </c>
      <c r="B606" s="126" t="str">
        <f>CONCATENATE(MID(B603,1,4)," - Adjustment")</f>
        <v>A282 - Adjustment</v>
      </c>
      <c r="C606" s="121"/>
      <c r="D606" s="121"/>
      <c r="E606" s="133">
        <f>+E604-E603</f>
        <v>-44229087.270000003</v>
      </c>
      <c r="F606" s="127"/>
    </row>
    <row r="607" spans="1:6" ht="13.5" thickTop="1" x14ac:dyDescent="0.2">
      <c r="A607" s="132">
        <v>593</v>
      </c>
      <c r="B607" s="128"/>
      <c r="C607" s="129"/>
      <c r="D607" s="129"/>
      <c r="E607" s="129"/>
      <c r="F607" s="130"/>
    </row>
    <row r="608" spans="1:6" x14ac:dyDescent="0.2">
      <c r="A608" s="132">
        <v>594</v>
      </c>
    </row>
    <row r="609" spans="1:6" x14ac:dyDescent="0.2">
      <c r="A609" s="132">
        <v>595</v>
      </c>
      <c r="B609" s="131" t="s">
        <v>124</v>
      </c>
      <c r="C609" s="117" t="s">
        <v>78</v>
      </c>
      <c r="D609" s="118"/>
      <c r="E609" s="118"/>
      <c r="F609" s="119" t="s">
        <v>83</v>
      </c>
    </row>
    <row r="610" spans="1:6" x14ac:dyDescent="0.2">
      <c r="A610" s="132">
        <v>596</v>
      </c>
      <c r="B610" s="120"/>
      <c r="C610" s="121"/>
      <c r="D610" s="121"/>
      <c r="E610" s="121"/>
      <c r="F610" s="122"/>
    </row>
    <row r="611" spans="1:6" x14ac:dyDescent="0.2">
      <c r="A611" s="132">
        <v>597</v>
      </c>
      <c r="B611" s="123" t="s">
        <v>125</v>
      </c>
      <c r="C611" s="121"/>
      <c r="D611" s="121"/>
      <c r="E611" s="124">
        <f>+'[4]II-E-3.5'!$G$19</f>
        <v>43566659.75</v>
      </c>
      <c r="F611" s="122"/>
    </row>
    <row r="612" spans="1:6" x14ac:dyDescent="0.2">
      <c r="A612" s="132">
        <v>598</v>
      </c>
      <c r="B612" s="123" t="s">
        <v>126</v>
      </c>
      <c r="C612" s="121"/>
      <c r="D612" s="121"/>
      <c r="E612" s="125">
        <f>+'[4]II-E-3.5'!$I$19</f>
        <v>0</v>
      </c>
      <c r="F612" s="122"/>
    </row>
    <row r="613" spans="1:6" x14ac:dyDescent="0.2">
      <c r="A613" s="132">
        <v>599</v>
      </c>
      <c r="B613" s="120"/>
      <c r="C613" s="121"/>
      <c r="D613" s="121"/>
      <c r="E613" s="124"/>
      <c r="F613" s="122"/>
    </row>
    <row r="614" spans="1:6" ht="13.5" thickBot="1" x14ac:dyDescent="0.25">
      <c r="A614" s="132">
        <v>600</v>
      </c>
      <c r="B614" s="126" t="str">
        <f>CONCATENATE(MID(B611,1,4)," - Adjustment")</f>
        <v>A282 - Adjustment</v>
      </c>
      <c r="C614" s="121"/>
      <c r="D614" s="121"/>
      <c r="E614" s="133">
        <f>+E612-E611</f>
        <v>-43566659.75</v>
      </c>
      <c r="F614" s="127"/>
    </row>
    <row r="615" spans="1:6" ht="13.5" thickTop="1" x14ac:dyDescent="0.2">
      <c r="A615" s="132">
        <v>601</v>
      </c>
      <c r="B615" s="128"/>
      <c r="C615" s="129"/>
      <c r="D615" s="129"/>
      <c r="E615" s="129"/>
      <c r="F615" s="130"/>
    </row>
    <row r="616" spans="1:6" x14ac:dyDescent="0.2">
      <c r="A616" s="132">
        <v>602</v>
      </c>
    </row>
    <row r="617" spans="1:6" x14ac:dyDescent="0.2">
      <c r="A617" s="132">
        <v>603</v>
      </c>
      <c r="B617" s="131" t="s">
        <v>124</v>
      </c>
      <c r="C617" s="117" t="s">
        <v>78</v>
      </c>
      <c r="D617" s="118"/>
      <c r="E617" s="118"/>
      <c r="F617" s="119" t="s">
        <v>83</v>
      </c>
    </row>
    <row r="618" spans="1:6" x14ac:dyDescent="0.2">
      <c r="A618" s="132">
        <v>604</v>
      </c>
      <c r="B618" s="120"/>
      <c r="C618" s="121"/>
      <c r="D618" s="121"/>
      <c r="E618" s="121"/>
      <c r="F618" s="122"/>
    </row>
    <row r="619" spans="1:6" x14ac:dyDescent="0.2">
      <c r="A619" s="132">
        <v>605</v>
      </c>
      <c r="B619" s="123" t="s">
        <v>127</v>
      </c>
      <c r="C619" s="121"/>
      <c r="D619" s="121"/>
      <c r="E619" s="124">
        <f>+'[4]II-E-3.5'!$G$20</f>
        <v>8476771.2699999996</v>
      </c>
      <c r="F619" s="122"/>
    </row>
    <row r="620" spans="1:6" x14ac:dyDescent="0.2">
      <c r="A620" s="132">
        <v>606</v>
      </c>
      <c r="B620" s="123" t="s">
        <v>128</v>
      </c>
      <c r="C620" s="121"/>
      <c r="D620" s="121"/>
      <c r="E620" s="125">
        <f>+'[4]II-E-3.5'!$I$20</f>
        <v>0</v>
      </c>
      <c r="F620" s="122"/>
    </row>
    <row r="621" spans="1:6" x14ac:dyDescent="0.2">
      <c r="A621" s="132">
        <v>607</v>
      </c>
      <c r="B621" s="120"/>
      <c r="C621" s="121"/>
      <c r="D621" s="121"/>
      <c r="E621" s="124"/>
      <c r="F621" s="122"/>
    </row>
    <row r="622" spans="1:6" ht="13.5" thickBot="1" x14ac:dyDescent="0.25">
      <c r="A622" s="132">
        <v>608</v>
      </c>
      <c r="B622" s="126" t="str">
        <f>CONCATENATE(MID(B619,1,4)," - Adjustment")</f>
        <v>A282 - Adjustment</v>
      </c>
      <c r="C622" s="121"/>
      <c r="D622" s="121"/>
      <c r="E622" s="133">
        <f>+E620-E619</f>
        <v>-8476771.2699999996</v>
      </c>
      <c r="F622" s="127"/>
    </row>
    <row r="623" spans="1:6" ht="13.5" thickTop="1" x14ac:dyDescent="0.2">
      <c r="A623" s="132">
        <v>609</v>
      </c>
      <c r="B623" s="128"/>
      <c r="C623" s="129"/>
      <c r="D623" s="129"/>
      <c r="E623" s="129"/>
      <c r="F623" s="130"/>
    </row>
    <row r="624" spans="1:6" x14ac:dyDescent="0.2">
      <c r="A624" s="132">
        <v>610</v>
      </c>
    </row>
    <row r="625" spans="1:6" x14ac:dyDescent="0.2">
      <c r="A625" s="132">
        <v>611</v>
      </c>
      <c r="B625" s="131" t="s">
        <v>124</v>
      </c>
      <c r="C625" s="117" t="s">
        <v>78</v>
      </c>
      <c r="D625" s="118"/>
      <c r="E625" s="118"/>
      <c r="F625" s="119" t="s">
        <v>83</v>
      </c>
    </row>
    <row r="626" spans="1:6" x14ac:dyDescent="0.2">
      <c r="A626" s="132">
        <v>612</v>
      </c>
      <c r="B626" s="120"/>
      <c r="C626" s="121"/>
      <c r="D626" s="121"/>
      <c r="E626" s="121"/>
      <c r="F626" s="122"/>
    </row>
    <row r="627" spans="1:6" x14ac:dyDescent="0.2">
      <c r="A627" s="132">
        <v>613</v>
      </c>
      <c r="B627" s="123" t="s">
        <v>449</v>
      </c>
      <c r="C627" s="121"/>
      <c r="D627" s="121"/>
      <c r="E627" s="124">
        <f>+'[4]II-E-3.5'!$G$24</f>
        <v>165059421.63000005</v>
      </c>
      <c r="F627" s="122"/>
    </row>
    <row r="628" spans="1:6" x14ac:dyDescent="0.2">
      <c r="A628" s="132">
        <v>614</v>
      </c>
      <c r="B628" s="123" t="s">
        <v>450</v>
      </c>
      <c r="C628" s="121"/>
      <c r="D628" s="121"/>
      <c r="E628" s="125">
        <f>+'[4]II-E-3.5'!$I$24</f>
        <v>163768384.30000004</v>
      </c>
      <c r="F628" s="122"/>
    </row>
    <row r="629" spans="1:6" x14ac:dyDescent="0.2">
      <c r="A629" s="132">
        <v>615</v>
      </c>
      <c r="B629" s="120"/>
      <c r="C629" s="121"/>
      <c r="D629" s="121"/>
      <c r="E629" s="124"/>
      <c r="F629" s="122"/>
    </row>
    <row r="630" spans="1:6" ht="13.5" thickBot="1" x14ac:dyDescent="0.25">
      <c r="A630" s="132">
        <v>616</v>
      </c>
      <c r="B630" s="126" t="str">
        <f>CONCATENATE(MID(B627,1,4)," - Adjustment")</f>
        <v>A282 - Adjustment</v>
      </c>
      <c r="C630" s="121"/>
      <c r="D630" s="121"/>
      <c r="E630" s="133">
        <f>+E628-E627</f>
        <v>-1291037.3300000131</v>
      </c>
      <c r="F630" s="127"/>
    </row>
    <row r="631" spans="1:6" ht="13.5" thickTop="1" x14ac:dyDescent="0.2">
      <c r="A631" s="132">
        <v>617</v>
      </c>
      <c r="B631" s="128"/>
      <c r="C631" s="129"/>
      <c r="D631" s="129"/>
      <c r="E631" s="129"/>
      <c r="F631" s="130"/>
    </row>
    <row r="632" spans="1:6" x14ac:dyDescent="0.2">
      <c r="A632" s="132">
        <v>618</v>
      </c>
    </row>
    <row r="633" spans="1:6" x14ac:dyDescent="0.2">
      <c r="A633" s="132">
        <v>619</v>
      </c>
      <c r="B633" s="131" t="s">
        <v>124</v>
      </c>
      <c r="C633" s="117" t="s">
        <v>78</v>
      </c>
      <c r="D633" s="118"/>
      <c r="E633" s="118"/>
      <c r="F633" s="119" t="s">
        <v>83</v>
      </c>
    </row>
    <row r="634" spans="1:6" x14ac:dyDescent="0.2">
      <c r="A634" s="132">
        <v>620</v>
      </c>
      <c r="B634" s="120"/>
      <c r="C634" s="121"/>
      <c r="D634" s="121"/>
      <c r="E634" s="121"/>
      <c r="F634" s="122"/>
    </row>
    <row r="635" spans="1:6" x14ac:dyDescent="0.2">
      <c r="A635" s="132">
        <v>621</v>
      </c>
      <c r="B635" s="123" t="s">
        <v>129</v>
      </c>
      <c r="C635" s="121"/>
      <c r="D635" s="121"/>
      <c r="E635" s="124">
        <f>+'[4]II-E-3.5'!$G$28</f>
        <v>3178056736.25</v>
      </c>
      <c r="F635" s="122"/>
    </row>
    <row r="636" spans="1:6" x14ac:dyDescent="0.2">
      <c r="A636" s="132">
        <v>622</v>
      </c>
      <c r="B636" s="123" t="s">
        <v>130</v>
      </c>
      <c r="C636" s="121"/>
      <c r="D636" s="121"/>
      <c r="E636" s="125">
        <f>+'[4]II-E-3.5'!$I$28</f>
        <v>3177765769.8499999</v>
      </c>
      <c r="F636" s="122"/>
    </row>
    <row r="637" spans="1:6" x14ac:dyDescent="0.2">
      <c r="A637" s="132">
        <v>623</v>
      </c>
      <c r="B637" s="120"/>
      <c r="C637" s="121"/>
      <c r="D637" s="121"/>
      <c r="E637" s="124"/>
      <c r="F637" s="122"/>
    </row>
    <row r="638" spans="1:6" ht="13.5" thickBot="1" x14ac:dyDescent="0.25">
      <c r="A638" s="132">
        <v>624</v>
      </c>
      <c r="B638" s="126" t="str">
        <f>CONCATENATE(MID(B635,1,4)," - Adjustment")</f>
        <v>A282 - Adjustment</v>
      </c>
      <c r="C638" s="121"/>
      <c r="D638" s="121"/>
      <c r="E638" s="133">
        <f>+E636-E635</f>
        <v>-290966.40000009537</v>
      </c>
      <c r="F638" s="127"/>
    </row>
    <row r="639" spans="1:6" ht="13.5" thickTop="1" x14ac:dyDescent="0.2">
      <c r="A639" s="132">
        <v>625</v>
      </c>
      <c r="B639" s="128"/>
      <c r="C639" s="129"/>
      <c r="D639" s="129"/>
      <c r="E639" s="129"/>
      <c r="F639" s="130"/>
    </row>
    <row r="640" spans="1:6" x14ac:dyDescent="0.2">
      <c r="A640" s="132">
        <v>626</v>
      </c>
    </row>
    <row r="641" spans="1:6" x14ac:dyDescent="0.2">
      <c r="A641" s="132">
        <v>627</v>
      </c>
      <c r="B641" s="131" t="s">
        <v>124</v>
      </c>
      <c r="C641" s="117" t="s">
        <v>78</v>
      </c>
      <c r="D641" s="118"/>
      <c r="E641" s="118"/>
      <c r="F641" s="119" t="s">
        <v>83</v>
      </c>
    </row>
    <row r="642" spans="1:6" x14ac:dyDescent="0.2">
      <c r="A642" s="132">
        <v>628</v>
      </c>
      <c r="B642" s="120"/>
      <c r="C642" s="121"/>
      <c r="D642" s="121"/>
      <c r="E642" s="121"/>
      <c r="F642" s="122"/>
    </row>
    <row r="643" spans="1:6" x14ac:dyDescent="0.2">
      <c r="A643" s="132">
        <v>629</v>
      </c>
      <c r="B643" s="123" t="s">
        <v>131</v>
      </c>
      <c r="C643" s="121"/>
      <c r="D643" s="121"/>
      <c r="E643" s="124">
        <f>+'[4]II-E-3.5'!$G$40</f>
        <v>2192604.39</v>
      </c>
      <c r="F643" s="122"/>
    </row>
    <row r="644" spans="1:6" x14ac:dyDescent="0.2">
      <c r="A644" s="132">
        <v>630</v>
      </c>
      <c r="B644" s="123" t="s">
        <v>132</v>
      </c>
      <c r="C644" s="121"/>
      <c r="D644" s="121"/>
      <c r="E644" s="125">
        <f>+'[4]II-E-3.5'!$I$40</f>
        <v>2198170.1</v>
      </c>
      <c r="F644" s="122"/>
    </row>
    <row r="645" spans="1:6" x14ac:dyDescent="0.2">
      <c r="A645" s="132">
        <v>631</v>
      </c>
      <c r="B645" s="120"/>
      <c r="C645" s="121"/>
      <c r="D645" s="121"/>
      <c r="E645" s="124"/>
      <c r="F645" s="122"/>
    </row>
    <row r="646" spans="1:6" ht="13.5" thickBot="1" x14ac:dyDescent="0.25">
      <c r="A646" s="132">
        <v>632</v>
      </c>
      <c r="B646" s="126" t="str">
        <f>CONCATENATE(MID(B643,1,4)," - Adjustment")</f>
        <v>A283 - Adjustment</v>
      </c>
      <c r="C646" s="121"/>
      <c r="D646" s="121"/>
      <c r="E646" s="133">
        <f>+E644-E643</f>
        <v>5565.7099999999627</v>
      </c>
      <c r="F646" s="127"/>
    </row>
    <row r="647" spans="1:6" ht="13.5" thickTop="1" x14ac:dyDescent="0.2">
      <c r="A647" s="132">
        <v>633</v>
      </c>
      <c r="B647" s="128"/>
      <c r="C647" s="129"/>
      <c r="D647" s="129"/>
      <c r="E647" s="129"/>
      <c r="F647" s="130"/>
    </row>
    <row r="648" spans="1:6" x14ac:dyDescent="0.2">
      <c r="A648" s="132">
        <v>634</v>
      </c>
    </row>
    <row r="649" spans="1:6" x14ac:dyDescent="0.2">
      <c r="A649" s="132">
        <v>635</v>
      </c>
      <c r="B649" s="131" t="s">
        <v>124</v>
      </c>
      <c r="C649" s="117" t="s">
        <v>78</v>
      </c>
      <c r="D649" s="118"/>
      <c r="E649" s="118"/>
      <c r="F649" s="119" t="s">
        <v>83</v>
      </c>
    </row>
    <row r="650" spans="1:6" x14ac:dyDescent="0.2">
      <c r="A650" s="132">
        <v>636</v>
      </c>
      <c r="B650" s="120"/>
      <c r="C650" s="121"/>
      <c r="D650" s="121"/>
      <c r="E650" s="121"/>
      <c r="F650" s="122"/>
    </row>
    <row r="651" spans="1:6" x14ac:dyDescent="0.2">
      <c r="A651" s="132">
        <v>637</v>
      </c>
      <c r="B651" s="123" t="s">
        <v>451</v>
      </c>
      <c r="C651" s="121"/>
      <c r="D651" s="121"/>
      <c r="E651" s="124">
        <f>+'[4]II-E-3.5'!$G$41</f>
        <v>229506772.41</v>
      </c>
      <c r="F651" s="122"/>
    </row>
    <row r="652" spans="1:6" x14ac:dyDescent="0.2">
      <c r="A652" s="132">
        <v>638</v>
      </c>
      <c r="B652" s="123" t="s">
        <v>452</v>
      </c>
      <c r="C652" s="121"/>
      <c r="D652" s="121"/>
      <c r="E652" s="125">
        <f>+'[4]II-E-3.5'!$I$41</f>
        <v>229782622.84999999</v>
      </c>
      <c r="F652" s="122"/>
    </row>
    <row r="653" spans="1:6" x14ac:dyDescent="0.2">
      <c r="A653" s="132">
        <v>639</v>
      </c>
      <c r="B653" s="120"/>
      <c r="C653" s="121"/>
      <c r="D653" s="121"/>
      <c r="E653" s="124"/>
      <c r="F653" s="122"/>
    </row>
    <row r="654" spans="1:6" ht="13.5" thickBot="1" x14ac:dyDescent="0.25">
      <c r="A654" s="132">
        <v>640</v>
      </c>
      <c r="B654" s="126" t="str">
        <f>CONCATENATE(MID(B651,1,4)," - Adjustment")</f>
        <v>A283 - Adjustment</v>
      </c>
      <c r="C654" s="121"/>
      <c r="D654" s="121"/>
      <c r="E654" s="133">
        <f>+E652-E651</f>
        <v>275850.43999999762</v>
      </c>
      <c r="F654" s="127"/>
    </row>
    <row r="655" spans="1:6" ht="13.5" thickTop="1" x14ac:dyDescent="0.2">
      <c r="A655" s="132">
        <v>641</v>
      </c>
      <c r="B655" s="128"/>
      <c r="C655" s="129"/>
      <c r="D655" s="129"/>
      <c r="E655" s="129"/>
      <c r="F655" s="130"/>
    </row>
    <row r="656" spans="1:6" x14ac:dyDescent="0.2">
      <c r="A656" s="132">
        <v>642</v>
      </c>
    </row>
    <row r="657" spans="1:6" x14ac:dyDescent="0.2">
      <c r="A657" s="132">
        <v>643</v>
      </c>
      <c r="B657" s="131" t="s">
        <v>124</v>
      </c>
      <c r="C657" s="117" t="s">
        <v>78</v>
      </c>
      <c r="D657" s="118"/>
      <c r="E657" s="118"/>
      <c r="F657" s="119" t="s">
        <v>83</v>
      </c>
    </row>
    <row r="658" spans="1:6" x14ac:dyDescent="0.2">
      <c r="A658" s="132">
        <v>644</v>
      </c>
      <c r="B658" s="120"/>
      <c r="C658" s="121"/>
      <c r="D658" s="121"/>
      <c r="E658" s="121"/>
      <c r="F658" s="122"/>
    </row>
    <row r="659" spans="1:6" x14ac:dyDescent="0.2">
      <c r="A659" s="132">
        <v>645</v>
      </c>
      <c r="B659" s="123" t="s">
        <v>453</v>
      </c>
      <c r="C659" s="121"/>
      <c r="D659" s="121"/>
      <c r="E659" s="124">
        <f>+'[4]II-E-3.5'!$G$45</f>
        <v>75660.2</v>
      </c>
      <c r="F659" s="122"/>
    </row>
    <row r="660" spans="1:6" x14ac:dyDescent="0.2">
      <c r="A660" s="132">
        <v>646</v>
      </c>
      <c r="B660" s="123" t="s">
        <v>454</v>
      </c>
      <c r="C660" s="121"/>
      <c r="D660" s="121"/>
      <c r="E660" s="125">
        <f>+'[4]II-E-3.5'!$I$45</f>
        <v>146481.29999999999</v>
      </c>
      <c r="F660" s="122"/>
    </row>
    <row r="661" spans="1:6" x14ac:dyDescent="0.2">
      <c r="A661" s="132">
        <v>647</v>
      </c>
      <c r="B661" s="120"/>
      <c r="C661" s="121"/>
      <c r="D661" s="121"/>
      <c r="E661" s="124"/>
      <c r="F661" s="122"/>
    </row>
    <row r="662" spans="1:6" ht="13.5" thickBot="1" x14ac:dyDescent="0.25">
      <c r="A662" s="132">
        <v>648</v>
      </c>
      <c r="B662" s="126" t="str">
        <f>CONCATENATE(MID(B659,1,4)," - Adjustment")</f>
        <v>A283 - Adjustment</v>
      </c>
      <c r="C662" s="121"/>
      <c r="D662" s="121"/>
      <c r="E662" s="133">
        <f>+E660-E659</f>
        <v>70821.099999999991</v>
      </c>
      <c r="F662" s="127"/>
    </row>
    <row r="663" spans="1:6" ht="13.5" thickTop="1" x14ac:dyDescent="0.2">
      <c r="A663" s="132">
        <v>649</v>
      </c>
      <c r="B663" s="128"/>
      <c r="C663" s="129"/>
      <c r="D663" s="129"/>
      <c r="E663" s="129"/>
      <c r="F663" s="130"/>
    </row>
    <row r="664" spans="1:6" x14ac:dyDescent="0.2">
      <c r="A664" s="132">
        <v>650</v>
      </c>
    </row>
    <row r="665" spans="1:6" x14ac:dyDescent="0.2">
      <c r="A665" s="132">
        <v>651</v>
      </c>
      <c r="B665" s="131" t="s">
        <v>124</v>
      </c>
      <c r="C665" s="117" t="s">
        <v>78</v>
      </c>
      <c r="D665" s="118"/>
      <c r="E665" s="118"/>
      <c r="F665" s="119" t="s">
        <v>83</v>
      </c>
    </row>
    <row r="666" spans="1:6" x14ac:dyDescent="0.2">
      <c r="A666" s="132">
        <v>652</v>
      </c>
      <c r="B666" s="120"/>
      <c r="C666" s="121"/>
      <c r="D666" s="121"/>
      <c r="E666" s="121"/>
      <c r="F666" s="122"/>
    </row>
    <row r="667" spans="1:6" x14ac:dyDescent="0.2">
      <c r="A667" s="132">
        <v>653</v>
      </c>
      <c r="B667" s="123" t="s">
        <v>133</v>
      </c>
      <c r="C667" s="121"/>
      <c r="D667" s="121"/>
      <c r="E667" s="124">
        <f>+'[4]II-E-3.5'!$G$46</f>
        <v>3484398.54</v>
      </c>
      <c r="F667" s="122"/>
    </row>
    <row r="668" spans="1:6" x14ac:dyDescent="0.2">
      <c r="A668" s="132">
        <v>654</v>
      </c>
      <c r="B668" s="123" t="s">
        <v>134</v>
      </c>
      <c r="C668" s="121"/>
      <c r="D668" s="121"/>
      <c r="E668" s="125">
        <f>+'[4]II-E-3.5'!$I$46</f>
        <v>0</v>
      </c>
      <c r="F668" s="122"/>
    </row>
    <row r="669" spans="1:6" x14ac:dyDescent="0.2">
      <c r="A669" s="132">
        <v>655</v>
      </c>
      <c r="B669" s="120"/>
      <c r="C669" s="121"/>
      <c r="D669" s="121"/>
      <c r="E669" s="124"/>
      <c r="F669" s="122"/>
    </row>
    <row r="670" spans="1:6" ht="13.5" thickBot="1" x14ac:dyDescent="0.25">
      <c r="A670" s="132">
        <v>656</v>
      </c>
      <c r="B670" s="126" t="str">
        <f>CONCATENATE(MID(B667,1,4)," - Adjustment")</f>
        <v>A283 - Adjustment</v>
      </c>
      <c r="C670" s="121"/>
      <c r="D670" s="121"/>
      <c r="E670" s="133">
        <f>+E668-E667</f>
        <v>-3484398.54</v>
      </c>
      <c r="F670" s="127"/>
    </row>
    <row r="671" spans="1:6" ht="13.5" thickTop="1" x14ac:dyDescent="0.2">
      <c r="A671" s="132">
        <v>657</v>
      </c>
      <c r="B671" s="128"/>
      <c r="C671" s="129"/>
      <c r="D671" s="129"/>
      <c r="E671" s="129"/>
      <c r="F671" s="130"/>
    </row>
    <row r="672" spans="1:6" x14ac:dyDescent="0.2">
      <c r="A672" s="132">
        <v>658</v>
      </c>
    </row>
    <row r="673" spans="1:6" x14ac:dyDescent="0.2">
      <c r="A673" s="132">
        <v>659</v>
      </c>
      <c r="B673" s="131" t="s">
        <v>124</v>
      </c>
      <c r="C673" s="117" t="s">
        <v>78</v>
      </c>
      <c r="D673" s="118"/>
      <c r="E673" s="118"/>
      <c r="F673" s="119" t="s">
        <v>83</v>
      </c>
    </row>
    <row r="674" spans="1:6" x14ac:dyDescent="0.2">
      <c r="A674" s="132">
        <v>660</v>
      </c>
      <c r="B674" s="120"/>
      <c r="C674" s="121"/>
      <c r="D674" s="121"/>
      <c r="E674" s="121"/>
      <c r="F674" s="122"/>
    </row>
    <row r="675" spans="1:6" x14ac:dyDescent="0.2">
      <c r="A675" s="132">
        <v>661</v>
      </c>
      <c r="B675" s="123" t="s">
        <v>455</v>
      </c>
      <c r="C675" s="121"/>
      <c r="D675" s="121"/>
      <c r="E675" s="124">
        <f>+'[4]II-E-3.5'!$G$47</f>
        <v>341366</v>
      </c>
      <c r="F675" s="122"/>
    </row>
    <row r="676" spans="1:6" x14ac:dyDescent="0.2">
      <c r="A676" s="132">
        <v>662</v>
      </c>
      <c r="B676" s="123" t="s">
        <v>456</v>
      </c>
      <c r="C676" s="121"/>
      <c r="D676" s="121"/>
      <c r="E676" s="125">
        <f>+'[4]II-E-3.5'!$I$47</f>
        <v>0</v>
      </c>
      <c r="F676" s="122"/>
    </row>
    <row r="677" spans="1:6" x14ac:dyDescent="0.2">
      <c r="A677" s="132">
        <v>663</v>
      </c>
      <c r="B677" s="120"/>
      <c r="C677" s="121"/>
      <c r="D677" s="121"/>
      <c r="E677" s="124"/>
      <c r="F677" s="122"/>
    </row>
    <row r="678" spans="1:6" ht="13.5" thickBot="1" x14ac:dyDescent="0.25">
      <c r="A678" s="132">
        <v>664</v>
      </c>
      <c r="B678" s="126" t="str">
        <f>CONCATENATE(MID(B675,1,4)," - Adjustment")</f>
        <v>A283 - Adjustment</v>
      </c>
      <c r="C678" s="121"/>
      <c r="D678" s="121"/>
      <c r="E678" s="133">
        <f>+E676-E675</f>
        <v>-341366</v>
      </c>
      <c r="F678" s="127"/>
    </row>
    <row r="679" spans="1:6" ht="13.5" thickTop="1" x14ac:dyDescent="0.2">
      <c r="A679" s="132">
        <v>665</v>
      </c>
      <c r="B679" s="128"/>
      <c r="C679" s="129"/>
      <c r="D679" s="129"/>
      <c r="E679" s="129"/>
      <c r="F679" s="130"/>
    </row>
    <row r="680" spans="1:6" x14ac:dyDescent="0.2">
      <c r="A680" s="132">
        <v>666</v>
      </c>
    </row>
    <row r="681" spans="1:6" x14ac:dyDescent="0.2">
      <c r="A681" s="132">
        <v>667</v>
      </c>
      <c r="B681" s="131" t="s">
        <v>124</v>
      </c>
      <c r="C681" s="117" t="s">
        <v>78</v>
      </c>
      <c r="D681" s="118"/>
      <c r="E681" s="118"/>
      <c r="F681" s="119" t="s">
        <v>83</v>
      </c>
    </row>
    <row r="682" spans="1:6" x14ac:dyDescent="0.2">
      <c r="A682" s="132">
        <v>668</v>
      </c>
      <c r="B682" s="120"/>
      <c r="C682" s="121"/>
      <c r="D682" s="121"/>
      <c r="E682" s="121"/>
      <c r="F682" s="122"/>
    </row>
    <row r="683" spans="1:6" x14ac:dyDescent="0.2">
      <c r="A683" s="132">
        <v>669</v>
      </c>
      <c r="B683" s="123" t="s">
        <v>135</v>
      </c>
      <c r="C683" s="121"/>
      <c r="D683" s="121"/>
      <c r="E683" s="124">
        <f>+'[4]II-E-3.5'!$G$51</f>
        <v>1636485.86</v>
      </c>
      <c r="F683" s="122"/>
    </row>
    <row r="684" spans="1:6" x14ac:dyDescent="0.2">
      <c r="A684" s="132">
        <v>670</v>
      </c>
      <c r="B684" s="123" t="s">
        <v>136</v>
      </c>
      <c r="C684" s="121"/>
      <c r="D684" s="121"/>
      <c r="E684" s="125">
        <f>+'[4]II-E-3.5'!$I$51</f>
        <v>1657593.2300000002</v>
      </c>
      <c r="F684" s="122"/>
    </row>
    <row r="685" spans="1:6" x14ac:dyDescent="0.2">
      <c r="A685" s="132">
        <v>671</v>
      </c>
      <c r="B685" s="120"/>
      <c r="C685" s="121"/>
      <c r="D685" s="121"/>
      <c r="E685" s="124"/>
      <c r="F685" s="122"/>
    </row>
    <row r="686" spans="1:6" ht="13.5" thickBot="1" x14ac:dyDescent="0.25">
      <c r="A686" s="132">
        <v>672</v>
      </c>
      <c r="B686" s="126" t="str">
        <f>CONCATENATE(MID(B683,1,4)," - Adjustment")</f>
        <v>A283 - Adjustment</v>
      </c>
      <c r="C686" s="121"/>
      <c r="D686" s="121"/>
      <c r="E686" s="133">
        <f>+E684-E683</f>
        <v>21107.370000000112</v>
      </c>
      <c r="F686" s="127"/>
    </row>
    <row r="687" spans="1:6" ht="13.5" thickTop="1" x14ac:dyDescent="0.2">
      <c r="A687" s="132">
        <v>673</v>
      </c>
      <c r="B687" s="128"/>
      <c r="C687" s="129"/>
      <c r="D687" s="129"/>
      <c r="E687" s="129"/>
      <c r="F687" s="130"/>
    </row>
    <row r="688" spans="1:6" x14ac:dyDescent="0.2">
      <c r="A688" s="132">
        <v>674</v>
      </c>
    </row>
    <row r="689" spans="1:6" x14ac:dyDescent="0.2">
      <c r="A689" s="132">
        <v>675</v>
      </c>
      <c r="B689" s="131" t="s">
        <v>124</v>
      </c>
      <c r="C689" s="117" t="s">
        <v>78</v>
      </c>
      <c r="D689" s="118"/>
      <c r="E689" s="118"/>
      <c r="F689" s="119" t="s">
        <v>83</v>
      </c>
    </row>
    <row r="690" spans="1:6" x14ac:dyDescent="0.2">
      <c r="A690" s="132">
        <v>676</v>
      </c>
      <c r="B690" s="120"/>
      <c r="C690" s="121"/>
      <c r="D690" s="121"/>
      <c r="E690" s="121"/>
      <c r="F690" s="122"/>
    </row>
    <row r="691" spans="1:6" x14ac:dyDescent="0.2">
      <c r="A691" s="132">
        <v>677</v>
      </c>
      <c r="B691" s="123" t="s">
        <v>457</v>
      </c>
      <c r="C691" s="121"/>
      <c r="D691" s="121"/>
      <c r="E691" s="124">
        <f>+'[4]II-E-3.5'!$G$58</f>
        <v>152663.72</v>
      </c>
      <c r="F691" s="122"/>
    </row>
    <row r="692" spans="1:6" x14ac:dyDescent="0.2">
      <c r="A692" s="132">
        <v>678</v>
      </c>
      <c r="B692" s="123" t="s">
        <v>458</v>
      </c>
      <c r="C692" s="121"/>
      <c r="D692" s="121"/>
      <c r="E692" s="125">
        <f>+'[4]II-E-3.5'!$I$58</f>
        <v>152716.09</v>
      </c>
      <c r="F692" s="122"/>
    </row>
    <row r="693" spans="1:6" x14ac:dyDescent="0.2">
      <c r="A693" s="132">
        <v>679</v>
      </c>
      <c r="B693" s="120"/>
      <c r="C693" s="121"/>
      <c r="D693" s="121"/>
      <c r="E693" s="124"/>
      <c r="F693" s="122"/>
    </row>
    <row r="694" spans="1:6" ht="13.5" thickBot="1" x14ac:dyDescent="0.25">
      <c r="A694" s="132">
        <v>680</v>
      </c>
      <c r="B694" s="126" t="str">
        <f>CONCATENATE(MID(B691,1,4)," - Adjustment")</f>
        <v>A283 - Adjustment</v>
      </c>
      <c r="C694" s="121"/>
      <c r="D694" s="121"/>
      <c r="E694" s="133">
        <f>+E692-E691</f>
        <v>52.369999999995343</v>
      </c>
      <c r="F694" s="127"/>
    </row>
    <row r="695" spans="1:6" ht="13.5" thickTop="1" x14ac:dyDescent="0.2">
      <c r="A695" s="132">
        <v>681</v>
      </c>
      <c r="B695" s="128"/>
      <c r="C695" s="129"/>
      <c r="D695" s="129"/>
      <c r="E695" s="129"/>
      <c r="F695" s="130"/>
    </row>
    <row r="696" spans="1:6" x14ac:dyDescent="0.2">
      <c r="A696" s="132">
        <v>682</v>
      </c>
    </row>
    <row r="697" spans="1:6" x14ac:dyDescent="0.2">
      <c r="A697" s="132">
        <v>683</v>
      </c>
      <c r="B697" s="131" t="s">
        <v>124</v>
      </c>
      <c r="C697" s="117" t="s">
        <v>78</v>
      </c>
      <c r="D697" s="118"/>
      <c r="E697" s="118"/>
      <c r="F697" s="119" t="s">
        <v>83</v>
      </c>
    </row>
    <row r="698" spans="1:6" x14ac:dyDescent="0.2">
      <c r="A698" s="132">
        <v>684</v>
      </c>
      <c r="B698" s="120"/>
      <c r="C698" s="121"/>
      <c r="D698" s="121"/>
      <c r="E698" s="121"/>
      <c r="F698" s="122"/>
    </row>
    <row r="699" spans="1:6" x14ac:dyDescent="0.2">
      <c r="A699" s="132">
        <v>685</v>
      </c>
      <c r="B699" s="123" t="s">
        <v>137</v>
      </c>
      <c r="C699" s="121"/>
      <c r="D699" s="121"/>
      <c r="E699" s="124">
        <f>+'[4]II-E-3.5'!$G$59</f>
        <v>1766887.01</v>
      </c>
      <c r="F699" s="122"/>
    </row>
    <row r="700" spans="1:6" x14ac:dyDescent="0.2">
      <c r="A700" s="132">
        <v>686</v>
      </c>
      <c r="B700" s="123" t="s">
        <v>138</v>
      </c>
      <c r="C700" s="121"/>
      <c r="D700" s="121"/>
      <c r="E700" s="125">
        <f>+'[4]II-E-3.5'!$I$59</f>
        <v>0</v>
      </c>
      <c r="F700" s="122"/>
    </row>
    <row r="701" spans="1:6" x14ac:dyDescent="0.2">
      <c r="A701" s="132">
        <v>687</v>
      </c>
      <c r="B701" s="120"/>
      <c r="C701" s="121"/>
      <c r="D701" s="121"/>
      <c r="E701" s="124"/>
      <c r="F701" s="122"/>
    </row>
    <row r="702" spans="1:6" ht="13.5" thickBot="1" x14ac:dyDescent="0.25">
      <c r="A702" s="132">
        <v>688</v>
      </c>
      <c r="B702" s="126" t="str">
        <f>CONCATENATE(MID(B699,1,4)," - Adjustment")</f>
        <v>A283 - Adjustment</v>
      </c>
      <c r="C702" s="121"/>
      <c r="D702" s="121"/>
      <c r="E702" s="133">
        <f>+E700-E699</f>
        <v>-1766887.01</v>
      </c>
      <c r="F702" s="127"/>
    </row>
    <row r="703" spans="1:6" ht="13.5" thickTop="1" x14ac:dyDescent="0.2">
      <c r="A703" s="132">
        <v>689</v>
      </c>
      <c r="B703" s="128"/>
      <c r="C703" s="129"/>
      <c r="D703" s="129"/>
      <c r="E703" s="129"/>
      <c r="F703" s="130"/>
    </row>
    <row r="704" spans="1:6" x14ac:dyDescent="0.2">
      <c r="A704" s="132">
        <v>690</v>
      </c>
    </row>
    <row r="705" spans="1:6" x14ac:dyDescent="0.2">
      <c r="A705" s="132">
        <v>691</v>
      </c>
      <c r="B705" s="131" t="s">
        <v>124</v>
      </c>
      <c r="C705" s="117" t="s">
        <v>78</v>
      </c>
      <c r="D705" s="118"/>
      <c r="E705" s="118"/>
      <c r="F705" s="119" t="s">
        <v>83</v>
      </c>
    </row>
    <row r="706" spans="1:6" x14ac:dyDescent="0.2">
      <c r="A706" s="132">
        <v>692</v>
      </c>
      <c r="B706" s="120"/>
      <c r="C706" s="121"/>
      <c r="D706" s="121"/>
      <c r="E706" s="121"/>
      <c r="F706" s="122"/>
    </row>
    <row r="707" spans="1:6" x14ac:dyDescent="0.2">
      <c r="A707" s="132">
        <v>693</v>
      </c>
      <c r="B707" s="123" t="s">
        <v>139</v>
      </c>
      <c r="C707" s="121"/>
      <c r="D707" s="121"/>
      <c r="E707" s="124">
        <f>+'[4]II-E-3.5'!$G$60</f>
        <v>13532890.859999999</v>
      </c>
      <c r="F707" s="122"/>
    </row>
    <row r="708" spans="1:6" x14ac:dyDescent="0.2">
      <c r="A708" s="132">
        <v>694</v>
      </c>
      <c r="B708" s="123" t="s">
        <v>140</v>
      </c>
      <c r="C708" s="121"/>
      <c r="D708" s="121"/>
      <c r="E708" s="125">
        <f>+'[4]II-E-3.5'!$I$60</f>
        <v>0</v>
      </c>
      <c r="F708" s="122"/>
    </row>
    <row r="709" spans="1:6" x14ac:dyDescent="0.2">
      <c r="A709" s="132">
        <v>695</v>
      </c>
      <c r="B709" s="120"/>
      <c r="C709" s="121"/>
      <c r="D709" s="121"/>
      <c r="E709" s="124"/>
      <c r="F709" s="122"/>
    </row>
    <row r="710" spans="1:6" ht="13.5" thickBot="1" x14ac:dyDescent="0.25">
      <c r="A710" s="132">
        <v>696</v>
      </c>
      <c r="B710" s="126" t="str">
        <f>CONCATENATE(MID(B707,1,4)," - Adjustment")</f>
        <v>A283 - Adjustment</v>
      </c>
      <c r="C710" s="121"/>
      <c r="D710" s="121"/>
      <c r="E710" s="133">
        <f>+E708-E707</f>
        <v>-13532890.859999999</v>
      </c>
      <c r="F710" s="127"/>
    </row>
    <row r="711" spans="1:6" ht="13.5" thickTop="1" x14ac:dyDescent="0.2">
      <c r="A711" s="132">
        <v>697</v>
      </c>
      <c r="B711" s="128"/>
      <c r="C711" s="129"/>
      <c r="D711" s="129"/>
      <c r="E711" s="129"/>
      <c r="F711" s="130"/>
    </row>
    <row r="712" spans="1:6" x14ac:dyDescent="0.2">
      <c r="A712" s="132">
        <v>698</v>
      </c>
    </row>
    <row r="713" spans="1:6" x14ac:dyDescent="0.2">
      <c r="A713" s="132">
        <v>699</v>
      </c>
      <c r="B713" s="131" t="s">
        <v>124</v>
      </c>
      <c r="C713" s="117" t="s">
        <v>78</v>
      </c>
      <c r="D713" s="118"/>
      <c r="E713" s="118"/>
      <c r="F713" s="119" t="s">
        <v>83</v>
      </c>
    </row>
    <row r="714" spans="1:6" x14ac:dyDescent="0.2">
      <c r="A714" s="132">
        <v>700</v>
      </c>
      <c r="B714" s="120"/>
      <c r="C714" s="121"/>
      <c r="D714" s="121"/>
      <c r="E714" s="121"/>
      <c r="F714" s="122"/>
    </row>
    <row r="715" spans="1:6" x14ac:dyDescent="0.2">
      <c r="A715" s="132">
        <v>701</v>
      </c>
      <c r="B715" s="123" t="s">
        <v>141</v>
      </c>
      <c r="C715" s="121"/>
      <c r="D715" s="121"/>
      <c r="E715" s="124">
        <f>+'[4]II-E-3.5'!$G$65</f>
        <v>44229087.270000003</v>
      </c>
      <c r="F715" s="122"/>
    </row>
    <row r="716" spans="1:6" x14ac:dyDescent="0.2">
      <c r="A716" s="132">
        <v>702</v>
      </c>
      <c r="B716" s="123" t="s">
        <v>142</v>
      </c>
      <c r="C716" s="121"/>
      <c r="D716" s="121"/>
      <c r="E716" s="125">
        <f>+'[4]II-E-3.5'!$I$65</f>
        <v>0</v>
      </c>
      <c r="F716" s="122"/>
    </row>
    <row r="717" spans="1:6" x14ac:dyDescent="0.2">
      <c r="A717" s="132">
        <v>703</v>
      </c>
      <c r="B717" s="120"/>
      <c r="C717" s="121"/>
      <c r="D717" s="121"/>
      <c r="E717" s="124"/>
      <c r="F717" s="122"/>
    </row>
    <row r="718" spans="1:6" ht="13.5" thickBot="1" x14ac:dyDescent="0.25">
      <c r="A718" s="132">
        <v>704</v>
      </c>
      <c r="B718" s="126" t="str">
        <f>CONCATENATE(MID(B715,1,4)," - Adjustment")</f>
        <v>A190 - Adjustment</v>
      </c>
      <c r="C718" s="121"/>
      <c r="D718" s="121"/>
      <c r="E718" s="133">
        <f>+E716-E715</f>
        <v>-44229087.270000003</v>
      </c>
      <c r="F718" s="127"/>
    </row>
    <row r="719" spans="1:6" ht="13.5" thickTop="1" x14ac:dyDescent="0.2">
      <c r="A719" s="132">
        <v>705</v>
      </c>
      <c r="B719" s="128"/>
      <c r="C719" s="129"/>
      <c r="D719" s="129"/>
      <c r="E719" s="129"/>
      <c r="F719" s="130"/>
    </row>
    <row r="720" spans="1:6" x14ac:dyDescent="0.2">
      <c r="A720" s="132">
        <v>706</v>
      </c>
    </row>
    <row r="721" spans="1:6" x14ac:dyDescent="0.2">
      <c r="A721" s="132">
        <v>707</v>
      </c>
      <c r="B721" s="131" t="s">
        <v>124</v>
      </c>
      <c r="C721" s="117" t="s">
        <v>78</v>
      </c>
      <c r="D721" s="118"/>
      <c r="E721" s="118"/>
      <c r="F721" s="119" t="s">
        <v>83</v>
      </c>
    </row>
    <row r="722" spans="1:6" x14ac:dyDescent="0.2">
      <c r="A722" s="132">
        <v>708</v>
      </c>
      <c r="B722" s="120"/>
      <c r="C722" s="121"/>
      <c r="D722" s="121"/>
      <c r="E722" s="121"/>
      <c r="F722" s="122"/>
    </row>
    <row r="723" spans="1:6" x14ac:dyDescent="0.2">
      <c r="A723" s="132">
        <v>709</v>
      </c>
      <c r="B723" s="123" t="s">
        <v>459</v>
      </c>
      <c r="C723" s="121"/>
      <c r="D723" s="121"/>
      <c r="E723" s="124">
        <f>+'[4]II-E-3.5'!$G$72</f>
        <v>16957840.43</v>
      </c>
      <c r="F723" s="122"/>
    </row>
    <row r="724" spans="1:6" x14ac:dyDescent="0.2">
      <c r="A724" s="132">
        <v>710</v>
      </c>
      <c r="B724" s="123" t="s">
        <v>460</v>
      </c>
      <c r="C724" s="121"/>
      <c r="D724" s="121"/>
      <c r="E724" s="125">
        <f>+'[4]II-E-3.5'!$I$72</f>
        <v>16396585.798999999</v>
      </c>
      <c r="F724" s="122"/>
    </row>
    <row r="725" spans="1:6" x14ac:dyDescent="0.2">
      <c r="A725" s="132">
        <v>711</v>
      </c>
      <c r="B725" s="120"/>
      <c r="C725" s="121"/>
      <c r="D725" s="121"/>
      <c r="E725" s="124"/>
      <c r="F725" s="122"/>
    </row>
    <row r="726" spans="1:6" ht="13.5" thickBot="1" x14ac:dyDescent="0.25">
      <c r="A726" s="132">
        <v>712</v>
      </c>
      <c r="B726" s="126" t="str">
        <f>CONCATENATE(MID(B723,1,4)," - Adjustment")</f>
        <v>A190 - Adjustment</v>
      </c>
      <c r="C726" s="121"/>
      <c r="D726" s="121"/>
      <c r="E726" s="133">
        <f>+E724-E723</f>
        <v>-561254.63100000098</v>
      </c>
      <c r="F726" s="127"/>
    </row>
    <row r="727" spans="1:6" ht="13.5" thickTop="1" x14ac:dyDescent="0.2">
      <c r="A727" s="132">
        <v>713</v>
      </c>
      <c r="B727" s="128"/>
      <c r="C727" s="129"/>
      <c r="D727" s="129"/>
      <c r="E727" s="129"/>
      <c r="F727" s="130"/>
    </row>
    <row r="728" spans="1:6" x14ac:dyDescent="0.2">
      <c r="A728" s="132">
        <v>714</v>
      </c>
    </row>
    <row r="729" spans="1:6" x14ac:dyDescent="0.2">
      <c r="A729" s="132">
        <v>715</v>
      </c>
      <c r="B729" s="131" t="s">
        <v>124</v>
      </c>
      <c r="C729" s="117" t="s">
        <v>78</v>
      </c>
      <c r="D729" s="118"/>
      <c r="E729" s="118"/>
      <c r="F729" s="119" t="s">
        <v>83</v>
      </c>
    </row>
    <row r="730" spans="1:6" x14ac:dyDescent="0.2">
      <c r="A730" s="132">
        <v>716</v>
      </c>
      <c r="B730" s="120"/>
      <c r="C730" s="121"/>
      <c r="D730" s="121"/>
      <c r="E730" s="121"/>
      <c r="F730" s="122"/>
    </row>
    <row r="731" spans="1:6" x14ac:dyDescent="0.2">
      <c r="A731" s="132">
        <v>717</v>
      </c>
      <c r="B731" s="123" t="s">
        <v>461</v>
      </c>
      <c r="C731" s="121"/>
      <c r="D731" s="121"/>
      <c r="E731" s="124">
        <f>+'[4]II-E-3.5'!$G$73</f>
        <v>19336684.629999999</v>
      </c>
      <c r="F731" s="122"/>
    </row>
    <row r="732" spans="1:6" x14ac:dyDescent="0.2">
      <c r="A732" s="132">
        <v>718</v>
      </c>
      <c r="B732" s="123" t="s">
        <v>462</v>
      </c>
      <c r="C732" s="121"/>
      <c r="D732" s="121"/>
      <c r="E732" s="125">
        <f>+'[4]II-E-3.5'!$I$73</f>
        <v>19229339.73</v>
      </c>
      <c r="F732" s="122"/>
    </row>
    <row r="733" spans="1:6" x14ac:dyDescent="0.2">
      <c r="A733" s="132">
        <v>719</v>
      </c>
      <c r="B733" s="120"/>
      <c r="C733" s="121"/>
      <c r="D733" s="121"/>
      <c r="E733" s="124"/>
      <c r="F733" s="122"/>
    </row>
    <row r="734" spans="1:6" ht="13.5" thickBot="1" x14ac:dyDescent="0.25">
      <c r="A734" s="132">
        <v>720</v>
      </c>
      <c r="B734" s="126" t="str">
        <f>CONCATENATE(MID(B731,1,4)," - Adjustment")</f>
        <v>A190 - Adjustment</v>
      </c>
      <c r="C734" s="121"/>
      <c r="D734" s="121"/>
      <c r="E734" s="133">
        <f>+E732-E731</f>
        <v>-107344.89999999851</v>
      </c>
      <c r="F734" s="127"/>
    </row>
    <row r="735" spans="1:6" ht="13.5" thickTop="1" x14ac:dyDescent="0.2">
      <c r="A735" s="132">
        <v>721</v>
      </c>
      <c r="B735" s="128"/>
      <c r="C735" s="129"/>
      <c r="D735" s="129"/>
      <c r="E735" s="129"/>
      <c r="F735" s="130"/>
    </row>
    <row r="736" spans="1:6" x14ac:dyDescent="0.2">
      <c r="A736" s="132">
        <v>722</v>
      </c>
    </row>
    <row r="737" spans="1:6" x14ac:dyDescent="0.2">
      <c r="A737" s="132">
        <v>723</v>
      </c>
      <c r="B737" s="131" t="s">
        <v>124</v>
      </c>
      <c r="C737" s="117" t="s">
        <v>78</v>
      </c>
      <c r="D737" s="118"/>
      <c r="E737" s="118"/>
      <c r="F737" s="119" t="s">
        <v>83</v>
      </c>
    </row>
    <row r="738" spans="1:6" x14ac:dyDescent="0.2">
      <c r="A738" s="132">
        <v>724</v>
      </c>
      <c r="B738" s="120"/>
      <c r="C738" s="121"/>
      <c r="D738" s="121"/>
      <c r="E738" s="121"/>
      <c r="F738" s="122"/>
    </row>
    <row r="739" spans="1:6" x14ac:dyDescent="0.2">
      <c r="A739" s="132">
        <v>725</v>
      </c>
      <c r="B739" s="123" t="s">
        <v>463</v>
      </c>
      <c r="C739" s="121"/>
      <c r="D739" s="121"/>
      <c r="E739" s="124">
        <f>+'[4]II-E-3.5'!$G$83</f>
        <v>9038370.5500000007</v>
      </c>
      <c r="F739" s="122"/>
    </row>
    <row r="740" spans="1:6" x14ac:dyDescent="0.2">
      <c r="A740" s="132">
        <v>726</v>
      </c>
      <c r="B740" s="123" t="s">
        <v>464</v>
      </c>
      <c r="C740" s="121"/>
      <c r="D740" s="121"/>
      <c r="E740" s="125">
        <f>+'[4]II-E-3.5'!$I$83</f>
        <v>0</v>
      </c>
      <c r="F740" s="122"/>
    </row>
    <row r="741" spans="1:6" x14ac:dyDescent="0.2">
      <c r="A741" s="132">
        <v>727</v>
      </c>
      <c r="B741" s="120"/>
      <c r="C741" s="121"/>
      <c r="D741" s="121"/>
      <c r="E741" s="124"/>
      <c r="F741" s="122"/>
    </row>
    <row r="742" spans="1:6" ht="13.5" thickBot="1" x14ac:dyDescent="0.25">
      <c r="A742" s="132">
        <v>728</v>
      </c>
      <c r="B742" s="126" t="str">
        <f>CONCATENATE(MID(B739,1,4)," - Adjustment")</f>
        <v>A190 - Adjustment</v>
      </c>
      <c r="C742" s="121"/>
      <c r="D742" s="121"/>
      <c r="E742" s="133">
        <f>+E740-E739</f>
        <v>-9038370.5500000007</v>
      </c>
      <c r="F742" s="127"/>
    </row>
    <row r="743" spans="1:6" ht="13.5" thickTop="1" x14ac:dyDescent="0.2">
      <c r="A743" s="132">
        <v>729</v>
      </c>
      <c r="B743" s="128"/>
      <c r="C743" s="129"/>
      <c r="D743" s="129"/>
      <c r="E743" s="129"/>
      <c r="F743" s="130"/>
    </row>
    <row r="744" spans="1:6" x14ac:dyDescent="0.2">
      <c r="A744" s="132">
        <v>730</v>
      </c>
    </row>
    <row r="745" spans="1:6" x14ac:dyDescent="0.2">
      <c r="A745" s="132">
        <v>731</v>
      </c>
      <c r="B745" s="131" t="s">
        <v>124</v>
      </c>
      <c r="C745" s="117" t="s">
        <v>78</v>
      </c>
      <c r="D745" s="118"/>
      <c r="E745" s="118"/>
      <c r="F745" s="119" t="s">
        <v>83</v>
      </c>
    </row>
    <row r="746" spans="1:6" x14ac:dyDescent="0.2">
      <c r="A746" s="132">
        <v>732</v>
      </c>
      <c r="B746" s="120"/>
      <c r="C746" s="121"/>
      <c r="D746" s="121"/>
      <c r="E746" s="121"/>
      <c r="F746" s="122"/>
    </row>
    <row r="747" spans="1:6" x14ac:dyDescent="0.2">
      <c r="A747" s="132">
        <v>733</v>
      </c>
      <c r="B747" s="123" t="s">
        <v>465</v>
      </c>
      <c r="C747" s="121"/>
      <c r="D747" s="121"/>
      <c r="E747" s="124">
        <f>+'[4]II-E-3.5'!$G$84</f>
        <v>12874222.91</v>
      </c>
      <c r="F747" s="122"/>
    </row>
    <row r="748" spans="1:6" x14ac:dyDescent="0.2">
      <c r="A748" s="132">
        <v>734</v>
      </c>
      <c r="B748" s="123" t="s">
        <v>466</v>
      </c>
      <c r="C748" s="121"/>
      <c r="D748" s="121"/>
      <c r="E748" s="125">
        <f>+'[4]II-E-3.5'!$I$84</f>
        <v>11523367.539999999</v>
      </c>
      <c r="F748" s="122"/>
    </row>
    <row r="749" spans="1:6" x14ac:dyDescent="0.2">
      <c r="A749" s="132">
        <v>735</v>
      </c>
      <c r="B749" s="120"/>
      <c r="C749" s="121"/>
      <c r="D749" s="121"/>
      <c r="E749" s="124"/>
      <c r="F749" s="122"/>
    </row>
    <row r="750" spans="1:6" ht="13.5" thickBot="1" x14ac:dyDescent="0.25">
      <c r="A750" s="132">
        <v>736</v>
      </c>
      <c r="B750" s="126" t="str">
        <f>CONCATENATE(MID(B747,1,4)," - Adjustment")</f>
        <v>A190 - Adjustment</v>
      </c>
      <c r="C750" s="121"/>
      <c r="D750" s="121"/>
      <c r="E750" s="133">
        <f>+E748-E747</f>
        <v>-1350855.370000001</v>
      </c>
      <c r="F750" s="127"/>
    </row>
    <row r="751" spans="1:6" ht="13.5" thickTop="1" x14ac:dyDescent="0.2">
      <c r="A751" s="132">
        <v>737</v>
      </c>
      <c r="B751" s="128"/>
      <c r="C751" s="129"/>
      <c r="D751" s="129"/>
      <c r="E751" s="129"/>
      <c r="F751" s="130"/>
    </row>
    <row r="752" spans="1:6" x14ac:dyDescent="0.2">
      <c r="A752" s="132">
        <v>738</v>
      </c>
    </row>
    <row r="753" spans="1:6" x14ac:dyDescent="0.2">
      <c r="A753" s="132">
        <v>739</v>
      </c>
      <c r="B753" s="131" t="s">
        <v>124</v>
      </c>
      <c r="C753" s="117" t="s">
        <v>78</v>
      </c>
      <c r="D753" s="118"/>
      <c r="E753" s="118"/>
      <c r="F753" s="119" t="s">
        <v>83</v>
      </c>
    </row>
    <row r="754" spans="1:6" x14ac:dyDescent="0.2">
      <c r="A754" s="132">
        <v>740</v>
      </c>
      <c r="B754" s="120"/>
      <c r="C754" s="121"/>
      <c r="D754" s="121"/>
      <c r="E754" s="121"/>
      <c r="F754" s="122"/>
    </row>
    <row r="755" spans="1:6" x14ac:dyDescent="0.2">
      <c r="A755" s="132">
        <v>741</v>
      </c>
      <c r="B755" s="123" t="s">
        <v>143</v>
      </c>
      <c r="C755" s="121"/>
      <c r="D755" s="121"/>
      <c r="E755" s="124">
        <f>+'[4]II-E-3.5'!$G$86</f>
        <v>4772027.28</v>
      </c>
      <c r="F755" s="122"/>
    </row>
    <row r="756" spans="1:6" x14ac:dyDescent="0.2">
      <c r="A756" s="132">
        <v>742</v>
      </c>
      <c r="B756" s="123" t="s">
        <v>144</v>
      </c>
      <c r="C756" s="121"/>
      <c r="D756" s="121"/>
      <c r="E756" s="125">
        <f>+'[4]II-E-3.5'!$I$86</f>
        <v>3005140.2700000005</v>
      </c>
      <c r="F756" s="122"/>
    </row>
    <row r="757" spans="1:6" x14ac:dyDescent="0.2">
      <c r="A757" s="132">
        <v>743</v>
      </c>
      <c r="B757" s="120"/>
      <c r="C757" s="121"/>
      <c r="D757" s="121"/>
      <c r="E757" s="124"/>
      <c r="F757" s="122"/>
    </row>
    <row r="758" spans="1:6" ht="13.5" thickBot="1" x14ac:dyDescent="0.25">
      <c r="A758" s="132">
        <v>744</v>
      </c>
      <c r="B758" s="126" t="str">
        <f>CONCATENATE(MID(B755,1,4)," - Adjustment")</f>
        <v>A190 - Adjustment</v>
      </c>
      <c r="C758" s="121"/>
      <c r="D758" s="121"/>
      <c r="E758" s="133">
        <f>+E756-E755</f>
        <v>-1766887.0099999998</v>
      </c>
      <c r="F758" s="127"/>
    </row>
    <row r="759" spans="1:6" ht="13.5" thickTop="1" x14ac:dyDescent="0.2">
      <c r="A759" s="132">
        <v>745</v>
      </c>
      <c r="B759" s="128"/>
      <c r="C759" s="129"/>
      <c r="D759" s="129"/>
      <c r="E759" s="129"/>
      <c r="F759" s="130"/>
    </row>
    <row r="760" spans="1:6" x14ac:dyDescent="0.2">
      <c r="A760" s="132">
        <v>746</v>
      </c>
    </row>
    <row r="761" spans="1:6" x14ac:dyDescent="0.2">
      <c r="A761" s="132">
        <v>747</v>
      </c>
      <c r="B761" s="131" t="s">
        <v>124</v>
      </c>
      <c r="C761" s="117" t="s">
        <v>78</v>
      </c>
      <c r="D761" s="118"/>
      <c r="E761" s="118"/>
      <c r="F761" s="119" t="s">
        <v>83</v>
      </c>
    </row>
    <row r="762" spans="1:6" x14ac:dyDescent="0.2">
      <c r="A762" s="132">
        <v>748</v>
      </c>
      <c r="B762" s="120"/>
      <c r="C762" s="121"/>
      <c r="D762" s="121"/>
      <c r="E762" s="121"/>
      <c r="F762" s="122"/>
    </row>
    <row r="763" spans="1:6" x14ac:dyDescent="0.2">
      <c r="A763" s="132">
        <v>749</v>
      </c>
      <c r="B763" s="123" t="s">
        <v>145</v>
      </c>
      <c r="C763" s="121"/>
      <c r="D763" s="121"/>
      <c r="E763" s="124">
        <f>+'[4]II-E-3.5'!$G$89</f>
        <v>1277621.29</v>
      </c>
      <c r="F763" s="122"/>
    </row>
    <row r="764" spans="1:6" x14ac:dyDescent="0.2">
      <c r="A764" s="132">
        <v>750</v>
      </c>
      <c r="B764" s="123" t="s">
        <v>146</v>
      </c>
      <c r="C764" s="121"/>
      <c r="D764" s="121"/>
      <c r="E764" s="125">
        <f>+'[4]II-E-3.5'!$I$89</f>
        <v>0</v>
      </c>
      <c r="F764" s="122"/>
    </row>
    <row r="765" spans="1:6" x14ac:dyDescent="0.2">
      <c r="A765" s="132">
        <v>751</v>
      </c>
      <c r="B765" s="120"/>
      <c r="C765" s="121"/>
      <c r="D765" s="121"/>
      <c r="E765" s="124"/>
      <c r="F765" s="122"/>
    </row>
    <row r="766" spans="1:6" ht="13.5" thickBot="1" x14ac:dyDescent="0.25">
      <c r="A766" s="132">
        <v>752</v>
      </c>
      <c r="B766" s="126" t="str">
        <f>CONCATENATE(MID(B763,1,4)," - Adjustment")</f>
        <v>A190 - Adjustment</v>
      </c>
      <c r="C766" s="121"/>
      <c r="D766" s="121"/>
      <c r="E766" s="133">
        <f>+E764-E763</f>
        <v>-1277621.29</v>
      </c>
      <c r="F766" s="127"/>
    </row>
    <row r="767" spans="1:6" ht="13.5" thickTop="1" x14ac:dyDescent="0.2">
      <c r="A767" s="132">
        <v>753</v>
      </c>
      <c r="B767" s="128"/>
      <c r="C767" s="129"/>
      <c r="D767" s="129"/>
      <c r="E767" s="129"/>
      <c r="F767" s="130"/>
    </row>
    <row r="768" spans="1:6" x14ac:dyDescent="0.2">
      <c r="A768" s="132">
        <v>754</v>
      </c>
    </row>
    <row r="769" spans="1:6" x14ac:dyDescent="0.2">
      <c r="A769" s="132">
        <v>755</v>
      </c>
      <c r="B769" s="131" t="s">
        <v>124</v>
      </c>
      <c r="C769" s="117" t="s">
        <v>78</v>
      </c>
      <c r="D769" s="118"/>
      <c r="E769" s="118"/>
      <c r="F769" s="119" t="s">
        <v>83</v>
      </c>
    </row>
    <row r="770" spans="1:6" x14ac:dyDescent="0.2">
      <c r="A770" s="132">
        <v>756</v>
      </c>
      <c r="B770" s="120"/>
      <c r="C770" s="121"/>
      <c r="D770" s="121"/>
      <c r="E770" s="121"/>
      <c r="F770" s="122"/>
    </row>
    <row r="771" spans="1:6" x14ac:dyDescent="0.2">
      <c r="A771" s="132">
        <v>757</v>
      </c>
      <c r="B771" s="123" t="s">
        <v>147</v>
      </c>
      <c r="C771" s="121"/>
      <c r="D771" s="121"/>
      <c r="E771" s="124">
        <f>+'[4]II-E-3.5'!$G$94</f>
        <v>275246531.94</v>
      </c>
      <c r="F771" s="122"/>
    </row>
    <row r="772" spans="1:6" x14ac:dyDescent="0.2">
      <c r="A772" s="132">
        <v>758</v>
      </c>
      <c r="B772" s="123" t="s">
        <v>148</v>
      </c>
      <c r="C772" s="121"/>
      <c r="D772" s="121"/>
      <c r="E772" s="125">
        <f>+'[4]II-E-3.5'!$I$94</f>
        <v>0</v>
      </c>
      <c r="F772" s="122"/>
    </row>
    <row r="773" spans="1:6" x14ac:dyDescent="0.2">
      <c r="A773" s="132">
        <v>759</v>
      </c>
      <c r="B773" s="120"/>
      <c r="C773" s="121"/>
      <c r="D773" s="121"/>
      <c r="E773" s="124"/>
      <c r="F773" s="122"/>
    </row>
    <row r="774" spans="1:6" ht="13.5" thickBot="1" x14ac:dyDescent="0.25">
      <c r="A774" s="132">
        <v>760</v>
      </c>
      <c r="B774" s="126" t="str">
        <f>CONCATENATE(MID(B771,1,4)," - Adjustment")</f>
        <v>A190 - Adjustment</v>
      </c>
      <c r="C774" s="121"/>
      <c r="D774" s="121"/>
      <c r="E774" s="133">
        <f>+E772-E771</f>
        <v>-275246531.94</v>
      </c>
      <c r="F774" s="127"/>
    </row>
    <row r="775" spans="1:6" ht="13.5" thickTop="1" x14ac:dyDescent="0.2">
      <c r="A775" s="132">
        <v>761</v>
      </c>
      <c r="B775" s="128"/>
      <c r="C775" s="129"/>
      <c r="D775" s="129"/>
      <c r="E775" s="129"/>
      <c r="F775" s="130"/>
    </row>
    <row r="776" spans="1:6" x14ac:dyDescent="0.2">
      <c r="A776" s="132">
        <v>762</v>
      </c>
    </row>
    <row r="777" spans="1:6" x14ac:dyDescent="0.2">
      <c r="A777" s="132">
        <v>763</v>
      </c>
      <c r="B777" s="131" t="s">
        <v>124</v>
      </c>
      <c r="C777" s="117" t="s">
        <v>78</v>
      </c>
      <c r="D777" s="118"/>
      <c r="E777" s="118"/>
      <c r="F777" s="119" t="s">
        <v>83</v>
      </c>
    </row>
    <row r="778" spans="1:6" x14ac:dyDescent="0.2">
      <c r="A778" s="132">
        <v>764</v>
      </c>
      <c r="B778" s="120"/>
      <c r="C778" s="121"/>
      <c r="D778" s="121"/>
      <c r="E778" s="121"/>
      <c r="F778" s="122"/>
    </row>
    <row r="779" spans="1:6" x14ac:dyDescent="0.2">
      <c r="A779" s="132">
        <v>765</v>
      </c>
      <c r="B779" s="123" t="s">
        <v>149</v>
      </c>
      <c r="C779" s="121"/>
      <c r="D779" s="121"/>
      <c r="E779" s="124">
        <f>+'[4]II-E-3.5'!$G$95</f>
        <v>542395.86</v>
      </c>
      <c r="F779" s="122"/>
    </row>
    <row r="780" spans="1:6" x14ac:dyDescent="0.2">
      <c r="A780" s="132">
        <v>766</v>
      </c>
      <c r="B780" s="123" t="s">
        <v>150</v>
      </c>
      <c r="C780" s="121"/>
      <c r="D780" s="121"/>
      <c r="E780" s="125">
        <f>+'[4]II-E-3.5'!$I$95</f>
        <v>0</v>
      </c>
      <c r="F780" s="122"/>
    </row>
    <row r="781" spans="1:6" x14ac:dyDescent="0.2">
      <c r="A781" s="132">
        <v>767</v>
      </c>
      <c r="B781" s="120"/>
      <c r="C781" s="121"/>
      <c r="D781" s="121"/>
      <c r="E781" s="124"/>
      <c r="F781" s="122"/>
    </row>
    <row r="782" spans="1:6" ht="13.5" thickBot="1" x14ac:dyDescent="0.25">
      <c r="A782" s="132">
        <v>768</v>
      </c>
      <c r="B782" s="126" t="str">
        <f>CONCATENATE(MID(B779,1,4)," - Adjustment")</f>
        <v>A190 - Adjustment</v>
      </c>
      <c r="C782" s="121"/>
      <c r="D782" s="121"/>
      <c r="E782" s="133">
        <f>+E780-E779</f>
        <v>-542395.86</v>
      </c>
      <c r="F782" s="127"/>
    </row>
    <row r="783" spans="1:6" ht="13.5" thickTop="1" x14ac:dyDescent="0.2">
      <c r="A783" s="132">
        <v>769</v>
      </c>
      <c r="B783" s="128"/>
      <c r="C783" s="129"/>
      <c r="D783" s="129"/>
      <c r="E783" s="129"/>
      <c r="F783" s="130"/>
    </row>
    <row r="784" spans="1:6" x14ac:dyDescent="0.2">
      <c r="A784" s="132">
        <v>770</v>
      </c>
    </row>
    <row r="785" spans="1:7" x14ac:dyDescent="0.2">
      <c r="A785" s="132">
        <v>771</v>
      </c>
      <c r="B785" s="135"/>
      <c r="D785" s="135" t="s">
        <v>151</v>
      </c>
      <c r="E785" s="134">
        <f>+E22+E30+E38+E46+E54+E62+E70+E78+E86+E94+E102+E110+E118</f>
        <v>-30459953.050000608</v>
      </c>
      <c r="G785" s="162"/>
    </row>
    <row r="786" spans="1:7" x14ac:dyDescent="0.2">
      <c r="A786" s="132">
        <v>772</v>
      </c>
      <c r="D786" s="135" t="s">
        <v>152</v>
      </c>
      <c r="E786" s="136">
        <f>+E134+E142+E150+E158+E166+E174+E182+E190+E198+E206+E214+E222+E230</f>
        <v>-9703342.8100000918</v>
      </c>
      <c r="G786" s="162"/>
    </row>
    <row r="787" spans="1:7" x14ac:dyDescent="0.2">
      <c r="A787" s="132">
        <v>773</v>
      </c>
      <c r="D787" s="135" t="s">
        <v>153</v>
      </c>
      <c r="E787" s="137">
        <f>+E785-E786</f>
        <v>-20756610.240000516</v>
      </c>
      <c r="G787" s="162"/>
    </row>
    <row r="788" spans="1:7" x14ac:dyDescent="0.2">
      <c r="A788" s="132">
        <v>774</v>
      </c>
      <c r="D788" s="135" t="s">
        <v>154</v>
      </c>
      <c r="E788" s="136">
        <f>+E126+E238+E246+E254+E262+E270+E278+E286+E294+E302+E310+E318+E326+E334+E342+E350+E358+E366+E374+E382+E390+E398+E406+E414+E422+E430+E438+E446+E454+E462+E470+E478+E486+E494+E502+E510+E518+E526+E534+E542+E550+E558+E566+E574+E582+E590+E598</f>
        <v>38757433.69461868</v>
      </c>
    </row>
    <row r="789" spans="1:7" x14ac:dyDescent="0.2">
      <c r="A789" s="132">
        <v>775</v>
      </c>
      <c r="D789" s="135" t="s">
        <v>155</v>
      </c>
      <c r="E789" s="136">
        <f>-E606-E614-E622-E630-E638-E646-E654-E662-E670-E678-E686-E694-E702-E710+E718+E726+E734+E742+E750+E758+E766+E774+E782</f>
        <v>-217513681.38099986</v>
      </c>
      <c r="F789" s="136"/>
    </row>
    <row r="790" spans="1:7" x14ac:dyDescent="0.2">
      <c r="A790" s="132">
        <v>776</v>
      </c>
      <c r="D790" s="135" t="s">
        <v>156</v>
      </c>
      <c r="E790" s="137">
        <f>+E787+E788+E789</f>
        <v>-199512857.92638171</v>
      </c>
    </row>
    <row r="791" spans="1:7" x14ac:dyDescent="0.2">
      <c r="A791" s="132">
        <v>777</v>
      </c>
      <c r="D791" s="135" t="s">
        <v>467</v>
      </c>
      <c r="E791" s="136"/>
    </row>
    <row r="792" spans="1:7" ht="13.5" thickBot="1" x14ac:dyDescent="0.25">
      <c r="A792" s="132">
        <v>778</v>
      </c>
      <c r="C792" s="103" t="s">
        <v>78</v>
      </c>
      <c r="D792" s="135" t="s">
        <v>157</v>
      </c>
      <c r="E792" s="138">
        <f>+E790*'[5]II-B'!$D$39</f>
        <v>-14903610.487100715</v>
      </c>
    </row>
    <row r="793" spans="1:7" ht="14.25" thickTop="1" thickBot="1" x14ac:dyDescent="0.25">
      <c r="A793" s="132">
        <v>779</v>
      </c>
    </row>
    <row r="794" spans="1:7" ht="13.5" thickBot="1" x14ac:dyDescent="0.25">
      <c r="A794" s="132">
        <v>780</v>
      </c>
      <c r="B794" s="115" t="s">
        <v>158</v>
      </c>
    </row>
    <row r="795" spans="1:7" x14ac:dyDescent="0.2">
      <c r="A795" s="132">
        <v>781</v>
      </c>
    </row>
    <row r="796" spans="1:7" x14ac:dyDescent="0.2">
      <c r="A796" s="132">
        <v>782</v>
      </c>
      <c r="B796" s="131" t="s">
        <v>160</v>
      </c>
      <c r="C796" s="117" t="s">
        <v>159</v>
      </c>
      <c r="D796" s="117" t="s">
        <v>166</v>
      </c>
      <c r="E796" s="118"/>
      <c r="F796" s="119" t="s">
        <v>468</v>
      </c>
    </row>
    <row r="797" spans="1:7" x14ac:dyDescent="0.2">
      <c r="A797" s="132">
        <v>783</v>
      </c>
      <c r="B797" s="120"/>
      <c r="C797" s="121"/>
      <c r="D797" s="121"/>
      <c r="E797" s="121"/>
      <c r="F797" s="122" t="s">
        <v>540</v>
      </c>
    </row>
    <row r="798" spans="1:7" x14ac:dyDescent="0.2">
      <c r="A798" s="132">
        <v>784</v>
      </c>
      <c r="B798" s="126" t="s">
        <v>353</v>
      </c>
      <c r="C798" s="121"/>
      <c r="D798" s="121"/>
      <c r="E798" s="121"/>
      <c r="F798" s="122" t="s">
        <v>541</v>
      </c>
    </row>
    <row r="799" spans="1:7" x14ac:dyDescent="0.2">
      <c r="A799" s="132">
        <v>785</v>
      </c>
      <c r="B799" s="120"/>
      <c r="C799" s="121"/>
      <c r="D799" s="121"/>
      <c r="E799" s="121"/>
      <c r="F799" s="122"/>
    </row>
    <row r="800" spans="1:7" x14ac:dyDescent="0.2">
      <c r="A800" s="132">
        <v>786</v>
      </c>
      <c r="B800" s="123" t="s">
        <v>161</v>
      </c>
      <c r="C800" s="121"/>
      <c r="D800" s="121"/>
      <c r="E800" s="124">
        <f>+'[3]Adj. #1'!$E$9</f>
        <v>1967817098.26</v>
      </c>
      <c r="F800" s="122"/>
    </row>
    <row r="801" spans="1:6" x14ac:dyDescent="0.2">
      <c r="A801" s="132">
        <v>787</v>
      </c>
      <c r="B801" s="123" t="s">
        <v>162</v>
      </c>
      <c r="C801" s="121"/>
      <c r="D801" s="121"/>
      <c r="E801" s="125">
        <f>+'[3]Adj. #1'!$E$11</f>
        <v>2100841472.6600001</v>
      </c>
      <c r="F801" s="122"/>
    </row>
    <row r="802" spans="1:6" x14ac:dyDescent="0.2">
      <c r="A802" s="132">
        <v>788</v>
      </c>
      <c r="B802" s="120"/>
      <c r="C802" s="121"/>
      <c r="D802" s="121"/>
      <c r="E802" s="124"/>
      <c r="F802" s="122"/>
    </row>
    <row r="803" spans="1:6" ht="13.5" thickBot="1" x14ac:dyDescent="0.25">
      <c r="A803" s="132">
        <v>789</v>
      </c>
      <c r="B803" s="126" t="str">
        <f>CONCATENATE(MID(B800,1,4)," - Adjustment")</f>
        <v>A565 - Adjustment</v>
      </c>
      <c r="C803" s="121"/>
      <c r="D803" s="121"/>
      <c r="E803" s="133">
        <f>+E801-E800</f>
        <v>133024374.4000001</v>
      </c>
      <c r="F803" s="127"/>
    </row>
    <row r="804" spans="1:6" ht="13.5" thickTop="1" x14ac:dyDescent="0.2">
      <c r="A804" s="132">
        <v>790</v>
      </c>
      <c r="B804" s="128"/>
      <c r="C804" s="129"/>
      <c r="D804" s="129"/>
      <c r="E804" s="129"/>
      <c r="F804" s="130"/>
    </row>
    <row r="805" spans="1:6" x14ac:dyDescent="0.2">
      <c r="A805" s="132">
        <v>791</v>
      </c>
    </row>
    <row r="806" spans="1:6" x14ac:dyDescent="0.2">
      <c r="A806" s="132">
        <v>792</v>
      </c>
      <c r="B806" s="131" t="s">
        <v>165</v>
      </c>
      <c r="C806" s="117" t="s">
        <v>159</v>
      </c>
      <c r="D806" s="117" t="s">
        <v>167</v>
      </c>
      <c r="E806" s="118"/>
      <c r="F806" s="119" t="s">
        <v>468</v>
      </c>
    </row>
    <row r="807" spans="1:6" x14ac:dyDescent="0.2">
      <c r="A807" s="132">
        <v>793</v>
      </c>
      <c r="B807" s="120"/>
      <c r="C807" s="121"/>
      <c r="D807" s="121"/>
      <c r="E807" s="121"/>
      <c r="F807" s="122" t="s">
        <v>540</v>
      </c>
    </row>
    <row r="808" spans="1:6" x14ac:dyDescent="0.2">
      <c r="A808" s="132">
        <v>794</v>
      </c>
      <c r="B808" s="126" t="s">
        <v>469</v>
      </c>
      <c r="C808" s="121"/>
      <c r="D808" s="121"/>
      <c r="E808" s="121"/>
      <c r="F808" s="122"/>
    </row>
    <row r="809" spans="1:6" x14ac:dyDescent="0.2">
      <c r="A809" s="132">
        <v>795</v>
      </c>
      <c r="B809" s="120"/>
      <c r="C809" s="121"/>
      <c r="D809" s="121"/>
      <c r="E809" s="121"/>
      <c r="F809" s="122"/>
    </row>
    <row r="810" spans="1:6" x14ac:dyDescent="0.2">
      <c r="A810" s="132">
        <v>796</v>
      </c>
      <c r="B810" s="123" t="s">
        <v>206</v>
      </c>
      <c r="C810" s="121"/>
      <c r="D810" s="121"/>
      <c r="E810" s="124">
        <f>+'[3]Adj. #2'!$F$9</f>
        <v>15382470.25</v>
      </c>
      <c r="F810" s="122"/>
    </row>
    <row r="811" spans="1:6" x14ac:dyDescent="0.2">
      <c r="A811" s="132">
        <v>797</v>
      </c>
      <c r="B811" s="123" t="s">
        <v>208</v>
      </c>
      <c r="C811" s="121"/>
      <c r="D811" s="121"/>
      <c r="E811" s="125">
        <f>+'[3]Adj. #2'!$F$11</f>
        <v>12691180.663816001</v>
      </c>
      <c r="F811" s="122"/>
    </row>
    <row r="812" spans="1:6" x14ac:dyDescent="0.2">
      <c r="A812" s="132">
        <v>798</v>
      </c>
      <c r="B812" s="120"/>
      <c r="C812" s="121"/>
      <c r="D812" s="121"/>
      <c r="E812" s="124"/>
      <c r="F812" s="122"/>
    </row>
    <row r="813" spans="1:6" ht="13.5" thickBot="1" x14ac:dyDescent="0.25">
      <c r="A813" s="132">
        <v>799</v>
      </c>
      <c r="B813" s="126" t="str">
        <f>CONCATENATE(MID(B810,1,4)," - Adjustment")</f>
        <v>A588 - Adjustment</v>
      </c>
      <c r="C813" s="121"/>
      <c r="D813" s="121"/>
      <c r="E813" s="133">
        <f>+E811-E810</f>
        <v>-2691289.5861839987</v>
      </c>
      <c r="F813" s="127"/>
    </row>
    <row r="814" spans="1:6" ht="13.5" thickTop="1" x14ac:dyDescent="0.2">
      <c r="A814" s="132">
        <v>800</v>
      </c>
      <c r="B814" s="128"/>
      <c r="C814" s="129"/>
      <c r="D814" s="129"/>
      <c r="E814" s="129"/>
      <c r="F814" s="130"/>
    </row>
    <row r="815" spans="1:6" x14ac:dyDescent="0.2">
      <c r="A815" s="132">
        <v>801</v>
      </c>
    </row>
    <row r="816" spans="1:6" x14ac:dyDescent="0.2">
      <c r="A816" s="132">
        <v>802</v>
      </c>
      <c r="B816" s="131" t="s">
        <v>168</v>
      </c>
      <c r="C816" s="117" t="s">
        <v>159</v>
      </c>
      <c r="D816" s="117" t="s">
        <v>169</v>
      </c>
      <c r="E816" s="118"/>
      <c r="F816" s="119" t="s">
        <v>468</v>
      </c>
    </row>
    <row r="817" spans="1:6" x14ac:dyDescent="0.2">
      <c r="A817" s="132">
        <v>803</v>
      </c>
      <c r="B817" s="120"/>
      <c r="C817" s="121"/>
      <c r="D817" s="121"/>
      <c r="E817" s="121"/>
      <c r="F817" s="122" t="s">
        <v>540</v>
      </c>
    </row>
    <row r="818" spans="1:6" x14ac:dyDescent="0.2">
      <c r="A818" s="132">
        <v>804</v>
      </c>
      <c r="B818" s="126" t="s">
        <v>470</v>
      </c>
      <c r="C818" s="121"/>
      <c r="D818" s="121"/>
      <c r="E818" s="121"/>
      <c r="F818" s="122"/>
    </row>
    <row r="819" spans="1:6" x14ac:dyDescent="0.2">
      <c r="A819" s="132">
        <v>805</v>
      </c>
      <c r="B819" s="120"/>
      <c r="C819" s="121"/>
      <c r="D819" s="121"/>
      <c r="E819" s="121"/>
      <c r="F819" s="122"/>
    </row>
    <row r="820" spans="1:6" x14ac:dyDescent="0.2">
      <c r="A820" s="132">
        <v>806</v>
      </c>
      <c r="B820" s="123" t="s">
        <v>163</v>
      </c>
      <c r="C820" s="121"/>
      <c r="D820" s="121"/>
      <c r="E820" s="124">
        <f>+'[3]Adj. #3'!$M$9</f>
        <v>54319348.25</v>
      </c>
      <c r="F820" s="122"/>
    </row>
    <row r="821" spans="1:6" x14ac:dyDescent="0.2">
      <c r="A821" s="132">
        <v>807</v>
      </c>
      <c r="B821" s="123" t="s">
        <v>164</v>
      </c>
      <c r="C821" s="121"/>
      <c r="D821" s="121"/>
      <c r="E821" s="125">
        <v>0</v>
      </c>
      <c r="F821" s="122"/>
    </row>
    <row r="822" spans="1:6" x14ac:dyDescent="0.2">
      <c r="A822" s="132">
        <v>808</v>
      </c>
      <c r="B822" s="120"/>
      <c r="C822" s="121"/>
      <c r="D822" s="121"/>
      <c r="E822" s="124"/>
      <c r="F822" s="122"/>
    </row>
    <row r="823" spans="1:6" ht="13.5" thickBot="1" x14ac:dyDescent="0.25">
      <c r="A823" s="132">
        <v>809</v>
      </c>
      <c r="B823" s="126" t="str">
        <f>CONCATENATE(MID(B820,1,4)," - Adjustment")</f>
        <v>A908 - Adjustment</v>
      </c>
      <c r="C823" s="121"/>
      <c r="D823" s="121"/>
      <c r="E823" s="133">
        <f>+E821-E820</f>
        <v>-54319348.25</v>
      </c>
      <c r="F823" s="127"/>
    </row>
    <row r="824" spans="1:6" ht="13.5" thickTop="1" x14ac:dyDescent="0.2">
      <c r="A824" s="132">
        <v>810</v>
      </c>
      <c r="B824" s="128"/>
      <c r="C824" s="129"/>
      <c r="D824" s="129"/>
      <c r="E824" s="129"/>
      <c r="F824" s="130"/>
    </row>
    <row r="825" spans="1:6" x14ac:dyDescent="0.2">
      <c r="A825" s="132">
        <v>811</v>
      </c>
    </row>
    <row r="826" spans="1:6" x14ac:dyDescent="0.2">
      <c r="A826" s="132">
        <v>812</v>
      </c>
      <c r="B826" s="131" t="s">
        <v>171</v>
      </c>
      <c r="C826" s="117" t="s">
        <v>159</v>
      </c>
      <c r="D826" s="117" t="s">
        <v>172</v>
      </c>
      <c r="E826" s="118"/>
      <c r="F826" s="119" t="s">
        <v>468</v>
      </c>
    </row>
    <row r="827" spans="1:6" x14ac:dyDescent="0.2">
      <c r="A827" s="132">
        <v>813</v>
      </c>
      <c r="B827" s="120"/>
      <c r="C827" s="121"/>
      <c r="D827" s="121"/>
      <c r="E827" s="121"/>
      <c r="F827" s="122" t="s">
        <v>542</v>
      </c>
    </row>
    <row r="828" spans="1:6" x14ac:dyDescent="0.2">
      <c r="A828" s="132">
        <v>814</v>
      </c>
      <c r="B828" s="126" t="s">
        <v>471</v>
      </c>
      <c r="C828" s="121"/>
      <c r="D828" s="121"/>
      <c r="E828" s="121"/>
      <c r="F828" s="122"/>
    </row>
    <row r="829" spans="1:6" x14ac:dyDescent="0.2">
      <c r="A829" s="132">
        <v>815</v>
      </c>
      <c r="B829" s="120"/>
      <c r="C829" s="121"/>
      <c r="D829" s="121"/>
      <c r="E829" s="121"/>
      <c r="F829" s="122"/>
    </row>
    <row r="830" spans="1:6" x14ac:dyDescent="0.2">
      <c r="A830" s="132">
        <v>816</v>
      </c>
      <c r="B830" s="123" t="s">
        <v>241</v>
      </c>
      <c r="C830" s="121"/>
      <c r="D830" s="121"/>
      <c r="E830" s="124">
        <f>+'[3]Adj. #4'!$D$23</f>
        <v>66444.37</v>
      </c>
      <c r="F830" s="122"/>
    </row>
    <row r="831" spans="1:6" x14ac:dyDescent="0.2">
      <c r="A831" s="132">
        <v>817</v>
      </c>
      <c r="B831" s="123" t="s">
        <v>179</v>
      </c>
      <c r="C831" s="121"/>
      <c r="D831" s="121"/>
      <c r="E831" s="163">
        <f>+'[3]Adj. #4'!$D$24</f>
        <v>16352574.340000007</v>
      </c>
      <c r="F831" s="122"/>
    </row>
    <row r="832" spans="1:6" x14ac:dyDescent="0.2">
      <c r="A832" s="132">
        <v>818</v>
      </c>
      <c r="B832" s="123" t="s">
        <v>170</v>
      </c>
      <c r="C832" s="121"/>
      <c r="D832" s="121"/>
      <c r="E832" s="125">
        <f>+'[3]Adj. #4'!$D$25</f>
        <v>1138035</v>
      </c>
      <c r="F832" s="122"/>
    </row>
    <row r="833" spans="1:6" x14ac:dyDescent="0.2">
      <c r="A833" s="132">
        <v>819</v>
      </c>
      <c r="B833" s="120"/>
      <c r="C833" s="121"/>
      <c r="D833" s="121"/>
      <c r="E833" s="124"/>
      <c r="F833" s="122"/>
    </row>
    <row r="834" spans="1:6" ht="13.5" thickBot="1" x14ac:dyDescent="0.25">
      <c r="A834" s="132">
        <v>820</v>
      </c>
      <c r="B834" s="126" t="s">
        <v>225</v>
      </c>
      <c r="C834" s="121"/>
      <c r="D834" s="121"/>
      <c r="E834" s="133">
        <f>SUM(E830:E833)</f>
        <v>17557053.710000008</v>
      </c>
      <c r="F834" s="127"/>
    </row>
    <row r="835" spans="1:6" ht="13.5" thickTop="1" x14ac:dyDescent="0.2">
      <c r="A835" s="132">
        <v>821</v>
      </c>
      <c r="B835" s="128"/>
      <c r="C835" s="129"/>
      <c r="D835" s="129"/>
      <c r="E835" s="129"/>
      <c r="F835" s="130"/>
    </row>
    <row r="836" spans="1:6" x14ac:dyDescent="0.2">
      <c r="A836" s="132">
        <v>822</v>
      </c>
    </row>
    <row r="837" spans="1:6" x14ac:dyDescent="0.2">
      <c r="A837" s="132">
        <v>823</v>
      </c>
      <c r="B837" s="131" t="s">
        <v>173</v>
      </c>
      <c r="C837" s="117" t="s">
        <v>159</v>
      </c>
      <c r="D837" s="117" t="s">
        <v>174</v>
      </c>
      <c r="E837" s="118"/>
      <c r="F837" s="119" t="s">
        <v>468</v>
      </c>
    </row>
    <row r="838" spans="1:6" x14ac:dyDescent="0.2">
      <c r="A838" s="132">
        <v>824</v>
      </c>
      <c r="B838" s="120"/>
      <c r="C838" s="121"/>
      <c r="D838" s="121"/>
      <c r="E838" s="121"/>
      <c r="F838" s="122" t="s">
        <v>543</v>
      </c>
    </row>
    <row r="839" spans="1:6" x14ac:dyDescent="0.2">
      <c r="A839" s="132">
        <v>825</v>
      </c>
      <c r="B839" s="126" t="s">
        <v>354</v>
      </c>
      <c r="C839" s="121"/>
      <c r="D839" s="121"/>
      <c r="E839" s="121"/>
      <c r="F839" s="122"/>
    </row>
    <row r="840" spans="1:6" x14ac:dyDescent="0.2">
      <c r="A840" s="132">
        <v>826</v>
      </c>
      <c r="B840" s="120"/>
      <c r="C840" s="121"/>
      <c r="D840" s="121"/>
      <c r="E840" s="121"/>
      <c r="F840" s="122"/>
    </row>
    <row r="841" spans="1:6" x14ac:dyDescent="0.2">
      <c r="A841" s="132">
        <v>827</v>
      </c>
      <c r="B841" s="123" t="s">
        <v>194</v>
      </c>
      <c r="C841" s="121"/>
      <c r="D841" s="121"/>
      <c r="E841" s="124">
        <f>+'[3]Adj. #5'!$D$23</f>
        <v>4248916.13</v>
      </c>
      <c r="F841" s="122"/>
    </row>
    <row r="842" spans="1:6" x14ac:dyDescent="0.2">
      <c r="A842" s="132">
        <v>828</v>
      </c>
      <c r="B842" s="123" t="s">
        <v>208</v>
      </c>
      <c r="C842" s="121"/>
      <c r="D842" s="121"/>
      <c r="E842" s="163">
        <f>+'[3]Adj. #5'!$D$24</f>
        <v>13831475.74</v>
      </c>
      <c r="F842" s="122"/>
    </row>
    <row r="843" spans="1:6" x14ac:dyDescent="0.2">
      <c r="A843" s="132">
        <v>829</v>
      </c>
      <c r="B843" s="123" t="s">
        <v>182</v>
      </c>
      <c r="C843" s="121"/>
      <c r="D843" s="121"/>
      <c r="E843" s="125">
        <f>+'[3]Adj. #5'!$D$25</f>
        <v>10416839.32</v>
      </c>
      <c r="F843" s="122"/>
    </row>
    <row r="844" spans="1:6" x14ac:dyDescent="0.2">
      <c r="A844" s="132">
        <v>830</v>
      </c>
      <c r="B844" s="120"/>
      <c r="C844" s="121"/>
      <c r="D844" s="121"/>
      <c r="E844" s="124"/>
      <c r="F844" s="122"/>
    </row>
    <row r="845" spans="1:6" ht="13.5" thickBot="1" x14ac:dyDescent="0.25">
      <c r="A845" s="132">
        <v>831</v>
      </c>
      <c r="B845" s="126" t="s">
        <v>225</v>
      </c>
      <c r="C845" s="121"/>
      <c r="D845" s="121"/>
      <c r="E845" s="133">
        <f>SUM(E841:E844)</f>
        <v>28497231.190000001</v>
      </c>
      <c r="F845" s="127"/>
    </row>
    <row r="846" spans="1:6" ht="13.5" thickTop="1" x14ac:dyDescent="0.2">
      <c r="A846" s="132">
        <v>832</v>
      </c>
      <c r="B846" s="128"/>
      <c r="C846" s="129"/>
      <c r="D846" s="129"/>
      <c r="E846" s="129"/>
      <c r="F846" s="130"/>
    </row>
    <row r="847" spans="1:6" x14ac:dyDescent="0.2">
      <c r="A847" s="132">
        <v>833</v>
      </c>
    </row>
    <row r="848" spans="1:6" x14ac:dyDescent="0.2">
      <c r="A848" s="132">
        <v>834</v>
      </c>
      <c r="B848" s="131" t="s">
        <v>175</v>
      </c>
      <c r="C848" s="117" t="s">
        <v>159</v>
      </c>
      <c r="D848" s="117" t="s">
        <v>176</v>
      </c>
      <c r="E848" s="118"/>
      <c r="F848" s="119" t="s">
        <v>468</v>
      </c>
    </row>
    <row r="849" spans="1:6" x14ac:dyDescent="0.2">
      <c r="A849" s="132">
        <v>835</v>
      </c>
      <c r="B849" s="120"/>
      <c r="C849" s="121"/>
      <c r="D849" s="121"/>
      <c r="E849" s="121"/>
      <c r="F849" s="122" t="s">
        <v>543</v>
      </c>
    </row>
    <row r="850" spans="1:6" x14ac:dyDescent="0.2">
      <c r="A850" s="132">
        <v>836</v>
      </c>
      <c r="B850" s="126" t="s">
        <v>472</v>
      </c>
      <c r="C850" s="121"/>
      <c r="D850" s="121"/>
      <c r="E850" s="121"/>
      <c r="F850" s="122"/>
    </row>
    <row r="851" spans="1:6" x14ac:dyDescent="0.2">
      <c r="A851" s="132">
        <v>837</v>
      </c>
      <c r="B851" s="120"/>
      <c r="C851" s="121"/>
      <c r="D851" s="121"/>
      <c r="E851" s="121"/>
      <c r="F851" s="122"/>
    </row>
    <row r="852" spans="1:6" x14ac:dyDescent="0.2">
      <c r="A852" s="132">
        <v>838</v>
      </c>
      <c r="B852" s="123" t="s">
        <v>170</v>
      </c>
      <c r="C852" s="121"/>
      <c r="D852" s="121"/>
      <c r="E852" s="124">
        <f>+'[3]Adj. #6'!$D$23</f>
        <v>701340.01</v>
      </c>
      <c r="F852" s="122"/>
    </row>
    <row r="853" spans="1:6" x14ac:dyDescent="0.2">
      <c r="A853" s="132">
        <v>839</v>
      </c>
      <c r="B853" s="120"/>
      <c r="C853" s="121"/>
      <c r="D853" s="121"/>
      <c r="E853" s="124"/>
      <c r="F853" s="122"/>
    </row>
    <row r="854" spans="1:6" ht="13.5" thickBot="1" x14ac:dyDescent="0.25">
      <c r="A854" s="132">
        <v>840</v>
      </c>
      <c r="B854" s="126" t="str">
        <f>CONCATENATE(MID(B852,1,4)," - Adjustment")</f>
        <v>A926 - Adjustment</v>
      </c>
      <c r="C854" s="121"/>
      <c r="D854" s="121"/>
      <c r="E854" s="133">
        <f>+E852</f>
        <v>701340.01</v>
      </c>
      <c r="F854" s="127"/>
    </row>
    <row r="855" spans="1:6" ht="13.5" thickTop="1" x14ac:dyDescent="0.2">
      <c r="A855" s="132">
        <v>841</v>
      </c>
      <c r="B855" s="128"/>
      <c r="C855" s="129"/>
      <c r="D855" s="129"/>
      <c r="E855" s="129"/>
      <c r="F855" s="130"/>
    </row>
    <row r="856" spans="1:6" x14ac:dyDescent="0.2">
      <c r="A856" s="132">
        <v>842</v>
      </c>
    </row>
    <row r="857" spans="1:6" x14ac:dyDescent="0.2">
      <c r="A857" s="132">
        <v>843</v>
      </c>
      <c r="B857" s="131" t="s">
        <v>177</v>
      </c>
      <c r="C857" s="117" t="s">
        <v>159</v>
      </c>
      <c r="D857" s="117" t="s">
        <v>178</v>
      </c>
      <c r="E857" s="118"/>
      <c r="F857" s="119" t="s">
        <v>468</v>
      </c>
    </row>
    <row r="858" spans="1:6" x14ac:dyDescent="0.2">
      <c r="A858" s="132">
        <v>844</v>
      </c>
      <c r="B858" s="120"/>
      <c r="C858" s="121"/>
      <c r="D858" s="121"/>
      <c r="E858" s="121"/>
      <c r="F858" s="122" t="s">
        <v>544</v>
      </c>
    </row>
    <row r="859" spans="1:6" x14ac:dyDescent="0.2">
      <c r="A859" s="132">
        <v>845</v>
      </c>
      <c r="B859" s="126" t="s">
        <v>473</v>
      </c>
      <c r="C859" s="121"/>
      <c r="D859" s="121"/>
      <c r="E859" s="121"/>
      <c r="F859" s="122"/>
    </row>
    <row r="860" spans="1:6" x14ac:dyDescent="0.2">
      <c r="A860" s="132">
        <v>846</v>
      </c>
      <c r="B860" s="120"/>
      <c r="C860" s="121"/>
      <c r="D860" s="121"/>
      <c r="E860" s="121"/>
      <c r="F860" s="122"/>
    </row>
    <row r="861" spans="1:6" x14ac:dyDescent="0.2">
      <c r="A861" s="132">
        <v>847</v>
      </c>
      <c r="B861" s="123" t="s">
        <v>170</v>
      </c>
      <c r="C861" s="121"/>
      <c r="D861" s="121"/>
      <c r="E861" s="164">
        <f>+'[3]Adj. #7'!$D$23</f>
        <v>-5115880.75</v>
      </c>
      <c r="F861" s="122"/>
    </row>
    <row r="862" spans="1:6" x14ac:dyDescent="0.2">
      <c r="A862" s="132">
        <v>848</v>
      </c>
      <c r="B862" s="120"/>
      <c r="C862" s="121"/>
      <c r="D862" s="121"/>
      <c r="E862" s="124"/>
      <c r="F862" s="122"/>
    </row>
    <row r="863" spans="1:6" ht="13.5" thickBot="1" x14ac:dyDescent="0.25">
      <c r="A863" s="132">
        <v>849</v>
      </c>
      <c r="B863" s="126" t="str">
        <f>CONCATENATE(MID(B861,1,4)," - Adjustment")</f>
        <v>A926 - Adjustment</v>
      </c>
      <c r="C863" s="121"/>
      <c r="D863" s="121"/>
      <c r="E863" s="133">
        <f>+E861</f>
        <v>-5115880.75</v>
      </c>
      <c r="F863" s="127"/>
    </row>
    <row r="864" spans="1:6" ht="13.5" thickTop="1" x14ac:dyDescent="0.2">
      <c r="A864" s="132">
        <v>850</v>
      </c>
      <c r="B864" s="128"/>
      <c r="C864" s="129"/>
      <c r="D864" s="129"/>
      <c r="E864" s="129"/>
      <c r="F864" s="130"/>
    </row>
    <row r="865" spans="1:6" x14ac:dyDescent="0.2">
      <c r="A865" s="132">
        <v>851</v>
      </c>
    </row>
    <row r="866" spans="1:6" x14ac:dyDescent="0.2">
      <c r="A866" s="132">
        <v>852</v>
      </c>
      <c r="B866" s="131" t="s">
        <v>180</v>
      </c>
      <c r="C866" s="117" t="s">
        <v>159</v>
      </c>
      <c r="D866" s="117" t="s">
        <v>181</v>
      </c>
      <c r="E866" s="118"/>
      <c r="F866" s="119" t="s">
        <v>468</v>
      </c>
    </row>
    <row r="867" spans="1:6" x14ac:dyDescent="0.2">
      <c r="A867" s="132">
        <v>853</v>
      </c>
      <c r="B867" s="120"/>
      <c r="C867" s="121"/>
      <c r="D867" s="121"/>
      <c r="E867" s="121"/>
      <c r="F867" s="122" t="s">
        <v>544</v>
      </c>
    </row>
    <row r="868" spans="1:6" x14ac:dyDescent="0.2">
      <c r="A868" s="132">
        <v>854</v>
      </c>
      <c r="B868" s="126" t="s">
        <v>474</v>
      </c>
      <c r="C868" s="121"/>
      <c r="D868" s="121"/>
      <c r="E868" s="121"/>
      <c r="F868" s="122"/>
    </row>
    <row r="869" spans="1:6" x14ac:dyDescent="0.2">
      <c r="A869" s="132">
        <v>855</v>
      </c>
      <c r="B869" s="120"/>
      <c r="C869" s="121"/>
      <c r="D869" s="121"/>
      <c r="E869" s="121"/>
      <c r="F869" s="122"/>
    </row>
    <row r="870" spans="1:6" x14ac:dyDescent="0.2">
      <c r="A870" s="132">
        <v>856</v>
      </c>
      <c r="B870" s="123" t="s">
        <v>170</v>
      </c>
      <c r="C870" s="121"/>
      <c r="D870" s="121"/>
      <c r="E870" s="124">
        <f>+'[3]Adj. #8'!$D$23</f>
        <v>365748.34</v>
      </c>
      <c r="F870" s="122"/>
    </row>
    <row r="871" spans="1:6" x14ac:dyDescent="0.2">
      <c r="A871" s="132">
        <v>857</v>
      </c>
      <c r="B871" s="120"/>
      <c r="C871" s="121"/>
      <c r="D871" s="121"/>
      <c r="E871" s="124"/>
      <c r="F871" s="122"/>
    </row>
    <row r="872" spans="1:6" ht="13.5" thickBot="1" x14ac:dyDescent="0.25">
      <c r="A872" s="132">
        <v>858</v>
      </c>
      <c r="B872" s="126" t="str">
        <f>CONCATENATE(MID(B870,1,4)," - Adjustment")</f>
        <v>A926 - Adjustment</v>
      </c>
      <c r="C872" s="121"/>
      <c r="D872" s="121"/>
      <c r="E872" s="133">
        <f>+E870</f>
        <v>365748.34</v>
      </c>
      <c r="F872" s="127"/>
    </row>
    <row r="873" spans="1:6" ht="13.5" thickTop="1" x14ac:dyDescent="0.2">
      <c r="A873" s="132">
        <v>859</v>
      </c>
      <c r="B873" s="128"/>
      <c r="C873" s="129"/>
      <c r="D873" s="129"/>
      <c r="E873" s="129"/>
      <c r="F873" s="130"/>
    </row>
    <row r="874" spans="1:6" x14ac:dyDescent="0.2">
      <c r="A874" s="132">
        <v>860</v>
      </c>
    </row>
    <row r="875" spans="1:6" x14ac:dyDescent="0.2">
      <c r="A875" s="132">
        <v>861</v>
      </c>
      <c r="B875" s="131" t="s">
        <v>183</v>
      </c>
      <c r="C875" s="117" t="s">
        <v>159</v>
      </c>
      <c r="D875" s="117" t="s">
        <v>184</v>
      </c>
      <c r="E875" s="118"/>
      <c r="F875" s="119" t="s">
        <v>468</v>
      </c>
    </row>
    <row r="876" spans="1:6" x14ac:dyDescent="0.2">
      <c r="A876" s="132">
        <v>862</v>
      </c>
      <c r="B876" s="120"/>
      <c r="C876" s="121"/>
      <c r="D876" s="121"/>
      <c r="E876" s="121"/>
      <c r="F876" s="122"/>
    </row>
    <row r="877" spans="1:6" x14ac:dyDescent="0.2">
      <c r="A877" s="132">
        <v>863</v>
      </c>
      <c r="B877" s="126" t="s">
        <v>475</v>
      </c>
      <c r="C877" s="121"/>
      <c r="D877" s="121"/>
      <c r="E877" s="121"/>
      <c r="F877" s="122"/>
    </row>
    <row r="878" spans="1:6" x14ac:dyDescent="0.2">
      <c r="A878" s="132">
        <v>864</v>
      </c>
      <c r="B878" s="120"/>
      <c r="C878" s="121"/>
      <c r="D878" s="121"/>
      <c r="E878" s="121"/>
      <c r="F878" s="122"/>
    </row>
    <row r="879" spans="1:6" x14ac:dyDescent="0.2">
      <c r="A879" s="132">
        <v>865</v>
      </c>
      <c r="B879" s="123" t="s">
        <v>170</v>
      </c>
      <c r="C879" s="121"/>
      <c r="D879" s="121"/>
      <c r="E879" s="124">
        <f>+'[3]Adj. #9'!$D$23</f>
        <v>87693.69</v>
      </c>
      <c r="F879" s="122"/>
    </row>
    <row r="880" spans="1:6" x14ac:dyDescent="0.2">
      <c r="A880" s="132">
        <v>866</v>
      </c>
      <c r="B880" s="120"/>
      <c r="C880" s="121"/>
      <c r="D880" s="121"/>
      <c r="E880" s="124"/>
      <c r="F880" s="122"/>
    </row>
    <row r="881" spans="1:6" ht="13.5" thickBot="1" x14ac:dyDescent="0.25">
      <c r="A881" s="132">
        <v>867</v>
      </c>
      <c r="B881" s="126" t="str">
        <f>CONCATENATE(MID(B879,1,4)," - Adjustment")</f>
        <v>A926 - Adjustment</v>
      </c>
      <c r="C881" s="121"/>
      <c r="D881" s="121"/>
      <c r="E881" s="133">
        <f>+E879</f>
        <v>87693.69</v>
      </c>
      <c r="F881" s="127"/>
    </row>
    <row r="882" spans="1:6" ht="13.5" thickTop="1" x14ac:dyDescent="0.2">
      <c r="A882" s="132">
        <v>868</v>
      </c>
      <c r="B882" s="128"/>
      <c r="C882" s="129"/>
      <c r="D882" s="129"/>
      <c r="E882" s="129"/>
      <c r="F882" s="130"/>
    </row>
    <row r="883" spans="1:6" x14ac:dyDescent="0.2">
      <c r="A883" s="132">
        <v>869</v>
      </c>
    </row>
    <row r="884" spans="1:6" x14ac:dyDescent="0.2">
      <c r="A884" s="132">
        <v>870</v>
      </c>
      <c r="B884" s="131" t="s">
        <v>186</v>
      </c>
      <c r="C884" s="117" t="s">
        <v>159</v>
      </c>
      <c r="D884" s="117" t="s">
        <v>187</v>
      </c>
      <c r="E884" s="118"/>
      <c r="F884" s="119" t="s">
        <v>468</v>
      </c>
    </row>
    <row r="885" spans="1:6" x14ac:dyDescent="0.2">
      <c r="A885" s="132">
        <v>871</v>
      </c>
      <c r="B885" s="120"/>
      <c r="C885" s="121"/>
      <c r="D885" s="121"/>
      <c r="E885" s="121"/>
      <c r="F885" s="122" t="s">
        <v>543</v>
      </c>
    </row>
    <row r="886" spans="1:6" x14ac:dyDescent="0.2">
      <c r="A886" s="132">
        <v>872</v>
      </c>
      <c r="B886" s="126" t="s">
        <v>476</v>
      </c>
      <c r="C886" s="121"/>
      <c r="D886" s="121"/>
      <c r="E886" s="121"/>
      <c r="F886" s="122"/>
    </row>
    <row r="887" spans="1:6" x14ac:dyDescent="0.2">
      <c r="A887" s="132">
        <v>873</v>
      </c>
      <c r="B887" s="120"/>
      <c r="C887" s="121"/>
      <c r="D887" s="121"/>
      <c r="E887" s="121"/>
      <c r="F887" s="122"/>
    </row>
    <row r="888" spans="1:6" x14ac:dyDescent="0.2">
      <c r="A888" s="132">
        <v>874</v>
      </c>
      <c r="B888" s="123" t="s">
        <v>199</v>
      </c>
      <c r="C888" s="121"/>
      <c r="D888" s="121"/>
      <c r="E888" s="124">
        <f>+'[3]Adj. #10'!$D$23</f>
        <v>225108.27</v>
      </c>
      <c r="F888" s="122"/>
    </row>
    <row r="889" spans="1:6" x14ac:dyDescent="0.2">
      <c r="A889" s="132">
        <v>875</v>
      </c>
      <c r="B889" s="120"/>
      <c r="C889" s="121"/>
      <c r="D889" s="121"/>
      <c r="E889" s="124"/>
      <c r="F889" s="122"/>
    </row>
    <row r="890" spans="1:6" ht="13.5" thickBot="1" x14ac:dyDescent="0.25">
      <c r="A890" s="132">
        <v>876</v>
      </c>
      <c r="B890" s="126" t="str">
        <f>CONCATENATE(MID(B888,1,4)," - Adjustment")</f>
        <v>A921 - Adjustment</v>
      </c>
      <c r="C890" s="121"/>
      <c r="D890" s="121"/>
      <c r="E890" s="133">
        <f>+E888</f>
        <v>225108.27</v>
      </c>
      <c r="F890" s="127"/>
    </row>
    <row r="891" spans="1:6" ht="13.5" thickTop="1" x14ac:dyDescent="0.2">
      <c r="A891" s="132">
        <v>877</v>
      </c>
      <c r="B891" s="128"/>
      <c r="C891" s="129"/>
      <c r="D891" s="129"/>
      <c r="E891" s="129"/>
      <c r="F891" s="130"/>
    </row>
    <row r="892" spans="1:6" x14ac:dyDescent="0.2">
      <c r="A892" s="132">
        <v>878</v>
      </c>
    </row>
    <row r="893" spans="1:6" x14ac:dyDescent="0.2">
      <c r="A893" s="132">
        <v>879</v>
      </c>
      <c r="B893" s="131" t="s">
        <v>189</v>
      </c>
      <c r="C893" s="117" t="s">
        <v>159</v>
      </c>
      <c r="D893" s="117" t="s">
        <v>190</v>
      </c>
      <c r="E893" s="118"/>
      <c r="F893" s="119" t="s">
        <v>468</v>
      </c>
    </row>
    <row r="894" spans="1:6" x14ac:dyDescent="0.2">
      <c r="A894" s="132">
        <v>880</v>
      </c>
      <c r="B894" s="120"/>
      <c r="C894" s="121"/>
      <c r="D894" s="121"/>
      <c r="E894" s="121"/>
      <c r="F894" s="122" t="s">
        <v>543</v>
      </c>
    </row>
    <row r="895" spans="1:6" x14ac:dyDescent="0.2">
      <c r="A895" s="132">
        <v>881</v>
      </c>
      <c r="B895" s="126" t="s">
        <v>355</v>
      </c>
      <c r="C895" s="121"/>
      <c r="D895" s="121"/>
      <c r="E895" s="121"/>
      <c r="F895" s="122"/>
    </row>
    <row r="896" spans="1:6" x14ac:dyDescent="0.2">
      <c r="A896" s="132">
        <v>882</v>
      </c>
      <c r="B896" s="120"/>
      <c r="C896" s="121"/>
      <c r="D896" s="121"/>
      <c r="E896" s="121"/>
      <c r="F896" s="122"/>
    </row>
    <row r="897" spans="1:6" x14ac:dyDescent="0.2">
      <c r="A897" s="132">
        <v>883</v>
      </c>
      <c r="B897" s="123" t="s">
        <v>194</v>
      </c>
      <c r="C897" s="121"/>
      <c r="D897" s="121"/>
      <c r="E897" s="124">
        <f>+'[3]Adj. #11'!$D$23</f>
        <v>1506168.18</v>
      </c>
      <c r="F897" s="122"/>
    </row>
    <row r="898" spans="1:6" x14ac:dyDescent="0.2">
      <c r="A898" s="132">
        <v>884</v>
      </c>
      <c r="B898" s="123" t="s">
        <v>208</v>
      </c>
      <c r="C898" s="121"/>
      <c r="D898" s="121"/>
      <c r="E898" s="163">
        <f>+'[3]Adj. #11'!$D$24</f>
        <v>1699179.27</v>
      </c>
      <c r="F898" s="122"/>
    </row>
    <row r="899" spans="1:6" x14ac:dyDescent="0.2">
      <c r="A899" s="132">
        <v>885</v>
      </c>
      <c r="B899" s="123" t="s">
        <v>182</v>
      </c>
      <c r="C899" s="121"/>
      <c r="D899" s="121"/>
      <c r="E899" s="125">
        <f>+'[3]Adj. #11'!$D$25</f>
        <v>-1140496.6299999999</v>
      </c>
      <c r="F899" s="122"/>
    </row>
    <row r="900" spans="1:6" x14ac:dyDescent="0.2">
      <c r="A900" s="132">
        <v>886</v>
      </c>
      <c r="B900" s="120"/>
      <c r="C900" s="121"/>
      <c r="D900" s="121"/>
      <c r="E900" s="124"/>
      <c r="F900" s="122"/>
    </row>
    <row r="901" spans="1:6" ht="13.5" thickBot="1" x14ac:dyDescent="0.25">
      <c r="A901" s="132">
        <v>887</v>
      </c>
      <c r="B901" s="126" t="s">
        <v>225</v>
      </c>
      <c r="C901" s="121"/>
      <c r="D901" s="121"/>
      <c r="E901" s="133">
        <f>SUM(E897:E900)</f>
        <v>2064850.8200000003</v>
      </c>
      <c r="F901" s="127"/>
    </row>
    <row r="902" spans="1:6" ht="13.5" thickTop="1" x14ac:dyDescent="0.2">
      <c r="A902" s="132">
        <v>888</v>
      </c>
      <c r="B902" s="128"/>
      <c r="C902" s="129"/>
      <c r="D902" s="129"/>
      <c r="E902" s="129"/>
      <c r="F902" s="130"/>
    </row>
    <row r="903" spans="1:6" x14ac:dyDescent="0.2">
      <c r="A903" s="132">
        <v>889</v>
      </c>
    </row>
    <row r="904" spans="1:6" x14ac:dyDescent="0.2">
      <c r="A904" s="132">
        <v>890</v>
      </c>
      <c r="B904" s="131" t="s">
        <v>192</v>
      </c>
      <c r="C904" s="117" t="s">
        <v>159</v>
      </c>
      <c r="D904" s="117" t="s">
        <v>193</v>
      </c>
      <c r="E904" s="118"/>
      <c r="F904" s="119" t="s">
        <v>468</v>
      </c>
    </row>
    <row r="905" spans="1:6" x14ac:dyDescent="0.2">
      <c r="A905" s="132">
        <v>891</v>
      </c>
      <c r="B905" s="120"/>
      <c r="C905" s="121"/>
      <c r="D905" s="121"/>
      <c r="E905" s="121"/>
      <c r="F905" s="122" t="s">
        <v>80</v>
      </c>
    </row>
    <row r="906" spans="1:6" x14ac:dyDescent="0.2">
      <c r="A906" s="132">
        <v>892</v>
      </c>
      <c r="B906" s="126" t="s">
        <v>358</v>
      </c>
      <c r="C906" s="121"/>
      <c r="D906" s="121"/>
      <c r="E906" s="121"/>
      <c r="F906" s="122" t="s">
        <v>545</v>
      </c>
    </row>
    <row r="907" spans="1:6" x14ac:dyDescent="0.2">
      <c r="A907" s="132">
        <v>893</v>
      </c>
      <c r="B907" s="120"/>
      <c r="C907" s="121"/>
      <c r="D907" s="121"/>
      <c r="E907" s="121"/>
      <c r="F907" s="122"/>
    </row>
    <row r="908" spans="1:6" x14ac:dyDescent="0.2">
      <c r="A908" s="132">
        <v>894</v>
      </c>
      <c r="B908" s="123" t="s">
        <v>241</v>
      </c>
      <c r="C908" s="121"/>
      <c r="D908" s="121"/>
      <c r="E908" s="124">
        <f>+'[3]Adj. #12'!$D$23</f>
        <v>148605703.97</v>
      </c>
      <c r="F908" s="122"/>
    </row>
    <row r="909" spans="1:6" x14ac:dyDescent="0.2">
      <c r="A909" s="132">
        <v>895</v>
      </c>
      <c r="B909" s="123" t="s">
        <v>179</v>
      </c>
      <c r="C909" s="121"/>
      <c r="D909" s="121"/>
      <c r="E909" s="125">
        <f>+'[3]Adj. #12'!$D$24</f>
        <v>2966875.26</v>
      </c>
      <c r="F909" s="122"/>
    </row>
    <row r="910" spans="1:6" x14ac:dyDescent="0.2">
      <c r="A910" s="132">
        <v>896</v>
      </c>
      <c r="B910" s="120"/>
      <c r="C910" s="121"/>
      <c r="D910" s="121"/>
      <c r="E910" s="124"/>
      <c r="F910" s="122"/>
    </row>
    <row r="911" spans="1:6" ht="13.5" thickBot="1" x14ac:dyDescent="0.25">
      <c r="A911" s="132">
        <v>897</v>
      </c>
      <c r="B911" s="126" t="s">
        <v>225</v>
      </c>
      <c r="C911" s="121"/>
      <c r="D911" s="121"/>
      <c r="E911" s="133">
        <f>SUM(E908:E910)</f>
        <v>151572579.22999999</v>
      </c>
      <c r="F911" s="127"/>
    </row>
    <row r="912" spans="1:6" ht="13.5" thickTop="1" x14ac:dyDescent="0.2">
      <c r="A912" s="132">
        <v>898</v>
      </c>
      <c r="B912" s="128"/>
      <c r="C912" s="129"/>
      <c r="D912" s="129"/>
      <c r="E912" s="129"/>
      <c r="F912" s="130"/>
    </row>
    <row r="913" spans="1:6" x14ac:dyDescent="0.2">
      <c r="A913" s="132">
        <v>899</v>
      </c>
    </row>
    <row r="914" spans="1:6" x14ac:dyDescent="0.2">
      <c r="A914" s="132">
        <v>900</v>
      </c>
      <c r="B914" s="131" t="s">
        <v>195</v>
      </c>
      <c r="C914" s="117" t="s">
        <v>159</v>
      </c>
      <c r="D914" s="117" t="s">
        <v>196</v>
      </c>
      <c r="E914" s="118"/>
      <c r="F914" s="119" t="s">
        <v>468</v>
      </c>
    </row>
    <row r="915" spans="1:6" x14ac:dyDescent="0.2">
      <c r="A915" s="132">
        <v>901</v>
      </c>
      <c r="B915" s="120"/>
      <c r="C915" s="121"/>
      <c r="D915" s="121"/>
      <c r="E915" s="121"/>
      <c r="F915" s="122" t="s">
        <v>545</v>
      </c>
    </row>
    <row r="916" spans="1:6" x14ac:dyDescent="0.2">
      <c r="A916" s="132">
        <v>902</v>
      </c>
      <c r="B916" s="126" t="s">
        <v>477</v>
      </c>
      <c r="C916" s="121"/>
      <c r="D916" s="121"/>
      <c r="E916" s="121"/>
      <c r="F916" s="122"/>
    </row>
    <row r="917" spans="1:6" x14ac:dyDescent="0.2">
      <c r="A917" s="132">
        <v>903</v>
      </c>
      <c r="B917" s="120"/>
      <c r="C917" s="121"/>
      <c r="D917" s="121"/>
      <c r="E917" s="121"/>
      <c r="F917" s="122"/>
    </row>
    <row r="918" spans="1:6" x14ac:dyDescent="0.2">
      <c r="A918" s="132">
        <v>904</v>
      </c>
      <c r="B918" s="123" t="s">
        <v>170</v>
      </c>
      <c r="C918" s="121"/>
      <c r="D918" s="121"/>
      <c r="E918" s="124">
        <f>+'[3]Adj. #13'!$D$23</f>
        <v>-9005653.1099999994</v>
      </c>
      <c r="F918" s="122"/>
    </row>
    <row r="919" spans="1:6" x14ac:dyDescent="0.2">
      <c r="A919" s="132">
        <v>905</v>
      </c>
      <c r="B919" s="120"/>
      <c r="C919" s="121"/>
      <c r="D919" s="121"/>
      <c r="E919" s="124"/>
      <c r="F919" s="122"/>
    </row>
    <row r="920" spans="1:6" ht="13.5" thickBot="1" x14ac:dyDescent="0.25">
      <c r="A920" s="132">
        <v>906</v>
      </c>
      <c r="B920" s="126" t="str">
        <f>CONCATENATE(MID(B918,1,4)," - Adjustment")</f>
        <v>A926 - Adjustment</v>
      </c>
      <c r="C920" s="121"/>
      <c r="D920" s="121"/>
      <c r="E920" s="133">
        <f>+E918</f>
        <v>-9005653.1099999994</v>
      </c>
      <c r="F920" s="127"/>
    </row>
    <row r="921" spans="1:6" ht="13.5" thickTop="1" x14ac:dyDescent="0.2">
      <c r="A921" s="132">
        <v>907</v>
      </c>
      <c r="B921" s="128"/>
      <c r="C921" s="129"/>
      <c r="D921" s="129"/>
      <c r="E921" s="129"/>
      <c r="F921" s="130"/>
    </row>
    <row r="922" spans="1:6" x14ac:dyDescent="0.2">
      <c r="A922" s="132">
        <v>908</v>
      </c>
    </row>
    <row r="923" spans="1:6" x14ac:dyDescent="0.2">
      <c r="A923" s="132">
        <v>909</v>
      </c>
      <c r="B923" s="131" t="s">
        <v>197</v>
      </c>
      <c r="C923" s="117" t="s">
        <v>159</v>
      </c>
      <c r="D923" s="117" t="s">
        <v>198</v>
      </c>
      <c r="E923" s="118"/>
      <c r="F923" s="119" t="s">
        <v>468</v>
      </c>
    </row>
    <row r="924" spans="1:6" x14ac:dyDescent="0.2">
      <c r="A924" s="132">
        <v>910</v>
      </c>
      <c r="B924" s="120"/>
      <c r="C924" s="121"/>
      <c r="D924" s="121"/>
      <c r="E924" s="121"/>
      <c r="F924" s="122" t="s">
        <v>545</v>
      </c>
    </row>
    <row r="925" spans="1:6" x14ac:dyDescent="0.2">
      <c r="A925" s="132">
        <v>911</v>
      </c>
      <c r="B925" s="126" t="s">
        <v>359</v>
      </c>
      <c r="C925" s="121"/>
      <c r="D925" s="121"/>
      <c r="E925" s="121"/>
      <c r="F925" s="122"/>
    </row>
    <row r="926" spans="1:6" x14ac:dyDescent="0.2">
      <c r="A926" s="132">
        <v>912</v>
      </c>
      <c r="B926" s="120"/>
      <c r="C926" s="121"/>
      <c r="D926" s="121"/>
      <c r="E926" s="121"/>
      <c r="F926" s="122"/>
    </row>
    <row r="927" spans="1:6" x14ac:dyDescent="0.2">
      <c r="A927" s="132">
        <v>913</v>
      </c>
      <c r="B927" s="123" t="s">
        <v>170</v>
      </c>
      <c r="C927" s="121"/>
      <c r="D927" s="121"/>
      <c r="E927" s="124">
        <f>+'[3]Adj. #14'!$D$26</f>
        <v>-7968680.6399999997</v>
      </c>
      <c r="F927" s="122"/>
    </row>
    <row r="928" spans="1:6" x14ac:dyDescent="0.2">
      <c r="A928" s="132">
        <v>914</v>
      </c>
      <c r="B928" s="120"/>
      <c r="C928" s="121"/>
      <c r="D928" s="121"/>
      <c r="E928" s="124"/>
      <c r="F928" s="122"/>
    </row>
    <row r="929" spans="1:6" ht="13.5" thickBot="1" x14ac:dyDescent="0.25">
      <c r="A929" s="132">
        <v>915</v>
      </c>
      <c r="B929" s="126" t="str">
        <f>CONCATENATE(MID(B927,1,4)," - Adjustment")</f>
        <v>A926 - Adjustment</v>
      </c>
      <c r="C929" s="121"/>
      <c r="D929" s="121"/>
      <c r="E929" s="133">
        <f>+E927</f>
        <v>-7968680.6399999997</v>
      </c>
      <c r="F929" s="127"/>
    </row>
    <row r="930" spans="1:6" ht="13.5" thickTop="1" x14ac:dyDescent="0.2">
      <c r="A930" s="132">
        <v>916</v>
      </c>
      <c r="B930" s="128"/>
      <c r="C930" s="129"/>
      <c r="D930" s="129"/>
      <c r="E930" s="129"/>
      <c r="F930" s="130"/>
    </row>
    <row r="931" spans="1:6" x14ac:dyDescent="0.2">
      <c r="A931" s="132">
        <v>917</v>
      </c>
    </row>
    <row r="932" spans="1:6" x14ac:dyDescent="0.2">
      <c r="A932" s="132">
        <v>918</v>
      </c>
      <c r="B932" s="131" t="s">
        <v>201</v>
      </c>
      <c r="C932" s="117" t="s">
        <v>159</v>
      </c>
      <c r="D932" s="117" t="s">
        <v>202</v>
      </c>
      <c r="E932" s="118"/>
      <c r="F932" s="119" t="s">
        <v>468</v>
      </c>
    </row>
    <row r="933" spans="1:6" x14ac:dyDescent="0.2">
      <c r="A933" s="132">
        <v>919</v>
      </c>
      <c r="B933" s="120"/>
      <c r="C933" s="121"/>
      <c r="D933" s="121"/>
      <c r="E933" s="121"/>
      <c r="F933" s="122" t="s">
        <v>545</v>
      </c>
    </row>
    <row r="934" spans="1:6" x14ac:dyDescent="0.2">
      <c r="A934" s="132">
        <v>920</v>
      </c>
      <c r="B934" s="126" t="s">
        <v>357</v>
      </c>
      <c r="C934" s="121"/>
      <c r="D934" s="121"/>
      <c r="E934" s="121"/>
      <c r="F934" s="122"/>
    </row>
    <row r="935" spans="1:6" x14ac:dyDescent="0.2">
      <c r="A935" s="132">
        <v>921</v>
      </c>
      <c r="B935" s="120"/>
      <c r="C935" s="121"/>
      <c r="D935" s="121"/>
      <c r="E935" s="121"/>
      <c r="F935" s="122"/>
    </row>
    <row r="936" spans="1:6" x14ac:dyDescent="0.2">
      <c r="A936" s="132">
        <v>922</v>
      </c>
      <c r="B936" s="123" t="s">
        <v>200</v>
      </c>
      <c r="C936" s="121"/>
      <c r="D936" s="121"/>
      <c r="E936" s="124">
        <f>+'[3]Adj. #15'!$D$23</f>
        <v>532280.16</v>
      </c>
      <c r="F936" s="122"/>
    </row>
    <row r="937" spans="1:6" x14ac:dyDescent="0.2">
      <c r="A937" s="132">
        <v>923</v>
      </c>
      <c r="B937" s="120"/>
      <c r="C937" s="121"/>
      <c r="D937" s="121"/>
      <c r="E937" s="124"/>
      <c r="F937" s="122"/>
    </row>
    <row r="938" spans="1:6" ht="13.5" thickBot="1" x14ac:dyDescent="0.25">
      <c r="A938" s="132">
        <v>924</v>
      </c>
      <c r="B938" s="126" t="str">
        <f>CONCATENATE(MID(B936,1,4)," - Adjustment")</f>
        <v>A904 - Adjustment</v>
      </c>
      <c r="C938" s="121"/>
      <c r="D938" s="121"/>
      <c r="E938" s="133">
        <f>+E936</f>
        <v>532280.16</v>
      </c>
      <c r="F938" s="127"/>
    </row>
    <row r="939" spans="1:6" ht="13.5" thickTop="1" x14ac:dyDescent="0.2">
      <c r="A939" s="132">
        <v>925</v>
      </c>
      <c r="B939" s="128"/>
      <c r="C939" s="129"/>
      <c r="D939" s="129"/>
      <c r="E939" s="129"/>
      <c r="F939" s="130"/>
    </row>
    <row r="940" spans="1:6" x14ac:dyDescent="0.2">
      <c r="A940" s="132">
        <v>926</v>
      </c>
    </row>
    <row r="941" spans="1:6" x14ac:dyDescent="0.2">
      <c r="A941" s="132">
        <v>927</v>
      </c>
      <c r="B941" s="131" t="s">
        <v>204</v>
      </c>
      <c r="C941" s="117" t="s">
        <v>159</v>
      </c>
      <c r="D941" s="117" t="s">
        <v>205</v>
      </c>
      <c r="E941" s="118"/>
      <c r="F941" s="119" t="s">
        <v>468</v>
      </c>
    </row>
    <row r="942" spans="1:6" x14ac:dyDescent="0.2">
      <c r="A942" s="132">
        <v>928</v>
      </c>
      <c r="B942" s="120"/>
      <c r="C942" s="121"/>
      <c r="D942" s="121"/>
      <c r="E942" s="121"/>
      <c r="F942" s="122" t="s">
        <v>545</v>
      </c>
    </row>
    <row r="943" spans="1:6" x14ac:dyDescent="0.2">
      <c r="A943" s="132">
        <v>929</v>
      </c>
      <c r="B943" s="126" t="s">
        <v>356</v>
      </c>
      <c r="C943" s="121"/>
      <c r="D943" s="121"/>
      <c r="E943" s="121"/>
      <c r="F943" s="122"/>
    </row>
    <row r="944" spans="1:6" x14ac:dyDescent="0.2">
      <c r="A944" s="132">
        <v>930</v>
      </c>
      <c r="B944" s="120"/>
      <c r="C944" s="121"/>
      <c r="D944" s="121"/>
      <c r="E944" s="121"/>
      <c r="F944" s="122"/>
    </row>
    <row r="945" spans="1:6" x14ac:dyDescent="0.2">
      <c r="A945" s="132">
        <v>931</v>
      </c>
      <c r="B945" s="123" t="s">
        <v>194</v>
      </c>
      <c r="C945" s="121"/>
      <c r="D945" s="121"/>
      <c r="E945" s="124">
        <f>+'[3]Adj. #16'!$D$23</f>
        <v>35329.22</v>
      </c>
      <c r="F945" s="122"/>
    </row>
    <row r="946" spans="1:6" x14ac:dyDescent="0.2">
      <c r="A946" s="132">
        <v>932</v>
      </c>
      <c r="B946" s="123" t="s">
        <v>208</v>
      </c>
      <c r="C946" s="121"/>
      <c r="D946" s="121"/>
      <c r="E946" s="125">
        <f>+'[3]Adj. #16'!$D$24</f>
        <v>445156.52</v>
      </c>
      <c r="F946" s="122"/>
    </row>
    <row r="947" spans="1:6" x14ac:dyDescent="0.2">
      <c r="A947" s="132">
        <v>933</v>
      </c>
      <c r="B947" s="123"/>
      <c r="C947" s="121"/>
      <c r="D947" s="121"/>
      <c r="E947" s="125"/>
      <c r="F947" s="122"/>
    </row>
    <row r="948" spans="1:6" ht="13.5" thickBot="1" x14ac:dyDescent="0.25">
      <c r="A948" s="132">
        <v>934</v>
      </c>
      <c r="B948" s="126" t="s">
        <v>225</v>
      </c>
      <c r="C948" s="121"/>
      <c r="D948" s="121"/>
      <c r="E948" s="133">
        <f>SUM(E945:E947)</f>
        <v>480485.74</v>
      </c>
      <c r="F948" s="127"/>
    </row>
    <row r="949" spans="1:6" ht="13.5" thickTop="1" x14ac:dyDescent="0.2">
      <c r="A949" s="132">
        <v>935</v>
      </c>
      <c r="B949" s="128"/>
      <c r="C949" s="129"/>
      <c r="D949" s="129"/>
      <c r="E949" s="129"/>
      <c r="F949" s="130"/>
    </row>
    <row r="950" spans="1:6" x14ac:dyDescent="0.2">
      <c r="A950" s="132">
        <v>936</v>
      </c>
    </row>
    <row r="951" spans="1:6" x14ac:dyDescent="0.2">
      <c r="A951" s="132">
        <v>937</v>
      </c>
      <c r="B951" s="131" t="s">
        <v>210</v>
      </c>
      <c r="C951" s="117" t="s">
        <v>159</v>
      </c>
      <c r="D951" s="117" t="s">
        <v>211</v>
      </c>
      <c r="E951" s="118"/>
      <c r="F951" s="119" t="s">
        <v>468</v>
      </c>
    </row>
    <row r="952" spans="1:6" x14ac:dyDescent="0.2">
      <c r="A952" s="132">
        <v>938</v>
      </c>
      <c r="B952" s="120"/>
      <c r="C952" s="121"/>
      <c r="D952" s="121"/>
      <c r="E952" s="121"/>
      <c r="F952" s="122" t="s">
        <v>545</v>
      </c>
    </row>
    <row r="953" spans="1:6" x14ac:dyDescent="0.2">
      <c r="A953" s="132">
        <v>939</v>
      </c>
      <c r="B953" s="126" t="s">
        <v>478</v>
      </c>
      <c r="C953" s="121"/>
      <c r="D953" s="121"/>
      <c r="E953" s="121"/>
      <c r="F953" s="122"/>
    </row>
    <row r="954" spans="1:6" x14ac:dyDescent="0.2">
      <c r="A954" s="132">
        <v>940</v>
      </c>
      <c r="B954" s="120"/>
      <c r="C954" s="121"/>
      <c r="D954" s="121"/>
      <c r="E954" s="121"/>
      <c r="F954" s="122"/>
    </row>
    <row r="955" spans="1:6" x14ac:dyDescent="0.2">
      <c r="A955" s="132">
        <v>941</v>
      </c>
      <c r="B955" s="123" t="s">
        <v>268</v>
      </c>
      <c r="C955" s="121"/>
      <c r="D955" s="121"/>
      <c r="E955" s="124">
        <f>+'[3]Adj. #17'!$D$23</f>
        <v>686957.67</v>
      </c>
      <c r="F955" s="122"/>
    </row>
    <row r="956" spans="1:6" x14ac:dyDescent="0.2">
      <c r="A956" s="132">
        <v>942</v>
      </c>
      <c r="B956" s="123" t="s">
        <v>269</v>
      </c>
      <c r="C956" s="121"/>
      <c r="D956" s="121"/>
      <c r="E956" s="125">
        <f>+'[3]Adj. #17'!$D$24</f>
        <v>6581.33</v>
      </c>
      <c r="F956" s="122"/>
    </row>
    <row r="957" spans="1:6" x14ac:dyDescent="0.2">
      <c r="A957" s="132">
        <v>943</v>
      </c>
      <c r="B957" s="120"/>
      <c r="C957" s="121"/>
      <c r="D957" s="121"/>
      <c r="E957" s="124"/>
      <c r="F957" s="122"/>
    </row>
    <row r="958" spans="1:6" ht="13.5" thickBot="1" x14ac:dyDescent="0.25">
      <c r="A958" s="132">
        <v>944</v>
      </c>
      <c r="B958" s="126" t="s">
        <v>225</v>
      </c>
      <c r="C958" s="121"/>
      <c r="D958" s="121"/>
      <c r="E958" s="133">
        <f>SUM(E955:E957)</f>
        <v>693539</v>
      </c>
      <c r="F958" s="127"/>
    </row>
    <row r="959" spans="1:6" ht="13.5" thickTop="1" x14ac:dyDescent="0.2">
      <c r="A959" s="132">
        <v>945</v>
      </c>
      <c r="B959" s="128"/>
      <c r="C959" s="129"/>
      <c r="D959" s="129"/>
      <c r="E959" s="129"/>
      <c r="F959" s="130"/>
    </row>
    <row r="960" spans="1:6" x14ac:dyDescent="0.2">
      <c r="A960" s="132">
        <v>946</v>
      </c>
    </row>
    <row r="961" spans="1:6" x14ac:dyDescent="0.2">
      <c r="A961" s="132">
        <v>947</v>
      </c>
      <c r="B961" s="131" t="s">
        <v>212</v>
      </c>
      <c r="C961" s="117" t="s">
        <v>159</v>
      </c>
      <c r="D961" s="117" t="s">
        <v>213</v>
      </c>
      <c r="E961" s="118"/>
      <c r="F961" s="119" t="s">
        <v>468</v>
      </c>
    </row>
    <row r="962" spans="1:6" x14ac:dyDescent="0.2">
      <c r="A962" s="132">
        <v>948</v>
      </c>
      <c r="B962" s="120"/>
      <c r="C962" s="121"/>
      <c r="D962" s="121"/>
      <c r="E962" s="121"/>
      <c r="F962" s="122" t="s">
        <v>545</v>
      </c>
    </row>
    <row r="963" spans="1:6" x14ac:dyDescent="0.2">
      <c r="A963" s="132">
        <v>949</v>
      </c>
      <c r="B963" s="126" t="s">
        <v>479</v>
      </c>
      <c r="C963" s="121"/>
      <c r="D963" s="121"/>
      <c r="E963" s="121"/>
      <c r="F963" s="122"/>
    </row>
    <row r="964" spans="1:6" x14ac:dyDescent="0.2">
      <c r="A964" s="132">
        <v>950</v>
      </c>
      <c r="B964" s="120"/>
      <c r="C964" s="121"/>
      <c r="D964" s="121"/>
      <c r="E964" s="121"/>
      <c r="F964" s="122"/>
    </row>
    <row r="965" spans="1:6" x14ac:dyDescent="0.2">
      <c r="A965" s="132">
        <v>951</v>
      </c>
      <c r="B965" s="123" t="s">
        <v>228</v>
      </c>
      <c r="C965" s="121"/>
      <c r="D965" s="121"/>
      <c r="E965" s="124">
        <f>+'[3]Adj. #18'!$D$23</f>
        <v>-10.73</v>
      </c>
      <c r="F965" s="122"/>
    </row>
    <row r="966" spans="1:6" x14ac:dyDescent="0.2">
      <c r="A966" s="132">
        <v>952</v>
      </c>
      <c r="B966" s="120"/>
      <c r="C966" s="121"/>
      <c r="D966" s="121"/>
      <c r="E966" s="124"/>
      <c r="F966" s="122"/>
    </row>
    <row r="967" spans="1:6" ht="13.5" thickBot="1" x14ac:dyDescent="0.25">
      <c r="A967" s="132">
        <v>953</v>
      </c>
      <c r="B967" s="126" t="str">
        <f>CONCATENATE(MID(B965,1,4)," - Adjustment")</f>
        <v>A928 - Adjustment</v>
      </c>
      <c r="C967" s="121"/>
      <c r="D967" s="121"/>
      <c r="E967" s="133">
        <f>+E965</f>
        <v>-10.73</v>
      </c>
      <c r="F967" s="127"/>
    </row>
    <row r="968" spans="1:6" ht="13.5" thickTop="1" x14ac:dyDescent="0.2">
      <c r="A968" s="132">
        <v>954</v>
      </c>
      <c r="B968" s="128"/>
      <c r="C968" s="129"/>
      <c r="D968" s="129"/>
      <c r="E968" s="129"/>
      <c r="F968" s="130"/>
    </row>
    <row r="969" spans="1:6" x14ac:dyDescent="0.2">
      <c r="A969" s="132">
        <v>955</v>
      </c>
    </row>
    <row r="970" spans="1:6" x14ac:dyDescent="0.2">
      <c r="A970" s="132">
        <v>956</v>
      </c>
      <c r="B970" s="131" t="s">
        <v>215</v>
      </c>
      <c r="C970" s="117" t="s">
        <v>159</v>
      </c>
      <c r="D970" s="117" t="s">
        <v>216</v>
      </c>
      <c r="E970" s="118"/>
      <c r="F970" s="119" t="s">
        <v>468</v>
      </c>
    </row>
    <row r="971" spans="1:6" x14ac:dyDescent="0.2">
      <c r="A971" s="132">
        <v>957</v>
      </c>
      <c r="B971" s="120"/>
      <c r="C971" s="121"/>
      <c r="D971" s="121"/>
      <c r="E971" s="121"/>
      <c r="F971" s="122" t="s">
        <v>545</v>
      </c>
    </row>
    <row r="972" spans="1:6" x14ac:dyDescent="0.2">
      <c r="A972" s="132">
        <v>958</v>
      </c>
      <c r="B972" s="126" t="s">
        <v>480</v>
      </c>
      <c r="C972" s="121"/>
      <c r="D972" s="121"/>
      <c r="E972" s="121"/>
      <c r="F972" s="122"/>
    </row>
    <row r="973" spans="1:6" x14ac:dyDescent="0.2">
      <c r="A973" s="132">
        <v>959</v>
      </c>
      <c r="B973" s="120"/>
      <c r="C973" s="121"/>
      <c r="D973" s="121"/>
      <c r="E973" s="121"/>
      <c r="F973" s="122"/>
    </row>
    <row r="974" spans="1:6" x14ac:dyDescent="0.2">
      <c r="A974" s="132">
        <v>960</v>
      </c>
      <c r="B974" s="123" t="s">
        <v>228</v>
      </c>
      <c r="C974" s="121"/>
      <c r="D974" s="121"/>
      <c r="E974" s="124">
        <f>+'[3]Adj. #19'!$D$23</f>
        <v>-148.41</v>
      </c>
      <c r="F974" s="122"/>
    </row>
    <row r="975" spans="1:6" x14ac:dyDescent="0.2">
      <c r="A975" s="132">
        <v>961</v>
      </c>
      <c r="B975" s="120"/>
      <c r="C975" s="121"/>
      <c r="D975" s="121"/>
      <c r="E975" s="124"/>
      <c r="F975" s="122"/>
    </row>
    <row r="976" spans="1:6" ht="13.5" thickBot="1" x14ac:dyDescent="0.25">
      <c r="A976" s="132">
        <v>962</v>
      </c>
      <c r="B976" s="126" t="str">
        <f>CONCATENATE(MID(B974,1,4)," - Adjustment")</f>
        <v>A928 - Adjustment</v>
      </c>
      <c r="C976" s="121"/>
      <c r="D976" s="121"/>
      <c r="E976" s="133">
        <f>+E974</f>
        <v>-148.41</v>
      </c>
      <c r="F976" s="127"/>
    </row>
    <row r="977" spans="1:6" ht="13.5" thickTop="1" x14ac:dyDescent="0.2">
      <c r="A977" s="132">
        <v>963</v>
      </c>
      <c r="B977" s="128"/>
      <c r="C977" s="129"/>
      <c r="D977" s="129"/>
      <c r="E977" s="129"/>
      <c r="F977" s="130"/>
    </row>
    <row r="978" spans="1:6" x14ac:dyDescent="0.2">
      <c r="A978" s="132">
        <v>964</v>
      </c>
    </row>
    <row r="979" spans="1:6" x14ac:dyDescent="0.2">
      <c r="A979" s="132">
        <v>965</v>
      </c>
      <c r="B979" s="131" t="s">
        <v>217</v>
      </c>
      <c r="C979" s="117" t="s">
        <v>159</v>
      </c>
      <c r="D979" s="117" t="s">
        <v>218</v>
      </c>
      <c r="E979" s="118"/>
      <c r="F979" s="119" t="s">
        <v>468</v>
      </c>
    </row>
    <row r="980" spans="1:6" x14ac:dyDescent="0.2">
      <c r="A980" s="132">
        <v>966</v>
      </c>
      <c r="B980" s="120"/>
      <c r="C980" s="121"/>
      <c r="D980" s="121"/>
      <c r="E980" s="121"/>
      <c r="F980" s="122" t="s">
        <v>545</v>
      </c>
    </row>
    <row r="981" spans="1:6" x14ac:dyDescent="0.2">
      <c r="A981" s="132">
        <v>967</v>
      </c>
      <c r="B981" s="126" t="s">
        <v>481</v>
      </c>
      <c r="C981" s="121"/>
      <c r="D981" s="121"/>
      <c r="E981" s="121"/>
      <c r="F981" s="122"/>
    </row>
    <row r="982" spans="1:6" x14ac:dyDescent="0.2">
      <c r="A982" s="132">
        <v>968</v>
      </c>
      <c r="B982" s="120"/>
      <c r="C982" s="121"/>
      <c r="D982" s="121"/>
      <c r="E982" s="121"/>
      <c r="F982" s="122"/>
    </row>
    <row r="983" spans="1:6" x14ac:dyDescent="0.2">
      <c r="A983" s="132">
        <v>969</v>
      </c>
      <c r="B983" s="123" t="s">
        <v>228</v>
      </c>
      <c r="C983" s="121"/>
      <c r="D983" s="121"/>
      <c r="E983" s="124">
        <f>+'[3]Adj. #20'!$D$23</f>
        <v>-5171.8500000000004</v>
      </c>
      <c r="F983" s="122"/>
    </row>
    <row r="984" spans="1:6" x14ac:dyDescent="0.2">
      <c r="A984" s="132">
        <v>970</v>
      </c>
      <c r="B984" s="120"/>
      <c r="C984" s="121"/>
      <c r="D984" s="121"/>
      <c r="E984" s="124"/>
      <c r="F984" s="122"/>
    </row>
    <row r="985" spans="1:6" ht="13.5" thickBot="1" x14ac:dyDescent="0.25">
      <c r="A985" s="132">
        <v>971</v>
      </c>
      <c r="B985" s="126" t="str">
        <f>CONCATENATE(MID(B983,1,4)," - Adjustment")</f>
        <v>A928 - Adjustment</v>
      </c>
      <c r="C985" s="121"/>
      <c r="D985" s="121"/>
      <c r="E985" s="133">
        <f>+E983</f>
        <v>-5171.8500000000004</v>
      </c>
      <c r="F985" s="127"/>
    </row>
    <row r="986" spans="1:6" ht="13.5" thickTop="1" x14ac:dyDescent="0.2">
      <c r="A986" s="132">
        <v>972</v>
      </c>
      <c r="B986" s="128"/>
      <c r="C986" s="129"/>
      <c r="D986" s="129"/>
      <c r="E986" s="129"/>
      <c r="F986" s="130"/>
    </row>
    <row r="987" spans="1:6" x14ac:dyDescent="0.2">
      <c r="A987" s="132">
        <v>973</v>
      </c>
    </row>
    <row r="988" spans="1:6" x14ac:dyDescent="0.2">
      <c r="A988" s="132">
        <v>974</v>
      </c>
      <c r="B988" s="131" t="s">
        <v>219</v>
      </c>
      <c r="C988" s="117" t="s">
        <v>159</v>
      </c>
      <c r="D988" s="117" t="s">
        <v>220</v>
      </c>
      <c r="E988" s="118"/>
      <c r="F988" s="119" t="s">
        <v>468</v>
      </c>
    </row>
    <row r="989" spans="1:6" x14ac:dyDescent="0.2">
      <c r="A989" s="132">
        <v>975</v>
      </c>
      <c r="B989" s="120"/>
      <c r="C989" s="121"/>
      <c r="D989" s="121"/>
      <c r="E989" s="121"/>
      <c r="F989" s="122" t="s">
        <v>545</v>
      </c>
    </row>
    <row r="990" spans="1:6" x14ac:dyDescent="0.2">
      <c r="A990" s="132">
        <v>976</v>
      </c>
      <c r="B990" s="126" t="s">
        <v>482</v>
      </c>
      <c r="C990" s="121"/>
      <c r="D990" s="121"/>
      <c r="E990" s="121"/>
      <c r="F990" s="122"/>
    </row>
    <row r="991" spans="1:6" x14ac:dyDescent="0.2">
      <c r="A991" s="132">
        <v>977</v>
      </c>
      <c r="B991" s="120"/>
      <c r="C991" s="121"/>
      <c r="D991" s="121"/>
      <c r="E991" s="121"/>
      <c r="F991" s="122"/>
    </row>
    <row r="992" spans="1:6" x14ac:dyDescent="0.2">
      <c r="A992" s="132">
        <v>978</v>
      </c>
      <c r="B992" s="123" t="s">
        <v>188</v>
      </c>
      <c r="C992" s="121"/>
      <c r="D992" s="121"/>
      <c r="E992" s="124">
        <f>+'[3]Adj. #21'!$D$23</f>
        <v>-2429.31</v>
      </c>
      <c r="F992" s="122"/>
    </row>
    <row r="993" spans="1:6" x14ac:dyDescent="0.2">
      <c r="A993" s="132">
        <v>979</v>
      </c>
      <c r="B993" s="120"/>
      <c r="C993" s="121"/>
      <c r="D993" s="121"/>
      <c r="E993" s="125"/>
      <c r="F993" s="122"/>
    </row>
    <row r="994" spans="1:6" ht="13.5" thickBot="1" x14ac:dyDescent="0.25">
      <c r="A994" s="132">
        <v>980</v>
      </c>
      <c r="B994" s="126" t="s">
        <v>225</v>
      </c>
      <c r="C994" s="121"/>
      <c r="D994" s="121"/>
      <c r="E994" s="133">
        <f>+E992</f>
        <v>-2429.31</v>
      </c>
      <c r="F994" s="127"/>
    </row>
    <row r="995" spans="1:6" ht="13.5" thickTop="1" x14ac:dyDescent="0.2">
      <c r="A995" s="132">
        <v>981</v>
      </c>
      <c r="B995" s="128"/>
      <c r="C995" s="129"/>
      <c r="D995" s="129"/>
      <c r="E995" s="129"/>
      <c r="F995" s="130"/>
    </row>
    <row r="996" spans="1:6" x14ac:dyDescent="0.2">
      <c r="A996" s="132">
        <v>982</v>
      </c>
    </row>
    <row r="997" spans="1:6" x14ac:dyDescent="0.2">
      <c r="A997" s="132">
        <v>983</v>
      </c>
      <c r="B997" s="131" t="s">
        <v>221</v>
      </c>
      <c r="C997" s="117" t="s">
        <v>159</v>
      </c>
      <c r="D997" s="117" t="s">
        <v>222</v>
      </c>
      <c r="E997" s="118"/>
      <c r="F997" s="119" t="s">
        <v>468</v>
      </c>
    </row>
    <row r="998" spans="1:6" x14ac:dyDescent="0.2">
      <c r="A998" s="132">
        <v>984</v>
      </c>
      <c r="B998" s="120"/>
      <c r="C998" s="121"/>
      <c r="D998" s="121"/>
      <c r="E998" s="121"/>
      <c r="F998" s="122" t="s">
        <v>80</v>
      </c>
    </row>
    <row r="999" spans="1:6" x14ac:dyDescent="0.2">
      <c r="A999" s="132">
        <v>985</v>
      </c>
      <c r="B999" s="126" t="s">
        <v>483</v>
      </c>
      <c r="C999" s="121"/>
      <c r="D999" s="121"/>
      <c r="E999" s="121"/>
      <c r="F999" s="122" t="s">
        <v>545</v>
      </c>
    </row>
    <row r="1000" spans="1:6" x14ac:dyDescent="0.2">
      <c r="A1000" s="132">
        <v>986</v>
      </c>
      <c r="B1000" s="120"/>
      <c r="C1000" s="121"/>
      <c r="D1000" s="121"/>
      <c r="E1000" s="121"/>
      <c r="F1000" s="122" t="s">
        <v>546</v>
      </c>
    </row>
    <row r="1001" spans="1:6" x14ac:dyDescent="0.2">
      <c r="A1001" s="132">
        <v>987</v>
      </c>
      <c r="B1001" s="123" t="s">
        <v>241</v>
      </c>
      <c r="C1001" s="121"/>
      <c r="D1001" s="121"/>
      <c r="E1001" s="124">
        <f>+'[3]Adj. #22'!$D$23</f>
        <v>221558960</v>
      </c>
      <c r="F1001" s="122"/>
    </row>
    <row r="1002" spans="1:6" x14ac:dyDescent="0.2">
      <c r="A1002" s="132">
        <v>988</v>
      </c>
      <c r="B1002" s="123" t="s">
        <v>179</v>
      </c>
      <c r="C1002" s="121"/>
      <c r="D1002" s="121"/>
      <c r="E1002" s="125">
        <f>+'[3]Adj. #22'!$D$24</f>
        <v>10141040</v>
      </c>
      <c r="F1002" s="122"/>
    </row>
    <row r="1003" spans="1:6" x14ac:dyDescent="0.2">
      <c r="A1003" s="132">
        <v>989</v>
      </c>
      <c r="B1003" s="120"/>
      <c r="C1003" s="121"/>
      <c r="D1003" s="121"/>
      <c r="E1003" s="124"/>
      <c r="F1003" s="122"/>
    </row>
    <row r="1004" spans="1:6" ht="13.5" thickBot="1" x14ac:dyDescent="0.25">
      <c r="A1004" s="132">
        <v>990</v>
      </c>
      <c r="B1004" s="126" t="s">
        <v>225</v>
      </c>
      <c r="C1004" s="121"/>
      <c r="D1004" s="121"/>
      <c r="E1004" s="133">
        <f>SUM(E1001:E1003)</f>
        <v>231700000</v>
      </c>
      <c r="F1004" s="127"/>
    </row>
    <row r="1005" spans="1:6" ht="13.5" thickTop="1" x14ac:dyDescent="0.2">
      <c r="A1005" s="132">
        <v>991</v>
      </c>
      <c r="B1005" s="128"/>
      <c r="C1005" s="129"/>
      <c r="D1005" s="129"/>
      <c r="E1005" s="129"/>
      <c r="F1005" s="130"/>
    </row>
    <row r="1006" spans="1:6" x14ac:dyDescent="0.2">
      <c r="A1006" s="132">
        <v>992</v>
      </c>
    </row>
    <row r="1007" spans="1:6" x14ac:dyDescent="0.2">
      <c r="A1007" s="132">
        <v>993</v>
      </c>
      <c r="B1007" s="131" t="s">
        <v>223</v>
      </c>
      <c r="C1007" s="117" t="s">
        <v>159</v>
      </c>
      <c r="D1007" s="117" t="s">
        <v>224</v>
      </c>
      <c r="E1007" s="118"/>
      <c r="F1007" s="119" t="s">
        <v>468</v>
      </c>
    </row>
    <row r="1008" spans="1:6" x14ac:dyDescent="0.2">
      <c r="A1008" s="132">
        <v>994</v>
      </c>
      <c r="B1008" s="120"/>
      <c r="C1008" s="121"/>
      <c r="D1008" s="121"/>
      <c r="E1008" s="121"/>
      <c r="F1008" s="122" t="s">
        <v>80</v>
      </c>
    </row>
    <row r="1009" spans="1:6" x14ac:dyDescent="0.2">
      <c r="A1009" s="132">
        <v>995</v>
      </c>
      <c r="B1009" s="126" t="s">
        <v>484</v>
      </c>
      <c r="C1009" s="121"/>
      <c r="D1009" s="121"/>
      <c r="E1009" s="121"/>
      <c r="F1009" s="122" t="s">
        <v>545</v>
      </c>
    </row>
    <row r="1010" spans="1:6" x14ac:dyDescent="0.2">
      <c r="A1010" s="132">
        <v>996</v>
      </c>
      <c r="B1010" s="120"/>
      <c r="C1010" s="121"/>
      <c r="D1010" s="121"/>
      <c r="E1010" s="121"/>
      <c r="F1010" s="122"/>
    </row>
    <row r="1011" spans="1:6" x14ac:dyDescent="0.2">
      <c r="A1011" s="132">
        <v>997</v>
      </c>
      <c r="B1011" s="123" t="s">
        <v>182</v>
      </c>
      <c r="C1011" s="121"/>
      <c r="D1011" s="121"/>
      <c r="E1011" s="124">
        <f>+'[3]Adj. #23'!$D$23</f>
        <v>-3982.13</v>
      </c>
      <c r="F1011" s="122"/>
    </row>
    <row r="1012" spans="1:6" x14ac:dyDescent="0.2">
      <c r="A1012" s="132">
        <v>998</v>
      </c>
      <c r="B1012" s="123" t="s">
        <v>182</v>
      </c>
      <c r="C1012" s="121"/>
      <c r="D1012" s="121"/>
      <c r="E1012" s="125">
        <f>+'[3]Adj. #23'!$D$24</f>
        <v>-2216.14</v>
      </c>
      <c r="F1012" s="122"/>
    </row>
    <row r="1013" spans="1:6" x14ac:dyDescent="0.2">
      <c r="A1013" s="132">
        <v>999</v>
      </c>
      <c r="B1013" s="123" t="s">
        <v>182</v>
      </c>
      <c r="C1013" s="121"/>
      <c r="D1013" s="121"/>
      <c r="E1013" s="125">
        <f>+'[3]Adj. #23'!$D$25</f>
        <v>-110.99</v>
      </c>
      <c r="F1013" s="122"/>
    </row>
    <row r="1014" spans="1:6" x14ac:dyDescent="0.2">
      <c r="A1014" s="132">
        <v>1000</v>
      </c>
      <c r="B1014" s="123" t="s">
        <v>182</v>
      </c>
      <c r="C1014" s="121"/>
      <c r="D1014" s="121"/>
      <c r="E1014" s="125">
        <f>+'[3]Adj. #23'!$D$26</f>
        <v>-1218529.55</v>
      </c>
      <c r="F1014" s="122"/>
    </row>
    <row r="1015" spans="1:6" x14ac:dyDescent="0.2">
      <c r="A1015" s="132">
        <v>1001</v>
      </c>
      <c r="B1015" s="123" t="s">
        <v>182</v>
      </c>
      <c r="C1015" s="121"/>
      <c r="D1015" s="121"/>
      <c r="E1015" s="125">
        <f>+'[3]Adj. #23'!$D$27</f>
        <v>-87039</v>
      </c>
      <c r="F1015" s="122"/>
    </row>
    <row r="1016" spans="1:6" x14ac:dyDescent="0.2">
      <c r="A1016" s="132">
        <v>1002</v>
      </c>
      <c r="B1016" s="123" t="s">
        <v>182</v>
      </c>
      <c r="C1016" s="121"/>
      <c r="D1016" s="121"/>
      <c r="E1016" s="125">
        <f>+'[3]Adj. #23'!$D$28</f>
        <v>-11695.73</v>
      </c>
      <c r="F1016" s="122"/>
    </row>
    <row r="1017" spans="1:6" x14ac:dyDescent="0.2">
      <c r="A1017" s="132">
        <v>1003</v>
      </c>
      <c r="B1017" s="120"/>
      <c r="C1017" s="121"/>
      <c r="D1017" s="121"/>
      <c r="E1017" s="125"/>
      <c r="F1017" s="122"/>
    </row>
    <row r="1018" spans="1:6" ht="13.5" thickBot="1" x14ac:dyDescent="0.25">
      <c r="A1018" s="132">
        <v>1004</v>
      </c>
      <c r="B1018" s="126" t="s">
        <v>225</v>
      </c>
      <c r="C1018" s="121"/>
      <c r="D1018" s="121"/>
      <c r="E1018" s="133">
        <f>SUM(E1011:E1017)</f>
        <v>-1323573.54</v>
      </c>
      <c r="F1018" s="127"/>
    </row>
    <row r="1019" spans="1:6" ht="13.5" thickTop="1" x14ac:dyDescent="0.2">
      <c r="A1019" s="132">
        <v>1005</v>
      </c>
      <c r="B1019" s="128"/>
      <c r="C1019" s="129"/>
      <c r="D1019" s="129"/>
      <c r="E1019" s="129"/>
      <c r="F1019" s="130"/>
    </row>
    <row r="1020" spans="1:6" x14ac:dyDescent="0.2">
      <c r="A1020" s="132">
        <v>1006</v>
      </c>
    </row>
    <row r="1021" spans="1:6" x14ac:dyDescent="0.2">
      <c r="A1021" s="132">
        <v>1007</v>
      </c>
      <c r="B1021" s="131" t="s">
        <v>226</v>
      </c>
      <c r="C1021" s="117" t="s">
        <v>159</v>
      </c>
      <c r="D1021" s="117" t="s">
        <v>227</v>
      </c>
      <c r="E1021" s="118"/>
      <c r="F1021" s="119" t="s">
        <v>468</v>
      </c>
    </row>
    <row r="1022" spans="1:6" x14ac:dyDescent="0.2">
      <c r="A1022" s="132">
        <v>1008</v>
      </c>
      <c r="B1022" s="120"/>
      <c r="C1022" s="121"/>
      <c r="D1022" s="121"/>
      <c r="E1022" s="121"/>
      <c r="F1022" s="122"/>
    </row>
    <row r="1023" spans="1:6" x14ac:dyDescent="0.2">
      <c r="A1023" s="132">
        <v>1009</v>
      </c>
      <c r="B1023" s="126" t="s">
        <v>485</v>
      </c>
      <c r="C1023" s="121"/>
      <c r="D1023" s="121"/>
      <c r="E1023" s="121"/>
      <c r="F1023" s="122"/>
    </row>
    <row r="1024" spans="1:6" x14ac:dyDescent="0.2">
      <c r="A1024" s="132">
        <v>1010</v>
      </c>
      <c r="B1024" s="120"/>
      <c r="C1024" s="121"/>
      <c r="D1024" s="121"/>
      <c r="E1024" s="121"/>
      <c r="F1024" s="122"/>
    </row>
    <row r="1025" spans="1:6" x14ac:dyDescent="0.2">
      <c r="A1025" s="132">
        <v>1011</v>
      </c>
      <c r="B1025" s="123" t="s">
        <v>182</v>
      </c>
      <c r="C1025" s="121"/>
      <c r="D1025" s="121"/>
      <c r="E1025" s="124">
        <f>+'[3]Adj. #24'!$D$25</f>
        <v>-7880990.5199999996</v>
      </c>
      <c r="F1025" s="122"/>
    </row>
    <row r="1026" spans="1:6" x14ac:dyDescent="0.2">
      <c r="A1026" s="132">
        <v>1012</v>
      </c>
      <c r="B1026" s="123" t="s">
        <v>199</v>
      </c>
      <c r="C1026" s="121"/>
      <c r="D1026" s="121"/>
      <c r="E1026" s="163">
        <f>+'[3]Adj. #24'!$D$26</f>
        <v>-27323.68</v>
      </c>
      <c r="F1026" s="122"/>
    </row>
    <row r="1027" spans="1:6" x14ac:dyDescent="0.2">
      <c r="A1027" s="132">
        <v>1013</v>
      </c>
      <c r="B1027" s="123" t="s">
        <v>185</v>
      </c>
      <c r="C1027" s="121"/>
      <c r="D1027" s="121"/>
      <c r="E1027" s="163">
        <f>+'[3]Adj. #24'!$D$27</f>
        <v>-367675.57</v>
      </c>
      <c r="F1027" s="122"/>
    </row>
    <row r="1028" spans="1:6" x14ac:dyDescent="0.2">
      <c r="A1028" s="132">
        <v>1014</v>
      </c>
      <c r="B1028" s="123" t="s">
        <v>170</v>
      </c>
      <c r="C1028" s="121"/>
      <c r="D1028" s="121"/>
      <c r="E1028" s="163">
        <f>+'[3]Adj. #24'!$D$28</f>
        <v>8191251.5300000003</v>
      </c>
      <c r="F1028" s="122"/>
    </row>
    <row r="1029" spans="1:6" x14ac:dyDescent="0.2">
      <c r="A1029" s="132">
        <v>1015</v>
      </c>
      <c r="B1029" s="123" t="s">
        <v>486</v>
      </c>
      <c r="C1029" s="121"/>
      <c r="D1029" s="121"/>
      <c r="E1029" s="163">
        <f>+'[3]Adj. #24'!$D$29</f>
        <v>-20015</v>
      </c>
      <c r="F1029" s="122"/>
    </row>
    <row r="1030" spans="1:6" x14ac:dyDescent="0.2">
      <c r="A1030" s="132">
        <v>1016</v>
      </c>
      <c r="B1030" s="123" t="s">
        <v>209</v>
      </c>
      <c r="C1030" s="121"/>
      <c r="D1030" s="121"/>
      <c r="E1030" s="163">
        <f>+'[3]Adj. #24'!$D$30</f>
        <v>-13586.34</v>
      </c>
      <c r="F1030" s="122"/>
    </row>
    <row r="1031" spans="1:6" x14ac:dyDescent="0.2">
      <c r="A1031" s="132">
        <v>1017</v>
      </c>
      <c r="B1031" s="120"/>
      <c r="C1031" s="121"/>
      <c r="D1031" s="121"/>
      <c r="E1031" s="124"/>
      <c r="F1031" s="122"/>
    </row>
    <row r="1032" spans="1:6" ht="13.5" thickBot="1" x14ac:dyDescent="0.25">
      <c r="A1032" s="132">
        <v>1018</v>
      </c>
      <c r="B1032" s="126" t="s">
        <v>225</v>
      </c>
      <c r="C1032" s="121"/>
      <c r="D1032" s="121"/>
      <c r="E1032" s="133">
        <f>SUM(E1025:E1031)</f>
        <v>-118339.57999999929</v>
      </c>
      <c r="F1032" s="127"/>
    </row>
    <row r="1033" spans="1:6" ht="13.5" thickTop="1" x14ac:dyDescent="0.2">
      <c r="A1033" s="132">
        <v>1019</v>
      </c>
      <c r="B1033" s="128"/>
      <c r="C1033" s="129"/>
      <c r="D1033" s="129"/>
      <c r="E1033" s="129"/>
      <c r="F1033" s="130"/>
    </row>
    <row r="1034" spans="1:6" x14ac:dyDescent="0.2">
      <c r="A1034" s="132">
        <v>1020</v>
      </c>
    </row>
    <row r="1035" spans="1:6" x14ac:dyDescent="0.2">
      <c r="A1035" s="132">
        <v>1021</v>
      </c>
      <c r="B1035" s="131" t="s">
        <v>229</v>
      </c>
      <c r="C1035" s="117" t="s">
        <v>159</v>
      </c>
      <c r="D1035" s="117" t="s">
        <v>230</v>
      </c>
      <c r="E1035" s="118"/>
      <c r="F1035" s="119" t="s">
        <v>468</v>
      </c>
    </row>
    <row r="1036" spans="1:6" x14ac:dyDescent="0.2">
      <c r="A1036" s="132">
        <v>1022</v>
      </c>
      <c r="B1036" s="120"/>
      <c r="C1036" s="121"/>
      <c r="D1036" s="121"/>
      <c r="E1036" s="121"/>
      <c r="F1036" s="122" t="s">
        <v>547</v>
      </c>
    </row>
    <row r="1037" spans="1:6" x14ac:dyDescent="0.2">
      <c r="A1037" s="132">
        <v>1023</v>
      </c>
      <c r="B1037" s="126" t="s">
        <v>487</v>
      </c>
      <c r="C1037" s="121"/>
      <c r="D1037" s="121"/>
      <c r="E1037" s="121"/>
      <c r="F1037" s="122"/>
    </row>
    <row r="1038" spans="1:6" x14ac:dyDescent="0.2">
      <c r="A1038" s="132">
        <v>1024</v>
      </c>
      <c r="B1038" s="120"/>
      <c r="C1038" s="121"/>
      <c r="D1038" s="121"/>
      <c r="E1038" s="121"/>
      <c r="F1038" s="122"/>
    </row>
    <row r="1039" spans="1:6" x14ac:dyDescent="0.2">
      <c r="A1039" s="132">
        <v>1025</v>
      </c>
      <c r="B1039" s="123" t="s">
        <v>203</v>
      </c>
      <c r="C1039" s="121"/>
      <c r="D1039" s="121"/>
      <c r="E1039" s="124">
        <f>+'[3]Adj. #25'!$D$23</f>
        <v>763564.99</v>
      </c>
      <c r="F1039" s="122"/>
    </row>
    <row r="1040" spans="1:6" x14ac:dyDescent="0.2">
      <c r="A1040" s="132">
        <v>1026</v>
      </c>
      <c r="B1040" s="120"/>
      <c r="C1040" s="121"/>
      <c r="D1040" s="121"/>
      <c r="E1040" s="124"/>
      <c r="F1040" s="122"/>
    </row>
    <row r="1041" spans="1:6" ht="13.5" thickBot="1" x14ac:dyDescent="0.25">
      <c r="A1041" s="132">
        <v>1027</v>
      </c>
      <c r="B1041" s="126" t="s">
        <v>225</v>
      </c>
      <c r="C1041" s="121"/>
      <c r="D1041" s="121"/>
      <c r="E1041" s="133">
        <f>+E1039</f>
        <v>763564.99</v>
      </c>
      <c r="F1041" s="127"/>
    </row>
    <row r="1042" spans="1:6" ht="13.5" thickTop="1" x14ac:dyDescent="0.2">
      <c r="A1042" s="132">
        <v>1028</v>
      </c>
      <c r="B1042" s="128"/>
      <c r="C1042" s="129"/>
      <c r="D1042" s="129"/>
      <c r="E1042" s="129"/>
      <c r="F1042" s="130"/>
    </row>
    <row r="1043" spans="1:6" x14ac:dyDescent="0.2">
      <c r="A1043" s="132">
        <v>1029</v>
      </c>
      <c r="B1043" s="121"/>
      <c r="C1043" s="121"/>
      <c r="D1043" s="121"/>
      <c r="E1043" s="121"/>
      <c r="F1043" s="121"/>
    </row>
    <row r="1044" spans="1:6" x14ac:dyDescent="0.2">
      <c r="A1044" s="132">
        <v>1030</v>
      </c>
      <c r="B1044" s="131" t="s">
        <v>233</v>
      </c>
      <c r="C1044" s="117" t="s">
        <v>159</v>
      </c>
      <c r="D1044" s="117" t="s">
        <v>234</v>
      </c>
      <c r="E1044" s="118"/>
      <c r="F1044" s="119" t="s">
        <v>468</v>
      </c>
    </row>
    <row r="1045" spans="1:6" x14ac:dyDescent="0.2">
      <c r="A1045" s="132">
        <v>1031</v>
      </c>
      <c r="B1045" s="120"/>
      <c r="C1045" s="121"/>
      <c r="D1045" s="121"/>
      <c r="E1045" s="121"/>
      <c r="F1045" s="122" t="s">
        <v>548</v>
      </c>
    </row>
    <row r="1046" spans="1:6" x14ac:dyDescent="0.2">
      <c r="A1046" s="132">
        <v>1032</v>
      </c>
      <c r="B1046" s="126" t="s">
        <v>488</v>
      </c>
      <c r="C1046" s="121"/>
      <c r="D1046" s="121"/>
      <c r="E1046" s="121"/>
      <c r="F1046" s="122"/>
    </row>
    <row r="1047" spans="1:6" x14ac:dyDescent="0.2">
      <c r="A1047" s="132">
        <v>1033</v>
      </c>
      <c r="B1047" s="120"/>
      <c r="C1047" s="121"/>
      <c r="D1047" s="121"/>
      <c r="E1047" s="121"/>
      <c r="F1047" s="122"/>
    </row>
    <row r="1048" spans="1:6" x14ac:dyDescent="0.2">
      <c r="A1048" s="132">
        <v>1034</v>
      </c>
      <c r="B1048" s="123" t="s">
        <v>185</v>
      </c>
      <c r="C1048" s="121"/>
      <c r="D1048" s="121"/>
      <c r="E1048" s="124">
        <f>+'[3]Adj. #26'!$D$23</f>
        <v>947743.96</v>
      </c>
      <c r="F1048" s="122"/>
    </row>
    <row r="1049" spans="1:6" x14ac:dyDescent="0.2">
      <c r="A1049" s="132">
        <v>1035</v>
      </c>
      <c r="B1049" s="120"/>
      <c r="C1049" s="121"/>
      <c r="D1049" s="121"/>
      <c r="E1049" s="124"/>
      <c r="F1049" s="122"/>
    </row>
    <row r="1050" spans="1:6" ht="13.5" thickBot="1" x14ac:dyDescent="0.25">
      <c r="A1050" s="132">
        <v>1036</v>
      </c>
      <c r="B1050" s="126" t="s">
        <v>225</v>
      </c>
      <c r="C1050" s="121"/>
      <c r="D1050" s="121"/>
      <c r="E1050" s="133">
        <f>+E1048</f>
        <v>947743.96</v>
      </c>
      <c r="F1050" s="127"/>
    </row>
    <row r="1051" spans="1:6" ht="13.5" thickTop="1" x14ac:dyDescent="0.2">
      <c r="A1051" s="132">
        <v>1037</v>
      </c>
      <c r="B1051" s="128"/>
      <c r="C1051" s="129"/>
      <c r="D1051" s="129"/>
      <c r="E1051" s="129"/>
      <c r="F1051" s="130"/>
    </row>
    <row r="1052" spans="1:6" x14ac:dyDescent="0.2">
      <c r="A1052" s="132">
        <v>1038</v>
      </c>
      <c r="B1052" s="121"/>
      <c r="C1052" s="121"/>
      <c r="D1052" s="121"/>
      <c r="E1052" s="121"/>
      <c r="F1052" s="121"/>
    </row>
    <row r="1053" spans="1:6" x14ac:dyDescent="0.2">
      <c r="A1053" s="132">
        <v>1039</v>
      </c>
    </row>
    <row r="1054" spans="1:6" x14ac:dyDescent="0.2">
      <c r="A1054" s="132">
        <v>1040</v>
      </c>
      <c r="B1054" s="131" t="s">
        <v>235</v>
      </c>
      <c r="C1054" s="117" t="s">
        <v>159</v>
      </c>
      <c r="D1054" s="117" t="s">
        <v>236</v>
      </c>
      <c r="E1054" s="118"/>
      <c r="F1054" s="119" t="s">
        <v>468</v>
      </c>
    </row>
    <row r="1055" spans="1:6" x14ac:dyDescent="0.2">
      <c r="A1055" s="132">
        <v>1041</v>
      </c>
      <c r="B1055" s="120"/>
      <c r="C1055" s="121"/>
      <c r="D1055" s="121"/>
      <c r="E1055" s="121"/>
      <c r="F1055" s="122" t="s">
        <v>547</v>
      </c>
    </row>
    <row r="1056" spans="1:6" x14ac:dyDescent="0.2">
      <c r="A1056" s="132">
        <v>1042</v>
      </c>
      <c r="B1056" s="126" t="s">
        <v>489</v>
      </c>
      <c r="C1056" s="121"/>
      <c r="D1056" s="121"/>
      <c r="E1056" s="121"/>
      <c r="F1056" s="122"/>
    </row>
    <row r="1057" spans="1:6" x14ac:dyDescent="0.2">
      <c r="A1057" s="132">
        <v>1043</v>
      </c>
      <c r="B1057" s="120"/>
      <c r="C1057" s="121"/>
      <c r="D1057" s="121"/>
      <c r="E1057" s="121"/>
      <c r="F1057" s="122"/>
    </row>
    <row r="1058" spans="1:6" x14ac:dyDescent="0.2">
      <c r="A1058" s="132">
        <v>1044</v>
      </c>
      <c r="B1058" s="123" t="s">
        <v>185</v>
      </c>
      <c r="C1058" s="121"/>
      <c r="D1058" s="121"/>
      <c r="E1058" s="124">
        <f>+'[3]Adj. #27'!$D$23</f>
        <v>1763210.11</v>
      </c>
      <c r="F1058" s="122"/>
    </row>
    <row r="1059" spans="1:6" x14ac:dyDescent="0.2">
      <c r="A1059" s="132">
        <v>1045</v>
      </c>
      <c r="B1059" s="120"/>
      <c r="C1059" s="121"/>
      <c r="D1059" s="121"/>
      <c r="E1059" s="124"/>
      <c r="F1059" s="122"/>
    </row>
    <row r="1060" spans="1:6" ht="13.5" thickBot="1" x14ac:dyDescent="0.25">
      <c r="A1060" s="132">
        <v>1046</v>
      </c>
      <c r="B1060" s="126" t="s">
        <v>225</v>
      </c>
      <c r="C1060" s="121"/>
      <c r="D1060" s="121"/>
      <c r="E1060" s="133">
        <f>+E1058</f>
        <v>1763210.11</v>
      </c>
      <c r="F1060" s="127"/>
    </row>
    <row r="1061" spans="1:6" ht="13.5" thickTop="1" x14ac:dyDescent="0.2">
      <c r="A1061" s="132">
        <v>1047</v>
      </c>
      <c r="B1061" s="128"/>
      <c r="C1061" s="129"/>
      <c r="D1061" s="129"/>
      <c r="E1061" s="129"/>
      <c r="F1061" s="130"/>
    </row>
    <row r="1062" spans="1:6" x14ac:dyDescent="0.2">
      <c r="A1062" s="132">
        <v>1048</v>
      </c>
    </row>
    <row r="1063" spans="1:6" x14ac:dyDescent="0.2">
      <c r="A1063" s="132">
        <v>1049</v>
      </c>
      <c r="B1063" s="131" t="s">
        <v>237</v>
      </c>
      <c r="C1063" s="117" t="s">
        <v>159</v>
      </c>
      <c r="D1063" s="117" t="s">
        <v>238</v>
      </c>
      <c r="E1063" s="118"/>
      <c r="F1063" s="119" t="s">
        <v>468</v>
      </c>
    </row>
    <row r="1064" spans="1:6" x14ac:dyDescent="0.2">
      <c r="A1064" s="132">
        <v>1050</v>
      </c>
      <c r="B1064" s="120"/>
      <c r="C1064" s="121"/>
      <c r="D1064" s="121"/>
      <c r="E1064" s="121"/>
      <c r="F1064" s="122"/>
    </row>
    <row r="1065" spans="1:6" x14ac:dyDescent="0.2">
      <c r="A1065" s="132">
        <v>1051</v>
      </c>
      <c r="B1065" s="126" t="s">
        <v>490</v>
      </c>
      <c r="C1065" s="121"/>
      <c r="D1065" s="121"/>
      <c r="E1065" s="121"/>
      <c r="F1065" s="122"/>
    </row>
    <row r="1066" spans="1:6" x14ac:dyDescent="0.2">
      <c r="A1066" s="132">
        <v>1052</v>
      </c>
      <c r="B1066" s="120"/>
      <c r="C1066" s="121"/>
      <c r="D1066" s="121"/>
      <c r="E1066" s="121"/>
      <c r="F1066" s="122"/>
    </row>
    <row r="1067" spans="1:6" x14ac:dyDescent="0.2">
      <c r="A1067" s="132">
        <v>1053</v>
      </c>
      <c r="B1067" s="123" t="s">
        <v>228</v>
      </c>
      <c r="C1067" s="121"/>
      <c r="D1067" s="121"/>
      <c r="E1067" s="124">
        <f>+'[3]Adj. #28'!$D$23</f>
        <v>-5547316.1799999997</v>
      </c>
      <c r="F1067" s="122"/>
    </row>
    <row r="1068" spans="1:6" x14ac:dyDescent="0.2">
      <c r="A1068" s="132">
        <v>1054</v>
      </c>
      <c r="B1068" s="120"/>
      <c r="C1068" s="121"/>
      <c r="D1068" s="121"/>
      <c r="E1068" s="124"/>
      <c r="F1068" s="122"/>
    </row>
    <row r="1069" spans="1:6" ht="13.5" thickBot="1" x14ac:dyDescent="0.25">
      <c r="A1069" s="132">
        <v>1055</v>
      </c>
      <c r="B1069" s="126" t="s">
        <v>225</v>
      </c>
      <c r="C1069" s="121"/>
      <c r="D1069" s="121"/>
      <c r="E1069" s="133">
        <f>+E1067</f>
        <v>-5547316.1799999997</v>
      </c>
      <c r="F1069" s="127"/>
    </row>
    <row r="1070" spans="1:6" ht="13.5" thickTop="1" x14ac:dyDescent="0.2">
      <c r="A1070" s="132">
        <v>1056</v>
      </c>
      <c r="B1070" s="128"/>
      <c r="C1070" s="129"/>
      <c r="D1070" s="129"/>
      <c r="E1070" s="129"/>
      <c r="F1070" s="130"/>
    </row>
    <row r="1071" spans="1:6" x14ac:dyDescent="0.2">
      <c r="A1071" s="132">
        <v>1057</v>
      </c>
    </row>
    <row r="1072" spans="1:6" x14ac:dyDescent="0.2">
      <c r="A1072" s="132">
        <v>1058</v>
      </c>
      <c r="B1072" s="131" t="s">
        <v>239</v>
      </c>
      <c r="C1072" s="117" t="s">
        <v>159</v>
      </c>
      <c r="D1072" s="117" t="s">
        <v>240</v>
      </c>
      <c r="E1072" s="118"/>
      <c r="F1072" s="119" t="s">
        <v>468</v>
      </c>
    </row>
    <row r="1073" spans="1:6" x14ac:dyDescent="0.2">
      <c r="A1073" s="132">
        <v>1059</v>
      </c>
      <c r="B1073" s="120"/>
      <c r="C1073" s="121"/>
      <c r="D1073" s="121"/>
      <c r="E1073" s="121"/>
      <c r="F1073" s="122" t="s">
        <v>549</v>
      </c>
    </row>
    <row r="1074" spans="1:6" x14ac:dyDescent="0.2">
      <c r="A1074" s="132">
        <v>1060</v>
      </c>
      <c r="B1074" s="126" t="s">
        <v>491</v>
      </c>
      <c r="C1074" s="121"/>
      <c r="D1074" s="121"/>
      <c r="E1074" s="121"/>
      <c r="F1074" s="122"/>
    </row>
    <row r="1075" spans="1:6" x14ac:dyDescent="0.2">
      <c r="A1075" s="132">
        <v>1061</v>
      </c>
      <c r="B1075" s="120"/>
      <c r="C1075" s="121"/>
      <c r="D1075" s="121"/>
      <c r="E1075" s="121"/>
      <c r="F1075" s="122"/>
    </row>
    <row r="1076" spans="1:6" x14ac:dyDescent="0.2">
      <c r="A1076" s="132">
        <v>1062</v>
      </c>
      <c r="B1076" s="123" t="s">
        <v>228</v>
      </c>
      <c r="C1076" s="121"/>
      <c r="D1076" s="121"/>
      <c r="E1076" s="124">
        <f>+'[3]Adj. #29'!$D$28</f>
        <v>994065.7</v>
      </c>
      <c r="F1076" s="122"/>
    </row>
    <row r="1077" spans="1:6" x14ac:dyDescent="0.2">
      <c r="A1077" s="132">
        <v>1063</v>
      </c>
      <c r="B1077" s="120"/>
      <c r="C1077" s="121"/>
      <c r="D1077" s="121"/>
      <c r="E1077" s="124"/>
      <c r="F1077" s="122"/>
    </row>
    <row r="1078" spans="1:6" ht="13.5" thickBot="1" x14ac:dyDescent="0.25">
      <c r="A1078" s="132">
        <v>1064</v>
      </c>
      <c r="B1078" s="126" t="s">
        <v>225</v>
      </c>
      <c r="C1078" s="121"/>
      <c r="D1078" s="121"/>
      <c r="E1078" s="133">
        <f>+E1076</f>
        <v>994065.7</v>
      </c>
      <c r="F1078" s="127"/>
    </row>
    <row r="1079" spans="1:6" ht="13.5" thickTop="1" x14ac:dyDescent="0.2">
      <c r="A1079" s="132">
        <v>1065</v>
      </c>
      <c r="B1079" s="128"/>
      <c r="C1079" s="129"/>
      <c r="D1079" s="129"/>
      <c r="E1079" s="129"/>
      <c r="F1079" s="130"/>
    </row>
    <row r="1080" spans="1:6" x14ac:dyDescent="0.2">
      <c r="A1080" s="132">
        <v>1066</v>
      </c>
    </row>
    <row r="1081" spans="1:6" x14ac:dyDescent="0.2">
      <c r="A1081" s="132">
        <v>1067</v>
      </c>
      <c r="B1081" s="131" t="s">
        <v>242</v>
      </c>
      <c r="C1081" s="117" t="s">
        <v>159</v>
      </c>
      <c r="D1081" s="117" t="s">
        <v>243</v>
      </c>
      <c r="E1081" s="118"/>
      <c r="F1081" s="119" t="s">
        <v>468</v>
      </c>
    </row>
    <row r="1082" spans="1:6" x14ac:dyDescent="0.2">
      <c r="A1082" s="132">
        <v>1068</v>
      </c>
      <c r="B1082" s="120"/>
      <c r="C1082" s="121"/>
      <c r="D1082" s="121"/>
      <c r="E1082" s="121"/>
      <c r="F1082" s="122" t="s">
        <v>545</v>
      </c>
    </row>
    <row r="1083" spans="1:6" x14ac:dyDescent="0.2">
      <c r="A1083" s="132">
        <v>1069</v>
      </c>
      <c r="B1083" s="126" t="s">
        <v>492</v>
      </c>
      <c r="C1083" s="121"/>
      <c r="D1083" s="121"/>
      <c r="E1083" s="121"/>
      <c r="F1083" s="122"/>
    </row>
    <row r="1084" spans="1:6" x14ac:dyDescent="0.2">
      <c r="A1084" s="132">
        <v>1070</v>
      </c>
      <c r="B1084" s="120"/>
      <c r="C1084" s="121"/>
      <c r="D1084" s="121"/>
      <c r="E1084" s="121"/>
      <c r="F1084" s="122"/>
    </row>
    <row r="1085" spans="1:6" x14ac:dyDescent="0.2">
      <c r="A1085" s="132">
        <v>1071</v>
      </c>
      <c r="B1085" s="123" t="s">
        <v>360</v>
      </c>
      <c r="C1085" s="121"/>
      <c r="D1085" s="121"/>
      <c r="E1085" s="124">
        <f>+'[3]Adj. #30'!$D$23</f>
        <v>-2838233.33</v>
      </c>
      <c r="F1085" s="122"/>
    </row>
    <row r="1086" spans="1:6" x14ac:dyDescent="0.2">
      <c r="A1086" s="132">
        <v>1072</v>
      </c>
      <c r="B1086" s="123" t="s">
        <v>248</v>
      </c>
      <c r="C1086" s="121"/>
      <c r="D1086" s="121"/>
      <c r="E1086" s="163">
        <f>+'[3]Adj. #30'!$D$24</f>
        <v>-2609865.7999999998</v>
      </c>
      <c r="F1086" s="122"/>
    </row>
    <row r="1087" spans="1:6" x14ac:dyDescent="0.2">
      <c r="A1087" s="132">
        <v>1073</v>
      </c>
      <c r="B1087" s="123" t="s">
        <v>214</v>
      </c>
      <c r="C1087" s="121"/>
      <c r="D1087" s="121"/>
      <c r="E1087" s="163">
        <f>+'[3]Adj. #30'!$D$25</f>
        <v>3033.64</v>
      </c>
      <c r="F1087" s="122"/>
    </row>
    <row r="1088" spans="1:6" x14ac:dyDescent="0.2">
      <c r="A1088" s="132">
        <v>1074</v>
      </c>
      <c r="B1088" s="123" t="s">
        <v>185</v>
      </c>
      <c r="C1088" s="121"/>
      <c r="D1088" s="121"/>
      <c r="E1088" s="163">
        <f>+'[3]Adj. #30'!$D$26</f>
        <v>-130539.54</v>
      </c>
      <c r="F1088" s="122"/>
    </row>
    <row r="1089" spans="1:6" x14ac:dyDescent="0.2">
      <c r="A1089" s="132">
        <v>1075</v>
      </c>
      <c r="B1089" s="120"/>
      <c r="C1089" s="121"/>
      <c r="D1089" s="121"/>
      <c r="E1089" s="124"/>
      <c r="F1089" s="122"/>
    </row>
    <row r="1090" spans="1:6" ht="13.5" thickBot="1" x14ac:dyDescent="0.25">
      <c r="A1090" s="132">
        <v>1076</v>
      </c>
      <c r="B1090" s="126" t="str">
        <f>CONCATENATE(MID(B1085,1,4)," - Adjustment")</f>
        <v>A582 - Adjustment</v>
      </c>
      <c r="C1090" s="121"/>
      <c r="D1090" s="121"/>
      <c r="E1090" s="133">
        <f>SUM(E1085:E1089)</f>
        <v>-5575605.0300000003</v>
      </c>
      <c r="F1090" s="127"/>
    </row>
    <row r="1091" spans="1:6" ht="13.5" thickTop="1" x14ac:dyDescent="0.2">
      <c r="A1091" s="132">
        <v>1077</v>
      </c>
      <c r="B1091" s="128"/>
      <c r="C1091" s="129"/>
      <c r="D1091" s="129"/>
      <c r="E1091" s="129"/>
      <c r="F1091" s="130"/>
    </row>
    <row r="1092" spans="1:6" x14ac:dyDescent="0.2">
      <c r="A1092" s="132">
        <v>1078</v>
      </c>
    </row>
    <row r="1093" spans="1:6" x14ac:dyDescent="0.2">
      <c r="A1093" s="132">
        <v>1079</v>
      </c>
      <c r="B1093" s="131" t="s">
        <v>244</v>
      </c>
      <c r="C1093" s="117" t="s">
        <v>159</v>
      </c>
      <c r="D1093" s="117" t="s">
        <v>245</v>
      </c>
      <c r="E1093" s="118"/>
      <c r="F1093" s="119" t="s">
        <v>468</v>
      </c>
    </row>
    <row r="1094" spans="1:6" x14ac:dyDescent="0.2">
      <c r="A1094" s="132">
        <v>1080</v>
      </c>
      <c r="B1094" s="120"/>
      <c r="C1094" s="121"/>
      <c r="D1094" s="121"/>
      <c r="E1094" s="121"/>
      <c r="F1094" s="122" t="s">
        <v>550</v>
      </c>
    </row>
    <row r="1095" spans="1:6" x14ac:dyDescent="0.2">
      <c r="A1095" s="132">
        <v>1081</v>
      </c>
      <c r="B1095" s="126" t="s">
        <v>493</v>
      </c>
      <c r="C1095" s="121"/>
      <c r="D1095" s="121"/>
      <c r="E1095" s="121"/>
      <c r="F1095" s="122"/>
    </row>
    <row r="1096" spans="1:6" x14ac:dyDescent="0.2">
      <c r="A1096" s="132">
        <v>1082</v>
      </c>
      <c r="B1096" s="120"/>
      <c r="C1096" s="121"/>
      <c r="D1096" s="121"/>
      <c r="E1096" s="121"/>
      <c r="F1096" s="122"/>
    </row>
    <row r="1097" spans="1:6" x14ac:dyDescent="0.2">
      <c r="A1097" s="132">
        <v>1083</v>
      </c>
      <c r="B1097" s="123" t="s">
        <v>194</v>
      </c>
      <c r="C1097" s="121"/>
      <c r="D1097" s="121"/>
      <c r="E1097" s="124">
        <f>+'[3]Adj. #31'!$D$23</f>
        <v>1101557.3400000001</v>
      </c>
      <c r="F1097" s="122"/>
    </row>
    <row r="1098" spans="1:6" x14ac:dyDescent="0.2">
      <c r="A1098" s="132">
        <v>1084</v>
      </c>
      <c r="B1098" s="123" t="s">
        <v>208</v>
      </c>
      <c r="C1098" s="121"/>
      <c r="D1098" s="121"/>
      <c r="E1098" s="125">
        <f>+'[3]Adj. #31'!$D$24</f>
        <v>5698446.6600000001</v>
      </c>
      <c r="F1098" s="122"/>
    </row>
    <row r="1099" spans="1:6" x14ac:dyDescent="0.2">
      <c r="A1099" s="132">
        <v>1085</v>
      </c>
      <c r="B1099" s="123" t="s">
        <v>209</v>
      </c>
      <c r="C1099" s="121"/>
      <c r="D1099" s="121"/>
      <c r="E1099" s="125">
        <f>+'[3]Adj. #31'!$D$25</f>
        <v>3319068.21</v>
      </c>
      <c r="F1099" s="122"/>
    </row>
    <row r="1100" spans="1:6" x14ac:dyDescent="0.2">
      <c r="A1100" s="132">
        <v>1086</v>
      </c>
      <c r="B1100" s="120"/>
      <c r="C1100" s="121"/>
      <c r="D1100" s="121"/>
      <c r="E1100" s="124"/>
      <c r="F1100" s="122"/>
    </row>
    <row r="1101" spans="1:6" ht="13.5" thickBot="1" x14ac:dyDescent="0.25">
      <c r="A1101" s="132">
        <v>1087</v>
      </c>
      <c r="B1101" s="126" t="s">
        <v>225</v>
      </c>
      <c r="C1101" s="121"/>
      <c r="D1101" s="121"/>
      <c r="E1101" s="133">
        <f>SUM(E1097:E1100)</f>
        <v>10119072.210000001</v>
      </c>
      <c r="F1101" s="127"/>
    </row>
    <row r="1102" spans="1:6" ht="13.5" thickTop="1" x14ac:dyDescent="0.2">
      <c r="A1102" s="132">
        <v>1088</v>
      </c>
      <c r="B1102" s="128"/>
      <c r="C1102" s="129"/>
      <c r="D1102" s="129"/>
      <c r="E1102" s="129"/>
      <c r="F1102" s="130"/>
    </row>
    <row r="1103" spans="1:6" x14ac:dyDescent="0.2">
      <c r="A1103" s="132">
        <v>1089</v>
      </c>
    </row>
    <row r="1104" spans="1:6" x14ac:dyDescent="0.2">
      <c r="A1104" s="132">
        <v>1090</v>
      </c>
      <c r="B1104" s="131" t="s">
        <v>246</v>
      </c>
      <c r="C1104" s="117" t="s">
        <v>159</v>
      </c>
      <c r="D1104" s="117" t="s">
        <v>247</v>
      </c>
      <c r="E1104" s="118"/>
      <c r="F1104" s="119" t="s">
        <v>468</v>
      </c>
    </row>
    <row r="1105" spans="1:6" x14ac:dyDescent="0.2">
      <c r="A1105" s="132">
        <v>1091</v>
      </c>
      <c r="B1105" s="120"/>
      <c r="C1105" s="121"/>
      <c r="D1105" s="121"/>
      <c r="E1105" s="121"/>
      <c r="F1105" s="122"/>
    </row>
    <row r="1106" spans="1:6" x14ac:dyDescent="0.2">
      <c r="A1106" s="132">
        <v>1092</v>
      </c>
      <c r="B1106" s="126" t="s">
        <v>494</v>
      </c>
      <c r="C1106" s="121"/>
      <c r="D1106" s="121"/>
      <c r="E1106" s="121"/>
      <c r="F1106" s="122"/>
    </row>
    <row r="1107" spans="1:6" x14ac:dyDescent="0.2">
      <c r="A1107" s="132">
        <v>1093</v>
      </c>
      <c r="B1107" s="120"/>
      <c r="C1107" s="121"/>
      <c r="D1107" s="121"/>
      <c r="E1107" s="121"/>
      <c r="F1107" s="122"/>
    </row>
    <row r="1108" spans="1:6" x14ac:dyDescent="0.2">
      <c r="A1108" s="132">
        <v>1094</v>
      </c>
      <c r="B1108" s="123" t="s">
        <v>248</v>
      </c>
      <c r="C1108" s="121"/>
      <c r="D1108" s="121"/>
      <c r="E1108" s="124">
        <f>+'[3]Adj. #32'!D23</f>
        <v>-7.52</v>
      </c>
      <c r="F1108" s="122"/>
    </row>
    <row r="1109" spans="1:6" x14ac:dyDescent="0.2">
      <c r="A1109" s="132">
        <v>1095</v>
      </c>
      <c r="B1109" s="123" t="s">
        <v>248</v>
      </c>
      <c r="C1109" s="121"/>
      <c r="D1109" s="121"/>
      <c r="E1109" s="163">
        <f>+'[3]Adj. #32'!D24</f>
        <v>-89.83</v>
      </c>
      <c r="F1109" s="122"/>
    </row>
    <row r="1110" spans="1:6" x14ac:dyDescent="0.2">
      <c r="A1110" s="132">
        <v>1096</v>
      </c>
      <c r="B1110" s="123" t="s">
        <v>248</v>
      </c>
      <c r="C1110" s="121"/>
      <c r="D1110" s="121"/>
      <c r="E1110" s="163">
        <f>+'[3]Adj. #32'!D25</f>
        <v>-34273.519999999997</v>
      </c>
      <c r="F1110" s="122"/>
    </row>
    <row r="1111" spans="1:6" x14ac:dyDescent="0.2">
      <c r="A1111" s="132">
        <v>1097</v>
      </c>
      <c r="B1111" s="123" t="s">
        <v>248</v>
      </c>
      <c r="C1111" s="121"/>
      <c r="D1111" s="121"/>
      <c r="E1111" s="163">
        <f>+'[3]Adj. #32'!D26</f>
        <v>-204.28</v>
      </c>
      <c r="F1111" s="122"/>
    </row>
    <row r="1112" spans="1:6" x14ac:dyDescent="0.2">
      <c r="A1112" s="132">
        <v>1098</v>
      </c>
      <c r="B1112" s="123" t="s">
        <v>248</v>
      </c>
      <c r="C1112" s="121"/>
      <c r="D1112" s="121"/>
      <c r="E1112" s="163">
        <f>+'[3]Adj. #32'!D27</f>
        <v>-29.06</v>
      </c>
      <c r="F1112" s="122"/>
    </row>
    <row r="1113" spans="1:6" x14ac:dyDescent="0.2">
      <c r="A1113" s="132">
        <v>1099</v>
      </c>
      <c r="B1113" s="123" t="s">
        <v>248</v>
      </c>
      <c r="C1113" s="121"/>
      <c r="D1113" s="121"/>
      <c r="E1113" s="163">
        <f>+'[3]Adj. #32'!D28</f>
        <v>-0.88</v>
      </c>
      <c r="F1113" s="122"/>
    </row>
    <row r="1114" spans="1:6" x14ac:dyDescent="0.2">
      <c r="A1114" s="132">
        <v>1100</v>
      </c>
      <c r="B1114" s="123" t="s">
        <v>248</v>
      </c>
      <c r="C1114" s="121"/>
      <c r="D1114" s="121"/>
      <c r="E1114" s="163">
        <f>+'[3]Adj. #32'!D29</f>
        <v>-49820.160000000003</v>
      </c>
      <c r="F1114" s="122"/>
    </row>
    <row r="1115" spans="1:6" x14ac:dyDescent="0.2">
      <c r="A1115" s="132">
        <v>1101</v>
      </c>
      <c r="B1115" s="123" t="s">
        <v>248</v>
      </c>
      <c r="C1115" s="121"/>
      <c r="D1115" s="121"/>
      <c r="E1115" s="163">
        <f>+'[3]Adj. #32'!D30</f>
        <v>-2.96</v>
      </c>
      <c r="F1115" s="122"/>
    </row>
    <row r="1116" spans="1:6" x14ac:dyDescent="0.2">
      <c r="A1116" s="132">
        <v>1102</v>
      </c>
      <c r="B1116" s="123" t="s">
        <v>248</v>
      </c>
      <c r="C1116" s="121"/>
      <c r="D1116" s="121"/>
      <c r="E1116" s="163">
        <f>+'[3]Adj. #32'!D31</f>
        <v>-302.72000000000003</v>
      </c>
      <c r="F1116" s="122"/>
    </row>
    <row r="1117" spans="1:6" x14ac:dyDescent="0.2">
      <c r="A1117" s="132">
        <v>1103</v>
      </c>
      <c r="B1117" s="123" t="s">
        <v>248</v>
      </c>
      <c r="C1117" s="121"/>
      <c r="D1117" s="121"/>
      <c r="E1117" s="163">
        <f>+'[3]Adj. #32'!D32</f>
        <v>-2155</v>
      </c>
      <c r="F1117" s="122"/>
    </row>
    <row r="1118" spans="1:6" x14ac:dyDescent="0.2">
      <c r="A1118" s="132">
        <v>1104</v>
      </c>
      <c r="B1118" s="123" t="s">
        <v>248</v>
      </c>
      <c r="C1118" s="121"/>
      <c r="D1118" s="121"/>
      <c r="E1118" s="163">
        <f>+'[3]Adj. #32'!D33</f>
        <v>-1165.98</v>
      </c>
      <c r="F1118" s="122"/>
    </row>
    <row r="1119" spans="1:6" x14ac:dyDescent="0.2">
      <c r="A1119" s="132">
        <v>1105</v>
      </c>
      <c r="B1119" s="123" t="s">
        <v>248</v>
      </c>
      <c r="C1119" s="121"/>
      <c r="D1119" s="121"/>
      <c r="E1119" s="163">
        <f>+'[3]Adj. #32'!D34</f>
        <v>-491818.4</v>
      </c>
      <c r="F1119" s="122"/>
    </row>
    <row r="1120" spans="1:6" x14ac:dyDescent="0.2">
      <c r="A1120" s="132">
        <v>1106</v>
      </c>
      <c r="B1120" s="123" t="s">
        <v>248</v>
      </c>
      <c r="C1120" s="121"/>
      <c r="D1120" s="121"/>
      <c r="E1120" s="163">
        <f>+'[3]Adj. #32'!D35</f>
        <v>-861.94</v>
      </c>
      <c r="F1120" s="122"/>
    </row>
    <row r="1121" spans="1:6" x14ac:dyDescent="0.2">
      <c r="A1121" s="132">
        <v>1107</v>
      </c>
      <c r="B1121" s="120"/>
      <c r="C1121" s="121"/>
      <c r="D1121" s="121"/>
      <c r="E1121" s="124"/>
      <c r="F1121" s="122"/>
    </row>
    <row r="1122" spans="1:6" ht="13.5" thickBot="1" x14ac:dyDescent="0.25">
      <c r="A1122" s="132">
        <v>1108</v>
      </c>
      <c r="B1122" s="126" t="s">
        <v>225</v>
      </c>
      <c r="C1122" s="121"/>
      <c r="D1122" s="121"/>
      <c r="E1122" s="133">
        <f>SUM(E1108:E1121)</f>
        <v>-580732.25</v>
      </c>
      <c r="F1122" s="127"/>
    </row>
    <row r="1123" spans="1:6" ht="13.5" thickTop="1" x14ac:dyDescent="0.2">
      <c r="A1123" s="132">
        <v>1109</v>
      </c>
      <c r="B1123" s="128"/>
      <c r="C1123" s="129"/>
      <c r="D1123" s="129"/>
      <c r="E1123" s="129"/>
      <c r="F1123" s="130"/>
    </row>
    <row r="1124" spans="1:6" x14ac:dyDescent="0.2">
      <c r="A1124" s="132">
        <v>1110</v>
      </c>
    </row>
    <row r="1125" spans="1:6" x14ac:dyDescent="0.2">
      <c r="A1125" s="132">
        <v>1111</v>
      </c>
      <c r="B1125" s="131" t="s">
        <v>249</v>
      </c>
      <c r="C1125" s="117" t="s">
        <v>159</v>
      </c>
      <c r="D1125" s="117" t="s">
        <v>250</v>
      </c>
      <c r="E1125" s="118"/>
      <c r="F1125" s="119" t="s">
        <v>468</v>
      </c>
    </row>
    <row r="1126" spans="1:6" x14ac:dyDescent="0.2">
      <c r="A1126" s="132">
        <v>1112</v>
      </c>
      <c r="B1126" s="120"/>
      <c r="C1126" s="121"/>
      <c r="D1126" s="121"/>
      <c r="E1126" s="121"/>
      <c r="F1126" s="122" t="s">
        <v>547</v>
      </c>
    </row>
    <row r="1127" spans="1:6" x14ac:dyDescent="0.2">
      <c r="A1127" s="132">
        <v>1113</v>
      </c>
      <c r="B1127" s="126" t="s">
        <v>495</v>
      </c>
      <c r="C1127" s="121"/>
      <c r="D1127" s="121"/>
      <c r="E1127" s="121"/>
      <c r="F1127" s="122"/>
    </row>
    <row r="1128" spans="1:6" x14ac:dyDescent="0.2">
      <c r="A1128" s="132">
        <v>1114</v>
      </c>
      <c r="B1128" s="120"/>
      <c r="C1128" s="121"/>
      <c r="D1128" s="121"/>
      <c r="E1128" s="121"/>
      <c r="F1128" s="122"/>
    </row>
    <row r="1129" spans="1:6" x14ac:dyDescent="0.2">
      <c r="A1129" s="132">
        <v>1115</v>
      </c>
      <c r="B1129" s="123" t="s">
        <v>191</v>
      </c>
      <c r="C1129" s="121"/>
      <c r="D1129" s="121"/>
      <c r="E1129" s="124">
        <f>+'[3]Adj. #33'!$D$23</f>
        <v>186632.3</v>
      </c>
      <c r="F1129" s="122"/>
    </row>
    <row r="1130" spans="1:6" x14ac:dyDescent="0.2">
      <c r="A1130" s="132">
        <v>1116</v>
      </c>
      <c r="B1130" s="120"/>
      <c r="C1130" s="121"/>
      <c r="D1130" s="121"/>
      <c r="E1130" s="124"/>
      <c r="F1130" s="122"/>
    </row>
    <row r="1131" spans="1:6" ht="13.5" thickBot="1" x14ac:dyDescent="0.25">
      <c r="A1131" s="132">
        <v>1117</v>
      </c>
      <c r="B1131" s="126" t="str">
        <f>CONCATENATE(MID(B1129,1,4)," - Adjustment")</f>
        <v>A903 - Adjustment</v>
      </c>
      <c r="C1131" s="121"/>
      <c r="D1131" s="121"/>
      <c r="E1131" s="133">
        <f>+E1129</f>
        <v>186632.3</v>
      </c>
      <c r="F1131" s="127"/>
    </row>
    <row r="1132" spans="1:6" ht="13.5" thickTop="1" x14ac:dyDescent="0.2">
      <c r="A1132" s="132">
        <v>1118</v>
      </c>
      <c r="B1132" s="128"/>
      <c r="C1132" s="129"/>
      <c r="D1132" s="129"/>
      <c r="E1132" s="129"/>
      <c r="F1132" s="130"/>
    </row>
    <row r="1133" spans="1:6" x14ac:dyDescent="0.2">
      <c r="A1133" s="132">
        <v>1119</v>
      </c>
    </row>
    <row r="1134" spans="1:6" x14ac:dyDescent="0.2">
      <c r="A1134" s="132">
        <v>1120</v>
      </c>
      <c r="B1134" s="131" t="s">
        <v>251</v>
      </c>
      <c r="C1134" s="117" t="s">
        <v>159</v>
      </c>
      <c r="D1134" s="117" t="s">
        <v>252</v>
      </c>
      <c r="E1134" s="118"/>
      <c r="F1134" s="119" t="s">
        <v>468</v>
      </c>
    </row>
    <row r="1135" spans="1:6" x14ac:dyDescent="0.2">
      <c r="A1135" s="132">
        <v>1121</v>
      </c>
      <c r="B1135" s="120"/>
      <c r="C1135" s="121"/>
      <c r="D1135" s="121"/>
      <c r="E1135" s="121"/>
      <c r="F1135" s="122" t="s">
        <v>551</v>
      </c>
    </row>
    <row r="1136" spans="1:6" x14ac:dyDescent="0.2">
      <c r="A1136" s="132">
        <v>1122</v>
      </c>
      <c r="B1136" s="126" t="s">
        <v>496</v>
      </c>
      <c r="C1136" s="121"/>
      <c r="D1136" s="121"/>
      <c r="E1136" s="121"/>
      <c r="F1136" s="122"/>
    </row>
    <row r="1137" spans="1:6" x14ac:dyDescent="0.2">
      <c r="A1137" s="132">
        <v>1123</v>
      </c>
      <c r="B1137" s="120"/>
      <c r="C1137" s="121"/>
      <c r="D1137" s="121"/>
      <c r="E1137" s="121"/>
      <c r="F1137" s="122"/>
    </row>
    <row r="1138" spans="1:6" x14ac:dyDescent="0.2">
      <c r="A1138" s="132">
        <v>1124</v>
      </c>
      <c r="B1138" s="123" t="s">
        <v>268</v>
      </c>
      <c r="C1138" s="121"/>
      <c r="D1138" s="121"/>
      <c r="E1138" s="124">
        <f>+'[3]Adj. #34'!$D$23</f>
        <v>399999.92</v>
      </c>
      <c r="F1138" s="122"/>
    </row>
    <row r="1139" spans="1:6" x14ac:dyDescent="0.2">
      <c r="A1139" s="132">
        <v>1125</v>
      </c>
      <c r="B1139" s="120"/>
      <c r="C1139" s="121"/>
      <c r="D1139" s="121"/>
      <c r="E1139" s="124"/>
      <c r="F1139" s="122"/>
    </row>
    <row r="1140" spans="1:6" ht="13.5" thickBot="1" x14ac:dyDescent="0.25">
      <c r="A1140" s="132">
        <v>1126</v>
      </c>
      <c r="B1140" s="126" t="str">
        <f>CONCATENATE(MID(B1138,1,4)," - Adjustment")</f>
        <v>A563 - Adjustment</v>
      </c>
      <c r="C1140" s="121"/>
      <c r="D1140" s="121"/>
      <c r="E1140" s="133">
        <f>+E1138</f>
        <v>399999.92</v>
      </c>
      <c r="F1140" s="127"/>
    </row>
    <row r="1141" spans="1:6" ht="13.5" thickTop="1" x14ac:dyDescent="0.2">
      <c r="A1141" s="132">
        <v>1127</v>
      </c>
      <c r="B1141" s="128"/>
      <c r="C1141" s="129"/>
      <c r="D1141" s="129"/>
      <c r="E1141" s="129"/>
      <c r="F1141" s="130"/>
    </row>
    <row r="1142" spans="1:6" x14ac:dyDescent="0.2">
      <c r="A1142" s="132">
        <v>1128</v>
      </c>
    </row>
    <row r="1143" spans="1:6" x14ac:dyDescent="0.2">
      <c r="A1143" s="132">
        <v>1129</v>
      </c>
      <c r="B1143" s="131" t="s">
        <v>253</v>
      </c>
      <c r="C1143" s="117" t="s">
        <v>159</v>
      </c>
      <c r="D1143" s="117" t="s">
        <v>254</v>
      </c>
      <c r="E1143" s="118"/>
      <c r="F1143" s="119" t="s">
        <v>468</v>
      </c>
    </row>
    <row r="1144" spans="1:6" x14ac:dyDescent="0.2">
      <c r="A1144" s="132">
        <v>1130</v>
      </c>
      <c r="B1144" s="120"/>
      <c r="C1144" s="121"/>
      <c r="D1144" s="121"/>
      <c r="E1144" s="121"/>
      <c r="F1144" s="122"/>
    </row>
    <row r="1145" spans="1:6" x14ac:dyDescent="0.2">
      <c r="A1145" s="132">
        <v>1131</v>
      </c>
      <c r="B1145" s="140" t="s">
        <v>497</v>
      </c>
      <c r="C1145" s="121"/>
      <c r="D1145" s="121"/>
      <c r="E1145" s="121"/>
      <c r="F1145" s="122"/>
    </row>
    <row r="1146" spans="1:6" x14ac:dyDescent="0.2">
      <c r="A1146" s="132">
        <v>1132</v>
      </c>
      <c r="B1146" s="120"/>
      <c r="C1146" s="121"/>
      <c r="D1146" s="121"/>
      <c r="E1146" s="121"/>
      <c r="F1146" s="122"/>
    </row>
    <row r="1147" spans="1:6" x14ac:dyDescent="0.2">
      <c r="A1147" s="132">
        <v>1133</v>
      </c>
      <c r="B1147" s="123" t="s">
        <v>231</v>
      </c>
      <c r="C1147" s="121"/>
      <c r="D1147" s="121"/>
      <c r="E1147" s="124">
        <f>+'[3]Adj. #35'!$D$23</f>
        <v>267260.95</v>
      </c>
      <c r="F1147" s="122"/>
    </row>
    <row r="1148" spans="1:6" x14ac:dyDescent="0.2">
      <c r="A1148" s="132">
        <v>1134</v>
      </c>
      <c r="B1148" s="120"/>
      <c r="C1148" s="121"/>
      <c r="D1148" s="121"/>
      <c r="E1148" s="124"/>
      <c r="F1148" s="122"/>
    </row>
    <row r="1149" spans="1:6" ht="13.5" thickBot="1" x14ac:dyDescent="0.25">
      <c r="A1149" s="132">
        <v>1135</v>
      </c>
      <c r="B1149" s="126" t="str">
        <f>CONCATENATE(MID(B1147,1,4)," - Adjustment")</f>
        <v>A561 - Adjustment</v>
      </c>
      <c r="C1149" s="121"/>
      <c r="D1149" s="121"/>
      <c r="E1149" s="133">
        <f>+E1147</f>
        <v>267260.95</v>
      </c>
      <c r="F1149" s="127"/>
    </row>
    <row r="1150" spans="1:6" ht="13.5" thickTop="1" x14ac:dyDescent="0.2">
      <c r="A1150" s="132">
        <v>1136</v>
      </c>
      <c r="B1150" s="128"/>
      <c r="C1150" s="129"/>
      <c r="D1150" s="129"/>
      <c r="E1150" s="129"/>
      <c r="F1150" s="130"/>
    </row>
    <row r="1151" spans="1:6" x14ac:dyDescent="0.2">
      <c r="A1151" s="132">
        <v>1137</v>
      </c>
    </row>
    <row r="1152" spans="1:6" x14ac:dyDescent="0.2">
      <c r="A1152" s="132">
        <v>1138</v>
      </c>
      <c r="B1152" s="131" t="s">
        <v>256</v>
      </c>
      <c r="C1152" s="117" t="s">
        <v>159</v>
      </c>
      <c r="D1152" s="117" t="s">
        <v>257</v>
      </c>
      <c r="E1152" s="118"/>
      <c r="F1152" s="119" t="s">
        <v>468</v>
      </c>
    </row>
    <row r="1153" spans="1:6" x14ac:dyDescent="0.2">
      <c r="A1153" s="132">
        <v>1139</v>
      </c>
      <c r="B1153" s="120"/>
      <c r="C1153" s="121"/>
      <c r="D1153" s="121"/>
      <c r="E1153" s="121"/>
      <c r="F1153" s="122"/>
    </row>
    <row r="1154" spans="1:6" x14ac:dyDescent="0.2">
      <c r="A1154" s="132">
        <v>1140</v>
      </c>
      <c r="B1154" s="140" t="s">
        <v>498</v>
      </c>
      <c r="C1154" s="121"/>
      <c r="D1154" s="121"/>
      <c r="E1154" s="121"/>
      <c r="F1154" s="122"/>
    </row>
    <row r="1155" spans="1:6" x14ac:dyDescent="0.2">
      <c r="A1155" s="132">
        <v>1141</v>
      </c>
      <c r="B1155" s="120"/>
      <c r="C1155" s="121"/>
      <c r="D1155" s="121"/>
      <c r="E1155" s="121"/>
      <c r="F1155" s="122"/>
    </row>
    <row r="1156" spans="1:6" x14ac:dyDescent="0.2">
      <c r="A1156" s="132">
        <v>1142</v>
      </c>
      <c r="B1156" s="123" t="s">
        <v>194</v>
      </c>
      <c r="C1156" s="121"/>
      <c r="D1156" s="121"/>
      <c r="E1156" s="124">
        <f>+'[3]Adj. #36'!$D$23</f>
        <v>109348</v>
      </c>
      <c r="F1156" s="122"/>
    </row>
    <row r="1157" spans="1:6" x14ac:dyDescent="0.2">
      <c r="A1157" s="132">
        <v>1143</v>
      </c>
      <c r="B1157" s="123" t="s">
        <v>207</v>
      </c>
      <c r="C1157" s="121"/>
      <c r="D1157" s="121"/>
      <c r="E1157" s="163">
        <f>+'[3]Adj. #36'!$D$24</f>
        <v>-100925.79</v>
      </c>
      <c r="F1157" s="122"/>
    </row>
    <row r="1158" spans="1:6" x14ac:dyDescent="0.2">
      <c r="A1158" s="132">
        <v>1144</v>
      </c>
      <c r="B1158" s="123" t="s">
        <v>209</v>
      </c>
      <c r="C1158" s="121"/>
      <c r="D1158" s="121"/>
      <c r="E1158" s="163">
        <f>+'[3]Adj. #36'!$D$25</f>
        <v>-11735.56</v>
      </c>
      <c r="F1158" s="122"/>
    </row>
    <row r="1159" spans="1:6" x14ac:dyDescent="0.2">
      <c r="A1159" s="132">
        <v>1145</v>
      </c>
      <c r="B1159" s="120"/>
      <c r="C1159" s="121"/>
      <c r="D1159" s="121"/>
      <c r="E1159" s="124"/>
      <c r="F1159" s="122"/>
    </row>
    <row r="1160" spans="1:6" ht="13.5" thickBot="1" x14ac:dyDescent="0.25">
      <c r="A1160" s="132">
        <v>1146</v>
      </c>
      <c r="B1160" s="126" t="s">
        <v>225</v>
      </c>
      <c r="C1160" s="121"/>
      <c r="D1160" s="121"/>
      <c r="E1160" s="133">
        <f>SUM(E1156:E1159)</f>
        <v>-3313.3499999999931</v>
      </c>
      <c r="F1160" s="127"/>
    </row>
    <row r="1161" spans="1:6" ht="13.5" thickTop="1" x14ac:dyDescent="0.2">
      <c r="A1161" s="132">
        <v>1147</v>
      </c>
      <c r="B1161" s="128"/>
      <c r="C1161" s="129"/>
      <c r="D1161" s="129"/>
      <c r="E1161" s="129"/>
      <c r="F1161" s="130"/>
    </row>
    <row r="1162" spans="1:6" x14ac:dyDescent="0.2">
      <c r="A1162" s="132">
        <v>1148</v>
      </c>
    </row>
    <row r="1163" spans="1:6" x14ac:dyDescent="0.2">
      <c r="A1163" s="132">
        <v>1149</v>
      </c>
      <c r="B1163" s="131" t="s">
        <v>258</v>
      </c>
      <c r="C1163" s="117" t="s">
        <v>159</v>
      </c>
      <c r="D1163" s="117" t="s">
        <v>259</v>
      </c>
      <c r="E1163" s="118"/>
      <c r="F1163" s="119" t="s">
        <v>468</v>
      </c>
    </row>
    <row r="1164" spans="1:6" x14ac:dyDescent="0.2">
      <c r="A1164" s="132">
        <v>1150</v>
      </c>
      <c r="B1164" s="120"/>
      <c r="C1164" s="121"/>
      <c r="D1164" s="121"/>
      <c r="E1164" s="121"/>
      <c r="F1164" s="122"/>
    </row>
    <row r="1165" spans="1:6" x14ac:dyDescent="0.2">
      <c r="A1165" s="132">
        <v>1151</v>
      </c>
      <c r="B1165" s="140" t="s">
        <v>499</v>
      </c>
      <c r="C1165" s="121"/>
      <c r="D1165" s="121"/>
      <c r="E1165" s="121"/>
      <c r="F1165" s="122"/>
    </row>
    <row r="1166" spans="1:6" x14ac:dyDescent="0.2">
      <c r="A1166" s="132">
        <v>1152</v>
      </c>
      <c r="B1166" s="120"/>
      <c r="C1166" s="121"/>
      <c r="D1166" s="121"/>
      <c r="E1166" s="121"/>
      <c r="F1166" s="122"/>
    </row>
    <row r="1167" spans="1:6" x14ac:dyDescent="0.2">
      <c r="A1167" s="132">
        <v>1153</v>
      </c>
      <c r="B1167" s="123" t="s">
        <v>194</v>
      </c>
      <c r="C1167" s="121"/>
      <c r="D1167" s="121"/>
      <c r="E1167" s="124">
        <f>+'[3]Adj. #37'!$D$23</f>
        <v>-3500</v>
      </c>
      <c r="F1167" s="122"/>
    </row>
    <row r="1168" spans="1:6" x14ac:dyDescent="0.2">
      <c r="A1168" s="132">
        <v>1154</v>
      </c>
      <c r="B1168" s="123" t="s">
        <v>208</v>
      </c>
      <c r="C1168" s="121"/>
      <c r="D1168" s="121"/>
      <c r="E1168" s="124">
        <f>+'[3]Adj. #37'!$D$24</f>
        <v>-5189.03</v>
      </c>
      <c r="F1168" s="122"/>
    </row>
    <row r="1169" spans="1:6" x14ac:dyDescent="0.2">
      <c r="A1169" s="132">
        <v>1155</v>
      </c>
      <c r="B1169" s="123" t="s">
        <v>199</v>
      </c>
      <c r="C1169" s="121"/>
      <c r="D1169" s="121"/>
      <c r="E1169" s="125">
        <f>+'[3]Adj. #37'!$D$25</f>
        <v>-256648.71</v>
      </c>
      <c r="F1169" s="122"/>
    </row>
    <row r="1170" spans="1:6" x14ac:dyDescent="0.2">
      <c r="A1170" s="132">
        <v>1156</v>
      </c>
      <c r="B1170" s="120"/>
      <c r="C1170" s="121"/>
      <c r="D1170" s="121"/>
      <c r="E1170" s="124"/>
      <c r="F1170" s="122"/>
    </row>
    <row r="1171" spans="1:6" ht="13.5" thickBot="1" x14ac:dyDescent="0.25">
      <c r="A1171" s="132">
        <v>1157</v>
      </c>
      <c r="B1171" s="126" t="s">
        <v>225</v>
      </c>
      <c r="C1171" s="121"/>
      <c r="D1171" s="121"/>
      <c r="E1171" s="133">
        <f>SUM(E1167:E1170)</f>
        <v>-265337.74</v>
      </c>
      <c r="F1171" s="127"/>
    </row>
    <row r="1172" spans="1:6" ht="13.5" thickTop="1" x14ac:dyDescent="0.2">
      <c r="A1172" s="132">
        <v>1158</v>
      </c>
      <c r="B1172" s="128"/>
      <c r="C1172" s="129"/>
      <c r="D1172" s="129"/>
      <c r="E1172" s="129"/>
      <c r="F1172" s="130"/>
    </row>
    <row r="1173" spans="1:6" x14ac:dyDescent="0.2">
      <c r="A1173" s="132">
        <v>1159</v>
      </c>
    </row>
    <row r="1174" spans="1:6" x14ac:dyDescent="0.2">
      <c r="A1174" s="132">
        <v>1160</v>
      </c>
      <c r="B1174" s="131" t="s">
        <v>260</v>
      </c>
      <c r="C1174" s="117" t="s">
        <v>159</v>
      </c>
      <c r="D1174" s="117" t="s">
        <v>261</v>
      </c>
      <c r="E1174" s="118"/>
      <c r="F1174" s="119" t="s">
        <v>468</v>
      </c>
    </row>
    <row r="1175" spans="1:6" x14ac:dyDescent="0.2">
      <c r="A1175" s="132">
        <v>1161</v>
      </c>
      <c r="B1175" s="120"/>
      <c r="C1175" s="121"/>
      <c r="D1175" s="121"/>
      <c r="E1175" s="121"/>
      <c r="F1175" s="122"/>
    </row>
    <row r="1176" spans="1:6" x14ac:dyDescent="0.2">
      <c r="A1176" s="132">
        <v>1162</v>
      </c>
      <c r="B1176" s="140" t="s">
        <v>500</v>
      </c>
      <c r="C1176" s="121"/>
      <c r="D1176" s="121"/>
      <c r="E1176" s="121"/>
      <c r="F1176" s="122"/>
    </row>
    <row r="1177" spans="1:6" x14ac:dyDescent="0.2">
      <c r="A1177" s="132">
        <v>1163</v>
      </c>
      <c r="B1177" s="120"/>
      <c r="C1177" s="121"/>
      <c r="D1177" s="121"/>
      <c r="E1177" s="121"/>
      <c r="F1177" s="122"/>
    </row>
    <row r="1178" spans="1:6" x14ac:dyDescent="0.2">
      <c r="A1178" s="132">
        <v>1164</v>
      </c>
      <c r="B1178" s="123" t="s">
        <v>199</v>
      </c>
      <c r="C1178" s="121"/>
      <c r="D1178" s="121"/>
      <c r="E1178" s="124">
        <f>+'[3]Adj. #38'!$D$23</f>
        <v>-1800882.79</v>
      </c>
      <c r="F1178" s="122"/>
    </row>
    <row r="1179" spans="1:6" x14ac:dyDescent="0.2">
      <c r="A1179" s="132">
        <v>1165</v>
      </c>
      <c r="B1179" s="120"/>
      <c r="C1179" s="121"/>
      <c r="D1179" s="121"/>
      <c r="E1179" s="124"/>
      <c r="F1179" s="122"/>
    </row>
    <row r="1180" spans="1:6" ht="13.5" thickBot="1" x14ac:dyDescent="0.25">
      <c r="A1180" s="132">
        <v>1166</v>
      </c>
      <c r="B1180" s="126" t="str">
        <f>CONCATENATE(MID(B1178,1,4)," - Adjustment")</f>
        <v>A921 - Adjustment</v>
      </c>
      <c r="C1180" s="121"/>
      <c r="D1180" s="121"/>
      <c r="E1180" s="133">
        <f>+E1178</f>
        <v>-1800882.79</v>
      </c>
      <c r="F1180" s="127"/>
    </row>
    <row r="1181" spans="1:6" ht="13.5" thickTop="1" x14ac:dyDescent="0.2">
      <c r="A1181" s="132">
        <v>1167</v>
      </c>
      <c r="B1181" s="128"/>
      <c r="C1181" s="129"/>
      <c r="D1181" s="129"/>
      <c r="E1181" s="129"/>
      <c r="F1181" s="130"/>
    </row>
    <row r="1182" spans="1:6" x14ac:dyDescent="0.2">
      <c r="A1182" s="132">
        <v>1168</v>
      </c>
    </row>
    <row r="1183" spans="1:6" x14ac:dyDescent="0.2">
      <c r="A1183" s="132">
        <v>1169</v>
      </c>
      <c r="B1183" s="131" t="s">
        <v>262</v>
      </c>
      <c r="C1183" s="117" t="s">
        <v>159</v>
      </c>
      <c r="D1183" s="117" t="s">
        <v>263</v>
      </c>
      <c r="E1183" s="118"/>
      <c r="F1183" s="119" t="s">
        <v>468</v>
      </c>
    </row>
    <row r="1184" spans="1:6" x14ac:dyDescent="0.2">
      <c r="A1184" s="132">
        <v>1170</v>
      </c>
      <c r="B1184" s="120"/>
      <c r="C1184" s="121"/>
      <c r="D1184" s="121"/>
      <c r="E1184" s="121"/>
      <c r="F1184" s="122" t="s">
        <v>552</v>
      </c>
    </row>
    <row r="1185" spans="1:6" x14ac:dyDescent="0.2">
      <c r="A1185" s="132">
        <v>1171</v>
      </c>
      <c r="B1185" s="140" t="s">
        <v>501</v>
      </c>
      <c r="C1185" s="121"/>
      <c r="D1185" s="121"/>
      <c r="E1185" s="121"/>
      <c r="F1185" s="122"/>
    </row>
    <row r="1186" spans="1:6" x14ac:dyDescent="0.2">
      <c r="A1186" s="132">
        <v>1172</v>
      </c>
      <c r="B1186" s="120"/>
      <c r="C1186" s="121"/>
      <c r="D1186" s="121"/>
      <c r="E1186" s="121"/>
      <c r="F1186" s="122"/>
    </row>
    <row r="1187" spans="1:6" x14ac:dyDescent="0.2">
      <c r="A1187" s="132">
        <v>1173</v>
      </c>
      <c r="B1187" s="123" t="s">
        <v>209</v>
      </c>
      <c r="C1187" s="121"/>
      <c r="D1187" s="121"/>
      <c r="E1187" s="124">
        <f>+'[3]Adj. #39'!$D$23</f>
        <v>2203528.2999999998</v>
      </c>
      <c r="F1187" s="122"/>
    </row>
    <row r="1188" spans="1:6" x14ac:dyDescent="0.2">
      <c r="A1188" s="132">
        <v>1174</v>
      </c>
      <c r="B1188" s="120"/>
      <c r="C1188" s="121"/>
      <c r="D1188" s="121"/>
      <c r="E1188" s="124"/>
      <c r="F1188" s="122"/>
    </row>
    <row r="1189" spans="1:6" ht="13.5" thickBot="1" x14ac:dyDescent="0.25">
      <c r="A1189" s="132">
        <v>1175</v>
      </c>
      <c r="B1189" s="126" t="str">
        <f>CONCATENATE(MID(B1187,1,6)," - Adjustment")</f>
        <v>A930.2 - Adjustment</v>
      </c>
      <c r="C1189" s="121"/>
      <c r="D1189" s="121"/>
      <c r="E1189" s="133">
        <f>+E1187</f>
        <v>2203528.2999999998</v>
      </c>
      <c r="F1189" s="127"/>
    </row>
    <row r="1190" spans="1:6" ht="13.5" thickTop="1" x14ac:dyDescent="0.2">
      <c r="A1190" s="132">
        <v>1176</v>
      </c>
      <c r="B1190" s="128"/>
      <c r="C1190" s="129"/>
      <c r="D1190" s="129"/>
      <c r="E1190" s="129"/>
      <c r="F1190" s="130"/>
    </row>
    <row r="1191" spans="1:6" x14ac:dyDescent="0.2">
      <c r="A1191" s="132">
        <v>1177</v>
      </c>
    </row>
    <row r="1192" spans="1:6" x14ac:dyDescent="0.2">
      <c r="A1192" s="132">
        <v>1178</v>
      </c>
      <c r="B1192" s="131" t="s">
        <v>264</v>
      </c>
      <c r="C1192" s="117" t="s">
        <v>159</v>
      </c>
      <c r="D1192" s="117" t="s">
        <v>265</v>
      </c>
      <c r="E1192" s="118"/>
      <c r="F1192" s="119" t="s">
        <v>468</v>
      </c>
    </row>
    <row r="1193" spans="1:6" x14ac:dyDescent="0.2">
      <c r="A1193" s="132">
        <v>1179</v>
      </c>
      <c r="B1193" s="120"/>
      <c r="C1193" s="121"/>
      <c r="D1193" s="121"/>
      <c r="E1193" s="121"/>
      <c r="F1193" s="122"/>
    </row>
    <row r="1194" spans="1:6" x14ac:dyDescent="0.2">
      <c r="A1194" s="132">
        <v>1180</v>
      </c>
      <c r="B1194" s="140" t="s">
        <v>502</v>
      </c>
      <c r="C1194" s="121"/>
      <c r="D1194" s="121"/>
      <c r="E1194" s="121"/>
      <c r="F1194" s="122"/>
    </row>
    <row r="1195" spans="1:6" x14ac:dyDescent="0.2">
      <c r="A1195" s="132">
        <v>1181</v>
      </c>
      <c r="B1195" s="120"/>
      <c r="C1195" s="121"/>
      <c r="D1195" s="121"/>
      <c r="E1195" s="121"/>
      <c r="F1195" s="122"/>
    </row>
    <row r="1196" spans="1:6" x14ac:dyDescent="0.2">
      <c r="A1196" s="132">
        <v>1182</v>
      </c>
      <c r="B1196" s="123" t="s">
        <v>208</v>
      </c>
      <c r="C1196" s="121"/>
      <c r="D1196" s="121"/>
      <c r="E1196" s="124">
        <f>+'[3]Adj. #40'!$D$23</f>
        <v>246021</v>
      </c>
      <c r="F1196" s="122"/>
    </row>
    <row r="1197" spans="1:6" x14ac:dyDescent="0.2">
      <c r="A1197" s="132">
        <v>1183</v>
      </c>
      <c r="B1197" s="120"/>
      <c r="C1197" s="121"/>
      <c r="D1197" s="121"/>
      <c r="E1197" s="124"/>
      <c r="F1197" s="122"/>
    </row>
    <row r="1198" spans="1:6" ht="13.5" thickBot="1" x14ac:dyDescent="0.25">
      <c r="A1198" s="132">
        <v>1184</v>
      </c>
      <c r="B1198" s="126" t="str">
        <f>CONCATENATE(MID(B1196,1,4)," - Adjustment")</f>
        <v>A588 - Adjustment</v>
      </c>
      <c r="C1198" s="121"/>
      <c r="D1198" s="121"/>
      <c r="E1198" s="133">
        <f>+E1196</f>
        <v>246021</v>
      </c>
      <c r="F1198" s="127"/>
    </row>
    <row r="1199" spans="1:6" ht="13.5" thickTop="1" x14ac:dyDescent="0.2">
      <c r="A1199" s="132">
        <v>1185</v>
      </c>
      <c r="B1199" s="128"/>
      <c r="C1199" s="129"/>
      <c r="D1199" s="129"/>
      <c r="E1199" s="129"/>
      <c r="F1199" s="130"/>
    </row>
    <row r="1200" spans="1:6" x14ac:dyDescent="0.2">
      <c r="A1200" s="132">
        <v>1186</v>
      </c>
    </row>
    <row r="1201" spans="1:6" x14ac:dyDescent="0.2">
      <c r="A1201" s="132">
        <v>1187</v>
      </c>
      <c r="B1201" s="131" t="s">
        <v>266</v>
      </c>
      <c r="C1201" s="117" t="s">
        <v>159</v>
      </c>
      <c r="D1201" s="117" t="s">
        <v>267</v>
      </c>
      <c r="E1201" s="118"/>
      <c r="F1201" s="119" t="s">
        <v>468</v>
      </c>
    </row>
    <row r="1202" spans="1:6" x14ac:dyDescent="0.2">
      <c r="A1202" s="132">
        <v>1188</v>
      </c>
      <c r="B1202" s="120"/>
      <c r="C1202" s="121"/>
      <c r="D1202" s="121"/>
      <c r="E1202" s="121"/>
      <c r="F1202" s="122"/>
    </row>
    <row r="1203" spans="1:6" x14ac:dyDescent="0.2">
      <c r="A1203" s="132">
        <v>1189</v>
      </c>
      <c r="B1203" s="140" t="s">
        <v>503</v>
      </c>
      <c r="C1203" s="121"/>
      <c r="D1203" s="121"/>
      <c r="E1203" s="121"/>
      <c r="F1203" s="122"/>
    </row>
    <row r="1204" spans="1:6" x14ac:dyDescent="0.2">
      <c r="A1204" s="132">
        <v>1190</v>
      </c>
      <c r="B1204" s="120"/>
      <c r="C1204" s="121"/>
      <c r="D1204" s="121"/>
      <c r="E1204" s="121"/>
      <c r="F1204" s="122"/>
    </row>
    <row r="1205" spans="1:6" x14ac:dyDescent="0.2">
      <c r="A1205" s="132">
        <v>1191</v>
      </c>
      <c r="B1205" s="123" t="s">
        <v>191</v>
      </c>
      <c r="C1205" s="121"/>
      <c r="D1205" s="121"/>
      <c r="E1205" s="124">
        <f>+'[3]Adj. #41'!$D$23</f>
        <v>-6733011.7000000002</v>
      </c>
      <c r="F1205" s="122"/>
    </row>
    <row r="1206" spans="1:6" x14ac:dyDescent="0.2">
      <c r="A1206" s="132">
        <v>1192</v>
      </c>
      <c r="B1206" s="120"/>
      <c r="C1206" s="121"/>
      <c r="D1206" s="121"/>
      <c r="E1206" s="124"/>
      <c r="F1206" s="122"/>
    </row>
    <row r="1207" spans="1:6" ht="13.5" thickBot="1" x14ac:dyDescent="0.25">
      <c r="A1207" s="132">
        <v>1193</v>
      </c>
      <c r="B1207" s="126" t="s">
        <v>225</v>
      </c>
      <c r="C1207" s="121"/>
      <c r="D1207" s="121"/>
      <c r="E1207" s="133">
        <f>+E1205</f>
        <v>-6733011.7000000002</v>
      </c>
      <c r="F1207" s="127"/>
    </row>
    <row r="1208" spans="1:6" ht="13.5" thickTop="1" x14ac:dyDescent="0.2">
      <c r="A1208" s="132">
        <v>1194</v>
      </c>
      <c r="B1208" s="128"/>
      <c r="C1208" s="129"/>
      <c r="D1208" s="129"/>
      <c r="E1208" s="129"/>
      <c r="F1208" s="130"/>
    </row>
    <row r="1209" spans="1:6" x14ac:dyDescent="0.2">
      <c r="A1209" s="132">
        <v>1195</v>
      </c>
    </row>
    <row r="1210" spans="1:6" x14ac:dyDescent="0.2">
      <c r="A1210" s="132">
        <v>1196</v>
      </c>
      <c r="B1210" s="131" t="s">
        <v>270</v>
      </c>
      <c r="C1210" s="117" t="s">
        <v>159</v>
      </c>
      <c r="D1210" s="117" t="s">
        <v>271</v>
      </c>
      <c r="E1210" s="118"/>
      <c r="F1210" s="119" t="s">
        <v>468</v>
      </c>
    </row>
    <row r="1211" spans="1:6" x14ac:dyDescent="0.2">
      <c r="A1211" s="132">
        <v>1197</v>
      </c>
      <c r="B1211" s="120"/>
      <c r="C1211" s="121"/>
      <c r="D1211" s="121"/>
      <c r="E1211" s="121"/>
      <c r="F1211" s="122" t="s">
        <v>553</v>
      </c>
    </row>
    <row r="1212" spans="1:6" x14ac:dyDescent="0.2">
      <c r="A1212" s="132">
        <v>1198</v>
      </c>
      <c r="B1212" s="140" t="s">
        <v>504</v>
      </c>
      <c r="C1212" s="121"/>
      <c r="D1212" s="121"/>
      <c r="E1212" s="121"/>
      <c r="F1212" s="122"/>
    </row>
    <row r="1213" spans="1:6" x14ac:dyDescent="0.2">
      <c r="A1213" s="132">
        <v>1199</v>
      </c>
      <c r="B1213" s="120"/>
      <c r="C1213" s="121"/>
      <c r="D1213" s="121"/>
      <c r="E1213" s="121"/>
      <c r="F1213" s="122"/>
    </row>
    <row r="1214" spans="1:6" x14ac:dyDescent="0.2">
      <c r="A1214" s="132">
        <v>1200</v>
      </c>
      <c r="B1214" s="123" t="s">
        <v>269</v>
      </c>
      <c r="C1214" s="121"/>
      <c r="D1214" s="121"/>
      <c r="E1214" s="124">
        <f>+'[3]Adj. #42'!D23</f>
        <v>41499.74</v>
      </c>
      <c r="F1214" s="122"/>
    </row>
    <row r="1215" spans="1:6" x14ac:dyDescent="0.2">
      <c r="A1215" s="132">
        <v>1201</v>
      </c>
      <c r="B1215" s="123" t="s">
        <v>361</v>
      </c>
      <c r="C1215" s="121"/>
      <c r="D1215" s="121"/>
      <c r="E1215" s="125">
        <f>+'[3]Adj. #42'!D24</f>
        <v>44943.3</v>
      </c>
      <c r="F1215" s="122"/>
    </row>
    <row r="1216" spans="1:6" x14ac:dyDescent="0.2">
      <c r="A1216" s="132">
        <v>1202</v>
      </c>
      <c r="B1216" s="123" t="s">
        <v>232</v>
      </c>
      <c r="C1216" s="121"/>
      <c r="D1216" s="121"/>
      <c r="E1216" s="125">
        <f>+'[3]Adj. #42'!D25</f>
        <v>172614.89</v>
      </c>
      <c r="F1216" s="122"/>
    </row>
    <row r="1217" spans="1:6" x14ac:dyDescent="0.2">
      <c r="A1217" s="132">
        <v>1203</v>
      </c>
      <c r="B1217" s="123" t="s">
        <v>362</v>
      </c>
      <c r="C1217" s="121"/>
      <c r="D1217" s="121"/>
      <c r="E1217" s="125">
        <f>+'[3]Adj. #42'!D26</f>
        <v>609.13</v>
      </c>
      <c r="F1217" s="122"/>
    </row>
    <row r="1218" spans="1:6" x14ac:dyDescent="0.2">
      <c r="A1218" s="132">
        <v>1204</v>
      </c>
      <c r="B1218" s="123" t="s">
        <v>214</v>
      </c>
      <c r="C1218" s="121"/>
      <c r="D1218" s="121"/>
      <c r="E1218" s="125">
        <f>+'[3]Adj. #42'!D27</f>
        <v>1718.4</v>
      </c>
      <c r="F1218" s="122"/>
    </row>
    <row r="1219" spans="1:6" x14ac:dyDescent="0.2">
      <c r="A1219" s="132">
        <v>1205</v>
      </c>
      <c r="B1219" s="123" t="s">
        <v>188</v>
      </c>
      <c r="C1219" s="121"/>
      <c r="D1219" s="121"/>
      <c r="E1219" s="125">
        <f>+'[3]Adj. #42'!D28</f>
        <v>3928.87</v>
      </c>
      <c r="F1219" s="122"/>
    </row>
    <row r="1220" spans="1:6" x14ac:dyDescent="0.2">
      <c r="A1220" s="132">
        <v>1206</v>
      </c>
      <c r="B1220" s="123" t="s">
        <v>363</v>
      </c>
      <c r="C1220" s="121"/>
      <c r="D1220" s="121"/>
      <c r="E1220" s="125">
        <f>+'[3]Adj. #42'!D29</f>
        <v>160080.93</v>
      </c>
      <c r="F1220" s="122"/>
    </row>
    <row r="1221" spans="1:6" x14ac:dyDescent="0.2">
      <c r="A1221" s="132">
        <v>1207</v>
      </c>
      <c r="B1221" s="123" t="s">
        <v>364</v>
      </c>
      <c r="C1221" s="121"/>
      <c r="D1221" s="121"/>
      <c r="E1221" s="125">
        <f>+'[3]Adj. #42'!D30</f>
        <v>69.349999999999994</v>
      </c>
      <c r="F1221" s="122"/>
    </row>
    <row r="1222" spans="1:6" x14ac:dyDescent="0.2">
      <c r="A1222" s="132">
        <v>1208</v>
      </c>
      <c r="B1222" s="123" t="s">
        <v>365</v>
      </c>
      <c r="C1222" s="121"/>
      <c r="D1222" s="121"/>
      <c r="E1222" s="125">
        <f>+'[3]Adj. #42'!D31</f>
        <v>213532.41</v>
      </c>
      <c r="F1222" s="122"/>
    </row>
    <row r="1223" spans="1:6" x14ac:dyDescent="0.2">
      <c r="A1223" s="132">
        <v>1209</v>
      </c>
      <c r="B1223" s="123" t="s">
        <v>366</v>
      </c>
      <c r="C1223" s="121"/>
      <c r="D1223" s="121"/>
      <c r="E1223" s="125">
        <f>+'[3]Adj. #42'!D32</f>
        <v>22314.98</v>
      </c>
      <c r="F1223" s="122"/>
    </row>
    <row r="1224" spans="1:6" x14ac:dyDescent="0.2">
      <c r="A1224" s="132">
        <v>1210</v>
      </c>
      <c r="B1224" s="120"/>
      <c r="C1224" s="121"/>
      <c r="D1224" s="121"/>
      <c r="E1224" s="124"/>
      <c r="F1224" s="122"/>
    </row>
    <row r="1225" spans="1:6" ht="13.5" thickBot="1" x14ac:dyDescent="0.25">
      <c r="A1225" s="132">
        <v>1211</v>
      </c>
      <c r="B1225" s="126" t="s">
        <v>225</v>
      </c>
      <c r="C1225" s="121"/>
      <c r="D1225" s="121"/>
      <c r="E1225" s="133">
        <f>SUM(E1214:E1224)</f>
        <v>661312</v>
      </c>
      <c r="F1225" s="127"/>
    </row>
    <row r="1226" spans="1:6" ht="13.5" thickTop="1" x14ac:dyDescent="0.2">
      <c r="A1226" s="132">
        <v>1212</v>
      </c>
      <c r="B1226" s="128"/>
      <c r="C1226" s="129"/>
      <c r="D1226" s="129"/>
      <c r="E1226" s="129"/>
      <c r="F1226" s="130"/>
    </row>
    <row r="1227" spans="1:6" x14ac:dyDescent="0.2">
      <c r="A1227" s="132">
        <v>1213</v>
      </c>
    </row>
    <row r="1228" spans="1:6" x14ac:dyDescent="0.2">
      <c r="A1228" s="132">
        <v>1214</v>
      </c>
      <c r="B1228" s="131" t="s">
        <v>272</v>
      </c>
      <c r="C1228" s="117" t="s">
        <v>159</v>
      </c>
      <c r="D1228" s="117" t="s">
        <v>273</v>
      </c>
      <c r="E1228" s="118"/>
      <c r="F1228" s="119" t="s">
        <v>468</v>
      </c>
    </row>
    <row r="1229" spans="1:6" x14ac:dyDescent="0.2">
      <c r="A1229" s="132">
        <v>1215</v>
      </c>
      <c r="B1229" s="120"/>
      <c r="C1229" s="121"/>
      <c r="D1229" s="121"/>
      <c r="E1229" s="121"/>
      <c r="F1229" s="122"/>
    </row>
    <row r="1230" spans="1:6" x14ac:dyDescent="0.2">
      <c r="A1230" s="132">
        <v>1216</v>
      </c>
      <c r="B1230" s="140" t="s">
        <v>505</v>
      </c>
      <c r="C1230" s="121"/>
      <c r="D1230" s="121"/>
      <c r="E1230" s="121"/>
      <c r="F1230" s="122"/>
    </row>
    <row r="1231" spans="1:6" x14ac:dyDescent="0.2">
      <c r="A1231" s="132">
        <v>1217</v>
      </c>
      <c r="B1231" s="120"/>
      <c r="C1231" s="121"/>
      <c r="D1231" s="121"/>
      <c r="E1231" s="121"/>
      <c r="F1231" s="122"/>
    </row>
    <row r="1232" spans="1:6" x14ac:dyDescent="0.2">
      <c r="A1232" s="132">
        <v>1218</v>
      </c>
      <c r="B1232" s="123" t="s">
        <v>194</v>
      </c>
      <c r="C1232" s="121"/>
      <c r="D1232" s="121"/>
      <c r="E1232" s="124">
        <f>+'[3]Adj. #43'!$D$23</f>
        <v>1619.53</v>
      </c>
      <c r="F1232" s="122"/>
    </row>
    <row r="1233" spans="1:6" x14ac:dyDescent="0.2">
      <c r="A1233" s="132">
        <v>1219</v>
      </c>
      <c r="B1233" s="123" t="s">
        <v>208</v>
      </c>
      <c r="C1233" s="121"/>
      <c r="D1233" s="121"/>
      <c r="E1233" s="124">
        <f>+'[3]Adj. #43'!$D$24</f>
        <v>13367.49</v>
      </c>
      <c r="F1233" s="122"/>
    </row>
    <row r="1234" spans="1:6" x14ac:dyDescent="0.2">
      <c r="A1234" s="132">
        <v>1220</v>
      </c>
      <c r="B1234" s="123" t="s">
        <v>185</v>
      </c>
      <c r="C1234" s="121"/>
      <c r="D1234" s="121"/>
      <c r="E1234" s="125">
        <f>+'[3]Adj. #43'!$D$25</f>
        <v>100869.08</v>
      </c>
      <c r="F1234" s="122"/>
    </row>
    <row r="1235" spans="1:6" x14ac:dyDescent="0.2">
      <c r="A1235" s="132">
        <v>1221</v>
      </c>
      <c r="B1235" s="120"/>
      <c r="C1235" s="121"/>
      <c r="D1235" s="121"/>
      <c r="E1235" s="124"/>
      <c r="F1235" s="122"/>
    </row>
    <row r="1236" spans="1:6" ht="13.5" thickBot="1" x14ac:dyDescent="0.25">
      <c r="A1236" s="132">
        <v>1222</v>
      </c>
      <c r="B1236" s="126" t="s">
        <v>225</v>
      </c>
      <c r="C1236" s="121"/>
      <c r="D1236" s="121"/>
      <c r="E1236" s="133">
        <f>SUM(E1232:E1235)</f>
        <v>115856.1</v>
      </c>
      <c r="F1236" s="127"/>
    </row>
    <row r="1237" spans="1:6" ht="13.5" thickTop="1" x14ac:dyDescent="0.2">
      <c r="A1237" s="132">
        <v>1223</v>
      </c>
      <c r="B1237" s="128"/>
      <c r="C1237" s="129"/>
      <c r="D1237" s="129"/>
      <c r="E1237" s="129"/>
      <c r="F1237" s="130"/>
    </row>
    <row r="1238" spans="1:6" x14ac:dyDescent="0.2">
      <c r="A1238" s="132">
        <v>1224</v>
      </c>
    </row>
    <row r="1239" spans="1:6" x14ac:dyDescent="0.2">
      <c r="A1239" s="132">
        <v>1225</v>
      </c>
      <c r="B1239" s="131" t="s">
        <v>274</v>
      </c>
      <c r="C1239" s="117" t="s">
        <v>159</v>
      </c>
      <c r="D1239" s="117" t="s">
        <v>275</v>
      </c>
      <c r="E1239" s="118"/>
      <c r="F1239" s="119" t="s">
        <v>468</v>
      </c>
    </row>
    <row r="1240" spans="1:6" x14ac:dyDescent="0.2">
      <c r="A1240" s="132">
        <v>1226</v>
      </c>
      <c r="B1240" s="120"/>
      <c r="C1240" s="121"/>
      <c r="D1240" s="121"/>
      <c r="E1240" s="121"/>
      <c r="F1240" s="122"/>
    </row>
    <row r="1241" spans="1:6" x14ac:dyDescent="0.2">
      <c r="A1241" s="132">
        <v>1227</v>
      </c>
      <c r="B1241" s="140" t="s">
        <v>506</v>
      </c>
      <c r="C1241" s="121"/>
      <c r="D1241" s="121"/>
      <c r="E1241" s="121"/>
      <c r="F1241" s="122"/>
    </row>
    <row r="1242" spans="1:6" x14ac:dyDescent="0.2">
      <c r="A1242" s="132">
        <v>1228</v>
      </c>
      <c r="B1242" s="120"/>
      <c r="C1242" s="121"/>
      <c r="D1242" s="121"/>
      <c r="E1242" s="121"/>
      <c r="F1242" s="122"/>
    </row>
    <row r="1243" spans="1:6" x14ac:dyDescent="0.2">
      <c r="A1243" s="132">
        <v>1229</v>
      </c>
      <c r="B1243" s="123" t="s">
        <v>255</v>
      </c>
      <c r="C1243" s="121"/>
      <c r="D1243" s="121"/>
      <c r="E1243" s="124">
        <f>+'[3]Adj. #44'!$D$23</f>
        <v>-3952</v>
      </c>
      <c r="F1243" s="122"/>
    </row>
    <row r="1244" spans="1:6" x14ac:dyDescent="0.2">
      <c r="A1244" s="132">
        <v>1230</v>
      </c>
      <c r="B1244" s="123" t="s">
        <v>199</v>
      </c>
      <c r="C1244" s="121"/>
      <c r="D1244" s="121"/>
      <c r="E1244" s="125">
        <f>+'[3]Adj. #44'!$D$24</f>
        <v>-200</v>
      </c>
      <c r="F1244" s="122"/>
    </row>
    <row r="1245" spans="1:6" x14ac:dyDescent="0.2">
      <c r="A1245" s="132">
        <v>1231</v>
      </c>
      <c r="B1245" s="123" t="s">
        <v>185</v>
      </c>
      <c r="C1245" s="121"/>
      <c r="D1245" s="121"/>
      <c r="E1245" s="125">
        <f>+'[3]Adj. #44'!$D$25</f>
        <v>-762.47</v>
      </c>
      <c r="F1245" s="122"/>
    </row>
    <row r="1246" spans="1:6" x14ac:dyDescent="0.2">
      <c r="A1246" s="132">
        <v>1232</v>
      </c>
      <c r="B1246" s="123" t="s">
        <v>209</v>
      </c>
      <c r="C1246" s="121"/>
      <c r="D1246" s="121"/>
      <c r="E1246" s="125">
        <f>+'[3]Adj. #44'!$D$26</f>
        <v>-40418.94</v>
      </c>
      <c r="F1246" s="122"/>
    </row>
    <row r="1247" spans="1:6" x14ac:dyDescent="0.2">
      <c r="A1247" s="132">
        <v>1233</v>
      </c>
      <c r="B1247" s="120"/>
      <c r="C1247" s="121"/>
      <c r="D1247" s="121"/>
      <c r="E1247" s="124"/>
      <c r="F1247" s="122"/>
    </row>
    <row r="1248" spans="1:6" ht="13.5" thickBot="1" x14ac:dyDescent="0.25">
      <c r="A1248" s="132">
        <v>1234</v>
      </c>
      <c r="B1248" s="126" t="s">
        <v>225</v>
      </c>
      <c r="C1248" s="121"/>
      <c r="D1248" s="121"/>
      <c r="E1248" s="133">
        <f>SUM(E1243:E1247)</f>
        <v>-45333.41</v>
      </c>
      <c r="F1248" s="127"/>
    </row>
    <row r="1249" spans="1:6" ht="13.5" thickTop="1" x14ac:dyDescent="0.2">
      <c r="A1249" s="132">
        <v>1235</v>
      </c>
      <c r="B1249" s="128"/>
      <c r="C1249" s="129"/>
      <c r="D1249" s="129"/>
      <c r="E1249" s="129"/>
      <c r="F1249" s="130"/>
    </row>
    <row r="1250" spans="1:6" x14ac:dyDescent="0.2">
      <c r="A1250" s="132">
        <v>1236</v>
      </c>
      <c r="B1250" s="121"/>
      <c r="C1250" s="121"/>
      <c r="D1250" s="121"/>
      <c r="E1250" s="121"/>
      <c r="F1250" s="121"/>
    </row>
    <row r="1251" spans="1:6" x14ac:dyDescent="0.2">
      <c r="A1251" s="132">
        <v>1237</v>
      </c>
      <c r="B1251" s="131" t="s">
        <v>524</v>
      </c>
      <c r="C1251" s="117" t="s">
        <v>159</v>
      </c>
      <c r="D1251" s="117" t="s">
        <v>275</v>
      </c>
      <c r="E1251" s="118"/>
      <c r="F1251" s="119" t="s">
        <v>468</v>
      </c>
    </row>
    <row r="1252" spans="1:6" x14ac:dyDescent="0.2">
      <c r="A1252" s="132">
        <v>1238</v>
      </c>
      <c r="B1252" s="120"/>
      <c r="C1252" s="121"/>
      <c r="D1252" s="121"/>
      <c r="E1252" s="121"/>
      <c r="F1252" s="122" t="s">
        <v>554</v>
      </c>
    </row>
    <row r="1253" spans="1:6" x14ac:dyDescent="0.2">
      <c r="A1253" s="132">
        <v>1239</v>
      </c>
      <c r="B1253" s="140" t="s">
        <v>506</v>
      </c>
      <c r="C1253" s="121"/>
      <c r="D1253" s="121"/>
      <c r="E1253" s="121"/>
      <c r="F1253" s="122"/>
    </row>
    <row r="1254" spans="1:6" x14ac:dyDescent="0.2">
      <c r="A1254" s="132">
        <v>1240</v>
      </c>
      <c r="B1254" s="120"/>
      <c r="C1254" s="121"/>
      <c r="D1254" s="121"/>
      <c r="E1254" s="121"/>
      <c r="F1254" s="122"/>
    </row>
    <row r="1255" spans="1:6" x14ac:dyDescent="0.2">
      <c r="A1255" s="132">
        <v>1241</v>
      </c>
      <c r="B1255" s="123" t="s">
        <v>525</v>
      </c>
      <c r="C1255" s="121"/>
      <c r="D1255" s="121"/>
      <c r="E1255" s="124">
        <f>+'[3]Adj. #45'!$D$23</f>
        <v>1282583.33</v>
      </c>
      <c r="F1255" s="122"/>
    </row>
    <row r="1256" spans="1:6" x14ac:dyDescent="0.2">
      <c r="A1256" s="132">
        <v>1242</v>
      </c>
      <c r="B1256" s="123" t="s">
        <v>214</v>
      </c>
      <c r="C1256" s="121"/>
      <c r="D1256" s="121"/>
      <c r="E1256" s="125">
        <f>+'[3]Adj. #45'!$D$24</f>
        <v>10080</v>
      </c>
      <c r="F1256" s="122"/>
    </row>
    <row r="1257" spans="1:6" x14ac:dyDescent="0.2">
      <c r="A1257" s="132">
        <v>1243</v>
      </c>
      <c r="B1257" s="123" t="s">
        <v>185</v>
      </c>
      <c r="C1257" s="121"/>
      <c r="D1257" s="121"/>
      <c r="E1257" s="125">
        <f>+'[3]Adj. #45'!$D$25</f>
        <v>3916666.67</v>
      </c>
      <c r="F1257" s="122"/>
    </row>
    <row r="1258" spans="1:6" x14ac:dyDescent="0.2">
      <c r="A1258" s="132">
        <v>1244</v>
      </c>
      <c r="B1258" s="123" t="s">
        <v>526</v>
      </c>
      <c r="C1258" s="121"/>
      <c r="D1258" s="121"/>
      <c r="E1258" s="125">
        <f>+'[3]Adj. #45'!$D$26</f>
        <v>3309088.41</v>
      </c>
      <c r="F1258" s="122"/>
    </row>
    <row r="1259" spans="1:6" x14ac:dyDescent="0.2">
      <c r="A1259" s="132">
        <v>1245</v>
      </c>
      <c r="B1259" s="120"/>
      <c r="C1259" s="121"/>
      <c r="D1259" s="121"/>
      <c r="E1259" s="124"/>
      <c r="F1259" s="122"/>
    </row>
    <row r="1260" spans="1:6" ht="13.5" thickBot="1" x14ac:dyDescent="0.25">
      <c r="A1260" s="132">
        <v>1246</v>
      </c>
      <c r="B1260" s="126" t="s">
        <v>225</v>
      </c>
      <c r="C1260" s="121"/>
      <c r="D1260" s="121"/>
      <c r="E1260" s="133">
        <f>SUM(E1255:E1259)</f>
        <v>8518418.4100000001</v>
      </c>
      <c r="F1260" s="127"/>
    </row>
    <row r="1261" spans="1:6" ht="13.5" thickTop="1" x14ac:dyDescent="0.2">
      <c r="A1261" s="132">
        <v>1247</v>
      </c>
      <c r="B1261" s="128"/>
      <c r="C1261" s="129"/>
      <c r="D1261" s="129"/>
      <c r="E1261" s="129"/>
      <c r="F1261" s="130"/>
    </row>
    <row r="1262" spans="1:6" x14ac:dyDescent="0.2">
      <c r="A1262" s="132">
        <v>1248</v>
      </c>
    </row>
    <row r="1263" spans="1:6" x14ac:dyDescent="0.2">
      <c r="A1263" s="132">
        <v>1249</v>
      </c>
    </row>
    <row r="1264" spans="1:6" x14ac:dyDescent="0.2">
      <c r="A1264" s="132">
        <v>1250</v>
      </c>
      <c r="C1264" s="121"/>
    </row>
    <row r="1265" spans="1:6" x14ac:dyDescent="0.2">
      <c r="A1265" s="132">
        <v>1251</v>
      </c>
      <c r="C1265" s="141" t="s">
        <v>159</v>
      </c>
      <c r="D1265" s="143" t="s">
        <v>12</v>
      </c>
      <c r="E1265" s="142">
        <f>+E803+E813+E823+E834+E845+E854+E863+E872+E881+E890+E901+E911+E920+E929+E938+E948+E958+E967+E976+E985+E994+E1004+E1018+E1032+E1041+E1050+E1060+E1069+E1078+E1090+E1101+E1122+E1131+E1140+E1149+E1160+E1171+E1180+E1189+E1198+E1207+E1225+E1236+E1248+E1260</f>
        <v>493586912.30381608</v>
      </c>
    </row>
    <row r="1266" spans="1:6" ht="13.5" thickBot="1" x14ac:dyDescent="0.25">
      <c r="A1266" s="132">
        <v>1252</v>
      </c>
    </row>
    <row r="1267" spans="1:6" ht="13.5" thickBot="1" x14ac:dyDescent="0.25">
      <c r="A1267" s="132">
        <v>1253</v>
      </c>
      <c r="B1267" s="115" t="s">
        <v>276</v>
      </c>
    </row>
    <row r="1268" spans="1:6" x14ac:dyDescent="0.2">
      <c r="A1268" s="132">
        <v>1254</v>
      </c>
    </row>
    <row r="1269" spans="1:6" x14ac:dyDescent="0.2">
      <c r="A1269" s="132">
        <v>1255</v>
      </c>
      <c r="B1269" s="131" t="s">
        <v>277</v>
      </c>
      <c r="C1269" s="117" t="s">
        <v>278</v>
      </c>
      <c r="D1269" s="117"/>
      <c r="E1269" s="118"/>
      <c r="F1269" s="119" t="s">
        <v>468</v>
      </c>
    </row>
    <row r="1270" spans="1:6" x14ac:dyDescent="0.2">
      <c r="A1270" s="132">
        <v>1256</v>
      </c>
      <c r="B1270" s="120"/>
      <c r="C1270" s="121"/>
      <c r="D1270" s="121"/>
      <c r="E1270" s="121"/>
      <c r="F1270" s="122" t="s">
        <v>81</v>
      </c>
    </row>
    <row r="1271" spans="1:6" x14ac:dyDescent="0.2">
      <c r="A1271" s="132">
        <v>1257</v>
      </c>
      <c r="B1271" s="120"/>
      <c r="C1271" s="121"/>
      <c r="D1271" s="121"/>
      <c r="E1271" s="121"/>
      <c r="F1271" s="122"/>
    </row>
    <row r="1272" spans="1:6" x14ac:dyDescent="0.2">
      <c r="A1272" s="132">
        <v>1258</v>
      </c>
      <c r="B1272" s="123" t="s">
        <v>279</v>
      </c>
      <c r="C1272" s="121"/>
      <c r="D1272" s="121"/>
      <c r="E1272" s="124">
        <f>+'[4]II-E-1'!$G$20</f>
        <v>107434101.61</v>
      </c>
      <c r="F1272" s="122"/>
    </row>
    <row r="1273" spans="1:6" x14ac:dyDescent="0.2">
      <c r="A1273" s="132">
        <v>1259</v>
      </c>
      <c r="B1273" s="123" t="s">
        <v>280</v>
      </c>
      <c r="C1273" s="121"/>
      <c r="D1273" s="121"/>
      <c r="E1273" s="125">
        <f>+'[4]II-E-1'!$I$20</f>
        <v>1141084.150000006</v>
      </c>
      <c r="F1273" s="122"/>
    </row>
    <row r="1274" spans="1:6" x14ac:dyDescent="0.2">
      <c r="A1274" s="132">
        <v>1260</v>
      </c>
      <c r="B1274" s="120"/>
      <c r="C1274" s="121"/>
      <c r="D1274" s="121"/>
      <c r="E1274" s="124"/>
      <c r="F1274" s="122"/>
    </row>
    <row r="1275" spans="1:6" ht="13.5" thickBot="1" x14ac:dyDescent="0.25">
      <c r="A1275" s="132">
        <v>1261</v>
      </c>
      <c r="B1275" s="126" t="str">
        <f>CONCATENATE(MID(B1272,1,4)," - Adjustment")</f>
        <v>A303 - Adjustment</v>
      </c>
      <c r="C1275" s="121"/>
      <c r="D1275" s="121"/>
      <c r="E1275" s="133">
        <f>+E1273-E1272</f>
        <v>-106293017.45999999</v>
      </c>
      <c r="F1275" s="127"/>
    </row>
    <row r="1276" spans="1:6" ht="13.5" thickTop="1" x14ac:dyDescent="0.2">
      <c r="A1276" s="132">
        <v>1262</v>
      </c>
      <c r="B1276" s="128"/>
      <c r="C1276" s="129"/>
      <c r="D1276" s="129"/>
      <c r="E1276" s="129"/>
      <c r="F1276" s="130"/>
    </row>
    <row r="1277" spans="1:6" x14ac:dyDescent="0.2">
      <c r="A1277" s="132">
        <v>1263</v>
      </c>
    </row>
    <row r="1278" spans="1:6" x14ac:dyDescent="0.2">
      <c r="A1278" s="132">
        <v>1264</v>
      </c>
      <c r="B1278" s="131" t="s">
        <v>277</v>
      </c>
      <c r="C1278" s="117" t="s">
        <v>278</v>
      </c>
      <c r="D1278" s="117"/>
      <c r="E1278" s="118"/>
      <c r="F1278" s="119" t="s">
        <v>468</v>
      </c>
    </row>
    <row r="1279" spans="1:6" x14ac:dyDescent="0.2">
      <c r="A1279" s="132">
        <v>1265</v>
      </c>
      <c r="B1279" s="120"/>
      <c r="C1279" s="121"/>
      <c r="D1279" s="121"/>
      <c r="E1279" s="121"/>
      <c r="F1279" s="122" t="s">
        <v>81</v>
      </c>
    </row>
    <row r="1280" spans="1:6" x14ac:dyDescent="0.2">
      <c r="A1280" s="132">
        <v>1266</v>
      </c>
      <c r="B1280" s="120"/>
      <c r="C1280" s="121"/>
      <c r="D1280" s="121"/>
      <c r="E1280" s="121"/>
      <c r="F1280" s="122"/>
    </row>
    <row r="1281" spans="1:6" x14ac:dyDescent="0.2">
      <c r="A1281" s="132">
        <v>1267</v>
      </c>
      <c r="B1281" s="123" t="s">
        <v>281</v>
      </c>
      <c r="C1281" s="121"/>
      <c r="D1281" s="121"/>
      <c r="E1281" s="124">
        <f>+'[4]II-E-1'!$G$25</f>
        <v>6059977.29</v>
      </c>
      <c r="F1281" s="122"/>
    </row>
    <row r="1282" spans="1:6" x14ac:dyDescent="0.2">
      <c r="A1282" s="132">
        <v>1268</v>
      </c>
      <c r="B1282" s="123" t="s">
        <v>282</v>
      </c>
      <c r="C1282" s="121"/>
      <c r="D1282" s="121"/>
      <c r="E1282" s="125">
        <f>+'[4]II-E-1'!$I$25</f>
        <v>6441296.0800000001</v>
      </c>
      <c r="F1282" s="122"/>
    </row>
    <row r="1283" spans="1:6" x14ac:dyDescent="0.2">
      <c r="A1283" s="132">
        <v>1269</v>
      </c>
      <c r="B1283" s="120"/>
      <c r="C1283" s="121"/>
      <c r="D1283" s="121"/>
      <c r="E1283" s="124"/>
      <c r="F1283" s="122"/>
    </row>
    <row r="1284" spans="1:6" ht="13.5" thickBot="1" x14ac:dyDescent="0.25">
      <c r="A1284" s="132">
        <v>1270</v>
      </c>
      <c r="B1284" s="126" t="str">
        <f>CONCATENATE(MID(B1281,1,4)," - Adjustment")</f>
        <v>A350 - Adjustment</v>
      </c>
      <c r="C1284" s="121"/>
      <c r="D1284" s="121"/>
      <c r="E1284" s="133">
        <f>+E1282-E1281</f>
        <v>381318.79000000004</v>
      </c>
      <c r="F1284" s="127"/>
    </row>
    <row r="1285" spans="1:6" ht="13.5" thickTop="1" x14ac:dyDescent="0.2">
      <c r="A1285" s="132">
        <v>1271</v>
      </c>
      <c r="B1285" s="128"/>
      <c r="C1285" s="129"/>
      <c r="D1285" s="129"/>
      <c r="E1285" s="129"/>
      <c r="F1285" s="130"/>
    </row>
    <row r="1286" spans="1:6" x14ac:dyDescent="0.2">
      <c r="A1286" s="132">
        <v>1272</v>
      </c>
    </row>
    <row r="1287" spans="1:6" x14ac:dyDescent="0.2">
      <c r="A1287" s="132">
        <v>1273</v>
      </c>
      <c r="B1287" s="131" t="s">
        <v>277</v>
      </c>
      <c r="C1287" s="117" t="s">
        <v>278</v>
      </c>
      <c r="D1287" s="117"/>
      <c r="E1287" s="118"/>
      <c r="F1287" s="119" t="s">
        <v>468</v>
      </c>
    </row>
    <row r="1288" spans="1:6" x14ac:dyDescent="0.2">
      <c r="A1288" s="132">
        <v>1274</v>
      </c>
      <c r="B1288" s="120"/>
      <c r="C1288" s="121"/>
      <c r="D1288" s="121"/>
      <c r="E1288" s="121"/>
      <c r="F1288" s="122" t="s">
        <v>81</v>
      </c>
    </row>
    <row r="1289" spans="1:6" x14ac:dyDescent="0.2">
      <c r="A1289" s="132">
        <v>1275</v>
      </c>
      <c r="B1289" s="120"/>
      <c r="C1289" s="121"/>
      <c r="D1289" s="121"/>
      <c r="E1289" s="121"/>
      <c r="F1289" s="122"/>
    </row>
    <row r="1290" spans="1:6" x14ac:dyDescent="0.2">
      <c r="A1290" s="132">
        <v>1276</v>
      </c>
      <c r="B1290" s="123" t="s">
        <v>507</v>
      </c>
      <c r="C1290" s="121"/>
      <c r="D1290" s="121"/>
      <c r="E1290" s="124">
        <f>+'[4]II-E-1'!$G$27</f>
        <v>0</v>
      </c>
      <c r="F1290" s="122"/>
    </row>
    <row r="1291" spans="1:6" x14ac:dyDescent="0.2">
      <c r="A1291" s="132">
        <v>1277</v>
      </c>
      <c r="B1291" s="123" t="s">
        <v>508</v>
      </c>
      <c r="C1291" s="121"/>
      <c r="D1291" s="121"/>
      <c r="E1291" s="125">
        <f>+'[4]II-E-1'!$I$27</f>
        <v>12662464.560000001</v>
      </c>
      <c r="F1291" s="122"/>
    </row>
    <row r="1292" spans="1:6" x14ac:dyDescent="0.2">
      <c r="A1292" s="132">
        <v>1278</v>
      </c>
      <c r="B1292" s="120"/>
      <c r="C1292" s="121"/>
      <c r="D1292" s="121"/>
      <c r="E1292" s="124"/>
      <c r="F1292" s="122"/>
    </row>
    <row r="1293" spans="1:6" ht="13.5" thickBot="1" x14ac:dyDescent="0.25">
      <c r="A1293" s="132">
        <v>1279</v>
      </c>
      <c r="B1293" s="126" t="str">
        <f>CONCATENATE(MID(B1290,1,6)," - Adjustment")</f>
        <v>A351.2 - Adjustment</v>
      </c>
      <c r="C1293" s="121"/>
      <c r="D1293" s="121"/>
      <c r="E1293" s="133">
        <f>+E1291-E1290</f>
        <v>12662464.560000001</v>
      </c>
      <c r="F1293" s="127"/>
    </row>
    <row r="1294" spans="1:6" ht="13.5" thickTop="1" x14ac:dyDescent="0.2">
      <c r="A1294" s="132">
        <v>1280</v>
      </c>
      <c r="B1294" s="128"/>
      <c r="C1294" s="129"/>
      <c r="D1294" s="129"/>
      <c r="E1294" s="129"/>
      <c r="F1294" s="130"/>
    </row>
    <row r="1295" spans="1:6" x14ac:dyDescent="0.2">
      <c r="A1295" s="132">
        <v>1281</v>
      </c>
    </row>
    <row r="1296" spans="1:6" x14ac:dyDescent="0.2">
      <c r="A1296" s="132">
        <v>1282</v>
      </c>
      <c r="B1296" s="131" t="s">
        <v>277</v>
      </c>
      <c r="C1296" s="117" t="s">
        <v>278</v>
      </c>
      <c r="D1296" s="117"/>
      <c r="E1296" s="118"/>
      <c r="F1296" s="119" t="s">
        <v>468</v>
      </c>
    </row>
    <row r="1297" spans="1:6" x14ac:dyDescent="0.2">
      <c r="A1297" s="132">
        <v>1283</v>
      </c>
      <c r="B1297" s="120"/>
      <c r="C1297" s="121"/>
      <c r="D1297" s="121"/>
      <c r="E1297" s="121"/>
      <c r="F1297" s="122" t="s">
        <v>81</v>
      </c>
    </row>
    <row r="1298" spans="1:6" x14ac:dyDescent="0.2">
      <c r="A1298" s="132">
        <v>1284</v>
      </c>
      <c r="B1298" s="120"/>
      <c r="C1298" s="121"/>
      <c r="D1298" s="121"/>
      <c r="E1298" s="121"/>
      <c r="F1298" s="122"/>
    </row>
    <row r="1299" spans="1:6" x14ac:dyDescent="0.2">
      <c r="A1299" s="132">
        <v>1285</v>
      </c>
      <c r="B1299" s="123" t="s">
        <v>509</v>
      </c>
      <c r="C1299" s="121"/>
      <c r="D1299" s="121"/>
      <c r="E1299" s="124">
        <f>+'[4]II-E-1'!$G$28</f>
        <v>0</v>
      </c>
      <c r="F1299" s="122"/>
    </row>
    <row r="1300" spans="1:6" x14ac:dyDescent="0.2">
      <c r="A1300" s="132">
        <v>1286</v>
      </c>
      <c r="B1300" s="123" t="s">
        <v>510</v>
      </c>
      <c r="C1300" s="121"/>
      <c r="D1300" s="121"/>
      <c r="E1300" s="125">
        <f>+'[4]II-E-1'!$I$28</f>
        <v>122277.99</v>
      </c>
      <c r="F1300" s="122"/>
    </row>
    <row r="1301" spans="1:6" x14ac:dyDescent="0.2">
      <c r="A1301" s="132">
        <v>1287</v>
      </c>
      <c r="B1301" s="120"/>
      <c r="C1301" s="121"/>
      <c r="D1301" s="121"/>
      <c r="E1301" s="124"/>
      <c r="F1301" s="122"/>
    </row>
    <row r="1302" spans="1:6" ht="13.5" thickBot="1" x14ac:dyDescent="0.25">
      <c r="A1302" s="132">
        <v>1288</v>
      </c>
      <c r="B1302" s="126" t="str">
        <f>CONCATENATE(MID(B1299,1,6)," - Adjustment")</f>
        <v>A.351. - Adjustment</v>
      </c>
      <c r="C1302" s="121"/>
      <c r="D1302" s="121"/>
      <c r="E1302" s="133">
        <f>+E1300-E1299</f>
        <v>122277.99</v>
      </c>
      <c r="F1302" s="127"/>
    </row>
    <row r="1303" spans="1:6" ht="13.5" thickTop="1" x14ac:dyDescent="0.2">
      <c r="A1303" s="132">
        <v>1289</v>
      </c>
      <c r="B1303" s="128"/>
      <c r="C1303" s="129"/>
      <c r="D1303" s="129"/>
      <c r="E1303" s="129"/>
      <c r="F1303" s="130"/>
    </row>
    <row r="1304" spans="1:6" x14ac:dyDescent="0.2">
      <c r="A1304" s="132">
        <v>1290</v>
      </c>
    </row>
    <row r="1305" spans="1:6" x14ac:dyDescent="0.2">
      <c r="A1305" s="132">
        <v>1291</v>
      </c>
      <c r="B1305" s="131" t="s">
        <v>277</v>
      </c>
      <c r="C1305" s="117" t="s">
        <v>278</v>
      </c>
      <c r="D1305" s="117"/>
      <c r="E1305" s="118"/>
      <c r="F1305" s="119" t="s">
        <v>468</v>
      </c>
    </row>
    <row r="1306" spans="1:6" x14ac:dyDescent="0.2">
      <c r="A1306" s="132">
        <v>1292</v>
      </c>
      <c r="B1306" s="120"/>
      <c r="C1306" s="121"/>
      <c r="D1306" s="121"/>
      <c r="E1306" s="121"/>
      <c r="F1306" s="122" t="s">
        <v>81</v>
      </c>
    </row>
    <row r="1307" spans="1:6" x14ac:dyDescent="0.2">
      <c r="A1307" s="132">
        <v>1293</v>
      </c>
      <c r="B1307" s="120"/>
      <c r="C1307" s="121"/>
      <c r="D1307" s="121"/>
      <c r="E1307" s="121"/>
      <c r="F1307" s="122"/>
    </row>
    <row r="1308" spans="1:6" x14ac:dyDescent="0.2">
      <c r="A1308" s="132">
        <v>1294</v>
      </c>
      <c r="B1308" s="123" t="s">
        <v>283</v>
      </c>
      <c r="C1308" s="121"/>
      <c r="D1308" s="121"/>
      <c r="E1308" s="124">
        <f>+'[4]II-E-1'!$G$29</f>
        <v>16511584.35</v>
      </c>
      <c r="F1308" s="122"/>
    </row>
    <row r="1309" spans="1:6" x14ac:dyDescent="0.2">
      <c r="A1309" s="132">
        <v>1295</v>
      </c>
      <c r="B1309" s="123" t="s">
        <v>284</v>
      </c>
      <c r="C1309" s="121"/>
      <c r="D1309" s="121"/>
      <c r="E1309" s="125">
        <f>+'[4]II-E-1'!$I$29</f>
        <v>15587347.26</v>
      </c>
      <c r="F1309" s="122"/>
    </row>
    <row r="1310" spans="1:6" x14ac:dyDescent="0.2">
      <c r="A1310" s="132">
        <v>1296</v>
      </c>
      <c r="B1310" s="120"/>
      <c r="C1310" s="121"/>
      <c r="D1310" s="121"/>
      <c r="E1310" s="124"/>
      <c r="F1310" s="122"/>
    </row>
    <row r="1311" spans="1:6" ht="13.5" thickBot="1" x14ac:dyDescent="0.25">
      <c r="A1311" s="132">
        <v>1297</v>
      </c>
      <c r="B1311" s="126" t="str">
        <f>CONCATENATE(MID(B1308,1,4)," - Adjustment")</f>
        <v>A352 - Adjustment</v>
      </c>
      <c r="C1311" s="121"/>
      <c r="D1311" s="121"/>
      <c r="E1311" s="133">
        <f>+E1309-E1308</f>
        <v>-924237.08999999985</v>
      </c>
      <c r="F1311" s="127"/>
    </row>
    <row r="1312" spans="1:6" ht="13.5" thickTop="1" x14ac:dyDescent="0.2">
      <c r="A1312" s="132">
        <v>1298</v>
      </c>
      <c r="B1312" s="128"/>
      <c r="C1312" s="129"/>
      <c r="D1312" s="129"/>
      <c r="E1312" s="129"/>
      <c r="F1312" s="130"/>
    </row>
    <row r="1313" spans="1:6" x14ac:dyDescent="0.2">
      <c r="A1313" s="132">
        <v>1299</v>
      </c>
    </row>
    <row r="1314" spans="1:6" x14ac:dyDescent="0.2">
      <c r="A1314" s="132">
        <v>1300</v>
      </c>
      <c r="B1314" s="131" t="s">
        <v>277</v>
      </c>
      <c r="C1314" s="117" t="s">
        <v>278</v>
      </c>
      <c r="D1314" s="117"/>
      <c r="E1314" s="118"/>
      <c r="F1314" s="119" t="s">
        <v>468</v>
      </c>
    </row>
    <row r="1315" spans="1:6" x14ac:dyDescent="0.2">
      <c r="A1315" s="132">
        <v>1301</v>
      </c>
      <c r="B1315" s="120"/>
      <c r="C1315" s="121"/>
      <c r="D1315" s="121"/>
      <c r="E1315" s="121"/>
      <c r="F1315" s="122" t="s">
        <v>81</v>
      </c>
    </row>
    <row r="1316" spans="1:6" x14ac:dyDescent="0.2">
      <c r="A1316" s="132">
        <v>1302</v>
      </c>
      <c r="B1316" s="120"/>
      <c r="C1316" s="121"/>
      <c r="D1316" s="121"/>
      <c r="E1316" s="121"/>
      <c r="F1316" s="122"/>
    </row>
    <row r="1317" spans="1:6" x14ac:dyDescent="0.2">
      <c r="A1317" s="132">
        <v>1303</v>
      </c>
      <c r="B1317" s="123" t="s">
        <v>285</v>
      </c>
      <c r="C1317" s="121"/>
      <c r="D1317" s="121"/>
      <c r="E1317" s="124">
        <f>+'[4]II-E-1'!$G$30</f>
        <v>105866388.55</v>
      </c>
      <c r="F1317" s="122"/>
    </row>
    <row r="1318" spans="1:6" x14ac:dyDescent="0.2">
      <c r="A1318" s="132">
        <v>1304</v>
      </c>
      <c r="B1318" s="123" t="str">
        <f>CONCATENATE(MID(B1317,1,4)," - Requested")</f>
        <v>A353 - Requested</v>
      </c>
      <c r="C1318" s="121"/>
      <c r="D1318" s="121"/>
      <c r="E1318" s="125">
        <f>+'[4]II-E-1'!$I$30</f>
        <v>117413208.17999999</v>
      </c>
      <c r="F1318" s="122"/>
    </row>
    <row r="1319" spans="1:6" x14ac:dyDescent="0.2">
      <c r="A1319" s="132">
        <v>1305</v>
      </c>
      <c r="B1319" s="120"/>
      <c r="C1319" s="121"/>
      <c r="D1319" s="121"/>
      <c r="E1319" s="124"/>
      <c r="F1319" s="122"/>
    </row>
    <row r="1320" spans="1:6" ht="13.5" thickBot="1" x14ac:dyDescent="0.25">
      <c r="A1320" s="132">
        <v>1306</v>
      </c>
      <c r="B1320" s="126" t="str">
        <f>CONCATENATE(MID(B1317,1,4)," - Adjustment")</f>
        <v>A353 - Adjustment</v>
      </c>
      <c r="C1320" s="121"/>
      <c r="D1320" s="121"/>
      <c r="E1320" s="133">
        <f>+E1318-E1317</f>
        <v>11546819.629999995</v>
      </c>
      <c r="F1320" s="127"/>
    </row>
    <row r="1321" spans="1:6" ht="13.5" thickTop="1" x14ac:dyDescent="0.2">
      <c r="A1321" s="132">
        <v>1307</v>
      </c>
      <c r="B1321" s="128"/>
      <c r="C1321" s="129"/>
      <c r="D1321" s="129"/>
      <c r="E1321" s="129"/>
      <c r="F1321" s="130"/>
    </row>
    <row r="1322" spans="1:6" x14ac:dyDescent="0.2">
      <c r="A1322" s="132">
        <v>1308</v>
      </c>
    </row>
    <row r="1323" spans="1:6" x14ac:dyDescent="0.2">
      <c r="A1323" s="132">
        <v>1309</v>
      </c>
      <c r="B1323" s="131" t="s">
        <v>277</v>
      </c>
      <c r="C1323" s="117" t="s">
        <v>278</v>
      </c>
      <c r="D1323" s="117"/>
      <c r="E1323" s="118"/>
      <c r="F1323" s="119" t="s">
        <v>468</v>
      </c>
    </row>
    <row r="1324" spans="1:6" x14ac:dyDescent="0.2">
      <c r="A1324" s="132">
        <v>1310</v>
      </c>
      <c r="B1324" s="120"/>
      <c r="C1324" s="121"/>
      <c r="D1324" s="121"/>
      <c r="E1324" s="121"/>
      <c r="F1324" s="122" t="s">
        <v>81</v>
      </c>
    </row>
    <row r="1325" spans="1:6" x14ac:dyDescent="0.2">
      <c r="A1325" s="132">
        <v>1311</v>
      </c>
      <c r="B1325" s="120"/>
      <c r="C1325" s="121"/>
      <c r="D1325" s="121"/>
      <c r="E1325" s="121"/>
      <c r="F1325" s="122"/>
    </row>
    <row r="1326" spans="1:6" x14ac:dyDescent="0.2">
      <c r="A1326" s="132">
        <v>1312</v>
      </c>
      <c r="B1326" s="123" t="s">
        <v>286</v>
      </c>
      <c r="C1326" s="121"/>
      <c r="D1326" s="121"/>
      <c r="E1326" s="124">
        <f>+'[4]II-E-1'!$G$31</f>
        <v>38621975.509999998</v>
      </c>
      <c r="F1326" s="122"/>
    </row>
    <row r="1327" spans="1:6" x14ac:dyDescent="0.2">
      <c r="A1327" s="132">
        <v>1313</v>
      </c>
      <c r="B1327" s="123" t="str">
        <f>CONCATENATE(MID(B1326,1,4)," - Requested")</f>
        <v>A354 - Requested</v>
      </c>
      <c r="C1327" s="121"/>
      <c r="D1327" s="121"/>
      <c r="E1327" s="125">
        <f>+'[4]II-E-1'!$I$31</f>
        <v>41336657.349999994</v>
      </c>
      <c r="F1327" s="122"/>
    </row>
    <row r="1328" spans="1:6" x14ac:dyDescent="0.2">
      <c r="A1328" s="132">
        <v>1314</v>
      </c>
      <c r="B1328" s="120"/>
      <c r="C1328" s="121"/>
      <c r="D1328" s="121"/>
      <c r="E1328" s="124"/>
      <c r="F1328" s="122"/>
    </row>
    <row r="1329" spans="1:6" ht="13.5" thickBot="1" x14ac:dyDescent="0.25">
      <c r="A1329" s="132">
        <v>1315</v>
      </c>
      <c r="B1329" s="126" t="str">
        <f>CONCATENATE(MID(B1326,1,4)," - Adjustment")</f>
        <v>A354 - Adjustment</v>
      </c>
      <c r="C1329" s="121"/>
      <c r="D1329" s="121"/>
      <c r="E1329" s="133">
        <f>+E1327-E1326</f>
        <v>2714681.8399999961</v>
      </c>
      <c r="F1329" s="127"/>
    </row>
    <row r="1330" spans="1:6" ht="13.5" thickTop="1" x14ac:dyDescent="0.2">
      <c r="A1330" s="132">
        <v>1316</v>
      </c>
      <c r="B1330" s="128"/>
      <c r="C1330" s="129"/>
      <c r="D1330" s="129"/>
      <c r="E1330" s="129"/>
      <c r="F1330" s="130"/>
    </row>
    <row r="1331" spans="1:6" x14ac:dyDescent="0.2">
      <c r="A1331" s="132">
        <v>1317</v>
      </c>
    </row>
    <row r="1332" spans="1:6" x14ac:dyDescent="0.2">
      <c r="A1332" s="132">
        <v>1318</v>
      </c>
      <c r="B1332" s="131" t="s">
        <v>277</v>
      </c>
      <c r="C1332" s="117" t="s">
        <v>278</v>
      </c>
      <c r="D1332" s="117"/>
      <c r="E1332" s="118"/>
      <c r="F1332" s="119" t="s">
        <v>468</v>
      </c>
    </row>
    <row r="1333" spans="1:6" x14ac:dyDescent="0.2">
      <c r="A1333" s="132">
        <v>1319</v>
      </c>
      <c r="B1333" s="120"/>
      <c r="C1333" s="121"/>
      <c r="D1333" s="121"/>
      <c r="E1333" s="121"/>
      <c r="F1333" s="122" t="s">
        <v>81</v>
      </c>
    </row>
    <row r="1334" spans="1:6" x14ac:dyDescent="0.2">
      <c r="A1334" s="132">
        <v>1320</v>
      </c>
      <c r="B1334" s="120"/>
      <c r="C1334" s="121"/>
      <c r="D1334" s="121"/>
      <c r="E1334" s="121"/>
      <c r="F1334" s="122"/>
    </row>
    <row r="1335" spans="1:6" x14ac:dyDescent="0.2">
      <c r="A1335" s="132">
        <v>1321</v>
      </c>
      <c r="B1335" s="123" t="s">
        <v>287</v>
      </c>
      <c r="C1335" s="121"/>
      <c r="D1335" s="121"/>
      <c r="E1335" s="124">
        <f>+'[4]II-E-1'!$G$32</f>
        <v>117316397.05</v>
      </c>
      <c r="F1335" s="122"/>
    </row>
    <row r="1336" spans="1:6" x14ac:dyDescent="0.2">
      <c r="A1336" s="132">
        <v>1322</v>
      </c>
      <c r="B1336" s="123" t="str">
        <f>CONCATENATE(MID(B1335,1,4)," - Requested")</f>
        <v>A355 - Requested</v>
      </c>
      <c r="C1336" s="121"/>
      <c r="D1336" s="121"/>
      <c r="E1336" s="125">
        <f>+'[4]II-E-1'!$I$32</f>
        <v>125659802.25999999</v>
      </c>
      <c r="F1336" s="122"/>
    </row>
    <row r="1337" spans="1:6" x14ac:dyDescent="0.2">
      <c r="A1337" s="132">
        <v>1323</v>
      </c>
      <c r="B1337" s="120"/>
      <c r="C1337" s="121"/>
      <c r="D1337" s="121"/>
      <c r="E1337" s="124"/>
      <c r="F1337" s="122"/>
    </row>
    <row r="1338" spans="1:6" ht="13.5" thickBot="1" x14ac:dyDescent="0.25">
      <c r="A1338" s="132">
        <v>1324</v>
      </c>
      <c r="B1338" s="126" t="str">
        <f>CONCATENATE(MID(B1335,1,4)," - Adjustment")</f>
        <v>A355 - Adjustment</v>
      </c>
      <c r="C1338" s="121"/>
      <c r="D1338" s="121"/>
      <c r="E1338" s="133">
        <f>+E1336-E1335</f>
        <v>8343405.2099999934</v>
      </c>
      <c r="F1338" s="127"/>
    </row>
    <row r="1339" spans="1:6" ht="13.5" thickTop="1" x14ac:dyDescent="0.2">
      <c r="A1339" s="132">
        <v>1325</v>
      </c>
      <c r="B1339" s="128"/>
      <c r="C1339" s="129"/>
      <c r="D1339" s="129"/>
      <c r="E1339" s="129"/>
      <c r="F1339" s="130"/>
    </row>
    <row r="1340" spans="1:6" x14ac:dyDescent="0.2">
      <c r="A1340" s="132">
        <v>1326</v>
      </c>
    </row>
    <row r="1341" spans="1:6" x14ac:dyDescent="0.2">
      <c r="A1341" s="132">
        <v>1327</v>
      </c>
      <c r="B1341" s="131" t="s">
        <v>277</v>
      </c>
      <c r="C1341" s="117" t="s">
        <v>278</v>
      </c>
      <c r="D1341" s="117"/>
      <c r="E1341" s="118"/>
      <c r="F1341" s="119" t="s">
        <v>468</v>
      </c>
    </row>
    <row r="1342" spans="1:6" x14ac:dyDescent="0.2">
      <c r="A1342" s="132">
        <v>1328</v>
      </c>
      <c r="B1342" s="120"/>
      <c r="C1342" s="121"/>
      <c r="D1342" s="121"/>
      <c r="E1342" s="121"/>
      <c r="F1342" s="122" t="s">
        <v>81</v>
      </c>
    </row>
    <row r="1343" spans="1:6" x14ac:dyDescent="0.2">
      <c r="A1343" s="132">
        <v>1329</v>
      </c>
      <c r="B1343" s="120"/>
      <c r="C1343" s="121"/>
      <c r="D1343" s="121"/>
      <c r="E1343" s="121"/>
      <c r="F1343" s="122"/>
    </row>
    <row r="1344" spans="1:6" x14ac:dyDescent="0.2">
      <c r="A1344" s="132">
        <v>1330</v>
      </c>
      <c r="B1344" s="123" t="s">
        <v>288</v>
      </c>
      <c r="C1344" s="121"/>
      <c r="D1344" s="121"/>
      <c r="E1344" s="124">
        <f>+'[4]II-E-1'!$G$33</f>
        <v>77828285.170000002</v>
      </c>
      <c r="F1344" s="122"/>
    </row>
    <row r="1345" spans="1:6" x14ac:dyDescent="0.2">
      <c r="A1345" s="132">
        <v>1331</v>
      </c>
      <c r="B1345" s="123" t="str">
        <f>CONCATENATE(MID(B1344,1,4)," - Requested")</f>
        <v>A356 - Requested</v>
      </c>
      <c r="C1345" s="121"/>
      <c r="D1345" s="121"/>
      <c r="E1345" s="125">
        <f>+'[4]II-E-1'!$I$33</f>
        <v>87131859.400000006</v>
      </c>
      <c r="F1345" s="122"/>
    </row>
    <row r="1346" spans="1:6" x14ac:dyDescent="0.2">
      <c r="A1346" s="132">
        <v>1332</v>
      </c>
      <c r="B1346" s="120"/>
      <c r="C1346" s="121"/>
      <c r="D1346" s="121"/>
      <c r="E1346" s="124"/>
      <c r="F1346" s="122"/>
    </row>
    <row r="1347" spans="1:6" ht="13.5" thickBot="1" x14ac:dyDescent="0.25">
      <c r="A1347" s="132">
        <v>1333</v>
      </c>
      <c r="B1347" s="126" t="str">
        <f>CONCATENATE(MID(B1344,1,4)," - Adjustment")</f>
        <v>A356 - Adjustment</v>
      </c>
      <c r="C1347" s="121"/>
      <c r="D1347" s="121"/>
      <c r="E1347" s="133">
        <f>+E1345-E1344</f>
        <v>9303574.2300000042</v>
      </c>
      <c r="F1347" s="127"/>
    </row>
    <row r="1348" spans="1:6" ht="13.5" thickTop="1" x14ac:dyDescent="0.2">
      <c r="A1348" s="132">
        <v>1334</v>
      </c>
      <c r="B1348" s="128"/>
      <c r="C1348" s="129"/>
      <c r="D1348" s="129"/>
      <c r="E1348" s="129"/>
      <c r="F1348" s="130"/>
    </row>
    <row r="1349" spans="1:6" x14ac:dyDescent="0.2">
      <c r="A1349" s="132">
        <v>1335</v>
      </c>
    </row>
    <row r="1350" spans="1:6" x14ac:dyDescent="0.2">
      <c r="A1350" s="132">
        <v>1336</v>
      </c>
      <c r="B1350" s="131" t="s">
        <v>277</v>
      </c>
      <c r="C1350" s="117" t="s">
        <v>278</v>
      </c>
      <c r="D1350" s="117"/>
      <c r="E1350" s="118"/>
      <c r="F1350" s="119" t="s">
        <v>468</v>
      </c>
    </row>
    <row r="1351" spans="1:6" x14ac:dyDescent="0.2">
      <c r="A1351" s="132">
        <v>1337</v>
      </c>
      <c r="B1351" s="120"/>
      <c r="C1351" s="121"/>
      <c r="D1351" s="121"/>
      <c r="E1351" s="121"/>
      <c r="F1351" s="122" t="s">
        <v>81</v>
      </c>
    </row>
    <row r="1352" spans="1:6" x14ac:dyDescent="0.2">
      <c r="A1352" s="132">
        <v>1338</v>
      </c>
      <c r="B1352" s="120"/>
      <c r="C1352" s="121"/>
      <c r="D1352" s="121"/>
      <c r="E1352" s="121"/>
      <c r="F1352" s="122"/>
    </row>
    <row r="1353" spans="1:6" x14ac:dyDescent="0.2">
      <c r="A1353" s="132">
        <v>1339</v>
      </c>
      <c r="B1353" s="123" t="s">
        <v>289</v>
      </c>
      <c r="C1353" s="121"/>
      <c r="D1353" s="121"/>
      <c r="E1353" s="124">
        <f>+'[4]II-E-1'!$G$34</f>
        <v>983025.55</v>
      </c>
      <c r="F1353" s="122"/>
    </row>
    <row r="1354" spans="1:6" x14ac:dyDescent="0.2">
      <c r="A1354" s="132">
        <v>1340</v>
      </c>
      <c r="B1354" s="123" t="str">
        <f>CONCATENATE(MID(B1353,1,4)," - Requested")</f>
        <v>A357 - Requested</v>
      </c>
      <c r="C1354" s="121"/>
      <c r="D1354" s="121"/>
      <c r="E1354" s="125">
        <f>+'[4]II-E-1'!$I$34</f>
        <v>1022587.8500000001</v>
      </c>
      <c r="F1354" s="122"/>
    </row>
    <row r="1355" spans="1:6" x14ac:dyDescent="0.2">
      <c r="A1355" s="132">
        <v>1341</v>
      </c>
      <c r="B1355" s="120"/>
      <c r="C1355" s="121"/>
      <c r="D1355" s="121"/>
      <c r="E1355" s="124"/>
      <c r="F1355" s="122"/>
    </row>
    <row r="1356" spans="1:6" ht="13.5" thickBot="1" x14ac:dyDescent="0.25">
      <c r="A1356" s="132">
        <v>1342</v>
      </c>
      <c r="B1356" s="126" t="str">
        <f>CONCATENATE(MID(B1353,1,4)," - Adjustment")</f>
        <v>A357 - Adjustment</v>
      </c>
      <c r="C1356" s="121"/>
      <c r="D1356" s="121"/>
      <c r="E1356" s="133">
        <f>+E1354-E1353</f>
        <v>39562.300000000047</v>
      </c>
      <c r="F1356" s="127"/>
    </row>
    <row r="1357" spans="1:6" ht="13.5" thickTop="1" x14ac:dyDescent="0.2">
      <c r="A1357" s="132">
        <v>1343</v>
      </c>
      <c r="B1357" s="128"/>
      <c r="C1357" s="129"/>
      <c r="D1357" s="129"/>
      <c r="E1357" s="129"/>
      <c r="F1357" s="130"/>
    </row>
    <row r="1358" spans="1:6" x14ac:dyDescent="0.2">
      <c r="A1358" s="132">
        <v>1344</v>
      </c>
    </row>
    <row r="1359" spans="1:6" x14ac:dyDescent="0.2">
      <c r="A1359" s="132">
        <v>1345</v>
      </c>
      <c r="B1359" s="131" t="s">
        <v>277</v>
      </c>
      <c r="C1359" s="117" t="s">
        <v>278</v>
      </c>
      <c r="D1359" s="117"/>
      <c r="E1359" s="118"/>
      <c r="F1359" s="119" t="s">
        <v>468</v>
      </c>
    </row>
    <row r="1360" spans="1:6" x14ac:dyDescent="0.2">
      <c r="A1360" s="132">
        <v>1346</v>
      </c>
      <c r="B1360" s="120"/>
      <c r="C1360" s="121"/>
      <c r="D1360" s="121"/>
      <c r="E1360" s="121"/>
      <c r="F1360" s="122" t="s">
        <v>81</v>
      </c>
    </row>
    <row r="1361" spans="1:6" x14ac:dyDescent="0.2">
      <c r="A1361" s="132">
        <v>1347</v>
      </c>
      <c r="B1361" s="120"/>
      <c r="C1361" s="121"/>
      <c r="D1361" s="121"/>
      <c r="E1361" s="121"/>
      <c r="F1361" s="122"/>
    </row>
    <row r="1362" spans="1:6" x14ac:dyDescent="0.2">
      <c r="A1362" s="132">
        <v>1348</v>
      </c>
      <c r="B1362" s="123" t="s">
        <v>290</v>
      </c>
      <c r="C1362" s="121"/>
      <c r="D1362" s="121"/>
      <c r="E1362" s="124">
        <f>+'[4]II-E-1'!$G$35</f>
        <v>1985359.28</v>
      </c>
      <c r="F1362" s="122"/>
    </row>
    <row r="1363" spans="1:6" x14ac:dyDescent="0.2">
      <c r="A1363" s="132">
        <v>1349</v>
      </c>
      <c r="B1363" s="123" t="str">
        <f>CONCATENATE(MID(B1362,1,4)," - Requested")</f>
        <v>A358 - Requested</v>
      </c>
      <c r="C1363" s="121"/>
      <c r="D1363" s="121"/>
      <c r="E1363" s="125">
        <f>+'[4]II-E-1'!$I$35</f>
        <v>1783420.47</v>
      </c>
      <c r="F1363" s="122"/>
    </row>
    <row r="1364" spans="1:6" x14ac:dyDescent="0.2">
      <c r="A1364" s="132">
        <v>1350</v>
      </c>
      <c r="B1364" s="120"/>
      <c r="C1364" s="121"/>
      <c r="D1364" s="121"/>
      <c r="E1364" s="124"/>
      <c r="F1364" s="122"/>
    </row>
    <row r="1365" spans="1:6" ht="13.5" thickBot="1" x14ac:dyDescent="0.25">
      <c r="A1365" s="132">
        <v>1351</v>
      </c>
      <c r="B1365" s="126" t="str">
        <f>CONCATENATE(MID(B1362,1,4)," - Adjustment")</f>
        <v>A358 - Adjustment</v>
      </c>
      <c r="C1365" s="121"/>
      <c r="D1365" s="121"/>
      <c r="E1365" s="133">
        <f>+E1363-E1362</f>
        <v>-201938.81000000006</v>
      </c>
      <c r="F1365" s="127"/>
    </row>
    <row r="1366" spans="1:6" ht="13.5" thickTop="1" x14ac:dyDescent="0.2">
      <c r="A1366" s="132">
        <v>1352</v>
      </c>
      <c r="B1366" s="128"/>
      <c r="C1366" s="129"/>
      <c r="D1366" s="129"/>
      <c r="E1366" s="129"/>
      <c r="F1366" s="130"/>
    </row>
    <row r="1367" spans="1:6" x14ac:dyDescent="0.2">
      <c r="A1367" s="132">
        <v>1353</v>
      </c>
    </row>
    <row r="1368" spans="1:6" x14ac:dyDescent="0.2">
      <c r="A1368" s="132">
        <v>1354</v>
      </c>
      <c r="B1368" s="131" t="s">
        <v>277</v>
      </c>
      <c r="C1368" s="117" t="s">
        <v>278</v>
      </c>
      <c r="D1368" s="117"/>
      <c r="E1368" s="118"/>
      <c r="F1368" s="119" t="s">
        <v>468</v>
      </c>
    </row>
    <row r="1369" spans="1:6" x14ac:dyDescent="0.2">
      <c r="A1369" s="132">
        <v>1355</v>
      </c>
      <c r="B1369" s="120"/>
      <c r="C1369" s="121"/>
      <c r="D1369" s="121"/>
      <c r="E1369" s="121"/>
      <c r="F1369" s="122" t="s">
        <v>81</v>
      </c>
    </row>
    <row r="1370" spans="1:6" x14ac:dyDescent="0.2">
      <c r="A1370" s="132">
        <v>1356</v>
      </c>
      <c r="B1370" s="120"/>
      <c r="C1370" s="121"/>
      <c r="D1370" s="121"/>
      <c r="E1370" s="121"/>
      <c r="F1370" s="122"/>
    </row>
    <row r="1371" spans="1:6" x14ac:dyDescent="0.2">
      <c r="A1371" s="132">
        <v>1357</v>
      </c>
      <c r="B1371" s="123" t="s">
        <v>291</v>
      </c>
      <c r="C1371" s="121"/>
      <c r="D1371" s="121"/>
      <c r="E1371" s="124">
        <f>+'[4]II-E-1'!$G$42</f>
        <v>348121.12</v>
      </c>
      <c r="F1371" s="122"/>
    </row>
    <row r="1372" spans="1:6" x14ac:dyDescent="0.2">
      <c r="A1372" s="132">
        <v>1358</v>
      </c>
      <c r="B1372" s="123" t="str">
        <f>CONCATENATE(MID(B1371,1,4)," - Requested")</f>
        <v>A360 - Requested</v>
      </c>
      <c r="C1372" s="121"/>
      <c r="D1372" s="121"/>
      <c r="E1372" s="125">
        <f>+'[4]II-E-1'!$I$42</f>
        <v>396976.51</v>
      </c>
      <c r="F1372" s="122"/>
    </row>
    <row r="1373" spans="1:6" x14ac:dyDescent="0.2">
      <c r="A1373" s="132">
        <v>1359</v>
      </c>
      <c r="B1373" s="120"/>
      <c r="C1373" s="121"/>
      <c r="D1373" s="121"/>
      <c r="E1373" s="124"/>
      <c r="F1373" s="122"/>
    </row>
    <row r="1374" spans="1:6" ht="13.5" thickBot="1" x14ac:dyDescent="0.25">
      <c r="A1374" s="132">
        <v>1360</v>
      </c>
      <c r="B1374" s="126" t="str">
        <f>CONCATENATE(MID(B1371,1,4)," - Adjustment")</f>
        <v>A360 - Adjustment</v>
      </c>
      <c r="C1374" s="121"/>
      <c r="D1374" s="121"/>
      <c r="E1374" s="133">
        <f>+E1372-E1371</f>
        <v>48855.390000000014</v>
      </c>
      <c r="F1374" s="127"/>
    </row>
    <row r="1375" spans="1:6" ht="13.5" thickTop="1" x14ac:dyDescent="0.2">
      <c r="A1375" s="132">
        <v>1361</v>
      </c>
      <c r="B1375" s="128"/>
      <c r="C1375" s="129"/>
      <c r="D1375" s="129"/>
      <c r="E1375" s="129"/>
      <c r="F1375" s="130"/>
    </row>
    <row r="1376" spans="1:6" x14ac:dyDescent="0.2">
      <c r="A1376" s="132">
        <v>1362</v>
      </c>
    </row>
    <row r="1377" spans="1:6" x14ac:dyDescent="0.2">
      <c r="A1377" s="132">
        <v>1363</v>
      </c>
      <c r="B1377" s="131" t="s">
        <v>277</v>
      </c>
      <c r="C1377" s="117" t="s">
        <v>278</v>
      </c>
      <c r="D1377" s="117"/>
      <c r="E1377" s="118"/>
      <c r="F1377" s="119" t="s">
        <v>468</v>
      </c>
    </row>
    <row r="1378" spans="1:6" x14ac:dyDescent="0.2">
      <c r="A1378" s="132">
        <v>1364</v>
      </c>
      <c r="B1378" s="120"/>
      <c r="C1378" s="121"/>
      <c r="D1378" s="121"/>
      <c r="E1378" s="121"/>
      <c r="F1378" s="122" t="s">
        <v>81</v>
      </c>
    </row>
    <row r="1379" spans="1:6" x14ac:dyDescent="0.2">
      <c r="A1379" s="132">
        <v>1365</v>
      </c>
      <c r="B1379" s="120"/>
      <c r="C1379" s="121"/>
      <c r="D1379" s="121"/>
      <c r="E1379" s="121"/>
      <c r="F1379" s="122"/>
    </row>
    <row r="1380" spans="1:6" x14ac:dyDescent="0.2">
      <c r="A1380" s="132">
        <v>1366</v>
      </c>
      <c r="B1380" s="123" t="s">
        <v>292</v>
      </c>
      <c r="C1380" s="121"/>
      <c r="D1380" s="121"/>
      <c r="E1380" s="124">
        <f>+'[4]II-E-1'!$G$43</f>
        <v>7840271.6299999999</v>
      </c>
      <c r="F1380" s="122"/>
    </row>
    <row r="1381" spans="1:6" x14ac:dyDescent="0.2">
      <c r="A1381" s="132">
        <v>1367</v>
      </c>
      <c r="B1381" s="123" t="str">
        <f>CONCATENATE(MID(B1380,1,4)," - Requested")</f>
        <v>A361 - Requested</v>
      </c>
      <c r="C1381" s="121"/>
      <c r="D1381" s="121"/>
      <c r="E1381" s="125">
        <f>+'[4]II-E-1'!$I$43</f>
        <v>8966658.7799999993</v>
      </c>
      <c r="F1381" s="122"/>
    </row>
    <row r="1382" spans="1:6" x14ac:dyDescent="0.2">
      <c r="A1382" s="132">
        <v>1368</v>
      </c>
      <c r="B1382" s="120"/>
      <c r="C1382" s="121"/>
      <c r="D1382" s="121"/>
      <c r="E1382" s="124"/>
      <c r="F1382" s="122"/>
    </row>
    <row r="1383" spans="1:6" ht="13.5" thickBot="1" x14ac:dyDescent="0.25">
      <c r="A1383" s="132">
        <v>1369</v>
      </c>
      <c r="B1383" s="126" t="str">
        <f>CONCATENATE(MID(B1380,1,4)," - Adjustment")</f>
        <v>A361 - Adjustment</v>
      </c>
      <c r="C1383" s="121"/>
      <c r="D1383" s="121"/>
      <c r="E1383" s="133">
        <f>+E1381-E1380</f>
        <v>1126387.1499999994</v>
      </c>
      <c r="F1383" s="127"/>
    </row>
    <row r="1384" spans="1:6" ht="13.5" thickTop="1" x14ac:dyDescent="0.2">
      <c r="A1384" s="132">
        <v>1370</v>
      </c>
      <c r="B1384" s="128"/>
      <c r="C1384" s="129"/>
      <c r="D1384" s="129"/>
      <c r="E1384" s="129"/>
      <c r="F1384" s="130"/>
    </row>
    <row r="1385" spans="1:6" x14ac:dyDescent="0.2">
      <c r="A1385" s="132">
        <v>1371</v>
      </c>
    </row>
    <row r="1386" spans="1:6" x14ac:dyDescent="0.2">
      <c r="A1386" s="132">
        <v>1372</v>
      </c>
      <c r="B1386" s="131" t="s">
        <v>277</v>
      </c>
      <c r="C1386" s="117" t="s">
        <v>278</v>
      </c>
      <c r="D1386" s="117"/>
      <c r="E1386" s="118"/>
      <c r="F1386" s="119" t="s">
        <v>468</v>
      </c>
    </row>
    <row r="1387" spans="1:6" x14ac:dyDescent="0.2">
      <c r="A1387" s="132">
        <v>1373</v>
      </c>
      <c r="B1387" s="120"/>
      <c r="C1387" s="121"/>
      <c r="D1387" s="121"/>
      <c r="E1387" s="121"/>
      <c r="F1387" s="122" t="s">
        <v>81</v>
      </c>
    </row>
    <row r="1388" spans="1:6" x14ac:dyDescent="0.2">
      <c r="A1388" s="132">
        <v>1374</v>
      </c>
      <c r="B1388" s="120"/>
      <c r="C1388" s="121"/>
      <c r="D1388" s="121"/>
      <c r="E1388" s="121"/>
      <c r="F1388" s="122"/>
    </row>
    <row r="1389" spans="1:6" x14ac:dyDescent="0.2">
      <c r="A1389" s="132">
        <v>1375</v>
      </c>
      <c r="B1389" s="123" t="s">
        <v>293</v>
      </c>
      <c r="C1389" s="121"/>
      <c r="D1389" s="121"/>
      <c r="E1389" s="124">
        <f>+'[4]II-E-1'!$G$44</f>
        <v>64620424.520000003</v>
      </c>
      <c r="F1389" s="122"/>
    </row>
    <row r="1390" spans="1:6" x14ac:dyDescent="0.2">
      <c r="A1390" s="132">
        <v>1376</v>
      </c>
      <c r="B1390" s="123" t="str">
        <f>CONCATENATE(MID(B1389,1,4)," - Requested")</f>
        <v>A362 - Requested</v>
      </c>
      <c r="C1390" s="121"/>
      <c r="D1390" s="121"/>
      <c r="E1390" s="125">
        <f>+'[4]II-E-1'!$I$44</f>
        <v>80858784.730000004</v>
      </c>
      <c r="F1390" s="122"/>
    </row>
    <row r="1391" spans="1:6" x14ac:dyDescent="0.2">
      <c r="A1391" s="132">
        <v>1377</v>
      </c>
      <c r="B1391" s="120"/>
      <c r="C1391" s="121"/>
      <c r="D1391" s="121"/>
      <c r="E1391" s="124"/>
      <c r="F1391" s="122"/>
    </row>
    <row r="1392" spans="1:6" ht="13.5" thickBot="1" x14ac:dyDescent="0.25">
      <c r="A1392" s="132">
        <v>1378</v>
      </c>
      <c r="B1392" s="126" t="str">
        <f>CONCATENATE(MID(B1389,1,4)," - Adjustment")</f>
        <v>A362 - Adjustment</v>
      </c>
      <c r="C1392" s="121"/>
      <c r="D1392" s="121"/>
      <c r="E1392" s="133">
        <f>+E1390-E1389</f>
        <v>16238360.210000001</v>
      </c>
      <c r="F1392" s="127"/>
    </row>
    <row r="1393" spans="1:6" ht="13.5" thickTop="1" x14ac:dyDescent="0.2">
      <c r="A1393" s="132">
        <v>1379</v>
      </c>
      <c r="B1393" s="128"/>
      <c r="C1393" s="129"/>
      <c r="D1393" s="129"/>
      <c r="E1393" s="129"/>
      <c r="F1393" s="130"/>
    </row>
    <row r="1394" spans="1:6" x14ac:dyDescent="0.2">
      <c r="A1394" s="132">
        <v>1380</v>
      </c>
    </row>
    <row r="1395" spans="1:6" x14ac:dyDescent="0.2">
      <c r="A1395" s="132">
        <v>1381</v>
      </c>
      <c r="B1395" s="131" t="s">
        <v>277</v>
      </c>
      <c r="C1395" s="117" t="s">
        <v>278</v>
      </c>
      <c r="D1395" s="117"/>
      <c r="E1395" s="118"/>
      <c r="F1395" s="119" t="s">
        <v>468</v>
      </c>
    </row>
    <row r="1396" spans="1:6" x14ac:dyDescent="0.2">
      <c r="A1396" s="132">
        <v>1382</v>
      </c>
      <c r="B1396" s="120"/>
      <c r="C1396" s="121"/>
      <c r="D1396" s="121"/>
      <c r="E1396" s="121"/>
      <c r="F1396" s="122" t="s">
        <v>81</v>
      </c>
    </row>
    <row r="1397" spans="1:6" x14ac:dyDescent="0.2">
      <c r="A1397" s="132">
        <v>1383</v>
      </c>
      <c r="B1397" s="120"/>
      <c r="C1397" s="121"/>
      <c r="D1397" s="121"/>
      <c r="E1397" s="121"/>
      <c r="F1397" s="122"/>
    </row>
    <row r="1398" spans="1:6" x14ac:dyDescent="0.2">
      <c r="A1398" s="132">
        <v>1384</v>
      </c>
      <c r="B1398" s="123" t="s">
        <v>511</v>
      </c>
      <c r="C1398" s="121"/>
      <c r="D1398" s="121"/>
      <c r="E1398" s="124">
        <f>+'[4]II-E-1'!$G$46</f>
        <v>0</v>
      </c>
      <c r="F1398" s="122"/>
    </row>
    <row r="1399" spans="1:6" x14ac:dyDescent="0.2">
      <c r="A1399" s="132">
        <v>1385</v>
      </c>
      <c r="B1399" s="123" t="str">
        <f>CONCATENATE(MID(B1398,1,6)," - Requested")</f>
        <v>A363.2 - Requested</v>
      </c>
      <c r="C1399" s="121"/>
      <c r="D1399" s="121"/>
      <c r="E1399" s="125">
        <f>+'[4]II-E-1'!$I$46</f>
        <v>61123258.920000002</v>
      </c>
      <c r="F1399" s="122"/>
    </row>
    <row r="1400" spans="1:6" x14ac:dyDescent="0.2">
      <c r="A1400" s="132">
        <v>1386</v>
      </c>
      <c r="B1400" s="120"/>
      <c r="C1400" s="121"/>
      <c r="D1400" s="121"/>
      <c r="E1400" s="124"/>
      <c r="F1400" s="122"/>
    </row>
    <row r="1401" spans="1:6" ht="13.5" thickBot="1" x14ac:dyDescent="0.25">
      <c r="A1401" s="132">
        <v>1387</v>
      </c>
      <c r="B1401" s="126" t="str">
        <f>CONCATENATE(MID(B1398,1,6)," - Adjustment")</f>
        <v>A363.2 - Adjustment</v>
      </c>
      <c r="C1401" s="121"/>
      <c r="D1401" s="121"/>
      <c r="E1401" s="133">
        <f>+E1399-E1398</f>
        <v>61123258.920000002</v>
      </c>
      <c r="F1401" s="127"/>
    </row>
    <row r="1402" spans="1:6" ht="13.5" thickTop="1" x14ac:dyDescent="0.2">
      <c r="A1402" s="132">
        <v>1388</v>
      </c>
      <c r="B1402" s="128"/>
      <c r="C1402" s="129"/>
      <c r="D1402" s="129"/>
      <c r="E1402" s="129"/>
      <c r="F1402" s="130"/>
    </row>
    <row r="1403" spans="1:6" x14ac:dyDescent="0.2">
      <c r="A1403" s="132">
        <v>1389</v>
      </c>
    </row>
    <row r="1404" spans="1:6" x14ac:dyDescent="0.2">
      <c r="A1404" s="132">
        <v>1390</v>
      </c>
      <c r="B1404" s="131" t="s">
        <v>277</v>
      </c>
      <c r="C1404" s="117" t="s">
        <v>278</v>
      </c>
      <c r="D1404" s="117"/>
      <c r="E1404" s="118"/>
      <c r="F1404" s="119" t="s">
        <v>468</v>
      </c>
    </row>
    <row r="1405" spans="1:6" x14ac:dyDescent="0.2">
      <c r="A1405" s="132">
        <v>1391</v>
      </c>
      <c r="B1405" s="120"/>
      <c r="C1405" s="121"/>
      <c r="D1405" s="121"/>
      <c r="E1405" s="121"/>
      <c r="F1405" s="122" t="s">
        <v>81</v>
      </c>
    </row>
    <row r="1406" spans="1:6" x14ac:dyDescent="0.2">
      <c r="A1406" s="132">
        <v>1392</v>
      </c>
      <c r="B1406" s="120"/>
      <c r="C1406" s="121"/>
      <c r="D1406" s="121"/>
      <c r="E1406" s="121"/>
      <c r="F1406" s="122"/>
    </row>
    <row r="1407" spans="1:6" x14ac:dyDescent="0.2">
      <c r="A1407" s="132">
        <v>1393</v>
      </c>
      <c r="B1407" s="123" t="s">
        <v>294</v>
      </c>
      <c r="C1407" s="121"/>
      <c r="D1407" s="121"/>
      <c r="E1407" s="124">
        <f>+'[4]II-E-1'!$G$48</f>
        <v>119364492.42</v>
      </c>
      <c r="F1407" s="122"/>
    </row>
    <row r="1408" spans="1:6" x14ac:dyDescent="0.2">
      <c r="A1408" s="132">
        <v>1394</v>
      </c>
      <c r="B1408" s="123" t="str">
        <f>CONCATENATE(MID(B1407,1,4)," - Requested")</f>
        <v>A364 - Requested</v>
      </c>
      <c r="C1408" s="121"/>
      <c r="D1408" s="121"/>
      <c r="E1408" s="125">
        <f>+'[4]II-E-1'!$I$48</f>
        <v>132796485.15000001</v>
      </c>
      <c r="F1408" s="122"/>
    </row>
    <row r="1409" spans="1:6" x14ac:dyDescent="0.2">
      <c r="A1409" s="132">
        <v>1395</v>
      </c>
      <c r="B1409" s="120"/>
      <c r="C1409" s="121"/>
      <c r="D1409" s="121"/>
      <c r="E1409" s="124"/>
      <c r="F1409" s="122"/>
    </row>
    <row r="1410" spans="1:6" ht="13.5" thickBot="1" x14ac:dyDescent="0.25">
      <c r="A1410" s="132">
        <v>1396</v>
      </c>
      <c r="B1410" s="126" t="str">
        <f>CONCATENATE(MID(B1407,1,4)," - Adjustment")</f>
        <v>A364 - Adjustment</v>
      </c>
      <c r="C1410" s="121"/>
      <c r="D1410" s="121"/>
      <c r="E1410" s="133">
        <f>+E1408-E1407</f>
        <v>13431992.730000004</v>
      </c>
      <c r="F1410" s="127"/>
    </row>
    <row r="1411" spans="1:6" ht="13.5" thickTop="1" x14ac:dyDescent="0.2">
      <c r="A1411" s="132">
        <v>1397</v>
      </c>
      <c r="B1411" s="128"/>
      <c r="C1411" s="129"/>
      <c r="D1411" s="129"/>
      <c r="E1411" s="129"/>
      <c r="F1411" s="130"/>
    </row>
    <row r="1412" spans="1:6" x14ac:dyDescent="0.2">
      <c r="A1412" s="132">
        <v>1398</v>
      </c>
    </row>
    <row r="1413" spans="1:6" x14ac:dyDescent="0.2">
      <c r="A1413" s="132">
        <v>1399</v>
      </c>
      <c r="B1413" s="131" t="s">
        <v>277</v>
      </c>
      <c r="C1413" s="117" t="s">
        <v>278</v>
      </c>
      <c r="D1413" s="117"/>
      <c r="E1413" s="118"/>
      <c r="F1413" s="119" t="s">
        <v>468</v>
      </c>
    </row>
    <row r="1414" spans="1:6" x14ac:dyDescent="0.2">
      <c r="A1414" s="132">
        <v>1400</v>
      </c>
      <c r="B1414" s="120"/>
      <c r="C1414" s="121"/>
      <c r="D1414" s="121"/>
      <c r="E1414" s="121"/>
      <c r="F1414" s="122" t="s">
        <v>81</v>
      </c>
    </row>
    <row r="1415" spans="1:6" x14ac:dyDescent="0.2">
      <c r="A1415" s="132">
        <v>1401</v>
      </c>
      <c r="B1415" s="120"/>
      <c r="C1415" s="121"/>
      <c r="D1415" s="121"/>
      <c r="E1415" s="121"/>
      <c r="F1415" s="122"/>
    </row>
    <row r="1416" spans="1:6" x14ac:dyDescent="0.2">
      <c r="A1416" s="132">
        <v>1402</v>
      </c>
      <c r="B1416" s="123" t="s">
        <v>295</v>
      </c>
      <c r="C1416" s="121"/>
      <c r="D1416" s="121"/>
      <c r="E1416" s="124">
        <f>+'[4]II-E-1'!$G$49</f>
        <v>66363956.960000001</v>
      </c>
      <c r="F1416" s="122"/>
    </row>
    <row r="1417" spans="1:6" x14ac:dyDescent="0.2">
      <c r="A1417" s="132">
        <v>1403</v>
      </c>
      <c r="B1417" s="123" t="str">
        <f>CONCATENATE(MID(B1416,1,4)," - Requested")</f>
        <v>A365 - Requested</v>
      </c>
      <c r="C1417" s="121"/>
      <c r="D1417" s="121"/>
      <c r="E1417" s="125">
        <f>+'[4]II-E-1'!$I$49</f>
        <v>61730996.340000004</v>
      </c>
      <c r="F1417" s="122"/>
    </row>
    <row r="1418" spans="1:6" x14ac:dyDescent="0.2">
      <c r="A1418" s="132">
        <v>1404</v>
      </c>
      <c r="B1418" s="120"/>
      <c r="C1418" s="121"/>
      <c r="D1418" s="121"/>
      <c r="E1418" s="124"/>
      <c r="F1418" s="122"/>
    </row>
    <row r="1419" spans="1:6" ht="13.5" thickBot="1" x14ac:dyDescent="0.25">
      <c r="A1419" s="132">
        <v>1405</v>
      </c>
      <c r="B1419" s="126" t="str">
        <f>CONCATENATE(MID(B1416,1,4)," - Adjustment")</f>
        <v>A365 - Adjustment</v>
      </c>
      <c r="C1419" s="121"/>
      <c r="D1419" s="121"/>
      <c r="E1419" s="133">
        <f>+E1417-E1416</f>
        <v>-4632960.6199999973</v>
      </c>
      <c r="F1419" s="127"/>
    </row>
    <row r="1420" spans="1:6" ht="13.5" thickTop="1" x14ac:dyDescent="0.2">
      <c r="A1420" s="132">
        <v>1406</v>
      </c>
      <c r="B1420" s="128"/>
      <c r="C1420" s="129"/>
      <c r="D1420" s="129"/>
      <c r="E1420" s="129"/>
      <c r="F1420" s="130"/>
    </row>
    <row r="1421" spans="1:6" x14ac:dyDescent="0.2">
      <c r="A1421" s="132">
        <v>1407</v>
      </c>
    </row>
    <row r="1422" spans="1:6" x14ac:dyDescent="0.2">
      <c r="A1422" s="132">
        <v>1408</v>
      </c>
      <c r="B1422" s="131" t="s">
        <v>277</v>
      </c>
      <c r="C1422" s="117" t="s">
        <v>278</v>
      </c>
      <c r="D1422" s="117"/>
      <c r="E1422" s="118"/>
      <c r="F1422" s="119" t="s">
        <v>468</v>
      </c>
    </row>
    <row r="1423" spans="1:6" x14ac:dyDescent="0.2">
      <c r="A1423" s="132">
        <v>1409</v>
      </c>
      <c r="B1423" s="120"/>
      <c r="C1423" s="121"/>
      <c r="D1423" s="121"/>
      <c r="E1423" s="121"/>
      <c r="F1423" s="122" t="s">
        <v>81</v>
      </c>
    </row>
    <row r="1424" spans="1:6" x14ac:dyDescent="0.2">
      <c r="A1424" s="132">
        <v>1410</v>
      </c>
      <c r="B1424" s="120"/>
      <c r="C1424" s="121"/>
      <c r="D1424" s="121"/>
      <c r="E1424" s="121"/>
      <c r="F1424" s="122"/>
    </row>
    <row r="1425" spans="1:6" x14ac:dyDescent="0.2">
      <c r="A1425" s="132">
        <v>1411</v>
      </c>
      <c r="B1425" s="123" t="s">
        <v>296</v>
      </c>
      <c r="C1425" s="121"/>
      <c r="D1425" s="121"/>
      <c r="E1425" s="124">
        <f>+'[4]II-E-1'!$G$50</f>
        <v>34057475.969999999</v>
      </c>
      <c r="F1425" s="122"/>
    </row>
    <row r="1426" spans="1:6" x14ac:dyDescent="0.2">
      <c r="A1426" s="132">
        <v>1412</v>
      </c>
      <c r="B1426" s="123" t="str">
        <f>CONCATENATE(MID(B1425,1,4)," - Requested")</f>
        <v>A366 - Requested</v>
      </c>
      <c r="C1426" s="121"/>
      <c r="D1426" s="121"/>
      <c r="E1426" s="125">
        <f>+'[4]II-E-1'!$I$50</f>
        <v>40156740.299999997</v>
      </c>
      <c r="F1426" s="122"/>
    </row>
    <row r="1427" spans="1:6" x14ac:dyDescent="0.2">
      <c r="A1427" s="132">
        <v>1413</v>
      </c>
      <c r="B1427" s="120"/>
      <c r="C1427" s="121"/>
      <c r="D1427" s="121"/>
      <c r="E1427" s="124"/>
      <c r="F1427" s="122"/>
    </row>
    <row r="1428" spans="1:6" ht="13.5" thickBot="1" x14ac:dyDescent="0.25">
      <c r="A1428" s="132">
        <v>1414</v>
      </c>
      <c r="B1428" s="126" t="str">
        <f>CONCATENATE(MID(B1425,1,4)," - Adjustment")</f>
        <v>A366 - Adjustment</v>
      </c>
      <c r="C1428" s="121"/>
      <c r="D1428" s="121"/>
      <c r="E1428" s="133">
        <f>+E1426-E1425</f>
        <v>6099264.3299999982</v>
      </c>
      <c r="F1428" s="127"/>
    </row>
    <row r="1429" spans="1:6" ht="13.5" thickTop="1" x14ac:dyDescent="0.2">
      <c r="A1429" s="132">
        <v>1415</v>
      </c>
      <c r="B1429" s="128"/>
      <c r="C1429" s="129"/>
      <c r="D1429" s="129"/>
      <c r="E1429" s="129"/>
      <c r="F1429" s="130"/>
    </row>
    <row r="1430" spans="1:6" x14ac:dyDescent="0.2">
      <c r="A1430" s="132">
        <v>1416</v>
      </c>
    </row>
    <row r="1431" spans="1:6" x14ac:dyDescent="0.2">
      <c r="A1431" s="132">
        <v>1417</v>
      </c>
      <c r="B1431" s="131" t="s">
        <v>277</v>
      </c>
      <c r="C1431" s="117" t="s">
        <v>278</v>
      </c>
      <c r="D1431" s="117"/>
      <c r="E1431" s="118"/>
      <c r="F1431" s="119" t="s">
        <v>468</v>
      </c>
    </row>
    <row r="1432" spans="1:6" x14ac:dyDescent="0.2">
      <c r="A1432" s="132">
        <v>1418</v>
      </c>
      <c r="B1432" s="120"/>
      <c r="C1432" s="121"/>
      <c r="D1432" s="121"/>
      <c r="E1432" s="121"/>
      <c r="F1432" s="122" t="s">
        <v>81</v>
      </c>
    </row>
    <row r="1433" spans="1:6" x14ac:dyDescent="0.2">
      <c r="A1433" s="132">
        <v>1419</v>
      </c>
      <c r="B1433" s="120"/>
      <c r="C1433" s="121"/>
      <c r="D1433" s="121"/>
      <c r="E1433" s="121"/>
      <c r="F1433" s="122"/>
    </row>
    <row r="1434" spans="1:6" x14ac:dyDescent="0.2">
      <c r="A1434" s="132">
        <v>1420</v>
      </c>
      <c r="B1434" s="123" t="s">
        <v>297</v>
      </c>
      <c r="C1434" s="121"/>
      <c r="D1434" s="121"/>
      <c r="E1434" s="124">
        <f>+'[4]II-E-1'!$G$51</f>
        <v>67389875.620000005</v>
      </c>
      <c r="F1434" s="122"/>
    </row>
    <row r="1435" spans="1:6" x14ac:dyDescent="0.2">
      <c r="A1435" s="132">
        <v>1421</v>
      </c>
      <c r="B1435" s="123" t="str">
        <f>CONCATENATE(MID(B1434,1,4)," - Requested")</f>
        <v>A367 - Requested</v>
      </c>
      <c r="C1435" s="121"/>
      <c r="D1435" s="121"/>
      <c r="E1435" s="125">
        <f>+'[4]II-E-1'!$I$51</f>
        <v>79930430.859999999</v>
      </c>
      <c r="F1435" s="122"/>
    </row>
    <row r="1436" spans="1:6" x14ac:dyDescent="0.2">
      <c r="A1436" s="132">
        <v>1422</v>
      </c>
      <c r="B1436" s="120"/>
      <c r="C1436" s="121"/>
      <c r="D1436" s="121"/>
      <c r="E1436" s="124"/>
      <c r="F1436" s="122"/>
    </row>
    <row r="1437" spans="1:6" ht="13.5" thickBot="1" x14ac:dyDescent="0.25">
      <c r="A1437" s="132">
        <v>1423</v>
      </c>
      <c r="B1437" s="126" t="str">
        <f>CONCATENATE(MID(B1434,1,4)," - Adjustment")</f>
        <v>A367 - Adjustment</v>
      </c>
      <c r="C1437" s="121"/>
      <c r="D1437" s="121"/>
      <c r="E1437" s="133">
        <f>+E1435-E1434</f>
        <v>12540555.239999995</v>
      </c>
      <c r="F1437" s="127"/>
    </row>
    <row r="1438" spans="1:6" ht="13.5" thickTop="1" x14ac:dyDescent="0.2">
      <c r="A1438" s="132">
        <v>1424</v>
      </c>
      <c r="B1438" s="128"/>
      <c r="C1438" s="129"/>
      <c r="D1438" s="129"/>
      <c r="E1438" s="129"/>
      <c r="F1438" s="130"/>
    </row>
    <row r="1439" spans="1:6" x14ac:dyDescent="0.2">
      <c r="A1439" s="132">
        <v>1425</v>
      </c>
    </row>
    <row r="1440" spans="1:6" x14ac:dyDescent="0.2">
      <c r="A1440" s="132">
        <v>1426</v>
      </c>
      <c r="B1440" s="131" t="s">
        <v>277</v>
      </c>
      <c r="C1440" s="117" t="s">
        <v>278</v>
      </c>
      <c r="D1440" s="117"/>
      <c r="E1440" s="118"/>
      <c r="F1440" s="119" t="s">
        <v>468</v>
      </c>
    </row>
    <row r="1441" spans="1:6" x14ac:dyDescent="0.2">
      <c r="A1441" s="132">
        <v>1427</v>
      </c>
      <c r="B1441" s="120"/>
      <c r="C1441" s="121"/>
      <c r="D1441" s="121"/>
      <c r="E1441" s="121"/>
      <c r="F1441" s="122" t="s">
        <v>81</v>
      </c>
    </row>
    <row r="1442" spans="1:6" x14ac:dyDescent="0.2">
      <c r="A1442" s="132">
        <v>1428</v>
      </c>
      <c r="B1442" s="120"/>
      <c r="C1442" s="121"/>
      <c r="D1442" s="121"/>
      <c r="E1442" s="121"/>
      <c r="F1442" s="122"/>
    </row>
    <row r="1443" spans="1:6" x14ac:dyDescent="0.2">
      <c r="A1443" s="132">
        <v>1429</v>
      </c>
      <c r="B1443" s="123" t="s">
        <v>298</v>
      </c>
      <c r="C1443" s="121"/>
      <c r="D1443" s="121"/>
      <c r="E1443" s="124">
        <f>+'[4]II-E-1'!$G$52</f>
        <v>68754514.599999994</v>
      </c>
      <c r="F1443" s="122"/>
    </row>
    <row r="1444" spans="1:6" x14ac:dyDescent="0.2">
      <c r="A1444" s="132">
        <v>1430</v>
      </c>
      <c r="B1444" s="123" t="str">
        <f>CONCATENATE(MID(B1443,1,4)," - Requested")</f>
        <v>A368 - Requested</v>
      </c>
      <c r="C1444" s="121"/>
      <c r="D1444" s="121"/>
      <c r="E1444" s="125">
        <f>+'[4]II-E-1'!$I$52</f>
        <v>74746040.789999992</v>
      </c>
      <c r="F1444" s="122"/>
    </row>
    <row r="1445" spans="1:6" x14ac:dyDescent="0.2">
      <c r="A1445" s="132">
        <v>1431</v>
      </c>
      <c r="B1445" s="120"/>
      <c r="C1445" s="121"/>
      <c r="D1445" s="121"/>
      <c r="E1445" s="124"/>
      <c r="F1445" s="122"/>
    </row>
    <row r="1446" spans="1:6" ht="13.5" thickBot="1" x14ac:dyDescent="0.25">
      <c r="A1446" s="132">
        <v>1432</v>
      </c>
      <c r="B1446" s="126" t="str">
        <f>CONCATENATE(MID(B1443,1,4)," - Adjustment")</f>
        <v>A368 - Adjustment</v>
      </c>
      <c r="C1446" s="121"/>
      <c r="D1446" s="121"/>
      <c r="E1446" s="133">
        <f>+E1444-E1443</f>
        <v>5991526.1899999976</v>
      </c>
      <c r="F1446" s="127"/>
    </row>
    <row r="1447" spans="1:6" ht="13.5" thickTop="1" x14ac:dyDescent="0.2">
      <c r="A1447" s="132">
        <v>1433</v>
      </c>
      <c r="B1447" s="128"/>
      <c r="C1447" s="129"/>
      <c r="D1447" s="129"/>
      <c r="E1447" s="129"/>
      <c r="F1447" s="130"/>
    </row>
    <row r="1448" spans="1:6" x14ac:dyDescent="0.2">
      <c r="A1448" s="132">
        <v>1434</v>
      </c>
    </row>
    <row r="1449" spans="1:6" x14ac:dyDescent="0.2">
      <c r="A1449" s="132">
        <v>1435</v>
      </c>
      <c r="B1449" s="131" t="s">
        <v>277</v>
      </c>
      <c r="C1449" s="117" t="s">
        <v>278</v>
      </c>
      <c r="D1449" s="117"/>
      <c r="E1449" s="118"/>
      <c r="F1449" s="119" t="s">
        <v>468</v>
      </c>
    </row>
    <row r="1450" spans="1:6" x14ac:dyDescent="0.2">
      <c r="A1450" s="132">
        <v>1436</v>
      </c>
      <c r="B1450" s="120"/>
      <c r="C1450" s="121"/>
      <c r="D1450" s="121"/>
      <c r="E1450" s="121"/>
      <c r="F1450" s="122" t="s">
        <v>81</v>
      </c>
    </row>
    <row r="1451" spans="1:6" x14ac:dyDescent="0.2">
      <c r="A1451" s="132">
        <v>1437</v>
      </c>
      <c r="B1451" s="120"/>
      <c r="C1451" s="121"/>
      <c r="D1451" s="121"/>
      <c r="E1451" s="121"/>
      <c r="F1451" s="122"/>
    </row>
    <row r="1452" spans="1:6" x14ac:dyDescent="0.2">
      <c r="A1452" s="132">
        <v>1438</v>
      </c>
      <c r="B1452" s="123" t="s">
        <v>299</v>
      </c>
      <c r="C1452" s="121"/>
      <c r="D1452" s="121"/>
      <c r="E1452" s="124">
        <f>+'[4]II-E-1'!$G$53</f>
        <v>57182473.460000001</v>
      </c>
      <c r="F1452" s="122"/>
    </row>
    <row r="1453" spans="1:6" x14ac:dyDescent="0.2">
      <c r="A1453" s="132">
        <v>1439</v>
      </c>
      <c r="B1453" s="123" t="str">
        <f>CONCATENATE(MID(B1452,1,4)," - Requested")</f>
        <v>A369 - Requested</v>
      </c>
      <c r="C1453" s="121"/>
      <c r="D1453" s="121"/>
      <c r="E1453" s="125">
        <f>+'[4]II-E-1'!$I$53</f>
        <v>69028413.349999994</v>
      </c>
      <c r="F1453" s="122"/>
    </row>
    <row r="1454" spans="1:6" x14ac:dyDescent="0.2">
      <c r="A1454" s="132">
        <v>1440</v>
      </c>
      <c r="B1454" s="120"/>
      <c r="C1454" s="121"/>
      <c r="D1454" s="121"/>
      <c r="E1454" s="124"/>
      <c r="F1454" s="122"/>
    </row>
    <row r="1455" spans="1:6" ht="13.5" thickBot="1" x14ac:dyDescent="0.25">
      <c r="A1455" s="132">
        <v>1441</v>
      </c>
      <c r="B1455" s="126" t="str">
        <f>CONCATENATE(MID(B1452,1,4)," - Adjustment")</f>
        <v>A369 - Adjustment</v>
      </c>
      <c r="C1455" s="121"/>
      <c r="D1455" s="121"/>
      <c r="E1455" s="133">
        <f>+E1453-E1452</f>
        <v>11845939.889999993</v>
      </c>
      <c r="F1455" s="127"/>
    </row>
    <row r="1456" spans="1:6" ht="13.5" thickTop="1" x14ac:dyDescent="0.2">
      <c r="A1456" s="132">
        <v>1442</v>
      </c>
      <c r="B1456" s="128"/>
      <c r="C1456" s="129"/>
      <c r="D1456" s="129"/>
      <c r="E1456" s="129"/>
      <c r="F1456" s="130"/>
    </row>
    <row r="1457" spans="1:6" x14ac:dyDescent="0.2">
      <c r="A1457" s="132">
        <v>1443</v>
      </c>
    </row>
    <row r="1458" spans="1:6" x14ac:dyDescent="0.2">
      <c r="A1458" s="132">
        <v>1444</v>
      </c>
      <c r="B1458" s="131" t="s">
        <v>277</v>
      </c>
      <c r="C1458" s="117" t="s">
        <v>278</v>
      </c>
      <c r="D1458" s="117"/>
      <c r="E1458" s="118"/>
      <c r="F1458" s="119" t="s">
        <v>468</v>
      </c>
    </row>
    <row r="1459" spans="1:6" x14ac:dyDescent="0.2">
      <c r="A1459" s="132">
        <v>1445</v>
      </c>
      <c r="B1459" s="120"/>
      <c r="C1459" s="121"/>
      <c r="D1459" s="121"/>
      <c r="E1459" s="121"/>
      <c r="F1459" s="122" t="s">
        <v>81</v>
      </c>
    </row>
    <row r="1460" spans="1:6" x14ac:dyDescent="0.2">
      <c r="A1460" s="132">
        <v>1446</v>
      </c>
      <c r="B1460" s="120"/>
      <c r="C1460" s="121"/>
      <c r="D1460" s="121"/>
      <c r="E1460" s="121"/>
      <c r="F1460" s="122"/>
    </row>
    <row r="1461" spans="1:6" x14ac:dyDescent="0.2">
      <c r="A1461" s="132">
        <v>1447</v>
      </c>
      <c r="B1461" s="123" t="s">
        <v>300</v>
      </c>
      <c r="C1461" s="121"/>
      <c r="D1461" s="121"/>
      <c r="E1461" s="124">
        <f>+'[4]II-E-1'!$G$54</f>
        <v>21720667.18</v>
      </c>
      <c r="F1461" s="122"/>
    </row>
    <row r="1462" spans="1:6" x14ac:dyDescent="0.2">
      <c r="A1462" s="132">
        <v>1448</v>
      </c>
      <c r="B1462" s="123" t="str">
        <f>CONCATENATE(MID(B1461,1,4)," - Requested")</f>
        <v>A370 - Requested</v>
      </c>
      <c r="C1462" s="121"/>
      <c r="D1462" s="121"/>
      <c r="E1462" s="125">
        <f>+'[4]II-E-1'!$I$54</f>
        <v>20313009.949999999</v>
      </c>
      <c r="F1462" s="122"/>
    </row>
    <row r="1463" spans="1:6" x14ac:dyDescent="0.2">
      <c r="A1463" s="132">
        <v>1449</v>
      </c>
      <c r="B1463" s="120"/>
      <c r="C1463" s="121"/>
      <c r="D1463" s="121"/>
      <c r="E1463" s="124"/>
      <c r="F1463" s="122"/>
    </row>
    <row r="1464" spans="1:6" ht="13.5" thickBot="1" x14ac:dyDescent="0.25">
      <c r="A1464" s="132">
        <v>1450</v>
      </c>
      <c r="B1464" s="126" t="str">
        <f>CONCATENATE(MID(B1461,1,4)," - Adjustment")</f>
        <v>A370 - Adjustment</v>
      </c>
      <c r="C1464" s="121"/>
      <c r="D1464" s="121"/>
      <c r="E1464" s="133">
        <f>+E1462-E1461</f>
        <v>-1407657.2300000004</v>
      </c>
      <c r="F1464" s="127"/>
    </row>
    <row r="1465" spans="1:6" ht="13.5" thickTop="1" x14ac:dyDescent="0.2">
      <c r="A1465" s="132">
        <v>1451</v>
      </c>
      <c r="B1465" s="128"/>
      <c r="C1465" s="129"/>
      <c r="D1465" s="129"/>
      <c r="E1465" s="129"/>
      <c r="F1465" s="130"/>
    </row>
    <row r="1466" spans="1:6" x14ac:dyDescent="0.2">
      <c r="A1466" s="132">
        <v>1452</v>
      </c>
    </row>
    <row r="1467" spans="1:6" x14ac:dyDescent="0.2">
      <c r="A1467" s="132">
        <v>1453</v>
      </c>
      <c r="B1467" s="131" t="s">
        <v>277</v>
      </c>
      <c r="C1467" s="117" t="s">
        <v>278</v>
      </c>
      <c r="D1467" s="117"/>
      <c r="E1467" s="118"/>
      <c r="F1467" s="119" t="s">
        <v>468</v>
      </c>
    </row>
    <row r="1468" spans="1:6" x14ac:dyDescent="0.2">
      <c r="A1468" s="132">
        <v>1454</v>
      </c>
      <c r="B1468" s="120"/>
      <c r="C1468" s="121"/>
      <c r="D1468" s="121"/>
      <c r="E1468" s="121"/>
      <c r="F1468" s="122" t="s">
        <v>81</v>
      </c>
    </row>
    <row r="1469" spans="1:6" x14ac:dyDescent="0.2">
      <c r="A1469" s="132">
        <v>1455</v>
      </c>
      <c r="B1469" s="120"/>
      <c r="C1469" s="121"/>
      <c r="D1469" s="121"/>
      <c r="E1469" s="121"/>
      <c r="F1469" s="122"/>
    </row>
    <row r="1470" spans="1:6" x14ac:dyDescent="0.2">
      <c r="A1470" s="132">
        <v>1456</v>
      </c>
      <c r="B1470" s="123" t="s">
        <v>301</v>
      </c>
      <c r="C1470" s="121"/>
      <c r="D1470" s="121"/>
      <c r="E1470" s="124">
        <f>+'[4]II-E-1'!$G$55</f>
        <v>2351974.7599999998</v>
      </c>
      <c r="F1470" s="122"/>
    </row>
    <row r="1471" spans="1:6" x14ac:dyDescent="0.2">
      <c r="A1471" s="132">
        <v>1457</v>
      </c>
      <c r="B1471" s="123" t="str">
        <f>CONCATENATE(MID(B1470,1,4)," - Requested")</f>
        <v>A371 - Requested</v>
      </c>
      <c r="C1471" s="121"/>
      <c r="D1471" s="121"/>
      <c r="E1471" s="125">
        <f>+'[4]II-E-1'!$I$55</f>
        <v>2687947.96</v>
      </c>
      <c r="F1471" s="122"/>
    </row>
    <row r="1472" spans="1:6" x14ac:dyDescent="0.2">
      <c r="A1472" s="132">
        <v>1458</v>
      </c>
      <c r="B1472" s="120"/>
      <c r="C1472" s="121"/>
      <c r="D1472" s="121"/>
      <c r="E1472" s="124"/>
      <c r="F1472" s="122"/>
    </row>
    <row r="1473" spans="1:6" ht="13.5" thickBot="1" x14ac:dyDescent="0.25">
      <c r="A1473" s="132">
        <v>1459</v>
      </c>
      <c r="B1473" s="126" t="str">
        <f>CONCATENATE(MID(B1470,1,4)," - Adjustment")</f>
        <v>A371 - Adjustment</v>
      </c>
      <c r="C1473" s="121"/>
      <c r="D1473" s="121"/>
      <c r="E1473" s="133">
        <f>+E1471-E1470</f>
        <v>335973.20000000019</v>
      </c>
      <c r="F1473" s="127"/>
    </row>
    <row r="1474" spans="1:6" ht="13.5" thickTop="1" x14ac:dyDescent="0.2">
      <c r="A1474" s="132">
        <v>1460</v>
      </c>
      <c r="B1474" s="128"/>
      <c r="C1474" s="129"/>
      <c r="D1474" s="129"/>
      <c r="E1474" s="129"/>
      <c r="F1474" s="130"/>
    </row>
    <row r="1475" spans="1:6" x14ac:dyDescent="0.2">
      <c r="A1475" s="132">
        <v>1461</v>
      </c>
    </row>
    <row r="1476" spans="1:6" x14ac:dyDescent="0.2">
      <c r="A1476" s="132">
        <v>1462</v>
      </c>
      <c r="B1476" s="131" t="s">
        <v>277</v>
      </c>
      <c r="C1476" s="117" t="s">
        <v>278</v>
      </c>
      <c r="D1476" s="117"/>
      <c r="E1476" s="118"/>
      <c r="F1476" s="119" t="s">
        <v>468</v>
      </c>
    </row>
    <row r="1477" spans="1:6" x14ac:dyDescent="0.2">
      <c r="A1477" s="132">
        <v>1463</v>
      </c>
      <c r="B1477" s="120"/>
      <c r="C1477" s="121"/>
      <c r="D1477" s="121"/>
      <c r="E1477" s="121"/>
      <c r="F1477" s="122" t="s">
        <v>81</v>
      </c>
    </row>
    <row r="1478" spans="1:6" x14ac:dyDescent="0.2">
      <c r="A1478" s="132">
        <v>1464</v>
      </c>
      <c r="B1478" s="120"/>
      <c r="C1478" s="121"/>
      <c r="D1478" s="121"/>
      <c r="E1478" s="121"/>
      <c r="F1478" s="122"/>
    </row>
    <row r="1479" spans="1:6" x14ac:dyDescent="0.2">
      <c r="A1479" s="132">
        <v>1465</v>
      </c>
      <c r="B1479" s="123" t="s">
        <v>302</v>
      </c>
      <c r="C1479" s="121"/>
      <c r="D1479" s="121"/>
      <c r="E1479" s="124">
        <f>+'[4]II-E-1'!$G$57</f>
        <v>24930169.34</v>
      </c>
      <c r="F1479" s="122"/>
    </row>
    <row r="1480" spans="1:6" x14ac:dyDescent="0.2">
      <c r="A1480" s="132">
        <v>1466</v>
      </c>
      <c r="B1480" s="123" t="str">
        <f>CONCATENATE(MID(B1479,1,4)," - Requested")</f>
        <v>A373 - Requested</v>
      </c>
      <c r="C1480" s="121"/>
      <c r="D1480" s="121"/>
      <c r="E1480" s="125">
        <f>+'[4]II-E-1'!$I$57</f>
        <v>25906306.390000001</v>
      </c>
      <c r="F1480" s="122"/>
    </row>
    <row r="1481" spans="1:6" x14ac:dyDescent="0.2">
      <c r="A1481" s="132">
        <v>1467</v>
      </c>
      <c r="B1481" s="120"/>
      <c r="C1481" s="121"/>
      <c r="D1481" s="121"/>
      <c r="E1481" s="124"/>
      <c r="F1481" s="122"/>
    </row>
    <row r="1482" spans="1:6" ht="13.5" thickBot="1" x14ac:dyDescent="0.25">
      <c r="A1482" s="132">
        <v>1468</v>
      </c>
      <c r="B1482" s="126" t="str">
        <f>CONCATENATE(MID(B1479,1,4)," - Adjustment")</f>
        <v>A373 - Adjustment</v>
      </c>
      <c r="C1482" s="121"/>
      <c r="D1482" s="121"/>
      <c r="E1482" s="133">
        <f>+E1480-E1479</f>
        <v>976137.05000000075</v>
      </c>
      <c r="F1482" s="127"/>
    </row>
    <row r="1483" spans="1:6" ht="13.5" thickTop="1" x14ac:dyDescent="0.2">
      <c r="A1483" s="132">
        <v>1469</v>
      </c>
      <c r="B1483" s="128"/>
      <c r="C1483" s="129"/>
      <c r="D1483" s="129"/>
      <c r="E1483" s="129"/>
      <c r="F1483" s="130"/>
    </row>
    <row r="1484" spans="1:6" x14ac:dyDescent="0.2">
      <c r="A1484" s="132">
        <v>1470</v>
      </c>
    </row>
    <row r="1485" spans="1:6" x14ac:dyDescent="0.2">
      <c r="A1485" s="132">
        <v>1471</v>
      </c>
      <c r="B1485" s="131" t="s">
        <v>277</v>
      </c>
      <c r="C1485" s="117" t="s">
        <v>278</v>
      </c>
      <c r="D1485" s="117"/>
      <c r="E1485" s="118"/>
      <c r="F1485" s="119" t="s">
        <v>468</v>
      </c>
    </row>
    <row r="1486" spans="1:6" x14ac:dyDescent="0.2">
      <c r="A1486" s="132">
        <v>1472</v>
      </c>
      <c r="B1486" s="120"/>
      <c r="C1486" s="121"/>
      <c r="D1486" s="121"/>
      <c r="E1486" s="121"/>
      <c r="F1486" s="122" t="s">
        <v>81</v>
      </c>
    </row>
    <row r="1487" spans="1:6" x14ac:dyDescent="0.2">
      <c r="A1487" s="132">
        <v>1473</v>
      </c>
      <c r="B1487" s="120"/>
      <c r="C1487" s="121"/>
      <c r="D1487" s="121"/>
      <c r="E1487" s="121"/>
      <c r="F1487" s="122"/>
    </row>
    <row r="1488" spans="1:6" x14ac:dyDescent="0.2">
      <c r="A1488" s="132">
        <v>1474</v>
      </c>
      <c r="B1488" s="123" t="s">
        <v>303</v>
      </c>
      <c r="C1488" s="121"/>
      <c r="D1488" s="121"/>
      <c r="E1488" s="124">
        <f>+'[4]II-E-1'!$G$63</f>
        <v>2761.04</v>
      </c>
      <c r="F1488" s="122"/>
    </row>
    <row r="1489" spans="1:6" x14ac:dyDescent="0.2">
      <c r="A1489" s="132">
        <v>1475</v>
      </c>
      <c r="B1489" s="123" t="s">
        <v>304</v>
      </c>
      <c r="C1489" s="121"/>
      <c r="D1489" s="121"/>
      <c r="E1489" s="125">
        <f>+'[4]II-E-1'!$I$63</f>
        <v>2826.9</v>
      </c>
      <c r="F1489" s="122"/>
    </row>
    <row r="1490" spans="1:6" x14ac:dyDescent="0.2">
      <c r="A1490" s="132">
        <v>1476</v>
      </c>
      <c r="B1490" s="120"/>
      <c r="C1490" s="121"/>
      <c r="D1490" s="121"/>
      <c r="E1490" s="124"/>
      <c r="F1490" s="122"/>
    </row>
    <row r="1491" spans="1:6" ht="13.5" thickBot="1" x14ac:dyDescent="0.25">
      <c r="A1491" s="132">
        <v>1477</v>
      </c>
      <c r="B1491" s="126" t="s">
        <v>305</v>
      </c>
      <c r="C1491" s="121"/>
      <c r="D1491" s="121"/>
      <c r="E1491" s="133">
        <f>+E1489-E1488</f>
        <v>65.860000000000127</v>
      </c>
      <c r="F1491" s="127"/>
    </row>
    <row r="1492" spans="1:6" ht="13.5" thickTop="1" x14ac:dyDescent="0.2">
      <c r="A1492" s="132">
        <v>1478</v>
      </c>
      <c r="B1492" s="128"/>
      <c r="C1492" s="129"/>
      <c r="D1492" s="129"/>
      <c r="E1492" s="129"/>
      <c r="F1492" s="130"/>
    </row>
    <row r="1493" spans="1:6" x14ac:dyDescent="0.2">
      <c r="A1493" s="132">
        <v>1479</v>
      </c>
    </row>
    <row r="1494" spans="1:6" x14ac:dyDescent="0.2">
      <c r="A1494" s="132">
        <v>1480</v>
      </c>
      <c r="B1494" s="131" t="s">
        <v>277</v>
      </c>
      <c r="C1494" s="117" t="s">
        <v>278</v>
      </c>
      <c r="D1494" s="117"/>
      <c r="E1494" s="118"/>
      <c r="F1494" s="119" t="s">
        <v>468</v>
      </c>
    </row>
    <row r="1495" spans="1:6" x14ac:dyDescent="0.2">
      <c r="A1495" s="132">
        <v>1481</v>
      </c>
      <c r="B1495" s="120"/>
      <c r="C1495" s="121"/>
      <c r="D1495" s="121"/>
      <c r="E1495" s="121"/>
      <c r="F1495" s="122" t="s">
        <v>81</v>
      </c>
    </row>
    <row r="1496" spans="1:6" x14ac:dyDescent="0.2">
      <c r="A1496" s="132">
        <v>1482</v>
      </c>
      <c r="B1496" s="120"/>
      <c r="C1496" s="121"/>
      <c r="D1496" s="121"/>
      <c r="E1496" s="121"/>
      <c r="F1496" s="122"/>
    </row>
    <row r="1497" spans="1:6" x14ac:dyDescent="0.2">
      <c r="A1497" s="132">
        <v>1483</v>
      </c>
      <c r="B1497" s="123" t="s">
        <v>306</v>
      </c>
      <c r="C1497" s="121"/>
      <c r="D1497" s="121"/>
      <c r="E1497" s="124">
        <f>+'[4]II-E-1'!$G$64</f>
        <v>7443096.5999999996</v>
      </c>
      <c r="F1497" s="122"/>
    </row>
    <row r="1498" spans="1:6" x14ac:dyDescent="0.2">
      <c r="A1498" s="132">
        <v>1484</v>
      </c>
      <c r="B1498" s="123" t="str">
        <f>CONCATENATE(MID(B1497,1,4)," - Requested")</f>
        <v>A390 - Requested</v>
      </c>
      <c r="C1498" s="121"/>
      <c r="D1498" s="121"/>
      <c r="E1498" s="125">
        <f>+'[4]II-E-1'!$I$64</f>
        <v>8193786.5899999999</v>
      </c>
      <c r="F1498" s="122"/>
    </row>
    <row r="1499" spans="1:6" x14ac:dyDescent="0.2">
      <c r="A1499" s="132">
        <v>1485</v>
      </c>
      <c r="B1499" s="120"/>
      <c r="C1499" s="121"/>
      <c r="D1499" s="121"/>
      <c r="E1499" s="124"/>
      <c r="F1499" s="122"/>
    </row>
    <row r="1500" spans="1:6" ht="13.5" thickBot="1" x14ac:dyDescent="0.25">
      <c r="A1500" s="132">
        <v>1486</v>
      </c>
      <c r="B1500" s="126" t="str">
        <f>CONCATENATE(MID(B1497,1,4)," - Adjustment")</f>
        <v>A390 - Adjustment</v>
      </c>
      <c r="C1500" s="121"/>
      <c r="D1500" s="121"/>
      <c r="E1500" s="133">
        <f>+E1498-E1497</f>
        <v>750689.99000000022</v>
      </c>
      <c r="F1500" s="127"/>
    </row>
    <row r="1501" spans="1:6" ht="13.5" thickTop="1" x14ac:dyDescent="0.2">
      <c r="A1501" s="132">
        <v>1487</v>
      </c>
      <c r="B1501" s="128"/>
      <c r="C1501" s="129"/>
      <c r="D1501" s="129"/>
      <c r="E1501" s="129"/>
      <c r="F1501" s="130"/>
    </row>
    <row r="1502" spans="1:6" x14ac:dyDescent="0.2">
      <c r="A1502" s="132">
        <v>1488</v>
      </c>
    </row>
    <row r="1503" spans="1:6" x14ac:dyDescent="0.2">
      <c r="A1503" s="132">
        <v>1489</v>
      </c>
      <c r="B1503" s="131" t="s">
        <v>277</v>
      </c>
      <c r="C1503" s="117" t="s">
        <v>278</v>
      </c>
      <c r="D1503" s="117"/>
      <c r="E1503" s="118"/>
      <c r="F1503" s="119" t="s">
        <v>468</v>
      </c>
    </row>
    <row r="1504" spans="1:6" x14ac:dyDescent="0.2">
      <c r="A1504" s="132">
        <v>1490</v>
      </c>
      <c r="B1504" s="120"/>
      <c r="C1504" s="121"/>
      <c r="D1504" s="121"/>
      <c r="E1504" s="121"/>
      <c r="F1504" s="122" t="s">
        <v>81</v>
      </c>
    </row>
    <row r="1505" spans="1:6" x14ac:dyDescent="0.2">
      <c r="A1505" s="132">
        <v>1491</v>
      </c>
      <c r="B1505" s="120"/>
      <c r="C1505" s="121"/>
      <c r="D1505" s="121"/>
      <c r="E1505" s="121"/>
      <c r="F1505" s="122"/>
    </row>
    <row r="1506" spans="1:6" x14ac:dyDescent="0.2">
      <c r="A1506" s="132">
        <v>1492</v>
      </c>
      <c r="B1506" s="123" t="s">
        <v>307</v>
      </c>
      <c r="C1506" s="121"/>
      <c r="D1506" s="121"/>
      <c r="E1506" s="124">
        <f>+'[4]II-E-1'!$G$65</f>
        <v>31714261.27</v>
      </c>
      <c r="F1506" s="122"/>
    </row>
    <row r="1507" spans="1:6" x14ac:dyDescent="0.2">
      <c r="A1507" s="132">
        <v>1493</v>
      </c>
      <c r="B1507" s="123" t="str">
        <f>CONCATENATE(MID(B1506,1,4)," - Requested")</f>
        <v>A391 - Requested</v>
      </c>
      <c r="C1507" s="121"/>
      <c r="D1507" s="121"/>
      <c r="E1507" s="125">
        <f>+'[4]II-E-1'!$I$65</f>
        <v>1872731.9600000009</v>
      </c>
      <c r="F1507" s="122"/>
    </row>
    <row r="1508" spans="1:6" x14ac:dyDescent="0.2">
      <c r="A1508" s="132">
        <v>1494</v>
      </c>
      <c r="B1508" s="120"/>
      <c r="C1508" s="121"/>
      <c r="D1508" s="121"/>
      <c r="E1508" s="124"/>
      <c r="F1508" s="122"/>
    </row>
    <row r="1509" spans="1:6" ht="13.5" thickBot="1" x14ac:dyDescent="0.25">
      <c r="A1509" s="132">
        <v>1495</v>
      </c>
      <c r="B1509" s="126" t="str">
        <f>CONCATENATE(MID(B1506,1,4)," - Adjustment")</f>
        <v>A391 - Adjustment</v>
      </c>
      <c r="C1509" s="121"/>
      <c r="D1509" s="121"/>
      <c r="E1509" s="133">
        <f>+E1507-E1506</f>
        <v>-29841529.309999999</v>
      </c>
      <c r="F1509" s="127"/>
    </row>
    <row r="1510" spans="1:6" ht="13.5" thickTop="1" x14ac:dyDescent="0.2">
      <c r="A1510" s="132">
        <v>1496</v>
      </c>
      <c r="B1510" s="128"/>
      <c r="C1510" s="129"/>
      <c r="D1510" s="129"/>
      <c r="E1510" s="129"/>
      <c r="F1510" s="130"/>
    </row>
    <row r="1511" spans="1:6" x14ac:dyDescent="0.2">
      <c r="A1511" s="132">
        <v>1497</v>
      </c>
    </row>
    <row r="1512" spans="1:6" x14ac:dyDescent="0.2">
      <c r="A1512" s="132">
        <v>1498</v>
      </c>
      <c r="B1512" s="131" t="s">
        <v>277</v>
      </c>
      <c r="C1512" s="117" t="s">
        <v>278</v>
      </c>
      <c r="D1512" s="117"/>
      <c r="E1512" s="118"/>
      <c r="F1512" s="119" t="s">
        <v>468</v>
      </c>
    </row>
    <row r="1513" spans="1:6" x14ac:dyDescent="0.2">
      <c r="A1513" s="132">
        <v>1499</v>
      </c>
      <c r="B1513" s="120"/>
      <c r="C1513" s="121"/>
      <c r="D1513" s="121"/>
      <c r="E1513" s="121"/>
      <c r="F1513" s="122" t="s">
        <v>81</v>
      </c>
    </row>
    <row r="1514" spans="1:6" x14ac:dyDescent="0.2">
      <c r="A1514" s="132">
        <v>1500</v>
      </c>
      <c r="B1514" s="120"/>
      <c r="C1514" s="121"/>
      <c r="D1514" s="121"/>
      <c r="E1514" s="121"/>
      <c r="F1514" s="122"/>
    </row>
    <row r="1515" spans="1:6" x14ac:dyDescent="0.2">
      <c r="A1515" s="132">
        <v>1501</v>
      </c>
      <c r="B1515" s="123" t="s">
        <v>308</v>
      </c>
      <c r="C1515" s="121"/>
      <c r="D1515" s="121"/>
      <c r="E1515" s="124">
        <f>+'[4]II-E-1'!$G$66</f>
        <v>1894795.83</v>
      </c>
      <c r="F1515" s="122"/>
    </row>
    <row r="1516" spans="1:6" x14ac:dyDescent="0.2">
      <c r="A1516" s="132">
        <v>1502</v>
      </c>
      <c r="B1516" s="123" t="str">
        <f>CONCATENATE(MID(B1515,1,4)," - Requested")</f>
        <v>A392 - Requested</v>
      </c>
      <c r="C1516" s="121"/>
      <c r="D1516" s="121"/>
      <c r="E1516" s="125">
        <f>+'[4]II-E-1'!$I$66</f>
        <v>2003657.48</v>
      </c>
      <c r="F1516" s="122"/>
    </row>
    <row r="1517" spans="1:6" x14ac:dyDescent="0.2">
      <c r="A1517" s="132">
        <v>1503</v>
      </c>
      <c r="B1517" s="120"/>
      <c r="C1517" s="121"/>
      <c r="D1517" s="121"/>
      <c r="E1517" s="124"/>
      <c r="F1517" s="122"/>
    </row>
    <row r="1518" spans="1:6" ht="13.5" thickBot="1" x14ac:dyDescent="0.25">
      <c r="A1518" s="132">
        <v>1504</v>
      </c>
      <c r="B1518" s="126" t="str">
        <f>CONCATENATE(MID(B1515,1,4)," - Adjustment")</f>
        <v>A392 - Adjustment</v>
      </c>
      <c r="C1518" s="121"/>
      <c r="D1518" s="121"/>
      <c r="E1518" s="133">
        <f>+E1516-E1515</f>
        <v>108861.64999999991</v>
      </c>
      <c r="F1518" s="127"/>
    </row>
    <row r="1519" spans="1:6" ht="13.5" thickTop="1" x14ac:dyDescent="0.2">
      <c r="A1519" s="132">
        <v>1505</v>
      </c>
      <c r="B1519" s="128"/>
      <c r="C1519" s="129"/>
      <c r="D1519" s="129"/>
      <c r="E1519" s="129"/>
      <c r="F1519" s="130"/>
    </row>
    <row r="1520" spans="1:6" x14ac:dyDescent="0.2">
      <c r="A1520" s="132">
        <v>1506</v>
      </c>
    </row>
    <row r="1521" spans="1:6" x14ac:dyDescent="0.2">
      <c r="A1521" s="132">
        <v>1507</v>
      </c>
      <c r="B1521" s="131" t="s">
        <v>277</v>
      </c>
      <c r="C1521" s="117" t="s">
        <v>278</v>
      </c>
      <c r="D1521" s="117"/>
      <c r="E1521" s="118"/>
      <c r="F1521" s="119" t="s">
        <v>468</v>
      </c>
    </row>
    <row r="1522" spans="1:6" x14ac:dyDescent="0.2">
      <c r="A1522" s="132">
        <v>1508</v>
      </c>
      <c r="B1522" s="120"/>
      <c r="C1522" s="121"/>
      <c r="D1522" s="121"/>
      <c r="E1522" s="121"/>
      <c r="F1522" s="122" t="s">
        <v>81</v>
      </c>
    </row>
    <row r="1523" spans="1:6" x14ac:dyDescent="0.2">
      <c r="A1523" s="132">
        <v>1509</v>
      </c>
      <c r="B1523" s="120"/>
      <c r="C1523" s="121"/>
      <c r="D1523" s="121"/>
      <c r="E1523" s="121"/>
      <c r="F1523" s="122"/>
    </row>
    <row r="1524" spans="1:6" x14ac:dyDescent="0.2">
      <c r="A1524" s="132">
        <v>1510</v>
      </c>
      <c r="B1524" s="123" t="s">
        <v>309</v>
      </c>
      <c r="C1524" s="121"/>
      <c r="D1524" s="121"/>
      <c r="E1524" s="124">
        <f>+'[4]II-E-1'!$G$67</f>
        <v>383122.8</v>
      </c>
      <c r="F1524" s="122"/>
    </row>
    <row r="1525" spans="1:6" x14ac:dyDescent="0.2">
      <c r="A1525" s="132">
        <v>1511</v>
      </c>
      <c r="B1525" s="123" t="str">
        <f>CONCATENATE(MID(B1524,1,4)," - Requested")</f>
        <v>A393 - Requested</v>
      </c>
      <c r="C1525" s="121"/>
      <c r="D1525" s="121"/>
      <c r="E1525" s="125">
        <f>+'[4]II-E-1'!$I$67</f>
        <v>404946.08999999997</v>
      </c>
      <c r="F1525" s="122"/>
    </row>
    <row r="1526" spans="1:6" x14ac:dyDescent="0.2">
      <c r="A1526" s="132">
        <v>1512</v>
      </c>
      <c r="B1526" s="120"/>
      <c r="C1526" s="121"/>
      <c r="D1526" s="121"/>
      <c r="E1526" s="124"/>
      <c r="F1526" s="122"/>
    </row>
    <row r="1527" spans="1:6" ht="13.5" thickBot="1" x14ac:dyDescent="0.25">
      <c r="A1527" s="132">
        <v>1513</v>
      </c>
      <c r="B1527" s="126" t="str">
        <f>CONCATENATE(MID(B1524,1,4)," - Adjustment")</f>
        <v>A393 - Adjustment</v>
      </c>
      <c r="C1527" s="121"/>
      <c r="D1527" s="121"/>
      <c r="E1527" s="133">
        <f>+E1525-E1524</f>
        <v>21823.289999999979</v>
      </c>
      <c r="F1527" s="127"/>
    </row>
    <row r="1528" spans="1:6" ht="13.5" thickTop="1" x14ac:dyDescent="0.2">
      <c r="A1528" s="132">
        <v>1514</v>
      </c>
      <c r="B1528" s="128"/>
      <c r="C1528" s="129"/>
      <c r="D1528" s="129"/>
      <c r="E1528" s="129"/>
      <c r="F1528" s="130"/>
    </row>
    <row r="1529" spans="1:6" x14ac:dyDescent="0.2">
      <c r="A1529" s="132">
        <v>1515</v>
      </c>
    </row>
    <row r="1530" spans="1:6" x14ac:dyDescent="0.2">
      <c r="A1530" s="132">
        <v>1516</v>
      </c>
      <c r="B1530" s="131" t="s">
        <v>277</v>
      </c>
      <c r="C1530" s="117" t="s">
        <v>278</v>
      </c>
      <c r="D1530" s="117"/>
      <c r="E1530" s="118"/>
      <c r="F1530" s="119" t="s">
        <v>468</v>
      </c>
    </row>
    <row r="1531" spans="1:6" x14ac:dyDescent="0.2">
      <c r="A1531" s="132">
        <v>1517</v>
      </c>
      <c r="B1531" s="120"/>
      <c r="C1531" s="121"/>
      <c r="D1531" s="121"/>
      <c r="E1531" s="121"/>
      <c r="F1531" s="122" t="s">
        <v>81</v>
      </c>
    </row>
    <row r="1532" spans="1:6" x14ac:dyDescent="0.2">
      <c r="A1532" s="132">
        <v>1518</v>
      </c>
      <c r="B1532" s="120"/>
      <c r="C1532" s="121"/>
      <c r="D1532" s="121"/>
      <c r="E1532" s="121"/>
      <c r="F1532" s="122"/>
    </row>
    <row r="1533" spans="1:6" x14ac:dyDescent="0.2">
      <c r="A1533" s="132">
        <v>1519</v>
      </c>
      <c r="B1533" s="123" t="s">
        <v>310</v>
      </c>
      <c r="C1533" s="121"/>
      <c r="D1533" s="121"/>
      <c r="E1533" s="124">
        <f>+'[4]II-E-1'!$G$68</f>
        <v>3061645.09</v>
      </c>
      <c r="F1533" s="122"/>
    </row>
    <row r="1534" spans="1:6" x14ac:dyDescent="0.2">
      <c r="A1534" s="132">
        <v>1520</v>
      </c>
      <c r="B1534" s="123" t="str">
        <f>CONCATENATE(MID(B1533,1,4)," - Requested")</f>
        <v>A394 - Requested</v>
      </c>
      <c r="C1534" s="121"/>
      <c r="D1534" s="121"/>
      <c r="E1534" s="125">
        <f>+'[4]II-E-1'!$I$68</f>
        <v>3212586.6999999997</v>
      </c>
      <c r="F1534" s="122"/>
    </row>
    <row r="1535" spans="1:6" x14ac:dyDescent="0.2">
      <c r="A1535" s="132">
        <v>1521</v>
      </c>
      <c r="B1535" s="120"/>
      <c r="C1535" s="121"/>
      <c r="D1535" s="121"/>
      <c r="E1535" s="124"/>
      <c r="F1535" s="122"/>
    </row>
    <row r="1536" spans="1:6" ht="13.5" thickBot="1" x14ac:dyDescent="0.25">
      <c r="A1536" s="132">
        <v>1522</v>
      </c>
      <c r="B1536" s="126" t="str">
        <f>CONCATENATE(MID(B1533,1,4)," - Adjustment")</f>
        <v>A394 - Adjustment</v>
      </c>
      <c r="C1536" s="121"/>
      <c r="D1536" s="121"/>
      <c r="E1536" s="133">
        <f>+E1534-E1533</f>
        <v>150941.60999999987</v>
      </c>
      <c r="F1536" s="127"/>
    </row>
    <row r="1537" spans="1:6" ht="13.5" thickTop="1" x14ac:dyDescent="0.2">
      <c r="A1537" s="132">
        <v>1523</v>
      </c>
      <c r="B1537" s="128"/>
      <c r="C1537" s="129"/>
      <c r="D1537" s="129"/>
      <c r="E1537" s="129"/>
      <c r="F1537" s="130"/>
    </row>
    <row r="1538" spans="1:6" x14ac:dyDescent="0.2">
      <c r="A1538" s="132">
        <v>1524</v>
      </c>
    </row>
    <row r="1539" spans="1:6" x14ac:dyDescent="0.2">
      <c r="A1539" s="132">
        <v>1525</v>
      </c>
      <c r="B1539" s="131" t="s">
        <v>277</v>
      </c>
      <c r="C1539" s="117" t="s">
        <v>278</v>
      </c>
      <c r="D1539" s="117"/>
      <c r="E1539" s="118"/>
      <c r="F1539" s="119" t="s">
        <v>468</v>
      </c>
    </row>
    <row r="1540" spans="1:6" x14ac:dyDescent="0.2">
      <c r="A1540" s="132">
        <v>1526</v>
      </c>
      <c r="B1540" s="120"/>
      <c r="C1540" s="121"/>
      <c r="D1540" s="121"/>
      <c r="E1540" s="121"/>
      <c r="F1540" s="122" t="s">
        <v>81</v>
      </c>
    </row>
    <row r="1541" spans="1:6" x14ac:dyDescent="0.2">
      <c r="A1541" s="132">
        <v>1527</v>
      </c>
      <c r="B1541" s="120"/>
      <c r="C1541" s="121"/>
      <c r="D1541" s="121"/>
      <c r="E1541" s="121"/>
      <c r="F1541" s="122"/>
    </row>
    <row r="1542" spans="1:6" x14ac:dyDescent="0.2">
      <c r="A1542" s="132">
        <v>1528</v>
      </c>
      <c r="B1542" s="123" t="s">
        <v>311</v>
      </c>
      <c r="C1542" s="121"/>
      <c r="D1542" s="121"/>
      <c r="E1542" s="124">
        <f>+'[4]II-E-1'!$G$69</f>
        <v>3555144.55</v>
      </c>
      <c r="F1542" s="122"/>
    </row>
    <row r="1543" spans="1:6" x14ac:dyDescent="0.2">
      <c r="A1543" s="132">
        <v>1529</v>
      </c>
      <c r="B1543" s="123" t="str">
        <f>CONCATENATE(MID(B1542,1,4)," - Requested")</f>
        <v>A395 - Requested</v>
      </c>
      <c r="C1543" s="121"/>
      <c r="D1543" s="121"/>
      <c r="E1543" s="125">
        <f>+'[4]II-E-1'!$I$69</f>
        <v>3635346.8</v>
      </c>
      <c r="F1543" s="122"/>
    </row>
    <row r="1544" spans="1:6" x14ac:dyDescent="0.2">
      <c r="A1544" s="132">
        <v>1530</v>
      </c>
      <c r="B1544" s="120"/>
      <c r="C1544" s="121"/>
      <c r="D1544" s="121"/>
      <c r="E1544" s="124"/>
      <c r="F1544" s="122"/>
    </row>
    <row r="1545" spans="1:6" ht="13.5" thickBot="1" x14ac:dyDescent="0.25">
      <c r="A1545" s="132">
        <v>1531</v>
      </c>
      <c r="B1545" s="126" t="str">
        <f>CONCATENATE(MID(B1542,1,4)," - Adjustment")</f>
        <v>A395 - Adjustment</v>
      </c>
      <c r="C1545" s="121"/>
      <c r="D1545" s="121"/>
      <c r="E1545" s="133">
        <f>+E1543-E1542</f>
        <v>80202.25</v>
      </c>
      <c r="F1545" s="127"/>
    </row>
    <row r="1546" spans="1:6" ht="13.5" thickTop="1" x14ac:dyDescent="0.2">
      <c r="A1546" s="132">
        <v>1532</v>
      </c>
      <c r="B1546" s="128"/>
      <c r="C1546" s="129"/>
      <c r="D1546" s="129"/>
      <c r="E1546" s="129"/>
      <c r="F1546" s="130"/>
    </row>
    <row r="1547" spans="1:6" x14ac:dyDescent="0.2">
      <c r="A1547" s="132">
        <v>1533</v>
      </c>
    </row>
    <row r="1548" spans="1:6" x14ac:dyDescent="0.2">
      <c r="A1548" s="132">
        <v>1534</v>
      </c>
      <c r="B1548" s="131" t="s">
        <v>277</v>
      </c>
      <c r="C1548" s="117" t="s">
        <v>278</v>
      </c>
      <c r="D1548" s="117"/>
      <c r="E1548" s="118"/>
      <c r="F1548" s="119" t="s">
        <v>468</v>
      </c>
    </row>
    <row r="1549" spans="1:6" x14ac:dyDescent="0.2">
      <c r="A1549" s="132">
        <v>1535</v>
      </c>
      <c r="B1549" s="120"/>
      <c r="C1549" s="121"/>
      <c r="D1549" s="121"/>
      <c r="E1549" s="121"/>
      <c r="F1549" s="122" t="s">
        <v>81</v>
      </c>
    </row>
    <row r="1550" spans="1:6" x14ac:dyDescent="0.2">
      <c r="A1550" s="132">
        <v>1536</v>
      </c>
      <c r="B1550" s="120"/>
      <c r="C1550" s="121"/>
      <c r="D1550" s="121"/>
      <c r="E1550" s="121"/>
      <c r="F1550" s="122"/>
    </row>
    <row r="1551" spans="1:6" x14ac:dyDescent="0.2">
      <c r="A1551" s="132">
        <v>1537</v>
      </c>
      <c r="B1551" s="123" t="s">
        <v>312</v>
      </c>
      <c r="C1551" s="121"/>
      <c r="D1551" s="121"/>
      <c r="E1551" s="124">
        <f>+'[4]II-E-1'!$G$70</f>
        <v>801773.1</v>
      </c>
      <c r="F1551" s="122"/>
    </row>
    <row r="1552" spans="1:6" x14ac:dyDescent="0.2">
      <c r="A1552" s="132">
        <v>1538</v>
      </c>
      <c r="B1552" s="123" t="str">
        <f>CONCATENATE(MID(B1551,1,4)," - Requested")</f>
        <v>A396 - Requested</v>
      </c>
      <c r="C1552" s="121"/>
      <c r="D1552" s="121"/>
      <c r="E1552" s="125">
        <f>+'[4]II-E-1'!$I$70</f>
        <v>966510.55</v>
      </c>
      <c r="F1552" s="122"/>
    </row>
    <row r="1553" spans="1:6" x14ac:dyDescent="0.2">
      <c r="A1553" s="132">
        <v>1539</v>
      </c>
      <c r="B1553" s="120"/>
      <c r="C1553" s="121"/>
      <c r="D1553" s="121"/>
      <c r="E1553" s="124"/>
      <c r="F1553" s="122"/>
    </row>
    <row r="1554" spans="1:6" ht="13.5" thickBot="1" x14ac:dyDescent="0.25">
      <c r="A1554" s="132">
        <v>1540</v>
      </c>
      <c r="B1554" s="126" t="str">
        <f>CONCATENATE(MID(B1551,1,4)," - Adjustment")</f>
        <v>A396 - Adjustment</v>
      </c>
      <c r="C1554" s="121"/>
      <c r="D1554" s="121"/>
      <c r="E1554" s="133">
        <f>+E1552-E1551</f>
        <v>164737.45000000007</v>
      </c>
      <c r="F1554" s="127"/>
    </row>
    <row r="1555" spans="1:6" ht="13.5" thickTop="1" x14ac:dyDescent="0.2">
      <c r="A1555" s="132">
        <v>1541</v>
      </c>
      <c r="B1555" s="128"/>
      <c r="C1555" s="129"/>
      <c r="D1555" s="129"/>
      <c r="E1555" s="129"/>
      <c r="F1555" s="130"/>
    </row>
    <row r="1556" spans="1:6" x14ac:dyDescent="0.2">
      <c r="A1556" s="132">
        <v>1542</v>
      </c>
    </row>
    <row r="1557" spans="1:6" x14ac:dyDescent="0.2">
      <c r="A1557" s="132">
        <v>1543</v>
      </c>
      <c r="B1557" s="131" t="s">
        <v>277</v>
      </c>
      <c r="C1557" s="117" t="s">
        <v>278</v>
      </c>
      <c r="D1557" s="117"/>
      <c r="E1557" s="118"/>
      <c r="F1557" s="119" t="s">
        <v>468</v>
      </c>
    </row>
    <row r="1558" spans="1:6" x14ac:dyDescent="0.2">
      <c r="A1558" s="132">
        <v>1544</v>
      </c>
      <c r="B1558" s="120"/>
      <c r="C1558" s="121"/>
      <c r="D1558" s="121"/>
      <c r="E1558" s="121"/>
      <c r="F1558" s="122" t="s">
        <v>81</v>
      </c>
    </row>
    <row r="1559" spans="1:6" x14ac:dyDescent="0.2">
      <c r="A1559" s="132">
        <v>1545</v>
      </c>
      <c r="B1559" s="120"/>
      <c r="C1559" s="121"/>
      <c r="D1559" s="121"/>
      <c r="E1559" s="121"/>
      <c r="F1559" s="122"/>
    </row>
    <row r="1560" spans="1:6" x14ac:dyDescent="0.2">
      <c r="A1560" s="132">
        <v>1546</v>
      </c>
      <c r="B1560" s="123" t="s">
        <v>512</v>
      </c>
      <c r="C1560" s="121"/>
      <c r="D1560" s="121"/>
      <c r="E1560" s="124">
        <f>+'[4]II-E-1'!$G$71</f>
        <v>0</v>
      </c>
      <c r="F1560" s="122"/>
    </row>
    <row r="1561" spans="1:6" x14ac:dyDescent="0.2">
      <c r="A1561" s="132">
        <v>1547</v>
      </c>
      <c r="B1561" s="123" t="str">
        <f>CONCATENATE(MID(B1560,1,6)," - Requested")</f>
        <v>A397.1 - Requested</v>
      </c>
      <c r="C1561" s="121"/>
      <c r="D1561" s="121"/>
      <c r="E1561" s="125">
        <f>+'[4]II-E-1'!$I$71</f>
        <v>33007312.989999998</v>
      </c>
      <c r="F1561" s="122"/>
    </row>
    <row r="1562" spans="1:6" x14ac:dyDescent="0.2">
      <c r="A1562" s="132">
        <v>1548</v>
      </c>
      <c r="B1562" s="120"/>
      <c r="C1562" s="121"/>
      <c r="D1562" s="121"/>
      <c r="E1562" s="124"/>
      <c r="F1562" s="122"/>
    </row>
    <row r="1563" spans="1:6" ht="13.5" thickBot="1" x14ac:dyDescent="0.25">
      <c r="A1563" s="132">
        <v>1549</v>
      </c>
      <c r="B1563" s="126" t="str">
        <f>CONCATENATE(MID(B1560,1,6)," - Adjustment")</f>
        <v>A397.1 - Adjustment</v>
      </c>
      <c r="C1563" s="121"/>
      <c r="D1563" s="121"/>
      <c r="E1563" s="133">
        <f>+E1561-E1560</f>
        <v>33007312.989999998</v>
      </c>
      <c r="F1563" s="127"/>
    </row>
    <row r="1564" spans="1:6" ht="13.5" thickTop="1" x14ac:dyDescent="0.2">
      <c r="A1564" s="132">
        <v>1550</v>
      </c>
      <c r="B1564" s="128"/>
      <c r="C1564" s="129"/>
      <c r="D1564" s="129"/>
      <c r="E1564" s="129"/>
      <c r="F1564" s="130"/>
    </row>
    <row r="1565" spans="1:6" x14ac:dyDescent="0.2">
      <c r="A1565" s="132">
        <v>1551</v>
      </c>
    </row>
    <row r="1566" spans="1:6" x14ac:dyDescent="0.2">
      <c r="A1566" s="132">
        <v>1552</v>
      </c>
      <c r="B1566" s="131" t="s">
        <v>277</v>
      </c>
      <c r="C1566" s="117" t="s">
        <v>278</v>
      </c>
      <c r="D1566" s="117"/>
      <c r="E1566" s="118"/>
      <c r="F1566" s="119" t="s">
        <v>468</v>
      </c>
    </row>
    <row r="1567" spans="1:6" x14ac:dyDescent="0.2">
      <c r="A1567" s="132">
        <v>1553</v>
      </c>
      <c r="B1567" s="120"/>
      <c r="C1567" s="121"/>
      <c r="D1567" s="121"/>
      <c r="E1567" s="121"/>
      <c r="F1567" s="122" t="s">
        <v>81</v>
      </c>
    </row>
    <row r="1568" spans="1:6" x14ac:dyDescent="0.2">
      <c r="A1568" s="132">
        <v>1554</v>
      </c>
      <c r="B1568" s="120"/>
      <c r="C1568" s="121"/>
      <c r="D1568" s="121"/>
      <c r="E1568" s="121"/>
      <c r="F1568" s="122"/>
    </row>
    <row r="1569" spans="1:6" x14ac:dyDescent="0.2">
      <c r="A1569" s="132">
        <v>1555</v>
      </c>
      <c r="B1569" s="123" t="s">
        <v>513</v>
      </c>
      <c r="C1569" s="121"/>
      <c r="D1569" s="121"/>
      <c r="E1569" s="124">
        <f>+'[4]II-E-1'!$G$72</f>
        <v>0</v>
      </c>
      <c r="F1569" s="122"/>
    </row>
    <row r="1570" spans="1:6" x14ac:dyDescent="0.2">
      <c r="A1570" s="132">
        <v>1556</v>
      </c>
      <c r="B1570" s="123" t="str">
        <f>CONCATENATE(MID(B1569,1,6)," - Requested")</f>
        <v>A397.2 - Requested</v>
      </c>
      <c r="C1570" s="121"/>
      <c r="D1570" s="121"/>
      <c r="E1570" s="125">
        <f>+'[4]II-E-1'!$I$72</f>
        <v>59789519.740000002</v>
      </c>
      <c r="F1570" s="122"/>
    </row>
    <row r="1571" spans="1:6" x14ac:dyDescent="0.2">
      <c r="A1571" s="132">
        <v>1557</v>
      </c>
      <c r="B1571" s="120"/>
      <c r="C1571" s="121"/>
      <c r="D1571" s="121"/>
      <c r="E1571" s="124"/>
      <c r="F1571" s="122"/>
    </row>
    <row r="1572" spans="1:6" ht="13.5" thickBot="1" x14ac:dyDescent="0.25">
      <c r="A1572" s="132">
        <v>1558</v>
      </c>
      <c r="B1572" s="126" t="str">
        <f>CONCATENATE(MID(B1569,1,6)," - Adjustment")</f>
        <v>A397.2 - Adjustment</v>
      </c>
      <c r="C1572" s="121"/>
      <c r="D1572" s="121"/>
      <c r="E1572" s="133">
        <f>+E1570-E1569</f>
        <v>59789519.740000002</v>
      </c>
      <c r="F1572" s="127"/>
    </row>
    <row r="1573" spans="1:6" ht="13.5" thickTop="1" x14ac:dyDescent="0.2">
      <c r="A1573" s="132">
        <v>1559</v>
      </c>
      <c r="B1573" s="128"/>
      <c r="C1573" s="129"/>
      <c r="D1573" s="129"/>
      <c r="E1573" s="129"/>
      <c r="F1573" s="130"/>
    </row>
    <row r="1574" spans="1:6" x14ac:dyDescent="0.2">
      <c r="A1574" s="132">
        <v>1560</v>
      </c>
    </row>
    <row r="1575" spans="1:6" x14ac:dyDescent="0.2">
      <c r="A1575" s="132">
        <v>1561</v>
      </c>
      <c r="B1575" s="131" t="s">
        <v>277</v>
      </c>
      <c r="C1575" s="117" t="s">
        <v>278</v>
      </c>
      <c r="D1575" s="117"/>
      <c r="E1575" s="118"/>
      <c r="F1575" s="119" t="s">
        <v>468</v>
      </c>
    </row>
    <row r="1576" spans="1:6" x14ac:dyDescent="0.2">
      <c r="A1576" s="132">
        <v>1562</v>
      </c>
      <c r="B1576" s="120"/>
      <c r="C1576" s="121"/>
      <c r="D1576" s="121"/>
      <c r="E1576" s="121"/>
      <c r="F1576" s="122" t="s">
        <v>81</v>
      </c>
    </row>
    <row r="1577" spans="1:6" x14ac:dyDescent="0.2">
      <c r="A1577" s="132">
        <v>1563</v>
      </c>
      <c r="B1577" s="120"/>
      <c r="C1577" s="121"/>
      <c r="D1577" s="121"/>
      <c r="E1577" s="121"/>
      <c r="F1577" s="122"/>
    </row>
    <row r="1578" spans="1:6" x14ac:dyDescent="0.2">
      <c r="A1578" s="132">
        <v>1564</v>
      </c>
      <c r="B1578" s="123" t="s">
        <v>514</v>
      </c>
      <c r="C1578" s="121"/>
      <c r="D1578" s="121"/>
      <c r="E1578" s="124">
        <f>+'[4]II-E-1'!$G$73</f>
        <v>7298048.0700000003</v>
      </c>
      <c r="F1578" s="122"/>
    </row>
    <row r="1579" spans="1:6" x14ac:dyDescent="0.2">
      <c r="A1579" s="132">
        <v>1565</v>
      </c>
      <c r="B1579" s="123" t="str">
        <f>CONCATENATE(MID(B1578,1,6)," - Requested")</f>
        <v>A397.3 - Requested</v>
      </c>
      <c r="C1579" s="121"/>
      <c r="D1579" s="121"/>
      <c r="E1579" s="125">
        <f>+'[4]II-E-1'!$I$73</f>
        <v>11436700.57</v>
      </c>
      <c r="F1579" s="122"/>
    </row>
    <row r="1580" spans="1:6" x14ac:dyDescent="0.2">
      <c r="A1580" s="132">
        <v>1566</v>
      </c>
      <c r="B1580" s="120"/>
      <c r="C1580" s="121"/>
      <c r="D1580" s="121"/>
      <c r="E1580" s="124"/>
      <c r="F1580" s="122"/>
    </row>
    <row r="1581" spans="1:6" ht="13.5" thickBot="1" x14ac:dyDescent="0.25">
      <c r="A1581" s="132">
        <v>1567</v>
      </c>
      <c r="B1581" s="126" t="str">
        <f>CONCATENATE(MID(B1578,1,6)," - Adjustment")</f>
        <v>A397.3 - Adjustment</v>
      </c>
      <c r="C1581" s="121"/>
      <c r="D1581" s="121"/>
      <c r="E1581" s="133">
        <f>+E1579-E1578</f>
        <v>4138652.5</v>
      </c>
      <c r="F1581" s="127"/>
    </row>
    <row r="1582" spans="1:6" ht="13.5" thickTop="1" x14ac:dyDescent="0.2">
      <c r="A1582" s="132">
        <v>1568</v>
      </c>
      <c r="B1582" s="128"/>
      <c r="C1582" s="129"/>
      <c r="D1582" s="129"/>
      <c r="E1582" s="129"/>
      <c r="F1582" s="130"/>
    </row>
    <row r="1583" spans="1:6" x14ac:dyDescent="0.2">
      <c r="A1583" s="132">
        <v>1569</v>
      </c>
    </row>
    <row r="1584" spans="1:6" x14ac:dyDescent="0.2">
      <c r="A1584" s="132">
        <v>1570</v>
      </c>
      <c r="B1584" s="131" t="s">
        <v>277</v>
      </c>
      <c r="C1584" s="117" t="s">
        <v>278</v>
      </c>
      <c r="D1584" s="117"/>
      <c r="E1584" s="118"/>
      <c r="F1584" s="119" t="s">
        <v>468</v>
      </c>
    </row>
    <row r="1585" spans="1:6" x14ac:dyDescent="0.2">
      <c r="A1585" s="132">
        <v>1571</v>
      </c>
      <c r="B1585" s="120"/>
      <c r="C1585" s="121"/>
      <c r="D1585" s="121"/>
      <c r="E1585" s="121"/>
      <c r="F1585" s="122" t="s">
        <v>81</v>
      </c>
    </row>
    <row r="1586" spans="1:6" x14ac:dyDescent="0.2">
      <c r="A1586" s="132">
        <v>1572</v>
      </c>
      <c r="B1586" s="120"/>
      <c r="C1586" s="121"/>
      <c r="D1586" s="121"/>
      <c r="E1586" s="121"/>
      <c r="F1586" s="122"/>
    </row>
    <row r="1587" spans="1:6" x14ac:dyDescent="0.2">
      <c r="A1587" s="132">
        <v>1573</v>
      </c>
      <c r="B1587" s="123" t="s">
        <v>313</v>
      </c>
      <c r="C1587" s="121"/>
      <c r="D1587" s="121"/>
      <c r="E1587" s="124">
        <f>+'[4]II-E-1'!$G$74</f>
        <v>943947.53</v>
      </c>
      <c r="F1587" s="122"/>
    </row>
    <row r="1588" spans="1:6" x14ac:dyDescent="0.2">
      <c r="A1588" s="132">
        <v>1574</v>
      </c>
      <c r="B1588" s="123" t="str">
        <f>CONCATENATE(MID(B1587,1,4)," - Requested")</f>
        <v>A398 - Requested</v>
      </c>
      <c r="C1588" s="121"/>
      <c r="D1588" s="121"/>
      <c r="E1588" s="125">
        <f>+'[4]II-E-1'!$I$74</f>
        <v>1033677.55</v>
      </c>
      <c r="F1588" s="122"/>
    </row>
    <row r="1589" spans="1:6" x14ac:dyDescent="0.2">
      <c r="A1589" s="132">
        <v>1575</v>
      </c>
      <c r="B1589" s="120"/>
      <c r="C1589" s="121"/>
      <c r="D1589" s="121"/>
      <c r="E1589" s="124"/>
      <c r="F1589" s="122"/>
    </row>
    <row r="1590" spans="1:6" ht="13.5" thickBot="1" x14ac:dyDescent="0.25">
      <c r="A1590" s="132">
        <v>1576</v>
      </c>
      <c r="B1590" s="126" t="str">
        <f>CONCATENATE(MID(B1587,1,4)," - Adjustment")</f>
        <v>A398 - Adjustment</v>
      </c>
      <c r="C1590" s="121"/>
      <c r="D1590" s="121"/>
      <c r="E1590" s="133">
        <f>+E1588-E1587</f>
        <v>89730.020000000019</v>
      </c>
      <c r="F1590" s="127"/>
    </row>
    <row r="1591" spans="1:6" ht="13.5" thickTop="1" x14ac:dyDescent="0.2">
      <c r="A1591" s="132">
        <v>1577</v>
      </c>
      <c r="B1591" s="128"/>
      <c r="C1591" s="129"/>
      <c r="D1591" s="129"/>
      <c r="E1591" s="129"/>
      <c r="F1591" s="130"/>
    </row>
    <row r="1592" spans="1:6" x14ac:dyDescent="0.2">
      <c r="A1592" s="132">
        <v>1578</v>
      </c>
    </row>
    <row r="1593" spans="1:6" x14ac:dyDescent="0.2">
      <c r="A1593" s="132">
        <v>1579</v>
      </c>
      <c r="B1593" s="131" t="s">
        <v>314</v>
      </c>
      <c r="C1593" s="117" t="s">
        <v>278</v>
      </c>
      <c r="D1593" s="117"/>
      <c r="E1593" s="118"/>
      <c r="F1593" s="119" t="s">
        <v>468</v>
      </c>
    </row>
    <row r="1594" spans="1:6" x14ac:dyDescent="0.2">
      <c r="A1594" s="132">
        <v>1580</v>
      </c>
      <c r="B1594" s="120"/>
      <c r="C1594" s="121"/>
      <c r="D1594" s="121"/>
      <c r="E1594" s="121"/>
      <c r="F1594" s="122"/>
    </row>
    <row r="1595" spans="1:6" x14ac:dyDescent="0.2">
      <c r="A1595" s="132">
        <v>1581</v>
      </c>
      <c r="B1595" s="120"/>
      <c r="C1595" s="121"/>
      <c r="D1595" s="121"/>
      <c r="E1595" s="121"/>
      <c r="F1595" s="122"/>
    </row>
    <row r="1596" spans="1:6" x14ac:dyDescent="0.2">
      <c r="A1596" s="132">
        <v>1582</v>
      </c>
      <c r="B1596" s="123" t="s">
        <v>315</v>
      </c>
      <c r="C1596" s="121"/>
      <c r="D1596" s="121"/>
      <c r="E1596" s="124">
        <f>+'[4]II-E-4'!$G$18</f>
        <v>7817075</v>
      </c>
      <c r="F1596" s="122"/>
    </row>
    <row r="1597" spans="1:6" x14ac:dyDescent="0.2">
      <c r="A1597" s="132">
        <v>1583</v>
      </c>
      <c r="B1597" s="123" t="str">
        <f>CONCATENATE(MID(B1596,1,4)," - Requested")</f>
        <v>A431 - Requested</v>
      </c>
      <c r="C1597" s="121"/>
      <c r="D1597" s="121"/>
      <c r="E1597" s="125">
        <f>+'[4]II-E-4'!$I$18</f>
        <v>9895806</v>
      </c>
      <c r="F1597" s="122"/>
    </row>
    <row r="1598" spans="1:6" x14ac:dyDescent="0.2">
      <c r="A1598" s="132">
        <v>1584</v>
      </c>
      <c r="B1598" s="120"/>
      <c r="C1598" s="121"/>
      <c r="D1598" s="121"/>
      <c r="E1598" s="124"/>
      <c r="F1598" s="122"/>
    </row>
    <row r="1599" spans="1:6" ht="13.5" thickBot="1" x14ac:dyDescent="0.25">
      <c r="A1599" s="132">
        <v>1585</v>
      </c>
      <c r="B1599" s="126" t="str">
        <f>CONCATENATE(MID(B1596,1,4)," - Adjustment")</f>
        <v>A431 - Adjustment</v>
      </c>
      <c r="C1599" s="121"/>
      <c r="D1599" s="121"/>
      <c r="E1599" s="133">
        <f>+E1597-E1596</f>
        <v>2078731</v>
      </c>
      <c r="F1599" s="127"/>
    </row>
    <row r="1600" spans="1:6" ht="13.5" thickTop="1" x14ac:dyDescent="0.2">
      <c r="A1600" s="132">
        <v>1586</v>
      </c>
      <c r="B1600" s="128"/>
      <c r="C1600" s="129"/>
      <c r="D1600" s="129"/>
      <c r="E1600" s="129"/>
      <c r="F1600" s="130"/>
    </row>
    <row r="1601" spans="1:6" x14ac:dyDescent="0.2">
      <c r="A1601" s="132">
        <v>1587</v>
      </c>
    </row>
    <row r="1602" spans="1:6" x14ac:dyDescent="0.2">
      <c r="A1602" s="132">
        <v>1588</v>
      </c>
      <c r="B1602" s="131" t="s">
        <v>316</v>
      </c>
      <c r="C1602" s="117" t="s">
        <v>278</v>
      </c>
      <c r="D1602" s="117"/>
      <c r="E1602" s="118"/>
      <c r="F1602" s="119" t="s">
        <v>468</v>
      </c>
    </row>
    <row r="1603" spans="1:6" x14ac:dyDescent="0.2">
      <c r="A1603" s="132">
        <v>1589</v>
      </c>
      <c r="B1603" s="120"/>
      <c r="C1603" s="121"/>
      <c r="D1603" s="121"/>
      <c r="E1603" s="121"/>
      <c r="F1603" s="122"/>
    </row>
    <row r="1604" spans="1:6" x14ac:dyDescent="0.2">
      <c r="A1604" s="132">
        <v>1590</v>
      </c>
      <c r="B1604" s="120"/>
      <c r="C1604" s="121"/>
      <c r="D1604" s="121"/>
      <c r="E1604" s="121"/>
      <c r="F1604" s="122"/>
    </row>
    <row r="1605" spans="1:6" x14ac:dyDescent="0.2">
      <c r="A1605" s="132">
        <v>1591</v>
      </c>
      <c r="B1605" s="123" t="s">
        <v>317</v>
      </c>
      <c r="C1605" s="121"/>
      <c r="D1605" s="121"/>
      <c r="E1605" s="124">
        <f>+'[4]II-E-4.1'!$G$19</f>
        <v>-30673.559999999998</v>
      </c>
      <c r="F1605" s="122"/>
    </row>
    <row r="1606" spans="1:6" x14ac:dyDescent="0.2">
      <c r="A1606" s="132">
        <v>1592</v>
      </c>
      <c r="B1606" s="123" t="str">
        <f>CONCATENATE(MID(B1605,1,4)," - Requested")</f>
        <v>A406 - Requested</v>
      </c>
      <c r="C1606" s="121"/>
      <c r="D1606" s="121"/>
      <c r="E1606" s="125">
        <f>+'[4]II-E-4.1'!$I$19</f>
        <v>-30673.559999999998</v>
      </c>
      <c r="F1606" s="122"/>
    </row>
    <row r="1607" spans="1:6" x14ac:dyDescent="0.2">
      <c r="A1607" s="132">
        <v>1593</v>
      </c>
      <c r="B1607" s="120"/>
      <c r="C1607" s="121"/>
      <c r="D1607" s="121"/>
      <c r="E1607" s="124"/>
      <c r="F1607" s="122"/>
    </row>
    <row r="1608" spans="1:6" ht="13.5" thickBot="1" x14ac:dyDescent="0.25">
      <c r="A1608" s="132">
        <v>1594</v>
      </c>
      <c r="B1608" s="126" t="str">
        <f>CONCATENATE(MID(B1605,1,4)," - Adjustment")</f>
        <v>A406 - Adjustment</v>
      </c>
      <c r="C1608" s="121"/>
      <c r="D1608" s="121"/>
      <c r="E1608" s="133">
        <f>+E1606-E1605</f>
        <v>0</v>
      </c>
      <c r="F1608" s="127"/>
    </row>
    <row r="1609" spans="1:6" ht="13.5" thickTop="1" x14ac:dyDescent="0.2">
      <c r="A1609" s="132">
        <v>1595</v>
      </c>
      <c r="B1609" s="128"/>
      <c r="C1609" s="129"/>
      <c r="D1609" s="129"/>
      <c r="E1609" s="129"/>
      <c r="F1609" s="130"/>
    </row>
    <row r="1610" spans="1:6" x14ac:dyDescent="0.2">
      <c r="A1610" s="132">
        <v>1596</v>
      </c>
    </row>
    <row r="1611" spans="1:6" x14ac:dyDescent="0.2">
      <c r="A1611" s="132">
        <v>1597</v>
      </c>
      <c r="B1611" s="131" t="s">
        <v>316</v>
      </c>
      <c r="C1611" s="117" t="s">
        <v>278</v>
      </c>
      <c r="D1611" s="117"/>
      <c r="E1611" s="118"/>
      <c r="F1611" s="119" t="s">
        <v>468</v>
      </c>
    </row>
    <row r="1612" spans="1:6" x14ac:dyDescent="0.2">
      <c r="A1612" s="132">
        <v>1598</v>
      </c>
      <c r="B1612" s="120"/>
      <c r="C1612" s="121"/>
      <c r="D1612" s="121"/>
      <c r="E1612" s="121"/>
      <c r="F1612" s="122"/>
    </row>
    <row r="1613" spans="1:6" x14ac:dyDescent="0.2">
      <c r="A1613" s="132">
        <v>1599</v>
      </c>
      <c r="B1613" s="120"/>
      <c r="C1613" s="121"/>
      <c r="D1613" s="121"/>
      <c r="E1613" s="121"/>
      <c r="F1613" s="122"/>
    </row>
    <row r="1614" spans="1:6" x14ac:dyDescent="0.2">
      <c r="A1614" s="132">
        <v>1600</v>
      </c>
      <c r="B1614" s="123" t="s">
        <v>515</v>
      </c>
      <c r="C1614" s="121"/>
      <c r="D1614" s="121"/>
      <c r="E1614" s="124">
        <f>+'[4]II-E-4.1'!$I$49</f>
        <v>987442</v>
      </c>
      <c r="F1614" s="122"/>
    </row>
    <row r="1615" spans="1:6" x14ac:dyDescent="0.2">
      <c r="A1615" s="132">
        <v>1601</v>
      </c>
      <c r="B1615" s="123" t="s">
        <v>516</v>
      </c>
      <c r="C1615" s="121"/>
      <c r="D1615" s="121"/>
      <c r="E1615" s="163">
        <f>+'[4]II-E-4.1'!$I$50</f>
        <v>1454438.96</v>
      </c>
      <c r="F1615" s="122"/>
    </row>
    <row r="1616" spans="1:6" x14ac:dyDescent="0.2">
      <c r="A1616" s="132">
        <v>1602</v>
      </c>
      <c r="B1616" s="123" t="s">
        <v>517</v>
      </c>
      <c r="C1616" s="121"/>
      <c r="D1616" s="121"/>
      <c r="E1616" s="163">
        <f>+'[4]II-E-4.1'!$I$51</f>
        <v>5588147.0899999999</v>
      </c>
      <c r="F1616" s="122"/>
    </row>
    <row r="1617" spans="1:6" x14ac:dyDescent="0.2">
      <c r="A1617" s="132">
        <v>1603</v>
      </c>
      <c r="B1617" s="123" t="s">
        <v>518</v>
      </c>
      <c r="C1617" s="121"/>
      <c r="D1617" s="121"/>
      <c r="E1617" s="163">
        <f>+'[4]II-E-4.1'!$I$52</f>
        <v>-10507.84</v>
      </c>
      <c r="F1617" s="122"/>
    </row>
    <row r="1618" spans="1:6" x14ac:dyDescent="0.2">
      <c r="A1618" s="132">
        <v>1604</v>
      </c>
      <c r="B1618" s="123" t="s">
        <v>519</v>
      </c>
      <c r="C1618" s="121"/>
      <c r="D1618" s="121"/>
      <c r="E1618" s="163">
        <f>+'[4]II-E-4.1'!$I$53</f>
        <v>-997594.02</v>
      </c>
      <c r="F1618" s="122"/>
    </row>
    <row r="1619" spans="1:6" x14ac:dyDescent="0.2">
      <c r="A1619" s="132">
        <v>1605</v>
      </c>
      <c r="B1619" s="123" t="s">
        <v>520</v>
      </c>
      <c r="C1619" s="121"/>
      <c r="D1619" s="121"/>
      <c r="E1619" s="163">
        <f>+'[4]II-E-4.1'!$I$54</f>
        <v>139506</v>
      </c>
      <c r="F1619" s="122"/>
    </row>
    <row r="1620" spans="1:6" x14ac:dyDescent="0.2">
      <c r="A1620" s="132">
        <v>1606</v>
      </c>
      <c r="B1620" s="120"/>
      <c r="C1620" s="121"/>
      <c r="D1620" s="121"/>
      <c r="E1620" s="124"/>
      <c r="F1620" s="122"/>
    </row>
    <row r="1621" spans="1:6" ht="13.5" thickBot="1" x14ac:dyDescent="0.25">
      <c r="A1621" s="132">
        <v>1607</v>
      </c>
      <c r="B1621" s="126" t="str">
        <f>CONCATENATE(MID(B1614,1,4)," - Adjustment")</f>
        <v>A407 - Adjustment</v>
      </c>
      <c r="C1621" s="121"/>
      <c r="D1621" s="121"/>
      <c r="E1621" s="133">
        <f>SUM(E1614:E1620)</f>
        <v>7161432.1899999995</v>
      </c>
      <c r="F1621" s="127"/>
    </row>
    <row r="1622" spans="1:6" ht="13.5" thickTop="1" x14ac:dyDescent="0.2">
      <c r="A1622" s="132">
        <v>1608</v>
      </c>
      <c r="B1622" s="128"/>
      <c r="C1622" s="129"/>
      <c r="D1622" s="129"/>
      <c r="E1622" s="129"/>
      <c r="F1622" s="130"/>
    </row>
    <row r="1623" spans="1:6" x14ac:dyDescent="0.2">
      <c r="A1623" s="132">
        <v>1609</v>
      </c>
    </row>
    <row r="1624" spans="1:6" x14ac:dyDescent="0.2">
      <c r="A1624" s="132">
        <v>1610</v>
      </c>
    </row>
    <row r="1625" spans="1:6" x14ac:dyDescent="0.2">
      <c r="A1625" s="132">
        <v>1611</v>
      </c>
      <c r="D1625" s="145" t="s">
        <v>318</v>
      </c>
      <c r="E1625" s="124">
        <f>+E1275+E1284+E1293+E1302+E1311+E1320+E1329+E1338+E1347+E1356+E1365+E1374+E1383+E1392+E1401+E1410+E1419+E1428+E1437+E1446+E1455+E1464+E1473+E1482+E1491+E1500+E1509+E1518+E1527+E1536+E1545+E1554+E1563+E1572+E1581+E1590</f>
        <v>129873551.67999996</v>
      </c>
    </row>
    <row r="1626" spans="1:6" x14ac:dyDescent="0.2">
      <c r="A1626" s="132">
        <v>1612</v>
      </c>
      <c r="D1626" s="145" t="s">
        <v>319</v>
      </c>
      <c r="E1626" s="136">
        <f>+E1599</f>
        <v>2078731</v>
      </c>
    </row>
    <row r="1627" spans="1:6" x14ac:dyDescent="0.2">
      <c r="A1627" s="132">
        <v>1613</v>
      </c>
      <c r="C1627" s="121"/>
      <c r="D1627" s="145" t="s">
        <v>320</v>
      </c>
      <c r="E1627" s="136">
        <f>+E1621+E1608</f>
        <v>7161432.1899999995</v>
      </c>
    </row>
    <row r="1628" spans="1:6" ht="13.5" thickBot="1" x14ac:dyDescent="0.25">
      <c r="A1628" s="132">
        <v>1614</v>
      </c>
      <c r="C1628" s="116" t="s">
        <v>278</v>
      </c>
      <c r="D1628" s="144" t="s">
        <v>53</v>
      </c>
      <c r="E1628" s="133">
        <f>SUM(E1625:E1627)</f>
        <v>139113714.86999997</v>
      </c>
    </row>
    <row r="1629" spans="1:6" ht="14.25" thickTop="1" thickBot="1" x14ac:dyDescent="0.25">
      <c r="A1629" s="132">
        <v>1615</v>
      </c>
      <c r="C1629" s="121"/>
      <c r="E1629" s="136"/>
    </row>
    <row r="1630" spans="1:6" ht="13.5" thickBot="1" x14ac:dyDescent="0.25">
      <c r="A1630" s="132">
        <v>1616</v>
      </c>
      <c r="B1630" s="115" t="s">
        <v>321</v>
      </c>
      <c r="E1630" s="136"/>
    </row>
    <row r="1631" spans="1:6" x14ac:dyDescent="0.2">
      <c r="A1631" s="132">
        <v>1617</v>
      </c>
      <c r="E1631" s="136"/>
    </row>
    <row r="1632" spans="1:6" x14ac:dyDescent="0.2">
      <c r="A1632" s="132">
        <v>1618</v>
      </c>
      <c r="B1632" s="131" t="s">
        <v>321</v>
      </c>
      <c r="C1632" s="117" t="s">
        <v>322</v>
      </c>
      <c r="D1632" s="117"/>
      <c r="E1632" s="118"/>
      <c r="F1632" s="119" t="s">
        <v>83</v>
      </c>
    </row>
    <row r="1633" spans="1:6" x14ac:dyDescent="0.2">
      <c r="A1633" s="132">
        <v>1619</v>
      </c>
      <c r="B1633" s="120"/>
      <c r="C1633" s="121"/>
      <c r="D1633" s="121"/>
      <c r="E1633" s="121"/>
      <c r="F1633" s="122"/>
    </row>
    <row r="1634" spans="1:6" x14ac:dyDescent="0.2">
      <c r="A1634" s="132">
        <v>1620</v>
      </c>
      <c r="B1634" s="120"/>
      <c r="C1634" s="121"/>
      <c r="D1634" s="121"/>
      <c r="E1634" s="121"/>
      <c r="F1634" s="122"/>
    </row>
    <row r="1635" spans="1:6" x14ac:dyDescent="0.2">
      <c r="A1635" s="132">
        <v>1621</v>
      </c>
      <c r="B1635" s="123" t="s">
        <v>323</v>
      </c>
      <c r="C1635" s="121"/>
      <c r="D1635" s="121"/>
      <c r="E1635" s="124">
        <f>+'[4]II-E-2'!$G$18</f>
        <v>20953312.190000001</v>
      </c>
      <c r="F1635" s="122"/>
    </row>
    <row r="1636" spans="1:6" x14ac:dyDescent="0.2">
      <c r="A1636" s="132">
        <v>1622</v>
      </c>
      <c r="B1636" s="123" t="str">
        <f>CONCATENATE(MID(B1635,1,4)," - Requested")</f>
        <v>FICA - Requested</v>
      </c>
      <c r="C1636" s="121"/>
      <c r="D1636" s="121"/>
      <c r="E1636" s="125">
        <f>+'[4]II-E-2'!$I$18</f>
        <v>20367418.100000001</v>
      </c>
      <c r="F1636" s="122"/>
    </row>
    <row r="1637" spans="1:6" x14ac:dyDescent="0.2">
      <c r="A1637" s="132">
        <v>1623</v>
      </c>
      <c r="B1637" s="120"/>
      <c r="C1637" s="121"/>
      <c r="D1637" s="121"/>
      <c r="E1637" s="124"/>
      <c r="F1637" s="122"/>
    </row>
    <row r="1638" spans="1:6" ht="13.5" thickBot="1" x14ac:dyDescent="0.25">
      <c r="A1638" s="132">
        <v>1624</v>
      </c>
      <c r="B1638" s="126" t="str">
        <f>CONCATENATE(MID(B1635,1,4)," - Adjustment")</f>
        <v>FICA - Adjustment</v>
      </c>
      <c r="C1638" s="121"/>
      <c r="D1638" s="121"/>
      <c r="E1638" s="133">
        <f>+E1636-E1635</f>
        <v>-585894.08999999985</v>
      </c>
      <c r="F1638" s="127"/>
    </row>
    <row r="1639" spans="1:6" ht="13.5" thickTop="1" x14ac:dyDescent="0.2">
      <c r="A1639" s="132">
        <v>1625</v>
      </c>
      <c r="B1639" s="128"/>
      <c r="C1639" s="129"/>
      <c r="D1639" s="129"/>
      <c r="E1639" s="129"/>
      <c r="F1639" s="130"/>
    </row>
    <row r="1640" spans="1:6" x14ac:dyDescent="0.2">
      <c r="A1640" s="132">
        <v>1626</v>
      </c>
    </row>
    <row r="1641" spans="1:6" x14ac:dyDescent="0.2">
      <c r="A1641" s="132">
        <v>1627</v>
      </c>
      <c r="B1641" s="131" t="s">
        <v>321</v>
      </c>
      <c r="C1641" s="117" t="s">
        <v>322</v>
      </c>
      <c r="D1641" s="117"/>
      <c r="E1641" s="118"/>
      <c r="F1641" s="119" t="s">
        <v>83</v>
      </c>
    </row>
    <row r="1642" spans="1:6" x14ac:dyDescent="0.2">
      <c r="A1642" s="132">
        <v>1628</v>
      </c>
      <c r="B1642" s="120"/>
      <c r="C1642" s="121"/>
      <c r="D1642" s="121"/>
      <c r="E1642" s="121"/>
      <c r="F1642" s="122"/>
    </row>
    <row r="1643" spans="1:6" x14ac:dyDescent="0.2">
      <c r="A1643" s="132">
        <v>1629</v>
      </c>
      <c r="B1643" s="120"/>
      <c r="C1643" s="121"/>
      <c r="D1643" s="121"/>
      <c r="E1643" s="121"/>
      <c r="F1643" s="122"/>
    </row>
    <row r="1644" spans="1:6" x14ac:dyDescent="0.2">
      <c r="A1644" s="132">
        <v>1630</v>
      </c>
      <c r="B1644" s="123" t="s">
        <v>324</v>
      </c>
      <c r="C1644" s="121"/>
      <c r="D1644" s="121"/>
      <c r="E1644" s="124">
        <f>+'[4]II-E-2'!$G$19</f>
        <v>416408.25</v>
      </c>
      <c r="F1644" s="122"/>
    </row>
    <row r="1645" spans="1:6" x14ac:dyDescent="0.2">
      <c r="A1645" s="132">
        <v>1631</v>
      </c>
      <c r="B1645" s="123" t="str">
        <f>CONCATENATE(MID(B1644,1,4)," - Requested")</f>
        <v>FUTA - Requested</v>
      </c>
      <c r="C1645" s="121"/>
      <c r="D1645" s="121"/>
      <c r="E1645" s="125">
        <f>+'[4]II-E-2'!$I$19</f>
        <v>442124.47</v>
      </c>
      <c r="F1645" s="122"/>
    </row>
    <row r="1646" spans="1:6" x14ac:dyDescent="0.2">
      <c r="A1646" s="132">
        <v>1632</v>
      </c>
      <c r="B1646" s="120"/>
      <c r="C1646" s="121"/>
      <c r="D1646" s="121"/>
      <c r="E1646" s="124"/>
      <c r="F1646" s="122"/>
    </row>
    <row r="1647" spans="1:6" ht="13.5" thickBot="1" x14ac:dyDescent="0.25">
      <c r="A1647" s="132">
        <v>1633</v>
      </c>
      <c r="B1647" s="126" t="str">
        <f>CONCATENATE(MID(B1644,1,4)," - Adjustment")</f>
        <v>FUTA - Adjustment</v>
      </c>
      <c r="C1647" s="121"/>
      <c r="D1647" s="121"/>
      <c r="E1647" s="133">
        <f>+E1645-E1644</f>
        <v>25716.219999999972</v>
      </c>
      <c r="F1647" s="127"/>
    </row>
    <row r="1648" spans="1:6" ht="13.5" thickTop="1" x14ac:dyDescent="0.2">
      <c r="A1648" s="132">
        <v>1634</v>
      </c>
      <c r="B1648" s="128"/>
      <c r="C1648" s="129"/>
      <c r="D1648" s="129"/>
      <c r="E1648" s="129"/>
      <c r="F1648" s="130"/>
    </row>
    <row r="1649" spans="1:6" x14ac:dyDescent="0.2">
      <c r="A1649" s="132">
        <v>1635</v>
      </c>
    </row>
    <row r="1650" spans="1:6" x14ac:dyDescent="0.2">
      <c r="A1650" s="132">
        <v>1636</v>
      </c>
      <c r="B1650" s="131" t="s">
        <v>321</v>
      </c>
      <c r="C1650" s="117" t="s">
        <v>322</v>
      </c>
      <c r="D1650" s="117"/>
      <c r="E1650" s="118"/>
      <c r="F1650" s="119" t="s">
        <v>83</v>
      </c>
    </row>
    <row r="1651" spans="1:6" x14ac:dyDescent="0.2">
      <c r="A1651" s="132">
        <v>1637</v>
      </c>
      <c r="B1651" s="120"/>
      <c r="C1651" s="121"/>
      <c r="D1651" s="121"/>
      <c r="E1651" s="121"/>
      <c r="F1651" s="122"/>
    </row>
    <row r="1652" spans="1:6" x14ac:dyDescent="0.2">
      <c r="A1652" s="132">
        <v>1638</v>
      </c>
      <c r="B1652" s="120"/>
      <c r="C1652" s="121"/>
      <c r="D1652" s="121"/>
      <c r="E1652" s="121"/>
      <c r="F1652" s="122"/>
    </row>
    <row r="1653" spans="1:6" x14ac:dyDescent="0.2">
      <c r="A1653" s="132">
        <v>1639</v>
      </c>
      <c r="B1653" s="123" t="s">
        <v>325</v>
      </c>
      <c r="C1653" s="121"/>
      <c r="D1653" s="121"/>
      <c r="E1653" s="124">
        <f>+'[4]II-E-2'!$G$20</f>
        <v>473446.8</v>
      </c>
      <c r="F1653" s="122"/>
    </row>
    <row r="1654" spans="1:6" x14ac:dyDescent="0.2">
      <c r="A1654" s="132">
        <v>1640</v>
      </c>
      <c r="B1654" s="123" t="str">
        <f>CONCATENATE(MID(B1653,1,4)," - Requested")</f>
        <v>SUTA - Requested</v>
      </c>
      <c r="C1654" s="121"/>
      <c r="D1654" s="121"/>
      <c r="E1654" s="125">
        <f>+'[4]II-E-2'!$I$20</f>
        <v>420278.09</v>
      </c>
      <c r="F1654" s="122"/>
    </row>
    <row r="1655" spans="1:6" x14ac:dyDescent="0.2">
      <c r="A1655" s="132">
        <v>1641</v>
      </c>
      <c r="B1655" s="120"/>
      <c r="C1655" s="121"/>
      <c r="D1655" s="121"/>
      <c r="E1655" s="124"/>
      <c r="F1655" s="122"/>
    </row>
    <row r="1656" spans="1:6" ht="13.5" thickBot="1" x14ac:dyDescent="0.25">
      <c r="A1656" s="132">
        <v>1642</v>
      </c>
      <c r="B1656" s="126" t="str">
        <f>CONCATENATE(MID(B1653,1,4)," - Adjustment")</f>
        <v>SUTA - Adjustment</v>
      </c>
      <c r="C1656" s="121"/>
      <c r="D1656" s="121"/>
      <c r="E1656" s="133">
        <f>+E1654-E1653</f>
        <v>-53168.709999999963</v>
      </c>
      <c r="F1656" s="127"/>
    </row>
    <row r="1657" spans="1:6" ht="13.5" thickTop="1" x14ac:dyDescent="0.2">
      <c r="A1657" s="132">
        <v>1643</v>
      </c>
      <c r="B1657" s="128"/>
      <c r="C1657" s="129"/>
      <c r="D1657" s="129"/>
      <c r="E1657" s="129"/>
      <c r="F1657" s="130"/>
    </row>
    <row r="1658" spans="1:6" x14ac:dyDescent="0.2">
      <c r="A1658" s="132">
        <v>1644</v>
      </c>
    </row>
    <row r="1659" spans="1:6" x14ac:dyDescent="0.2">
      <c r="A1659" s="132">
        <v>1645</v>
      </c>
      <c r="B1659" s="131" t="s">
        <v>321</v>
      </c>
      <c r="C1659" s="117" t="s">
        <v>322</v>
      </c>
      <c r="D1659" s="117"/>
      <c r="E1659" s="118"/>
      <c r="F1659" s="119" t="s">
        <v>83</v>
      </c>
    </row>
    <row r="1660" spans="1:6" x14ac:dyDescent="0.2">
      <c r="A1660" s="132">
        <v>1646</v>
      </c>
      <c r="B1660" s="120"/>
      <c r="C1660" s="121"/>
      <c r="D1660" s="121"/>
      <c r="E1660" s="121"/>
      <c r="F1660" s="122"/>
    </row>
    <row r="1661" spans="1:6" x14ac:dyDescent="0.2">
      <c r="A1661" s="132">
        <v>1647</v>
      </c>
      <c r="B1661" s="120"/>
      <c r="C1661" s="121"/>
      <c r="D1661" s="121"/>
      <c r="E1661" s="121"/>
      <c r="F1661" s="122"/>
    </row>
    <row r="1662" spans="1:6" x14ac:dyDescent="0.2">
      <c r="A1662" s="132">
        <v>1648</v>
      </c>
      <c r="B1662" s="123" t="s">
        <v>326</v>
      </c>
      <c r="C1662" s="121"/>
      <c r="D1662" s="121"/>
      <c r="E1662" s="124">
        <f>+'[4]II-E-2'!$G$25</f>
        <v>254333384.25</v>
      </c>
      <c r="F1662" s="122"/>
    </row>
    <row r="1663" spans="1:6" x14ac:dyDescent="0.2">
      <c r="A1663" s="132">
        <v>1649</v>
      </c>
      <c r="B1663" s="123" t="s">
        <v>327</v>
      </c>
      <c r="C1663" s="121"/>
      <c r="D1663" s="121"/>
      <c r="E1663" s="125">
        <f>+'[4]II-E-2'!$I$25</f>
        <v>283553736.94</v>
      </c>
      <c r="F1663" s="122"/>
    </row>
    <row r="1664" spans="1:6" x14ac:dyDescent="0.2">
      <c r="A1664" s="132">
        <v>1650</v>
      </c>
      <c r="B1664" s="120"/>
      <c r="C1664" s="121"/>
      <c r="D1664" s="121"/>
      <c r="E1664" s="124"/>
      <c r="F1664" s="122"/>
    </row>
    <row r="1665" spans="1:6" ht="13.5" thickBot="1" x14ac:dyDescent="0.25">
      <c r="A1665" s="132">
        <v>1651</v>
      </c>
      <c r="B1665" s="126" t="s">
        <v>328</v>
      </c>
      <c r="C1665" s="121"/>
      <c r="D1665" s="121"/>
      <c r="E1665" s="133">
        <f>+E1663-E1662</f>
        <v>29220352.689999998</v>
      </c>
      <c r="F1665" s="127"/>
    </row>
    <row r="1666" spans="1:6" ht="13.5" thickTop="1" x14ac:dyDescent="0.2">
      <c r="A1666" s="132">
        <v>1652</v>
      </c>
      <c r="B1666" s="128"/>
      <c r="C1666" s="129"/>
      <c r="D1666" s="129"/>
      <c r="E1666" s="129"/>
      <c r="F1666" s="130"/>
    </row>
    <row r="1667" spans="1:6" x14ac:dyDescent="0.2">
      <c r="A1667" s="132">
        <v>1653</v>
      </c>
    </row>
    <row r="1668" spans="1:6" x14ac:dyDescent="0.2">
      <c r="A1668" s="132">
        <v>1654</v>
      </c>
      <c r="B1668" s="131" t="s">
        <v>321</v>
      </c>
      <c r="C1668" s="117" t="s">
        <v>322</v>
      </c>
      <c r="D1668" s="117"/>
      <c r="E1668" s="118"/>
      <c r="F1668" s="119" t="s">
        <v>83</v>
      </c>
    </row>
    <row r="1669" spans="1:6" x14ac:dyDescent="0.2">
      <c r="A1669" s="132">
        <v>1655</v>
      </c>
      <c r="B1669" s="120"/>
      <c r="C1669" s="121"/>
      <c r="D1669" s="121"/>
      <c r="E1669" s="121"/>
      <c r="F1669" s="122"/>
    </row>
    <row r="1670" spans="1:6" x14ac:dyDescent="0.2">
      <c r="A1670" s="132">
        <v>1656</v>
      </c>
      <c r="B1670" s="120"/>
      <c r="C1670" s="121"/>
      <c r="D1670" s="121"/>
      <c r="E1670" s="121"/>
      <c r="F1670" s="122"/>
    </row>
    <row r="1671" spans="1:6" x14ac:dyDescent="0.2">
      <c r="A1671" s="132">
        <v>1657</v>
      </c>
      <c r="B1671" s="123" t="s">
        <v>329</v>
      </c>
      <c r="C1671" s="121"/>
      <c r="D1671" s="121"/>
      <c r="E1671" s="124">
        <f>+'[4]II-E-2'!$G$30</f>
        <v>31866850.189999998</v>
      </c>
      <c r="F1671" s="122"/>
    </row>
    <row r="1672" spans="1:6" x14ac:dyDescent="0.2">
      <c r="A1672" s="132">
        <v>1658</v>
      </c>
      <c r="B1672" s="123" t="s">
        <v>330</v>
      </c>
      <c r="C1672" s="121"/>
      <c r="D1672" s="121"/>
      <c r="E1672" s="125">
        <f>+'[4]II-E-2'!$I$30</f>
        <v>38283647</v>
      </c>
      <c r="F1672" s="122"/>
    </row>
    <row r="1673" spans="1:6" x14ac:dyDescent="0.2">
      <c r="A1673" s="132">
        <v>1659</v>
      </c>
      <c r="B1673" s="120"/>
      <c r="C1673" s="121"/>
      <c r="D1673" s="121"/>
      <c r="E1673" s="124"/>
      <c r="F1673" s="122"/>
    </row>
    <row r="1674" spans="1:6" ht="13.5" thickBot="1" x14ac:dyDescent="0.25">
      <c r="A1674" s="132">
        <v>1660</v>
      </c>
      <c r="B1674" s="126" t="s">
        <v>331</v>
      </c>
      <c r="C1674" s="121"/>
      <c r="D1674" s="121"/>
      <c r="E1674" s="133">
        <f>+E1672-E1671</f>
        <v>6416796.8100000024</v>
      </c>
      <c r="F1674" s="127"/>
    </row>
    <row r="1675" spans="1:6" ht="13.5" thickTop="1" x14ac:dyDescent="0.2">
      <c r="A1675" s="132">
        <v>1661</v>
      </c>
      <c r="B1675" s="128"/>
      <c r="C1675" s="129"/>
      <c r="D1675" s="129"/>
      <c r="E1675" s="129"/>
      <c r="F1675" s="130"/>
    </row>
    <row r="1676" spans="1:6" x14ac:dyDescent="0.2">
      <c r="A1676" s="132">
        <v>1662</v>
      </c>
    </row>
    <row r="1677" spans="1:6" x14ac:dyDescent="0.2">
      <c r="A1677" s="132">
        <v>1663</v>
      </c>
      <c r="B1677" s="131" t="s">
        <v>321</v>
      </c>
      <c r="C1677" s="117" t="s">
        <v>322</v>
      </c>
      <c r="D1677" s="117"/>
      <c r="E1677" s="118"/>
      <c r="F1677" s="119" t="s">
        <v>83</v>
      </c>
    </row>
    <row r="1678" spans="1:6" x14ac:dyDescent="0.2">
      <c r="A1678" s="132">
        <v>1664</v>
      </c>
      <c r="B1678" s="120"/>
      <c r="C1678" s="121"/>
      <c r="D1678" s="121"/>
      <c r="E1678" s="121"/>
      <c r="F1678" s="122"/>
    </row>
    <row r="1679" spans="1:6" x14ac:dyDescent="0.2">
      <c r="A1679" s="132">
        <v>1665</v>
      </c>
      <c r="B1679" s="120"/>
      <c r="C1679" s="121"/>
      <c r="D1679" s="121"/>
      <c r="E1679" s="121"/>
      <c r="F1679" s="122"/>
    </row>
    <row r="1680" spans="1:6" x14ac:dyDescent="0.2">
      <c r="A1680" s="132">
        <v>1666</v>
      </c>
      <c r="B1680" s="123" t="s">
        <v>332</v>
      </c>
      <c r="C1680" s="121"/>
      <c r="D1680" s="121"/>
      <c r="E1680" s="124">
        <f>+'[4]II-E-2'!$G$31</f>
        <v>294946844.52999997</v>
      </c>
      <c r="F1680" s="122"/>
    </row>
    <row r="1681" spans="1:6" x14ac:dyDescent="0.2">
      <c r="A1681" s="132">
        <v>1667</v>
      </c>
      <c r="B1681" s="123" t="s">
        <v>333</v>
      </c>
      <c r="C1681" s="121"/>
      <c r="D1681" s="121"/>
      <c r="E1681" s="125">
        <f>+'[4]II-E-2'!$I$31</f>
        <v>300041884.94999999</v>
      </c>
      <c r="F1681" s="122"/>
    </row>
    <row r="1682" spans="1:6" x14ac:dyDescent="0.2">
      <c r="A1682" s="132">
        <v>1668</v>
      </c>
      <c r="B1682" s="120"/>
      <c r="C1682" s="121"/>
      <c r="D1682" s="121"/>
      <c r="E1682" s="124"/>
      <c r="F1682" s="122"/>
    </row>
    <row r="1683" spans="1:6" ht="13.5" thickBot="1" x14ac:dyDescent="0.25">
      <c r="A1683" s="132">
        <v>1669</v>
      </c>
      <c r="B1683" s="126" t="s">
        <v>334</v>
      </c>
      <c r="C1683" s="121"/>
      <c r="D1683" s="121"/>
      <c r="E1683" s="133">
        <f>+E1681-E1680</f>
        <v>5095040.4200000167</v>
      </c>
      <c r="F1683" s="127"/>
    </row>
    <row r="1684" spans="1:6" ht="13.5" thickTop="1" x14ac:dyDescent="0.2">
      <c r="A1684" s="132">
        <v>1670</v>
      </c>
      <c r="B1684" s="128"/>
      <c r="C1684" s="129"/>
      <c r="D1684" s="129"/>
      <c r="E1684" s="129"/>
      <c r="F1684" s="130"/>
    </row>
    <row r="1685" spans="1:6" x14ac:dyDescent="0.2">
      <c r="A1685" s="132">
        <v>1671</v>
      </c>
      <c r="B1685" s="131" t="s">
        <v>321</v>
      </c>
      <c r="C1685" s="117" t="s">
        <v>322</v>
      </c>
      <c r="D1685" s="117"/>
      <c r="E1685" s="118"/>
      <c r="F1685" s="119" t="s">
        <v>83</v>
      </c>
    </row>
    <row r="1686" spans="1:6" x14ac:dyDescent="0.2">
      <c r="A1686" s="132">
        <v>1672</v>
      </c>
      <c r="B1686" s="120"/>
      <c r="C1686" s="121"/>
      <c r="D1686" s="121"/>
      <c r="E1686" s="121"/>
      <c r="F1686" s="122"/>
    </row>
    <row r="1687" spans="1:6" x14ac:dyDescent="0.2">
      <c r="A1687" s="132">
        <v>1673</v>
      </c>
      <c r="B1687" s="120"/>
      <c r="C1687" s="121"/>
      <c r="D1687" s="121"/>
      <c r="E1687" s="121"/>
      <c r="F1687" s="122"/>
    </row>
    <row r="1688" spans="1:6" x14ac:dyDescent="0.2">
      <c r="A1688" s="132">
        <v>1674</v>
      </c>
      <c r="B1688" s="123" t="s">
        <v>527</v>
      </c>
      <c r="C1688" s="121"/>
      <c r="D1688" s="121"/>
      <c r="E1688" s="124">
        <f>+'[4]II-E-2'!$G$32</f>
        <v>300</v>
      </c>
      <c r="F1688" s="122"/>
    </row>
    <row r="1689" spans="1:6" x14ac:dyDescent="0.2">
      <c r="A1689" s="132">
        <v>1675</v>
      </c>
      <c r="B1689" s="123" t="s">
        <v>528</v>
      </c>
      <c r="C1689" s="121"/>
      <c r="D1689" s="121"/>
      <c r="E1689" s="125">
        <f>+'[4]II-E-2'!$I$32</f>
        <v>1800</v>
      </c>
      <c r="F1689" s="122"/>
    </row>
    <row r="1690" spans="1:6" x14ac:dyDescent="0.2">
      <c r="A1690" s="132">
        <v>1676</v>
      </c>
      <c r="B1690" s="120"/>
      <c r="C1690" s="121"/>
      <c r="D1690" s="121"/>
      <c r="E1690" s="124"/>
      <c r="F1690" s="122"/>
    </row>
    <row r="1691" spans="1:6" ht="13.5" thickBot="1" x14ac:dyDescent="0.25">
      <c r="A1691" s="132">
        <v>1677</v>
      </c>
      <c r="B1691" s="126" t="s">
        <v>529</v>
      </c>
      <c r="C1691" s="121"/>
      <c r="D1691" s="121"/>
      <c r="E1691" s="133">
        <f>+E1689-E1688</f>
        <v>1500</v>
      </c>
      <c r="F1691" s="127"/>
    </row>
    <row r="1692" spans="1:6" ht="13.5" thickTop="1" x14ac:dyDescent="0.2">
      <c r="A1692" s="132">
        <v>1678</v>
      </c>
      <c r="B1692" s="128"/>
      <c r="C1692" s="129"/>
      <c r="D1692" s="129"/>
      <c r="E1692" s="129"/>
      <c r="F1692" s="130"/>
    </row>
    <row r="1693" spans="1:6" x14ac:dyDescent="0.2">
      <c r="A1693" s="132">
        <v>1679</v>
      </c>
      <c r="B1693" s="121"/>
      <c r="C1693" s="121"/>
      <c r="D1693" s="121"/>
      <c r="E1693" s="121"/>
      <c r="F1693" s="121"/>
    </row>
    <row r="1694" spans="1:6" x14ac:dyDescent="0.2">
      <c r="A1694" s="132">
        <v>1680</v>
      </c>
    </row>
    <row r="1695" spans="1:6" x14ac:dyDescent="0.2">
      <c r="A1695" s="132">
        <v>1681</v>
      </c>
    </row>
    <row r="1696" spans="1:6" ht="13.5" thickBot="1" x14ac:dyDescent="0.25">
      <c r="A1696" s="132">
        <v>1682</v>
      </c>
      <c r="C1696" s="103" t="s">
        <v>322</v>
      </c>
      <c r="D1696" s="8" t="s">
        <v>15</v>
      </c>
      <c r="E1696" s="138">
        <f>+E1638+E1647+E1656+E1665+E1674+E1683+E1691</f>
        <v>40120343.340000018</v>
      </c>
    </row>
    <row r="1697" spans="1:6" ht="14.25" thickTop="1" thickBot="1" x14ac:dyDescent="0.25">
      <c r="A1697" s="132">
        <v>1683</v>
      </c>
    </row>
    <row r="1698" spans="1:6" ht="13.5" thickBot="1" x14ac:dyDescent="0.25">
      <c r="A1698" s="132">
        <v>1684</v>
      </c>
      <c r="B1698" s="115" t="s">
        <v>335</v>
      </c>
    </row>
    <row r="1699" spans="1:6" x14ac:dyDescent="0.2">
      <c r="A1699" s="132">
        <v>1685</v>
      </c>
    </row>
    <row r="1700" spans="1:6" x14ac:dyDescent="0.2">
      <c r="A1700" s="132">
        <v>1686</v>
      </c>
      <c r="B1700" s="131" t="s">
        <v>336</v>
      </c>
      <c r="C1700" s="117" t="s">
        <v>337</v>
      </c>
      <c r="D1700" s="117"/>
      <c r="E1700" s="118"/>
      <c r="F1700" s="119" t="s">
        <v>468</v>
      </c>
    </row>
    <row r="1701" spans="1:6" x14ac:dyDescent="0.2">
      <c r="A1701" s="132">
        <v>1687</v>
      </c>
      <c r="B1701" s="120"/>
      <c r="C1701" s="121"/>
      <c r="D1701" s="121"/>
      <c r="E1701" s="121"/>
      <c r="F1701" s="122"/>
    </row>
    <row r="1702" spans="1:6" x14ac:dyDescent="0.2">
      <c r="A1702" s="132">
        <v>1688</v>
      </c>
      <c r="B1702" s="120"/>
      <c r="C1702" s="121"/>
      <c r="D1702" s="121"/>
      <c r="E1702" s="121"/>
      <c r="F1702" s="122"/>
    </row>
    <row r="1703" spans="1:6" x14ac:dyDescent="0.2">
      <c r="A1703" s="132">
        <v>1689</v>
      </c>
      <c r="B1703" s="123" t="str">
        <f>CONCATENATE('[4]II-E-5'!$B$17," - ","Per Book - ",'[4]II-E-5'!$C$17)</f>
        <v>A442 - Per Book - Power Factor</v>
      </c>
      <c r="C1703" s="121"/>
      <c r="D1703" s="121"/>
      <c r="E1703" s="124">
        <f>+'[4]II-E-5'!$H$17</f>
        <v>0</v>
      </c>
      <c r="F1703" s="122"/>
    </row>
    <row r="1704" spans="1:6" x14ac:dyDescent="0.2">
      <c r="A1704" s="132">
        <v>1690</v>
      </c>
      <c r="B1704" s="123" t="str">
        <f>CONCATENATE('[4]II-E-5'!$B$17," - ","Requested - ",'[4]II-E-5'!$C$17)</f>
        <v>A442 - Requested - Power Factor</v>
      </c>
      <c r="C1704" s="121"/>
      <c r="D1704" s="121"/>
      <c r="E1704" s="125">
        <f>+'[4]II-E-5'!$J$17</f>
        <v>34378539</v>
      </c>
      <c r="F1704" s="122"/>
    </row>
    <row r="1705" spans="1:6" x14ac:dyDescent="0.2">
      <c r="A1705" s="132">
        <v>1691</v>
      </c>
      <c r="B1705" s="120"/>
      <c r="C1705" s="121"/>
      <c r="D1705" s="121"/>
      <c r="E1705" s="124"/>
      <c r="F1705" s="122"/>
    </row>
    <row r="1706" spans="1:6" ht="13.5" thickBot="1" x14ac:dyDescent="0.25">
      <c r="A1706" s="132">
        <v>1692</v>
      </c>
      <c r="B1706" s="126" t="str">
        <f>CONCATENATE(MID(B1703,1,4)," Adjustment")</f>
        <v>A442 Adjustment</v>
      </c>
      <c r="C1706" s="121"/>
      <c r="D1706" s="121"/>
      <c r="E1706" s="133">
        <f>+E1704-E1703</f>
        <v>34378539</v>
      </c>
      <c r="F1706" s="127"/>
    </row>
    <row r="1707" spans="1:6" ht="13.5" thickTop="1" x14ac:dyDescent="0.2">
      <c r="A1707" s="132">
        <v>1693</v>
      </c>
      <c r="B1707" s="128"/>
      <c r="C1707" s="129"/>
      <c r="D1707" s="129"/>
      <c r="E1707" s="129"/>
      <c r="F1707" s="130"/>
    </row>
    <row r="1708" spans="1:6" x14ac:dyDescent="0.2">
      <c r="A1708" s="132">
        <v>1694</v>
      </c>
    </row>
    <row r="1709" spans="1:6" x14ac:dyDescent="0.2">
      <c r="A1709" s="132">
        <v>1695</v>
      </c>
      <c r="B1709" s="131" t="s">
        <v>336</v>
      </c>
      <c r="C1709" s="117" t="s">
        <v>337</v>
      </c>
      <c r="D1709" s="117"/>
      <c r="E1709" s="118"/>
      <c r="F1709" s="119" t="s">
        <v>468</v>
      </c>
    </row>
    <row r="1710" spans="1:6" x14ac:dyDescent="0.2">
      <c r="A1710" s="132">
        <v>1696</v>
      </c>
      <c r="B1710" s="120"/>
      <c r="C1710" s="121"/>
      <c r="D1710" s="121"/>
      <c r="E1710" s="121"/>
      <c r="F1710" s="122"/>
    </row>
    <row r="1711" spans="1:6" x14ac:dyDescent="0.2">
      <c r="A1711" s="132">
        <v>1697</v>
      </c>
      <c r="B1711" s="120"/>
      <c r="C1711" s="121"/>
      <c r="D1711" s="121"/>
      <c r="E1711" s="121"/>
      <c r="F1711" s="122"/>
    </row>
    <row r="1712" spans="1:6" x14ac:dyDescent="0.2">
      <c r="A1712" s="132">
        <v>1698</v>
      </c>
      <c r="B1712" s="123" t="str">
        <f>CONCATENATE('[4]II-E-5'!$B$19," - ","Per Book - ",'[4]II-E-5'!$C$19)</f>
        <v>A450 - Per Book - System Resiliency Plan</v>
      </c>
      <c r="C1712" s="121"/>
      <c r="D1712" s="121"/>
      <c r="E1712" s="124">
        <f>+'[4]II-E-5'!$H$19</f>
        <v>1220691.1200000001</v>
      </c>
      <c r="F1712" s="122"/>
    </row>
    <row r="1713" spans="1:6" x14ac:dyDescent="0.2">
      <c r="A1713" s="132">
        <v>1699</v>
      </c>
      <c r="B1713" s="123" t="str">
        <f>CONCATENATE('[4]II-E-5'!$B$19," - ","Requested - ",'[4]II-E-5'!$C$19)</f>
        <v>A450 - Requested - System Resiliency Plan</v>
      </c>
      <c r="C1713" s="121"/>
      <c r="D1713" s="121"/>
      <c r="E1713" s="125">
        <f>+'[4]II-E-5'!$J$19</f>
        <v>0</v>
      </c>
      <c r="F1713" s="122"/>
    </row>
    <row r="1714" spans="1:6" x14ac:dyDescent="0.2">
      <c r="A1714" s="132">
        <v>1700</v>
      </c>
      <c r="B1714" s="120"/>
      <c r="C1714" s="121"/>
      <c r="D1714" s="121"/>
      <c r="E1714" s="124"/>
      <c r="F1714" s="122"/>
    </row>
    <row r="1715" spans="1:6" ht="13.5" thickBot="1" x14ac:dyDescent="0.25">
      <c r="A1715" s="132">
        <v>1701</v>
      </c>
      <c r="B1715" s="126" t="str">
        <f>CONCATENATE(MID(B1712,1,4)," Adjustment")</f>
        <v>A450 Adjustment</v>
      </c>
      <c r="C1715" s="121"/>
      <c r="D1715" s="121"/>
      <c r="E1715" s="133">
        <f>+E1713-E1712</f>
        <v>-1220691.1200000001</v>
      </c>
      <c r="F1715" s="127"/>
    </row>
    <row r="1716" spans="1:6" ht="13.5" thickTop="1" x14ac:dyDescent="0.2">
      <c r="A1716" s="132">
        <v>1702</v>
      </c>
      <c r="B1716" s="128"/>
      <c r="C1716" s="129"/>
      <c r="D1716" s="129"/>
      <c r="E1716" s="129"/>
      <c r="F1716" s="130"/>
    </row>
    <row r="1717" spans="1:6" x14ac:dyDescent="0.2">
      <c r="A1717" s="132">
        <v>1703</v>
      </c>
    </row>
    <row r="1718" spans="1:6" x14ac:dyDescent="0.2">
      <c r="A1718" s="132">
        <v>1704</v>
      </c>
      <c r="B1718" s="131" t="s">
        <v>336</v>
      </c>
      <c r="C1718" s="117" t="s">
        <v>337</v>
      </c>
      <c r="D1718" s="117"/>
      <c r="E1718" s="118"/>
      <c r="F1718" s="119" t="s">
        <v>468</v>
      </c>
    </row>
    <row r="1719" spans="1:6" x14ac:dyDescent="0.2">
      <c r="A1719" s="132">
        <v>1705</v>
      </c>
      <c r="B1719" s="120"/>
      <c r="C1719" s="121"/>
      <c r="D1719" s="121"/>
      <c r="E1719" s="121"/>
      <c r="F1719" s="122"/>
    </row>
    <row r="1720" spans="1:6" x14ac:dyDescent="0.2">
      <c r="A1720" s="132">
        <v>1706</v>
      </c>
      <c r="B1720" s="120"/>
      <c r="C1720" s="121"/>
      <c r="D1720" s="121"/>
      <c r="E1720" s="121"/>
      <c r="F1720" s="122"/>
    </row>
    <row r="1721" spans="1:6" x14ac:dyDescent="0.2">
      <c r="A1721" s="132">
        <v>1707</v>
      </c>
      <c r="B1721" s="123" t="str">
        <f>CONCATENATE('[4]II-E-5'!$B$20," - ","Per Book - ",'[4]II-E-5'!$C$20)</f>
        <v>A451 - Per Book - Misc. Service Revenues - Discretionary</v>
      </c>
      <c r="C1721" s="121"/>
      <c r="D1721" s="121"/>
      <c r="E1721" s="124">
        <f>+'[4]II-E-5'!$H$20</f>
        <v>26594344.41</v>
      </c>
      <c r="F1721" s="122"/>
    </row>
    <row r="1722" spans="1:6" x14ac:dyDescent="0.2">
      <c r="A1722" s="132">
        <v>1708</v>
      </c>
      <c r="B1722" s="123" t="str">
        <f>CONCATENATE('[4]II-E-5'!$B$20," - ","Requested - ",'[4]II-E-5'!$C$20)</f>
        <v>A451 - Requested - Misc. Service Revenues - Discretionary</v>
      </c>
      <c r="C1722" s="121"/>
      <c r="D1722" s="121"/>
      <c r="E1722" s="125">
        <f>+'[4]II-E-5'!$J$20</f>
        <v>27807695</v>
      </c>
      <c r="F1722" s="122"/>
    </row>
    <row r="1723" spans="1:6" x14ac:dyDescent="0.2">
      <c r="A1723" s="132">
        <v>1709</v>
      </c>
      <c r="B1723" s="120"/>
      <c r="C1723" s="121"/>
      <c r="D1723" s="121"/>
      <c r="E1723" s="124"/>
      <c r="F1723" s="122"/>
    </row>
    <row r="1724" spans="1:6" ht="13.5" thickBot="1" x14ac:dyDescent="0.25">
      <c r="A1724" s="132">
        <v>1710</v>
      </c>
      <c r="B1724" s="126" t="str">
        <f>CONCATENATE(MID(B1721,1,4)," Adjustment")</f>
        <v>A451 Adjustment</v>
      </c>
      <c r="C1724" s="121"/>
      <c r="D1724" s="121"/>
      <c r="E1724" s="133">
        <f>+E1722-E1721</f>
        <v>1213350.5899999999</v>
      </c>
      <c r="F1724" s="127"/>
    </row>
    <row r="1725" spans="1:6" ht="13.5" thickTop="1" x14ac:dyDescent="0.2">
      <c r="A1725" s="132">
        <v>1711</v>
      </c>
      <c r="B1725" s="128"/>
      <c r="C1725" s="129"/>
      <c r="D1725" s="129"/>
      <c r="E1725" s="129"/>
      <c r="F1725" s="130"/>
    </row>
    <row r="1726" spans="1:6" x14ac:dyDescent="0.2">
      <c r="A1726" s="132">
        <v>1712</v>
      </c>
    </row>
    <row r="1727" spans="1:6" x14ac:dyDescent="0.2">
      <c r="A1727" s="132">
        <v>1713</v>
      </c>
      <c r="B1727" s="131" t="s">
        <v>336</v>
      </c>
      <c r="C1727" s="117" t="s">
        <v>337</v>
      </c>
      <c r="D1727" s="117"/>
      <c r="E1727" s="118"/>
      <c r="F1727" s="119" t="s">
        <v>468</v>
      </c>
    </row>
    <row r="1728" spans="1:6" x14ac:dyDescent="0.2">
      <c r="A1728" s="132">
        <v>1714</v>
      </c>
      <c r="B1728" s="120"/>
      <c r="C1728" s="121"/>
      <c r="D1728" s="121"/>
      <c r="E1728" s="121"/>
      <c r="F1728" s="122"/>
    </row>
    <row r="1729" spans="1:6" x14ac:dyDescent="0.2">
      <c r="A1729" s="132">
        <v>1715</v>
      </c>
      <c r="B1729" s="120"/>
      <c r="C1729" s="121"/>
      <c r="D1729" s="121"/>
      <c r="E1729" s="121"/>
      <c r="F1729" s="122"/>
    </row>
    <row r="1730" spans="1:6" x14ac:dyDescent="0.2">
      <c r="A1730" s="132">
        <v>1716</v>
      </c>
      <c r="B1730" s="123" t="s">
        <v>521</v>
      </c>
      <c r="C1730" s="121"/>
      <c r="D1730" s="121"/>
      <c r="E1730" s="124">
        <f>+'[4]II-E-5'!$H$27</f>
        <v>122416.24000000002</v>
      </c>
      <c r="F1730" s="122"/>
    </row>
    <row r="1731" spans="1:6" x14ac:dyDescent="0.2">
      <c r="A1731" s="132">
        <v>1717</v>
      </c>
      <c r="B1731" s="123" t="s">
        <v>522</v>
      </c>
      <c r="C1731" s="121"/>
      <c r="D1731" s="121"/>
      <c r="E1731" s="125">
        <f>+'[4]II-E-5'!$J$27</f>
        <v>369308.58</v>
      </c>
      <c r="F1731" s="122"/>
    </row>
    <row r="1732" spans="1:6" x14ac:dyDescent="0.2">
      <c r="A1732" s="132">
        <v>1718</v>
      </c>
      <c r="B1732" s="120"/>
      <c r="C1732" s="121"/>
      <c r="D1732" s="121"/>
      <c r="E1732" s="124"/>
      <c r="F1732" s="122"/>
    </row>
    <row r="1733" spans="1:6" ht="13.5" thickBot="1" x14ac:dyDescent="0.25">
      <c r="A1733" s="132">
        <v>1719</v>
      </c>
      <c r="B1733" s="126" t="str">
        <f>CONCATENATE(MID(B1730,1,4)," Adjustment")</f>
        <v>A454 Adjustment</v>
      </c>
      <c r="C1733" s="121"/>
      <c r="D1733" s="121"/>
      <c r="E1733" s="133">
        <f>+E1731-E1730</f>
        <v>246892.34</v>
      </c>
      <c r="F1733" s="127"/>
    </row>
    <row r="1734" spans="1:6" ht="13.5" thickTop="1" x14ac:dyDescent="0.2">
      <c r="A1734" s="132">
        <v>1720</v>
      </c>
      <c r="B1734" s="128"/>
      <c r="C1734" s="129"/>
      <c r="D1734" s="129"/>
      <c r="E1734" s="129"/>
      <c r="F1734" s="130"/>
    </row>
    <row r="1735" spans="1:6" x14ac:dyDescent="0.2">
      <c r="A1735" s="132">
        <v>1721</v>
      </c>
    </row>
    <row r="1736" spans="1:6" x14ac:dyDescent="0.2">
      <c r="A1736" s="132">
        <v>1722</v>
      </c>
      <c r="B1736" s="131" t="s">
        <v>336</v>
      </c>
      <c r="C1736" s="117" t="s">
        <v>337</v>
      </c>
      <c r="D1736" s="117"/>
      <c r="E1736" s="118"/>
      <c r="F1736" s="119" t="s">
        <v>468</v>
      </c>
    </row>
    <row r="1737" spans="1:6" x14ac:dyDescent="0.2">
      <c r="A1737" s="132">
        <v>1723</v>
      </c>
      <c r="B1737" s="120"/>
      <c r="C1737" s="121"/>
      <c r="D1737" s="121"/>
      <c r="E1737" s="121"/>
      <c r="F1737" s="122"/>
    </row>
    <row r="1738" spans="1:6" x14ac:dyDescent="0.2">
      <c r="A1738" s="132">
        <v>1724</v>
      </c>
      <c r="B1738" s="120"/>
      <c r="C1738" s="121"/>
      <c r="D1738" s="121"/>
      <c r="E1738" s="121"/>
      <c r="F1738" s="122"/>
    </row>
    <row r="1739" spans="1:6" x14ac:dyDescent="0.2">
      <c r="A1739" s="132">
        <v>1725</v>
      </c>
      <c r="B1739" s="123" t="s">
        <v>338</v>
      </c>
      <c r="C1739" s="121"/>
      <c r="D1739" s="121"/>
      <c r="E1739" s="124">
        <f>+'[4]II-E-5'!$H$29</f>
        <v>36438754.820000008</v>
      </c>
      <c r="F1739" s="122"/>
    </row>
    <row r="1740" spans="1:6" x14ac:dyDescent="0.2">
      <c r="A1740" s="132">
        <v>1726</v>
      </c>
      <c r="B1740" s="123" t="s">
        <v>339</v>
      </c>
      <c r="C1740" s="121"/>
      <c r="D1740" s="121"/>
      <c r="E1740" s="125">
        <f>+'[4]II-E-5'!$J$29</f>
        <v>34783138.140000008</v>
      </c>
      <c r="F1740" s="122"/>
    </row>
    <row r="1741" spans="1:6" x14ac:dyDescent="0.2">
      <c r="A1741" s="132">
        <v>1727</v>
      </c>
      <c r="B1741" s="120"/>
      <c r="C1741" s="121"/>
      <c r="D1741" s="121"/>
      <c r="E1741" s="124"/>
      <c r="F1741" s="122"/>
    </row>
    <row r="1742" spans="1:6" ht="13.5" thickBot="1" x14ac:dyDescent="0.25">
      <c r="A1742" s="132">
        <v>1728</v>
      </c>
      <c r="B1742" s="126" t="str">
        <f>CONCATENATE(MID(B1739,1,4)," Adjustment")</f>
        <v>A456 Adjustment</v>
      </c>
      <c r="C1742" s="121"/>
      <c r="D1742" s="121"/>
      <c r="E1742" s="133">
        <f>+E1740-E1739</f>
        <v>-1655616.6799999997</v>
      </c>
      <c r="F1742" s="127"/>
    </row>
    <row r="1743" spans="1:6" ht="13.5" thickTop="1" x14ac:dyDescent="0.2">
      <c r="A1743" s="132">
        <v>1729</v>
      </c>
      <c r="B1743" s="128"/>
      <c r="C1743" s="129"/>
      <c r="D1743" s="129"/>
      <c r="E1743" s="129"/>
      <c r="F1743" s="130"/>
    </row>
    <row r="1744" spans="1:6" x14ac:dyDescent="0.2">
      <c r="A1744" s="132">
        <v>1730</v>
      </c>
    </row>
    <row r="1745" spans="1:6" x14ac:dyDescent="0.2">
      <c r="A1745" s="132">
        <v>1731</v>
      </c>
    </row>
    <row r="1746" spans="1:6" ht="13.5" thickBot="1" x14ac:dyDescent="0.25">
      <c r="A1746" s="132">
        <v>1732</v>
      </c>
      <c r="C1746" s="103" t="s">
        <v>337</v>
      </c>
      <c r="D1746" s="135" t="s">
        <v>335</v>
      </c>
      <c r="E1746" s="138">
        <f>+E1706+E1715+E1724+E1733+E1742</f>
        <v>32962474.130000003</v>
      </c>
    </row>
    <row r="1747" spans="1:6" ht="14.25" thickTop="1" thickBot="1" x14ac:dyDescent="0.25">
      <c r="A1747" s="132">
        <v>1733</v>
      </c>
    </row>
    <row r="1748" spans="1:6" ht="13.5" thickBot="1" x14ac:dyDescent="0.25">
      <c r="A1748" s="132">
        <v>1734</v>
      </c>
      <c r="B1748" s="115" t="s">
        <v>340</v>
      </c>
    </row>
    <row r="1749" spans="1:6" x14ac:dyDescent="0.2">
      <c r="A1749" s="132">
        <v>1735</v>
      </c>
    </row>
    <row r="1750" spans="1:6" x14ac:dyDescent="0.2">
      <c r="A1750" s="132">
        <v>1736</v>
      </c>
      <c r="B1750" s="131" t="s">
        <v>341</v>
      </c>
      <c r="C1750" s="117" t="s">
        <v>342</v>
      </c>
      <c r="D1750" s="117"/>
      <c r="E1750" s="118"/>
      <c r="F1750" s="119" t="s">
        <v>83</v>
      </c>
    </row>
    <row r="1751" spans="1:6" x14ac:dyDescent="0.2">
      <c r="A1751" s="132">
        <v>1737</v>
      </c>
      <c r="B1751" s="120"/>
      <c r="C1751" s="121"/>
      <c r="D1751" s="121"/>
      <c r="E1751" s="121"/>
      <c r="F1751" s="122"/>
    </row>
    <row r="1752" spans="1:6" x14ac:dyDescent="0.2">
      <c r="A1752" s="132">
        <v>1738</v>
      </c>
      <c r="B1752" s="120"/>
      <c r="C1752" s="121"/>
      <c r="D1752" s="121"/>
      <c r="E1752" s="121"/>
      <c r="F1752" s="122"/>
    </row>
    <row r="1753" spans="1:6" x14ac:dyDescent="0.2">
      <c r="A1753" s="132">
        <v>1739</v>
      </c>
      <c r="B1753" s="123" t="str">
        <f>CONCATENATE("Per Book - ",'[4]II-E-3'!C17)</f>
        <v>Per Book - Return on Rate Base</v>
      </c>
      <c r="C1753" s="121"/>
      <c r="D1753" s="121"/>
      <c r="E1753" s="124">
        <f>+'[4]II-E-3'!$G$17</f>
        <v>1555644227.1300001</v>
      </c>
      <c r="F1753" s="122"/>
    </row>
    <row r="1754" spans="1:6" x14ac:dyDescent="0.2">
      <c r="A1754" s="132">
        <v>1740</v>
      </c>
      <c r="B1754" s="123" t="str">
        <f>CONCATENATE("Per Book - ",'[4]II-E-3'!C20)</f>
        <v>Per Book - Synchronized Interest</v>
      </c>
      <c r="C1754" s="121"/>
      <c r="D1754" s="121"/>
      <c r="E1754" s="125">
        <f>+'[4]II-E-3'!$G$20</f>
        <v>653540734.52999997</v>
      </c>
      <c r="F1754" s="122"/>
    </row>
    <row r="1755" spans="1:6" x14ac:dyDescent="0.2">
      <c r="A1755" s="132">
        <v>1741</v>
      </c>
      <c r="B1755" s="123" t="str">
        <f>CONCATENATE("Per Book - ",'[4]II-E-3'!C21)</f>
        <v>Per Book - ITC Amortization</v>
      </c>
      <c r="C1755" s="121"/>
      <c r="D1755" s="121"/>
      <c r="E1755" s="125">
        <f>+'[4]II-E-3'!$G$21</f>
        <v>479524.92</v>
      </c>
      <c r="F1755" s="122"/>
    </row>
    <row r="1756" spans="1:6" x14ac:dyDescent="0.2">
      <c r="A1756" s="132">
        <v>1742</v>
      </c>
      <c r="B1756" s="123" t="str">
        <f>CONCATENATE("Per Book - ",'[4]II-E-3'!C22)</f>
        <v>Per Book - Amortization of Protected Excess ADFIT</v>
      </c>
      <c r="C1756" s="121"/>
      <c r="D1756" s="121"/>
      <c r="E1756" s="125">
        <f>+'[4]II-E-3'!$G$22</f>
        <v>16233756.41</v>
      </c>
      <c r="F1756" s="122"/>
    </row>
    <row r="1757" spans="1:6" x14ac:dyDescent="0.2">
      <c r="A1757" s="132">
        <v>1743</v>
      </c>
      <c r="B1757" s="123" t="str">
        <f>CONCATENATE("Per Book - ",'[4]II-E-3'!C23)</f>
        <v>Per Book - Amortization of Non-protected Excess ADFIT</v>
      </c>
      <c r="C1757" s="121"/>
      <c r="D1757" s="121"/>
      <c r="E1757" s="125">
        <f>+'[4]II-E-3'!$G$23</f>
        <v>36089813.840000004</v>
      </c>
      <c r="F1757" s="122"/>
    </row>
    <row r="1758" spans="1:6" x14ac:dyDescent="0.2">
      <c r="A1758" s="132">
        <v>1744</v>
      </c>
      <c r="B1758" s="123" t="str">
        <f>CONCATENATE("Per Book - ",'[4]II-E-3'!C24)</f>
        <v>Per Book - Amortization of Excess ADFIT Reserve</v>
      </c>
      <c r="C1758" s="121"/>
      <c r="D1758" s="121"/>
      <c r="E1758" s="125">
        <f>+'[4]II-E-3'!$G$24</f>
        <v>-1608928.6</v>
      </c>
      <c r="F1758" s="122"/>
    </row>
    <row r="1759" spans="1:6" x14ac:dyDescent="0.2">
      <c r="A1759" s="132">
        <v>1745</v>
      </c>
      <c r="B1759" s="123" t="str">
        <f>CONCATENATE("Per Book - ",'[4]II-E-3'!C32)</f>
        <v>Per Book - Social Club Dues</v>
      </c>
      <c r="C1759" s="121"/>
      <c r="D1759" s="121"/>
      <c r="E1759" s="125">
        <f>+'[4]II-E-3'!$G$32</f>
        <v>267483.76</v>
      </c>
      <c r="F1759" s="122"/>
    </row>
    <row r="1760" spans="1:6" x14ac:dyDescent="0.2">
      <c r="A1760" s="132">
        <v>1746</v>
      </c>
      <c r="B1760" s="123" t="str">
        <f>CONCATENATE("Per Book - ",'[4]II-E-3'!C34)</f>
        <v>Per Book - Employee Compensation Plans</v>
      </c>
      <c r="C1760" s="121"/>
      <c r="D1760" s="121"/>
      <c r="E1760" s="125">
        <f>+'[4]II-E-3'!$G$34</f>
        <v>-8505119.0000000019</v>
      </c>
      <c r="F1760" s="122"/>
    </row>
    <row r="1761" spans="1:6" x14ac:dyDescent="0.2">
      <c r="A1761" s="132">
        <v>1747</v>
      </c>
      <c r="B1761" s="123" t="str">
        <f>CONCATENATE("Per Book - ",'[4]II-E-3'!C35)</f>
        <v>Per Book - FIN 48 Tax and Interest</v>
      </c>
      <c r="C1761" s="121"/>
      <c r="D1761" s="121"/>
      <c r="E1761" s="125">
        <f>+'[4]II-E-3'!$G$35</f>
        <v>-19042</v>
      </c>
      <c r="F1761" s="122"/>
    </row>
    <row r="1762" spans="1:6" x14ac:dyDescent="0.2">
      <c r="A1762" s="132">
        <v>1748</v>
      </c>
      <c r="B1762" s="123" t="str">
        <f>CONCATENATE("Per Book - ",'[4]II-E-3'!C36)</f>
        <v>Per Book - Prior Period Adjustments</v>
      </c>
      <c r="C1762" s="121"/>
      <c r="D1762" s="121"/>
      <c r="E1762" s="125">
        <f>+'[4]II-E-3'!$G$36</f>
        <v>856722.03</v>
      </c>
      <c r="F1762" s="122"/>
    </row>
    <row r="1763" spans="1:6" x14ac:dyDescent="0.2">
      <c r="A1763" s="132">
        <v>1749</v>
      </c>
      <c r="B1763" s="123" t="str">
        <f>CONCATENATE("Per Book - ",'[4]II-E-3'!C44)</f>
        <v>Per Book - ITC Amortization</v>
      </c>
      <c r="C1763" s="121"/>
      <c r="D1763" s="121"/>
      <c r="E1763" s="125">
        <f>+'[4]II-E-3'!$G$44</f>
        <v>479524.92</v>
      </c>
      <c r="F1763" s="122"/>
    </row>
    <row r="1764" spans="1:6" x14ac:dyDescent="0.2">
      <c r="A1764" s="132">
        <v>1750</v>
      </c>
      <c r="B1764" s="123" t="str">
        <f>CONCATENATE("Per Book - ",'[4]II-E-3'!C45)</f>
        <v>Per Book - Amortization of Protected Excess ADFIT</v>
      </c>
      <c r="C1764" s="121"/>
      <c r="D1764" s="121"/>
      <c r="E1764" s="125">
        <f>+'[4]II-E-3'!$G$45</f>
        <v>16233756.41</v>
      </c>
      <c r="F1764" s="122"/>
    </row>
    <row r="1765" spans="1:6" x14ac:dyDescent="0.2">
      <c r="A1765" s="132">
        <v>1751</v>
      </c>
      <c r="B1765" s="123" t="str">
        <f>CONCATENATE("Per Book - ",'[4]II-E-3'!C46)</f>
        <v>Per Book - Amortization of Non-protected Excess ADFIT</v>
      </c>
      <c r="C1765" s="121"/>
      <c r="D1765" s="121"/>
      <c r="E1765" s="125">
        <f>+'[4]II-E-3'!$G$46</f>
        <v>36089813.840000004</v>
      </c>
      <c r="F1765" s="122"/>
    </row>
    <row r="1766" spans="1:6" x14ac:dyDescent="0.2">
      <c r="A1766" s="132">
        <v>1752</v>
      </c>
      <c r="B1766" s="123" t="str">
        <f>CONCATENATE("Per Book - ",'[4]II-E-3'!C47)</f>
        <v>Per Book - Amortization of Excess ADFIT Reserve</v>
      </c>
      <c r="C1766" s="121"/>
      <c r="D1766" s="121"/>
      <c r="E1766" s="125">
        <f>+'[4]II-E-3'!$G$47</f>
        <v>-1608928.6</v>
      </c>
      <c r="F1766" s="122"/>
    </row>
    <row r="1767" spans="1:6" x14ac:dyDescent="0.2">
      <c r="A1767" s="132">
        <v>1753</v>
      </c>
      <c r="B1767" s="123" t="str">
        <f>CONCATENATE("Per Book - ",'[4]II-E-3'!C52)</f>
        <v>Per Book - FIN 48 Tax and  Interest</v>
      </c>
      <c r="C1767" s="121"/>
      <c r="D1767" s="121"/>
      <c r="E1767" s="125">
        <f>+'[4]II-E-3'!$G$52</f>
        <v>-19042</v>
      </c>
      <c r="F1767" s="122"/>
    </row>
    <row r="1768" spans="1:6" x14ac:dyDescent="0.2">
      <c r="A1768" s="132">
        <v>1754</v>
      </c>
      <c r="B1768" s="123" t="str">
        <f>CONCATENATE("Per Book - ",'[4]II-E-3'!C53)</f>
        <v>Per Book - Prior Period Adjustments</v>
      </c>
      <c r="C1768" s="121"/>
      <c r="D1768" s="121"/>
      <c r="E1768" s="125">
        <f>+'[4]II-E-3'!$G$53</f>
        <v>856722.03</v>
      </c>
      <c r="F1768" s="122"/>
    </row>
    <row r="1769" spans="1:6" x14ac:dyDescent="0.2">
      <c r="A1769" s="132">
        <v>1755</v>
      </c>
      <c r="B1769" s="123"/>
      <c r="C1769" s="121"/>
      <c r="D1769" s="121"/>
      <c r="E1769" s="124"/>
      <c r="F1769" s="122"/>
    </row>
    <row r="1770" spans="1:6" x14ac:dyDescent="0.2">
      <c r="A1770" s="132">
        <v>1756</v>
      </c>
      <c r="B1770" s="123" t="str">
        <f>CONCATENATE("Requested - ",'[4]II-E-3'!C17)</f>
        <v>Requested - Return on Rate Base</v>
      </c>
      <c r="C1770" s="121"/>
      <c r="D1770" s="121"/>
      <c r="E1770" s="124">
        <f>+'[4]II-E-3'!$I$17</f>
        <v>1976714756.0800002</v>
      </c>
      <c r="F1770" s="122"/>
    </row>
    <row r="1771" spans="1:6" x14ac:dyDescent="0.2">
      <c r="A1771" s="132">
        <v>1757</v>
      </c>
      <c r="B1771" s="123" t="str">
        <f>CONCATENATE("Requested - ",'[4]II-E-3'!C20)</f>
        <v>Requested - Synchronized Interest</v>
      </c>
      <c r="C1771" s="121"/>
      <c r="D1771" s="121"/>
      <c r="E1771" s="125">
        <f>+'[4]II-E-3'!$I$20</f>
        <v>719767622.02999997</v>
      </c>
      <c r="F1771" s="122"/>
    </row>
    <row r="1772" spans="1:6" x14ac:dyDescent="0.2">
      <c r="A1772" s="132">
        <v>1758</v>
      </c>
      <c r="B1772" s="123" t="str">
        <f>CONCATENATE("Requested - ",'[4]II-E-3'!C21)</f>
        <v>Requested - ITC Amortization</v>
      </c>
      <c r="C1772" s="121"/>
      <c r="D1772" s="121"/>
      <c r="E1772" s="125">
        <f>+'[4]II-E-3'!$I$21</f>
        <v>485229.49</v>
      </c>
      <c r="F1772" s="122"/>
    </row>
    <row r="1773" spans="1:6" x14ac:dyDescent="0.2">
      <c r="A1773" s="132">
        <v>1759</v>
      </c>
      <c r="B1773" s="123" t="str">
        <f>CONCATENATE("Requested - ",'[4]II-E-3'!C22)</f>
        <v>Requested - Amortization of Protected Excess ADFIT</v>
      </c>
      <c r="C1773" s="121"/>
      <c r="D1773" s="121"/>
      <c r="E1773" s="125">
        <f>+'[4]II-E-3'!$I$22</f>
        <v>17271740.120000001</v>
      </c>
      <c r="F1773" s="122"/>
    </row>
    <row r="1774" spans="1:6" x14ac:dyDescent="0.2">
      <c r="A1774" s="132">
        <v>1760</v>
      </c>
      <c r="B1774" s="123" t="str">
        <f>CONCATENATE("Requested - ",'[4]II-E-3'!C23)</f>
        <v>Requested - Amortization of Non-protected Excess ADFIT</v>
      </c>
      <c r="C1774" s="121"/>
      <c r="D1774" s="121"/>
      <c r="E1774" s="125">
        <f>+'[4]II-E-3'!$I$23</f>
        <v>32588176.080000006</v>
      </c>
      <c r="F1774" s="122"/>
    </row>
    <row r="1775" spans="1:6" x14ac:dyDescent="0.2">
      <c r="A1775" s="132">
        <v>1761</v>
      </c>
      <c r="B1775" s="123" t="str">
        <f>CONCATENATE("Requested - ",'[4]II-E-3'!C24)</f>
        <v>Requested - Amortization of Excess ADFIT Reserve</v>
      </c>
      <c r="C1775" s="121"/>
      <c r="D1775" s="121"/>
      <c r="E1775" s="125">
        <f>+'[4]II-E-3'!$I$24</f>
        <v>-3947398.3800000004</v>
      </c>
      <c r="F1775" s="122"/>
    </row>
    <row r="1776" spans="1:6" x14ac:dyDescent="0.2">
      <c r="A1776" s="132">
        <v>1762</v>
      </c>
      <c r="B1776" s="123" t="str">
        <f>CONCATENATE("Requested - ",'[4]II-E-3'!C32)</f>
        <v>Requested - Social Club Dues</v>
      </c>
      <c r="C1776" s="121"/>
      <c r="D1776" s="121"/>
      <c r="E1776" s="125">
        <f>+'[4]II-E-3'!$I$32</f>
        <v>0</v>
      </c>
      <c r="F1776" s="122"/>
    </row>
    <row r="1777" spans="1:7" x14ac:dyDescent="0.2">
      <c r="A1777" s="132">
        <v>1763</v>
      </c>
      <c r="B1777" s="123" t="str">
        <f>CONCATENATE("Requested - ",'[4]II-E-3'!C34)</f>
        <v>Requested - Employee Compensation Plans</v>
      </c>
      <c r="C1777" s="121"/>
      <c r="D1777" s="121"/>
      <c r="E1777" s="125">
        <f>+'[4]II-E-3'!$I$34</f>
        <v>-14221770.000000002</v>
      </c>
      <c r="F1777" s="122"/>
    </row>
    <row r="1778" spans="1:7" x14ac:dyDescent="0.2">
      <c r="A1778" s="132">
        <v>1764</v>
      </c>
      <c r="B1778" s="123" t="str">
        <f>CONCATENATE("Requested - ",'[4]II-E-3'!C35)</f>
        <v>Requested - FIN 48 Tax and Interest</v>
      </c>
      <c r="C1778" s="121"/>
      <c r="D1778" s="121"/>
      <c r="E1778" s="125">
        <f>+'[4]II-E-3'!$I$35</f>
        <v>0</v>
      </c>
      <c r="F1778" s="122"/>
    </row>
    <row r="1779" spans="1:7" x14ac:dyDescent="0.2">
      <c r="A1779" s="132">
        <v>1765</v>
      </c>
      <c r="B1779" s="123" t="str">
        <f>CONCATENATE("Requested - ",'[4]II-E-3'!C36)</f>
        <v>Requested - Prior Period Adjustments</v>
      </c>
      <c r="C1779" s="121"/>
      <c r="D1779" s="121"/>
      <c r="E1779" s="125">
        <f>+'[4]II-E-3'!$I$36</f>
        <v>0</v>
      </c>
      <c r="F1779" s="122"/>
    </row>
    <row r="1780" spans="1:7" x14ac:dyDescent="0.2">
      <c r="A1780" s="132">
        <v>1766</v>
      </c>
      <c r="B1780" s="123" t="str">
        <f>CONCATENATE("Requested - ",'[4]II-E-3'!C44)</f>
        <v>Requested - ITC Amortization</v>
      </c>
      <c r="C1780" s="121"/>
      <c r="D1780" s="121"/>
      <c r="E1780" s="125">
        <f>+'[4]II-E-3'!$I$44</f>
        <v>485229.49</v>
      </c>
      <c r="F1780" s="122"/>
    </row>
    <row r="1781" spans="1:7" x14ac:dyDescent="0.2">
      <c r="A1781" s="132">
        <v>1767</v>
      </c>
      <c r="B1781" s="123" t="str">
        <f>CONCATENATE("Requested - ",'[4]II-E-3'!C45)</f>
        <v>Requested - Amortization of Protected Excess ADFIT</v>
      </c>
      <c r="C1781" s="121"/>
      <c r="D1781" s="121"/>
      <c r="E1781" s="125">
        <f>+'[4]II-E-3'!$I$45</f>
        <v>17271740.120000001</v>
      </c>
      <c r="F1781" s="122"/>
    </row>
    <row r="1782" spans="1:7" x14ac:dyDescent="0.2">
      <c r="A1782" s="132">
        <v>1768</v>
      </c>
      <c r="B1782" s="123" t="str">
        <f>CONCATENATE("Requested - ",'[4]II-E-3'!C46)</f>
        <v>Requested - Amortization of Non-protected Excess ADFIT</v>
      </c>
      <c r="C1782" s="121"/>
      <c r="D1782" s="121"/>
      <c r="E1782" s="125">
        <f>+'[4]II-E-3'!$I$46</f>
        <v>32588176.080000006</v>
      </c>
      <c r="F1782" s="122"/>
    </row>
    <row r="1783" spans="1:7" x14ac:dyDescent="0.2">
      <c r="A1783" s="132">
        <v>1769</v>
      </c>
      <c r="B1783" s="123" t="str">
        <f>CONCATENATE("Requested - ",'[4]II-E-3'!C47)</f>
        <v>Requested - Amortization of Excess ADFIT Reserve</v>
      </c>
      <c r="C1783" s="121"/>
      <c r="D1783" s="121"/>
      <c r="E1783" s="125">
        <f>+'[4]II-E-3'!$I$47</f>
        <v>-3947398.3800000004</v>
      </c>
      <c r="F1783" s="122"/>
    </row>
    <row r="1784" spans="1:7" x14ac:dyDescent="0.2">
      <c r="A1784" s="132">
        <v>1770</v>
      </c>
      <c r="B1784" s="123" t="str">
        <f>CONCATENATE("Requested - ",'[4]II-E-3'!C52)</f>
        <v>Requested - FIN 48 Tax and  Interest</v>
      </c>
      <c r="C1784" s="121"/>
      <c r="D1784" s="121"/>
      <c r="E1784" s="125">
        <f>+'[4]II-E-3'!$I$52</f>
        <v>0</v>
      </c>
      <c r="F1784" s="122"/>
    </row>
    <row r="1785" spans="1:7" x14ac:dyDescent="0.2">
      <c r="A1785" s="132">
        <v>1771</v>
      </c>
      <c r="B1785" s="123" t="str">
        <f>CONCATENATE("Requested - ",'[4]II-E-3'!C53)</f>
        <v>Requested - Prior Period Adjustments</v>
      </c>
      <c r="C1785" s="121"/>
      <c r="D1785" s="121"/>
      <c r="E1785" s="125">
        <f>+'[4]II-E-3'!$I$53</f>
        <v>0</v>
      </c>
      <c r="F1785" s="122"/>
    </row>
    <row r="1786" spans="1:7" x14ac:dyDescent="0.2">
      <c r="A1786" s="132">
        <v>1772</v>
      </c>
      <c r="B1786" s="123"/>
      <c r="C1786" s="165" t="s">
        <v>523</v>
      </c>
      <c r="D1786" s="121"/>
      <c r="E1786" s="124"/>
      <c r="F1786" s="122"/>
    </row>
    <row r="1787" spans="1:7" x14ac:dyDescent="0.2">
      <c r="A1787" s="132">
        <v>1773</v>
      </c>
      <c r="B1787" s="126" t="str">
        <f>CONCATENATE("Adjusted ",'[4]II-E-3'!C17)</f>
        <v>Adjusted Return on Rate Base</v>
      </c>
      <c r="C1787" s="166">
        <f>+'[4]II-E-3'!$H$39</f>
        <v>0.26582278481012656</v>
      </c>
      <c r="D1787" s="121"/>
      <c r="E1787" s="124">
        <f>ROUND((+E1770-E1753)*$C$1787,2)</f>
        <v>111930140.61</v>
      </c>
      <c r="F1787" s="122"/>
      <c r="G1787" s="146"/>
    </row>
    <row r="1788" spans="1:7" x14ac:dyDescent="0.2">
      <c r="A1788" s="132">
        <v>1774</v>
      </c>
      <c r="B1788" s="126" t="str">
        <f>CONCATENATE("Adjusted ",'[4]II-E-3'!C20)</f>
        <v>Adjusted Synchronized Interest</v>
      </c>
      <c r="C1788" s="121"/>
      <c r="D1788" s="121"/>
      <c r="E1788" s="125">
        <f t="shared" ref="E1788:E1796" si="0">ROUND((+E1771-E1754)*$C$1787,2)</f>
        <v>17604615.66</v>
      </c>
      <c r="F1788" s="122"/>
    </row>
    <row r="1789" spans="1:7" x14ac:dyDescent="0.2">
      <c r="A1789" s="132">
        <v>1775</v>
      </c>
      <c r="B1789" s="126" t="str">
        <f>CONCATENATE("Adjusted ",'[4]II-E-3'!C21)</f>
        <v>Adjusted ITC Amortization</v>
      </c>
      <c r="C1789" s="121"/>
      <c r="D1789" s="121"/>
      <c r="E1789" s="125">
        <f t="shared" si="0"/>
        <v>1516.4</v>
      </c>
      <c r="F1789" s="122"/>
    </row>
    <row r="1790" spans="1:7" x14ac:dyDescent="0.2">
      <c r="A1790" s="132">
        <v>1776</v>
      </c>
      <c r="B1790" s="126" t="str">
        <f>CONCATENATE("Adjusted ",'[4]II-E-3'!C22)</f>
        <v>Adjusted Amortization of Protected Excess ADFIT</v>
      </c>
      <c r="C1790" s="121"/>
      <c r="D1790" s="121"/>
      <c r="E1790" s="125">
        <f t="shared" si="0"/>
        <v>275919.71999999997</v>
      </c>
      <c r="F1790" s="122"/>
    </row>
    <row r="1791" spans="1:7" x14ac:dyDescent="0.2">
      <c r="A1791" s="132">
        <v>1777</v>
      </c>
      <c r="B1791" s="126" t="str">
        <f>CONCATENATE("Adjusted ",'[4]II-E-3'!C23)</f>
        <v>Adjusted Amortization of Non-protected Excess ADFIT</v>
      </c>
      <c r="C1791" s="121"/>
      <c r="D1791" s="121"/>
      <c r="E1791" s="125">
        <f t="shared" si="0"/>
        <v>-930815.1</v>
      </c>
      <c r="F1791" s="122"/>
    </row>
    <row r="1792" spans="1:7" x14ac:dyDescent="0.2">
      <c r="A1792" s="132">
        <v>1778</v>
      </c>
      <c r="B1792" s="126" t="str">
        <f>CONCATENATE("Adjusted ",'[4]II-E-3'!C24)</f>
        <v>Adjusted Amortization of Excess ADFIT Reserve</v>
      </c>
      <c r="C1792" s="121"/>
      <c r="D1792" s="121"/>
      <c r="E1792" s="125">
        <f t="shared" si="0"/>
        <v>-621618.55000000005</v>
      </c>
      <c r="F1792" s="122"/>
    </row>
    <row r="1793" spans="1:7" x14ac:dyDescent="0.2">
      <c r="A1793" s="132">
        <v>1779</v>
      </c>
      <c r="B1793" s="126" t="str">
        <f>CONCATENATE("Adjusted ",'[4]II-E-3'!C32)</f>
        <v>Adjusted Social Club Dues</v>
      </c>
      <c r="C1793" s="121"/>
      <c r="D1793" s="121"/>
      <c r="E1793" s="125">
        <f t="shared" si="0"/>
        <v>-71103.28</v>
      </c>
      <c r="F1793" s="122"/>
    </row>
    <row r="1794" spans="1:7" x14ac:dyDescent="0.2">
      <c r="A1794" s="132">
        <v>1780</v>
      </c>
      <c r="B1794" s="126" t="str">
        <f>CONCATENATE("Adjusted ",'[4]II-E-3'!C34)</f>
        <v>Adjusted Employee Compensation Plans</v>
      </c>
      <c r="C1794" s="121"/>
      <c r="D1794" s="121"/>
      <c r="E1794" s="125">
        <f t="shared" si="0"/>
        <v>-1519616.09</v>
      </c>
      <c r="F1794" s="122"/>
    </row>
    <row r="1795" spans="1:7" x14ac:dyDescent="0.2">
      <c r="A1795" s="132">
        <v>1781</v>
      </c>
      <c r="B1795" s="126" t="str">
        <f>CONCATENATE("Adjusted ",'[4]II-E-3'!C35)</f>
        <v>Adjusted FIN 48 Tax and Interest</v>
      </c>
      <c r="C1795" s="121"/>
      <c r="D1795" s="121"/>
      <c r="E1795" s="125">
        <f t="shared" si="0"/>
        <v>5061.8</v>
      </c>
      <c r="F1795" s="122"/>
    </row>
    <row r="1796" spans="1:7" x14ac:dyDescent="0.2">
      <c r="A1796" s="132">
        <v>1782</v>
      </c>
      <c r="B1796" s="126" t="str">
        <f>CONCATENATE("Adjusted ",'[4]II-E-3'!C36)</f>
        <v>Adjusted Prior Period Adjustments</v>
      </c>
      <c r="C1796" s="121"/>
      <c r="D1796" s="121"/>
      <c r="E1796" s="125">
        <f t="shared" si="0"/>
        <v>-227736.24</v>
      </c>
      <c r="F1796" s="122"/>
    </row>
    <row r="1797" spans="1:7" x14ac:dyDescent="0.2">
      <c r="A1797" s="132">
        <v>1783</v>
      </c>
      <c r="B1797" s="126" t="str">
        <f>CONCATENATE("Adjusted ",'[4]II-E-3'!C44)</f>
        <v>Adjusted ITC Amortization</v>
      </c>
      <c r="C1797" s="121"/>
      <c r="D1797" s="121"/>
      <c r="E1797" s="125">
        <f t="shared" ref="E1797:E1802" si="1">+E1780-E1763</f>
        <v>5704.570000000007</v>
      </c>
      <c r="F1797" s="122"/>
    </row>
    <row r="1798" spans="1:7" x14ac:dyDescent="0.2">
      <c r="A1798" s="132">
        <v>1784</v>
      </c>
      <c r="B1798" s="126" t="str">
        <f>CONCATENATE("Adjusted ",'[4]II-E-3'!C45)</f>
        <v>Adjusted Amortization of Protected Excess ADFIT</v>
      </c>
      <c r="C1798" s="121"/>
      <c r="D1798" s="121"/>
      <c r="E1798" s="125">
        <f t="shared" si="1"/>
        <v>1037983.7100000009</v>
      </c>
      <c r="F1798" s="122"/>
    </row>
    <row r="1799" spans="1:7" x14ac:dyDescent="0.2">
      <c r="A1799" s="132">
        <v>1785</v>
      </c>
      <c r="B1799" s="126" t="str">
        <f>CONCATENATE("Adjusted ",'[4]II-E-3'!C46)</f>
        <v>Adjusted Amortization of Non-protected Excess ADFIT</v>
      </c>
      <c r="C1799" s="121"/>
      <c r="D1799" s="121"/>
      <c r="E1799" s="125">
        <f t="shared" si="1"/>
        <v>-3501637.7599999979</v>
      </c>
      <c r="F1799" s="122"/>
    </row>
    <row r="1800" spans="1:7" x14ac:dyDescent="0.2">
      <c r="A1800" s="132">
        <v>1786</v>
      </c>
      <c r="B1800" s="126" t="str">
        <f>CONCATENATE("Adjusted ",'[4]II-E-3'!C47)</f>
        <v>Adjusted Amortization of Excess ADFIT Reserve</v>
      </c>
      <c r="C1800" s="121"/>
      <c r="D1800" s="121"/>
      <c r="E1800" s="125">
        <f t="shared" si="1"/>
        <v>-2338469.7800000003</v>
      </c>
      <c r="F1800" s="122"/>
    </row>
    <row r="1801" spans="1:7" x14ac:dyDescent="0.2">
      <c r="A1801" s="132">
        <v>1787</v>
      </c>
      <c r="B1801" s="126" t="str">
        <f>CONCATENATE("Adjusted ",'[4]II-E-3'!C52)</f>
        <v>Adjusted FIN 48 Tax and  Interest</v>
      </c>
      <c r="C1801" s="121"/>
      <c r="D1801" s="121"/>
      <c r="E1801" s="125">
        <f t="shared" si="1"/>
        <v>19042</v>
      </c>
      <c r="F1801" s="122"/>
    </row>
    <row r="1802" spans="1:7" x14ac:dyDescent="0.2">
      <c r="A1802" s="132">
        <v>1788</v>
      </c>
      <c r="B1802" s="126" t="str">
        <f>CONCATENATE("Adjusted ",'[4]II-E-3'!C53)</f>
        <v>Adjusted Prior Period Adjustments</v>
      </c>
      <c r="C1802" s="121"/>
      <c r="D1802" s="121"/>
      <c r="E1802" s="125">
        <f t="shared" si="1"/>
        <v>-856722.03</v>
      </c>
      <c r="F1802" s="122"/>
    </row>
    <row r="1803" spans="1:7" ht="13.5" thickBot="1" x14ac:dyDescent="0.25">
      <c r="A1803" s="132">
        <v>1789</v>
      </c>
      <c r="B1803" s="126" t="s">
        <v>225</v>
      </c>
      <c r="C1803" s="121"/>
      <c r="D1803" s="121"/>
      <c r="E1803" s="133">
        <f>+E1787-SUM(E1788:E1792)+SUM(E1793:E1796)-SUM(E1797:E1800)+SUM(E1801:E1802)</f>
        <v>97745867.899999991</v>
      </c>
      <c r="F1803" s="127"/>
    </row>
    <row r="1804" spans="1:7" ht="13.5" thickTop="1" x14ac:dyDescent="0.2">
      <c r="A1804" s="132">
        <v>1790</v>
      </c>
      <c r="B1804" s="128"/>
      <c r="C1804" s="129"/>
      <c r="D1804" s="129"/>
      <c r="E1804" s="129"/>
      <c r="F1804" s="130"/>
    </row>
    <row r="1805" spans="1:7" x14ac:dyDescent="0.2">
      <c r="A1805" s="132">
        <v>1791</v>
      </c>
    </row>
    <row r="1806" spans="1:7" x14ac:dyDescent="0.2">
      <c r="A1806" s="132">
        <v>1792</v>
      </c>
    </row>
    <row r="1807" spans="1:7" x14ac:dyDescent="0.2">
      <c r="A1807" s="132">
        <v>1793</v>
      </c>
      <c r="B1807" s="147" t="s">
        <v>343</v>
      </c>
    </row>
    <row r="1808" spans="1:7" x14ac:dyDescent="0.2">
      <c r="A1808" s="132">
        <v>1794</v>
      </c>
      <c r="D1808" s="103" t="s">
        <v>12</v>
      </c>
      <c r="E1808" s="134">
        <f>+E1265</f>
        <v>493586912.30381608</v>
      </c>
      <c r="G1808" t="b">
        <f>ROUND(+E1808,0)=ROUND('I-A-1'!E16,0)</f>
        <v>1</v>
      </c>
    </row>
    <row r="1809" spans="1:7" x14ac:dyDescent="0.2">
      <c r="A1809" s="132">
        <v>1795</v>
      </c>
      <c r="D1809" s="103" t="s">
        <v>53</v>
      </c>
      <c r="E1809" s="136">
        <f>+E1628</f>
        <v>139113714.86999997</v>
      </c>
      <c r="G1809" t="b">
        <f>ROUND(+E1809,0)=ROUND('I-A-1'!E17,0)</f>
        <v>1</v>
      </c>
    </row>
    <row r="1810" spans="1:7" x14ac:dyDescent="0.2">
      <c r="A1810" s="132">
        <v>1796</v>
      </c>
      <c r="D1810" s="103" t="s">
        <v>15</v>
      </c>
      <c r="E1810" s="136">
        <f>+E1696</f>
        <v>40120343.340000018</v>
      </c>
      <c r="G1810" t="b">
        <f>ROUND(+E1810,0)=ROUND('I-A-1'!E18,0)</f>
        <v>1</v>
      </c>
    </row>
    <row r="1811" spans="1:7" x14ac:dyDescent="0.2">
      <c r="A1811" s="132">
        <v>1797</v>
      </c>
      <c r="D1811" s="103" t="s">
        <v>16</v>
      </c>
      <c r="E1811" s="136">
        <f>+E1803</f>
        <v>97745867.899999991</v>
      </c>
      <c r="G1811" t="b">
        <f>ROUND(+E1811,0)=ROUND('I-A-1'!E19,0)</f>
        <v>1</v>
      </c>
    </row>
    <row r="1812" spans="1:7" x14ac:dyDescent="0.2">
      <c r="A1812" s="132">
        <v>1798</v>
      </c>
    </row>
    <row r="1813" spans="1:7" ht="13.5" thickBot="1" x14ac:dyDescent="0.25">
      <c r="A1813" s="132">
        <v>1799</v>
      </c>
      <c r="D1813" s="103" t="s">
        <v>17</v>
      </c>
      <c r="E1813" s="148">
        <f>+E792</f>
        <v>-14903610.487100715</v>
      </c>
      <c r="G1813" t="b">
        <f>ROUND(+E1813,0)=ROUND('I-A-1'!E21,0)</f>
        <v>1</v>
      </c>
    </row>
    <row r="1814" spans="1:7" x14ac:dyDescent="0.2">
      <c r="A1814" s="132">
        <v>1800</v>
      </c>
    </row>
    <row r="1815" spans="1:7" ht="13.5" thickBot="1" x14ac:dyDescent="0.25">
      <c r="A1815" s="132">
        <v>1801</v>
      </c>
      <c r="D1815" s="103" t="s">
        <v>18</v>
      </c>
      <c r="E1815" s="138">
        <f>SUM(E1808:E1811)+E1813</f>
        <v>755663227.92671537</v>
      </c>
      <c r="G1815" t="b">
        <f>ROUND(+E1815,0)=ROUND('I-A-1'!E23,0)</f>
        <v>1</v>
      </c>
    </row>
    <row r="1816" spans="1:7" ht="13.5" thickTop="1" x14ac:dyDescent="0.2">
      <c r="A1816" s="132">
        <v>1802</v>
      </c>
    </row>
    <row r="1817" spans="1:7" x14ac:dyDescent="0.2">
      <c r="A1817" s="132">
        <v>1803</v>
      </c>
      <c r="D1817" s="103" t="s">
        <v>26</v>
      </c>
      <c r="E1817" s="134">
        <f>+E1746</f>
        <v>32962474.130000003</v>
      </c>
      <c r="G1817" t="b">
        <f>ROUND(+E1817,0)=ROUND('I-A-1'!E29,0)</f>
        <v>1</v>
      </c>
    </row>
    <row r="1818" spans="1:7" x14ac:dyDescent="0.2">
      <c r="A1818" s="132">
        <v>1804</v>
      </c>
    </row>
    <row r="1819" spans="1:7" ht="13.5" thickBot="1" x14ac:dyDescent="0.25">
      <c r="A1819" s="132">
        <v>1805</v>
      </c>
      <c r="D1819" s="103" t="s">
        <v>19</v>
      </c>
      <c r="E1819" s="138">
        <f>+E1815-E1817</f>
        <v>722700753.79671538</v>
      </c>
      <c r="G1819" t="b">
        <f>ROUND(+E1819,0)=ROUND('I-A-1'!E31,0)</f>
        <v>1</v>
      </c>
    </row>
    <row r="1820" spans="1:7" ht="13.5" thickTop="1" x14ac:dyDescent="0.2"/>
  </sheetData>
  <printOptions horizontalCentered="1"/>
  <pageMargins left="0.5" right="0.5" top="2.5" bottom="0.5" header="1.25" footer="0.25"/>
  <pageSetup scale="83" fitToHeight="0" orientation="landscape"/>
  <headerFooter>
    <oddHeader>&amp;R&amp;"Arial,Bold"Schedule &amp;A
Page &amp;P of &amp;N&amp;C&amp;B
2025 RATE CASE
ONCOR ELECTRIC DELIVERY COMPANY LLC
I-A-2 ADJUSTMENTS TO TEST YEAR
TEST YEAR ENDING DECEMBER 31, 2024
SPONSOR: W. ALAN LEDBETTER &amp;&amp; R. PRACHYL</oddHeader>
  </headerFooter>
  <rowBreaks count="50" manualBreakCount="50">
    <brk id="40" max="5" man="1"/>
    <brk id="128" max="5" man="1"/>
    <brk id="160" max="5" man="1"/>
    <brk id="240" max="5" man="1"/>
    <brk id="272" max="5" man="1"/>
    <brk id="303" max="5" man="1"/>
    <brk id="472" max="5" man="1"/>
    <brk id="512" max="5" man="1"/>
    <brk id="544" max="5" man="1"/>
    <brk id="576" max="5" man="1"/>
    <brk id="624" max="5" man="1"/>
    <brk id="656" max="5" man="1"/>
    <brk id="696" max="5" man="1"/>
    <brk id="728" max="5" man="1"/>
    <brk id="760" max="5" man="1"/>
    <brk id="793" max="5" man="1"/>
    <brk id="825" max="5" man="1"/>
    <brk id="856" max="5" man="1"/>
    <brk id="883" max="5" man="1"/>
    <brk id="913" max="5" man="1"/>
    <brk id="940" max="5" man="1"/>
    <brk id="950" max="5" man="1"/>
    <brk id="1034" max="5" man="1"/>
    <brk id="1043" max="5" man="1"/>
    <brk id="1053" max="5" man="1"/>
    <brk id="1062" max="5" man="1"/>
    <brk id="1080" max="5" man="1"/>
    <brk id="1151" max="5" man="1"/>
    <brk id="1182" max="5" man="1"/>
    <brk id="1238" max="5" man="1"/>
    <brk id="1266" max="5" man="1"/>
    <brk id="1313" max="5" man="1"/>
    <brk id="1340" max="5" man="1"/>
    <brk id="1367" max="5" man="1"/>
    <brk id="1403" max="5" man="1"/>
    <brk id="1430" max="5" man="1"/>
    <brk id="1457" max="5" man="1"/>
    <brk id="1484" max="5" man="1"/>
    <brk id="1511" max="5" man="1"/>
    <brk id="1538" max="5" man="1"/>
    <brk id="1583" max="5" man="1"/>
    <brk id="1610" max="5" man="1"/>
    <brk id="1623" max="5" man="1"/>
    <brk id="1649" max="5" man="1"/>
    <brk id="1676" max="5" man="1"/>
    <brk id="1716" max="5" man="1"/>
    <brk id="1747" max="5" man="1"/>
    <brk id="1769" max="5" man="1"/>
    <brk id="1786" max="5" man="1"/>
    <brk id="1805" max="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Link Sheet</vt:lpstr>
      <vt:lpstr>I-A</vt:lpstr>
      <vt:lpstr>I-A-1</vt:lpstr>
      <vt:lpstr>I-A-2</vt:lpstr>
      <vt:lpstr>'I-A'!Print_Area</vt:lpstr>
      <vt:lpstr>'I-A-1'!Print_Area</vt:lpstr>
      <vt:lpstr>'I-A-2'!Print_Area</vt:lpstr>
      <vt:lpstr>'I-A'!Print_Titles</vt:lpstr>
      <vt:lpstr>'I-A-1'!Print_Titles</vt:lpstr>
      <vt:lpstr>'I-A-2'!Print_Titles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Tenorio, Stephanie</cp:lastModifiedBy>
  <cp:lastPrinted>1900-01-01T06:00:00Z</cp:lastPrinted>
  <dcterms:created xsi:type="dcterms:W3CDTF">1900-01-01T06:00:00Z</dcterms:created>
  <dcterms:modified xsi:type="dcterms:W3CDTF">2025-06-25T18:16:55Z</dcterms:modified>
</cp:coreProperties>
</file>