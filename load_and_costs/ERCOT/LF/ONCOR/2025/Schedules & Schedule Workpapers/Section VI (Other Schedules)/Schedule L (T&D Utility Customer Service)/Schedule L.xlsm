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defaultThemeVersion="124226"/>
  <mc:AlternateContent xmlns:mc="http://schemas.openxmlformats.org/markup-compatibility/2006">
    <mc:Choice Requires="x15">
      <x15ac:absPath xmlns:x15ac="http://schemas.microsoft.com/office/spreadsheetml/2010/11/ac" url="D:\Schedules &amp; Schedule Workpapers\Section VI (Other Schedules)\Schedule L (T&amp;D Utility Customer Service)\"/>
    </mc:Choice>
  </mc:AlternateContent>
  <xr:revisionPtr revIDLastSave="0" documentId="13_ncr:1_{58033F44-F55E-4092-B466-DDCF2A5E4273}" xr6:coauthVersionLast="47" xr6:coauthVersionMax="47" xr10:uidLastSave="{00000000-0000-0000-0000-000000000000}"/>
  <bookViews>
    <workbookView xWindow="-120" yWindow="-120" windowWidth="29040" windowHeight="15720" xr2:uid="{00000000-000D-0000-FFFF-FFFF00000000}"/>
  </bookViews>
  <sheets>
    <sheet name="Schedule" sheetId="1" r:id="rId1"/>
  </sheets>
  <externalReferences>
    <externalReference r:id="rId2"/>
  </externalReferences>
  <definedNames>
    <definedName name="_xlnm.Print_Area" localSheetId="0">Schedule!$A$1:$E$16</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1" l="1"/>
  <c r="A3" i="1"/>
  <c r="A2" i="1"/>
  <c r="A1" i="1"/>
  <c r="C14" i="1" l="1"/>
</calcChain>
</file>

<file path=xl/sharedStrings.xml><?xml version="1.0" encoding="utf-8"?>
<sst xmlns="http://schemas.openxmlformats.org/spreadsheetml/2006/main" count="35" uniqueCount="29">
  <si>
    <t>Communications</t>
  </si>
  <si>
    <t>Proactive initiatives to reach key audiences with regulatory requirements, safety and education programs.</t>
  </si>
  <si>
    <t>Corporate</t>
  </si>
  <si>
    <t>Customer Operations</t>
  </si>
  <si>
    <t>Economic Development</t>
  </si>
  <si>
    <t>Energy Efficiency</t>
  </si>
  <si>
    <t>Market Operations</t>
  </si>
  <si>
    <t>Grand Total</t>
  </si>
  <si>
    <t>Direct Assigned and Schedule II-F factors</t>
  </si>
  <si>
    <t>Manage and administer energy efficiency programs pursuant to Section 39.905 of the Public Utility Regulatory Act and Public Utility Commission of Texas Substantive Rule 25.181.</t>
  </si>
  <si>
    <t>Service</t>
  </si>
  <si>
    <t>Description / Justification</t>
  </si>
  <si>
    <t>FERC
Accounts</t>
  </si>
  <si>
    <t>Test Year
Cost</t>
  </si>
  <si>
    <t>Assignment Methodology</t>
  </si>
  <si>
    <t>Provide executive leadership, oversight, and guidance in the management of the Customer Services function goals and objectives.</t>
  </si>
  <si>
    <t>Provide communications to and receive communications from consumers.  Cultivate and sustain effective consumer and community relationships with key stakeholders.</t>
  </si>
  <si>
    <t>Note:  Oncor now recovers all costs for its Energy Efficiency programs through an Energy Efficiency Cost Recovery Factor, as opposed to base rates, pursuant to Rule 25.181(f) and the Commission's authorization in Docket No. 35717.</t>
  </si>
  <si>
    <t>Economic Development activities benefit the Company through an increase in the consumer base, but there also are significant benefits to the communities being served via increased tax revenue, the creation of new employment opportunities, and reinvestment.</t>
  </si>
  <si>
    <t>Interface with Retail Electric Providers (REPS) to ensure accuracy of information provided to REPS and received from REPS and maintain/develop system process improvements.</t>
  </si>
  <si>
    <t>Administrative &amp; General</t>
  </si>
  <si>
    <t>Corporate professional services including Finance, Accounting, Human Resources, etc.</t>
  </si>
  <si>
    <t>A903,A920,A921,A923A,926, A930.1,A930.2,A931,A932,A935</t>
  </si>
  <si>
    <t>A920,A921,A923,A926,A930.1, A930.2,A931</t>
  </si>
  <si>
    <t>A588,A903,A904,A920,A921,A923, A926,A930.1,A930.2,A931,A932, A935</t>
  </si>
  <si>
    <t>A908,A920,A921,A923,A926,A930.1, A930.2</t>
  </si>
  <si>
    <t>A908,A921,A923,A926,A930.2</t>
  </si>
  <si>
    <t>A588,A903,A908,A920,A921,A923, A926,A930.2</t>
  </si>
  <si>
    <t>A580,A588,A590,A901,A903,A908, A910,A920,A921,A923,A926,A930.1, A930.2,A931,A932,A935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</si>
</sst>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quot;$&quot;* #,##0_);_(&quot;$&quot;* \(#,##0\);_(&quot;$&quot;* &quot;-&quot;_);_(@_)"/>
    <numFmt numFmtId="41" formatCode="_(* #,##0_);_(* \(#,##0\);_(* &quot;-&quot;_);_(@_)"/>
    <numFmt numFmtId="44" formatCode="_(&quot;$&quot;* #,##0.00_);_(&quot;$&quot;* \(#,##0.00\);_(&quot;$&quot;* &quot;-&quot;??_);_(@_)"/>
  </numFmts>
  <fonts count="6" x14ac:knownFonts="1">
    <font>
      <sz val="10"/>
      <name val="Arial"/>
    </font>
    <font>
      <sz val="10"/>
      <name val="Arial"/>
      <family val="2"/>
    </font>
    <font>
      <b/>
      <sz val="10"/>
      <name val="Arial"/>
      <family val="2"/>
    </font>
    <font>
      <vertAlign val="superscript"/>
      <sz val="12"/>
      <name val="Arial"/>
      <family val="2"/>
    </font>
    <font>
      <sz val="12"/>
      <name val="Arial"/>
      <family val="2"/>
    </font>
    <font>
      <sz val="10"/>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top style="thin">
        <color indexed="64"/>
      </top>
      <bottom style="double">
        <color indexed="64"/>
      </bottom>
      <diagonal/>
    </border>
  </borders>
  <cellStyleXfs count="2">
    <xf numFmtId="0" fontId="0" fillId="0" borderId="0"/>
    <xf numFmtId="44" fontId="1" fillId="0" borderId="0" applyFont="0" applyFill="0" applyBorder="0" applyAlignment="0" applyProtection="0"/>
  </cellStyleXfs>
  <cellXfs count="25">
    <xf numFmtId="0" fontId="0" fillId="0" borderId="0" xfId="0"/>
    <xf numFmtId="0" fontId="0" fillId="0" borderId="0" xfId="0" applyAlignment="1">
      <alignment wrapText="1"/>
    </xf>
    <xf numFmtId="4" fontId="0" fillId="0" borderId="0" xfId="0" applyNumberFormat="1"/>
    <xf numFmtId="0" fontId="0" fillId="0" borderId="2" xfId="0" applyBorder="1" applyAlignment="1">
      <alignment wrapText="1"/>
    </xf>
    <xf numFmtId="0" fontId="0" fillId="0" borderId="2" xfId="0" applyBorder="1" applyAlignment="1">
      <alignment horizontal="center"/>
    </xf>
    <xf numFmtId="0" fontId="2" fillId="2" borderId="2" xfId="0" applyFont="1" applyFill="1" applyBorder="1" applyAlignment="1">
      <alignment horizontal="center"/>
    </xf>
    <xf numFmtId="0" fontId="2" fillId="2" borderId="2" xfId="0" applyFont="1" applyFill="1" applyBorder="1" applyAlignment="1">
      <alignment horizontal="center" wrapText="1"/>
    </xf>
    <xf numFmtId="0" fontId="2" fillId="2" borderId="0" xfId="0" applyFont="1" applyFill="1" applyAlignment="1">
      <alignment horizontal="center"/>
    </xf>
    <xf numFmtId="0" fontId="2" fillId="0" borderId="0" xfId="0" applyFont="1"/>
    <xf numFmtId="0" fontId="2" fillId="0" borderId="1" xfId="0" applyFont="1" applyBorder="1" applyAlignment="1">
      <alignment horizontal="center" wrapText="1"/>
    </xf>
    <xf numFmtId="0" fontId="2" fillId="2" borderId="1" xfId="0" applyFont="1" applyFill="1" applyBorder="1" applyAlignment="1">
      <alignment horizontal="center" wrapText="1"/>
    </xf>
    <xf numFmtId="0" fontId="0" fillId="0" borderId="1" xfId="0" applyBorder="1" applyAlignment="1">
      <alignment horizontal="center" wrapText="1"/>
    </xf>
    <xf numFmtId="0" fontId="2" fillId="0" borderId="3" xfId="0" applyFont="1" applyBorder="1"/>
    <xf numFmtId="0" fontId="5" fillId="0" borderId="2" xfId="0" applyFont="1" applyBorder="1" applyAlignment="1">
      <alignment horizontal="center"/>
    </xf>
    <xf numFmtId="41" fontId="0" fillId="0" borderId="1" xfId="0" applyNumberFormat="1" applyBorder="1"/>
    <xf numFmtId="42" fontId="0" fillId="0" borderId="1" xfId="1" applyNumberFormat="1" applyFont="1" applyBorder="1"/>
    <xf numFmtId="42" fontId="2" fillId="0" borderId="4" xfId="1" applyNumberFormat="1" applyFont="1" applyBorder="1"/>
    <xf numFmtId="0" fontId="5" fillId="0" borderId="2" xfId="0" applyFont="1" applyBorder="1" applyAlignment="1">
      <alignment wrapText="1"/>
    </xf>
    <xf numFmtId="0" fontId="1" fillId="0" borderId="2" xfId="0" applyFont="1" applyBorder="1" applyAlignment="1">
      <alignment horizontal="left" wrapText="1"/>
    </xf>
    <xf numFmtId="3" fontId="1" fillId="0" borderId="2" xfId="0" applyNumberFormat="1" applyFont="1" applyBorder="1" applyAlignment="1">
      <alignment horizontal="left" wrapText="1"/>
    </xf>
    <xf numFmtId="3" fontId="1" fillId="0" borderId="2" xfId="0" quotePrefix="1" applyNumberFormat="1" applyFont="1" applyBorder="1" applyAlignment="1">
      <alignment horizontal="left" wrapText="1"/>
    </xf>
    <xf numFmtId="3" fontId="1" fillId="0" borderId="2" xfId="0" quotePrefix="1" applyNumberFormat="1" applyFont="1" applyBorder="1" applyAlignment="1">
      <alignment horizontal="left"/>
    </xf>
    <xf numFmtId="0" fontId="3" fillId="0" borderId="0" xfId="0" applyFont="1" applyAlignment="1">
      <alignment wrapText="1"/>
    </xf>
    <xf numFmtId="0" fontId="4" fillId="0" borderId="0" xfId="0" applyFont="1" applyAlignment="1">
      <alignment wrapText="1"/>
    </xf>
    <xf numFmtId="0" fontId="2" fillId="0" borderId="0" xfId="0" applyFont="1" applyAlignment="1">
      <alignment horizontal="center"/>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chedules%20&amp;%20Schedule%20Workpapers/Schedule%20Heading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Data"/>
      <sheetName val="Schedule Sponsors"/>
    </sheetNames>
    <sheetDataSet>
      <sheetData sheetId="0">
        <row r="2">
          <cell r="A2" t="str">
            <v>ONCOR ELECTRIC DELIVERY COMPANY LLC</v>
          </cell>
        </row>
        <row r="9">
          <cell r="A9" t="str">
            <v>2025 RATE CASE</v>
          </cell>
        </row>
      </sheetData>
      <sheetData sheetId="1">
        <row r="189">
          <cell r="B189" t="str">
            <v>TRANSMISSION &amp; DISTRIBUTION UTILITY CUSTOMER SERVICES</v>
          </cell>
          <cell r="D189" t="str">
            <v>R. PRACHYL</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E20"/>
  <sheetViews>
    <sheetView tabSelected="1" zoomScaleNormal="100" workbookViewId="0">
      <selection activeCell="D10" sqref="D10"/>
    </sheetView>
  </sheetViews>
  <sheetFormatPr defaultRowHeight="12.75" x14ac:dyDescent="0.2"/>
  <cols>
    <col min="1" max="1" width="23.5703125" bestFit="1" customWidth="1"/>
    <col min="2" max="2" width="60.7109375" style="1" customWidth="1"/>
    <col min="3" max="3" width="20.5703125" style="2" bestFit="1" customWidth="1"/>
    <col min="4" max="4" width="32.140625" style="1" customWidth="1"/>
    <col min="5" max="5" width="60" style="1" customWidth="1"/>
  </cols>
  <sheetData>
    <row r="1" spans="1:5" x14ac:dyDescent="0.2">
      <c r="A1" s="24" t="str">
        <f>+'[1]Input Data'!$A$9</f>
        <v>2025 RATE CASE</v>
      </c>
      <c r="B1" s="24"/>
      <c r="C1" s="24"/>
      <c r="D1" s="24"/>
      <c r="E1" s="24"/>
    </row>
    <row r="2" spans="1:5" x14ac:dyDescent="0.2">
      <c r="A2" s="24" t="str">
        <f>+'[1]Input Data'!$A$2</f>
        <v>ONCOR ELECTRIC DELIVERY COMPANY LLC</v>
      </c>
      <c r="B2" s="24"/>
      <c r="C2" s="24"/>
      <c r="D2" s="24"/>
      <c r="E2" s="24"/>
    </row>
    <row r="3" spans="1:5" x14ac:dyDescent="0.2">
      <c r="A3" s="24" t="str">
        <f>+'[1]Schedule Sponsors'!$B$189</f>
        <v>TRANSMISSION &amp; DISTRIBUTION UTILITY CUSTOMER SERVICES</v>
      </c>
      <c r="B3" s="24"/>
      <c r="C3" s="24"/>
      <c r="D3" s="24"/>
      <c r="E3" s="24"/>
    </row>
    <row r="4" spans="1:5" x14ac:dyDescent="0.2">
      <c r="A4" s="24" t="str">
        <f>CONCATENATE("SPONSORS: ",'[1]Schedule Sponsors'!$D$189)</f>
        <v>SPONSORS: R. PRACHYL</v>
      </c>
      <c r="B4" s="24"/>
      <c r="C4" s="24"/>
      <c r="D4" s="24"/>
      <c r="E4" s="24"/>
    </row>
    <row r="6" spans="1:5" s="7" customFormat="1" ht="25.5" x14ac:dyDescent="0.2">
      <c r="A6" s="5" t="s">
        <v>10</v>
      </c>
      <c r="B6" s="6" t="s">
        <v>11</v>
      </c>
      <c r="C6" s="9" t="s">
        <v>13</v>
      </c>
      <c r="D6" s="6" t="s">
        <v>12</v>
      </c>
      <c r="E6" s="10" t="s">
        <v>14</v>
      </c>
    </row>
    <row r="7" spans="1:5" ht="25.5" x14ac:dyDescent="0.2">
      <c r="A7" s="4" t="s">
        <v>0</v>
      </c>
      <c r="B7" s="3" t="s">
        <v>1</v>
      </c>
      <c r="C7" s="15">
        <v>3937212.65</v>
      </c>
      <c r="D7" s="18" t="s">
        <v>23</v>
      </c>
      <c r="E7" s="11" t="s">
        <v>8</v>
      </c>
    </row>
    <row r="8" spans="1:5" ht="38.25" x14ac:dyDescent="0.2">
      <c r="A8" s="4" t="s">
        <v>2</v>
      </c>
      <c r="B8" s="3" t="s">
        <v>15</v>
      </c>
      <c r="C8" s="14">
        <v>7102163.4499999946</v>
      </c>
      <c r="D8" s="18" t="s">
        <v>24</v>
      </c>
      <c r="E8" s="11" t="s">
        <v>8</v>
      </c>
    </row>
    <row r="9" spans="1:5" ht="38.25" x14ac:dyDescent="0.2">
      <c r="A9" s="4" t="s">
        <v>3</v>
      </c>
      <c r="B9" s="3" t="s">
        <v>16</v>
      </c>
      <c r="C9" s="14">
        <v>19456654.729999997</v>
      </c>
      <c r="D9" s="19" t="s">
        <v>28</v>
      </c>
      <c r="E9" s="11" t="s">
        <v>8</v>
      </c>
    </row>
    <row r="10" spans="1:5" ht="51" x14ac:dyDescent="0.2">
      <c r="A10" s="4" t="s">
        <v>4</v>
      </c>
      <c r="B10" s="3" t="s">
        <v>18</v>
      </c>
      <c r="C10" s="14">
        <v>1196741.9300000002</v>
      </c>
      <c r="D10" s="19" t="s">
        <v>25</v>
      </c>
      <c r="E10" s="11" t="s">
        <v>8</v>
      </c>
    </row>
    <row r="11" spans="1:5" ht="38.25" x14ac:dyDescent="0.2">
      <c r="A11" s="4" t="s">
        <v>5</v>
      </c>
      <c r="B11" s="3" t="s">
        <v>9</v>
      </c>
      <c r="C11" s="14">
        <v>54350711.720000006</v>
      </c>
      <c r="D11" s="21" t="s">
        <v>26</v>
      </c>
      <c r="E11" s="11" t="s">
        <v>8</v>
      </c>
    </row>
    <row r="12" spans="1:5" ht="25.5" x14ac:dyDescent="0.2">
      <c r="A12" s="13" t="s">
        <v>20</v>
      </c>
      <c r="B12" s="17" t="s">
        <v>21</v>
      </c>
      <c r="C12" s="14">
        <v>12135476.620000003</v>
      </c>
      <c r="D12" s="18" t="s">
        <v>22</v>
      </c>
      <c r="E12" s="11" t="s">
        <v>8</v>
      </c>
    </row>
    <row r="13" spans="1:5" ht="38.25" x14ac:dyDescent="0.2">
      <c r="A13" s="4" t="s">
        <v>6</v>
      </c>
      <c r="B13" s="3" t="s">
        <v>19</v>
      </c>
      <c r="C13" s="14">
        <v>20562987.059999999</v>
      </c>
      <c r="D13" s="20" t="s">
        <v>27</v>
      </c>
      <c r="E13" s="11" t="s">
        <v>8</v>
      </c>
    </row>
    <row r="14" spans="1:5" s="8" customFormat="1" ht="13.5" thickBot="1" x14ac:dyDescent="0.25">
      <c r="A14" s="12" t="s">
        <v>7</v>
      </c>
      <c r="B14" s="12"/>
      <c r="C14" s="16">
        <f>SUM(C7:C13)</f>
        <v>118741948.16</v>
      </c>
      <c r="D14" s="12"/>
      <c r="E14" s="12"/>
    </row>
    <row r="15" spans="1:5" ht="13.5" thickTop="1" x14ac:dyDescent="0.2"/>
    <row r="16" spans="1:5" ht="35.25" customHeight="1" x14ac:dyDescent="0.2">
      <c r="A16" s="22" t="s">
        <v>17</v>
      </c>
      <c r="B16" s="23"/>
      <c r="C16" s="23"/>
      <c r="D16" s="23"/>
      <c r="E16" s="23"/>
    </row>
    <row r="20" spans="4:5" x14ac:dyDescent="0.2">
      <c r="D20"/>
      <c r="E20"/>
    </row>
  </sheetData>
  <mergeCells count="5">
    <mergeCell ref="A16:E16"/>
    <mergeCell ref="A1:E1"/>
    <mergeCell ref="A2:E2"/>
    <mergeCell ref="A3:E3"/>
    <mergeCell ref="A4:E4"/>
  </mergeCells>
  <phoneticPr fontId="0" type="noConversion"/>
  <printOptions horizontalCentered="1"/>
  <pageMargins left="0.5" right="0.5" top="2" bottom="0.5" header="1.5" footer="0.5"/>
  <pageSetup scale="66" orientation="landscape"/>
  <headerFooter alignWithMargins="0">
    <oddHeader>&amp;R&amp;"Arial,Bold"Schedule L
Page &amp;P of &amp;N</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Schedule</vt:lpstr>
      <vt:lpstr>Schedule!Print_Area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Tenorio, Stephanie</cp:lastModifiedBy>
  <cp:lastPrinted>1900-01-01T06:00:00Z</cp:lastPrinted>
  <dcterms:created xsi:type="dcterms:W3CDTF">1900-01-01T06:00:00Z</dcterms:created>
  <dcterms:modified xsi:type="dcterms:W3CDTF">2025-06-25T18:48:06Z</dcterms:modified>
</cp:coreProperties>
</file>