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x:workbook xmlns:x15ac="http://schemas.microsoft.com/office/spreadsheetml/2010/11/ac" xmlns:xcalcf="http://schemas.microsoft.com/office/spreadsheetml/2018/calcfeatures"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xmlns:x="http://schemas.openxmlformats.org/spreadsheetml/2006/main" mc:Ignorable="x15 xr xr6 xr10 xr2">
  <x:fileVersion appName="xl" lastEdited="7" lowestEdited="5" rupBuild="24332"/>
  <x:fileSharing readOnlyRecommended="1" userName="Williams, Rob" algorithmName="SHA-512" hashValue="oi6yL/KzQPWFvMs5oDCTB1iunstzPLrocIWW9qY5kMH3kXbmRwBMOuRTHSnmcjBGVW6NaCNLHm6FRlFTx784gA==" saltValue="v6x5pFSDFCP1rIPLo3zw+g==" spinCount="100000"/>
  <x:workbookPr defaultThemeVersion="124226"/>
  <mc:AlternateContent xmlns:mc="http://schemas.openxmlformats.org/markup-compatibility/2006">
    <mc:Choice Requires="x15">
      <x15ac:absPath xmlns:x15ac="http://schemas.microsoft.com/office/spreadsheetml/2010/11/ac" url="R:\UVW2\2025 Rate Case\DRAFTS of V-K Schedules\"/>
    </mc:Choice>
  </mc:AlternateContent>
  <xr:revisionPtr revIDLastSave="0" documentId="8_{A4ED6290-A248-403A-87FF-DB81C4B2FD7E}" xr6:coauthVersionLast="47" xr6:coauthVersionMax="47" xr10:uidLastSave="{00000000-0000-0000-0000-000000000000}"/>
  <x:bookViews>
    <x:workbookView xWindow="-110" yWindow="-110" windowWidth="19420" windowHeight="10300" tabRatio="810" xr2:uid="{00000000-000D-0000-FFFF-FFFF00000000}"/>
  </x:bookViews>
  <x:sheets>
    <x:sheet name="V-K-1" sheetId="2" r:id="rId1"/>
    <x:sheet name="V-K-2" sheetId="3" r:id="rId2"/>
    <x:sheet name="V-K-3" sheetId="16" r:id="rId3"/>
    <x:sheet name="V-K-4" sheetId="4" r:id="rId4"/>
    <x:sheet name="V-K-5" sheetId="5" r:id="rId5"/>
    <x:sheet name="V-K-6" sheetId="6" r:id="rId6"/>
    <x:sheet name="V-K-7" sheetId="13" r:id="rId7"/>
    <x:sheet name="V-K-8" sheetId="7" r:id="rId8"/>
    <x:sheet name="V-K-8.1" sheetId="8" r:id="rId9"/>
    <x:sheet name="V-K-9" sheetId="14" r:id="rId10"/>
    <x:sheet name="V-K-10" sheetId="15" r:id="rId11"/>
    <x:sheet name="V-K-11" sheetId="9" r:id="rId12"/>
    <x:sheet name="V-K-12" sheetId="10" r:id="rId13"/>
    <x:sheet name="V-K-13" sheetId="11" r:id="rId14"/>
    <x:sheet name="V-K-14" sheetId="12" r:id="rId15"/>
  </x:sheets>
  <x:definedNames>
    <x:definedName name="_xlnm.Print_Area" localSheetId="0">'V-K-1'!$A$1:$F$47</x:definedName>
    <x:definedName name="_xlnm.Print_Area" localSheetId="10">'V-K-10'!$A$1:$E$18</x:definedName>
    <x:definedName name="_xlnm.Print_Area" localSheetId="11">'V-K-11'!$A$1:$E$21</x:definedName>
    <x:definedName name="_xlnm.Print_Area" localSheetId="12">'V-K-12'!$A$1:$G$41</x:definedName>
    <x:definedName name="_xlnm.Print_Area" localSheetId="13">'V-K-13'!$A$1:$D$20</x:definedName>
    <x:definedName name="_xlnm.Print_Area" localSheetId="14">'V-K-14'!$A$1:$F$19</x:definedName>
    <x:definedName name="_xlnm.Print_Area" localSheetId="1">'V-K-2'!$A$1:$I$50</x:definedName>
    <x:definedName name="_xlnm.Print_Area" localSheetId="2">'V-K-3'!$A$1:$E$18</x:definedName>
    <x:definedName name="_xlnm.Print_Area" localSheetId="3">'V-K-4'!$A$1:$D$27</x:definedName>
    <x:definedName name="_xlnm.Print_Area" localSheetId="4">'V-K-5'!$A$1:$E$18</x:definedName>
    <x:definedName name="_xlnm.Print_Area" localSheetId="5">'V-K-6'!$A$1:$D$22</x:definedName>
    <x:definedName name="_xlnm.Print_Area" localSheetId="6">'V-K-7'!$A$1:$E$18</x:definedName>
    <x:definedName name="_xlnm.Print_Area" localSheetId="7">'V-K-8'!$A$1:$F$46</x:definedName>
    <x:definedName name="_xlnm.Print_Area" localSheetId="8">'V-K-8.1'!$A$1:$E$35</x:definedName>
    <x:definedName name="_xlnm.Print_Area" localSheetId="9">'V-K-9'!$A$1:$E$18</x:definedName>
    <x:definedName name="_xlnm.Print_Titles" localSheetId="0">'V-K-1'!$2:$9</x:definedName>
    <x:definedName name="_xlnm.Print_Titles" localSheetId="10">'V-K-10'!$2:$6</x:definedName>
    <x:definedName name="_xlnm.Print_Titles" localSheetId="11">'V-K-11'!$2:$9</x:definedName>
    <x:definedName name="_xlnm.Print_Titles" localSheetId="12">'V-K-12'!$2:$10</x:definedName>
    <x:definedName name="_xlnm.Print_Titles" localSheetId="13">'V-K-13'!$2:$6</x:definedName>
    <x:definedName name="_xlnm.Print_Titles" localSheetId="14">'V-K-14'!$2:$6</x:definedName>
    <x:definedName name="_xlnm.Print_Titles" localSheetId="1">'V-K-2'!$2:$9</x:definedName>
    <x:definedName name="_xlnm.Print_Titles" localSheetId="2">'V-K-3'!$2:$6</x:definedName>
    <x:definedName name="_xlnm.Print_Titles" localSheetId="3">'V-K-4'!$2:$7</x:definedName>
    <x:definedName name="_xlnm.Print_Titles" localSheetId="4">'V-K-5'!$2:$6</x:definedName>
    <x:definedName name="_xlnm.Print_Titles" localSheetId="5">'V-K-6'!$2:$9</x:definedName>
    <x:definedName name="_xlnm.Print_Titles" localSheetId="6">'V-K-7'!$2:$6</x:definedName>
    <x:definedName name="_xlnm.Print_Titles" localSheetId="7">'V-K-8'!$2:$9</x:definedName>
    <x:definedName name="_xlnm.Print_Titles" localSheetId="8">'V-K-8.1'!$2:$9</x:definedName>
    <x:definedName name="_xlnm.Print_Titles" localSheetId="9">'V-K-9'!$2:$6</x:definedName>
  </x:definedNames>
  <x:calcPr calcId="191029"/>
  <x:extLst>
    <x: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x:ext>
  </x:extLst>
</x:workbook>
</file>

<file path=xl/calcChain.xml><?xml version="1.0" encoding="utf-8"?>
<x:calcChain xmlns:x="http://schemas.openxmlformats.org/spreadsheetml/2006/main">
  <x:c r="E50" i="2" l="1"/>
  <x:c r="E51" i="2"/>
  <x:c r="E52" i="2"/>
  <x:c r="E53" i="2" l="1"/>
  <x:c r="A18" i="6" l="1"/>
  <x:c r="A19" i="6"/>
  <x:c r="A20" i="6"/>
  <x:c r="A26" i="4"/>
  <x:c r="A25" i="4"/>
  <x:c r="H24" i="3"/>
  <x:c r="A45" i="3" l="1"/>
  <x:c r="A46" i="3" s="1"/>
  <x:c r="A47" i="3" s="1"/>
  <x:c r="A45" i="2" l="1"/>
  <x:c r="A46" i="2" s="1"/>
  <x:c r="A47" i="2" s="1"/>
  <x:c r="F45" i="2"/>
  <x:c r="F43" i="7" l="1"/>
  <x:c r="A42" i="7"/>
  <x:c r="A43" i="7" s="1"/>
  <x:c r="A44" i="7" s="1"/>
  <x:c r="A45" i="7" s="1"/>
  <x:c r="E44" i="3" l="1"/>
  <x:c r="D44" i="3"/>
  <x:c r="F27" i="7" l="1"/>
  <x:c r="F26" i="7"/>
  <x:c r="F25" i="7"/>
  <x:c r="F22" i="7"/>
  <x:c r="F44" i="3" l="1"/>
  <x:c r="G44" i="3" l="1"/>
  <x:c r="D18" i="6" s="1"/>
  <x:c r="E14" i="10"/>
  <x:c r="F14" i="10"/>
  <x:c r="E17" i="10"/>
  <x:c r="F17" i="10"/>
  <x:c r="E20" i="10"/>
  <x:c r="F20" i="10"/>
  <x:c r="E23" i="10"/>
  <x:c r="F23" i="10"/>
  <x:c r="E27" i="10"/>
  <x:c r="F27" i="10"/>
  <x:c r="F30" i="10"/>
  <x:c r="E33" i="10"/>
  <x:c r="F33" i="10"/>
  <x:c r="E36" i="10"/>
  <x:c r="F36" i="10"/>
  <x:c r="E29" i="10"/>
  <x:c r="E30" i="10" s="1"/>
  <x:c r="H44" i="3" l="1"/>
  <x:c r="E41" i="10"/>
  <x:c r="F41" i="10"/>
  <x:c r="D14" i="5"/>
  <x:c r="G38" i="3"/>
  <x:c r="D37" i="3"/>
  <x:c r="E37" i="3"/>
  <x:c r="C37" i="3"/>
  <x:c r="F37" i="2" l="1"/>
  <x:c r="F37" i="3" s="1"/>
  <x:c r="F38" i="2" l="1"/>
  <x:c r="D32" i="10" s="1"/>
  <x:c r="F38" i="3"/>
  <x:c r="H37" i="3"/>
  <x:c r="H38" i="3" s="1"/>
  <x:c r="F19" i="7"/>
  <x:c r="F17" i="7"/>
  <x:c r="F11" i="7"/>
  <x:c r="D33" i="10" l="1"/>
  <x:c r="G32" i="10"/>
  <x:c r="G33" i="10" s="1"/>
  <x:c r="F40" i="7"/>
  <x:c r="A9" i="4" l="1"/>
  <x:c r="A10" i="4" s="1"/>
  <x:c r="A11" i="4" s="1"/>
  <x:c r="A12" i="4" s="1"/>
  <x:c r="A13" i="4" s="1"/>
  <x:c r="A14" i="4" s="1"/>
  <x:c r="A15" i="4" s="1"/>
  <x:c r="A16" i="4" s="1"/>
  <x:c r="A17" i="4" s="1"/>
  <x:c r="A18" i="4" s="1"/>
  <x:c r="A19" i="4" s="1"/>
  <x:c r="A20" i="4" s="1"/>
  <x:c r="A11" i="9"/>
  <x:c r="A12" i="9" s="1"/>
  <x:c r="A13" i="9" s="1"/>
  <x:c r="A14" i="9" s="1"/>
  <x:c r="A15" i="9" s="1"/>
  <x:c r="A16" i="9" s="1"/>
  <x:c r="A17" i="9" s="1"/>
  <x:c r="A18" i="9" s="1"/>
  <x:c r="A19" i="9" s="1"/>
  <x:c r="A20" i="9" s="1"/>
  <x:c r="A21" i="9" s="1"/>
  <x:c r="A12" i="10"/>
  <x:c r="G45" i="3"/>
  <x:c r="H45" i="3"/>
  <x:c r="F45" i="3"/>
  <x:c r="C44" i="3"/>
  <x:c r="G42" i="3"/>
  <x:c r="F41" i="3"/>
  <x:c r="H41" i="3" s="1"/>
  <x:c r="F40" i="3"/>
  <x:c r="D41" i="3"/>
  <x:c r="E41" i="3"/>
  <x:c r="D40" i="3"/>
  <x:c r="E40" i="3"/>
  <x:c r="C40" i="3"/>
  <x:c r="G35" i="3"/>
  <x:c r="F31" i="3"/>
  <x:c r="H31" i="3" s="1"/>
  <x:c r="F32" i="3"/>
  <x:c r="H32" i="3" s="1"/>
  <x:c r="F33" i="3"/>
  <x:c r="H33" i="3" s="1"/>
  <x:c r="F34" i="3"/>
  <x:c r="H34" i="3" s="1"/>
  <x:c r="F30" i="3"/>
  <x:c r="E31" i="3"/>
  <x:c r="E32" i="3"/>
  <x:c r="E33" i="3"/>
  <x:c r="E34" i="3"/>
  <x:c r="E30" i="3"/>
  <x:c r="D31" i="3"/>
  <x:c r="D32" i="3"/>
  <x:c r="D33" i="3"/>
  <x:c r="D34" i="3"/>
  <x:c r="D30" i="3"/>
  <x:c r="C34" i="3"/>
  <x:c r="C31" i="3"/>
  <x:c r="C32" i="3"/>
  <x:c r="C30" i="3"/>
  <x:c r="G21" i="3"/>
  <x:c r="A21" i="4" l="1"/>
  <x:c r="A22" i="4" s="1"/>
  <x:c r="A23" i="4" s="1"/>
  <x:c r="A24" i="4" s="1"/>
  <x:c r="F42" i="3"/>
  <x:c r="F35" i="3"/>
  <x:c r="H40" i="3"/>
  <x:c r="H42" i="3" s="1"/>
  <x:c r="G22" i="3" l="1"/>
  <x:c r="G20" i="3"/>
  <x:c r="F17" i="3"/>
  <x:c r="H17" i="3" s="1"/>
  <x:c r="F18" i="3"/>
  <x:c r="H18" i="3" s="1"/>
  <x:c r="F19" i="3"/>
  <x:c r="H19" i="3" s="1"/>
  <x:c r="D17" i="3"/>
  <x:c r="D18" i="3"/>
  <x:c r="D19" i="3"/>
  <x:c r="E17" i="3"/>
  <x:c r="E18" i="3"/>
  <x:c r="E19" i="3"/>
  <x:c r="D38" i="10" l="1"/>
  <x:c r="F42" i="2"/>
  <x:c r="F35" i="2"/>
  <x:c r="D29" i="10" s="1"/>
  <x:c r="G38" i="10" l="1"/>
  <x:c r="G39" i="10" s="1"/>
  <x:c r="D39" i="10"/>
  <x:c r="D30" i="10"/>
  <x:c r="G29" i="10"/>
  <x:c r="G30" i="10" s="1"/>
  <x:c r="F22" i="2"/>
  <x:c r="D19" i="10" s="1"/>
  <x:c r="F20" i="2"/>
  <x:c r="A13" i="10" l="1"/>
  <x:c r="A14" i="10" s="1"/>
  <x:c r="A15" i="10" s="1"/>
  <x:c r="A16" i="10" s="1"/>
  <x:c r="A17" i="10" s="1"/>
  <x:c r="A18" i="10" s="1"/>
  <x:c r="A19" i="10" s="1"/>
  <x:c r="A20" i="10" s="1"/>
  <x:c r="A21" i="10" s="1"/>
  <x:c r="A22" i="10" s="1"/>
  <x:c r="A23" i="10" s="1"/>
  <x:c r="A24" i="10" s="1"/>
  <x:c r="A25" i="10" s="1"/>
  <x:c r="A26" i="10" s="1"/>
  <x:c r="A27" i="10" s="1"/>
  <x:c r="A28" i="10" s="1"/>
  <x:c r="A29" i="10" s="1"/>
  <x:c r="A30" i="10" s="1"/>
  <x:c r="A31" i="10" s="1"/>
  <x:c r="A32" i="10" l="1"/>
  <x:c r="A33" i="10" s="1"/>
  <x:c r="A34" i="10" s="1"/>
  <x:c r="A35" i="10" s="1"/>
  <x:c r="A36" i="10" s="1"/>
  <x:c r="A37" i="10" s="1"/>
  <x:c r="A38" i="10" s="1"/>
  <x:c r="A39" i="10" s="1"/>
  <x:c r="A40" i="10" s="1"/>
  <x:c r="A41" i="10" s="1"/>
  <x:c r="F21" i="3"/>
  <x:c r="F22" i="3" s="1"/>
  <x:c r="D26" i="10" l="1"/>
  <x:c r="D25" i="10"/>
  <x:c r="D22" i="10" l="1"/>
  <x:c r="D12" i="10" l="1"/>
  <x:c r="D13" i="10"/>
  <x:c r="D11" i="10"/>
  <x:c r="D11" i="6"/>
  <x:c r="F27" i="3" l="1"/>
  <x:c r="E27" i="3"/>
  <x:c r="D27" i="3"/>
  <x:c r="C27" i="3"/>
  <x:c r="F26" i="3"/>
  <x:c r="G26" i="3" s="1"/>
  <x:c r="D15" i="6" s="1"/>
  <x:c r="E26" i="3"/>
  <x:c r="D26" i="3"/>
  <x:c r="C26" i="3"/>
  <x:c r="F24" i="3"/>
  <x:c r="G24" i="3" s="1"/>
  <x:c r="D13" i="6" s="1"/>
  <x:c r="E24" i="3"/>
  <x:c r="D24" i="3"/>
  <x:c r="C24" i="3"/>
  <x:c r="E21" i="3"/>
  <x:c r="D21" i="3"/>
  <x:c r="C21" i="3"/>
  <x:c r="G19" i="10"/>
  <x:c r="F16" i="3"/>
  <x:c r="F20" i="3" s="1"/>
  <x:c r="E16" i="3"/>
  <x:c r="D16" i="3"/>
  <x:c r="C16" i="3"/>
  <x:c r="E12" i="3"/>
  <x:c r="E13" i="3"/>
  <x:c r="D12" i="3"/>
  <x:c r="D13" i="3"/>
  <x:c r="E11" i="3"/>
  <x:c r="D11" i="3"/>
  <x:c r="C12" i="3"/>
  <x:c r="C13" i="3"/>
  <x:c r="C11" i="3"/>
  <x:c r="D35" i="10"/>
  <x:c r="H30" i="3" l="1"/>
  <x:c r="H35" i="3" s="1"/>
  <x:c r="F12" i="3" l="1"/>
  <x:c r="F13" i="3"/>
  <x:c r="F11" i="3"/>
  <x:c r="F14" i="12" l="1"/>
  <x:c r="A11" i="12"/>
  <x:c r="A12" i="12" s="1"/>
  <x:c r="A13" i="12" s="1"/>
  <x:c r="A14" i="12" s="1"/>
  <x:c r="D36" i="10"/>
  <x:c r="G35" i="10"/>
  <x:c r="D27" i="10"/>
  <x:c r="G26" i="10"/>
  <x:c r="G25" i="10"/>
  <x:c r="D23" i="10"/>
  <x:c r="G22" i="10"/>
  <x:c r="G23" i="10" s="1"/>
  <x:c r="D20" i="10"/>
  <x:c r="G20" i="10"/>
  <x:c r="D14" i="10"/>
  <x:c r="G13" i="10"/>
  <x:c r="G12" i="10"/>
  <x:c r="G11" i="10"/>
  <x:c r="D35" i="8"/>
  <x:c r="F31" i="7" s="1"/>
  <x:c r="F32" i="7" s="1"/>
  <x:c r="A11" i="8"/>
  <x:c r="A12" i="8" s="1"/>
  <x:c r="A13" i="8" s="1"/>
  <x:c r="A14" i="8" s="1"/>
  <x:c r="A15" i="8" s="1"/>
  <x:c r="A16" i="8" s="1"/>
  <x:c r="A17" i="8" s="1"/>
  <x:c r="A18" i="8" s="1"/>
  <x:c r="A19" i="8" s="1"/>
  <x:c r="A20" i="8" s="1"/>
  <x:c r="A21" i="8" s="1"/>
  <x:c r="A22" i="8" s="1"/>
  <x:c r="A23" i="8" s="1"/>
  <x:c r="A24" i="8" s="1"/>
  <x:c r="A25" i="8" s="1"/>
  <x:c r="A26" i="8" s="1"/>
  <x:c r="A27" i="8" s="1"/>
  <x:c r="A28" i="8" s="1"/>
  <x:c r="A29" i="8" s="1"/>
  <x:c r="A30" i="8" s="1"/>
  <x:c r="A31" i="8" s="1"/>
  <x:c r="A32" i="8" s="1"/>
  <x:c r="A33" i="8" s="1"/>
  <x:c r="A34" i="8" s="1"/>
  <x:c r="A35" i="8" s="1"/>
  <x:c r="F37" i="7"/>
  <x:c r="F20" i="7"/>
  <x:c r="A11" i="7"/>
  <x:c r="A12" i="7" s="1"/>
  <x:c r="A13" i="7" s="1"/>
  <x:c r="A14" i="7" s="1"/>
  <x:c r="A15" i="7" s="1"/>
  <x:c r="A16" i="7" s="1"/>
  <x:c r="A17" i="7" s="1"/>
  <x:c r="A18" i="7" s="1"/>
  <x:c r="A19" i="7" s="1"/>
  <x:c r="A20" i="7" s="1"/>
  <x:c r="A21" i="7" s="1"/>
  <x:c r="A22" i="7" s="1"/>
  <x:c r="A23" i="7" s="1"/>
  <x:c r="A24" i="7" s="1"/>
  <x:c r="A25" i="7" s="1"/>
  <x:c r="A26" i="7" s="1"/>
  <x:c r="A27" i="7" s="1"/>
  <x:c r="A28" i="7" s="1"/>
  <x:c r="A29" i="7" s="1"/>
  <x:c r="A30" i="7" s="1"/>
  <x:c r="A31" i="7" s="1"/>
  <x:c r="A32" i="7" s="1"/>
  <x:c r="A33" i="7" s="1"/>
  <x:c r="A34" i="7" s="1"/>
  <x:c r="A35" i="7" s="1"/>
  <x:c r="A36" i="7" s="1"/>
  <x:c r="A37" i="7" s="1"/>
  <x:c r="A38" i="7" s="1"/>
  <x:c r="A39" i="7" s="1"/>
  <x:c r="A40" i="7" s="1"/>
  <x:c r="A41" i="7" s="1"/>
  <x:c r="A11" i="6"/>
  <x:c r="A12" i="6" s="1"/>
  <x:c r="A13" i="6" s="1"/>
  <x:c r="A14" i="6" s="1"/>
  <x:c r="A15" i="6" s="1"/>
  <x:c r="A16" i="6" s="1"/>
  <x:c r="A17" i="6" s="1"/>
  <x:c r="A11" i="5"/>
  <x:c r="A12" i="5" s="1"/>
  <x:c r="A13" i="5" s="1"/>
  <x:c r="A14" i="5" s="1"/>
  <x:c r="F28" i="3"/>
  <x:c r="G25" i="3"/>
  <x:c r="F25" i="3"/>
  <x:c r="H25" i="3"/>
  <x:c r="H21" i="3"/>
  <x:c r="H22" i="3" s="1"/>
  <x:c r="H16" i="3"/>
  <x:c r="H20" i="3" s="1"/>
  <x:c r="G14" i="3"/>
  <x:c r="F14" i="3"/>
  <x:c r="H13" i="3"/>
  <x:c r="H12" i="3"/>
  <x:c r="H11" i="3"/>
  <x:c r="A11" i="3"/>
  <x:c r="A12" i="3" s="1"/>
  <x:c r="A13" i="3" s="1"/>
  <x:c r="A14" i="3" s="1"/>
  <x:c r="A15" i="3" s="1"/>
  <x:c r="A16" i="3" s="1"/>
  <x:c r="A17" i="3" s="1"/>
  <x:c r="F45" i="7" l="1"/>
  <x:c r="F47" i="3"/>
  <x:c r="A18" i="3"/>
  <x:c r="A19" i="3" s="1"/>
  <x:c r="A20" i="3" s="1"/>
  <x:c r="A21" i="3" s="1"/>
  <x:c r="A22" i="3" s="1"/>
  <x:c r="A23" i="3" s="1"/>
  <x:c r="A24" i="3" s="1"/>
  <x:c r="A25" i="3" s="1"/>
  <x:c r="A26" i="3" s="1"/>
  <x:c r="A27" i="3" s="1"/>
  <x:c r="A28" i="3" s="1"/>
  <x:c r="A29" i="3" s="1"/>
  <x:c r="A30" i="3" s="1"/>
  <x:c r="A31" i="3" s="1"/>
  <x:c r="A32" i="3" s="1"/>
  <x:c r="A33" i="3" s="1"/>
  <x:c r="A34" i="3" s="1"/>
  <x:c r="A35" i="3" s="1"/>
  <x:c r="G14" i="10"/>
  <x:c r="G27" i="10"/>
  <x:c r="G36" i="10"/>
  <x:c r="H14" i="3"/>
  <x:c r="A36" i="3" l="1"/>
  <x:c r="A37" i="3" s="1"/>
  <x:c r="A38" i="3" s="1"/>
  <x:c r="A39" i="3" s="1"/>
  <x:c r="A40" i="3" s="1"/>
  <x:c r="A41" i="3" s="1"/>
  <x:c r="A42" i="3" s="1"/>
  <x:c r="A43" i="3" s="1"/>
  <x:c r="A44" i="3" s="1"/>
  <x:c r="A11" i="2"/>
  <x:c r="A12" i="2" s="1"/>
  <x:c r="A13" i="2" s="1"/>
  <x:c r="A14" i="2" s="1"/>
  <x:c r="A15" i="2" s="1"/>
  <x:c r="A16" i="2" s="1"/>
  <x:c r="A17" i="2" s="1"/>
  <x:c r="A18" i="2" l="1"/>
  <x:c r="A19" i="2" s="1"/>
  <x:c r="A20" i="2" s="1"/>
  <x:c r="A21" i="2" s="1"/>
  <x:c r="A22" i="2" s="1"/>
  <x:c r="A23" i="2" s="1"/>
  <x:c r="A24" i="2" s="1"/>
  <x:c r="A25" i="2" s="1"/>
  <x:c r="A26" i="2" s="1"/>
  <x:c r="A27" i="2" s="1"/>
  <x:c r="A28" i="2" s="1"/>
  <x:c r="F28" i="2"/>
  <x:c r="F47" i="2" s="1"/>
  <x:c r="F25" i="2"/>
  <x:c r="D16" i="10"/>
  <x:c r="F14" i="2"/>
  <x:c r="A29" i="2" l="1"/>
  <x:c r="A30" i="2" s="1"/>
  <x:c r="A31" i="2" s="1"/>
  <x:c r="A32" i="2" s="1"/>
  <x:c r="A33" i="2" s="1"/>
  <x:c r="A34" i="2" s="1"/>
  <x:c r="A35" i="2" s="1"/>
  <x:c r="D17" i="10"/>
  <x:c r="D41" i="10" s="1"/>
  <x:c r="G16" i="10"/>
  <x:c r="G17" i="10" s="1"/>
  <x:c r="G41" i="10" s="1"/>
  <x:c r="G27" i="3"/>
  <x:c r="H28" i="3"/>
  <x:c r="H47" i="3" s="1"/>
  <x:c r="D16" i="6" l="1"/>
  <x:c r="D20" i="6" s="1"/>
  <x:c r="A36" i="2"/>
  <x:c r="A37" i="2" s="1"/>
  <x:c r="A38" i="2" s="1"/>
  <x:c r="A39" i="2" s="1"/>
  <x:c r="A40" i="2" s="1"/>
  <x:c r="A41" i="2" s="1"/>
  <x:c r="A42" i="2" s="1"/>
  <x:c r="A43" i="2" s="1"/>
  <x:c r="A44" i="2" s="1"/>
  <x:c r="G28" i="3"/>
  <x:c r="G47" i="3" s="1"/>
</x:calcChain>
</file>

<file path=xl/sharedStrings.xml><?xml version="1.0" encoding="utf-8"?>
<sst xmlns="http://schemas.openxmlformats.org/spreadsheetml/2006/main" count="592" uniqueCount="309">
  <si>
    <t>FERC</t>
  </si>
  <si>
    <t>FERC Account</t>
  </si>
  <si>
    <t>Line No.</t>
  </si>
  <si>
    <t>Class of Items</t>
  </si>
  <si>
    <t>Account</t>
  </si>
  <si>
    <t>Description</t>
  </si>
  <si>
    <t>Total</t>
  </si>
  <si>
    <t>(a)</t>
  </si>
  <si>
    <t>(c)</t>
  </si>
  <si>
    <t>(d)</t>
  </si>
  <si>
    <t>(e)</t>
  </si>
  <si>
    <t>ONCOR ELECTRIC DELIVERY COMPANY LLC</t>
  </si>
  <si>
    <t>Total Affiliate Expenses</t>
  </si>
  <si>
    <t>Outside Services Employed</t>
  </si>
  <si>
    <t>V-K-1 AFFILIATE EXPENSES BY FERC ACCOUNT</t>
  </si>
  <si>
    <t xml:space="preserve">  Total Veritas Technologies LLC</t>
  </si>
  <si>
    <t>Construction Work in Progress</t>
  </si>
  <si>
    <t>Trans Exp - Electricity by Others</t>
  </si>
  <si>
    <t>Sub-Class</t>
  </si>
  <si>
    <t>(b)</t>
  </si>
  <si>
    <t>Annual Tax Return Review</t>
  </si>
  <si>
    <t>Annual Corptax Access</t>
  </si>
  <si>
    <t>Consulting-Uncertain tax positions</t>
  </si>
  <si>
    <t xml:space="preserve">  Total Oncor Cares Foundation</t>
  </si>
  <si>
    <t>Misc. General Expense</t>
  </si>
  <si>
    <t>Ultimate Kronos Group Inc</t>
  </si>
  <si>
    <t>Veritas Technologies LLC</t>
  </si>
  <si>
    <t>Sharyland NTS</t>
  </si>
  <si>
    <t>NTU NTS</t>
  </si>
  <si>
    <t>NTU WDSS</t>
  </si>
  <si>
    <t>TAX SERVICES</t>
  </si>
  <si>
    <t>SOFTWARE &amp; DATA SUPPORT</t>
  </si>
  <si>
    <t>TARIFFED SERVICES</t>
  </si>
  <si>
    <t>CONTRIBUTIONS</t>
  </si>
  <si>
    <t>Oncor Cares Foundation</t>
  </si>
  <si>
    <t>V-K-2 ADJUSTED AFFILIATE EXPENSES BY FERC ACCOUNT</t>
  </si>
  <si>
    <t>Pro-forma</t>
  </si>
  <si>
    <t>Adjusted</t>
  </si>
  <si>
    <t>Adjustments</t>
  </si>
  <si>
    <t>Historic Year</t>
  </si>
  <si>
    <t>(f)</t>
  </si>
  <si>
    <t>(g)</t>
  </si>
  <si>
    <t>V-K-4 DESCRIPTION OF SERVICES</t>
  </si>
  <si>
    <t>Affiliate</t>
  </si>
  <si>
    <t>Description of Services</t>
  </si>
  <si>
    <t xml:space="preserve">    TAX SERVICES</t>
  </si>
  <si>
    <t>Tax Services - Consulting-Uncertain Tax Positions</t>
  </si>
  <si>
    <t>Sempra provides assistance to Oncor with its quarterly updates on uncertain tax positions based on Accounting Standards Codification (ASC) 740, "Income Taxes" for calendar quarters ending each March 31, June 30, September 30, and December 31.</t>
  </si>
  <si>
    <t>Tax Services - Annual Tax Return Review</t>
  </si>
  <si>
    <t>Services include review of the annual Federal Tax Returns of Oncor and all affiliates within the Oncor ring fence.</t>
  </si>
  <si>
    <t>Tax Services - Annual CorpTax Access</t>
  </si>
  <si>
    <t>Provision of Sempra's license and access to CorpTax software for Oncor's use in preparing, printing, and data storage for the annual Federal Income Tax Returns.</t>
  </si>
  <si>
    <t xml:space="preserve">    SOFTWARE &amp; DATA SUPPORT</t>
  </si>
  <si>
    <t>Software and Data Support</t>
  </si>
  <si>
    <t>Services include enterprise data protection, data storage, data back-up, and disaster recovery.</t>
  </si>
  <si>
    <t xml:space="preserve">    TARIFFED SERVICES</t>
  </si>
  <si>
    <t>Sharyland Utilities</t>
  </si>
  <si>
    <t>Tariffed Services - Network Transmission Service (NTS)</t>
  </si>
  <si>
    <t>Services include tariffed network transmission service rated at 60 kV and above.</t>
  </si>
  <si>
    <t>Tariffed Services - Wholesale Distribution Substation Service (WDSS)</t>
  </si>
  <si>
    <t>All transformation service supplied in connection with the delivery of electric power and energy to a Point of Interconnection, measured through one meter provided through tariffed wholesale distribution substation service.</t>
  </si>
  <si>
    <t xml:space="preserve">    CONTRIBUTIONS</t>
  </si>
  <si>
    <t>Contributions</t>
  </si>
  <si>
    <t>Oncor Cares Foundation was formed to make grants for charitable purposes and to direct resources in furtherance of such purposes.</t>
  </si>
  <si>
    <t>V-K-5 CAPITAL PROJECTS</t>
  </si>
  <si>
    <t>Closed to</t>
  </si>
  <si>
    <t>Project ID</t>
  </si>
  <si>
    <t>Project Description</t>
  </si>
  <si>
    <t>Capitalized</t>
  </si>
  <si>
    <t>Plant-in-Service</t>
  </si>
  <si>
    <t>V-K-6 ADJUSTMENTS TO TEST YEAR EXPENSES</t>
  </si>
  <si>
    <t>Purpose</t>
  </si>
  <si>
    <t>Adjustment</t>
  </si>
  <si>
    <t>Software maintenance annual increase</t>
  </si>
  <si>
    <t xml:space="preserve">Add of annual software maintenance price increase </t>
  </si>
  <si>
    <t>V-K-8 SERVICES PROVIDED TO AFFILIATES</t>
  </si>
  <si>
    <t>Affiliate Company</t>
  </si>
  <si>
    <t>Amount</t>
  </si>
  <si>
    <t>FERC Account Description</t>
  </si>
  <si>
    <t>Receiving Service</t>
  </si>
  <si>
    <t>Description of Service</t>
  </si>
  <si>
    <t>Per Book</t>
  </si>
  <si>
    <t>Operations and Metering Services</t>
  </si>
  <si>
    <t>Other Revenue-Other</t>
  </si>
  <si>
    <t>Operations services (monitoring, controlling, etc.)</t>
  </si>
  <si>
    <t>Rent-Elect Prop-Other</t>
  </si>
  <si>
    <t>Total Cost of Ownership (TCO)</t>
  </si>
  <si>
    <t>Transmission System Operation, Maintenance and Metering Support and O &amp; M Services</t>
  </si>
  <si>
    <t>Interest on Debt</t>
  </si>
  <si>
    <t>Interest Inc-Assoc Cos</t>
  </si>
  <si>
    <t>Interest on long-term note payable</t>
  </si>
  <si>
    <t>Capital Projects</t>
  </si>
  <si>
    <t>1010###</t>
  </si>
  <si>
    <t>Plant in Service (Various)</t>
  </si>
  <si>
    <t>To, From &amp; Over (TFO)</t>
  </si>
  <si>
    <t>Sempra Gas &amp; Power Mktg</t>
  </si>
  <si>
    <t>Transmission Service</t>
  </si>
  <si>
    <t xml:space="preserve">Export svcs billed under the NTU Tariff for Trans Svc </t>
  </si>
  <si>
    <t>Total Sempra Gas &amp; Power Marketing</t>
  </si>
  <si>
    <t>TOTAL AFFILIATE COSTS BILLED</t>
  </si>
  <si>
    <t xml:space="preserve">Closed to </t>
  </si>
  <si>
    <t>V-K-11 DESCRIPTION OF AFFILIATE BILLING METHODS</t>
  </si>
  <si>
    <t>Billing Metric</t>
  </si>
  <si>
    <t>Update</t>
  </si>
  <si>
    <t>Billing Methodology</t>
  </si>
  <si>
    <t>Frequency</t>
  </si>
  <si>
    <t>Update Frequency</t>
  </si>
  <si>
    <t>Tax Services - Consulting-Uncertain Tax Positions - Sempra</t>
  </si>
  <si>
    <t>Annually</t>
  </si>
  <si>
    <t>Tax Services - Annual Tax Return Review - Sempra</t>
  </si>
  <si>
    <t xml:space="preserve">Direct billing based on costs and fees contained in the negotiated contract and additional Statements of Work. </t>
  </si>
  <si>
    <t>Data Storage and Back-up - Veritas Technologies LLC</t>
  </si>
  <si>
    <t xml:space="preserve">Direct billing based on costs and fees contained in the negotiated contract, contract addenda, and additional Statements of Work. </t>
  </si>
  <si>
    <t>Semi-annually</t>
  </si>
  <si>
    <t>Base Rate Case</t>
  </si>
  <si>
    <t>Oncor's Senior Leadership Team determines the level of contributions to be made to the Foundation for charitable purposes. The amounts contributed are discretionary and, therefore, independent of any other party making contributions to the Foundation.</t>
  </si>
  <si>
    <t>V-K-12 AMOUNTS BILLED TO EACH AFFILIATE</t>
  </si>
  <si>
    <t>Oncor</t>
  </si>
  <si>
    <t>Transmission/</t>
  </si>
  <si>
    <t>Distribution</t>
  </si>
  <si>
    <t>Transmission</t>
  </si>
  <si>
    <t>(ESD)</t>
  </si>
  <si>
    <t>(TRN)</t>
  </si>
  <si>
    <t>(TRNDS)</t>
  </si>
  <si>
    <t>Consulting - Uncertain Tax Position</t>
  </si>
  <si>
    <t>Corptax Access</t>
  </si>
  <si>
    <t xml:space="preserve">    Total Ultimate Software Group Inc</t>
  </si>
  <si>
    <t xml:space="preserve">    Total Veritas Technologies LLC</t>
  </si>
  <si>
    <t>Sempra</t>
  </si>
  <si>
    <t xml:space="preserve">    Total Oncor Cares Foundation</t>
  </si>
  <si>
    <t>V-K-13 AFFILIATE PROJECT CODES CREATED/CLOSED</t>
  </si>
  <si>
    <t>Created/</t>
  </si>
  <si>
    <t>Project Title</t>
  </si>
  <si>
    <t>Closed</t>
  </si>
  <si>
    <t>Date</t>
  </si>
  <si>
    <t>Used For</t>
  </si>
  <si>
    <t>Created</t>
  </si>
  <si>
    <t>Tariffed Services</t>
  </si>
  <si>
    <t>Oncor NTU</t>
  </si>
  <si>
    <t>V-K-14 AFFILIATE PAYROLL</t>
  </si>
  <si>
    <t>Class of</t>
  </si>
  <si>
    <t>Items</t>
  </si>
  <si>
    <t>Tax Services</t>
  </si>
  <si>
    <t>Administrative &amp; Gen Salaries</t>
  </si>
  <si>
    <t>Total Affiliate Payroll Expenses</t>
  </si>
  <si>
    <t>See Word File</t>
  </si>
  <si>
    <t>V-K-7 STATUTORY REQUIREMENTS</t>
  </si>
  <si>
    <t>V-K-9  ALLOCATION OF AFFILIATE COSTS</t>
  </si>
  <si>
    <t>V-K-10  CONTROLS</t>
  </si>
  <si>
    <t>V-K-3 ORGANIZATION CHART</t>
  </si>
  <si>
    <t>See PDF</t>
  </si>
  <si>
    <t>Miscellaneous Services</t>
  </si>
  <si>
    <t>Office Supplies and Expenses</t>
  </si>
  <si>
    <t>TOTAL</t>
  </si>
  <si>
    <t>DC Tie operations</t>
  </si>
  <si>
    <t>ERCOT-Polled Settlement (EPS) metering services</t>
  </si>
  <si>
    <t>Wholesale metering service</t>
  </si>
  <si>
    <t>Corporate Support Service loading rate</t>
  </si>
  <si>
    <t>Carrying costs</t>
  </si>
  <si>
    <t>Gross Margin Tax</t>
  </si>
  <si>
    <t>Sales tax</t>
  </si>
  <si>
    <t>Rent-Elec Prop-Other</t>
  </si>
  <si>
    <t>Other Deferred Credit</t>
  </si>
  <si>
    <t>State-Other-Accrual</t>
  </si>
  <si>
    <t>Direct-billed O&amp;M svcs (veg. mgmt., circuit maint. etc.)</t>
  </si>
  <si>
    <t>Whls trans svc provided under the TFO Tariff</t>
  </si>
  <si>
    <t xml:space="preserve">  Total Sharyland Utilities, L.L.C.</t>
  </si>
  <si>
    <t xml:space="preserve">  Total Oncor Electric Delivery Co. NTU LLC</t>
  </si>
  <si>
    <t>Oncor NTU NTS</t>
  </si>
  <si>
    <t>Oncor NTU WDSS</t>
  </si>
  <si>
    <t>Sharyland Utilities, L.L.C.</t>
  </si>
  <si>
    <t>Oncor Electric Delivery Co. NTU LLC</t>
  </si>
  <si>
    <t>Total Oncor NTU</t>
  </si>
  <si>
    <t>Total Sharyland Utilities</t>
  </si>
  <si>
    <t>NTS Tariff - Oncor NTU</t>
  </si>
  <si>
    <t>WDSS Tariff - Oncor NTU</t>
  </si>
  <si>
    <t>Monthly charges are based on an access charge multiplied by the customer's preceding calendar year average 4CP load. The access charge is, as approved, in the most recent revision of the Wholesale Transmission Service Tariff for Sharyland Utilities.</t>
  </si>
  <si>
    <t>Monthly charges are based on an access charge multiplied by the customer's preceding calendar year average 4CP load. The access charge is, as approved, in the most recent revision of the Wholesale Transmission Service Tariff for Oncor NTU.</t>
  </si>
  <si>
    <t>The monthly bill for WDSS is the sum of the Transmission Service Customer Charge, Metering Charge, Demand Charge, and any applicable riders - all rates set in Oncor NTU's Wholesale Transmission Service Tariff. The billing kW used for determining the Demand Charge for a month is Oncor's highest measured 15-minute kW recorded at the Point of Interconnection in the 12-month period ended with the current month.</t>
  </si>
  <si>
    <t xml:space="preserve">    Total Sharyland Utilities, L.L.C.</t>
  </si>
  <si>
    <t xml:space="preserve">    Total Oncor NTU LLC</t>
  </si>
  <si>
    <t>Capital projects (see Oncor RFP Schedule V-K-8.1)</t>
  </si>
  <si>
    <t>V-K-8.1 ONCOR NTU CAPITAL PROJECTS</t>
  </si>
  <si>
    <t>Misc. General Exp. (contribution)</t>
  </si>
  <si>
    <t>Assignment of costs based on the number of entities, users, and archival services specific to Oncor. This methodology is a reasonable approach for assigning costs to Oncor.</t>
  </si>
  <si>
    <t>Assignment of costs based on an evaluation of the time and effort spent by Sempra Tax personnel on behalf of Oncor. Time and effort spent is a reasonable approach for assigning costs to Oncor.</t>
  </si>
  <si>
    <t>2025 RATE CASE</t>
  </si>
  <si>
    <t>FOR THE TEST YEAR ENDING DECEMBER 31, 2024</t>
  </si>
  <si>
    <t>SPONSORS: V. F. SNOW &amp; R. A. PRACHYL</t>
  </si>
  <si>
    <t>SPONSOR: V. F. SNOW</t>
  </si>
  <si>
    <t>SPONSORS: V. F. SNOW</t>
  </si>
  <si>
    <t>Misc. Transmission Expense</t>
  </si>
  <si>
    <t>Ultimate Software Group Inc</t>
  </si>
  <si>
    <t xml:space="preserve">  Total Ultimate Software Group Inc</t>
  </si>
  <si>
    <t>Wholesale Distribution Expense</t>
  </si>
  <si>
    <t>G&amp;W RAILROAD AGREEMENTS</t>
  </si>
  <si>
    <t>Dallas Garland &amp; Northeastern RR</t>
  </si>
  <si>
    <t>Genesee &amp; Wyoming</t>
  </si>
  <si>
    <t>Kiamichi Railroad</t>
  </si>
  <si>
    <t>Texas Northeastern Railroad</t>
  </si>
  <si>
    <t>Rents</t>
  </si>
  <si>
    <t>Misc. Distribution Expense</t>
  </si>
  <si>
    <t xml:space="preserve">  Total G&amp;W Railroad</t>
  </si>
  <si>
    <t>Services include ongoing payroll administration and other human resource services by Ultimate. The Ultimate system (MyHR Connection) includes full responsibility and accountability for payroll-related tax calculations, payment and filing, all wage garnishment disbursement services, and all benefit calculations and payments.</t>
  </si>
  <si>
    <t xml:space="preserve">    G&amp;W RAILROAD AGREEMENTS</t>
  </si>
  <si>
    <t>G&amp;W Railroad Agreements</t>
  </si>
  <si>
    <t>Railroad power line crossings and right of entries through Occupancy License Agreements.</t>
  </si>
  <si>
    <t>Oncor Receivables LLC</t>
  </si>
  <si>
    <t>Oncor contributes to Oncor Receivables LLC the amounts equal to the principal amount of borrowings to be repaid under the AR Facility as well as amounts payable for interest and fees.</t>
  </si>
  <si>
    <t>Tax Services - Annual CorpTax Access - Sempra</t>
  </si>
  <si>
    <t>Human Resources Software Support - Ultimate Software Group Inc.</t>
  </si>
  <si>
    <t>As Needed</t>
  </si>
  <si>
    <t>Billing</t>
  </si>
  <si>
    <t>Methodology</t>
  </si>
  <si>
    <t>Ultimate Software Group</t>
  </si>
  <si>
    <t xml:space="preserve">    Total Oncor Receivables LLC</t>
  </si>
  <si>
    <t>G&amp;W Railroad</t>
  </si>
  <si>
    <t xml:space="preserve">    Total G&amp;W Railroad</t>
  </si>
  <si>
    <t>0PT52861</t>
  </si>
  <si>
    <t>Alibates Synchronous Condenser</t>
  </si>
  <si>
    <t>0PT53000</t>
  </si>
  <si>
    <t>NTUSU DeltaStar Mob XFMR MT35</t>
  </si>
  <si>
    <t>0PT53002</t>
  </si>
  <si>
    <t>NTUSU HK Porter XFMR MT36</t>
  </si>
  <si>
    <t>0PT53260</t>
  </si>
  <si>
    <t>Driver 138 - 25KV</t>
  </si>
  <si>
    <t>0PT53772</t>
  </si>
  <si>
    <t>Brown 138 - 12.5KV</t>
  </si>
  <si>
    <t>0PT53934</t>
  </si>
  <si>
    <t>Salt Mine 138 - 25KV</t>
  </si>
  <si>
    <t>0PT54017</t>
  </si>
  <si>
    <t>0PT54216</t>
  </si>
  <si>
    <t>0PT54225</t>
  </si>
  <si>
    <t>0PT54226</t>
  </si>
  <si>
    <t>0PT54368</t>
  </si>
  <si>
    <t>Glass Ranch 138 - 25KV</t>
  </si>
  <si>
    <t>0PT54460</t>
  </si>
  <si>
    <t>St. Lawrence 138 - 25KV</t>
  </si>
  <si>
    <t>0PT54922</t>
  </si>
  <si>
    <t>Koch - Koch Tap 138 kV</t>
  </si>
  <si>
    <t>0PT55065</t>
  </si>
  <si>
    <t>0PT55206</t>
  </si>
  <si>
    <t>Longdraw - Vealmoor 345 kV</t>
  </si>
  <si>
    <t>0PT55360</t>
  </si>
  <si>
    <t>0PT55380</t>
  </si>
  <si>
    <t>Farmland - Longdraw 345 kV</t>
  </si>
  <si>
    <t>0PT55421</t>
  </si>
  <si>
    <t>0PT55495</t>
  </si>
  <si>
    <t>Pecan Grove 138 - 25KV</t>
  </si>
  <si>
    <t>0PT55628</t>
  </si>
  <si>
    <t>0PT56030</t>
  </si>
  <si>
    <t>Sale Ranch 138 - 25KV</t>
  </si>
  <si>
    <t>0PT56205</t>
  </si>
  <si>
    <t>0PT56627</t>
  </si>
  <si>
    <t>Rocky Road 138 - 25KV</t>
  </si>
  <si>
    <t>0PT56861</t>
  </si>
  <si>
    <t>White River 345 kV</t>
  </si>
  <si>
    <t>AJ Swope 345 kV</t>
  </si>
  <si>
    <t>Tule Canyon Synchronous Condenser</t>
  </si>
  <si>
    <t>Windmill 345 kV</t>
  </si>
  <si>
    <t>Clearfork - Telephone Road 345 kV</t>
  </si>
  <si>
    <t>Alibates 345 kV</t>
  </si>
  <si>
    <t>Miscellaneous Receivables</t>
  </si>
  <si>
    <t>Cyrusone Inc</t>
  </si>
  <si>
    <t>Processing fees for easement encroachment</t>
  </si>
  <si>
    <t>Total Cyrusone Inc</t>
  </si>
  <si>
    <t>LOAD MANAGEMENT</t>
  </si>
  <si>
    <t xml:space="preserve">  Total Lineage Logistics Holdings, LLC</t>
  </si>
  <si>
    <t>Lineage Logistics Holdings, LLC</t>
  </si>
  <si>
    <t>Accum. Prov. - Misc. Operations</t>
  </si>
  <si>
    <t>Total Lineage Logistics Holdings, LLC</t>
  </si>
  <si>
    <t xml:space="preserve">    LOAD MANAGEMENT</t>
  </si>
  <si>
    <t>Load Management</t>
  </si>
  <si>
    <r>
      <rPr>
        <sz val="12"/>
        <color theme="1"/>
        <rFont val="Arial"/>
        <family val="2"/>
      </rPr>
      <t>Lineage Logistics Holdings, LLC is a participant in Oncor’s Winter Emergency Load Management energy efficiency program, and received payments through that program in</t>
    </r>
    <r>
      <rPr>
        <b/>
        <sz val="12"/>
        <color theme="1"/>
        <rFont val="Arial"/>
        <family val="2"/>
      </rPr>
      <t xml:space="preserve"> </t>
    </r>
    <r>
      <rPr>
        <sz val="12"/>
        <color theme="1"/>
        <rFont val="Arial"/>
        <family val="2"/>
      </rPr>
      <t xml:space="preserve">accordance with the terms of its Texas Energy Efficiency Market Agreement and Winter Emergency Load Management Program Reservation of Funds Agreement with Oncor. </t>
    </r>
  </si>
  <si>
    <t>IWHC2400</t>
  </si>
  <si>
    <t>INDCONOH</t>
  </si>
  <si>
    <t>OPT46977</t>
  </si>
  <si>
    <t>1112472W</t>
  </si>
  <si>
    <t>New Interface File</t>
  </si>
  <si>
    <t>HCM Enhancements</t>
  </si>
  <si>
    <t>Payne-Valley 138kV Crossing</t>
  </si>
  <si>
    <t>Kiamichi Easement Renewal</t>
  </si>
  <si>
    <t>In Progress</t>
  </si>
  <si>
    <t xml:space="preserve">    Total Lineage Logistics Holdings, LLC</t>
  </si>
  <si>
    <t>G&amp;W</t>
  </si>
  <si>
    <t xml:space="preserve">  Total Oncor Receivables LLC</t>
  </si>
  <si>
    <t>NTS Tariff - Sharyland Utilities, L.L.C.</t>
  </si>
  <si>
    <t>Note: Software &amp; Data Support,  G&amp;W Railroad Agreements, Load Management and Tariffed Services are billed to  Oncor in compliance with arm’s-length negotiated contracts or Commission approved tariffs.  The amounts billed to Oncor through these contracts and tariffs are based on a compilation of all expenses required to provide these services.  The individual component costs for these services, including payroll, are not separately identifiable to Oncor.  There are no payroll costs in those amounts contributed to Oncor Cares Foundation and Oncor Receivables.</t>
  </si>
  <si>
    <t>AR Facility</t>
  </si>
  <si>
    <t>Other Op Rev-Svc Rev-Assoc Co</t>
  </si>
  <si>
    <t>Total Oncor Receivables LLC</t>
  </si>
  <si>
    <t>Servicer Fee revenue</t>
  </si>
  <si>
    <t>Elimination of contributions for consolidated results</t>
  </si>
  <si>
    <t>Financial consolidation</t>
  </si>
  <si>
    <t>A/R FACILITY</t>
  </si>
  <si>
    <t>(1)</t>
  </si>
  <si>
    <t>Note:</t>
  </si>
  <si>
    <t>Customer Service - Affiliate</t>
  </si>
  <si>
    <t>Restate 2024 with full year impact of NTS rate change and 4CP load change</t>
  </si>
  <si>
    <t>Rate change and load change</t>
  </si>
  <si>
    <r>
      <rPr>
        <vertAlign val="superscript"/>
        <sz val="10"/>
        <color theme="1"/>
        <rFont val="Arial"/>
        <family val="2"/>
      </rPr>
      <t>(1)</t>
    </r>
    <r>
      <rPr>
        <sz val="10"/>
        <color theme="1"/>
        <rFont val="Arial"/>
        <family val="2"/>
      </rPr>
      <t xml:space="preserve"> Oncor and Oncor Receivables LLC, a special purpose entity and wholly-owned </t>
    </r>
    <r>
      <rPr>
        <sz val="10"/>
        <rFont val="Arial"/>
        <family val="2"/>
      </rPr>
      <t>consolidated</t>
    </r>
    <r>
      <rPr>
        <sz val="10"/>
        <color theme="1"/>
        <rFont val="Arial"/>
        <family val="2"/>
      </rPr>
      <t xml:space="preserve"> subsidiary of Oncor, established a revolving accounts receivable securitization facility in April 2023. Pursuant to that facility, Oncor Receivables LLC pays Oncor a monthly servicer fee. Oncor’s revenues (account 4570000) and Oncor Receivables LLC’s expenses (account 9030002) for the affiliate servicer fees are eliminated for consolidation. The adjusted 2024 test year excludes the affiliate service fees.</t>
    </r>
  </si>
  <si>
    <t>A/R Facility</t>
  </si>
  <si>
    <r>
      <t>Lineage Logistics Holdings, LLC is a participant in Oncor’s Winter Emergency Load Management Energy Efficiency Program and Commercial Load Management Program, and received payments through those programs in</t>
    </r>
    <r>
      <rPr>
        <b/>
        <sz val="11"/>
        <color theme="1"/>
        <rFont val="Arial"/>
        <family val="2"/>
      </rPr>
      <t xml:space="preserve"> </t>
    </r>
    <r>
      <rPr>
        <sz val="11"/>
        <color theme="1"/>
        <rFont val="Arial"/>
        <family val="2"/>
      </rPr>
      <t xml:space="preserve">accordance with the terms of its Texas Energy Efficiency Market Agreement. </t>
    </r>
  </si>
  <si>
    <t>O&amp;M</t>
  </si>
  <si>
    <t>Capital</t>
  </si>
  <si>
    <t>Deferred</t>
  </si>
  <si>
    <t xml:space="preserve">  Total</t>
  </si>
  <si>
    <t xml:space="preserve">  Total Sempra</t>
  </si>
  <si>
    <t xml:space="preserve">    Total Sempra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</si>
</sst>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44" formatCode="_(&quot;$&quot;* #,##0.00_);_(&quot;$&quot;* \(#,##0.00\);_(&quot;$&quot;* &quot;-&quot;??_);_(@_)"/>
    <numFmt numFmtId="43" formatCode="_(* #,##0.00_);_(* \(#,##0.00\);_(* &quot;-&quot;??_);_(@_)"/>
    <numFmt numFmtId="164" formatCode="_(* #,##0_);_(* \(#,##0\);_(* &quot;-&quot;??_);_(@_)"/>
    <numFmt numFmtId="165" formatCode="_(&quot;$&quot;* #,##0_);_(&quot;$&quot;* \(#,##0\);_(&quot;$&quot;* &quot;-&quot;??_);_(@_)"/>
    <numFmt numFmtId="166" formatCode="_(&quot;$&quot;* #,##0.0_);_(&quot;$&quot;* \(#,##0.0\);_(&quot;$&quot;* &quot;-&quot;??_);_(@_)"/>
  </numFmts>
  <fonts count="14" x14ac:knownFonts="1">
    <font>
      <sz val="11"/>
      <color theme="1"/>
      <name val="Calibri"/>
      <family val="2"/>
      <scheme val="minor"/>
    </font>
    <font>
      <sz val="11"/>
      <color theme="1"/>
      <name val="Calibri"/>
      <family val="2"/>
      <scheme val="minor"/>
    </font>
    <font>
      <b/>
      <sz val="11"/>
      <name val="Arial"/>
      <family val="2"/>
    </font>
    <font>
      <b/>
      <sz val="12"/>
      <name val="Arial"/>
      <family val="2"/>
    </font>
    <font>
      <sz val="11"/>
      <color theme="1"/>
      <name val="Arial"/>
      <family val="2"/>
    </font>
    <font>
      <b/>
      <sz val="11"/>
      <color theme="1"/>
      <name val="Arial"/>
      <family val="2"/>
    </font>
    <font>
      <sz val="12"/>
      <color theme="1"/>
      <name val="Arial"/>
      <family val="2"/>
    </font>
    <font>
      <vertAlign val="superscript"/>
      <sz val="9"/>
      <color theme="1"/>
      <name val="Arial"/>
      <family val="2"/>
    </font>
    <font>
      <b/>
      <sz val="12"/>
      <color theme="1"/>
      <name val="Arial"/>
      <family val="2"/>
    </font>
    <font>
      <b/>
      <u/>
      <sz val="11"/>
      <color theme="1"/>
      <name val="Arial"/>
      <family val="2"/>
    </font>
    <font>
      <b/>
      <i/>
      <sz val="11"/>
      <color theme="1"/>
      <name val="Arial"/>
      <family val="2"/>
    </font>
    <font>
      <sz val="10"/>
      <color theme="1"/>
      <name val="Arial"/>
      <family val="2"/>
    </font>
    <font>
      <sz val="10"/>
      <name val="Arial"/>
      <family val="2"/>
    </font>
    <font>
      <vertAlign val="superscript"/>
      <sz val="10"/>
      <color theme="1"/>
      <name val="Arial"/>
      <family val="2"/>
    </font>
  </fonts>
  <fills count="2">
    <fill>
      <patternFill patternType="none"/>
    </fill>
    <fill>
      <patternFill patternType="gray125"/>
    </fill>
  </fills>
  <borders count="12">
    <border>
      <left/>
      <right/>
      <top/>
      <bottom/>
      <diagonal/>
    </border>
    <border>
      <left style="thin">
        <color indexed="64"/>
      </left>
      <right style="thin">
        <color indexed="64"/>
      </right>
      <top style="thin">
        <color indexed="64"/>
      </top>
      <bottom style="thin">
        <color indexed="64"/>
      </bottom>
      <diagonal/>
    </border>
    <border>
      <left/>
      <right/>
      <top/>
      <bottom style="thin">
        <color indexed="64"/>
      </bottom>
      <diagonal/>
    </border>
    <border>
      <left/>
      <right/>
      <top style="thin">
        <color indexed="64"/>
      </top>
      <bottom style="thin">
        <color indexed="64"/>
      </bottom>
      <diagonal/>
    </border>
    <border>
      <left/>
      <right/>
      <top style="thin">
        <color indexed="64"/>
      </top>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right/>
      <top style="thin">
        <color indexed="64"/>
      </top>
      <bottom style="double">
        <color indexed="64"/>
      </bottom>
      <diagonal/>
    </border>
    <border>
      <left/>
      <right/>
      <top/>
      <bottom style="double">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s>
  <cellStyleXfs count="3">
    <xf numFmtId="0" fontId="0" fillId="0" borderId="0"/>
    <xf numFmtId="43" fontId="1" fillId="0" borderId="0" applyFont="0" applyFill="0" applyBorder="0" applyAlignment="0" applyProtection="0"/>
    <xf numFmtId="44" fontId="1" fillId="0" borderId="0" applyFont="0" applyFill="0" applyBorder="0" applyAlignment="0" applyProtection="0"/>
  </cellStyleXfs>
  <cellXfs count="173">
    <xf numFmtId="0" fontId="0" fillId="0" borderId="0" xfId="0"/>
    <xf numFmtId="0" fontId="4" fillId="0" borderId="0" xfId="0" applyFont="1"/>
    <xf numFmtId="0" fontId="4" fillId="0" borderId="0" xfId="0" applyFont="1" applyAlignment="1">
      <alignment horizontal="center"/>
    </xf>
    <xf numFmtId="164" fontId="4" fillId="0" borderId="0" xfId="0" applyNumberFormat="1" applyFont="1"/>
    <xf numFmtId="0" fontId="4" fillId="0" borderId="1" xfId="0" applyFont="1" applyBorder="1" applyAlignment="1">
      <alignment horizontal="center"/>
    </xf>
    <xf numFmtId="0" fontId="4" fillId="0" borderId="1" xfId="0" applyFont="1" applyBorder="1"/>
    <xf numFmtId="164" fontId="4" fillId="0" borderId="1" xfId="0" applyNumberFormat="1" applyFont="1" applyBorder="1"/>
    <xf numFmtId="164" fontId="5" fillId="0" borderId="1" xfId="0" applyNumberFormat="1" applyFont="1" applyBorder="1"/>
    <xf numFmtId="0" fontId="5" fillId="0" borderId="1" xfId="0" applyFont="1" applyFill="1" applyBorder="1"/>
    <xf numFmtId="164" fontId="5" fillId="0" borderId="1" xfId="0" applyNumberFormat="1" applyFont="1" applyFill="1" applyBorder="1"/>
    <xf numFmtId="0" fontId="4" fillId="0" borderId="1" xfId="0" applyFont="1" applyFill="1" applyBorder="1" applyAlignment="1">
      <alignment horizontal="center"/>
    </xf>
    <xf numFmtId="0" fontId="4" fillId="0" borderId="1" xfId="0" applyFont="1" applyFill="1" applyBorder="1"/>
    <xf numFmtId="164" fontId="4" fillId="0" borderId="1" xfId="0" applyNumberFormat="1" applyFont="1" applyFill="1" applyBorder="1"/>
    <xf numFmtId="164" fontId="4" fillId="0" borderId="1" xfId="1" applyNumberFormat="1" applyFont="1" applyBorder="1"/>
    <xf numFmtId="49" fontId="4" fillId="0" borderId="0" xfId="0" applyNumberFormat="1" applyFont="1"/>
    <xf numFmtId="164" fontId="5" fillId="0" borderId="1" xfId="1" applyNumberFormat="1" applyFont="1" applyBorder="1"/>
    <xf numFmtId="43" fontId="4" fillId="0" borderId="0" xfId="1" applyFont="1"/>
    <xf numFmtId="0" fontId="5" fillId="0" borderId="0" xfId="0" applyFont="1" applyAlignment="1">
      <alignment horizontal="center"/>
    </xf>
    <xf numFmtId="0" fontId="2" fillId="0" borderId="2" xfId="0" applyFont="1" applyBorder="1" applyAlignment="1">
      <alignment horizontal="center"/>
    </xf>
    <xf numFmtId="164" fontId="2" fillId="0" borderId="2" xfId="0" applyNumberFormat="1" applyFont="1" applyBorder="1" applyAlignment="1">
      <alignment horizontal="center"/>
    </xf>
    <xf numFmtId="0" fontId="2" fillId="0" borderId="3" xfId="0" quotePrefix="1" applyFont="1" applyBorder="1" applyAlignment="1">
      <alignment horizontal="center"/>
    </xf>
    <xf numFmtId="164" fontId="2" fillId="0" borderId="3" xfId="0" quotePrefix="1" applyNumberFormat="1" applyFont="1" applyBorder="1" applyAlignment="1">
      <alignment horizontal="center"/>
    </xf>
    <xf numFmtId="0" fontId="6" fillId="0" borderId="0" xfId="0" applyFont="1"/>
    <xf numFmtId="0" fontId="6" fillId="0" borderId="0" xfId="0" applyFont="1" applyAlignment="1">
      <alignment horizontal="center"/>
    </xf>
    <xf numFmtId="43" fontId="6" fillId="0" borderId="0" xfId="1" applyFont="1"/>
    <xf numFmtId="0" fontId="4" fillId="0" borderId="1" xfId="0" applyFont="1" applyBorder="1" applyAlignment="1">
      <alignment horizontal="left"/>
    </xf>
    <xf numFmtId="0" fontId="5" fillId="0" borderId="1" xfId="0" applyFont="1" applyFill="1" applyBorder="1" applyAlignment="1">
      <alignment horizontal="left"/>
    </xf>
    <xf numFmtId="0" fontId="4" fillId="0" borderId="1" xfId="0" applyFont="1" applyFill="1" applyBorder="1" applyAlignment="1">
      <alignment horizontal="left"/>
    </xf>
    <xf numFmtId="0" fontId="5" fillId="0" borderId="1" xfId="0" applyFont="1" applyBorder="1" applyAlignment="1">
      <alignment horizontal="left"/>
    </xf>
    <xf numFmtId="0" fontId="4" fillId="0" borderId="4" xfId="0" applyFont="1" applyBorder="1" applyAlignment="1">
      <alignment horizontal="center"/>
    </xf>
    <xf numFmtId="0" fontId="4" fillId="0" borderId="0" xfId="0" applyFont="1" applyBorder="1"/>
    <xf numFmtId="0" fontId="5" fillId="0" borderId="1" xfId="0" applyFont="1" applyBorder="1" applyAlignment="1">
      <alignment horizontal="center"/>
    </xf>
    <xf numFmtId="0" fontId="5" fillId="0" borderId="1" xfId="0" applyFont="1" applyFill="1" applyBorder="1" applyAlignment="1">
      <alignment horizontal="center"/>
    </xf>
    <xf numFmtId="0" fontId="7" fillId="0" borderId="0" xfId="0" quotePrefix="1" applyFont="1" applyAlignment="1">
      <alignment vertical="top"/>
    </xf>
    <xf numFmtId="0" fontId="2" fillId="0" borderId="0" xfId="0" applyFont="1" applyBorder="1" applyAlignment="1">
      <alignment horizontal="left"/>
    </xf>
    <xf numFmtId="0" fontId="4" fillId="0" borderId="5" xfId="0" applyFont="1" applyBorder="1" applyAlignment="1">
      <alignment horizontal="left" vertical="top" wrapText="1"/>
    </xf>
    <xf numFmtId="0" fontId="4" fillId="0" borderId="1" xfId="0" applyFont="1" applyBorder="1" applyAlignment="1">
      <alignment horizontal="left" vertical="top" wrapText="1"/>
    </xf>
    <xf numFmtId="0" fontId="4" fillId="0" borderId="1" xfId="0" applyFont="1" applyBorder="1" applyAlignment="1">
      <alignment vertical="top" wrapText="1"/>
    </xf>
    <xf numFmtId="0" fontId="4" fillId="0" borderId="6" xfId="0" applyFont="1" applyBorder="1" applyAlignment="1">
      <alignment horizontal="left" vertical="top" wrapText="1"/>
    </xf>
    <xf numFmtId="0" fontId="4" fillId="0" borderId="7" xfId="0" applyFont="1" applyBorder="1" applyAlignment="1">
      <alignment horizontal="left" vertical="top" wrapText="1"/>
    </xf>
    <xf numFmtId="0" fontId="5" fillId="0" borderId="3" xfId="0" applyFont="1" applyBorder="1" applyAlignment="1">
      <alignment horizontal="left"/>
    </xf>
    <xf numFmtId="0" fontId="4" fillId="0" borderId="3" xfId="0" applyFont="1" applyBorder="1" applyAlignment="1">
      <alignment horizontal="left" vertical="top" wrapText="1"/>
    </xf>
    <xf numFmtId="0" fontId="4" fillId="0" borderId="3" xfId="0" applyFont="1" applyBorder="1" applyAlignment="1">
      <alignment vertical="top" wrapText="1"/>
    </xf>
    <xf numFmtId="0" fontId="4" fillId="0" borderId="1" xfId="0" applyFont="1" applyBorder="1" applyAlignment="1">
      <alignment horizontal="left" vertical="top"/>
    </xf>
    <xf numFmtId="0" fontId="4" fillId="0" borderId="7" xfId="0" applyFont="1" applyBorder="1" applyAlignment="1">
      <alignment vertical="top" wrapText="1"/>
    </xf>
    <xf numFmtId="0" fontId="4" fillId="0" borderId="7" xfId="0" applyFont="1" applyFill="1" applyBorder="1" applyAlignment="1">
      <alignment vertical="top" wrapText="1"/>
    </xf>
    <xf numFmtId="0" fontId="4" fillId="0" borderId="1" xfId="0" applyFont="1" applyBorder="1" applyAlignment="1">
      <alignment vertical="top"/>
    </xf>
    <xf numFmtId="0" fontId="8" fillId="0" borderId="0" xfId="0" applyFont="1" applyAlignment="1">
      <alignment horizontal="center"/>
    </xf>
    <xf numFmtId="0" fontId="5" fillId="0" borderId="2" xfId="0" applyFont="1" applyBorder="1" applyAlignment="1">
      <alignment horizontal="center"/>
    </xf>
    <xf numFmtId="164" fontId="5" fillId="0" borderId="2" xfId="1" applyNumberFormat="1" applyFont="1" applyBorder="1" applyAlignment="1">
      <alignment horizontal="center"/>
    </xf>
    <xf numFmtId="0" fontId="5" fillId="0" borderId="0" xfId="0" applyFont="1" applyFill="1" applyBorder="1"/>
    <xf numFmtId="0" fontId="5" fillId="0" borderId="3" xfId="0" applyFont="1" applyBorder="1" applyAlignment="1">
      <alignment horizontal="center"/>
    </xf>
    <xf numFmtId="0" fontId="4" fillId="0" borderId="0" xfId="0" applyFont="1" applyFill="1" applyBorder="1" applyAlignment="1">
      <alignment horizontal="center"/>
    </xf>
    <xf numFmtId="0" fontId="4" fillId="0" borderId="0" xfId="0" applyFont="1" applyBorder="1" applyAlignment="1">
      <alignment horizontal="center"/>
    </xf>
    <xf numFmtId="0" fontId="4" fillId="0" borderId="0" xfId="0" applyFont="1" applyBorder="1" applyAlignment="1">
      <alignment horizontal="left"/>
    </xf>
    <xf numFmtId="165" fontId="4" fillId="0" borderId="0" xfId="2" applyNumberFormat="1" applyFont="1" applyBorder="1" applyAlignment="1">
      <alignment horizontal="center"/>
    </xf>
    <xf numFmtId="14" fontId="4" fillId="0" borderId="0" xfId="0" applyNumberFormat="1" applyFont="1" applyBorder="1" applyAlignment="1">
      <alignment horizontal="center"/>
    </xf>
    <xf numFmtId="0" fontId="5" fillId="0" borderId="0" xfId="0" applyFont="1" applyBorder="1" applyAlignment="1">
      <alignment horizontal="center"/>
    </xf>
    <xf numFmtId="164" fontId="4" fillId="0" borderId="0" xfId="1" applyNumberFormat="1" applyFont="1"/>
    <xf numFmtId="0" fontId="6" fillId="0" borderId="0" xfId="0" applyFont="1" applyBorder="1"/>
    <xf numFmtId="0" fontId="9" fillId="0" borderId="0" xfId="0" applyFont="1" applyBorder="1"/>
    <xf numFmtId="164" fontId="6" fillId="0" borderId="0" xfId="1" applyNumberFormat="1" applyFont="1"/>
    <xf numFmtId="164" fontId="5" fillId="0" borderId="0" xfId="0" applyNumberFormat="1" applyFont="1" applyAlignment="1">
      <alignment horizontal="center"/>
    </xf>
    <xf numFmtId="0" fontId="2" fillId="0" borderId="4" xfId="0" quotePrefix="1" applyFont="1" applyBorder="1" applyAlignment="1">
      <alignment horizontal="center"/>
    </xf>
    <xf numFmtId="164" fontId="2" fillId="0" borderId="4" xfId="0" quotePrefix="1" applyNumberFormat="1" applyFont="1" applyBorder="1" applyAlignment="1">
      <alignment horizontal="center"/>
    </xf>
    <xf numFmtId="0" fontId="5" fillId="0" borderId="0" xfId="0" applyFont="1" applyBorder="1" applyAlignment="1">
      <alignment horizontal="left"/>
    </xf>
    <xf numFmtId="165" fontId="4" fillId="0" borderId="0" xfId="2" applyNumberFormat="1" applyFont="1" applyBorder="1"/>
    <xf numFmtId="0" fontId="4" fillId="0" borderId="0" xfId="0" applyFont="1" applyAlignment="1">
      <alignment horizontal="left"/>
    </xf>
    <xf numFmtId="164" fontId="4" fillId="0" borderId="0" xfId="0" applyNumberFormat="1" applyFont="1" applyBorder="1"/>
    <xf numFmtId="164" fontId="4" fillId="0" borderId="2" xfId="0" applyNumberFormat="1" applyFont="1" applyBorder="1"/>
    <xf numFmtId="0" fontId="4" fillId="0" borderId="0" xfId="0" applyFont="1" applyFill="1" applyBorder="1" applyAlignment="1">
      <alignment horizontal="left"/>
    </xf>
    <xf numFmtId="164" fontId="4" fillId="0" borderId="0" xfId="0" applyNumberFormat="1" applyFont="1" applyFill="1" applyBorder="1"/>
    <xf numFmtId="0" fontId="4" fillId="0" borderId="0" xfId="0" applyFont="1" applyFill="1" applyBorder="1" applyAlignment="1">
      <alignment horizontal="left" wrapText="1"/>
    </xf>
    <xf numFmtId="164" fontId="4" fillId="0" borderId="2" xfId="0" applyNumberFormat="1" applyFont="1" applyFill="1" applyBorder="1"/>
    <xf numFmtId="165" fontId="5" fillId="0" borderId="8" xfId="2" applyNumberFormat="1" applyFont="1" applyFill="1" applyBorder="1"/>
    <xf numFmtId="0" fontId="5" fillId="0" borderId="0" xfId="0" applyFont="1" applyFill="1" applyBorder="1" applyAlignment="1">
      <alignment horizontal="left"/>
    </xf>
    <xf numFmtId="0" fontId="4" fillId="0" borderId="0" xfId="0" applyFont="1" applyFill="1" applyBorder="1"/>
    <xf numFmtId="164" fontId="5" fillId="0" borderId="0" xfId="0" applyNumberFormat="1" applyFont="1" applyFill="1" applyBorder="1"/>
    <xf numFmtId="165" fontId="5" fillId="0" borderId="9" xfId="2" applyNumberFormat="1" applyFont="1" applyFill="1" applyBorder="1"/>
    <xf numFmtId="0" fontId="6" fillId="0" borderId="0" xfId="0" applyFont="1" applyAlignment="1">
      <alignment horizontal="left"/>
    </xf>
    <xf numFmtId="165" fontId="4" fillId="0" borderId="0" xfId="2" applyNumberFormat="1" applyFont="1"/>
    <xf numFmtId="14" fontId="4" fillId="0" borderId="0" xfId="0" applyNumberFormat="1" applyFont="1" applyAlignment="1">
      <alignment horizontal="center"/>
    </xf>
    <xf numFmtId="164" fontId="4" fillId="0" borderId="2" xfId="1" applyNumberFormat="1" applyFont="1" applyBorder="1"/>
    <xf numFmtId="0" fontId="5" fillId="0" borderId="0" xfId="0" applyFont="1" applyBorder="1"/>
    <xf numFmtId="165" fontId="5" fillId="0" borderId="0" xfId="2" applyNumberFormat="1" applyFont="1" applyBorder="1"/>
    <xf numFmtId="0" fontId="3" fillId="0" borderId="0" xfId="0" applyFont="1" applyAlignment="1"/>
    <xf numFmtId="0" fontId="4" fillId="0" borderId="1" xfId="0" applyFont="1" applyFill="1" applyBorder="1" applyAlignment="1">
      <alignment vertical="top" wrapText="1"/>
    </xf>
    <xf numFmtId="0" fontId="4" fillId="0" borderId="1" xfId="0" applyFont="1" applyBorder="1" applyAlignment="1">
      <alignment horizontal="center" vertical="top" wrapText="1"/>
    </xf>
    <xf numFmtId="0" fontId="2" fillId="0" borderId="0" xfId="0" applyFont="1" applyAlignment="1"/>
    <xf numFmtId="0" fontId="2" fillId="0" borderId="0" xfId="0" applyFont="1" applyAlignment="1">
      <alignment horizontal="center"/>
    </xf>
    <xf numFmtId="0" fontId="2" fillId="0" borderId="0" xfId="0" applyFont="1" applyBorder="1" applyAlignment="1">
      <alignment horizontal="center"/>
    </xf>
    <xf numFmtId="0" fontId="5" fillId="0" borderId="1" xfId="0" applyFont="1" applyBorder="1" applyAlignment="1">
      <alignment horizontal="center" vertical="top"/>
    </xf>
    <xf numFmtId="165" fontId="4" fillId="0" borderId="1" xfId="2" applyNumberFormat="1" applyFont="1" applyBorder="1" applyAlignment="1">
      <alignment vertical="top" wrapText="1"/>
    </xf>
    <xf numFmtId="0" fontId="4" fillId="0" borderId="0" xfId="0" applyFont="1" applyBorder="1" applyAlignment="1">
      <alignment horizontal="center" vertical="top" wrapText="1"/>
    </xf>
    <xf numFmtId="164" fontId="4" fillId="0" borderId="1" xfId="1" applyNumberFormat="1" applyFont="1" applyBorder="1" applyAlignment="1">
      <alignment vertical="top" wrapText="1"/>
    </xf>
    <xf numFmtId="0" fontId="5" fillId="0" borderId="1" xfId="0" applyFont="1" applyBorder="1" applyAlignment="1">
      <alignment horizontal="left" vertical="top"/>
    </xf>
    <xf numFmtId="165" fontId="5" fillId="0" borderId="1" xfId="2" applyNumberFormat="1" applyFont="1" applyBorder="1" applyAlignment="1">
      <alignment vertical="top" wrapText="1"/>
    </xf>
    <xf numFmtId="0" fontId="5" fillId="0" borderId="0" xfId="0" applyFont="1" applyBorder="1" applyAlignment="1">
      <alignment horizontal="center" vertical="top" wrapText="1"/>
    </xf>
    <xf numFmtId="0" fontId="5" fillId="0" borderId="0" xfId="0" applyFont="1"/>
    <xf numFmtId="0" fontId="5" fillId="0" borderId="3" xfId="0" applyFont="1" applyBorder="1" applyAlignment="1">
      <alignment horizontal="left" vertical="top"/>
    </xf>
    <xf numFmtId="165" fontId="5" fillId="0" borderId="3" xfId="2" applyNumberFormat="1" applyFont="1" applyBorder="1" applyAlignment="1">
      <alignment vertical="top" wrapText="1"/>
    </xf>
    <xf numFmtId="0" fontId="5" fillId="0" borderId="3" xfId="0" applyFont="1" applyBorder="1" applyAlignment="1">
      <alignment vertical="top" wrapText="1"/>
    </xf>
    <xf numFmtId="0" fontId="5" fillId="0" borderId="10" xfId="0" applyFont="1" applyBorder="1" applyAlignment="1">
      <alignment horizontal="left" vertical="top"/>
    </xf>
    <xf numFmtId="165" fontId="5" fillId="0" borderId="1" xfId="0" applyNumberFormat="1" applyFont="1" applyBorder="1" applyAlignment="1">
      <alignment vertical="top" wrapText="1"/>
    </xf>
    <xf numFmtId="0" fontId="8" fillId="0" borderId="0" xfId="0" applyFont="1"/>
    <xf numFmtId="0" fontId="4" fillId="0" borderId="10" xfId="0" applyFont="1" applyBorder="1" applyAlignment="1">
      <alignment horizontal="left" vertical="top"/>
    </xf>
    <xf numFmtId="164" fontId="5" fillId="0" borderId="0" xfId="1" applyNumberFormat="1" applyFont="1" applyBorder="1" applyAlignment="1">
      <alignment horizontal="center"/>
    </xf>
    <xf numFmtId="164" fontId="5" fillId="0" borderId="0" xfId="1" applyNumberFormat="1" applyFont="1" applyAlignment="1">
      <alignment horizontal="center"/>
    </xf>
    <xf numFmtId="0" fontId="5" fillId="0" borderId="0" xfId="0" quotePrefix="1" applyFont="1" applyBorder="1" applyAlignment="1">
      <alignment horizontal="center"/>
    </xf>
    <xf numFmtId="0" fontId="4" fillId="0" borderId="3" xfId="0" quotePrefix="1" applyFont="1" applyBorder="1" applyAlignment="1">
      <alignment horizontal="left" vertical="top" wrapText="1"/>
    </xf>
    <xf numFmtId="164" fontId="6" fillId="0" borderId="3" xfId="1" applyNumberFormat="1" applyFont="1" applyBorder="1" applyAlignment="1">
      <alignment horizontal="center" vertical="top"/>
    </xf>
    <xf numFmtId="14" fontId="6" fillId="0" borderId="3" xfId="1" applyNumberFormat="1" applyFont="1" applyBorder="1" applyAlignment="1">
      <alignment horizontal="center" vertical="top"/>
    </xf>
    <xf numFmtId="0" fontId="6" fillId="0" borderId="3" xfId="0" applyFont="1" applyBorder="1" applyAlignment="1">
      <alignment vertical="top"/>
    </xf>
    <xf numFmtId="0" fontId="4" fillId="0" borderId="3" xfId="0" applyFont="1" applyBorder="1" applyAlignment="1">
      <alignment horizontal="left" vertical="top"/>
    </xf>
    <xf numFmtId="0" fontId="6" fillId="0" borderId="3" xfId="0" applyFont="1" applyBorder="1" applyAlignment="1">
      <alignment horizontal="left" vertical="top"/>
    </xf>
    <xf numFmtId="14" fontId="6" fillId="0" borderId="3" xfId="0" applyNumberFormat="1" applyFont="1" applyBorder="1" applyAlignment="1">
      <alignment horizontal="center" vertical="top" wrapText="1"/>
    </xf>
    <xf numFmtId="14" fontId="6" fillId="0" borderId="3" xfId="0" applyNumberFormat="1" applyFont="1" applyBorder="1" applyAlignment="1">
      <alignment horizontal="center" vertical="top"/>
    </xf>
    <xf numFmtId="14" fontId="6" fillId="0" borderId="0" xfId="0" applyNumberFormat="1" applyFont="1" applyAlignment="1">
      <alignment horizontal="center"/>
    </xf>
    <xf numFmtId="0" fontId="5" fillId="0" borderId="0" xfId="0" applyFont="1" applyBorder="1" applyAlignment="1">
      <alignment horizontal="center" vertical="top"/>
    </xf>
    <xf numFmtId="164" fontId="5" fillId="0" borderId="0" xfId="1" applyNumberFormat="1" applyFont="1" applyBorder="1" applyAlignment="1">
      <alignment horizontal="center" vertical="top"/>
    </xf>
    <xf numFmtId="164" fontId="5" fillId="0" borderId="0" xfId="1" applyNumberFormat="1" applyFont="1" applyAlignment="1">
      <alignment horizontal="center" vertical="top"/>
    </xf>
    <xf numFmtId="0" fontId="5" fillId="0" borderId="0" xfId="0" applyFont="1" applyAlignment="1">
      <alignment horizontal="center" vertical="top"/>
    </xf>
    <xf numFmtId="0" fontId="5" fillId="0" borderId="2" xfId="0" applyFont="1" applyBorder="1" applyAlignment="1">
      <alignment horizontal="center" vertical="top"/>
    </xf>
    <xf numFmtId="164" fontId="5" fillId="0" borderId="2" xfId="1" applyNumberFormat="1" applyFont="1" applyBorder="1" applyAlignment="1">
      <alignment horizontal="center" vertical="top"/>
    </xf>
    <xf numFmtId="164" fontId="4" fillId="0" borderId="0" xfId="1" applyNumberFormat="1" applyFont="1" applyBorder="1"/>
    <xf numFmtId="0" fontId="6" fillId="0" borderId="0" xfId="0" applyFont="1" applyBorder="1" applyAlignment="1">
      <alignment horizontal="center"/>
    </xf>
    <xf numFmtId="164" fontId="6" fillId="0" borderId="0" xfId="1" applyNumberFormat="1" applyFont="1" applyBorder="1"/>
    <xf numFmtId="0" fontId="6" fillId="0" borderId="0" xfId="1" applyNumberFormat="1" applyFont="1" applyBorder="1" applyAlignment="1">
      <alignment horizontal="center"/>
    </xf>
    <xf numFmtId="165" fontId="6" fillId="0" borderId="2" xfId="2" applyNumberFormat="1" applyFont="1" applyBorder="1" applyAlignment="1">
      <alignment horizontal="center"/>
    </xf>
    <xf numFmtId="165" fontId="8" fillId="0" borderId="0" xfId="2" applyNumberFormat="1" applyFont="1" applyAlignment="1">
      <alignment horizontal="center"/>
    </xf>
    <xf numFmtId="164" fontId="4" fillId="0" borderId="0" xfId="1" applyNumberFormat="1" applyFont="1" applyBorder="1" applyAlignment="1">
      <alignment horizontal="center"/>
    </xf>
    <xf numFmtId="0" fontId="10" fillId="0" borderId="0" xfId="0" applyFont="1" applyBorder="1" applyAlignment="1">
      <alignment horizontal="center"/>
    </xf>
    <xf numFmtId="0" fontId="3" fillId="0" borderId="0" xfId="0" applyFont="1" applyAlignment="1">
      <alignment horizontal="center"/>
    </xf>
    <xf numFmtId="165" fontId="4" fillId="0" borderId="0" xfId="0" applyNumberFormat="1" applyFont="1" applyBorder="1"/>
    <xf numFmtId="165" fontId="5" fillId="0" borderId="0" xfId="0" applyNumberFormat="1" applyFont="1" applyBorder="1"/>
    <xf numFmtId="165" fontId="8" fillId="0" borderId="0" xfId="0" applyNumberFormat="1" applyFont="1"/>
    <xf numFmtId="14" fontId="4" fillId="0" borderId="0" xfId="0" quotePrefix="1" applyNumberFormat="1" applyFont="1" applyFill="1" applyBorder="1" applyAlignment="1">
      <alignment horizontal="center"/>
    </xf>
    <xf numFmtId="0" fontId="6" fillId="0" borderId="0" xfId="0" applyFont="1" applyBorder="1" applyAlignment="1">
      <alignment vertical="top" wrapText="1"/>
    </xf>
    <xf numFmtId="0" fontId="3" fillId="0" borderId="0" xfId="0" applyFont="1" applyAlignment="1">
      <alignment horizontal="center"/>
    </xf>
    <xf numFmtId="0" fontId="4" fillId="0" borderId="2" xfId="0" applyFont="1" applyBorder="1" applyAlignment="1">
      <alignment vertical="top" wrapText="1"/>
    </xf>
    <xf numFmtId="0" fontId="4" fillId="0" borderId="10" xfId="0" applyFont="1" applyBorder="1" applyAlignment="1">
      <alignment horizontal="left" vertical="top" wrapText="1"/>
    </xf>
    <xf numFmtId="0" fontId="4" fillId="0" borderId="11" xfId="0" applyFont="1" applyFill="1" applyBorder="1" applyAlignment="1">
      <alignment vertical="top" wrapText="1"/>
    </xf>
    <xf numFmtId="0" fontId="5" fillId="0" borderId="2" xfId="0" applyFont="1" applyBorder="1" applyAlignment="1">
      <alignment horizontal="left"/>
    </xf>
    <xf numFmtId="0" fontId="4" fillId="0" borderId="2" xfId="0" applyFont="1" applyBorder="1" applyAlignment="1">
      <alignment horizontal="left" vertical="top" wrapText="1"/>
    </xf>
    <xf numFmtId="0" fontId="5" fillId="0" borderId="4" xfId="0" applyFont="1" applyBorder="1" applyAlignment="1">
      <alignment horizontal="left"/>
    </xf>
    <xf numFmtId="0" fontId="4" fillId="0" borderId="4" xfId="0" applyFont="1" applyBorder="1" applyAlignment="1">
      <alignment vertical="top" wrapText="1"/>
    </xf>
    <xf numFmtId="0" fontId="4" fillId="0" borderId="4" xfId="0" applyFont="1" applyFill="1" applyBorder="1" applyAlignment="1">
      <alignment vertical="top" wrapText="1"/>
    </xf>
    <xf numFmtId="0" fontId="4" fillId="0" borderId="0" xfId="0" applyFont="1" applyAlignment="1">
      <alignment horizontal="center" vertical="top"/>
    </xf>
    <xf numFmtId="14" fontId="4" fillId="0" borderId="0" xfId="0" applyNumberFormat="1" applyFont="1"/>
    <xf numFmtId="0" fontId="4" fillId="0" borderId="4" xfId="0" applyFont="1" applyBorder="1"/>
    <xf numFmtId="165" fontId="4" fillId="0" borderId="0" xfId="0" applyNumberFormat="1" applyFont="1"/>
    <xf numFmtId="164" fontId="4" fillId="0" borderId="1" xfId="1" applyNumberFormat="1" applyFont="1" applyBorder="1" applyAlignment="1">
      <alignment horizontal="left"/>
    </xf>
    <xf numFmtId="165" fontId="4" fillId="0" borderId="1" xfId="2" applyNumberFormat="1" applyFont="1" applyBorder="1"/>
    <xf numFmtId="165" fontId="5" fillId="0" borderId="1" xfId="2" applyNumberFormat="1" applyFont="1" applyBorder="1"/>
    <xf numFmtId="165" fontId="5" fillId="0" borderId="1" xfId="2" applyNumberFormat="1" applyFont="1" applyFill="1" applyBorder="1"/>
    <xf numFmtId="0" fontId="4" fillId="0" borderId="0" xfId="0" applyFont="1" applyAlignment="1">
      <alignment vertical="top"/>
    </xf>
    <xf numFmtId="0" fontId="4" fillId="0" borderId="0" xfId="0" applyFont="1" applyAlignment="1">
      <alignment horizontal="left" vertical="top"/>
    </xf>
    <xf numFmtId="165" fontId="5" fillId="0" borderId="0" xfId="2" applyNumberFormat="1" applyFont="1"/>
    <xf numFmtId="165" fontId="4" fillId="0" borderId="0" xfId="2" applyNumberFormat="1" applyFont="1" applyFill="1" applyBorder="1"/>
    <xf numFmtId="0" fontId="4" fillId="0" borderId="0" xfId="0" applyFont="1" applyFill="1" applyBorder="1" applyAlignment="1">
      <alignment horizontal="left" vertical="top" wrapText="1"/>
    </xf>
    <xf numFmtId="164" fontId="4" fillId="0" borderId="0" xfId="0" applyNumberFormat="1" applyFont="1" applyFill="1" applyBorder="1" applyAlignment="1">
      <alignment vertical="top"/>
    </xf>
    <xf numFmtId="164" fontId="4" fillId="0" borderId="0" xfId="1" applyNumberFormat="1" applyFont="1" applyBorder="1" applyAlignment="1">
      <alignment vertical="top"/>
    </xf>
    <xf numFmtId="165" fontId="5" fillId="0" borderId="0" xfId="2" applyNumberFormat="1" applyFont="1" applyFill="1" applyBorder="1"/>
    <xf numFmtId="38" fontId="4" fillId="0" borderId="0" xfId="0" applyNumberFormat="1" applyFont="1"/>
    <xf numFmtId="44" fontId="5" fillId="0" borderId="1" xfId="2" applyFont="1" applyBorder="1" applyAlignment="1">
      <alignment vertical="top" wrapText="1"/>
    </xf>
    <xf numFmtId="166" fontId="5" fillId="0" borderId="1" xfId="2" applyNumberFormat="1" applyFont="1" applyBorder="1" applyAlignment="1">
      <alignment vertical="top" wrapText="1"/>
    </xf>
    <xf numFmtId="0" fontId="4" fillId="0" borderId="0" xfId="0" applyFont="1" applyFill="1" applyAlignment="1">
      <alignment horizontal="center"/>
    </xf>
    <xf numFmtId="164" fontId="6" fillId="0" borderId="0" xfId="0" applyNumberFormat="1" applyFont="1"/>
    <xf numFmtId="0" fontId="3" fillId="0" borderId="0" xfId="0" applyFont="1" applyAlignment="1">
      <alignment horizontal="center"/>
    </xf>
    <xf numFmtId="0" fontId="11" fillId="0" borderId="0" xfId="0" applyFont="1" applyAlignment="1">
      <alignment horizontal="left" vertical="top" wrapText="1"/>
    </xf>
    <xf numFmtId="0" fontId="6" fillId="0" borderId="0" xfId="0" applyFont="1" applyBorder="1" applyAlignment="1">
      <alignment vertical="top" wrapText="1"/>
    </xf>
    <xf numFmtId="0" fontId="4" fillId="0" borderId="0" xfId="0" quotePrefix="1" applyFont="1" applyAlignment="1">
      <alignment vertical="top" wrapText="1"/>
    </xf>
    <xf numFmtId="0" fontId="6" fillId="0" borderId="0" xfId="0" applyFont="1" applyAlignment="1">
      <alignment vertical="top" wrapText="1"/>
    </xf>
  </cellXfs>
  <cellStyles count="3">
    <cellStyle name="Comma" xfId="1" builtinId="3"/>
    <cellStyle name="Currency" xfId="2" builtinId="4"/>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10" Type="http://schemas.openxmlformats.org/officeDocument/2006/relationships/worksheet" Target="worksheets/sheet10.xml"/><Relationship Id="rId19"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x:worksheet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xmlns:x="http://schemas.openxmlformats.org/spreadsheetml/2006/main" xr:uid="{00000000-0001-0000-0000-000000000000}" mc:Ignorable="x14ac xr xr2 xr3">
  <x:dimension ref="A1:F53"/>
  <x:sheetViews>
    <x:sheetView tabSelected="1" view="pageBreakPreview" topLeftCell="B1" zoomScaleNormal="90" zoomScaleSheetLayoutView="100" workbookViewId="0">
      <x:selection activeCell="B7" sqref="B7"/>
    </x:sheetView>
  </x:sheetViews>
  <x:sheetFormatPr defaultColWidth="9.1796875" defaultRowHeight="15.5" x14ac:dyDescent="0.35"/>
  <x:cols>
    <x:col min="1" max="1" width="9.1796875" style="22"/>
    <x:col min="2" max="2" width="45.26953125" style="22" customWidth="1"/>
    <x:col min="3" max="3" width="33.6328125" style="22" customWidth="1"/>
    <x:col min="4" max="4" width="14.81640625" style="22" customWidth="1"/>
    <x:col min="5" max="5" width="32" style="22" customWidth="1"/>
    <x:col min="6" max="6" width="16.26953125" style="24" customWidth="1"/>
    <x:col min="7" max="16384" width="9.1796875" style="22"/>
  </x:cols>
  <x:sheetData>
    <x:row r="1" spans="1:6" x14ac:dyDescent="0.35">
      <x:c r="B1" s="168" t="s">
        <x:v>186</x:v>
      </x:c>
      <x:c r="C1" s="168"/>
      <x:c r="D1" s="168"/>
      <x:c r="E1" s="168"/>
      <x:c r="F1" s="168"/>
    </x:row>
    <x:row r="2" spans="1:6" x14ac:dyDescent="0.35">
      <x:c r="B2" s="168" t="s">
        <x:v>11</x:v>
      </x:c>
      <x:c r="C2" s="168"/>
      <x:c r="D2" s="168"/>
      <x:c r="E2" s="168"/>
      <x:c r="F2" s="168"/>
    </x:row>
    <x:row r="3" spans="1:6" x14ac:dyDescent="0.35">
      <x:c r="B3" s="168" t="s">
        <x:v>14</x:v>
      </x:c>
      <x:c r="C3" s="168"/>
      <x:c r="D3" s="168"/>
      <x:c r="E3" s="168"/>
      <x:c r="F3" s="168"/>
    </x:row>
    <x:row r="4" spans="1:6" x14ac:dyDescent="0.35">
      <x:c r="B4" s="168" t="s">
        <x:v>187</x:v>
      </x:c>
      <x:c r="C4" s="168"/>
      <x:c r="D4" s="168"/>
      <x:c r="E4" s="168"/>
      <x:c r="F4" s="168"/>
    </x:row>
    <x:row r="5" spans="1:6" x14ac:dyDescent="0.35">
      <x:c r="B5" s="168" t="s">
        <x:v>188</x:v>
      </x:c>
      <x:c r="C5" s="168"/>
      <x:c r="D5" s="168"/>
      <x:c r="E5" s="168"/>
      <x:c r="F5" s="168"/>
    </x:row>
    <x:row r="7" spans="1:6" s="1" customFormat="1" ht="14" x14ac:dyDescent="0.3">
      <x:c r="A7" s="2"/>
      <x:c r="D7" s="17" t="s">
        <x:v>0</x:v>
      </x:c>
      <x:c r="E7" s="17" t="s">
        <x:v>1</x:v>
      </x:c>
      <x:c r="F7" s="3"/>
    </x:row>
    <x:row r="8" spans="1:6" s="1" customFormat="1" ht="14" x14ac:dyDescent="0.3">
      <x:c r="A8" s="18" t="s">
        <x:v>2</x:v>
      </x:c>
      <x:c r="B8" s="18" t="s">
        <x:v>3</x:v>
      </x:c>
      <x:c r="C8" s="18" t="s">
        <x:v>18</x:v>
      </x:c>
      <x:c r="D8" s="18" t="s">
        <x:v>4</x:v>
      </x:c>
      <x:c r="E8" s="18" t="s">
        <x:v>5</x:v>
      </x:c>
      <x:c r="F8" s="19" t="s">
        <x:v>6</x:v>
      </x:c>
    </x:row>
    <x:row r="9" spans="1:6" s="1" customFormat="1" ht="14" x14ac:dyDescent="0.3">
      <x:c r="A9" s="2"/>
      <x:c r="B9" s="20" t="s">
        <x:v>7</x:v>
      </x:c>
      <x:c r="C9" s="20" t="s">
        <x:v>19</x:v>
      </x:c>
      <x:c r="D9" s="20" t="s">
        <x:v>8</x:v>
      </x:c>
      <x:c r="E9" s="20" t="s">
        <x:v>9</x:v>
      </x:c>
      <x:c r="F9" s="21" t="s">
        <x:v>10</x:v>
      </x:c>
    </x:row>
    <x:row r="10" spans="1:6" s="1" customFormat="1" ht="14" x14ac:dyDescent="0.3">
      <x:c r="A10" s="2">
        <x:v>1</x:v>
      </x:c>
      <x:c r="B10" s="31" t="s">
        <x:v>30</x:v>
      </x:c>
      <x:c r="C10" s="25"/>
      <x:c r="D10" s="4"/>
      <x:c r="E10" s="5"/>
      <x:c r="F10" s="6"/>
    </x:row>
    <x:row r="11" spans="1:6" s="1" customFormat="1" ht="14" x14ac:dyDescent="0.3">
      <x:c r="A11" s="2">
        <x:f>+A10+1</x:f>
        <x:v>2</x:v>
      </x:c>
      <x:c r="B11" s="31"/>
      <x:c r="C11" s="25" t="s">
        <x:v>22</x:v>
      </x:c>
      <x:c r="D11" s="4">
        <x:v>9230000</x:v>
      </x:c>
      <x:c r="E11" s="5" t="s">
        <x:v>13</x:v>
      </x:c>
      <x:c r="F11" s="152">
        <x:v>30000</x:v>
      </x:c>
    </x:row>
    <x:row r="12" spans="1:6" s="1" customFormat="1" ht="14" x14ac:dyDescent="0.3">
      <x:c r="A12" s="2">
        <x:f t="shared" ref="A12:A47" si="0">+A11+1</x:f>
        <x:v>3</x:v>
      </x:c>
      <x:c r="B12" s="25"/>
      <x:c r="C12" s="25" t="s">
        <x:v>20</x:v>
      </x:c>
      <x:c r="D12" s="4">
        <x:v>9230000</x:v>
      </x:c>
      <x:c r="E12" s="5" t="s">
        <x:v>13</x:v>
      </x:c>
      <x:c r="F12" s="6">
        <x:v>48000</x:v>
      </x:c>
    </x:row>
    <x:row r="13" spans="1:6" s="1" customFormat="1" ht="14" x14ac:dyDescent="0.3">
      <x:c r="A13" s="2">
        <x:f t="shared" si="0"/>
        <x:v>4</x:v>
      </x:c>
      <x:c r="B13" s="25"/>
      <x:c r="C13" s="25" t="s">
        <x:v>21</x:v>
      </x:c>
      <x:c r="D13" s="4">
        <x:v>9230000</x:v>
      </x:c>
      <x:c r="E13" s="5" t="s">
        <x:v>13</x:v>
      </x:c>
      <x:c r="F13" s="6">
        <x:v>30000</x:v>
      </x:c>
    </x:row>
    <x:row r="14" spans="1:6" s="1" customFormat="1" ht="14" x14ac:dyDescent="0.3">
      <x:c r="A14" s="2">
        <x:f t="shared" si="0"/>
        <x:v>5</x:v>
      </x:c>
      <x:c r="B14" s="28" t="s">
        <x:v>307</x:v>
      </x:c>
      <x:c r="C14" s="28"/>
      <x:c r="D14" s="4"/>
      <x:c r="E14" s="5"/>
      <x:c r="F14" s="153">
        <x:f>SUM(F10:F13)</x:f>
        <x:v>108000</x:v>
      </x:c>
    </x:row>
    <x:row r="15" spans="1:6" s="1" customFormat="1" ht="14" x14ac:dyDescent="0.3">
      <x:c r="A15" s="2">
        <x:f t="shared" si="0"/>
        <x:v>6</x:v>
      </x:c>
      <x:c r="B15" s="31" t="s">
        <x:v>31</x:v>
      </x:c>
      <x:c r="C15" s="25"/>
      <x:c r="D15" s="4"/>
      <x:c r="E15" s="5"/>
      <x:c r="F15" s="6"/>
    </x:row>
    <x:row r="16" spans="1:6" s="1" customFormat="1" ht="14" x14ac:dyDescent="0.3">
      <x:c r="A16" s="2">
        <x:f t="shared" si="0"/>
        <x:v>7</x:v>
      </x:c>
      <x:c r="B16" s="25"/>
      <x:c r="C16" s="25" t="s">
        <x:v>192</x:v>
      </x:c>
      <x:c r="D16" s="4">
        <x:v>9210000</x:v>
      </x:c>
      <x:c r="E16" s="5" t="s">
        <x:v>152</x:v>
      </x:c>
      <x:c r="F16" s="6">
        <x:v>250</x:v>
      </x:c>
    </x:row>
    <x:row r="17" spans="1:6" s="1" customFormat="1" ht="14" x14ac:dyDescent="0.3">
      <x:c r="A17" s="2">
        <x:f t="shared" si="0"/>
        <x:v>8</x:v>
      </x:c>
      <x:c r="B17" s="25"/>
      <x:c r="C17" s="25"/>
      <x:c r="D17" s="4">
        <x:v>9230000</x:v>
      </x:c>
      <x:c r="E17" s="5" t="s">
        <x:v>13</x:v>
      </x:c>
      <x:c r="F17" s="6">
        <x:v>1380452</x:v>
      </x:c>
    </x:row>
    <x:row r="18" spans="1:6" s="1" customFormat="1" ht="14" x14ac:dyDescent="0.3">
      <x:c r="A18" s="2">
        <x:f t="shared" si="0"/>
        <x:v>9</x:v>
      </x:c>
      <x:c r="B18" s="25"/>
      <x:c r="C18" s="25"/>
      <x:c r="D18" s="4">
        <x:v>5660000</x:v>
      </x:c>
      <x:c r="E18" s="5" t="s">
        <x:v>191</x:v>
      </x:c>
      <x:c r="F18" s="6">
        <x:v>546</x:v>
      </x:c>
    </x:row>
    <x:row r="19" spans="1:6" s="1" customFormat="1" ht="14" x14ac:dyDescent="0.3">
      <x:c r="A19" s="2">
        <x:f t="shared" si="0"/>
        <x:v>10</x:v>
      </x:c>
      <x:c r="B19" s="25"/>
      <x:c r="C19" s="25"/>
      <x:c r="D19" s="4">
        <x:v>1070000</x:v>
      </x:c>
      <x:c r="E19" s="11" t="s">
        <x:v>16</x:v>
      </x:c>
      <x:c r="F19" s="6">
        <x:v>5404</x:v>
      </x:c>
    </x:row>
    <x:row r="20" spans="1:6" s="1" customFormat="1" ht="14" x14ac:dyDescent="0.3">
      <x:c r="A20" s="2">
        <x:f t="shared" si="0"/>
        <x:v>11</x:v>
      </x:c>
      <x:c r="B20" s="28" t="s">
        <x:v>193</x:v>
      </x:c>
      <x:c r="C20" s="28"/>
      <x:c r="D20" s="10"/>
      <x:c r="E20" s="8"/>
      <x:c r="F20" s="154">
        <x:f>SUM(F16:F19)</x:f>
        <x:v>1386652</x:v>
      </x:c>
    </x:row>
    <x:row r="21" spans="1:6" s="1" customFormat="1" ht="14" x14ac:dyDescent="0.3">
      <x:c r="A21" s="2">
        <x:f t="shared" si="0"/>
        <x:v>12</x:v>
      </x:c>
      <x:c r="B21" s="27"/>
      <x:c r="C21" s="27" t="s">
        <x:v>26</x:v>
      </x:c>
      <x:c r="D21" s="10">
        <x:v>9230000</x:v>
      </x:c>
      <x:c r="E21" s="11" t="s">
        <x:v>13</x:v>
      </x:c>
      <x:c r="F21" s="6">
        <x:v>216838</x:v>
      </x:c>
    </x:row>
    <x:row r="22" spans="1:6" s="1" customFormat="1" ht="14" x14ac:dyDescent="0.3">
      <x:c r="A22" s="2">
        <x:f t="shared" si="0"/>
        <x:v>13</x:v>
      </x:c>
      <x:c r="B22" s="26" t="s">
        <x:v>15</x:v>
      </x:c>
      <x:c r="C22" s="26"/>
      <x:c r="D22" s="10"/>
      <x:c r="E22" s="11"/>
      <x:c r="F22" s="154">
        <x:f>+F21</x:f>
        <x:v>216838</x:v>
      </x:c>
    </x:row>
    <x:row r="23" spans="1:6" s="1" customFormat="1" ht="14" x14ac:dyDescent="0.3">
      <x:c r="A23" s="2">
        <x:f t="shared" si="0"/>
        <x:v>14</x:v>
      </x:c>
      <x:c r="B23" s="32" t="s">
        <x:v>32</x:v>
      </x:c>
      <x:c r="C23" s="26"/>
      <x:c r="D23" s="10"/>
      <x:c r="E23" s="8"/>
      <x:c r="F23" s="9"/>
    </x:row>
    <x:row r="24" spans="1:6" s="1" customFormat="1" ht="14" x14ac:dyDescent="0.3">
      <x:c r="A24" s="2">
        <x:f t="shared" si="0"/>
        <x:v>15</x:v>
      </x:c>
      <x:c r="B24" s="27"/>
      <x:c r="C24" s="27" t="s">
        <x:v>27</x:v>
      </x:c>
      <x:c r="D24" s="10">
        <x:v>5650000</x:v>
      </x:c>
      <x:c r="E24" s="11" t="s">
        <x:v>17</x:v>
      </x:c>
      <x:c r="F24" s="12">
        <x:v>16670575</x:v>
      </x:c>
    </x:row>
    <x:row r="25" spans="1:6" s="1" customFormat="1" ht="14" x14ac:dyDescent="0.3">
      <x:c r="A25" s="2">
        <x:f t="shared" si="0"/>
        <x:v>16</x:v>
      </x:c>
      <x:c r="B25" s="26" t="s">
        <x:v>166</x:v>
      </x:c>
      <x:c r="C25" s="26"/>
      <x:c r="D25" s="10"/>
      <x:c r="E25" s="8"/>
      <x:c r="F25" s="154">
        <x:f>+F24</x:f>
        <x:v>16670575</x:v>
      </x:c>
    </x:row>
    <x:row r="26" spans="1:6" s="1" customFormat="1" ht="14" x14ac:dyDescent="0.3">
      <x:c r="A26" s="2">
        <x:f t="shared" si="0"/>
        <x:v>17</x:v>
      </x:c>
      <x:c r="B26" s="25"/>
      <x:c r="C26" s="25" t="s">
        <x:v>168</x:v>
      </x:c>
      <x:c r="D26" s="10">
        <x:v>5650000</x:v>
      </x:c>
      <x:c r="E26" s="11" t="s">
        <x:v>17</x:v>
      </x:c>
      <x:c r="F26" s="13">
        <x:v>58040589</x:v>
      </x:c>
    </x:row>
    <x:row r="27" spans="1:6" s="1" customFormat="1" ht="14" x14ac:dyDescent="0.3">
      <x:c r="A27" s="2">
        <x:f t="shared" si="0"/>
        <x:v>18</x:v>
      </x:c>
      <x:c r="B27" s="25"/>
      <x:c r="C27" s="25" t="s">
        <x:v>169</x:v>
      </x:c>
      <x:c r="D27" s="10">
        <x:v>5881008</x:v>
      </x:c>
      <x:c r="E27" s="14" t="s">
        <x:v>194</x:v>
      </x:c>
      <x:c r="F27" s="13">
        <x:v>15382470.5</x:v>
      </x:c>
    </x:row>
    <x:row r="28" spans="1:6" s="1" customFormat="1" ht="14" x14ac:dyDescent="0.3">
      <x:c r="A28" s="2">
        <x:f t="shared" si="0"/>
        <x:v>19</x:v>
      </x:c>
      <x:c r="B28" s="28" t="s">
        <x:v>167</x:v>
      </x:c>
      <x:c r="C28" s="28"/>
      <x:c r="D28" s="4"/>
      <x:c r="E28" s="5"/>
      <x:c r="F28" s="153">
        <x:f>+F26+F27</x:f>
        <x:v>73423059.5</x:v>
      </x:c>
    </x:row>
    <x:row r="29" spans="1:6" s="1" customFormat="1" ht="14" x14ac:dyDescent="0.3">
      <x:c r="A29" s="2">
        <x:f t="shared" si="0"/>
        <x:v>20</x:v>
      </x:c>
      <x:c r="B29" s="31" t="s">
        <x:v>195</x:v>
      </x:c>
      <x:c r="C29" s="28"/>
      <x:c r="D29" s="4"/>
      <x:c r="E29" s="5"/>
      <x:c r="F29" s="15"/>
    </x:row>
    <x:row r="30" spans="1:6" s="1" customFormat="1" ht="14" x14ac:dyDescent="0.3">
      <x:c r="A30" s="2">
        <x:f t="shared" si="0"/>
        <x:v>21</x:v>
      </x:c>
      <x:c r="B30" s="25"/>
      <x:c r="C30" s="25" t="s">
        <x:v>196</x:v>
      </x:c>
      <x:c r="D30" s="4">
        <x:v>5890000</x:v>
      </x:c>
      <x:c r="E30" s="5" t="s">
        <x:v>200</x:v>
      </x:c>
      <x:c r="F30" s="13">
        <x:v>-2806</x:v>
      </x:c>
    </x:row>
    <x:row r="31" spans="1:6" s="1" customFormat="1" ht="14" x14ac:dyDescent="0.3">
      <x:c r="A31" s="2">
        <x:f t="shared" si="0"/>
        <x:v>22</x:v>
      </x:c>
      <x:c r="B31" s="28"/>
      <x:c r="C31" s="25" t="s">
        <x:v>197</x:v>
      </x:c>
      <x:c r="D31" s="4">
        <x:v>1070000</x:v>
      </x:c>
      <x:c r="E31" s="11" t="s">
        <x:v>16</x:v>
      </x:c>
      <x:c r="F31" s="13">
        <x:v>4750</x:v>
      </x:c>
    </x:row>
    <x:row r="32" spans="1:6" s="1" customFormat="1" ht="14" x14ac:dyDescent="0.3">
      <x:c r="A32" s="2">
        <x:f t="shared" si="0"/>
        <x:v>23</x:v>
      </x:c>
      <x:c r="B32" s="28"/>
      <x:c r="C32" s="25" t="s">
        <x:v>198</x:v>
      </x:c>
      <x:c r="D32" s="4">
        <x:v>1070000</x:v>
      </x:c>
      <x:c r="E32" s="11" t="s">
        <x:v>16</x:v>
      </x:c>
      <x:c r="F32" s="13">
        <x:v>33640</x:v>
      </x:c>
    </x:row>
    <x:row r="33" spans="1:6" s="1" customFormat="1" ht="14" x14ac:dyDescent="0.3">
      <x:c r="A33" s="2">
        <x:f t="shared" si="0"/>
        <x:v>24</x:v>
      </x:c>
      <x:c r="B33" s="28"/>
      <x:c r="C33" s="25"/>
      <x:c r="D33" s="4">
        <x:v>5880000</x:v>
      </x:c>
      <x:c r="E33" s="5" t="s">
        <x:v>201</x:v>
      </x:c>
      <x:c r="F33" s="13">
        <x:v>1750</x:v>
      </x:c>
    </x:row>
    <x:row r="34" spans="1:6" s="1" customFormat="1" ht="14" x14ac:dyDescent="0.3">
      <x:c r="A34" s="2">
        <x:f t="shared" si="0"/>
        <x:v>25</x:v>
      </x:c>
      <x:c r="B34" s="28"/>
      <x:c r="C34" s="25" t="s">
        <x:v>199</x:v>
      </x:c>
      <x:c r="D34" s="4">
        <x:v>5670000</x:v>
      </x:c>
      <x:c r="E34" s="5" t="s">
        <x:v>200</x:v>
      </x:c>
      <x:c r="F34" s="13">
        <x:v>1323</x:v>
      </x:c>
    </x:row>
    <x:row r="35" spans="1:6" s="1" customFormat="1" ht="14" x14ac:dyDescent="0.3">
      <x:c r="A35" s="2">
        <x:f t="shared" si="0"/>
        <x:v>26</x:v>
      </x:c>
      <x:c r="B35" s="28" t="s">
        <x:v>202</x:v>
      </x:c>
      <x:c r="C35" s="28"/>
      <x:c r="D35" s="4"/>
      <x:c r="E35" s="5"/>
      <x:c r="F35" s="153">
        <x:f>SUM(F30:F34)</x:f>
        <x:v>38657</x:v>
      </x:c>
    </x:row>
    <x:row r="36" spans="1:6" s="1" customFormat="1" ht="14" x14ac:dyDescent="0.3">
      <x:c r="A36" s="2">
        <x:f t="shared" si="0"/>
        <x:v>27</x:v>
      </x:c>
      <x:c r="B36" s="31" t="s">
        <x:v>266</x:v>
      </x:c>
      <x:c r="C36" s="28"/>
      <x:c r="D36" s="4"/>
      <x:c r="E36" s="5"/>
      <x:c r="F36" s="15"/>
    </x:row>
    <x:row r="37" spans="1:6" s="1" customFormat="1" ht="14" x14ac:dyDescent="0.3">
      <x:c r="A37" s="2">
        <x:f t="shared" si="0"/>
        <x:v>28</x:v>
      </x:c>
      <x:c r="B37" s="25"/>
      <x:c r="C37" s="25" t="s">
        <x:v>268</x:v>
      </x:c>
      <x:c r="D37" s="4">
        <x:v>2284000</x:v>
      </x:c>
      <x:c r="E37" s="5" t="s">
        <x:v>269</x:v>
      </x:c>
      <x:c r="F37" s="13">
        <x:f>96850+58653</x:f>
        <x:v>155503</x:v>
      </x:c>
    </x:row>
    <x:row r="38" spans="1:6" s="1" customFormat="1" ht="14" x14ac:dyDescent="0.3">
      <x:c r="A38" s="2">
        <x:f t="shared" si="0"/>
        <x:v>29</x:v>
      </x:c>
      <x:c r="B38" s="28" t="s">
        <x:v>267</x:v>
      </x:c>
      <x:c r="C38" s="28"/>
      <x:c r="D38" s="4"/>
      <x:c r="E38" s="5"/>
      <x:c r="F38" s="153">
        <x:f>+F37</x:f>
        <x:v>155503</x:v>
      </x:c>
    </x:row>
    <x:row r="39" spans="1:6" s="1" customFormat="1" ht="14" x14ac:dyDescent="0.3">
      <x:c r="A39" s="2">
        <x:f t="shared" si="0"/>
        <x:v>30</x:v>
      </x:c>
      <x:c r="B39" s="31" t="s">
        <x:v>33</x:v>
      </x:c>
      <x:c r="C39" s="28"/>
      <x:c r="D39" s="4"/>
      <x:c r="E39" s="5"/>
      <x:c r="F39" s="15"/>
    </x:row>
    <x:row r="40" spans="1:6" s="1" customFormat="1" ht="14" x14ac:dyDescent="0.3">
      <x:c r="A40" s="2">
        <x:f t="shared" si="0"/>
        <x:v>31</x:v>
      </x:c>
      <x:c r="B40" s="31"/>
      <x:c r="C40" s="25" t="s">
        <x:v>34</x:v>
      </x:c>
      <x:c r="D40" s="4">
        <x:v>9302000</x:v>
      </x:c>
      <x:c r="E40" s="5" t="s">
        <x:v>24</x:v>
      </x:c>
      <x:c r="F40" s="13">
        <x:v>17227</x:v>
      </x:c>
    </x:row>
    <x:row r="41" spans="1:6" s="1" customFormat="1" ht="14" x14ac:dyDescent="0.3">
      <x:c r="A41" s="2">
        <x:f t="shared" si="0"/>
        <x:v>32</x:v>
      </x:c>
      <x:c r="B41" s="31"/>
      <x:c r="C41" s="25"/>
      <x:c r="D41" s="4">
        <x:v>9302000</x:v>
      </x:c>
      <x:c r="E41" s="5" t="s">
        <x:v>183</x:v>
      </x:c>
      <x:c r="F41" s="13">
        <x:v>60000</x:v>
      </x:c>
    </x:row>
    <x:row r="42" spans="1:6" s="1" customFormat="1" ht="14" x14ac:dyDescent="0.3">
      <x:c r="A42" s="2">
        <x:f t="shared" si="0"/>
        <x:v>33</x:v>
      </x:c>
      <x:c r="B42" s="26" t="s">
        <x:v>23</x:v>
      </x:c>
      <x:c r="C42" s="28"/>
      <x:c r="D42" s="4"/>
      <x:c r="E42" s="5"/>
      <x:c r="F42" s="153">
        <x:f>+F40+F41</x:f>
        <x:v>77227</x:v>
      </x:c>
    </x:row>
    <x:row r="43" spans="1:6" s="1" customFormat="1" ht="14" x14ac:dyDescent="0.3">
      <x:c r="A43" s="2">
        <x:f t="shared" si="0"/>
        <x:v>34</x:v>
      </x:c>
      <x:c r="B43" s="31" t="s">
        <x:v>294</x:v>
      </x:c>
      <x:c r="C43" s="5"/>
      <x:c r="D43" s="4"/>
      <x:c r="E43" s="5"/>
      <x:c r="F43" s="13"/>
    </x:row>
    <x:row r="44" spans="1:6" s="1" customFormat="1" ht="14" x14ac:dyDescent="0.3">
      <x:c r="A44" s="2">
        <x:f t="shared" si="0"/>
        <x:v>35</x:v>
      </x:c>
      <x:c r="B44" s="26"/>
      <x:c r="C44" s="25" t="s">
        <x:v>207</x:v>
      </x:c>
      <x:c r="D44" s="4">
        <x:v>9030002</x:v>
      </x:c>
      <x:c r="E44" s="5" t="s">
        <x:v>297</x:v>
      </x:c>
      <x:c r="F44" s="13">
        <x:v>6733012</x:v>
      </x:c>
    </x:row>
    <x:row r="45" spans="1:6" s="1" customFormat="1" ht="14" x14ac:dyDescent="0.3">
      <x:c r="A45" s="2">
        <x:f t="shared" si="0"/>
        <x:v>36</x:v>
      </x:c>
      <x:c r="B45" s="26" t="s">
        <x:v>285</x:v>
      </x:c>
      <x:c r="C45" s="4"/>
      <x:c r="D45" s="4"/>
      <x:c r="E45" s="5"/>
      <x:c r="F45" s="153">
        <x:f>+F44</x:f>
        <x:v>6733012</x:v>
      </x:c>
    </x:row>
    <x:row r="46" spans="1:6" s="1" customFormat="1" ht="14" x14ac:dyDescent="0.3">
      <x:c r="A46" s="2">
        <x:f t="shared" si="0"/>
        <x:v>37</x:v>
      </x:c>
      <x:c r="B46" s="26"/>
      <x:c r="C46" s="4"/>
      <x:c r="D46" s="4"/>
      <x:c r="E46" s="5"/>
      <x:c r="F46" s="13"/>
    </x:row>
    <x:row r="47" spans="1:6" s="1" customFormat="1" ht="14" x14ac:dyDescent="0.3">
      <x:c r="A47" s="2">
        <x:f t="shared" si="0"/>
        <x:v>38</x:v>
      </x:c>
      <x:c r="B47" s="8" t="s">
        <x:v>12</x:v>
      </x:c>
      <x:c r="C47" s="8"/>
      <x:c r="D47" s="4"/>
      <x:c r="E47" s="5"/>
      <x:c r="F47" s="153">
        <x:f>+F14+F20+F22+F25+F28+F35+F42+F45+F38</x:f>
        <x:v>98809523.5</x:v>
      </x:c>
    </x:row>
    <x:row r="48" spans="1:6" s="1" customFormat="1" ht="14" x14ac:dyDescent="0.3">
      <x:c r="A48" s="2"/>
      <x:c r="D48" s="29"/>
      <x:c r="F48" s="16"/>
    </x:row>
    <x:row r="49" spans="1:5" x14ac:dyDescent="0.35">
      <x:c r="A49" s="23"/>
      <x:c r="D49" s="30"/>
    </x:row>
    <x:row r="50" spans="1:5" x14ac:dyDescent="0.35">
      <x:c r="A50" s="23"/>
      <x:c r="D50" s="1" t="s">
        <x:v>303</x:v>
      </x:c>
      <x:c r="E50" s="167">
        <x:f>+F14+F16+F17+F18+F21+F25+F28+F30+F33+F34+F42+F44</x:f>
        <x:v>98610226.5</x:v>
      </x:c>
    </x:row>
    <x:row r="51" spans="1:5" x14ac:dyDescent="0.35">
      <x:c r="A51" s="23"/>
      <x:c r="D51" s="22" t="s">
        <x:v>304</x:v>
      </x:c>
      <x:c r="E51" s="167">
        <x:f>+F19+F31+F32</x:f>
        <x:v>43794</x:v>
      </x:c>
    </x:row>
    <x:row r="52" spans="1:5" x14ac:dyDescent="0.35">
      <x:c r="A52" s="23"/>
      <x:c r="D52" s="22" t="s">
        <x:v>305</x:v>
      </x:c>
      <x:c r="E52" s="167">
        <x:f>+F37</x:f>
        <x:v>155503</x:v>
      </x:c>
    </x:row>
    <x:row r="53" spans="1:5" x14ac:dyDescent="0.35">
      <x:c r="D53" s="22" t="s">
        <x:v>306</x:v>
      </x:c>
      <x:c r="E53" s="61">
        <x:f>+E50+E51+E52</x:f>
        <x:v>98809523.5</x:v>
      </x:c>
    </x:row>
  </x:sheetData>
  <x:mergeCells count="5">
    <x:mergeCell ref="B1:F1"/>
    <x:mergeCell ref="B2:F2"/>
    <x:mergeCell ref="B3:F3"/>
    <x:mergeCell ref="B4:F4"/>
    <x:mergeCell ref="B5:F5"/>
  </x:mergeCells>
  <x:printOptions horizontalCentered="1"/>
  <x:pageMargins left="0.35" right="0.35" top="1.5" bottom="0.5" header="0.3" footer="0.3"/>
  <x:pageSetup scale="85" orientation="landscape" r:id="rId1"/>
  <x:headerFooter>
    <x:oddHeader>&amp;R
Schedule V-K-1
Page &amp;P of &amp;N</x:oddHeader>
  </x:headerFooter>
  <x:rowBreaks count="1" manualBreakCount="1">
    <x:brk id="38" max="5" man="1"/>
  </x:rowBreaks>
</x:worksheet>
</file>

<file path=xl/worksheets/sheet2.xml><?xml version="1.0" encoding="utf-8"?>
<x:worksheet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xmlns:x="http://schemas.openxmlformats.org/spreadsheetml/2006/main" xr:uid="{00000000-0001-0000-0100-000000000000}" mc:Ignorable="x14ac xr xr2 xr3">
  <x:dimension ref="A1:K50"/>
  <x:sheetViews>
    <x:sheetView view="pageBreakPreview" topLeftCell="D13" zoomScaleNormal="90" zoomScaleSheetLayoutView="100" workbookViewId="0">
      <x:selection activeCell="K25" sqref="K25"/>
    </x:sheetView>
  </x:sheetViews>
  <x:sheetFormatPr defaultColWidth="9.1796875" defaultRowHeight="15.5" x14ac:dyDescent="0.35"/>
  <x:cols>
    <x:col min="1" max="1" width="9.1796875" style="22"/>
    <x:col min="2" max="2" width="42" style="22" customWidth="1"/>
    <x:col min="3" max="3" width="34" style="22" customWidth="1"/>
    <x:col min="4" max="4" width="11.7265625" style="22" customWidth="1"/>
    <x:col min="5" max="5" width="32" style="22" customWidth="1"/>
    <x:col min="6" max="6" width="15.54296875" style="24" customWidth="1"/>
    <x:col min="7" max="7" width="15.7265625" style="22" customWidth="1"/>
    <x:col min="8" max="8" width="14.453125" style="22" customWidth="1"/>
    <x:col min="9" max="9" width="2.1796875" style="22" customWidth="1"/>
    <x:col min="10" max="10" width="12.26953125" style="22" customWidth="1"/>
    <x:col min="11" max="11" width="17.6328125" style="22" customWidth="1"/>
    <x:col min="12" max="16384" width="9.1796875" style="22"/>
  </x:cols>
  <x:sheetData>
    <x:row r="1" spans="1:8" x14ac:dyDescent="0.35">
      <x:c r="B1" s="168" t="s">
        <x:v>186</x:v>
      </x:c>
      <x:c r="C1" s="168"/>
      <x:c r="D1" s="168"/>
      <x:c r="E1" s="168"/>
      <x:c r="F1" s="168"/>
      <x:c r="G1" s="168"/>
      <x:c r="H1" s="168"/>
    </x:row>
    <x:row r="2" spans="1:8" x14ac:dyDescent="0.35">
      <x:c r="B2" s="168" t="s">
        <x:v>11</x:v>
      </x:c>
      <x:c r="C2" s="168"/>
      <x:c r="D2" s="168"/>
      <x:c r="E2" s="168"/>
      <x:c r="F2" s="168"/>
      <x:c r="G2" s="168"/>
      <x:c r="H2" s="168"/>
    </x:row>
    <x:row r="3" spans="1:8" x14ac:dyDescent="0.35">
      <x:c r="B3" s="168" t="s">
        <x:v>35</x:v>
      </x:c>
      <x:c r="C3" s="168"/>
      <x:c r="D3" s="168"/>
      <x:c r="E3" s="168"/>
      <x:c r="F3" s="168"/>
      <x:c r="G3" s="168"/>
      <x:c r="H3" s="168"/>
    </x:row>
    <x:row r="4" spans="1:8" x14ac:dyDescent="0.35">
      <x:c r="B4" s="168" t="s">
        <x:v>187</x:v>
      </x:c>
      <x:c r="C4" s="168"/>
      <x:c r="D4" s="168"/>
      <x:c r="E4" s="168"/>
      <x:c r="F4" s="168"/>
      <x:c r="G4" s="168"/>
      <x:c r="H4" s="168"/>
    </x:row>
    <x:row r="5" spans="1:8" x14ac:dyDescent="0.35">
      <x:c r="B5" s="168" t="s">
        <x:v>188</x:v>
      </x:c>
      <x:c r="C5" s="168"/>
      <x:c r="D5" s="168"/>
      <x:c r="E5" s="168"/>
      <x:c r="F5" s="168"/>
      <x:c r="G5" s="168"/>
      <x:c r="H5" s="168"/>
    </x:row>
    <x:row r="7" spans="1:8" s="1" customFormat="1" ht="14" x14ac:dyDescent="0.3">
      <x:c r="A7" s="2"/>
      <x:c r="D7" s="17" t="s">
        <x:v>0</x:v>
      </x:c>
      <x:c r="E7" s="17" t="s">
        <x:v>1</x:v>
      </x:c>
      <x:c r="F7" s="3"/>
      <x:c r="G7" s="17" t="s">
        <x:v>36</x:v>
      </x:c>
      <x:c r="H7" s="17" t="s">
        <x:v>37</x:v>
      </x:c>
    </x:row>
    <x:row r="8" spans="1:8" s="1" customFormat="1" ht="14" x14ac:dyDescent="0.3">
      <x:c r="A8" s="18" t="s">
        <x:v>2</x:v>
      </x:c>
      <x:c r="B8" s="18" t="s">
        <x:v>3</x:v>
      </x:c>
      <x:c r="C8" s="18" t="s">
        <x:v>18</x:v>
      </x:c>
      <x:c r="D8" s="18" t="s">
        <x:v>4</x:v>
      </x:c>
      <x:c r="E8" s="18" t="s">
        <x:v>5</x:v>
      </x:c>
      <x:c r="F8" s="19" t="s">
        <x:v>6</x:v>
      </x:c>
      <x:c r="G8" s="19" t="s">
        <x:v>38</x:v>
      </x:c>
      <x:c r="H8" s="19" t="s">
        <x:v>39</x:v>
      </x:c>
    </x:row>
    <x:row r="9" spans="1:8" s="1" customFormat="1" ht="14" x14ac:dyDescent="0.3">
      <x:c r="A9" s="2"/>
      <x:c r="B9" s="20" t="s">
        <x:v>7</x:v>
      </x:c>
      <x:c r="C9" s="20" t="s">
        <x:v>19</x:v>
      </x:c>
      <x:c r="D9" s="20" t="s">
        <x:v>8</x:v>
      </x:c>
      <x:c r="E9" s="20" t="s">
        <x:v>9</x:v>
      </x:c>
      <x:c r="F9" s="21" t="s">
        <x:v>10</x:v>
      </x:c>
      <x:c r="G9" s="21" t="s">
        <x:v>40</x:v>
      </x:c>
      <x:c r="H9" s="21" t="s">
        <x:v>41</x:v>
      </x:c>
    </x:row>
    <x:row r="10" spans="1:8" s="1" customFormat="1" ht="14" x14ac:dyDescent="0.3">
      <x:c r="A10" s="2">
        <x:v>1</x:v>
      </x:c>
      <x:c r="B10" s="31" t="s">
        <x:v>30</x:v>
      </x:c>
      <x:c r="C10" s="20"/>
      <x:c r="D10" s="20"/>
      <x:c r="E10" s="20"/>
      <x:c r="F10" s="21"/>
      <x:c r="G10" s="21"/>
      <x:c r="H10" s="21"/>
    </x:row>
    <x:row r="11" spans="1:8" s="1" customFormat="1" ht="14" x14ac:dyDescent="0.3">
      <x:c r="A11" s="2">
        <x:f>+A10+1</x:f>
        <x:v>2</x:v>
      </x:c>
      <x:c r="B11" s="25"/>
      <x:c r="C11" s="25" t="str">
        <x:f>+'V-K-1'!C11</x:f>
        <x:v>Consulting-Uncertain tax positions</x:v>
      </x:c>
      <x:c r="D11" s="4">
        <x:f>+'V-K-1'!D11</x:f>
        <x:v>9230000</x:v>
      </x:c>
      <x:c r="E11" s="5" t="str">
        <x:f>+'V-K-1'!E11</x:f>
        <x:v>Outside Services Employed</x:v>
      </x:c>
      <x:c r="F11" s="152">
        <x:f>+'V-K-1'!F11</x:f>
        <x:v>30000</x:v>
      </x:c>
      <x:c r="G11" s="152">
        <x:v>0</x:v>
      </x:c>
      <x:c r="H11" s="152">
        <x:f>+F11+G11</x:f>
        <x:v>30000</x:v>
      </x:c>
    </x:row>
    <x:row r="12" spans="1:8" s="1" customFormat="1" ht="14" x14ac:dyDescent="0.3">
      <x:c r="A12" s="2">
        <x:f t="shared" ref="A12:A47" si="0">+A11+1</x:f>
        <x:v>3</x:v>
      </x:c>
      <x:c r="B12" s="25"/>
      <x:c r="C12" s="25" t="str">
        <x:f>+'V-K-1'!C12</x:f>
        <x:v>Annual Tax Return Review</x:v>
      </x:c>
      <x:c r="D12" s="4">
        <x:f>+'V-K-1'!D12</x:f>
        <x:v>9230000</x:v>
      </x:c>
      <x:c r="E12" s="5" t="str">
        <x:f>+'V-K-1'!E12</x:f>
        <x:v>Outside Services Employed</x:v>
      </x:c>
      <x:c r="F12" s="6">
        <x:f>+'V-K-1'!F12</x:f>
        <x:v>48000</x:v>
      </x:c>
      <x:c r="G12" s="6">
        <x:v>0</x:v>
      </x:c>
      <x:c r="H12" s="6">
        <x:f>+F12+G12</x:f>
        <x:v>48000</x:v>
      </x:c>
    </x:row>
    <x:row r="13" spans="1:8" s="1" customFormat="1" ht="14" x14ac:dyDescent="0.3">
      <x:c r="A13" s="2">
        <x:f t="shared" si="0"/>
        <x:v>4</x:v>
      </x:c>
      <x:c r="B13" s="25"/>
      <x:c r="C13" s="25" t="str">
        <x:f>+'V-K-1'!C13</x:f>
        <x:v>Annual Corptax Access</x:v>
      </x:c>
      <x:c r="D13" s="4">
        <x:f>+'V-K-1'!D13</x:f>
        <x:v>9230000</x:v>
      </x:c>
      <x:c r="E13" s="5" t="str">
        <x:f>+'V-K-1'!E13</x:f>
        <x:v>Outside Services Employed</x:v>
      </x:c>
      <x:c r="F13" s="6">
        <x:f>+'V-K-1'!F13</x:f>
        <x:v>30000</x:v>
      </x:c>
      <x:c r="G13" s="6">
        <x:v>0</x:v>
      </x:c>
      <x:c r="H13" s="6">
        <x:f>+F13+G13</x:f>
        <x:v>30000</x:v>
      </x:c>
    </x:row>
    <x:row r="14" spans="1:8" s="1" customFormat="1" ht="14" x14ac:dyDescent="0.3">
      <x:c r="A14" s="2">
        <x:f t="shared" si="0"/>
        <x:v>5</x:v>
      </x:c>
      <x:c r="B14" s="28" t="s">
        <x:v>307</x:v>
      </x:c>
      <x:c r="C14" s="28"/>
      <x:c r="D14" s="4"/>
      <x:c r="E14" s="5"/>
      <x:c r="F14" s="153">
        <x:f>SUM(F11:F13)</x:f>
        <x:v>108000</x:v>
      </x:c>
      <x:c r="G14" s="7">
        <x:f>SUM(G11:G13)</x:f>
        <x:v>0</x:v>
      </x:c>
      <x:c r="H14" s="153">
        <x:f>SUM(H11:H13)</x:f>
        <x:v>108000</x:v>
      </x:c>
    </x:row>
    <x:row r="15" spans="1:8" s="1" customFormat="1" ht="14" x14ac:dyDescent="0.3">
      <x:c r="A15" s="2">
        <x:f t="shared" si="0"/>
        <x:v>6</x:v>
      </x:c>
      <x:c r="B15" s="31" t="s">
        <x:v>31</x:v>
      </x:c>
      <x:c r="C15" s="25"/>
      <x:c r="D15" s="4"/>
      <x:c r="E15" s="5"/>
      <x:c r="F15" s="6"/>
      <x:c r="G15" s="6"/>
      <x:c r="H15" s="6"/>
    </x:row>
    <x:row r="16" spans="1:8" s="1" customFormat="1" ht="14" x14ac:dyDescent="0.3">
      <x:c r="A16" s="2">
        <x:f t="shared" si="0"/>
        <x:v>7</x:v>
      </x:c>
      <x:c r="B16" s="25"/>
      <x:c r="C16" s="25" t="str">
        <x:f>+'V-K-1'!C16</x:f>
        <x:v>Ultimate Software Group Inc</x:v>
      </x:c>
      <x:c r="D16" s="4">
        <x:f>+'V-K-1'!D16</x:f>
        <x:v>9210000</x:v>
      </x:c>
      <x:c r="E16" s="5" t="str">
        <x:f>+'V-K-1'!E16</x:f>
        <x:v>Office Supplies and Expenses</x:v>
      </x:c>
      <x:c r="F16" s="6">
        <x:f>+'V-K-1'!F16</x:f>
        <x:v>250</x:v>
      </x:c>
      <x:c r="G16" s="6">
        <x:v>0</x:v>
      </x:c>
      <x:c r="H16" s="6">
        <x:f>+F16+G16</x:f>
        <x:v>250</x:v>
      </x:c>
    </x:row>
    <x:row r="17" spans="1:11" s="1" customFormat="1" ht="14" x14ac:dyDescent="0.3">
      <x:c r="A17" s="2">
        <x:f t="shared" si="0"/>
        <x:v>8</x:v>
      </x:c>
      <x:c r="B17" s="25"/>
      <x:c r="C17" s="25"/>
      <x:c r="D17" s="4">
        <x:f>+'V-K-1'!D17</x:f>
        <x:v>9230000</x:v>
      </x:c>
      <x:c r="E17" s="5" t="str">
        <x:f>+'V-K-1'!E17</x:f>
        <x:v>Outside Services Employed</x:v>
      </x:c>
      <x:c r="F17" s="6">
        <x:f>+'V-K-1'!F17</x:f>
        <x:v>1380452</x:v>
      </x:c>
      <x:c r="G17" s="6">
        <x:v>0</x:v>
      </x:c>
      <x:c r="H17" s="6">
        <x:f t="shared" ref="H17:H19" si="1">+F17+G17</x:f>
        <x:v>1380452</x:v>
      </x:c>
      <x:c r="I17" s="33"/>
    </x:row>
    <x:row r="18" spans="1:11" s="1" customFormat="1" ht="14" x14ac:dyDescent="0.3">
      <x:c r="A18" s="2">
        <x:f t="shared" si="0"/>
        <x:v>9</x:v>
      </x:c>
      <x:c r="B18" s="25"/>
      <x:c r="C18" s="25"/>
      <x:c r="D18" s="4">
        <x:f>+'V-K-1'!D18</x:f>
        <x:v>5660000</x:v>
      </x:c>
      <x:c r="E18" s="5" t="str">
        <x:f>+'V-K-1'!E18</x:f>
        <x:v>Misc. Transmission Expense</x:v>
      </x:c>
      <x:c r="F18" s="6">
        <x:f>+'V-K-1'!F18</x:f>
        <x:v>546</x:v>
      </x:c>
      <x:c r="G18" s="6">
        <x:v>0</x:v>
      </x:c>
      <x:c r="H18" s="6">
        <x:f t="shared" si="1"/>
        <x:v>546</x:v>
      </x:c>
      <x:c r="I18" s="33"/>
    </x:row>
    <x:row r="19" spans="1:11" s="1" customFormat="1" ht="14" x14ac:dyDescent="0.3">
      <x:c r="A19" s="2">
        <x:f t="shared" si="0"/>
        <x:v>10</x:v>
      </x:c>
      <x:c r="B19" s="25"/>
      <x:c r="C19" s="25"/>
      <x:c r="D19" s="4">
        <x:f>+'V-K-1'!D19</x:f>
        <x:v>1070000</x:v>
      </x:c>
      <x:c r="E19" s="5" t="str">
        <x:f>+'V-K-1'!E19</x:f>
        <x:v>Construction Work in Progress</x:v>
      </x:c>
      <x:c r="F19" s="6">
        <x:f>+'V-K-1'!F19</x:f>
        <x:v>5404</x:v>
      </x:c>
      <x:c r="G19" s="6">
        <x:v>0</x:v>
      </x:c>
      <x:c r="H19" s="6">
        <x:f t="shared" si="1"/>
        <x:v>5404</x:v>
      </x:c>
      <x:c r="I19" s="33"/>
    </x:row>
    <x:row r="20" spans="1:11" s="1" customFormat="1" ht="14" x14ac:dyDescent="0.3">
      <x:c r="A20" s="2">
        <x:f t="shared" si="0"/>
        <x:v>11</x:v>
      </x:c>
      <x:c r="B20" s="28" t="s">
        <x:v>193</x:v>
      </x:c>
      <x:c r="C20" s="28"/>
      <x:c r="D20" s="10"/>
      <x:c r="E20" s="8"/>
      <x:c r="F20" s="154">
        <x:f>SUM(F16:F19)</x:f>
        <x:v>1386652</x:v>
      </x:c>
      <x:c r="G20" s="9">
        <x:f t="shared" ref="G20:H20" si="2">SUM(G16:G19)</x:f>
        <x:v>0</x:v>
      </x:c>
      <x:c r="H20" s="154">
        <x:f t="shared" si="2"/>
        <x:v>1386652</x:v>
      </x:c>
    </x:row>
    <x:row r="21" spans="1:11" s="1" customFormat="1" ht="14" x14ac:dyDescent="0.3">
      <x:c r="A21" s="2">
        <x:f t="shared" si="0"/>
        <x:v>12</x:v>
      </x:c>
      <x:c r="B21" s="27"/>
      <x:c r="C21" s="25" t="str">
        <x:f>+'V-K-1'!C21</x:f>
        <x:v>Veritas Technologies LLC</x:v>
      </x:c>
      <x:c r="D21" s="4">
        <x:f>+'V-K-1'!D21</x:f>
        <x:v>9230000</x:v>
      </x:c>
      <x:c r="E21" s="5" t="str">
        <x:f>+'V-K-1'!E21</x:f>
        <x:v>Outside Services Employed</x:v>
      </x:c>
      <x:c r="F21" s="6">
        <x:f>+'V-K-1'!F21</x:f>
        <x:v>216838</x:v>
      </x:c>
      <x:c r="G21" s="12">
        <x:f>-113349+201020</x:f>
        <x:v>87671</x:v>
      </x:c>
      <x:c r="H21" s="6">
        <x:f>+F21+G21</x:f>
        <x:v>304509</x:v>
      </x:c>
    </x:row>
    <x:row r="22" spans="1:11" s="1" customFormat="1" ht="14" x14ac:dyDescent="0.3">
      <x:c r="A22" s="2">
        <x:f t="shared" si="0"/>
        <x:v>13</x:v>
      </x:c>
      <x:c r="B22" s="26" t="s">
        <x:v>15</x:v>
      </x:c>
      <x:c r="C22" s="26"/>
      <x:c r="D22" s="10"/>
      <x:c r="E22" s="11"/>
      <x:c r="F22" s="154">
        <x:f>+F21</x:f>
        <x:v>216838</x:v>
      </x:c>
      <x:c r="G22" s="154">
        <x:f t="shared" ref="G22:H22" si="3">+G21</x:f>
        <x:v>87671</x:v>
      </x:c>
      <x:c r="H22" s="154">
        <x:f t="shared" si="3"/>
        <x:v>304509</x:v>
      </x:c>
    </x:row>
    <x:row r="23" spans="1:11" s="1" customFormat="1" ht="14" x14ac:dyDescent="0.3">
      <x:c r="A23" s="2">
        <x:f t="shared" si="0"/>
        <x:v>14</x:v>
      </x:c>
      <x:c r="B23" s="32" t="s">
        <x:v>32</x:v>
      </x:c>
      <x:c r="C23" s="26"/>
      <x:c r="D23" s="10"/>
      <x:c r="E23" s="8"/>
      <x:c r="F23" s="9"/>
      <x:c r="G23" s="9"/>
      <x:c r="H23" s="9"/>
    </x:row>
    <x:row r="24" spans="1:11" s="1" customFormat="1" ht="14" x14ac:dyDescent="0.3">
      <x:c r="A24" s="2">
        <x:f t="shared" si="0"/>
        <x:v>15</x:v>
      </x:c>
      <x:c r="B24" s="27"/>
      <x:c r="C24" s="25" t="str">
        <x:f>+'V-K-1'!C24</x:f>
        <x:v>Sharyland NTS</x:v>
      </x:c>
      <x:c r="D24" s="4">
        <x:f>+'V-K-1'!D24</x:f>
        <x:v>5650000</x:v>
      </x:c>
      <x:c r="E24" s="5" t="str">
        <x:f>+'V-K-1'!E24</x:f>
        <x:v>Trans Exp - Electricity by Others</x:v>
      </x:c>
      <x:c r="F24" s="6">
        <x:f>+'V-K-1'!F24</x:f>
        <x:v>16670575</x:v>
      </x:c>
      <x:c r="G24" s="12">
        <x:f>+H24-F24</x:f>
        <x:v>-382282</x:v>
      </x:c>
      <x:c r="H24" s="6">
        <x:f>+K24</x:f>
        <x:v>16288293</x:v>
      </x:c>
      <x:c r="K24" s="1">
        <x:v>16288293</x:v>
      </x:c>
    </x:row>
    <x:row r="25" spans="1:11" s="1" customFormat="1" ht="14" x14ac:dyDescent="0.3">
      <x:c r="A25" s="2">
        <x:f t="shared" si="0"/>
        <x:v>16</x:v>
      </x:c>
      <x:c r="B25" s="26" t="s">
        <x:v>166</x:v>
      </x:c>
      <x:c r="C25" s="26"/>
      <x:c r="D25" s="10"/>
      <x:c r="E25" s="8"/>
      <x:c r="F25" s="154">
        <x:f>+F24</x:f>
        <x:v>16670575</x:v>
      </x:c>
      <x:c r="G25" s="154">
        <x:f>+G24</x:f>
        <x:v>-382282</x:v>
      </x:c>
      <x:c r="H25" s="154">
        <x:f>+H24</x:f>
        <x:v>16288293</x:v>
      </x:c>
    </x:row>
    <x:row r="26" spans="1:11" s="1" customFormat="1" ht="14" x14ac:dyDescent="0.3">
      <x:c r="A26" s="2">
        <x:f t="shared" si="0"/>
        <x:v>17</x:v>
      </x:c>
      <x:c r="B26" s="25"/>
      <x:c r="C26" s="25" t="str">
        <x:f>+'V-K-1'!C26</x:f>
        <x:v>Oncor NTU NTS</x:v>
      </x:c>
      <x:c r="D26" s="4">
        <x:f>+'V-K-1'!D26</x:f>
        <x:v>5650000</x:v>
      </x:c>
      <x:c r="E26" s="5" t="str">
        <x:f>+'V-K-1'!E26</x:f>
        <x:v>Trans Exp - Electricity by Others</x:v>
      </x:c>
      <x:c r="F26" s="6">
        <x:f>+'V-K-1'!F26</x:f>
        <x:v>58040589</x:v>
      </x:c>
      <x:c r="G26" s="13">
        <x:f>+H26-F26</x:f>
        <x:v>-3321511</x:v>
      </x:c>
      <x:c r="H26" s="6">
        <x:v>54719078</x:v>
      </x:c>
    </x:row>
    <x:row r="27" spans="1:11" s="1" customFormat="1" ht="14" x14ac:dyDescent="0.3">
      <x:c r="A27" s="2">
        <x:f t="shared" si="0"/>
        <x:v>18</x:v>
      </x:c>
      <x:c r="B27" s="25"/>
      <x:c r="C27" s="25" t="str">
        <x:f>+'V-K-1'!C27</x:f>
        <x:v>Oncor NTU WDSS</x:v>
      </x:c>
      <x:c r="D27" s="4">
        <x:f>+'V-K-1'!D27</x:f>
        <x:v>5881008</x:v>
      </x:c>
      <x:c r="E27" s="5" t="str">
        <x:f>+'V-K-1'!E27</x:f>
        <x:v>Wholesale Distribution Expense</x:v>
      </x:c>
      <x:c r="F27" s="6">
        <x:f>+'V-K-1'!F27</x:f>
        <x:v>15382470.5</x:v>
      </x:c>
      <x:c r="G27" s="13">
        <x:f>+H27-F27</x:f>
        <x:v>-2691289.5</x:v>
      </x:c>
      <x:c r="H27" s="12">
        <x:v>12691181</x:v>
      </x:c>
      <x:c r="I27" s="33"/>
    </x:row>
    <x:row r="28" spans="1:11" s="1" customFormat="1" ht="14" x14ac:dyDescent="0.3">
      <x:c r="A28" s="2">
        <x:f t="shared" si="0"/>
        <x:v>19</x:v>
      </x:c>
      <x:c r="B28" s="28" t="s">
        <x:v>167</x:v>
      </x:c>
      <x:c r="C28" s="28"/>
      <x:c r="D28" s="4"/>
      <x:c r="E28" s="5"/>
      <x:c r="F28" s="153">
        <x:f>+F26+F27</x:f>
        <x:v>73423059.5</x:v>
      </x:c>
      <x:c r="G28" s="153">
        <x:f>+G26+G27</x:f>
        <x:v>-6012800.5</x:v>
      </x:c>
      <x:c r="H28" s="153">
        <x:f>+H26+H27</x:f>
        <x:v>67410259</x:v>
      </x:c>
    </x:row>
    <x:row r="29" spans="1:11" s="1" customFormat="1" ht="14" x14ac:dyDescent="0.3">
      <x:c r="A29" s="2">
        <x:f t="shared" si="0"/>
        <x:v>20</x:v>
      </x:c>
      <x:c r="B29" s="31" t="s">
        <x:v>195</x:v>
      </x:c>
      <x:c r="C29" s="28"/>
      <x:c r="D29" s="4"/>
      <x:c r="E29" s="5"/>
      <x:c r="F29" s="15"/>
      <x:c r="G29" s="15"/>
      <x:c r="H29" s="15"/>
    </x:row>
    <x:row r="30" spans="1:11" s="1" customFormat="1" ht="14" x14ac:dyDescent="0.3">
      <x:c r="A30" s="2">
        <x:f t="shared" si="0"/>
        <x:v>21</x:v>
      </x:c>
      <x:c r="B30" s="31"/>
      <x:c r="C30" s="25" t="str">
        <x:f>+'V-K-1'!C30</x:f>
        <x:v>Dallas Garland &amp; Northeastern RR</x:v>
      </x:c>
      <x:c r="D30" s="25">
        <x:f>+'V-K-1'!D30</x:f>
        <x:v>5890000</x:v>
      </x:c>
      <x:c r="E30" s="25" t="str">
        <x:f>+'V-K-1'!E30</x:f>
        <x:v>Rents</x:v>
      </x:c>
      <x:c r="F30" s="6">
        <x:f>+'V-K-1'!F30</x:f>
        <x:v>-2806</x:v>
      </x:c>
      <x:c r="G30" s="15">
        <x:v>0</x:v>
      </x:c>
      <x:c r="H30" s="13">
        <x:f>+F30+G30</x:f>
        <x:v>-2806</x:v>
      </x:c>
    </x:row>
    <x:row r="31" spans="1:11" s="1" customFormat="1" ht="14" x14ac:dyDescent="0.3">
      <x:c r="A31" s="2">
        <x:f t="shared" si="0"/>
        <x:v>22</x:v>
      </x:c>
      <x:c r="B31" s="31"/>
      <x:c r="C31" s="25" t="str">
        <x:f>+'V-K-1'!C31</x:f>
        <x:v>Genesee &amp; Wyoming</x:v>
      </x:c>
      <x:c r="D31" s="4">
        <x:f>+'V-K-1'!D31</x:f>
        <x:v>1070000</x:v>
      </x:c>
      <x:c r="E31" s="25" t="str">
        <x:f>+'V-K-1'!E31</x:f>
        <x:v>Construction Work in Progress</x:v>
      </x:c>
      <x:c r="F31" s="6">
        <x:f>+'V-K-1'!F31</x:f>
        <x:v>4750</x:v>
      </x:c>
      <x:c r="G31" s="15">
        <x:v>0</x:v>
      </x:c>
      <x:c r="H31" s="13">
        <x:f t="shared" ref="H31:H34" si="4">+F31+G31</x:f>
        <x:v>4750</x:v>
      </x:c>
    </x:row>
    <x:row r="32" spans="1:11" s="1" customFormat="1" ht="14" x14ac:dyDescent="0.3">
      <x:c r="A32" s="2">
        <x:f t="shared" si="0"/>
        <x:v>23</x:v>
      </x:c>
      <x:c r="B32" s="25"/>
      <x:c r="C32" s="25" t="str">
        <x:f>+'V-K-1'!C32</x:f>
        <x:v>Kiamichi Railroad</x:v>
      </x:c>
      <x:c r="D32" s="4">
        <x:f>+'V-K-1'!D32</x:f>
        <x:v>1070000</x:v>
      </x:c>
      <x:c r="E32" s="25" t="str">
        <x:f>+'V-K-1'!E32</x:f>
        <x:v>Construction Work in Progress</x:v>
      </x:c>
      <x:c r="F32" s="6">
        <x:f>+'V-K-1'!F32</x:f>
        <x:v>33640</x:v>
      </x:c>
      <x:c r="G32" s="15">
        <x:v>0</x:v>
      </x:c>
      <x:c r="H32" s="13">
        <x:f t="shared" si="4"/>
        <x:v>33640</x:v>
      </x:c>
    </x:row>
    <x:row r="33" spans="1:9" s="1" customFormat="1" ht="14" x14ac:dyDescent="0.3">
      <x:c r="A33" s="2">
        <x:f t="shared" si="0"/>
        <x:v>24</x:v>
      </x:c>
      <x:c r="B33" s="28"/>
      <x:c r="C33" s="25"/>
      <x:c r="D33" s="4">
        <x:f>+'V-K-1'!D33</x:f>
        <x:v>5880000</x:v>
      </x:c>
      <x:c r="E33" s="25" t="str">
        <x:f>+'V-K-1'!E33</x:f>
        <x:v>Misc. Distribution Expense</x:v>
      </x:c>
      <x:c r="F33" s="6">
        <x:f>+'V-K-1'!F33</x:f>
        <x:v>1750</x:v>
      </x:c>
      <x:c r="G33" s="15">
        <x:v>0</x:v>
      </x:c>
      <x:c r="H33" s="13">
        <x:f t="shared" si="4"/>
        <x:v>1750</x:v>
      </x:c>
    </x:row>
    <x:row r="34" spans="1:9" s="1" customFormat="1" ht="14" x14ac:dyDescent="0.3">
      <x:c r="A34" s="2">
        <x:f t="shared" si="0"/>
        <x:v>25</x:v>
      </x:c>
      <x:c r="B34" s="4"/>
      <x:c r="C34" s="25" t="str">
        <x:f>+'V-K-1'!C34</x:f>
        <x:v>Texas Northeastern Railroad</x:v>
      </x:c>
      <x:c r="D34" s="4">
        <x:f>+'V-K-1'!D34</x:f>
        <x:v>5670000</x:v>
      </x:c>
      <x:c r="E34" s="25" t="str">
        <x:f>+'V-K-1'!E34</x:f>
        <x:v>Rents</x:v>
      </x:c>
      <x:c r="F34" s="6">
        <x:f>+'V-K-1'!F34</x:f>
        <x:v>1323</x:v>
      </x:c>
      <x:c r="G34" s="15">
        <x:v>0</x:v>
      </x:c>
      <x:c r="H34" s="13">
        <x:f t="shared" si="4"/>
        <x:v>1323</x:v>
      </x:c>
    </x:row>
    <x:row r="35" spans="1:9" s="1" customFormat="1" ht="14" x14ac:dyDescent="0.3">
      <x:c r="A35" s="2">
        <x:f t="shared" si="0"/>
        <x:v>26</x:v>
      </x:c>
      <x:c r="B35" s="28" t="s">
        <x:v>202</x:v>
      </x:c>
      <x:c r="C35" s="25"/>
      <x:c r="D35" s="4"/>
      <x:c r="E35" s="5"/>
      <x:c r="F35" s="153">
        <x:f>SUM(F30:F34)</x:f>
        <x:v>38657</x:v>
      </x:c>
      <x:c r="G35" s="15">
        <x:f t="shared" ref="G35:H35" si="5">SUM(G30:G34)</x:f>
        <x:v>0</x:v>
      </x:c>
      <x:c r="H35" s="153">
        <x:f t="shared" si="5"/>
        <x:v>38657</x:v>
      </x:c>
    </x:row>
    <x:row r="36" spans="1:9" s="1" customFormat="1" ht="14" x14ac:dyDescent="0.3">
      <x:c r="A36" s="2">
        <x:f t="shared" si="0"/>
        <x:v>27</x:v>
      </x:c>
      <x:c r="B36" s="31" t="s">
        <x:v>266</x:v>
      </x:c>
      <x:c r="C36" s="25"/>
      <x:c r="D36" s="4"/>
      <x:c r="E36" s="5"/>
      <x:c r="F36" s="15"/>
      <x:c r="G36" s="15"/>
      <x:c r="H36" s="15"/>
    </x:row>
    <x:row r="37" spans="1:9" s="1" customFormat="1" ht="14" x14ac:dyDescent="0.3">
      <x:c r="A37" s="2">
        <x:f t="shared" si="0"/>
        <x:v>28</x:v>
      </x:c>
      <x:c r="B37" s="28"/>
      <x:c r="C37" s="25" t="str">
        <x:f>+'V-K-1'!C37</x:f>
        <x:v>Lineage Logistics Holdings, LLC</x:v>
      </x:c>
      <x:c r="D37" s="25">
        <x:f>+'V-K-1'!D37</x:f>
        <x:v>2284000</x:v>
      </x:c>
      <x:c r="E37" s="25" t="str">
        <x:f>+'V-K-1'!E37</x:f>
        <x:v>Accum. Prov. - Misc. Operations</x:v>
      </x:c>
      <x:c r="F37" s="151">
        <x:f>+'V-K-1'!F37</x:f>
        <x:v>155503</x:v>
      </x:c>
      <x:c r="G37" s="15">
        <x:v>0</x:v>
      </x:c>
      <x:c r="H37" s="13">
        <x:f t="shared" ref="H37" si="6">+F37+G37</x:f>
        <x:v>155503</x:v>
      </x:c>
    </x:row>
    <x:row r="38" spans="1:9" s="1" customFormat="1" ht="14" x14ac:dyDescent="0.3">
      <x:c r="A38" s="2">
        <x:f t="shared" si="0"/>
        <x:v>29</x:v>
      </x:c>
      <x:c r="B38" s="28" t="s">
        <x:v>270</x:v>
      </x:c>
      <x:c r="C38" s="25"/>
      <x:c r="D38" s="4"/>
      <x:c r="E38" s="5"/>
      <x:c r="F38" s="153">
        <x:f>+F37</x:f>
        <x:v>155503</x:v>
      </x:c>
      <x:c r="G38" s="15">
        <x:f t="shared" ref="G38:H38" si="7">+G37</x:f>
        <x:v>0</x:v>
      </x:c>
      <x:c r="H38" s="153">
        <x:f t="shared" si="7"/>
        <x:v>155503</x:v>
      </x:c>
    </x:row>
    <x:row r="39" spans="1:9" s="1" customFormat="1" ht="14" x14ac:dyDescent="0.3">
      <x:c r="A39" s="2">
        <x:f t="shared" si="0"/>
        <x:v>30</x:v>
      </x:c>
      <x:c r="B39" s="31" t="s">
        <x:v>33</x:v>
      </x:c>
      <x:c r="C39" s="25"/>
      <x:c r="D39" s="4"/>
      <x:c r="E39" s="5"/>
      <x:c r="F39" s="13"/>
      <x:c r="G39" s="13"/>
      <x:c r="H39" s="13"/>
    </x:row>
    <x:row r="40" spans="1:9" s="1" customFormat="1" ht="14" x14ac:dyDescent="0.3">
      <x:c r="A40" s="2">
        <x:f t="shared" si="0"/>
        <x:v>31</x:v>
      </x:c>
      <x:c r="B40" s="4"/>
      <x:c r="C40" s="25" t="str">
        <x:f>+'V-K-1'!C40</x:f>
        <x:v>Oncor Cares Foundation</x:v>
      </x:c>
      <x:c r="D40" s="25">
        <x:f>+'V-K-1'!D40</x:f>
        <x:v>9302000</x:v>
      </x:c>
      <x:c r="E40" s="25" t="str">
        <x:f>+'V-K-1'!E40</x:f>
        <x:v>Misc. General Expense</x:v>
      </x:c>
      <x:c r="F40" s="6">
        <x:f>+'V-K-1'!F40</x:f>
        <x:v>17227</x:v>
      </x:c>
      <x:c r="G40" s="13">
        <x:v>0</x:v>
      </x:c>
      <x:c r="H40" s="13">
        <x:f t="shared" ref="H40:H44" si="8">+F40+G40</x:f>
        <x:v>17227</x:v>
      </x:c>
    </x:row>
    <x:row r="41" spans="1:9" s="1" customFormat="1" ht="14" x14ac:dyDescent="0.3">
      <x:c r="A41" s="2">
        <x:f t="shared" si="0"/>
        <x:v>32</x:v>
      </x:c>
      <x:c r="B41" s="4"/>
      <x:c r="C41" s="25"/>
      <x:c r="D41" s="25">
        <x:f>+'V-K-1'!D41</x:f>
        <x:v>9302000</x:v>
      </x:c>
      <x:c r="E41" s="25" t="str">
        <x:f>+'V-K-1'!E41</x:f>
        <x:v>Misc. General Exp. (contribution)</x:v>
      </x:c>
      <x:c r="F41" s="6">
        <x:f>+'V-K-1'!F41</x:f>
        <x:v>60000</x:v>
      </x:c>
      <x:c r="G41" s="13">
        <x:v>0</x:v>
      </x:c>
      <x:c r="H41" s="13">
        <x:f t="shared" si="8"/>
        <x:v>60000</x:v>
      </x:c>
    </x:row>
    <x:row r="42" spans="1:9" s="1" customFormat="1" ht="14" x14ac:dyDescent="0.3">
      <x:c r="A42" s="2">
        <x:f t="shared" si="0"/>
        <x:v>33</x:v>
      </x:c>
      <x:c r="B42" s="28" t="s">
        <x:v>23</x:v>
      </x:c>
      <x:c r="C42" s="25"/>
      <x:c r="D42" s="4"/>
      <x:c r="E42" s="5"/>
      <x:c r="F42" s="153">
        <x:f>+F40+F41</x:f>
        <x:v>77227</x:v>
      </x:c>
      <x:c r="G42" s="15">
        <x:f t="shared" ref="G42:H42" si="9">+G40+G41</x:f>
        <x:v>0</x:v>
      </x:c>
      <x:c r="H42" s="153">
        <x:f t="shared" si="9"/>
        <x:v>77227</x:v>
      </x:c>
    </x:row>
    <x:row r="43" spans="1:9" s="1" customFormat="1" ht="14" x14ac:dyDescent="0.3">
      <x:c r="A43" s="2">
        <x:f t="shared" si="0"/>
        <x:v>34</x:v>
      </x:c>
      <x:c r="B43" s="31" t="s">
        <x:v>294</x:v>
      </x:c>
      <x:c r="C43" s="25"/>
      <x:c r="D43" s="25"/>
      <x:c r="E43" s="25"/>
      <x:c r="F43" s="6"/>
      <x:c r="G43" s="13"/>
      <x:c r="H43" s="13"/>
    </x:row>
    <x:row r="44" spans="1:9" s="1" customFormat="1" ht="14" x14ac:dyDescent="0.3">
      <x:c r="A44" s="2">
        <x:f t="shared" si="0"/>
        <x:v>35</x:v>
      </x:c>
      <x:c r="B44" s="4"/>
      <x:c r="C44" s="25" t="str">
        <x:f>+'V-K-1'!C44</x:f>
        <x:v>Oncor Receivables LLC</x:v>
      </x:c>
      <x:c r="D44" s="25">
        <x:f>+'V-K-1'!D44</x:f>
        <x:v>9030002</x:v>
      </x:c>
      <x:c r="E44" s="25" t="str">
        <x:f>+'V-K-1'!E44</x:f>
        <x:v>Customer Service - Affiliate</x:v>
      </x:c>
      <x:c r="F44" s="6">
        <x:f>+'V-K-1'!F44</x:f>
        <x:v>6733012</x:v>
      </x:c>
      <x:c r="G44" s="13">
        <x:f t="shared" ref="G44" si="10">-F44</x:f>
        <x:v>-6733012</x:v>
      </x:c>
      <x:c r="H44" s="13">
        <x:f t="shared" si="8"/>
        <x:v>0</x:v>
      </x:c>
      <x:c r="I44" s="33" t="s">
        <x:v>295</x:v>
      </x:c>
    </x:row>
    <x:row r="45" spans="1:9" s="1" customFormat="1" ht="14" x14ac:dyDescent="0.3">
      <x:c r="A45" s="2">
        <x:f t="shared" si="0"/>
        <x:v>36</x:v>
      </x:c>
      <x:c r="B45" s="28" t="s">
        <x:v>285</x:v>
      </x:c>
      <x:c r="C45" s="25"/>
      <x:c r="D45" s="4"/>
      <x:c r="E45" s="5"/>
      <x:c r="F45" s="153">
        <x:f>SUM(F43:F44)</x:f>
        <x:v>6733012</x:v>
      </x:c>
      <x:c r="G45" s="153">
        <x:f>SUM(G43:G44)</x:f>
        <x:v>-6733012</x:v>
      </x:c>
      <x:c r="H45" s="15">
        <x:f>SUM(H43:H44)</x:f>
        <x:v>0</x:v>
      </x:c>
    </x:row>
    <x:row r="46" spans="1:9" s="1" customFormat="1" ht="14" x14ac:dyDescent="0.3">
      <x:c r="A46" s="2">
        <x:f t="shared" si="0"/>
        <x:v>37</x:v>
      </x:c>
      <x:c r="B46" s="28"/>
      <x:c r="C46" s="25"/>
      <x:c r="D46" s="4"/>
      <x:c r="E46" s="5"/>
      <x:c r="F46" s="13"/>
      <x:c r="G46" s="13"/>
      <x:c r="H46" s="13"/>
    </x:row>
    <x:row r="47" spans="1:9" s="1" customFormat="1" ht="14" x14ac:dyDescent="0.3">
      <x:c r="A47" s="2">
        <x:f t="shared" si="0"/>
        <x:v>38</x:v>
      </x:c>
      <x:c r="B47" s="8" t="s">
        <x:v>12</x:v>
      </x:c>
      <x:c r="C47" s="8"/>
      <x:c r="D47" s="4"/>
      <x:c r="E47" s="5"/>
      <x:c r="F47" s="153">
        <x:f>+F14+F20+F22+F25++F28+F35+F42+F45+F38</x:f>
        <x:v>98809523.5</x:v>
      </x:c>
      <x:c r="G47" s="153">
        <x:f>+G14+G20+G22+G25++G28+G35+G42+G45+G38</x:f>
        <x:v>-13040423.5</x:v>
      </x:c>
      <x:c r="H47" s="153">
        <x:f>+H14+H20+H22+H25++H28+H35+H42+H45+H38</x:f>
        <x:v>85769100</x:v>
      </x:c>
    </x:row>
    <x:row r="48" spans="1:9" s="1" customFormat="1" ht="14" x14ac:dyDescent="0.3">
      <x:c r="A48" s="2"/>
      <x:c r="D48" s="29"/>
      <x:c r="F48" s="16"/>
    </x:row>
    <x:row r="49" spans="1:8" x14ac:dyDescent="0.35">
      <x:c r="A49" s="23"/>
      <x:c r="B49" s="1" t="s">
        <x:v>296</x:v>
      </x:c>
      <x:c r="D49" s="30"/>
    </x:row>
    <x:row r="50" spans="1:8" ht="39.5" customHeight="1" x14ac:dyDescent="0.35">
      <x:c r="A50" s="23"/>
      <x:c r="B50" s="169" t="s">
        <x:v>300</x:v>
      </x:c>
      <x:c r="C50" s="169"/>
      <x:c r="D50" s="169"/>
      <x:c r="E50" s="169"/>
      <x:c r="F50" s="169"/>
      <x:c r="G50" s="169"/>
      <x:c r="H50" s="169"/>
    </x:row>
  </x:sheetData>
  <x:mergeCells count="6">
    <x:mergeCell ref="B50:H50"/>
    <x:mergeCell ref="B1:H1"/>
    <x:mergeCell ref="B2:H2"/>
    <x:mergeCell ref="B3:H3"/>
    <x:mergeCell ref="B4:H4"/>
    <x:mergeCell ref="B5:H5"/>
  </x:mergeCells>
  <x:printOptions horizontalCentered="1"/>
  <x:pageMargins left="0.35" right="0.35" top="1.5" bottom="0.5" header="0.3" footer="0.3"/>
  <x:pageSetup scale="74" fitToHeight="2" orientation="landscape" r:id="rId1"/>
  <x:headerFooter>
    <x:oddHeader>&amp;R
Schedule V-K-2
Page &amp;P of &amp;N</x:oddHeader>
  </x:headerFooter>
  <x:rowBreaks count="1" manualBreakCount="1">
    <x:brk id="42" max="8" man="1"/>
  </x:rowBreaks>
</x:worksheet>
</file>

<file path=xl/worksheets/sheet3.xml><?xml version="1.0" encoding="utf-8"?>
<x:worksheet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xmlns:x="http://schemas.openxmlformats.org/spreadsheetml/2006/main" xr:uid="{00000000-0001-0000-0200-000000000000}" mc:Ignorable="x14ac xr xr2 xr3">
  <x:dimension ref="A1:E18"/>
  <x:sheetViews>
    <x:sheetView view="pageBreakPreview" zoomScaleNormal="90" zoomScaleSheetLayoutView="100" workbookViewId="0">
      <x:selection activeCell="B7" sqref="B7"/>
    </x:sheetView>
  </x:sheetViews>
  <x:sheetFormatPr defaultColWidth="9.1796875" defaultRowHeight="15.5" x14ac:dyDescent="0.35"/>
  <x:cols>
    <x:col min="1" max="1" width="9.7265625" style="22" customWidth="1"/>
    <x:col min="2" max="2" width="14.81640625" style="22" customWidth="1"/>
    <x:col min="3" max="3" width="40.26953125" style="22" customWidth="1"/>
    <x:col min="4" max="4" width="15" style="22" customWidth="1"/>
    <x:col min="5" max="5" width="19" style="23" customWidth="1"/>
    <x:col min="6" max="16384" width="9.1796875" style="22"/>
  </x:cols>
  <x:sheetData>
    <x:row r="1" spans="1:5" x14ac:dyDescent="0.35">
      <x:c r="B1" s="168" t="s">
        <x:v>186</x:v>
      </x:c>
      <x:c r="C1" s="168"/>
      <x:c r="D1" s="168"/>
      <x:c r="E1" s="168"/>
    </x:row>
    <x:row r="2" spans="1:5" x14ac:dyDescent="0.35">
      <x:c r="B2" s="168" t="s">
        <x:v>11</x:v>
      </x:c>
      <x:c r="C2" s="168"/>
      <x:c r="D2" s="168"/>
      <x:c r="E2" s="168"/>
    </x:row>
    <x:row r="3" spans="1:5" x14ac:dyDescent="0.35">
      <x:c r="B3" s="168" t="s">
        <x:v>149</x:v>
      </x:c>
      <x:c r="C3" s="168"/>
      <x:c r="D3" s="168"/>
      <x:c r="E3" s="168"/>
    </x:row>
    <x:row r="4" spans="1:5" x14ac:dyDescent="0.35">
      <x:c r="B4" s="168" t="s">
        <x:v>187</x:v>
      </x:c>
      <x:c r="C4" s="168"/>
      <x:c r="D4" s="168"/>
      <x:c r="E4" s="168"/>
    </x:row>
    <x:row r="5" spans="1:5" x14ac:dyDescent="0.35">
      <x:c r="B5" s="168" t="s">
        <x:v>189</x:v>
      </x:c>
      <x:c r="C5" s="168"/>
      <x:c r="D5" s="168"/>
      <x:c r="E5" s="168"/>
    </x:row>
    <x:row r="7" spans="1:5" x14ac:dyDescent="0.35">
      <x:c r="D7" s="47"/>
      <x:c r="E7" s="47"/>
    </x:row>
    <x:row r="8" spans="1:5" s="1" customFormat="1" ht="14" x14ac:dyDescent="0.3">
      <x:c r="A8" s="57"/>
      <x:c r="B8" s="57"/>
      <x:c r="C8" s="57"/>
      <x:c r="D8" s="106"/>
      <x:c r="E8" s="57"/>
    </x:row>
    <x:row r="9" spans="1:5" s="1" customFormat="1" ht="14" x14ac:dyDescent="0.3">
      <x:c r="A9" s="50"/>
      <x:c r="B9" s="57"/>
      <x:c r="C9" s="57"/>
      <x:c r="D9" s="57"/>
      <x:c r="E9" s="57"/>
    </x:row>
    <x:row r="10" spans="1:5" s="1" customFormat="1" ht="14" x14ac:dyDescent="0.3">
      <x:c r="A10" s="52"/>
      <x:c r="B10" s="131" t="s">
        <x:v>150</x:v>
      </x:c>
      <x:c r="C10" s="54"/>
      <x:c r="D10" s="55"/>
      <x:c r="E10" s="56"/>
    </x:row>
    <x:row r="11" spans="1:5" s="1" customFormat="1" ht="14" x14ac:dyDescent="0.3">
      <x:c r="A11" s="52"/>
      <x:c r="B11" s="53"/>
      <x:c r="C11" s="57"/>
      <x:c r="D11" s="130"/>
      <x:c r="E11" s="56"/>
    </x:row>
    <x:row r="12" spans="1:5" s="1" customFormat="1" ht="14" x14ac:dyDescent="0.3">
      <x:c r="A12" s="52"/>
      <x:c r="B12" s="57"/>
      <x:c r="C12" s="53"/>
      <x:c r="D12" s="55"/>
      <x:c r="E12" s="57"/>
    </x:row>
    <x:row r="13" spans="1:5" s="1" customFormat="1" ht="14" x14ac:dyDescent="0.3">
      <x:c r="A13" s="30"/>
      <x:c r="B13" s="53"/>
      <x:c r="C13" s="30"/>
      <x:c r="D13" s="124"/>
      <x:c r="E13" s="53"/>
    </x:row>
    <x:row r="14" spans="1:5" s="1" customFormat="1" ht="14" x14ac:dyDescent="0.3">
      <x:c r="A14" s="30"/>
      <x:c r="B14" s="53"/>
      <x:c r="C14" s="30"/>
      <x:c r="D14" s="124"/>
      <x:c r="E14" s="53"/>
    </x:row>
    <x:row r="15" spans="1:5" s="1" customFormat="1" ht="14" x14ac:dyDescent="0.3">
      <x:c r="A15" s="30"/>
      <x:c r="B15" s="53"/>
      <x:c r="C15" s="30"/>
      <x:c r="D15" s="58"/>
      <x:c r="E15" s="2"/>
    </x:row>
    <x:row r="16" spans="1:5" x14ac:dyDescent="0.35">
      <x:c r="A16" s="59"/>
      <x:c r="B16" s="60"/>
      <x:c r="C16" s="59"/>
      <x:c r="D16" s="61"/>
    </x:row>
    <x:row r="17" spans="1:5" ht="80.25" customHeight="1" x14ac:dyDescent="0.35">
      <x:c r="A17" s="59"/>
      <x:c r="B17" s="170"/>
      <x:c r="C17" s="170"/>
      <x:c r="D17" s="170"/>
      <x:c r="E17" s="170"/>
    </x:row>
    <x:row r="18" spans="1:5" x14ac:dyDescent="0.35">
      <x:c r="A18" s="59"/>
      <x:c r="B18" s="59"/>
      <x:c r="C18" s="59"/>
      <x:c r="D18" s="61"/>
    </x:row>
  </x:sheetData>
  <x:mergeCells count="6">
    <x:mergeCell ref="B17:E17"/>
    <x:mergeCell ref="B1:E1"/>
    <x:mergeCell ref="B2:E2"/>
    <x:mergeCell ref="B3:E3"/>
    <x:mergeCell ref="B4:E4"/>
    <x:mergeCell ref="B5:E5"/>
  </x:mergeCells>
  <x:printOptions horizontalCentered="1"/>
  <x:pageMargins left="0.35" right="0.35" top="1.5" bottom="0.5" header="0.3" footer="0.3"/>
  <x:pageSetup scale="85" orientation="landscape" r:id="rId1"/>
  <x:headerFooter>
    <x:oddHeader>&amp;R
Schedule V-K-3
Page 1 of 1</x:oddHeader>
  </x:headerFooter>
</x:worksheet>
</file>

<file path=xl/worksheets/sheet4.xml><?xml version="1.0" encoding="utf-8"?>
<x:worksheet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xmlns:x="http://schemas.openxmlformats.org/spreadsheetml/2006/main" xr:uid="{00000000-0001-0000-0300-000000000000}" mc:Ignorable="x14ac xr xr2 xr3">
  <x:sheetPr>
    <x:pageSetUpPr fitToPage="1"/>
  </x:sheetPr>
  <x:dimension ref="A1:D30"/>
  <x:sheetViews>
    <x:sheetView view="pageBreakPreview" zoomScaleNormal="90" zoomScaleSheetLayoutView="100" workbookViewId="0">
      <x:selection activeCell="B6" sqref="B6"/>
    </x:sheetView>
  </x:sheetViews>
  <x:sheetFormatPr defaultColWidth="9.1796875" defaultRowHeight="15.5" x14ac:dyDescent="0.35"/>
  <x:cols>
    <x:col min="1" max="1" width="9.1796875" style="22"/>
    <x:col min="2" max="2" width="22.26953125" style="22" customWidth="1"/>
    <x:col min="3" max="3" width="42.453125" style="22" customWidth="1"/>
    <x:col min="4" max="4" width="73.453125" style="22" customWidth="1"/>
    <x:col min="5" max="16384" width="9.1796875" style="22"/>
  </x:cols>
  <x:sheetData>
    <x:row r="1" spans="1:4" x14ac:dyDescent="0.35">
      <x:c r="B1" s="168" t="s">
        <x:v>186</x:v>
      </x:c>
      <x:c r="C1" s="168"/>
      <x:c r="D1" s="168"/>
    </x:row>
    <x:row r="2" spans="1:4" x14ac:dyDescent="0.35">
      <x:c r="B2" s="168" t="s">
        <x:v>11</x:v>
      </x:c>
      <x:c r="C2" s="168"/>
      <x:c r="D2" s="168"/>
    </x:row>
    <x:row r="3" spans="1:4" x14ac:dyDescent="0.35">
      <x:c r="B3" s="168" t="s">
        <x:v>42</x:v>
      </x:c>
      <x:c r="C3" s="168"/>
      <x:c r="D3" s="168"/>
    </x:row>
    <x:row r="4" spans="1:4" x14ac:dyDescent="0.35">
      <x:c r="B4" s="168" t="s">
        <x:v>187</x:v>
      </x:c>
      <x:c r="C4" s="168"/>
      <x:c r="D4" s="168"/>
    </x:row>
    <x:row r="5" spans="1:4" x14ac:dyDescent="0.35">
      <x:c r="B5" s="168" t="s">
        <x:v>189</x:v>
      </x:c>
      <x:c r="C5" s="168"/>
      <x:c r="D5" s="168"/>
    </x:row>
    <x:row r="7" spans="1:4" s="1" customFormat="1" ht="14" x14ac:dyDescent="0.3">
      <x:c r="A7" s="18" t="s">
        <x:v>2</x:v>
      </x:c>
      <x:c r="B7" s="18" t="s">
        <x:v>43</x:v>
      </x:c>
      <x:c r="C7" s="18" t="s">
        <x:v>3</x:v>
      </x:c>
      <x:c r="D7" s="18" t="s">
        <x:v>44</x:v>
      </x:c>
    </x:row>
    <x:row r="8" spans="1:4" s="1" customFormat="1" ht="20.25" customHeight="1" x14ac:dyDescent="0.3">
      <x:c r="A8" s="2">
        <x:v>1</x:v>
      </x:c>
      <x:c r="B8" s="34" t="s">
        <x:v>45</x:v>
      </x:c>
      <x:c r="C8" s="18"/>
      <x:c r="D8" s="18"/>
    </x:row>
    <x:row r="9" spans="1:4" s="1" customFormat="1" ht="59.25" customHeight="1" x14ac:dyDescent="0.3">
      <x:c r="A9" s="147">
        <x:f>+A8+1</x:f>
        <x:v>2</x:v>
      </x:c>
      <x:c r="B9" s="35" t="s">
        <x:v>128</x:v>
      </x:c>
      <x:c r="C9" s="36" t="s">
        <x:v>46</x:v>
      </x:c>
      <x:c r="D9" s="37" t="s">
        <x:v>47</x:v>
      </x:c>
    </x:row>
    <x:row r="10" spans="1:4" s="1" customFormat="1" ht="30.75" customHeight="1" x14ac:dyDescent="0.3">
      <x:c r="A10" s="147">
        <x:f>A9+1</x:f>
        <x:v>3</x:v>
      </x:c>
      <x:c r="B10" s="38"/>
      <x:c r="C10" s="36" t="s">
        <x:v>48</x:v>
      </x:c>
      <x:c r="D10" s="37" t="s">
        <x:v>49</x:v>
      </x:c>
    </x:row>
    <x:row r="11" spans="1:4" s="1" customFormat="1" ht="47.25" customHeight="1" x14ac:dyDescent="0.3">
      <x:c r="A11" s="147">
        <x:f t="shared" ref="A11:A26" si="0">A10+1</x:f>
        <x:v>4</x:v>
      </x:c>
      <x:c r="B11" s="39"/>
      <x:c r="C11" s="36" t="s">
        <x:v>50</x:v>
      </x:c>
      <x:c r="D11" s="37" t="s">
        <x:v>51</x:v>
      </x:c>
    </x:row>
    <x:row r="12" spans="1:4" s="1" customFormat="1" ht="20.25" customHeight="1" x14ac:dyDescent="0.3">
      <x:c r="A12" s="2">
        <x:f t="shared" si="0"/>
        <x:v>5</x:v>
      </x:c>
      <x:c r="B12" s="142" t="s">
        <x:v>52</x:v>
      </x:c>
      <x:c r="C12" s="143"/>
      <x:c r="D12" s="139"/>
    </x:row>
    <x:row r="13" spans="1:4" s="1" customFormat="1" ht="75" customHeight="1" x14ac:dyDescent="0.3">
      <x:c r="A13" s="147">
        <x:f t="shared" si="0"/>
        <x:v>6</x:v>
      </x:c>
      <x:c r="B13" s="36" t="s">
        <x:v>192</x:v>
      </x:c>
      <x:c r="C13" s="43" t="s">
        <x:v>53</x:v>
      </x:c>
      <x:c r="D13" s="37" t="s">
        <x:v>203</x:v>
      </x:c>
    </x:row>
    <x:row r="14" spans="1:4" s="1" customFormat="1" ht="42.75" customHeight="1" x14ac:dyDescent="0.3">
      <x:c r="A14" s="147">
        <x:f t="shared" si="0"/>
        <x:v>7</x:v>
      </x:c>
      <x:c r="B14" s="36" t="s">
        <x:v>26</x:v>
      </x:c>
      <x:c r="C14" s="43" t="s">
        <x:v>53</x:v>
      </x:c>
      <x:c r="D14" s="37" t="s">
        <x:v>54</x:v>
      </x:c>
    </x:row>
    <x:row r="15" spans="1:4" s="1" customFormat="1" ht="20.25" customHeight="1" x14ac:dyDescent="0.3">
      <x:c r="A15" s="2">
        <x:f t="shared" si="0"/>
        <x:v>8</x:v>
      </x:c>
      <x:c r="B15" s="40" t="s">
        <x:v>55</x:v>
      </x:c>
      <x:c r="C15" s="41"/>
      <x:c r="D15" s="42"/>
    </x:row>
    <x:row r="16" spans="1:4" s="1" customFormat="1" ht="36" customHeight="1" x14ac:dyDescent="0.3">
      <x:c r="A16" s="147">
        <x:f t="shared" si="0"/>
        <x:v>9</x:v>
      </x:c>
      <x:c r="B16" s="36" t="s">
        <x:v>170</x:v>
      </x:c>
      <x:c r="C16" s="42" t="s">
        <x:v>57</x:v>
      </x:c>
      <x:c r="D16" s="37" t="s">
        <x:v>58</x:v>
      </x:c>
    </x:row>
    <x:row r="17" spans="1:4" s="1" customFormat="1" ht="33.75" customHeight="1" x14ac:dyDescent="0.3">
      <x:c r="A17" s="147">
        <x:f t="shared" si="0"/>
        <x:v>10</x:v>
      </x:c>
      <x:c r="B17" s="37" t="s">
        <x:v>171</x:v>
      </x:c>
      <x:c r="C17" s="37" t="s">
        <x:v>57</x:v>
      </x:c>
      <x:c r="D17" s="37" t="s">
        <x:v>58</x:v>
      </x:c>
    </x:row>
    <x:row r="18" spans="1:4" s="1" customFormat="1" ht="51" customHeight="1" x14ac:dyDescent="0.3">
      <x:c r="A18" s="147">
        <x:f t="shared" si="0"/>
        <x:v>11</x:v>
      </x:c>
      <x:c r="B18" s="39"/>
      <x:c r="C18" s="44" t="s">
        <x:v>59</x:v>
      </x:c>
      <x:c r="D18" s="45" t="s">
        <x:v>60</x:v>
      </x:c>
    </x:row>
    <x:row r="19" spans="1:4" s="1" customFormat="1" ht="20" customHeight="1" x14ac:dyDescent="0.3">
      <x:c r="A19" s="2">
        <x:f>A18+1</x:f>
        <x:v>12</x:v>
      </x:c>
      <x:c r="B19" s="144" t="s">
        <x:v>204</x:v>
      </x:c>
      <x:c r="C19" s="145"/>
      <x:c r="D19" s="146"/>
    </x:row>
    <x:row r="20" spans="1:4" s="1" customFormat="1" ht="30.5" customHeight="1" x14ac:dyDescent="0.3">
      <x:c r="A20" s="147">
        <x:f t="shared" si="0"/>
        <x:v>13</x:v>
      </x:c>
      <x:c r="B20" s="140" t="s">
        <x:v>197</x:v>
      </x:c>
      <x:c r="C20" s="37" t="s">
        <x:v>205</x:v>
      </x:c>
      <x:c r="D20" s="141" t="s">
        <x:v>206</x:v>
      </x:c>
    </x:row>
    <x:row r="21" spans="1:4" s="1" customFormat="1" ht="20" customHeight="1" x14ac:dyDescent="0.3">
      <x:c r="A21" s="2">
        <x:f t="shared" si="0"/>
        <x:v>14</x:v>
      </x:c>
      <x:c r="B21" s="144" t="s">
        <x:v>271</x:v>
      </x:c>
      <x:c r="C21" s="145"/>
      <x:c r="D21" s="146"/>
    </x:row>
    <x:row r="22" spans="1:4" s="1" customFormat="1" ht="79" customHeight="1" x14ac:dyDescent="0.3">
      <x:c r="A22" s="147">
        <x:f t="shared" si="0"/>
        <x:v>15</x:v>
      </x:c>
      <x:c r="B22" s="140" t="s">
        <x:v>268</x:v>
      </x:c>
      <x:c r="C22" s="37" t="s">
        <x:v>272</x:v>
      </x:c>
      <x:c r="D22" s="141" t="s">
        <x:v>273</x:v>
      </x:c>
    </x:row>
    <x:row r="23" spans="1:4" s="1" customFormat="1" ht="20.25" customHeight="1" x14ac:dyDescent="0.3">
      <x:c r="A23" s="2">
        <x:f t="shared" si="0"/>
        <x:v>16</x:v>
      </x:c>
      <x:c r="B23" s="142" t="s">
        <x:v>61</x:v>
      </x:c>
      <x:c r="C23" s="143"/>
      <x:c r="D23" s="139"/>
    </x:row>
    <x:row r="24" spans="1:4" s="1" customFormat="1" ht="34.5" customHeight="1" x14ac:dyDescent="0.3">
      <x:c r="A24" s="147">
        <x:f t="shared" si="0"/>
        <x:v>17</x:v>
      </x:c>
      <x:c r="B24" s="36" t="s">
        <x:v>34</x:v>
      </x:c>
      <x:c r="C24" s="46" t="s">
        <x:v>62</x:v>
      </x:c>
      <x:c r="D24" s="37" t="s">
        <x:v>63</x:v>
      </x:c>
    </x:row>
    <x:row r="25" spans="1:4" s="1" customFormat="1" ht="34.5" customHeight="1" x14ac:dyDescent="0.3">
      <x:c r="A25" s="2">
        <x:f t="shared" si="0"/>
        <x:v>18</x:v>
      </x:c>
      <x:c r="B25" s="48" t="s">
        <x:v>294</x:v>
      </x:c>
      <x:c r="C25" s="143"/>
      <x:c r="D25" s="139"/>
    </x:row>
    <x:row r="26" spans="1:4" s="1" customFormat="1" ht="44.5" customHeight="1" x14ac:dyDescent="0.3">
      <x:c r="A26" s="147">
        <x:f t="shared" si="0"/>
        <x:v>19</x:v>
      </x:c>
      <x:c r="B26" s="36" t="s">
        <x:v>207</x:v>
      </x:c>
      <x:c r="C26" s="46" t="s">
        <x:v>207</x:v>
      </x:c>
      <x:c r="D26" s="37" t="s">
        <x:v>208</x:v>
      </x:c>
    </x:row>
    <x:row r="27" spans="1:4" x14ac:dyDescent="0.35">
      <x:c r="B27" s="23"/>
    </x:row>
    <x:row r="28" spans="1:4" x14ac:dyDescent="0.35">
      <x:c r="B28" s="23"/>
    </x:row>
    <x:row r="29" spans="1:4" x14ac:dyDescent="0.35">
      <x:c r="B29" s="23"/>
    </x:row>
    <x:row r="30" spans="1:4" x14ac:dyDescent="0.35">
      <x:c r="B30" s="23"/>
    </x:row>
  </x:sheetData>
  <x:mergeCells count="5">
    <x:mergeCell ref="B1:D1"/>
    <x:mergeCell ref="B2:D2"/>
    <x:mergeCell ref="B3:D3"/>
    <x:mergeCell ref="B4:D4"/>
    <x:mergeCell ref="B5:D5"/>
  </x:mergeCells>
  <x:printOptions horizontalCentered="1"/>
  <x:pageMargins left="0.35" right="0.35" top="1.5" bottom="0.5" header="0.3" footer="0.3"/>
  <x:pageSetup scale="88" fitToHeight="2" orientation="landscape" r:id="rId1"/>
  <x:headerFooter>
    <x:oddHeader>&amp;R
Schedule V-K-4
Page &amp;P of &amp;N</x:oddHeader>
  </x:headerFooter>
  <x:rowBreaks count="1" manualBreakCount="1">
    <x:brk id="18" max="3" man="1"/>
  </x:rowBreaks>
</x:worksheet>
</file>

<file path=xl/worksheets/sheet5.xml><?xml version="1.0" encoding="utf-8"?>
<x:worksheet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xmlns:x="http://schemas.openxmlformats.org/spreadsheetml/2006/main" xr:uid="{00000000-0001-0000-0400-000000000000}" mc:Ignorable="x14ac xr xr2 xr3">
  <x:dimension ref="A1:H18"/>
  <x:sheetViews>
    <x:sheetView view="pageBreakPreview" zoomScaleNormal="90" zoomScaleSheetLayoutView="100" workbookViewId="0">
      <x:selection activeCell="B7" sqref="B7"/>
    </x:sheetView>
  </x:sheetViews>
  <x:sheetFormatPr defaultColWidth="9.1796875" defaultRowHeight="15.5" x14ac:dyDescent="0.35"/>
  <x:cols>
    <x:col min="1" max="1" width="9.7265625" style="22" customWidth="1"/>
    <x:col min="2" max="2" width="14.81640625" style="22" customWidth="1"/>
    <x:col min="3" max="3" width="40.26953125" style="22" customWidth="1"/>
    <x:col min="4" max="4" width="15" style="22" customWidth="1"/>
    <x:col min="5" max="5" width="19" style="23" customWidth="1"/>
    <x:col min="6" max="16384" width="9.1796875" style="22"/>
  </x:cols>
  <x:sheetData>
    <x:row r="1" spans="1:8" x14ac:dyDescent="0.35">
      <x:c r="B1" s="168" t="s">
        <x:v>186</x:v>
      </x:c>
      <x:c r="C1" s="168"/>
      <x:c r="D1" s="168"/>
      <x:c r="E1" s="168"/>
    </x:row>
    <x:row r="2" spans="1:8" x14ac:dyDescent="0.35">
      <x:c r="B2" s="168" t="s">
        <x:v>11</x:v>
      </x:c>
      <x:c r="C2" s="168"/>
      <x:c r="D2" s="168"/>
      <x:c r="E2" s="168"/>
    </x:row>
    <x:row r="3" spans="1:8" x14ac:dyDescent="0.35">
      <x:c r="B3" s="168" t="s">
        <x:v>64</x:v>
      </x:c>
      <x:c r="C3" s="168"/>
      <x:c r="D3" s="168"/>
      <x:c r="E3" s="168"/>
    </x:row>
    <x:row r="4" spans="1:8" x14ac:dyDescent="0.35">
      <x:c r="B4" s="168" t="s">
        <x:v>187</x:v>
      </x:c>
      <x:c r="C4" s="168"/>
      <x:c r="D4" s="168"/>
      <x:c r="E4" s="168"/>
    </x:row>
    <x:row r="5" spans="1:8" x14ac:dyDescent="0.35">
      <x:c r="B5" s="168" t="s">
        <x:v>188</x:v>
      </x:c>
      <x:c r="C5" s="168"/>
      <x:c r="D5" s="168"/>
      <x:c r="E5" s="168"/>
      <x:c r="F5" s="138"/>
      <x:c r="G5" s="138"/>
      <x:c r="H5" s="138"/>
    </x:row>
    <x:row r="7" spans="1:8" x14ac:dyDescent="0.35">
      <x:c r="D7" s="47" t="s">
        <x:v>6</x:v>
      </x:c>
      <x:c r="E7" s="47" t="s">
        <x:v>65</x:v>
      </x:c>
    </x:row>
    <x:row r="8" spans="1:8" s="1" customFormat="1" ht="14" x14ac:dyDescent="0.3">
      <x:c r="A8" s="48" t="s">
        <x:v>2</x:v>
      </x:c>
      <x:c r="B8" s="48" t="s">
        <x:v>66</x:v>
      </x:c>
      <x:c r="C8" s="48" t="s">
        <x:v>67</x:v>
      </x:c>
      <x:c r="D8" s="49" t="s">
        <x:v>68</x:v>
      </x:c>
      <x:c r="E8" s="48" t="s">
        <x:v>69</x:v>
      </x:c>
    </x:row>
    <x:row r="9" spans="1:8" s="1" customFormat="1" ht="14" x14ac:dyDescent="0.3">
      <x:c r="A9" s="50"/>
      <x:c r="B9" s="51" t="s">
        <x:v>7</x:v>
      </x:c>
      <x:c r="C9" s="51" t="s">
        <x:v>19</x:v>
      </x:c>
      <x:c r="D9" s="51" t="s">
        <x:v>8</x:v>
      </x:c>
      <x:c r="E9" s="51" t="s">
        <x:v>9</x:v>
      </x:c>
    </x:row>
    <x:row r="10" spans="1:8" s="1" customFormat="1" ht="14" x14ac:dyDescent="0.3">
      <x:c r="A10" s="52">
        <x:v>1</x:v>
      </x:c>
      <x:c r="B10" s="53" t="s">
        <x:v>274</x:v>
      </x:c>
      <x:c r="C10" s="54" t="s">
        <x:v>278</x:v>
      </x:c>
      <x:c r="D10" s="55">
        <x:v>5000</x:v>
      </x:c>
      <x:c r="E10" s="136" t="s">
        <x:v>282</x:v>
      </x:c>
    </x:row>
    <x:row r="11" spans="1:8" s="1" customFormat="1" ht="14" x14ac:dyDescent="0.3">
      <x:c r="A11" s="52">
        <x:f>+A10+1</x:f>
        <x:v>2</x:v>
      </x:c>
      <x:c r="B11" s="53" t="s">
        <x:v>275</x:v>
      </x:c>
      <x:c r="C11" s="54" t="s">
        <x:v>279</x:v>
      </x:c>
      <x:c r="D11" s="130">
        <x:v>404</x:v>
      </x:c>
      <x:c r="E11" s="136" t="s">
        <x:v>282</x:v>
      </x:c>
    </x:row>
    <x:row r="12" spans="1:8" s="1" customFormat="1" ht="14" x14ac:dyDescent="0.3">
      <x:c r="A12" s="52">
        <x:f>+A11+1</x:f>
        <x:v>3</x:v>
      </x:c>
      <x:c r="B12" s="53" t="s">
        <x:v>276</x:v>
      </x:c>
      <x:c r="C12" s="54" t="s">
        <x:v>280</x:v>
      </x:c>
      <x:c r="D12" s="130">
        <x:v>4750</x:v>
      </x:c>
      <x:c r="E12" s="136" t="s">
        <x:v>282</x:v>
      </x:c>
    </x:row>
    <x:row r="13" spans="1:8" s="1" customFormat="1" ht="14" x14ac:dyDescent="0.3">
      <x:c r="A13" s="52">
        <x:f>+A12+1</x:f>
        <x:v>4</x:v>
      </x:c>
      <x:c r="B13" s="53" t="s">
        <x:v>277</x:v>
      </x:c>
      <x:c r="C13" s="30" t="s">
        <x:v>281</x:v>
      </x:c>
      <x:c r="D13" s="82">
        <x:v>33640</x:v>
      </x:c>
      <x:c r="E13" s="136" t="s">
        <x:v>282</x:v>
      </x:c>
    </x:row>
    <x:row r="14" spans="1:8" s="1" customFormat="1" ht="14" x14ac:dyDescent="0.3">
      <x:c r="A14" s="52">
        <x:f>+A13+1</x:f>
        <x:v>5</x:v>
      </x:c>
      <x:c r="B14" s="53"/>
      <x:c r="C14" s="57" t="s">
        <x:v>6</x:v>
      </x:c>
      <x:c r="D14" s="157">
        <x:f>SUM(D10:D13)</x:f>
        <x:v>43794</x:v>
      </x:c>
      <x:c r="E14" s="2"/>
    </x:row>
    <x:row r="15" spans="1:8" s="1" customFormat="1" ht="14" x14ac:dyDescent="0.3">
      <x:c r="A15" s="30"/>
      <x:c r="B15" s="53"/>
      <x:c r="C15" s="30"/>
      <x:c r="D15" s="58"/>
      <x:c r="E15" s="2"/>
    </x:row>
    <x:row r="16" spans="1:8" x14ac:dyDescent="0.35">
      <x:c r="A16" s="59"/>
      <x:c r="B16" s="60"/>
      <x:c r="C16" s="59"/>
      <x:c r="D16" s="61"/>
    </x:row>
    <x:row r="17" spans="1:5" ht="15.5" customHeight="1" x14ac:dyDescent="0.35">
      <x:c r="A17" s="59"/>
      <x:c r="B17" s="170"/>
      <x:c r="C17" s="170"/>
      <x:c r="D17" s="170"/>
      <x:c r="E17" s="170"/>
    </x:row>
    <x:row r="18" spans="1:5" x14ac:dyDescent="0.35">
      <x:c r="A18" s="59"/>
      <x:c r="B18" s="59"/>
      <x:c r="C18" s="59"/>
      <x:c r="D18" s="61"/>
    </x:row>
  </x:sheetData>
  <x:mergeCells count="6">
    <x:mergeCell ref="B17:E17"/>
    <x:mergeCell ref="B1:E1"/>
    <x:mergeCell ref="B2:E2"/>
    <x:mergeCell ref="B3:E3"/>
    <x:mergeCell ref="B4:E4"/>
    <x:mergeCell ref="B5:E5"/>
  </x:mergeCells>
  <x:printOptions horizontalCentered="1"/>
  <x:pageMargins left="0.35" right="0.35" top="1.5" bottom="0.5" header="0.3" footer="0.3"/>
  <x:pageSetup scale="85" orientation="landscape" r:id="rId1"/>
  <x:headerFooter>
    <x:oddHeader>&amp;R
Schedule V-K-5
Page 1 of 1</x:oddHeader>
  </x:headerFooter>
</x:worksheet>
</file>

<file path=xl/worksheets/sheet6.xml><?xml version="1.0" encoding="utf-8"?>
<x:worksheet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xmlns:x="http://schemas.openxmlformats.org/spreadsheetml/2006/main" xr:uid="{00000000-0001-0000-0500-000000000000}" mc:Ignorable="x14ac xr xr2 xr3">
  <x:dimension ref="A1:D23"/>
  <x:sheetViews>
    <x:sheetView view="pageBreakPreview" topLeftCell="A4" zoomScaleNormal="90" zoomScaleSheetLayoutView="100" workbookViewId="0">
      <x:selection activeCell="D13" sqref="D13"/>
    </x:sheetView>
  </x:sheetViews>
  <x:sheetFormatPr defaultColWidth="9.1796875" defaultRowHeight="15.5" x14ac:dyDescent="0.35"/>
  <x:cols>
    <x:col min="1" max="1" width="9.1796875" style="22"/>
    <x:col min="2" max="2" width="42.7265625" style="22" customWidth="1"/>
    <x:col min="3" max="3" width="51" style="22" customWidth="1"/>
    <x:col min="4" max="4" width="16.7265625" style="24" customWidth="1"/>
    <x:col min="5" max="16384" width="9.1796875" style="22"/>
  </x:cols>
  <x:sheetData>
    <x:row r="1" spans="1:4" x14ac:dyDescent="0.35">
      <x:c r="B1" s="168" t="s">
        <x:v>186</x:v>
      </x:c>
      <x:c r="C1" s="168"/>
      <x:c r="D1" s="168"/>
    </x:row>
    <x:row r="2" spans="1:4" x14ac:dyDescent="0.35">
      <x:c r="B2" s="168" t="s">
        <x:v>11</x:v>
      </x:c>
      <x:c r="C2" s="168"/>
      <x:c r="D2" s="168"/>
    </x:row>
    <x:row r="3" spans="1:4" x14ac:dyDescent="0.35">
      <x:c r="B3" s="168" t="s">
        <x:v>70</x:v>
      </x:c>
      <x:c r="C3" s="168"/>
      <x:c r="D3" s="168"/>
    </x:row>
    <x:row r="4" spans="1:4" x14ac:dyDescent="0.35">
      <x:c r="B4" s="168" t="s">
        <x:v>187</x:v>
      </x:c>
      <x:c r="C4" s="168"/>
      <x:c r="D4" s="168"/>
    </x:row>
    <x:row r="5" spans="1:4" x14ac:dyDescent="0.35">
      <x:c r="B5" s="168" t="s">
        <x:v>190</x:v>
      </x:c>
      <x:c r="C5" s="168"/>
      <x:c r="D5" s="168"/>
    </x:row>
    <x:row r="7" spans="1:4" s="1" customFormat="1" ht="14" x14ac:dyDescent="0.3">
      <x:c r="A7" s="2"/>
      <x:c r="B7" s="17"/>
      <x:c r="C7" s="17"/>
      <x:c r="D7" s="62" t="s">
        <x:v>6</x:v>
      </x:c>
    </x:row>
    <x:row r="8" spans="1:4" s="1" customFormat="1" ht="14" x14ac:dyDescent="0.3">
      <x:c r="A8" s="18" t="s">
        <x:v>2</x:v>
      </x:c>
      <x:c r="B8" s="18" t="s">
        <x:v>5</x:v>
      </x:c>
      <x:c r="C8" s="18" t="s">
        <x:v>71</x:v>
      </x:c>
      <x:c r="D8" s="19" t="s">
        <x:v>72</x:v>
      </x:c>
    </x:row>
    <x:row r="9" spans="1:4" s="1" customFormat="1" ht="14" x14ac:dyDescent="0.3">
      <x:c r="A9" s="2"/>
      <x:c r="B9" s="63" t="s">
        <x:v>7</x:v>
      </x:c>
      <x:c r="C9" s="63" t="s">
        <x:v>19</x:v>
      </x:c>
      <x:c r="D9" s="64" t="s">
        <x:v>8</x:v>
      </x:c>
    </x:row>
    <x:row r="10" spans="1:4" s="1" customFormat="1" ht="14" x14ac:dyDescent="0.3">
      <x:c r="A10" s="2">
        <x:v>1</x:v>
      </x:c>
      <x:c r="B10" s="17" t="s">
        <x:v>26</x:v>
      </x:c>
      <x:c r="C10" s="70"/>
      <x:c r="D10" s="71"/>
    </x:row>
    <x:row r="11" spans="1:4" s="1" customFormat="1" ht="14" x14ac:dyDescent="0.3">
      <x:c r="A11" s="2">
        <x:f>A10+1</x:f>
        <x:v>2</x:v>
      </x:c>
      <x:c r="B11" s="67" t="s">
        <x:v>73</x:v>
      </x:c>
      <x:c r="C11" s="72" t="s">
        <x:v>74</x:v>
      </x:c>
      <x:c r="D11" s="158">
        <x:f>+'V-K-2'!G21</x:f>
        <x:v>87671</x:v>
      </x:c>
    </x:row>
    <x:row r="12" spans="1:4" s="1" customFormat="1" ht="14" x14ac:dyDescent="0.3">
      <x:c r="A12" s="2">
        <x:f t="shared" ref="A12:A20" si="0">A11+1</x:f>
        <x:v>3</x:v>
      </x:c>
      <x:c r="B12" s="17" t="s">
        <x:v>170</x:v>
      </x:c>
      <x:c r="C12" s="72"/>
      <x:c r="D12" s="71"/>
    </x:row>
    <x:row r="13" spans="1:4" s="155" customFormat="1" ht="28" x14ac:dyDescent="0.35">
      <x:c r="A13" s="147">
        <x:f t="shared" si="0"/>
        <x:v>4</x:v>
      </x:c>
      <x:c r="B13" s="156" t="s">
        <x:v>299</x:v>
      </x:c>
      <x:c r="C13" s="159" t="s">
        <x:v>298</x:v>
      </x:c>
      <x:c r="D13" s="160">
        <x:f>+'V-K-2'!G24</x:f>
        <x:v>-382282</x:v>
      </x:c>
    </x:row>
    <x:row r="14" spans="1:4" s="1" customFormat="1" ht="14" x14ac:dyDescent="0.3">
      <x:c r="A14" s="2">
        <x:f t="shared" si="0"/>
        <x:v>5</x:v>
      </x:c>
      <x:c r="B14" s="17" t="s">
        <x:v>171</x:v>
      </x:c>
      <x:c r="C14" s="72"/>
      <x:c r="D14" s="71"/>
    </x:row>
    <x:row r="15" spans="1:4" s="155" customFormat="1" ht="28" x14ac:dyDescent="0.35">
      <x:c r="A15" s="147">
        <x:f t="shared" si="0"/>
        <x:v>6</x:v>
      </x:c>
      <x:c r="B15" s="156" t="s">
        <x:v>299</x:v>
      </x:c>
      <x:c r="C15" s="159" t="s">
        <x:v>298</x:v>
      </x:c>
      <x:c r="D15" s="161">
        <x:f>+'V-K-2'!G26</x:f>
        <x:v>-3321511</x:v>
      </x:c>
    </x:row>
    <x:row r="16" spans="1:4" s="155" customFormat="1" ht="28" x14ac:dyDescent="0.35">
      <x:c r="A16" s="147">
        <x:f t="shared" si="0"/>
        <x:v>7</x:v>
      </x:c>
      <x:c r="B16" s="156" t="s">
        <x:v>299</x:v>
      </x:c>
      <x:c r="C16" s="159" t="s">
        <x:v>298</x:v>
      </x:c>
      <x:c r="D16" s="161">
        <x:f>+'V-K-2'!G27</x:f>
        <x:v>-2691289.5</x:v>
      </x:c>
    </x:row>
    <x:row r="17" spans="1:4" s="1" customFormat="1" ht="14" x14ac:dyDescent="0.3">
      <x:c r="A17" s="2">
        <x:f t="shared" si="0"/>
        <x:v>8</x:v>
      </x:c>
      <x:c r="B17" s="17" t="s">
        <x:v>207</x:v>
      </x:c>
      <x:c r="C17" s="54"/>
      <x:c r="D17" s="66"/>
    </x:row>
    <x:row r="18" spans="1:4" s="1" customFormat="1" ht="14" x14ac:dyDescent="0.3">
      <x:c r="A18" s="2">
        <x:f t="shared" si="0"/>
        <x:v>9</x:v>
      </x:c>
      <x:c r="B18" s="67" t="s">
        <x:v>293</x:v>
      </x:c>
      <x:c r="C18" s="54" t="s">
        <x:v>292</x:v>
      </x:c>
      <x:c r="D18" s="124">
        <x:f>+'V-K-2'!G44</x:f>
        <x:v>-6733012</x:v>
      </x:c>
    </x:row>
    <x:row r="19" spans="1:4" s="1" customFormat="1" ht="14" x14ac:dyDescent="0.3">
      <x:c r="A19" s="2">
        <x:f t="shared" si="0"/>
        <x:v>10</x:v>
      </x:c>
      <x:c r="B19" s="67"/>
      <x:c r="C19" s="54"/>
      <x:c r="D19" s="66"/>
    </x:row>
    <x:row r="20" spans="1:4" ht="16" thickBot="1" x14ac:dyDescent="0.4">
      <x:c r="A20" s="2">
        <x:f t="shared" si="0"/>
        <x:v>11</x:v>
      </x:c>
      <x:c r="B20" s="23" t="s">
        <x:v>6</x:v>
      </x:c>
      <x:c r="D20" s="74">
        <x:f>SUM(D10:D19)</x:f>
        <x:v>-13040423.5</x:v>
      </x:c>
    </x:row>
    <x:row r="21" spans="1:4" ht="16" thickTop="1" x14ac:dyDescent="0.35">
      <x:c r="A21" s="23"/>
      <x:c r="B21" s="23"/>
    </x:row>
    <x:row r="22" spans="1:4" x14ac:dyDescent="0.35">
      <x:c r="B22" s="23"/>
    </x:row>
    <x:row r="23" spans="1:4" x14ac:dyDescent="0.35">
      <x:c r="B23" s="23"/>
    </x:row>
  </x:sheetData>
  <x:mergeCells count="5">
    <x:mergeCell ref="B1:D1"/>
    <x:mergeCell ref="B2:D2"/>
    <x:mergeCell ref="B3:D3"/>
    <x:mergeCell ref="B4:D4"/>
    <x:mergeCell ref="B5:D5"/>
  </x:mergeCells>
  <x:printOptions horizontalCentered="1"/>
  <x:pageMargins left="0.35" right="0.35" top="1.5" bottom="0.5" header="0.3" footer="0.3"/>
  <x:pageSetup scale="85" orientation="landscape" r:id="rId1"/>
  <x:headerFooter>
    <x:oddHeader>&amp;R
Schedule V-K-6
Page 1 of 1</x:oddHeader>
  </x:headerFooter>
</x:worksheet>
</file>

<file path=xl/worksheets/sheet7.xml><?xml version="1.0" encoding="utf-8"?>
<x:worksheet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xmlns:x="http://schemas.openxmlformats.org/spreadsheetml/2006/main" xr:uid="{00000000-0001-0000-0600-000000000000}" mc:Ignorable="x14ac xr xr2 xr3">
  <x:dimension ref="A1:E18"/>
  <x:sheetViews>
    <x:sheetView view="pageBreakPreview" zoomScaleNormal="90" zoomScaleSheetLayoutView="100" workbookViewId="0">
      <x:selection activeCell="B7" sqref="B7"/>
    </x:sheetView>
  </x:sheetViews>
  <x:sheetFormatPr defaultColWidth="9.1796875" defaultRowHeight="15.5" x14ac:dyDescent="0.35"/>
  <x:cols>
    <x:col min="1" max="1" width="9.7265625" style="22" customWidth="1"/>
    <x:col min="2" max="2" width="14.81640625" style="22" customWidth="1"/>
    <x:col min="3" max="3" width="40.26953125" style="22" customWidth="1"/>
    <x:col min="4" max="4" width="15" style="22" customWidth="1"/>
    <x:col min="5" max="5" width="19" style="23" customWidth="1"/>
    <x:col min="6" max="16384" width="9.1796875" style="22"/>
  </x:cols>
  <x:sheetData>
    <x:row r="1" spans="1:5" x14ac:dyDescent="0.35">
      <x:c r="B1" s="168" t="s">
        <x:v>186</x:v>
      </x:c>
      <x:c r="C1" s="168"/>
      <x:c r="D1" s="168"/>
      <x:c r="E1" s="168"/>
    </x:row>
    <x:row r="2" spans="1:5" x14ac:dyDescent="0.35">
      <x:c r="B2" s="168" t="s">
        <x:v>11</x:v>
      </x:c>
      <x:c r="C2" s="168"/>
      <x:c r="D2" s="168"/>
      <x:c r="E2" s="168"/>
    </x:row>
    <x:row r="3" spans="1:5" x14ac:dyDescent="0.35">
      <x:c r="B3" s="168" t="s">
        <x:v>146</x:v>
      </x:c>
      <x:c r="C3" s="168"/>
      <x:c r="D3" s="168"/>
      <x:c r="E3" s="168"/>
    </x:row>
    <x:row r="4" spans="1:5" x14ac:dyDescent="0.35">
      <x:c r="B4" s="168" t="s">
        <x:v>187</x:v>
      </x:c>
      <x:c r="C4" s="168"/>
      <x:c r="D4" s="168"/>
      <x:c r="E4" s="168"/>
    </x:row>
    <x:row r="5" spans="1:5" x14ac:dyDescent="0.35">
      <x:c r="B5" s="168" t="s">
        <x:v>189</x:v>
      </x:c>
      <x:c r="C5" s="168"/>
      <x:c r="D5" s="168"/>
      <x:c r="E5" s="168"/>
    </x:row>
    <x:row r="7" spans="1:5" x14ac:dyDescent="0.35">
      <x:c r="D7" s="47"/>
      <x:c r="E7" s="47"/>
    </x:row>
    <x:row r="8" spans="1:5" s="1" customFormat="1" ht="14" x14ac:dyDescent="0.3">
      <x:c r="A8" s="57"/>
      <x:c r="B8" s="57"/>
      <x:c r="C8" s="57"/>
      <x:c r="D8" s="106"/>
      <x:c r="E8" s="57"/>
    </x:row>
    <x:row r="9" spans="1:5" s="1" customFormat="1" ht="14" x14ac:dyDescent="0.3">
      <x:c r="A9" s="50"/>
      <x:c r="B9" s="57"/>
      <x:c r="C9" s="57"/>
      <x:c r="D9" s="57"/>
      <x:c r="E9" s="57"/>
    </x:row>
    <x:row r="10" spans="1:5" s="1" customFormat="1" ht="14" x14ac:dyDescent="0.3">
      <x:c r="A10" s="52"/>
      <x:c r="B10" s="131" t="s">
        <x:v>145</x:v>
      </x:c>
      <x:c r="C10" s="54"/>
      <x:c r="D10" s="55"/>
      <x:c r="E10" s="56"/>
    </x:row>
    <x:row r="11" spans="1:5" s="1" customFormat="1" ht="14" x14ac:dyDescent="0.3">
      <x:c r="A11" s="52"/>
      <x:c r="B11" s="53"/>
      <x:c r="C11" s="57"/>
      <x:c r="D11" s="130"/>
      <x:c r="E11" s="56"/>
    </x:row>
    <x:row r="12" spans="1:5" s="1" customFormat="1" ht="14" x14ac:dyDescent="0.3">
      <x:c r="A12" s="52"/>
      <x:c r="B12" s="57"/>
      <x:c r="C12" s="53"/>
      <x:c r="D12" s="55"/>
      <x:c r="E12" s="57"/>
    </x:row>
    <x:row r="13" spans="1:5" s="1" customFormat="1" ht="14" x14ac:dyDescent="0.3">
      <x:c r="A13" s="30"/>
      <x:c r="B13" s="53"/>
      <x:c r="C13" s="30"/>
      <x:c r="D13" s="124"/>
      <x:c r="E13" s="53"/>
    </x:row>
    <x:row r="14" spans="1:5" s="1" customFormat="1" ht="14" x14ac:dyDescent="0.3">
      <x:c r="A14" s="30"/>
      <x:c r="B14" s="53"/>
      <x:c r="C14" s="30"/>
      <x:c r="D14" s="124"/>
      <x:c r="E14" s="53"/>
    </x:row>
    <x:row r="15" spans="1:5" s="1" customFormat="1" ht="14" x14ac:dyDescent="0.3">
      <x:c r="A15" s="30"/>
      <x:c r="B15" s="53"/>
      <x:c r="C15" s="30"/>
      <x:c r="D15" s="58"/>
      <x:c r="E15" s="2"/>
    </x:row>
    <x:row r="16" spans="1:5" x14ac:dyDescent="0.35">
      <x:c r="A16" s="59"/>
      <x:c r="B16" s="60"/>
      <x:c r="C16" s="59"/>
      <x:c r="D16" s="61"/>
    </x:row>
    <x:row r="17" spans="1:5" ht="80.25" customHeight="1" x14ac:dyDescent="0.35">
      <x:c r="A17" s="59"/>
      <x:c r="B17" s="170"/>
      <x:c r="C17" s="170"/>
      <x:c r="D17" s="170"/>
      <x:c r="E17" s="170"/>
    </x:row>
    <x:row r="18" spans="1:5" x14ac:dyDescent="0.35">
      <x:c r="A18" s="59"/>
      <x:c r="B18" s="59"/>
      <x:c r="C18" s="59"/>
      <x:c r="D18" s="61"/>
    </x:row>
  </x:sheetData>
  <x:mergeCells count="6">
    <x:mergeCell ref="B17:E17"/>
    <x:mergeCell ref="B1:E1"/>
    <x:mergeCell ref="B2:E2"/>
    <x:mergeCell ref="B3:E3"/>
    <x:mergeCell ref="B4:E4"/>
    <x:mergeCell ref="B5:E5"/>
  </x:mergeCells>
  <x:printOptions horizontalCentered="1"/>
  <x:pageMargins left="0.35" right="0.35" top="1.5" bottom="0.5" header="0.3" footer="0.3"/>
  <x:pageSetup scale="85" orientation="landscape" r:id="rId1"/>
  <x:headerFooter>
    <x:oddHeader>&amp;R
Schedule V-K-7
Page 1 of 1</x:oddHeader>
  </x:headerFooter>
</x:worksheet>
</file>

<file path=xl/worksheets/sheet8.xml><?xml version="1.0" encoding="utf-8"?>
<x:worksheet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xmlns:x="http://schemas.openxmlformats.org/spreadsheetml/2006/main" xr:uid="{00000000-0001-0000-0700-000000000000}" mc:Ignorable="x14ac xr xr2 xr3">
  <x:dimension ref="A1:G53"/>
  <x:sheetViews>
    <x:sheetView view="pageBreakPreview" zoomScaleNormal="90" zoomScaleSheetLayoutView="100" workbookViewId="0">
      <x:selection activeCell="B6" sqref="B6"/>
    </x:sheetView>
  </x:sheetViews>
  <x:sheetFormatPr defaultColWidth="9.1796875" defaultRowHeight="15.5" x14ac:dyDescent="0.35"/>
  <x:cols>
    <x:col min="1" max="1" width="9.1796875" style="22"/>
    <x:col min="2" max="2" width="10.7265625" style="22" customWidth="1"/>
    <x:col min="3" max="3" width="30.26953125" style="22" customWidth="1"/>
    <x:col min="4" max="4" width="26.7265625" style="22" customWidth="1"/>
    <x:col min="5" max="5" width="47.81640625" style="22" customWidth="1"/>
    <x:col min="6" max="6" width="14" style="24" customWidth="1"/>
    <x:col min="7" max="7" width="15.08984375" style="22" customWidth="1"/>
    <x:col min="8" max="16384" width="9.1796875" style="22"/>
  </x:cols>
  <x:sheetData>
    <x:row r="1" spans="1:6" x14ac:dyDescent="0.35">
      <x:c r="B1" s="168" t="s">
        <x:v>186</x:v>
      </x:c>
      <x:c r="C1" s="168"/>
      <x:c r="D1" s="168"/>
      <x:c r="E1" s="168"/>
      <x:c r="F1" s="168"/>
    </x:row>
    <x:row r="2" spans="1:6" x14ac:dyDescent="0.35">
      <x:c r="B2" s="168" t="s">
        <x:v>11</x:v>
      </x:c>
      <x:c r="C2" s="168"/>
      <x:c r="D2" s="168"/>
      <x:c r="E2" s="168"/>
      <x:c r="F2" s="168"/>
    </x:row>
    <x:row r="3" spans="1:6" x14ac:dyDescent="0.35">
      <x:c r="B3" s="168" t="s">
        <x:v>75</x:v>
      </x:c>
      <x:c r="C3" s="168"/>
      <x:c r="D3" s="168"/>
      <x:c r="E3" s="168"/>
      <x:c r="F3" s="168"/>
    </x:row>
    <x:row r="4" spans="1:6" x14ac:dyDescent="0.35">
      <x:c r="B4" s="168" t="s">
        <x:v>187</x:v>
      </x:c>
      <x:c r="C4" s="168"/>
      <x:c r="D4" s="168"/>
      <x:c r="E4" s="168"/>
      <x:c r="F4" s="168"/>
    </x:row>
    <x:row r="5" spans="1:6" x14ac:dyDescent="0.35">
      <x:c r="B5" s="168" t="s">
        <x:v>188</x:v>
      </x:c>
      <x:c r="C5" s="168"/>
      <x:c r="D5" s="168"/>
      <x:c r="E5" s="168"/>
      <x:c r="F5" s="168"/>
    </x:row>
    <x:row r="7" spans="1:6" s="1" customFormat="1" ht="14" x14ac:dyDescent="0.3">
      <x:c r="A7" s="2"/>
      <x:c r="B7" s="17" t="s">
        <x:v>0</x:v>
      </x:c>
      <x:c r="D7" s="17" t="s">
        <x:v>76</x:v>
      </x:c>
      <x:c r="E7" s="17"/>
      <x:c r="F7" s="62" t="s">
        <x:v>77</x:v>
      </x:c>
    </x:row>
    <x:row r="8" spans="1:6" s="1" customFormat="1" ht="14" x14ac:dyDescent="0.3">
      <x:c r="A8" s="18" t="s">
        <x:v>2</x:v>
      </x:c>
      <x:c r="B8" s="18" t="s">
        <x:v>4</x:v>
      </x:c>
      <x:c r="C8" s="18" t="s">
        <x:v>78</x:v>
      </x:c>
      <x:c r="D8" s="18" t="s">
        <x:v>79</x:v>
      </x:c>
      <x:c r="E8" s="18" t="s">
        <x:v>80</x:v>
      </x:c>
      <x:c r="F8" s="19" t="s">
        <x:v>81</x:v>
      </x:c>
    </x:row>
    <x:row r="9" spans="1:6" s="1" customFormat="1" ht="14" x14ac:dyDescent="0.3">
      <x:c r="A9" s="2"/>
      <x:c r="B9" s="63" t="s">
        <x:v>7</x:v>
      </x:c>
      <x:c r="C9" s="63" t="s">
        <x:v>19</x:v>
      </x:c>
      <x:c r="D9" s="63" t="s">
        <x:v>8</x:v>
      </x:c>
      <x:c r="E9" s="63" t="s">
        <x:v>9</x:v>
      </x:c>
      <x:c r="F9" s="64" t="s">
        <x:v>10</x:v>
      </x:c>
    </x:row>
    <x:row r="10" spans="1:6" s="1" customFormat="1" ht="14" x14ac:dyDescent="0.3">
      <x:c r="A10" s="2">
        <x:v>1</x:v>
      </x:c>
      <x:c r="B10" s="2"/>
      <x:c r="C10" s="65" t="s">
        <x:v>82</x:v>
      </x:c>
      <x:c r="D10" s="65"/>
      <x:c r="E10" s="30"/>
      <x:c r="F10" s="68"/>
    </x:row>
    <x:row r="11" spans="1:6" s="1" customFormat="1" ht="14" x14ac:dyDescent="0.3">
      <x:c r="A11" s="2">
        <x:f>A10+1</x:f>
        <x:v>2</x:v>
      </x:c>
      <x:c r="B11" s="2">
        <x:v>4569000</x:v>
      </x:c>
      <x:c r="C11" s="54" t="s">
        <x:v>83</x:v>
      </x:c>
      <x:c r="D11" s="54" t="s">
        <x:v>56</x:v>
      </x:c>
      <x:c r="E11" s="30" t="s">
        <x:v>84</x:v>
      </x:c>
      <x:c r="F11" s="66">
        <x:f>170970+48850</x:f>
        <x:v>219820</x:v>
      </x:c>
    </x:row>
    <x:row r="12" spans="1:6" s="1" customFormat="1" ht="14" x14ac:dyDescent="0.3">
      <x:c r="A12" s="2">
        <x:f t="shared" ref="A12:A45" si="0">A11+1</x:f>
        <x:v>3</x:v>
      </x:c>
      <x:c r="B12" s="2">
        <x:v>4569000</x:v>
      </x:c>
      <x:c r="C12" s="54" t="s">
        <x:v>83</x:v>
      </x:c>
      <x:c r="D12" s="54" t="s">
        <x:v>56</x:v>
      </x:c>
      <x:c r="E12" s="30" t="s">
        <x:v>154</x:v>
      </x:c>
      <x:c r="F12" s="124">
        <x:v>210948</x:v>
      </x:c>
    </x:row>
    <x:row r="13" spans="1:6" s="1" customFormat="1" ht="14" x14ac:dyDescent="0.3">
      <x:c r="A13" s="2">
        <x:f t="shared" si="0"/>
        <x:v>4</x:v>
      </x:c>
      <x:c r="B13" s="2">
        <x:v>4569000</x:v>
      </x:c>
      <x:c r="C13" s="54" t="s">
        <x:v>83</x:v>
      </x:c>
      <x:c r="D13" s="54" t="s">
        <x:v>56</x:v>
      </x:c>
      <x:c r="E13" s="30" t="s">
        <x:v>155</x:v>
      </x:c>
      <x:c r="F13" s="124">
        <x:v>19134</x:v>
      </x:c>
    </x:row>
    <x:row r="14" spans="1:6" s="1" customFormat="1" ht="14" x14ac:dyDescent="0.3">
      <x:c r="A14" s="2">
        <x:f t="shared" si="0"/>
        <x:v>5</x:v>
      </x:c>
      <x:c r="B14" s="2">
        <x:v>4569000</x:v>
      </x:c>
      <x:c r="C14" s="54" t="s">
        <x:v>83</x:v>
      </x:c>
      <x:c r="D14" s="54" t="s">
        <x:v>56</x:v>
      </x:c>
      <x:c r="E14" s="30" t="s">
        <x:v>156</x:v>
      </x:c>
      <x:c r="F14" s="124">
        <x:v>631</x:v>
      </x:c>
    </x:row>
    <x:row r="15" spans="1:6" s="1" customFormat="1" ht="14" x14ac:dyDescent="0.3">
      <x:c r="A15" s="2">
        <x:f t="shared" si="0"/>
        <x:v>6</x:v>
      </x:c>
      <x:c r="B15" s="2">
        <x:v>4569000</x:v>
      </x:c>
      <x:c r="C15" s="54" t="s">
        <x:v>83</x:v>
      </x:c>
      <x:c r="D15" s="54" t="s">
        <x:v>56</x:v>
      </x:c>
      <x:c r="E15" s="30" t="s">
        <x:v>157</x:v>
      </x:c>
      <x:c r="F15" s="124">
        <x:v>163994</x:v>
      </x:c>
    </x:row>
    <x:row r="16" spans="1:6" s="1" customFormat="1" ht="14" x14ac:dyDescent="0.3">
      <x:c r="A16" s="2">
        <x:f t="shared" si="0"/>
        <x:v>7</x:v>
      </x:c>
      <x:c r="B16" s="2">
        <x:v>4569000</x:v>
      </x:c>
      <x:c r="C16" s="54" t="s">
        <x:v>83</x:v>
      </x:c>
      <x:c r="D16" s="54" t="s">
        <x:v>56</x:v>
      </x:c>
      <x:c r="E16" s="30" t="s">
        <x:v>158</x:v>
      </x:c>
      <x:c r="F16" s="124">
        <x:v>5109</x:v>
      </x:c>
    </x:row>
    <x:row r="17" spans="1:7" s="1" customFormat="1" ht="14" x14ac:dyDescent="0.3">
      <x:c r="A17" s="2">
        <x:f t="shared" si="0"/>
        <x:v>8</x:v>
      </x:c>
      <x:c r="B17" s="2">
        <x:v>4549000</x:v>
      </x:c>
      <x:c r="C17" s="54" t="s">
        <x:v>161</x:v>
      </x:c>
      <x:c r="D17" s="54" t="s">
        <x:v>56</x:v>
      </x:c>
      <x:c r="E17" s="30" t="s">
        <x:v>86</x:v>
      </x:c>
      <x:c r="F17" s="124">
        <x:f>10479+44585</x:f>
        <x:v>55064</x:v>
      </x:c>
    </x:row>
    <x:row r="18" spans="1:7" s="1" customFormat="1" ht="14" x14ac:dyDescent="0.3">
      <x:c r="A18" s="2">
        <x:f t="shared" si="0"/>
        <x:v>9</x:v>
      </x:c>
      <x:c r="B18" s="2">
        <x:v>2539000</x:v>
      </x:c>
      <x:c r="C18" s="54" t="s">
        <x:v>162</x:v>
      </x:c>
      <x:c r="D18" s="54" t="s">
        <x:v>56</x:v>
      </x:c>
      <x:c r="E18" s="30" t="s">
        <x:v>159</x:v>
      </x:c>
      <x:c r="F18" s="124">
        <x:v>3542</x:v>
      </x:c>
    </x:row>
    <x:row r="19" spans="1:7" s="1" customFormat="1" ht="14" x14ac:dyDescent="0.3">
      <x:c r="A19" s="2">
        <x:f t="shared" si="0"/>
        <x:v>10</x:v>
      </x:c>
      <x:c r="B19" s="2">
        <x:v>2412700</x:v>
      </x:c>
      <x:c r="C19" s="54" t="s">
        <x:v>163</x:v>
      </x:c>
      <x:c r="D19" s="54" t="s">
        <x:v>56</x:v>
      </x:c>
      <x:c r="E19" s="30" t="s">
        <x:v>160</x:v>
      </x:c>
      <x:c r="F19" s="69">
        <x:f>8407+1304</x:f>
        <x:v>9711</x:v>
      </x:c>
    </x:row>
    <x:row r="20" spans="1:7" s="1" customFormat="1" ht="14" x14ac:dyDescent="0.3">
      <x:c r="A20" s="2">
        <x:f t="shared" si="0"/>
        <x:v>11</x:v>
      </x:c>
      <x:c r="B20" s="2"/>
      <x:c r="C20" s="54"/>
      <x:c r="D20" s="65" t="s">
        <x:v>173</x:v>
      </x:c>
      <x:c r="E20" s="30"/>
      <x:c r="F20" s="84">
        <x:f>SUM(F11:F19)</x:f>
        <x:v>687953</x:v>
      </x:c>
      <x:c r="G20" s="150"/>
    </x:row>
    <x:row r="21" spans="1:7" s="1" customFormat="1" ht="14" x14ac:dyDescent="0.3">
      <x:c r="A21" s="2">
        <x:f t="shared" si="0"/>
        <x:v>12</x:v>
      </x:c>
      <x:c r="B21" s="2"/>
      <x:c r="C21" s="75" t="s">
        <x:v>87</x:v>
      </x:c>
      <x:c r="D21" s="70"/>
      <x:c r="E21" s="76"/>
      <x:c r="F21" s="71"/>
    </x:row>
    <x:row r="22" spans="1:7" s="1" customFormat="1" ht="14" x14ac:dyDescent="0.3">
      <x:c r="A22" s="2">
        <x:f t="shared" si="0"/>
        <x:v>13</x:v>
      </x:c>
      <x:c r="B22" s="2">
        <x:v>4569000</x:v>
      </x:c>
      <x:c r="C22" s="54" t="s">
        <x:v>83</x:v>
      </x:c>
      <x:c r="D22" s="70" t="s">
        <x:v>138</x:v>
      </x:c>
      <x:c r="E22" s="30" t="s">
        <x:v>84</x:v>
      </x:c>
      <x:c r="F22" s="71">
        <x:f>743999+386873</x:f>
        <x:v>1130872</x:v>
      </x:c>
      <x:c r="G22" s="3"/>
    </x:row>
    <x:row r="23" spans="1:7" s="1" customFormat="1" ht="14" x14ac:dyDescent="0.3">
      <x:c r="A23" s="2">
        <x:f t="shared" si="0"/>
        <x:v>14</x:v>
      </x:c>
      <x:c r="B23" s="2">
        <x:v>4569000</x:v>
      </x:c>
      <x:c r="C23" s="54" t="s">
        <x:v>83</x:v>
      </x:c>
      <x:c r="D23" s="70" t="s">
        <x:v>138</x:v>
      </x:c>
      <x:c r="E23" s="30" t="s">
        <x:v>156</x:v>
      </x:c>
      <x:c r="F23" s="71">
        <x:v>6937</x:v>
      </x:c>
    </x:row>
    <x:row r="24" spans="1:7" s="1" customFormat="1" ht="14" x14ac:dyDescent="0.3">
      <x:c r="A24" s="2">
        <x:f t="shared" si="0"/>
        <x:v>15</x:v>
      </x:c>
      <x:c r="B24" s="2">
        <x:v>4569000</x:v>
      </x:c>
      <x:c r="C24" s="54" t="s">
        <x:v>83</x:v>
      </x:c>
      <x:c r="D24" s="70" t="s">
        <x:v>138</x:v>
      </x:c>
      <x:c r="E24" s="30" t="s">
        <x:v>157</x:v>
      </x:c>
      <x:c r="F24" s="71">
        <x:v>414163</x:v>
      </x:c>
    </x:row>
    <x:row r="25" spans="1:7" s="1" customFormat="1" ht="14" x14ac:dyDescent="0.3">
      <x:c r="A25" s="2">
        <x:f t="shared" si="0"/>
        <x:v>16</x:v>
      </x:c>
      <x:c r="B25" s="2">
        <x:v>4549000</x:v>
      </x:c>
      <x:c r="C25" s="54" t="s">
        <x:v>85</x:v>
      </x:c>
      <x:c r="D25" s="70" t="s">
        <x:v>138</x:v>
      </x:c>
      <x:c r="E25" s="30" t="s">
        <x:v>86</x:v>
      </x:c>
      <x:c r="F25" s="71">
        <x:f>82998+353145</x:f>
        <x:v>436143</x:v>
      </x:c>
    </x:row>
    <x:row r="26" spans="1:7" s="1" customFormat="1" ht="14" x14ac:dyDescent="0.3">
      <x:c r="A26" s="2">
        <x:f t="shared" si="0"/>
        <x:v>17</x:v>
      </x:c>
      <x:c r="B26" s="2">
        <x:v>4569000</x:v>
      </x:c>
      <x:c r="C26" s="54" t="s">
        <x:v>83</x:v>
      </x:c>
      <x:c r="D26" s="70" t="s">
        <x:v>138</x:v>
      </x:c>
      <x:c r="E26" s="30" t="s">
        <x:v>160</x:v>
      </x:c>
      <x:c r="F26" s="71">
        <x:f>16248+458</x:f>
        <x:v>16706</x:v>
      </x:c>
      <x:c r="G26" s="80"/>
    </x:row>
    <x:row r="27" spans="1:7" s="1" customFormat="1" ht="14" x14ac:dyDescent="0.3">
      <x:c r="A27" s="2">
        <x:f t="shared" si="0"/>
        <x:v>18</x:v>
      </x:c>
      <x:c r="B27" s="2">
        <x:v>4569000</x:v>
      </x:c>
      <x:c r="C27" s="70" t="s">
        <x:v>83</x:v>
      </x:c>
      <x:c r="D27" s="70" t="s">
        <x:v>138</x:v>
      </x:c>
      <x:c r="E27" s="76" t="s">
        <x:v>164</x:v>
      </x:c>
      <x:c r="F27" s="71">
        <x:f>6830300-G22</x:f>
        <x:v>6830300</x:v>
      </x:c>
    </x:row>
    <x:row r="28" spans="1:7" s="1" customFormat="1" ht="14" x14ac:dyDescent="0.3">
      <x:c r="A28" s="2">
        <x:f t="shared" si="0"/>
        <x:v>19</x:v>
      </x:c>
      <x:c r="B28" s="2"/>
      <x:c r="C28" s="75" t="s">
        <x:v>88</x:v>
      </x:c>
      <x:c r="D28" s="70"/>
      <x:c r="E28" s="76"/>
      <x:c r="F28" s="71"/>
    </x:row>
    <x:row r="29" spans="1:7" s="1" customFormat="1" ht="14" x14ac:dyDescent="0.3">
      <x:c r="A29" s="2">
        <x:f t="shared" si="0"/>
        <x:v>20</x:v>
      </x:c>
      <x:c r="B29" s="2">
        <x:v>4190200</x:v>
      </x:c>
      <x:c r="C29" s="70" t="s">
        <x:v>89</x:v>
      </x:c>
      <x:c r="D29" s="70" t="s">
        <x:v>138</x:v>
      </x:c>
      <x:c r="E29" s="76" t="s">
        <x:v>90</x:v>
      </x:c>
      <x:c r="F29" s="71">
        <x:v>43042436</x:v>
      </x:c>
    </x:row>
    <x:row r="30" spans="1:7" s="1" customFormat="1" ht="14" x14ac:dyDescent="0.3">
      <x:c r="A30" s="2">
        <x:f t="shared" si="0"/>
        <x:v>21</x:v>
      </x:c>
      <x:c r="B30" s="2"/>
      <x:c r="C30" s="75" t="s">
        <x:v>91</x:v>
      </x:c>
      <x:c r="D30" s="70"/>
      <x:c r="E30" s="76"/>
      <x:c r="F30" s="71"/>
    </x:row>
    <x:row r="31" spans="1:7" s="1" customFormat="1" ht="14" x14ac:dyDescent="0.3">
      <x:c r="A31" s="2">
        <x:f t="shared" si="0"/>
        <x:v>22</x:v>
      </x:c>
      <x:c r="B31" s="2" t="s">
        <x:v>92</x:v>
      </x:c>
      <x:c r="C31" s="70" t="s">
        <x:v>93</x:v>
      </x:c>
      <x:c r="D31" s="70" t="s">
        <x:v>138</x:v>
      </x:c>
      <x:c r="E31" s="76" t="s">
        <x:v>181</x:v>
      </x:c>
      <x:c r="F31" s="73">
        <x:f>+'V-K-8.1'!D35</x:f>
        <x:v>617230.29</x:v>
      </x:c>
    </x:row>
    <x:row r="32" spans="1:7" s="1" customFormat="1" ht="14" x14ac:dyDescent="0.3">
      <x:c r="A32" s="2">
        <x:f t="shared" si="0"/>
        <x:v>23</x:v>
      </x:c>
      <x:c r="B32" s="2"/>
      <x:c r="C32" s="70"/>
      <x:c r="D32" s="65" t="s">
        <x:v>172</x:v>
      </x:c>
      <x:c r="E32" s="76"/>
      <x:c r="F32" s="162">
        <x:f>SUM(F22:F31)</x:f>
        <x:v>52494787.289999999</x:v>
      </x:c>
    </x:row>
    <x:row r="33" spans="1:7" s="1" customFormat="1" ht="14" x14ac:dyDescent="0.3">
      <x:c r="A33" s="2">
        <x:f t="shared" si="0"/>
        <x:v>24</x:v>
      </x:c>
      <x:c r="B33" s="2"/>
      <x:c r="C33" s="75" t="s">
        <x:v>94</x:v>
      </x:c>
      <x:c r="D33" s="70"/>
      <x:c r="E33" s="76"/>
      <x:c r="F33" s="71"/>
    </x:row>
    <x:row r="34" spans="1:7" s="1" customFormat="1" ht="14" x14ac:dyDescent="0.3">
      <x:c r="A34" s="2">
        <x:f t="shared" si="0"/>
        <x:v>25</x:v>
      </x:c>
      <x:c r="B34" s="2">
        <x:v>4569000</x:v>
      </x:c>
      <x:c r="C34" s="54" t="s">
        <x:v>83</x:v>
      </x:c>
      <x:c r="D34" s="70" t="s">
        <x:v>95</x:v>
      </x:c>
      <x:c r="E34" s="76" t="s">
        <x:v>165</x:v>
      </x:c>
      <x:c r="F34" s="71">
        <x:v>32538</x:v>
      </x:c>
    </x:row>
    <x:row r="35" spans="1:7" s="1" customFormat="1" ht="14" x14ac:dyDescent="0.3">
      <x:c r="A35" s="2">
        <x:f t="shared" si="0"/>
        <x:v>26</x:v>
      </x:c>
      <x:c r="B35" s="2"/>
      <x:c r="C35" s="75" t="s">
        <x:v>96</x:v>
      </x:c>
      <x:c r="D35" s="70"/>
      <x:c r="E35" s="76"/>
      <x:c r="F35" s="71"/>
    </x:row>
    <x:row r="36" spans="1:7" s="1" customFormat="1" ht="14" x14ac:dyDescent="0.3">
      <x:c r="A36" s="2">
        <x:f t="shared" si="0"/>
        <x:v>27</x:v>
      </x:c>
      <x:c r="B36" s="2">
        <x:v>4569000</x:v>
      </x:c>
      <x:c r="C36" s="54" t="s">
        <x:v>83</x:v>
      </x:c>
      <x:c r="D36" s="70" t="s">
        <x:v>95</x:v>
      </x:c>
      <x:c r="E36" s="76" t="s">
        <x:v>97</x:v>
      </x:c>
      <x:c r="F36" s="73">
        <x:v>4311</x:v>
      </x:c>
    </x:row>
    <x:row r="37" spans="1:7" s="1" customFormat="1" ht="14" x14ac:dyDescent="0.3">
      <x:c r="A37" s="2">
        <x:f t="shared" si="0"/>
        <x:v>28</x:v>
      </x:c>
      <x:c r="B37" s="2"/>
      <x:c r="C37" s="70"/>
      <x:c r="D37" s="75" t="s">
        <x:v>98</x:v>
      </x:c>
      <x:c r="E37" s="76"/>
      <x:c r="F37" s="162">
        <x:f>+F34+F36</x:f>
        <x:v>36849</x:v>
      </x:c>
    </x:row>
    <x:row r="38" spans="1:7" s="1" customFormat="1" ht="14" x14ac:dyDescent="0.3">
      <x:c r="A38" s="2">
        <x:f t="shared" si="0"/>
        <x:v>29</x:v>
      </x:c>
      <x:c r="B38" s="2"/>
      <x:c r="C38" s="75" t="s">
        <x:v>151</x:v>
      </x:c>
      <x:c r="D38" s="75"/>
      <x:c r="E38" s="76"/>
      <x:c r="F38" s="77"/>
    </x:row>
    <x:row r="39" spans="1:7" s="1" customFormat="1" ht="14" x14ac:dyDescent="0.3">
      <x:c r="A39" s="2">
        <x:f t="shared" si="0"/>
        <x:v>30</x:v>
      </x:c>
      <x:c r="B39" s="2">
        <x:v>1439000</x:v>
      </x:c>
      <x:c r="C39" s="70" t="s">
        <x:v>262</x:v>
      </x:c>
      <x:c r="D39" s="70" t="s">
        <x:v>263</x:v>
      </x:c>
      <x:c r="E39" s="76" t="s">
        <x:v>264</x:v>
      </x:c>
      <x:c r="F39" s="73">
        <x:v>500</x:v>
      </x:c>
    </x:row>
    <x:row r="40" spans="1:7" s="1" customFormat="1" ht="14" x14ac:dyDescent="0.3">
      <x:c r="A40" s="2">
        <x:f t="shared" si="0"/>
        <x:v>31</x:v>
      </x:c>
      <x:c r="B40" s="2"/>
      <x:c r="C40" s="70"/>
      <x:c r="D40" s="75" t="s">
        <x:v>265</x:v>
      </x:c>
      <x:c r="E40" s="76"/>
      <x:c r="F40" s="162">
        <x:f>+F39</x:f>
        <x:v>500</x:v>
      </x:c>
    </x:row>
    <x:row r="41" spans="1:7" s="1" customFormat="1" ht="14" x14ac:dyDescent="0.3">
      <x:c r="A41" s="2">
        <x:f t="shared" si="0"/>
        <x:v>32</x:v>
      </x:c>
      <x:c r="B41" s="166"/>
      <x:c r="C41" s="75" t="s">
        <x:v>288</x:v>
      </x:c>
      <x:c r="D41" s="75"/>
      <x:c r="E41" s="76"/>
      <x:c r="F41" s="71"/>
    </x:row>
    <x:row r="42" spans="1:7" s="1" customFormat="1" ht="14" x14ac:dyDescent="0.3">
      <x:c r="A42" s="2">
        <x:f t="shared" si="0"/>
        <x:v>33</x:v>
      </x:c>
      <x:c r="B42" s="166">
        <x:v>4570000</x:v>
      </x:c>
      <x:c r="C42" s="70" t="s">
        <x:v>289</x:v>
      </x:c>
      <x:c r="D42" s="70" t="s">
        <x:v>207</x:v>
      </x:c>
      <x:c r="E42" s="76" t="s">
        <x:v>291</x:v>
      </x:c>
      <x:c r="F42" s="73">
        <x:v>6733012</x:v>
      </x:c>
    </x:row>
    <x:row r="43" spans="1:7" s="1" customFormat="1" ht="14" x14ac:dyDescent="0.3">
      <x:c r="A43" s="2">
        <x:f t="shared" si="0"/>
        <x:v>34</x:v>
      </x:c>
      <x:c r="B43" s="166"/>
      <x:c r="C43" s="70"/>
      <x:c r="D43" s="75" t="s">
        <x:v>290</x:v>
      </x:c>
      <x:c r="E43" s="76"/>
      <x:c r="F43" s="162">
        <x:f>+F42</x:f>
        <x:v>6733012</x:v>
      </x:c>
    </x:row>
    <x:row r="44" spans="1:7" s="1" customFormat="1" ht="14" x14ac:dyDescent="0.3">
      <x:c r="A44" s="2">
        <x:f t="shared" si="0"/>
        <x:v>35</x:v>
      </x:c>
      <x:c r="B44" s="2"/>
      <x:c r="C44" s="70"/>
      <x:c r="D44" s="75"/>
      <x:c r="E44" s="76"/>
      <x:c r="F44" s="73"/>
    </x:row>
    <x:row r="45" spans="1:7" s="1" customFormat="1" ht="14.5" thickBot="1" x14ac:dyDescent="0.35">
      <x:c r="A45" s="2">
        <x:f t="shared" si="0"/>
        <x:v>36</x:v>
      </x:c>
      <x:c r="B45" s="2"/>
      <x:c r="C45" s="75" t="s">
        <x:v>99</x:v>
      </x:c>
      <x:c r="D45" s="70"/>
      <x:c r="E45" s="76"/>
      <x:c r="F45" s="78">
        <x:f>+F20+F32+F37+F40+F43</x:f>
        <x:v>59953101.289999999</x:v>
      </x:c>
    </x:row>
    <x:row r="46" spans="1:7" s="1" customFormat="1" ht="14.5" thickTop="1" x14ac:dyDescent="0.3">
      <x:c r="A46" s="2"/>
      <x:c r="B46" s="2"/>
      <x:c r="C46" s="70"/>
      <x:c r="D46" s="70"/>
      <x:c r="E46" s="76"/>
      <x:c r="F46" s="71"/>
    </x:row>
    <x:row r="47" spans="1:7" s="1" customFormat="1" x14ac:dyDescent="0.35">
      <x:c r="A47" s="79"/>
      <x:c r="C47" s="22"/>
      <x:c r="D47" s="30"/>
      <x:c r="E47" s="22"/>
      <x:c r="F47" s="24"/>
      <x:c r="G47" s="22"/>
    </x:row>
    <x:row r="48" spans="1:7" s="1" customFormat="1" ht="15.75" customHeight="1" x14ac:dyDescent="0.3">
      <x:c r="A48" s="2"/>
      <x:c r="B48" s="171"/>
      <x:c r="C48" s="171"/>
      <x:c r="D48" s="171"/>
      <x:c r="E48" s="171"/>
      <x:c r="F48" s="171"/>
      <x:c r="G48" s="171"/>
    </x:row>
    <x:row r="49" spans="1:6" s="1" customFormat="1" ht="14" x14ac:dyDescent="0.3">
      <x:c r="A49" s="2"/>
      <x:c r="B49" s="2"/>
      <x:c r="C49" s="70"/>
      <x:c r="D49" s="70"/>
      <x:c r="E49" s="76"/>
      <x:c r="F49" s="71"/>
    </x:row>
    <x:row r="50" spans="1:6" x14ac:dyDescent="0.35">
      <x:c r="A50" s="23"/>
      <x:c r="B50" s="23"/>
    </x:row>
    <x:row r="51" spans="1:6" x14ac:dyDescent="0.35">
      <x:c r="A51" s="23"/>
      <x:c r="B51" s="23"/>
    </x:row>
    <x:row r="52" spans="1:6" x14ac:dyDescent="0.35">
      <x:c r="A52" s="23"/>
      <x:c r="B52" s="23"/>
    </x:row>
    <x:row r="53" spans="1:6" x14ac:dyDescent="0.35">
      <x:c r="A53" s="23"/>
      <x:c r="B53" s="23"/>
    </x:row>
  </x:sheetData>
  <x:mergeCells count="6">
    <x:mergeCell ref="B48:G48"/>
    <x:mergeCell ref="B1:F1"/>
    <x:mergeCell ref="B2:F2"/>
    <x:mergeCell ref="B3:F3"/>
    <x:mergeCell ref="B4:F4"/>
    <x:mergeCell ref="B5:F5"/>
  </x:mergeCells>
  <x:printOptions horizontalCentered="1"/>
  <x:pageMargins left="0.35" right="0.35" top="1.5" bottom="0.5" header="0.3" footer="0.3"/>
  <x:pageSetup scale="70" orientation="landscape" r:id="rId1"/>
  <x:headerFooter>
    <x:oddHeader>&amp;R
Schedule V-K-8
Page 1 of 1</x:oddHeader>
  </x:headerFooter>
</x:worksheet>
</file>

<file path=xl/worksheets/sheet9.xml><?xml version="1.0" encoding="utf-8"?>
<x:worksheet xmlns:xlrd2="http://schemas.microsoft.com/office/spreadsheetml/2017/richdata2"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xmlns:x="http://schemas.openxmlformats.org/spreadsheetml/2006/main" xr:uid="{00000000-0001-0000-0800-000000000000}" mc:Ignorable="x14ac xr xr2 xr3">
  <x:dimension ref="A1:E42"/>
  <x:sheetViews>
    <x:sheetView view="pageBreakPreview" zoomScaleNormal="90" zoomScaleSheetLayoutView="100" workbookViewId="0">
      <x:selection activeCell="B7" sqref="B7"/>
    </x:sheetView>
  </x:sheetViews>
  <x:sheetFormatPr defaultColWidth="9.1796875" defaultRowHeight="15.5" x14ac:dyDescent="0.35"/>
  <x:cols>
    <x:col min="1" max="1" width="9.7265625" style="22" customWidth="1"/>
    <x:col min="2" max="2" width="14.81640625" style="22" customWidth="1"/>
    <x:col min="3" max="3" width="36" style="22" customWidth="1"/>
    <x:col min="4" max="4" width="13.54296875" style="22" customWidth="1"/>
    <x:col min="5" max="5" width="19" style="23" customWidth="1"/>
    <x:col min="6" max="16384" width="9.1796875" style="22"/>
  </x:cols>
  <x:sheetData>
    <x:row r="1" spans="1:5" x14ac:dyDescent="0.35">
      <x:c r="B1" s="168" t="s">
        <x:v>186</x:v>
      </x:c>
      <x:c r="C1" s="168"/>
      <x:c r="D1" s="168"/>
      <x:c r="E1" s="168"/>
    </x:row>
    <x:row r="2" spans="1:5" x14ac:dyDescent="0.35">
      <x:c r="B2" s="168" t="s">
        <x:v>11</x:v>
      </x:c>
      <x:c r="C2" s="168"/>
      <x:c r="D2" s="168"/>
      <x:c r="E2" s="168"/>
    </x:row>
    <x:row r="3" spans="1:5" x14ac:dyDescent="0.35">
      <x:c r="B3" s="168" t="s">
        <x:v>182</x:v>
      </x:c>
      <x:c r="C3" s="168"/>
      <x:c r="D3" s="168"/>
      <x:c r="E3" s="168"/>
    </x:row>
    <x:row r="4" spans="1:5" x14ac:dyDescent="0.35">
      <x:c r="B4" s="168" t="s">
        <x:v>187</x:v>
      </x:c>
      <x:c r="C4" s="168"/>
      <x:c r="D4" s="168"/>
      <x:c r="E4" s="168"/>
    </x:row>
    <x:row r="5" spans="1:5" x14ac:dyDescent="0.35">
      <x:c r="B5" s="168" t="s">
        <x:v>188</x:v>
      </x:c>
      <x:c r="C5" s="168"/>
      <x:c r="D5" s="168"/>
      <x:c r="E5" s="168"/>
    </x:row>
    <x:row r="7" spans="1:5" s="1" customFormat="1" ht="14" x14ac:dyDescent="0.3">
      <x:c r="A7" s="2"/>
      <x:c r="D7" s="17" t="s">
        <x:v>6</x:v>
      </x:c>
      <x:c r="E7" s="62" t="s">
        <x:v>100</x:v>
      </x:c>
    </x:row>
    <x:row r="8" spans="1:5" s="1" customFormat="1" ht="14" x14ac:dyDescent="0.3">
      <x:c r="A8" s="18" t="s">
        <x:v>2</x:v>
      </x:c>
      <x:c r="B8" s="18" t="s">
        <x:v>66</x:v>
      </x:c>
      <x:c r="C8" s="18" t="s">
        <x:v>132</x:v>
      </x:c>
      <x:c r="D8" s="18" t="s">
        <x:v>68</x:v>
      </x:c>
      <x:c r="E8" s="19" t="s">
        <x:v>69</x:v>
      </x:c>
    </x:row>
    <x:row r="9" spans="1:5" s="1" customFormat="1" ht="14" x14ac:dyDescent="0.3">
      <x:c r="A9" s="2"/>
      <x:c r="B9" s="20" t="s">
        <x:v>7</x:v>
      </x:c>
      <x:c r="C9" s="20" t="s">
        <x:v>19</x:v>
      </x:c>
      <x:c r="D9" s="20" t="s">
        <x:v>8</x:v>
      </x:c>
      <x:c r="E9" s="21" t="s">
        <x:v>9</x:v>
      </x:c>
    </x:row>
    <x:row r="10" spans="1:5" s="1" customFormat="1" ht="14" x14ac:dyDescent="0.3">
      <x:c r="A10" s="53">
        <x:v>1</x:v>
      </x:c>
      <x:c r="B10" s="149" t="s">
        <x:v>226</x:v>
      </x:c>
      <x:c r="C10" s="149" t="s">
        <x:v>227</x:v>
      </x:c>
      <x:c r="D10" s="80">
        <x:v>12630.58</x:v>
      </x:c>
      <x:c r="E10" s="148">
        <x:v>45406</x:v>
      </x:c>
    </x:row>
    <x:row r="11" spans="1:5" s="1" customFormat="1" ht="14" x14ac:dyDescent="0.3">
      <x:c r="A11" s="53">
        <x:f>+A10+A10</x:f>
        <x:v>2</x:v>
      </x:c>
      <x:c r="B11" s="30" t="s">
        <x:v>220</x:v>
      </x:c>
      <x:c r="C11" s="30" t="s">
        <x:v>221</x:v>
      </x:c>
      <x:c r="D11" s="163">
        <x:v>4112.93</x:v>
      </x:c>
      <x:c r="E11" s="148">
        <x:v>45407</x:v>
      </x:c>
    </x:row>
    <x:row r="12" spans="1:5" s="1" customFormat="1" ht="14" x14ac:dyDescent="0.3">
      <x:c r="A12" s="53">
        <x:f t="shared" ref="A12:A35" si="0">+A11+1</x:f>
        <x:v>3</x:v>
      </x:c>
      <x:c r="B12" s="30" t="s">
        <x:v>222</x:v>
      </x:c>
      <x:c r="C12" s="30" t="s">
        <x:v>223</x:v>
      </x:c>
      <x:c r="D12" s="163">
        <x:v>3996.22</x:v>
      </x:c>
      <x:c r="E12" s="148">
        <x:v>45407</x:v>
      </x:c>
    </x:row>
    <x:row r="13" spans="1:5" s="1" customFormat="1" ht="14" x14ac:dyDescent="0.3">
      <x:c r="A13" s="53">
        <x:f t="shared" si="0"/>
        <x:v>4</x:v>
      </x:c>
      <x:c r="B13" s="30" t="s">
        <x:v>224</x:v>
      </x:c>
      <x:c r="C13" s="30" t="s">
        <x:v>225</x:v>
      </x:c>
      <x:c r="D13" s="163">
        <x:v>17841.400000000001</x:v>
      </x:c>
      <x:c r="E13" s="148">
        <x:v>45436</x:v>
      </x:c>
    </x:row>
    <x:row r="14" spans="1:5" s="1" customFormat="1" ht="14" x14ac:dyDescent="0.3">
      <x:c r="A14" s="53">
        <x:f t="shared" si="0"/>
        <x:v>5</x:v>
      </x:c>
      <x:c r="B14" s="30" t="s">
        <x:v>240</x:v>
      </x:c>
      <x:c r="C14" s="30" t="s">
        <x:v>259</x:v>
      </x:c>
      <x:c r="D14" s="163">
        <x:v>2009.99</x:v>
      </x:c>
      <x:c r="E14" s="148">
        <x:v>45444</x:v>
      </x:c>
    </x:row>
    <x:row r="15" spans="1:5" s="1" customFormat="1" ht="14" x14ac:dyDescent="0.3">
      <x:c r="A15" s="53">
        <x:f t="shared" si="0"/>
        <x:v>6</x:v>
      </x:c>
      <x:c r="B15" s="30" t="s">
        <x:v>234</x:v>
      </x:c>
      <x:c r="C15" s="30" t="s">
        <x:v>235</x:v>
      </x:c>
      <x:c r="D15" s="163">
        <x:v>12408.64</x:v>
      </x:c>
      <x:c r="E15" s="148">
        <x:v>45502</x:v>
      </x:c>
    </x:row>
    <x:row r="16" spans="1:5" s="1" customFormat="1" ht="14" x14ac:dyDescent="0.3">
      <x:c r="A16" s="53">
        <x:f t="shared" si="0"/>
        <x:v>7</x:v>
      </x:c>
      <x:c r="B16" s="30" t="s">
        <x:v>243</x:v>
      </x:c>
      <x:c r="C16" s="30" t="s">
        <x:v>259</x:v>
      </x:c>
      <x:c r="D16" s="163">
        <x:v>5584.9100000000008</x:v>
      </x:c>
      <x:c r="E16" s="148">
        <x:v>45509</x:v>
      </x:c>
    </x:row>
    <x:row r="17" spans="1:5" s="1" customFormat="1" ht="14" x14ac:dyDescent="0.3">
      <x:c r="A17" s="53">
        <x:f t="shared" si="0"/>
        <x:v>8</x:v>
      </x:c>
      <x:c r="B17" s="30" t="s">
        <x:v>247</x:v>
      </x:c>
      <x:c r="C17" s="30" t="s">
        <x:v>248</x:v>
      </x:c>
      <x:c r="D17" s="163">
        <x:v>9371.4599999999991</x:v>
      </x:c>
      <x:c r="E17" s="148">
        <x:v>45513</x:v>
      </x:c>
    </x:row>
    <x:row r="18" spans="1:5" s="1" customFormat="1" ht="14" x14ac:dyDescent="0.3">
      <x:c r="A18" s="53">
        <x:f t="shared" si="0"/>
        <x:v>9</x:v>
      </x:c>
      <x:c r="B18" s="30" t="s">
        <x:v>236</x:v>
      </x:c>
      <x:c r="C18" s="30" t="s">
        <x:v>237</x:v>
      </x:c>
      <x:c r="D18" s="163">
        <x:v>22962.97</x:v>
      </x:c>
      <x:c r="E18" s="148">
        <x:v>45540</x:v>
      </x:c>
    </x:row>
    <x:row r="19" spans="1:5" s="1" customFormat="1" ht="14" x14ac:dyDescent="0.3">
      <x:c r="A19" s="53">
        <x:f t="shared" si="0"/>
        <x:v>10</x:v>
      </x:c>
      <x:c r="B19" s="30" t="s">
        <x:v>241</x:v>
      </x:c>
      <x:c r="C19" s="30" t="s">
        <x:v>242</x:v>
      </x:c>
      <x:c r="D19" s="163">
        <x:v>23689.3</x:v>
      </x:c>
      <x:c r="E19" s="148">
        <x:v>45541</x:v>
      </x:c>
    </x:row>
    <x:row r="20" spans="1:5" s="1" customFormat="1" ht="14" x14ac:dyDescent="0.3">
      <x:c r="A20" s="53">
        <x:f t="shared" si="0"/>
        <x:v>11</x:v>
      </x:c>
      <x:c r="B20" s="30" t="s">
        <x:v>244</x:v>
      </x:c>
      <x:c r="C20" s="30" t="s">
        <x:v>245</x:v>
      </x:c>
      <x:c r="D20" s="163">
        <x:v>2807.82</x:v>
      </x:c>
      <x:c r="E20" s="148">
        <x:v>45568</x:v>
      </x:c>
    </x:row>
    <x:row r="21" spans="1:5" s="1" customFormat="1" ht="14" x14ac:dyDescent="0.3">
      <x:c r="A21" s="53">
        <x:f t="shared" si="0"/>
        <x:v>12</x:v>
      </x:c>
      <x:c r="B21" s="30" t="s">
        <x:v>231</x:v>
      </x:c>
      <x:c r="C21" s="30" t="s">
        <x:v>257</x:v>
      </x:c>
      <x:c r="D21" s="163">
        <x:v>57906.05</x:v>
      </x:c>
      <x:c r="E21" s="148">
        <x:v>45590</x:v>
      </x:c>
    </x:row>
    <x:row r="22" spans="1:5" s="1" customFormat="1" ht="14" x14ac:dyDescent="0.3">
      <x:c r="A22" s="53">
        <x:f t="shared" si="0"/>
        <x:v>13</x:v>
      </x:c>
      <x:c r="B22" s="30" t="s">
        <x:v>252</x:v>
      </x:c>
      <x:c r="C22" s="30" t="s">
        <x:v>259</x:v>
      </x:c>
      <x:c r="D22" s="163">
        <x:v>18549.66</x:v>
      </x:c>
      <x:c r="E22" s="148">
        <x:v>45590</x:v>
      </x:c>
    </x:row>
    <x:row r="23" spans="1:5" s="1" customFormat="1" ht="14" x14ac:dyDescent="0.3">
      <x:c r="A23" s="53">
        <x:f t="shared" si="0"/>
        <x:v>14</x:v>
      </x:c>
      <x:c r="B23" s="30" t="s">
        <x:v>218</x:v>
      </x:c>
      <x:c r="C23" s="30" t="s">
        <x:v>219</x:v>
      </x:c>
      <x:c r="D23" s="163">
        <x:v>76000.88</x:v>
      </x:c>
      <x:c r="E23" s="148">
        <x:v>45599</x:v>
      </x:c>
    </x:row>
    <x:row r="24" spans="1:5" s="1" customFormat="1" ht="14" x14ac:dyDescent="0.3">
      <x:c r="A24" s="53">
        <x:f t="shared" si="0"/>
        <x:v>15</x:v>
      </x:c>
      <x:c r="B24" s="30" t="s">
        <x:v>230</x:v>
      </x:c>
      <x:c r="C24" s="30" t="s">
        <x:v>256</x:v>
      </x:c>
      <x:c r="D24" s="163">
        <x:v>58917.48</x:v>
      </x:c>
      <x:c r="E24" s="148">
        <x:v>45602</x:v>
      </x:c>
    </x:row>
    <x:row r="25" spans="1:5" s="1" customFormat="1" ht="14" x14ac:dyDescent="0.3">
      <x:c r="A25" s="53">
        <x:f t="shared" si="0"/>
        <x:v>16</x:v>
      </x:c>
      <x:c r="B25" s="30" t="s">
        <x:v>228</x:v>
      </x:c>
      <x:c r="C25" s="30" t="s">
        <x:v>229</x:v>
      </x:c>
      <x:c r="D25" s="163">
        <x:v>4729.7300000000005</x:v>
      </x:c>
      <x:c r="E25" s="148">
        <x:v>45603</x:v>
      </x:c>
    </x:row>
    <x:row r="26" spans="1:5" s="1" customFormat="1" ht="14" x14ac:dyDescent="0.3">
      <x:c r="A26" s="53">
        <x:f t="shared" si="0"/>
        <x:v>17</x:v>
      </x:c>
      <x:c r="B26" s="30" t="s">
        <x:v>238</x:v>
      </x:c>
      <x:c r="C26" s="30" t="s">
        <x:v>239</x:v>
      </x:c>
      <x:c r="D26" s="163">
        <x:v>2062.2600000000002</x:v>
      </x:c>
      <x:c r="E26" s="148">
        <x:v>45629</x:v>
      </x:c>
    </x:row>
    <x:row r="27" spans="1:5" s="1" customFormat="1" ht="14" x14ac:dyDescent="0.3">
      <x:c r="A27" s="53">
        <x:f t="shared" si="0"/>
        <x:v>18</x:v>
      </x:c>
      <x:c r="B27" s="30" t="s">
        <x:v>250</x:v>
      </x:c>
      <x:c r="C27" s="30" t="s">
        <x:v>251</x:v>
      </x:c>
      <x:c r="D27" s="163">
        <x:v>5672.15</x:v>
      </x:c>
      <x:c r="E27" s="148">
        <x:v>45630</x:v>
      </x:c>
    </x:row>
    <x:row r="28" spans="1:5" s="1" customFormat="1" ht="14" x14ac:dyDescent="0.3">
      <x:c r="A28" s="53">
        <x:f t="shared" si="0"/>
        <x:v>19</x:v>
      </x:c>
      <x:c r="B28" s="30" t="s">
        <x:v>246</x:v>
      </x:c>
      <x:c r="C28" s="30" t="s">
        <x:v>260</x:v>
      </x:c>
      <x:c r="D28" s="163">
        <x:v>11976.12</x:v>
      </x:c>
      <x:c r="E28" s="148">
        <x:v>45631</x:v>
      </x:c>
    </x:row>
    <x:row r="29" spans="1:5" s="1" customFormat="1" ht="14" x14ac:dyDescent="0.3">
      <x:c r="A29" s="53">
        <x:f t="shared" si="0"/>
        <x:v>20</x:v>
      </x:c>
      <x:c r="B29" s="30" t="s">
        <x:v>249</x:v>
      </x:c>
      <x:c r="C29" s="30" t="s">
        <x:v>237</x:v>
      </x:c>
      <x:c r="D29" s="163">
        <x:v>17586.66</x:v>
      </x:c>
      <x:c r="E29" s="148">
        <x:v>45635</x:v>
      </x:c>
    </x:row>
    <x:row r="30" spans="1:5" s="1" customFormat="1" ht="14" x14ac:dyDescent="0.3">
      <x:c r="A30" s="53">
        <x:f t="shared" si="0"/>
        <x:v>21</x:v>
      </x:c>
      <x:c r="B30" s="30" t="s">
        <x:v>232</x:v>
      </x:c>
      <x:c r="C30" s="30" t="s">
        <x:v>219</x:v>
      </x:c>
      <x:c r="D30" s="163">
        <x:v>106586.51</x:v>
      </x:c>
      <x:c r="E30" s="148">
        <x:v>45642</x:v>
      </x:c>
    </x:row>
    <x:row r="31" spans="1:5" s="1" customFormat="1" ht="14" x14ac:dyDescent="0.3">
      <x:c r="A31" s="53">
        <x:f t="shared" si="0"/>
        <x:v>22</x:v>
      </x:c>
      <x:c r="B31" s="30" t="s">
        <x:v>253</x:v>
      </x:c>
      <x:c r="C31" s="30" t="s">
        <x:v>254</x:v>
      </x:c>
      <x:c r="D31" s="163">
        <x:v>8817.6299999999992</x:v>
      </x:c>
      <x:c r="E31" s="148">
        <x:v>45642</x:v>
      </x:c>
    </x:row>
    <x:row r="32" spans="1:5" s="1" customFormat="1" ht="14" x14ac:dyDescent="0.3">
      <x:c r="A32" s="53">
        <x:f t="shared" si="0"/>
        <x:v>23</x:v>
      </x:c>
      <x:c r="B32" s="30" t="s">
        <x:v>233</x:v>
      </x:c>
      <x:c r="C32" s="30" t="s">
        <x:v>258</x:v>
      </x:c>
      <x:c r="D32" s="163">
        <x:v>112799.9</x:v>
      </x:c>
      <x:c r="E32" s="148">
        <x:v>45649</x:v>
      </x:c>
    </x:row>
    <x:row r="33" spans="1:5" s="1" customFormat="1" ht="14" x14ac:dyDescent="0.3">
      <x:c r="A33" s="53">
        <x:f t="shared" si="0"/>
        <x:v>24</x:v>
      </x:c>
      <x:c r="B33" s="30" t="s">
        <x:v>255</x:v>
      </x:c>
      <x:c r="C33" s="30" t="s">
        <x:v>261</x:v>
      </x:c>
      <x:c r="D33" s="163">
        <x:v>18209.04</x:v>
      </x:c>
      <x:c r="E33" s="148">
        <x:v>45649</x:v>
      </x:c>
    </x:row>
    <x:row r="34" spans="1:5" s="1" customFormat="1" ht="14" x14ac:dyDescent="0.3">
      <x:c r="A34" s="53">
        <x:f t="shared" si="0"/>
        <x:v>25</x:v>
      </x:c>
      <x:c r="B34" s="53"/>
      <x:c r="C34" s="76"/>
      <x:c r="D34" s="82"/>
      <x:c r="E34" s="81"/>
    </x:row>
    <x:row r="35" spans="1:5" s="1" customFormat="1" ht="14" x14ac:dyDescent="0.3">
      <x:c r="A35" s="53">
        <x:f t="shared" si="0"/>
        <x:v>26</x:v>
      </x:c>
      <x:c r="B35" s="53"/>
      <x:c r="C35" s="83" t="s">
        <x:v>6</x:v>
      </x:c>
      <x:c r="D35" s="84">
        <x:f>SUM(D10:D34)</x:f>
        <x:v>617230.29</x:v>
      </x:c>
      <x:c r="E35" s="2"/>
    </x:row>
    <x:row r="36" spans="1:5" s="1" customFormat="1" ht="14" x14ac:dyDescent="0.3">
      <x:c r="A36" s="53"/>
      <x:c r="B36" s="53"/>
      <x:c r="C36" s="30"/>
      <x:c r="D36" s="58"/>
      <x:c r="E36" s="2"/>
    </x:row>
    <x:row r="37" spans="1:5" s="1" customFormat="1" ht="14" x14ac:dyDescent="0.3">
      <x:c r="A37" s="50"/>
      <x:c r="B37" s="53"/>
      <x:c r="C37" s="30"/>
      <x:c r="D37" s="58"/>
      <x:c r="E37" s="2"/>
    </x:row>
    <x:row r="38" spans="1:5" s="1" customFormat="1" ht="14" x14ac:dyDescent="0.3">
      <x:c r="A38" s="30"/>
      <x:c r="B38" s="53"/>
      <x:c r="C38" s="30"/>
      <x:c r="D38" s="58"/>
      <x:c r="E38" s="2"/>
    </x:row>
    <x:row r="39" spans="1:5" x14ac:dyDescent="0.35">
      <x:c r="A39" s="59"/>
      <x:c r="B39" s="30"/>
      <x:c r="C39" s="59"/>
      <x:c r="D39" s="61"/>
    </x:row>
    <x:row r="40" spans="1:5" x14ac:dyDescent="0.35">
      <x:c r="A40" s="59"/>
      <x:c r="B40" s="30"/>
      <x:c r="C40" s="59"/>
      <x:c r="D40" s="61"/>
    </x:row>
    <x:row r="41" spans="1:5" x14ac:dyDescent="0.35">
      <x:c r="A41" s="59"/>
      <x:c r="B41" s="59"/>
      <x:c r="C41" s="59"/>
      <x:c r="D41" s="61"/>
    </x:row>
    <x:row r="42" spans="1:5" x14ac:dyDescent="0.35">
      <x:c r="A42" s="59"/>
      <x:c r="B42" s="59"/>
      <x:c r="C42" s="59"/>
      <x:c r="D42" s="61"/>
    </x:row>
  </x:sheetData>
  <x:sortState xmlns:xlrd2="http://schemas.microsoft.com/office/spreadsheetml/2017/richdata2" ref="B10:E33">
    <x:sortCondition ref="E10:E33"/>
  </x:sortState>
  <x:mergeCells count="5">
    <x:mergeCell ref="B1:E1"/>
    <x:mergeCell ref="B2:E2"/>
    <x:mergeCell ref="B3:E3"/>
    <x:mergeCell ref="B4:E4"/>
    <x:mergeCell ref="B5:E5"/>
  </x:mergeCells>
  <x:printOptions horizontalCentered="1"/>
  <x:pageMargins left="0.35" right="0.35" top="1.5" bottom="0.5" header="0.3" footer="0.3"/>
  <x:pageSetup scale="75" orientation="landscape" r:id="rId1"/>
  <x:headerFooter>
    <x:oddHeader>&amp;R
Schedule V-K-8.1
Page 1 of 1</x:oddHeader>
  </x:headerFooter>
</x:worksheet>
</file>

<file path=xl/worksheets/sheet10.xml><?xml version="1.0" encoding="utf-8"?>
<x:worksheet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xmlns:x="http://schemas.openxmlformats.org/spreadsheetml/2006/main" xr:uid="{00000000-0001-0000-0900-000000000000}" mc:Ignorable="x14ac xr xr2 xr3">
  <x:dimension ref="A1:E18"/>
  <x:sheetViews>
    <x:sheetView view="pageBreakPreview" zoomScaleNormal="90" zoomScaleSheetLayoutView="100" workbookViewId="0">
      <x:selection activeCell="C11" sqref="C11"/>
    </x:sheetView>
  </x:sheetViews>
  <x:sheetFormatPr defaultColWidth="9.1796875" defaultRowHeight="15.5" x14ac:dyDescent="0.35"/>
  <x:cols>
    <x:col min="1" max="1" width="9.7265625" style="22" customWidth="1"/>
    <x:col min="2" max="2" width="14.81640625" style="22" customWidth="1"/>
    <x:col min="3" max="3" width="40.26953125" style="22" customWidth="1"/>
    <x:col min="4" max="4" width="15" style="22" customWidth="1"/>
    <x:col min="5" max="5" width="19" style="23" customWidth="1"/>
    <x:col min="6" max="16384" width="9.1796875" style="22"/>
  </x:cols>
  <x:sheetData>
    <x:row r="1" spans="1:5" x14ac:dyDescent="0.35">
      <x:c r="B1" s="168" t="s">
        <x:v>186</x:v>
      </x:c>
      <x:c r="C1" s="168"/>
      <x:c r="D1" s="168"/>
      <x:c r="E1" s="168"/>
    </x:row>
    <x:row r="2" spans="1:5" x14ac:dyDescent="0.35">
      <x:c r="B2" s="168" t="s">
        <x:v>11</x:v>
      </x:c>
      <x:c r="C2" s="168"/>
      <x:c r="D2" s="168"/>
      <x:c r="E2" s="168"/>
    </x:row>
    <x:row r="3" spans="1:5" x14ac:dyDescent="0.35">
      <x:c r="B3" s="168" t="s">
        <x:v>147</x:v>
      </x:c>
      <x:c r="C3" s="168"/>
      <x:c r="D3" s="168"/>
      <x:c r="E3" s="168"/>
    </x:row>
    <x:row r="4" spans="1:5" x14ac:dyDescent="0.35">
      <x:c r="B4" s="168" t="s">
        <x:v>187</x:v>
      </x:c>
      <x:c r="C4" s="168"/>
      <x:c r="D4" s="168"/>
      <x:c r="E4" s="168"/>
    </x:row>
    <x:row r="5" spans="1:5" x14ac:dyDescent="0.35">
      <x:c r="B5" s="168" t="s">
        <x:v>188</x:v>
      </x:c>
      <x:c r="C5" s="168"/>
      <x:c r="D5" s="168"/>
      <x:c r="E5" s="168"/>
    </x:row>
    <x:row r="7" spans="1:5" x14ac:dyDescent="0.35">
      <x:c r="D7" s="47"/>
      <x:c r="E7" s="47"/>
    </x:row>
    <x:row r="8" spans="1:5" s="1" customFormat="1" ht="14" x14ac:dyDescent="0.3">
      <x:c r="A8" s="57"/>
      <x:c r="B8" s="57"/>
      <x:c r="C8" s="57"/>
      <x:c r="D8" s="106"/>
      <x:c r="E8" s="57"/>
    </x:row>
    <x:row r="9" spans="1:5" s="1" customFormat="1" ht="14" x14ac:dyDescent="0.3">
      <x:c r="A9" s="50"/>
      <x:c r="B9" s="57"/>
      <x:c r="C9" s="57"/>
      <x:c r="D9" s="57"/>
      <x:c r="E9" s="57"/>
    </x:row>
    <x:row r="10" spans="1:5" s="1" customFormat="1" ht="14" x14ac:dyDescent="0.3">
      <x:c r="A10" s="52"/>
      <x:c r="B10" s="131" t="s">
        <x:v>145</x:v>
      </x:c>
      <x:c r="C10" s="54"/>
      <x:c r="D10" s="55"/>
      <x:c r="E10" s="56"/>
    </x:row>
    <x:row r="11" spans="1:5" s="1" customFormat="1" ht="14" x14ac:dyDescent="0.3">
      <x:c r="A11" s="52"/>
      <x:c r="B11" s="53"/>
      <x:c r="C11" s="57"/>
      <x:c r="D11" s="130"/>
      <x:c r="E11" s="56"/>
    </x:row>
    <x:row r="12" spans="1:5" s="1" customFormat="1" ht="14" x14ac:dyDescent="0.3">
      <x:c r="A12" s="52"/>
      <x:c r="B12" s="57"/>
      <x:c r="C12" s="53"/>
      <x:c r="D12" s="55"/>
      <x:c r="E12" s="57"/>
    </x:row>
    <x:row r="13" spans="1:5" s="1" customFormat="1" ht="14" x14ac:dyDescent="0.3">
      <x:c r="A13" s="30"/>
      <x:c r="B13" s="53"/>
      <x:c r="C13" s="30"/>
      <x:c r="D13" s="124"/>
      <x:c r="E13" s="53"/>
    </x:row>
    <x:row r="14" spans="1:5" s="1" customFormat="1" ht="14" x14ac:dyDescent="0.3">
      <x:c r="A14" s="30"/>
      <x:c r="B14" s="53"/>
      <x:c r="C14" s="30"/>
      <x:c r="D14" s="124"/>
      <x:c r="E14" s="53"/>
    </x:row>
    <x:row r="15" spans="1:5" s="1" customFormat="1" ht="14" x14ac:dyDescent="0.3">
      <x:c r="A15" s="30"/>
      <x:c r="B15" s="53"/>
      <x:c r="C15" s="30"/>
      <x:c r="D15" s="58"/>
      <x:c r="E15" s="2"/>
    </x:row>
    <x:row r="16" spans="1:5" x14ac:dyDescent="0.35">
      <x:c r="A16" s="59"/>
      <x:c r="B16" s="60"/>
      <x:c r="C16" s="59"/>
      <x:c r="D16" s="61"/>
    </x:row>
    <x:row r="17" spans="1:5" ht="80.25" customHeight="1" x14ac:dyDescent="0.35">
      <x:c r="A17" s="59"/>
      <x:c r="B17" s="170"/>
      <x:c r="C17" s="170"/>
      <x:c r="D17" s="170"/>
      <x:c r="E17" s="170"/>
    </x:row>
    <x:row r="18" spans="1:5" x14ac:dyDescent="0.35">
      <x:c r="A18" s="59"/>
      <x:c r="B18" s="59"/>
      <x:c r="C18" s="59"/>
      <x:c r="D18" s="61"/>
    </x:row>
  </x:sheetData>
  <x:mergeCells count="6">
    <x:mergeCell ref="B17:E17"/>
    <x:mergeCell ref="B1:E1"/>
    <x:mergeCell ref="B2:E2"/>
    <x:mergeCell ref="B3:E3"/>
    <x:mergeCell ref="B4:E4"/>
    <x:mergeCell ref="B5:E5"/>
  </x:mergeCells>
  <x:printOptions horizontalCentered="1"/>
  <x:pageMargins left="0.35" right="0.35" top="1.5" bottom="0.5" header="0.3" footer="0.3"/>
  <x:pageSetup scale="85" orientation="landscape" r:id="rId1"/>
  <x:headerFooter>
    <x:oddHeader>&amp;R
Schedule V-K-9
Page 1 of 1</x:oddHeader>
  </x:headerFooter>
</x:worksheet>
</file>

<file path=xl/worksheets/sheet11.xml><?xml version="1.0" encoding="utf-8"?>
<x:worksheet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xmlns:x="http://schemas.openxmlformats.org/spreadsheetml/2006/main" xr:uid="{00000000-0001-0000-0A00-000000000000}" mc:Ignorable="x14ac xr xr2 xr3">
  <x:dimension ref="A1:E18"/>
  <x:sheetViews>
    <x:sheetView view="pageBreakPreview" zoomScaleNormal="90" zoomScaleSheetLayoutView="100" workbookViewId="0">
      <x:selection activeCell="B7" sqref="B7"/>
    </x:sheetView>
  </x:sheetViews>
  <x:sheetFormatPr defaultColWidth="9.1796875" defaultRowHeight="15.5" x14ac:dyDescent="0.35"/>
  <x:cols>
    <x:col min="1" max="1" width="9.7265625" style="22" customWidth="1"/>
    <x:col min="2" max="2" width="14.81640625" style="22" customWidth="1"/>
    <x:col min="3" max="3" width="40.26953125" style="22" customWidth="1"/>
    <x:col min="4" max="4" width="15" style="22" customWidth="1"/>
    <x:col min="5" max="5" width="19" style="23" customWidth="1"/>
    <x:col min="6" max="16384" width="9.1796875" style="22"/>
  </x:cols>
  <x:sheetData>
    <x:row r="1" spans="1:5" x14ac:dyDescent="0.35">
      <x:c r="B1" s="168" t="s">
        <x:v>186</x:v>
      </x:c>
      <x:c r="C1" s="168"/>
      <x:c r="D1" s="168"/>
      <x:c r="E1" s="168"/>
    </x:row>
    <x:row r="2" spans="1:5" x14ac:dyDescent="0.35">
      <x:c r="B2" s="168" t="s">
        <x:v>11</x:v>
      </x:c>
      <x:c r="C2" s="168"/>
      <x:c r="D2" s="168"/>
      <x:c r="E2" s="168"/>
    </x:row>
    <x:row r="3" spans="1:5" x14ac:dyDescent="0.35">
      <x:c r="B3" s="168" t="s">
        <x:v>148</x:v>
      </x:c>
      <x:c r="C3" s="168"/>
      <x:c r="D3" s="168"/>
      <x:c r="E3" s="168"/>
    </x:row>
    <x:row r="4" spans="1:5" x14ac:dyDescent="0.35">
      <x:c r="B4" s="168" t="s">
        <x:v>187</x:v>
      </x:c>
      <x:c r="C4" s="168"/>
      <x:c r="D4" s="168"/>
      <x:c r="E4" s="168"/>
    </x:row>
    <x:row r="5" spans="1:5" x14ac:dyDescent="0.35">
      <x:c r="B5" s="168" t="s">
        <x:v>188</x:v>
      </x:c>
      <x:c r="C5" s="168"/>
      <x:c r="D5" s="168"/>
      <x:c r="E5" s="168"/>
    </x:row>
    <x:row r="7" spans="1:5" x14ac:dyDescent="0.35">
      <x:c r="D7" s="47"/>
      <x:c r="E7" s="47"/>
    </x:row>
    <x:row r="8" spans="1:5" s="1" customFormat="1" ht="14" x14ac:dyDescent="0.3">
      <x:c r="A8" s="57"/>
      <x:c r="B8" s="57"/>
      <x:c r="C8" s="57"/>
      <x:c r="D8" s="106"/>
      <x:c r="E8" s="57"/>
    </x:row>
    <x:row r="9" spans="1:5" s="1" customFormat="1" ht="14" x14ac:dyDescent="0.3">
      <x:c r="A9" s="50"/>
      <x:c r="B9" s="57"/>
      <x:c r="C9" s="57"/>
      <x:c r="D9" s="57"/>
      <x:c r="E9" s="57"/>
    </x:row>
    <x:row r="10" spans="1:5" s="1" customFormat="1" ht="14" x14ac:dyDescent="0.3">
      <x:c r="A10" s="52"/>
      <x:c r="B10" s="131" t="s">
        <x:v>145</x:v>
      </x:c>
      <x:c r="C10" s="54"/>
      <x:c r="D10" s="55"/>
      <x:c r="E10" s="56"/>
    </x:row>
    <x:row r="11" spans="1:5" s="1" customFormat="1" ht="14" x14ac:dyDescent="0.3">
      <x:c r="A11" s="52"/>
      <x:c r="B11" s="53"/>
      <x:c r="C11" s="57"/>
      <x:c r="D11" s="130"/>
      <x:c r="E11" s="56"/>
    </x:row>
    <x:row r="12" spans="1:5" s="1" customFormat="1" ht="14" x14ac:dyDescent="0.3">
      <x:c r="A12" s="52"/>
      <x:c r="B12" s="57"/>
      <x:c r="C12" s="53"/>
      <x:c r="D12" s="55"/>
      <x:c r="E12" s="57"/>
    </x:row>
    <x:row r="13" spans="1:5" s="1" customFormat="1" ht="14" x14ac:dyDescent="0.3">
      <x:c r="A13" s="30"/>
      <x:c r="B13" s="53"/>
      <x:c r="C13" s="30"/>
      <x:c r="D13" s="124"/>
      <x:c r="E13" s="53"/>
    </x:row>
    <x:row r="14" spans="1:5" s="1" customFormat="1" ht="14" x14ac:dyDescent="0.3">
      <x:c r="A14" s="30"/>
      <x:c r="B14" s="53"/>
      <x:c r="C14" s="30"/>
      <x:c r="D14" s="124"/>
      <x:c r="E14" s="53"/>
    </x:row>
    <x:row r="15" spans="1:5" s="1" customFormat="1" ht="14" x14ac:dyDescent="0.3">
      <x:c r="A15" s="30"/>
      <x:c r="B15" s="53"/>
      <x:c r="C15" s="30"/>
      <x:c r="D15" s="58"/>
      <x:c r="E15" s="2"/>
    </x:row>
    <x:row r="16" spans="1:5" x14ac:dyDescent="0.35">
      <x:c r="A16" s="59"/>
      <x:c r="B16" s="60"/>
      <x:c r="C16" s="59"/>
      <x:c r="D16" s="61"/>
    </x:row>
    <x:row r="17" spans="1:5" ht="80.25" customHeight="1" x14ac:dyDescent="0.35">
      <x:c r="A17" s="59"/>
      <x:c r="B17" s="170"/>
      <x:c r="C17" s="170"/>
      <x:c r="D17" s="170"/>
      <x:c r="E17" s="170"/>
    </x:row>
    <x:row r="18" spans="1:5" x14ac:dyDescent="0.35">
      <x:c r="A18" s="59"/>
      <x:c r="B18" s="59"/>
      <x:c r="C18" s="59"/>
      <x:c r="D18" s="61"/>
    </x:row>
  </x:sheetData>
  <x:mergeCells count="6">
    <x:mergeCell ref="B17:E17"/>
    <x:mergeCell ref="B1:E1"/>
    <x:mergeCell ref="B2:E2"/>
    <x:mergeCell ref="B3:E3"/>
    <x:mergeCell ref="B4:E4"/>
    <x:mergeCell ref="B5:E5"/>
  </x:mergeCells>
  <x:printOptions horizontalCentered="1"/>
  <x:pageMargins left="0.35" right="0.35" top="1.5" bottom="0.5" header="0.3" footer="0.3"/>
  <x:pageSetup scale="85" orientation="landscape" r:id="rId1"/>
  <x:headerFooter>
    <x:oddHeader>&amp;R
Schedule V-K-10
Page 1 of 1</x:oddHeader>
  </x:headerFooter>
</x:worksheet>
</file>

<file path=xl/worksheets/sheet12.xml><?xml version="1.0" encoding="utf-8"?>
<x:worksheet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xmlns:x="http://schemas.openxmlformats.org/spreadsheetml/2006/main" xr:uid="{00000000-0001-0000-0B00-000000000000}" mc:Ignorable="x14ac xr xr2 xr3">
  <x:sheetPr>
    <x:pageSetUpPr fitToPage="1"/>
  </x:sheetPr>
  <x:dimension ref="A1:E21"/>
  <x:sheetViews>
    <x:sheetView view="pageBreakPreview" zoomScale="90" zoomScaleNormal="90" zoomScaleSheetLayoutView="90" workbookViewId="0">
      <x:selection activeCell="B8" sqref="B8"/>
    </x:sheetView>
  </x:sheetViews>
  <x:sheetFormatPr defaultColWidth="9.1796875" defaultRowHeight="15.5" x14ac:dyDescent="0.35"/>
  <x:cols>
    <x:col min="1" max="1" width="9.1796875" style="22"/>
    <x:col min="2" max="2" width="37.1796875" style="22" customWidth="1"/>
    <x:col min="3" max="3" width="69.81640625" style="22" customWidth="1"/>
    <x:col min="4" max="4" width="16.26953125" style="22" customWidth="1"/>
    <x:col min="5" max="5" width="18.36328125" style="22" customWidth="1"/>
    <x:col min="6" max="16384" width="9.1796875" style="22"/>
  </x:cols>
  <x:sheetData>
    <x:row r="1" spans="1:5" x14ac:dyDescent="0.35">
      <x:c r="B1" s="168" t="s">
        <x:v>186</x:v>
      </x:c>
      <x:c r="C1" s="168"/>
      <x:c r="D1" s="168"/>
      <x:c r="E1" s="168"/>
    </x:row>
    <x:row r="2" spans="1:5" x14ac:dyDescent="0.35">
      <x:c r="B2" s="168" t="s">
        <x:v>11</x:v>
      </x:c>
      <x:c r="C2" s="168"/>
      <x:c r="D2" s="168"/>
      <x:c r="E2" s="168"/>
    </x:row>
    <x:row r="3" spans="1:5" x14ac:dyDescent="0.35">
      <x:c r="B3" s="168" t="s">
        <x:v>101</x:v>
      </x:c>
      <x:c r="C3" s="168"/>
      <x:c r="D3" s="168"/>
      <x:c r="E3" s="168"/>
    </x:row>
    <x:row r="4" spans="1:5" x14ac:dyDescent="0.35">
      <x:c r="B4" s="168" t="s">
        <x:v>187</x:v>
      </x:c>
      <x:c r="C4" s="168"/>
      <x:c r="D4" s="168"/>
      <x:c r="E4" s="168"/>
    </x:row>
    <x:row r="5" spans="1:5" x14ac:dyDescent="0.35">
      <x:c r="B5" s="168" t="s">
        <x:v>189</x:v>
      </x:c>
      <x:c r="C5" s="168"/>
      <x:c r="D5" s="168"/>
      <x:c r="E5" s="168"/>
    </x:row>
    <x:row r="6" spans="1:5" x14ac:dyDescent="0.35">
      <x:c r="B6" s="85"/>
      <x:c r="C6" s="85"/>
    </x:row>
    <x:row r="7" spans="1:5" x14ac:dyDescent="0.35">
      <x:c r="B7" s="85"/>
      <x:c r="C7" s="85"/>
      <x:c r="D7" s="17" t="s">
        <x:v>102</x:v>
      </x:c>
      <x:c r="E7" s="17" t="s">
        <x:v>212</x:v>
      </x:c>
    </x:row>
    <x:row r="8" spans="1:5" x14ac:dyDescent="0.35">
      <x:c r="D8" s="17" t="s">
        <x:v>103</x:v>
      </x:c>
      <x:c r="E8" s="17" t="s">
        <x:v>213</x:v>
      </x:c>
    </x:row>
    <x:row r="9" spans="1:5" s="1" customFormat="1" ht="14" x14ac:dyDescent="0.3">
      <x:c r="A9" s="18" t="s">
        <x:v>2</x:v>
      </x:c>
      <x:c r="B9" s="18" t="s">
        <x:v>3</x:v>
      </x:c>
      <x:c r="C9" s="18" t="s">
        <x:v>104</x:v>
      </x:c>
      <x:c r="D9" s="17" t="s">
        <x:v>105</x:v>
      </x:c>
      <x:c r="E9" s="17" t="s">
        <x:v>106</x:v>
      </x:c>
    </x:row>
    <x:row r="10" spans="1:5" s="1" customFormat="1" ht="48.75" customHeight="1" x14ac:dyDescent="0.3">
      <x:c r="A10" s="147">
        <x:v>1</x:v>
      </x:c>
      <x:c r="B10" s="36" t="s">
        <x:v>107</x:v>
      </x:c>
      <x:c r="C10" s="86" t="s">
        <x:v>185</x:v>
      </x:c>
      <x:c r="D10" s="87" t="s">
        <x:v>108</x:v>
      </x:c>
      <x:c r="E10" s="87" t="s">
        <x:v>108</x:v>
      </x:c>
    </x:row>
    <x:row r="11" spans="1:5" s="1" customFormat="1" ht="48.75" customHeight="1" x14ac:dyDescent="0.3">
      <x:c r="A11" s="147">
        <x:f>+A10+1</x:f>
        <x:v>2</x:v>
      </x:c>
      <x:c r="B11" s="36" t="s">
        <x:v>109</x:v>
      </x:c>
      <x:c r="C11" s="86" t="s">
        <x:v>185</x:v>
      </x:c>
      <x:c r="D11" s="87" t="s">
        <x:v>108</x:v>
      </x:c>
      <x:c r="E11" s="87" t="s">
        <x:v>108</x:v>
      </x:c>
    </x:row>
    <x:row r="12" spans="1:5" s="1" customFormat="1" ht="48.75" customHeight="1" x14ac:dyDescent="0.3">
      <x:c r="A12" s="147">
        <x:f>A11+1</x:f>
        <x:v>3</x:v>
      </x:c>
      <x:c r="B12" s="36" t="s">
        <x:v>209</x:v>
      </x:c>
      <x:c r="C12" s="86" t="s">
        <x:v>184</x:v>
      </x:c>
      <x:c r="D12" s="87" t="s">
        <x:v>108</x:v>
      </x:c>
      <x:c r="E12" s="87" t="s">
        <x:v>108</x:v>
      </x:c>
    </x:row>
    <x:row r="13" spans="1:5" s="1" customFormat="1" ht="40.5" customHeight="1" x14ac:dyDescent="0.3">
      <x:c r="A13" s="147">
        <x:f t="shared" ref="A13:A21" si="0">A12+1</x:f>
        <x:v>4</x:v>
      </x:c>
      <x:c r="B13" s="36" t="s">
        <x:v>210</x:v>
      </x:c>
      <x:c r="C13" s="86" t="s">
        <x:v>110</x:v>
      </x:c>
      <x:c r="D13" s="87" t="s">
        <x:v>108</x:v>
      </x:c>
      <x:c r="E13" s="87" t="s">
        <x:v>108</x:v>
      </x:c>
    </x:row>
    <x:row r="14" spans="1:5" s="1" customFormat="1" ht="42.75" customHeight="1" x14ac:dyDescent="0.3">
      <x:c r="A14" s="147">
        <x:f t="shared" si="0"/>
        <x:v>5</x:v>
      </x:c>
      <x:c r="B14" s="36" t="s">
        <x:v>111</x:v>
      </x:c>
      <x:c r="C14" s="86" t="s">
        <x:v>112</x:v>
      </x:c>
      <x:c r="D14" s="87" t="s">
        <x:v>108</x:v>
      </x:c>
      <x:c r="E14" s="87" t="s">
        <x:v>108</x:v>
      </x:c>
    </x:row>
    <x:row r="15" spans="1:5" s="1" customFormat="1" ht="62.25" customHeight="1" x14ac:dyDescent="0.3">
      <x:c r="A15" s="147">
        <x:f t="shared" si="0"/>
        <x:v>6</x:v>
      </x:c>
      <x:c r="B15" s="36" t="s">
        <x:v>286</x:v>
      </x:c>
      <x:c r="C15" s="86" t="s">
        <x:v>176</x:v>
      </x:c>
      <x:c r="D15" s="87" t="s">
        <x:v>113</x:v>
      </x:c>
      <x:c r="E15" s="87" t="s">
        <x:v>113</x:v>
      </x:c>
    </x:row>
    <x:row r="16" spans="1:5" s="1" customFormat="1" ht="62.25" customHeight="1" x14ac:dyDescent="0.3">
      <x:c r="A16" s="147">
        <x:f t="shared" si="0"/>
        <x:v>7</x:v>
      </x:c>
      <x:c r="B16" s="36" t="s">
        <x:v>174</x:v>
      </x:c>
      <x:c r="C16" s="86" t="s">
        <x:v>177</x:v>
      </x:c>
      <x:c r="D16" s="87" t="s">
        <x:v>113</x:v>
      </x:c>
      <x:c r="E16" s="87" t="s">
        <x:v>113</x:v>
      </x:c>
    </x:row>
    <x:row r="17" spans="1:5" s="1" customFormat="1" ht="93" customHeight="1" x14ac:dyDescent="0.3">
      <x:c r="A17" s="147">
        <x:f t="shared" si="0"/>
        <x:v>8</x:v>
      </x:c>
      <x:c r="B17" s="36" t="s">
        <x:v>175</x:v>
      </x:c>
      <x:c r="C17" s="86" t="s">
        <x:v>178</x:v>
      </x:c>
      <x:c r="D17" s="87" t="s">
        <x:v>114</x:v>
      </x:c>
      <x:c r="E17" s="87" t="s">
        <x:v>114</x:v>
      </x:c>
    </x:row>
    <x:row r="18" spans="1:5" s="1" customFormat="1" ht="33.5" customHeight="1" x14ac:dyDescent="0.3">
      <x:c r="A18" s="147">
        <x:f t="shared" si="0"/>
        <x:v>9</x:v>
      </x:c>
      <x:c r="B18" s="36" t="s">
        <x:v>205</x:v>
      </x:c>
      <x:c r="C18" s="86" t="s">
        <x:v>206</x:v>
      </x:c>
      <x:c r="D18" s="87" t="s">
        <x:v>211</x:v>
      </x:c>
      <x:c r="E18" s="87" t="s">
        <x:v>211</x:v>
      </x:c>
    </x:row>
    <x:row r="19" spans="1:5" s="1" customFormat="1" ht="61.5" customHeight="1" x14ac:dyDescent="0.3">
      <x:c r="A19" s="147">
        <x:f t="shared" si="0"/>
        <x:v>10</x:v>
      </x:c>
      <x:c r="B19" s="36" t="s">
        <x:v>272</x:v>
      </x:c>
      <x:c r="C19" s="86" t="s">
        <x:v>302</x:v>
      </x:c>
      <x:c r="D19" s="87" t="s">
        <x:v>211</x:v>
      </x:c>
      <x:c r="E19" s="87" t="s">
        <x:v>211</x:v>
      </x:c>
    </x:row>
    <x:row r="20" spans="1:5" s="1" customFormat="1" ht="65.25" customHeight="1" x14ac:dyDescent="0.3">
      <x:c r="A20" s="147">
        <x:f t="shared" si="0"/>
        <x:v>11</x:v>
      </x:c>
      <x:c r="B20" s="36" t="s">
        <x:v>34</x:v>
      </x:c>
      <x:c r="C20" s="86" t="s">
        <x:v>115</x:v>
      </x:c>
      <x:c r="D20" s="87" t="s">
        <x:v>108</x:v>
      </x:c>
      <x:c r="E20" s="87" t="s">
        <x:v>108</x:v>
      </x:c>
    </x:row>
    <x:row r="21" spans="1:5" s="1" customFormat="1" ht="49" customHeight="1" x14ac:dyDescent="0.3">
      <x:c r="A21" s="147">
        <x:f t="shared" si="0"/>
        <x:v>12</x:v>
      </x:c>
      <x:c r="B21" s="36" t="s">
        <x:v>207</x:v>
      </x:c>
      <x:c r="C21" s="86" t="s">
        <x:v>208</x:v>
      </x:c>
      <x:c r="D21" s="87" t="s">
        <x:v>108</x:v>
      </x:c>
      <x:c r="E21" s="87" t="s">
        <x:v>108</x:v>
      </x:c>
    </x:row>
  </x:sheetData>
  <x:mergeCells count="5">
    <x:mergeCell ref="B1:E1"/>
    <x:mergeCell ref="B2:E2"/>
    <x:mergeCell ref="B3:E3"/>
    <x:mergeCell ref="B4:E4"/>
    <x:mergeCell ref="B5:E5"/>
  </x:mergeCells>
  <x:printOptions horizontalCentered="1"/>
  <x:pageMargins left="0.35" right="0.35" top="1.5" bottom="0.5" header="0.3" footer="0.3"/>
  <x:pageSetup scale="86" fitToHeight="2" orientation="landscape" r:id="rId1"/>
  <x:headerFooter>
    <x:oddHeader>&amp;R
Schedule V-K-11
Page &amp;P of &amp;N</x:oddHeader>
  </x:headerFooter>
</x:worksheet>
</file>

<file path=xl/worksheets/sheet13.xml><?xml version="1.0" encoding="utf-8"?>
<x:worksheet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xmlns:x="http://schemas.openxmlformats.org/spreadsheetml/2006/main" xr:uid="{00000000-0001-0000-0C00-000000000000}" mc:Ignorable="x14ac xr xr2 xr3">
  <x:dimension ref="A1:H41"/>
  <x:sheetViews>
    <x:sheetView view="pageBreakPreview" zoomScaleNormal="90" zoomScaleSheetLayoutView="100" workbookViewId="0">
      <x:selection activeCell="B8" sqref="B8"/>
    </x:sheetView>
  </x:sheetViews>
  <x:sheetFormatPr defaultColWidth="9.1796875" defaultRowHeight="15.5" x14ac:dyDescent="0.35"/>
  <x:cols>
    <x:col min="1" max="1" width="9.1796875" style="22"/>
    <x:col min="2" max="2" width="35.1796875" style="22" customWidth="1"/>
    <x:col min="3" max="3" width="38.453125" style="22" customWidth="1"/>
    <x:col min="4" max="4" width="17.54296875" style="22" customWidth="1"/>
    <x:col min="5" max="6" width="14.7265625" style="22" customWidth="1"/>
    <x:col min="7" max="7" width="17.453125" style="22" customWidth="1"/>
    <x:col min="8" max="8" width="12.7265625" style="22" customWidth="1"/>
    <x:col min="9" max="16384" width="9.1796875" style="22"/>
  </x:cols>
  <x:sheetData>
    <x:row r="1" spans="1:8" x14ac:dyDescent="0.35">
      <x:c r="B1" s="168" t="s">
        <x:v>186</x:v>
      </x:c>
      <x:c r="C1" s="168"/>
      <x:c r="D1" s="168"/>
      <x:c r="E1" s="168"/>
      <x:c r="F1" s="168"/>
      <x:c r="G1" s="168"/>
      <x:c r="H1" s="132"/>
    </x:row>
    <x:row r="2" spans="1:8" x14ac:dyDescent="0.35">
      <x:c r="B2" s="168" t="s">
        <x:v>11</x:v>
      </x:c>
      <x:c r="C2" s="168"/>
      <x:c r="D2" s="168"/>
      <x:c r="E2" s="168"/>
      <x:c r="F2" s="168"/>
      <x:c r="G2" s="168"/>
      <x:c r="H2" s="132"/>
    </x:row>
    <x:row r="3" spans="1:8" x14ac:dyDescent="0.35">
      <x:c r="B3" s="168" t="s">
        <x:v>116</x:v>
      </x:c>
      <x:c r="C3" s="168"/>
      <x:c r="D3" s="168"/>
      <x:c r="E3" s="168"/>
      <x:c r="F3" s="168"/>
      <x:c r="G3" s="168"/>
      <x:c r="H3" s="132"/>
    </x:row>
    <x:row r="4" spans="1:8" x14ac:dyDescent="0.35">
      <x:c r="B4" s="168" t="s">
        <x:v>187</x:v>
      </x:c>
      <x:c r="C4" s="168"/>
      <x:c r="D4" s="168"/>
      <x:c r="E4" s="168"/>
      <x:c r="F4" s="168"/>
      <x:c r="G4" s="168"/>
      <x:c r="H4" s="132"/>
    </x:row>
    <x:row r="5" spans="1:8" x14ac:dyDescent="0.35">
      <x:c r="B5" s="168" t="s">
        <x:v>188</x:v>
      </x:c>
      <x:c r="C5" s="168"/>
      <x:c r="D5" s="168"/>
      <x:c r="E5" s="168"/>
      <x:c r="F5" s="168"/>
      <x:c r="G5" s="168"/>
      <x:c r="H5" s="132"/>
    </x:row>
    <x:row r="6" spans="1:8" x14ac:dyDescent="0.35">
      <x:c r="B6" s="85"/>
      <x:c r="C6" s="85"/>
      <x:c r="D6" s="85"/>
      <x:c r="E6" s="85"/>
      <x:c r="F6" s="85"/>
      <x:c r="G6" s="85"/>
    </x:row>
    <x:row r="7" spans="1:8" x14ac:dyDescent="0.35">
      <x:c r="B7" s="85"/>
      <x:c r="C7" s="85"/>
      <x:c r="D7" s="88"/>
      <x:c r="E7" s="88"/>
      <x:c r="F7" s="89" t="s">
        <x:v>117</x:v>
      </x:c>
      <x:c r="G7" s="85"/>
    </x:row>
    <x:row r="8" spans="1:8" x14ac:dyDescent="0.35">
      <x:c r="B8" s="85"/>
      <x:c r="C8" s="85"/>
      <x:c r="D8" s="89" t="s">
        <x:v>117</x:v>
      </x:c>
      <x:c r="E8" s="89" t="s">
        <x:v>117</x:v>
      </x:c>
      <x:c r="F8" s="89" t="s">
        <x:v>118</x:v>
      </x:c>
      <x:c r="G8" s="85"/>
    </x:row>
    <x:row r="9" spans="1:8" x14ac:dyDescent="0.35">
      <x:c r="A9" s="2"/>
      <x:c r="D9" s="17" t="s">
        <x:v>119</x:v>
      </x:c>
      <x:c r="E9" s="17" t="s">
        <x:v>120</x:v>
      </x:c>
      <x:c r="F9" s="17" t="s">
        <x:v>119</x:v>
      </x:c>
      <x:c r="G9" s="17" t="s">
        <x:v>6</x:v>
      </x:c>
      <x:c r="H9" s="57"/>
    </x:row>
    <x:row r="10" spans="1:8" s="1" customFormat="1" ht="14" x14ac:dyDescent="0.3">
      <x:c r="A10" s="18" t="s">
        <x:v>2</x:v>
      </x:c>
      <x:c r="B10" s="18" t="s">
        <x:v>3</x:v>
      </x:c>
      <x:c r="C10" s="90" t="s">
        <x:v>18</x:v>
      </x:c>
      <x:c r="D10" s="90" t="s">
        <x:v>121</x:v>
      </x:c>
      <x:c r="E10" s="90" t="s">
        <x:v>122</x:v>
      </x:c>
      <x:c r="F10" s="90" t="s">
        <x:v>123</x:v>
      </x:c>
      <x:c r="G10" s="90" t="s">
        <x:v>117</x:v>
      </x:c>
      <x:c r="H10" s="57"/>
    </x:row>
    <x:row r="11" spans="1:8" s="1" customFormat="1" ht="15.75" customHeight="1" x14ac:dyDescent="0.3">
      <x:c r="A11" s="2">
        <x:v>1</x:v>
      </x:c>
      <x:c r="B11" s="91" t="s">
        <x:v>30</x:v>
      </x:c>
      <x:c r="C11" s="37" t="s">
        <x:v>124</x:v>
      </x:c>
      <x:c r="D11" s="92">
        <x:f>+'V-K-1'!F11</x:f>
        <x:v>30000</x:v>
      </x:c>
      <x:c r="E11" s="37"/>
      <x:c r="F11" s="37"/>
      <x:c r="G11" s="92">
        <x:f>SUM(D11:F11)</x:f>
        <x:v>30000</x:v>
      </x:c>
      <x:c r="H11" s="93"/>
    </x:row>
    <x:row r="12" spans="1:8" s="1" customFormat="1" ht="15.75" customHeight="1" x14ac:dyDescent="0.3">
      <x:c r="A12" s="2">
        <x:f>A11+1</x:f>
        <x:v>2</x:v>
      </x:c>
      <x:c r="B12" s="43"/>
      <x:c r="C12" s="37" t="s">
        <x:v>20</x:v>
      </x:c>
      <x:c r="D12" s="94">
        <x:f>+'V-K-1'!F12</x:f>
        <x:v>48000</x:v>
      </x:c>
      <x:c r="E12" s="37"/>
      <x:c r="F12" s="37"/>
      <x:c r="G12" s="94">
        <x:f>SUM(D12:F12)</x:f>
        <x:v>48000</x:v>
      </x:c>
      <x:c r="H12" s="93"/>
    </x:row>
    <x:row r="13" spans="1:8" s="1" customFormat="1" ht="15.75" customHeight="1" x14ac:dyDescent="0.3">
      <x:c r="A13" s="2">
        <x:f>A12+1</x:f>
        <x:v>3</x:v>
      </x:c>
      <x:c r="B13" s="43"/>
      <x:c r="C13" s="37" t="s">
        <x:v>125</x:v>
      </x:c>
      <x:c r="D13" s="94">
        <x:f>+'V-K-1'!F13</x:f>
        <x:v>30000</x:v>
      </x:c>
      <x:c r="E13" s="37"/>
      <x:c r="F13" s="37"/>
      <x:c r="G13" s="94">
        <x:f>SUM(D13:F13)</x:f>
        <x:v>30000</x:v>
      </x:c>
      <x:c r="H13" s="93"/>
    </x:row>
    <x:row r="14" spans="1:8" s="98" customFormat="1" ht="15.75" customHeight="1" x14ac:dyDescent="0.3">
      <x:c r="A14" s="2">
        <x:f t="shared" ref="A14:A41" si="0">A13+1</x:f>
        <x:v>4</x:v>
      </x:c>
      <x:c r="B14" s="95"/>
      <x:c r="C14" s="95" t="s">
        <x:v>308</x:v>
      </x:c>
      <x:c r="D14" s="96">
        <x:f>+D11+D12+D13</x:f>
        <x:v>108000</x:v>
      </x:c>
      <x:c r="E14" s="96">
        <x:f t="shared" ref="E14:F14" si="1">+E11+E12+E13</x:f>
        <x:v>0</x:v>
      </x:c>
      <x:c r="F14" s="96">
        <x:f t="shared" si="1"/>
        <x:v>0</x:v>
      </x:c>
      <x:c r="G14" s="96">
        <x:f>+G11+G12+G13</x:f>
        <x:v>108000</x:v>
      </x:c>
      <x:c r="H14" s="97"/>
    </x:row>
    <x:row r="15" spans="1:8" s="98" customFormat="1" ht="15.75" customHeight="1" x14ac:dyDescent="0.3">
      <x:c r="A15" s="2">
        <x:f t="shared" si="0"/>
        <x:v>5</x:v>
      </x:c>
      <x:c r="B15" s="99"/>
      <x:c r="C15" s="99"/>
      <x:c r="D15" s="100"/>
      <x:c r="E15" s="101"/>
      <x:c r="F15" s="101"/>
      <x:c r="G15" s="100"/>
      <x:c r="H15" s="97"/>
    </x:row>
    <x:row r="16" spans="1:8" s="1" customFormat="1" ht="14" x14ac:dyDescent="0.3">
      <x:c r="A16" s="2">
        <x:f t="shared" si="0"/>
        <x:v>6</x:v>
      </x:c>
      <x:c r="B16" s="91" t="s">
        <x:v>31</x:v>
      </x:c>
      <x:c r="C16" s="37" t="s">
        <x:v>214</x:v>
      </x:c>
      <x:c r="D16" s="94">
        <x:f>+'V-K-1'!F20</x:f>
        <x:v>1386652</x:v>
      </x:c>
      <x:c r="E16" s="94"/>
      <x:c r="F16" s="94"/>
      <x:c r="G16" s="94">
        <x:f>SUM(D16:F16)</x:f>
        <x:v>1386652</x:v>
      </x:c>
    </x:row>
    <x:row r="17" spans="1:8" s="98" customFormat="1" ht="14" x14ac:dyDescent="0.3">
      <x:c r="A17" s="2">
        <x:f t="shared" si="0"/>
        <x:v>7</x:v>
      </x:c>
      <x:c r="B17" s="102"/>
      <x:c r="C17" s="102" t="s">
        <x:v>126</x:v>
      </x:c>
      <x:c r="D17" s="103">
        <x:f>+D16</x:f>
        <x:v>1386652</x:v>
      </x:c>
      <x:c r="E17" s="103">
        <x:f t="shared" ref="E17:F17" si="2">+E16</x:f>
        <x:v>0</x:v>
      </x:c>
      <x:c r="F17" s="103">
        <x:f t="shared" si="2"/>
        <x:v>0</x:v>
      </x:c>
      <x:c r="G17" s="96">
        <x:f>+G16</x:f>
        <x:v>1386652</x:v>
      </x:c>
    </x:row>
    <x:row r="18" spans="1:8" x14ac:dyDescent="0.35">
      <x:c r="A18" s="2">
        <x:f t="shared" si="0"/>
        <x:v>8</x:v>
      </x:c>
      <x:c r="C18" s="1"/>
    </x:row>
    <x:row r="19" spans="1:8" x14ac:dyDescent="0.35">
      <x:c r="A19" s="2">
        <x:f t="shared" si="0"/>
        <x:v>9</x:v>
      </x:c>
      <x:c r="B19" s="91" t="s">
        <x:v>31</x:v>
      </x:c>
      <x:c r="C19" s="37" t="s">
        <x:v>26</x:v>
      </x:c>
      <x:c r="D19" s="94">
        <x:f>+'V-K-1'!F22</x:f>
        <x:v>216838</x:v>
      </x:c>
      <x:c r="E19" s="94"/>
      <x:c r="F19" s="94"/>
      <x:c r="G19" s="94">
        <x:f>+D19+E19+F19</x:f>
        <x:v>216838</x:v>
      </x:c>
    </x:row>
    <x:row r="20" spans="1:8" s="104" customFormat="1" x14ac:dyDescent="0.35">
      <x:c r="A20" s="2">
        <x:f t="shared" si="0"/>
        <x:v>10</x:v>
      </x:c>
      <x:c r="B20" s="102"/>
      <x:c r="C20" s="102" t="s">
        <x:v>127</x:v>
      </x:c>
      <x:c r="D20" s="103">
        <x:f>+D19</x:f>
        <x:v>216838</x:v>
      </x:c>
      <x:c r="E20" s="103">
        <x:f t="shared" ref="E20:F20" si="3">+E19</x:f>
        <x:v>0</x:v>
      </x:c>
      <x:c r="F20" s="103">
        <x:f t="shared" si="3"/>
        <x:v>0</x:v>
      </x:c>
      <x:c r="G20" s="96">
        <x:f>+G19</x:f>
        <x:v>216838</x:v>
      </x:c>
    </x:row>
    <x:row r="21" spans="1:8" x14ac:dyDescent="0.35">
      <x:c r="A21" s="2">
        <x:f t="shared" si="0"/>
        <x:v>11</x:v>
      </x:c>
    </x:row>
    <x:row r="22" spans="1:8" x14ac:dyDescent="0.35">
      <x:c r="A22" s="2">
        <x:f t="shared" si="0"/>
        <x:v>12</x:v>
      </x:c>
      <x:c r="B22" s="91" t="s">
        <x:v>32</x:v>
      </x:c>
      <x:c r="C22" s="37" t="s">
        <x:v>27</x:v>
      </x:c>
      <x:c r="D22" s="94">
        <x:f>+'V-K-1'!F24</x:f>
        <x:v>16670575</x:v>
      </x:c>
      <x:c r="E22" s="94"/>
      <x:c r="F22" s="94"/>
      <x:c r="G22" s="94">
        <x:f>SUM(D22:F22)</x:f>
        <x:v>16670575</x:v>
      </x:c>
    </x:row>
    <x:row r="23" spans="1:8" s="104" customFormat="1" x14ac:dyDescent="0.35">
      <x:c r="A23" s="2">
        <x:f t="shared" si="0"/>
        <x:v>13</x:v>
      </x:c>
      <x:c r="B23" s="102"/>
      <x:c r="C23" s="102" t="s">
        <x:v>179</x:v>
      </x:c>
      <x:c r="D23" s="103">
        <x:f>+D22</x:f>
        <x:v>16670575</x:v>
      </x:c>
      <x:c r="E23" s="103">
        <x:f t="shared" ref="E23:F23" si="4">+E22</x:f>
        <x:v>0</x:v>
      </x:c>
      <x:c r="F23" s="103">
        <x:f t="shared" si="4"/>
        <x:v>0</x:v>
      </x:c>
      <x:c r="G23" s="96">
        <x:f>+G22</x:f>
        <x:v>16670575</x:v>
      </x:c>
    </x:row>
    <x:row r="24" spans="1:8" x14ac:dyDescent="0.35">
      <x:c r="A24" s="2">
        <x:f t="shared" si="0"/>
        <x:v>14</x:v>
      </x:c>
    </x:row>
    <x:row r="25" spans="1:8" x14ac:dyDescent="0.35">
      <x:c r="A25" s="2">
        <x:f t="shared" si="0"/>
        <x:v>15</x:v>
      </x:c>
      <x:c r="B25" s="91" t="s">
        <x:v>32</x:v>
      </x:c>
      <x:c r="C25" s="37" t="s">
        <x:v>28</x:v>
      </x:c>
      <x:c r="D25" s="94">
        <x:f>+'V-K-1'!F26</x:f>
        <x:v>58040589</x:v>
      </x:c>
      <x:c r="E25" s="94"/>
      <x:c r="F25" s="94"/>
      <x:c r="G25" s="94">
        <x:f>SUM(D25:F25)</x:f>
        <x:v>58040589</x:v>
      </x:c>
    </x:row>
    <x:row r="26" spans="1:8" x14ac:dyDescent="0.35">
      <x:c r="A26" s="2">
        <x:f t="shared" si="0"/>
        <x:v>16</x:v>
      </x:c>
      <x:c r="B26" s="105"/>
      <x:c r="C26" s="37" t="s">
        <x:v>29</x:v>
      </x:c>
      <x:c r="D26" s="94">
        <x:f>+'V-K-1'!F27</x:f>
        <x:v>15382470.5</x:v>
      </x:c>
      <x:c r="E26" s="94"/>
      <x:c r="F26" s="94"/>
      <x:c r="G26" s="94">
        <x:f>SUM(D26:F26)</x:f>
        <x:v>15382470.5</x:v>
      </x:c>
    </x:row>
    <x:row r="27" spans="1:8" s="104" customFormat="1" x14ac:dyDescent="0.35">
      <x:c r="A27" s="2">
        <x:f t="shared" si="0"/>
        <x:v>17</x:v>
      </x:c>
      <x:c r="B27" s="102"/>
      <x:c r="C27" s="102" t="s">
        <x:v>180</x:v>
      </x:c>
      <x:c r="D27" s="96">
        <x:f>+D25+D26</x:f>
        <x:v>73423059.5</x:v>
      </x:c>
      <x:c r="E27" s="96">
        <x:f t="shared" ref="E27:F27" si="5">+E25+E26</x:f>
        <x:v>0</x:v>
      </x:c>
      <x:c r="F27" s="96">
        <x:f t="shared" si="5"/>
        <x:v>0</x:v>
      </x:c>
      <x:c r="G27" s="96">
        <x:f>+G25+G26</x:f>
        <x:v>73423059.5</x:v>
      </x:c>
    </x:row>
    <x:row r="28" spans="1:8" x14ac:dyDescent="0.35">
      <x:c r="A28" s="2">
        <x:f t="shared" si="0"/>
        <x:v>18</x:v>
      </x:c>
      <x:c r="H28" s="57"/>
    </x:row>
    <x:row r="29" spans="1:8" x14ac:dyDescent="0.35">
      <x:c r="A29" s="2">
        <x:f t="shared" si="0"/>
        <x:v>19</x:v>
      </x:c>
      <x:c r="B29" s="91" t="s">
        <x:v>195</x:v>
      </x:c>
      <x:c r="C29" s="37" t="s">
        <x:v>216</x:v>
      </x:c>
      <x:c r="D29" s="94">
        <x:f>+'V-K-1'!F35-4750-1323+4250</x:f>
        <x:v>36834</x:v>
      </x:c>
      <x:c r="E29" s="94">
        <x:f>4750+1323-4250</x:f>
        <x:v>1823</x:v>
      </x:c>
      <x:c r="F29" s="94"/>
      <x:c r="G29" s="94">
        <x:f>SUM(D29:F29)</x:f>
        <x:v>38657</x:v>
      </x:c>
      <x:c r="H29" s="57"/>
    </x:row>
    <x:row r="30" spans="1:8" x14ac:dyDescent="0.35">
      <x:c r="A30" s="2">
        <x:f t="shared" si="0"/>
        <x:v>20</x:v>
      </x:c>
      <x:c r="B30" s="102"/>
      <x:c r="C30" s="102" t="s">
        <x:v>217</x:v>
      </x:c>
      <x:c r="D30" s="103">
        <x:f>+D29</x:f>
        <x:v>36834</x:v>
      </x:c>
      <x:c r="E30" s="103">
        <x:f t="shared" ref="E30:F30" si="6">+E29</x:f>
        <x:v>1823</x:v>
      </x:c>
      <x:c r="F30" s="103">
        <x:f t="shared" si="6"/>
        <x:v>0</x:v>
      </x:c>
      <x:c r="G30" s="96">
        <x:f>+G29</x:f>
        <x:v>38657</x:v>
      </x:c>
      <x:c r="H30" s="57"/>
    </x:row>
    <x:row r="31" spans="1:8" x14ac:dyDescent="0.35">
      <x:c r="A31" s="2">
        <x:f t="shared" si="0"/>
        <x:v>21</x:v>
      </x:c>
      <x:c r="H31" s="57"/>
    </x:row>
    <x:row r="32" spans="1:8" x14ac:dyDescent="0.35">
      <x:c r="A32" s="2">
        <x:f t="shared" si="0"/>
        <x:v>22</x:v>
      </x:c>
      <x:c r="B32" s="91" t="s">
        <x:v>266</x:v>
      </x:c>
      <x:c r="C32" s="37" t="s">
        <x:v>268</x:v>
      </x:c>
      <x:c r="D32" s="94">
        <x:f>+'V-K-1'!F38</x:f>
        <x:v>155503</x:v>
      </x:c>
      <x:c r="E32" s="94"/>
      <x:c r="F32" s="94"/>
      <x:c r="G32" s="94">
        <x:f>SUM(D32:F32)</x:f>
        <x:v>155503</x:v>
      </x:c>
      <x:c r="H32" s="57"/>
    </x:row>
    <x:row r="33" spans="1:8" x14ac:dyDescent="0.35">
      <x:c r="A33" s="2">
        <x:f t="shared" si="0"/>
        <x:v>23</x:v>
      </x:c>
      <x:c r="B33" s="102"/>
      <x:c r="C33" s="102" t="s">
        <x:v>283</x:v>
      </x:c>
      <x:c r="D33" s="103">
        <x:f>+D32</x:f>
        <x:v>155503</x:v>
      </x:c>
      <x:c r="E33" s="103">
        <x:f t="shared" ref="E33:F33" si="7">+E32</x:f>
        <x:v>0</x:v>
      </x:c>
      <x:c r="F33" s="103">
        <x:f t="shared" si="7"/>
        <x:v>0</x:v>
      </x:c>
      <x:c r="G33" s="96">
        <x:f>+G32</x:f>
        <x:v>155503</x:v>
      </x:c>
      <x:c r="H33" s="57"/>
    </x:row>
    <x:row r="34" spans="1:8" x14ac:dyDescent="0.35">
      <x:c r="A34" s="2">
        <x:f t="shared" si="0"/>
        <x:v>24</x:v>
      </x:c>
      <x:c r="H34" s="57"/>
    </x:row>
    <x:row r="35" spans="1:8" x14ac:dyDescent="0.35">
      <x:c r="A35" s="2">
        <x:f t="shared" si="0"/>
        <x:v>25</x:v>
      </x:c>
      <x:c r="B35" s="91" t="s">
        <x:v>33</x:v>
      </x:c>
      <x:c r="C35" s="37" t="s">
        <x:v>34</x:v>
      </x:c>
      <x:c r="D35" s="94">
        <x:f>+'V-K-1'!F42</x:f>
        <x:v>77227</x:v>
      </x:c>
      <x:c r="E35" s="94"/>
      <x:c r="F35" s="94"/>
      <x:c r="G35" s="94">
        <x:f>SUM(D35:F35)</x:f>
        <x:v>77227</x:v>
      </x:c>
      <x:c r="H35" s="133"/>
    </x:row>
    <x:row r="36" spans="1:8" x14ac:dyDescent="0.35">
      <x:c r="A36" s="2">
        <x:f t="shared" si="0"/>
        <x:v>26</x:v>
      </x:c>
      <x:c r="B36" s="102"/>
      <x:c r="C36" s="102" t="s">
        <x:v>129</x:v>
      </x:c>
      <x:c r="D36" s="103">
        <x:f>+D35</x:f>
        <x:v>77227</x:v>
      </x:c>
      <x:c r="E36" s="103">
        <x:f t="shared" ref="E36:F36" si="8">+E35</x:f>
        <x:v>0</x:v>
      </x:c>
      <x:c r="F36" s="103">
        <x:f t="shared" si="8"/>
        <x:v>0</x:v>
      </x:c>
      <x:c r="G36" s="96">
        <x:f>+G35</x:f>
        <x:v>77227</x:v>
      </x:c>
      <x:c r="H36" s="134"/>
    </x:row>
    <x:row r="37" spans="1:8" ht="14.25" customHeight="1" x14ac:dyDescent="0.35">
      <x:c r="A37" s="2">
        <x:f t="shared" si="0"/>
        <x:v>27</x:v>
      </x:c>
    </x:row>
    <x:row r="38" spans="1:8" ht="14.25" customHeight="1" x14ac:dyDescent="0.35">
      <x:c r="A38" s="2">
        <x:f t="shared" si="0"/>
        <x:v>28</x:v>
      </x:c>
      <x:c r="B38" s="91" t="s">
        <x:v>294</x:v>
      </x:c>
      <x:c r="C38" s="37" t="s">
        <x:v>207</x:v>
      </x:c>
      <x:c r="D38" s="94">
        <x:f>+'V-K-1'!F45</x:f>
        <x:v>6733012</x:v>
      </x:c>
      <x:c r="E38" s="94"/>
      <x:c r="F38" s="94"/>
      <x:c r="G38" s="94">
        <x:f>SUM(D38:F38)</x:f>
        <x:v>6733012</x:v>
      </x:c>
    </x:row>
    <x:row r="39" spans="1:8" ht="14.25" customHeight="1" x14ac:dyDescent="0.35">
      <x:c r="A39" s="2">
        <x:f t="shared" si="0"/>
        <x:v>29</x:v>
      </x:c>
      <x:c r="B39" s="102"/>
      <x:c r="C39" s="102" t="s">
        <x:v>215</x:v>
      </x:c>
      <x:c r="D39" s="103">
        <x:f>+D38</x:f>
        <x:v>6733012</x:v>
      </x:c>
      <x:c r="E39" s="164">
        <x:v>0</x:v>
      </x:c>
      <x:c r="F39" s="165">
        <x:v>0</x:v>
      </x:c>
      <x:c r="G39" s="96">
        <x:f>+G38</x:f>
        <x:v>6733012</x:v>
      </x:c>
    </x:row>
    <x:row r="40" spans="1:8" ht="14.25" customHeight="1" x14ac:dyDescent="0.35">
      <x:c r="A40" s="2">
        <x:f t="shared" si="0"/>
        <x:v>30</x:v>
      </x:c>
    </x:row>
    <x:row r="41" spans="1:8" x14ac:dyDescent="0.35">
      <x:c r="A41" s="2">
        <x:f t="shared" si="0"/>
        <x:v>31</x:v>
      </x:c>
      <x:c r="B41" s="17" t="s">
        <x:v>153</x:v>
      </x:c>
      <x:c r="D41" s="135">
        <x:f>+D14+D17+D20+D23+D27+D30+D36+D39+D33</x:f>
        <x:v>98807700.5</x:v>
      </x:c>
      <x:c r="E41" s="135">
        <x:f>+E14+E17+E20+E23+E27+E30+E36+E39+E33</x:f>
        <x:v>1823</x:v>
      </x:c>
      <x:c r="F41" s="135">
        <x:f t="shared" ref="F41:G41" si="9">+F14+F17+F20+F23+F27+F30+F36+F39+F33</x:f>
        <x:v>0</x:v>
      </x:c>
      <x:c r="G41" s="135">
        <x:f t="shared" si="9"/>
        <x:v>98809523.5</x:v>
      </x:c>
    </x:row>
  </x:sheetData>
  <x:mergeCells count="5">
    <x:mergeCell ref="B1:G1"/>
    <x:mergeCell ref="B2:G2"/>
    <x:mergeCell ref="B3:G3"/>
    <x:mergeCell ref="B4:G4"/>
    <x:mergeCell ref="B5:G5"/>
  </x:mergeCells>
  <x:printOptions horizontalCentered="1"/>
  <x:pageMargins left="0.35" right="0.35" top="1.5" bottom="0.5" header="0.3" footer="0.3"/>
  <x:pageSetup scale="85" orientation="landscape" r:id="rId1"/>
  <x:headerFooter>
    <x:oddHeader>&amp;R
Schedule V-K-12
Page &amp;P of &amp;N</x:oddHeader>
  </x:headerFooter>
  <x:rowBreaks count="1" manualBreakCount="1">
    <x:brk id="34" max="6" man="1"/>
  </x:rowBreaks>
</x:worksheet>
</file>

<file path=xl/worksheets/sheet14.xml><?xml version="1.0" encoding="utf-8"?>
<x:worksheet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xmlns:x="http://schemas.openxmlformats.org/spreadsheetml/2006/main" xr:uid="{00000000-0001-0000-0D00-000000000000}" mc:Ignorable="x14ac xr xr2 xr3">
  <x:dimension ref="A1:D43"/>
  <x:sheetViews>
    <x:sheetView view="pageBreakPreview" zoomScaleNormal="90" zoomScaleSheetLayoutView="100" workbookViewId="0">
      <x:selection activeCell="A7" sqref="A7"/>
    </x:sheetView>
  </x:sheetViews>
  <x:sheetFormatPr defaultColWidth="9.1796875" defaultRowHeight="15.5" x14ac:dyDescent="0.35"/>
  <x:cols>
    <x:col min="1" max="1" width="32" style="23" customWidth="1"/>
    <x:col min="2" max="2" width="15.7265625" style="24" customWidth="1"/>
    <x:col min="3" max="3" width="17.7265625" style="23" customWidth="1"/>
    <x:col min="4" max="4" width="34.26953125" style="22" customWidth="1"/>
    <x:col min="5" max="16384" width="9.1796875" style="22"/>
  </x:cols>
  <x:sheetData>
    <x:row r="1" spans="1:4" x14ac:dyDescent="0.35">
      <x:c r="A1" s="168" t="s">
        <x:v>186</x:v>
      </x:c>
      <x:c r="B1" s="168"/>
      <x:c r="C1" s="168"/>
      <x:c r="D1" s="168"/>
    </x:row>
    <x:row r="2" spans="1:4" x14ac:dyDescent="0.35">
      <x:c r="A2" s="168" t="s">
        <x:v>11</x:v>
      </x:c>
      <x:c r="B2" s="168"/>
      <x:c r="C2" s="168"/>
      <x:c r="D2" s="168"/>
    </x:row>
    <x:row r="3" spans="1:4" x14ac:dyDescent="0.35">
      <x:c r="A3" s="168" t="s">
        <x:v>130</x:v>
      </x:c>
      <x:c r="B3" s="168"/>
      <x:c r="C3" s="168"/>
      <x:c r="D3" s="168"/>
    </x:row>
    <x:row r="4" spans="1:4" x14ac:dyDescent="0.35">
      <x:c r="A4" s="168" t="s">
        <x:v>187</x:v>
      </x:c>
      <x:c r="B4" s="168"/>
      <x:c r="C4" s="168"/>
      <x:c r="D4" s="168"/>
    </x:row>
    <x:row r="5" spans="1:4" x14ac:dyDescent="0.35">
      <x:c r="A5" s="168" t="s">
        <x:v>188</x:v>
      </x:c>
      <x:c r="B5" s="168"/>
      <x:c r="C5" s="168"/>
      <x:c r="D5" s="168"/>
    </x:row>
    <x:row r="7" spans="1:4" s="1" customFormat="1" ht="14" x14ac:dyDescent="0.3">
      <x:c r="A7" s="57"/>
      <x:c r="B7" s="106" t="s">
        <x:v>131</x:v>
      </x:c>
      <x:c r="C7" s="107"/>
      <x:c r="D7" s="17" t="s">
        <x:v>43</x:v>
      </x:c>
    </x:row>
    <x:row r="8" spans="1:4" s="1" customFormat="1" ht="14" x14ac:dyDescent="0.3">
      <x:c r="A8" s="48" t="s">
        <x:v>132</x:v>
      </x:c>
      <x:c r="B8" s="49" t="s">
        <x:v>133</x:v>
      </x:c>
      <x:c r="C8" s="49" t="s">
        <x:v>134</x:v>
      </x:c>
      <x:c r="D8" s="48" t="s">
        <x:v>135</x:v>
      </x:c>
    </x:row>
    <x:row r="9" spans="1:4" s="1" customFormat="1" ht="14" x14ac:dyDescent="0.3">
      <x:c r="A9" s="108" t="s">
        <x:v>7</x:v>
      </x:c>
      <x:c r="B9" s="108" t="s">
        <x:v>19</x:v>
      </x:c>
      <x:c r="C9" s="108" t="s">
        <x:v>8</x:v>
      </x:c>
      <x:c r="D9" s="108" t="s">
        <x:v>9</x:v>
      </x:c>
    </x:row>
    <x:row r="10" spans="1:4" ht="32.25" customHeight="1" x14ac:dyDescent="0.35">
      <x:c r="A10" s="109" t="s">
        <x:v>46</x:v>
      </x:c>
      <x:c r="B10" s="110" t="s">
        <x:v>136</x:v>
      </x:c>
      <x:c r="C10" s="111">
        <x:v>43769</x:v>
      </x:c>
      <x:c r="D10" s="112" t="s">
        <x:v>128</x:v>
      </x:c>
    </x:row>
    <x:row r="11" spans="1:4" ht="32.25" customHeight="1" x14ac:dyDescent="0.35">
      <x:c r="A11" s="109" t="s">
        <x:v>48</x:v>
      </x:c>
      <x:c r="B11" s="110" t="s">
        <x:v>136</x:v>
      </x:c>
      <x:c r="C11" s="111">
        <x:v>43769</x:v>
      </x:c>
      <x:c r="D11" s="112" t="s">
        <x:v>128</x:v>
      </x:c>
    </x:row>
    <x:row r="12" spans="1:4" ht="32.25" customHeight="1" x14ac:dyDescent="0.35">
      <x:c r="A12" s="109" t="s">
        <x:v>50</x:v>
      </x:c>
      <x:c r="B12" s="110" t="s">
        <x:v>136</x:v>
      </x:c>
      <x:c r="C12" s="111">
        <x:v>43769</x:v>
      </x:c>
      <x:c r="D12" s="112" t="s">
        <x:v>128</x:v>
      </x:c>
    </x:row>
    <x:row r="13" spans="1:4" ht="30" customHeight="1" x14ac:dyDescent="0.35">
      <x:c r="A13" s="113" t="s">
        <x:v>53</x:v>
      </x:c>
      <x:c r="B13" s="110" t="s">
        <x:v>136</x:v>
      </x:c>
      <x:c r="C13" s="111">
        <x:v>43591</x:v>
      </x:c>
      <x:c r="D13" s="114" t="s">
        <x:v>25</x:v>
      </x:c>
    </x:row>
    <x:row r="14" spans="1:4" ht="30" customHeight="1" x14ac:dyDescent="0.35">
      <x:c r="A14" s="113" t="s">
        <x:v>53</x:v>
      </x:c>
      <x:c r="B14" s="110" t="s">
        <x:v>136</x:v>
      </x:c>
      <x:c r="C14" s="115">
        <x:v>42282</x:v>
      </x:c>
      <x:c r="D14" s="112" t="s">
        <x:v>26</x:v>
      </x:c>
    </x:row>
    <x:row r="15" spans="1:4" ht="32.25" customHeight="1" x14ac:dyDescent="0.35">
      <x:c r="A15" s="114" t="s">
        <x:v>137</x:v>
      </x:c>
      <x:c r="B15" s="110" t="s">
        <x:v>136</x:v>
      </x:c>
      <x:c r="C15" s="111">
        <x:v>43602</x:v>
      </x:c>
      <x:c r="D15" s="112" t="s">
        <x:v>170</x:v>
      </x:c>
    </x:row>
    <x:row r="16" spans="1:4" ht="32.25" customHeight="1" x14ac:dyDescent="0.35">
      <x:c r="A16" s="114" t="s">
        <x:v>137</x:v>
      </x:c>
      <x:c r="B16" s="110" t="s">
        <x:v>136</x:v>
      </x:c>
      <x:c r="C16" s="116">
        <x:v>43602</x:v>
      </x:c>
      <x:c r="D16" s="112" t="s">
        <x:v>138</x:v>
      </x:c>
    </x:row>
    <x:row r="17" spans="1:4" ht="32.25" customHeight="1" x14ac:dyDescent="0.35">
      <x:c r="A17" s="114" t="s">
        <x:v>205</x:v>
      </x:c>
      <x:c r="B17" s="110" t="s">
        <x:v>136</x:v>
      </x:c>
      <x:c r="C17" s="116">
        <x:v>43603</x:v>
      </x:c>
      <x:c r="D17" s="112" t="s">
        <x:v>284</x:v>
      </x:c>
    </x:row>
    <x:row r="18" spans="1:4" ht="32.25" customHeight="1" x14ac:dyDescent="0.35">
      <x:c r="A18" s="114" t="s">
        <x:v>272</x:v>
      </x:c>
      <x:c r="B18" s="110" t="s">
        <x:v>136</x:v>
      </x:c>
      <x:c r="C18" s="116">
        <x:v>44509</x:v>
      </x:c>
      <x:c r="D18" s="112" t="s">
        <x:v>268</x:v>
      </x:c>
    </x:row>
    <x:row r="19" spans="1:4" ht="32.25" customHeight="1" x14ac:dyDescent="0.35">
      <x:c r="A19" s="114" t="s">
        <x:v>62</x:v>
      </x:c>
      <x:c r="B19" s="110" t="s">
        <x:v>136</x:v>
      </x:c>
      <x:c r="C19" s="116">
        <x:v>43983</x:v>
      </x:c>
      <x:c r="D19" s="112" t="s">
        <x:v>34</x:v>
      </x:c>
    </x:row>
    <x:row r="20" spans="1:4" ht="30" customHeight="1" x14ac:dyDescent="0.35">
      <x:c r="A20" s="114" t="s">
        <x:v>301</x:v>
      </x:c>
      <x:c r="B20" s="110" t="s">
        <x:v>136</x:v>
      </x:c>
      <x:c r="C20" s="111">
        <x:v>45044</x:v>
      </x:c>
      <x:c r="D20" s="112" t="s">
        <x:v>207</x:v>
      </x:c>
    </x:row>
    <x:row r="21" spans="1:4" x14ac:dyDescent="0.35">
      <x:c r="C21" s="117"/>
    </x:row>
    <x:row r="22" spans="1:4" x14ac:dyDescent="0.35">
      <x:c r="C22" s="117"/>
    </x:row>
    <x:row r="23" spans="1:4" x14ac:dyDescent="0.35">
      <x:c r="C23" s="117"/>
    </x:row>
    <x:row r="24" spans="1:4" x14ac:dyDescent="0.35">
      <x:c r="C24" s="117"/>
    </x:row>
    <x:row r="25" spans="1:4" x14ac:dyDescent="0.35">
      <x:c r="C25" s="117"/>
    </x:row>
    <x:row r="26" spans="1:4" x14ac:dyDescent="0.35">
      <x:c r="C26" s="117"/>
    </x:row>
    <x:row r="27" spans="1:4" x14ac:dyDescent="0.35">
      <x:c r="C27" s="117"/>
    </x:row>
    <x:row r="28" spans="1:4" x14ac:dyDescent="0.35">
      <x:c r="C28" s="117"/>
    </x:row>
    <x:row r="29" spans="1:4" x14ac:dyDescent="0.35">
      <x:c r="C29" s="117"/>
    </x:row>
    <x:row r="30" spans="1:4" x14ac:dyDescent="0.35">
      <x:c r="C30" s="117"/>
    </x:row>
    <x:row r="31" spans="1:4" x14ac:dyDescent="0.35">
      <x:c r="C31" s="117"/>
    </x:row>
    <x:row r="32" spans="1:4" x14ac:dyDescent="0.35">
      <x:c r="C32" s="117"/>
    </x:row>
    <x:row r="33" spans="3:3" x14ac:dyDescent="0.35">
      <x:c r="C33" s="117"/>
    </x:row>
    <x:row r="34" spans="3:3" x14ac:dyDescent="0.35">
      <x:c r="C34" s="117"/>
    </x:row>
    <x:row r="35" spans="3:3" x14ac:dyDescent="0.35">
      <x:c r="C35" s="117"/>
    </x:row>
    <x:row r="36" spans="3:3" x14ac:dyDescent="0.35">
      <x:c r="C36" s="117"/>
    </x:row>
    <x:row r="37" spans="3:3" x14ac:dyDescent="0.35">
      <x:c r="C37" s="117"/>
    </x:row>
    <x:row r="38" spans="3:3" x14ac:dyDescent="0.35">
      <x:c r="C38" s="117"/>
    </x:row>
    <x:row r="39" spans="3:3" x14ac:dyDescent="0.35">
      <x:c r="C39" s="117"/>
    </x:row>
    <x:row r="40" spans="3:3" x14ac:dyDescent="0.35">
      <x:c r="C40" s="117"/>
    </x:row>
    <x:row r="41" spans="3:3" x14ac:dyDescent="0.35">
      <x:c r="C41" s="117"/>
    </x:row>
    <x:row r="42" spans="3:3" x14ac:dyDescent="0.35">
      <x:c r="C42" s="117"/>
    </x:row>
    <x:row r="43" spans="3:3" x14ac:dyDescent="0.35">
      <x:c r="C43" s="117"/>
    </x:row>
  </x:sheetData>
  <x:mergeCells count="5">
    <x:mergeCell ref="A1:D1"/>
    <x:mergeCell ref="A2:D2"/>
    <x:mergeCell ref="A3:D3"/>
    <x:mergeCell ref="A4:D4"/>
    <x:mergeCell ref="A5:D5"/>
  </x:mergeCells>
  <x:printOptions horizontalCentered="1"/>
  <x:pageMargins left="0.35" right="0.35" top="1.5" bottom="0.5" header="0.3" footer="0.3"/>
  <x:pageSetup scale="85" orientation="landscape" r:id="rId1"/>
  <x:headerFooter>
    <x:oddHeader>&amp;R
Schedule V-K-13
Page 1 of 1</x:oddHeader>
  </x:headerFooter>
</x:worksheet>
</file>

<file path=xl/worksheets/sheet15.xml><?xml version="1.0" encoding="utf-8"?>
<x:worksheet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xmlns:x="http://schemas.openxmlformats.org/spreadsheetml/2006/main" xr:uid="{00000000-0001-0000-0E00-000000000000}" mc:Ignorable="x14ac xr xr2 xr3">
  <x:dimension ref="A1:G18"/>
  <x:sheetViews>
    <x:sheetView view="pageBreakPreview" zoomScaleNormal="90" zoomScaleSheetLayoutView="100" workbookViewId="0">
      <x:selection activeCell="B6" sqref="B6"/>
    </x:sheetView>
  </x:sheetViews>
  <x:sheetFormatPr defaultColWidth="9.1796875" defaultRowHeight="15.5" x14ac:dyDescent="0.35"/>
  <x:cols>
    <x:col min="1" max="1" width="9.7265625" style="22" customWidth="1"/>
    <x:col min="2" max="2" width="14.81640625" style="22" customWidth="1"/>
    <x:col min="3" max="3" width="35" style="22" customWidth="1"/>
    <x:col min="4" max="4" width="13.54296875" style="24" customWidth="1"/>
    <x:col min="5" max="5" width="31.81640625" style="22" customWidth="1"/>
    <x:col min="6" max="6" width="16.1796875" style="23" customWidth="1"/>
    <x:col min="7" max="16384" width="9.1796875" style="22"/>
  </x:cols>
  <x:sheetData>
    <x:row r="1" spans="1:7" x14ac:dyDescent="0.35">
      <x:c r="B1" s="168" t="s">
        <x:v>186</x:v>
      </x:c>
      <x:c r="C1" s="168"/>
      <x:c r="D1" s="168"/>
      <x:c r="E1" s="168"/>
      <x:c r="F1" s="168"/>
    </x:row>
    <x:row r="2" spans="1:7" x14ac:dyDescent="0.35">
      <x:c r="B2" s="168" t="s">
        <x:v>11</x:v>
      </x:c>
      <x:c r="C2" s="168"/>
      <x:c r="D2" s="168"/>
      <x:c r="E2" s="168"/>
      <x:c r="F2" s="168"/>
    </x:row>
    <x:row r="3" spans="1:7" x14ac:dyDescent="0.35">
      <x:c r="B3" s="168" t="s">
        <x:v>139</x:v>
      </x:c>
      <x:c r="C3" s="168"/>
      <x:c r="D3" s="168"/>
      <x:c r="E3" s="168"/>
      <x:c r="F3" s="168"/>
    </x:row>
    <x:row r="4" spans="1:7" x14ac:dyDescent="0.35">
      <x:c r="B4" s="168" t="s">
        <x:v>187</x:v>
      </x:c>
      <x:c r="C4" s="168"/>
      <x:c r="D4" s="168"/>
      <x:c r="E4" s="168"/>
      <x:c r="F4" s="168"/>
    </x:row>
    <x:row r="5" spans="1:7" x14ac:dyDescent="0.35">
      <x:c r="B5" s="168" t="s">
        <x:v>188</x:v>
      </x:c>
      <x:c r="C5" s="168"/>
      <x:c r="D5" s="168"/>
      <x:c r="E5" s="168"/>
      <x:c r="F5" s="168"/>
      <x:c r="G5" s="138"/>
    </x:row>
    <x:row r="7" spans="1:7" s="1" customFormat="1" ht="14" x14ac:dyDescent="0.3">
      <x:c r="A7" s="118"/>
      <x:c r="B7" s="118" t="s">
        <x:v>140</x:v>
      </x:c>
      <x:c r="C7" s="118"/>
      <x:c r="D7" s="119" t="s">
        <x:v>0</x:v>
      </x:c>
      <x:c r="E7" s="120" t="s">
        <x:v>1</x:v>
      </x:c>
      <x:c r="F7" s="121"/>
    </x:row>
    <x:row r="8" spans="1:7" s="1" customFormat="1" ht="14" x14ac:dyDescent="0.3">
      <x:c r="A8" s="122" t="s">
        <x:v>2</x:v>
      </x:c>
      <x:c r="B8" s="122" t="s">
        <x:v>141</x:v>
      </x:c>
      <x:c r="C8" s="122" t="s">
        <x:v>18</x:v>
      </x:c>
      <x:c r="D8" s="123" t="s">
        <x:v>4</x:v>
      </x:c>
      <x:c r="E8" s="123" t="s">
        <x:v>5</x:v>
      </x:c>
      <x:c r="F8" s="122" t="s">
        <x:v>77</x:v>
      </x:c>
    </x:row>
    <x:row r="9" spans="1:7" s="1" customFormat="1" ht="14" x14ac:dyDescent="0.3">
      <x:c r="A9" s="30"/>
      <x:c r="B9" s="53"/>
      <x:c r="C9" s="30"/>
      <x:c r="D9" s="124"/>
      <x:c r="E9" s="58"/>
      <x:c r="F9" s="2"/>
    </x:row>
    <x:row r="10" spans="1:7" x14ac:dyDescent="0.35">
      <x:c r="A10" s="125">
        <x:v>1</x:v>
      </x:c>
      <x:c r="B10" s="30" t="s">
        <x:v>142</x:v>
      </x:c>
      <x:c r="C10" s="59" t="s">
        <x:v>22</x:v>
      </x:c>
      <x:c r="D10" s="126"/>
      <x:c r="E10" s="61"/>
    </x:row>
    <x:row r="11" spans="1:7" x14ac:dyDescent="0.35">
      <x:c r="A11" s="125">
        <x:f>+A10+1</x:f>
        <x:v>2</x:v>
      </x:c>
      <x:c r="B11" s="30"/>
      <x:c r="C11" s="59" t="s">
        <x:v>20</x:v>
      </x:c>
      <x:c r="D11" s="126"/>
      <x:c r="E11" s="61"/>
    </x:row>
    <x:row r="12" spans="1:7" x14ac:dyDescent="0.35">
      <x:c r="A12" s="125">
        <x:f t="shared" ref="A12:A14" si="0">+A11+1</x:f>
        <x:v>3</x:v>
      </x:c>
      <x:c r="B12" s="59"/>
      <x:c r="C12" s="137" t="s">
        <x:v>21</x:v>
      </x:c>
      <x:c r="D12" s="127">
        <x:v>9200000</x:v>
      </x:c>
      <x:c r="E12" s="61" t="s">
        <x:v>143</x:v>
      </x:c>
      <x:c r="F12" s="128">
        <x:v>78000</x:v>
      </x:c>
    </x:row>
    <x:row r="13" spans="1:7" x14ac:dyDescent="0.35">
      <x:c r="A13" s="125">
        <x:f t="shared" si="0"/>
        <x:v>4</x:v>
      </x:c>
      <x:c r="C13" s="137"/>
    </x:row>
    <x:row r="14" spans="1:7" x14ac:dyDescent="0.35">
      <x:c r="A14" s="125">
        <x:f t="shared" si="0"/>
        <x:v>5</x:v>
      </x:c>
      <x:c r="B14" s="104" t="s">
        <x:v>144</x:v>
      </x:c>
      <x:c r="F14" s="129">
        <x:f>+F12</x:f>
        <x:v>78000</x:v>
      </x:c>
    </x:row>
    <x:row r="18" spans="2:5" ht="115.5" customHeight="1" x14ac:dyDescent="0.35">
      <x:c r="B18" s="172" t="s">
        <x:v>287</x:v>
      </x:c>
      <x:c r="C18" s="172"/>
      <x:c r="D18" s="172"/>
      <x:c r="E18" s="172"/>
    </x:row>
  </x:sheetData>
  <x:mergeCells count="6">
    <x:mergeCell ref="B18:E18"/>
    <x:mergeCell ref="B1:F1"/>
    <x:mergeCell ref="B2:F2"/>
    <x:mergeCell ref="B3:F3"/>
    <x:mergeCell ref="B4:F4"/>
    <x:mergeCell ref="B5:F5"/>
  </x:mergeCells>
  <x:printOptions horizontalCentered="1"/>
  <x:pageMargins left="0.35" right="0.35" top="1.5" bottom="0.5" header="0.3" footer="0.3"/>
  <x:pageSetup scale="85" orientation="landscape" r:id="rId1"/>
  <x:headerFooter>
    <x:oddHeader>&amp;R
Schedule V-K-14
Page 1 of 1</x:oddHeader>
  </x:headerFooter>
</x:worksheet>
</file>

<file path=docProps/app.xml><?xml version="1.0" encoding="utf-8"?>
<ap:Properties xmlns:vt="http://schemas.openxmlformats.org/officeDocument/2006/docPropsVTypes" xmlns:ap="http://schemas.openxmlformats.org/officeDocument/2006/extended-properties"/>
</file>

<file path=docProps/core.xml><?xml version="1.0" encoding="utf-8"?>
<coreProperties xmlns:dc="http://purl.org/dc/elements/1.1/" xmlns:dcterms="http://purl.org/dc/terms/" xmlns:xsi="http://www.w3.org/2001/XMLSchema-instance" xmlns="http://schemas.openxmlformats.org/package/2006/metadata/core-properties">
  <lastPrinted>1900-01-01T06:00:00.0000000Z</lastPrinted>
  <dcterms:created xsi:type="dcterms:W3CDTF">1900-01-01T06:00:00.0000000Z</dcterms:created>
  <dcterms:modified xsi:type="dcterms:W3CDTF">2025-05-02T14:00:35.0000000Z</dcterms:modified>
</coreProperties>
</file>