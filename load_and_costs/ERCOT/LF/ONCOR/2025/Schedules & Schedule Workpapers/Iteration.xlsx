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fileSharing readOnlyRecommended="1" userName="Logi, Jason" algorithmName="SHA-512" hashValue="rvOaoJ579IFn0Fu+FNkgUanliuLMqNbrKINFiYZx8jLOlmKmGQhfVuCmIMQajNdRsfR4ZCCgJSg8iM6MLZpTFg==" saltValue="ZciF0es+2gdLxgYCQiVlpA==" spinCount="10000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Schedules &amp; Schedule Workpapers\"/>
    </mc:Choice>
  </mc:AlternateContent>
  <xr:revisionPtr revIDLastSave="0" documentId="13_ncr:10001_{AF09C60B-4698-4129-9BAE-EC824CD7B1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d Lag" sheetId="1" r:id="rId1"/>
    <sheet name="Wholesale_NTS_RO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Print_Area" localSheetId="0">'Lead Lag'!$A$1:$U$56</definedName>
    <definedName name="_xlnm.Print_Area" localSheetId="1">Wholesale_NTS_RO!$A$2:$J$86</definedName>
  </definedNames>
  <calcPr calcId="191029" iterate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2" i="1" l="1"/>
  <c r="Q52" i="1"/>
  <c r="P52" i="1"/>
  <c r="M52" i="1"/>
  <c r="L52" i="1"/>
  <c r="S51" i="1"/>
  <c r="Q51" i="1"/>
  <c r="P51" i="1"/>
  <c r="M51" i="1"/>
  <c r="L51" i="1"/>
  <c r="S41" i="1"/>
  <c r="Q41" i="1"/>
  <c r="P41" i="1"/>
  <c r="M41" i="1"/>
  <c r="L41" i="1"/>
  <c r="S40" i="1"/>
  <c r="Q40" i="1"/>
  <c r="P40" i="1"/>
  <c r="M40" i="1"/>
  <c r="L40" i="1"/>
  <c r="S39" i="1"/>
  <c r="Q39" i="1"/>
  <c r="P39" i="1"/>
  <c r="M39" i="1"/>
  <c r="L39" i="1"/>
  <c r="S38" i="1"/>
  <c r="Q38" i="1"/>
  <c r="P38" i="1"/>
  <c r="M38" i="1"/>
  <c r="L38" i="1"/>
  <c r="S33" i="1"/>
  <c r="Q33" i="1"/>
  <c r="P33" i="1"/>
  <c r="M33" i="1"/>
  <c r="L33" i="1"/>
  <c r="S29" i="1"/>
  <c r="Q29" i="1"/>
  <c r="P29" i="1"/>
  <c r="M29" i="1"/>
  <c r="L29" i="1"/>
  <c r="S28" i="1"/>
  <c r="Q28" i="1"/>
  <c r="P28" i="1"/>
  <c r="M28" i="1"/>
  <c r="L28" i="1"/>
  <c r="S27" i="1"/>
  <c r="Q27" i="1"/>
  <c r="P27" i="1"/>
  <c r="M27" i="1"/>
  <c r="L27" i="1"/>
  <c r="S21" i="1"/>
  <c r="Q21" i="1"/>
  <c r="P21" i="1"/>
  <c r="M21" i="1"/>
  <c r="L21" i="1"/>
  <c r="S18" i="1"/>
  <c r="Q18" i="1"/>
  <c r="P18" i="1"/>
  <c r="M18" i="1"/>
  <c r="L18" i="1"/>
  <c r="S17" i="1"/>
  <c r="Q17" i="1"/>
  <c r="P17" i="1"/>
  <c r="M17" i="1"/>
  <c r="L17" i="1"/>
  <c r="S15" i="1"/>
  <c r="Q15" i="1"/>
  <c r="P15" i="1"/>
  <c r="M15" i="1"/>
  <c r="L15" i="1"/>
  <c r="S14" i="1"/>
  <c r="Q14" i="1"/>
  <c r="P14" i="1"/>
  <c r="M14" i="1"/>
  <c r="L14" i="1"/>
  <c r="C45" i="1"/>
  <c r="C42" i="1"/>
  <c r="C40" i="1"/>
  <c r="C39" i="1"/>
  <c r="C41" i="1"/>
  <c r="C38" i="1"/>
  <c r="C34" i="1"/>
  <c r="C33" i="1"/>
  <c r="C25" i="1"/>
  <c r="C24" i="1"/>
  <c r="C28" i="1"/>
  <c r="C27" i="1"/>
  <c r="C14" i="1"/>
  <c r="N58" i="3"/>
  <c r="N57" i="3"/>
  <c r="C47" i="1"/>
  <c r="E5" i="3"/>
  <c r="E3" i="3"/>
  <c r="E2" i="3"/>
  <c r="C15" i="1"/>
  <c r="H71" i="3" l="1"/>
  <c r="H70" i="3"/>
  <c r="H69" i="3"/>
  <c r="H68" i="3"/>
  <c r="H67" i="3"/>
  <c r="Q74" i="3" l="1"/>
  <c r="P74" i="3"/>
  <c r="N74" i="3"/>
  <c r="N76" i="3"/>
  <c r="F67" i="3"/>
  <c r="F70" i="3"/>
  <c r="F68" i="3"/>
  <c r="F71" i="3"/>
  <c r="N49" i="1" l="1"/>
  <c r="N54" i="1" s="1"/>
  <c r="I22" i="1" l="1"/>
  <c r="G18" i="1"/>
  <c r="I18" i="1" s="1"/>
  <c r="F18" i="1"/>
  <c r="J18" i="1" l="1"/>
  <c r="F17" i="1" l="1"/>
  <c r="F28" i="1"/>
  <c r="F27" i="1"/>
  <c r="F82" i="3" l="1"/>
  <c r="D82" i="3"/>
  <c r="Q76" i="3" l="1"/>
  <c r="H72" i="3" l="1"/>
  <c r="P76" i="3"/>
  <c r="G33" i="1"/>
  <c r="I20" i="1"/>
  <c r="I34" i="1"/>
  <c r="I24" i="1"/>
  <c r="I25" i="1"/>
  <c r="I45" i="1"/>
  <c r="H62" i="3"/>
  <c r="I47" i="1"/>
  <c r="I33" i="1" l="1"/>
  <c r="G39" i="1"/>
  <c r="I39" i="1" s="1"/>
  <c r="G15" i="1"/>
  <c r="I15" i="1" s="1"/>
  <c r="G27" i="1"/>
  <c r="I27" i="1" s="1"/>
  <c r="J27" i="1" s="1"/>
  <c r="G40" i="1"/>
  <c r="I40" i="1" s="1"/>
  <c r="G17" i="1"/>
  <c r="G28" i="1"/>
  <c r="I28" i="1" s="1"/>
  <c r="J28" i="1" s="1"/>
  <c r="I14" i="1"/>
  <c r="G29" i="1"/>
  <c r="I29" i="1" s="1"/>
  <c r="G41" i="1"/>
  <c r="I41" i="1" s="1"/>
  <c r="G38" i="1"/>
  <c r="I38" i="1" s="1"/>
  <c r="I17" i="1" l="1"/>
  <c r="J17" i="1" s="1"/>
  <c r="G21" i="1"/>
  <c r="I21" i="1" s="1"/>
  <c r="F25" i="1" l="1"/>
  <c r="J25" i="1" l="1"/>
  <c r="R18" i="1"/>
  <c r="R17" i="1"/>
  <c r="R27" i="1" l="1"/>
  <c r="O17" i="1"/>
  <c r="O51" i="1"/>
  <c r="O52" i="1"/>
  <c r="O18" i="1"/>
  <c r="O28" i="1"/>
  <c r="R52" i="1"/>
  <c r="T18" i="1"/>
  <c r="U18" i="1" s="1"/>
  <c r="V18" i="1" s="1"/>
  <c r="R51" i="1"/>
  <c r="T51" i="1" s="1"/>
  <c r="U51" i="1" s="1"/>
  <c r="V51" i="1" s="1"/>
  <c r="O27" i="1"/>
  <c r="T27" i="1" s="1"/>
  <c r="U27" i="1" s="1"/>
  <c r="V27" i="1" s="1"/>
  <c r="T17" i="1"/>
  <c r="U17" i="1" s="1"/>
  <c r="V17" i="1" s="1"/>
  <c r="R28" i="1"/>
  <c r="T28" i="1" l="1"/>
  <c r="T52" i="1"/>
  <c r="U52" i="1" s="1"/>
  <c r="V52" i="1" s="1"/>
  <c r="U28" i="1" l="1"/>
  <c r="F45" i="1" l="1"/>
  <c r="V28" i="1"/>
  <c r="F34" i="1" l="1"/>
  <c r="J45" i="1"/>
  <c r="F40" i="1" l="1"/>
  <c r="J34" i="1"/>
  <c r="J40" i="1" l="1"/>
  <c r="R40" i="1" l="1"/>
  <c r="O40" i="1"/>
  <c r="F24" i="1"/>
  <c r="F15" i="1"/>
  <c r="J24" i="1" l="1"/>
  <c r="T40" i="1"/>
  <c r="J15" i="1"/>
  <c r="U40" i="1" l="1"/>
  <c r="V40" i="1" l="1"/>
  <c r="R15" i="1"/>
  <c r="O15" i="1"/>
  <c r="T15" i="1" l="1"/>
  <c r="U15" i="1" l="1"/>
  <c r="V15" i="1" l="1"/>
  <c r="F14" i="1" l="1"/>
  <c r="J14" i="1" l="1"/>
  <c r="R14" i="1" l="1"/>
  <c r="O14" i="1"/>
  <c r="T14" i="1" l="1"/>
  <c r="U14" i="1" l="1"/>
  <c r="V14" i="1" l="1"/>
  <c r="F38" i="1" l="1"/>
  <c r="J38" i="1" l="1"/>
  <c r="R38" i="1" l="1"/>
  <c r="O38" i="1"/>
  <c r="T38" i="1" l="1"/>
  <c r="U38" i="1" l="1"/>
  <c r="V38" i="1" l="1"/>
  <c r="H57" i="3" l="1"/>
  <c r="N78" i="3"/>
  <c r="H58" i="3"/>
  <c r="C22" i="1"/>
  <c r="F22" i="1" l="1"/>
  <c r="N65" i="3"/>
  <c r="H60" i="3"/>
  <c r="N66" i="3"/>
  <c r="F47" i="1"/>
  <c r="K60" i="3" l="1"/>
  <c r="H64" i="3"/>
  <c r="J22" i="1"/>
  <c r="N67" i="3"/>
  <c r="J47" i="1"/>
  <c r="C20" i="1" l="1"/>
  <c r="C21" i="1" l="1"/>
  <c r="C29" i="1" s="1"/>
  <c r="C30" i="1" s="1"/>
  <c r="C31" i="1" s="1"/>
  <c r="F20" i="1"/>
  <c r="F21" i="1"/>
  <c r="J20" i="1" l="1"/>
  <c r="F29" i="1"/>
  <c r="J21" i="1"/>
  <c r="J29" i="1" l="1"/>
  <c r="R21" i="1" l="1"/>
  <c r="O21" i="1"/>
  <c r="F39" i="1"/>
  <c r="O29" i="1" l="1"/>
  <c r="J39" i="1"/>
  <c r="T21" i="1"/>
  <c r="R29" i="1"/>
  <c r="U21" i="1" l="1"/>
  <c r="T29" i="1"/>
  <c r="R39" i="1" l="1"/>
  <c r="U29" i="1"/>
  <c r="V21" i="1"/>
  <c r="O39" i="1"/>
  <c r="V29" i="1" l="1"/>
  <c r="T39" i="1"/>
  <c r="U39" i="1" l="1"/>
  <c r="V39" i="1" l="1"/>
  <c r="C35" i="1" l="1"/>
  <c r="C36" i="1" s="1"/>
  <c r="F33" i="1"/>
  <c r="J33" i="1" l="1"/>
  <c r="O33" i="1" l="1"/>
  <c r="R33" i="1"/>
  <c r="T33" i="1" l="1"/>
  <c r="U33" i="1" l="1"/>
  <c r="V33" i="1" l="1"/>
  <c r="F41" i="1" l="1"/>
  <c r="J41" i="1" s="1"/>
  <c r="C43" i="1"/>
  <c r="C44" i="1" s="1"/>
  <c r="C49" i="1"/>
  <c r="C56" i="1" l="1"/>
  <c r="C50" i="1"/>
  <c r="J49" i="1"/>
  <c r="P49" i="1" l="1"/>
  <c r="R41" i="1"/>
  <c r="L49" i="1"/>
  <c r="O41" i="1"/>
  <c r="S49" i="1"/>
  <c r="Q49" i="1"/>
  <c r="M49" i="1"/>
  <c r="J54" i="1"/>
  <c r="Q54" i="1" l="1"/>
  <c r="S54" i="1"/>
  <c r="M54" i="1"/>
  <c r="O49" i="1"/>
  <c r="T41" i="1"/>
  <c r="L54" i="1"/>
  <c r="R49" i="1"/>
  <c r="P54" i="1"/>
  <c r="R54" i="1" l="1"/>
  <c r="U41" i="1"/>
  <c r="O54" i="1"/>
  <c r="T49" i="1"/>
  <c r="T54" i="1" l="1"/>
  <c r="U49" i="1"/>
  <c r="V41" i="1"/>
  <c r="U54" i="1" l="1"/>
  <c r="V49" i="1"/>
  <c r="V54" i="1" l="1"/>
</calcChain>
</file>

<file path=xl/sharedStrings.xml><?xml version="1.0" encoding="utf-8"?>
<sst xmlns="http://schemas.openxmlformats.org/spreadsheetml/2006/main" count="203" uniqueCount="179">
  <si>
    <t>Line</t>
  </si>
  <si>
    <t>Adjusted Test</t>
  </si>
  <si>
    <t>Avg. Daily</t>
  </si>
  <si>
    <t>Revenue</t>
  </si>
  <si>
    <t>Expense</t>
  </si>
  <si>
    <t>Net</t>
  </si>
  <si>
    <t>Working Capital</t>
  </si>
  <si>
    <t>No.</t>
  </si>
  <si>
    <t>Description</t>
  </si>
  <si>
    <t>Year Amount</t>
  </si>
  <si>
    <t>Prepayments</t>
  </si>
  <si>
    <t>Lag Days</t>
  </si>
  <si>
    <t>Lead Days</t>
  </si>
  <si>
    <t>(Lead)/Lag</t>
  </si>
  <si>
    <t>Requirement</t>
  </si>
  <si>
    <t>(a)</t>
  </si>
  <si>
    <t>(b)</t>
  </si>
  <si>
    <t>(c)</t>
  </si>
  <si>
    <t>(d)</t>
  </si>
  <si>
    <t xml:space="preserve">(e) </t>
  </si>
  <si>
    <t>(f)</t>
  </si>
  <si>
    <t>(g)</t>
  </si>
  <si>
    <t>Federal Income Taxes</t>
  </si>
  <si>
    <t>Taxes Other Than Income Taxes</t>
  </si>
  <si>
    <t>Depreciation Expense</t>
  </si>
  <si>
    <t>Return</t>
  </si>
  <si>
    <t>Average Daily Bank Balances</t>
  </si>
  <si>
    <t>Working Funds and Other</t>
  </si>
  <si>
    <t>Current Access Fee</t>
  </si>
  <si>
    <t xml:space="preserve">  Transmission Owners/Load Entities</t>
  </si>
  <si>
    <t>( $ / kW )</t>
  </si>
  <si>
    <t xml:space="preserve">  Austin Energy</t>
  </si>
  <si>
    <t xml:space="preserve">  Brazos Electric Coop</t>
  </si>
  <si>
    <t xml:space="preserve">  Brownsville Public Utilities Board</t>
  </si>
  <si>
    <t xml:space="preserve">  Bryan Texas Utilities</t>
  </si>
  <si>
    <t xml:space="preserve">  Cherokee County Electric Coop</t>
  </si>
  <si>
    <t xml:space="preserve">  College Station, City of</t>
  </si>
  <si>
    <t xml:space="preserve">  Deep East Texas Electric Coop</t>
  </si>
  <si>
    <t xml:space="preserve">  Denton Municipal Electric</t>
  </si>
  <si>
    <t xml:space="preserve">  East Texas Electric Coop</t>
  </si>
  <si>
    <t xml:space="preserve">  Fannin Electric Coop</t>
  </si>
  <si>
    <t xml:space="preserve">  Farmers Electric Coop</t>
  </si>
  <si>
    <t xml:space="preserve">  Floresville Electric Power System</t>
  </si>
  <si>
    <t xml:space="preserve">  Garland Power and Light</t>
  </si>
  <si>
    <t xml:space="preserve">  Grayson-Collin Electric Coop</t>
  </si>
  <si>
    <t xml:space="preserve">  Houston County Electric Coop</t>
  </si>
  <si>
    <t xml:space="preserve">  Lamar County Electric Coop</t>
  </si>
  <si>
    <t xml:space="preserve">  Lower Colorado River Authority</t>
  </si>
  <si>
    <t xml:space="preserve">  Rayburn Country</t>
  </si>
  <si>
    <t xml:space="preserve">  Rio Grande Electric Coop</t>
  </si>
  <si>
    <t xml:space="preserve">  San Antonio City Public Service</t>
  </si>
  <si>
    <t xml:space="preserve">  San Miguel Electric Coop</t>
  </si>
  <si>
    <t xml:space="preserve">  Sharyland Utilities</t>
  </si>
  <si>
    <t xml:space="preserve">  South Texas Electric Coop</t>
  </si>
  <si>
    <t xml:space="preserve">  Southwest Texas Electric Coop</t>
  </si>
  <si>
    <t xml:space="preserve">  Texas Municipal Power Agency</t>
  </si>
  <si>
    <t xml:space="preserve">  Texas-New Mexico Power Company</t>
  </si>
  <si>
    <t xml:space="preserve">  Trinity Valley Electric Coop</t>
  </si>
  <si>
    <t>Transmission Revenue Requirement =</t>
  </si>
  <si>
    <t>/ kW</t>
  </si>
  <si>
    <t>kW</t>
  </si>
  <si>
    <t>Source</t>
  </si>
  <si>
    <t xml:space="preserve">Average  </t>
  </si>
  <si>
    <t>Current ERCOT Wholesale Transmission Access Fees</t>
  </si>
  <si>
    <t xml:space="preserve">  Total ERCOT Transmission Access Fee</t>
  </si>
  <si>
    <t>Operation &amp; Maintenance Expenses</t>
  </si>
  <si>
    <t>Labor</t>
  </si>
  <si>
    <t>Payroll</t>
  </si>
  <si>
    <t>Non-Labor</t>
  </si>
  <si>
    <t>Current</t>
  </si>
  <si>
    <t>Payroll Taxes</t>
  </si>
  <si>
    <t>State Gross Margin Taxes</t>
  </si>
  <si>
    <t>Local Franchise Taxes</t>
  </si>
  <si>
    <t>Ad Valorem Taxes</t>
  </si>
  <si>
    <t>Total O&amp;M</t>
  </si>
  <si>
    <t>Total FIT</t>
  </si>
  <si>
    <t>Total Taxes Other Than Income Taxes</t>
  </si>
  <si>
    <t>Subtotal</t>
  </si>
  <si>
    <t>Total Cash Working Capital Requirement</t>
  </si>
  <si>
    <t>ITERATION</t>
  </si>
  <si>
    <t>Incentive Comp</t>
  </si>
  <si>
    <t xml:space="preserve">  Electric Transmission Texas</t>
  </si>
  <si>
    <t xml:space="preserve">  Oncor Electric Delivery </t>
  </si>
  <si>
    <t>(h)</t>
  </si>
  <si>
    <t>Deferred FIT &amp; ITC</t>
  </si>
  <si>
    <t>Oncor Electric Delivery -- Transmission Revenue Requirement  for Retail Delivery Service=</t>
  </si>
  <si>
    <t>Amortized O&amp;M Expenses</t>
  </si>
  <si>
    <t>Other Third-Party O&amp;M</t>
  </si>
  <si>
    <t>Amortization of</t>
  </si>
  <si>
    <t>TCOS</t>
  </si>
  <si>
    <t>Oncor</t>
  </si>
  <si>
    <t>Non-Oncor</t>
  </si>
  <si>
    <t>Other O&amp;M</t>
  </si>
  <si>
    <t xml:space="preserve">  Golden Spread Electric Coop</t>
  </si>
  <si>
    <t xml:space="preserve">              Pension &amp; Supplemental Retirement Benefits </t>
  </si>
  <si>
    <t xml:space="preserve">              Other Post-Employment Benefits </t>
  </si>
  <si>
    <t xml:space="preserve">  Bandera Electric Coop</t>
  </si>
  <si>
    <t xml:space="preserve">  Centerpoint Energy</t>
  </si>
  <si>
    <t xml:space="preserve">  Cross Texas Transmission LLC</t>
  </si>
  <si>
    <t xml:space="preserve">  Greenville Electric Utility System</t>
  </si>
  <si>
    <t xml:space="preserve">  Lone Star Transmission</t>
  </si>
  <si>
    <t xml:space="preserve">  Lyntegar Electric Coop</t>
  </si>
  <si>
    <t xml:space="preserve">  Wind Energy Transmission Texas LLC</t>
  </si>
  <si>
    <t xml:space="preserve">  Wood County Electric Coop</t>
  </si>
  <si>
    <t>Transmission Expense Riders</t>
  </si>
  <si>
    <t>Annualized Rider</t>
  </si>
  <si>
    <t>Annual Expense</t>
  </si>
  <si>
    <t>Subtotal, Transmission Expense Riders</t>
  </si>
  <si>
    <t>added riders below to this calculation</t>
  </si>
  <si>
    <t>Intra-company Transmision Revenue for TGMT</t>
  </si>
  <si>
    <t xml:space="preserve">  AEP Texas </t>
  </si>
  <si>
    <t xml:space="preserve">  Oncor Electric Delivery NTU</t>
  </si>
  <si>
    <t>uses 2020 4CP</t>
  </si>
  <si>
    <t>TRAN + DC Tie</t>
  </si>
  <si>
    <t>NTU TRAN</t>
  </si>
  <si>
    <t>Intra-company Transmision Revenue (NTU)</t>
  </si>
  <si>
    <t>Affiliate Charges - Sempra</t>
  </si>
  <si>
    <t>Affiliate Charges - Other</t>
  </si>
  <si>
    <t>Wholesale Distribution Substation Service (NTU to Oncor)</t>
  </si>
  <si>
    <t>Factor</t>
  </si>
  <si>
    <t>NTU</t>
  </si>
  <si>
    <t>DC</t>
  </si>
  <si>
    <t>Consol</t>
  </si>
  <si>
    <t>TRAN</t>
  </si>
  <si>
    <t>TIE</t>
  </si>
  <si>
    <t>DIST</t>
  </si>
  <si>
    <t>MET</t>
  </si>
  <si>
    <t>TDCS</t>
  </si>
  <si>
    <t>Total</t>
  </si>
  <si>
    <t>TOMXFP</t>
  </si>
  <si>
    <t>PLTSVC-N</t>
  </si>
  <si>
    <t>(i)</t>
  </si>
  <si>
    <t>(j)</t>
  </si>
  <si>
    <t>(k)</t>
  </si>
  <si>
    <t>(l)</t>
  </si>
  <si>
    <t>(m)</t>
  </si>
  <si>
    <t>(n)</t>
  </si>
  <si>
    <t>(o)</t>
  </si>
  <si>
    <t>(p)</t>
  </si>
  <si>
    <t>(q)</t>
  </si>
  <si>
    <t>(r)</t>
  </si>
  <si>
    <t>(s)</t>
  </si>
  <si>
    <t>Does not include ADJ (over/under collection)</t>
  </si>
  <si>
    <t xml:space="preserve">  Lubbock Power &amp; Light</t>
  </si>
  <si>
    <t xml:space="preserve">  Docket No. 52989</t>
  </si>
  <si>
    <t xml:space="preserve">  Oncor Electric Delivery Average 4-CP Load (as shown below)</t>
  </si>
  <si>
    <t>ERCOT kW</t>
  </si>
  <si>
    <t>Oncor Electric Delivery kW</t>
  </si>
  <si>
    <t>Present TCOS/WTS revenues prior to this filing</t>
  </si>
  <si>
    <t>Third Party</t>
  </si>
  <si>
    <t>Affiliate</t>
  </si>
  <si>
    <t xml:space="preserve">       CALCULATION OF TRANSMISSION REVENUE REQUIREMENT FOR RETAIL DELIVERY SERVICE</t>
  </si>
  <si>
    <t>(t)</t>
  </si>
  <si>
    <t>Non-Cash</t>
  </si>
  <si>
    <t>Material &amp; Supplies</t>
  </si>
  <si>
    <t>Amortization of Reg Assets to Be Reviewed - II-E-4.1</t>
  </si>
  <si>
    <t>Amortization of Reg Assets Previously Reviewed (Docket 53601) - II-E-4.1</t>
  </si>
  <si>
    <t xml:space="preserve">  Bluebonnet Electric Coop</t>
  </si>
  <si>
    <t xml:space="preserve">  Fayette Electric Coop</t>
  </si>
  <si>
    <t xml:space="preserve">  Guadalupe Valley Electric Coop</t>
  </si>
  <si>
    <t xml:space="preserve">  Kerrville Public Utility Board</t>
  </si>
  <si>
    <t xml:space="preserve">  New Braunfels Utilities</t>
  </si>
  <si>
    <t xml:space="preserve">  Pedernales Electric Coop</t>
  </si>
  <si>
    <t>Jun 2024</t>
  </si>
  <si>
    <t>Jul 2024</t>
  </si>
  <si>
    <t>Aug 2024</t>
  </si>
  <si>
    <t>Sep 2024</t>
  </si>
  <si>
    <t xml:space="preserve">  East Texas Electric - Credit Rider</t>
  </si>
  <si>
    <t>uses 2021 4CP</t>
  </si>
  <si>
    <t xml:space="preserve">  Lubbock -  WTS Credit Rider</t>
  </si>
  <si>
    <t xml:space="preserve">  City of College Station - RCE Surcharge</t>
  </si>
  <si>
    <t xml:space="preserve">  LCRA TSC RCE Surcharge</t>
  </si>
  <si>
    <t>uses 2022 4CP</t>
  </si>
  <si>
    <t>uses 2023 4CP</t>
  </si>
  <si>
    <t xml:space="preserve">  New Braunfels RCE Surcharge</t>
  </si>
  <si>
    <t>Oncor's TCOS rate currently in effect, prior to this filing (from Docket No. 57610)</t>
  </si>
  <si>
    <t>Oncor's TCOS rate in effect during the test year (from Docket No. 55282, effective 09/11/2023)</t>
  </si>
  <si>
    <t>SPONSOR: R. PRACHYL</t>
  </si>
  <si>
    <t>Other Franchise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</si>
</sst>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* #,##0.000_);_(* \(#,##0.000\);_(* &quot;-&quot;??_);_(@_)"/>
    <numFmt numFmtId="167" formatCode="&quot;$&quot;#,##0"/>
    <numFmt numFmtId="168" formatCode="#,##0.0"/>
    <numFmt numFmtId="169" formatCode="&quot;$&quot;#,##0.000000000"/>
    <numFmt numFmtId="170" formatCode="0.000000000"/>
    <numFmt numFmtId="171" formatCode="&quot;$&quot;#,##0.00"/>
    <numFmt numFmtId="172" formatCode="#,##0.000"/>
    <numFmt numFmtId="173" formatCode="_(&quot;$&quot;* #,##0.000000000_);_(&quot;$&quot;* \(#,##0.000000000\);_(&quot;$&quot;* &quot;-&quot;?????????_);_(@_)"/>
  </numFmts>
  <fonts count="36" x14ac:knownFonts="1">
    <font>
      <sz val="10"/>
      <name val="Arial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vertAlign val="superscript"/>
      <sz val="10"/>
      <name val="Arial"/>
      <family val="2"/>
    </font>
    <font>
      <u/>
      <sz val="8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u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51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5" borderId="0" applyNumberFormat="0" applyBorder="0" applyAlignment="0" applyProtection="0"/>
    <xf numFmtId="0" fontId="16" fillId="8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8" fillId="3" borderId="0" applyNumberFormat="0" applyBorder="0" applyAlignment="0" applyProtection="0"/>
    <xf numFmtId="0" fontId="19" fillId="20" borderId="1" applyNumberFormat="0" applyAlignment="0" applyProtection="0"/>
    <xf numFmtId="0" fontId="20" fillId="21" borderId="2" applyNumberFormat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1" applyNumberFormat="0" applyAlignment="0" applyProtection="0"/>
    <xf numFmtId="0" fontId="27" fillId="0" borderId="6" applyNumberFormat="0" applyFill="0" applyAlignment="0" applyProtection="0"/>
    <xf numFmtId="0" fontId="28" fillId="22" borderId="0" applyNumberFormat="0" applyBorder="0" applyAlignment="0" applyProtection="0"/>
    <xf numFmtId="0" fontId="16" fillId="23" borderId="7" applyNumberFormat="0" applyFont="0" applyAlignment="0" applyProtection="0"/>
    <xf numFmtId="0" fontId="29" fillId="20" borderId="8" applyNumberFormat="0" applyAlignment="0" applyProtection="0"/>
    <xf numFmtId="9" fontId="1" fillId="0" borderId="0" applyFont="0" applyFill="0" applyBorder="0" applyAlignment="0" applyProtection="0"/>
    <xf numFmtId="0" fontId="2" fillId="0" borderId="0" applyNumberFormat="0" applyFont="0" applyFill="0" applyBorder="0" applyAlignment="0" applyProtection="0">
      <alignment horizontal="left"/>
    </xf>
    <xf numFmtId="15" fontId="2" fillId="0" borderId="0" applyFont="0" applyFill="0" applyBorder="0" applyAlignment="0" applyProtection="0"/>
    <xf numFmtId="4" fontId="2" fillId="0" borderId="0" applyFont="0" applyFill="0" applyBorder="0" applyAlignment="0" applyProtection="0"/>
    <xf numFmtId="0" fontId="3" fillId="0" borderId="9">
      <alignment horizontal="center"/>
    </xf>
    <xf numFmtId="3" fontId="2" fillId="0" borderId="0" applyFont="0" applyFill="0" applyBorder="0" applyAlignment="0" applyProtection="0"/>
    <xf numFmtId="0" fontId="2" fillId="24" borderId="0" applyNumberFormat="0" applyFont="0" applyBorder="0" applyAlignment="0" applyProtection="0"/>
    <xf numFmtId="0" fontId="30" fillId="0" borderId="0" applyNumberFormat="0" applyFill="0" applyBorder="0" applyAlignment="0" applyProtection="0"/>
    <xf numFmtId="0" fontId="31" fillId="0" borderId="10" applyNumberFormat="0" applyFill="0" applyAlignment="0" applyProtection="0"/>
    <xf numFmtId="0" fontId="32" fillId="0" borderId="0" applyNumberFormat="0" applyFill="0" applyBorder="0" applyAlignment="0" applyProtection="0"/>
  </cellStyleXfs>
  <cellXfs count="220"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Fill="1" applyAlignment="1">
      <alignment horizontal="center"/>
    </xf>
    <xf numFmtId="0" fontId="6" fillId="0" borderId="0" xfId="0" applyFont="1" applyBorder="1"/>
    <xf numFmtId="0" fontId="6" fillId="0" borderId="0" xfId="0" applyFont="1" applyFill="1" applyBorder="1"/>
    <xf numFmtId="0" fontId="6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0" fontId="7" fillId="0" borderId="0" xfId="0" applyFont="1" applyFill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0" xfId="0" quotePrefix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Fill="1"/>
    <xf numFmtId="165" fontId="6" fillId="0" borderId="0" xfId="29" applyNumberFormat="1" applyFont="1" applyFill="1" applyProtection="1">
      <protection locked="0"/>
    </xf>
    <xf numFmtId="6" fontId="6" fillId="0" borderId="0" xfId="0" applyNumberFormat="1" applyFont="1"/>
    <xf numFmtId="166" fontId="8" fillId="0" borderId="0" xfId="28" applyNumberFormat="1" applyFont="1" applyFill="1"/>
    <xf numFmtId="166" fontId="8" fillId="0" borderId="0" xfId="28" applyNumberFormat="1" applyFont="1"/>
    <xf numFmtId="166" fontId="6" fillId="0" borderId="0" xfId="28" applyNumberFormat="1" applyFont="1" applyAlignment="1">
      <alignment horizontal="center"/>
    </xf>
    <xf numFmtId="164" fontId="8" fillId="0" borderId="0" xfId="28" applyNumberFormat="1" applyFont="1" applyFill="1" applyProtection="1">
      <protection locked="0"/>
    </xf>
    <xf numFmtId="166" fontId="6" fillId="0" borderId="0" xfId="28" applyNumberFormat="1" applyFont="1"/>
    <xf numFmtId="164" fontId="9" fillId="0" borderId="0" xfId="28" applyNumberFormat="1" applyFont="1" applyFill="1" applyProtection="1"/>
    <xf numFmtId="164" fontId="6" fillId="0" borderId="0" xfId="28" applyNumberFormat="1" applyFont="1" applyFill="1" applyProtection="1">
      <protection locked="0"/>
    </xf>
    <xf numFmtId="38" fontId="6" fillId="0" borderId="0" xfId="0" applyNumberFormat="1" applyFont="1" applyFill="1"/>
    <xf numFmtId="40" fontId="6" fillId="0" borderId="0" xfId="0" applyNumberFormat="1" applyFont="1" applyFill="1"/>
    <xf numFmtId="7" fontId="0" fillId="0" borderId="0" xfId="0" applyNumberFormat="1"/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68" fontId="0" fillId="0" borderId="15" xfId="0" applyNumberFormat="1" applyBorder="1"/>
    <xf numFmtId="0" fontId="0" fillId="0" borderId="16" xfId="0" applyBorder="1"/>
    <xf numFmtId="0" fontId="0" fillId="0" borderId="17" xfId="0" applyBorder="1"/>
    <xf numFmtId="0" fontId="0" fillId="0" borderId="11" xfId="0" applyBorder="1"/>
    <xf numFmtId="168" fontId="0" fillId="0" borderId="11" xfId="0" applyNumberForma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168" fontId="0" fillId="0" borderId="20" xfId="0" applyNumberFormat="1" applyBorder="1"/>
    <xf numFmtId="0" fontId="0" fillId="0" borderId="21" xfId="0" applyBorder="1"/>
    <xf numFmtId="0" fontId="0" fillId="25" borderId="22" xfId="0" applyFill="1" applyBorder="1"/>
    <xf numFmtId="0" fontId="0" fillId="25" borderId="12" xfId="0" applyFill="1" applyBorder="1"/>
    <xf numFmtId="0" fontId="0" fillId="25" borderId="23" xfId="0" applyFill="1" applyBorder="1"/>
    <xf numFmtId="0" fontId="0" fillId="25" borderId="0" xfId="0" applyFill="1"/>
    <xf numFmtId="0" fontId="0" fillId="25" borderId="24" xfId="0" applyFill="1" applyBorder="1"/>
    <xf numFmtId="0" fontId="0" fillId="0" borderId="24" xfId="0" applyBorder="1"/>
    <xf numFmtId="0" fontId="0" fillId="25" borderId="0" xfId="0" applyFill="1" applyBorder="1"/>
    <xf numFmtId="0" fontId="0" fillId="25" borderId="13" xfId="0" applyFill="1" applyBorder="1"/>
    <xf numFmtId="0" fontId="0" fillId="25" borderId="26" xfId="0" applyFill="1" applyBorder="1"/>
    <xf numFmtId="0" fontId="0" fillId="25" borderId="9" xfId="0" applyFill="1" applyBorder="1"/>
    <xf numFmtId="0" fontId="0" fillId="25" borderId="27" xfId="0" applyFill="1" applyBorder="1"/>
    <xf numFmtId="0" fontId="4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17" fontId="4" fillId="0" borderId="0" xfId="0" quotePrefix="1" applyNumberFormat="1" applyFont="1" applyAlignment="1">
      <alignment horizontal="right"/>
    </xf>
    <xf numFmtId="168" fontId="4" fillId="0" borderId="0" xfId="0" applyNumberFormat="1" applyFont="1"/>
    <xf numFmtId="0" fontId="4" fillId="0" borderId="0" xfId="0" quotePrefix="1" applyFont="1" applyAlignment="1">
      <alignment horizontal="right"/>
    </xf>
    <xf numFmtId="168" fontId="4" fillId="0" borderId="0" xfId="0" applyNumberFormat="1" applyFont="1" applyBorder="1"/>
    <xf numFmtId="0" fontId="12" fillId="0" borderId="0" xfId="0" applyFont="1" applyAlignment="1">
      <alignment horizontal="right"/>
    </xf>
    <xf numFmtId="168" fontId="12" fillId="0" borderId="0" xfId="0" applyNumberFormat="1" applyFont="1" applyBorder="1"/>
    <xf numFmtId="43" fontId="4" fillId="0" borderId="0" xfId="28" applyFont="1"/>
    <xf numFmtId="0" fontId="7" fillId="0" borderId="0" xfId="0" quotePrefix="1" applyFont="1" applyAlignment="1">
      <alignment horizontal="center"/>
    </xf>
    <xf numFmtId="0" fontId="7" fillId="0" borderId="0" xfId="0" quotePrefix="1" applyFont="1" applyAlignment="1"/>
    <xf numFmtId="0" fontId="7" fillId="0" borderId="0" xfId="0" applyFont="1" applyAlignment="1"/>
    <xf numFmtId="0" fontId="7" fillId="0" borderId="0" xfId="0" applyFont="1"/>
    <xf numFmtId="14" fontId="7" fillId="0" borderId="0" xfId="0" applyNumberFormat="1" applyFont="1" applyAlignment="1">
      <alignment horizontal="center"/>
    </xf>
    <xf numFmtId="0" fontId="13" fillId="0" borderId="0" xfId="0" applyFont="1"/>
    <xf numFmtId="165" fontId="8" fillId="0" borderId="0" xfId="29" applyNumberFormat="1" applyFont="1" applyFill="1" applyProtection="1">
      <protection locked="0"/>
    </xf>
    <xf numFmtId="0" fontId="7" fillId="0" borderId="0" xfId="0" applyFont="1" applyAlignment="1" applyProtection="1">
      <alignment horizontal="left"/>
      <protection locked="0"/>
    </xf>
    <xf numFmtId="43" fontId="7" fillId="0" borderId="0" xfId="0" applyNumberFormat="1" applyFont="1" applyAlignment="1" applyProtection="1">
      <alignment horizontal="left"/>
      <protection locked="0"/>
    </xf>
    <xf numFmtId="0" fontId="14" fillId="0" borderId="0" xfId="0" applyFont="1" applyAlignment="1">
      <alignment horizontal="left" indent="1"/>
    </xf>
    <xf numFmtId="0" fontId="6" fillId="0" borderId="0" xfId="0" applyFont="1" applyAlignment="1">
      <alignment horizontal="left" indent="2"/>
    </xf>
    <xf numFmtId="0" fontId="6" fillId="0" borderId="0" xfId="0" applyFont="1" applyAlignment="1">
      <alignment horizontal="left" indent="4"/>
    </xf>
    <xf numFmtId="164" fontId="6" fillId="0" borderId="0" xfId="28" applyNumberFormat="1" applyFont="1" applyFill="1" applyBorder="1" applyProtection="1">
      <protection locked="0"/>
    </xf>
    <xf numFmtId="164" fontId="8" fillId="0" borderId="0" xfId="28" applyNumberFormat="1" applyFont="1" applyFill="1" applyBorder="1" applyProtection="1">
      <protection locked="0"/>
    </xf>
    <xf numFmtId="38" fontId="9" fillId="0" borderId="0" xfId="0" applyNumberFormat="1" applyFont="1" applyFill="1" applyBorder="1" applyProtection="1">
      <protection locked="0"/>
    </xf>
    <xf numFmtId="165" fontId="6" fillId="0" borderId="0" xfId="29" applyNumberFormat="1" applyFont="1" applyFill="1" applyBorder="1"/>
    <xf numFmtId="38" fontId="6" fillId="0" borderId="0" xfId="0" applyNumberFormat="1" applyFont="1" applyFill="1" applyBorder="1"/>
    <xf numFmtId="164" fontId="6" fillId="0" borderId="0" xfId="28" applyNumberFormat="1" applyFont="1" applyFill="1" applyBorder="1"/>
    <xf numFmtId="164" fontId="6" fillId="0" borderId="11" xfId="28" applyNumberFormat="1" applyFont="1" applyFill="1" applyBorder="1"/>
    <xf numFmtId="164" fontId="6" fillId="0" borderId="0" xfId="0" applyNumberFormat="1" applyFont="1" applyFill="1"/>
    <xf numFmtId="164" fontId="6" fillId="0" borderId="0" xfId="0" applyNumberFormat="1" applyFont="1"/>
    <xf numFmtId="0" fontId="6" fillId="0" borderId="0" xfId="0" applyFont="1" applyFill="1" applyAlignment="1">
      <alignment horizontal="center"/>
    </xf>
    <xf numFmtId="0" fontId="6" fillId="0" borderId="0" xfId="0" applyFont="1" applyFill="1" applyAlignment="1">
      <alignment horizontal="left" indent="2"/>
    </xf>
    <xf numFmtId="164" fontId="6" fillId="0" borderId="11" xfId="28" applyNumberFormat="1" applyFont="1" applyFill="1" applyBorder="1" applyProtection="1">
      <protection locked="0"/>
    </xf>
    <xf numFmtId="164" fontId="6" fillId="0" borderId="0" xfId="28" applyNumberFormat="1" applyFont="1" applyFill="1"/>
    <xf numFmtId="166" fontId="6" fillId="0" borderId="0" xfId="28" applyNumberFormat="1" applyFont="1" applyFill="1" applyAlignment="1">
      <alignment horizontal="center"/>
    </xf>
    <xf numFmtId="0" fontId="15" fillId="0" borderId="0" xfId="0" applyFont="1"/>
    <xf numFmtId="43" fontId="15" fillId="0" borderId="0" xfId="28" applyFont="1"/>
    <xf numFmtId="43" fontId="15" fillId="0" borderId="0" xfId="0" applyNumberFormat="1" applyFont="1"/>
    <xf numFmtId="0" fontId="1" fillId="0" borderId="15" xfId="0" applyFont="1" applyBorder="1"/>
    <xf numFmtId="0" fontId="1" fillId="0" borderId="11" xfId="0" applyFont="1" applyBorder="1"/>
    <xf numFmtId="0" fontId="10" fillId="0" borderId="20" xfId="0" applyFont="1" applyBorder="1"/>
    <xf numFmtId="0" fontId="10" fillId="0" borderId="15" xfId="0" applyFont="1" applyBorder="1"/>
    <xf numFmtId="0" fontId="10" fillId="0" borderId="11" xfId="0" applyFont="1" applyBorder="1"/>
    <xf numFmtId="43" fontId="6" fillId="0" borderId="0" xfId="0" applyNumberFormat="1" applyFont="1" applyFill="1"/>
    <xf numFmtId="0" fontId="7" fillId="0" borderId="22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2" xfId="0" applyFont="1" applyBorder="1"/>
    <xf numFmtId="0" fontId="7" fillId="0" borderId="23" xfId="0" applyFont="1" applyBorder="1"/>
    <xf numFmtId="0" fontId="7" fillId="0" borderId="24" xfId="0" applyFont="1" applyBorder="1" applyAlignment="1">
      <alignment horizontal="left"/>
    </xf>
    <xf numFmtId="0" fontId="7" fillId="0" borderId="13" xfId="0" applyFont="1" applyBorder="1"/>
    <xf numFmtId="43" fontId="6" fillId="0" borderId="0" xfId="28" applyNumberFormat="1" applyFont="1" applyFill="1"/>
    <xf numFmtId="43" fontId="6" fillId="0" borderId="0" xfId="28" applyNumberFormat="1" applyFont="1" applyFill="1" applyAlignment="1">
      <alignment horizontal="center"/>
    </xf>
    <xf numFmtId="43" fontId="9" fillId="0" borderId="0" xfId="28" applyNumberFormat="1" applyFont="1" applyFill="1" applyAlignment="1" applyProtection="1">
      <alignment horizontal="center"/>
      <protection locked="0"/>
    </xf>
    <xf numFmtId="166" fontId="6" fillId="0" borderId="0" xfId="28" applyNumberFormat="1" applyFont="1" applyFill="1"/>
    <xf numFmtId="164" fontId="8" fillId="0" borderId="0" xfId="28" applyNumberFormat="1" applyFont="1" applyFill="1" applyBorder="1"/>
    <xf numFmtId="0" fontId="0" fillId="0" borderId="0" xfId="0" applyFill="1" applyBorder="1"/>
    <xf numFmtId="8" fontId="6" fillId="0" borderId="0" xfId="0" applyNumberFormat="1" applyFont="1" applyFill="1"/>
    <xf numFmtId="9" fontId="6" fillId="0" borderId="0" xfId="0" applyNumberFormat="1" applyFont="1" applyFill="1" applyBorder="1"/>
    <xf numFmtId="164" fontId="6" fillId="0" borderId="30" xfId="0" applyNumberFormat="1" applyFont="1" applyFill="1" applyBorder="1"/>
    <xf numFmtId="10" fontId="0" fillId="0" borderId="0" xfId="41" applyNumberFormat="1" applyFont="1"/>
    <xf numFmtId="0" fontId="6" fillId="0" borderId="0" xfId="0" applyFont="1" applyAlignment="1">
      <alignment horizontal="left" indent="6"/>
    </xf>
    <xf numFmtId="170" fontId="6" fillId="0" borderId="15" xfId="0" applyNumberFormat="1" applyFont="1" applyBorder="1"/>
    <xf numFmtId="17" fontId="4" fillId="0" borderId="0" xfId="0" quotePrefix="1" applyNumberFormat="1" applyFont="1" applyFill="1" applyAlignment="1">
      <alignment horizontal="right"/>
    </xf>
    <xf numFmtId="168" fontId="4" fillId="0" borderId="0" xfId="0" applyNumberFormat="1" applyFont="1" applyFill="1"/>
    <xf numFmtId="0" fontId="0" fillId="0" borderId="0" xfId="0" applyFill="1"/>
    <xf numFmtId="170" fontId="4" fillId="0" borderId="0" xfId="0" quotePrefix="1" applyNumberFormat="1" applyFont="1" applyFill="1"/>
    <xf numFmtId="170" fontId="4" fillId="0" borderId="0" xfId="0" quotePrefix="1" applyNumberFormat="1" applyFont="1"/>
    <xf numFmtId="0" fontId="1" fillId="0" borderId="0" xfId="0" applyFont="1"/>
    <xf numFmtId="168" fontId="0" fillId="0" borderId="0" xfId="0" applyNumberFormat="1" applyBorder="1"/>
    <xf numFmtId="0" fontId="10" fillId="0" borderId="0" xfId="0" applyFont="1" applyBorder="1"/>
    <xf numFmtId="10" fontId="1" fillId="0" borderId="0" xfId="41" applyNumberFormat="1" applyFont="1"/>
    <xf numFmtId="0" fontId="7" fillId="0" borderId="32" xfId="0" applyFont="1" applyBorder="1"/>
    <xf numFmtId="0" fontId="7" fillId="0" borderId="15" xfId="0" applyFont="1" applyBorder="1"/>
    <xf numFmtId="39" fontId="7" fillId="0" borderId="33" xfId="0" applyNumberFormat="1" applyFont="1" applyBorder="1"/>
    <xf numFmtId="171" fontId="0" fillId="0" borderId="0" xfId="0" applyNumberFormat="1"/>
    <xf numFmtId="172" fontId="4" fillId="0" borderId="0" xfId="0" applyNumberFormat="1" applyFont="1" applyFill="1"/>
    <xf numFmtId="172" fontId="4" fillId="0" borderId="0" xfId="0" applyNumberFormat="1" applyFont="1"/>
    <xf numFmtId="172" fontId="12" fillId="0" borderId="25" xfId="0" applyNumberFormat="1" applyFont="1" applyBorder="1"/>
    <xf numFmtId="167" fontId="15" fillId="0" borderId="0" xfId="0" applyNumberFormat="1" applyFont="1"/>
    <xf numFmtId="0" fontId="1" fillId="0" borderId="0" xfId="0" applyFont="1" applyAlignment="1">
      <alignment horizontal="right"/>
    </xf>
    <xf numFmtId="44" fontId="0" fillId="0" borderId="0" xfId="0" applyNumberFormat="1"/>
    <xf numFmtId="0" fontId="1" fillId="0" borderId="0" xfId="0" applyFont="1" applyAlignment="1">
      <alignment horizontal="left" indent="4"/>
    </xf>
    <xf numFmtId="41" fontId="7" fillId="0" borderId="0" xfId="0" applyNumberFormat="1" applyFont="1" applyBorder="1"/>
    <xf numFmtId="0" fontId="1" fillId="0" borderId="0" xfId="0" applyFont="1" applyBorder="1"/>
    <xf numFmtId="44" fontId="7" fillId="0" borderId="25" xfId="0" applyNumberFormat="1" applyFont="1" applyBorder="1"/>
    <xf numFmtId="43" fontId="0" fillId="0" borderId="0" xfId="0" applyNumberFormat="1"/>
    <xf numFmtId="0" fontId="1" fillId="0" borderId="0" xfId="0" applyFont="1" applyAlignment="1">
      <alignment horizontal="left" indent="2"/>
    </xf>
    <xf numFmtId="41" fontId="6" fillId="0" borderId="0" xfId="0" applyNumberFormat="1" applyFont="1"/>
    <xf numFmtId="41" fontId="7" fillId="0" borderId="0" xfId="0" applyNumberFormat="1" applyFont="1"/>
    <xf numFmtId="41" fontId="1" fillId="0" borderId="0" xfId="0" applyNumberFormat="1" applyFont="1"/>
    <xf numFmtId="0" fontId="1" fillId="0" borderId="0" xfId="0" applyFont="1" applyFill="1" applyBorder="1" applyAlignment="1">
      <alignment horizontal="center"/>
    </xf>
    <xf numFmtId="164" fontId="34" fillId="0" borderId="0" xfId="28" applyNumberFormat="1" applyFont="1" applyFill="1" applyBorder="1" applyProtection="1">
      <protection locked="0"/>
    </xf>
    <xf numFmtId="0" fontId="35" fillId="26" borderId="0" xfId="0" applyFont="1" applyFill="1"/>
    <xf numFmtId="0" fontId="1" fillId="0" borderId="19" xfId="0" applyFont="1" applyBorder="1"/>
    <xf numFmtId="164" fontId="8" fillId="0" borderId="34" xfId="28" applyNumberFormat="1" applyFont="1" applyFill="1" applyBorder="1"/>
    <xf numFmtId="173" fontId="1" fillId="0" borderId="0" xfId="29" applyNumberFormat="1" applyFont="1"/>
    <xf numFmtId="173" fontId="1" fillId="0" borderId="0" xfId="0" applyNumberFormat="1" applyFont="1"/>
    <xf numFmtId="39" fontId="7" fillId="0" borderId="0" xfId="0" applyNumberFormat="1" applyFont="1" applyBorder="1"/>
    <xf numFmtId="44" fontId="0" fillId="0" borderId="0" xfId="29" applyFont="1"/>
    <xf numFmtId="170" fontId="4" fillId="0" borderId="0" xfId="0" applyNumberFormat="1" applyFont="1"/>
    <xf numFmtId="164" fontId="1" fillId="0" borderId="0" xfId="28" applyNumberFormat="1" applyFont="1" applyFill="1" applyProtection="1">
      <protection locked="0"/>
    </xf>
    <xf numFmtId="164" fontId="1" fillId="0" borderId="0" xfId="28" applyNumberFormat="1" applyFont="1" applyFill="1" applyBorder="1" applyProtection="1">
      <protection locked="0"/>
    </xf>
    <xf numFmtId="0" fontId="14" fillId="0" borderId="0" xfId="0" applyFont="1" applyBorder="1" applyAlignment="1">
      <alignment horizontal="right"/>
    </xf>
    <xf numFmtId="0" fontId="1" fillId="0" borderId="0" xfId="0" applyFont="1" applyFill="1" applyAlignment="1">
      <alignment horizontal="left" indent="2"/>
    </xf>
    <xf numFmtId="0" fontId="1" fillId="0" borderId="0" xfId="0" applyFont="1" applyFill="1"/>
    <xf numFmtId="41" fontId="6" fillId="0" borderId="0" xfId="0" applyNumberFormat="1" applyFont="1" applyFill="1"/>
    <xf numFmtId="41" fontId="7" fillId="0" borderId="0" xfId="0" applyNumberFormat="1" applyFont="1" applyFill="1"/>
    <xf numFmtId="0" fontId="6" fillId="0" borderId="0" xfId="0" applyFont="1" applyFill="1" applyAlignment="1">
      <alignment horizontal="left" indent="4"/>
    </xf>
    <xf numFmtId="0" fontId="1" fillId="0" borderId="14" xfId="0" applyFont="1" applyBorder="1"/>
    <xf numFmtId="0" fontId="7" fillId="0" borderId="0" xfId="0" applyFont="1" applyAlignment="1" applyProtection="1">
      <alignment horizontal="left"/>
      <protection locked="0"/>
    </xf>
    <xf numFmtId="0" fontId="0" fillId="0" borderId="34" xfId="0" applyBorder="1"/>
    <xf numFmtId="168" fontId="0" fillId="0" borderId="34" xfId="0" applyNumberFormat="1" applyBorder="1"/>
    <xf numFmtId="0" fontId="10" fillId="0" borderId="34" xfId="0" applyFont="1" applyBorder="1"/>
    <xf numFmtId="43" fontId="0" fillId="0" borderId="0" xfId="28" applyFont="1"/>
    <xf numFmtId="0" fontId="1" fillId="0" borderId="0" xfId="0" applyFont="1" applyBorder="1" applyAlignment="1">
      <alignment horizontal="center"/>
    </xf>
    <xf numFmtId="44" fontId="0" fillId="0" borderId="0" xfId="0" applyNumberFormat="1" applyBorder="1"/>
    <xf numFmtId="40" fontId="34" fillId="0" borderId="0" xfId="0" applyNumberFormat="1" applyFont="1" applyFill="1"/>
    <xf numFmtId="164" fontId="34" fillId="0" borderId="0" xfId="0" applyNumberFormat="1" applyFont="1" applyFill="1"/>
    <xf numFmtId="41" fontId="0" fillId="0" borderId="0" xfId="0" applyNumberFormat="1"/>
    <xf numFmtId="165" fontId="0" fillId="0" borderId="0" xfId="0" applyNumberFormat="1" applyBorder="1"/>
    <xf numFmtId="165" fontId="13" fillId="0" borderId="0" xfId="0" applyNumberFormat="1" applyFont="1" applyBorder="1"/>
    <xf numFmtId="0" fontId="0" fillId="0" borderId="17" xfId="0" applyFill="1" applyBorder="1"/>
    <xf numFmtId="0" fontId="0" fillId="0" borderId="11" xfId="0" applyFill="1" applyBorder="1"/>
    <xf numFmtId="168" fontId="0" fillId="0" borderId="11" xfId="0" applyNumberFormat="1" applyFill="1" applyBorder="1"/>
    <xf numFmtId="170" fontId="6" fillId="0" borderId="15" xfId="0" applyNumberFormat="1" applyFont="1" applyFill="1" applyBorder="1"/>
    <xf numFmtId="0" fontId="10" fillId="0" borderId="11" xfId="0" applyFont="1" applyFill="1" applyBorder="1"/>
    <xf numFmtId="0" fontId="0" fillId="0" borderId="18" xfId="0" applyFill="1" applyBorder="1"/>
    <xf numFmtId="0" fontId="0" fillId="0" borderId="14" xfId="0" applyFill="1" applyBorder="1"/>
    <xf numFmtId="0" fontId="0" fillId="0" borderId="15" xfId="0" applyFill="1" applyBorder="1"/>
    <xf numFmtId="168" fontId="0" fillId="0" borderId="15" xfId="0" applyNumberFormat="1" applyFill="1" applyBorder="1"/>
    <xf numFmtId="169" fontId="0" fillId="0" borderId="15" xfId="0" applyNumberFormat="1" applyFill="1" applyBorder="1"/>
    <xf numFmtId="0" fontId="10" fillId="0" borderId="15" xfId="0" applyFont="1" applyFill="1" applyBorder="1" applyAlignment="1">
      <alignment horizontal="left"/>
    </xf>
    <xf numFmtId="0" fontId="0" fillId="0" borderId="16" xfId="0" applyFill="1" applyBorder="1"/>
    <xf numFmtId="0" fontId="0" fillId="0" borderId="24" xfId="0" applyFill="1" applyBorder="1"/>
    <xf numFmtId="0" fontId="0" fillId="0" borderId="13" xfId="0" applyFill="1" applyBorder="1"/>
    <xf numFmtId="169" fontId="0" fillId="0" borderId="25" xfId="0" applyNumberFormat="1" applyFill="1" applyBorder="1"/>
    <xf numFmtId="0" fontId="0" fillId="0" borderId="0" xfId="0" quotePrefix="1" applyFill="1" applyBorder="1"/>
    <xf numFmtId="0" fontId="0" fillId="0" borderId="26" xfId="0" applyFill="1" applyBorder="1"/>
    <xf numFmtId="0" fontId="0" fillId="0" borderId="9" xfId="0" applyFill="1" applyBorder="1"/>
    <xf numFmtId="169" fontId="0" fillId="0" borderId="9" xfId="0" applyNumberFormat="1" applyFill="1" applyBorder="1"/>
    <xf numFmtId="0" fontId="0" fillId="0" borderId="27" xfId="0" applyFill="1" applyBorder="1"/>
    <xf numFmtId="0" fontId="0" fillId="0" borderId="0" xfId="0" applyFill="1" applyAlignment="1"/>
    <xf numFmtId="172" fontId="0" fillId="0" borderId="0" xfId="0" applyNumberFormat="1" applyFill="1"/>
    <xf numFmtId="0" fontId="0" fillId="0" borderId="0" xfId="0" quotePrefix="1" applyFill="1"/>
    <xf numFmtId="169" fontId="0" fillId="0" borderId="0" xfId="0" applyNumberFormat="1" applyFill="1" applyBorder="1"/>
    <xf numFmtId="0" fontId="7" fillId="0" borderId="28" xfId="0" applyFont="1" applyFill="1" applyBorder="1"/>
    <xf numFmtId="167" fontId="7" fillId="0" borderId="28" xfId="0" applyNumberFormat="1" applyFont="1" applyFill="1" applyBorder="1"/>
    <xf numFmtId="0" fontId="0" fillId="0" borderId="28" xfId="0" applyFill="1" applyBorder="1"/>
    <xf numFmtId="0" fontId="0" fillId="0" borderId="29" xfId="0" applyFill="1" applyBorder="1"/>
    <xf numFmtId="0" fontId="0" fillId="0" borderId="12" xfId="0" applyFill="1" applyBorder="1"/>
    <xf numFmtId="0" fontId="33" fillId="0" borderId="0" xfId="0" applyFont="1" applyFill="1" applyBorder="1"/>
    <xf numFmtId="0" fontId="14" fillId="0" borderId="0" xfId="0" applyFont="1" applyFill="1"/>
    <xf numFmtId="0" fontId="0" fillId="0" borderId="20" xfId="0" applyFill="1" applyBorder="1"/>
    <xf numFmtId="39" fontId="6" fillId="0" borderId="15" xfId="0" applyNumberFormat="1" applyFont="1" applyFill="1" applyBorder="1"/>
    <xf numFmtId="0" fontId="0" fillId="0" borderId="21" xfId="0" applyFill="1" applyBorder="1"/>
    <xf numFmtId="0" fontId="0" fillId="0" borderId="34" xfId="0" applyFill="1" applyBorder="1"/>
    <xf numFmtId="170" fontId="1" fillId="0" borderId="15" xfId="0" applyNumberFormat="1" applyFont="1" applyFill="1" applyBorder="1"/>
    <xf numFmtId="0" fontId="1" fillId="0" borderId="15" xfId="0" applyFont="1" applyFill="1" applyBorder="1"/>
    <xf numFmtId="43" fontId="0" fillId="0" borderId="0" xfId="28" applyNumberFormat="1" applyFont="1"/>
    <xf numFmtId="0" fontId="5" fillId="0" borderId="0" xfId="0" applyFont="1" applyAlignment="1">
      <alignment horizontal="center"/>
    </xf>
    <xf numFmtId="43" fontId="7" fillId="0" borderId="0" xfId="0" applyNumberFormat="1" applyFont="1" applyAlignment="1" applyProtection="1">
      <alignment horizontal="left"/>
      <protection locked="0"/>
    </xf>
    <xf numFmtId="0" fontId="7" fillId="0" borderId="0" xfId="0" applyFont="1" applyAlignment="1" applyProtection="1">
      <alignment horizontal="left"/>
      <protection locked="0"/>
    </xf>
    <xf numFmtId="0" fontId="7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7" fillId="0" borderId="31" xfId="0" applyFont="1" applyFill="1" applyBorder="1" applyAlignment="1">
      <alignment wrapText="1"/>
    </xf>
    <xf numFmtId="0" fontId="0" fillId="0" borderId="28" xfId="0" applyFill="1" applyBorder="1" applyAlignment="1">
      <alignment wrapText="1"/>
    </xf>
  </cellXfs>
  <cellStyles count="5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urrency" xfId="29" builtinId="4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Percent" xfId="41" builtinId="5"/>
    <cellStyle name="PSChar" xfId="42" xr:uid="{00000000-0005-0000-0000-00002A000000}"/>
    <cellStyle name="PSDate" xfId="43" xr:uid="{00000000-0005-0000-0000-00002B000000}"/>
    <cellStyle name="PSDec" xfId="44" xr:uid="{00000000-0005-0000-0000-00002C000000}"/>
    <cellStyle name="PSHeading" xfId="45" xr:uid="{00000000-0005-0000-0000-00002D000000}"/>
    <cellStyle name="PSInt" xfId="46" xr:uid="{00000000-0005-0000-0000-00002E000000}"/>
    <cellStyle name="PSSpacer" xfId="47" xr:uid="{00000000-0005-0000-0000-00002F000000}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152400</xdr:colOff>
      <xdr:row>63</xdr:row>
      <xdr:rowOff>152400</xdr:rowOff>
    </xdr:from>
    <xdr:to>
      <xdr:col>12</xdr:col>
      <xdr:colOff>457200</xdr:colOff>
      <xdr:row>63</xdr:row>
      <xdr:rowOff>228600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H="1" flipV="1">
          <a:off x="5695950" y="9277350"/>
          <a:ext cx="2333625" cy="76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ection%20II%20(Test%20Year%20Data)/Schedule%20D%20(O%20&amp;%20M%20Expense)/Schedule%20II-D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ection%20II%20(Test%20Year%20Data)/Schedule%20F%20(Functionalization%20Factors)/Schedule%20II-F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ection%20II%20(Test%20Year%20Data)/Schedule%20D%20(O%20&amp;%20M%20Expense)/Schedule%20II-D%20Workpapers/WP_II-D%20Adjustment%20Summary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ection%20II%20(Test%20Year%20Data)/Schedule%20E%20(Other%20Items)/Schedule%20II-E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ection%20I%20(Summary)/Schedule%20I-A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Schedule%20Heading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k Sheet"/>
      <sheetName val="II-D-1"/>
      <sheetName val="II-D-1a"/>
      <sheetName val="II-D-1.1"/>
      <sheetName val="II-D-2"/>
      <sheetName val="II-D-2a"/>
      <sheetName val="II-D-2.1"/>
      <sheetName val="II-D-2.2.1"/>
      <sheetName val="II-D-2.2.2"/>
      <sheetName val="II-D-2.2.3"/>
      <sheetName val="II-D-2.2a"/>
      <sheetName val="II-D-2.3"/>
      <sheetName val="II-D-2.4"/>
      <sheetName val="II-D-2.4a"/>
      <sheetName val="II-D-2.5"/>
      <sheetName val="II-D-2.6"/>
      <sheetName val="II-D-2.6a"/>
      <sheetName val="II-D-2.6b"/>
      <sheetName val="II-D-2.6c"/>
      <sheetName val="II-D-2.7 Conf."/>
      <sheetName val="II-D-2.8"/>
      <sheetName val="II-D-2.9"/>
      <sheetName val="II-D-2.9a"/>
      <sheetName val="II-D-2.9b"/>
      <sheetName val="II-D-2.9c"/>
      <sheetName val="II-D-2.9 Attachment 1"/>
      <sheetName val="II-D-3"/>
      <sheetName val="II-D-3.1"/>
      <sheetName val="II-D-3.2"/>
      <sheetName val="II-D-3.3"/>
      <sheetName val="II-D-3.4"/>
      <sheetName val="II-D-3.5"/>
      <sheetName val="II-D-3.6"/>
      <sheetName val="II-D-3.7.1"/>
      <sheetName val="II-D-3.7.2"/>
      <sheetName val="II-D-3.7.3"/>
      <sheetName val="II-D-3.7.4"/>
      <sheetName val="II-D-3.7.4a"/>
      <sheetName val="II-D-3.7.5"/>
      <sheetName val="II-D-3.8.1"/>
      <sheetName val="II-D-3.8.2"/>
      <sheetName val="II-D-3.8.3"/>
      <sheetName val="II-D-3.9.1"/>
      <sheetName val="II-D-3.9.2"/>
      <sheetName val="II-D-3.9.3"/>
      <sheetName val="II-D-3.10"/>
      <sheetName val="II-D-3.10 Attachment 1"/>
      <sheetName val="II-D-4"/>
      <sheetName val="II-D-3.7.3A"/>
      <sheetName val="Schedule II-D"/>
    </sheetNames>
    <sheetDataSet>
      <sheetData sheetId="0">
        <row r="6">
          <cell r="M6">
            <v>5714194.2999999998</v>
          </cell>
        </row>
        <row r="80">
          <cell r="I80">
            <v>389943220.95999992</v>
          </cell>
        </row>
      </sheetData>
      <sheetData sheetId="1">
        <row r="17">
          <cell r="E17">
            <v>5779492.8999999985</v>
          </cell>
        </row>
      </sheetData>
      <sheetData sheetId="2"/>
      <sheetData sheetId="3"/>
      <sheetData sheetId="4">
        <row r="17">
          <cell r="E17">
            <v>133795210.46999998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7">
          <cell r="R17">
            <v>5121359.07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40">
          <cell r="D40">
            <v>19421842</v>
          </cell>
        </row>
      </sheetData>
      <sheetData sheetId="42"/>
      <sheetData sheetId="43"/>
      <sheetData sheetId="44">
        <row r="31">
          <cell r="D31">
            <v>8796773</v>
          </cell>
        </row>
      </sheetData>
      <sheetData sheetId="45"/>
      <sheetData sheetId="46"/>
      <sheetData sheetId="47"/>
      <sheetData sheetId="48" refreshError="1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k Sheet"/>
      <sheetName val="II-F Alloc_Data"/>
      <sheetName val="II-F Alloc_Factor"/>
      <sheetName val="Schedule II-F"/>
    </sheetNames>
    <sheetDataSet>
      <sheetData sheetId="0"/>
      <sheetData sheetId="1">
        <row r="17">
          <cell r="E17">
            <v>51868562.670000002</v>
          </cell>
        </row>
      </sheetData>
      <sheetData sheetId="2">
        <row r="17">
          <cell r="E17">
            <v>0.2248192628221051</v>
          </cell>
        </row>
        <row r="18">
          <cell r="E18">
            <v>7.3528132448274067E-2</v>
          </cell>
          <cell r="F18">
            <v>0</v>
          </cell>
          <cell r="G18">
            <v>0</v>
          </cell>
          <cell r="I18">
            <v>0.85597256320590254</v>
          </cell>
          <cell r="J18">
            <v>0</v>
          </cell>
          <cell r="L18">
            <v>3.7003152829188597E-2</v>
          </cell>
        </row>
        <row r="19">
          <cell r="E19">
            <v>0.43199243934462989</v>
          </cell>
          <cell r="F19">
            <v>4.6018866905154131E-2</v>
          </cell>
          <cell r="G19">
            <v>3.7113577409041062E-4</v>
          </cell>
          <cell r="I19">
            <v>0.49337869279172447</v>
          </cell>
          <cell r="J19">
            <v>3.6757188873826163E-3</v>
          </cell>
          <cell r="L19">
            <v>1.4787500647117518E-2</v>
          </cell>
        </row>
      </sheetData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Summary"/>
      <sheetName val="Labor Summary"/>
      <sheetName val="Template"/>
      <sheetName val="Adj. #1"/>
      <sheetName val="Adj. #2"/>
      <sheetName val="Adj. #3"/>
      <sheetName val="Adj. #4"/>
      <sheetName val="Adj. #5"/>
      <sheetName val="Adj. #6"/>
      <sheetName val="Adj. #7"/>
      <sheetName val="Adj. #8"/>
      <sheetName val="Adj. #9"/>
      <sheetName val="Adj. #10"/>
      <sheetName val="Adj. #11"/>
      <sheetName val="Adj. #12"/>
      <sheetName val="Adj. #13"/>
      <sheetName val="Adj. #14"/>
      <sheetName val="Adj. #15"/>
      <sheetName val="Adj. #16"/>
      <sheetName val="Adj. #17"/>
      <sheetName val="Adj. #18"/>
      <sheetName val="Adj. #19"/>
      <sheetName val="Adj. #20"/>
      <sheetName val="Adj. #21"/>
      <sheetName val="Adj. #22"/>
      <sheetName val="Adj. #23"/>
      <sheetName val="Adj. #24"/>
      <sheetName val="Adj. #25"/>
      <sheetName val="Adj. #26"/>
      <sheetName val="Adj. #27"/>
      <sheetName val="Adj. #28"/>
      <sheetName val="Adj. #29"/>
      <sheetName val="Adj. #30"/>
      <sheetName val="Adj. #31"/>
      <sheetName val="Adj. #32"/>
      <sheetName val="Adj. #33"/>
      <sheetName val="Adj. #34"/>
      <sheetName val="Adj. #35"/>
      <sheetName val="Adj. #36"/>
      <sheetName val="Adj. #37"/>
      <sheetName val="Adj. #38"/>
      <sheetName val="Adj. #39"/>
      <sheetName val="Adj. #40"/>
      <sheetName val="Adj. #41"/>
      <sheetName val="Adj. #42"/>
      <sheetName val="Adj. #43"/>
      <sheetName val="Adj. #44"/>
      <sheetName val="Adj. #45"/>
    </sheetNames>
    <sheetDataSet>
      <sheetData sheetId="0">
        <row r="85">
          <cell r="D85">
            <v>133024374.4000001</v>
          </cell>
        </row>
        <row r="94">
          <cell r="D94">
            <v>-5115880.75</v>
          </cell>
        </row>
        <row r="95">
          <cell r="D95">
            <v>365748.34</v>
          </cell>
        </row>
        <row r="98">
          <cell r="D98">
            <v>2064850.82</v>
          </cell>
        </row>
      </sheetData>
      <sheetData sheetId="1">
        <row r="108">
          <cell r="D108">
            <v>-7880990.5199999996</v>
          </cell>
        </row>
      </sheetData>
      <sheetData sheetId="2"/>
      <sheetData sheetId="3"/>
      <sheetData sheetId="4">
        <row r="11">
          <cell r="F11">
            <v>12691180.663816001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k Sheet"/>
      <sheetName val="II-E-1"/>
      <sheetName val="II-E-2"/>
      <sheetName val="II-E-2.1"/>
      <sheetName val="II-E-3 Attachment"/>
      <sheetName val="II-E-3"/>
      <sheetName val="II-E-3.1"/>
      <sheetName val="II-E-3.2a"/>
      <sheetName val="II-E-3.2b"/>
      <sheetName val="II-E-3.3"/>
      <sheetName val="II-E-3.4"/>
      <sheetName val="II-E-3.5"/>
      <sheetName val="II-E-3.5a"/>
      <sheetName val="II-E-3.6"/>
      <sheetName val="II-E-3.7"/>
      <sheetName val="II-E-3.8"/>
      <sheetName val="II-E-3.9"/>
      <sheetName val="II-E-3.10"/>
      <sheetName val="II-E-3.11"/>
      <sheetName val="II-E-3.12"/>
      <sheetName val="II-E-3.13"/>
      <sheetName val="II-E-3.14"/>
      <sheetName val="II-E-3.15"/>
      <sheetName val="II-E-3.16"/>
      <sheetName val="II-E-3.17"/>
      <sheetName val="II-E-3.18"/>
      <sheetName val="II-E-3.19"/>
      <sheetName val="II-E-3.20"/>
      <sheetName val="II-E-3.21"/>
      <sheetName val="II-E-3.22"/>
      <sheetName val="II-E-3.23"/>
      <sheetName val="II-E-3.24"/>
      <sheetName val="II-E-4"/>
      <sheetName val="II-E-4.1"/>
      <sheetName val="II-E-4.1.1"/>
      <sheetName val="II-E-4.2"/>
      <sheetName val="II-E-4.3"/>
      <sheetName val="II-E-4.4"/>
      <sheetName val="II-E-4.5"/>
      <sheetName val="II-E-4.6"/>
      <sheetName val="II-E-5"/>
      <sheetName val="Schedule II-E"/>
    </sheetNames>
    <sheetDataSet>
      <sheetData sheetId="0">
        <row r="2">
          <cell r="J2">
            <v>1258956234.8500001</v>
          </cell>
        </row>
        <row r="56">
          <cell r="F56">
            <v>20367418.100000001</v>
          </cell>
        </row>
        <row r="57">
          <cell r="F57">
            <v>442124.47</v>
          </cell>
        </row>
        <row r="58">
          <cell r="F58">
            <v>420278.09</v>
          </cell>
        </row>
        <row r="60">
          <cell r="F60">
            <v>283553736.94</v>
          </cell>
        </row>
      </sheetData>
      <sheetData sheetId="1">
        <row r="18">
          <cell r="E18">
            <v>0</v>
          </cell>
        </row>
        <row r="85">
          <cell r="W85">
            <v>1245705675.5000002</v>
          </cell>
        </row>
      </sheetData>
      <sheetData sheetId="2">
        <row r="18">
          <cell r="E18">
            <v>20953312.190000001</v>
          </cell>
        </row>
        <row r="30">
          <cell r="I30">
            <v>38283647</v>
          </cell>
        </row>
        <row r="31">
          <cell r="I31">
            <v>300041884.94999999</v>
          </cell>
        </row>
        <row r="32">
          <cell r="I32">
            <v>1800</v>
          </cell>
        </row>
      </sheetData>
      <sheetData sheetId="3"/>
      <sheetData sheetId="4"/>
      <sheetData sheetId="5">
        <row r="17">
          <cell r="E17">
            <v>1555644227.1300001</v>
          </cell>
        </row>
      </sheetData>
      <sheetData sheetId="6"/>
      <sheetData sheetId="7"/>
      <sheetData sheetId="8"/>
      <sheetData sheetId="9"/>
      <sheetData sheetId="10"/>
      <sheetData sheetId="11">
        <row r="98">
          <cell r="R98">
            <v>1258956234.8599999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09">
          <cell r="E109">
            <v>116677180.81</v>
          </cell>
        </row>
        <row r="121">
          <cell r="E121">
            <v>157991989.53999996</v>
          </cell>
        </row>
        <row r="123">
          <cell r="E123">
            <v>-485229.49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8">
          <cell r="Q18">
            <v>9888367</v>
          </cell>
        </row>
      </sheetData>
      <sheetData sheetId="33">
        <row r="24">
          <cell r="I24">
            <v>3934311.72</v>
          </cell>
        </row>
        <row r="28">
          <cell r="I28">
            <v>1502680.08</v>
          </cell>
        </row>
        <row r="29">
          <cell r="I29">
            <v>6923725.3200000012</v>
          </cell>
        </row>
        <row r="30">
          <cell r="I30">
            <v>1671750.84</v>
          </cell>
        </row>
        <row r="31">
          <cell r="I31">
            <v>118448241.83999999</v>
          </cell>
        </row>
        <row r="32">
          <cell r="I32">
            <v>730702.92000000027</v>
          </cell>
        </row>
        <row r="33">
          <cell r="I33">
            <v>-1469813.2799999998</v>
          </cell>
        </row>
        <row r="34">
          <cell r="I34">
            <v>31107534.960000001</v>
          </cell>
        </row>
        <row r="35">
          <cell r="I35">
            <v>-4094646.72</v>
          </cell>
        </row>
        <row r="36">
          <cell r="I36">
            <v>520569.48</v>
          </cell>
        </row>
        <row r="37">
          <cell r="I37">
            <v>125472.59800000001</v>
          </cell>
        </row>
        <row r="38">
          <cell r="I38">
            <v>16329</v>
          </cell>
        </row>
        <row r="39">
          <cell r="I39">
            <v>473661</v>
          </cell>
        </row>
        <row r="55">
          <cell r="I55">
            <v>693539.00399999996</v>
          </cell>
        </row>
        <row r="56">
          <cell r="I56">
            <v>480485.74400000006</v>
          </cell>
        </row>
        <row r="57">
          <cell r="I57">
            <v>532280.16</v>
          </cell>
        </row>
        <row r="58">
          <cell r="I58">
            <v>148794960.11000001</v>
          </cell>
        </row>
        <row r="59">
          <cell r="I59">
            <v>-189256.14</v>
          </cell>
        </row>
        <row r="60">
          <cell r="I60">
            <v>2966875.26</v>
          </cell>
        </row>
        <row r="61">
          <cell r="I61">
            <v>-9005653.1099999994</v>
          </cell>
        </row>
        <row r="62">
          <cell r="I62">
            <v>-7968680.6399999997</v>
          </cell>
        </row>
        <row r="63">
          <cell r="I63">
            <v>-10.73</v>
          </cell>
        </row>
        <row r="64">
          <cell r="I64">
            <v>-148.41</v>
          </cell>
        </row>
        <row r="65">
          <cell r="I65">
            <v>-5171.8500000000004</v>
          </cell>
        </row>
        <row r="66">
          <cell r="I66">
            <v>0</v>
          </cell>
        </row>
        <row r="67">
          <cell r="I67">
            <v>0</v>
          </cell>
        </row>
        <row r="68">
          <cell r="I68">
            <v>0</v>
          </cell>
        </row>
        <row r="69">
          <cell r="I69">
            <v>0</v>
          </cell>
        </row>
        <row r="70">
          <cell r="I70">
            <v>0</v>
          </cell>
        </row>
        <row r="71">
          <cell r="I71">
            <v>0</v>
          </cell>
        </row>
        <row r="72">
          <cell r="I72">
            <v>964765.79</v>
          </cell>
        </row>
        <row r="73">
          <cell r="I73">
            <v>0</v>
          </cell>
        </row>
        <row r="74">
          <cell r="I74">
            <v>29299.91</v>
          </cell>
        </row>
        <row r="75">
          <cell r="I75">
            <v>0</v>
          </cell>
        </row>
        <row r="76">
          <cell r="I76">
            <v>0</v>
          </cell>
        </row>
      </sheetData>
      <sheetData sheetId="34">
        <row r="53">
          <cell r="P53">
            <v>693539.00399999996</v>
          </cell>
        </row>
      </sheetData>
      <sheetData sheetId="35"/>
      <sheetData sheetId="36"/>
      <sheetData sheetId="37"/>
      <sheetData sheetId="38"/>
      <sheetData sheetId="39"/>
      <sheetData sheetId="40">
        <row r="17">
          <cell r="R17">
            <v>0</v>
          </cell>
        </row>
      </sheetData>
      <sheetData sheetId="4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k Sheet"/>
      <sheetName val="I-A"/>
      <sheetName val="I-A-1"/>
      <sheetName val="I-A-2"/>
      <sheetName val="Schedule I-A"/>
    </sheetNames>
    <sheetDataSet>
      <sheetData sheetId="0">
        <row r="4">
          <cell r="D4">
            <v>3798577774.0999999</v>
          </cell>
        </row>
        <row r="8">
          <cell r="D8">
            <v>1976714756.0841351</v>
          </cell>
        </row>
        <row r="9">
          <cell r="D9">
            <v>7938293036.0941353</v>
          </cell>
        </row>
        <row r="15">
          <cell r="E15">
            <v>1757719468.85116</v>
          </cell>
          <cell r="F15">
            <v>153398623.36116502</v>
          </cell>
          <cell r="G15">
            <v>338120.02362699877</v>
          </cell>
        </row>
      </sheetData>
      <sheetData sheetId="1"/>
      <sheetData sheetId="2">
        <row r="16">
          <cell r="D16">
            <v>3304990861.8000002</v>
          </cell>
          <cell r="F16">
            <v>3798577774.0999999</v>
          </cell>
        </row>
        <row r="18">
          <cell r="F18">
            <v>643110889.54999995</v>
          </cell>
        </row>
        <row r="19">
          <cell r="F19">
            <v>274183940.86000001</v>
          </cell>
        </row>
        <row r="23">
          <cell r="F23">
            <v>7938293036.0941353</v>
          </cell>
        </row>
      </sheetData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Data"/>
      <sheetName val="Schedule Sponsors"/>
      <sheetName val="Schedule Headings"/>
    </sheetNames>
    <sheetDataSet>
      <sheetData sheetId="0">
        <row r="2">
          <cell r="A2" t="str">
            <v>ONCOR ELECTRIC DELIVERY COMPANY LLC</v>
          </cell>
        </row>
        <row r="4">
          <cell r="A4" t="str">
            <v>TEST YEAR ENDING DECEMBER 31, 2024</v>
          </cell>
        </row>
        <row r="9">
          <cell r="A9" t="str">
            <v>2025 RATE CASE</v>
          </cell>
        </row>
      </sheetData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V60"/>
  <sheetViews>
    <sheetView tabSelected="1" zoomScale="85" zoomScaleNormal="85" workbookViewId="0">
      <pane ySplit="11" topLeftCell="A12" activePane="bottomLeft" state="frozen"/>
      <selection pane="bottomLeft" activeCell="A12" sqref="A12"/>
    </sheetView>
  </sheetViews>
  <sheetFormatPr defaultColWidth="9.140625" defaultRowHeight="12.75" x14ac:dyDescent="0.2"/>
  <cols>
    <col min="1" max="1" width="5.7109375" style="1" customWidth="1"/>
    <col min="2" max="2" width="70.42578125" style="1" bestFit="1" customWidth="1"/>
    <col min="3" max="3" width="15" style="15" bestFit="1" customWidth="1"/>
    <col min="4" max="4" width="17.28515625" style="1" customWidth="1"/>
    <col min="5" max="5" width="17.5703125" style="1" bestFit="1" customWidth="1"/>
    <col min="6" max="6" width="13.28515625" style="1" customWidth="1"/>
    <col min="7" max="8" width="12.42578125" style="1" customWidth="1"/>
    <col min="9" max="9" width="13" style="14" customWidth="1"/>
    <col min="10" max="10" width="16.85546875" style="1" customWidth="1"/>
    <col min="11" max="11" width="13.42578125" style="1" bestFit="1" customWidth="1"/>
    <col min="12" max="12" width="14" style="1" bestFit="1" customWidth="1"/>
    <col min="13" max="13" width="11.85546875" style="1" bestFit="1" customWidth="1"/>
    <col min="14" max="14" width="9.140625" style="1"/>
    <col min="15" max="16" width="12.5703125" style="1" bestFit="1" customWidth="1"/>
    <col min="17" max="17" width="9.7109375" style="1" bestFit="1" customWidth="1"/>
    <col min="18" max="18" width="12.5703125" style="1" bestFit="1" customWidth="1"/>
    <col min="19" max="19" width="10.85546875" style="1" bestFit="1" customWidth="1"/>
    <col min="20" max="20" width="13.5703125" style="1" bestFit="1" customWidth="1"/>
    <col min="21" max="21" width="12.85546875" style="1" bestFit="1" customWidth="1"/>
    <col min="22" max="16384" width="9.140625" style="1"/>
  </cols>
  <sheetData>
    <row r="1" spans="1:22" x14ac:dyDescent="0.2">
      <c r="A1" s="214"/>
      <c r="B1" s="215"/>
      <c r="C1" s="215"/>
      <c r="D1" s="215"/>
      <c r="E1" s="215"/>
      <c r="F1" s="215"/>
      <c r="G1" s="215"/>
      <c r="H1" s="215"/>
      <c r="I1" s="215"/>
      <c r="J1" s="215"/>
    </row>
    <row r="2" spans="1:22" x14ac:dyDescent="0.2">
      <c r="A2" s="71"/>
      <c r="B2" s="70"/>
      <c r="C2" s="70"/>
      <c r="D2" s="70"/>
      <c r="E2" s="163"/>
      <c r="F2" s="70"/>
      <c r="G2" s="70"/>
      <c r="H2" s="70"/>
      <c r="I2" s="70"/>
      <c r="J2" s="70"/>
    </row>
    <row r="3" spans="1:22" x14ac:dyDescent="0.2">
      <c r="A3" s="216" t="s">
        <v>79</v>
      </c>
      <c r="B3" s="216"/>
      <c r="C3" s="216"/>
      <c r="D3" s="216"/>
      <c r="E3" s="216"/>
      <c r="F3" s="216"/>
      <c r="G3" s="216"/>
      <c r="H3" s="216"/>
      <c r="I3" s="216"/>
      <c r="J3" s="216"/>
    </row>
    <row r="4" spans="1:22" x14ac:dyDescent="0.2">
      <c r="A4" s="217"/>
      <c r="B4" s="216"/>
      <c r="C4" s="216"/>
      <c r="D4" s="216"/>
      <c r="E4" s="216"/>
      <c r="F4" s="216"/>
      <c r="G4" s="216"/>
      <c r="H4" s="216"/>
      <c r="I4" s="216"/>
      <c r="J4" s="216"/>
    </row>
    <row r="5" spans="1:22" x14ac:dyDescent="0.2">
      <c r="A5" s="213"/>
      <c r="B5" s="213"/>
      <c r="C5" s="213"/>
      <c r="D5" s="213"/>
      <c r="E5" s="213"/>
      <c r="F5" s="213"/>
      <c r="G5" s="213"/>
      <c r="H5" s="213"/>
      <c r="I5" s="213"/>
      <c r="J5" s="213"/>
    </row>
    <row r="6" spans="1:22" x14ac:dyDescent="0.2">
      <c r="A6" s="2"/>
      <c r="B6" s="2"/>
      <c r="C6" s="3"/>
      <c r="D6" s="2"/>
      <c r="E6" s="2"/>
      <c r="F6" s="2"/>
      <c r="G6" s="2"/>
      <c r="H6" s="2"/>
      <c r="I6" s="2"/>
      <c r="J6" s="2"/>
    </row>
    <row r="7" spans="1:22" x14ac:dyDescent="0.2">
      <c r="A7" s="4"/>
      <c r="C7" s="5"/>
      <c r="D7" s="4"/>
      <c r="E7" s="4"/>
      <c r="F7" s="4"/>
      <c r="G7" s="4"/>
      <c r="H7" s="4"/>
      <c r="I7" s="6"/>
      <c r="J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2" x14ac:dyDescent="0.2">
      <c r="A8" s="7" t="s">
        <v>0</v>
      </c>
      <c r="B8" s="8"/>
      <c r="C8" s="9" t="s">
        <v>1</v>
      </c>
      <c r="D8" s="7" t="s">
        <v>88</v>
      </c>
      <c r="E8" s="7" t="s">
        <v>153</v>
      </c>
      <c r="F8" s="7" t="s">
        <v>2</v>
      </c>
      <c r="G8" s="7" t="s">
        <v>3</v>
      </c>
      <c r="H8" s="7" t="s">
        <v>4</v>
      </c>
      <c r="I8" s="7" t="s">
        <v>5</v>
      </c>
      <c r="J8" s="7" t="s">
        <v>6</v>
      </c>
      <c r="L8" s="7"/>
      <c r="M8" s="7" t="s">
        <v>120</v>
      </c>
      <c r="N8" s="7" t="s">
        <v>121</v>
      </c>
      <c r="O8" s="7" t="s">
        <v>122</v>
      </c>
      <c r="P8" s="7"/>
      <c r="Q8" s="7" t="s">
        <v>120</v>
      </c>
      <c r="R8" s="7" t="s">
        <v>122</v>
      </c>
      <c r="S8" s="7"/>
      <c r="T8" s="7"/>
      <c r="U8" s="7"/>
    </row>
    <row r="9" spans="1:22" x14ac:dyDescent="0.2">
      <c r="A9" s="10" t="s">
        <v>7</v>
      </c>
      <c r="B9" s="10" t="s">
        <v>8</v>
      </c>
      <c r="C9" s="11" t="s">
        <v>9</v>
      </c>
      <c r="D9" s="10" t="s">
        <v>10</v>
      </c>
      <c r="E9" s="10" t="s">
        <v>154</v>
      </c>
      <c r="F9" s="10" t="s">
        <v>4</v>
      </c>
      <c r="G9" s="10" t="s">
        <v>11</v>
      </c>
      <c r="H9" s="10" t="s">
        <v>12</v>
      </c>
      <c r="I9" s="10" t="s">
        <v>13</v>
      </c>
      <c r="J9" s="10" t="s">
        <v>14</v>
      </c>
      <c r="K9" s="10" t="s">
        <v>119</v>
      </c>
      <c r="L9" s="10" t="s">
        <v>123</v>
      </c>
      <c r="M9" s="10" t="s">
        <v>123</v>
      </c>
      <c r="N9" s="10" t="s">
        <v>124</v>
      </c>
      <c r="O9" s="10" t="s">
        <v>123</v>
      </c>
      <c r="P9" s="10" t="s">
        <v>125</v>
      </c>
      <c r="Q9" s="10" t="s">
        <v>125</v>
      </c>
      <c r="R9" s="10" t="s">
        <v>125</v>
      </c>
      <c r="S9" s="10" t="s">
        <v>126</v>
      </c>
      <c r="T9" s="10" t="s">
        <v>127</v>
      </c>
      <c r="U9" s="10" t="s">
        <v>128</v>
      </c>
    </row>
    <row r="10" spans="1:22" x14ac:dyDescent="0.2">
      <c r="A10" s="6"/>
      <c r="B10" s="6" t="s">
        <v>15</v>
      </c>
      <c r="C10" s="12" t="s">
        <v>16</v>
      </c>
      <c r="D10" s="6" t="s">
        <v>17</v>
      </c>
      <c r="E10" s="13" t="s">
        <v>18</v>
      </c>
      <c r="F10" s="13" t="s">
        <v>19</v>
      </c>
      <c r="G10" s="6" t="s">
        <v>20</v>
      </c>
      <c r="H10" s="6" t="s">
        <v>21</v>
      </c>
      <c r="I10" s="6" t="s">
        <v>83</v>
      </c>
      <c r="J10" s="144" t="s">
        <v>131</v>
      </c>
      <c r="K10" s="144" t="s">
        <v>132</v>
      </c>
      <c r="L10" s="144" t="s">
        <v>133</v>
      </c>
      <c r="M10" s="144" t="s">
        <v>134</v>
      </c>
      <c r="N10" s="144" t="s">
        <v>135</v>
      </c>
      <c r="O10" s="144" t="s">
        <v>136</v>
      </c>
      <c r="P10" s="144" t="s">
        <v>137</v>
      </c>
      <c r="Q10" s="144" t="s">
        <v>138</v>
      </c>
      <c r="R10" s="144" t="s">
        <v>139</v>
      </c>
      <c r="S10" s="144" t="s">
        <v>140</v>
      </c>
      <c r="T10" s="144" t="s">
        <v>141</v>
      </c>
      <c r="U10" s="144" t="s">
        <v>152</v>
      </c>
    </row>
    <row r="11" spans="1:22" x14ac:dyDescent="0.2">
      <c r="A11" s="14"/>
    </row>
    <row r="12" spans="1:22" x14ac:dyDescent="0.2">
      <c r="A12" s="14">
        <v>1</v>
      </c>
      <c r="B12" s="1" t="s">
        <v>65</v>
      </c>
      <c r="C12" s="16"/>
      <c r="D12" s="69"/>
      <c r="E12" s="69"/>
      <c r="F12" s="17"/>
      <c r="G12" s="18"/>
      <c r="H12" s="19"/>
      <c r="I12" s="20"/>
      <c r="J12" s="17"/>
    </row>
    <row r="13" spans="1:22" x14ac:dyDescent="0.2">
      <c r="A13" s="14">
        <v>2</v>
      </c>
      <c r="B13" s="72" t="s">
        <v>66</v>
      </c>
      <c r="C13" s="21"/>
      <c r="D13" s="21"/>
      <c r="E13" s="21"/>
      <c r="G13" s="22"/>
      <c r="H13" s="104"/>
      <c r="I13" s="22"/>
    </row>
    <row r="14" spans="1:22" x14ac:dyDescent="0.2">
      <c r="A14" s="14">
        <v>3</v>
      </c>
      <c r="B14" s="73" t="s">
        <v>67</v>
      </c>
      <c r="C14" s="23">
        <f>+'[1]Link Sheet'!$I$80-C15</f>
        <v>327264804.79999995</v>
      </c>
      <c r="D14" s="23"/>
      <c r="E14" s="23"/>
      <c r="F14" s="87">
        <f>(C14-D14)/365.25</f>
        <v>896002.20342231332</v>
      </c>
      <c r="G14" s="104">
        <v>53.27</v>
      </c>
      <c r="H14" s="104">
        <v>-12</v>
      </c>
      <c r="I14" s="105">
        <f>G14+H14</f>
        <v>41.27</v>
      </c>
      <c r="J14" s="80">
        <f>ROUND(F14*I14,0)</f>
        <v>36978011</v>
      </c>
      <c r="K14" s="121" t="s">
        <v>129</v>
      </c>
      <c r="L14" s="141">
        <f>ROUND(+$J14*'[2]II-F Alloc_Factor'!$E$18,2)+ROUND($J14*'[2]II-F Alloc_Factor'!$G$18,2)</f>
        <v>2718924.09</v>
      </c>
      <c r="M14" s="141">
        <f>ROUND(+$J14*'[2]II-F Alloc_Factor'!F$18,2)</f>
        <v>0</v>
      </c>
      <c r="N14" s="141">
        <v>0</v>
      </c>
      <c r="O14" s="141">
        <f>SUM(L14:N14)</f>
        <v>2718924.09</v>
      </c>
      <c r="P14" s="141">
        <f>ROUND(+$J14*'[2]II-F Alloc_Factor'!I$18,2)</f>
        <v>31652162.859999999</v>
      </c>
      <c r="Q14" s="141">
        <f>ROUND(+$J14*'[2]II-F Alloc_Factor'!J$18,2)</f>
        <v>0</v>
      </c>
      <c r="R14" s="141">
        <f>SUM(P14:Q14)</f>
        <v>31652162.859999999</v>
      </c>
      <c r="S14" s="141">
        <f>ROUND(+$J14*'[2]II-F Alloc_Factor'!L$18,2)</f>
        <v>1368302.99</v>
      </c>
      <c r="T14" s="83">
        <f>+J14-O14-R14-S14</f>
        <v>1238621.059999997</v>
      </c>
      <c r="U14" s="142">
        <f>+T14+S14+R14+O14</f>
        <v>36978011</v>
      </c>
      <c r="V14" s="1" t="b">
        <f>+J14=U14</f>
        <v>1</v>
      </c>
    </row>
    <row r="15" spans="1:22" x14ac:dyDescent="0.2">
      <c r="A15" s="14">
        <v>4</v>
      </c>
      <c r="B15" s="73" t="s">
        <v>80</v>
      </c>
      <c r="C15" s="154">
        <f>68494555.86+'[3]Total Summary'!$D$98+'[3]Labor Summary'!$D$108</f>
        <v>62678416.159999996</v>
      </c>
      <c r="D15" s="24"/>
      <c r="E15" s="24"/>
      <c r="F15" s="87">
        <f>(C15-D15)/365.25</f>
        <v>171604.15101984941</v>
      </c>
      <c r="G15" s="104">
        <f>+$G$14</f>
        <v>53.27</v>
      </c>
      <c r="H15" s="104">
        <v>-255.75</v>
      </c>
      <c r="I15" s="105">
        <f>G15+H15</f>
        <v>-202.48</v>
      </c>
      <c r="J15" s="80">
        <f>ROUND(F15*I15,0)</f>
        <v>-34746408</v>
      </c>
      <c r="K15" s="121" t="s">
        <v>129</v>
      </c>
      <c r="L15" s="141">
        <f>ROUND(+$J15*'[2]II-F Alloc_Factor'!$E$18,2)+ROUND($J15*'[2]II-F Alloc_Factor'!$G$18,2)</f>
        <v>-2554838.4900000002</v>
      </c>
      <c r="M15" s="141">
        <f>ROUND(+$J15*'[2]II-F Alloc_Factor'!F$18,2)</f>
        <v>0</v>
      </c>
      <c r="N15" s="141">
        <v>0</v>
      </c>
      <c r="O15" s="141">
        <f>SUM(L15:N15)</f>
        <v>-2554838.4900000002</v>
      </c>
      <c r="P15" s="141">
        <f>ROUND(+$J15*'[2]II-F Alloc_Factor'!I$18,2)</f>
        <v>-29741971.920000002</v>
      </c>
      <c r="Q15" s="141">
        <f>ROUND(+$J15*'[2]II-F Alloc_Factor'!J$18,2)</f>
        <v>0</v>
      </c>
      <c r="R15" s="141">
        <f>SUM(P15:Q15)</f>
        <v>-29741971.920000002</v>
      </c>
      <c r="S15" s="141">
        <f>ROUND(+$J15*'[2]II-F Alloc_Factor'!L$18,2)</f>
        <v>-1285726.6499999999</v>
      </c>
      <c r="T15" s="83">
        <f>+J15-O15-R15-S15</f>
        <v>-1163870.9399999962</v>
      </c>
      <c r="U15" s="142">
        <f>+T15+S15+R15+O15</f>
        <v>-34746408</v>
      </c>
      <c r="V15" s="1" t="b">
        <f>+J15=U15</f>
        <v>1</v>
      </c>
    </row>
    <row r="16" spans="1:22" x14ac:dyDescent="0.2">
      <c r="A16" s="14">
        <v>5</v>
      </c>
      <c r="B16" s="72" t="s">
        <v>68</v>
      </c>
      <c r="C16" s="155"/>
      <c r="D16" s="75"/>
      <c r="E16" s="75"/>
      <c r="F16" s="87"/>
      <c r="G16" s="104"/>
      <c r="H16" s="104"/>
      <c r="I16" s="105"/>
      <c r="J16" s="80"/>
    </row>
    <row r="17" spans="1:22" s="15" customFormat="1" x14ac:dyDescent="0.2">
      <c r="A17" s="14">
        <v>6</v>
      </c>
      <c r="B17" s="157" t="s">
        <v>116</v>
      </c>
      <c r="C17" s="155">
        <v>108000</v>
      </c>
      <c r="D17" s="75"/>
      <c r="E17" s="75"/>
      <c r="F17" s="87">
        <f>(C17-D17)/365.25</f>
        <v>295.68788501026694</v>
      </c>
      <c r="G17" s="104">
        <f>+$G$14</f>
        <v>53.27</v>
      </c>
      <c r="H17" s="104">
        <v>-45.17</v>
      </c>
      <c r="I17" s="105">
        <f>G17+H17</f>
        <v>8.1000000000000014</v>
      </c>
      <c r="J17" s="80">
        <f>ROUND(F17*I17,0)</f>
        <v>2395</v>
      </c>
      <c r="K17" s="158" t="s">
        <v>129</v>
      </c>
      <c r="L17" s="159">
        <f>ROUND(+$J17*'[2]II-F Alloc_Factor'!$E$18,2)+ROUND($J17*'[2]II-F Alloc_Factor'!$G$18,2)</f>
        <v>176.1</v>
      </c>
      <c r="M17" s="159">
        <f>ROUND(+$J17*'[2]II-F Alloc_Factor'!F$18,2)</f>
        <v>0</v>
      </c>
      <c r="N17" s="159">
        <v>0</v>
      </c>
      <c r="O17" s="159">
        <f>SUM(L17:N17)</f>
        <v>176.1</v>
      </c>
      <c r="P17" s="159">
        <f>ROUND(+$J17*'[2]II-F Alloc_Factor'!I$18,2)</f>
        <v>2050.0500000000002</v>
      </c>
      <c r="Q17" s="159">
        <f>ROUND(+$J17*'[2]II-F Alloc_Factor'!J$18,2)</f>
        <v>0</v>
      </c>
      <c r="R17" s="159">
        <f>SUM(P17:Q17)</f>
        <v>2050.0500000000002</v>
      </c>
      <c r="S17" s="159">
        <f>ROUND(+$J17*'[2]II-F Alloc_Factor'!L$18,2)</f>
        <v>88.62</v>
      </c>
      <c r="T17" s="82">
        <f>+J17-O17-R17-S17</f>
        <v>80.229999999999905</v>
      </c>
      <c r="U17" s="160">
        <f>+T17+S17+R17+O17</f>
        <v>2395</v>
      </c>
      <c r="V17" s="15" t="b">
        <f>+J17=U17</f>
        <v>1</v>
      </c>
    </row>
    <row r="18" spans="1:22" s="15" customFormat="1" x14ac:dyDescent="0.2">
      <c r="A18" s="14">
        <v>7</v>
      </c>
      <c r="B18" s="157" t="s">
        <v>117</v>
      </c>
      <c r="C18" s="155">
        <v>1763251</v>
      </c>
      <c r="D18" s="75">
        <v>117329</v>
      </c>
      <c r="E18" s="75"/>
      <c r="F18" s="87">
        <f>(C18-D18)/365.25</f>
        <v>4506.2888432580421</v>
      </c>
      <c r="G18" s="104">
        <f>+$G$14</f>
        <v>53.27</v>
      </c>
      <c r="H18" s="104">
        <v>-48.81</v>
      </c>
      <c r="I18" s="105">
        <f>G18+H18</f>
        <v>4.4600000000000009</v>
      </c>
      <c r="J18" s="80">
        <f>ROUND(F18*I18,0)</f>
        <v>20098</v>
      </c>
      <c r="K18" s="158" t="s">
        <v>129</v>
      </c>
      <c r="L18" s="159">
        <f>ROUND(+$J18*'[2]II-F Alloc_Factor'!$E$18,2)+ROUND($J18*'[2]II-F Alloc_Factor'!$G$18,2)</f>
        <v>1477.77</v>
      </c>
      <c r="M18" s="159">
        <f>ROUND(+$J18*'[2]II-F Alloc_Factor'!F$18,2)</f>
        <v>0</v>
      </c>
      <c r="N18" s="159">
        <v>0</v>
      </c>
      <c r="O18" s="159">
        <f>SUM(L18:N18)</f>
        <v>1477.77</v>
      </c>
      <c r="P18" s="159">
        <f>ROUND(+$J18*'[2]II-F Alloc_Factor'!I$18,2)</f>
        <v>17203.34</v>
      </c>
      <c r="Q18" s="159">
        <f>ROUND(+$J18*'[2]II-F Alloc_Factor'!J$18,2)</f>
        <v>0</v>
      </c>
      <c r="R18" s="159">
        <f>SUM(P18:Q18)</f>
        <v>17203.34</v>
      </c>
      <c r="S18" s="159">
        <f>ROUND(+$J18*'[2]II-F Alloc_Factor'!L$18,2)</f>
        <v>743.69</v>
      </c>
      <c r="T18" s="82">
        <f>+J18-O18-R18-S18</f>
        <v>673.19999999999936</v>
      </c>
      <c r="U18" s="160">
        <f>+T18+S18+R18+O18</f>
        <v>20098</v>
      </c>
      <c r="V18" s="15" t="b">
        <f>+J18=U18</f>
        <v>1</v>
      </c>
    </row>
    <row r="19" spans="1:22" x14ac:dyDescent="0.2">
      <c r="A19" s="14">
        <v>8</v>
      </c>
      <c r="B19" s="73" t="s">
        <v>89</v>
      </c>
      <c r="C19" s="155"/>
      <c r="D19" s="75"/>
      <c r="E19" s="75"/>
      <c r="F19" s="87"/>
      <c r="G19" s="104"/>
      <c r="H19" s="104"/>
      <c r="I19" s="105"/>
      <c r="J19" s="80"/>
    </row>
    <row r="20" spans="1:22" x14ac:dyDescent="0.2">
      <c r="A20" s="14">
        <v>9</v>
      </c>
      <c r="B20" s="74" t="s">
        <v>90</v>
      </c>
      <c r="C20" s="155">
        <f>+Wholesale_NTS_RO!N67</f>
        <v>681838726.03999996</v>
      </c>
      <c r="D20" s="75"/>
      <c r="E20" s="75"/>
      <c r="F20" s="87">
        <f>(C20-D20)/365.25</f>
        <v>1866772.6927857632</v>
      </c>
      <c r="G20" s="104">
        <v>0</v>
      </c>
      <c r="H20" s="104">
        <v>0</v>
      </c>
      <c r="I20" s="105">
        <f>G20+H20</f>
        <v>0</v>
      </c>
      <c r="J20" s="80">
        <f>ROUND(F20*I20,0)</f>
        <v>0</v>
      </c>
    </row>
    <row r="21" spans="1:22" x14ac:dyDescent="0.2">
      <c r="A21" s="14">
        <v>10</v>
      </c>
      <c r="B21" s="74" t="s">
        <v>91</v>
      </c>
      <c r="C21" s="155">
        <f>+Wholesale_NTS_RO!H64-'Lead Lag'!C20</f>
        <v>1419002746.6200001</v>
      </c>
      <c r="D21" s="75"/>
      <c r="E21" s="75"/>
      <c r="F21" s="87">
        <f>(C21-D21)/365.25</f>
        <v>3885017.7867761808</v>
      </c>
      <c r="G21" s="104">
        <f>+G17</f>
        <v>53.27</v>
      </c>
      <c r="H21" s="104">
        <v>-50.22</v>
      </c>
      <c r="I21" s="105">
        <f>G21+H21</f>
        <v>3.0500000000000043</v>
      </c>
      <c r="J21" s="80">
        <f>ROUND(F21*I21,0)</f>
        <v>11849304</v>
      </c>
      <c r="K21" s="121" t="s">
        <v>129</v>
      </c>
      <c r="L21" s="141">
        <f>ROUND(+$J21*'[2]II-F Alloc_Factor'!$E$18,2)+ROUND($J21*'[2]II-F Alloc_Factor'!$G$18,2)</f>
        <v>871257.19</v>
      </c>
      <c r="M21" s="141">
        <f>ROUND(+$J21*'[2]II-F Alloc_Factor'!F$18,2)</f>
        <v>0</v>
      </c>
      <c r="N21" s="141">
        <v>0</v>
      </c>
      <c r="O21" s="141">
        <f>SUM(L21:N21)</f>
        <v>871257.19</v>
      </c>
      <c r="P21" s="141">
        <f>ROUND(+$J21*'[2]II-F Alloc_Factor'!I$18,2)</f>
        <v>10142679.119999999</v>
      </c>
      <c r="Q21" s="141">
        <f>ROUND(+$J21*'[2]II-F Alloc_Factor'!J$18,2)</f>
        <v>0</v>
      </c>
      <c r="R21" s="141">
        <f>SUM(P21:Q21)</f>
        <v>10142679.119999999</v>
      </c>
      <c r="S21" s="141">
        <f>ROUND(+$J21*'[2]II-F Alloc_Factor'!L$18,2)</f>
        <v>438461.61</v>
      </c>
      <c r="T21" s="83">
        <f>+J21-O21-R21-S21</f>
        <v>396906.08000000136</v>
      </c>
      <c r="U21" s="142">
        <f>+T21+S21+R21+O21</f>
        <v>11849304</v>
      </c>
      <c r="V21" s="1" t="b">
        <f>+J21=U21</f>
        <v>1</v>
      </c>
    </row>
    <row r="22" spans="1:22" x14ac:dyDescent="0.2">
      <c r="A22" s="14">
        <v>11</v>
      </c>
      <c r="B22" s="140" t="s">
        <v>118</v>
      </c>
      <c r="C22" s="155">
        <f>+'[3]Adj. #2'!$F$11</f>
        <v>12691180.663816001</v>
      </c>
      <c r="D22" s="75"/>
      <c r="E22" s="75"/>
      <c r="F22" s="87">
        <f t="shared" ref="F22" si="0">(C22-D22)/365.25</f>
        <v>34746.55897006434</v>
      </c>
      <c r="G22" s="104">
        <v>0</v>
      </c>
      <c r="H22" s="104">
        <v>0</v>
      </c>
      <c r="I22" s="105">
        <f t="shared" ref="I22" si="1">G22+H22</f>
        <v>0</v>
      </c>
      <c r="J22" s="80">
        <f>ROUND(F22*I22,0)</f>
        <v>0</v>
      </c>
    </row>
    <row r="23" spans="1:22" x14ac:dyDescent="0.2">
      <c r="A23" s="14">
        <v>12</v>
      </c>
      <c r="B23" s="73" t="s">
        <v>86</v>
      </c>
      <c r="C23" s="155"/>
      <c r="D23" s="75"/>
      <c r="E23" s="75"/>
      <c r="F23" s="87"/>
      <c r="G23" s="104"/>
      <c r="H23" s="104"/>
      <c r="I23" s="105"/>
      <c r="J23" s="80"/>
    </row>
    <row r="24" spans="1:22" x14ac:dyDescent="0.2">
      <c r="A24" s="14">
        <v>13</v>
      </c>
      <c r="B24" s="135" t="s">
        <v>155</v>
      </c>
      <c r="C24" s="155">
        <f>SUM('[4]II-E-4.1'!$I$55:$I$76)</f>
        <v>137293285.09800002</v>
      </c>
      <c r="D24" s="75"/>
      <c r="E24" s="75"/>
      <c r="F24" s="87">
        <f t="shared" ref="F24:F25" si="2">(C24-D24)/365.25</f>
        <v>375888.52867351135</v>
      </c>
      <c r="G24" s="104">
        <v>0</v>
      </c>
      <c r="H24" s="104">
        <v>0</v>
      </c>
      <c r="I24" s="105">
        <f t="shared" ref="I24:I29" si="3">G24+H24</f>
        <v>0</v>
      </c>
      <c r="J24" s="80">
        <f>ROUND(F24*I24,0)</f>
        <v>0</v>
      </c>
    </row>
    <row r="25" spans="1:22" x14ac:dyDescent="0.2">
      <c r="A25" s="14">
        <v>14</v>
      </c>
      <c r="B25" s="135" t="s">
        <v>156</v>
      </c>
      <c r="C25" s="155">
        <f>SUM('[4]II-E-4.1'!$I$28:$I$39)+'[4]II-E-4.1'!$I$24</f>
        <v>159890519.75799996</v>
      </c>
      <c r="D25" s="75"/>
      <c r="E25" s="75"/>
      <c r="F25" s="87">
        <f t="shared" si="2"/>
        <v>437756.385374401</v>
      </c>
      <c r="G25" s="104">
        <v>0</v>
      </c>
      <c r="H25" s="104">
        <v>0</v>
      </c>
      <c r="I25" s="105">
        <f t="shared" si="3"/>
        <v>0</v>
      </c>
      <c r="J25" s="80">
        <f>ROUND(F25*I25,0)</f>
        <v>0</v>
      </c>
    </row>
    <row r="26" spans="1:22" x14ac:dyDescent="0.2">
      <c r="A26" s="14">
        <v>15</v>
      </c>
      <c r="B26" s="73" t="s">
        <v>87</v>
      </c>
      <c r="C26" s="155"/>
      <c r="D26" s="75"/>
      <c r="E26" s="75"/>
      <c r="F26" s="87"/>
      <c r="G26" s="104"/>
      <c r="H26" s="104"/>
      <c r="I26" s="105"/>
      <c r="J26" s="80"/>
    </row>
    <row r="27" spans="1:22" x14ac:dyDescent="0.2">
      <c r="A27" s="14">
        <v>16</v>
      </c>
      <c r="B27" s="1" t="s">
        <v>94</v>
      </c>
      <c r="C27" s="75">
        <f>+'[1]II-D-3.8.3'!$D$40+'[3]Total Summary'!$D$94</f>
        <v>14305961.25</v>
      </c>
      <c r="D27" s="75"/>
      <c r="E27" s="75"/>
      <c r="F27" s="87">
        <f>(C27-D27)/365.25</f>
        <v>39167.587268993841</v>
      </c>
      <c r="G27" s="104">
        <f>+$G$14</f>
        <v>53.27</v>
      </c>
      <c r="H27" s="104">
        <v>-57.43</v>
      </c>
      <c r="I27" s="105">
        <f t="shared" si="3"/>
        <v>-4.1599999999999966</v>
      </c>
      <c r="J27" s="80">
        <f>ROUND(F27*I27,0)</f>
        <v>-162937</v>
      </c>
      <c r="K27" s="121" t="s">
        <v>129</v>
      </c>
      <c r="L27" s="141">
        <f>ROUND(+$J27*'[2]II-F Alloc_Factor'!$E$18,2)+ROUND($J27*'[2]II-F Alloc_Factor'!$G$18,2)</f>
        <v>-11980.45</v>
      </c>
      <c r="M27" s="141">
        <f>ROUND(+$J27*'[2]II-F Alloc_Factor'!F$18,2)</f>
        <v>0</v>
      </c>
      <c r="N27" s="141">
        <v>0</v>
      </c>
      <c r="O27" s="141">
        <f>SUM(L27:N27)</f>
        <v>-11980.45</v>
      </c>
      <c r="P27" s="141">
        <f>ROUND(+$J27*'[2]II-F Alloc_Factor'!I$18,2)</f>
        <v>-139469.6</v>
      </c>
      <c r="Q27" s="141">
        <f>ROUND(+$J27*'[2]II-F Alloc_Factor'!J$18,2)</f>
        <v>0</v>
      </c>
      <c r="R27" s="141">
        <f>SUM(P27:Q27)</f>
        <v>-139469.6</v>
      </c>
      <c r="S27" s="141">
        <f>ROUND(+$J27*'[2]II-F Alloc_Factor'!L$18,2)</f>
        <v>-6029.18</v>
      </c>
      <c r="T27" s="83">
        <f>+J27-O27-R27-S27</f>
        <v>-5457.7699999999822</v>
      </c>
      <c r="U27" s="142">
        <f>+T27+S27+R27+O27</f>
        <v>-162937</v>
      </c>
      <c r="V27" s="1" t="b">
        <f>+J27=U27</f>
        <v>1</v>
      </c>
    </row>
    <row r="28" spans="1:22" x14ac:dyDescent="0.2">
      <c r="A28" s="14">
        <v>17</v>
      </c>
      <c r="B28" s="1" t="s">
        <v>95</v>
      </c>
      <c r="C28" s="75">
        <f>+'[1]II-D-3.9.3'!$D$31+'[3]Total Summary'!$D$95</f>
        <v>9162521.3399999999</v>
      </c>
      <c r="D28" s="75"/>
      <c r="E28" s="75"/>
      <c r="F28" s="87">
        <f>(C28-D28)/365.25</f>
        <v>25085.616262833675</v>
      </c>
      <c r="G28" s="104">
        <f>+$G$14</f>
        <v>53.27</v>
      </c>
      <c r="H28" s="104">
        <v>10.67</v>
      </c>
      <c r="I28" s="105">
        <f t="shared" si="3"/>
        <v>63.940000000000005</v>
      </c>
      <c r="J28" s="80">
        <f>ROUND(F28*I28,0)</f>
        <v>1603974</v>
      </c>
      <c r="K28" s="121" t="s">
        <v>129</v>
      </c>
      <c r="L28" s="141">
        <f>ROUND(+$J28*'[2]II-F Alloc_Factor'!$E$18,2)+ROUND($J28*'[2]II-F Alloc_Factor'!$G$18,2)</f>
        <v>117937.21</v>
      </c>
      <c r="M28" s="141">
        <f>ROUND(+$J28*'[2]II-F Alloc_Factor'!F$18,2)</f>
        <v>0</v>
      </c>
      <c r="N28" s="141">
        <v>0</v>
      </c>
      <c r="O28" s="141">
        <f>SUM(L28:N28)</f>
        <v>117937.21</v>
      </c>
      <c r="P28" s="141">
        <f>ROUND(+$J28*'[2]II-F Alloc_Factor'!I$18,2)</f>
        <v>1372957.74</v>
      </c>
      <c r="Q28" s="141">
        <f>ROUND(+$J28*'[2]II-F Alloc_Factor'!J$18,2)</f>
        <v>0</v>
      </c>
      <c r="R28" s="141">
        <f>SUM(P28:Q28)</f>
        <v>1372957.74</v>
      </c>
      <c r="S28" s="141">
        <f>ROUND(+$J28*'[2]II-F Alloc_Factor'!L$18,2)</f>
        <v>59352.1</v>
      </c>
      <c r="T28" s="83">
        <f>+J28-O28-R28-S28</f>
        <v>53726.950000000048</v>
      </c>
      <c r="U28" s="142">
        <f>+T28+S28+R28+O28</f>
        <v>1603974</v>
      </c>
      <c r="V28" s="1" t="b">
        <f>+J28=U28</f>
        <v>1</v>
      </c>
    </row>
    <row r="29" spans="1:22" s="15" customFormat="1" x14ac:dyDescent="0.2">
      <c r="A29" s="14">
        <v>18</v>
      </c>
      <c r="B29" s="161" t="s">
        <v>92</v>
      </c>
      <c r="C29" s="86">
        <f>+'[5]Link Sheet'!$D$4-SUM(C14:C28)</f>
        <v>972578361.37018394</v>
      </c>
      <c r="D29" s="75">
        <v>77154334</v>
      </c>
      <c r="E29" s="75">
        <v>48691012</v>
      </c>
      <c r="F29" s="87">
        <f>(C29-D29-E29)/365.25</f>
        <v>2318228.6526219957</v>
      </c>
      <c r="G29" s="104">
        <f>+$G$14</f>
        <v>53.27</v>
      </c>
      <c r="H29" s="104">
        <v>-48.81</v>
      </c>
      <c r="I29" s="105">
        <f t="shared" si="3"/>
        <v>4.4600000000000009</v>
      </c>
      <c r="J29" s="80">
        <f>ROUND(F29*I29,0)</f>
        <v>10339300</v>
      </c>
      <c r="K29" s="158" t="s">
        <v>129</v>
      </c>
      <c r="L29" s="159">
        <f>ROUND(+$J29*'[2]II-F Alloc_Factor'!$E$18,2)+ROUND($J29*'[2]II-F Alloc_Factor'!$G$18,2)</f>
        <v>760229.42</v>
      </c>
      <c r="M29" s="159">
        <f>ROUND(+$J29*'[2]II-F Alloc_Factor'!F$18,2)</f>
        <v>0</v>
      </c>
      <c r="N29" s="159">
        <v>0</v>
      </c>
      <c r="O29" s="159">
        <f>SUM(L29:N29)</f>
        <v>760229.42</v>
      </c>
      <c r="P29" s="159">
        <f>ROUND(+$J29*'[2]II-F Alloc_Factor'!I$18,2)</f>
        <v>8850157.1199999992</v>
      </c>
      <c r="Q29" s="159">
        <f>ROUND(+$J29*'[2]II-F Alloc_Factor'!J$18,2)</f>
        <v>0</v>
      </c>
      <c r="R29" s="159">
        <f>SUM(P29:Q29)</f>
        <v>8850157.1199999992</v>
      </c>
      <c r="S29" s="159">
        <f>ROUND(+$J29*'[2]II-F Alloc_Factor'!L$18,2)</f>
        <v>382586.7</v>
      </c>
      <c r="T29" s="82">
        <f>+J29-O29-R29-S29</f>
        <v>346326.76000000088</v>
      </c>
      <c r="U29" s="160">
        <f>+T29+S29+R29+O29</f>
        <v>10339300</v>
      </c>
      <c r="V29" s="15" t="b">
        <f>+J29=U29</f>
        <v>1</v>
      </c>
    </row>
    <row r="30" spans="1:22" x14ac:dyDescent="0.2">
      <c r="A30" s="14">
        <v>19</v>
      </c>
      <c r="B30" s="114" t="s">
        <v>74</v>
      </c>
      <c r="C30" s="75">
        <f>SUM(C14:C29)</f>
        <v>3798577774.0999999</v>
      </c>
      <c r="D30" s="145"/>
      <c r="E30" s="145"/>
      <c r="F30" s="87"/>
      <c r="G30" s="104"/>
      <c r="H30" s="104"/>
      <c r="I30" s="106"/>
      <c r="J30" s="80"/>
      <c r="L30" s="83"/>
    </row>
    <row r="31" spans="1:22" x14ac:dyDescent="0.2">
      <c r="A31" s="14">
        <v>20</v>
      </c>
      <c r="C31" s="145">
        <f>+C30-'[5]I-A-1'!$F$16</f>
        <v>0</v>
      </c>
      <c r="D31" s="76"/>
      <c r="E31" s="76"/>
      <c r="F31" s="87"/>
      <c r="G31" s="104"/>
      <c r="H31" s="104"/>
      <c r="I31" s="105"/>
      <c r="J31" s="80"/>
    </row>
    <row r="32" spans="1:22" x14ac:dyDescent="0.2">
      <c r="A32" s="14">
        <v>21</v>
      </c>
      <c r="B32" s="1" t="s">
        <v>22</v>
      </c>
      <c r="C32" s="75"/>
      <c r="D32" s="75"/>
      <c r="E32" s="75"/>
      <c r="F32" s="87"/>
      <c r="G32" s="104"/>
      <c r="H32" s="97"/>
      <c r="I32" s="106"/>
      <c r="J32" s="80"/>
    </row>
    <row r="33" spans="1:22" x14ac:dyDescent="0.2">
      <c r="A33" s="14">
        <v>22</v>
      </c>
      <c r="B33" s="73" t="s">
        <v>69</v>
      </c>
      <c r="C33" s="75">
        <f>+'[4]II-E-3.15'!$E$109</f>
        <v>116677180.81</v>
      </c>
      <c r="D33" s="75"/>
      <c r="E33" s="75"/>
      <c r="F33" s="87">
        <f>(C33-D33)/365.25</f>
        <v>319444.71132101299</v>
      </c>
      <c r="G33" s="104">
        <f>+$G$14</f>
        <v>53.27</v>
      </c>
      <c r="H33" s="104">
        <v>-37.5</v>
      </c>
      <c r="I33" s="105">
        <f>G33+H33</f>
        <v>15.770000000000003</v>
      </c>
      <c r="J33" s="80">
        <f>ROUND(F33*I33,0)</f>
        <v>5037643</v>
      </c>
      <c r="K33" s="121" t="s">
        <v>129</v>
      </c>
      <c r="L33" s="141">
        <f>ROUND(+$J33*'[2]II-F Alloc_Factor'!$E$18,2)+ROUND($J33*'[2]II-F Alloc_Factor'!$G$18,2)</f>
        <v>370408.48</v>
      </c>
      <c r="M33" s="141">
        <f>ROUND(+$J33*'[2]II-F Alloc_Factor'!F$18,2)</f>
        <v>0</v>
      </c>
      <c r="N33" s="141">
        <v>0</v>
      </c>
      <c r="O33" s="141">
        <f>SUM(L33:N33)</f>
        <v>370408.48</v>
      </c>
      <c r="P33" s="141">
        <f>ROUND(+$J33*'[2]II-F Alloc_Factor'!I$18,2)</f>
        <v>4312084.1900000004</v>
      </c>
      <c r="Q33" s="141">
        <f>ROUND(+$J33*'[2]II-F Alloc_Factor'!J$18,2)</f>
        <v>0</v>
      </c>
      <c r="R33" s="141">
        <f>SUM(P33:Q33)</f>
        <v>4312084.1900000004</v>
      </c>
      <c r="S33" s="141">
        <f>ROUND(+$J33*'[2]II-F Alloc_Factor'!L$18,2)</f>
        <v>186408.67</v>
      </c>
      <c r="T33" s="83">
        <f>+J33-O33-R33-S33</f>
        <v>168741.65999999913</v>
      </c>
      <c r="U33" s="142">
        <f>+T33+S33+R33+O33</f>
        <v>5037643</v>
      </c>
      <c r="V33" s="1" t="b">
        <f>+J33=U33</f>
        <v>1</v>
      </c>
    </row>
    <row r="34" spans="1:22" s="15" customFormat="1" x14ac:dyDescent="0.2">
      <c r="A34" s="14">
        <v>23</v>
      </c>
      <c r="B34" s="85" t="s">
        <v>84</v>
      </c>
      <c r="C34" s="86">
        <f>+'[4]II-E-3.15'!$E$121+'[4]II-E-3.15'!$E$123</f>
        <v>157506760.04999995</v>
      </c>
      <c r="D34" s="75"/>
      <c r="E34" s="75"/>
      <c r="F34" s="87">
        <f>(C34-D34)/365.25</f>
        <v>431230.0069815194</v>
      </c>
      <c r="G34" s="97">
        <v>0</v>
      </c>
      <c r="H34" s="104">
        <v>0</v>
      </c>
      <c r="I34" s="88">
        <f>G34+H34</f>
        <v>0</v>
      </c>
      <c r="J34" s="80">
        <f>ROUND(F34*I34,0)</f>
        <v>0</v>
      </c>
    </row>
    <row r="35" spans="1:22" x14ac:dyDescent="0.2">
      <c r="A35" s="14">
        <v>24</v>
      </c>
      <c r="B35" s="74" t="s">
        <v>75</v>
      </c>
      <c r="C35" s="75">
        <f>SUM(C33:C34)</f>
        <v>274183940.85999995</v>
      </c>
      <c r="D35" s="145"/>
      <c r="E35" s="145"/>
      <c r="F35" s="87"/>
      <c r="G35" s="104"/>
      <c r="H35" s="107"/>
      <c r="I35" s="88"/>
      <c r="J35" s="5"/>
      <c r="L35" s="83"/>
    </row>
    <row r="36" spans="1:22" x14ac:dyDescent="0.2">
      <c r="A36" s="14">
        <v>25</v>
      </c>
      <c r="C36" s="145">
        <f>+C35-'[5]I-A-1'!$F$19</f>
        <v>0</v>
      </c>
      <c r="D36" s="75"/>
      <c r="E36" s="75"/>
      <c r="F36" s="87"/>
      <c r="G36" s="104"/>
      <c r="H36" s="107"/>
      <c r="I36" s="88"/>
      <c r="J36" s="80"/>
    </row>
    <row r="37" spans="1:22" x14ac:dyDescent="0.2">
      <c r="A37" s="14">
        <v>26</v>
      </c>
      <c r="B37" s="1" t="s">
        <v>23</v>
      </c>
      <c r="C37" s="77"/>
      <c r="D37" s="77"/>
      <c r="E37" s="77"/>
      <c r="F37" s="26"/>
      <c r="G37" s="97"/>
      <c r="H37" s="15"/>
      <c r="I37" s="84"/>
      <c r="J37" s="5"/>
    </row>
    <row r="38" spans="1:22" x14ac:dyDescent="0.2">
      <c r="A38" s="14">
        <v>27</v>
      </c>
      <c r="B38" s="73" t="s">
        <v>70</v>
      </c>
      <c r="C38" s="80">
        <f>+'[4]Link Sheet'!$F$56+'[4]Link Sheet'!$F$57+'[4]Link Sheet'!$F$58</f>
        <v>21229820.66</v>
      </c>
      <c r="D38" s="78"/>
      <c r="E38" s="78"/>
      <c r="F38" s="87">
        <f>(C38-D38)/365.25</f>
        <v>58124.081204654343</v>
      </c>
      <c r="G38" s="104">
        <f>+$G$14</f>
        <v>53.27</v>
      </c>
      <c r="H38" s="104">
        <v>-11.47</v>
      </c>
      <c r="I38" s="105">
        <f>G38+H38</f>
        <v>41.800000000000004</v>
      </c>
      <c r="J38" s="80">
        <f>ROUND(F38*I38,0)</f>
        <v>2429587</v>
      </c>
      <c r="K38" s="121" t="s">
        <v>129</v>
      </c>
      <c r="L38" s="141">
        <f>ROUND(+$J38*'[2]II-F Alloc_Factor'!$E$18,2)+ROUND($J38*'[2]II-F Alloc_Factor'!$G$18,2)</f>
        <v>178642.99</v>
      </c>
      <c r="M38" s="141">
        <f>ROUND(+$J38*'[2]II-F Alloc_Factor'!F$18,2)</f>
        <v>0</v>
      </c>
      <c r="N38" s="141">
        <v>0</v>
      </c>
      <c r="O38" s="141">
        <f>SUM(L38:N38)</f>
        <v>178642.99</v>
      </c>
      <c r="P38" s="141">
        <f>ROUND(+$J38*'[2]II-F Alloc_Factor'!I$18,2)</f>
        <v>2079659.81</v>
      </c>
      <c r="Q38" s="141">
        <f>ROUND(+$J38*'[2]II-F Alloc_Factor'!J$18,2)</f>
        <v>0</v>
      </c>
      <c r="R38" s="141">
        <f>SUM(P38:Q38)</f>
        <v>2079659.81</v>
      </c>
      <c r="S38" s="141">
        <f>ROUND(+$J38*'[2]II-F Alloc_Factor'!L$18,2)</f>
        <v>89902.38</v>
      </c>
      <c r="T38" s="83">
        <f>+J38-O38-R38-S38</f>
        <v>81381.819999999716</v>
      </c>
      <c r="U38" s="142">
        <f>+T38+S38+R38+O38</f>
        <v>2429587</v>
      </c>
      <c r="V38" s="1" t="b">
        <f>+J38=U38</f>
        <v>1</v>
      </c>
    </row>
    <row r="39" spans="1:22" x14ac:dyDescent="0.2">
      <c r="A39" s="14">
        <v>28</v>
      </c>
      <c r="B39" s="73" t="s">
        <v>71</v>
      </c>
      <c r="C39" s="80">
        <f>+'[4]II-E-2'!$I$30</f>
        <v>38283647</v>
      </c>
      <c r="D39" s="79"/>
      <c r="E39" s="79"/>
      <c r="F39" s="87">
        <f>(C39-D39)/365.25</f>
        <v>104814.91307323751</v>
      </c>
      <c r="G39" s="104">
        <f>+$G$14</f>
        <v>53.27</v>
      </c>
      <c r="H39" s="104">
        <v>46.25</v>
      </c>
      <c r="I39" s="105">
        <f>G39+H39</f>
        <v>99.52000000000001</v>
      </c>
      <c r="J39" s="80">
        <f>ROUND(F39*I39,0)</f>
        <v>10431180</v>
      </c>
      <c r="K39" s="121" t="s">
        <v>129</v>
      </c>
      <c r="L39" s="141">
        <f>ROUND(+$J39*'[2]II-F Alloc_Factor'!$E$18,2)+ROUND($J39*'[2]II-F Alloc_Factor'!$G$18,2)</f>
        <v>766985.18</v>
      </c>
      <c r="M39" s="141">
        <f>ROUND(+$J39*'[2]II-F Alloc_Factor'!F$18,2)</f>
        <v>0</v>
      </c>
      <c r="N39" s="141">
        <v>0</v>
      </c>
      <c r="O39" s="141">
        <f>SUM(L39:N39)</f>
        <v>766985.18</v>
      </c>
      <c r="P39" s="141">
        <f>ROUND(+$J39*'[2]II-F Alloc_Factor'!I$18,2)</f>
        <v>8928803.8800000008</v>
      </c>
      <c r="Q39" s="141">
        <f>ROUND(+$J39*'[2]II-F Alloc_Factor'!J$18,2)</f>
        <v>0</v>
      </c>
      <c r="R39" s="141">
        <f>SUM(P39:Q39)</f>
        <v>8928803.8800000008</v>
      </c>
      <c r="S39" s="141">
        <f>ROUND(+$J39*'[2]II-F Alloc_Factor'!L$18,2)</f>
        <v>385986.55</v>
      </c>
      <c r="T39" s="83">
        <f>+J39-O39-R39-S39</f>
        <v>349404.38999999949</v>
      </c>
      <c r="U39" s="142">
        <f>+T39+S39+R39+O39</f>
        <v>10431180</v>
      </c>
      <c r="V39" s="1" t="b">
        <f>+J39=U39</f>
        <v>1</v>
      </c>
    </row>
    <row r="40" spans="1:22" x14ac:dyDescent="0.2">
      <c r="A40" s="14">
        <v>29</v>
      </c>
      <c r="B40" s="73" t="s">
        <v>72</v>
      </c>
      <c r="C40" s="80">
        <f>+'[4]II-E-2'!$I$31</f>
        <v>300041884.94999999</v>
      </c>
      <c r="D40" s="80">
        <v>217503701</v>
      </c>
      <c r="E40" s="80"/>
      <c r="F40" s="87">
        <f>(C40-D40)/365.25</f>
        <v>225977.23189596162</v>
      </c>
      <c r="G40" s="104">
        <f>+$G$14</f>
        <v>53.27</v>
      </c>
      <c r="H40" s="104">
        <v>-58.48</v>
      </c>
      <c r="I40" s="105">
        <f>G40+H40</f>
        <v>-5.2099999999999937</v>
      </c>
      <c r="J40" s="80">
        <f>ROUND(F40*I40,0)</f>
        <v>-1177341</v>
      </c>
      <c r="K40" s="121" t="s">
        <v>129</v>
      </c>
      <c r="L40" s="141">
        <f>ROUND(+$J40*'[2]II-F Alloc_Factor'!$E$18,2)+ROUND($J40*'[2]II-F Alloc_Factor'!$G$18,2)</f>
        <v>-86567.679999999993</v>
      </c>
      <c r="M40" s="141">
        <f>ROUND(+$J40*'[2]II-F Alloc_Factor'!F$18,2)</f>
        <v>0</v>
      </c>
      <c r="N40" s="141">
        <v>0</v>
      </c>
      <c r="O40" s="141">
        <f>SUM(L40:N40)</f>
        <v>-86567.679999999993</v>
      </c>
      <c r="P40" s="141">
        <f>ROUND(+$J40*'[2]II-F Alloc_Factor'!I$18,2)</f>
        <v>-1007771.59</v>
      </c>
      <c r="Q40" s="141">
        <f>ROUND(+$J40*'[2]II-F Alloc_Factor'!J$18,2)</f>
        <v>0</v>
      </c>
      <c r="R40" s="141">
        <f>SUM(P40:Q40)</f>
        <v>-1007771.59</v>
      </c>
      <c r="S40" s="141">
        <f>ROUND(+$J40*'[2]II-F Alloc_Factor'!L$18,2)</f>
        <v>-43565.33</v>
      </c>
      <c r="T40" s="83">
        <f>+J40-O40-R40-S40</f>
        <v>-39436.400000000096</v>
      </c>
      <c r="U40" s="142">
        <f>+T40+S40+R40+O40</f>
        <v>-1177341</v>
      </c>
      <c r="V40" s="1" t="b">
        <f>+J40=U40</f>
        <v>1</v>
      </c>
    </row>
    <row r="41" spans="1:22" x14ac:dyDescent="0.2">
      <c r="A41" s="14">
        <v>30</v>
      </c>
      <c r="B41" s="73" t="s">
        <v>73</v>
      </c>
      <c r="C41" s="80">
        <f>+'[4]Link Sheet'!$F$60</f>
        <v>283553736.94</v>
      </c>
      <c r="D41" s="5"/>
      <c r="E41" s="5"/>
      <c r="F41" s="87">
        <f>(C41-D41)/365.25</f>
        <v>776327.82187542773</v>
      </c>
      <c r="G41" s="104">
        <f>+$G$14</f>
        <v>53.27</v>
      </c>
      <c r="H41" s="104">
        <v>-212.48</v>
      </c>
      <c r="I41" s="105">
        <f>G41+H41</f>
        <v>-159.20999999999998</v>
      </c>
      <c r="J41" s="80">
        <f>ROUND(F41*I41,0)</f>
        <v>-123599153</v>
      </c>
      <c r="K41" s="1" t="s">
        <v>130</v>
      </c>
      <c r="L41" s="141">
        <f>ROUND(+$J41*'[2]II-F Alloc_Factor'!$E$19,2)+ROUND($J41*'[2]II-F Alloc_Factor'!$G$19,2)</f>
        <v>-53439771.68</v>
      </c>
      <c r="M41" s="141">
        <f>ROUND(+$J41*'[2]II-F Alloc_Factor'!F$19,2)</f>
        <v>-5687892.9699999997</v>
      </c>
      <c r="N41" s="143">
        <v>0</v>
      </c>
      <c r="O41" s="141">
        <f>SUM(L41:N41)</f>
        <v>-59127664.649999999</v>
      </c>
      <c r="P41" s="141">
        <f>ROUND(+$J41*'[2]II-F Alloc_Factor'!I$19,2)</f>
        <v>-60981188.539999999</v>
      </c>
      <c r="Q41" s="141">
        <f>ROUND(+$J41*'[2]II-F Alloc_Factor'!J$19,2)</f>
        <v>-454315.74</v>
      </c>
      <c r="R41" s="141">
        <f>SUM(P41:Q41)</f>
        <v>-61435504.280000001</v>
      </c>
      <c r="S41" s="141">
        <f>ROUND(+$J41*'[2]II-F Alloc_Factor'!L$19,2)</f>
        <v>-1827722.55</v>
      </c>
      <c r="T41" s="83">
        <f>+J41-O41-R41-S41</f>
        <v>-1208261.5200000003</v>
      </c>
      <c r="U41" s="142">
        <f>+T41+S41+R41+O41</f>
        <v>-123599153</v>
      </c>
      <c r="V41" s="1" t="b">
        <f>+J41=U41</f>
        <v>1</v>
      </c>
    </row>
    <row r="42" spans="1:22" x14ac:dyDescent="0.2">
      <c r="A42" s="14">
        <v>31</v>
      </c>
      <c r="B42" s="73" t="s">
        <v>178</v>
      </c>
      <c r="C42" s="81">
        <f>+'[4]II-E-2'!$I$32</f>
        <v>1800</v>
      </c>
      <c r="D42" s="5"/>
      <c r="E42" s="5"/>
      <c r="F42" s="87"/>
      <c r="G42" s="104"/>
      <c r="H42" s="104"/>
      <c r="I42" s="105"/>
      <c r="J42" s="80"/>
      <c r="L42" s="141"/>
      <c r="M42" s="141"/>
      <c r="N42" s="143"/>
      <c r="O42" s="141"/>
      <c r="P42" s="141"/>
      <c r="Q42" s="141"/>
      <c r="R42" s="141"/>
      <c r="S42" s="141"/>
      <c r="T42" s="83"/>
      <c r="U42" s="142"/>
    </row>
    <row r="43" spans="1:22" x14ac:dyDescent="0.2">
      <c r="A43" s="14">
        <v>32</v>
      </c>
      <c r="B43" s="73" t="s">
        <v>76</v>
      </c>
      <c r="C43" s="80">
        <f>SUM(C38:C42)</f>
        <v>643110889.54999995</v>
      </c>
      <c r="D43" s="145"/>
      <c r="E43" s="145"/>
      <c r="F43" s="26"/>
      <c r="G43" s="97"/>
      <c r="H43" s="25"/>
      <c r="I43" s="84"/>
      <c r="J43" s="108"/>
      <c r="L43" s="83"/>
    </row>
    <row r="44" spans="1:22" x14ac:dyDescent="0.2">
      <c r="A44" s="14">
        <v>33</v>
      </c>
      <c r="C44" s="170">
        <f>+C43-'[5]I-A-1'!$F$18</f>
        <v>0</v>
      </c>
      <c r="D44" s="26"/>
      <c r="E44" s="26"/>
      <c r="F44" s="26"/>
      <c r="G44" s="97"/>
      <c r="H44" s="15"/>
      <c r="I44" s="84"/>
      <c r="J44" s="5"/>
    </row>
    <row r="45" spans="1:22" x14ac:dyDescent="0.2">
      <c r="A45" s="14">
        <v>34</v>
      </c>
      <c r="B45" s="1" t="s">
        <v>24</v>
      </c>
      <c r="C45" s="80">
        <f>+'[4]II-E-1'!$W$85</f>
        <v>1245705675.5000002</v>
      </c>
      <c r="D45" s="145"/>
      <c r="E45" s="145"/>
      <c r="F45" s="87">
        <f>(C45-D45)/365.25</f>
        <v>3410556.2642026017</v>
      </c>
      <c r="G45" s="97">
        <v>0</v>
      </c>
      <c r="H45" s="97">
        <v>0</v>
      </c>
      <c r="I45" s="97">
        <f>G45+H45</f>
        <v>0</v>
      </c>
      <c r="J45" s="80">
        <f>ROUND(F45*I45,0)</f>
        <v>0</v>
      </c>
      <c r="L45" s="83"/>
    </row>
    <row r="46" spans="1:22" x14ac:dyDescent="0.2">
      <c r="A46" s="14">
        <v>35</v>
      </c>
      <c r="C46" s="25"/>
      <c r="D46" s="145"/>
      <c r="E46" s="145"/>
      <c r="F46" s="15"/>
      <c r="G46" s="97"/>
      <c r="H46" s="97"/>
      <c r="I46" s="97"/>
      <c r="J46" s="109"/>
    </row>
    <row r="47" spans="1:22" x14ac:dyDescent="0.2">
      <c r="A47" s="14">
        <v>36</v>
      </c>
      <c r="B47" s="1" t="s">
        <v>25</v>
      </c>
      <c r="C47" s="81">
        <f>+'[5]Link Sheet'!$D$8</f>
        <v>1976714756.0841351</v>
      </c>
      <c r="D47" s="145"/>
      <c r="E47" s="145"/>
      <c r="F47" s="87">
        <f>(C47-D47)/365.25</f>
        <v>5411950.0508805886</v>
      </c>
      <c r="G47" s="97">
        <v>0</v>
      </c>
      <c r="H47" s="97">
        <v>0</v>
      </c>
      <c r="I47" s="97">
        <f>G47+H47</f>
        <v>0</v>
      </c>
      <c r="J47" s="80">
        <f>ROUND(F47*I47,0)</f>
        <v>0</v>
      </c>
      <c r="L47" s="83"/>
    </row>
    <row r="48" spans="1:22" x14ac:dyDescent="0.2">
      <c r="A48" s="14">
        <v>37</v>
      </c>
      <c r="D48" s="145"/>
      <c r="E48" s="145"/>
      <c r="F48" s="15"/>
      <c r="G48" s="15"/>
      <c r="H48" s="110"/>
      <c r="I48" s="84"/>
      <c r="J48" s="148"/>
    </row>
    <row r="49" spans="1:22" x14ac:dyDescent="0.2">
      <c r="A49" s="14">
        <v>38</v>
      </c>
      <c r="B49" s="1" t="s">
        <v>77</v>
      </c>
      <c r="C49" s="82">
        <f>+C47+C45+C43+C35+C30</f>
        <v>7938293036.0941353</v>
      </c>
      <c r="D49" s="145"/>
      <c r="E49" s="145"/>
      <c r="F49" s="15"/>
      <c r="G49" s="15"/>
      <c r="H49" s="110"/>
      <c r="I49" s="84"/>
      <c r="J49" s="80">
        <f>SUM(J14:J47)</f>
        <v>-80994347</v>
      </c>
      <c r="L49" s="80">
        <f t="shared" ref="L49:S49" si="4">SUM(L14:L47)</f>
        <v>-50307119.869999997</v>
      </c>
      <c r="M49" s="80">
        <f t="shared" si="4"/>
        <v>-5687892.9699999997</v>
      </c>
      <c r="N49" s="80">
        <f t="shared" si="4"/>
        <v>0</v>
      </c>
      <c r="O49" s="80">
        <f t="shared" si="4"/>
        <v>-55995012.839999996</v>
      </c>
      <c r="P49" s="80">
        <f t="shared" si="4"/>
        <v>-24512643.540000007</v>
      </c>
      <c r="Q49" s="80">
        <f t="shared" si="4"/>
        <v>-454315.74</v>
      </c>
      <c r="R49" s="80">
        <f t="shared" si="4"/>
        <v>-24966959.280000009</v>
      </c>
      <c r="S49" s="80">
        <f t="shared" si="4"/>
        <v>-251210.39999999991</v>
      </c>
      <c r="T49" s="80">
        <f>+J49-O49-R49-S49</f>
        <v>218835.52000000468</v>
      </c>
      <c r="U49" s="142">
        <f>+T49+S49+R49+O49</f>
        <v>-80994347</v>
      </c>
      <c r="V49" s="1" t="b">
        <f>+J49=U49</f>
        <v>1</v>
      </c>
    </row>
    <row r="50" spans="1:22" x14ac:dyDescent="0.2">
      <c r="A50" s="14">
        <v>39</v>
      </c>
      <c r="C50" s="15" t="b">
        <f>ROUND(C49/100,0)=ROUND('[5]Link Sheet'!$D$9/100,0)</f>
        <v>1</v>
      </c>
      <c r="D50" s="145"/>
      <c r="E50" s="145"/>
      <c r="F50" s="15"/>
      <c r="G50" s="15"/>
      <c r="H50" s="15"/>
      <c r="I50" s="84"/>
      <c r="J50" s="109"/>
    </row>
    <row r="51" spans="1:22" x14ac:dyDescent="0.2">
      <c r="A51" s="14">
        <v>40</v>
      </c>
      <c r="B51" s="1" t="s">
        <v>26</v>
      </c>
      <c r="D51" s="15"/>
      <c r="E51" s="15"/>
      <c r="F51" s="15"/>
      <c r="G51" s="15"/>
      <c r="H51" s="15"/>
      <c r="I51" s="84"/>
      <c r="J51" s="80">
        <v>2149754</v>
      </c>
      <c r="K51" s="121" t="s">
        <v>129</v>
      </c>
      <c r="L51" s="141">
        <f>ROUND(+$J51*'[2]II-F Alloc_Factor'!$E$18,2)+ROUND($J51*'[2]II-F Alloc_Factor'!$G$18,2)</f>
        <v>158067.4</v>
      </c>
      <c r="M51" s="141">
        <f>ROUND(+$J51*'[2]II-F Alloc_Factor'!F$18,2)</f>
        <v>0</v>
      </c>
      <c r="N51" s="141">
        <v>0</v>
      </c>
      <c r="O51" s="141">
        <f>SUM(L51:N51)</f>
        <v>158067.4</v>
      </c>
      <c r="P51" s="141">
        <f>ROUND(+$J51*'[2]II-F Alloc_Factor'!I$18,2)</f>
        <v>1840130.44</v>
      </c>
      <c r="Q51" s="141">
        <f>ROUND(+$J51*'[2]II-F Alloc_Factor'!J$18,2)</f>
        <v>0</v>
      </c>
      <c r="R51" s="141">
        <f>SUM(P51:Q51)</f>
        <v>1840130.44</v>
      </c>
      <c r="S51" s="141">
        <f>ROUND(+$J51*'[2]II-F Alloc_Factor'!L$18,2)</f>
        <v>79547.679999999993</v>
      </c>
      <c r="T51" s="83">
        <f>+J51-O51-R51-S51</f>
        <v>72008.480000000156</v>
      </c>
      <c r="U51" s="142">
        <f>+T51+S51+R51+O51</f>
        <v>2149754</v>
      </c>
      <c r="V51" s="1" t="b">
        <f>+J51=U51</f>
        <v>1</v>
      </c>
    </row>
    <row r="52" spans="1:22" x14ac:dyDescent="0.2">
      <c r="A52" s="14">
        <v>41</v>
      </c>
      <c r="B52" s="1" t="s">
        <v>27</v>
      </c>
      <c r="C52"/>
      <c r="D52"/>
      <c r="E52"/>
      <c r="F52"/>
      <c r="G52"/>
      <c r="H52"/>
      <c r="I52"/>
      <c r="J52" s="81">
        <v>-3435810</v>
      </c>
      <c r="K52" s="121" t="s">
        <v>129</v>
      </c>
      <c r="L52" s="141">
        <f>ROUND(+$J52*'[2]II-F Alloc_Factor'!$E$18,2)+ROUND($J52*'[2]II-F Alloc_Factor'!$G$18,2)</f>
        <v>-252628.69</v>
      </c>
      <c r="M52" s="141">
        <f>ROUND(+$J52*'[2]II-F Alloc_Factor'!F$18,2)</f>
        <v>0</v>
      </c>
      <c r="N52" s="141">
        <v>0</v>
      </c>
      <c r="O52" s="141">
        <f>SUM(L52:N52)</f>
        <v>-252628.69</v>
      </c>
      <c r="P52" s="141">
        <f>ROUND(+$J52*'[2]II-F Alloc_Factor'!I$18,2)</f>
        <v>-2940959.09</v>
      </c>
      <c r="Q52" s="141">
        <f>ROUND(+$J52*'[2]II-F Alloc_Factor'!J$18,2)</f>
        <v>0</v>
      </c>
      <c r="R52" s="141">
        <f>SUM(P52:Q52)</f>
        <v>-2940959.09</v>
      </c>
      <c r="S52" s="141">
        <f>ROUND(+$J52*'[2]II-F Alloc_Factor'!L$18,2)</f>
        <v>-127135.8</v>
      </c>
      <c r="T52" s="83">
        <f>+J52-O52-R52-S52</f>
        <v>-115086.4200000002</v>
      </c>
      <c r="U52" s="142">
        <f>+T52+S52+R52+O52</f>
        <v>-3435810</v>
      </c>
      <c r="V52" s="1" t="b">
        <f>+J52=U52</f>
        <v>1</v>
      </c>
    </row>
    <row r="53" spans="1:22" x14ac:dyDescent="0.2">
      <c r="A53" s="14">
        <v>42</v>
      </c>
      <c r="D53" s="15"/>
      <c r="E53" s="15"/>
      <c r="F53" s="15"/>
      <c r="G53" s="15"/>
      <c r="H53" s="15"/>
      <c r="I53" s="84"/>
      <c r="J53" s="111"/>
    </row>
    <row r="54" spans="1:22" ht="13.5" thickBot="1" x14ac:dyDescent="0.25">
      <c r="A54" s="14">
        <v>43</v>
      </c>
      <c r="B54" s="1" t="s">
        <v>78</v>
      </c>
      <c r="D54" s="15"/>
      <c r="E54" s="15"/>
      <c r="F54" s="15"/>
      <c r="G54" s="15"/>
      <c r="H54" s="15"/>
      <c r="I54" s="84"/>
      <c r="J54" s="112">
        <f>SUM(J49:J52)</f>
        <v>-82280403</v>
      </c>
      <c r="L54" s="112">
        <f>SUM(L49:L52)</f>
        <v>-50401681.159999996</v>
      </c>
      <c r="M54" s="112">
        <f>SUM(M49:M52)</f>
        <v>-5687892.9699999997</v>
      </c>
      <c r="N54" s="112">
        <f t="shared" ref="N54:U54" si="5">SUM(N49:N52)</f>
        <v>0</v>
      </c>
      <c r="O54" s="112">
        <f t="shared" si="5"/>
        <v>-56089574.129999995</v>
      </c>
      <c r="P54" s="112">
        <f t="shared" si="5"/>
        <v>-25613472.190000005</v>
      </c>
      <c r="Q54" s="112">
        <f t="shared" si="5"/>
        <v>-454315.74</v>
      </c>
      <c r="R54" s="112">
        <f t="shared" si="5"/>
        <v>-26067787.930000007</v>
      </c>
      <c r="S54" s="112">
        <f t="shared" si="5"/>
        <v>-298798.5199999999</v>
      </c>
      <c r="T54" s="112">
        <f t="shared" si="5"/>
        <v>175757.58000000461</v>
      </c>
      <c r="U54" s="112">
        <f t="shared" si="5"/>
        <v>-82280403</v>
      </c>
      <c r="V54" s="1" t="b">
        <f>+J54=U54</f>
        <v>1</v>
      </c>
    </row>
    <row r="55" spans="1:22" ht="13.5" thickTop="1" x14ac:dyDescent="0.2">
      <c r="D55" s="15"/>
      <c r="E55" s="15"/>
      <c r="F55" s="15"/>
      <c r="G55" s="15"/>
      <c r="H55" s="15"/>
      <c r="I55" s="84"/>
      <c r="J55" s="5"/>
    </row>
    <row r="56" spans="1:22" x14ac:dyDescent="0.2">
      <c r="C56" s="171">
        <f>+C49-'[5]I-A-1'!$F$23</f>
        <v>0</v>
      </c>
      <c r="D56" s="15"/>
      <c r="E56" s="15"/>
      <c r="F56" s="15"/>
      <c r="G56" s="15"/>
      <c r="H56" s="15"/>
      <c r="I56" s="84"/>
      <c r="J56" s="87"/>
    </row>
    <row r="57" spans="1:22" x14ac:dyDescent="0.2">
      <c r="J57" s="83"/>
      <c r="L57" s="83"/>
    </row>
    <row r="58" spans="1:22" x14ac:dyDescent="0.2">
      <c r="J58" s="83"/>
    </row>
    <row r="60" spans="1:22" x14ac:dyDescent="0.2">
      <c r="C60" s="82"/>
      <c r="J60" s="83"/>
    </row>
  </sheetData>
  <mergeCells count="4">
    <mergeCell ref="A5:J5"/>
    <mergeCell ref="A1:J1"/>
    <mergeCell ref="A3:J3"/>
    <mergeCell ref="A4:J4"/>
  </mergeCells>
  <phoneticPr fontId="4" type="noConversion"/>
  <printOptions horizontalCentered="1"/>
  <pageMargins left="1" right="0.5" top="1" bottom="1" header="0.5" footer="0.5"/>
  <pageSetup scale="42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S90"/>
  <sheetViews>
    <sheetView topLeftCell="A37" zoomScale="85" zoomScaleNormal="85" workbookViewId="0">
      <selection activeCell="S58" sqref="S58"/>
    </sheetView>
  </sheetViews>
  <sheetFormatPr defaultRowHeight="12.75" x14ac:dyDescent="0.2"/>
  <cols>
    <col min="1" max="1" width="3.5703125" customWidth="1"/>
    <col min="2" max="2" width="16.7109375" customWidth="1"/>
    <col min="3" max="3" width="3.7109375" customWidth="1"/>
    <col min="4" max="4" width="14.7109375" customWidth="1"/>
    <col min="5" max="5" width="8" customWidth="1"/>
    <col min="6" max="6" width="16.85546875" bestFit="1" customWidth="1"/>
    <col min="7" max="7" width="3.7109375" customWidth="1"/>
    <col min="8" max="8" width="18.140625" bestFit="1" customWidth="1"/>
    <col min="9" max="9" width="3.7109375" customWidth="1"/>
    <col min="10" max="10" width="1.7109375" customWidth="1"/>
    <col min="11" max="11" width="23.7109375" customWidth="1"/>
    <col min="12" max="12" width="6.7109375" customWidth="1"/>
    <col min="13" max="13" width="7.7109375" customWidth="1"/>
    <col min="14" max="14" width="17.7109375" customWidth="1"/>
    <col min="16" max="16" width="17.42578125" bestFit="1" customWidth="1"/>
    <col min="17" max="17" width="15.85546875" bestFit="1" customWidth="1"/>
  </cols>
  <sheetData>
    <row r="1" spans="2:11" ht="4.5" customHeight="1" x14ac:dyDescent="0.2"/>
    <row r="2" spans="2:11" ht="15.75" customHeight="1" x14ac:dyDescent="0.2">
      <c r="E2" s="63" t="str">
        <f>+'[6]Input Data'!$A$9</f>
        <v>2025 RATE CASE</v>
      </c>
      <c r="K2" s="133"/>
    </row>
    <row r="3" spans="2:11" ht="15.75" customHeight="1" x14ac:dyDescent="0.2">
      <c r="E3" s="63" t="str">
        <f>+'[6]Input Data'!$A$2</f>
        <v>ONCOR ELECTRIC DELIVERY COMPANY LLC</v>
      </c>
      <c r="K3" s="133"/>
    </row>
    <row r="4" spans="2:11" ht="15.75" customHeight="1" x14ac:dyDescent="0.2">
      <c r="D4" s="65"/>
      <c r="E4" s="63" t="s">
        <v>151</v>
      </c>
      <c r="F4" s="65"/>
      <c r="G4" s="65"/>
      <c r="H4" s="65"/>
      <c r="I4" s="65"/>
      <c r="J4" s="65"/>
    </row>
    <row r="5" spans="2:11" ht="15.75" customHeight="1" x14ac:dyDescent="0.2">
      <c r="C5" s="64"/>
      <c r="D5" s="65"/>
      <c r="E5" s="67" t="str">
        <f>+'[6]Input Data'!$A$4</f>
        <v>TEST YEAR ENDING DECEMBER 31, 2024</v>
      </c>
      <c r="F5" s="65"/>
      <c r="G5" s="65"/>
      <c r="H5" s="65"/>
      <c r="I5" s="65"/>
      <c r="J5" s="65"/>
    </row>
    <row r="6" spans="2:11" ht="15.75" customHeight="1" x14ac:dyDescent="0.2">
      <c r="C6" s="2"/>
      <c r="D6" s="2"/>
      <c r="E6" s="2" t="s">
        <v>177</v>
      </c>
      <c r="F6" s="2"/>
      <c r="G6" s="2"/>
      <c r="H6" s="2"/>
      <c r="I6" s="2"/>
      <c r="J6" s="2"/>
      <c r="K6" s="121"/>
    </row>
    <row r="7" spans="2:11" ht="15.75" customHeight="1" x14ac:dyDescent="0.2">
      <c r="C7" s="2"/>
      <c r="D7" s="2"/>
      <c r="E7" s="2"/>
      <c r="F7" s="2"/>
      <c r="G7" s="2"/>
      <c r="H7" s="2"/>
      <c r="I7" s="2"/>
      <c r="J7" s="2"/>
    </row>
    <row r="8" spans="2:11" ht="15" customHeight="1" thickBot="1" x14ac:dyDescent="0.25">
      <c r="B8" s="66" t="s">
        <v>63</v>
      </c>
      <c r="H8" s="27"/>
    </row>
    <row r="9" spans="2:11" x14ac:dyDescent="0.2">
      <c r="B9" s="98"/>
      <c r="C9" s="99"/>
      <c r="D9" s="99"/>
      <c r="E9" s="99"/>
      <c r="F9" s="99"/>
      <c r="G9" s="99"/>
      <c r="H9" s="99" t="s">
        <v>28</v>
      </c>
      <c r="I9" s="100"/>
      <c r="J9" s="101"/>
    </row>
    <row r="10" spans="2:11" x14ac:dyDescent="0.2">
      <c r="B10" s="102" t="s">
        <v>29</v>
      </c>
      <c r="C10" s="7"/>
      <c r="D10" s="7"/>
      <c r="E10" s="7"/>
      <c r="F10" s="7"/>
      <c r="G10" s="7"/>
      <c r="H10" s="7" t="s">
        <v>30</v>
      </c>
      <c r="I10" s="8"/>
      <c r="J10" s="103"/>
    </row>
    <row r="11" spans="2:11" ht="18" customHeight="1" x14ac:dyDescent="0.2">
      <c r="B11" s="162" t="s">
        <v>110</v>
      </c>
      <c r="C11" s="31"/>
      <c r="D11" s="31"/>
      <c r="E11" s="31"/>
      <c r="F11" s="31"/>
      <c r="G11" s="32"/>
      <c r="H11" s="115">
        <v>9.0758700000000001</v>
      </c>
      <c r="I11" s="92"/>
      <c r="J11" s="33"/>
      <c r="K11" s="121"/>
    </row>
    <row r="12" spans="2:11" ht="12.75" customHeight="1" x14ac:dyDescent="0.2">
      <c r="B12" s="34" t="s">
        <v>31</v>
      </c>
      <c r="C12" s="35"/>
      <c r="D12" s="35"/>
      <c r="E12" s="35"/>
      <c r="F12" s="35"/>
      <c r="G12" s="36"/>
      <c r="H12" s="115">
        <v>1.2482200000000001</v>
      </c>
      <c r="I12" s="93"/>
      <c r="J12" s="37"/>
      <c r="K12" s="121"/>
    </row>
    <row r="13" spans="2:11" ht="12.75" customHeight="1" x14ac:dyDescent="0.2">
      <c r="B13" s="38" t="s">
        <v>96</v>
      </c>
      <c r="C13" s="39"/>
      <c r="D13" s="39"/>
      <c r="E13" s="39"/>
      <c r="F13" s="39"/>
      <c r="G13" s="40"/>
      <c r="H13" s="115">
        <v>7.9464999999999994E-2</v>
      </c>
      <c r="I13" s="94"/>
      <c r="J13" s="41"/>
    </row>
    <row r="14" spans="2:11" ht="12.75" customHeight="1" x14ac:dyDescent="0.2">
      <c r="B14" s="38" t="s">
        <v>157</v>
      </c>
      <c r="C14" s="164"/>
      <c r="D14" s="164"/>
      <c r="E14" s="164"/>
      <c r="F14" s="164"/>
      <c r="G14" s="165"/>
      <c r="H14" s="115">
        <v>5.9034000000000003E-2</v>
      </c>
      <c r="I14" s="166"/>
      <c r="J14" s="41"/>
    </row>
    <row r="15" spans="2:11" ht="12.75" customHeight="1" x14ac:dyDescent="0.2">
      <c r="B15" s="38" t="s">
        <v>32</v>
      </c>
      <c r="C15" s="39"/>
      <c r="D15" s="39"/>
      <c r="E15" s="39"/>
      <c r="F15" s="39"/>
      <c r="G15" s="40"/>
      <c r="H15" s="115">
        <v>1.8899537</v>
      </c>
      <c r="I15" s="94"/>
      <c r="J15" s="41"/>
    </row>
    <row r="16" spans="2:11" ht="12.75" customHeight="1" x14ac:dyDescent="0.2">
      <c r="B16" s="38" t="s">
        <v>33</v>
      </c>
      <c r="C16" s="39"/>
      <c r="D16" s="39"/>
      <c r="E16" s="39"/>
      <c r="F16" s="39"/>
      <c r="G16" s="40"/>
      <c r="H16" s="115">
        <v>0.138873</v>
      </c>
      <c r="I16" s="94"/>
      <c r="J16" s="41"/>
    </row>
    <row r="17" spans="2:11" ht="12.75" customHeight="1" x14ac:dyDescent="0.2">
      <c r="B17" s="30" t="s">
        <v>34</v>
      </c>
      <c r="C17" s="31"/>
      <c r="D17" s="31"/>
      <c r="E17" s="31"/>
      <c r="F17" s="31"/>
      <c r="G17" s="32"/>
      <c r="H17" s="115">
        <v>0.533694</v>
      </c>
      <c r="I17" s="95"/>
      <c r="J17" s="33"/>
    </row>
    <row r="18" spans="2:11" ht="12.75" customHeight="1" x14ac:dyDescent="0.2">
      <c r="B18" s="34" t="s">
        <v>97</v>
      </c>
      <c r="C18" s="35"/>
      <c r="D18" s="35"/>
      <c r="E18" s="35"/>
      <c r="F18" s="35"/>
      <c r="G18" s="36"/>
      <c r="H18" s="115">
        <v>7.9275359999999999</v>
      </c>
      <c r="I18" s="96"/>
      <c r="J18" s="37"/>
    </row>
    <row r="19" spans="2:11" ht="12.75" customHeight="1" x14ac:dyDescent="0.2">
      <c r="B19" s="34" t="s">
        <v>35</v>
      </c>
      <c r="C19" s="35"/>
      <c r="D19" s="35"/>
      <c r="E19" s="35"/>
      <c r="F19" s="35"/>
      <c r="G19" s="36"/>
      <c r="H19" s="115">
        <v>2.892E-3</v>
      </c>
      <c r="I19" s="96"/>
      <c r="J19" s="37"/>
      <c r="K19" s="121"/>
    </row>
    <row r="20" spans="2:11" ht="12.75" customHeight="1" x14ac:dyDescent="0.2">
      <c r="B20" s="34" t="s">
        <v>36</v>
      </c>
      <c r="C20" s="35"/>
      <c r="D20" s="35"/>
      <c r="E20" s="35"/>
      <c r="F20" s="35"/>
      <c r="G20" s="36"/>
      <c r="H20" s="115">
        <v>8.2820000000000005E-2</v>
      </c>
      <c r="I20" s="96"/>
      <c r="J20" s="37"/>
    </row>
    <row r="21" spans="2:11" ht="12.75" customHeight="1" x14ac:dyDescent="0.2">
      <c r="B21" s="34" t="s">
        <v>98</v>
      </c>
      <c r="C21" s="35"/>
      <c r="D21" s="35"/>
      <c r="E21" s="35"/>
      <c r="F21" s="35"/>
      <c r="G21" s="36"/>
      <c r="H21" s="115">
        <v>0.98590999999999995</v>
      </c>
      <c r="I21" s="96"/>
      <c r="J21" s="37"/>
    </row>
    <row r="22" spans="2:11" ht="12.75" customHeight="1" x14ac:dyDescent="0.2">
      <c r="B22" s="47" t="s">
        <v>37</v>
      </c>
      <c r="C22" s="28"/>
      <c r="D22" s="28"/>
      <c r="E22" s="28"/>
      <c r="F22" s="28"/>
      <c r="G22" s="122"/>
      <c r="H22" s="115">
        <v>2.0920000000000001E-3</v>
      </c>
      <c r="I22" s="123"/>
      <c r="J22" s="29"/>
      <c r="K22" s="121"/>
    </row>
    <row r="23" spans="2:11" ht="12.75" customHeight="1" x14ac:dyDescent="0.2">
      <c r="B23" s="38" t="s">
        <v>38</v>
      </c>
      <c r="C23" s="39"/>
      <c r="D23" s="39"/>
      <c r="E23" s="39"/>
      <c r="F23" s="39"/>
      <c r="G23" s="40"/>
      <c r="H23" s="115">
        <v>0.333063</v>
      </c>
      <c r="I23" s="94"/>
      <c r="J23" s="41"/>
    </row>
    <row r="24" spans="2:11" ht="12.75" customHeight="1" x14ac:dyDescent="0.2">
      <c r="B24" s="38" t="s">
        <v>39</v>
      </c>
      <c r="C24" s="39"/>
      <c r="D24" s="39"/>
      <c r="E24" s="39"/>
      <c r="F24" s="39"/>
      <c r="G24" s="40"/>
      <c r="H24" s="115">
        <v>3.5300000000000002E-3</v>
      </c>
      <c r="I24" s="94"/>
      <c r="J24" s="41"/>
    </row>
    <row r="25" spans="2:11" ht="12.75" customHeight="1" x14ac:dyDescent="0.2">
      <c r="B25" s="38" t="s">
        <v>81</v>
      </c>
      <c r="C25" s="39"/>
      <c r="D25" s="39"/>
      <c r="E25" s="39"/>
      <c r="F25" s="39"/>
      <c r="G25" s="40"/>
      <c r="H25" s="115">
        <v>4.51708</v>
      </c>
      <c r="I25" s="94"/>
      <c r="J25" s="41"/>
    </row>
    <row r="26" spans="2:11" ht="12.75" customHeight="1" x14ac:dyDescent="0.2">
      <c r="B26" s="38" t="s">
        <v>40</v>
      </c>
      <c r="C26" s="39"/>
      <c r="D26" s="39"/>
      <c r="E26" s="39"/>
      <c r="F26" s="39"/>
      <c r="G26" s="40"/>
      <c r="H26" s="115">
        <v>2.1919999999999999E-3</v>
      </c>
      <c r="I26" s="94"/>
      <c r="J26" s="41"/>
      <c r="K26" s="121"/>
    </row>
    <row r="27" spans="2:11" ht="12.75" customHeight="1" x14ac:dyDescent="0.2">
      <c r="B27" s="30" t="s">
        <v>41</v>
      </c>
      <c r="C27" s="31"/>
      <c r="D27" s="31"/>
      <c r="E27" s="31"/>
      <c r="F27" s="31"/>
      <c r="G27" s="32"/>
      <c r="H27" s="115">
        <v>9.9010000000000001E-3</v>
      </c>
      <c r="I27" s="95"/>
      <c r="J27" s="33"/>
    </row>
    <row r="28" spans="2:11" ht="12.75" customHeight="1" x14ac:dyDescent="0.2">
      <c r="B28" s="34" t="s">
        <v>158</v>
      </c>
      <c r="C28" s="35"/>
      <c r="D28" s="35"/>
      <c r="E28" s="35"/>
      <c r="F28" s="35"/>
      <c r="G28" s="36"/>
      <c r="H28" s="115">
        <v>9.5299999999999996E-4</v>
      </c>
      <c r="I28" s="96"/>
      <c r="J28" s="37"/>
    </row>
    <row r="29" spans="2:11" ht="12.75" customHeight="1" x14ac:dyDescent="0.2">
      <c r="B29" s="34" t="s">
        <v>42</v>
      </c>
      <c r="C29" s="35"/>
      <c r="D29" s="35"/>
      <c r="E29" s="35"/>
      <c r="F29" s="35"/>
      <c r="G29" s="36"/>
      <c r="H29" s="115">
        <v>6.4429999999999999E-3</v>
      </c>
      <c r="I29" s="96"/>
      <c r="J29" s="37"/>
    </row>
    <row r="30" spans="2:11" ht="12.75" customHeight="1" x14ac:dyDescent="0.2">
      <c r="B30" s="30" t="s">
        <v>43</v>
      </c>
      <c r="C30" s="31"/>
      <c r="D30" s="31"/>
      <c r="E30" s="31"/>
      <c r="F30" s="31"/>
      <c r="G30" s="32"/>
      <c r="H30" s="115">
        <v>0.90886100000000003</v>
      </c>
      <c r="I30" s="95"/>
      <c r="J30" s="33"/>
    </row>
    <row r="31" spans="2:11" ht="12.75" customHeight="1" x14ac:dyDescent="0.2">
      <c r="B31" s="34" t="s">
        <v>99</v>
      </c>
      <c r="C31" s="35"/>
      <c r="D31" s="35"/>
      <c r="E31" s="35"/>
      <c r="F31" s="35"/>
      <c r="G31" s="36"/>
      <c r="H31" s="115">
        <v>5.0457000000000002E-2</v>
      </c>
      <c r="I31" s="96"/>
      <c r="J31" s="37"/>
      <c r="K31" s="121"/>
    </row>
    <row r="32" spans="2:11" ht="12.75" customHeight="1" x14ac:dyDescent="0.2">
      <c r="B32" s="34" t="s">
        <v>93</v>
      </c>
      <c r="C32" s="35"/>
      <c r="D32" s="35"/>
      <c r="E32" s="35"/>
      <c r="F32" s="35"/>
      <c r="G32" s="36"/>
      <c r="H32" s="115">
        <v>0.101955</v>
      </c>
      <c r="I32" s="96"/>
      <c r="J32" s="37"/>
    </row>
    <row r="33" spans="2:15" ht="12.75" customHeight="1" x14ac:dyDescent="0.2">
      <c r="B33" s="34" t="s">
        <v>44</v>
      </c>
      <c r="C33" s="35"/>
      <c r="D33" s="35"/>
      <c r="E33" s="35"/>
      <c r="F33" s="35"/>
      <c r="G33" s="36"/>
      <c r="H33" s="115">
        <v>2.2728000000000002E-2</v>
      </c>
      <c r="I33" s="96"/>
      <c r="J33" s="37"/>
    </row>
    <row r="34" spans="2:15" ht="12.75" customHeight="1" x14ac:dyDescent="0.2">
      <c r="B34" s="34" t="s">
        <v>159</v>
      </c>
      <c r="C34" s="35"/>
      <c r="D34" s="35"/>
      <c r="E34" s="35"/>
      <c r="F34" s="35"/>
      <c r="G34" s="36"/>
      <c r="H34" s="115">
        <v>0.28708699999999998</v>
      </c>
      <c r="I34" s="96"/>
      <c r="J34" s="37"/>
    </row>
    <row r="35" spans="2:15" ht="12.75" customHeight="1" x14ac:dyDescent="0.2">
      <c r="B35" s="34" t="s">
        <v>45</v>
      </c>
      <c r="C35" s="35"/>
      <c r="D35" s="35"/>
      <c r="E35" s="35"/>
      <c r="F35" s="35"/>
      <c r="G35" s="36"/>
      <c r="H35" s="115">
        <v>2.2662000000000002E-2</v>
      </c>
      <c r="I35" s="96"/>
      <c r="J35" s="37"/>
    </row>
    <row r="36" spans="2:15" ht="12.75" customHeight="1" x14ac:dyDescent="0.2">
      <c r="B36" s="34" t="s">
        <v>160</v>
      </c>
      <c r="C36" s="35"/>
      <c r="D36" s="35"/>
      <c r="E36" s="35"/>
      <c r="F36" s="35"/>
      <c r="G36" s="36"/>
      <c r="H36" s="115">
        <v>1.7032E-3</v>
      </c>
      <c r="I36" s="96"/>
      <c r="J36" s="37"/>
    </row>
    <row r="37" spans="2:15" ht="12.75" customHeight="1" x14ac:dyDescent="0.2">
      <c r="B37" s="34" t="s">
        <v>46</v>
      </c>
      <c r="C37" s="35"/>
      <c r="D37" s="35"/>
      <c r="E37" s="35"/>
      <c r="F37" s="35"/>
      <c r="G37" s="36"/>
      <c r="H37" s="115">
        <v>4.1349999999999998E-3</v>
      </c>
      <c r="I37" s="96"/>
      <c r="J37" s="37"/>
    </row>
    <row r="38" spans="2:15" ht="12.75" customHeight="1" x14ac:dyDescent="0.2">
      <c r="B38" s="38" t="s">
        <v>100</v>
      </c>
      <c r="C38" s="39"/>
      <c r="D38" s="39"/>
      <c r="E38" s="39"/>
      <c r="F38" s="39"/>
      <c r="G38" s="40"/>
      <c r="H38" s="115">
        <v>1.358724</v>
      </c>
      <c r="I38" s="94"/>
      <c r="J38" s="41"/>
    </row>
    <row r="39" spans="2:15" ht="12.75" customHeight="1" x14ac:dyDescent="0.2">
      <c r="B39" s="38" t="s">
        <v>47</v>
      </c>
      <c r="C39" s="39"/>
      <c r="D39" s="39"/>
      <c r="E39" s="39"/>
      <c r="F39" s="39"/>
      <c r="G39" s="40"/>
      <c r="H39" s="115">
        <v>8.6647990000000004</v>
      </c>
      <c r="I39" s="94"/>
      <c r="J39" s="41"/>
      <c r="K39" s="121"/>
    </row>
    <row r="40" spans="2:15" ht="12.75" customHeight="1" x14ac:dyDescent="0.2">
      <c r="B40" s="147" t="s">
        <v>143</v>
      </c>
      <c r="C40" s="39"/>
      <c r="D40" s="39"/>
      <c r="E40" s="39"/>
      <c r="F40" s="39"/>
      <c r="G40" s="40"/>
      <c r="H40" s="115">
        <v>0.56749499999999997</v>
      </c>
      <c r="I40" s="94"/>
      <c r="J40" s="41"/>
      <c r="K40" s="121"/>
    </row>
    <row r="41" spans="2:15" ht="12.75" customHeight="1" x14ac:dyDescent="0.2">
      <c r="B41" s="30" t="s">
        <v>101</v>
      </c>
      <c r="C41" s="31"/>
      <c r="D41" s="31"/>
      <c r="E41" s="31"/>
      <c r="F41" s="31"/>
      <c r="G41" s="32"/>
      <c r="H41" s="115">
        <v>1.1365E-2</v>
      </c>
      <c r="I41" s="95"/>
      <c r="J41" s="33"/>
      <c r="K41" s="121"/>
    </row>
    <row r="42" spans="2:15" ht="12.75" customHeight="1" x14ac:dyDescent="0.2">
      <c r="B42" s="34" t="s">
        <v>161</v>
      </c>
      <c r="C42" s="35"/>
      <c r="D42" s="35"/>
      <c r="E42" s="35"/>
      <c r="F42" s="35"/>
      <c r="G42" s="36"/>
      <c r="H42" s="115">
        <v>4.5710000000000001E-2</v>
      </c>
      <c r="I42" s="96"/>
      <c r="J42" s="37"/>
      <c r="K42" s="121"/>
    </row>
    <row r="43" spans="2:15" ht="12.75" customHeight="1" x14ac:dyDescent="0.2">
      <c r="B43" s="34" t="s">
        <v>162</v>
      </c>
      <c r="C43" s="35"/>
      <c r="D43" s="35"/>
      <c r="E43" s="35"/>
      <c r="F43" s="35"/>
      <c r="G43" s="36"/>
      <c r="H43" s="115">
        <v>0.48250999999999999</v>
      </c>
      <c r="I43" s="96"/>
      <c r="J43" s="37"/>
      <c r="K43" s="121"/>
    </row>
    <row r="44" spans="2:15" ht="12.75" customHeight="1" x14ac:dyDescent="0.2">
      <c r="B44" s="34" t="s">
        <v>48</v>
      </c>
      <c r="C44" s="35"/>
      <c r="D44" s="35"/>
      <c r="E44" s="35"/>
      <c r="F44" s="35"/>
      <c r="G44" s="36"/>
      <c r="H44" s="115">
        <v>0.79260699999999995</v>
      </c>
      <c r="I44" s="96"/>
      <c r="J44" s="37"/>
    </row>
    <row r="45" spans="2:15" ht="12.75" customHeight="1" x14ac:dyDescent="0.2">
      <c r="B45" s="30" t="s">
        <v>49</v>
      </c>
      <c r="C45" s="31"/>
      <c r="D45" s="31"/>
      <c r="E45" s="31"/>
      <c r="F45" s="31"/>
      <c r="G45" s="32"/>
      <c r="H45" s="115">
        <v>9.8589999999999997E-3</v>
      </c>
      <c r="I45" s="95"/>
      <c r="J45" s="33"/>
    </row>
    <row r="46" spans="2:15" ht="12.75" customHeight="1" x14ac:dyDescent="0.2">
      <c r="B46" s="34" t="s">
        <v>50</v>
      </c>
      <c r="C46" s="35"/>
      <c r="D46" s="35"/>
      <c r="E46" s="35"/>
      <c r="F46" s="35"/>
      <c r="G46" s="36"/>
      <c r="H46" s="115">
        <v>3.1757059999999999</v>
      </c>
      <c r="I46" s="96"/>
      <c r="J46" s="37"/>
    </row>
    <row r="47" spans="2:15" ht="12.75" customHeight="1" x14ac:dyDescent="0.2">
      <c r="B47" s="38" t="s">
        <v>51</v>
      </c>
      <c r="C47" s="39"/>
      <c r="D47" s="39"/>
      <c r="E47" s="39"/>
      <c r="F47" s="39"/>
      <c r="G47" s="40"/>
      <c r="H47" s="115">
        <v>2.0500999999999998E-2</v>
      </c>
      <c r="I47" s="94"/>
      <c r="J47" s="41"/>
    </row>
    <row r="48" spans="2:15" ht="12.75" customHeight="1" x14ac:dyDescent="0.2">
      <c r="B48" s="30" t="s">
        <v>52</v>
      </c>
      <c r="C48" s="31"/>
      <c r="D48" s="31"/>
      <c r="E48" s="31"/>
      <c r="F48" s="31"/>
      <c r="G48" s="32"/>
      <c r="H48" s="115">
        <v>0.56343600000000005</v>
      </c>
      <c r="I48" s="95"/>
      <c r="J48" s="33"/>
      <c r="K48" s="121"/>
      <c r="N48" s="152"/>
      <c r="O48" s="121"/>
    </row>
    <row r="49" spans="2:19" ht="12.75" customHeight="1" x14ac:dyDescent="0.2">
      <c r="B49" s="34" t="s">
        <v>53</v>
      </c>
      <c r="C49" s="35"/>
      <c r="D49" s="35"/>
      <c r="E49" s="35"/>
      <c r="F49" s="35"/>
      <c r="G49" s="36"/>
      <c r="H49" s="115">
        <v>1.3089150000000001</v>
      </c>
      <c r="I49" s="96"/>
      <c r="J49" s="37"/>
      <c r="K49" s="121"/>
      <c r="N49" s="121"/>
    </row>
    <row r="50" spans="2:19" ht="12.75" customHeight="1" x14ac:dyDescent="0.2">
      <c r="B50" s="38" t="s">
        <v>54</v>
      </c>
      <c r="C50" s="39"/>
      <c r="D50" s="39"/>
      <c r="E50" s="39"/>
      <c r="F50" s="39"/>
      <c r="G50" s="40"/>
      <c r="H50" s="115">
        <v>9.5100000000000002E-4</v>
      </c>
      <c r="I50" s="94"/>
      <c r="J50" s="41"/>
    </row>
    <row r="51" spans="2:19" ht="12.75" customHeight="1" x14ac:dyDescent="0.2">
      <c r="B51" s="30" t="s">
        <v>55</v>
      </c>
      <c r="C51" s="31"/>
      <c r="D51" s="31"/>
      <c r="E51" s="31"/>
      <c r="F51" s="31"/>
      <c r="G51" s="32"/>
      <c r="H51" s="115">
        <v>0.43547000000000002</v>
      </c>
      <c r="I51" s="95"/>
      <c r="J51" s="33"/>
    </row>
    <row r="52" spans="2:19" ht="12.75" customHeight="1" x14ac:dyDescent="0.2">
      <c r="B52" s="34" t="s">
        <v>56</v>
      </c>
      <c r="C52" s="35"/>
      <c r="D52" s="35"/>
      <c r="E52" s="35"/>
      <c r="F52" s="35"/>
      <c r="G52" s="36"/>
      <c r="H52" s="115">
        <v>2.1598739999999998</v>
      </c>
      <c r="I52" s="96"/>
      <c r="J52" s="37"/>
    </row>
    <row r="53" spans="2:19" ht="12.75" customHeight="1" thickBot="1" x14ac:dyDescent="0.25">
      <c r="B53" s="38" t="s">
        <v>57</v>
      </c>
      <c r="C53" s="39"/>
      <c r="D53" s="39"/>
      <c r="E53" s="39"/>
      <c r="F53" s="39"/>
      <c r="G53" s="40"/>
      <c r="H53" s="115">
        <v>1.0713E-2</v>
      </c>
      <c r="I53" s="94"/>
      <c r="J53" s="41"/>
    </row>
    <row r="54" spans="2:19" ht="12.75" customHeight="1" x14ac:dyDescent="0.2">
      <c r="B54" s="30" t="s">
        <v>102</v>
      </c>
      <c r="C54" s="31"/>
      <c r="D54" s="31"/>
      <c r="E54" s="31"/>
      <c r="F54" s="31"/>
      <c r="G54" s="32"/>
      <c r="H54" s="115">
        <v>1.4417519999999999</v>
      </c>
      <c r="I54" s="95"/>
      <c r="J54" s="33"/>
      <c r="K54" s="121"/>
      <c r="M54" s="42"/>
      <c r="N54" s="43"/>
      <c r="O54" s="43"/>
      <c r="P54" s="44"/>
      <c r="Q54" s="45"/>
    </row>
    <row r="55" spans="2:19" ht="12.75" customHeight="1" x14ac:dyDescent="0.2">
      <c r="B55" s="34" t="s">
        <v>103</v>
      </c>
      <c r="C55" s="35"/>
      <c r="D55" s="35"/>
      <c r="E55" s="35"/>
      <c r="F55" s="35"/>
      <c r="G55" s="36"/>
      <c r="H55" s="115">
        <v>1.8990000000000001E-3</v>
      </c>
      <c r="I55" s="96"/>
      <c r="J55" s="37"/>
      <c r="M55" s="46"/>
      <c r="N55" s="8" t="s">
        <v>58</v>
      </c>
      <c r="O55" s="28"/>
      <c r="P55" s="29"/>
      <c r="Q55" s="45"/>
    </row>
    <row r="56" spans="2:19" ht="12.75" customHeight="1" x14ac:dyDescent="0.2">
      <c r="B56" s="34"/>
      <c r="C56" s="35"/>
      <c r="D56" s="35"/>
      <c r="E56" s="35"/>
      <c r="F56" s="35"/>
      <c r="G56" s="36"/>
      <c r="H56" s="115"/>
      <c r="I56" s="96"/>
      <c r="J56" s="37"/>
      <c r="M56" s="46"/>
      <c r="N56" s="8"/>
      <c r="O56" s="28"/>
      <c r="P56" s="29"/>
      <c r="Q56" s="45"/>
    </row>
    <row r="57" spans="2:19" ht="12.75" customHeight="1" x14ac:dyDescent="0.2">
      <c r="B57" s="175" t="s">
        <v>111</v>
      </c>
      <c r="C57" s="176"/>
      <c r="D57" s="176"/>
      <c r="E57" s="176"/>
      <c r="F57" s="176"/>
      <c r="G57" s="177"/>
      <c r="H57" s="178">
        <f>IF(ISERROR(N57/$D$82),0,(N57/$D$82))</f>
        <v>1.8928133637273783</v>
      </c>
      <c r="I57" s="179"/>
      <c r="J57" s="180"/>
      <c r="K57" s="212"/>
      <c r="M57" s="46"/>
      <c r="N57" s="136">
        <f>+'[5]Link Sheet'!$F$15</f>
        <v>153398623.36116502</v>
      </c>
      <c r="O57" s="137" t="s">
        <v>114</v>
      </c>
      <c r="P57" s="29"/>
      <c r="Q57" s="45"/>
    </row>
    <row r="58" spans="2:19" ht="12.75" customHeight="1" x14ac:dyDescent="0.2">
      <c r="B58" s="181" t="s">
        <v>82</v>
      </c>
      <c r="C58" s="182"/>
      <c r="D58" s="182"/>
      <c r="E58" s="182"/>
      <c r="F58" s="182"/>
      <c r="G58" s="183"/>
      <c r="H58" s="184">
        <f>IF(ISERROR(N58/$D$82),0,(N58/$D$82))</f>
        <v>21.692990624757961</v>
      </c>
      <c r="I58" s="185">
        <v>1</v>
      </c>
      <c r="J58" s="186"/>
      <c r="K58" s="167"/>
      <c r="M58" s="46"/>
      <c r="N58" s="136">
        <f>+'[5]Link Sheet'!$E$15+'[5]Link Sheet'!$G$15</f>
        <v>1758057588.8747871</v>
      </c>
      <c r="O58" s="28" t="s">
        <v>113</v>
      </c>
      <c r="P58" s="29"/>
      <c r="Q58" s="45"/>
      <c r="S58" s="128"/>
    </row>
    <row r="59" spans="2:19" ht="3" customHeight="1" x14ac:dyDescent="0.2">
      <c r="B59" s="187"/>
      <c r="C59" s="109"/>
      <c r="D59" s="109"/>
      <c r="E59" s="109"/>
      <c r="F59" s="109"/>
      <c r="G59" s="109"/>
      <c r="H59" s="109"/>
      <c r="I59" s="109"/>
      <c r="J59" s="188"/>
      <c r="M59" s="46"/>
      <c r="N59" s="48"/>
      <c r="O59" s="48"/>
      <c r="P59" s="49"/>
      <c r="Q59" s="45"/>
    </row>
    <row r="60" spans="2:19" ht="13.5" thickBot="1" x14ac:dyDescent="0.25">
      <c r="B60" s="187" t="s">
        <v>64</v>
      </c>
      <c r="C60" s="109"/>
      <c r="D60" s="109"/>
      <c r="E60" s="109"/>
      <c r="F60" s="109"/>
      <c r="G60" s="109"/>
      <c r="H60" s="189">
        <f>SUM(H11:H58)</f>
        <v>72.937199888485353</v>
      </c>
      <c r="I60" s="190" t="s">
        <v>59</v>
      </c>
      <c r="J60" s="188"/>
      <c r="K60" s="167">
        <f>+H60*H62</f>
        <v>2108531363.8965397</v>
      </c>
      <c r="M60" s="50"/>
      <c r="N60" s="51"/>
      <c r="O60" s="51"/>
      <c r="P60" s="52"/>
      <c r="Q60" s="45"/>
    </row>
    <row r="61" spans="2:19" ht="4.5" customHeight="1" thickTop="1" thickBot="1" x14ac:dyDescent="0.25">
      <c r="B61" s="191"/>
      <c r="C61" s="192"/>
      <c r="D61" s="192"/>
      <c r="E61" s="192"/>
      <c r="F61" s="192"/>
      <c r="G61" s="192"/>
      <c r="H61" s="193"/>
      <c r="I61" s="192"/>
      <c r="J61" s="194"/>
    </row>
    <row r="62" spans="2:19" ht="18.75" customHeight="1" x14ac:dyDescent="0.2">
      <c r="B62" s="195" t="s">
        <v>145</v>
      </c>
      <c r="C62" s="195"/>
      <c r="D62" s="118"/>
      <c r="E62" s="118"/>
      <c r="F62" s="118"/>
      <c r="G62" s="118"/>
      <c r="H62" s="196">
        <f>+F82</f>
        <v>28908860.870999999</v>
      </c>
      <c r="I62" s="197" t="s">
        <v>60</v>
      </c>
      <c r="J62" s="118"/>
    </row>
    <row r="63" spans="2:19" ht="4.5" customHeight="1" thickBot="1" x14ac:dyDescent="0.25">
      <c r="B63" s="118"/>
      <c r="C63" s="118"/>
      <c r="D63" s="118"/>
      <c r="E63" s="118"/>
      <c r="F63" s="118"/>
      <c r="G63" s="118"/>
      <c r="H63" s="198"/>
      <c r="I63" s="118"/>
      <c r="J63" s="118"/>
    </row>
    <row r="64" spans="2:19" ht="30" customHeight="1" thickBot="1" x14ac:dyDescent="0.25">
      <c r="B64" s="218" t="s">
        <v>85</v>
      </c>
      <c r="C64" s="219"/>
      <c r="D64" s="219"/>
      <c r="E64" s="219"/>
      <c r="F64" s="219"/>
      <c r="G64" s="199"/>
      <c r="H64" s="200">
        <f>ROUND(H60*H62,0)+H72</f>
        <v>2100841472.6600001</v>
      </c>
      <c r="I64" s="201"/>
      <c r="J64" s="202"/>
      <c r="K64" s="121" t="s">
        <v>108</v>
      </c>
      <c r="N64" s="146" t="s">
        <v>142</v>
      </c>
      <c r="O64" s="146"/>
      <c r="P64" s="146"/>
      <c r="Q64" s="146"/>
    </row>
    <row r="65" spans="1:17" ht="24" customHeight="1" x14ac:dyDescent="0.2">
      <c r="B65" s="203"/>
      <c r="C65" s="109"/>
      <c r="D65" s="118"/>
      <c r="E65" s="118"/>
      <c r="F65" s="118"/>
      <c r="G65" s="118"/>
      <c r="H65" s="118"/>
      <c r="I65" s="118"/>
      <c r="J65" s="118"/>
      <c r="K65" s="113"/>
      <c r="N65" s="134">
        <f>ROUND(+H58*F82,2)</f>
        <v>627119647.85000002</v>
      </c>
      <c r="O65" t="s">
        <v>109</v>
      </c>
    </row>
    <row r="66" spans="1:17" ht="12.75" customHeight="1" x14ac:dyDescent="0.2">
      <c r="B66" s="204" t="s">
        <v>104</v>
      </c>
      <c r="C66" s="109"/>
      <c r="D66" s="118"/>
      <c r="E66" s="118"/>
      <c r="F66" s="205" t="s">
        <v>105</v>
      </c>
      <c r="G66" s="118"/>
      <c r="H66" s="205" t="s">
        <v>106</v>
      </c>
      <c r="I66" s="118"/>
      <c r="J66" s="118"/>
      <c r="K66" s="113"/>
      <c r="N66" s="139">
        <f>ROUND(+H57*F82,2)</f>
        <v>54719078.189999998</v>
      </c>
      <c r="O66" s="121" t="s">
        <v>115</v>
      </c>
    </row>
    <row r="67" spans="1:17" ht="12.75" customHeight="1" thickBot="1" x14ac:dyDescent="0.25">
      <c r="A67" s="38"/>
      <c r="B67" s="206" t="s">
        <v>174</v>
      </c>
      <c r="C67" s="206"/>
      <c r="D67" s="206"/>
      <c r="E67" s="206"/>
      <c r="F67" s="178">
        <f>0.000097*12</f>
        <v>1.1640000000000001E-3</v>
      </c>
      <c r="G67" s="178"/>
      <c r="H67" s="207">
        <f>ROUND(+F67*27620662.91,2)</f>
        <v>32150.45</v>
      </c>
      <c r="I67" s="208"/>
      <c r="J67" s="118"/>
      <c r="K67" s="124" t="s">
        <v>172</v>
      </c>
      <c r="N67" s="138">
        <f>SUM(N65:N66)</f>
        <v>681838726.03999996</v>
      </c>
    </row>
    <row r="68" spans="1:17" ht="12.75" customHeight="1" thickTop="1" x14ac:dyDescent="0.2">
      <c r="A68" s="38"/>
      <c r="B68" s="209" t="s">
        <v>170</v>
      </c>
      <c r="C68" s="209"/>
      <c r="D68" s="209"/>
      <c r="E68" s="209"/>
      <c r="F68" s="210">
        <f>0.00029*12</f>
        <v>3.48E-3</v>
      </c>
      <c r="G68" s="178"/>
      <c r="H68" s="207">
        <f>ROUND(+F68*24930510.352,2)</f>
        <v>86758.18</v>
      </c>
      <c r="I68" s="208"/>
      <c r="J68" s="118"/>
      <c r="K68" s="124" t="s">
        <v>112</v>
      </c>
    </row>
    <row r="69" spans="1:17" ht="12.75" customHeight="1" x14ac:dyDescent="0.2">
      <c r="A69" s="38"/>
      <c r="B69" s="206" t="s">
        <v>167</v>
      </c>
      <c r="C69" s="206"/>
      <c r="D69" s="206"/>
      <c r="E69" s="206"/>
      <c r="F69" s="178">
        <v>-1.3705999999999999E-2</v>
      </c>
      <c r="G69" s="178"/>
      <c r="H69" s="207">
        <f>ROUND(+F69*25945084.56,2)</f>
        <v>-355603.33</v>
      </c>
      <c r="I69" s="208"/>
      <c r="J69" s="118"/>
      <c r="K69" s="124" t="s">
        <v>168</v>
      </c>
    </row>
    <row r="70" spans="1:17" ht="12.75" customHeight="1" x14ac:dyDescent="0.2">
      <c r="A70" s="38"/>
      <c r="B70" s="182" t="s">
        <v>171</v>
      </c>
      <c r="C70" s="182"/>
      <c r="D70" s="182"/>
      <c r="E70" s="182"/>
      <c r="F70" s="178">
        <f>0.0009832856*12</f>
        <v>1.17994272E-2</v>
      </c>
      <c r="G70" s="178"/>
      <c r="H70" s="207">
        <f>ROUND(+F70*27620662.91,2)</f>
        <v>325908</v>
      </c>
      <c r="I70" s="208"/>
      <c r="J70" s="118"/>
      <c r="K70" s="124" t="s">
        <v>172</v>
      </c>
    </row>
    <row r="71" spans="1:17" ht="12.75" customHeight="1" x14ac:dyDescent="0.2">
      <c r="A71" s="30"/>
      <c r="B71" s="211" t="s">
        <v>169</v>
      </c>
      <c r="C71" s="182"/>
      <c r="D71" s="182"/>
      <c r="E71" s="182"/>
      <c r="F71" s="178">
        <f>-0.02191*12</f>
        <v>-0.26291999999999999</v>
      </c>
      <c r="G71" s="178"/>
      <c r="H71" s="207">
        <f>ROUND(+F71*29587344.576,2)</f>
        <v>-7779104.6399999997</v>
      </c>
      <c r="I71" s="186"/>
      <c r="J71" s="118"/>
      <c r="K71" s="124" t="s">
        <v>173</v>
      </c>
    </row>
    <row r="72" spans="1:17" ht="12.75" customHeight="1" x14ac:dyDescent="0.2">
      <c r="B72" s="28"/>
      <c r="C72" s="28"/>
      <c r="D72" s="125" t="s">
        <v>107</v>
      </c>
      <c r="E72" s="126"/>
      <c r="F72" s="126"/>
      <c r="G72" s="126"/>
      <c r="H72" s="127">
        <f>SUM(H67:H71)</f>
        <v>-7689891.3399999999</v>
      </c>
      <c r="K72" s="113"/>
    </row>
    <row r="73" spans="1:17" ht="12.75" customHeight="1" x14ac:dyDescent="0.2">
      <c r="B73" s="28"/>
      <c r="C73" s="28"/>
      <c r="D73" s="8"/>
      <c r="E73" s="8"/>
      <c r="F73" s="8"/>
      <c r="G73" s="8"/>
      <c r="H73" s="151"/>
      <c r="K73" s="113"/>
      <c r="N73" s="156" t="s">
        <v>148</v>
      </c>
      <c r="P73" s="168" t="s">
        <v>149</v>
      </c>
      <c r="Q73" s="168" t="s">
        <v>150</v>
      </c>
    </row>
    <row r="74" spans="1:17" s="68" customFormat="1" ht="15.75" customHeight="1" x14ac:dyDescent="0.2">
      <c r="B74" s="53" t="s">
        <v>176</v>
      </c>
      <c r="C74" s="53"/>
      <c r="D74" s="121"/>
      <c r="E74" s="121"/>
      <c r="F74" s="121"/>
      <c r="G74" s="121"/>
      <c r="H74" s="149">
        <v>19.401533644000001</v>
      </c>
      <c r="I74" s="89"/>
      <c r="J74" s="89"/>
      <c r="K74" s="90"/>
      <c r="N74" s="173">
        <f>ROUND(H74*D$82,2)</f>
        <v>1572351827.77</v>
      </c>
      <c r="O74" s="174"/>
      <c r="P74" s="173">
        <f>N74-Q74</f>
        <v>1011475590.97</v>
      </c>
      <c r="Q74" s="173">
        <f>ROUND(H74*F$82,2)</f>
        <v>560876236.79999995</v>
      </c>
    </row>
    <row r="75" spans="1:17" s="68" customFormat="1" x14ac:dyDescent="0.2">
      <c r="B75" s="53"/>
      <c r="C75" s="53"/>
      <c r="D75" s="121"/>
      <c r="E75" s="121"/>
      <c r="F75" s="121"/>
      <c r="G75" s="121"/>
      <c r="H75" s="150"/>
      <c r="I75" s="89"/>
      <c r="J75" s="89"/>
      <c r="K75" s="91"/>
      <c r="N75" s="173"/>
      <c r="O75" s="174"/>
      <c r="P75" s="173"/>
      <c r="Q75" s="173"/>
    </row>
    <row r="76" spans="1:17" s="68" customFormat="1" x14ac:dyDescent="0.2">
      <c r="B76" s="53" t="s">
        <v>175</v>
      </c>
      <c r="C76" s="53"/>
      <c r="D76" s="89"/>
      <c r="E76" s="89"/>
      <c r="F76" s="89"/>
      <c r="G76" s="89"/>
      <c r="H76" s="149">
        <v>21.434638743000001</v>
      </c>
      <c r="I76" s="89"/>
      <c r="J76" s="89"/>
      <c r="K76" s="89"/>
      <c r="N76" s="173">
        <f>ROUND(H76*D$82,2)</f>
        <v>1737120066.05</v>
      </c>
      <c r="O76" s="174"/>
      <c r="P76" s="173">
        <f>N76-Q76</f>
        <v>1117469076.8099999</v>
      </c>
      <c r="Q76" s="173">
        <f>ROUND(H76*F$82,2)</f>
        <v>619650989.24000001</v>
      </c>
    </row>
    <row r="77" spans="1:17" ht="21.75" customHeight="1" x14ac:dyDescent="0.2">
      <c r="B77" s="53"/>
      <c r="C77" s="53"/>
      <c r="D77" s="54" t="s">
        <v>146</v>
      </c>
      <c r="E77" s="54"/>
      <c r="F77" s="55" t="s">
        <v>147</v>
      </c>
      <c r="H77" s="54" t="s">
        <v>61</v>
      </c>
      <c r="K77" s="128"/>
      <c r="N77" s="169"/>
      <c r="O77" s="169"/>
      <c r="P77" s="169"/>
      <c r="Q77" s="169"/>
    </row>
    <row r="78" spans="1:17" x14ac:dyDescent="0.2">
      <c r="B78" s="116" t="s">
        <v>163</v>
      </c>
      <c r="C78" s="56"/>
      <c r="D78" s="129">
        <v>79749848.496000007</v>
      </c>
      <c r="E78" s="117"/>
      <c r="F78" s="129">
        <v>28805532.719999999</v>
      </c>
      <c r="G78" s="118"/>
      <c r="H78" s="119" t="s">
        <v>144</v>
      </c>
      <c r="N78" s="172">
        <f>+N57+N58</f>
        <v>1911456212.2359521</v>
      </c>
    </row>
    <row r="79" spans="1:17" x14ac:dyDescent="0.2">
      <c r="B79" s="58" t="s">
        <v>164</v>
      </c>
      <c r="C79" s="58"/>
      <c r="D79" s="130">
        <v>81184392.159999996</v>
      </c>
      <c r="E79" s="57"/>
      <c r="F79" s="130">
        <v>28824180.52</v>
      </c>
      <c r="H79" s="120" t="s">
        <v>144</v>
      </c>
    </row>
    <row r="80" spans="1:17" x14ac:dyDescent="0.2">
      <c r="B80" s="58" t="s">
        <v>165</v>
      </c>
      <c r="C80" s="58"/>
      <c r="D80" s="130">
        <v>85357561.731999993</v>
      </c>
      <c r="E80" s="57"/>
      <c r="F80" s="130">
        <v>30162580.91</v>
      </c>
      <c r="H80" s="120" t="s">
        <v>144</v>
      </c>
    </row>
    <row r="81" spans="2:11" x14ac:dyDescent="0.2">
      <c r="B81" s="58" t="s">
        <v>166</v>
      </c>
      <c r="C81" s="58"/>
      <c r="D81" s="130">
        <v>77878823.835999995</v>
      </c>
      <c r="E81" s="59"/>
      <c r="F81" s="130">
        <v>27843149.331999999</v>
      </c>
      <c r="G81" s="28"/>
      <c r="H81" s="120" t="s">
        <v>144</v>
      </c>
    </row>
    <row r="82" spans="2:11" ht="12.75" customHeight="1" thickBot="1" x14ac:dyDescent="0.25">
      <c r="B82" s="60" t="s">
        <v>62</v>
      </c>
      <c r="C82" s="60"/>
      <c r="D82" s="131">
        <f>ROUND(AVERAGE(D78:D81),3)</f>
        <v>81042656.555999994</v>
      </c>
      <c r="E82" s="61"/>
      <c r="F82" s="131">
        <f>ROUND(AVERAGE(F78:F81),3)</f>
        <v>28908860.870999999</v>
      </c>
      <c r="G82" s="28"/>
      <c r="H82" s="153"/>
    </row>
    <row r="83" spans="2:11" ht="6" customHeight="1" thickTop="1" x14ac:dyDescent="0.2"/>
    <row r="84" spans="2:11" s="68" customFormat="1" x14ac:dyDescent="0.2">
      <c r="B84" s="53"/>
      <c r="C84" s="53"/>
      <c r="D84" s="89"/>
      <c r="E84" s="89"/>
      <c r="F84" s="89"/>
      <c r="G84" s="89"/>
      <c r="H84" s="89"/>
      <c r="I84" s="89"/>
      <c r="J84" s="89"/>
      <c r="K84" s="89"/>
    </row>
    <row r="85" spans="2:11" s="68" customFormat="1" x14ac:dyDescent="0.2">
      <c r="B85" s="53"/>
      <c r="C85" s="53"/>
      <c r="D85" s="89"/>
      <c r="E85" s="89"/>
      <c r="F85" s="89"/>
      <c r="G85" s="89"/>
      <c r="H85" s="89"/>
      <c r="I85" s="89"/>
      <c r="J85" s="89"/>
      <c r="K85" s="89"/>
    </row>
    <row r="86" spans="2:11" ht="1.5" customHeight="1" x14ac:dyDescent="0.2">
      <c r="B86" s="89"/>
      <c r="C86" s="89"/>
      <c r="D86" s="89"/>
      <c r="E86" s="89"/>
      <c r="F86" s="89"/>
      <c r="G86" s="89"/>
      <c r="H86" s="89"/>
      <c r="I86" s="89"/>
      <c r="J86" s="89"/>
      <c r="K86" s="89"/>
    </row>
    <row r="87" spans="2:11" x14ac:dyDescent="0.2">
      <c r="B87" s="89"/>
      <c r="C87" s="89"/>
      <c r="D87" s="89"/>
      <c r="E87" s="89"/>
      <c r="F87" s="132"/>
      <c r="G87" s="89"/>
      <c r="H87" s="89"/>
      <c r="I87" s="89"/>
      <c r="J87" s="89"/>
      <c r="K87" s="89"/>
    </row>
    <row r="90" spans="2:11" x14ac:dyDescent="0.2">
      <c r="H90" s="62"/>
    </row>
  </sheetData>
  <mergeCells count="1">
    <mergeCell ref="B64:F64"/>
  </mergeCells>
  <phoneticPr fontId="0" type="noConversion"/>
  <printOptions horizontalCentered="1"/>
  <pageMargins left="1.5" right="0.5" top="0.5" bottom="0.5" header="0" footer="0"/>
  <pageSetup scale="60" orientation="portrait" horizontalDpi="300" verticalDpi="300"/>
  <headerFooter alignWithMargins="0">
    <oddHeader>&amp;R&amp;"Arial,Bold"WP/II-D ADJUSTMENT / 1
Page 2 of 2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Lead Lag</vt:lpstr>
      <vt:lpstr>Wholesale_NTS_RO</vt:lpstr>
      <vt:lpstr>'Lead Lag'!Print_Area</vt:lpstr>
      <vt:lpstr>Wholesale_NTS_RO!Print_Area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Tenorio, Stephanie</cp:lastModifiedBy>
  <cp:lastPrinted>1900-01-01T06:00:00Z</cp:lastPrinted>
  <dcterms:created xsi:type="dcterms:W3CDTF">1900-01-01T06:00:00Z</dcterms:created>
  <dcterms:modified xsi:type="dcterms:W3CDTF">2025-06-25T18:49:55Z</dcterms:modified>
</cp:coreProperties>
</file>