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"/>
    </mc:Choice>
  </mc:AlternateContent>
  <xr:revisionPtr revIDLastSave="0" documentId="13_ncr:1_{4881A496-4526-4094-81DD-49766C87208C}" xr6:coauthVersionLast="47" xr6:coauthVersionMax="47" xr10:uidLastSave="{00000000-0000-0000-0000-000000000000}"/>
  <x:bookViews>
    <x:workbookView xWindow="-110" yWindow="-110" windowWidth="19420" windowHeight="10300" tabRatio="696" firstSheet="29" activeTab="32" xr2:uid="{00000000-000D-0000-FFFF-FFFF00000000}"/>
  </x:bookViews>
  <x:sheets>
    <x:sheet name="RES" sheetId="1" r:id="rId1"/>
    <x:sheet name="SECLE10KW" sheetId="58" r:id="rId2"/>
    <x:sheet name="SECGT10KW" sheetId="60" r:id="rId3"/>
    <x:sheet name="PRMGT10KWD" sheetId="61" r:id="rId4"/>
    <x:sheet name="SUBSTATION" sheetId="87" r:id="rId5"/>
    <x:sheet name="COOLING Weighting" sheetId="36" r:id="rId6"/>
    <x:sheet name="COOLING Weighting (2)" sheetId="91" r:id="rId7"/>
    <x:sheet name="HEATING Weighting" sheetId="37" r:id="rId8"/>
    <x:sheet name="HEATING Weighting (2)" sheetId="92" r:id="rId9"/>
    <x:sheet name="Simple Averages_0121" sheetId="74" r:id="rId10"/>
    <x:sheet name="Simple Averages_0720" sheetId="95" r:id="rId11"/>
    <x:sheet name="Simple Averages_0114" sheetId="93" r:id="rId12"/>
    <x:sheet name="Simple Averages_0714" sheetId="96" r:id="rId13"/>
    <x:sheet name="Smoothed Normal for 0121" sheetId="77" r:id="rId14"/>
    <x:sheet name="Smoothed Normal for 0720" sheetId="52" r:id="rId15"/>
    <x:sheet name="Smoothed Normal for 0114" sheetId="63" r:id="rId16"/>
    <x:sheet name="Smoothed Normal for 0714" sheetId="76" r:id="rId17"/>
    <x:sheet name="Cycle 20 HDD Feb 23" sheetId="64" r:id="rId18"/>
    <x:sheet name="Cycle 18 CDD Aug 23" sheetId="50" r:id="rId19"/>
    <x:sheet name="Cycle 14 HDD Feb 24" sheetId="97" r:id="rId20"/>
    <x:sheet name="Cycle 13 CDD Aug 24" sheetId="98" r:id="rId21"/>
    <x:sheet name="Billed Feb 23 HDD" sheetId="65" r:id="rId22"/>
    <x:sheet name="Billed Aug 23 CDD" sheetId="48" r:id="rId23"/>
    <x:sheet name="Billed Feb 24 HDD" sheetId="80" r:id="rId24"/>
    <x:sheet name="Billed Aug 24 CDD" sheetId="81" r:id="rId25"/>
    <x:sheet name="Spline Degree Days 2023" sheetId="106" r:id="rId26"/>
    <x:sheet name="Spline Degree Days 2024" sheetId="107" r:id="rId27"/>
    <x:sheet name="Res Seasonal Weights" sheetId="45" r:id="rId28"/>
    <x:sheet name="SECTE10KW Seasonal Weights" sheetId="67" r:id="rId29"/>
    <x:sheet name="SECGT10KW Seasonal Weights" sheetId="68" r:id="rId30"/>
    <x:sheet name="PRMGT10KWD Seasonal Weights" sheetId="69" r:id="rId31"/>
    <x:sheet name="Substation Seasonal Weights" sheetId="90" r:id="rId32"/>
    <x:sheet name="Class Spline Weights" sheetId="104" r:id="rId33"/>
  </x:sheets>
  <x:externalReferences>
    <x:externalReference r:id="rId34"/>
    <x:externalReference r:id="rId35"/>
    <x:externalReference r:id="rId36"/>
    <x:externalReference r:id="rId37"/>
    <x:externalReference r:id="rId38"/>
    <x:externalReference r:id="rId39"/>
    <x:externalReference r:id="rId40"/>
    <x:externalReference r:id="rId41"/>
    <x:externalReference r:id="rId42"/>
    <x:externalReference r:id="rId43"/>
  </x:externalReferences>
  <x:definedNames>
    <x:definedName name="_xlnm.Database" localSheetId="6">#REF!</x:definedName>
    <x:definedName name="_xlnm.Database" localSheetId="20">#REF!</x:definedName>
    <x:definedName name="_xlnm.Database" localSheetId="19">#REF!</x:definedName>
    <x:definedName name="_xlnm.Database" localSheetId="8">#REF!</x:definedName>
    <x:definedName name="_xlnm.Database" localSheetId="11">#REF!</x:definedName>
    <x:definedName name="_xlnm.Database" localSheetId="12">#REF!</x:definedName>
    <x:definedName name="_xlnm.Database" localSheetId="10">#REF!</x:definedName>
    <x:definedName name="_xlnm.Database" localSheetId="25">#REF!</x:definedName>
    <x:definedName name="_xlnm.Database" localSheetId="4">#REF!</x:definedName>
    <x:definedName name="_xlnm.Database" localSheetId="31">#REF!</x:definedName>
    <x:definedName name="_xlnm.Database">#REF!</x:definedName>
    <x:definedName name="HOURLY">[1]HOURLY!$A$1:$G$745</x:definedName>
    <x:definedName name="OLE_LINK2" localSheetId="30">'PRMGT10KWD Seasonal Weights'!$B$25</x:definedName>
    <x:definedName name="OLE_LINK2" localSheetId="27">'Res Seasonal Weights'!$B$25</x:definedName>
    <x:definedName name="OLE_LINK2" localSheetId="29">'SECGT10KW Seasonal Weights'!$B$25</x:definedName>
    <x:definedName name="OLE_LINK2" localSheetId="28">'SECTE10KW Seasonal Weights'!$B$25</x:definedName>
    <x:definedName name="OLE_LINK2" localSheetId="31">'Substation Seasonal Weights'!$B$25</x:definedName>
    <x:definedName name="_xlnm.Print_Area" localSheetId="22">'Billed Aug 23 CDD'!$A$1:$M$38</x:definedName>
    <x:definedName name="_xlnm.Print_Area" localSheetId="24">'Billed Aug 24 CDD'!$A$1:$M$38</x:definedName>
    <x:definedName name="_xlnm.Print_Area" localSheetId="21">'Billed Feb 23 HDD'!$A$1:$M$38</x:definedName>
    <x:definedName name="_xlnm.Print_Area" localSheetId="23">'Billed Feb 24 HDD'!$A$1:$M$38</x:definedName>
    <x:definedName name="_xlnm.Print_Area" localSheetId="5">'COOLING Weighting'!$A$1:$O$28</x:definedName>
    <x:definedName name="_xlnm.Print_Area" localSheetId="6">'COOLING Weighting (2)'!$A$1:$O$28</x:definedName>
    <x:definedName name="_xlnm.Print_Area" localSheetId="20">'Cycle 13 CDD Aug 24'!$A$1:$K$49</x:definedName>
    <x:definedName name="_xlnm.Print_Area" localSheetId="19">'Cycle 14 HDD Feb 24'!$A$1:$L$50</x:definedName>
    <x:definedName name="_xlnm.Print_Area" localSheetId="18">'Cycle 18 CDD Aug 23'!$A$1:$K$47</x:definedName>
    <x:definedName name="_xlnm.Print_Area" localSheetId="17">'Cycle 20 HDD Feb 23'!$A$1:$K$49</x:definedName>
    <x:definedName name="_xlnm.Print_Area" localSheetId="7">'HEATING Weighting'!$A$1:$O$28</x:definedName>
    <x:definedName name="_xlnm.Print_Area" localSheetId="8">'HEATING Weighting (2)'!$A$1:$O$28</x:definedName>
    <x:definedName name="_xlnm.Print_Area" localSheetId="30">'PRMGT10KWD Seasonal Weights'!$A$1:$P$37</x:definedName>
    <x:definedName name="_xlnm.Print_Area" localSheetId="27">'Res Seasonal Weights'!$A$1:$P$37</x:definedName>
    <x:definedName name="_xlnm.Print_Area" localSheetId="29">'SECGT10KW Seasonal Weights'!$A$1:$P$37</x:definedName>
    <x:definedName name="_xlnm.Print_Area" localSheetId="28">'SECTE10KW Seasonal Weights'!$A$1:$P$37</x:definedName>
    <x:definedName name="_xlnm.Print_Area" localSheetId="11">'Simple Averages_0114'!$A$1:$L$31</x:definedName>
    <x:definedName name="_xlnm.Print_Area" localSheetId="9">'Simple Averages_0121'!$A$1:$L$31</x:definedName>
    <x:definedName name="_xlnm.Print_Area" localSheetId="12">'Simple Averages_0714'!$A$1:$L$31</x:definedName>
    <x:definedName name="_xlnm.Print_Area" localSheetId="10">'Simple Averages_0720'!$A$1:$L$31</x:definedName>
    <x:definedName name="_xlnm.Print_Area" localSheetId="15">'Smoothed Normal for 0114'!$A$1:$L$44</x:definedName>
    <x:definedName name="_xlnm.Print_Area" localSheetId="13">'Smoothed Normal for 0121'!$A$1:$L$44</x:definedName>
    <x:definedName name="_xlnm.Print_Area" localSheetId="16">'Smoothed Normal for 0714'!$A$1:$J$44</x:definedName>
    <x:definedName name="_xlnm.Print_Area" localSheetId="14">'Smoothed Normal for 0720'!$A$1:$J$44</x:definedName>
    <x:definedName name="_xlnm.Print_Area" localSheetId="25">'Spline Degree Days 2023'!$A$1:$G$27</x:definedName>
    <x:definedName name="_xlnm.Print_Area" localSheetId="26">'Spline Degree Days 2024'!$A$1:$G$27</x:definedName>
    <x:definedName name="_xlnm.Print_Area" localSheetId="31">'Substation Seasonal Weights'!$A$1:$P$37</x:definedName>
    <x:definedName name="rngBilled">OFFSET([2]Sheet2!$A$2,0,0,[2]Sheet2!$B$1,9)</x:definedName>
    <x:definedName name="rngYear">OFFSET('[3]Daily Actual_August'!$A$2,0,0,'[3]Daily Actual_August'!$C$1,8)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45" i="104" l="1"/>
  <x:c r="G44" i="104"/>
  <x:c r="G38" i="104"/>
  <x:c r="G37" i="104"/>
  <x:c r="G36" i="104"/>
  <x:c r="C31" i="104"/>
  <x:c r="C30" i="104"/>
  <x:c r="G31" i="104"/>
  <x:c r="G30" i="104"/>
  <x:c r="G29" i="104"/>
  <x:c r="G28" i="104"/>
  <x:c r="G22" i="104"/>
  <x:c r="G21" i="104"/>
  <x:c r="G20" i="104"/>
  <x:c r="C22" i="104"/>
  <x:c r="C21" i="104"/>
  <x:c r="C20" i="104"/>
  <x:c r="G15" i="104"/>
  <x:c r="G14" i="104"/>
  <x:c r="G13" i="104"/>
  <x:c r="G12" i="104"/>
  <x:c r="C15" i="104"/>
  <x:c r="C14" i="104"/>
  <x:c r="C13" i="104"/>
  <x:c r="C12" i="104"/>
  <x:c r="P21" i="90"/>
  <x:c r="O21" i="90"/>
  <x:c r="N21" i="90"/>
  <x:c r="M21" i="90"/>
  <x:c r="L21" i="90"/>
  <x:c r="K21" i="90"/>
  <x:c r="J21" i="90"/>
  <x:c r="I21" i="90"/>
  <x:c r="H21" i="90"/>
  <x:c r="G21" i="90"/>
  <x:c r="F21" i="90"/>
  <x:c r="E21" i="90"/>
  <x:c r="D21" i="90"/>
  <x:c r="P20" i="90"/>
  <x:c r="O20" i="90"/>
  <x:c r="N20" i="90"/>
  <x:c r="M20" i="90"/>
  <x:c r="L20" i="90"/>
  <x:c r="K20" i="90"/>
  <x:c r="J20" i="90"/>
  <x:c r="I20" i="90"/>
  <x:c r="H20" i="90"/>
  <x:c r="G20" i="90"/>
  <x:c r="F20" i="90"/>
  <x:c r="E20" i="90"/>
  <x:c r="D20" i="90"/>
  <x:c r="P19" i="90"/>
  <x:c r="O19" i="90"/>
  <x:c r="N19" i="90"/>
  <x:c r="M19" i="90"/>
  <x:c r="L19" i="90"/>
  <x:c r="K19" i="90"/>
  <x:c r="J19" i="90"/>
  <x:c r="I19" i="90"/>
  <x:c r="H19" i="90"/>
  <x:c r="G19" i="90"/>
  <x:c r="F19" i="90"/>
  <x:c r="E19" i="90"/>
  <x:c r="D19" i="90"/>
  <x:c r="P18" i="90"/>
  <x:c r="O18" i="90"/>
  <x:c r="N18" i="90"/>
  <x:c r="M18" i="90"/>
  <x:c r="L18" i="90"/>
  <x:c r="K18" i="90"/>
  <x:c r="J18" i="90"/>
  <x:c r="I18" i="90"/>
  <x:c r="H18" i="90"/>
  <x:c r="G18" i="90"/>
  <x:c r="F18" i="90"/>
  <x:c r="E18" i="90"/>
  <x:c r="D18" i="90"/>
  <x:c r="P17" i="90"/>
  <x:c r="O17" i="90"/>
  <x:c r="N17" i="90"/>
  <x:c r="M17" i="90"/>
  <x:c r="L17" i="90"/>
  <x:c r="K17" i="90"/>
  <x:c r="J17" i="90"/>
  <x:c r="I17" i="90"/>
  <x:c r="H17" i="90"/>
  <x:c r="G17" i="90"/>
  <x:c r="F17" i="90"/>
  <x:c r="E17" i="90"/>
  <x:c r="D17" i="90"/>
  <x:c r="P16" i="90"/>
  <x:c r="O16" i="90"/>
  <x:c r="N16" i="90"/>
  <x:c r="M16" i="90"/>
  <x:c r="L16" i="90"/>
  <x:c r="K16" i="90"/>
  <x:c r="J16" i="90"/>
  <x:c r="I16" i="90"/>
  <x:c r="H16" i="90"/>
  <x:c r="G16" i="90"/>
  <x:c r="F16" i="90"/>
  <x:c r="E16" i="90"/>
  <x:c r="D16" i="90"/>
  <x:c r="P15" i="90"/>
  <x:c r="O15" i="90"/>
  <x:c r="N15" i="90"/>
  <x:c r="M15" i="90"/>
  <x:c r="L15" i="90"/>
  <x:c r="K15" i="90"/>
  <x:c r="J15" i="90"/>
  <x:c r="I15" i="90"/>
  <x:c r="H15" i="90"/>
  <x:c r="G15" i="90"/>
  <x:c r="F15" i="90"/>
  <x:c r="E15" i="90"/>
  <x:c r="D15" i="90"/>
  <x:c r="P14" i="90"/>
  <x:c r="O14" i="90"/>
  <x:c r="N14" i="90"/>
  <x:c r="M14" i="90"/>
  <x:c r="L14" i="90"/>
  <x:c r="K14" i="90"/>
  <x:c r="J14" i="90"/>
  <x:c r="I14" i="90"/>
  <x:c r="H14" i="90"/>
  <x:c r="G14" i="90"/>
  <x:c r="F14" i="90"/>
  <x:c r="E14" i="90"/>
  <x:c r="D14" i="90"/>
  <x:c r="P13" i="90"/>
  <x:c r="O13" i="90"/>
  <x:c r="N13" i="90"/>
  <x:c r="M13" i="90"/>
  <x:c r="L13" i="90"/>
  <x:c r="K13" i="90"/>
  <x:c r="J13" i="90"/>
  <x:c r="I13" i="90"/>
  <x:c r="H13" i="90"/>
  <x:c r="G13" i="90"/>
  <x:c r="F13" i="90"/>
  <x:c r="E13" i="90"/>
  <x:c r="D13" i="90"/>
  <x:c r="P12" i="90"/>
  <x:c r="O12" i="90"/>
  <x:c r="N12" i="90"/>
  <x:c r="M12" i="90"/>
  <x:c r="L12" i="90"/>
  <x:c r="K12" i="90"/>
  <x:c r="J12" i="90"/>
  <x:c r="I12" i="90"/>
  <x:c r="H12" i="90"/>
  <x:c r="G12" i="90"/>
  <x:c r="F12" i="90"/>
  <x:c r="E12" i="90"/>
  <x:c r="D12" i="90"/>
  <x:c r="P21" i="69"/>
  <x:c r="O21" i="69"/>
  <x:c r="N21" i="69"/>
  <x:c r="M21" i="69"/>
  <x:c r="L21" i="69"/>
  <x:c r="K21" i="69"/>
  <x:c r="J21" i="69"/>
  <x:c r="I21" i="69"/>
  <x:c r="H21" i="69"/>
  <x:c r="G21" i="69"/>
  <x:c r="F21" i="69"/>
  <x:c r="E21" i="69"/>
  <x:c r="D21" i="69"/>
  <x:c r="P20" i="69"/>
  <x:c r="O20" i="69"/>
  <x:c r="N20" i="69"/>
  <x:c r="M20" i="69"/>
  <x:c r="L20" i="69"/>
  <x:c r="K20" i="69"/>
  <x:c r="J20" i="69"/>
  <x:c r="I20" i="69"/>
  <x:c r="H20" i="69"/>
  <x:c r="G20" i="69"/>
  <x:c r="F20" i="69"/>
  <x:c r="E20" i="69"/>
  <x:c r="D20" i="69"/>
  <x:c r="P19" i="69"/>
  <x:c r="O19" i="69"/>
  <x:c r="N19" i="69"/>
  <x:c r="M19" i="69"/>
  <x:c r="L19" i="69"/>
  <x:c r="K19" i="69"/>
  <x:c r="J19" i="69"/>
  <x:c r="I19" i="69"/>
  <x:c r="H19" i="69"/>
  <x:c r="G19" i="69"/>
  <x:c r="F19" i="69"/>
  <x:c r="E19" i="69"/>
  <x:c r="D19" i="69"/>
  <x:c r="P18" i="69"/>
  <x:c r="O18" i="69"/>
  <x:c r="N18" i="69"/>
  <x:c r="M18" i="69"/>
  <x:c r="L18" i="69"/>
  <x:c r="K18" i="69"/>
  <x:c r="J18" i="69"/>
  <x:c r="I18" i="69"/>
  <x:c r="H18" i="69"/>
  <x:c r="G18" i="69"/>
  <x:c r="F18" i="69"/>
  <x:c r="E18" i="69"/>
  <x:c r="D18" i="69"/>
  <x:c r="P17" i="69"/>
  <x:c r="O17" i="69"/>
  <x:c r="N17" i="69"/>
  <x:c r="M17" i="69"/>
  <x:c r="L17" i="69"/>
  <x:c r="K17" i="69"/>
  <x:c r="J17" i="69"/>
  <x:c r="I17" i="69"/>
  <x:c r="H17" i="69"/>
  <x:c r="G17" i="69"/>
  <x:c r="F17" i="69"/>
  <x:c r="E17" i="69"/>
  <x:c r="D17" i="69"/>
  <x:c r="P16" i="69"/>
  <x:c r="O16" i="69"/>
  <x:c r="N16" i="69"/>
  <x:c r="M16" i="69"/>
  <x:c r="L16" i="69"/>
  <x:c r="K16" i="69"/>
  <x:c r="J16" i="69"/>
  <x:c r="I16" i="69"/>
  <x:c r="H16" i="69"/>
  <x:c r="G16" i="69"/>
  <x:c r="F16" i="69"/>
  <x:c r="E16" i="69"/>
  <x:c r="D16" i="69"/>
  <x:c r="P15" i="69"/>
  <x:c r="O15" i="69"/>
  <x:c r="N15" i="69"/>
  <x:c r="M15" i="69"/>
  <x:c r="L15" i="69"/>
  <x:c r="K15" i="69"/>
  <x:c r="J15" i="69"/>
  <x:c r="I15" i="69"/>
  <x:c r="H15" i="69"/>
  <x:c r="G15" i="69"/>
  <x:c r="F15" i="69"/>
  <x:c r="E15" i="69"/>
  <x:c r="D15" i="69"/>
  <x:c r="P14" i="69"/>
  <x:c r="O14" i="69"/>
  <x:c r="N14" i="69"/>
  <x:c r="M14" i="69"/>
  <x:c r="L14" i="69"/>
  <x:c r="K14" i="69"/>
  <x:c r="J14" i="69"/>
  <x:c r="I14" i="69"/>
  <x:c r="H14" i="69"/>
  <x:c r="G14" i="69"/>
  <x:c r="F14" i="69"/>
  <x:c r="E14" i="69"/>
  <x:c r="D14" i="69"/>
  <x:c r="P13" i="69"/>
  <x:c r="O13" i="69"/>
  <x:c r="N13" i="69"/>
  <x:c r="M13" i="69"/>
  <x:c r="L13" i="69"/>
  <x:c r="K13" i="69"/>
  <x:c r="J13" i="69"/>
  <x:c r="I13" i="69"/>
  <x:c r="H13" i="69"/>
  <x:c r="G13" i="69"/>
  <x:c r="F13" i="69"/>
  <x:c r="E13" i="69"/>
  <x:c r="D13" i="69"/>
  <x:c r="P12" i="69"/>
  <x:c r="O12" i="69"/>
  <x:c r="N12" i="69"/>
  <x:c r="M12" i="69"/>
  <x:c r="L12" i="69"/>
  <x:c r="K12" i="69"/>
  <x:c r="J12" i="69"/>
  <x:c r="I12" i="69"/>
  <x:c r="H12" i="69"/>
  <x:c r="G12" i="69"/>
  <x:c r="F12" i="69"/>
  <x:c r="E12" i="69"/>
  <x:c r="D12" i="69"/>
  <x:c r="P21" i="68"/>
  <x:c r="O21" i="68"/>
  <x:c r="N21" i="68"/>
  <x:c r="M21" i="68"/>
  <x:c r="L21" i="68"/>
  <x:c r="K21" i="68"/>
  <x:c r="J21" i="68"/>
  <x:c r="I21" i="68"/>
  <x:c r="H21" i="68"/>
  <x:c r="G21" i="68"/>
  <x:c r="F21" i="68"/>
  <x:c r="E21" i="68"/>
  <x:c r="D21" i="68"/>
  <x:c r="P20" i="68"/>
  <x:c r="O20" i="68"/>
  <x:c r="N20" i="68"/>
  <x:c r="M20" i="68"/>
  <x:c r="L20" i="68"/>
  <x:c r="K20" i="68"/>
  <x:c r="J20" i="68"/>
  <x:c r="I20" i="68"/>
  <x:c r="H20" i="68"/>
  <x:c r="G20" i="68"/>
  <x:c r="F20" i="68"/>
  <x:c r="E20" i="68"/>
  <x:c r="D20" i="68"/>
  <x:c r="P19" i="68"/>
  <x:c r="O19" i="68"/>
  <x:c r="N19" i="68"/>
  <x:c r="M19" i="68"/>
  <x:c r="L19" i="68"/>
  <x:c r="K19" i="68"/>
  <x:c r="J19" i="68"/>
  <x:c r="I19" i="68"/>
  <x:c r="H19" i="68"/>
  <x:c r="G19" i="68"/>
  <x:c r="F19" i="68"/>
  <x:c r="E19" i="68"/>
  <x:c r="D19" i="68"/>
  <x:c r="P18" i="68"/>
  <x:c r="O18" i="68"/>
  <x:c r="N18" i="68"/>
  <x:c r="M18" i="68"/>
  <x:c r="L18" i="68"/>
  <x:c r="K18" i="68"/>
  <x:c r="J18" i="68"/>
  <x:c r="I18" i="68"/>
  <x:c r="H18" i="68"/>
  <x:c r="G18" i="68"/>
  <x:c r="F18" i="68"/>
  <x:c r="E18" i="68"/>
  <x:c r="D18" i="68"/>
  <x:c r="P17" i="68"/>
  <x:c r="O17" i="68"/>
  <x:c r="N17" i="68"/>
  <x:c r="M17" i="68"/>
  <x:c r="L17" i="68"/>
  <x:c r="K17" i="68"/>
  <x:c r="J17" i="68"/>
  <x:c r="I17" i="68"/>
  <x:c r="H17" i="68"/>
  <x:c r="G17" i="68"/>
  <x:c r="F17" i="68"/>
  <x:c r="E17" i="68"/>
  <x:c r="D17" i="68"/>
  <x:c r="P16" i="68"/>
  <x:c r="O16" i="68"/>
  <x:c r="N16" i="68"/>
  <x:c r="M16" i="68"/>
  <x:c r="L16" i="68"/>
  <x:c r="K16" i="68"/>
  <x:c r="J16" i="68"/>
  <x:c r="I16" i="68"/>
  <x:c r="H16" i="68"/>
  <x:c r="G16" i="68"/>
  <x:c r="F16" i="68"/>
  <x:c r="E16" i="68"/>
  <x:c r="D16" i="68"/>
  <x:c r="P15" i="68"/>
  <x:c r="O15" i="68"/>
  <x:c r="N15" i="68"/>
  <x:c r="M15" i="68"/>
  <x:c r="L15" i="68"/>
  <x:c r="K15" i="68"/>
  <x:c r="J15" i="68"/>
  <x:c r="I15" i="68"/>
  <x:c r="H15" i="68"/>
  <x:c r="G15" i="68"/>
  <x:c r="F15" i="68"/>
  <x:c r="E15" i="68"/>
  <x:c r="D15" i="68"/>
  <x:c r="P14" i="68"/>
  <x:c r="O14" i="68"/>
  <x:c r="N14" i="68"/>
  <x:c r="M14" i="68"/>
  <x:c r="L14" i="68"/>
  <x:c r="K14" i="68"/>
  <x:c r="J14" i="68"/>
  <x:c r="I14" i="68"/>
  <x:c r="H14" i="68"/>
  <x:c r="G14" i="68"/>
  <x:c r="F14" i="68"/>
  <x:c r="E14" i="68"/>
  <x:c r="D14" i="68"/>
  <x:c r="P13" i="68"/>
  <x:c r="O13" i="68"/>
  <x:c r="N13" i="68"/>
  <x:c r="M13" i="68"/>
  <x:c r="L13" i="68"/>
  <x:c r="K13" i="68"/>
  <x:c r="J13" i="68"/>
  <x:c r="I13" i="68"/>
  <x:c r="H13" i="68"/>
  <x:c r="G13" i="68"/>
  <x:c r="F13" i="68"/>
  <x:c r="E13" i="68"/>
  <x:c r="D13" i="68"/>
  <x:c r="P12" i="68"/>
  <x:c r="O12" i="68"/>
  <x:c r="N12" i="68"/>
  <x:c r="M12" i="68"/>
  <x:c r="L12" i="68"/>
  <x:c r="K12" i="68"/>
  <x:c r="J12" i="68"/>
  <x:c r="I12" i="68"/>
  <x:c r="H12" i="68"/>
  <x:c r="G12" i="68"/>
  <x:c r="F12" i="68"/>
  <x:c r="E12" i="68"/>
  <x:c r="D12" i="68"/>
  <x:c r="P21" i="67"/>
  <x:c r="O21" i="67"/>
  <x:c r="N21" i="67"/>
  <x:c r="M21" i="67"/>
  <x:c r="L21" i="67"/>
  <x:c r="K21" i="67"/>
  <x:c r="J21" i="67"/>
  <x:c r="I21" i="67"/>
  <x:c r="H21" i="67"/>
  <x:c r="G21" i="67"/>
  <x:c r="F21" i="67"/>
  <x:c r="E21" i="67"/>
  <x:c r="D21" i="67"/>
  <x:c r="P20" i="67"/>
  <x:c r="O20" i="67"/>
  <x:c r="N20" i="67"/>
  <x:c r="M20" i="67"/>
  <x:c r="L20" i="67"/>
  <x:c r="K20" i="67"/>
  <x:c r="J20" i="67"/>
  <x:c r="I20" i="67"/>
  <x:c r="H20" i="67"/>
  <x:c r="G20" i="67"/>
  <x:c r="F20" i="67"/>
  <x:c r="E20" i="67"/>
  <x:c r="D20" i="67"/>
  <x:c r="P19" i="67"/>
  <x:c r="O19" i="67"/>
  <x:c r="N19" i="67"/>
  <x:c r="M19" i="67"/>
  <x:c r="L19" i="67"/>
  <x:c r="K19" i="67"/>
  <x:c r="J19" i="67"/>
  <x:c r="I19" i="67"/>
  <x:c r="H19" i="67"/>
  <x:c r="G19" i="67"/>
  <x:c r="F19" i="67"/>
  <x:c r="E19" i="67"/>
  <x:c r="D19" i="67"/>
  <x:c r="P18" i="67"/>
  <x:c r="O18" i="67"/>
  <x:c r="N18" i="67"/>
  <x:c r="M18" i="67"/>
  <x:c r="L18" i="67"/>
  <x:c r="K18" i="67"/>
  <x:c r="J18" i="67"/>
  <x:c r="I18" i="67"/>
  <x:c r="H18" i="67"/>
  <x:c r="G18" i="67"/>
  <x:c r="F18" i="67"/>
  <x:c r="E18" i="67"/>
  <x:c r="D18" i="67"/>
  <x:c r="P17" i="67"/>
  <x:c r="O17" i="67"/>
  <x:c r="N17" i="67"/>
  <x:c r="M17" i="67"/>
  <x:c r="L17" i="67"/>
  <x:c r="K17" i="67"/>
  <x:c r="J17" i="67"/>
  <x:c r="I17" i="67"/>
  <x:c r="H17" i="67"/>
  <x:c r="G17" i="67"/>
  <x:c r="F17" i="67"/>
  <x:c r="E17" i="67"/>
  <x:c r="D17" i="67"/>
  <x:c r="P16" i="67"/>
  <x:c r="O16" i="67"/>
  <x:c r="N16" i="67"/>
  <x:c r="M16" i="67"/>
  <x:c r="L16" i="67"/>
  <x:c r="K16" i="67"/>
  <x:c r="J16" i="67"/>
  <x:c r="I16" i="67"/>
  <x:c r="H16" i="67"/>
  <x:c r="G16" i="67"/>
  <x:c r="F16" i="67"/>
  <x:c r="E16" i="67"/>
  <x:c r="D16" i="67"/>
  <x:c r="P15" i="67"/>
  <x:c r="O15" i="67"/>
  <x:c r="N15" i="67"/>
  <x:c r="M15" i="67"/>
  <x:c r="L15" i="67"/>
  <x:c r="K15" i="67"/>
  <x:c r="J15" i="67"/>
  <x:c r="I15" i="67"/>
  <x:c r="H15" i="67"/>
  <x:c r="G15" i="67"/>
  <x:c r="F15" i="67"/>
  <x:c r="E15" i="67"/>
  <x:c r="D15" i="67"/>
  <x:c r="P14" i="67"/>
  <x:c r="O14" i="67"/>
  <x:c r="N14" i="67"/>
  <x:c r="M14" i="67"/>
  <x:c r="L14" i="67"/>
  <x:c r="K14" i="67"/>
  <x:c r="J14" i="67"/>
  <x:c r="I14" i="67"/>
  <x:c r="H14" i="67"/>
  <x:c r="G14" i="67"/>
  <x:c r="F14" i="67"/>
  <x:c r="E14" i="67"/>
  <x:c r="D14" i="67"/>
  <x:c r="P13" i="67"/>
  <x:c r="O13" i="67"/>
  <x:c r="N13" i="67"/>
  <x:c r="M13" i="67"/>
  <x:c r="L13" i="67"/>
  <x:c r="K13" i="67"/>
  <x:c r="J13" i="67"/>
  <x:c r="I13" i="67"/>
  <x:c r="H13" i="67"/>
  <x:c r="G13" i="67"/>
  <x:c r="F13" i="67"/>
  <x:c r="E13" i="67"/>
  <x:c r="D13" i="67"/>
  <x:c r="P12" i="67"/>
  <x:c r="O12" i="67"/>
  <x:c r="N12" i="67"/>
  <x:c r="M12" i="67"/>
  <x:c r="L12" i="67"/>
  <x:c r="K12" i="67"/>
  <x:c r="J12" i="67"/>
  <x:c r="I12" i="67"/>
  <x:c r="H12" i="67"/>
  <x:c r="G12" i="67"/>
  <x:c r="F12" i="67"/>
  <x:c r="E12" i="67"/>
  <x:c r="D12" i="67"/>
  <x:c r="P21" i="45"/>
  <x:c r="O21" i="45"/>
  <x:c r="N21" i="45"/>
  <x:c r="M21" i="45"/>
  <x:c r="L21" i="45"/>
  <x:c r="K21" i="45"/>
  <x:c r="J21" i="45"/>
  <x:c r="I21" i="45"/>
  <x:c r="H21" i="45"/>
  <x:c r="G21" i="45"/>
  <x:c r="F21" i="45"/>
  <x:c r="E21" i="45"/>
  <x:c r="D21" i="45"/>
  <x:c r="P20" i="45"/>
  <x:c r="O20" i="45"/>
  <x:c r="N20" i="45"/>
  <x:c r="M20" i="45"/>
  <x:c r="L20" i="45"/>
  <x:c r="K20" i="45"/>
  <x:c r="J20" i="45"/>
  <x:c r="I20" i="45"/>
  <x:c r="H20" i="45"/>
  <x:c r="G20" i="45"/>
  <x:c r="F20" i="45"/>
  <x:c r="E20" i="45"/>
  <x:c r="D20" i="45"/>
  <x:c r="P19" i="45"/>
  <x:c r="O19" i="45"/>
  <x:c r="N19" i="45"/>
  <x:c r="M19" i="45"/>
  <x:c r="L19" i="45"/>
  <x:c r="K19" i="45"/>
  <x:c r="J19" i="45"/>
  <x:c r="I19" i="45"/>
  <x:c r="H19" i="45"/>
  <x:c r="G19" i="45"/>
  <x:c r="F19" i="45"/>
  <x:c r="E19" i="45"/>
  <x:c r="D19" i="45"/>
  <x:c r="P18" i="45"/>
  <x:c r="O18" i="45"/>
  <x:c r="N18" i="45"/>
  <x:c r="M18" i="45"/>
  <x:c r="L18" i="45"/>
  <x:c r="K18" i="45"/>
  <x:c r="J18" i="45"/>
  <x:c r="I18" i="45"/>
  <x:c r="H18" i="45"/>
  <x:c r="G18" i="45"/>
  <x:c r="F18" i="45"/>
  <x:c r="E18" i="45"/>
  <x:c r="D18" i="45"/>
  <x:c r="P17" i="45"/>
  <x:c r="O17" i="45"/>
  <x:c r="N17" i="45"/>
  <x:c r="M17" i="45"/>
  <x:c r="L17" i="45"/>
  <x:c r="K17" i="45"/>
  <x:c r="J17" i="45"/>
  <x:c r="I17" i="45"/>
  <x:c r="H17" i="45"/>
  <x:c r="G17" i="45"/>
  <x:c r="F17" i="45"/>
  <x:c r="E17" i="45"/>
  <x:c r="D17" i="45"/>
  <x:c r="P16" i="45"/>
  <x:c r="O16" i="45"/>
  <x:c r="N16" i="45"/>
  <x:c r="M16" i="45"/>
  <x:c r="L16" i="45"/>
  <x:c r="K16" i="45"/>
  <x:c r="J16" i="45"/>
  <x:c r="I16" i="45"/>
  <x:c r="H16" i="45"/>
  <x:c r="G16" i="45"/>
  <x:c r="F16" i="45"/>
  <x:c r="E16" i="45"/>
  <x:c r="D16" i="45"/>
  <x:c r="P15" i="45"/>
  <x:c r="O15" i="45"/>
  <x:c r="N15" i="45"/>
  <x:c r="M15" i="45"/>
  <x:c r="L15" i="45"/>
  <x:c r="K15" i="45"/>
  <x:c r="J15" i="45"/>
  <x:c r="I15" i="45"/>
  <x:c r="H15" i="45"/>
  <x:c r="G15" i="45"/>
  <x:c r="F15" i="45"/>
  <x:c r="E15" i="45"/>
  <x:c r="D15" i="45"/>
  <x:c r="P14" i="45"/>
  <x:c r="O14" i="45"/>
  <x:c r="N14" i="45"/>
  <x:c r="M14" i="45"/>
  <x:c r="L14" i="45"/>
  <x:c r="K14" i="45"/>
  <x:c r="J14" i="45"/>
  <x:c r="I14" i="45"/>
  <x:c r="H14" i="45"/>
  <x:c r="G14" i="45"/>
  <x:c r="F14" i="45"/>
  <x:c r="E14" i="45"/>
  <x:c r="D14" i="45"/>
  <x:c r="P13" i="45"/>
  <x:c r="O13" i="45"/>
  <x:c r="N13" i="45"/>
  <x:c r="M13" i="45"/>
  <x:c r="L13" i="45"/>
  <x:c r="K13" i="45"/>
  <x:c r="J13" i="45"/>
  <x:c r="I13" i="45"/>
  <x:c r="H13" i="45"/>
  <x:c r="G13" i="45"/>
  <x:c r="F13" i="45"/>
  <x:c r="E13" i="45"/>
  <x:c r="D13" i="45"/>
  <x:c r="P12" i="45"/>
  <x:c r="O12" i="45"/>
  <x:c r="N12" i="45"/>
  <x:c r="M12" i="45"/>
  <x:c r="L12" i="45"/>
  <x:c r="K12" i="45"/>
  <x:c r="J12" i="45"/>
  <x:c r="I12" i="45"/>
  <x:c r="H12" i="45"/>
  <x:c r="G12" i="45"/>
  <x:c r="F12" i="45"/>
  <x:c r="E12" i="45"/>
  <x:c r="D12" i="45"/>
  <x:c r="D24" i="92" l="1" a="1"/>
  <x:c r="D24" i="92" s="1"/>
  <x:c r="D16" i="92" a="1"/>
  <x:c r="E16" i="92" s="1"/>
  <x:c r="D15" i="92" a="1"/>
  <x:c r="F15" i="92" s="1"/>
  <x:c r="D13" i="92" a="1"/>
  <x:c r="G13" i="92" s="1"/>
  <x:c r="D14" i="92" a="1"/>
  <x:c r="H14" i="92" s="1"/>
  <x:c r="D12" i="92" a="1"/>
  <x:c r="I12" i="92" s="1"/>
  <x:c r="D16" i="37" a="1"/>
  <x:c r="J16" i="37" s="1"/>
  <x:c r="D12" i="37" a="1"/>
  <x:c r="K12" i="37" s="1"/>
  <x:c r="D24" i="37" a="1"/>
  <x:c r="L24" i="37" s="1"/>
  <x:c r="D15" i="37" a="1"/>
  <x:c r="M15" i="37" s="1"/>
  <x:c r="D13" i="37" a="1"/>
  <x:c r="J13" i="37" s="1"/>
  <x:c r="D14" i="37" a="1"/>
  <x:c r="H14" i="37" s="1"/>
  <x:c r="D24" i="91" a="1"/>
  <x:c r="D24" i="91" s="1"/>
  <x:c r="D12" i="91" a="1"/>
  <x:c r="E12" i="91" s="1"/>
  <x:c r="D14" i="91" a="1"/>
  <x:c r="F14" i="91" s="1"/>
  <x:c r="G14" i="91"/>
  <x:c r="D16" i="91" a="1"/>
  <x:c r="G16" i="91" s="1"/>
  <x:c r="D15" i="91" a="1"/>
  <x:c r="H15" i="91" s="1"/>
  <x:c r="D13" i="91" a="1"/>
  <x:c r="I13" i="91" s="1"/>
  <x:c r="D15" i="36" a="1"/>
  <x:c r="J15" i="36" s="1"/>
  <x:c r="D15" i="36"/>
  <x:c r="D24" i="36" a="1"/>
  <x:c r="K24" i="36" s="1"/>
  <x:c r="D16" i="36" a="1"/>
  <x:c r="L16" i="36" s="1"/>
  <x:c r="D14" i="36" a="1"/>
  <x:c r="M14" i="36" s="1"/>
  <x:c r="D13" i="36" a="1"/>
  <x:c r="J13" i="36" s="1"/>
  <x:c r="D12" i="36" a="1"/>
  <x:c r="D12" i="36" s="1"/>
  <x:c r="E12" i="37" l="1"/>
  <x:c r="M13" i="36"/>
  <x:c r="D12" i="37"/>
  <x:c r="F14" i="37"/>
  <x:c r="E14" i="37"/>
  <x:c r="G14" i="36"/>
  <x:c r="D14" i="37"/>
  <x:c r="I13" i="92"/>
  <x:c r="H13" i="92"/>
  <x:c r="I14" i="37"/>
  <x:c r="H13" i="36"/>
  <x:c r="G13" i="36"/>
  <x:c r="F14" i="36"/>
  <x:c r="L12" i="91"/>
  <x:c r="K12" i="91"/>
  <x:c r="G16" i="36"/>
  <x:c r="J12" i="91"/>
  <x:c r="D15" i="37"/>
  <x:c r="G15" i="92"/>
  <x:c r="D12" i="91"/>
  <x:c r="E15" i="92"/>
  <x:c r="M14" i="37"/>
  <x:c r="I13" i="36"/>
  <x:c r="G14" i="37"/>
  <x:c r="D24" i="36"/>
  <x:c r="M12" i="36"/>
  <x:c r="D16" i="91"/>
  <x:c r="G24" i="91"/>
  <x:c r="E15" i="37"/>
  <x:c r="D16" i="37"/>
  <x:c r="D13" i="92"/>
  <x:c r="L16" i="92"/>
  <x:c r="K16" i="92"/>
  <x:c r="M14" i="91"/>
  <x:c r="I13" i="37"/>
  <x:c r="M15" i="92"/>
  <x:c r="J16" i="92"/>
  <x:c r="L15" i="92"/>
  <x:c r="I16" i="92"/>
  <x:c r="J12" i="36"/>
  <x:c r="F13" i="36"/>
  <x:c r="E16" i="36"/>
  <x:c r="L14" i="91"/>
  <x:c r="I12" i="91"/>
  <x:c r="L14" i="37"/>
  <x:c r="H13" i="37"/>
  <x:c r="G24" i="37"/>
  <x:c r="I12" i="36"/>
  <x:c r="E13" i="36"/>
  <x:c r="D16" i="36"/>
  <x:c r="M16" i="91"/>
  <x:c r="K14" i="91"/>
  <x:c r="H12" i="91"/>
  <x:c r="K14" i="37"/>
  <x:c r="G13" i="37"/>
  <x:c r="F24" i="37"/>
  <x:c r="M13" i="92"/>
  <x:c r="K15" i="92"/>
  <x:c r="H16" i="92"/>
  <x:c r="L16" i="91"/>
  <x:c r="J14" i="91"/>
  <x:c r="G12" i="91"/>
  <x:c r="J14" i="37"/>
  <x:c r="F13" i="37"/>
  <x:c r="E24" i="37"/>
  <x:c r="L13" i="92"/>
  <x:c r="J15" i="92"/>
  <x:c r="G16" i="92"/>
  <x:c r="M13" i="37"/>
  <x:c r="F16" i="36"/>
  <x:c r="H12" i="36"/>
  <x:c r="D13" i="36"/>
  <x:c r="G12" i="36"/>
  <x:c r="K13" i="92"/>
  <x:c r="I15" i="92"/>
  <x:c r="F16" i="92"/>
  <x:c r="E12" i="36"/>
  <x:c r="I16" i="91"/>
  <x:c r="L12" i="36"/>
  <x:c r="D13" i="91"/>
  <x:c r="K12" i="36"/>
  <x:c r="F24" i="36"/>
  <x:c r="K16" i="91"/>
  <x:c r="I14" i="91"/>
  <x:c r="E13" i="37"/>
  <x:c r="F12" i="36"/>
  <x:c r="H14" i="36"/>
  <x:c r="E24" i="36"/>
  <x:c r="J16" i="91"/>
  <x:c r="H14" i="91"/>
  <x:c r="D13" i="37"/>
  <x:c r="F12" i="37"/>
  <x:c r="J13" i="92"/>
  <x:c r="H15" i="92"/>
  <x:c r="D16" i="92"/>
  <x:c r="H16" i="91"/>
  <x:c r="E14" i="91"/>
  <x:c r="J24" i="91"/>
  <x:c r="H15" i="37"/>
  <x:c r="E14" i="36"/>
  <x:c r="E15" i="36"/>
  <x:c r="F16" i="91"/>
  <x:c r="D14" i="91"/>
  <x:c r="I24" i="91"/>
  <x:c r="G15" i="37"/>
  <x:c r="F13" i="92"/>
  <x:c r="D15" i="92"/>
  <x:c r="K24" i="91"/>
  <x:c r="D14" i="36"/>
  <x:c r="E16" i="91"/>
  <x:c r="H24" i="91"/>
  <x:c r="F15" i="37"/>
  <x:c r="E16" i="37"/>
  <x:c r="E13" i="92"/>
  <x:c r="J24" i="92"/>
  <x:c r="M16" i="37"/>
  <x:c r="L12" i="92"/>
  <x:c r="K14" i="92"/>
  <x:c r="G24" i="92"/>
  <x:c r="M24" i="36"/>
  <x:c r="J15" i="91"/>
  <x:c r="F24" i="91"/>
  <x:c r="J14" i="92"/>
  <x:c r="G15" i="91"/>
  <x:c r="H12" i="92"/>
  <x:c r="L13" i="37"/>
  <x:c r="K15" i="37"/>
  <x:c r="J24" i="37"/>
  <x:c r="I12" i="37"/>
  <x:c r="H16" i="37"/>
  <x:c r="G12" i="92"/>
  <x:c r="F14" i="92"/>
  <x:c r="L15" i="91"/>
  <x:c r="D24" i="37"/>
  <x:c r="L15" i="36"/>
  <x:c r="L14" i="36"/>
  <x:c r="K16" i="36"/>
  <x:c r="J24" i="36"/>
  <x:c r="I15" i="36"/>
  <x:c r="H13" i="91"/>
  <x:c r="K24" i="37"/>
  <x:c r="I16" i="37"/>
  <x:c r="K14" i="36"/>
  <x:c r="I24" i="36"/>
  <x:c r="G13" i="91"/>
  <x:c r="K13" i="36"/>
  <x:c r="J14" i="36"/>
  <x:c r="I16" i="36"/>
  <x:c r="H24" i="36"/>
  <x:c r="G15" i="36"/>
  <x:c r="F13" i="91"/>
  <x:c r="E15" i="91"/>
  <x:c r="M24" i="91"/>
  <x:c r="K13" i="37"/>
  <x:c r="J15" i="37"/>
  <x:c r="I24" i="37"/>
  <x:c r="H12" i="37"/>
  <x:c r="G16" i="37"/>
  <x:c r="F12" i="92"/>
  <x:c r="E14" i="92"/>
  <x:c r="M24" i="92"/>
  <x:c r="D12" i="92"/>
  <x:c r="M13" i="91"/>
  <x:c r="L13" i="91"/>
  <x:c r="L15" i="37"/>
  <x:c r="J12" i="37"/>
  <x:c r="G14" i="92"/>
  <x:c r="L13" i="36"/>
  <x:c r="J16" i="36"/>
  <x:c r="H15" i="36"/>
  <x:c r="F15" i="91"/>
  <x:c r="I14" i="36"/>
  <x:c r="H16" i="36"/>
  <x:c r="G24" i="36"/>
  <x:c r="F15" i="36"/>
  <x:c r="E13" i="91"/>
  <x:c r="D15" i="91"/>
  <x:c r="M12" i="91"/>
  <x:c r="L24" i="91"/>
  <x:c r="I15" i="37"/>
  <x:c r="H24" i="37"/>
  <x:c r="G12" i="37"/>
  <x:c r="F16" i="37"/>
  <x:c r="E12" i="92"/>
  <x:c r="D14" i="92"/>
  <x:c r="M16" i="92"/>
  <x:c r="L24" i="92"/>
  <x:c r="I24" i="92"/>
  <x:c r="K24" i="92"/>
  <x:c r="M15" i="91"/>
  <x:c r="M14" i="92"/>
  <x:c r="M12" i="92"/>
  <x:c r="L14" i="92"/>
  <x:c r="H24" i="92"/>
  <x:c r="M15" i="36"/>
  <x:c r="K15" i="91"/>
  <x:c r="K13" i="91"/>
  <x:c r="M12" i="37"/>
  <x:c r="L16" i="37"/>
  <x:c r="K12" i="92"/>
  <x:c r="F24" i="92"/>
  <x:c r="M16" i="36"/>
  <x:c r="L24" i="36"/>
  <x:c r="K15" i="36"/>
  <x:c r="J13" i="91"/>
  <x:c r="I15" i="91"/>
  <x:c r="F12" i="91"/>
  <x:c r="E24" i="91"/>
  <x:c r="M24" i="37"/>
  <x:c r="L12" i="37"/>
  <x:c r="K16" i="37"/>
  <x:c r="J12" i="92"/>
  <x:c r="I14" i="92"/>
  <x:c r="E24" i="92"/>
  <x:c r="A14" i="107"/>
  <x:c r="A15" i="107" s="1"/>
  <x:c r="A16" i="107" s="1"/>
  <x:c r="A17" i="107" s="1"/>
  <x:c r="A18" i="107" s="1"/>
  <x:c r="A19" i="107" s="1"/>
  <x:c r="A20" i="107" s="1"/>
  <x:c r="A21" i="107" s="1"/>
  <x:c r="A22" i="107" s="1"/>
  <x:c r="A23" i="107" s="1"/>
  <x:c r="A24" i="107" s="1"/>
  <x:c r="A25" i="107" s="1"/>
  <x:c r="A26" i="107" s="1"/>
  <x:c r="A27" i="107" s="1"/>
  <x:c r="A13" i="107"/>
  <x:c r="A12" i="107"/>
  <x:c r="B6" i="107"/>
  <x:c r="B4" i="107"/>
  <x:c r="B3" i="107"/>
  <x:c r="B2" i="107"/>
  <x:c r="B1" i="107"/>
  <x:c r="A13" i="106"/>
  <x:c r="A14" i="106" s="1"/>
  <x:c r="A15" i="106" s="1"/>
  <x:c r="A16" i="106" s="1"/>
  <x:c r="A17" i="106" s="1"/>
  <x:c r="A18" i="106" s="1"/>
  <x:c r="A19" i="106" s="1"/>
  <x:c r="A20" i="106" s="1"/>
  <x:c r="A21" i="106" s="1"/>
  <x:c r="A22" i="106" s="1"/>
  <x:c r="A23" i="106" s="1"/>
  <x:c r="A24" i="106" s="1"/>
  <x:c r="A26" i="106" s="1"/>
  <x:c r="A27" i="106" s="1"/>
  <x:c r="A12" i="106"/>
  <x:c r="B6" i="106"/>
  <x:c r="B4" i="106"/>
  <x:c r="B3" i="106"/>
  <x:c r="B2" i="106"/>
  <x:c r="B1" i="106"/>
  <x:c r="E31" i="74" l="1"/>
  <x:c r="E31" i="93" l="1"/>
  <x:c r="I31" i="96"/>
  <x:c r="A36" i="104"/>
  <x:c r="A37" i="104"/>
  <x:c r="A38" i="104" s="1"/>
  <x:c r="A39" i="104" s="1"/>
  <x:c r="A40" i="104" s="1"/>
  <x:c r="A41" i="104" s="1"/>
  <x:c r="A42" i="104" s="1"/>
  <x:c r="A43" i="104" s="1"/>
  <x:c r="A44" i="104" s="1"/>
  <x:c r="A45" i="104" s="1"/>
  <x:c r="G23" i="104"/>
  <x:c r="C16" i="104"/>
  <x:c r="D12" i="104" s="1"/>
  <x:c r="A12" i="104"/>
  <x:c r="A13" i="104" s="1"/>
  <x:c r="A14" i="104" s="1"/>
  <x:c r="A15" i="104" s="1"/>
  <x:c r="A16" i="104" s="1"/>
  <x:c r="A17" i="104" s="1"/>
  <x:c r="A18" i="104" s="1"/>
  <x:c r="A19" i="104" s="1"/>
  <x:c r="A20" i="104" s="1"/>
  <x:c r="A21" i="104" s="1"/>
  <x:c r="A22" i="104" s="1"/>
  <x:c r="A23" i="104" s="1"/>
  <x:c r="A24" i="104" s="1"/>
  <x:c r="A25" i="104" s="1"/>
  <x:c r="A26" i="104" s="1"/>
  <x:c r="A27" i="104" s="1"/>
  <x:c r="A28" i="104" s="1"/>
  <x:c r="A29" i="104" s="1"/>
  <x:c r="A30" i="104" s="1"/>
  <x:c r="A31" i="104" s="1"/>
  <x:c r="A32" i="104" s="1"/>
  <x:c r="A33" i="104" s="1"/>
  <x:c r="A34" i="104" s="1"/>
  <x:c r="A35" i="104" s="1"/>
  <x:c r="B6" i="104"/>
  <x:c r="B4" i="104"/>
  <x:c r="B3" i="104"/>
  <x:c r="B2" i="104"/>
  <x:c r="B1" i="104"/>
  <x:c r="G39" i="104" l="1"/>
  <x:c r="H37" i="104" s="1"/>
  <x:c r="E17" i="106"/>
  <x:c r="F17" i="106" s="1"/>
  <x:c r="E17" i="107"/>
  <x:c r="H21" i="104"/>
  <x:c r="G32" i="104"/>
  <x:c r="H29" i="104" s="1"/>
  <x:c r="C23" i="104"/>
  <x:c r="D22" i="104" s="1"/>
  <x:c r="D15" i="104"/>
  <x:c r="H22" i="104"/>
  <x:c r="H20" i="104"/>
  <x:c r="G16" i="104"/>
  <x:c r="H15" i="104" s="1"/>
  <x:c r="D14" i="104"/>
  <x:c r="H30" i="104"/>
  <x:c r="C32" i="104"/>
  <x:c r="D31" i="104" s="1"/>
  <x:c r="G46" i="104"/>
  <x:c r="H45" i="104" s="1"/>
  <x:c r="D13" i="104"/>
  <x:c r="H23" i="104" l="1"/>
  <x:c r="H36" i="104"/>
  <x:c r="H38" i="104"/>
  <x:c r="D20" i="104"/>
  <x:c r="E26" i="107"/>
  <x:c r="E26" i="106"/>
  <x:c r="F26" i="106" s="1"/>
  <x:c r="D16" i="104"/>
  <x:c r="E16" i="106"/>
  <x:c r="F16" i="106" s="1"/>
  <x:c r="E16" i="107"/>
  <x:c r="E14" i="106"/>
  <x:c r="E14" i="107"/>
  <x:c r="H14" i="104"/>
  <x:c r="H13" i="104"/>
  <x:c r="H12" i="104"/>
  <x:c r="E15" i="106"/>
  <x:c r="F15" i="106" s="1"/>
  <x:c r="E15" i="107"/>
  <x:c r="F17" i="107"/>
  <x:c r="G17" i="107"/>
  <x:c r="D21" i="104"/>
  <x:c r="D23" i="104" s="1"/>
  <x:c r="H44" i="104"/>
  <x:c r="H46" i="104" s="1"/>
  <x:c r="H31" i="104"/>
  <x:c r="H28" i="104"/>
  <x:c r="D30" i="104"/>
  <x:c r="D32" i="104" s="1"/>
  <x:c r="H39" i="104" l="1"/>
  <x:c r="H16" i="104"/>
  <x:c r="E23" i="106"/>
  <x:c r="F23" i="106" s="1"/>
  <x:c r="E23" i="107"/>
  <x:c r="E25" i="107"/>
  <x:c r="E25" i="106"/>
  <x:c r="F25" i="106" s="1"/>
  <x:c r="G15" i="107"/>
  <x:c r="F15" i="107"/>
  <x:c r="F16" i="107"/>
  <x:c r="G16" i="107"/>
  <x:c r="E24" i="107"/>
  <x:c r="E24" i="106"/>
  <x:c r="F24" i="106" s="1"/>
  <x:c r="G14" i="107"/>
  <x:c r="F14" i="107"/>
  <x:c r="G14" i="106"/>
  <x:c r="F14" i="106"/>
  <x:c r="F18" i="106" s="1"/>
  <x:c r="G26" i="107"/>
  <x:c r="F26" i="107"/>
  <x:c r="H32" i="104"/>
  <x:c r="G18" i="107" l="1"/>
  <x:c r="G24" i="107"/>
  <x:c r="F24" i="107"/>
  <x:c r="G25" i="107"/>
  <x:c r="F25" i="107"/>
  <x:c r="G23" i="107"/>
  <x:c r="F23" i="107"/>
  <x:c r="F27" i="106"/>
  <x:c r="F18" i="107"/>
  <x:c r="F27" i="107" l="1"/>
  <x:c r="G27" i="107"/>
  <x:c r="I49" i="98" l="1"/>
  <x:c r="K50" i="97"/>
  <x:c r="H50" i="97"/>
  <x:c r="A49" i="97"/>
  <x:c r="B49" i="97"/>
  <x:c r="A49" i="64"/>
  <x:c r="A19" i="64"/>
  <x:c r="A20" i="64" s="1"/>
  <x:c r="A21" i="64" s="1"/>
  <x:c r="A22" i="64" s="1"/>
  <x:c r="A23" i="64" s="1"/>
  <x:c r="A24" i="64" s="1"/>
  <x:c r="A25" i="64" s="1"/>
  <x:c r="A26" i="64" s="1"/>
  <x:c r="A27" i="64" s="1"/>
  <x:c r="A28" i="64" s="1"/>
  <x:c r="A29" i="64" s="1"/>
  <x:c r="A30" i="64" s="1"/>
  <x:c r="A31" i="64" s="1"/>
  <x:c r="A32" i="64" s="1"/>
  <x:c r="A33" i="64" s="1"/>
  <x:c r="A34" i="64" s="1"/>
  <x:c r="A35" i="64" s="1"/>
  <x:c r="A36" i="64" s="1"/>
  <x:c r="A37" i="64" s="1"/>
  <x:c r="A38" i="64" s="1"/>
  <x:c r="A39" i="64" s="1"/>
  <x:c r="A40" i="64" s="1"/>
  <x:c r="A41" i="64" s="1"/>
  <x:c r="A42" i="64" s="1"/>
  <x:c r="A43" i="64" s="1"/>
  <x:c r="A44" i="64" s="1"/>
  <x:c r="A45" i="64" s="1"/>
  <x:c r="A46" i="64" s="1"/>
  <x:c r="A47" i="64" s="1"/>
  <x:c r="A48" i="64" s="1"/>
  <x:c r="A18" i="64"/>
  <x:c r="A17" i="64"/>
  <x:c r="A16" i="64"/>
  <x:c r="B20" i="64"/>
  <x:c r="B21" i="64"/>
  <x:c r="B22" i="64" s="1"/>
  <x:c r="B23" i="64" s="1"/>
  <x:c r="B24" i="64" s="1"/>
  <x:c r="B25" i="64" s="1"/>
  <x:c r="B26" i="64" s="1"/>
  <x:c r="B27" i="64" s="1"/>
  <x:c r="B28" i="64" s="1"/>
  <x:c r="B29" i="64" s="1"/>
  <x:c r="B30" i="64" s="1"/>
  <x:c r="B31" i="64" s="1"/>
  <x:c r="B32" i="64" s="1"/>
  <x:c r="B33" i="64" s="1"/>
  <x:c r="B34" i="64" s="1"/>
  <x:c r="B35" i="64" s="1"/>
  <x:c r="B36" i="64" s="1"/>
  <x:c r="B37" i="64" s="1"/>
  <x:c r="B38" i="64" s="1"/>
  <x:c r="B39" i="64" s="1"/>
  <x:c r="B40" i="64" s="1"/>
  <x:c r="B41" i="64" s="1"/>
  <x:c r="B42" i="64" s="1"/>
  <x:c r="B43" i="64" s="1"/>
  <x:c r="B44" i="64" s="1"/>
  <x:c r="B45" i="64" s="1"/>
  <x:c r="B46" i="64" s="1"/>
  <x:c r="B47" i="64" s="1"/>
  <x:c r="B48" i="64" s="1"/>
  <x:c r="H49" i="98"/>
  <x:c r="K49" i="98"/>
  <x:c r="J49" i="98"/>
  <x:c r="C49" i="98"/>
  <x:c r="D49" i="98"/>
  <x:c r="E49" i="98"/>
  <x:c r="F49" i="98"/>
  <x:c r="B19" i="98"/>
  <x:c r="B20" i="98"/>
  <x:c r="B21" i="98" s="1"/>
  <x:c r="B22" i="98" s="1"/>
  <x:c r="B23" i="98" s="1"/>
  <x:c r="B24" i="98" s="1"/>
  <x:c r="B25" i="98" s="1"/>
  <x:c r="B26" i="98" s="1"/>
  <x:c r="B27" i="98" s="1"/>
  <x:c r="B28" i="98" s="1"/>
  <x:c r="B29" i="98" s="1"/>
  <x:c r="B30" i="98" s="1"/>
  <x:c r="B31" i="98" s="1"/>
  <x:c r="B32" i="98" s="1"/>
  <x:c r="B33" i="98" s="1"/>
  <x:c r="B34" i="98" s="1"/>
  <x:c r="B35" i="98" s="1"/>
  <x:c r="B36" i="98" s="1"/>
  <x:c r="B37" i="98" s="1"/>
  <x:c r="B38" i="98" s="1"/>
  <x:c r="B39" i="98" s="1"/>
  <x:c r="B40" i="98" s="1"/>
  <x:c r="B41" i="98" s="1"/>
  <x:c r="B42" i="98" s="1"/>
  <x:c r="B43" i="98" s="1"/>
  <x:c r="B44" i="98" s="1"/>
  <x:c r="B45" i="98" s="1"/>
  <x:c r="B46" i="98" s="1"/>
  <x:c r="B47" i="98" s="1"/>
  <x:c r="B48" i="98" s="1"/>
  <x:c r="B18" i="98"/>
  <x:c r="I50" i="97"/>
  <x:c r="J50" i="97"/>
  <x:c r="K49" i="64"/>
  <x:c r="J49" i="64"/>
  <x:c r="I49" i="64"/>
  <x:c r="H49" i="64"/>
  <x:c r="C50" i="97"/>
  <x:c r="D50" i="97"/>
  <x:c r="E50" i="97"/>
  <x:c r="F50" i="97"/>
  <x:c r="B18" i="97"/>
  <x:c r="B19" i="97" s="1"/>
  <x:c r="B20" i="97" s="1"/>
  <x:c r="F49" i="64" l="1"/>
  <x:c r="E49" i="64"/>
  <x:c r="D49" i="64"/>
  <x:c r="C49" i="64"/>
  <x:c r="B18" i="64" l="1"/>
  <x:c r="B12" i="95" l="1"/>
  <x:c r="A25" i="92"/>
  <x:c r="A26" i="92"/>
  <x:c r="A27" i="92" s="1"/>
  <x:c r="A28" i="92" s="1"/>
  <x:c r="A25" i="37"/>
  <x:c r="A26" i="37"/>
  <x:c r="A27" i="37" s="1"/>
  <x:c r="A28" i="37" s="1"/>
  <x:c r="H29" i="77" l="1"/>
  <x:c r="H29" i="63"/>
  <x:c r="K29" i="63" l="1"/>
  <x:c r="J29" i="63"/>
  <x:c r="I29" i="63"/>
  <x:c r="K29" i="77"/>
  <x:c r="J29" i="77" l="1"/>
  <x:c r="H29" i="76"/>
  <x:c r="I29" i="77"/>
  <x:c r="L35" i="65"/>
  <x:c r="L35" i="48"/>
  <x:c r="L35" i="81"/>
  <x:c r="L35" i="80"/>
  <x:c r="G35" i="81"/>
  <x:c r="G35" i="48"/>
  <x:c r="G35" i="80"/>
  <x:c r="G35" i="65"/>
  <x:c r="A12" i="98" l="1"/>
  <x:c r="A13" i="98" s="1"/>
  <x:c r="A15" i="98" s="1"/>
  <x:c r="A16" i="98" s="1"/>
  <x:c r="A17" i="98" s="1"/>
  <x:c r="A20" i="98" s="1"/>
  <x:c r="A21" i="98" s="1"/>
  <x:c r="A22" i="98" s="1"/>
  <x:c r="A23" i="98" s="1"/>
  <x:c r="A24" i="98" s="1"/>
  <x:c r="A25" i="98" s="1"/>
  <x:c r="A26" i="98" s="1"/>
  <x:c r="A27" i="98" s="1"/>
  <x:c r="A28" i="98" s="1"/>
  <x:c r="A29" i="98" s="1"/>
  <x:c r="A30" i="98" s="1"/>
  <x:c r="A31" i="98" s="1"/>
  <x:c r="A32" i="98" s="1"/>
  <x:c r="A33" i="98" s="1"/>
  <x:c r="A34" i="98" s="1"/>
  <x:c r="A35" i="98" s="1"/>
  <x:c r="A36" i="98" s="1"/>
  <x:c r="A37" i="98" s="1"/>
  <x:c r="A38" i="98" s="1"/>
  <x:c r="A39" i="98" s="1"/>
  <x:c r="A40" i="98" s="1"/>
  <x:c r="A41" i="98" s="1"/>
  <x:c r="A42" i="98" s="1"/>
  <x:c r="A43" i="98" s="1"/>
  <x:c r="A44" i="98" s="1"/>
  <x:c r="A45" i="98" s="1"/>
  <x:c r="A46" i="98" s="1"/>
  <x:c r="A47" i="98" s="1"/>
  <x:c r="A48" i="98" s="1"/>
  <x:c r="A49" i="98" s="1"/>
  <x:c r="B6" i="98"/>
  <x:c r="B4" i="98"/>
  <x:c r="B3" i="98"/>
  <x:c r="B2" i="98"/>
  <x:c r="B1" i="98"/>
  <x:c r="B21" i="97"/>
  <x:c r="B22" i="97" s="1"/>
  <x:c r="B23" i="97" s="1"/>
  <x:c r="B24" i="97" s="1"/>
  <x:c r="B25" i="97" s="1"/>
  <x:c r="B26" i="97" s="1"/>
  <x:c r="B27" i="97" s="1"/>
  <x:c r="B28" i="97" s="1"/>
  <x:c r="B29" i="97" s="1"/>
  <x:c r="B30" i="97" s="1"/>
  <x:c r="B31" i="97" s="1"/>
  <x:c r="B32" i="97" s="1"/>
  <x:c r="B33" i="97" s="1"/>
  <x:c r="B34" i="97" s="1"/>
  <x:c r="B35" i="97" s="1"/>
  <x:c r="B36" i="97" s="1"/>
  <x:c r="B37" i="97" s="1"/>
  <x:c r="B38" i="97" s="1"/>
  <x:c r="B39" i="97" s="1"/>
  <x:c r="B40" i="97" s="1"/>
  <x:c r="B41" i="97" s="1"/>
  <x:c r="B42" i="97" s="1"/>
  <x:c r="B43" i="97" s="1"/>
  <x:c r="B44" i="97" s="1"/>
  <x:c r="B45" i="97" s="1"/>
  <x:c r="B46" i="97" s="1"/>
  <x:c r="B47" i="97" s="1"/>
  <x:c r="B48" i="97" s="1"/>
  <x:c r="A12" i="97"/>
  <x:c r="A13" i="97" s="1"/>
  <x:c r="A15" i="97" s="1"/>
  <x:c r="A16" i="97" s="1"/>
  <x:c r="A17" i="97" s="1"/>
  <x:c r="B6" i="97"/>
  <x:c r="B4" i="97"/>
  <x:c r="B3" i="97"/>
  <x:c r="B2" i="97"/>
  <x:c r="B1" i="97"/>
  <x:c r="H29" i="52"/>
  <x:c r="I29" i="52"/>
  <x:c r="J29" i="52"/>
  <x:c r="K29" i="52"/>
  <x:c r="A18" i="97" l="1"/>
  <x:c r="A19" i="97" s="1"/>
  <x:c r="A20" i="97" s="1"/>
  <x:c r="A21" i="97" s="1"/>
  <x:c r="A22" i="97" s="1"/>
  <x:c r="A23" i="97" s="1"/>
  <x:c r="A24" i="97" s="1"/>
  <x:c r="A25" i="97" s="1"/>
  <x:c r="A26" i="97" s="1"/>
  <x:c r="A27" i="97" s="1"/>
  <x:c r="A28" i="97" s="1"/>
  <x:c r="A29" i="97" s="1"/>
  <x:c r="A30" i="97" s="1"/>
  <x:c r="A31" i="97" s="1"/>
  <x:c r="A32" i="97" s="1"/>
  <x:c r="A33" i="97" s="1"/>
  <x:c r="A34" i="97" s="1"/>
  <x:c r="A35" i="97" s="1"/>
  <x:c r="A36" i="97" s="1"/>
  <x:c r="A37" i="97" s="1"/>
  <x:c r="A38" i="97" s="1"/>
  <x:c r="A39" i="97" s="1"/>
  <x:c r="A40" i="97" s="1"/>
  <x:c r="A41" i="97" s="1"/>
  <x:c r="A42" i="97" s="1"/>
  <x:c r="A43" i="97" s="1"/>
  <x:c r="A44" i="97" s="1"/>
  <x:c r="A45" i="97" s="1"/>
  <x:c r="A46" i="97" s="1"/>
  <x:c r="A47" i="97" s="1"/>
  <x:c r="A48" i="97" s="1"/>
  <x:c r="A50" i="97" s="1"/>
  <x:c r="J47" i="50"/>
  <x:c r="F47" i="50"/>
  <x:c r="I29" i="76" l="1"/>
  <x:c r="K29" i="76"/>
  <x:c r="D12" i="96" l="1"/>
  <x:c r="D13" i="96" s="1"/>
  <x:c r="D14" i="96" s="1"/>
  <x:c r="D15" i="96" s="1"/>
  <x:c r="D16" i="96" s="1"/>
  <x:c r="D17" i="96" s="1"/>
  <x:c r="D18" i="96" s="1"/>
  <x:c r="D19" i="96" s="1"/>
  <x:c r="D20" i="96" s="1"/>
  <x:c r="D21" i="96" s="1"/>
  <x:c r="D22" i="96" s="1"/>
  <x:c r="D23" i="96" s="1"/>
  <x:c r="D24" i="96" s="1"/>
  <x:c r="D25" i="96" s="1"/>
  <x:c r="D26" i="96" s="1"/>
  <x:c r="D27" i="96" s="1"/>
  <x:c r="D28" i="96" s="1"/>
  <x:c r="D29" i="96" s="1"/>
  <x:c r="D30" i="96" s="1"/>
  <x:c r="C12" i="96"/>
  <x:c r="B12" i="96"/>
  <x:c r="B13" i="96" s="1"/>
  <x:c r="B14" i="96" s="1"/>
  <x:c r="B15" i="96" s="1"/>
  <x:c r="B16" i="96" s="1"/>
  <x:c r="B17" i="96" s="1"/>
  <x:c r="B18" i="96" s="1"/>
  <x:c r="B19" i="96" s="1"/>
  <x:c r="B20" i="96" s="1"/>
  <x:c r="B21" i="96" s="1"/>
  <x:c r="B22" i="96" s="1"/>
  <x:c r="B23" i="96" s="1"/>
  <x:c r="B24" i="96" s="1"/>
  <x:c r="B25" i="96" s="1"/>
  <x:c r="B26" i="96" s="1"/>
  <x:c r="B27" i="96" s="1"/>
  <x:c r="B28" i="96" s="1"/>
  <x:c r="B29" i="96" s="1"/>
  <x:c r="B30" i="96" s="1"/>
  <x:c r="A11" i="96"/>
  <x:c r="A12" i="96" s="1"/>
  <x:c r="A13" i="96" s="1"/>
  <x:c r="A14" i="96" s="1"/>
  <x:c r="A15" i="96" s="1"/>
  <x:c r="A16" i="96" s="1"/>
  <x:c r="A17" i="96" s="1"/>
  <x:c r="A18" i="96" s="1"/>
  <x:c r="A19" i="96" s="1"/>
  <x:c r="A20" i="96" s="1"/>
  <x:c r="A21" i="96" s="1"/>
  <x:c r="A22" i="96" s="1"/>
  <x:c r="A23" i="96" s="1"/>
  <x:c r="A24" i="96" s="1"/>
  <x:c r="A25" i="96" s="1"/>
  <x:c r="A26" i="96" s="1"/>
  <x:c r="A27" i="96" s="1"/>
  <x:c r="A28" i="96" s="1"/>
  <x:c r="A29" i="96" s="1"/>
  <x:c r="A30" i="96" s="1"/>
  <x:c r="A31" i="96" s="1"/>
  <x:c r="B6" i="96"/>
  <x:c r="B4" i="96"/>
  <x:c r="B3" i="96"/>
  <x:c r="B2" i="96"/>
  <x:c r="B1" i="96"/>
  <x:c r="D12" i="95"/>
  <x:c r="D13" i="95" s="1"/>
  <x:c r="D14" i="95" s="1"/>
  <x:c r="D15" i="95" s="1"/>
  <x:c r="D16" i="95" s="1"/>
  <x:c r="D17" i="95" s="1"/>
  <x:c r="D18" i="95" s="1"/>
  <x:c r="D19" i="95" s="1"/>
  <x:c r="D20" i="95" s="1"/>
  <x:c r="D21" i="95" s="1"/>
  <x:c r="D22" i="95" s="1"/>
  <x:c r="D23" i="95" s="1"/>
  <x:c r="D24" i="95" s="1"/>
  <x:c r="D25" i="95" s="1"/>
  <x:c r="D26" i="95" s="1"/>
  <x:c r="D27" i="95" s="1"/>
  <x:c r="D28" i="95" s="1"/>
  <x:c r="D29" i="95" s="1"/>
  <x:c r="D30" i="95" s="1"/>
  <x:c r="C12" i="95"/>
  <x:c r="C13" i="95" s="1"/>
  <x:c r="B13" i="95"/>
  <x:c r="B14" i="95" s="1"/>
  <x:c r="B15" i="95" s="1"/>
  <x:c r="B16" i="95" s="1"/>
  <x:c r="B17" i="95" s="1"/>
  <x:c r="B18" i="95" s="1"/>
  <x:c r="B19" i="95" s="1"/>
  <x:c r="B20" i="95" s="1"/>
  <x:c r="B21" i="95" s="1"/>
  <x:c r="B22" i="95" s="1"/>
  <x:c r="B23" i="95" s="1"/>
  <x:c r="B24" i="95" s="1"/>
  <x:c r="B25" i="95" s="1"/>
  <x:c r="B26" i="95" s="1"/>
  <x:c r="B27" i="95" s="1"/>
  <x:c r="B28" i="95" s="1"/>
  <x:c r="B29" i="95" s="1"/>
  <x:c r="B30" i="95" s="1"/>
  <x:c r="A11" i="95"/>
  <x:c r="A12" i="95" s="1"/>
  <x:c r="A13" i="95" s="1"/>
  <x:c r="A14" i="95" s="1"/>
  <x:c r="A15" i="95" s="1"/>
  <x:c r="A16" i="95" s="1"/>
  <x:c r="A17" i="95" s="1"/>
  <x:c r="A18" i="95" s="1"/>
  <x:c r="A19" i="95" s="1"/>
  <x:c r="A20" i="95" s="1"/>
  <x:c r="A21" i="95" s="1"/>
  <x:c r="A22" i="95" s="1"/>
  <x:c r="A23" i="95" s="1"/>
  <x:c r="A24" i="95" s="1"/>
  <x:c r="A25" i="95" s="1"/>
  <x:c r="A26" i="95" s="1"/>
  <x:c r="A27" i="95" s="1"/>
  <x:c r="A28" i="95" s="1"/>
  <x:c r="A29" i="95" s="1"/>
  <x:c r="A30" i="95" s="1"/>
  <x:c r="A31" i="95" s="1"/>
  <x:c r="B6" i="95"/>
  <x:c r="B4" i="95"/>
  <x:c r="B3" i="95"/>
  <x:c r="B2" i="95"/>
  <x:c r="B1" i="95"/>
  <x:c r="D12" i="93"/>
  <x:c r="C12" i="93"/>
  <x:c r="C13" i="93" s="1"/>
  <x:c r="B12" i="93"/>
  <x:c r="B13" i="93" s="1"/>
  <x:c r="B14" i="93" s="1"/>
  <x:c r="B15" i="93" s="1"/>
  <x:c r="B16" i="93" s="1"/>
  <x:c r="B17" i="93" s="1"/>
  <x:c r="B18" i="93" s="1"/>
  <x:c r="B19" i="93" s="1"/>
  <x:c r="B20" i="93" s="1"/>
  <x:c r="B21" i="93" s="1"/>
  <x:c r="B22" i="93" s="1"/>
  <x:c r="B23" i="93" s="1"/>
  <x:c r="B24" i="93" s="1"/>
  <x:c r="B25" i="93" s="1"/>
  <x:c r="B26" i="93" s="1"/>
  <x:c r="B27" i="93" s="1"/>
  <x:c r="B28" i="93" s="1"/>
  <x:c r="B29" i="93" s="1"/>
  <x:c r="B30" i="93" s="1"/>
  <x:c r="A11" i="93"/>
  <x:c r="A12" i="93" s="1"/>
  <x:c r="A13" i="93" s="1"/>
  <x:c r="A14" i="93" s="1"/>
  <x:c r="A15" i="93" s="1"/>
  <x:c r="A16" i="93" s="1"/>
  <x:c r="A17" i="93" s="1"/>
  <x:c r="A18" i="93" s="1"/>
  <x:c r="A19" i="93" s="1"/>
  <x:c r="A20" i="93" s="1"/>
  <x:c r="A21" i="93" s="1"/>
  <x:c r="A22" i="93" s="1"/>
  <x:c r="A23" i="93" s="1"/>
  <x:c r="A24" i="93" s="1"/>
  <x:c r="A25" i="93" s="1"/>
  <x:c r="A26" i="93" s="1"/>
  <x:c r="A27" i="93" s="1"/>
  <x:c r="A28" i="93" s="1"/>
  <x:c r="A29" i="93" s="1"/>
  <x:c r="A30" i="93" s="1"/>
  <x:c r="A31" i="93" s="1"/>
  <x:c r="B6" i="93"/>
  <x:c r="B4" i="93"/>
  <x:c r="B3" i="93"/>
  <x:c r="B2" i="93"/>
  <x:c r="B1" i="93"/>
  <x:c r="C28" i="92"/>
  <x:c r="C27" i="92"/>
  <x:c r="C26" i="92"/>
  <x:c r="C25" i="92"/>
  <x:c r="B25" i="92"/>
  <x:c r="A12" i="92"/>
  <x:c r="A13" i="92" s="1"/>
  <x:c r="A14" i="92" s="1"/>
  <x:c r="A15" i="92" s="1"/>
  <x:c r="A16" i="92" s="1"/>
  <x:c r="A17" i="92" s="1"/>
  <x:c r="A18" i="92" s="1"/>
  <x:c r="A19" i="92" s="1"/>
  <x:c r="B6" i="92"/>
  <x:c r="B4" i="92"/>
  <x:c r="B3" i="92"/>
  <x:c r="B2" i="92"/>
  <x:c r="B1" i="92"/>
  <x:c r="C26" i="37"/>
  <x:c r="C28" i="91"/>
  <x:c r="C27" i="91"/>
  <x:c r="C26" i="91"/>
  <x:c r="C25" i="91"/>
  <x:c r="B25" i="91"/>
  <x:c r="B14" i="91"/>
  <x:c r="B26" i="91" s="1"/>
  <x:c r="A12" i="91"/>
  <x:c r="A13" i="91" s="1"/>
  <x:c r="A14" i="91" s="1"/>
  <x:c r="A15" i="91" s="1"/>
  <x:c r="A16" i="91" s="1"/>
  <x:c r="A17" i="91" s="1"/>
  <x:c r="A18" i="91" s="1"/>
  <x:c r="A19" i="91" s="1"/>
  <x:c r="A22" i="91" s="1"/>
  <x:c r="A23" i="91" s="1"/>
  <x:c r="A24" i="91" s="1"/>
  <x:c r="A25" i="91" s="1"/>
  <x:c r="A26" i="91" s="1"/>
  <x:c r="A27" i="91" s="1"/>
  <x:c r="A28" i="91" s="1"/>
  <x:c r="B6" i="91"/>
  <x:c r="B4" i="91"/>
  <x:c r="B3" i="91"/>
  <x:c r="B2" i="91"/>
  <x:c r="B1" i="91"/>
  <x:c r="C26" i="36"/>
  <x:c r="C27" i="36"/>
  <x:c r="C28" i="36"/>
  <x:c r="C25" i="36"/>
  <x:c r="C13" i="96" l="1"/>
  <x:c r="C14" i="96" s="1"/>
  <x:c r="C15" i="96" s="1"/>
  <x:c r="B15" i="92"/>
  <x:c r="B27" i="92" s="1"/>
  <x:c r="D13" i="93"/>
  <x:c r="D14" i="93" s="1"/>
  <x:c r="D15" i="93" s="1"/>
  <x:c r="D16" i="93" s="1"/>
  <x:c r="D17" i="93" s="1"/>
  <x:c r="D18" i="93" s="1"/>
  <x:c r="D19" i="93" s="1"/>
  <x:c r="D20" i="93" s="1"/>
  <x:c r="D21" i="93" s="1"/>
  <x:c r="D22" i="93" s="1"/>
  <x:c r="D23" i="93" s="1"/>
  <x:c r="D24" i="93" s="1"/>
  <x:c r="D25" i="93" s="1"/>
  <x:c r="D26" i="93" s="1"/>
  <x:c r="D27" i="93" s="1"/>
  <x:c r="D28" i="93" s="1"/>
  <x:c r="D29" i="93" s="1"/>
  <x:c r="D30" i="93" s="1"/>
  <x:c r="C14" i="95"/>
  <x:c r="C14" i="93"/>
  <x:c r="B16" i="92"/>
  <x:c r="B28" i="92" s="1"/>
  <x:c r="B14" i="92"/>
  <x:c r="B26" i="92" s="1"/>
  <x:c r="A22" i="92"/>
  <x:c r="A23" i="92" s="1"/>
  <x:c r="A24" i="92" s="1"/>
  <x:c r="B15" i="91"/>
  <x:c r="B27" i="91" s="1"/>
  <x:c r="B16" i="91"/>
  <x:c r="B28" i="91" s="1"/>
  <x:c r="C16" i="96" l="1"/>
  <x:c r="C15" i="95"/>
  <x:c r="C15" i="93"/>
  <x:c r="C17" i="96" l="1"/>
  <x:c r="C16" i="95"/>
  <x:c r="C16" i="93"/>
  <x:c r="C18" i="96" l="1"/>
  <x:c r="C17" i="95"/>
  <x:c r="C17" i="93"/>
  <x:c r="C19" i="96" l="1"/>
  <x:c r="C18" i="95"/>
  <x:c r="C18" i="93"/>
  <x:c r="C20" i="96" l="1"/>
  <x:c r="C19" i="95"/>
  <x:c r="C19" i="93"/>
  <x:c r="C21" i="96" l="1"/>
  <x:c r="C20" i="95"/>
  <x:c r="C20" i="93"/>
  <x:c r="C22" i="96" l="1"/>
  <x:c r="C21" i="95"/>
  <x:c r="C21" i="93"/>
  <x:c r="C23" i="96" l="1"/>
  <x:c r="C22" i="95"/>
  <x:c r="C22" i="93"/>
  <x:c r="C24" i="96" l="1"/>
  <x:c r="C23" i="95"/>
  <x:c r="C23" i="93"/>
  <x:c r="C25" i="96" l="1"/>
  <x:c r="C24" i="95"/>
  <x:c r="C24" i="93"/>
  <x:c r="C26" i="96" l="1"/>
  <x:c r="C25" i="95"/>
  <x:c r="C25" i="93"/>
  <x:c r="C27" i="96" l="1"/>
  <x:c r="C26" i="95"/>
  <x:c r="C26" i="93"/>
  <x:c r="C28" i="96" l="1"/>
  <x:c r="C27" i="95"/>
  <x:c r="C27" i="93"/>
  <x:c r="C29" i="96" l="1"/>
  <x:c r="C28" i="95"/>
  <x:c r="C28" i="93"/>
  <x:c r="C30" i="96" l="1"/>
  <x:c r="C29" i="95"/>
  <x:c r="C29" i="93"/>
  <x:c r="K31" i="96" l="1"/>
  <x:c r="J31" i="96"/>
  <x:c r="C30" i="95"/>
  <x:c r="C30" i="93"/>
  <x:c r="K31" i="93" l="1"/>
  <x:c r="L31" i="96"/>
  <x:c r="E31" i="96"/>
  <x:c r="F31" i="96"/>
  <x:c r="G31" i="96"/>
  <x:c r="H31" i="96"/>
  <x:c r="L31" i="93" l="1"/>
  <x:c r="J31" i="93"/>
  <x:c r="K31" i="95"/>
  <x:c r="L31" i="95"/>
  <x:c r="E31" i="95"/>
  <x:c r="F31" i="95"/>
  <x:c r="G31" i="95"/>
  <x:c r="H31" i="95"/>
  <x:c r="I31" i="95"/>
  <x:c r="J31" i="95"/>
  <x:c r="G31" i="93"/>
  <x:c r="I31" i="93"/>
  <x:c r="F31" i="93"/>
  <x:c r="H31" i="93"/>
  <x:c r="D34" i="90" l="1"/>
  <x:c r="G22" i="90"/>
  <x:c r="B1" i="90"/>
  <x:c r="B2" i="90"/>
  <x:c r="B3" i="90"/>
  <x:c r="B4" i="90"/>
  <x:c r="B6" i="90"/>
  <x:c r="A13" i="90"/>
  <x:c r="A14" i="90"/>
  <x:c r="A15" i="90" s="1"/>
  <x:c r="A16" i="90" s="1"/>
  <x:c r="A17" i="90" s="1"/>
  <x:c r="A18" i="90" s="1"/>
  <x:c r="A19" i="90" s="1"/>
  <x:c r="A20" i="90" s="1"/>
  <x:c r="A21" i="90" s="1"/>
  <x:c r="A22" i="90" s="1"/>
  <x:c r="A23" i="90" s="1"/>
  <x:c r="A24" i="90" s="1"/>
  <x:c r="A25" i="90" s="1"/>
  <x:c r="A26" i="90" s="1"/>
  <x:c r="A27" i="90" s="1"/>
  <x:c r="A28" i="90" s="1"/>
  <x:c r="A29" i="90" s="1"/>
  <x:c r="A30" i="90" s="1"/>
  <x:c r="A31" i="90" s="1"/>
  <x:c r="A32" i="90" s="1"/>
  <x:c r="A33" i="90" s="1"/>
  <x:c r="A34" i="90" s="1"/>
  <x:c r="A35" i="90" s="1"/>
  <x:c r="A36" i="90" s="1"/>
  <x:c r="A37" i="90" s="1"/>
  <x:c r="F30" i="90" l="1"/>
  <x:c r="H22" i="90"/>
  <x:c r="D35" i="90"/>
  <x:c r="F35" i="90"/>
  <x:c r="D27" i="90"/>
  <x:c r="F33" i="90"/>
  <x:c r="F34" i="90"/>
  <x:c r="D31" i="90"/>
  <x:c r="D30" i="90"/>
  <x:c r="D29" i="90"/>
  <x:c r="D28" i="90"/>
  <x:c r="F36" i="90"/>
  <x:c r="P22" i="90"/>
  <x:c r="D22" i="90"/>
  <x:c r="F27" i="90"/>
  <x:c r="D36" i="90"/>
  <x:c r="F32" i="90"/>
  <x:c r="J22" i="90"/>
  <x:c r="K22" i="90"/>
  <x:c r="O22" i="90"/>
  <x:c r="F31" i="90"/>
  <x:c r="I22" i="90"/>
  <x:c r="F29" i="90"/>
  <x:c r="N22" i="90"/>
  <x:c r="F22" i="90"/>
  <x:c r="M22" i="90"/>
  <x:c r="D33" i="90"/>
  <x:c r="E22" i="90"/>
  <x:c r="L22" i="90"/>
  <x:c r="D32" i="90"/>
  <x:c r="F28" i="90"/>
  <x:c r="D37" i="90" l="1"/>
  <x:c r="F37" i="90"/>
  <x:c r="E25" i="87" l="1"/>
  <x:c r="C25" i="87"/>
  <x:c r="B24" i="87"/>
  <x:c r="B23" i="87"/>
  <x:c r="B22" i="87"/>
  <x:c r="B21" i="87"/>
  <x:c r="B20" i="87"/>
  <x:c r="B19" i="87"/>
  <x:c r="B18" i="87"/>
  <x:c r="B17" i="87"/>
  <x:c r="B16" i="87"/>
  <x:c r="B15" i="87"/>
  <x:c r="B14" i="87"/>
  <x:c r="B13" i="87"/>
  <x:c r="B6" i="87"/>
  <x:c r="B4" i="87"/>
  <x:c r="B3" i="87"/>
  <x:c r="B2" i="87"/>
  <x:c r="B1" i="87"/>
  <x:c r="K35" i="80" l="1"/>
  <x:c r="K35" i="65"/>
  <x:c r="E35" i="48"/>
  <x:c r="F35" i="65"/>
  <x:c r="F35" i="80"/>
  <x:c r="K47" i="50" l="1"/>
  <x:c r="E47" i="50"/>
  <x:c r="D47" i="50"/>
  <x:c r="C47" i="50"/>
  <x:c r="H47" i="50"/>
  <x:c r="I47" i="50"/>
  <x:c r="C25" i="37" l="1"/>
  <x:c r="C27" i="37"/>
  <x:c r="C28" i="37"/>
  <x:c r="B14" i="36"/>
  <x:c r="B15" i="36" s="1"/>
  <x:c r="B27" i="36" s="1"/>
  <x:c r="B6" i="60" l="1"/>
  <x:c r="B6" i="61"/>
  <x:c r="B6" i="36"/>
  <x:c r="B6" i="37"/>
  <x:c r="B6" i="74"/>
  <x:c r="B6" i="76"/>
  <x:c r="B6" i="52"/>
  <x:c r="B6" i="77"/>
  <x:c r="B6" i="63"/>
  <x:c r="B6" i="64"/>
  <x:c r="B6" i="50"/>
  <x:c r="B6" i="65"/>
  <x:c r="B6" i="48"/>
  <x:c r="B6" i="80"/>
  <x:c r="B6" i="81"/>
  <x:c r="B6" i="45"/>
  <x:c r="B6" i="67"/>
  <x:c r="B6" i="68"/>
  <x:c r="B6" i="69"/>
  <x:c r="B6" i="58"/>
  <x:c r="B4" i="60"/>
  <x:c r="B4" i="61"/>
  <x:c r="B4" i="36"/>
  <x:c r="B4" i="37"/>
  <x:c r="B4" i="74"/>
  <x:c r="B4" i="76"/>
  <x:c r="B4" i="52"/>
  <x:c r="B4" i="77"/>
  <x:c r="B4" i="63"/>
  <x:c r="B4" i="64"/>
  <x:c r="B4" i="50"/>
  <x:c r="B4" i="65"/>
  <x:c r="B4" i="48"/>
  <x:c r="B4" i="80"/>
  <x:c r="B4" i="81"/>
  <x:c r="B4" i="45"/>
  <x:c r="B4" i="67"/>
  <x:c r="B4" i="68"/>
  <x:c r="B4" i="69"/>
  <x:c r="B4" i="58"/>
  <x:c r="B3" i="60"/>
  <x:c r="B3" i="61"/>
  <x:c r="B3" i="36"/>
  <x:c r="B3" i="37"/>
  <x:c r="B3" i="74"/>
  <x:c r="B3" i="76"/>
  <x:c r="B3" i="52"/>
  <x:c r="B3" i="77"/>
  <x:c r="B3" i="63"/>
  <x:c r="B3" i="64"/>
  <x:c r="B3" i="50"/>
  <x:c r="B3" i="65"/>
  <x:c r="B3" i="48"/>
  <x:c r="B3" i="80"/>
  <x:c r="B3" i="81"/>
  <x:c r="B3" i="45"/>
  <x:c r="B3" i="67"/>
  <x:c r="B3" i="68"/>
  <x:c r="B3" i="69"/>
  <x:c r="B3" i="58"/>
  <x:c r="B2" i="60"/>
  <x:c r="B2" i="61"/>
  <x:c r="B2" i="36"/>
  <x:c r="B2" i="37"/>
  <x:c r="B2" i="74"/>
  <x:c r="B2" i="76"/>
  <x:c r="B2" i="52"/>
  <x:c r="B2" i="77"/>
  <x:c r="B2" i="63"/>
  <x:c r="B2" i="64"/>
  <x:c r="B2" i="50"/>
  <x:c r="B2" i="65"/>
  <x:c r="B2" i="48"/>
  <x:c r="B2" i="80"/>
  <x:c r="B2" i="81"/>
  <x:c r="B2" i="45"/>
  <x:c r="B2" i="67"/>
  <x:c r="B2" i="68"/>
  <x:c r="B2" i="69"/>
  <x:c r="B2" i="58"/>
  <x:c r="B1" i="60"/>
  <x:c r="B1" i="61"/>
  <x:c r="B1" i="36"/>
  <x:c r="B1" i="37"/>
  <x:c r="B1" i="74"/>
  <x:c r="B1" i="76"/>
  <x:c r="B1" i="52"/>
  <x:c r="B1" i="77"/>
  <x:c r="B1" i="63"/>
  <x:c r="B1" i="64"/>
  <x:c r="B1" i="50"/>
  <x:c r="B1" i="65"/>
  <x:c r="B1" i="48"/>
  <x:c r="B1" i="80"/>
  <x:c r="B1" i="81"/>
  <x:c r="B1" i="45"/>
  <x:c r="B1" i="67"/>
  <x:c r="B1" i="68"/>
  <x:c r="B1" i="69"/>
  <x:c r="B1" i="58"/>
  <x:c r="H35" i="81"/>
  <x:c r="A12" i="81"/>
  <x:c r="A13" i="81" s="1"/>
  <x:c r="A14" i="81" s="1"/>
  <x:c r="A15" i="81" s="1"/>
  <x:c r="A16" i="81" s="1"/>
  <x:c r="A17" i="81" s="1"/>
  <x:c r="A18" i="81" s="1"/>
  <x:c r="A19" i="81" s="1"/>
  <x:c r="A20" i="81" s="1"/>
  <x:c r="A21" i="81" s="1"/>
  <x:c r="A22" i="81" s="1"/>
  <x:c r="A23" i="81" s="1"/>
  <x:c r="A24" i="81" s="1"/>
  <x:c r="A25" i="81" s="1"/>
  <x:c r="A26" i="81" s="1"/>
  <x:c r="A27" i="81" s="1"/>
  <x:c r="A28" i="81" s="1"/>
  <x:c r="A29" i="81" s="1"/>
  <x:c r="A30" i="81" s="1"/>
  <x:c r="A31" i="81" s="1"/>
  <x:c r="A32" i="81" s="1"/>
  <x:c r="A33" i="81" s="1"/>
  <x:c r="A34" i="81" s="1"/>
  <x:c r="A35" i="81" s="1"/>
  <x:c r="A12" i="80"/>
  <x:c r="A13" i="80" s="1"/>
  <x:c r="A14" i="80" s="1"/>
  <x:c r="A15" i="80" s="1"/>
  <x:c r="A16" i="80" s="1"/>
  <x:c r="A17" i="80" s="1"/>
  <x:c r="A18" i="80" s="1"/>
  <x:c r="A19" i="80" s="1"/>
  <x:c r="A20" i="80" s="1"/>
  <x:c r="A21" i="80" s="1"/>
  <x:c r="A22" i="80" s="1"/>
  <x:c r="A23" i="80" s="1"/>
  <x:c r="A24" i="80" s="1"/>
  <x:c r="A25" i="80" s="1"/>
  <x:c r="A26" i="80" s="1"/>
  <x:c r="A27" i="80" s="1"/>
  <x:c r="A28" i="80" s="1"/>
  <x:c r="A29" i="80" s="1"/>
  <x:c r="A30" i="80" s="1"/>
  <x:c r="A31" i="80" s="1"/>
  <x:c r="A32" i="80" s="1"/>
  <x:c r="A33" i="80" s="1"/>
  <x:c r="A34" i="80" s="1"/>
  <x:c r="A35" i="80" s="1"/>
  <x:c r="F28" i="69"/>
  <x:c r="D29" i="69"/>
  <x:c r="D30" i="69"/>
  <x:c r="D31" i="69"/>
  <x:c r="D34" i="69"/>
  <x:c r="F35" i="69"/>
  <x:c r="I22" i="69"/>
  <x:c r="D22" i="69"/>
  <x:c r="F28" i="68"/>
  <x:c r="F30" i="68"/>
  <x:c r="D32" i="68"/>
  <x:c r="F33" i="68"/>
  <x:c r="K22" i="68"/>
  <x:c r="D27" i="68"/>
  <x:c r="F28" i="67"/>
  <x:c r="F31" i="67"/>
  <x:c r="D34" i="67"/>
  <x:c r="G22" i="67"/>
  <x:c r="E35" i="65"/>
  <x:c r="F35" i="48"/>
  <x:c r="B19" i="64"/>
  <x:c r="B18" i="50"/>
  <x:c r="B19" i="50" s="1"/>
  <x:c r="B20" i="50" s="1"/>
  <x:c r="B21" i="50" s="1"/>
  <x:c r="B22" i="50" s="1"/>
  <x:c r="B23" i="50" s="1"/>
  <x:c r="B24" i="50" s="1"/>
  <x:c r="B25" i="50" s="1"/>
  <x:c r="B26" i="50" s="1"/>
  <x:c r="B27" i="50" s="1"/>
  <x:c r="B28" i="50" s="1"/>
  <x:c r="B29" i="50" s="1"/>
  <x:c r="B30" i="50" s="1"/>
  <x:c r="B31" i="50" s="1"/>
  <x:c r="B32" i="50" s="1"/>
  <x:c r="B33" i="50" s="1"/>
  <x:c r="B34" i="50" s="1"/>
  <x:c r="B35" i="50" s="1"/>
  <x:c r="B36" i="50" s="1"/>
  <x:c r="B37" i="50" s="1"/>
  <x:c r="B38" i="50" s="1"/>
  <x:c r="B39" i="50" s="1"/>
  <x:c r="B40" i="50" s="1"/>
  <x:c r="B41" i="50" s="1"/>
  <x:c r="B42" i="50" s="1"/>
  <x:c r="B43" i="50" s="1"/>
  <x:c r="B44" i="50" s="1"/>
  <x:c r="B45" i="50" s="1"/>
  <x:c r="B46" i="50" s="1"/>
  <x:c r="A12" i="77"/>
  <x:c r="A13" i="77" s="1"/>
  <x:c r="A14" i="77" s="1"/>
  <x:c r="A15" i="77" s="1"/>
  <x:c r="A16" i="77" s="1"/>
  <x:c r="A17" i="77" s="1"/>
  <x:c r="A18" i="77" s="1"/>
  <x:c r="A19" i="77" s="1"/>
  <x:c r="A20" i="77" s="1"/>
  <x:c r="A21" i="77" s="1"/>
  <x:c r="A22" i="77" s="1"/>
  <x:c r="A23" i="77" s="1"/>
  <x:c r="A24" i="77" s="1"/>
  <x:c r="A25" i="77" s="1"/>
  <x:c r="A26" i="77" s="1"/>
  <x:c r="A27" i="77" s="1"/>
  <x:c r="A28" i="77" s="1"/>
  <x:c r="A29" i="77" s="1"/>
  <x:c r="A30" i="77" s="1"/>
  <x:c r="A31" i="77" s="1"/>
  <x:c r="A32" i="77" s="1"/>
  <x:c r="A33" i="77" s="1"/>
  <x:c r="A34" i="77" s="1"/>
  <x:c r="A35" i="77" s="1"/>
  <x:c r="A36" i="77" s="1"/>
  <x:c r="A37" i="77" s="1"/>
  <x:c r="A38" i="77" s="1"/>
  <x:c r="A39" i="77" s="1"/>
  <x:c r="A40" i="77" s="1"/>
  <x:c r="A41" i="77" s="1"/>
  <x:c r="A42" i="77" s="1"/>
  <x:c r="A43" i="77" s="1"/>
  <x:c r="A44" i="77" s="1"/>
  <x:c r="A12" i="76"/>
  <x:c r="A13" i="76" s="1"/>
  <x:c r="A14" i="76" s="1"/>
  <x:c r="A15" i="76" s="1"/>
  <x:c r="A16" i="76" s="1"/>
  <x:c r="A17" i="76" s="1"/>
  <x:c r="A18" i="76" s="1"/>
  <x:c r="A19" i="76" s="1"/>
  <x:c r="A20" i="76" s="1"/>
  <x:c r="A21" i="76" s="1"/>
  <x:c r="A22" i="76" s="1"/>
  <x:c r="A23" i="76" s="1"/>
  <x:c r="A24" i="76" s="1"/>
  <x:c r="A25" i="76" s="1"/>
  <x:c r="A26" i="76" s="1"/>
  <x:c r="A27" i="76" s="1"/>
  <x:c r="A28" i="76" s="1"/>
  <x:c r="A29" i="76" s="1"/>
  <x:c r="A30" i="76" s="1"/>
  <x:c r="A31" i="76" s="1"/>
  <x:c r="A32" i="76" s="1"/>
  <x:c r="A33" i="76" s="1"/>
  <x:c r="A34" i="76" s="1"/>
  <x:c r="A35" i="76" s="1"/>
  <x:c r="A36" i="76" s="1"/>
  <x:c r="A37" i="76" s="1"/>
  <x:c r="A38" i="76" s="1"/>
  <x:c r="A39" i="76" s="1"/>
  <x:c r="A40" i="76" s="1"/>
  <x:c r="A41" i="76" s="1"/>
  <x:c r="A42" i="76" s="1"/>
  <x:c r="A43" i="76" s="1"/>
  <x:c r="A44" i="76" s="1"/>
  <x:c r="A13" i="69"/>
  <x:c r="A14" i="69"/>
  <x:c r="A15" i="69" s="1"/>
  <x:c r="A16" i="69" s="1"/>
  <x:c r="A17" i="69" s="1"/>
  <x:c r="A18" i="69" s="1"/>
  <x:c r="A19" i="69" s="1"/>
  <x:c r="A20" i="69" s="1"/>
  <x:c r="A21" i="69" s="1"/>
  <x:c r="A22" i="69" s="1"/>
  <x:c r="A23" i="69" s="1"/>
  <x:c r="A24" i="69" s="1"/>
  <x:c r="A25" i="69" s="1"/>
  <x:c r="A26" i="69" s="1"/>
  <x:c r="A27" i="69" s="1"/>
  <x:c r="A28" i="69" s="1"/>
  <x:c r="A29" i="69" s="1"/>
  <x:c r="A30" i="69" s="1"/>
  <x:c r="A31" i="69" s="1"/>
  <x:c r="A32" i="69" s="1"/>
  <x:c r="A33" i="69" s="1"/>
  <x:c r="A34" i="69" s="1"/>
  <x:c r="A35" i="69" s="1"/>
  <x:c r="A36" i="69" s="1"/>
  <x:c r="A37" i="69" s="1"/>
  <x:c r="A13" i="68"/>
  <x:c r="A14" i="68" s="1"/>
  <x:c r="A15" i="68" s="1"/>
  <x:c r="A16" i="68" s="1"/>
  <x:c r="A17" i="68" s="1"/>
  <x:c r="A18" i="68" s="1"/>
  <x:c r="A19" i="68" s="1"/>
  <x:c r="A20" i="68" s="1"/>
  <x:c r="A21" i="68" s="1"/>
  <x:c r="A22" i="68" s="1"/>
  <x:c r="A23" i="68" s="1"/>
  <x:c r="A24" i="68" s="1"/>
  <x:c r="A25" i="68" s="1"/>
  <x:c r="A26" i="68" s="1"/>
  <x:c r="A27" i="68" s="1"/>
  <x:c r="A28" i="68" s="1"/>
  <x:c r="A29" i="68" s="1"/>
  <x:c r="A30" i="68" s="1"/>
  <x:c r="A31" i="68" s="1"/>
  <x:c r="A32" i="68" s="1"/>
  <x:c r="A33" i="68" s="1"/>
  <x:c r="A34" i="68" s="1"/>
  <x:c r="A35" i="68" s="1"/>
  <x:c r="A36" i="68" s="1"/>
  <x:c r="A37" i="68" s="1"/>
  <x:c r="A13" i="67"/>
  <x:c r="A14" i="67" s="1"/>
  <x:c r="A15" i="67" s="1"/>
  <x:c r="A16" i="67" s="1"/>
  <x:c r="A17" i="67" s="1"/>
  <x:c r="A18" i="67" s="1"/>
  <x:c r="A19" i="67" s="1"/>
  <x:c r="A20" i="67" s="1"/>
  <x:c r="A21" i="67" s="1"/>
  <x:c r="A22" i="67" s="1"/>
  <x:c r="A23" i="67" s="1"/>
  <x:c r="A24" i="67" s="1"/>
  <x:c r="A25" i="67" s="1"/>
  <x:c r="A26" i="67" s="1"/>
  <x:c r="A27" i="67" s="1"/>
  <x:c r="A28" i="67" s="1"/>
  <x:c r="A29" i="67" s="1"/>
  <x:c r="A30" i="67" s="1"/>
  <x:c r="A31" i="67" s="1"/>
  <x:c r="A32" i="67" s="1"/>
  <x:c r="A33" i="67" s="1"/>
  <x:c r="A34" i="67" s="1"/>
  <x:c r="A35" i="67" s="1"/>
  <x:c r="A36" i="67" s="1"/>
  <x:c r="A37" i="67" s="1"/>
  <x:c r="A13" i="45"/>
  <x:c r="A14" i="45" s="1"/>
  <x:c r="A15" i="45" s="1"/>
  <x:c r="A16" i="45" s="1"/>
  <x:c r="A17" i="45" s="1"/>
  <x:c r="A18" i="45" s="1"/>
  <x:c r="A19" i="45" s="1"/>
  <x:c r="A20" i="45" s="1"/>
  <x:c r="A21" i="45" s="1"/>
  <x:c r="A22" i="45" s="1"/>
  <x:c r="A23" i="45" s="1"/>
  <x:c r="A24" i="45" s="1"/>
  <x:c r="A25" i="45" s="1"/>
  <x:c r="A26" i="45" s="1"/>
  <x:c r="A27" i="45" s="1"/>
  <x:c r="A28" i="45" s="1"/>
  <x:c r="A29" i="45" s="1"/>
  <x:c r="A30" i="45" s="1"/>
  <x:c r="A31" i="45" s="1"/>
  <x:c r="A32" i="45" s="1"/>
  <x:c r="A33" i="45" s="1"/>
  <x:c r="A34" i="45" s="1"/>
  <x:c r="A35" i="45" s="1"/>
  <x:c r="A36" i="45" s="1"/>
  <x:c r="A37" i="45" s="1"/>
  <x:c r="D28" i="45"/>
  <x:c r="J19" i="92" s="1"/>
  <x:c r="D29" i="45"/>
  <x:c r="I19" i="92" s="1"/>
  <x:c r="F29" i="45"/>
  <x:c r="I19" i="91" s="1"/>
  <x:c r="F31" i="45"/>
  <x:c r="K19" i="91" s="1"/>
  <x:c r="F32" i="45"/>
  <x:c r="G19" i="91" s="1"/>
  <x:c r="D33" i="45"/>
  <x:c r="L19" i="92" s="1"/>
  <x:c r="F33" i="45"/>
  <x:c r="L19" i="91" s="1"/>
  <x:c r="D34" i="45"/>
  <x:c r="M19" i="92" s="1"/>
  <x:c r="F34" i="45"/>
  <x:c r="M19" i="91" s="1"/>
  <x:c r="D22" i="45"/>
  <x:c r="A12" i="65"/>
  <x:c r="A13" i="65" s="1"/>
  <x:c r="A14" i="65" s="1"/>
  <x:c r="A15" i="65" s="1"/>
  <x:c r="A16" i="65" s="1"/>
  <x:c r="A17" i="65" s="1"/>
  <x:c r="A18" i="65" s="1"/>
  <x:c r="A19" i="65" s="1"/>
  <x:c r="A20" i="65" s="1"/>
  <x:c r="A21" i="65" s="1"/>
  <x:c r="A22" i="65" s="1"/>
  <x:c r="A23" i="65" s="1"/>
  <x:c r="A24" i="65" s="1"/>
  <x:c r="A25" i="65" s="1"/>
  <x:c r="A26" i="65" s="1"/>
  <x:c r="A27" i="65" s="1"/>
  <x:c r="A28" i="65" s="1"/>
  <x:c r="A29" i="65" s="1"/>
  <x:c r="A30" i="65" s="1"/>
  <x:c r="A31" i="65" s="1"/>
  <x:c r="A32" i="65" s="1"/>
  <x:c r="A33" i="65" s="1"/>
  <x:c r="A34" i="65" s="1"/>
  <x:c r="A35" i="65" s="1"/>
  <x:c r="A12" i="48"/>
  <x:c r="A13" i="48" s="1"/>
  <x:c r="A14" i="48" s="1"/>
  <x:c r="A15" i="48" s="1"/>
  <x:c r="A16" i="48" s="1"/>
  <x:c r="A17" i="48" s="1"/>
  <x:c r="A18" i="48" s="1"/>
  <x:c r="A19" i="48" s="1"/>
  <x:c r="A20" i="48" s="1"/>
  <x:c r="A21" i="48" s="1"/>
  <x:c r="A22" i="48" s="1"/>
  <x:c r="A23" i="48" s="1"/>
  <x:c r="A24" i="48" s="1"/>
  <x:c r="A25" i="48" s="1"/>
  <x:c r="A26" i="48" s="1"/>
  <x:c r="A27" i="48" s="1"/>
  <x:c r="A28" i="48" s="1"/>
  <x:c r="A29" i="48" s="1"/>
  <x:c r="A30" i="48" s="1"/>
  <x:c r="A31" i="48" s="1"/>
  <x:c r="A32" i="48" s="1"/>
  <x:c r="A33" i="48" s="1"/>
  <x:c r="A34" i="48" s="1"/>
  <x:c r="A35" i="48" s="1"/>
  <x:c r="A12" i="64"/>
  <x:c r="A13" i="64" s="1"/>
  <x:c r="A15" i="64" s="1"/>
  <x:c r="A12" i="50"/>
  <x:c r="A13" i="50" s="1"/>
  <x:c r="A15" i="50" s="1"/>
  <x:c r="A16" i="50" s="1"/>
  <x:c r="A17" i="50" s="1"/>
  <x:c r="A18" i="50" s="1"/>
  <x:c r="A19" i="50" s="1"/>
  <x:c r="A20" i="50" s="1"/>
  <x:c r="A21" i="50" s="1"/>
  <x:c r="A22" i="50" s="1"/>
  <x:c r="A23" i="50" s="1"/>
  <x:c r="A24" i="50" s="1"/>
  <x:c r="A25" i="50" s="1"/>
  <x:c r="A26" i="50" s="1"/>
  <x:c r="A27" i="50" s="1"/>
  <x:c r="A28" i="50" s="1"/>
  <x:c r="A29" i="50" s="1"/>
  <x:c r="A30" i="50" s="1"/>
  <x:c r="A31" i="50" s="1"/>
  <x:c r="A32" i="50" s="1"/>
  <x:c r="A33" i="50" s="1"/>
  <x:c r="A34" i="50" s="1"/>
  <x:c r="A35" i="50" s="1"/>
  <x:c r="A36" i="50" s="1"/>
  <x:c r="A37" i="50" s="1"/>
  <x:c r="A38" i="50" s="1"/>
  <x:c r="A39" i="50" s="1"/>
  <x:c r="A40" i="50" s="1"/>
  <x:c r="A41" i="50" s="1"/>
  <x:c r="A42" i="50" s="1"/>
  <x:c r="A43" i="50" s="1"/>
  <x:c r="A44" i="50" s="1"/>
  <x:c r="A45" i="50" s="1"/>
  <x:c r="A46" i="50" s="1"/>
  <x:c r="A12" i="63"/>
  <x:c r="A13" i="63" s="1"/>
  <x:c r="A14" i="63" s="1"/>
  <x:c r="A15" i="63" s="1"/>
  <x:c r="A16" i="63" s="1"/>
  <x:c r="A17" i="63" s="1"/>
  <x:c r="A18" i="63" s="1"/>
  <x:c r="A19" i="63" s="1"/>
  <x:c r="A20" i="63" s="1"/>
  <x:c r="A21" i="63" s="1"/>
  <x:c r="A22" i="63" s="1"/>
  <x:c r="A23" i="63" s="1"/>
  <x:c r="A24" i="63" s="1"/>
  <x:c r="A25" i="63" s="1"/>
  <x:c r="A26" i="63" s="1"/>
  <x:c r="A27" i="63" s="1"/>
  <x:c r="A28" i="63" s="1"/>
  <x:c r="A29" i="63" s="1"/>
  <x:c r="A30" i="63" s="1"/>
  <x:c r="A31" i="63" s="1"/>
  <x:c r="A32" i="63" s="1"/>
  <x:c r="A33" i="63" s="1"/>
  <x:c r="A34" i="63" s="1"/>
  <x:c r="A35" i="63" s="1"/>
  <x:c r="A36" i="63" s="1"/>
  <x:c r="A37" i="63" s="1"/>
  <x:c r="A38" i="63" s="1"/>
  <x:c r="A39" i="63" s="1"/>
  <x:c r="A40" i="63" s="1"/>
  <x:c r="A41" i="63" s="1"/>
  <x:c r="A42" i="63" s="1"/>
  <x:c r="A43" i="63" s="1"/>
  <x:c r="A44" i="63" s="1"/>
  <x:c r="A12" i="52"/>
  <x:c r="A13" i="52" s="1"/>
  <x:c r="A14" i="52" s="1"/>
  <x:c r="A15" i="52" s="1"/>
  <x:c r="A16" i="52" s="1"/>
  <x:c r="A17" i="52" s="1"/>
  <x:c r="A18" i="52" s="1"/>
  <x:c r="A19" i="52" s="1"/>
  <x:c r="A20" i="52" s="1"/>
  <x:c r="A21" i="52" s="1"/>
  <x:c r="A22" i="52" s="1"/>
  <x:c r="A23" i="52" s="1"/>
  <x:c r="A24" i="52" s="1"/>
  <x:c r="A25" i="52" s="1"/>
  <x:c r="A26" i="52" s="1"/>
  <x:c r="A27" i="52" s="1"/>
  <x:c r="A28" i="52" s="1"/>
  <x:c r="A29" i="52" s="1"/>
  <x:c r="A30" i="52" s="1"/>
  <x:c r="A31" i="52" s="1"/>
  <x:c r="A32" i="52" s="1"/>
  <x:c r="A33" i="52" s="1"/>
  <x:c r="A34" i="52" s="1"/>
  <x:c r="A35" i="52" s="1"/>
  <x:c r="A36" i="52" s="1"/>
  <x:c r="A37" i="52" s="1"/>
  <x:c r="A38" i="52" s="1"/>
  <x:c r="A39" i="52" s="1"/>
  <x:c r="A40" i="52" s="1"/>
  <x:c r="A41" i="52" s="1"/>
  <x:c r="A42" i="52" s="1"/>
  <x:c r="A43" i="52" s="1"/>
  <x:c r="A44" i="52" s="1"/>
  <x:c r="A11" i="74"/>
  <x:c r="A12" i="74" s="1"/>
  <x:c r="A13" i="74" s="1"/>
  <x:c r="A14" i="74" s="1"/>
  <x:c r="A15" i="74" s="1"/>
  <x:c r="A16" i="74" s="1"/>
  <x:c r="A17" i="74" s="1"/>
  <x:c r="A18" i="74" s="1"/>
  <x:c r="A19" i="74" s="1"/>
  <x:c r="A20" i="74" s="1"/>
  <x:c r="A21" i="74" s="1"/>
  <x:c r="A22" i="74" s="1"/>
  <x:c r="A23" i="74" s="1"/>
  <x:c r="A24" i="74" s="1"/>
  <x:c r="A25" i="74" s="1"/>
  <x:c r="A26" i="74" s="1"/>
  <x:c r="A27" i="74" s="1"/>
  <x:c r="A28" i="74" s="1"/>
  <x:c r="A29" i="74" s="1"/>
  <x:c r="A30" i="74" s="1"/>
  <x:c r="A31" i="74" s="1"/>
  <x:c r="B12" i="74"/>
  <x:c r="B13" i="74" s="1"/>
  <x:c r="B14" i="74" s="1"/>
  <x:c r="B15" i="74" s="1"/>
  <x:c r="B16" i="74" s="1"/>
  <x:c r="B17" i="74" s="1"/>
  <x:c r="B18" i="74" s="1"/>
  <x:c r="B19" i="74" s="1"/>
  <x:c r="B20" i="74" s="1"/>
  <x:c r="B21" i="74" s="1"/>
  <x:c r="B22" i="74" s="1"/>
  <x:c r="B23" i="74" s="1"/>
  <x:c r="B24" i="74" s="1"/>
  <x:c r="B25" i="74" s="1"/>
  <x:c r="B26" i="74" s="1"/>
  <x:c r="B27" i="74" s="1"/>
  <x:c r="B28" i="74" s="1"/>
  <x:c r="B29" i="74" s="1"/>
  <x:c r="B30" i="74" s="1"/>
  <x:c r="C12" i="74"/>
  <x:c r="D12" i="74"/>
  <x:c r="D13" i="74" s="1"/>
  <x:c r="D14" i="74" s="1"/>
  <x:c r="D15" i="74" s="1"/>
  <x:c r="D16" i="74" s="1"/>
  <x:c r="D17" i="74" s="1"/>
  <x:c r="D18" i="74" s="1"/>
  <x:c r="D19" i="74" s="1"/>
  <x:c r="D20" i="74" s="1"/>
  <x:c r="D21" i="74" s="1"/>
  <x:c r="D22" i="74" s="1"/>
  <x:c r="D23" i="74" s="1"/>
  <x:c r="D24" i="74" s="1"/>
  <x:c r="D25" i="74" s="1"/>
  <x:c r="D26" i="74" s="1"/>
  <x:c r="D27" i="74" s="1"/>
  <x:c r="D28" i="74" s="1"/>
  <x:c r="D29" i="74" s="1"/>
  <x:c r="D30" i="74" s="1"/>
  <x:c r="A12" i="37"/>
  <x:c r="A13" i="37" s="1"/>
  <x:c r="A14" i="37" s="1"/>
  <x:c r="A15" i="37" s="1"/>
  <x:c r="A16" i="37" s="1"/>
  <x:c r="A17" i="37" s="1"/>
  <x:c r="A18" i="37" s="1"/>
  <x:c r="A19" i="37" s="1"/>
  <x:c r="B14" i="37"/>
  <x:c r="B26" i="37" s="1"/>
  <x:c r="A12" i="36"/>
  <x:c r="A13" i="36" s="1"/>
  <x:c r="A14" i="36" s="1"/>
  <x:c r="A15" i="36" s="1"/>
  <x:c r="A16" i="36" s="1"/>
  <x:c r="B26" i="36"/>
  <x:c r="B25" i="36"/>
  <x:c r="B13" i="61"/>
  <x:c r="B14" i="61"/>
  <x:c r="B15" i="61"/>
  <x:c r="B16" i="61"/>
  <x:c r="B17" i="61"/>
  <x:c r="B18" i="61"/>
  <x:c r="B19" i="61"/>
  <x:c r="B20" i="61"/>
  <x:c r="B21" i="61"/>
  <x:c r="B22" i="61"/>
  <x:c r="B23" i="61"/>
  <x:c r="B24" i="61"/>
  <x:c r="C25" i="61"/>
  <x:c r="E25" i="61"/>
  <x:c r="B13" i="60"/>
  <x:c r="B14" i="60"/>
  <x:c r="B15" i="60"/>
  <x:c r="B16" i="60"/>
  <x:c r="B17" i="60"/>
  <x:c r="B18" i="60"/>
  <x:c r="B19" i="60"/>
  <x:c r="B20" i="60"/>
  <x:c r="B21" i="60"/>
  <x:c r="B22" i="60"/>
  <x:c r="B23" i="60"/>
  <x:c r="B24" i="60"/>
  <x:c r="B13" i="58"/>
  <x:c r="B14" i="58"/>
  <x:c r="B15" i="58"/>
  <x:c r="B16" i="58"/>
  <x:c r="B17" i="58"/>
  <x:c r="B18" i="58"/>
  <x:c r="B19" i="58"/>
  <x:c r="B20" i="58"/>
  <x:c r="B21" i="58"/>
  <x:c r="B22" i="58"/>
  <x:c r="B23" i="58"/>
  <x:c r="B24" i="58"/>
  <x:c r="J29" i="76"/>
  <x:c r="F31" i="69"/>
  <x:c r="F36" i="69"/>
  <x:c r="D33" i="69"/>
  <x:c r="F29" i="69"/>
  <x:c r="H22" i="69"/>
  <x:c r="F27" i="68"/>
  <x:c r="D28" i="68"/>
  <x:c r="F36" i="68"/>
  <x:c r="F35" i="68"/>
  <x:c r="D35" i="68"/>
  <x:c r="D30" i="67"/>
  <x:c r="I22" i="67"/>
  <x:c r="D33" i="67"/>
  <x:c r="D28" i="67"/>
  <x:c r="F30" i="67"/>
  <x:c r="D32" i="67"/>
  <x:c r="F32" i="67"/>
  <x:c r="F34" i="67"/>
  <x:c r="F33" i="67"/>
  <x:c r="O22" i="67"/>
  <x:c r="L22" i="67"/>
  <x:c r="P22" i="45"/>
  <x:c r="D35" i="45"/>
  <x:c r="H19" i="92" s="1"/>
  <x:c r="D36" i="69"/>
  <x:c r="L22" i="69"/>
  <x:c r="H22" i="45"/>
  <x:c r="L22" i="45"/>
  <x:c r="D22" i="68"/>
  <x:c r="D29" i="67"/>
  <x:c r="D31" i="67"/>
  <x:c r="H22" i="67"/>
  <x:c r="H28" i="92" l="1"/>
  <x:c r="H25" i="92"/>
  <x:c r="H27" i="92"/>
  <x:c r="H26" i="92"/>
  <x:c r="I25" i="92"/>
  <x:c r="I28" i="92"/>
  <x:c r="I27" i="92"/>
  <x:c r="I26" i="92"/>
  <x:c r="M27" i="91"/>
  <x:c r="M25" i="91"/>
  <x:c r="M26" i="91"/>
  <x:c r="M28" i="91"/>
  <x:c r="I28" i="91"/>
  <x:c r="I27" i="91"/>
  <x:c r="I25" i="91"/>
  <x:c r="I26" i="91"/>
  <x:c r="M26" i="92"/>
  <x:c r="M27" i="92"/>
  <x:c r="M28" i="92"/>
  <x:c r="M25" i="92"/>
  <x:c r="J27" i="92"/>
  <x:c r="J26" i="92"/>
  <x:c r="J28" i="92"/>
  <x:c r="J25" i="92"/>
  <x:c r="L28" i="91"/>
  <x:c r="L25" i="91"/>
  <x:c r="L27" i="91"/>
  <x:c r="L26" i="91"/>
  <x:c r="L27" i="92"/>
  <x:c r="L25" i="92"/>
  <x:c r="L28" i="92"/>
  <x:c r="L26" i="92"/>
  <x:c r="G26" i="91"/>
  <x:c r="G25" i="91"/>
  <x:c r="G27" i="91"/>
  <x:c r="G28" i="91"/>
  <x:c r="K26" i="91"/>
  <x:c r="K27" i="91"/>
  <x:c r="K25" i="91"/>
  <x:c r="K28" i="91"/>
  <x:c r="B16" i="37"/>
  <x:c r="B28" i="37" s="1"/>
  <x:c r="B15" i="37"/>
  <x:c r="B27" i="37" s="1"/>
  <x:c r="A17" i="36"/>
  <x:c r="A18" i="36" s="1"/>
  <x:c r="A19" i="36" s="1"/>
  <x:c r="A22" i="36" s="1"/>
  <x:c r="A23" i="36" s="1"/>
  <x:c r="A24" i="36" s="1"/>
  <x:c r="A25" i="36" s="1"/>
  <x:c r="A26" i="36" s="1"/>
  <x:c r="A27" i="36" s="1"/>
  <x:c r="A28" i="36" s="1"/>
  <x:c r="E35" i="81"/>
  <x:c r="J35" i="81"/>
  <x:c r="M35" i="81"/>
  <x:c r="J35" i="80"/>
  <x:c r="H35" i="48"/>
  <x:c r="A47" i="50"/>
  <x:c r="B25" i="37"/>
  <x:c r="L19" i="36"/>
  <x:c r="G19" i="36"/>
  <x:c r="M19" i="37"/>
  <x:c r="I19" i="36"/>
  <x:c r="K19" i="36"/>
  <x:c r="L19" i="37"/>
  <x:c r="I19" i="37"/>
  <x:c r="J19" i="37"/>
  <x:c r="D36" i="45"/>
  <x:c r="E19" i="92" s="1"/>
  <x:c r="E22" i="45"/>
  <x:c r="M35" i="65"/>
  <x:c r="F35" i="67"/>
  <x:c r="G22" i="69"/>
  <x:c r="K35" i="81"/>
  <x:c r="D29" i="68"/>
  <x:c r="D32" i="69"/>
  <x:c r="F34" i="68"/>
  <x:c r="F22" i="68"/>
  <x:c r="N22" i="67"/>
  <x:c r="E35" i="80"/>
  <x:c r="B16" i="36"/>
  <x:c r="B28" i="36" s="1"/>
  <x:c r="D36" i="67"/>
  <x:c r="D35" i="67"/>
  <x:c r="D34" i="68"/>
  <x:c r="F32" i="68"/>
  <x:c r="F31" i="68"/>
  <x:c r="F32" i="69"/>
  <x:c r="H35" i="80"/>
  <x:c r="F30" i="45"/>
  <x:c r="D19" i="91" s="1"/>
  <x:c r="N22" i="68"/>
  <x:c r="D36" i="68"/>
  <x:c r="D27" i="69"/>
  <x:c r="F22" i="69"/>
  <x:c r="F34" i="69"/>
  <x:c r="J22" i="69"/>
  <x:c r="M19" i="36"/>
  <x:c r="J22" i="67"/>
  <x:c r="D32" i="45"/>
  <x:c r="G19" i="92" s="1"/>
  <x:c r="F29" i="67"/>
  <x:c r="M35" i="48"/>
  <x:c r="D35" i="69"/>
  <x:c r="F35" i="81"/>
  <x:c r="K35" i="48"/>
  <x:c r="H35" i="65"/>
  <x:c r="F22" i="67"/>
  <x:c r="N22" i="69"/>
  <x:c r="M35" i="80"/>
  <x:c r="N22" i="45"/>
  <x:c r="K22" i="45"/>
  <x:c r="J35" i="48"/>
  <x:c r="I22" i="68"/>
  <x:c r="D31" i="68"/>
  <x:c r="F30" i="69"/>
  <x:c r="H19" i="37"/>
  <x:c r="C13" i="74"/>
  <x:c r="D27" i="45"/>
  <x:c r="F19" i="92" s="1"/>
  <x:c r="F22" i="45"/>
  <x:c r="O22" i="45"/>
  <x:c r="M22" i="68"/>
  <x:c r="P22" i="69"/>
  <x:c r="D31" i="45"/>
  <x:c r="K19" i="92" s="1"/>
  <x:c r="P22" i="68"/>
  <x:c r="F36" i="67"/>
  <x:c r="E22" i="67"/>
  <x:c r="F27" i="67"/>
  <x:c r="L22" i="68"/>
  <x:c r="D33" i="68"/>
  <x:c r="O22" i="69"/>
  <x:c r="D30" i="45"/>
  <x:c r="D19" i="92" s="1"/>
  <x:c r="J22" i="45"/>
  <x:c r="M22" i="45"/>
  <x:c r="F29" i="68"/>
  <x:c r="F33" i="69"/>
  <x:c r="E22" i="69"/>
  <x:c r="D28" i="69"/>
  <x:c r="K22" i="67"/>
  <x:c r="P22" i="67"/>
  <x:c r="J22" i="68"/>
  <x:c r="F28" i="45"/>
  <x:c r="J19" i="91" s="1"/>
  <x:c r="M22" i="69"/>
  <x:c r="F36" i="45"/>
  <x:c r="E19" i="91" s="1"/>
  <x:c r="M22" i="67"/>
  <x:c r="H22" i="68"/>
  <x:c r="D30" i="68"/>
  <x:c r="K22" i="69"/>
  <x:c r="F27" i="45"/>
  <x:c r="F19" i="91" s="1"/>
  <x:c r="I22" i="45"/>
  <x:c r="J35" i="65"/>
  <x:c r="G22" i="68"/>
  <x:c r="D27" i="67"/>
  <x:c r="D22" i="67"/>
  <x:c r="F35" i="45"/>
  <x:c r="H19" i="91" s="1"/>
  <x:c r="G22" i="45"/>
  <x:c r="O22" i="68"/>
  <x:c r="E22" i="68"/>
  <x:c r="F27" i="69"/>
  <x:c r="A22" i="37" l="1"/>
  <x:c r="A23" i="37" s="1"/>
  <x:c r="A24" i="37" s="1"/>
  <x:c r="I26" i="36"/>
  <x:c r="I27" i="36"/>
  <x:c r="M25" i="37"/>
  <x:c r="M26" i="37"/>
  <x:c r="M28" i="37"/>
  <x:c r="M27" i="37"/>
  <x:c r="K25" i="36"/>
  <x:c r="K27" i="36"/>
  <x:c r="H27" i="91"/>
  <x:c r="H26" i="91"/>
  <x:c r="H25" i="91"/>
  <x:c r="H28" i="91"/>
  <x:c r="G26" i="36"/>
  <x:c r="G27" i="36"/>
  <x:c r="D26" i="92"/>
  <x:c r="D27" i="92"/>
  <x:c r="D25" i="92"/>
  <x:c r="D28" i="92"/>
  <x:c r="L25" i="36"/>
  <x:c r="L28" i="36"/>
  <x:c r="L27" i="36"/>
  <x:c r="G27" i="92"/>
  <x:c r="G28" i="92"/>
  <x:c r="G26" i="92"/>
  <x:c r="G25" i="92"/>
  <x:c r="H27" i="37"/>
  <x:c r="H26" i="37"/>
  <x:c r="H25" i="37"/>
  <x:c r="H28" i="37"/>
  <x:c r="E28" i="91"/>
  <x:c r="E26" i="91"/>
  <x:c r="E25" i="91"/>
  <x:c r="E27" i="91"/>
  <x:c r="J25" i="91"/>
  <x:c r="J27" i="91"/>
  <x:c r="J26" i="91"/>
  <x:c r="J28" i="91"/>
  <x:c r="E25" i="92"/>
  <x:c r="E28" i="92"/>
  <x:c r="E26" i="92"/>
  <x:c r="E27" i="92"/>
  <x:c r="F26" i="92"/>
  <x:c r="F28" i="92"/>
  <x:c r="F27" i="92"/>
  <x:c r="F25" i="92"/>
  <x:c r="J26" i="37"/>
  <x:c r="J27" i="37"/>
  <x:c r="J25" i="37"/>
  <x:c r="J28" i="37"/>
  <x:c r="F25" i="91"/>
  <x:c r="F28" i="91"/>
  <x:c r="F26" i="91"/>
  <x:c r="F27" i="91"/>
  <x:c r="I25" i="37"/>
  <x:c r="I27" i="37"/>
  <x:c r="I28" i="37"/>
  <x:c r="I26" i="37"/>
  <x:c r="D27" i="91"/>
  <x:c r="D25" i="91"/>
  <x:c r="D26" i="91"/>
  <x:c r="D28" i="91"/>
  <x:c r="L28" i="37"/>
  <x:c r="L26" i="37"/>
  <x:c r="L27" i="37"/>
  <x:c r="L25" i="37"/>
  <x:c r="M26" i="36"/>
  <x:c r="M27" i="36"/>
  <x:c r="K28" i="92"/>
  <x:c r="K27" i="92"/>
  <x:c r="K25" i="92"/>
  <x:c r="K26" i="92"/>
  <x:c r="D37" i="68"/>
  <x:c r="F37" i="67"/>
  <x:c r="M28" i="36"/>
  <x:c r="E19" i="37"/>
  <x:c r="D37" i="45"/>
  <x:c r="G28" i="36"/>
  <x:c r="M25" i="36"/>
  <x:c r="I25" i="36"/>
  <x:c r="G25" i="36"/>
  <x:c r="G19" i="37"/>
  <x:c r="D19" i="36"/>
  <x:c r="I28" i="36"/>
  <x:c r="L26" i="36"/>
  <x:c r="F37" i="69"/>
  <x:c r="D37" i="67"/>
  <x:c r="D37" i="69"/>
  <x:c r="K26" i="36"/>
  <x:c r="K28" i="36"/>
  <x:c r="J19" i="36"/>
  <x:c r="J27" i="36" s="1"/>
  <x:c r="F37" i="45"/>
  <x:c r="H19" i="36"/>
  <x:c r="H27" i="36" s="1"/>
  <x:c r="F19" i="36"/>
  <x:c r="F27" i="36" s="1"/>
  <x:c r="K19" i="37"/>
  <x:c r="F37" i="68"/>
  <x:c r="E19" i="36"/>
  <x:c r="E27" i="36" s="1"/>
  <x:c r="D19" i="37"/>
  <x:c r="C14" i="74"/>
  <x:c r="F19" i="37"/>
  <x:c r="D28" i="37" l="1"/>
  <x:c r="D27" i="37"/>
  <x:c r="D26" i="37"/>
  <x:c r="D25" i="37"/>
  <x:c r="G26" i="106"/>
  <x:c r="G24" i="106"/>
  <x:c r="G23" i="106"/>
  <x:c r="G25" i="106"/>
  <x:c r="G17" i="106"/>
  <x:c r="G15" i="106"/>
  <x:c r="G16" i="106"/>
  <x:c r="N28" i="91"/>
  <x:c r="N28" i="92"/>
  <x:c r="N26" i="91"/>
  <x:c r="N25" i="92"/>
  <x:c r="N25" i="91"/>
  <x:c r="N27" i="92"/>
  <x:c r="F26" i="37"/>
  <x:c r="F27" i="37"/>
  <x:c r="F28" i="37"/>
  <x:c r="F25" i="37"/>
  <x:c r="K26" i="37"/>
  <x:c r="K25" i="37"/>
  <x:c r="K27" i="37"/>
  <x:c r="K28" i="37"/>
  <x:c r="N27" i="91"/>
  <x:c r="N26" i="92"/>
  <x:c r="E28" i="37"/>
  <x:c r="E26" i="37"/>
  <x:c r="E25" i="37"/>
  <x:c r="E27" i="37"/>
  <x:c r="D25" i="36"/>
  <x:c r="D26" i="36"/>
  <x:c r="D27" i="36"/>
  <x:c r="N27" i="36" s="1"/>
  <x:c r="D28" i="36"/>
  <x:c r="G26" i="37"/>
  <x:c r="G28" i="37"/>
  <x:c r="G27" i="37"/>
  <x:c r="G25" i="37"/>
  <x:c r="F26" i="36"/>
  <x:c r="F25" i="36"/>
  <x:c r="F28" i="36"/>
  <x:c r="J25" i="36"/>
  <x:c r="J26" i="36"/>
  <x:c r="J28" i="36"/>
  <x:c r="C15" i="74"/>
  <x:c r="E26" i="36"/>
  <x:c r="E25" i="36"/>
  <x:c r="E28" i="36"/>
  <x:c r="H25" i="36"/>
  <x:c r="H28" i="36"/>
  <x:c r="H26" i="36"/>
  <x:c r="G27" i="106" l="1"/>
  <x:c r="G18" i="106"/>
  <x:c r="N28" i="37"/>
  <x:c r="N27" i="37"/>
  <x:c r="N26" i="37"/>
  <x:c r="N25" i="37"/>
  <x:c r="C16" i="74"/>
  <x:c r="N28" i="36"/>
  <x:c r="N25" i="36"/>
  <x:c r="N26" i="36"/>
  <x:c r="C17" i="74" l="1"/>
  <x:c r="C18" i="74" l="1"/>
  <x:c r="C19" i="74" l="1"/>
  <x:c r="C20" i="74" l="1"/>
  <x:c r="C21" i="74" l="1"/>
  <x:c r="C22" i="74" l="1"/>
  <x:c r="C23" i="74" l="1"/>
  <x:c r="C24" i="74" l="1"/>
  <x:c r="C25" i="74" l="1"/>
  <x:c r="C26" i="74" l="1"/>
  <x:c r="C27" i="74" l="1"/>
  <x:c r="C28" i="74" l="1"/>
  <x:c r="C29" i="74" l="1"/>
  <x:c r="C30" i="74" l="1"/>
  <x:c r="K31" i="74" l="1"/>
  <x:c r="H31" i="74"/>
  <x:c r="G31" i="74"/>
  <x:c r="J31" i="74"/>
  <x:c r="F31" i="74"/>
  <x:c r="L31" i="74"/>
  <x:c r="I31" i="74"/>
  <x:c r="F25" i="61" l="1"/>
  <x:c r="D25" i="87"/>
  <x:c r="F25" i="87" l="1"/>
  <x:c r="E25" i="1"/>
  <x:c r="F25" i="1"/>
  <x:c r="E25" i="58" l="1"/>
  <x:c r="F25" i="60"/>
  <x:c r="F25" i="58"/>
  <x:c r="E25" i="60" l="1"/>
  <x:c r="D25" i="1" l="1"/>
  <x:c r="D25" i="61" l="1"/>
  <x:c r="D25" i="60"/>
  <x:c r="D25" i="58"/>
  <x:c r="C25" i="58" l="1"/>
  <x:c r="C25" i="60"/>
  <x:c r="C25" i="1"/>
</x:calcChain>
</file>

<file path=xl/sharedStrings.xml><?xml version="1.0" encoding="utf-8"?>
<sst xmlns="http://schemas.openxmlformats.org/spreadsheetml/2006/main" count="853" uniqueCount="173">
  <si>
    <t>CDD</t>
  </si>
  <si>
    <t>HDD</t>
  </si>
  <si>
    <t>Actual</t>
  </si>
  <si>
    <t>Normal</t>
  </si>
  <si>
    <t>Annual</t>
  </si>
  <si>
    <t>SYSTEM WEIGHTED BILLING CYCLE ADJUSTED</t>
  </si>
  <si>
    <t>Line</t>
  </si>
  <si>
    <t>ADJUSTED WEATHER STATION DATA</t>
  </si>
  <si>
    <t>No.</t>
  </si>
  <si>
    <t>(a)</t>
  </si>
  <si>
    <t>(b)</t>
  </si>
  <si>
    <t>(d)</t>
  </si>
  <si>
    <t>(c)</t>
  </si>
  <si>
    <t>Date</t>
  </si>
  <si>
    <t>Base65</t>
  </si>
  <si>
    <t>a1</t>
  </si>
  <si>
    <t>Base70</t>
  </si>
  <si>
    <t>a2</t>
  </si>
  <si>
    <t>Base75</t>
  </si>
  <si>
    <t>a3</t>
  </si>
  <si>
    <t>Weather Weights (b)</t>
  </si>
  <si>
    <t>b</t>
  </si>
  <si>
    <t>c1 = a1*b</t>
  </si>
  <si>
    <t>c2 = a2*b</t>
  </si>
  <si>
    <t>c3 = a3*b</t>
  </si>
  <si>
    <t>Billing</t>
  </si>
  <si>
    <t>Read</t>
  </si>
  <si>
    <t>Cycle</t>
  </si>
  <si>
    <t>Start</t>
  </si>
  <si>
    <t>c1</t>
  </si>
  <si>
    <t>c2</t>
  </si>
  <si>
    <t>c3</t>
  </si>
  <si>
    <t>Residential Cooling</t>
  </si>
  <si>
    <t>Dallas-Fort Worth</t>
  </si>
  <si>
    <t>Midland-Odessa</t>
  </si>
  <si>
    <t>Lufkin</t>
  </si>
  <si>
    <t>Abilene</t>
  </si>
  <si>
    <t>Sherman-Dennison</t>
  </si>
  <si>
    <t>Killeen-Temple</t>
  </si>
  <si>
    <t>Waco</t>
  </si>
  <si>
    <t>Wichita Falls.</t>
  </si>
  <si>
    <t>Longview</t>
  </si>
  <si>
    <t>Austin</t>
  </si>
  <si>
    <t xml:space="preserve">Weather Weights by Station (b) </t>
  </si>
  <si>
    <t>Base55</t>
  </si>
  <si>
    <t>Base60</t>
  </si>
  <si>
    <t>Heating Degree Days by Station (a)</t>
  </si>
  <si>
    <t xml:space="preserve">PUC DOCKET NO. </t>
  </si>
  <si>
    <t>Residential Heating</t>
  </si>
  <si>
    <t>Base</t>
  </si>
  <si>
    <t>Coefficient</t>
  </si>
  <si>
    <t>Total</t>
  </si>
  <si>
    <t>Weight</t>
  </si>
  <si>
    <t>(e)</t>
  </si>
  <si>
    <t>(f)</t>
  </si>
  <si>
    <t>SPLINE WEIGHTS BY CLASS</t>
  </si>
  <si>
    <t>Nov to Mar</t>
  </si>
  <si>
    <t>May to Sep</t>
  </si>
  <si>
    <t>Winter</t>
  </si>
  <si>
    <t>Summer</t>
  </si>
  <si>
    <t>(g)</t>
  </si>
  <si>
    <t>(h)</t>
  </si>
  <si>
    <t>(i)</t>
  </si>
  <si>
    <t>(j)</t>
  </si>
  <si>
    <t>(k)</t>
  </si>
  <si>
    <t>(l)</t>
  </si>
  <si>
    <t>(m)</t>
  </si>
  <si>
    <t>(n)</t>
  </si>
  <si>
    <t>Weather Station</t>
  </si>
  <si>
    <t>SECONDARY SERVICE LESS THAN OR EQUAL TO 10 KW</t>
  </si>
  <si>
    <t>ONCOR ELECTRIC DELIVERY COMPANY LLC</t>
  </si>
  <si>
    <t>RESIDENTIAL</t>
  </si>
  <si>
    <t>SECONDARY SERVICE GREATER THAN 10 KW</t>
  </si>
  <si>
    <t>PRIMARY SERVICE GREATER THAN 10 KW</t>
  </si>
  <si>
    <t>Spline Weight</t>
  </si>
  <si>
    <t>Actual Contribution</t>
  </si>
  <si>
    <t>Normal Contribution</t>
  </si>
  <si>
    <t>Normal Heating Degree Days</t>
  </si>
  <si>
    <t>Base 60</t>
  </si>
  <si>
    <t>Actual Heating Degree Days</t>
  </si>
  <si>
    <t>Normal Cooling Degree Days</t>
  </si>
  <si>
    <t>Base 65</t>
  </si>
  <si>
    <t>Base 70</t>
  </si>
  <si>
    <t>Base 75</t>
  </si>
  <si>
    <t>Actual Cooling Degree Days</t>
  </si>
  <si>
    <t>Day</t>
  </si>
  <si>
    <t>Line              No.</t>
  </si>
  <si>
    <t>Year</t>
  </si>
  <si>
    <t>Month</t>
  </si>
  <si>
    <t>HDD60</t>
  </si>
  <si>
    <t>CDD65</t>
  </si>
  <si>
    <t>CDD70</t>
  </si>
  <si>
    <t>CDD75</t>
  </si>
  <si>
    <t>SPONSOR: D. E. NELSON</t>
  </si>
  <si>
    <t>Prior Month</t>
  </si>
  <si>
    <t>Read Day</t>
  </si>
  <si>
    <t>Billed Month Degree Days</t>
  </si>
  <si>
    <t>SEASONAL WEIGHTS</t>
  </si>
  <si>
    <t>WEATHER WEIGHTS</t>
  </si>
  <si>
    <t xml:space="preserve">Cooling Degree Days by Station (a)  </t>
  </si>
  <si>
    <t>Residential Class</t>
  </si>
  <si>
    <t xml:space="preserve">Residential Cooling Degree Days Contribution by Station (c = a*b) </t>
  </si>
  <si>
    <t xml:space="preserve">Residential Heating Degree Days Contribution by Station (c = a*b) </t>
  </si>
  <si>
    <t>RESIDENTIAL SPLINE WEIGHTING</t>
  </si>
  <si>
    <t>RESIDENTIAL MONTHLY WEIGHTS</t>
  </si>
  <si>
    <t>SECONDARY SERVICE LESS THAN OR EQUAL TO 10 KW MONTHLY WEIGHTS</t>
  </si>
  <si>
    <t>SECONDARY SERVICE GREATER THAN 10 KW MONTHLY WEIGHTS</t>
  </si>
  <si>
    <t>Temperature Base</t>
  </si>
  <si>
    <t>a4</t>
  </si>
  <si>
    <t>c4 = a4*b</t>
  </si>
  <si>
    <t>Base50</t>
  </si>
  <si>
    <t>Residential Raw Normal Cooling Degree Days</t>
  </si>
  <si>
    <t>c4</t>
  </si>
  <si>
    <t>Residential Smoothed Normal cooling Degree Days</t>
  </si>
  <si>
    <t>Residential Heating Degree Days</t>
  </si>
  <si>
    <t>Residential Cooling Degree Days</t>
  </si>
  <si>
    <t>PRIMARY SERVICE GREATER THAN 10 KW DISTRIBUTION MONTHLY WEIGHTS</t>
  </si>
  <si>
    <t>Secondary Service Less Than or Equal to 10 kW Heating</t>
  </si>
  <si>
    <t>Secondary Service Less Than or Equal to 10 kW Cooling</t>
  </si>
  <si>
    <t>Secondary Service Greater Than 10 kW Cooling</t>
  </si>
  <si>
    <t>Secondary Service Greater Than 10 kW Heating</t>
  </si>
  <si>
    <t>Primary Service Greater Than 10 kW Distribution Heating</t>
  </si>
  <si>
    <t>Primary Service Greater Than 10 kW Distribution Cooling</t>
  </si>
  <si>
    <t>Substation Heating</t>
  </si>
  <si>
    <t>Substation Cooling</t>
  </si>
  <si>
    <t>HDD55</t>
  </si>
  <si>
    <t>Base 55</t>
  </si>
  <si>
    <t>SUBSTATION</t>
  </si>
  <si>
    <t>SUBSTATION MONTHLY WEIGHTS</t>
  </si>
  <si>
    <t>Base80</t>
  </si>
  <si>
    <t>c2 = a3*b</t>
  </si>
  <si>
    <t>Base45</t>
  </si>
  <si>
    <t>c3 = a4*b</t>
  </si>
  <si>
    <t>HDD45</t>
  </si>
  <si>
    <t>HDD65</t>
  </si>
  <si>
    <t>RESIDENTIAL SIMPLE TWENTY YEAR AVERAGE CALCULATION FOR JANUARY 21ST</t>
  </si>
  <si>
    <t>1/21</t>
  </si>
  <si>
    <t>RESIDENTIAL SIMPLE TWENTY YEAR AVERAGE CALCULATION FOR JULY 20TH</t>
  </si>
  <si>
    <t>CDD80</t>
  </si>
  <si>
    <t>7/20</t>
  </si>
  <si>
    <t>RESIDENTIAL SIMPLE TWENTY YEAR AVERAGE CALCULATION FOR JULY 14TH</t>
  </si>
  <si>
    <t>7/14</t>
  </si>
  <si>
    <t>RESIDENTIAL SMOOTHED NORMAL CALCULATION FOR JULY 14TH</t>
  </si>
  <si>
    <t>RESIDENTIAL SMOOTHED NORMAL CALCULATION FOR JULY 20TH</t>
  </si>
  <si>
    <t>Base61</t>
  </si>
  <si>
    <t>c5</t>
  </si>
  <si>
    <t>RESIDENTIAL SMOOTHED NORMAL CALCULATION FOR JANUARY 20TH</t>
  </si>
  <si>
    <t>RESIDENTIAL SMOOTHED NORMAL CALCULATION FOR JANUARY 21ST</t>
  </si>
  <si>
    <t>Base 45</t>
  </si>
  <si>
    <t>Base 80</t>
  </si>
  <si>
    <t>RESIDENTIAL SIMPLE TWENTY YEAR AVERAGE CALCULATION FOR JANUARY 14TH</t>
  </si>
  <si>
    <t>1/14</t>
  </si>
  <si>
    <t>FOR THE TEST YEAR ENDING DECEMBER 31, 2024</t>
  </si>
  <si>
    <t>RESIDENTIAL CLASS WEIGHTING FOR DAILY HEATING DEGREE DAYS FOR JANUARY 21, 2023</t>
  </si>
  <si>
    <t>RESIDENTIAL CLASS WEIGHTING FOR DAILY COOLING DEGREE DAYS FOR JULY 20, 2023</t>
  </si>
  <si>
    <t>RESIDENTIAL CLASS WEIGHTING FOR DAILY HEATING DEGREE DAYS FOR JANUARY 14, 2024</t>
  </si>
  <si>
    <t>RESIDENTIAL CLASS WEIGHTING FOR DAILY COOLING DEGREE DAYS FOR JULY 14, 2024</t>
  </si>
  <si>
    <t>RESIDENTIAL FEBRUARY 2023 CYCLE 20 HEATING DEGREE DAYS</t>
  </si>
  <si>
    <t>RESIDENTIAL AUGUST 2023 CYCLE 18 COOLING DEGREE DAYS</t>
  </si>
  <si>
    <t>RESIDENTIAL FEBRUARY 2024 CYCLE 14 HEATING DEGREE DAYS</t>
  </si>
  <si>
    <t>RESIDENTIAL AUGUST 2024 CYCLE 13 COOLING DEGREE DAYS</t>
  </si>
  <si>
    <t>RESIDENTIAL FEBRUARY 2023 BILLING MONTH HEATINGING DEGREE DAYS</t>
  </si>
  <si>
    <t>RESIDENTIAL AUGUST 2023 BILLING MONTH COOLING DEGREE DAYS</t>
  </si>
  <si>
    <t>RESIDENTIAL FEBRUARY 2024 BILLING MONTH HEATINGING DEGREE DAYS</t>
  </si>
  <si>
    <t>RESIDENTIAL AUGUST 2024 BILLING MONTH COOLING DEGREE DAYS</t>
  </si>
  <si>
    <t>Residential August 2023 Cooling Degree Days</t>
  </si>
  <si>
    <t>Residential February 2023 Heating Degree Days</t>
  </si>
  <si>
    <t>Residential February 2024 Heating Degree Days</t>
  </si>
  <si>
    <t>Residential August 2024 Cooling Degree Days</t>
  </si>
  <si>
    <t>Cycle 20</t>
  </si>
  <si>
    <t>Cycle 18</t>
  </si>
  <si>
    <t>Cycle 14</t>
  </si>
  <si>
    <t>Cycle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</si>
</sst>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mmmm\-yy"/>
    <numFmt numFmtId="166" formatCode="0.000"/>
    <numFmt numFmtId="167" formatCode="0.0"/>
    <numFmt numFmtId="168" formatCode="mmm"/>
    <numFmt numFmtId="169" formatCode="0.0000"/>
    <numFmt numFmtId="170" formatCode="#,##0.00;\-#,##0.00"/>
    <numFmt numFmtId="171" formatCode="0.000%"/>
    <numFmt numFmtId="172" formatCode="#,##0.0;\-#,##0.0"/>
    <numFmt numFmtId="173" formatCode="0.000000"/>
    <numFmt numFmtId="174" formatCode="0.00000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8"/>
      <name val="Helvetica"/>
      <family val="2"/>
    </font>
    <font>
      <b/>
      <u/>
      <sz val="8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12" fillId="0" borderId="0"/>
    <xf numFmtId="0" fontId="9" fillId="0" borderId="0"/>
    <xf numFmtId="9" fontId="1" fillId="0" borderId="0" applyFont="0" applyFill="0" applyBorder="0" applyAlignment="0" applyProtection="0"/>
    <xf numFmtId="13" fontId="1" fillId="0" borderId="0" applyFont="0" applyFill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243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3" borderId="0" xfId="0" applyFill="1" applyAlignment="1">
      <alignment horizontal="center"/>
    </xf>
    <xf numFmtId="10" fontId="2" fillId="3" borderId="0" xfId="4" applyNumberFormat="1" applyFont="1" applyFill="1"/>
    <xf numFmtId="0" fontId="0" fillId="3" borderId="0" xfId="0" applyFill="1"/>
    <xf numFmtId="0" fontId="6" fillId="0" borderId="0" xfId="0" applyFont="1"/>
    <xf numFmtId="0" fontId="2" fillId="3" borderId="1" xfId="0" applyFont="1" applyFill="1" applyBorder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7" fillId="3" borderId="4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vertical="center"/>
    </xf>
    <xf numFmtId="14" fontId="2" fillId="3" borderId="0" xfId="0" applyNumberFormat="1" applyFont="1" applyFill="1" applyBorder="1" applyAlignment="1">
      <alignment horizontal="center" vertical="center"/>
    </xf>
    <xf numFmtId="167" fontId="2" fillId="3" borderId="0" xfId="0" applyNumberFormat="1" applyFont="1" applyFill="1" applyBorder="1" applyAlignment="1">
      <alignment vertical="center"/>
    </xf>
    <xf numFmtId="0" fontId="0" fillId="3" borderId="0" xfId="0" applyFill="1" applyAlignment="1">
      <alignment horizontal="right"/>
    </xf>
    <xf numFmtId="14" fontId="2" fillId="3" borderId="4" xfId="0" applyNumberFormat="1" applyFont="1" applyFill="1" applyBorder="1" applyAlignment="1">
      <alignment vertical="center"/>
    </xf>
    <xf numFmtId="14" fontId="2" fillId="3" borderId="5" xfId="0" applyNumberFormat="1" applyFont="1" applyFill="1" applyBorder="1" applyAlignment="1">
      <alignment horizontal="center" vertical="center"/>
    </xf>
    <xf numFmtId="167" fontId="2" fillId="3" borderId="5" xfId="0" applyNumberFormat="1" applyFont="1" applyFill="1" applyBorder="1" applyAlignment="1">
      <alignment vertical="center"/>
    </xf>
    <xf numFmtId="0" fontId="0" fillId="3" borderId="4" xfId="0" applyFill="1" applyBorder="1"/>
    <xf numFmtId="0" fontId="2" fillId="3" borderId="5" xfId="0" applyFont="1" applyFill="1" applyBorder="1" applyAlignment="1">
      <alignment horizontal="center"/>
    </xf>
    <xf numFmtId="10" fontId="2" fillId="3" borderId="5" xfId="4" applyNumberFormat="1" applyFont="1" applyFill="1" applyBorder="1" applyAlignment="1">
      <alignment horizontal="right"/>
    </xf>
    <xf numFmtId="10" fontId="2" fillId="3" borderId="7" xfId="4" applyNumberFormat="1" applyFont="1" applyFill="1" applyBorder="1" applyAlignment="1">
      <alignment horizontal="right"/>
    </xf>
    <xf numFmtId="0" fontId="0" fillId="3" borderId="6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8" fillId="3" borderId="8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4" fontId="2" fillId="3" borderId="0" xfId="0" applyNumberFormat="1" applyFont="1" applyFill="1" applyBorder="1" applyAlignment="1">
      <alignment vertical="center"/>
    </xf>
    <xf numFmtId="165" fontId="8" fillId="3" borderId="0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/>
    </xf>
    <xf numFmtId="14" fontId="2" fillId="3" borderId="0" xfId="0" applyNumberFormat="1" applyFont="1" applyFill="1"/>
    <xf numFmtId="167" fontId="2" fillId="3" borderId="0" xfId="0" applyNumberFormat="1" applyFont="1" applyFill="1" applyAlignment="1">
      <alignment horizontal="center"/>
    </xf>
    <xf numFmtId="0" fontId="2" fillId="3" borderId="0" xfId="0" applyFont="1" applyFill="1" applyBorder="1"/>
    <xf numFmtId="165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67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Border="1" applyAlignment="1">
      <alignment horizontal="center"/>
    </xf>
    <xf numFmtId="0" fontId="8" fillId="3" borderId="5" xfId="0" applyFont="1" applyFill="1" applyBorder="1" applyAlignment="1">
      <alignment wrapText="1"/>
    </xf>
    <xf numFmtId="0" fontId="8" fillId="3" borderId="5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0" fontId="0" fillId="0" borderId="0" xfId="0" applyAlignment="1"/>
    <xf numFmtId="164" fontId="0" fillId="0" borderId="0" xfId="3" applyNumberFormat="1" applyFont="1"/>
    <xf numFmtId="164" fontId="0" fillId="0" borderId="10" xfId="3" applyNumberFormat="1" applyFont="1" applyBorder="1"/>
    <xf numFmtId="0" fontId="0" fillId="0" borderId="0" xfId="0" applyAlignment="1">
      <alignment horizontal="right"/>
    </xf>
    <xf numFmtId="0" fontId="9" fillId="0" borderId="0" xfId="0" applyFont="1" applyProtection="1">
      <protection locked="0"/>
    </xf>
    <xf numFmtId="0" fontId="10" fillId="0" borderId="0" xfId="2" applyFont="1" applyBorder="1" applyAlignment="1" applyProtection="1">
      <alignment horizontal="right"/>
      <protection locked="0"/>
    </xf>
    <xf numFmtId="168" fontId="10" fillId="0" borderId="11" xfId="2" applyNumberFormat="1" applyFont="1" applyBorder="1" applyAlignment="1" applyProtection="1">
      <alignment horizontal="right" vertical="center" wrapText="1"/>
      <protection locked="0"/>
    </xf>
    <xf numFmtId="168" fontId="10" fillId="0" borderId="9" xfId="2" applyNumberFormat="1" applyFont="1" applyBorder="1" applyAlignment="1" applyProtection="1">
      <alignment horizontal="right" vertical="center" wrapText="1"/>
      <protection locked="0"/>
    </xf>
    <xf numFmtId="0" fontId="10" fillId="0" borderId="12" xfId="2" applyFont="1" applyBorder="1" applyAlignment="1" applyProtection="1">
      <alignment horizontal="right" vertical="center" wrapText="1"/>
      <protection locked="0"/>
    </xf>
    <xf numFmtId="0" fontId="9" fillId="0" borderId="0" xfId="0" applyFont="1" applyAlignment="1" applyProtection="1">
      <alignment horizontal="right"/>
      <protection locked="0"/>
    </xf>
    <xf numFmtId="0" fontId="10" fillId="0" borderId="0" xfId="2" applyFont="1" applyFill="1" applyBorder="1" applyAlignment="1" applyProtection="1">
      <alignment horizontal="center"/>
      <protection locked="0"/>
    </xf>
    <xf numFmtId="164" fontId="10" fillId="0" borderId="0" xfId="2" applyNumberFormat="1" applyFont="1" applyFill="1" applyProtection="1">
      <protection locked="0"/>
    </xf>
    <xf numFmtId="164" fontId="10" fillId="0" borderId="5" xfId="2" applyNumberFormat="1" applyFont="1" applyFill="1" applyBorder="1" applyProtection="1">
      <protection locked="0"/>
    </xf>
    <xf numFmtId="164" fontId="10" fillId="0" borderId="0" xfId="5" applyNumberFormat="1" applyFont="1" applyFill="1" applyBorder="1" applyAlignment="1" applyProtection="1">
      <alignment horizontal="right"/>
      <protection locked="0"/>
    </xf>
    <xf numFmtId="164" fontId="9" fillId="0" borderId="0" xfId="0" applyNumberFormat="1" applyFont="1" applyProtection="1">
      <protection locked="0"/>
    </xf>
    <xf numFmtId="0" fontId="9" fillId="0" borderId="0" xfId="0" applyFont="1" applyAlignme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168" fontId="10" fillId="0" borderId="13" xfId="2" applyNumberFormat="1" applyFont="1" applyBorder="1" applyAlignment="1" applyProtection="1">
      <alignment horizontal="right" vertical="center" wrapText="1"/>
      <protection locked="0"/>
    </xf>
    <xf numFmtId="3" fontId="7" fillId="3" borderId="5" xfId="0" applyNumberFormat="1" applyFont="1" applyFill="1" applyBorder="1" applyAlignment="1">
      <alignment horizontal="center" vertical="center"/>
    </xf>
    <xf numFmtId="164" fontId="2" fillId="3" borderId="2" xfId="4" applyNumberFormat="1" applyFont="1" applyFill="1" applyBorder="1" applyAlignment="1">
      <alignment horizontal="right"/>
    </xf>
    <xf numFmtId="164" fontId="2" fillId="3" borderId="0" xfId="4" applyNumberFormat="1" applyFont="1" applyFill="1" applyBorder="1" applyAlignment="1">
      <alignment horizontal="right"/>
    </xf>
    <xf numFmtId="2" fontId="0" fillId="3" borderId="0" xfId="0" applyNumberFormat="1" applyFill="1"/>
    <xf numFmtId="2" fontId="2" fillId="3" borderId="7" xfId="0" applyNumberFormat="1" applyFont="1" applyFill="1" applyBorder="1" applyAlignment="1">
      <alignment vertical="center"/>
    </xf>
    <xf numFmtId="166" fontId="0" fillId="3" borderId="0" xfId="0" applyNumberFormat="1" applyFill="1"/>
    <xf numFmtId="17" fontId="4" fillId="3" borderId="0" xfId="0" applyNumberFormat="1" applyFont="1" applyFill="1" applyAlignment="1">
      <alignment horizontal="left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vertical="center"/>
    </xf>
    <xf numFmtId="2" fontId="2" fillId="3" borderId="5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/>
    <xf numFmtId="0" fontId="11" fillId="0" borderId="10" xfId="0" applyFont="1" applyBorder="1" applyAlignment="1">
      <alignment horizontal="center" wrapText="1"/>
    </xf>
    <xf numFmtId="0" fontId="4" fillId="0" borderId="0" xfId="0" applyFont="1"/>
    <xf numFmtId="0" fontId="0" fillId="2" borderId="1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0" fontId="0" fillId="0" borderId="0" xfId="0" applyNumberFormat="1"/>
    <xf numFmtId="49" fontId="4" fillId="0" borderId="0" xfId="0" applyNumberFormat="1" applyFont="1" applyAlignment="1">
      <alignment horizontal="center"/>
    </xf>
    <xf numFmtId="2" fontId="2" fillId="3" borderId="8" xfId="0" applyNumberFormat="1" applyFont="1" applyFill="1" applyBorder="1" applyAlignment="1">
      <alignment vertical="center"/>
    </xf>
    <xf numFmtId="169" fontId="2" fillId="3" borderId="0" xfId="0" applyNumberFormat="1" applyFont="1" applyFill="1" applyBorder="1" applyAlignment="1">
      <alignment vertical="center"/>
    </xf>
    <xf numFmtId="169" fontId="2" fillId="3" borderId="5" xfId="0" applyNumberFormat="1" applyFont="1" applyFill="1" applyBorder="1" applyAlignment="1">
      <alignment vertical="center"/>
    </xf>
    <xf numFmtId="167" fontId="2" fillId="3" borderId="0" xfId="0" applyNumberFormat="1" applyFont="1" applyFill="1" applyBorder="1" applyAlignment="1">
      <alignment horizontal="right" vertical="center"/>
    </xf>
    <xf numFmtId="2" fontId="2" fillId="3" borderId="0" xfId="0" applyNumberFormat="1" applyFont="1" applyFill="1" applyBorder="1" applyAlignment="1">
      <alignment horizontal="right" vertical="center"/>
    </xf>
    <xf numFmtId="169" fontId="2" fillId="3" borderId="0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center"/>
    </xf>
    <xf numFmtId="14" fontId="13" fillId="3" borderId="5" xfId="0" applyNumberFormat="1" applyFont="1" applyFill="1" applyBorder="1" applyAlignment="1">
      <alignment horizontal="center" vertical="center"/>
    </xf>
    <xf numFmtId="167" fontId="4" fillId="0" borderId="0" xfId="0" applyNumberFormat="1" applyFont="1" applyAlignment="1"/>
    <xf numFmtId="0" fontId="9" fillId="0" borderId="5" xfId="0" applyFont="1" applyBorder="1" applyProtection="1">
      <protection locked="0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right"/>
    </xf>
    <xf numFmtId="0" fontId="4" fillId="0" borderId="5" xfId="1" applyFont="1" applyBorder="1" applyAlignment="1">
      <alignment horizontal="center"/>
    </xf>
    <xf numFmtId="0" fontId="12" fillId="0" borderId="0" xfId="1" applyAlignment="1">
      <alignment horizontal="center"/>
    </xf>
    <xf numFmtId="0" fontId="12" fillId="0" borderId="0" xfId="1" applyAlignment="1">
      <alignment horizontal="right"/>
    </xf>
    <xf numFmtId="1" fontId="12" fillId="0" borderId="0" xfId="1" applyNumberFormat="1" applyBorder="1" applyAlignment="1">
      <alignment horizontal="center"/>
    </xf>
    <xf numFmtId="10" fontId="0" fillId="0" borderId="0" xfId="3" applyNumberFormat="1" applyFont="1"/>
    <xf numFmtId="0" fontId="12" fillId="0" borderId="0" xfId="1"/>
    <xf numFmtId="3" fontId="12" fillId="0" borderId="0" xfId="1" applyNumberFormat="1" applyAlignment="1">
      <alignment horizontal="center"/>
    </xf>
    <xf numFmtId="1" fontId="12" fillId="0" borderId="10" xfId="1" applyNumberFormat="1" applyBorder="1" applyAlignment="1">
      <alignment horizontal="center"/>
    </xf>
    <xf numFmtId="0" fontId="12" fillId="0" borderId="0" xfId="1" applyAlignment="1">
      <alignment horizontal="center" vertical="center"/>
    </xf>
    <xf numFmtId="17" fontId="12" fillId="0" borderId="15" xfId="1" applyNumberFormat="1" applyBorder="1" applyAlignment="1">
      <alignment horizontal="center"/>
    </xf>
    <xf numFmtId="166" fontId="12" fillId="0" borderId="15" xfId="1" applyNumberFormat="1" applyBorder="1"/>
    <xf numFmtId="17" fontId="12" fillId="0" borderId="0" xfId="1" applyNumberFormat="1" applyBorder="1" applyAlignment="1">
      <alignment horizontal="center"/>
    </xf>
    <xf numFmtId="166" fontId="12" fillId="0" borderId="0" xfId="1" applyNumberFormat="1" applyAlignment="1">
      <alignment horizontal="right"/>
    </xf>
    <xf numFmtId="0" fontId="12" fillId="0" borderId="15" xfId="1" applyBorder="1"/>
    <xf numFmtId="0" fontId="12" fillId="0" borderId="0" xfId="1" applyBorder="1"/>
    <xf numFmtId="3" fontId="12" fillId="0" borderId="0" xfId="1" applyNumberFormat="1" applyBorder="1" applyAlignment="1">
      <alignment horizontal="center"/>
    </xf>
    <xf numFmtId="0" fontId="12" fillId="0" borderId="10" xfId="1" applyBorder="1"/>
    <xf numFmtId="164" fontId="10" fillId="0" borderId="2" xfId="5" applyNumberFormat="1" applyFont="1" applyFill="1" applyBorder="1" applyAlignment="1" applyProtection="1">
      <alignment horizontal="right"/>
      <protection locked="0"/>
    </xf>
    <xf numFmtId="164" fontId="9" fillId="0" borderId="2" xfId="0" applyNumberFormat="1" applyFont="1" applyBorder="1" applyProtection="1">
      <protection locked="0"/>
    </xf>
    <xf numFmtId="0" fontId="9" fillId="0" borderId="0" xfId="0" applyFont="1" applyBorder="1" applyProtection="1">
      <protection locked="0"/>
    </xf>
    <xf numFmtId="164" fontId="9" fillId="0" borderId="0" xfId="1" applyNumberFormat="1" applyFont="1" applyProtection="1">
      <protection locked="0"/>
    </xf>
    <xf numFmtId="0" fontId="9" fillId="0" borderId="0" xfId="1" applyFont="1" applyProtection="1">
      <protection locked="0"/>
    </xf>
    <xf numFmtId="0" fontId="9" fillId="0" borderId="5" xfId="1" applyFont="1" applyBorder="1" applyProtection="1">
      <protection locked="0"/>
    </xf>
    <xf numFmtId="0" fontId="9" fillId="0" borderId="0" xfId="1" applyFont="1" applyBorder="1" applyProtection="1">
      <protection locked="0"/>
    </xf>
    <xf numFmtId="164" fontId="9" fillId="0" borderId="9" xfId="0" applyNumberFormat="1" applyFont="1" applyBorder="1" applyProtection="1">
      <protection locked="0"/>
    </xf>
    <xf numFmtId="171" fontId="0" fillId="0" borderId="0" xfId="3" applyNumberFormat="1" applyFont="1"/>
    <xf numFmtId="171" fontId="0" fillId="0" borderId="15" xfId="3" applyNumberFormat="1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170" fontId="1" fillId="2" borderId="14" xfId="0" applyNumberFormat="1" applyFont="1" applyFill="1" applyBorder="1" applyAlignment="1">
      <alignment horizontal="center" vertical="center" wrapText="1"/>
    </xf>
    <xf numFmtId="170" fontId="4" fillId="4" borderId="2" xfId="0" applyNumberFormat="1" applyFont="1" applyFill="1" applyBorder="1"/>
    <xf numFmtId="170" fontId="4" fillId="0" borderId="2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4" fillId="3" borderId="5" xfId="0" applyFont="1" applyFill="1" applyBorder="1" applyAlignment="1">
      <alignment horizontal="center"/>
    </xf>
    <xf numFmtId="4" fontId="0" fillId="3" borderId="0" xfId="0" applyNumberFormat="1" applyFill="1" applyBorder="1"/>
    <xf numFmtId="1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3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0" fontId="1" fillId="0" borderId="0" xfId="0" applyFont="1" applyProtection="1">
      <protection locked="0"/>
    </xf>
    <xf numFmtId="164" fontId="1" fillId="0" borderId="2" xfId="0" applyNumberFormat="1" applyFont="1" applyBorder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64" fontId="1" fillId="0" borderId="0" xfId="6" applyNumberFormat="1" applyFont="1" applyProtection="1">
      <protection locked="0"/>
    </xf>
    <xf numFmtId="0" fontId="1" fillId="0" borderId="0" xfId="6" applyFont="1" applyBorder="1" applyProtection="1">
      <protection locked="0"/>
    </xf>
    <xf numFmtId="0" fontId="1" fillId="0" borderId="0" xfId="6" applyFont="1" applyProtection="1">
      <protection locked="0"/>
    </xf>
    <xf numFmtId="0" fontId="1" fillId="0" borderId="5" xfId="0" applyFont="1" applyBorder="1" applyProtection="1">
      <protection locked="0"/>
    </xf>
    <xf numFmtId="168" fontId="2" fillId="0" borderId="13" xfId="7" applyNumberFormat="1" applyFont="1" applyBorder="1" applyAlignment="1" applyProtection="1">
      <alignment horizontal="right" vertical="center" wrapText="1"/>
      <protection locked="0"/>
    </xf>
    <xf numFmtId="164" fontId="2" fillId="0" borderId="2" xfId="8" applyNumberFormat="1" applyFont="1" applyFill="1" applyBorder="1" applyAlignment="1" applyProtection="1">
      <alignment horizontal="right"/>
      <protection locked="0"/>
    </xf>
    <xf numFmtId="0" fontId="2" fillId="0" borderId="0" xfId="7" applyFont="1" applyFill="1" applyBorder="1" applyAlignment="1" applyProtection="1">
      <alignment horizontal="center"/>
      <protection locked="0"/>
    </xf>
    <xf numFmtId="164" fontId="2" fillId="0" borderId="0" xfId="7" applyNumberFormat="1" applyFont="1" applyFill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2" fillId="0" borderId="12" xfId="7" applyFont="1" applyBorder="1" applyAlignment="1" applyProtection="1">
      <alignment horizontal="right" vertical="center" wrapText="1"/>
      <protection locked="0"/>
    </xf>
    <xf numFmtId="168" fontId="2" fillId="0" borderId="9" xfId="7" applyNumberFormat="1" applyFont="1" applyBorder="1" applyAlignment="1" applyProtection="1">
      <alignment horizontal="right" vertical="center" wrapText="1"/>
      <protection locked="0"/>
    </xf>
    <xf numFmtId="168" fontId="2" fillId="0" borderId="11" xfId="7" applyNumberFormat="1" applyFont="1" applyBorder="1" applyAlignment="1" applyProtection="1">
      <alignment horizontal="right" vertical="center" wrapText="1"/>
      <protection locked="0"/>
    </xf>
    <xf numFmtId="0" fontId="2" fillId="0" borderId="0" xfId="7" applyFont="1" applyBorder="1" applyAlignment="1" applyProtection="1">
      <alignment horizontal="right"/>
      <protection locked="0"/>
    </xf>
    <xf numFmtId="0" fontId="1" fillId="0" borderId="0" xfId="0" applyFont="1" applyAlignment="1" applyProtection="1">
      <protection locked="0"/>
    </xf>
    <xf numFmtId="0" fontId="12" fillId="0" borderId="0" xfId="1" applyBorder="1" applyAlignment="1">
      <alignment horizontal="center" vertical="center"/>
    </xf>
    <xf numFmtId="2" fontId="2" fillId="0" borderId="8" xfId="0" applyNumberFormat="1" applyFont="1" applyFill="1" applyBorder="1" applyAlignment="1">
      <alignment vertical="center"/>
    </xf>
    <xf numFmtId="2" fontId="2" fillId="0" borderId="7" xfId="0" applyNumberFormat="1" applyFont="1" applyFill="1" applyBorder="1" applyAlignment="1">
      <alignment vertical="center"/>
    </xf>
    <xf numFmtId="170" fontId="0" fillId="0" borderId="0" xfId="0" applyNumberForma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3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4" fillId="3" borderId="5" xfId="0" applyFont="1" applyFill="1" applyBorder="1" applyAlignment="1">
      <alignment horizontal="center"/>
    </xf>
    <xf numFmtId="167" fontId="0" fillId="3" borderId="0" xfId="0" applyNumberFormat="1" applyFill="1"/>
    <xf numFmtId="167" fontId="2" fillId="0" borderId="0" xfId="0" applyNumberFormat="1" applyFont="1" applyFill="1" applyAlignment="1">
      <alignment horizontal="right"/>
    </xf>
    <xf numFmtId="2" fontId="0" fillId="0" borderId="2" xfId="0" applyNumberFormat="1" applyFill="1" applyBorder="1"/>
    <xf numFmtId="169" fontId="0" fillId="3" borderId="0" xfId="0" applyNumberFormat="1" applyFill="1"/>
    <xf numFmtId="17" fontId="1" fillId="0" borderId="15" xfId="1" applyNumberFormat="1" applyFont="1" applyBorder="1" applyAlignment="1">
      <alignment horizontal="center"/>
    </xf>
    <xf numFmtId="166" fontId="12" fillId="0" borderId="0" xfId="1" applyNumberFormat="1"/>
    <xf numFmtId="0" fontId="1" fillId="0" borderId="0" xfId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5" xfId="0" applyBorder="1" applyAlignment="1">
      <alignment horizontal="right"/>
    </xf>
    <xf numFmtId="174" fontId="0" fillId="3" borderId="0" xfId="0" applyNumberFormat="1" applyFill="1"/>
    <xf numFmtId="173" fontId="0" fillId="3" borderId="0" xfId="0" applyNumberForma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3" borderId="0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3" borderId="0" xfId="0" applyFill="1" applyBorder="1" applyAlignment="1">
      <alignment horizontal="center"/>
    </xf>
    <xf numFmtId="172" fontId="4" fillId="0" borderId="2" xfId="0" applyNumberFormat="1" applyFont="1" applyFill="1" applyBorder="1"/>
    <xf numFmtId="167" fontId="2" fillId="0" borderId="0" xfId="0" applyNumberFormat="1" applyFont="1" applyFill="1" applyAlignment="1">
      <alignment horizontal="center"/>
    </xf>
    <xf numFmtId="167" fontId="2" fillId="0" borderId="2" xfId="0" applyNumberFormat="1" applyFont="1" applyFill="1" applyBorder="1" applyAlignment="1">
      <alignment horizontal="center"/>
    </xf>
    <xf numFmtId="167" fontId="2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3" fillId="3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/>
    <xf numFmtId="0" fontId="2" fillId="3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169" fontId="8" fillId="3" borderId="0" xfId="0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1" xfId="1" applyFont="1" applyBorder="1" applyAlignment="1">
      <alignment horizontal="center" wrapText="1"/>
    </xf>
    <xf numFmtId="0" fontId="3" fillId="0" borderId="9" xfId="1" applyFont="1" applyBorder="1" applyAlignment="1">
      <alignment horizontal="center" wrapText="1"/>
    </xf>
    <xf numFmtId="0" fontId="12" fillId="0" borderId="12" xfId="1" applyBorder="1" applyAlignment="1">
      <alignment horizontal="center"/>
    </xf>
    <xf numFmtId="0" fontId="3" fillId="0" borderId="0" xfId="1" applyFont="1" applyAlignment="1">
      <alignment horizontal="center"/>
    </xf>
    <xf numFmtId="0" fontId="12" fillId="0" borderId="0" xfId="1" applyAlignment="1"/>
    <xf numFmtId="0" fontId="0" fillId="0" borderId="0" xfId="0" applyAlignment="1" applyProtection="1">
      <protection locked="0"/>
    </xf>
    <xf numFmtId="0" fontId="3" fillId="0" borderId="0" xfId="6" applyFont="1" applyAlignment="1">
      <alignment horizontal="center"/>
    </xf>
    <xf numFmtId="0" fontId="1" fillId="0" borderId="0" xfId="6" applyAlignment="1"/>
    <xf numFmtId="0" fontId="3" fillId="0" borderId="11" xfId="6" applyFont="1" applyBorder="1" applyAlignment="1">
      <alignment horizontal="center" wrapText="1"/>
    </xf>
    <xf numFmtId="0" fontId="3" fillId="0" borderId="9" xfId="6" applyFont="1" applyBorder="1" applyAlignment="1">
      <alignment horizontal="center" wrapText="1"/>
    </xf>
    <xf numFmtId="0" fontId="1" fillId="0" borderId="12" xfId="6" applyBorder="1" applyAlignment="1">
      <alignment horizontal="center"/>
    </xf>
    <xf numFmtId="0" fontId="4" fillId="0" borderId="10" xfId="1" applyFont="1" applyBorder="1" applyAlignment="1">
      <alignment horizontal="center" wrapText="1"/>
    </xf>
    <xf numFmtId="0" fontId="12" fillId="0" borderId="10" xfId="1" applyBorder="1" applyAlignment="1">
      <alignment wrapText="1"/>
    </xf>
    <xf numFmtId="0" fontId="4" fillId="0" borderId="10" xfId="1" applyFont="1" applyBorder="1" applyAlignment="1">
      <alignment horizontal="center"/>
    </xf>
    <xf numFmtId="0" fontId="12" fillId="0" borderId="10" xfId="1" applyBorder="1" applyAlignment="1"/>
    <xf numFmtId="0" fontId="4" fillId="0" borderId="10" xfId="1" applyFont="1" applyBorder="1" applyAlignment="1">
      <alignment horizontal="center" vertical="center"/>
    </xf>
    <xf numFmtId="0" fontId="0" fillId="0" borderId="10" xfId="0" applyBorder="1" applyAlignment="1"/>
  </cellXfs>
  <cellStyles count="9">
    <cellStyle name="Normal" xfId="0" builtinId="0"/>
    <cellStyle name="Normal 2" xfId="1" xr:uid="{00000000-0005-0000-0000-000001000000}"/>
    <cellStyle name="Normal 2 2" xfId="6" xr:uid="{00000000-0005-0000-0000-000002000000}"/>
    <cellStyle name="Normal_System Weather Weights WF" xfId="2" xr:uid="{00000000-0005-0000-0000-000003000000}"/>
    <cellStyle name="Normal_System Weather Weights WF 2" xfId="7" xr:uid="{00000000-0005-0000-0000-000004000000}"/>
    <cellStyle name="Percent" xfId="3" builtinId="5"/>
    <cellStyle name="Percent_5.2 Example" xfId="4" xr:uid="{00000000-0005-0000-0000-000006000000}"/>
    <cellStyle name="Percent_System Weather Weights WF" xfId="5" xr:uid="{00000000-0005-0000-0000-000007000000}"/>
    <cellStyle name="Percent_System Weather Weights WF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>
  <xdr:twoCellAnchor>
    <xdr:from>
      <xdr:col>13</xdr:col>
      <xdr:colOff>106680</xdr:colOff>
      <xdr:row>28</xdr:row>
      <xdr:rowOff>0</xdr:rowOff>
    </xdr:from>
    <xdr:to>
      <xdr:col>15</xdr:col>
      <xdr:colOff>76200</xdr:colOff>
      <xdr:row>28</xdr:row>
      <xdr:rowOff>0</xdr:rowOff>
    </xdr:to>
    <xdr:sp macro="" textlink="">
      <xdr:nvSpPr>
        <xdr:cNvPr id="1185" name="AutoShape 1" descr="" title="">
          <a:extLst>
            <a:ext uri="{FF2B5EF4-FFF2-40B4-BE49-F238E27FC236}">
              <a16:creationId xmlns:a16="http://schemas.microsoft.com/office/drawing/2014/main" id="{00000000-0008-0000-0500-0000A1040000}"/>
            </a:ext>
          </a:extLst>
        </xdr:cNvPr>
        <xdr:cNvSpPr>
          <a:spLocks noChangeArrowheads="1"/>
        </xdr:cNvSpPr>
      </xdr:nvSpPr>
      <xdr:spPr bwMode="auto">
        <a:xfrm>
          <a:off x="7696200" y="5410200"/>
          <a:ext cx="1287780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a16="http://schemas.microsoft.com/office/drawing/2014/main" xmlns:xdr="http://schemas.openxmlformats.org/drawingml/2006/spreadsheetDrawing" xmlns:a="http://schemas.openxmlformats.org/drawingml/2006/main">
  <xdr:twoCellAnchor>
    <xdr:from>
      <xdr:col>13</xdr:col>
      <xdr:colOff>106680</xdr:colOff>
      <xdr:row>28</xdr:row>
      <xdr:rowOff>0</xdr:rowOff>
    </xdr:from>
    <xdr:to>
      <xdr:col>15</xdr:col>
      <xdr:colOff>76200</xdr:colOff>
      <xdr:row>28</xdr:row>
      <xdr:rowOff>0</xdr:rowOff>
    </xdr:to>
    <xdr:sp macro="" textlink="">
      <xdr:nvSpPr>
        <xdr:cNvPr id="2" name="AutoShape 1" descr="" title="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7696200" y="5394960"/>
          <a:ext cx="1287780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a16="http://schemas.microsoft.com/office/drawing/2014/main" xmlns:xdr="http://schemas.openxmlformats.org/drawingml/2006/spreadsheetDrawing" xmlns:a="http://schemas.openxmlformats.org/drawingml/2006/main">
  <xdr:twoCellAnchor>
    <xdr:from>
      <xdr:col>13</xdr:col>
      <xdr:colOff>106680</xdr:colOff>
      <xdr:row>28</xdr:row>
      <xdr:rowOff>0</xdr:rowOff>
    </xdr:from>
    <xdr:to>
      <xdr:col>15</xdr:col>
      <xdr:colOff>76200</xdr:colOff>
      <xdr:row>28</xdr:row>
      <xdr:rowOff>0</xdr:rowOff>
    </xdr:to>
    <xdr:sp macro="" textlink="">
      <xdr:nvSpPr>
        <xdr:cNvPr id="2209" name="AutoShape 1" descr="" title="">
          <a:extLst>
            <a:ext uri="{FF2B5EF4-FFF2-40B4-BE49-F238E27FC236}">
              <a16:creationId xmlns:a16="http://schemas.microsoft.com/office/drawing/2014/main" id="{00000000-0008-0000-0700-0000A1080000}"/>
            </a:ext>
          </a:extLst>
        </xdr:cNvPr>
        <xdr:cNvSpPr>
          <a:spLocks noChangeArrowheads="1"/>
        </xdr:cNvSpPr>
      </xdr:nvSpPr>
      <xdr:spPr bwMode="auto">
        <a:xfrm>
          <a:off x="7879080" y="4953000"/>
          <a:ext cx="1356360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a16="http://schemas.microsoft.com/office/drawing/2014/main" xmlns:xdr="http://schemas.openxmlformats.org/drawingml/2006/spreadsheetDrawing" xmlns:a="http://schemas.openxmlformats.org/drawingml/2006/main">
  <xdr:twoCellAnchor>
    <xdr:from>
      <xdr:col>13</xdr:col>
      <xdr:colOff>106680</xdr:colOff>
      <xdr:row>28</xdr:row>
      <xdr:rowOff>0</xdr:rowOff>
    </xdr:from>
    <xdr:to>
      <xdr:col>15</xdr:col>
      <xdr:colOff>76200</xdr:colOff>
      <xdr:row>28</xdr:row>
      <xdr:rowOff>0</xdr:rowOff>
    </xdr:to>
    <xdr:sp macro="" textlink="">
      <xdr:nvSpPr>
        <xdr:cNvPr id="2" name="AutoShape 1" descr="" title="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7879080" y="5623560"/>
          <a:ext cx="1356360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a16="http://schemas.microsoft.com/office/drawing/2014/main" xmlns:xdr="http://schemas.openxmlformats.org/drawingml/2006/spreadsheetDrawing" xmlns:a="http://schemas.openxmlformats.org/drawingml/2006/main">
  <xdr:twoCellAnchor>
    <xdr:from>
      <xdr:col>7</xdr:col>
      <xdr:colOff>0</xdr:colOff>
      <xdr:row>26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2" name="AutoShape 1" descr="" title="">
          <a:extLst>
            <a:ext uri="{FF2B5EF4-FFF2-40B4-BE49-F238E27FC236}">
              <a16:creationId xmlns:a16="http://schemas.microsoft.com/office/drawing/2014/main" id="{C1BC358A-7D7E-460E-B464-8A294DBC652D}"/>
            </a:ext>
          </a:extLst>
        </xdr:cNvPr>
        <xdr:cNvSpPr>
          <a:spLocks noChangeArrowheads="1"/>
        </xdr:cNvSpPr>
      </xdr:nvSpPr>
      <xdr:spPr bwMode="auto">
        <a:xfrm>
          <a:off x="4907280" y="4861560"/>
          <a:ext cx="0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21</xdr:col>
      <xdr:colOff>342900</xdr:colOff>
      <xdr:row>2</xdr:row>
      <xdr:rowOff>68580</xdr:rowOff>
    </xdr:from>
    <xdr:to>
      <xdr:col>21</xdr:col>
      <xdr:colOff>411480</xdr:colOff>
      <xdr:row>5</xdr:row>
      <xdr:rowOff>0</xdr:rowOff>
    </xdr:to>
    <xdr:sp macro="" textlink="">
      <xdr:nvSpPr>
        <xdr:cNvPr id="9377" name="Text Box 1" descr="" title="">
          <a:extLst>
            <a:ext uri="{FF2B5EF4-FFF2-40B4-BE49-F238E27FC236}">
              <a16:creationId xmlns:a16="http://schemas.microsoft.com/office/drawing/2014/main" id="{00000000-0008-0000-1B00-0000A1240000}"/>
            </a:ext>
          </a:extLst>
        </xdr:cNvPr>
        <xdr:cNvSpPr txBox="1">
          <a:spLocks noChangeArrowheads="1"/>
        </xdr:cNvSpPr>
      </xdr:nvSpPr>
      <xdr:spPr bwMode="auto">
        <a:xfrm>
          <a:off x="13731240" y="464820"/>
          <a:ext cx="6858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21</xdr:col>
      <xdr:colOff>342900</xdr:colOff>
      <xdr:row>2</xdr:row>
      <xdr:rowOff>68580</xdr:rowOff>
    </xdr:from>
    <xdr:to>
      <xdr:col>21</xdr:col>
      <xdr:colOff>411480</xdr:colOff>
      <xdr:row>5</xdr:row>
      <xdr:rowOff>0</xdr:rowOff>
    </xdr:to>
    <xdr:sp macro="" textlink="">
      <xdr:nvSpPr>
        <xdr:cNvPr id="23677" name="Text Box 1" descr="" title="">
          <a:extLst>
            <a:ext uri="{FF2B5EF4-FFF2-40B4-BE49-F238E27FC236}">
              <a16:creationId xmlns:a16="http://schemas.microsoft.com/office/drawing/2014/main" id="{00000000-0008-0000-1C00-00007D5C0000}"/>
            </a:ext>
          </a:extLst>
        </xdr:cNvPr>
        <xdr:cNvSpPr txBox="1">
          <a:spLocks noChangeArrowheads="1"/>
        </xdr:cNvSpPr>
      </xdr:nvSpPr>
      <xdr:spPr bwMode="auto">
        <a:xfrm>
          <a:off x="13731240" y="464820"/>
          <a:ext cx="6858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8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21</xdr:col>
      <xdr:colOff>342900</xdr:colOff>
      <xdr:row>2</xdr:row>
      <xdr:rowOff>68580</xdr:rowOff>
    </xdr:from>
    <xdr:to>
      <xdr:col>21</xdr:col>
      <xdr:colOff>411480</xdr:colOff>
      <xdr:row>5</xdr:row>
      <xdr:rowOff>0</xdr:rowOff>
    </xdr:to>
    <xdr:sp macro="" textlink="">
      <xdr:nvSpPr>
        <xdr:cNvPr id="24701" name="Text Box 1" descr="" title="">
          <a:extLst>
            <a:ext uri="{FF2B5EF4-FFF2-40B4-BE49-F238E27FC236}">
              <a16:creationId xmlns:a16="http://schemas.microsoft.com/office/drawing/2014/main" id="{00000000-0008-0000-1D00-00007D600000}"/>
            </a:ext>
          </a:extLst>
        </xdr:cNvPr>
        <xdr:cNvSpPr txBox="1">
          <a:spLocks noChangeArrowheads="1"/>
        </xdr:cNvSpPr>
      </xdr:nvSpPr>
      <xdr:spPr bwMode="auto">
        <a:xfrm>
          <a:off x="13731240" y="464820"/>
          <a:ext cx="6858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21</xdr:col>
      <xdr:colOff>342900</xdr:colOff>
      <xdr:row>2</xdr:row>
      <xdr:rowOff>68580</xdr:rowOff>
    </xdr:from>
    <xdr:to>
      <xdr:col>21</xdr:col>
      <xdr:colOff>411480</xdr:colOff>
      <xdr:row>5</xdr:row>
      <xdr:rowOff>0</xdr:rowOff>
    </xdr:to>
    <xdr:sp macro="" textlink="">
      <xdr:nvSpPr>
        <xdr:cNvPr id="25725" name="Text Box 1" descr="" title="">
          <a:extLst>
            <a:ext uri="{FF2B5EF4-FFF2-40B4-BE49-F238E27FC236}">
              <a16:creationId xmlns:a16="http://schemas.microsoft.com/office/drawing/2014/main" id="{00000000-0008-0000-1E00-00007D640000}"/>
            </a:ext>
          </a:extLst>
        </xdr:cNvPr>
        <xdr:cNvSpPr txBox="1">
          <a:spLocks noChangeArrowheads="1"/>
        </xdr:cNvSpPr>
      </xdr:nvSpPr>
      <xdr:spPr bwMode="auto">
        <a:xfrm>
          <a:off x="13731240" y="464820"/>
          <a:ext cx="6858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oneCellAnchor>
    <xdr:from>
      <xdr:col>21</xdr:col>
      <xdr:colOff>342900</xdr:colOff>
      <xdr:row>2</xdr:row>
      <xdr:rowOff>68580</xdr:rowOff>
    </xdr:from>
    <xdr:ext cx="68580" cy="523091"/>
    <xdr:sp macro="" textlink="">
      <xdr:nvSpPr>
        <xdr:cNvPr id="2" name="Text Box 1" descr="" title="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>
          <a:spLocks noChangeArrowheads="1"/>
        </xdr:cNvSpPr>
      </xdr:nvSpPr>
      <xdr:spPr bwMode="auto">
        <a:xfrm>
          <a:off x="13464540" y="403860"/>
          <a:ext cx="68580" cy="5230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I-H-5.1%20Pages%203-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H%20WP/WP_II-H-5.2_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H%20WP/WP_II-H-5.2_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H%20WP/WP_II-H-5.2_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H%20WP/WP_II-H-5.2_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H%20WP/WP_II-H-5.2_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H%20WP/WP_II-H-5.2_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6378.1362749999944</v>
          </cell>
          <cell r="F2">
            <v>20.997575000000005</v>
          </cell>
          <cell r="G2">
            <v>5508.2766250000186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8044.9016749999782</v>
          </cell>
          <cell r="F3">
            <v>27.354775000000007</v>
          </cell>
          <cell r="G3">
            <v>6750.6001750000141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7770.3656999999967</v>
          </cell>
          <cell r="F4">
            <v>27.035600000000006</v>
          </cell>
          <cell r="G4">
            <v>6499.003700000002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7562.6908999999905</v>
          </cell>
          <cell r="F5">
            <v>26.461300000000001</v>
          </cell>
          <cell r="G5">
            <v>6298.312225000027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7452.5575250000038</v>
          </cell>
          <cell r="F6">
            <v>26.295124999999999</v>
          </cell>
          <cell r="G6">
            <v>6204.6437500000311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7490.0334500000044</v>
          </cell>
          <cell r="F7">
            <v>26.866750000000007</v>
          </cell>
          <cell r="G7">
            <v>6241.9931500000275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7619.8838250000008</v>
          </cell>
          <cell r="F8">
            <v>27.223425000000006</v>
          </cell>
          <cell r="G8">
            <v>6367.1193000000258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7758.4093250000069</v>
          </cell>
          <cell r="F9">
            <v>29.367425000000001</v>
          </cell>
          <cell r="G9">
            <v>6498.4174000000285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7854.2098250000145</v>
          </cell>
          <cell r="F10">
            <v>30.251275000000003</v>
          </cell>
          <cell r="G10">
            <v>6605.4064250000338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8279.7070249999924</v>
          </cell>
          <cell r="F11">
            <v>31.521774999999998</v>
          </cell>
          <cell r="G11">
            <v>6973.0813250000201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8640.0900249999868</v>
          </cell>
          <cell r="F12">
            <v>32.014575000000001</v>
          </cell>
          <cell r="G12">
            <v>7247.1309000000019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8891.1538749999745</v>
          </cell>
          <cell r="F13">
            <v>32.4696</v>
          </cell>
          <cell r="G13">
            <v>7448.6912750000229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9120.4305749999749</v>
          </cell>
          <cell r="F14">
            <v>32.586200000000005</v>
          </cell>
          <cell r="G14">
            <v>7661.4618000000492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9191.8475999999882</v>
          </cell>
          <cell r="F15">
            <v>34.210425000000008</v>
          </cell>
          <cell r="G15">
            <v>7716.9012000000175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9183.3202249999704</v>
          </cell>
          <cell r="F16">
            <v>36.253875000000001</v>
          </cell>
          <cell r="G16">
            <v>7694.9042250000202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9048.2295500000055</v>
          </cell>
          <cell r="F17">
            <v>36.657650000000011</v>
          </cell>
          <cell r="G17">
            <v>7621.216825000025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9089.7506000000012</v>
          </cell>
          <cell r="F18">
            <v>35.965374999999995</v>
          </cell>
          <cell r="G18">
            <v>7640.4907000000776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9306.8506500000149</v>
          </cell>
          <cell r="F19">
            <v>35.947425000000003</v>
          </cell>
          <cell r="G19">
            <v>7896.1520750000336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10087.15765000001</v>
          </cell>
          <cell r="F20">
            <v>39.167825000000008</v>
          </cell>
          <cell r="G20">
            <v>8664.060475000002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10116.680175000012</v>
          </cell>
          <cell r="F21">
            <v>40.478875000000009</v>
          </cell>
          <cell r="G21">
            <v>8673.6767750000308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38.362150000000007</v>
          </cell>
          <cell r="G22">
            <v>8453.1640750000188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9489.7307499999933</v>
          </cell>
          <cell r="F23">
            <v>32.546775000000004</v>
          </cell>
          <cell r="G23">
            <v>8151.1382000000167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8535.7770000000073</v>
          </cell>
          <cell r="F25">
            <v>30.259399999999996</v>
          </cell>
          <cell r="G25">
            <v>7174.401525000012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7888.6961749999991</v>
          </cell>
          <cell r="F26">
            <v>28.294650000000001</v>
          </cell>
          <cell r="G26">
            <v>6650.2944000000407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7549.3004000000237</v>
          </cell>
          <cell r="F27">
            <v>26.50985</v>
          </cell>
          <cell r="G27">
            <v>6280.4889000000385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7315.0605750000204</v>
          </cell>
          <cell r="F28">
            <v>26.291150000000002</v>
          </cell>
          <cell r="G28">
            <v>6070.9082249999983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7222.9926250000271</v>
          </cell>
          <cell r="F29">
            <v>26.479849999999999</v>
          </cell>
          <cell r="G29">
            <v>6007.4899500000365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7307.167875000001</v>
          </cell>
          <cell r="F30">
            <v>27.225675000000003</v>
          </cell>
          <cell r="G30">
            <v>6084.849750000034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7589.4523499999805</v>
          </cell>
          <cell r="F31">
            <v>28.626775000000002</v>
          </cell>
          <cell r="G31">
            <v>6332.3921500000306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8089.0351500000052</v>
          </cell>
          <cell r="F32">
            <v>33.186250000000001</v>
          </cell>
          <cell r="G32">
            <v>6789.7047250000278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8648.4802750000435</v>
          </cell>
          <cell r="F33">
            <v>37.225574999999992</v>
          </cell>
          <cell r="G33">
            <v>7230.4740750000246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8933.7565499999928</v>
          </cell>
          <cell r="F34">
            <v>39.782224999999997</v>
          </cell>
          <cell r="G34">
            <v>7479.0834749999967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9382.2778999999664</v>
          </cell>
          <cell r="F35">
            <v>40.769950000000009</v>
          </cell>
          <cell r="G35">
            <v>7886.611200000003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9786.7662500000388</v>
          </cell>
          <cell r="F36">
            <v>39.837649999999996</v>
          </cell>
          <cell r="G36">
            <v>8252.187650000029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9934.1763000000137</v>
          </cell>
          <cell r="F37">
            <v>40.148949999999999</v>
          </cell>
          <cell r="G37">
            <v>8398.7358500000264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10005.495174999955</v>
          </cell>
          <cell r="F38">
            <v>39.289400000000001</v>
          </cell>
          <cell r="G38">
            <v>8442.6831499999898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9972.0225499999633</v>
          </cell>
          <cell r="F39">
            <v>39.44755</v>
          </cell>
          <cell r="G39">
            <v>8394.4647250000562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9904.6171499999855</v>
          </cell>
          <cell r="F40">
            <v>39.242224999999998</v>
          </cell>
          <cell r="G40">
            <v>8343.6841000000186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9814.4121749999904</v>
          </cell>
          <cell r="F41">
            <v>39.025025000000007</v>
          </cell>
          <cell r="G41">
            <v>8279.5152000000307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9715.1591749999625</v>
          </cell>
          <cell r="F42">
            <v>38.691750000000006</v>
          </cell>
          <cell r="G42">
            <v>8254.6325499999948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9845.6958500000237</v>
          </cell>
          <cell r="F43">
            <v>38.422475000000006</v>
          </cell>
          <cell r="G43">
            <v>8436.0100000000075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10741.877599999978</v>
          </cell>
          <cell r="F44">
            <v>42.418374999999997</v>
          </cell>
          <cell r="G44">
            <v>9255.0055500000399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10774.956375000012</v>
          </cell>
          <cell r="F45">
            <v>43.521900000000002</v>
          </cell>
          <cell r="G45">
            <v>9285.1762749999871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10575.678374999985</v>
          </cell>
          <cell r="F46">
            <v>41.117575000000002</v>
          </cell>
          <cell r="G46">
            <v>9078.8075750000407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10130.703249999977</v>
          </cell>
          <cell r="F47">
            <v>38.528675</v>
          </cell>
          <cell r="G47">
            <v>8697.5171000000028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8864.9762999999912</v>
          </cell>
          <cell r="F49">
            <v>34.369649999999993</v>
          </cell>
          <cell r="G49">
            <v>7462.5196500000739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8285.1203250000399</v>
          </cell>
          <cell r="F50">
            <v>33.490224999999995</v>
          </cell>
          <cell r="G50">
            <v>6961.7451000000065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8007.4171999999671</v>
          </cell>
          <cell r="F51">
            <v>31.912475000000004</v>
          </cell>
          <cell r="G51">
            <v>6715.2576250000211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7937.3922750000256</v>
          </cell>
          <cell r="F52">
            <v>31.524374999999999</v>
          </cell>
          <cell r="G52">
            <v>6642.2603500000159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7989.3808000000008</v>
          </cell>
          <cell r="F53">
            <v>32.364350000000009</v>
          </cell>
          <cell r="G53">
            <v>6695.6562000000131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8245.2097000000031</v>
          </cell>
          <cell r="F54">
            <v>35.400575000000003</v>
          </cell>
          <cell r="G54">
            <v>6938.6503500000044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9014.2835250000044</v>
          </cell>
          <cell r="F55">
            <v>39.93480000000001</v>
          </cell>
          <cell r="G55">
            <v>7592.879324999979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10387.087524999984</v>
          </cell>
          <cell r="F56">
            <v>46.299774999999997</v>
          </cell>
          <cell r="G56">
            <v>8839.0598999999838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11397.867899999967</v>
          </cell>
          <cell r="F57">
            <v>47.731724999999997</v>
          </cell>
          <cell r="G57">
            <v>9823.6959749999787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11303.23165000004</v>
          </cell>
          <cell r="F58">
            <v>48.192525000000003</v>
          </cell>
          <cell r="G58">
            <v>9722.576225000028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11165.839950000027</v>
          </cell>
          <cell r="F59">
            <v>45.168350000000004</v>
          </cell>
          <cell r="G59">
            <v>9517.6611749999665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11150.580100000001</v>
          </cell>
          <cell r="F60">
            <v>46.086775000000003</v>
          </cell>
          <cell r="G60">
            <v>9423.8797499999964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10936.401749999975</v>
          </cell>
          <cell r="F61">
            <v>43.433850000000007</v>
          </cell>
          <cell r="G61">
            <v>9294.9999250000328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10755.817299999992</v>
          </cell>
          <cell r="F62">
            <v>47.295050000000003</v>
          </cell>
          <cell r="G62">
            <v>9230.9956250000032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10839.503600000016</v>
          </cell>
          <cell r="F63">
            <v>46.048725000000005</v>
          </cell>
          <cell r="G63">
            <v>9271.0964999999942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42.079625000000007</v>
          </cell>
          <cell r="G64">
            <v>9317.844150000019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10943.322625000013</v>
          </cell>
          <cell r="F65">
            <v>42.876849999999997</v>
          </cell>
          <cell r="G65">
            <v>9319.0930250000474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10937.597275000015</v>
          </cell>
          <cell r="F66">
            <v>41.061900000000009</v>
          </cell>
          <cell r="G66">
            <v>9367.4194750000115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10822.268474999983</v>
          </cell>
          <cell r="F67">
            <v>44.777025000000002</v>
          </cell>
          <cell r="G67">
            <v>9379.874125000033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11522.136675000018</v>
          </cell>
          <cell r="F68">
            <v>47.458874999999999</v>
          </cell>
          <cell r="G68">
            <v>10006.036324999985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11458.25960000003</v>
          </cell>
          <cell r="F69">
            <v>44.895150000000001</v>
          </cell>
          <cell r="G69">
            <v>9977.7938000000086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11220.134300000047</v>
          </cell>
          <cell r="F70">
            <v>44.567824999999999</v>
          </cell>
          <cell r="G70">
            <v>9672.750299999967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10606.965700000026</v>
          </cell>
          <cell r="F71">
            <v>39.508825000000002</v>
          </cell>
          <cell r="G71">
            <v>9204.3562000000147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9067.265449999999</v>
          </cell>
          <cell r="F73">
            <v>37.300225000000012</v>
          </cell>
          <cell r="G73">
            <v>7690.3492000000369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8361.1853000000083</v>
          </cell>
          <cell r="F74">
            <v>32.568350000000009</v>
          </cell>
          <cell r="G74">
            <v>7030.021225000025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7914.2579500000074</v>
          </cell>
          <cell r="F75">
            <v>31.485474999999997</v>
          </cell>
          <cell r="G75">
            <v>6604.1836250000051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7680.5914000000002</v>
          </cell>
          <cell r="F76">
            <v>30.289874999999995</v>
          </cell>
          <cell r="G76">
            <v>6394.2201250000417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7589.4184249999807</v>
          </cell>
          <cell r="F77">
            <v>30.468574999999998</v>
          </cell>
          <cell r="G77">
            <v>6319.2775000000338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7688.4628500000099</v>
          </cell>
          <cell r="F78">
            <v>29.638799999999996</v>
          </cell>
          <cell r="G78">
            <v>6410.9914749999953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8241.8940749999965</v>
          </cell>
          <cell r="F79">
            <v>32.321624999999997</v>
          </cell>
          <cell r="G79">
            <v>6877.0715750000163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9445.2732250000045</v>
          </cell>
          <cell r="F80">
            <v>35.059925</v>
          </cell>
          <cell r="G80">
            <v>7975.4805249999872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10429.417374999975</v>
          </cell>
          <cell r="F81">
            <v>38.508600000000008</v>
          </cell>
          <cell r="G81">
            <v>8931.0217249999841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10411.612074999979</v>
          </cell>
          <cell r="F82">
            <v>30.440625000000001</v>
          </cell>
          <cell r="G82">
            <v>8841.5458250000447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10602.512374999969</v>
          </cell>
          <cell r="F83">
            <v>41.337449999999997</v>
          </cell>
          <cell r="G83">
            <v>8924.2767250000416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10708.304549999999</v>
          </cell>
          <cell r="F84">
            <v>39.074450000000006</v>
          </cell>
          <cell r="G84">
            <v>9025.7948750000214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10751.473050000021</v>
          </cell>
          <cell r="F85">
            <v>46.927500000000002</v>
          </cell>
          <cell r="G85">
            <v>9084.3709500000241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10720.530175000007</v>
          </cell>
          <cell r="F86">
            <v>45.000599999999999</v>
          </cell>
          <cell r="G86">
            <v>9048.1620000000548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10714.588375000043</v>
          </cell>
          <cell r="F87">
            <v>50.004075</v>
          </cell>
          <cell r="G87">
            <v>9038.0510250000552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10617.98744999997</v>
          </cell>
          <cell r="F88">
            <v>45.304049999999997</v>
          </cell>
          <cell r="G88">
            <v>8975.9846000000725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10518.703849999965</v>
          </cell>
          <cell r="F89">
            <v>45.1297</v>
          </cell>
          <cell r="G89">
            <v>8873.8207749999874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10513.976299999991</v>
          </cell>
          <cell r="F90">
            <v>47.294450000000012</v>
          </cell>
          <cell r="G90">
            <v>8848.2294499999916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10680.457200000008</v>
          </cell>
          <cell r="F91">
            <v>47.073999999999998</v>
          </cell>
          <cell r="G91">
            <v>9040.7864749999735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11563.730399999984</v>
          </cell>
          <cell r="F92">
            <v>52.064000000000007</v>
          </cell>
          <cell r="G92">
            <v>9854.6079749999935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11529.677324999973</v>
          </cell>
          <cell r="F93">
            <v>53.167000000000009</v>
          </cell>
          <cell r="G93">
            <v>9854.7160500000173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11326.462324999997</v>
          </cell>
          <cell r="F94">
            <v>51.129200000000004</v>
          </cell>
          <cell r="G94">
            <v>9639.654900000005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10848.533549999986</v>
          </cell>
          <cell r="F95">
            <v>49.765349999999998</v>
          </cell>
          <cell r="G95">
            <v>9304.0511750000132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9600.904500000026</v>
          </cell>
          <cell r="F97">
            <v>47.001274999999993</v>
          </cell>
          <cell r="G97">
            <v>8072.4371749999846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9146.8220500000043</v>
          </cell>
          <cell r="F98">
            <v>42.280075000000004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8771.4267249999903</v>
          </cell>
          <cell r="F99">
            <v>38.881774999999998</v>
          </cell>
          <cell r="G99">
            <v>7276.8809500000425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8574.566350000001</v>
          </cell>
          <cell r="F100">
            <v>37.835675000000002</v>
          </cell>
          <cell r="G100">
            <v>7173.1481750000148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8593.5542499999992</v>
          </cell>
          <cell r="F101">
            <v>37.698799999999999</v>
          </cell>
          <cell r="G101">
            <v>7215.5201000000216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8882.2336500000001</v>
          </cell>
          <cell r="F102">
            <v>38.158500000000004</v>
          </cell>
          <cell r="G102">
            <v>7461.301425000016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9585.6746000000148</v>
          </cell>
          <cell r="F103">
            <v>41.317050000000009</v>
          </cell>
          <cell r="G103">
            <v>8124.7065000000393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11022.939475000034</v>
          </cell>
          <cell r="F104">
            <v>45.531474999999993</v>
          </cell>
          <cell r="G104">
            <v>9450.6231749999788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12281.758875000045</v>
          </cell>
          <cell r="F105">
            <v>50.125949999999996</v>
          </cell>
          <cell r="G105">
            <v>10534.354550000033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12012.437275000011</v>
          </cell>
          <cell r="F106">
            <v>47.317775000000005</v>
          </cell>
          <cell r="G106">
            <v>10299.695725000051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11774.244149999991</v>
          </cell>
          <cell r="F107">
            <v>46.747550000000004</v>
          </cell>
          <cell r="G107">
            <v>9999.7764000000407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11568.103875000006</v>
          </cell>
          <cell r="F108">
            <v>43.848575000000011</v>
          </cell>
          <cell r="G108">
            <v>9831.4264250000288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11255.511999999984</v>
          </cell>
          <cell r="F109">
            <v>46.815549999999995</v>
          </cell>
          <cell r="G109">
            <v>9636.4506000000183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11025.124050000046</v>
          </cell>
          <cell r="F110">
            <v>43.416274999999999</v>
          </cell>
          <cell r="G110">
            <v>9421.1816749999834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11006.228475000036</v>
          </cell>
          <cell r="F111">
            <v>40.105050000000006</v>
          </cell>
          <cell r="G111">
            <v>9309.4791499999792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10804.638575000037</v>
          </cell>
          <cell r="F112">
            <v>42.517825000000002</v>
          </cell>
          <cell r="G112">
            <v>9146.1637499999615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10647.035150000012</v>
          </cell>
          <cell r="F113">
            <v>40.815825000000004</v>
          </cell>
          <cell r="G113">
            <v>8977.3814250000614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10510.831700000015</v>
          </cell>
          <cell r="F114">
            <v>37.68515</v>
          </cell>
          <cell r="G114">
            <v>8944.9923250000102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10817.105499999965</v>
          </cell>
          <cell r="F115">
            <v>41.267750000000007</v>
          </cell>
          <cell r="G115">
            <v>9215.9821500000162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11937.68950000004</v>
          </cell>
          <cell r="F116">
            <v>46.830175000000004</v>
          </cell>
          <cell r="G116">
            <v>10150.185774999993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12086.42850000002</v>
          </cell>
          <cell r="F117">
            <v>51.538024999999998</v>
          </cell>
          <cell r="G117">
            <v>10324.189449999971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11913.627550000027</v>
          </cell>
          <cell r="F118">
            <v>49.831650000000003</v>
          </cell>
          <cell r="G118">
            <v>10208.546500000002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11479.001175000007</v>
          </cell>
          <cell r="F119">
            <v>48.896400000000007</v>
          </cell>
          <cell r="G119">
            <v>9890.9816500000106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10060.542549999964</v>
          </cell>
          <cell r="F121">
            <v>47.421725000000002</v>
          </cell>
          <cell r="G121">
            <v>8561.0150750000248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9502.283800000032</v>
          </cell>
          <cell r="F122">
            <v>42.814474999999995</v>
          </cell>
          <cell r="G122">
            <v>8060.8054000000448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9268.2694749999991</v>
          </cell>
          <cell r="F123">
            <v>42.130775</v>
          </cell>
          <cell r="G123">
            <v>7827.4951500000179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9300.0577250000078</v>
          </cell>
          <cell r="F124">
            <v>44.099749999999993</v>
          </cell>
          <cell r="G124">
            <v>7792.1019499999975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9466.4318249999815</v>
          </cell>
          <cell r="F125">
            <v>45.722850000000001</v>
          </cell>
          <cell r="G125">
            <v>7875.021600000021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9750.7191250000033</v>
          </cell>
          <cell r="F126">
            <v>46.553350000000002</v>
          </cell>
          <cell r="G126">
            <v>8158.3311500000418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10599.035175000015</v>
          </cell>
          <cell r="F127">
            <v>50.200625000000002</v>
          </cell>
          <cell r="G127">
            <v>8922.8668750000506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12067.676950000015</v>
          </cell>
          <cell r="F128">
            <v>56.277974999999998</v>
          </cell>
          <cell r="G128">
            <v>10282.513550000065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13200.797175000018</v>
          </cell>
          <cell r="F129">
            <v>63.604124999999996</v>
          </cell>
          <cell r="G129">
            <v>11362.74634999995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12856.51897499999</v>
          </cell>
          <cell r="F130">
            <v>63.533274999999989</v>
          </cell>
          <cell r="G130">
            <v>11045.351050000056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12465.600475000007</v>
          </cell>
          <cell r="F131">
            <v>57.645425000000003</v>
          </cell>
          <cell r="G131">
            <v>10646.529925000001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12148.740575000007</v>
          </cell>
          <cell r="F132">
            <v>57.194650000000003</v>
          </cell>
          <cell r="G132">
            <v>10345.571225000029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11726.339199999991</v>
          </cell>
          <cell r="F133">
            <v>53.309950000000008</v>
          </cell>
          <cell r="G133">
            <v>9988.4732249999579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11314.637350000032</v>
          </cell>
          <cell r="F134">
            <v>49.023849999999996</v>
          </cell>
          <cell r="G134">
            <v>9612.1881749999829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11072.56239999999</v>
          </cell>
          <cell r="F135">
            <v>44.554349999999999</v>
          </cell>
          <cell r="G135">
            <v>9379.2364000000034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10813.140499999981</v>
          </cell>
          <cell r="F136">
            <v>41.999425000000002</v>
          </cell>
          <cell r="G136">
            <v>9135.0549750000391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10570.248825000004</v>
          </cell>
          <cell r="F137">
            <v>39.978150000000014</v>
          </cell>
          <cell r="G137">
            <v>8930.5995499999863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10464.600950000005</v>
          </cell>
          <cell r="F138">
            <v>38.596574999999994</v>
          </cell>
          <cell r="G138">
            <v>8843.8767750000043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10660.827124999994</v>
          </cell>
          <cell r="F139">
            <v>40.078025000000011</v>
          </cell>
          <cell r="G139">
            <v>9038.1972249999581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11507.322424999995</v>
          </cell>
          <cell r="F140">
            <v>41.604600000000005</v>
          </cell>
          <cell r="G140">
            <v>9870.9474250000385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11529.843674999996</v>
          </cell>
          <cell r="F141">
            <v>40.404850000000017</v>
          </cell>
          <cell r="G141">
            <v>9989.1612250000326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11469.427249999982</v>
          </cell>
          <cell r="F142">
            <v>39.015299999999996</v>
          </cell>
          <cell r="G142">
            <v>9933.8678000000473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11304.154625000021</v>
          </cell>
          <cell r="F143">
            <v>38.359700000000004</v>
          </cell>
          <cell r="G143">
            <v>9773.9276499999887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10475.233750000014</v>
          </cell>
          <cell r="F145">
            <v>37.860525000000003</v>
          </cell>
          <cell r="G145">
            <v>8933.9011000000119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9929.2034999999796</v>
          </cell>
          <cell r="F146">
            <v>37.116324999999996</v>
          </cell>
          <cell r="G146">
            <v>8479.0732000000062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9726.985350000019</v>
          </cell>
          <cell r="F147">
            <v>37.645975</v>
          </cell>
          <cell r="G147">
            <v>8230.7280250000185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2974.4287250000002</v>
          </cell>
          <cell r="F148">
            <v>4.3265500000000001</v>
          </cell>
          <cell r="G148">
            <v>3642.5544249999939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9686.4323999999997</v>
          </cell>
          <cell r="F149">
            <v>38.516525000000001</v>
          </cell>
          <cell r="G149">
            <v>8097.1906500000205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9765.5474499999673</v>
          </cell>
          <cell r="F150">
            <v>38.659275000000008</v>
          </cell>
          <cell r="G150">
            <v>8218.6567250000317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10054.106600000041</v>
          </cell>
          <cell r="F151">
            <v>39.812200000000011</v>
          </cell>
          <cell r="G151">
            <v>8498.3006750000404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10613.408474999975</v>
          </cell>
          <cell r="F152">
            <v>40.720149999999997</v>
          </cell>
          <cell r="G152">
            <v>9027.4683750000459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42.831400000000009</v>
          </cell>
          <cell r="G153">
            <v>9603.3461750000279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11507.042774999973</v>
          </cell>
          <cell r="F154">
            <v>44.373050000000013</v>
          </cell>
          <cell r="G154">
            <v>9855.889599999995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11480.55012499998</v>
          </cell>
          <cell r="F155">
            <v>43.588100000000004</v>
          </cell>
          <cell r="G155">
            <v>9776.9258750000408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11187.741624999993</v>
          </cell>
          <cell r="F156">
            <v>41.894300000000001</v>
          </cell>
          <cell r="G156">
            <v>9533.2784249999513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10808.768925000002</v>
          </cell>
          <cell r="F157">
            <v>39.502325000000006</v>
          </cell>
          <cell r="G157">
            <v>9162.1062250000232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10375.608025000009</v>
          </cell>
          <cell r="F158">
            <v>36.469675000000002</v>
          </cell>
          <cell r="G158">
            <v>8798.5619500000048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10051.741050000017</v>
          </cell>
          <cell r="F159">
            <v>34.117974999999994</v>
          </cell>
          <cell r="G159">
            <v>8498.264799999999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9805.8847500000393</v>
          </cell>
          <cell r="F160">
            <v>32.578774999999993</v>
          </cell>
          <cell r="G160">
            <v>8276.8947750000134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9673.7895250000329</v>
          </cell>
          <cell r="F161">
            <v>32.188749999999999</v>
          </cell>
          <cell r="G161">
            <v>8157.2656999999963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9627.2904999999919</v>
          </cell>
          <cell r="F162">
            <v>31.477525000000007</v>
          </cell>
          <cell r="G162">
            <v>8114.6730499999967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9710.569449999979</v>
          </cell>
          <cell r="F163">
            <v>31.754325000000005</v>
          </cell>
          <cell r="G163">
            <v>8249.4606000000131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10495.751650000007</v>
          </cell>
          <cell r="F164">
            <v>32.965200000000003</v>
          </cell>
          <cell r="G164">
            <v>8914.2465749999956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10514.375650000027</v>
          </cell>
          <cell r="F165">
            <v>33.85915</v>
          </cell>
          <cell r="G165">
            <v>8988.2889000000159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10240.865874999992</v>
          </cell>
          <cell r="F166">
            <v>31.78</v>
          </cell>
          <cell r="G166">
            <v>8726.0412499999966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9905.1322750000072</v>
          </cell>
          <cell r="F167">
            <v>30.606975000000002</v>
          </cell>
          <cell r="G167">
            <v>8387.3153750000674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8941.2974000000104</v>
          </cell>
          <cell r="F169">
            <v>29.885925</v>
          </cell>
          <cell r="G169">
            <v>7464.149200000038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6201.6007999999883</v>
          </cell>
          <cell r="F170">
            <v>21.421050000000001</v>
          </cell>
          <cell r="G170">
            <v>5160.7624250000272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7943.468674999991</v>
          </cell>
          <cell r="F171">
            <v>27.797850000000004</v>
          </cell>
          <cell r="G171">
            <v>6585.3476750000227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7712.688174999982</v>
          </cell>
          <cell r="F172">
            <v>27.906999999999996</v>
          </cell>
          <cell r="G172">
            <v>6427.5947250000017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7612.5074749999903</v>
          </cell>
          <cell r="F173">
            <v>28.702024999999995</v>
          </cell>
          <cell r="G173">
            <v>6342.3516250000112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7634.9680750000043</v>
          </cell>
          <cell r="F174">
            <v>28.691300000000002</v>
          </cell>
          <cell r="G174">
            <v>6381.3965500000113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7806.4165749999875</v>
          </cell>
          <cell r="F175">
            <v>18.499025</v>
          </cell>
          <cell r="G175">
            <v>6529.7132750000001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8120.7334249999931</v>
          </cell>
          <cell r="F176">
            <v>31.538575000000002</v>
          </cell>
          <cell r="G176">
            <v>6829.8007500000194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8531.8133750000197</v>
          </cell>
          <cell r="F177">
            <v>34.17915</v>
          </cell>
          <cell r="G177">
            <v>7230.4502500000008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8912.7249500000307</v>
          </cell>
          <cell r="F178">
            <v>36.495675000000006</v>
          </cell>
          <cell r="G178">
            <v>7544.4494749999867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9354.5597499999767</v>
          </cell>
          <cell r="F179">
            <v>38.133200000000002</v>
          </cell>
          <cell r="G179">
            <v>7831.6719000000094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9473.8033999999843</v>
          </cell>
          <cell r="F180">
            <v>38.003299999999989</v>
          </cell>
          <cell r="G180">
            <v>7911.0410250000332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9475.955450000034</v>
          </cell>
          <cell r="F181">
            <v>38.44435</v>
          </cell>
          <cell r="G181">
            <v>7880.8129000000527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9479.507349999978</v>
          </cell>
          <cell r="F182">
            <v>38.183825000000006</v>
          </cell>
          <cell r="G182">
            <v>7936.1998750000494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9509.6038249999801</v>
          </cell>
          <cell r="F183">
            <v>36.831000000000003</v>
          </cell>
          <cell r="G183">
            <v>8001.1895500000401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9453.8693250000033</v>
          </cell>
          <cell r="F184">
            <v>36.468299999999999</v>
          </cell>
          <cell r="G184">
            <v>7980.0103250000175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9443.2601750000176</v>
          </cell>
          <cell r="F185">
            <v>36.271850000000008</v>
          </cell>
          <cell r="G185">
            <v>7945.8802500000083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9486.6474249999901</v>
          </cell>
          <cell r="F186">
            <v>37.023500000000006</v>
          </cell>
          <cell r="G186">
            <v>7978.0145500000317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9780.8471749999826</v>
          </cell>
          <cell r="F187">
            <v>38.557700000000004</v>
          </cell>
          <cell r="G187">
            <v>8267.2734750000272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10567.353400000004</v>
          </cell>
          <cell r="F188">
            <v>40.866375000000012</v>
          </cell>
          <cell r="G188">
            <v>8985.3237500000305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10615.565850000001</v>
          </cell>
          <cell r="F189">
            <v>42.311475000000009</v>
          </cell>
          <cell r="G189">
            <v>9062.4978750000319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10366.830149999996</v>
          </cell>
          <cell r="F190">
            <v>41.978925000000004</v>
          </cell>
          <cell r="G190">
            <v>8866.7345750000186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9988.7338500000096</v>
          </cell>
          <cell r="F191">
            <v>40.795550000000013</v>
          </cell>
          <cell r="G191">
            <v>8538.329400000006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8722.0475250000018</v>
          </cell>
          <cell r="F193">
            <v>35.726700000000008</v>
          </cell>
          <cell r="G193">
            <v>7300.7943500000301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8080.0212250000159</v>
          </cell>
          <cell r="F194">
            <v>32.610575000000004</v>
          </cell>
          <cell r="G194">
            <v>6782.6361000000034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7856.6561750000064</v>
          </cell>
          <cell r="F195">
            <v>30.629324999999998</v>
          </cell>
          <cell r="G195">
            <v>6527.035150000017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7813.371125000016</v>
          </cell>
          <cell r="F196">
            <v>29.293600000000001</v>
          </cell>
          <cell r="G196">
            <v>6448.4961500000099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7884.3919750000086</v>
          </cell>
          <cell r="F197">
            <v>30.891874999999999</v>
          </cell>
          <cell r="G197">
            <v>6508.3479750000124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8202.135250000003</v>
          </cell>
          <cell r="F198">
            <v>34.793075000000009</v>
          </cell>
          <cell r="G198">
            <v>6770.8323000000073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8971.5929499999984</v>
          </cell>
          <cell r="F199">
            <v>36.873700000000007</v>
          </cell>
          <cell r="G199">
            <v>7496.2920750000458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10503.649250000009</v>
          </cell>
          <cell r="F200">
            <v>43.277800000000006</v>
          </cell>
          <cell r="G200">
            <v>8875.5104749999864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11691.791450000017</v>
          </cell>
          <cell r="F201">
            <v>43.564300000000003</v>
          </cell>
          <cell r="G201">
            <v>10001.891675000023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11577.386575000013</v>
          </cell>
          <cell r="F202">
            <v>46.842525000000002</v>
          </cell>
          <cell r="G202">
            <v>9825.1021000000237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11426.12117499998</v>
          </cell>
          <cell r="F203">
            <v>44.535775000000001</v>
          </cell>
          <cell r="G203">
            <v>9718.1833500000103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6804.2436749999915</v>
          </cell>
          <cell r="F204">
            <v>29.357924999999998</v>
          </cell>
          <cell r="G204">
            <v>5779.2855500000023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7922.0444499999903</v>
          </cell>
          <cell r="F205">
            <v>12.271625</v>
          </cell>
          <cell r="G205">
            <v>6632.0251750000043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8288.788025000018</v>
          </cell>
          <cell r="F206">
            <v>34.814300000000003</v>
          </cell>
          <cell r="G206">
            <v>6775.5018750000299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10015.771650000012</v>
          </cell>
          <cell r="F207">
            <v>40.185899999999997</v>
          </cell>
          <cell r="G207">
            <v>8454.9541500000123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8683.9710750000013</v>
          </cell>
          <cell r="F208">
            <v>41.440275</v>
          </cell>
          <cell r="G208">
            <v>7236.6019999999926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8711.5115499999774</v>
          </cell>
          <cell r="F209">
            <v>18.835425000000001</v>
          </cell>
          <cell r="G209">
            <v>7199.6021000000237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8886.1916999999885</v>
          </cell>
          <cell r="F210">
            <v>38.663800000000002</v>
          </cell>
          <cell r="G210">
            <v>7449.3250000000862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8501.7104249999884</v>
          </cell>
          <cell r="F211">
            <v>32.404850000000003</v>
          </cell>
          <cell r="G211">
            <v>7338.9714249999806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9351.8785249999746</v>
          </cell>
          <cell r="F212">
            <v>34.274425000000015</v>
          </cell>
          <cell r="G212">
            <v>8123.0217249999951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41.134575000000012</v>
          </cell>
          <cell r="G213">
            <v>9105.2622749999773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7517.8215250000012</v>
          </cell>
          <cell r="F214">
            <v>32.851275000000008</v>
          </cell>
          <cell r="G214">
            <v>6328.9428250000219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8849.7074249999969</v>
          </cell>
          <cell r="F215">
            <v>35.010325000000002</v>
          </cell>
          <cell r="G215">
            <v>7352.5890750000144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7633.0114000000058</v>
          </cell>
          <cell r="F217">
            <v>37.946624999999997</v>
          </cell>
          <cell r="G217">
            <v>6276.1561000000074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6514.4983250000014</v>
          </cell>
          <cell r="F218">
            <v>21.206150000000004</v>
          </cell>
          <cell r="G218">
            <v>5348.2395250000245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8317.2714750000196</v>
          </cell>
          <cell r="F219">
            <v>29.347075000000007</v>
          </cell>
          <cell r="G219">
            <v>6872.7063000000026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6614.6973250000037</v>
          </cell>
          <cell r="F220">
            <v>27.733500000000006</v>
          </cell>
          <cell r="G220">
            <v>5456.8621500000072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8652.865875000005</v>
          </cell>
          <cell r="F221">
            <v>37.907975000000008</v>
          </cell>
          <cell r="G221">
            <v>7046.5077500000616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4264.7686499999909</v>
          </cell>
          <cell r="F222">
            <v>19.834875000000004</v>
          </cell>
          <cell r="G222">
            <v>3505.483899999997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8718.3659249999855</v>
          </cell>
          <cell r="F223">
            <v>43.051175000000001</v>
          </cell>
          <cell r="G223">
            <v>7433.7354250000199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7606.6867499999971</v>
          </cell>
          <cell r="F224">
            <v>29.609475</v>
          </cell>
          <cell r="G224">
            <v>6291.7895750000171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5154.424425000002</v>
          </cell>
          <cell r="F225">
            <v>22.958300000000001</v>
          </cell>
          <cell r="G225">
            <v>4459.4178750000119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6169.4325750000071</v>
          </cell>
          <cell r="F226">
            <v>29.280275</v>
          </cell>
          <cell r="G226">
            <v>5166.9019500000149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9703.325674999991</v>
          </cell>
          <cell r="F227">
            <v>53.137999999999991</v>
          </cell>
          <cell r="G227">
            <v>8115.5749500000084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9336.5647749999862</v>
          </cell>
          <cell r="F228">
            <v>50.517774999999993</v>
          </cell>
          <cell r="G228">
            <v>8033.5153000000128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6512.1761249999872</v>
          </cell>
          <cell r="F229">
            <v>46.172424999999997</v>
          </cell>
          <cell r="G229">
            <v>5581.7173750000065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9489.6062249999941</v>
          </cell>
          <cell r="F230">
            <v>50.991700000000009</v>
          </cell>
          <cell r="G230">
            <v>7934.7154500000197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9063.8287249999867</v>
          </cell>
          <cell r="F231">
            <v>43.483624999999996</v>
          </cell>
          <cell r="G231">
            <v>7660.536874999998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9680.799524999984</v>
          </cell>
          <cell r="F232">
            <v>43.494174999999998</v>
          </cell>
          <cell r="G232">
            <v>8137.8118000000395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8920.9137249999749</v>
          </cell>
          <cell r="F233">
            <v>45.442775000000005</v>
          </cell>
          <cell r="G233">
            <v>7382.8478000000123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6694.282224999999</v>
          </cell>
          <cell r="F234">
            <v>28.766999999999999</v>
          </cell>
          <cell r="G234">
            <v>5645.3533999999872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9886.7681000000121</v>
          </cell>
          <cell r="F235">
            <v>45.2898</v>
          </cell>
          <cell r="G235">
            <v>8477.3188000000064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9468.2140000000272</v>
          </cell>
          <cell r="F236">
            <v>42.104299999999988</v>
          </cell>
          <cell r="G236">
            <v>8086.9253250000129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10361.083075000019</v>
          </cell>
          <cell r="F237">
            <v>49.270225000000011</v>
          </cell>
          <cell r="G237">
            <v>8778.3507500000032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9426.9127749999989</v>
          </cell>
          <cell r="F238">
            <v>48.383675000000011</v>
          </cell>
          <cell r="G238">
            <v>8043.7050750000317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9526.4464499999922</v>
          </cell>
          <cell r="F239">
            <v>43.821450000000006</v>
          </cell>
          <cell r="G239">
            <v>8311.1804250000096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8734.8200249999845</v>
          </cell>
          <cell r="F241">
            <v>37.738250000000008</v>
          </cell>
          <cell r="G241">
            <v>7620.0064500000244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7242.8746500000188</v>
          </cell>
          <cell r="F242">
            <v>28.353725000000001</v>
          </cell>
          <cell r="G242">
            <v>6073.9148750000331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9273.194475000013</v>
          </cell>
          <cell r="F243">
            <v>38.9251</v>
          </cell>
          <cell r="G243">
            <v>7582.890574999994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8854.4172499999859</v>
          </cell>
          <cell r="F244">
            <v>24.747300000000006</v>
          </cell>
          <cell r="G244">
            <v>7240.3844000000045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9468.3818249999968</v>
          </cell>
          <cell r="F245">
            <v>32.865724999999998</v>
          </cell>
          <cell r="G245">
            <v>8033.6023250000198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10545.287874999984</v>
          </cell>
          <cell r="F246">
            <v>43.583925000000001</v>
          </cell>
          <cell r="G246">
            <v>8868.7953500000476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11288.65029999997</v>
          </cell>
          <cell r="F247">
            <v>49.84350000000002</v>
          </cell>
          <cell r="G247">
            <v>9664.9628750000138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12784.689275000026</v>
          </cell>
          <cell r="F248">
            <v>58.277525000000026</v>
          </cell>
          <cell r="G248">
            <v>11011.20674999997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13977.107799999962</v>
          </cell>
          <cell r="F249">
            <v>63.565975000000009</v>
          </cell>
          <cell r="G249">
            <v>12033.484949999969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13364.742275000015</v>
          </cell>
          <cell r="F250">
            <v>61.416675000000005</v>
          </cell>
          <cell r="G250">
            <v>11535.829675000075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12866.752825000012</v>
          </cell>
          <cell r="F251">
            <v>60.286050000000003</v>
          </cell>
          <cell r="G251">
            <v>10939.775250000077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12376.666124999965</v>
          </cell>
          <cell r="F252">
            <v>53.405450000000002</v>
          </cell>
          <cell r="G252">
            <v>10479.953799999999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11879.694424999978</v>
          </cell>
          <cell r="F253">
            <v>53.015200000000007</v>
          </cell>
          <cell r="G253">
            <v>10034.072574999967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11447.138600000009</v>
          </cell>
          <cell r="F254">
            <v>49.157724999999999</v>
          </cell>
          <cell r="G254">
            <v>9650.8446750000076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11164.096724999972</v>
          </cell>
          <cell r="F255">
            <v>44.590325</v>
          </cell>
          <cell r="G255">
            <v>9391.5341500000468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10915.726975000036</v>
          </cell>
          <cell r="F256">
            <v>39.277799999999999</v>
          </cell>
          <cell r="G256">
            <v>9168.2504250000202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10696.63297500001</v>
          </cell>
          <cell r="F257">
            <v>41.270725000000006</v>
          </cell>
          <cell r="G257">
            <v>9006.8106249999655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10574.682349999986</v>
          </cell>
          <cell r="F258">
            <v>41.057925000000004</v>
          </cell>
          <cell r="G258">
            <v>8979.7221500000305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10616.110125000023</v>
          </cell>
          <cell r="F259">
            <v>42.7498</v>
          </cell>
          <cell r="G259">
            <v>9121.1951749999589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11511.069099999982</v>
          </cell>
          <cell r="F260">
            <v>46.889175000000009</v>
          </cell>
          <cell r="G260">
            <v>9951.9797750000289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11559.970549999987</v>
          </cell>
          <cell r="F261">
            <v>45.73682500000001</v>
          </cell>
          <cell r="G261">
            <v>10008.276475000024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11435.791849999981</v>
          </cell>
          <cell r="F262">
            <v>43.852900000000012</v>
          </cell>
          <cell r="G262">
            <v>9827.5646750000396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11054.903674999981</v>
          </cell>
          <cell r="F263">
            <v>45.171025000000007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9637.3126499999908</v>
          </cell>
          <cell r="F265">
            <v>37.950775000000007</v>
          </cell>
          <cell r="G265">
            <v>8053.4076750000104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8857.6067499999972</v>
          </cell>
          <cell r="F266">
            <v>35.871500000000005</v>
          </cell>
          <cell r="G266">
            <v>7471.8818249999986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8650.8039250000056</v>
          </cell>
          <cell r="F267">
            <v>30.349825000000003</v>
          </cell>
          <cell r="G267">
            <v>7181.707600000007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8543.0951999999925</v>
          </cell>
          <cell r="F268">
            <v>30.131100000000004</v>
          </cell>
          <cell r="G268">
            <v>7043.9012499999862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8464.7531500000059</v>
          </cell>
          <cell r="F269">
            <v>30.796399999999998</v>
          </cell>
          <cell r="G269">
            <v>6986.9933000000192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8609.4938250000159</v>
          </cell>
          <cell r="F270">
            <v>32.037950000000002</v>
          </cell>
          <cell r="G270">
            <v>7129.6163249999818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9245.2971749999833</v>
          </cell>
          <cell r="F271">
            <v>35.400350000000003</v>
          </cell>
          <cell r="G271">
            <v>7721.3009000000211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10491.506575000012</v>
          </cell>
          <cell r="F272">
            <v>39.380075000000012</v>
          </cell>
          <cell r="G272">
            <v>8906.8214999999927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11590.995249999985</v>
          </cell>
          <cell r="F273">
            <v>46.721175000000002</v>
          </cell>
          <cell r="G273">
            <v>9897.7002500000417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11303.832225000004</v>
          </cell>
          <cell r="F274">
            <v>43.949825000000004</v>
          </cell>
          <cell r="G274">
            <v>9617.7481749999515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11127.127324999987</v>
          </cell>
          <cell r="F275">
            <v>41.236499999999999</v>
          </cell>
          <cell r="G275">
            <v>9418.6085500000008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11073.838424999994</v>
          </cell>
          <cell r="F276">
            <v>43.697075000000005</v>
          </cell>
          <cell r="G276">
            <v>9324.6292750000212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10922.408899999951</v>
          </cell>
          <cell r="F277">
            <v>43.353825000000008</v>
          </cell>
          <cell r="G277">
            <v>9257.8709249999793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10734.33127500002</v>
          </cell>
          <cell r="F278">
            <v>42.221725000000006</v>
          </cell>
          <cell r="G278">
            <v>9205.2022000000215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10810.345724999977</v>
          </cell>
          <cell r="F279">
            <v>40.993299999999998</v>
          </cell>
          <cell r="G279">
            <v>9210.1662499999893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10642.089625000004</v>
          </cell>
          <cell r="F280">
            <v>37.342224999999999</v>
          </cell>
          <cell r="G280">
            <v>9166.1937500000076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10763.749199999991</v>
          </cell>
          <cell r="F281">
            <v>40.214850000000006</v>
          </cell>
          <cell r="G281">
            <v>9127.1089250000241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10745.368900000012</v>
          </cell>
          <cell r="F282">
            <v>35.590874999999997</v>
          </cell>
          <cell r="G282">
            <v>9134.9346500000465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10807.300249999977</v>
          </cell>
          <cell r="F283">
            <v>36.520924999999998</v>
          </cell>
          <cell r="G283">
            <v>9176.9623750000464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11535.94265000001</v>
          </cell>
          <cell r="F284">
            <v>43.437000000000005</v>
          </cell>
          <cell r="G284">
            <v>9821.0946500000136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11482.356724999987</v>
          </cell>
          <cell r="F285">
            <v>45.010525000000001</v>
          </cell>
          <cell r="G285">
            <v>9826.5570749999497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11226.212550000004</v>
          </cell>
          <cell r="F286">
            <v>41.441049999999997</v>
          </cell>
          <cell r="G286">
            <v>9572.7321750000719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10754.571175000014</v>
          </cell>
          <cell r="F287">
            <v>40.889049999999997</v>
          </cell>
          <cell r="G287">
            <v>9124.546799999991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9198.0026000000016</v>
          </cell>
          <cell r="F289">
            <v>35.433350000000011</v>
          </cell>
          <cell r="G289">
            <v>7671.7285000000165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8482.3431500000115</v>
          </cell>
          <cell r="F290">
            <v>31.578375000000001</v>
          </cell>
          <cell r="G290">
            <v>7079.0020500000037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8142.0895250000294</v>
          </cell>
          <cell r="F291">
            <v>27.881225000000001</v>
          </cell>
          <cell r="G291">
            <v>6794.787150000051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8144.925750000014</v>
          </cell>
          <cell r="F292">
            <v>29.589800000000007</v>
          </cell>
          <cell r="G292">
            <v>6707.4739499999941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8213.8221250000206</v>
          </cell>
          <cell r="F293">
            <v>31.91810000000001</v>
          </cell>
          <cell r="G293">
            <v>6768.8703000000341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8512.8336749999798</v>
          </cell>
          <cell r="F294">
            <v>33.80415</v>
          </cell>
          <cell r="G294">
            <v>7046.1299499999932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9279.8658499999892</v>
          </cell>
          <cell r="F295">
            <v>37.858024999999998</v>
          </cell>
          <cell r="G295">
            <v>7753.4319750000068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10910.214525000018</v>
          </cell>
          <cell r="F296">
            <v>45.190600000000003</v>
          </cell>
          <cell r="G296">
            <v>9168.167600000028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12245.633075000009</v>
          </cell>
          <cell r="F297">
            <v>53.959699999999998</v>
          </cell>
          <cell r="G297">
            <v>10394.305650000017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10797.717424999999</v>
          </cell>
          <cell r="F298">
            <v>45.352074999999999</v>
          </cell>
          <cell r="G298">
            <v>9074.6184499999654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10147.78685000001</v>
          </cell>
          <cell r="F299">
            <v>51.343650000000011</v>
          </cell>
          <cell r="G299">
            <v>8427.7691249999916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7131.9436500000129</v>
          </cell>
          <cell r="F300">
            <v>35.050449999999998</v>
          </cell>
          <cell r="G300">
            <v>6063.3233000000209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8900.9223500000135</v>
          </cell>
          <cell r="F301">
            <v>38.665025</v>
          </cell>
          <cell r="G301">
            <v>7588.2888750000066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6052.7889250000017</v>
          </cell>
          <cell r="F302">
            <v>19.917350000000003</v>
          </cell>
          <cell r="G302">
            <v>5323.0052999999934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8443.2780250000069</v>
          </cell>
          <cell r="F303">
            <v>35.1995</v>
          </cell>
          <cell r="G303">
            <v>6883.6109500000248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9721.9161750000403</v>
          </cell>
          <cell r="F304">
            <v>26.771424999999994</v>
          </cell>
          <cell r="G304">
            <v>8121.1265250000388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8779.9276249999966</v>
          </cell>
          <cell r="F305">
            <v>25.204049999999999</v>
          </cell>
          <cell r="G305">
            <v>7188.7333750000189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8817.6389749999744</v>
          </cell>
          <cell r="F306">
            <v>34.323599999999999</v>
          </cell>
          <cell r="G306">
            <v>7518.4140499999939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9171.9036999999844</v>
          </cell>
          <cell r="F307">
            <v>32.910550000000001</v>
          </cell>
          <cell r="G307">
            <v>7487.3504749999956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8359.7046000000064</v>
          </cell>
          <cell r="F308">
            <v>23.179875000000006</v>
          </cell>
          <cell r="G308">
            <v>6981.8074750000042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4562.3677749999997</v>
          </cell>
          <cell r="F309">
            <v>18.899850000000001</v>
          </cell>
          <cell r="G309">
            <v>3960.8799499999955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7480.5913499999942</v>
          </cell>
          <cell r="F310">
            <v>34.427424999999999</v>
          </cell>
          <cell r="G310">
            <v>6455.4219749999975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10013.095049999962</v>
          </cell>
          <cell r="F311">
            <v>42.961275000000001</v>
          </cell>
          <cell r="G311">
            <v>8661.2140500000187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10629.447749999988</v>
          </cell>
          <cell r="F313">
            <v>44.643500000000003</v>
          </cell>
          <cell r="G313">
            <v>8957.9003000000448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10167.206299999989</v>
          </cell>
          <cell r="F314">
            <v>44.149650000000008</v>
          </cell>
          <cell r="G314">
            <v>8562.9527499999804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9994.6721249999937</v>
          </cell>
          <cell r="F315">
            <v>43.632949999999994</v>
          </cell>
          <cell r="G315">
            <v>8410.2179250000245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3594.8045750000028</v>
          </cell>
          <cell r="F316">
            <v>3.243325</v>
          </cell>
          <cell r="G316">
            <v>4997.0807750000113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10088.640425000025</v>
          </cell>
          <cell r="F317">
            <v>41.883324999999999</v>
          </cell>
          <cell r="G317">
            <v>8474.4710500000347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10278.639975000013</v>
          </cell>
          <cell r="F318">
            <v>42.799799999999998</v>
          </cell>
          <cell r="G318">
            <v>8663.3778749999619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44.797775000000001</v>
          </cell>
          <cell r="G319">
            <v>9059.2708750000074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11365.446600000008</v>
          </cell>
          <cell r="F320">
            <v>47.886849999999995</v>
          </cell>
          <cell r="G320">
            <v>9692.6066250000185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12031.41720000002</v>
          </cell>
          <cell r="F321">
            <v>50.762875000000008</v>
          </cell>
          <cell r="G321">
            <v>10346.617925000002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12379.021324999998</v>
          </cell>
          <cell r="F322">
            <v>51.545500000000004</v>
          </cell>
          <cell r="G322">
            <v>10641.963525000067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12168.623099999968</v>
          </cell>
          <cell r="F323">
            <v>49.98940000000001</v>
          </cell>
          <cell r="G323">
            <v>10483.981725000025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11808.517949999989</v>
          </cell>
          <cell r="F324">
            <v>44.831375000000001</v>
          </cell>
          <cell r="G324">
            <v>10066.141375000012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11211.155524999989</v>
          </cell>
          <cell r="F325">
            <v>39.308575000000005</v>
          </cell>
          <cell r="G325">
            <v>9535.2234500000613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10675.193199999994</v>
          </cell>
          <cell r="F326">
            <v>35.511875000000003</v>
          </cell>
          <cell r="G326">
            <v>8995.5314250000301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10171.62874999996</v>
          </cell>
          <cell r="F327">
            <v>33.234100000000012</v>
          </cell>
          <cell r="G327">
            <v>8536.7559500000498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9787.3413500000242</v>
          </cell>
          <cell r="F328">
            <v>33.112250000000003</v>
          </cell>
          <cell r="G328">
            <v>8216.718400000027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9478.2047750000111</v>
          </cell>
          <cell r="F329">
            <v>32.487575000000007</v>
          </cell>
          <cell r="G329">
            <v>8032.6994000000577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9405.660099999981</v>
          </cell>
          <cell r="F330">
            <v>31.451175000000003</v>
          </cell>
          <cell r="G330">
            <v>7993.1586500000276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9753.9921749999794</v>
          </cell>
          <cell r="F331">
            <v>32.478549999999998</v>
          </cell>
          <cell r="G331">
            <v>8280.7124250000179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10620.29117500002</v>
          </cell>
          <cell r="F332">
            <v>35.208874999999999</v>
          </cell>
          <cell r="G332">
            <v>9080.0344500000065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10755.815374999987</v>
          </cell>
          <cell r="F333">
            <v>35.961850000000005</v>
          </cell>
          <cell r="G333">
            <v>9158.513899999989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10654.846625000006</v>
          </cell>
          <cell r="F334">
            <v>34.652999999999999</v>
          </cell>
          <cell r="G334">
            <v>9020.8412499999722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10354.687724999989</v>
          </cell>
          <cell r="F335">
            <v>33.479900000000001</v>
          </cell>
          <cell r="G335">
            <v>8776.8976500000354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9415.2465750000028</v>
          </cell>
          <cell r="F337">
            <v>31.115250000000003</v>
          </cell>
          <cell r="G337">
            <v>7961.0872750000181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6546.4810500000012</v>
          </cell>
          <cell r="F338">
            <v>21.194325000000003</v>
          </cell>
          <cell r="G338">
            <v>5566.828325000004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8481.8507000000045</v>
          </cell>
          <cell r="F339">
            <v>27.838750000000001</v>
          </cell>
          <cell r="G339">
            <v>7196.4718749999947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8272.2433499999897</v>
          </cell>
          <cell r="F340">
            <v>27.631975000000004</v>
          </cell>
          <cell r="G340">
            <v>7013.9039500000072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8183.5669749999861</v>
          </cell>
          <cell r="F341">
            <v>27.501550000000005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8193.6514749999878</v>
          </cell>
          <cell r="F342">
            <v>27.641750000000005</v>
          </cell>
          <cell r="G342">
            <v>6956.7416249999897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8347.5260250000138</v>
          </cell>
          <cell r="F343">
            <v>28.775500000000008</v>
          </cell>
          <cell r="G343">
            <v>7073.1452750000199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8659.3101750000042</v>
          </cell>
          <cell r="F344">
            <v>29.91555</v>
          </cell>
          <cell r="G344">
            <v>7356.8934000000263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9119.738649999992</v>
          </cell>
          <cell r="F345">
            <v>32.747574999999998</v>
          </cell>
          <cell r="G345">
            <v>7739.1841000000413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9720.0322749999996</v>
          </cell>
          <cell r="F346">
            <v>35.802749999999996</v>
          </cell>
          <cell r="G346">
            <v>8132.2132250000077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10096.446724999978</v>
          </cell>
          <cell r="F347">
            <v>37.445100000000004</v>
          </cell>
          <cell r="G347">
            <v>8496.4419750000052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10220.929174999979</v>
          </cell>
          <cell r="F348">
            <v>35.860925000000009</v>
          </cell>
          <cell r="G348">
            <v>8603.2059250000384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10066.380300000001</v>
          </cell>
          <cell r="F349">
            <v>35.637575000000005</v>
          </cell>
          <cell r="G349">
            <v>8488.9951499999861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10021.304550000024</v>
          </cell>
          <cell r="F350">
            <v>35.317500000000003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9899.0581250000068</v>
          </cell>
          <cell r="F351">
            <v>35.970775000000003</v>
          </cell>
          <cell r="G351">
            <v>8358.9900500000131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9737.4359000000004</v>
          </cell>
          <cell r="F352">
            <v>34.892625000000002</v>
          </cell>
          <cell r="G352">
            <v>8205.129649999988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9493.9007249999831</v>
          </cell>
          <cell r="F353">
            <v>35.812049999999999</v>
          </cell>
          <cell r="G353">
            <v>7998.1317750000107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9525.1179999999858</v>
          </cell>
          <cell r="F354">
            <v>35.280350000000006</v>
          </cell>
          <cell r="G354">
            <v>8005.2784250000368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9711.3501499999857</v>
          </cell>
          <cell r="F355">
            <v>36.870875000000012</v>
          </cell>
          <cell r="G355">
            <v>8228.9186000000245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10370.644174999996</v>
          </cell>
          <cell r="F356">
            <v>38.638800000000003</v>
          </cell>
          <cell r="G356">
            <v>8901.6433000000234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10383.351574999966</v>
          </cell>
          <cell r="F357">
            <v>37.869550000000004</v>
          </cell>
          <cell r="G357">
            <v>8925.8105499999965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10238.900274999993</v>
          </cell>
          <cell r="F358">
            <v>36.696424999999991</v>
          </cell>
          <cell r="G358">
            <v>8725.2441750000235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9906.9300749999875</v>
          </cell>
          <cell r="F359">
            <v>35.222375</v>
          </cell>
          <cell r="G359">
            <v>8395.4000500000275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8754.0601249999909</v>
          </cell>
          <cell r="F361">
            <v>31.482825000000002</v>
          </cell>
          <cell r="G361">
            <v>7360.4662499999977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8193.0546500000037</v>
          </cell>
          <cell r="F362">
            <v>29.562275000000007</v>
          </cell>
          <cell r="G362">
            <v>6855.5297250000349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7850.6815250000145</v>
          </cell>
          <cell r="F363">
            <v>28.698600000000003</v>
          </cell>
          <cell r="G363">
            <v>6566.4979500000054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7708.9129499999781</v>
          </cell>
          <cell r="F364">
            <v>28.603525000000001</v>
          </cell>
          <cell r="G364">
            <v>6438.1139500000036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7653.1483749999934</v>
          </cell>
          <cell r="F365">
            <v>30.755575</v>
          </cell>
          <cell r="G365">
            <v>6416.6293250000244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7780.7722500000091</v>
          </cell>
          <cell r="F366">
            <v>34.607824999999998</v>
          </cell>
          <cell r="G366">
            <v>6523.3555000000142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8264.3412499999813</v>
          </cell>
          <cell r="F367">
            <v>35.806175000000003</v>
          </cell>
          <cell r="G367">
            <v>6974.672350000008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9129.8164500000312</v>
          </cell>
          <cell r="F368">
            <v>39.581799999999994</v>
          </cell>
          <cell r="G368">
            <v>7763.3442750000113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10099.219825000009</v>
          </cell>
          <cell r="F369">
            <v>43.173749999999998</v>
          </cell>
          <cell r="G369">
            <v>8488.7635500000051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10417.651925000027</v>
          </cell>
          <cell r="F370">
            <v>42.736625000000004</v>
          </cell>
          <cell r="G370">
            <v>8798.2926750000079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10803.921449999978</v>
          </cell>
          <cell r="F371">
            <v>42.236050000000006</v>
          </cell>
          <cell r="G371">
            <v>9061.8113000000158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11129.024700000055</v>
          </cell>
          <cell r="F372">
            <v>43.541925000000006</v>
          </cell>
          <cell r="G372">
            <v>9323.5464249999986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11130.40972499999</v>
          </cell>
          <cell r="F373">
            <v>43.717699999999994</v>
          </cell>
          <cell r="G373">
            <v>9466.2372750000468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10978.263799999995</v>
          </cell>
          <cell r="F374">
            <v>43.289449999999995</v>
          </cell>
          <cell r="G374">
            <v>9374.2845000000125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10910.645150000046</v>
          </cell>
          <cell r="F375">
            <v>44.478574999999999</v>
          </cell>
          <cell r="G375">
            <v>9265.7984250000445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10768.374624999997</v>
          </cell>
          <cell r="F376">
            <v>40.740450000000003</v>
          </cell>
          <cell r="G376">
            <v>9131.9415500000632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10633.300275000025</v>
          </cell>
          <cell r="F377">
            <v>43.288849999999996</v>
          </cell>
          <cell r="G377">
            <v>9041.3103250000368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10627.576649999977</v>
          </cell>
          <cell r="F378">
            <v>42.501775000000002</v>
          </cell>
          <cell r="G378">
            <v>9024.1829250000574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10874.798949999991</v>
          </cell>
          <cell r="F379">
            <v>43.213649999999994</v>
          </cell>
          <cell r="G379">
            <v>9301.3846750000339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11563.929374999991</v>
          </cell>
          <cell r="F380">
            <v>46.15617499999999</v>
          </cell>
          <cell r="G380">
            <v>9944.2151250000334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11550.37602499996</v>
          </cell>
          <cell r="F381">
            <v>49.164999999999999</v>
          </cell>
          <cell r="G381">
            <v>9946.9806250000165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11437.985899999989</v>
          </cell>
          <cell r="F382">
            <v>44.183949999999996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11031.854849999992</v>
          </cell>
          <cell r="F383">
            <v>43.548850000000002</v>
          </cell>
          <cell r="G383">
            <v>9378.1325250000264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9536.3240249999835</v>
          </cell>
          <cell r="F385">
            <v>41.139249999999997</v>
          </cell>
          <cell r="G385">
            <v>8028.3510250000045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8925.5790250000027</v>
          </cell>
          <cell r="F386">
            <v>36.153000000000006</v>
          </cell>
          <cell r="G386">
            <v>7528.7040000000297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8688.8838999999844</v>
          </cell>
          <cell r="F387">
            <v>32.552800000000005</v>
          </cell>
          <cell r="G387">
            <v>7345.0280750000456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33.591625000000001</v>
          </cell>
          <cell r="G388">
            <v>7371.3019250000198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8880.8213250000063</v>
          </cell>
          <cell r="F389">
            <v>34.599174999999995</v>
          </cell>
          <cell r="G389">
            <v>7527.1905750000087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9269.560875000032</v>
          </cell>
          <cell r="F390">
            <v>37.543750000000003</v>
          </cell>
          <cell r="G390">
            <v>7859.8041500000099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10444.702399999996</v>
          </cell>
          <cell r="F391">
            <v>43.149225000000001</v>
          </cell>
          <cell r="G391">
            <v>8748.7182750000356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12143.157374999942</v>
          </cell>
          <cell r="F392">
            <v>50.389150000000008</v>
          </cell>
          <cell r="G392">
            <v>10282.408599999982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13510.719224999988</v>
          </cell>
          <cell r="F393">
            <v>59.234850000000002</v>
          </cell>
          <cell r="G393">
            <v>11562.934274999967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13174.080400000019</v>
          </cell>
          <cell r="F394">
            <v>52.395299999999999</v>
          </cell>
          <cell r="G394">
            <v>11240.045875000034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12844.37404999998</v>
          </cell>
          <cell r="F395">
            <v>48.999124999999992</v>
          </cell>
          <cell r="G395">
            <v>10921.870200000014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12686.865049999969</v>
          </cell>
          <cell r="F396">
            <v>50.921125000000004</v>
          </cell>
          <cell r="G396">
            <v>10785.421275000002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12431.474975000006</v>
          </cell>
          <cell r="F397">
            <v>48.273199999999996</v>
          </cell>
          <cell r="G397">
            <v>10587.358725000016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12132.729899999997</v>
          </cell>
          <cell r="F398">
            <v>47.231225000000002</v>
          </cell>
          <cell r="G398">
            <v>10326.061549999997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11923.510050000034</v>
          </cell>
          <cell r="F399">
            <v>46.825875000000018</v>
          </cell>
          <cell r="G399">
            <v>10103.561625000058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11673.407100000037</v>
          </cell>
          <cell r="F400">
            <v>40.430050000000001</v>
          </cell>
          <cell r="G400">
            <v>9828.7749250000525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11362.54265000001</v>
          </cell>
          <cell r="F401">
            <v>44.983525</v>
          </cell>
          <cell r="G401">
            <v>9603.4737500000538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41.892925000000012</v>
          </cell>
          <cell r="G402">
            <v>9568.4811500000178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11717.65907499997</v>
          </cell>
          <cell r="F403">
            <v>44.092524999999995</v>
          </cell>
          <cell r="G403">
            <v>9900.1866000000355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12907.167150000014</v>
          </cell>
          <cell r="F404">
            <v>50.977400000000003</v>
          </cell>
          <cell r="G404">
            <v>10987.700824999974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13257.172624999976</v>
          </cell>
          <cell r="F405">
            <v>51.931249999999999</v>
          </cell>
          <cell r="G405">
            <v>11333.255750000011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13153.303100000008</v>
          </cell>
          <cell r="F406">
            <v>53.785525</v>
          </cell>
          <cell r="G406">
            <v>11309.566775000023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12747.080699999975</v>
          </cell>
          <cell r="F407">
            <v>54.476899999999986</v>
          </cell>
          <cell r="G407">
            <v>11090.213724999976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11374.445600000012</v>
          </cell>
          <cell r="F409">
            <v>50.841250000000002</v>
          </cell>
          <cell r="G409">
            <v>9659.6136000000279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10849.39017499999</v>
          </cell>
          <cell r="F410">
            <v>44.872775000000004</v>
          </cell>
          <cell r="G410">
            <v>9080.4704999999976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10576.473550000017</v>
          </cell>
          <cell r="F411">
            <v>43.384724999999996</v>
          </cell>
          <cell r="G411">
            <v>8876.9995249999702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10470.304450000031</v>
          </cell>
          <cell r="F412">
            <v>43.762925000000003</v>
          </cell>
          <cell r="G412">
            <v>8807.7586000000047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10529.688074999982</v>
          </cell>
          <cell r="F413">
            <v>43.972274999999996</v>
          </cell>
          <cell r="G413">
            <v>8832.4843499999643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10745.919924999998</v>
          </cell>
          <cell r="F414">
            <v>46.060724999999998</v>
          </cell>
          <cell r="G414">
            <v>9073.5405250000113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11596.097725000005</v>
          </cell>
          <cell r="F415">
            <v>49.413875000000004</v>
          </cell>
          <cell r="G415">
            <v>9819.2969499999599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13095.892775000035</v>
          </cell>
          <cell r="F416">
            <v>58.539424999999994</v>
          </cell>
          <cell r="G416">
            <v>11166.888050000016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14161.167650000021</v>
          </cell>
          <cell r="F417">
            <v>65.046599999999998</v>
          </cell>
          <cell r="G417">
            <v>12131.482399999977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13503.689625000005</v>
          </cell>
          <cell r="F418">
            <v>59.671475000000001</v>
          </cell>
          <cell r="G418">
            <v>11535.621625000025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12777.050974999982</v>
          </cell>
          <cell r="F419">
            <v>55.41525</v>
          </cell>
          <cell r="G419">
            <v>10860.477500000075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12268.065500000004</v>
          </cell>
          <cell r="F420">
            <v>50.814324999999997</v>
          </cell>
          <cell r="G420">
            <v>10408.333950000075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11738.349049999933</v>
          </cell>
          <cell r="F421">
            <v>46.210350000000005</v>
          </cell>
          <cell r="G421">
            <v>9934.9963750000461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11283.941899999998</v>
          </cell>
          <cell r="F422">
            <v>45.131749999999997</v>
          </cell>
          <cell r="G422">
            <v>9558.9200250000558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10987.926650000038</v>
          </cell>
          <cell r="F423">
            <v>42.239324999999994</v>
          </cell>
          <cell r="G423">
            <v>9290.0860000000157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10791.825375000009</v>
          </cell>
          <cell r="F424">
            <v>38.929074999999997</v>
          </cell>
          <cell r="G424">
            <v>9124.3034000000407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10604.52845000002</v>
          </cell>
          <cell r="F425">
            <v>41.043775000000011</v>
          </cell>
          <cell r="G425">
            <v>8995.6624000000429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10559.414325000069</v>
          </cell>
          <cell r="F426">
            <v>39.323075000000003</v>
          </cell>
          <cell r="G426">
            <v>8948.3434750000233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10663.083574999941</v>
          </cell>
          <cell r="F427">
            <v>43.015125000000005</v>
          </cell>
          <cell r="G427">
            <v>9053.5472499999923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11439.996775000036</v>
          </cell>
          <cell r="F428">
            <v>43.017374999999994</v>
          </cell>
          <cell r="G428">
            <v>9787.7688749999033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11629.269500000017</v>
          </cell>
          <cell r="F429">
            <v>43.751649999999998</v>
          </cell>
          <cell r="G429">
            <v>9948.3383499999909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11460.698849999973</v>
          </cell>
          <cell r="F430">
            <v>44.592575000000004</v>
          </cell>
          <cell r="G430">
            <v>9800.9259499999807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10967.456575000009</v>
          </cell>
          <cell r="F431">
            <v>43.578450000000004</v>
          </cell>
          <cell r="G431">
            <v>9478.3899250000359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9505.1776249999803</v>
          </cell>
          <cell r="F433">
            <v>41.147324999999995</v>
          </cell>
          <cell r="G433">
            <v>7940.7671250000094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8769.4067499999946</v>
          </cell>
          <cell r="F434">
            <v>35.268874999999994</v>
          </cell>
          <cell r="G434">
            <v>7348.6442250000136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8458.7482749999654</v>
          </cell>
          <cell r="F435">
            <v>32.717249999999993</v>
          </cell>
          <cell r="G435">
            <v>7040.2151250000579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8324.3307999999925</v>
          </cell>
          <cell r="F436">
            <v>32.873649999999998</v>
          </cell>
          <cell r="G436">
            <v>6910.7882500000205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8255.0006499999836</v>
          </cell>
          <cell r="F437">
            <v>32.620899999999999</v>
          </cell>
          <cell r="G437">
            <v>6889.5145250000442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8412.6389749999616</v>
          </cell>
          <cell r="F438">
            <v>34.181549999999994</v>
          </cell>
          <cell r="G438">
            <v>7053.8102500000696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9085.7772749999986</v>
          </cell>
          <cell r="F439">
            <v>36.549249999999994</v>
          </cell>
          <cell r="G439">
            <v>7639.8668250000419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10502.242375000013</v>
          </cell>
          <cell r="F440">
            <v>42.543549999999996</v>
          </cell>
          <cell r="G440">
            <v>8883.0917750000117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49.177224999999993</v>
          </cell>
          <cell r="G441">
            <v>9883.7427250000055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11209.941350000001</v>
          </cell>
          <cell r="F442">
            <v>46.718699999999998</v>
          </cell>
          <cell r="G442">
            <v>9529.4478500000041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11049.233974999977</v>
          </cell>
          <cell r="F443">
            <v>44.895050000000005</v>
          </cell>
          <cell r="G443">
            <v>9300.7747750000508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10983.189075000042</v>
          </cell>
          <cell r="F444">
            <v>46.440350000000002</v>
          </cell>
          <cell r="G444">
            <v>9264.7440750000587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9077.8006000000187</v>
          </cell>
          <cell r="F445">
            <v>39.517975</v>
          </cell>
          <cell r="G445">
            <v>7666.8453750000226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8643.5773000000063</v>
          </cell>
          <cell r="F446">
            <v>33.118699999999997</v>
          </cell>
          <cell r="G446">
            <v>7176.2905000000028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7210.6130750000202</v>
          </cell>
          <cell r="F447">
            <v>27.194075000000002</v>
          </cell>
          <cell r="G447">
            <v>6189.5498249999964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7917.1445249999979</v>
          </cell>
          <cell r="F448">
            <v>28.637975000000001</v>
          </cell>
          <cell r="G448">
            <v>6443.1035999999986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9509.9987250000268</v>
          </cell>
          <cell r="F449">
            <v>42.081424999999996</v>
          </cell>
          <cell r="G449">
            <v>7825.2813750000332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10513.659100000015</v>
          </cell>
          <cell r="F450">
            <v>44.58057500000001</v>
          </cell>
          <cell r="G450">
            <v>8934.7794750000194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9091.3902500000167</v>
          </cell>
          <cell r="F451">
            <v>40.878675000000001</v>
          </cell>
          <cell r="G451">
            <v>7643.3607000000047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10195.454425000018</v>
          </cell>
          <cell r="F452">
            <v>32.385375000000003</v>
          </cell>
          <cell r="G452">
            <v>8522.6568000000043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8311.7124249999979</v>
          </cell>
          <cell r="F453">
            <v>27.742750000000001</v>
          </cell>
          <cell r="G453">
            <v>7120.0969750000368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9999.2417750000295</v>
          </cell>
          <cell r="F454">
            <v>33.76147499999999</v>
          </cell>
          <cell r="G454">
            <v>8368.4890499999965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5798.2891249999975</v>
          </cell>
          <cell r="F455">
            <v>16.558425</v>
          </cell>
          <cell r="G455">
            <v>4793.0730250000088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9112.6207500000419</v>
          </cell>
          <cell r="F457">
            <v>35.60217500000001</v>
          </cell>
          <cell r="G457">
            <v>7648.4216500000548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8415.7905250000258</v>
          </cell>
          <cell r="F458">
            <v>35.563550000000006</v>
          </cell>
          <cell r="G458">
            <v>7044.3048999999619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8068.6179000000211</v>
          </cell>
          <cell r="F459">
            <v>31.065149999999999</v>
          </cell>
          <cell r="G459">
            <v>6691.9515750000337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7926.6471500000052</v>
          </cell>
          <cell r="F460">
            <v>33.032325</v>
          </cell>
          <cell r="G460">
            <v>6487.284750000008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7845.190325000005</v>
          </cell>
          <cell r="F461">
            <v>34.021675000000002</v>
          </cell>
          <cell r="G461">
            <v>6439.9625000000242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7944.9815499999713</v>
          </cell>
          <cell r="F462">
            <v>35.340025000000004</v>
          </cell>
          <cell r="G462">
            <v>6576.0217000000139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8531.8075749999898</v>
          </cell>
          <cell r="F463">
            <v>38.255700000000004</v>
          </cell>
          <cell r="G463">
            <v>7096.1396000000568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9759.0127500000108</v>
          </cell>
          <cell r="F464">
            <v>41.328725000000006</v>
          </cell>
          <cell r="G464">
            <v>8244.7461999999905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10940.769074999964</v>
          </cell>
          <cell r="F465">
            <v>49.018274999999996</v>
          </cell>
          <cell r="G465">
            <v>9280.2469500000207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10846.717650000002</v>
          </cell>
          <cell r="F466">
            <v>48.986750000000001</v>
          </cell>
          <cell r="G466">
            <v>9182.3134500000106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10797.823474999977</v>
          </cell>
          <cell r="F467">
            <v>47.709200000000003</v>
          </cell>
          <cell r="G467">
            <v>9130.476124999961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4003.2140999999965</v>
          </cell>
          <cell r="F468">
            <v>0.67365000000000008</v>
          </cell>
          <cell r="G468">
            <v>6087.4613750000335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10872.104124999983</v>
          </cell>
          <cell r="F469">
            <v>49.78105</v>
          </cell>
          <cell r="G469">
            <v>9222.0261500000615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10771.848350000007</v>
          </cell>
          <cell r="F470">
            <v>45.169000000000004</v>
          </cell>
          <cell r="G470">
            <v>9136.8676999999952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10778.010175000034</v>
          </cell>
          <cell r="F471">
            <v>44.695950000000011</v>
          </cell>
          <cell r="G471">
            <v>9155.564750000025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10341.354750000004</v>
          </cell>
          <cell r="F472">
            <v>37.592425000000006</v>
          </cell>
          <cell r="G472">
            <v>8692.5658250000197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10186.255500000008</v>
          </cell>
          <cell r="F473">
            <v>39.754925</v>
          </cell>
          <cell r="G473">
            <v>8619.0754250000045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10504.445175000012</v>
          </cell>
          <cell r="F474">
            <v>44.614050000000006</v>
          </cell>
          <cell r="G474">
            <v>8863.0873749999828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10400.553250000017</v>
          </cell>
          <cell r="F475">
            <v>44.388950000000015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10933.662874999973</v>
          </cell>
          <cell r="F476">
            <v>43.154375000000002</v>
          </cell>
          <cell r="G476">
            <v>9307.840100000034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10975.187974999988</v>
          </cell>
          <cell r="F477">
            <v>44.741024999999993</v>
          </cell>
          <cell r="G477">
            <v>9349.1472499999982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10799.106175000004</v>
          </cell>
          <cell r="F478">
            <v>41.627775000000007</v>
          </cell>
          <cell r="G478">
            <v>9181.2966750000214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10584.28362499998</v>
          </cell>
          <cell r="F479">
            <v>41.081225000000003</v>
          </cell>
          <cell r="G479">
            <v>8971.8139249999931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9133.8898249999856</v>
          </cell>
          <cell r="F481">
            <v>27.1313</v>
          </cell>
          <cell r="G481">
            <v>7728.4399999999841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9314.8442499999874</v>
          </cell>
          <cell r="F482">
            <v>34.453624999999995</v>
          </cell>
          <cell r="G482">
            <v>7795.910874999985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9121.0163999999604</v>
          </cell>
          <cell r="F483">
            <v>33.238075000000009</v>
          </cell>
          <cell r="G483">
            <v>7595.2757249999922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3145.4948000000013</v>
          </cell>
          <cell r="F484">
            <v>1.159575</v>
          </cell>
          <cell r="G484">
            <v>4235.7014749999935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9128.9381499999836</v>
          </cell>
          <cell r="F485">
            <v>34.500425000000007</v>
          </cell>
          <cell r="G485">
            <v>7591.2471500000011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9303.691449999993</v>
          </cell>
          <cell r="F486">
            <v>35.834575000000001</v>
          </cell>
          <cell r="G486">
            <v>7762.6373250000061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9779.3302749999966</v>
          </cell>
          <cell r="F487">
            <v>39.789400000000001</v>
          </cell>
          <cell r="G487">
            <v>8151.2611250000227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10459.12965000005</v>
          </cell>
          <cell r="F488">
            <v>43.514825000000002</v>
          </cell>
          <cell r="G488">
            <v>8801.1961499999779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11263.008999999995</v>
          </cell>
          <cell r="F489">
            <v>49.092424999999999</v>
          </cell>
          <cell r="G489">
            <v>9510.3500249999724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11773.936474999995</v>
          </cell>
          <cell r="F490">
            <v>52.616499999999988</v>
          </cell>
          <cell r="G490">
            <v>9951.4348750000445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11937.051350000011</v>
          </cell>
          <cell r="F491">
            <v>51.639975000000007</v>
          </cell>
          <cell r="G491">
            <v>10113.085049999969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11768.259950000076</v>
          </cell>
          <cell r="F492">
            <v>49.624300000000012</v>
          </cell>
          <cell r="G492">
            <v>9963.6612750000277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11338.240374999979</v>
          </cell>
          <cell r="F493">
            <v>46.683925000000002</v>
          </cell>
          <cell r="G493">
            <v>9592.4922499999975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10841.720699999989</v>
          </cell>
          <cell r="F494">
            <v>43.611949999999993</v>
          </cell>
          <cell r="G494">
            <v>9166.8208500000055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10362.327199999989</v>
          </cell>
          <cell r="F495">
            <v>40.373575000000002</v>
          </cell>
          <cell r="G495">
            <v>8731.8931500000235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9989.7660000000087</v>
          </cell>
          <cell r="F496">
            <v>39.529025000000004</v>
          </cell>
          <cell r="G496">
            <v>8368.2104000000054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9750.3723999999966</v>
          </cell>
          <cell r="F497">
            <v>39.964149999999997</v>
          </cell>
          <cell r="G497">
            <v>8142.0758250000463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9720.7159749999955</v>
          </cell>
          <cell r="F498">
            <v>40.254449999999999</v>
          </cell>
          <cell r="G498">
            <v>8096.4159000000391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10069.149174999995</v>
          </cell>
          <cell r="F499">
            <v>41.965674999999997</v>
          </cell>
          <cell r="G499">
            <v>8400.2446749999963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10947.076274999978</v>
          </cell>
          <cell r="F500">
            <v>43.398650000000004</v>
          </cell>
          <cell r="G500">
            <v>9212.5520250000081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11067.949625000005</v>
          </cell>
          <cell r="F501">
            <v>43.874350000000007</v>
          </cell>
          <cell r="G501">
            <v>9363.1311750000059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10948.570324999999</v>
          </cell>
          <cell r="F502">
            <v>43.513900000000007</v>
          </cell>
          <cell r="G502">
            <v>9219.2641750000457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10628.511875000007</v>
          </cell>
          <cell r="F503">
            <v>42.076774999999998</v>
          </cell>
          <cell r="G503">
            <v>8990.0411749999857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9653.5744249999989</v>
          </cell>
          <cell r="F505">
            <v>41.421924999999995</v>
          </cell>
          <cell r="G505">
            <v>8094.4070000000138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6713.341425000006</v>
          </cell>
          <cell r="F506">
            <v>29.805375000000002</v>
          </cell>
          <cell r="G506">
            <v>5650.3071499999978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8742.8832749999965</v>
          </cell>
          <cell r="F507">
            <v>41.786050000000003</v>
          </cell>
          <cell r="G507">
            <v>7290.8472499999743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8666.3417000000045</v>
          </cell>
          <cell r="F508">
            <v>40.598100000000002</v>
          </cell>
          <cell r="G508">
            <v>7164.0148000000127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8560.0627999999779</v>
          </cell>
          <cell r="F509">
            <v>41.614774999999995</v>
          </cell>
          <cell r="G509">
            <v>7140.8805500000099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8682.5662749999938</v>
          </cell>
          <cell r="F510">
            <v>37.719075000000004</v>
          </cell>
          <cell r="G510">
            <v>7179.0771250000162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8811.5380499999992</v>
          </cell>
          <cell r="F511">
            <v>39.292499999999997</v>
          </cell>
          <cell r="G511">
            <v>7337.709525000002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9081.300274999965</v>
          </cell>
          <cell r="F512">
            <v>40.235900000000001</v>
          </cell>
          <cell r="G512">
            <v>7675.9358250000123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9707.5454000000373</v>
          </cell>
          <cell r="F513">
            <v>42.689575000000005</v>
          </cell>
          <cell r="G513">
            <v>8179.7794500000236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10348.350099999974</v>
          </cell>
          <cell r="F514">
            <v>47.119324999999996</v>
          </cell>
          <cell r="G514">
            <v>8712.0094250000147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10867.365475000037</v>
          </cell>
          <cell r="F515">
            <v>49.756600000000006</v>
          </cell>
          <cell r="G515">
            <v>9245.1069500000322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11229.15615000001</v>
          </cell>
          <cell r="F516">
            <v>50.035250000000005</v>
          </cell>
          <cell r="G516">
            <v>9619.0313749999787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11559.174749999998</v>
          </cell>
          <cell r="F517">
            <v>47.999100000000006</v>
          </cell>
          <cell r="G517">
            <v>9892.5767999999753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11680.258549999951</v>
          </cell>
          <cell r="F518">
            <v>46.936300000000003</v>
          </cell>
          <cell r="G518">
            <v>9962.2044250000072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11571.017475000008</v>
          </cell>
          <cell r="F519">
            <v>48.290800000000004</v>
          </cell>
          <cell r="G519">
            <v>9899.1075250000158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11385.410924999996</v>
          </cell>
          <cell r="F520">
            <v>48.303400000000011</v>
          </cell>
          <cell r="G520">
            <v>9782.7502249999889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11330.993150000024</v>
          </cell>
          <cell r="F521">
            <v>46.717425000000013</v>
          </cell>
          <cell r="G521">
            <v>9697.8867500000088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11439.667199999991</v>
          </cell>
          <cell r="F522">
            <v>45.548300000000012</v>
          </cell>
          <cell r="G522">
            <v>9764.1679750000294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11721.072500000051</v>
          </cell>
          <cell r="F523">
            <v>46.812799999999996</v>
          </cell>
          <cell r="G523">
            <v>10026.820500000038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12402.588675000032</v>
          </cell>
          <cell r="F524">
            <v>48.247625000000006</v>
          </cell>
          <cell r="G524">
            <v>10633.739475000002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12544.745425000023</v>
          </cell>
          <cell r="F525">
            <v>49.547400000000017</v>
          </cell>
          <cell r="G525">
            <v>10756.434924999965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12362.605174999997</v>
          </cell>
          <cell r="F526">
            <v>49.69487500000001</v>
          </cell>
          <cell r="G526">
            <v>10602.453324999973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11979.861050000003</v>
          </cell>
          <cell r="F527">
            <v>48.667124999999999</v>
          </cell>
          <cell r="G527">
            <v>10255.730624999973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10487.443500000016</v>
          </cell>
          <cell r="F529">
            <v>43.673050000000003</v>
          </cell>
          <cell r="G529">
            <v>8842.2317500000045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9834.4893499999671</v>
          </cell>
          <cell r="F530">
            <v>41.852624999999996</v>
          </cell>
          <cell r="G530">
            <v>8259.275924999989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9523.3920499999713</v>
          </cell>
          <cell r="F531">
            <v>41.595550000000003</v>
          </cell>
          <cell r="G531">
            <v>7993.9390249999833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9511.6110499999995</v>
          </cell>
          <cell r="F532">
            <v>41.694875000000003</v>
          </cell>
          <cell r="G532">
            <v>7946.2862250000171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9631.6773999999787</v>
          </cell>
          <cell r="F533">
            <v>41.841100000000004</v>
          </cell>
          <cell r="G533">
            <v>8038.9383500000195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9904.7696500000511</v>
          </cell>
          <cell r="F534">
            <v>42.879524999999994</v>
          </cell>
          <cell r="G534">
            <v>8350.692874999977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10823.323550000032</v>
          </cell>
          <cell r="F535">
            <v>47.967925000000008</v>
          </cell>
          <cell r="G535">
            <v>9177.8019500000137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12446.85500000002</v>
          </cell>
          <cell r="F536">
            <v>50.612625000000008</v>
          </cell>
          <cell r="G536">
            <v>10639.086049999985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13732.898125000011</v>
          </cell>
          <cell r="F537">
            <v>60.073050000000009</v>
          </cell>
          <cell r="G537">
            <v>11792.671424999966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13336.588849999991</v>
          </cell>
          <cell r="F538">
            <v>60.638475</v>
          </cell>
          <cell r="G538">
            <v>11469.11075000002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12984.460599999999</v>
          </cell>
          <cell r="F539">
            <v>64.436175000000006</v>
          </cell>
          <cell r="G539">
            <v>11120.943275000001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12611.302374999997</v>
          </cell>
          <cell r="F540">
            <v>60.209974999999986</v>
          </cell>
          <cell r="G540">
            <v>10762.658100000042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10260.329400000008</v>
          </cell>
          <cell r="F541">
            <v>54.393725000000011</v>
          </cell>
          <cell r="G541">
            <v>8551.613374999999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10515.042749999988</v>
          </cell>
          <cell r="F542">
            <v>40.894849999999998</v>
          </cell>
          <cell r="G542">
            <v>8834.8448000000626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8589.2685999999885</v>
          </cell>
          <cell r="F543">
            <v>32.971550000000001</v>
          </cell>
          <cell r="G543">
            <v>6958.6943499999943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11068.881749999991</v>
          </cell>
          <cell r="F544">
            <v>51.367175000000003</v>
          </cell>
          <cell r="G544">
            <v>9361.6373250000361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10847.12757500002</v>
          </cell>
          <cell r="F545">
            <v>50.454300000000003</v>
          </cell>
          <cell r="G545">
            <v>9144.2971750000233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10792.039849999999</v>
          </cell>
          <cell r="F546">
            <v>50.977174999999995</v>
          </cell>
          <cell r="G546">
            <v>9109.5075500000476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10995.955649999962</v>
          </cell>
          <cell r="F547">
            <v>49.803500000000014</v>
          </cell>
          <cell r="G547">
            <v>9319.7207250000338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12026.244650000024</v>
          </cell>
          <cell r="F548">
            <v>54.403725000000001</v>
          </cell>
          <cell r="G548">
            <v>10266.149025000077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12334.908799999996</v>
          </cell>
          <cell r="F549">
            <v>58.991675000000008</v>
          </cell>
          <cell r="G549">
            <v>10589.233299999996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12396.826199999958</v>
          </cell>
          <cell r="F550">
            <v>59.97182500000001</v>
          </cell>
          <cell r="G550">
            <v>10561.047199999975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12027.418050000011</v>
          </cell>
          <cell r="F551">
            <v>59.428275000000006</v>
          </cell>
          <cell r="G551">
            <v>10310.37754999997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10615.601450000015</v>
          </cell>
          <cell r="F553">
            <v>54.6965</v>
          </cell>
          <cell r="G553">
            <v>9038.4926999999989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10063.545175000012</v>
          </cell>
          <cell r="F554">
            <v>49.843725000000006</v>
          </cell>
          <cell r="G554">
            <v>8571.1867000000275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9999.2996499999808</v>
          </cell>
          <cell r="F555">
            <v>45.848999999999997</v>
          </cell>
          <cell r="G555">
            <v>8439.058200000034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10144.772175000007</v>
          </cell>
          <cell r="F556">
            <v>46.495550000000001</v>
          </cell>
          <cell r="G556">
            <v>8474.9404000000195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10286.557650000008</v>
          </cell>
          <cell r="F557">
            <v>47.847850000000008</v>
          </cell>
          <cell r="G557">
            <v>8595.2776000000104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10650.821674999992</v>
          </cell>
          <cell r="F558">
            <v>50.220675</v>
          </cell>
          <cell r="G558">
            <v>8945.1260500000408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11507.143874999996</v>
          </cell>
          <cell r="F559">
            <v>54.766525000000001</v>
          </cell>
          <cell r="G559">
            <v>9754.4883250000403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13087.445199999967</v>
          </cell>
          <cell r="F560">
            <v>64.316724999999991</v>
          </cell>
          <cell r="G560">
            <v>11240.286449999991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14265.372274999962</v>
          </cell>
          <cell r="F561">
            <v>72.527125000000012</v>
          </cell>
          <cell r="G561">
            <v>12318.595849999952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13664.728175000002</v>
          </cell>
          <cell r="F562">
            <v>65.420400000000001</v>
          </cell>
          <cell r="G562">
            <v>11744.797324999992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12825.383324999988</v>
          </cell>
          <cell r="F563">
            <v>60.63822500000002</v>
          </cell>
          <cell r="G563">
            <v>11039.957975000088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12238.211275000009</v>
          </cell>
          <cell r="F564">
            <v>56.171875</v>
          </cell>
          <cell r="G564">
            <v>10468.140674999962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11654.545375000014</v>
          </cell>
          <cell r="F565">
            <v>51.560100000000006</v>
          </cell>
          <cell r="G565">
            <v>9987.5380749999913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11295.696974999955</v>
          </cell>
          <cell r="F566">
            <v>48.592325000000002</v>
          </cell>
          <cell r="G566">
            <v>9590.1243000000122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11009.814724999982</v>
          </cell>
          <cell r="F567">
            <v>47.213274999999996</v>
          </cell>
          <cell r="G567">
            <v>9306.1014750000159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10813.046649999993</v>
          </cell>
          <cell r="F568">
            <v>43.251049999999999</v>
          </cell>
          <cell r="G568">
            <v>9126.5630250000049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10629.544274999998</v>
          </cell>
          <cell r="F569">
            <v>47.04657499999999</v>
          </cell>
          <cell r="G569">
            <v>8980.0410500000344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10557.479074999996</v>
          </cell>
          <cell r="F570">
            <v>45.03627500000001</v>
          </cell>
          <cell r="G570">
            <v>8924.9462499999881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10597.161325000046</v>
          </cell>
          <cell r="F571">
            <v>42.193674999999999</v>
          </cell>
          <cell r="G571">
            <v>8965.1551000000673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11411.342874999973</v>
          </cell>
          <cell r="F572">
            <v>48.637325000000004</v>
          </cell>
          <cell r="G572">
            <v>9713.2779750000409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11697.252399999959</v>
          </cell>
          <cell r="F573">
            <v>48.872549999999997</v>
          </cell>
          <cell r="G573">
            <v>9991.2839249999852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11614.113975000035</v>
          </cell>
          <cell r="F574">
            <v>49.420950000000005</v>
          </cell>
          <cell r="G574">
            <v>9884.3439250000192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11264.894224999971</v>
          </cell>
          <cell r="F575">
            <v>47.57777500000001</v>
          </cell>
          <cell r="G575">
            <v>9636.457775000059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9981.0432750000255</v>
          </cell>
          <cell r="F577">
            <v>49.252875000000003</v>
          </cell>
          <cell r="G577">
            <v>8375.832100000016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9484.486099999991</v>
          </cell>
          <cell r="F578">
            <v>45.101275000000001</v>
          </cell>
          <cell r="G578">
            <v>7909.6259250000185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9299.2948000000142</v>
          </cell>
          <cell r="F579">
            <v>41.198650000000008</v>
          </cell>
          <cell r="G579">
            <v>7741.4334750000053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9301.9962249999862</v>
          </cell>
          <cell r="F580">
            <v>43.07105</v>
          </cell>
          <cell r="G580">
            <v>7736.8339749999941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9410.9897500000243</v>
          </cell>
          <cell r="F581">
            <v>44.519149999999996</v>
          </cell>
          <cell r="G581">
            <v>7854.4232749999865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9801.9535750000123</v>
          </cell>
          <cell r="F582">
            <v>46.505399999999995</v>
          </cell>
          <cell r="G582">
            <v>8176.9053250000079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10145.603424999999</v>
          </cell>
          <cell r="F583">
            <v>48.563475000000004</v>
          </cell>
          <cell r="G583">
            <v>9027.3151249999828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11773.758099999997</v>
          </cell>
          <cell r="F584">
            <v>55.19357500000001</v>
          </cell>
          <cell r="G584">
            <v>10520.734175000007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12962.661625000028</v>
          </cell>
          <cell r="F585">
            <v>64.92410000000001</v>
          </cell>
          <cell r="G585">
            <v>11615.800724999974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12374.337600000001</v>
          </cell>
          <cell r="F586">
            <v>58.428899999999999</v>
          </cell>
          <cell r="G586">
            <v>11079.286700000022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11701.769600000016</v>
          </cell>
          <cell r="F587">
            <v>54.970349999999989</v>
          </cell>
          <cell r="G587">
            <v>10514.577775000073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11269.41432499998</v>
          </cell>
          <cell r="F588">
            <v>53.521875000000001</v>
          </cell>
          <cell r="G588">
            <v>10085.535049999999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10849.58445000004</v>
          </cell>
          <cell r="F589">
            <v>46.348700000000008</v>
          </cell>
          <cell r="G589">
            <v>9698.4778749999787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10520.076424999972</v>
          </cell>
          <cell r="F590">
            <v>45.368375</v>
          </cell>
          <cell r="G590">
            <v>9400.5498000000243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10304.277224999998</v>
          </cell>
          <cell r="F591">
            <v>44.8476</v>
          </cell>
          <cell r="G591">
            <v>9192.6478750000224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10139.265924999978</v>
          </cell>
          <cell r="F592">
            <v>37.998075</v>
          </cell>
          <cell r="G592">
            <v>9055.5071500000304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9975.8312749999968</v>
          </cell>
          <cell r="F593">
            <v>41.11377499999999</v>
          </cell>
          <cell r="G593">
            <v>8905.4543750000521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9951.3949499999944</v>
          </cell>
          <cell r="F594">
            <v>40.944750000000006</v>
          </cell>
          <cell r="G594">
            <v>8879.0317000000141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10045.799124999963</v>
          </cell>
          <cell r="F595">
            <v>37.081699999999998</v>
          </cell>
          <cell r="G595">
            <v>8979.8367750000998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10847.903400000028</v>
          </cell>
          <cell r="F596">
            <v>41.852650000000004</v>
          </cell>
          <cell r="G596">
            <v>9738.420800000009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11096.54200000001</v>
          </cell>
          <cell r="F597">
            <v>42.304575000000007</v>
          </cell>
          <cell r="G597">
            <v>9958.586600000006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10997.55834999999</v>
          </cell>
          <cell r="F598">
            <v>40.606675000000003</v>
          </cell>
          <cell r="G598">
            <v>9871.3450250000042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10625.789950000026</v>
          </cell>
          <cell r="F599">
            <v>37.60282500000001</v>
          </cell>
          <cell r="G599">
            <v>9582.3293500000291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9129.1862249999922</v>
          </cell>
          <cell r="F601">
            <v>29.303274999999999</v>
          </cell>
          <cell r="G601">
            <v>8157.2226000000483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8550.8909499999827</v>
          </cell>
          <cell r="F602">
            <v>33.808875</v>
          </cell>
          <cell r="G602">
            <v>7612.2345250000135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8265.1169250000039</v>
          </cell>
          <cell r="F603">
            <v>30.646375000000003</v>
          </cell>
          <cell r="G603">
            <v>7363.8498750000426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8220.5566250000284</v>
          </cell>
          <cell r="F604">
            <v>31.153624999999998</v>
          </cell>
          <cell r="G604">
            <v>7300.6921250000487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8281.5844749999997</v>
          </cell>
          <cell r="F605">
            <v>34.028375000000004</v>
          </cell>
          <cell r="G605">
            <v>7347.7733750000198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8528.1374750000105</v>
          </cell>
          <cell r="F606">
            <v>33.6815</v>
          </cell>
          <cell r="G606">
            <v>7580.8018500000107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9246.8741749999954</v>
          </cell>
          <cell r="F607">
            <v>36.201074999999996</v>
          </cell>
          <cell r="G607">
            <v>8262.846000000045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10717.561124999993</v>
          </cell>
          <cell r="F608">
            <v>40.429725000000005</v>
          </cell>
          <cell r="G608">
            <v>9592.481150000016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11841.252975000018</v>
          </cell>
          <cell r="F609">
            <v>46.030849999999994</v>
          </cell>
          <cell r="G609">
            <v>10619.088949999996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11518.452149999997</v>
          </cell>
          <cell r="F610">
            <v>44.053999999999988</v>
          </cell>
          <cell r="G610">
            <v>10345.205250000005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11359.210624999974</v>
          </cell>
          <cell r="F611">
            <v>39.399725000000004</v>
          </cell>
          <cell r="G611">
            <v>10194.919550000039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11286.783899999988</v>
          </cell>
          <cell r="F612">
            <v>41.010550000000002</v>
          </cell>
          <cell r="G612">
            <v>10140.893200000033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11204.614399999997</v>
          </cell>
          <cell r="F613">
            <v>40.06</v>
          </cell>
          <cell r="G613">
            <v>10031.79947500002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11107.938249999961</v>
          </cell>
          <cell r="F614">
            <v>38.767299999999999</v>
          </cell>
          <cell r="G614">
            <v>9936.8182750000396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11012.609974999999</v>
          </cell>
          <cell r="F615">
            <v>39.465325</v>
          </cell>
          <cell r="G615">
            <v>9888.7428500000296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10806.324049999988</v>
          </cell>
          <cell r="F616">
            <v>34.404225000000004</v>
          </cell>
          <cell r="G616">
            <v>9711.2947249999561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10551.639300000019</v>
          </cell>
          <cell r="F617">
            <v>35.131375000000006</v>
          </cell>
          <cell r="G617">
            <v>9454.3854750000155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10597.680849999961</v>
          </cell>
          <cell r="F618">
            <v>36.157499999999999</v>
          </cell>
          <cell r="G618">
            <v>9493.3990499999854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10933.532199999963</v>
          </cell>
          <cell r="F619">
            <v>38.606825000000008</v>
          </cell>
          <cell r="G619">
            <v>9829.8428250000234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11761.859025000034</v>
          </cell>
          <cell r="F620">
            <v>39.7699</v>
          </cell>
          <cell r="G620">
            <v>10598.398975000042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11982.580174999997</v>
          </cell>
          <cell r="F621">
            <v>43.896825</v>
          </cell>
          <cell r="G621">
            <v>10820.305799999956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11856.326249999989</v>
          </cell>
          <cell r="F622">
            <v>43.776949999999992</v>
          </cell>
          <cell r="G622">
            <v>10700.393974999981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11442.716224999971</v>
          </cell>
          <cell r="F623">
            <v>42.641574999999996</v>
          </cell>
          <cell r="G623">
            <v>10383.204275000004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9982.5391749999944</v>
          </cell>
          <cell r="F625">
            <v>37.846125000000008</v>
          </cell>
          <cell r="G625">
            <v>8954.7241250000043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9503.2465249999696</v>
          </cell>
          <cell r="F626">
            <v>36.508100000000006</v>
          </cell>
          <cell r="G626">
            <v>8474.1542750000499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9235.6171750000121</v>
          </cell>
          <cell r="F627">
            <v>34.015374999999999</v>
          </cell>
          <cell r="G627">
            <v>8220.4369000000115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9140.7222749999946</v>
          </cell>
          <cell r="F628">
            <v>34.412274999999994</v>
          </cell>
          <cell r="G628">
            <v>8130.8470750000388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9158.1620000000221</v>
          </cell>
          <cell r="F629">
            <v>34.339374999999997</v>
          </cell>
          <cell r="G629">
            <v>8135.8552250000084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9357.9677750000228</v>
          </cell>
          <cell r="F630">
            <v>35.176324999999999</v>
          </cell>
          <cell r="G630">
            <v>8330.8942000000443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10031.165625000003</v>
          </cell>
          <cell r="F631">
            <v>38.422175000000003</v>
          </cell>
          <cell r="G631">
            <v>8963.2214250000306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11423.801974999971</v>
          </cell>
          <cell r="F632">
            <v>44.820475000000002</v>
          </cell>
          <cell r="G632">
            <v>10235.778825000016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12402.662249999987</v>
          </cell>
          <cell r="F633">
            <v>47.230925000000006</v>
          </cell>
          <cell r="G633">
            <v>11126.405100000078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12118.264099999988</v>
          </cell>
          <cell r="F634">
            <v>45.605650000000011</v>
          </cell>
          <cell r="G634">
            <v>10861.046124999984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11960.568675000048</v>
          </cell>
          <cell r="F635">
            <v>45.283150000000006</v>
          </cell>
          <cell r="G635">
            <v>10725.615674999961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11887.128075000035</v>
          </cell>
          <cell r="F636">
            <v>44.298274999999997</v>
          </cell>
          <cell r="G636">
            <v>10668.738425000096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11698.953724999998</v>
          </cell>
          <cell r="F637">
            <v>41.460974999999998</v>
          </cell>
          <cell r="G637">
            <v>10498.170524999987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11421.80577499997</v>
          </cell>
          <cell r="F638">
            <v>35.463450000000009</v>
          </cell>
          <cell r="G638">
            <v>10251.238799999976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11227.807199999985</v>
          </cell>
          <cell r="F639">
            <v>33.351649999999999</v>
          </cell>
          <cell r="G639">
            <v>10070.176650000016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10952.138924999972</v>
          </cell>
          <cell r="F640">
            <v>31.947475000000004</v>
          </cell>
          <cell r="G640">
            <v>9810.7685250000686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10637.258950000014</v>
          </cell>
          <cell r="F641">
            <v>29.823950000000007</v>
          </cell>
          <cell r="G641">
            <v>9542.6301000000039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10579.401725000012</v>
          </cell>
          <cell r="F642">
            <v>30.412525000000002</v>
          </cell>
          <cell r="G642">
            <v>9524.7640000000192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10720.756399999942</v>
          </cell>
          <cell r="F643">
            <v>32.662700000000001</v>
          </cell>
          <cell r="G643">
            <v>9685.8613250000017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11249.869525000015</v>
          </cell>
          <cell r="F644">
            <v>34.288250000000005</v>
          </cell>
          <cell r="G644">
            <v>10176.896500000032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11112.107249999966</v>
          </cell>
          <cell r="F645">
            <v>35.348475000000001</v>
          </cell>
          <cell r="G645">
            <v>10029.942950000028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10800.047599999993</v>
          </cell>
          <cell r="F646">
            <v>33.381700000000002</v>
          </cell>
          <cell r="G646">
            <v>9731.7071250000008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10352.055399999987</v>
          </cell>
          <cell r="F647">
            <v>32.007475000000007</v>
          </cell>
          <cell r="G647">
            <v>9353.367249999983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9398.9738749999742</v>
          </cell>
          <cell r="F649">
            <v>26.669950000000004</v>
          </cell>
          <cell r="G649">
            <v>8170.6894250000014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8889.7050249999829</v>
          </cell>
          <cell r="F650">
            <v>26.430699999999995</v>
          </cell>
          <cell r="G650">
            <v>7565.5237000000207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8527.1592750000182</v>
          </cell>
          <cell r="F651">
            <v>27.361299999999996</v>
          </cell>
          <cell r="G651">
            <v>7153.6758750000108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2436.1766000000025</v>
          </cell>
          <cell r="F652">
            <v>1.1539750000000002</v>
          </cell>
          <cell r="G652">
            <v>3279.6114499999931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8027.1262750000178</v>
          </cell>
          <cell r="F653">
            <v>28.202275000000004</v>
          </cell>
          <cell r="G653">
            <v>6734.1899499999872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7975.0490250000048</v>
          </cell>
          <cell r="F654">
            <v>29.27355</v>
          </cell>
          <cell r="G654">
            <v>6720.8032750000366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8150.9278500000028</v>
          </cell>
          <cell r="F655">
            <v>29.902625</v>
          </cell>
          <cell r="G655">
            <v>6871.1733500000237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8583.1285499999831</v>
          </cell>
          <cell r="F656">
            <v>29.963999999999999</v>
          </cell>
          <cell r="G656">
            <v>7266.7323000000151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9135.444150000003</v>
          </cell>
          <cell r="F657">
            <v>30.251024999999998</v>
          </cell>
          <cell r="G657">
            <v>7797.9648999999836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9728.9055749999698</v>
          </cell>
          <cell r="F658">
            <v>31.130725000000002</v>
          </cell>
          <cell r="G658">
            <v>8335.9044750000012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10396.560624999982</v>
          </cell>
          <cell r="F659">
            <v>32.411000000000001</v>
          </cell>
          <cell r="G659">
            <v>8840.2073000000219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10751.664549999983</v>
          </cell>
          <cell r="F660">
            <v>32.86985</v>
          </cell>
          <cell r="G660">
            <v>9213.8036750000028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10747.252849999986</v>
          </cell>
          <cell r="F661">
            <v>32.077600000000004</v>
          </cell>
          <cell r="G661">
            <v>9231.6345000000583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10578.719425000014</v>
          </cell>
          <cell r="F662">
            <v>31.1219</v>
          </cell>
          <cell r="G662">
            <v>9075.9099000000206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10306.347349999987</v>
          </cell>
          <cell r="F663">
            <v>30.673900000000003</v>
          </cell>
          <cell r="G663">
            <v>8828.0073750000247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9997.2668749999866</v>
          </cell>
          <cell r="F664">
            <v>29.770475000000005</v>
          </cell>
          <cell r="G664">
            <v>8505.5951000000387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9762.7126250000092</v>
          </cell>
          <cell r="F665">
            <v>30.829599999999999</v>
          </cell>
          <cell r="G665">
            <v>8271.8983000000262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9592.2094999999408</v>
          </cell>
          <cell r="F666">
            <v>31.336950000000005</v>
          </cell>
          <cell r="G666">
            <v>8135.951450000046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9703.3882249999824</v>
          </cell>
          <cell r="F667">
            <v>31.771950000000004</v>
          </cell>
          <cell r="G667">
            <v>8176.1604750000115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10356.354874999945</v>
          </cell>
          <cell r="F668">
            <v>35.26925</v>
          </cell>
          <cell r="G668">
            <v>8689.1697999999742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10557.673449999993</v>
          </cell>
          <cell r="F669">
            <v>38.774125000000005</v>
          </cell>
          <cell r="G669">
            <v>8907.8080000000155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10406.441124999988</v>
          </cell>
          <cell r="F670">
            <v>38.412649999999999</v>
          </cell>
          <cell r="G670">
            <v>8786.8870500000376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10114.007924999969</v>
          </cell>
          <cell r="F671">
            <v>37.979399999999998</v>
          </cell>
          <cell r="G671">
            <v>8587.3926250000186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9324.0299000000323</v>
          </cell>
          <cell r="F673">
            <v>36.259724999999996</v>
          </cell>
          <cell r="G673">
            <v>7876.0702250000322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7035.7467750000123</v>
          </cell>
          <cell r="F674">
            <v>26.952750000000005</v>
          </cell>
          <cell r="G674">
            <v>6166.9028500000049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8701.3868750000092</v>
          </cell>
          <cell r="F675">
            <v>34.074950000000001</v>
          </cell>
          <cell r="G675">
            <v>7276.9928750000072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8615.7963749999817</v>
          </cell>
          <cell r="F676">
            <v>33.341074999999996</v>
          </cell>
          <cell r="G676">
            <v>7206.5162500000315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8637.7391999999891</v>
          </cell>
          <cell r="F677">
            <v>33.651724999999999</v>
          </cell>
          <cell r="G677">
            <v>7242.3488750000233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8771.555775000028</v>
          </cell>
          <cell r="F678">
            <v>34.878225000000008</v>
          </cell>
          <cell r="G678">
            <v>7388.1836250000233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9172.2722999999751</v>
          </cell>
          <cell r="F679">
            <v>36.356350000000006</v>
          </cell>
          <cell r="G679">
            <v>7691.8210749999871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9580.5967750000091</v>
          </cell>
          <cell r="F680">
            <v>37.525974999999995</v>
          </cell>
          <cell r="G680">
            <v>8175.8714749999872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10181.144225000004</v>
          </cell>
          <cell r="F681">
            <v>39.913249999999998</v>
          </cell>
          <cell r="G681">
            <v>8747.6503749999938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10588.079100000021</v>
          </cell>
          <cell r="F682">
            <v>42.080624999999998</v>
          </cell>
          <cell r="G682">
            <v>9057.6317750000471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10589.903024999985</v>
          </cell>
          <cell r="F683">
            <v>43.116924999999995</v>
          </cell>
          <cell r="G683">
            <v>8971.284674999999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10354.365474999988</v>
          </cell>
          <cell r="F684">
            <v>40.210400000000014</v>
          </cell>
          <cell r="G684">
            <v>8687.7599500000506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9880.8145000000059</v>
          </cell>
          <cell r="F685">
            <v>35.817825000000006</v>
          </cell>
          <cell r="G685">
            <v>8357.6689750000169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9577.2820500000144</v>
          </cell>
          <cell r="F686">
            <v>34.524175</v>
          </cell>
          <cell r="G686">
            <v>8154.1432499999964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9385.5039500000021</v>
          </cell>
          <cell r="F687">
            <v>34.799300000000002</v>
          </cell>
          <cell r="G687">
            <v>7972.4519000000419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9373.6243750000031</v>
          </cell>
          <cell r="F688">
            <v>35.507300000000001</v>
          </cell>
          <cell r="G688">
            <v>7819.6039750000646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9218.094199999985</v>
          </cell>
          <cell r="F689">
            <v>36.396324999999997</v>
          </cell>
          <cell r="G689">
            <v>7710.4571000000324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9108.6314000000002</v>
          </cell>
          <cell r="F690">
            <v>37.578999999999994</v>
          </cell>
          <cell r="G690">
            <v>7679.550325000002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9341.3158750000075</v>
          </cell>
          <cell r="F691">
            <v>38.359025000000003</v>
          </cell>
          <cell r="G691">
            <v>7819.6368750000083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10179.045175000017</v>
          </cell>
          <cell r="F692">
            <v>39.345124999999996</v>
          </cell>
          <cell r="G692">
            <v>8572.4844750000393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10417.726000000041</v>
          </cell>
          <cell r="F693">
            <v>42.006050000000002</v>
          </cell>
          <cell r="G693">
            <v>8973.4170000000322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10307.698399999967</v>
          </cell>
          <cell r="F694">
            <v>41.921250000000001</v>
          </cell>
          <cell r="G694">
            <v>8903.9934999999969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9976.083600000029</v>
          </cell>
          <cell r="F695">
            <v>39.5563</v>
          </cell>
          <cell r="G695">
            <v>8625.7144499999922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8775.4078000000172</v>
          </cell>
          <cell r="F697">
            <v>34.209125000000007</v>
          </cell>
          <cell r="G697">
            <v>7483.4906500000498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8200.6784999999709</v>
          </cell>
          <cell r="F698">
            <v>32.029325000000007</v>
          </cell>
          <cell r="G698">
            <v>6942.4543000000003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7982.9708249999894</v>
          </cell>
          <cell r="F699">
            <v>30.684999999999999</v>
          </cell>
          <cell r="G699">
            <v>6712.2330000000366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7873.7923500000252</v>
          </cell>
          <cell r="F700">
            <v>31.027774999999998</v>
          </cell>
          <cell r="G700">
            <v>6653.4119000000255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7907.6193999999869</v>
          </cell>
          <cell r="F701">
            <v>32.586600000000004</v>
          </cell>
          <cell r="G701">
            <v>6733.0867749999725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36.114149999999995</v>
          </cell>
          <cell r="G702">
            <v>6999.155775000002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9277.1909249999899</v>
          </cell>
          <cell r="F703">
            <v>41.180124999999997</v>
          </cell>
          <cell r="G703">
            <v>7778.505624999967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47.21392500000001</v>
          </cell>
          <cell r="G704">
            <v>9278.5003000000324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12311.449649999991</v>
          </cell>
          <cell r="F705">
            <v>53.322674999999997</v>
          </cell>
          <cell r="G705">
            <v>10495.285650000014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11983.41917499999</v>
          </cell>
          <cell r="F706">
            <v>50.703375000000015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11664.88879999997</v>
          </cell>
          <cell r="F707">
            <v>48.754775000000009</v>
          </cell>
          <cell r="G707">
            <v>9888.4428499999849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11449.867949999965</v>
          </cell>
          <cell r="F708">
            <v>46.018324999999997</v>
          </cell>
          <cell r="G708">
            <v>9709.9616249999945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11244.131799999997</v>
          </cell>
          <cell r="F709">
            <v>46.776600000000002</v>
          </cell>
          <cell r="G709">
            <v>9511.0548250000174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11049.646725000001</v>
          </cell>
          <cell r="F710">
            <v>44.624725000000005</v>
          </cell>
          <cell r="G710">
            <v>9308.4120249999833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10911.353225000017</v>
          </cell>
          <cell r="F711">
            <v>43.657449999999997</v>
          </cell>
          <cell r="G711">
            <v>9208.7910500000526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10701.326299999972</v>
          </cell>
          <cell r="F712">
            <v>39.422775000000001</v>
          </cell>
          <cell r="G712">
            <v>9043.8899000000147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10514.468100000026</v>
          </cell>
          <cell r="F713">
            <v>42.946625000000004</v>
          </cell>
          <cell r="G713">
            <v>8881.2447000000229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10528.950925000016</v>
          </cell>
          <cell r="F714">
            <v>40.938675000000003</v>
          </cell>
          <cell r="G714">
            <v>8852.6637750000209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10550.83420000003</v>
          </cell>
          <cell r="F715">
            <v>41.621225000000003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11381.915100000002</v>
          </cell>
          <cell r="F716">
            <v>46.447749999999992</v>
          </cell>
          <cell r="G716">
            <v>9632.2853750000377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11763.577550000002</v>
          </cell>
          <cell r="F717">
            <v>51.188249999999996</v>
          </cell>
          <cell r="G717">
            <v>10048.218600000015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11637.37787500002</v>
          </cell>
          <cell r="F718">
            <v>50.537375000000004</v>
          </cell>
          <cell r="G718">
            <v>9965.5748000000203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11277.162324999961</v>
          </cell>
          <cell r="F719">
            <v>47.366849999999992</v>
          </cell>
          <cell r="G719">
            <v>9707.9528000000209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9928.6776499999851</v>
          </cell>
          <cell r="F721">
            <v>43.241824999999999</v>
          </cell>
          <cell r="G721">
            <v>8486.374075000007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9432.9857749999792</v>
          </cell>
          <cell r="F722">
            <v>36.048249999999996</v>
          </cell>
          <cell r="G722">
            <v>8035.8905000000086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9334.576525000015</v>
          </cell>
          <cell r="F723">
            <v>31.816999999999997</v>
          </cell>
          <cell r="G723">
            <v>7893.2988500000292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9325.5824000000102</v>
          </cell>
          <cell r="F724">
            <v>31.930350000000001</v>
          </cell>
          <cell r="G724">
            <v>7899.5115750000241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9493.3651750000226</v>
          </cell>
          <cell r="F725">
            <v>32.211575000000011</v>
          </cell>
          <cell r="G725">
            <v>7990.0589749999917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9811.9324999999881</v>
          </cell>
          <cell r="F726">
            <v>33.304375</v>
          </cell>
          <cell r="G726">
            <v>8276.8099500000117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10600.891575000009</v>
          </cell>
          <cell r="F727">
            <v>37.236175000000003</v>
          </cell>
          <cell r="G727">
            <v>9047.2920000000049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12211.790724999988</v>
          </cell>
          <cell r="F728">
            <v>43.654525</v>
          </cell>
          <cell r="G728">
            <v>10497.012049999994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13437.964425000009</v>
          </cell>
          <cell r="F729">
            <v>48.022500000000001</v>
          </cell>
          <cell r="G729">
            <v>11539.568050000067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12882.008049999997</v>
          </cell>
          <cell r="F730">
            <v>50.164225000000009</v>
          </cell>
          <cell r="G730">
            <v>10989.841250000019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9986.0382249999984</v>
          </cell>
          <cell r="F731">
            <v>41.008974999999992</v>
          </cell>
          <cell r="G731">
            <v>8509.9627750000309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9503.3884499999986</v>
          </cell>
          <cell r="F732">
            <v>28.174925000000005</v>
          </cell>
          <cell r="G732">
            <v>8010.8372750000217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7441.8431499999861</v>
          </cell>
          <cell r="F733">
            <v>17.069399999999998</v>
          </cell>
          <cell r="G733">
            <v>6217.4995500000268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4489.2050250000075</v>
          </cell>
          <cell r="F734">
            <v>14.507075000000002</v>
          </cell>
          <cell r="G734">
            <v>3740.9051250000011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10900.931699999994</v>
          </cell>
          <cell r="F735">
            <v>34.953200000000002</v>
          </cell>
          <cell r="G735">
            <v>9224.3137000000261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8054.4519750000227</v>
          </cell>
          <cell r="F736">
            <v>23.166425000000004</v>
          </cell>
          <cell r="G736">
            <v>6814.1572250000354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8463.8161750000108</v>
          </cell>
          <cell r="F737">
            <v>29.590375000000002</v>
          </cell>
          <cell r="G737">
            <v>7105.3328499999943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10477.585724999984</v>
          </cell>
          <cell r="F738">
            <v>33.957700000000003</v>
          </cell>
          <cell r="G738">
            <v>8866.5997499999885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10511.836349999976</v>
          </cell>
          <cell r="F739">
            <v>39.573575000000005</v>
          </cell>
          <cell r="G739">
            <v>8956.6339750000097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11270.162199999952</v>
          </cell>
          <cell r="F740">
            <v>40.844225000000002</v>
          </cell>
          <cell r="G740">
            <v>9662.5342250000576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11592.368825000003</v>
          </cell>
          <cell r="F741">
            <v>42.356700000000011</v>
          </cell>
          <cell r="G741">
            <v>9939.6199499999948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11514.426125000025</v>
          </cell>
          <cell r="F742">
            <v>42.771900000000002</v>
          </cell>
          <cell r="G742">
            <v>9828.5143500000049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11102.118274999999</v>
          </cell>
          <cell r="F743">
            <v>38.750824999999999</v>
          </cell>
          <cell r="G743">
            <v>9471.3192000000126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9345.1728499999863</v>
          </cell>
          <cell r="F745">
            <v>35.830475000000007</v>
          </cell>
          <cell r="G745">
            <v>7995.0888500000065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35"/>
      <sheetName val="Base45h"/>
      <sheetName val="Base55h"/>
      <sheetName val="Base60h"/>
      <sheetName val="Base65h"/>
      <sheetName val="Base50c"/>
      <sheetName val="Base55c"/>
      <sheetName val="Base60c"/>
      <sheetName val="Base65c"/>
      <sheetName val="Base70c"/>
      <sheetName val="Base75c"/>
      <sheetName val="Base80c"/>
      <sheetName val="Abilene (AE) Jan 2023"/>
      <sheetName val="Abilene (AE) Jul 2023"/>
      <sheetName val="Abilene (AE) Jan 2024"/>
      <sheetName val="Abilene (AE) Jul 2024"/>
      <sheetName val="January 21 23 bySite"/>
      <sheetName val="July 20 23 bySite"/>
      <sheetName val="January 14 24 bySite"/>
      <sheetName val="July 14 24 bySite"/>
      <sheetName val="Abilene Simple Averages"/>
      <sheetName val="Abilene Simple Averages2"/>
      <sheetName val="Abilene January Normal"/>
      <sheetName val="Abilene July Norm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 t="str">
            <v>Abilene</v>
          </cell>
        </row>
        <row r="12">
          <cell r="B12" t="str">
            <v>Austin</v>
          </cell>
        </row>
        <row r="13">
          <cell r="B13" t="str">
            <v>Dallas-Ft. Worth</v>
          </cell>
        </row>
        <row r="14">
          <cell r="B14" t="str">
            <v>Kileen-Temple</v>
          </cell>
        </row>
        <row r="15">
          <cell r="B15" t="str">
            <v>Longview</v>
          </cell>
        </row>
        <row r="16">
          <cell r="B16" t="str">
            <v>Lufkin</v>
          </cell>
        </row>
        <row r="17">
          <cell r="B17" t="str">
            <v>Midland-Odessa</v>
          </cell>
        </row>
        <row r="18">
          <cell r="B18" t="str">
            <v>Sherman-Denison</v>
          </cell>
        </row>
        <row r="19">
          <cell r="B19" t="str">
            <v>Waco</v>
          </cell>
        </row>
        <row r="20">
          <cell r="B20" t="str">
            <v>Wichita Falls</v>
          </cell>
        </row>
        <row r="24">
          <cell r="H24">
            <v>0</v>
          </cell>
          <cell r="I24">
            <v>3</v>
          </cell>
          <cell r="J24">
            <v>8</v>
          </cell>
          <cell r="K24">
            <v>13</v>
          </cell>
        </row>
        <row r="25">
          <cell r="H25">
            <v>0</v>
          </cell>
          <cell r="I25">
            <v>3.7999999999999972</v>
          </cell>
          <cell r="J25">
            <v>8.7999999999999972</v>
          </cell>
          <cell r="K25">
            <v>13.799999999999997</v>
          </cell>
        </row>
        <row r="26">
          <cell r="H26">
            <v>0</v>
          </cell>
          <cell r="I26">
            <v>4.6000000000000014</v>
          </cell>
          <cell r="J26">
            <v>9.6000000000000014</v>
          </cell>
          <cell r="K26">
            <v>14.600000000000001</v>
          </cell>
        </row>
        <row r="27">
          <cell r="H27">
            <v>0</v>
          </cell>
          <cell r="I27">
            <v>2.6000000000000014</v>
          </cell>
          <cell r="J27">
            <v>7.6000000000000014</v>
          </cell>
          <cell r="K27">
            <v>12.600000000000001</v>
          </cell>
        </row>
        <row r="28">
          <cell r="H28">
            <v>0</v>
          </cell>
          <cell r="I28">
            <v>7.2000000000000028</v>
          </cell>
          <cell r="J28">
            <v>12.200000000000003</v>
          </cell>
          <cell r="K28">
            <v>17.200000000000003</v>
          </cell>
        </row>
        <row r="29">
          <cell r="H29">
            <v>0</v>
          </cell>
          <cell r="I29">
            <v>5.3999999999999986</v>
          </cell>
          <cell r="J29">
            <v>10.399999999999999</v>
          </cell>
          <cell r="K29">
            <v>15.399999999999999</v>
          </cell>
        </row>
        <row r="30">
          <cell r="H30">
            <v>0.10000000000000142</v>
          </cell>
          <cell r="I30">
            <v>10.100000000000001</v>
          </cell>
          <cell r="J30">
            <v>15.100000000000001</v>
          </cell>
          <cell r="K30">
            <v>20.100000000000001</v>
          </cell>
        </row>
        <row r="31">
          <cell r="H31">
            <v>0</v>
          </cell>
          <cell r="I31">
            <v>6.7999999999999972</v>
          </cell>
          <cell r="J31">
            <v>11.799999999999997</v>
          </cell>
          <cell r="K31">
            <v>16.799999999999997</v>
          </cell>
        </row>
        <row r="32">
          <cell r="H32">
            <v>0</v>
          </cell>
          <cell r="I32">
            <v>6.2000000000000028</v>
          </cell>
          <cell r="J32">
            <v>11.200000000000003</v>
          </cell>
          <cell r="K32">
            <v>16.200000000000003</v>
          </cell>
        </row>
        <row r="33">
          <cell r="H33">
            <v>0</v>
          </cell>
          <cell r="I33">
            <v>4.2999999999999972</v>
          </cell>
          <cell r="J33">
            <v>9.2999999999999972</v>
          </cell>
          <cell r="K33">
            <v>14.299999999999997</v>
          </cell>
        </row>
      </sheetData>
      <sheetData sheetId="17">
        <row r="11">
          <cell r="B11" t="str">
            <v>Abilene</v>
          </cell>
        </row>
        <row r="12">
          <cell r="B12" t="str">
            <v>Austin</v>
          </cell>
        </row>
        <row r="13">
          <cell r="B13" t="str">
            <v>Dallas-Ft. Worth</v>
          </cell>
        </row>
        <row r="14">
          <cell r="B14" t="str">
            <v>Kileen-Temple</v>
          </cell>
        </row>
        <row r="15">
          <cell r="B15" t="str">
            <v>Longview</v>
          </cell>
        </row>
        <row r="16">
          <cell r="B16" t="str">
            <v>Lufkin</v>
          </cell>
        </row>
        <row r="17">
          <cell r="B17" t="str">
            <v>Midland-Odessa</v>
          </cell>
        </row>
        <row r="18">
          <cell r="B18" t="str">
            <v>Sherman-Denison</v>
          </cell>
        </row>
        <row r="19">
          <cell r="B19" t="str">
            <v>Waco</v>
          </cell>
        </row>
        <row r="20">
          <cell r="B20" t="str">
            <v>Wichita Falls</v>
          </cell>
        </row>
        <row r="24">
          <cell r="O24">
            <v>25.299999999999997</v>
          </cell>
          <cell r="P24">
            <v>20.299999999999997</v>
          </cell>
          <cell r="Q24">
            <v>15.299999999999997</v>
          </cell>
          <cell r="R24">
            <v>10.299999999999997</v>
          </cell>
        </row>
        <row r="25">
          <cell r="O25">
            <v>23.5</v>
          </cell>
          <cell r="P25">
            <v>18.5</v>
          </cell>
          <cell r="Q25">
            <v>13.5</v>
          </cell>
          <cell r="R25">
            <v>8.5</v>
          </cell>
        </row>
        <row r="26">
          <cell r="O26">
            <v>27.400000000000006</v>
          </cell>
          <cell r="P26">
            <v>22.400000000000006</v>
          </cell>
          <cell r="Q26">
            <v>17.400000000000006</v>
          </cell>
          <cell r="R26">
            <v>12.400000000000006</v>
          </cell>
        </row>
        <row r="27">
          <cell r="O27">
            <v>25.700000000000003</v>
          </cell>
          <cell r="P27">
            <v>20.700000000000003</v>
          </cell>
          <cell r="Q27">
            <v>15.700000000000003</v>
          </cell>
          <cell r="R27">
            <v>10.700000000000003</v>
          </cell>
        </row>
        <row r="28">
          <cell r="O28">
            <v>22</v>
          </cell>
          <cell r="P28">
            <v>17</v>
          </cell>
          <cell r="Q28">
            <v>12</v>
          </cell>
          <cell r="R28">
            <v>7</v>
          </cell>
        </row>
        <row r="29">
          <cell r="O29">
            <v>23.299999999999997</v>
          </cell>
          <cell r="P29">
            <v>18.299999999999997</v>
          </cell>
          <cell r="Q29">
            <v>13.299999999999997</v>
          </cell>
          <cell r="R29">
            <v>8.2999999999999972</v>
          </cell>
        </row>
        <row r="30">
          <cell r="O30">
            <v>23.299999999999997</v>
          </cell>
          <cell r="P30">
            <v>18.299999999999997</v>
          </cell>
          <cell r="Q30">
            <v>13.299999999999997</v>
          </cell>
          <cell r="R30">
            <v>8.2999999999999972</v>
          </cell>
        </row>
        <row r="31">
          <cell r="O31">
            <v>23.799999999999997</v>
          </cell>
          <cell r="P31">
            <v>18.799999999999997</v>
          </cell>
          <cell r="Q31">
            <v>13.799999999999997</v>
          </cell>
          <cell r="R31">
            <v>8.7999999999999972</v>
          </cell>
        </row>
        <row r="32">
          <cell r="O32">
            <v>26.200000000000003</v>
          </cell>
          <cell r="P32">
            <v>21.200000000000003</v>
          </cell>
          <cell r="Q32">
            <v>16.200000000000003</v>
          </cell>
          <cell r="R32">
            <v>11.200000000000003</v>
          </cell>
        </row>
        <row r="33">
          <cell r="O33">
            <v>26.299999999999997</v>
          </cell>
          <cell r="P33">
            <v>21.299999999999997</v>
          </cell>
          <cell r="Q33">
            <v>16.299999999999997</v>
          </cell>
          <cell r="R33">
            <v>11.299999999999997</v>
          </cell>
        </row>
      </sheetData>
      <sheetData sheetId="18">
        <row r="11">
          <cell r="B11" t="str">
            <v>Abilene</v>
          </cell>
        </row>
        <row r="12">
          <cell r="B12" t="str">
            <v>Austin</v>
          </cell>
        </row>
        <row r="13">
          <cell r="B13" t="str">
            <v>Dallas-Ft. Worth</v>
          </cell>
        </row>
        <row r="14">
          <cell r="B14" t="str">
            <v>Kileen-Temple</v>
          </cell>
        </row>
        <row r="15">
          <cell r="B15" t="str">
            <v>Longview</v>
          </cell>
        </row>
        <row r="16">
          <cell r="B16" t="str">
            <v>Lufkin</v>
          </cell>
        </row>
        <row r="17">
          <cell r="B17" t="str">
            <v>Midland-Odessa</v>
          </cell>
        </row>
        <row r="18">
          <cell r="B18" t="str">
            <v>Sherman-Denison</v>
          </cell>
        </row>
        <row r="19">
          <cell r="B19" t="str">
            <v>Waco</v>
          </cell>
        </row>
        <row r="20">
          <cell r="B20" t="str">
            <v>Wichita Falls</v>
          </cell>
        </row>
        <row r="24">
          <cell r="H24">
            <v>32.9</v>
          </cell>
          <cell r="I24">
            <v>42.9</v>
          </cell>
          <cell r="J24">
            <v>47.9</v>
          </cell>
          <cell r="K24">
            <v>52.9</v>
          </cell>
        </row>
        <row r="25">
          <cell r="H25">
            <v>18.399999999999999</v>
          </cell>
          <cell r="I25">
            <v>28.4</v>
          </cell>
          <cell r="J25">
            <v>33.4</v>
          </cell>
          <cell r="K25">
            <v>38.4</v>
          </cell>
        </row>
        <row r="26">
          <cell r="H26">
            <v>29.7</v>
          </cell>
          <cell r="I26">
            <v>39.700000000000003</v>
          </cell>
          <cell r="J26">
            <v>44.7</v>
          </cell>
          <cell r="K26">
            <v>49.7</v>
          </cell>
        </row>
        <row r="27">
          <cell r="H27">
            <v>24.9</v>
          </cell>
          <cell r="I27">
            <v>34.9</v>
          </cell>
          <cell r="J27">
            <v>39.9</v>
          </cell>
          <cell r="K27">
            <v>44.9</v>
          </cell>
        </row>
        <row r="28">
          <cell r="H28">
            <v>20</v>
          </cell>
          <cell r="I28">
            <v>30</v>
          </cell>
          <cell r="J28">
            <v>35</v>
          </cell>
          <cell r="K28">
            <v>40</v>
          </cell>
        </row>
        <row r="29">
          <cell r="H29">
            <v>10.700000000000003</v>
          </cell>
          <cell r="I29">
            <v>20.700000000000003</v>
          </cell>
          <cell r="J29">
            <v>25.700000000000003</v>
          </cell>
          <cell r="K29">
            <v>30.700000000000003</v>
          </cell>
        </row>
        <row r="30">
          <cell r="H30">
            <v>28.5</v>
          </cell>
          <cell r="I30">
            <v>38.5</v>
          </cell>
          <cell r="J30">
            <v>43.5</v>
          </cell>
          <cell r="K30">
            <v>48.5</v>
          </cell>
        </row>
        <row r="31">
          <cell r="H31">
            <v>33.4</v>
          </cell>
          <cell r="I31">
            <v>43.4</v>
          </cell>
          <cell r="J31">
            <v>48.4</v>
          </cell>
          <cell r="K31">
            <v>53.4</v>
          </cell>
        </row>
        <row r="32">
          <cell r="H32">
            <v>25.1</v>
          </cell>
          <cell r="I32">
            <v>35.1</v>
          </cell>
          <cell r="J32">
            <v>40.1</v>
          </cell>
          <cell r="K32">
            <v>45.1</v>
          </cell>
        </row>
        <row r="33">
          <cell r="H33">
            <v>35</v>
          </cell>
          <cell r="I33">
            <v>45</v>
          </cell>
          <cell r="J33">
            <v>50</v>
          </cell>
          <cell r="K33">
            <v>55</v>
          </cell>
        </row>
      </sheetData>
      <sheetData sheetId="19">
        <row r="11">
          <cell r="B11" t="str">
            <v>Abilene</v>
          </cell>
        </row>
        <row r="12">
          <cell r="B12" t="str">
            <v>Austin</v>
          </cell>
        </row>
        <row r="13">
          <cell r="B13" t="str">
            <v>Dallas-Ft. Worth</v>
          </cell>
        </row>
        <row r="14">
          <cell r="B14" t="str">
            <v>Kileen-Temple</v>
          </cell>
        </row>
        <row r="15">
          <cell r="B15" t="str">
            <v>Longview</v>
          </cell>
        </row>
        <row r="16">
          <cell r="B16" t="str">
            <v>Lufkin</v>
          </cell>
        </row>
        <row r="17">
          <cell r="B17" t="str">
            <v>Midland-Odessa</v>
          </cell>
        </row>
        <row r="18">
          <cell r="B18" t="str">
            <v>Sherman-Denison</v>
          </cell>
        </row>
        <row r="19">
          <cell r="B19" t="str">
            <v>Waco</v>
          </cell>
        </row>
        <row r="20">
          <cell r="B20" t="str">
            <v>Wichita Falls</v>
          </cell>
        </row>
        <row r="24">
          <cell r="O24">
            <v>22.400000000000006</v>
          </cell>
          <cell r="P24">
            <v>17.400000000000006</v>
          </cell>
          <cell r="Q24">
            <v>12.400000000000006</v>
          </cell>
          <cell r="R24">
            <v>7.4000000000000057</v>
          </cell>
        </row>
        <row r="25">
          <cell r="O25">
            <v>16.400000000000006</v>
          </cell>
          <cell r="P25">
            <v>11.400000000000006</v>
          </cell>
          <cell r="Q25">
            <v>6.4000000000000057</v>
          </cell>
          <cell r="R25">
            <v>1.4000000000000057</v>
          </cell>
        </row>
        <row r="26">
          <cell r="O26">
            <v>22.5</v>
          </cell>
          <cell r="P26">
            <v>17.5</v>
          </cell>
          <cell r="Q26">
            <v>12.5</v>
          </cell>
          <cell r="R26">
            <v>7.5</v>
          </cell>
        </row>
        <row r="27">
          <cell r="O27">
            <v>19</v>
          </cell>
          <cell r="P27">
            <v>14</v>
          </cell>
          <cell r="Q27">
            <v>9</v>
          </cell>
          <cell r="R27">
            <v>4</v>
          </cell>
        </row>
        <row r="28">
          <cell r="O28">
            <v>17.700000000000003</v>
          </cell>
          <cell r="P28">
            <v>12.700000000000003</v>
          </cell>
          <cell r="Q28">
            <v>7.7000000000000028</v>
          </cell>
          <cell r="R28">
            <v>2.7000000000000028</v>
          </cell>
        </row>
        <row r="29">
          <cell r="O29">
            <v>15.599999999999994</v>
          </cell>
          <cell r="P29">
            <v>10.599999999999994</v>
          </cell>
          <cell r="Q29">
            <v>5.5999999999999943</v>
          </cell>
          <cell r="R29">
            <v>0.59999999999999432</v>
          </cell>
        </row>
        <row r="30">
          <cell r="O30">
            <v>17.299999999999997</v>
          </cell>
          <cell r="P30">
            <v>12.299999999999997</v>
          </cell>
          <cell r="Q30">
            <v>7.2999999999999972</v>
          </cell>
          <cell r="R30">
            <v>2.2999999999999972</v>
          </cell>
        </row>
        <row r="31">
          <cell r="O31">
            <v>21.700000000000003</v>
          </cell>
          <cell r="P31">
            <v>16.700000000000003</v>
          </cell>
          <cell r="Q31">
            <v>11.700000000000003</v>
          </cell>
          <cell r="R31">
            <v>6.7000000000000028</v>
          </cell>
        </row>
        <row r="32">
          <cell r="O32">
            <v>20.099999999999994</v>
          </cell>
          <cell r="P32">
            <v>15.099999999999994</v>
          </cell>
          <cell r="Q32">
            <v>10.099999999999994</v>
          </cell>
          <cell r="R32">
            <v>5.0999999999999943</v>
          </cell>
        </row>
        <row r="33">
          <cell r="O33">
            <v>21.5</v>
          </cell>
          <cell r="P33">
            <v>16.5</v>
          </cell>
          <cell r="Q33">
            <v>11.5</v>
          </cell>
          <cell r="R33">
            <v>6.5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 Seasonal Weights"/>
      <sheetName val="Res Monthly Weather Weights"/>
      <sheetName val="Res Weights by Year (21-23)"/>
      <sheetName val="Res Sales by Year (21-23)"/>
    </sheetNames>
    <sheetDataSet>
      <sheetData sheetId="0">
        <row r="11">
          <cell r="D11">
            <v>0.6842466537095353</v>
          </cell>
          <cell r="E11">
            <v>0.68405042577780284</v>
          </cell>
          <cell r="F11">
            <v>0.68559851480914347</v>
          </cell>
          <cell r="G11">
            <v>0.68865637375120559</v>
          </cell>
          <cell r="H11">
            <v>0.68952427056075982</v>
          </cell>
          <cell r="I11">
            <v>0.69610926630834569</v>
          </cell>
          <cell r="J11">
            <v>0.70517894357480215</v>
          </cell>
          <cell r="K11">
            <v>0.71056044010309394</v>
          </cell>
          <cell r="L11">
            <v>0.70735820756575929</v>
          </cell>
          <cell r="M11">
            <v>0.70166443064955208</v>
          </cell>
          <cell r="N11">
            <v>0.69339622623634611</v>
          </cell>
          <cell r="O11">
            <v>0.6837896244658157</v>
          </cell>
          <cell r="P11">
            <v>0.69612564384089759</v>
          </cell>
        </row>
        <row r="12">
          <cell r="D12">
            <v>5.6327069538495478E-2</v>
          </cell>
          <cell r="E12">
            <v>5.6672598811494924E-2</v>
          </cell>
          <cell r="F12">
            <v>5.4263579346917258E-2</v>
          </cell>
          <cell r="G12">
            <v>5.489443671330569E-2</v>
          </cell>
          <cell r="H12">
            <v>5.7650058187680868E-2</v>
          </cell>
          <cell r="I12">
            <v>5.7171460500517454E-2</v>
          </cell>
          <cell r="J12">
            <v>5.4274808849714612E-2</v>
          </cell>
          <cell r="K12">
            <v>5.1466788251161355E-2</v>
          </cell>
          <cell r="L12">
            <v>5.0016082633975036E-2</v>
          </cell>
          <cell r="M12">
            <v>5.2030850807543126E-2</v>
          </cell>
          <cell r="N12">
            <v>5.3537017642947424E-2</v>
          </cell>
          <cell r="O12">
            <v>5.8112093865455024E-2</v>
          </cell>
          <cell r="P12">
            <v>5.4282927565840668E-2</v>
          </cell>
        </row>
        <row r="13">
          <cell r="D13">
            <v>2.9210748880904587E-2</v>
          </cell>
          <cell r="E13">
            <v>2.8802293829726638E-2</v>
          </cell>
          <cell r="F13">
            <v>2.7102348674979595E-2</v>
          </cell>
          <cell r="G13">
            <v>2.7922034129400742E-2</v>
          </cell>
          <cell r="H13">
            <v>2.6923797943178458E-2</v>
          </cell>
          <cell r="I13">
            <v>2.614940813825312E-2</v>
          </cell>
          <cell r="J13">
            <v>2.5347949981278942E-2</v>
          </cell>
          <cell r="K13">
            <v>2.4563014543006308E-2</v>
          </cell>
          <cell r="L13">
            <v>2.4720792433345844E-2</v>
          </cell>
          <cell r="M13">
            <v>2.4369130746701415E-2</v>
          </cell>
          <cell r="N13">
            <v>2.6927032682479184E-2</v>
          </cell>
          <cell r="O13">
            <v>2.8529837530280149E-2</v>
          </cell>
          <cell r="P13">
            <v>2.6432332761275549E-2</v>
          </cell>
        </row>
        <row r="14">
          <cell r="D14">
            <v>1.4502322354727043E-2</v>
          </cell>
          <cell r="E14">
            <v>1.4627539792194047E-2</v>
          </cell>
          <cell r="F14">
            <v>1.3729779023334495E-2</v>
          </cell>
          <cell r="G14">
            <v>1.2922010918922472E-2</v>
          </cell>
          <cell r="H14">
            <v>1.2842978645765323E-2</v>
          </cell>
          <cell r="I14">
            <v>1.2411264295333426E-2</v>
          </cell>
          <cell r="J14">
            <v>1.2142128913303282E-2</v>
          </cell>
          <cell r="K14">
            <v>1.185970695282413E-2</v>
          </cell>
          <cell r="L14">
            <v>1.164726098041723E-2</v>
          </cell>
          <cell r="M14">
            <v>1.1410164169530857E-2</v>
          </cell>
          <cell r="N14">
            <v>1.2048395618468004E-2</v>
          </cell>
          <cell r="O14">
            <v>1.3734452832669556E-2</v>
          </cell>
          <cell r="P14">
            <v>1.2714991026938337E-2</v>
          </cell>
        </row>
        <row r="15">
          <cell r="D15">
            <v>2.7510074142766461E-2</v>
          </cell>
          <cell r="E15">
            <v>2.7931990578495883E-2</v>
          </cell>
          <cell r="F15">
            <v>2.8152502623979267E-2</v>
          </cell>
          <cell r="G15">
            <v>2.6100432311338781E-2</v>
          </cell>
          <cell r="H15">
            <v>2.3295877642223291E-2</v>
          </cell>
          <cell r="I15">
            <v>2.2195850747596859E-2</v>
          </cell>
          <cell r="J15">
            <v>2.2809321919665983E-2</v>
          </cell>
          <cell r="K15">
            <v>2.3586125822388903E-2</v>
          </cell>
          <cell r="L15">
            <v>2.3887548415985043E-2</v>
          </cell>
          <cell r="M15">
            <v>2.3949840218822266E-2</v>
          </cell>
          <cell r="N15">
            <v>2.4647673933100571E-2</v>
          </cell>
          <cell r="O15">
            <v>2.7565279941066296E-2</v>
          </cell>
          <cell r="P15">
            <v>2.4937122661713794E-2</v>
          </cell>
        </row>
        <row r="16">
          <cell r="D16">
            <v>5.2350245586823878E-2</v>
          </cell>
          <cell r="E16">
            <v>5.3723293003999022E-2</v>
          </cell>
          <cell r="F16">
            <v>5.4159440169649513E-2</v>
          </cell>
          <cell r="G16">
            <v>4.9904217855958034E-2</v>
          </cell>
          <cell r="H16">
            <v>4.9078764030776802E-2</v>
          </cell>
          <cell r="I16">
            <v>4.7041513957275412E-2</v>
          </cell>
          <cell r="J16">
            <v>4.4598990760978952E-2</v>
          </cell>
          <cell r="K16">
            <v>4.372461367952387E-2</v>
          </cell>
          <cell r="L16">
            <v>4.489395099738739E-2</v>
          </cell>
          <cell r="M16">
            <v>4.6612420662902665E-2</v>
          </cell>
          <cell r="N16">
            <v>4.9171147191173589E-2</v>
          </cell>
          <cell r="O16">
            <v>5.068760367954437E-2</v>
          </cell>
          <cell r="P16">
            <v>4.8269623863806288E-2</v>
          </cell>
        </row>
        <row r="17">
          <cell r="D17">
            <v>3.8231386577861556E-2</v>
          </cell>
          <cell r="E17">
            <v>3.9066819392775148E-2</v>
          </cell>
          <cell r="F17">
            <v>4.090581226498153E-2</v>
          </cell>
          <cell r="G17">
            <v>3.8050378940994674E-2</v>
          </cell>
          <cell r="H17">
            <v>3.6764384704129745E-2</v>
          </cell>
          <cell r="I17">
            <v>3.5600916035753195E-2</v>
          </cell>
          <cell r="J17">
            <v>3.5106317189389419E-2</v>
          </cell>
          <cell r="K17">
            <v>3.5176501542589216E-2</v>
          </cell>
          <cell r="L17">
            <v>3.6220890385645965E-2</v>
          </cell>
          <cell r="M17">
            <v>3.7896852271475247E-2</v>
          </cell>
          <cell r="N17">
            <v>3.7950638700785792E-2</v>
          </cell>
          <cell r="O17">
            <v>3.7924060930908686E-2</v>
          </cell>
          <cell r="P17">
            <v>3.7182176722156096E-2</v>
          </cell>
        </row>
        <row r="18">
          <cell r="D18">
            <v>1.9416085067219018E-2</v>
          </cell>
          <cell r="E18">
            <v>1.9545807968369345E-2</v>
          </cell>
          <cell r="F18">
            <v>1.984579388120437E-2</v>
          </cell>
          <cell r="G18">
            <v>1.8467719545435895E-2</v>
          </cell>
          <cell r="H18">
            <v>1.7801695255155316E-2</v>
          </cell>
          <cell r="I18">
            <v>1.772557816479239E-2</v>
          </cell>
          <cell r="J18">
            <v>1.8215009815435231E-2</v>
          </cell>
          <cell r="K18">
            <v>1.870255349669293E-2</v>
          </cell>
          <cell r="L18">
            <v>1.8871371791882235E-2</v>
          </cell>
          <cell r="M18">
            <v>1.864156652519457E-2</v>
          </cell>
          <cell r="N18">
            <v>1.7981267285178557E-2</v>
          </cell>
          <cell r="O18">
            <v>1.8860707086721992E-2</v>
          </cell>
          <cell r="P18">
            <v>1.8702767125544657E-2</v>
          </cell>
        </row>
        <row r="19">
          <cell r="D19">
            <v>3.9423880955649498E-2</v>
          </cell>
          <cell r="E19">
            <v>3.909115593892766E-2</v>
          </cell>
          <cell r="F19">
            <v>3.8490681164191784E-2</v>
          </cell>
          <cell r="G19">
            <v>3.8257478230367799E-2</v>
          </cell>
          <cell r="H19">
            <v>3.6702592837663937E-2</v>
          </cell>
          <cell r="I19">
            <v>3.5932793496112343E-2</v>
          </cell>
          <cell r="J19">
            <v>3.5399141315435735E-2</v>
          </cell>
          <cell r="K19">
            <v>3.479533238223903E-2</v>
          </cell>
          <cell r="L19">
            <v>3.5312793898563219E-2</v>
          </cell>
          <cell r="M19">
            <v>3.4769055680427152E-2</v>
          </cell>
          <cell r="N19">
            <v>3.6675807515269644E-2</v>
          </cell>
          <cell r="O19">
            <v>3.9108907486633357E-2</v>
          </cell>
          <cell r="P19">
            <v>3.6732626306456496E-2</v>
          </cell>
        </row>
        <row r="20">
          <cell r="D20">
            <v>3.8781533186017139E-2</v>
          </cell>
          <cell r="E20">
            <v>3.6488074906214515E-2</v>
          </cell>
          <cell r="F20">
            <v>3.7751548041618704E-2</v>
          </cell>
          <cell r="G20">
            <v>4.4824917603070412E-2</v>
          </cell>
          <cell r="H20">
            <v>4.9415580192666397E-2</v>
          </cell>
          <cell r="I20">
            <v>4.9661948356020107E-2</v>
          </cell>
          <cell r="J20">
            <v>4.6927387679995769E-2</v>
          </cell>
          <cell r="K20">
            <v>4.5564923226480307E-2</v>
          </cell>
          <cell r="L20">
            <v>4.7071100897038629E-2</v>
          </cell>
          <cell r="M20">
            <v>4.8655688267850807E-2</v>
          </cell>
          <cell r="N20">
            <v>4.766479319425105E-2</v>
          </cell>
          <cell r="O20">
            <v>4.1687432180904899E-2</v>
          </cell>
          <cell r="P20">
            <v>4.46197881253707E-2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LE10 Seasonal Weights"/>
      <sheetName val="SECLE10 Monthly Weather Weights"/>
      <sheetName val="SECLE10 Weights by Year (21-23)"/>
      <sheetName val="SECLE10 Sales by Year (21-23)"/>
    </sheetNames>
    <sheetDataSet>
      <sheetData sheetId="0">
        <row r="11">
          <cell r="D11">
            <v>0.60631763675105643</v>
          </cell>
          <cell r="E11">
            <v>0.60485507503132019</v>
          </cell>
          <cell r="F11">
            <v>0.60460970208499376</v>
          </cell>
          <cell r="G11">
            <v>0.60280765348459986</v>
          </cell>
          <cell r="H11">
            <v>0.60337616425379048</v>
          </cell>
          <cell r="I11">
            <v>0.59700025078961783</v>
          </cell>
          <cell r="J11">
            <v>0.59613848228413202</v>
          </cell>
          <cell r="K11">
            <v>0.59518738416362749</v>
          </cell>
          <cell r="L11">
            <v>0.59756749723532521</v>
          </cell>
          <cell r="M11">
            <v>0.60494759457695813</v>
          </cell>
          <cell r="N11">
            <v>0.61214476185009892</v>
          </cell>
          <cell r="O11">
            <v>0.61088391131928987</v>
          </cell>
          <cell r="P11">
            <v>0.60255887761824922</v>
          </cell>
        </row>
        <row r="12">
          <cell r="D12">
            <v>0.11211139824766524</v>
          </cell>
          <cell r="E12">
            <v>0.11172604819759736</v>
          </cell>
          <cell r="F12">
            <v>0.11212655040965562</v>
          </cell>
          <cell r="G12">
            <v>0.12336185036092086</v>
          </cell>
          <cell r="H12">
            <v>0.12386739528048679</v>
          </cell>
          <cell r="I12">
            <v>0.11785654271776759</v>
          </cell>
          <cell r="J12">
            <v>0.11413823289874467</v>
          </cell>
          <cell r="K12">
            <v>0.11292816188603001</v>
          </cell>
          <cell r="L12">
            <v>0.11001301365747189</v>
          </cell>
          <cell r="M12">
            <v>0.11013748520954314</v>
          </cell>
          <cell r="N12">
            <v>0.11187522247469699</v>
          </cell>
          <cell r="O12">
            <v>0.11371362377151893</v>
          </cell>
          <cell r="P12">
            <v>0.11425923125024925</v>
          </cell>
        </row>
        <row r="13">
          <cell r="D13">
            <v>3.7556334932318296E-2</v>
          </cell>
          <cell r="E13">
            <v>3.7497686862381238E-2</v>
          </cell>
          <cell r="F13">
            <v>3.6935945923099088E-2</v>
          </cell>
          <cell r="G13">
            <v>3.6137236264927486E-2</v>
          </cell>
          <cell r="H13">
            <v>3.6277941585311016E-2</v>
          </cell>
          <cell r="I13">
            <v>3.9078404865155569E-2</v>
          </cell>
          <cell r="J13">
            <v>4.0342750117798962E-2</v>
          </cell>
          <cell r="K13">
            <v>4.0149354079989555E-2</v>
          </cell>
          <cell r="L13">
            <v>3.9807812852192662E-2</v>
          </cell>
          <cell r="M13">
            <v>3.7713752139246576E-2</v>
          </cell>
          <cell r="N13">
            <v>3.6220673355172428E-2</v>
          </cell>
          <cell r="O13">
            <v>3.5538804194578416E-2</v>
          </cell>
          <cell r="P13">
            <v>3.7926077537585569E-2</v>
          </cell>
        </row>
        <row r="14">
          <cell r="D14">
            <v>3.0589785663713769E-2</v>
          </cell>
          <cell r="E14">
            <v>3.053103601829631E-2</v>
          </cell>
          <cell r="F14">
            <v>2.9988424110348112E-2</v>
          </cell>
          <cell r="G14">
            <v>3.0028297564538255E-2</v>
          </cell>
          <cell r="H14">
            <v>3.0323989346676662E-2</v>
          </cell>
          <cell r="I14">
            <v>3.0509949681892856E-2</v>
          </cell>
          <cell r="J14">
            <v>3.0718328867845073E-2</v>
          </cell>
          <cell r="K14">
            <v>3.1108172435877247E-2</v>
          </cell>
          <cell r="L14">
            <v>3.0522701569424871E-2</v>
          </cell>
          <cell r="M14">
            <v>2.9283470023338889E-2</v>
          </cell>
          <cell r="N14">
            <v>2.9153196302856448E-2</v>
          </cell>
          <cell r="O14">
            <v>3.0387256774067256E-2</v>
          </cell>
          <cell r="P14">
            <v>3.0297823767149273E-2</v>
          </cell>
        </row>
        <row r="15">
          <cell r="D15">
            <v>3.3861676425837317E-2</v>
          </cell>
          <cell r="E15">
            <v>3.4526089121181748E-2</v>
          </cell>
          <cell r="F15">
            <v>3.4599877058067489E-2</v>
          </cell>
          <cell r="G15">
            <v>3.1665281739852669E-2</v>
          </cell>
          <cell r="H15">
            <v>3.0254307687325715E-2</v>
          </cell>
          <cell r="I15">
            <v>3.1986424794759376E-2</v>
          </cell>
          <cell r="J15">
            <v>3.3943007304904849E-2</v>
          </cell>
          <cell r="K15">
            <v>3.4954883944220153E-2</v>
          </cell>
          <cell r="L15">
            <v>3.4489189640571516E-2</v>
          </cell>
          <cell r="M15">
            <v>3.2845469351477183E-2</v>
          </cell>
          <cell r="N15">
            <v>3.0969900141781588E-2</v>
          </cell>
          <cell r="O15">
            <v>3.220493112961418E-2</v>
          </cell>
          <cell r="P15">
            <v>3.316278199625744E-2</v>
          </cell>
        </row>
        <row r="16">
          <cell r="D16">
            <v>3.3968350645160517E-2</v>
          </cell>
          <cell r="E16">
            <v>3.402837726853028E-2</v>
          </cell>
          <cell r="F16">
            <v>3.4024712498580002E-2</v>
          </cell>
          <cell r="G16">
            <v>3.316846811659678E-2</v>
          </cell>
          <cell r="H16">
            <v>3.338852880815734E-2</v>
          </cell>
          <cell r="I16">
            <v>3.4541827509752737E-2</v>
          </cell>
          <cell r="J16">
            <v>3.4227023125712956E-2</v>
          </cell>
          <cell r="K16">
            <v>3.4011856956618847E-2</v>
          </cell>
          <cell r="L16">
            <v>3.4337198508276864E-2</v>
          </cell>
          <cell r="M16">
            <v>3.4496539444362713E-2</v>
          </cell>
          <cell r="N16">
            <v>3.408495545851048E-2</v>
          </cell>
          <cell r="O16">
            <v>3.326217277604903E-2</v>
          </cell>
          <cell r="P16">
            <v>3.3986110412089363E-2</v>
          </cell>
        </row>
        <row r="17">
          <cell r="D17">
            <v>3.7977053252361753E-2</v>
          </cell>
          <cell r="E17">
            <v>3.8574120952493442E-2</v>
          </cell>
          <cell r="F17">
            <v>3.9576558502147974E-2</v>
          </cell>
          <cell r="G17">
            <v>3.826633852725695E-2</v>
          </cell>
          <cell r="H17">
            <v>3.8454320317319095E-2</v>
          </cell>
          <cell r="I17">
            <v>3.9871657464477302E-2</v>
          </cell>
          <cell r="J17">
            <v>4.0043584901599948E-2</v>
          </cell>
          <cell r="K17">
            <v>4.0468926351154899E-2</v>
          </cell>
          <cell r="L17">
            <v>4.0881566885098669E-2</v>
          </cell>
          <cell r="M17">
            <v>4.0792727004481617E-2</v>
          </cell>
          <cell r="N17">
            <v>3.874420357003338E-2</v>
          </cell>
          <cell r="O17">
            <v>3.7780159006582541E-2</v>
          </cell>
          <cell r="P17">
            <v>3.9364896910199676E-2</v>
          </cell>
        </row>
        <row r="18">
          <cell r="D18">
            <v>2.6233138941935477E-2</v>
          </cell>
          <cell r="E18">
            <v>2.6527988278213715E-2</v>
          </cell>
          <cell r="F18">
            <v>2.666857827414483E-2</v>
          </cell>
          <cell r="G18">
            <v>2.5400783273956548E-2</v>
          </cell>
          <cell r="H18">
            <v>2.4870817686238077E-2</v>
          </cell>
          <cell r="I18">
            <v>2.5716841619003089E-2</v>
          </cell>
          <cell r="J18">
            <v>2.6554727761105196E-2</v>
          </cell>
          <cell r="K18">
            <v>2.6995407490631899E-2</v>
          </cell>
          <cell r="L18">
            <v>2.7019370725138544E-2</v>
          </cell>
          <cell r="M18">
            <v>2.6035773877085593E-2</v>
          </cell>
          <cell r="N18">
            <v>2.5289616346485057E-2</v>
          </cell>
          <cell r="O18">
            <v>2.6217312243205556E-2</v>
          </cell>
          <cell r="P18">
            <v>2.618679009806401E-2</v>
          </cell>
        </row>
        <row r="19">
          <cell r="D19">
            <v>4.5358046559505476E-2</v>
          </cell>
          <cell r="E19">
            <v>4.5467921433293507E-2</v>
          </cell>
          <cell r="F19">
            <v>4.5160495570626569E-2</v>
          </cell>
          <cell r="G19">
            <v>4.3078721338414075E-2</v>
          </cell>
          <cell r="H19">
            <v>4.2952912695716307E-2</v>
          </cell>
          <cell r="I19">
            <v>4.6200073666187565E-2</v>
          </cell>
          <cell r="J19">
            <v>4.8026967378939113E-2</v>
          </cell>
          <cell r="K19">
            <v>4.8641870495055715E-2</v>
          </cell>
          <cell r="L19">
            <v>4.8737763655642898E-2</v>
          </cell>
          <cell r="M19">
            <v>4.6526464898755053E-2</v>
          </cell>
          <cell r="N19">
            <v>4.4194238003343003E-2</v>
          </cell>
          <cell r="O19">
            <v>4.3588418949970717E-2</v>
          </cell>
          <cell r="P19">
            <v>4.5854267933733824E-2</v>
          </cell>
        </row>
        <row r="20">
          <cell r="D20">
            <v>3.6026578580445778E-2</v>
          </cell>
          <cell r="E20">
            <v>3.6265656836692278E-2</v>
          </cell>
          <cell r="F20">
            <v>3.6309155568336617E-2</v>
          </cell>
          <cell r="G20">
            <v>3.6085369328936523E-2</v>
          </cell>
          <cell r="H20">
            <v>3.6233622338978463E-2</v>
          </cell>
          <cell r="I20">
            <v>3.7238026891385945E-2</v>
          </cell>
          <cell r="J20">
            <v>3.5866895359217298E-2</v>
          </cell>
          <cell r="K20">
            <v>3.5553982196794238E-2</v>
          </cell>
          <cell r="L20">
            <v>3.6623885270856908E-2</v>
          </cell>
          <cell r="M20">
            <v>3.7220723474750965E-2</v>
          </cell>
          <cell r="N20">
            <v>3.7323232497021741E-2</v>
          </cell>
          <cell r="O20">
            <v>3.6423409835123377E-2</v>
          </cell>
          <cell r="P20">
            <v>3.6403142476422325E-2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GT10 Seasonal Weights"/>
      <sheetName val="SECGT10 Monthly Weather Weights"/>
      <sheetName val="SECGT10 Weights by Year (21-23)"/>
      <sheetName val="SECGT10 Sales by Year (21-23)"/>
    </sheetNames>
    <sheetDataSet>
      <sheetData sheetId="0">
        <row r="11">
          <cell r="D11">
            <v>0.73809943092901531</v>
          </cell>
          <cell r="E11">
            <v>0.73645071511989402</v>
          </cell>
          <cell r="F11">
            <v>0.73448838413479556</v>
          </cell>
          <cell r="G11">
            <v>0.73282169058918323</v>
          </cell>
          <cell r="H11">
            <v>0.73368948694883729</v>
          </cell>
          <cell r="I11">
            <v>0.74044528944262489</v>
          </cell>
          <cell r="J11">
            <v>0.73692629126830611</v>
          </cell>
          <cell r="K11">
            <v>0.73888794170637828</v>
          </cell>
          <cell r="L11">
            <v>0.73884176981578431</v>
          </cell>
          <cell r="M11">
            <v>0.73947753986129694</v>
          </cell>
          <cell r="N11">
            <v>0.73647134878853027</v>
          </cell>
          <cell r="O11">
            <v>0.73448081327189696</v>
          </cell>
          <cell r="P11">
            <v>0.73696442987694355</v>
          </cell>
        </row>
        <row r="12">
          <cell r="D12">
            <v>7.2014840229198518E-2</v>
          </cell>
          <cell r="E12">
            <v>7.3220001476724875E-2</v>
          </cell>
          <cell r="F12">
            <v>7.316659889328625E-2</v>
          </cell>
          <cell r="G12">
            <v>7.5845117343970675E-2</v>
          </cell>
          <cell r="H12">
            <v>7.2564184915924521E-2</v>
          </cell>
          <cell r="I12">
            <v>6.6924378778714891E-2</v>
          </cell>
          <cell r="J12">
            <v>6.7407717971516609E-2</v>
          </cell>
          <cell r="K12">
            <v>6.5742486964662727E-2</v>
          </cell>
          <cell r="L12">
            <v>6.3500729766719805E-2</v>
          </cell>
          <cell r="M12">
            <v>6.4205886008692301E-2</v>
          </cell>
          <cell r="N12">
            <v>7.02211101088311E-2</v>
          </cell>
          <cell r="O12">
            <v>7.4220093785135263E-2</v>
          </cell>
          <cell r="P12">
            <v>6.9427565754597548E-2</v>
          </cell>
        </row>
        <row r="13">
          <cell r="D13">
            <v>2.3933488712172098E-2</v>
          </cell>
          <cell r="E13">
            <v>2.4018641096813204E-2</v>
          </cell>
          <cell r="F13">
            <v>2.4026880651734188E-2</v>
          </cell>
          <cell r="G13">
            <v>2.4485182057289959E-2</v>
          </cell>
          <cell r="H13">
            <v>2.4836226984065062E-2</v>
          </cell>
          <cell r="I13">
            <v>2.5214532241033111E-2</v>
          </cell>
          <cell r="J13">
            <v>2.4974872091860615E-2</v>
          </cell>
          <cell r="K13">
            <v>2.4737832009825645E-2</v>
          </cell>
          <cell r="L13">
            <v>2.4839112610876297E-2</v>
          </cell>
          <cell r="M13">
            <v>2.4524929251933728E-2</v>
          </cell>
          <cell r="N13">
            <v>2.442241981725193E-2</v>
          </cell>
          <cell r="O13">
            <v>2.395186673810273E-2</v>
          </cell>
          <cell r="P13">
            <v>2.4535470427255159E-2</v>
          </cell>
        </row>
        <row r="14">
          <cell r="D14">
            <v>1.0887982336084163E-2</v>
          </cell>
          <cell r="E14">
            <v>1.1136679837599027E-2</v>
          </cell>
          <cell r="F14">
            <v>1.084455315957167E-2</v>
          </cell>
          <cell r="G14">
            <v>1.070708197585064E-2</v>
          </cell>
          <cell r="H14">
            <v>1.0641905336907126E-2</v>
          </cell>
          <cell r="I14">
            <v>6.8244114454428517E-3</v>
          </cell>
          <cell r="J14">
            <v>1.09319882274189E-2</v>
          </cell>
          <cell r="K14">
            <v>1.0987608059593324E-2</v>
          </cell>
          <cell r="L14">
            <v>1.0850571894827047E-2</v>
          </cell>
          <cell r="M14">
            <v>1.0172650666657949E-2</v>
          </cell>
          <cell r="N14">
            <v>9.9136218242871169E-3</v>
          </cell>
          <cell r="O14">
            <v>1.0363100438899705E-2</v>
          </cell>
          <cell r="P14">
            <v>1.035926476185022E-2</v>
          </cell>
        </row>
        <row r="15">
          <cell r="D15">
            <v>2.3990112611091984E-2</v>
          </cell>
          <cell r="E15">
            <v>2.4379688513279162E-2</v>
          </cell>
          <cell r="F15">
            <v>2.4528480970382183E-2</v>
          </cell>
          <cell r="G15">
            <v>2.3816952567037742E-2</v>
          </cell>
          <cell r="H15">
            <v>2.3478475863500565E-2</v>
          </cell>
          <cell r="I15">
            <v>2.3671557861787346E-2</v>
          </cell>
          <cell r="J15">
            <v>2.3682202360007357E-2</v>
          </cell>
          <cell r="K15">
            <v>2.3936227171450494E-2</v>
          </cell>
          <cell r="L15">
            <v>2.4185414681479105E-2</v>
          </cell>
          <cell r="M15">
            <v>2.4036245043013542E-2</v>
          </cell>
          <cell r="N15">
            <v>2.3374303162362078E-2</v>
          </cell>
          <cell r="O15">
            <v>2.410301194986475E-2</v>
          </cell>
          <cell r="P15">
            <v>2.3929384288723821E-2</v>
          </cell>
        </row>
        <row r="16">
          <cell r="D16">
            <v>2.6520175432384056E-2</v>
          </cell>
          <cell r="E16">
            <v>2.6764592084266792E-2</v>
          </cell>
          <cell r="F16">
            <v>2.7112215871776483E-2</v>
          </cell>
          <cell r="G16">
            <v>2.6901610518966706E-2</v>
          </cell>
          <cell r="H16">
            <v>2.7420974443951852E-2</v>
          </cell>
          <cell r="I16">
            <v>2.7630763159077056E-2</v>
          </cell>
          <cell r="J16">
            <v>2.7309359957492712E-2</v>
          </cell>
          <cell r="K16">
            <v>2.7386463472124322E-2</v>
          </cell>
          <cell r="L16">
            <v>2.785110177357273E-2</v>
          </cell>
          <cell r="M16">
            <v>2.7959080576357244E-2</v>
          </cell>
          <cell r="N16">
            <v>2.7611926270005117E-2</v>
          </cell>
          <cell r="O16">
            <v>2.717412835600826E-2</v>
          </cell>
          <cell r="P16">
            <v>2.7336566813513572E-2</v>
          </cell>
        </row>
        <row r="17">
          <cell r="D17">
            <v>3.1941384301448411E-2</v>
          </cell>
          <cell r="E17">
            <v>3.1820219511938461E-2</v>
          </cell>
          <cell r="F17">
            <v>3.2552429798929014E-2</v>
          </cell>
          <cell r="G17">
            <v>3.2402357149272559E-2</v>
          </cell>
          <cell r="H17">
            <v>3.3065372277019923E-2</v>
          </cell>
          <cell r="I17">
            <v>3.3673474862453118E-2</v>
          </cell>
          <cell r="J17">
            <v>3.3763142689966615E-2</v>
          </cell>
          <cell r="K17">
            <v>3.3608391377179532E-2</v>
          </cell>
          <cell r="L17">
            <v>3.4102657418309951E-2</v>
          </cell>
          <cell r="M17">
            <v>3.4488161145752927E-2</v>
          </cell>
          <cell r="N17">
            <v>3.3931228940917858E-2</v>
          </cell>
          <cell r="O17">
            <v>3.2331174037767106E-2</v>
          </cell>
          <cell r="P17">
            <v>3.3226325451440192E-2</v>
          </cell>
        </row>
        <row r="18">
          <cell r="D18">
            <v>1.3696096080933627E-2</v>
          </cell>
          <cell r="E18">
            <v>1.3998398399461336E-2</v>
          </cell>
          <cell r="F18">
            <v>1.4241169704726119E-2</v>
          </cell>
          <cell r="G18">
            <v>1.3631317036838245E-2</v>
          </cell>
          <cell r="H18">
            <v>1.3768960435037947E-2</v>
          </cell>
          <cell r="I18">
            <v>1.4131390214286945E-2</v>
          </cell>
          <cell r="J18">
            <v>1.4487373246176946E-2</v>
          </cell>
          <cell r="K18">
            <v>1.4722876679696921E-2</v>
          </cell>
          <cell r="L18">
            <v>1.4827486613133016E-2</v>
          </cell>
          <cell r="M18">
            <v>1.4575938820659183E-2</v>
          </cell>
          <cell r="N18">
            <v>1.3881213123973796E-2</v>
          </cell>
          <cell r="O18">
            <v>1.3748347627863044E-2</v>
          </cell>
          <cell r="P18">
            <v>1.4193923808924723E-2</v>
          </cell>
        </row>
        <row r="19">
          <cell r="D19">
            <v>3.0542201326663746E-2</v>
          </cell>
          <cell r="E19">
            <v>3.0313625431761793E-2</v>
          </cell>
          <cell r="F19">
            <v>3.0667348817206636E-2</v>
          </cell>
          <cell r="G19">
            <v>3.0333630526113826E-2</v>
          </cell>
          <cell r="H19">
            <v>3.0702554676748785E-2</v>
          </cell>
          <cell r="I19">
            <v>3.1410057579788583E-2</v>
          </cell>
          <cell r="J19">
            <v>3.1353177255206456E-2</v>
          </cell>
          <cell r="K19">
            <v>3.1216790949248792E-2</v>
          </cell>
          <cell r="L19">
            <v>3.1360314611681601E-2</v>
          </cell>
          <cell r="M19">
            <v>3.1075127690380056E-2</v>
          </cell>
          <cell r="N19">
            <v>3.0493313742993477E-2</v>
          </cell>
          <cell r="O19">
            <v>3.0535065157640734E-2</v>
          </cell>
          <cell r="P19">
            <v>3.0883103274725321E-2</v>
          </cell>
        </row>
        <row r="20">
          <cell r="D20">
            <v>2.8374288041008281E-2</v>
          </cell>
          <cell r="E20">
            <v>2.7897438528261299E-2</v>
          </cell>
          <cell r="F20">
            <v>2.8371937997591867E-2</v>
          </cell>
          <cell r="G20">
            <v>2.9055060235476299E-2</v>
          </cell>
          <cell r="H20">
            <v>2.9831858118006864E-2</v>
          </cell>
          <cell r="I20">
            <v>3.0074144414791081E-2</v>
          </cell>
          <cell r="J20">
            <v>2.9163874932047633E-2</v>
          </cell>
          <cell r="K20">
            <v>2.8773381609839953E-2</v>
          </cell>
          <cell r="L20">
            <v>2.9640840813616207E-2</v>
          </cell>
          <cell r="M20">
            <v>2.9484440935256154E-2</v>
          </cell>
          <cell r="N20">
            <v>2.967951422084732E-2</v>
          </cell>
          <cell r="O20">
            <v>2.90923986368215E-2</v>
          </cell>
          <cell r="P20">
            <v>2.9143965542026116E-2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DIST Seasonal Weights"/>
      <sheetName val="PRMDIST Monthly Weather Weights"/>
      <sheetName val="PRMDIST Weights by Year (21-23)"/>
      <sheetName val="PRMDIST Sales by Year (21-23)"/>
    </sheetNames>
    <sheetDataSet>
      <sheetData sheetId="0">
        <row r="11">
          <cell r="D11">
            <v>0.27411614000838713</v>
          </cell>
          <cell r="E11">
            <v>0.28202064977740926</v>
          </cell>
          <cell r="F11">
            <v>0.29446422330910288</v>
          </cell>
          <cell r="G11">
            <v>0.27584799528599979</v>
          </cell>
          <cell r="H11">
            <v>0.28264605598270559</v>
          </cell>
          <cell r="I11">
            <v>0.27988354120817932</v>
          </cell>
          <cell r="J11">
            <v>0.31536952676332008</v>
          </cell>
          <cell r="K11">
            <v>0.30639389514425924</v>
          </cell>
          <cell r="L11">
            <v>0.29088799920187547</v>
          </cell>
          <cell r="M11">
            <v>0.28351833931215387</v>
          </cell>
          <cell r="N11">
            <v>0.27164069771651694</v>
          </cell>
          <cell r="O11">
            <v>0.26537730659729131</v>
          </cell>
          <cell r="P11">
            <v>0.28518954270974556</v>
          </cell>
        </row>
        <row r="12">
          <cell r="D12">
            <v>0.56991377989954328</v>
          </cell>
          <cell r="E12">
            <v>0.58822735819377936</v>
          </cell>
          <cell r="F12">
            <v>0.55530019805949993</v>
          </cell>
          <cell r="G12">
            <v>0.57885290222257968</v>
          </cell>
          <cell r="H12">
            <v>0.56621125254587001</v>
          </cell>
          <cell r="I12">
            <v>0.5672008011564762</v>
          </cell>
          <cell r="J12">
            <v>0.51368097123927181</v>
          </cell>
          <cell r="K12">
            <v>0.5338910230366386</v>
          </cell>
          <cell r="L12">
            <v>0.55907083485704601</v>
          </cell>
          <cell r="M12">
            <v>0.56467769175896521</v>
          </cell>
          <cell r="N12">
            <v>0.5866981721275728</v>
          </cell>
          <cell r="O12">
            <v>0.59120424628936508</v>
          </cell>
          <cell r="P12">
            <v>0.56444260030574789</v>
          </cell>
        </row>
        <row r="13">
          <cell r="D13">
            <v>3.7032952117253964E-2</v>
          </cell>
          <cell r="E13">
            <v>6.4956601077754009E-3</v>
          </cell>
          <cell r="F13">
            <v>2.2760649424100384E-2</v>
          </cell>
          <cell r="G13">
            <v>2.1919014182742665E-2</v>
          </cell>
          <cell r="H13">
            <v>2.2692114637441134E-2</v>
          </cell>
          <cell r="I13">
            <v>2.2708373006975015E-2</v>
          </cell>
          <cell r="J13">
            <v>2.4602787415313892E-2</v>
          </cell>
          <cell r="K13">
            <v>2.3279108099568596E-2</v>
          </cell>
          <cell r="L13">
            <v>1.9737581851830492E-2</v>
          </cell>
          <cell r="M13">
            <v>2.1202694463961922E-2</v>
          </cell>
          <cell r="N13">
            <v>2.1411539819402681E-2</v>
          </cell>
          <cell r="O13">
            <v>2.0061936341267437E-2</v>
          </cell>
          <cell r="P13">
            <v>2.2004980986084544E-2</v>
          </cell>
        </row>
        <row r="14">
          <cell r="D14">
            <v>4.052393799000082E-2</v>
          </cell>
          <cell r="E14">
            <v>4.1170238592753039E-2</v>
          </cell>
          <cell r="F14">
            <v>4.2775382142255118E-2</v>
          </cell>
          <cell r="G14">
            <v>4.0559801542458855E-2</v>
          </cell>
          <cell r="H14">
            <v>4.2056064652816014E-2</v>
          </cell>
          <cell r="I14">
            <v>4.3083492231178563E-2</v>
          </cell>
          <cell r="J14">
            <v>4.8774427047997851E-2</v>
          </cell>
          <cell r="K14">
            <v>4.0419207913272838E-2</v>
          </cell>
          <cell r="L14">
            <v>3.626756275918936E-2</v>
          </cell>
          <cell r="M14">
            <v>4.1546925267566807E-2</v>
          </cell>
          <cell r="N14">
            <v>3.6666445716833238E-2</v>
          </cell>
          <cell r="O14">
            <v>4.0750222794647212E-2</v>
          </cell>
          <cell r="P14">
            <v>4.1173203413227014E-2</v>
          </cell>
        </row>
        <row r="15">
          <cell r="D15">
            <v>1.49251625972469E-2</v>
          </cell>
          <cell r="E15">
            <v>1.7026999598756237E-2</v>
          </cell>
          <cell r="F15">
            <v>1.7940276375424453E-2</v>
          </cell>
          <cell r="G15">
            <v>1.6671245555881883E-2</v>
          </cell>
          <cell r="H15">
            <v>1.7337198041663251E-2</v>
          </cell>
          <cell r="I15">
            <v>1.7919319627348006E-2</v>
          </cell>
          <cell r="J15">
            <v>1.9834575384272364E-2</v>
          </cell>
          <cell r="K15">
            <v>2.0028463098943967E-2</v>
          </cell>
          <cell r="L15">
            <v>1.980881991350231E-2</v>
          </cell>
          <cell r="M15">
            <v>1.8467039917752833E-2</v>
          </cell>
          <cell r="N15">
            <v>1.7475189270758577E-2</v>
          </cell>
          <cell r="O15">
            <v>1.7333944318848746E-2</v>
          </cell>
          <cell r="P15">
            <v>1.7936178097668582E-2</v>
          </cell>
        </row>
        <row r="16">
          <cell r="D16">
            <v>1.0821302170594653E-2</v>
          </cell>
          <cell r="E16">
            <v>1.1859670580742781E-2</v>
          </cell>
          <cell r="F16">
            <v>1.1615562020716848E-2</v>
          </cell>
          <cell r="G16">
            <v>1.1965238488113518E-2</v>
          </cell>
          <cell r="H16">
            <v>1.2436535990517902E-2</v>
          </cell>
          <cell r="I16">
            <v>1.3242659955321473E-2</v>
          </cell>
          <cell r="J16">
            <v>1.4866622952786537E-2</v>
          </cell>
          <cell r="K16">
            <v>1.4906188698328011E-2</v>
          </cell>
          <cell r="L16">
            <v>1.4605523365934542E-2</v>
          </cell>
          <cell r="M16">
            <v>1.3618514123262414E-2</v>
          </cell>
          <cell r="N16">
            <v>1.3126557491353181E-2</v>
          </cell>
          <cell r="O16">
            <v>1.1915281165739405E-2</v>
          </cell>
          <cell r="P16">
            <v>1.2961649338305676E-2</v>
          </cell>
        </row>
        <row r="17">
          <cell r="D17">
            <v>2.6429352404760787E-2</v>
          </cell>
          <cell r="E17">
            <v>2.7017413323913532E-2</v>
          </cell>
          <cell r="F17">
            <v>2.769092157814107E-2</v>
          </cell>
          <cell r="G17">
            <v>2.8134174963683169E-2</v>
          </cell>
          <cell r="H17">
            <v>3.0095575255691513E-2</v>
          </cell>
          <cell r="I17">
            <v>2.9711158286392786E-2</v>
          </cell>
          <cell r="J17">
            <v>3.3443631095643599E-2</v>
          </cell>
          <cell r="K17">
            <v>3.2269513841776037E-2</v>
          </cell>
          <cell r="L17">
            <v>3.176340788660563E-2</v>
          </cell>
          <cell r="M17">
            <v>2.9604922286229265E-2</v>
          </cell>
          <cell r="N17">
            <v>2.7862597538606822E-2</v>
          </cell>
          <cell r="O17">
            <v>2.8137924326085369E-2</v>
          </cell>
          <cell r="P17">
            <v>2.9407355110617574E-2</v>
          </cell>
        </row>
        <row r="18">
          <cell r="D18">
            <v>9.4786313664292059E-3</v>
          </cell>
          <cell r="E18">
            <v>9.507271903018465E-3</v>
          </cell>
          <cell r="F18">
            <v>9.9314807057450053E-3</v>
          </cell>
          <cell r="G18">
            <v>9.1130724854241521E-3</v>
          </cell>
          <cell r="H18">
            <v>9.2108846027648111E-3</v>
          </cell>
          <cell r="I18">
            <v>8.7365137207078124E-3</v>
          </cell>
          <cell r="J18">
            <v>9.6688857936666883E-3</v>
          </cell>
          <cell r="K18">
            <v>9.7150870606389061E-3</v>
          </cell>
          <cell r="L18">
            <v>9.2775336862302975E-3</v>
          </cell>
          <cell r="M18">
            <v>8.7737550715233821E-3</v>
          </cell>
          <cell r="N18">
            <v>8.4482326423241608E-3</v>
          </cell>
          <cell r="O18">
            <v>8.5408255539085268E-3</v>
          </cell>
          <cell r="P18">
            <v>9.1866851926674983E-3</v>
          </cell>
        </row>
        <row r="19">
          <cell r="D19">
            <v>1.2525432040953308E-2</v>
          </cell>
          <cell r="E19">
            <v>1.2318156067351762E-2</v>
          </cell>
          <cell r="F19">
            <v>1.2989253330542539E-2</v>
          </cell>
          <cell r="G19">
            <v>1.2797113144574797E-2</v>
          </cell>
          <cell r="H19">
            <v>1.3311344885956472E-2</v>
          </cell>
          <cell r="I19">
            <v>1.369894167916276E-2</v>
          </cell>
          <cell r="J19">
            <v>1.5591649017964561E-2</v>
          </cell>
          <cell r="K19">
            <v>1.5077701274137318E-2</v>
          </cell>
          <cell r="L19">
            <v>1.4808989478097221E-2</v>
          </cell>
          <cell r="M19">
            <v>1.3750683257067277E-2</v>
          </cell>
          <cell r="N19">
            <v>1.2778075697043168E-2</v>
          </cell>
          <cell r="O19">
            <v>1.1995282808189291E-2</v>
          </cell>
          <cell r="P19">
            <v>1.3495683233727731E-2</v>
          </cell>
        </row>
        <row r="20">
          <cell r="D20">
            <v>4.2333094048298244E-3</v>
          </cell>
          <cell r="E20">
            <v>4.356581854500126E-3</v>
          </cell>
          <cell r="F20">
            <v>4.5320530544717868E-3</v>
          </cell>
          <cell r="G20">
            <v>4.1394421285414354E-3</v>
          </cell>
          <cell r="H20">
            <v>4.0029734045733453E-3</v>
          </cell>
          <cell r="I20">
            <v>3.8151991282579646E-3</v>
          </cell>
          <cell r="J20">
            <v>4.1669232897626378E-3</v>
          </cell>
          <cell r="K20">
            <v>4.0198118324365189E-3</v>
          </cell>
          <cell r="L20">
            <v>3.7717469996887696E-3</v>
          </cell>
          <cell r="M20">
            <v>4.8394345415170579E-3</v>
          </cell>
          <cell r="N20">
            <v>3.8924919795885592E-3</v>
          </cell>
          <cell r="O20">
            <v>4.6830298046577155E-3</v>
          </cell>
          <cell r="P20">
            <v>4.2021216122077962E-3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S Seasonal Weights"/>
      <sheetName val="SUBS Monthly Weather Weights"/>
      <sheetName val="SUBS Weights by Year (21-23)"/>
      <sheetName val="SUBS Sales by Year (21-23)"/>
    </sheetNames>
    <sheetDataSet>
      <sheetData sheetId="0">
        <row r="11">
          <cell r="D11">
            <v>0.14154859947451823</v>
          </cell>
          <cell r="E11">
            <v>0.13962994552815144</v>
          </cell>
          <cell r="F11">
            <v>0.13634199209451564</v>
          </cell>
          <cell r="G11">
            <v>0.14572046778128955</v>
          </cell>
          <cell r="H11">
            <v>0.14382008189829601</v>
          </cell>
          <cell r="I11">
            <v>0.14346249619808665</v>
          </cell>
          <cell r="J11">
            <v>0.1498908592080847</v>
          </cell>
          <cell r="K11">
            <v>0.13129772544025142</v>
          </cell>
          <cell r="L11">
            <v>0.15275922181514207</v>
          </cell>
          <cell r="M11">
            <v>0.15405295250346304</v>
          </cell>
          <cell r="N11">
            <v>0.14075498036741704</v>
          </cell>
          <cell r="O11">
            <v>0.12940968608265926</v>
          </cell>
          <cell r="P11">
            <v>0.14219326350222491</v>
          </cell>
        </row>
        <row r="12">
          <cell r="D12">
            <v>0.65249039528870489</v>
          </cell>
          <cell r="E12">
            <v>0.65531605833670348</v>
          </cell>
          <cell r="F12">
            <v>0.6533101125965628</v>
          </cell>
          <cell r="G12">
            <v>0.64162652647618634</v>
          </cell>
          <cell r="H12">
            <v>0.65333017828954043</v>
          </cell>
          <cell r="I12">
            <v>0.65843088967358931</v>
          </cell>
          <cell r="J12">
            <v>0.64257626644176835</v>
          </cell>
          <cell r="K12">
            <v>0.69529586374122698</v>
          </cell>
          <cell r="L12">
            <v>0.63111788420200987</v>
          </cell>
          <cell r="M12">
            <v>0.64582058286249466</v>
          </cell>
          <cell r="N12">
            <v>0.66442709576302028</v>
          </cell>
          <cell r="O12">
            <v>0.68716608384321543</v>
          </cell>
          <cell r="P12">
            <v>0.65797552972543016</v>
          </cell>
        </row>
        <row r="13">
          <cell r="D13">
            <v>2.0608100362199538E-2</v>
          </cell>
          <cell r="E13">
            <v>2.1203114779982452E-2</v>
          </cell>
          <cell r="F13">
            <v>2.2690679018283991E-2</v>
          </cell>
          <cell r="G13">
            <v>2.1886196502919588E-2</v>
          </cell>
          <cell r="H13">
            <v>2.2224288547166654E-2</v>
          </cell>
          <cell r="I13">
            <v>2.3028575609353025E-2</v>
          </cell>
          <cell r="J13">
            <v>2.6105442163010358E-2</v>
          </cell>
          <cell r="K13">
            <v>1.9441098742374641E-2</v>
          </cell>
          <cell r="L13">
            <v>3.1774282410086431E-2</v>
          </cell>
          <cell r="M13">
            <v>2.2706457577107934E-2</v>
          </cell>
          <cell r="N13">
            <v>2.3751792719232438E-2</v>
          </cell>
          <cell r="O13">
            <v>2.2821050635134364E-2</v>
          </cell>
          <cell r="P13">
            <v>2.3204546918233832E-2</v>
          </cell>
        </row>
        <row r="14">
          <cell r="D14">
            <v>5.882837382150792E-2</v>
          </cell>
          <cell r="E14">
            <v>5.718681021868155E-2</v>
          </cell>
          <cell r="F14">
            <v>4.8746366680489948E-2</v>
          </cell>
          <cell r="G14">
            <v>5.4126579904833133E-2</v>
          </cell>
          <cell r="H14">
            <v>4.9721742154423633E-2</v>
          </cell>
          <cell r="I14">
            <v>4.8828849862833104E-2</v>
          </cell>
          <cell r="J14">
            <v>4.6574521329705743E-2</v>
          </cell>
          <cell r="K14">
            <v>3.5978702008382719E-2</v>
          </cell>
          <cell r="L14">
            <v>4.4572809613660822E-2</v>
          </cell>
          <cell r="M14">
            <v>4.8189219046744218E-2</v>
          </cell>
          <cell r="N14">
            <v>4.5810942260107464E-2</v>
          </cell>
          <cell r="O14">
            <v>4.3008980939958662E-2</v>
          </cell>
          <cell r="P14">
            <v>4.7873284392743229E-2</v>
          </cell>
        </row>
        <row r="15">
          <cell r="D15">
            <v>1.2058500985016346E-2</v>
          </cell>
          <cell r="E15">
            <v>7.4608386939913288E-3</v>
          </cell>
          <cell r="F15">
            <v>8.2529335766341541E-3</v>
          </cell>
          <cell r="G15">
            <v>9.1278488383019565E-3</v>
          </cell>
          <cell r="H15">
            <v>1.0650656288193715E-2</v>
          </cell>
          <cell r="I15">
            <v>1.2433409227827399E-2</v>
          </cell>
          <cell r="J15">
            <v>1.126109327318022E-2</v>
          </cell>
          <cell r="K15">
            <v>9.4969413704781222E-3</v>
          </cell>
          <cell r="L15">
            <v>1.0384258255589309E-2</v>
          </cell>
          <cell r="M15">
            <v>8.5114541419330243E-3</v>
          </cell>
          <cell r="N15">
            <v>8.6927389928201284E-3</v>
          </cell>
          <cell r="O15">
            <v>6.597380183308783E-3</v>
          </cell>
          <cell r="P15">
            <v>9.5588755992415345E-3</v>
          </cell>
        </row>
        <row r="16">
          <cell r="D16">
            <v>6.9936929105211515E-2</v>
          </cell>
          <cell r="E16">
            <v>7.7000996055339596E-2</v>
          </cell>
          <cell r="F16">
            <v>8.6179440315684308E-2</v>
          </cell>
          <cell r="G16">
            <v>8.3934690676640569E-2</v>
          </cell>
          <cell r="H16">
            <v>8.1291272907290657E-2</v>
          </cell>
          <cell r="I16">
            <v>7.4308477786671226E-2</v>
          </cell>
          <cell r="J16">
            <v>8.0990965670547671E-2</v>
          </cell>
          <cell r="K16">
            <v>7.3742297232090886E-2</v>
          </cell>
          <cell r="L16">
            <v>8.4971060575492918E-2</v>
          </cell>
          <cell r="M16">
            <v>8.0118539071640696E-2</v>
          </cell>
          <cell r="N16">
            <v>7.6539369351435432E-2</v>
          </cell>
          <cell r="O16">
            <v>7.1992383937613327E-2</v>
          </cell>
          <cell r="P16">
            <v>7.8229093503641184E-2</v>
          </cell>
        </row>
        <row r="17">
          <cell r="D17">
            <v>8.6067885131653095E-3</v>
          </cell>
          <cell r="E17">
            <v>8.7123329079682784E-3</v>
          </cell>
          <cell r="F17">
            <v>9.9670018246665552E-3</v>
          </cell>
          <cell r="G17">
            <v>1.094744112823284E-2</v>
          </cell>
          <cell r="H17">
            <v>8.5862153520945388E-3</v>
          </cell>
          <cell r="I17">
            <v>8.6365655370219761E-3</v>
          </cell>
          <cell r="J17">
            <v>9.6625598330997153E-3</v>
          </cell>
          <cell r="K17">
            <v>8.5505164833128613E-3</v>
          </cell>
          <cell r="L17">
            <v>9.4515220800293169E-3</v>
          </cell>
          <cell r="M17">
            <v>9.3738400501444715E-3</v>
          </cell>
          <cell r="N17">
            <v>7.5336403443094892E-3</v>
          </cell>
          <cell r="O17">
            <v>7.0414120430185726E-3</v>
          </cell>
          <cell r="P17">
            <v>8.8712639075337867E-3</v>
          </cell>
        </row>
        <row r="18">
          <cell r="D18">
            <v>2.1181036292996135E-2</v>
          </cell>
          <cell r="E18">
            <v>2.0212328165085062E-2</v>
          </cell>
          <cell r="F18">
            <v>2.1882600821757477E-2</v>
          </cell>
          <cell r="G18">
            <v>2.1282688501334343E-2</v>
          </cell>
          <cell r="H18">
            <v>2.0355611368189322E-2</v>
          </cell>
          <cell r="I18">
            <v>2.1973645669284659E-2</v>
          </cell>
          <cell r="J18">
            <v>2.1736229933253554E-2</v>
          </cell>
          <cell r="K18">
            <v>1.714217604183477E-2</v>
          </cell>
          <cell r="L18">
            <v>2.1243341539772607E-2</v>
          </cell>
          <cell r="M18">
            <v>1.8606077539897618E-2</v>
          </cell>
          <cell r="N18">
            <v>1.8203248108752294E-2</v>
          </cell>
          <cell r="O18">
            <v>1.8055082609131599E-2</v>
          </cell>
          <cell r="P18">
            <v>2.0018851865283981E-2</v>
          </cell>
        </row>
        <row r="19">
          <cell r="D19">
            <v>1.4741276156680127E-2</v>
          </cell>
          <cell r="E19">
            <v>1.3277575314096715E-2</v>
          </cell>
          <cell r="F19">
            <v>1.2628873071405056E-2</v>
          </cell>
          <cell r="G19">
            <v>1.1347560190261695E-2</v>
          </cell>
          <cell r="H19">
            <v>1.0019953194805111E-2</v>
          </cell>
          <cell r="I19">
            <v>8.8970904353327714E-3</v>
          </cell>
          <cell r="J19">
            <v>1.1202062147349777E-2</v>
          </cell>
          <cell r="K19">
            <v>9.0546789400474132E-3</v>
          </cell>
          <cell r="L19">
            <v>1.3725619508216614E-2</v>
          </cell>
          <cell r="M19">
            <v>1.262087720657425E-2</v>
          </cell>
          <cell r="N19">
            <v>1.4286192092905485E-2</v>
          </cell>
          <cell r="O19">
            <v>1.3907939725960045E-2</v>
          </cell>
          <cell r="P19">
            <v>1.2075290585667321E-2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 Spline Model"/>
      <sheetName val="RES Spline Graph"/>
      <sheetName val="GSS Spline Model"/>
      <sheetName val="GSS Spline Graph"/>
      <sheetName val="GSL Spline Model"/>
      <sheetName val="GSL Spline Graph"/>
      <sheetName val="GPLD Spline Model"/>
      <sheetName val="GPLD Spline Graph"/>
      <sheetName val="SUBS Spline Model"/>
      <sheetName val="SUBS Spline Graph"/>
      <sheetName val="RES B Spline Model"/>
      <sheetName val="RES B Spline Graph"/>
      <sheetName val="GSS B Spline Model"/>
      <sheetName val="GSS B Spline Graph"/>
      <sheetName val="GSL B Spline Model"/>
      <sheetName val="GSL B Spline Graph"/>
      <sheetName val="GPLD B Spline Model"/>
      <sheetName val="GPLD B Spline Graph"/>
      <sheetName val="SUBS B Spline Model"/>
      <sheetName val="SUBS B Spline Graph"/>
    </sheetNames>
    <sheetDataSet>
      <sheetData sheetId="0">
        <row r="42">
          <cell r="C42">
            <v>2678.7350000000001</v>
          </cell>
        </row>
        <row r="43">
          <cell r="C43">
            <v>1637.5029999999999</v>
          </cell>
        </row>
        <row r="44">
          <cell r="C44">
            <v>895.30499999999995</v>
          </cell>
        </row>
        <row r="45">
          <cell r="C45">
            <v>533.50400000000002</v>
          </cell>
        </row>
        <row r="46">
          <cell r="C46">
            <v>1652.3579999999999</v>
          </cell>
        </row>
        <row r="47">
          <cell r="C47">
            <v>1406.229</v>
          </cell>
        </row>
        <row r="48">
          <cell r="C48">
            <v>2267.92</v>
          </cell>
        </row>
        <row r="49">
          <cell r="C49">
            <v>412.01</v>
          </cell>
        </row>
      </sheetData>
      <sheetData sheetId="1"/>
      <sheetData sheetId="2">
        <row r="42">
          <cell r="C42">
            <v>33.933999999999997</v>
          </cell>
        </row>
        <row r="43">
          <cell r="C43">
            <v>27.053000000000001</v>
          </cell>
        </row>
        <row r="44">
          <cell r="C44">
            <v>13.738</v>
          </cell>
        </row>
        <row r="45">
          <cell r="C45">
            <v>21.484999999999999</v>
          </cell>
        </row>
        <row r="46">
          <cell r="C46">
            <v>21.545999999999999</v>
          </cell>
        </row>
        <row r="47">
          <cell r="C47">
            <v>34.493000000000002</v>
          </cell>
        </row>
      </sheetData>
      <sheetData sheetId="3"/>
      <sheetData sheetId="4">
        <row r="48">
          <cell r="C48">
            <v>520.85</v>
          </cell>
        </row>
        <row r="49">
          <cell r="C49">
            <v>503.702</v>
          </cell>
        </row>
        <row r="50">
          <cell r="C50">
            <v>229.85599999999999</v>
          </cell>
        </row>
        <row r="51">
          <cell r="C51">
            <v>779.41200000000003</v>
          </cell>
        </row>
        <row r="52">
          <cell r="C52">
            <v>390.39400000000001</v>
          </cell>
        </row>
        <row r="53">
          <cell r="C53">
            <v>617.06399999999996</v>
          </cell>
        </row>
      </sheetData>
      <sheetData sheetId="5"/>
      <sheetData sheetId="6">
        <row r="43">
          <cell r="C43">
            <v>40.201000000000001</v>
          </cell>
        </row>
        <row r="44">
          <cell r="C44">
            <v>49.323</v>
          </cell>
        </row>
        <row r="45">
          <cell r="C45">
            <v>47.826000000000001</v>
          </cell>
        </row>
      </sheetData>
      <sheetData sheetId="7"/>
      <sheetData sheetId="8">
        <row r="36">
          <cell r="C36">
            <v>27.135000000000002</v>
          </cell>
        </row>
        <row r="37">
          <cell r="C37">
            <v>-25.786999999999999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../drawings/drawing2.xml" Id="rI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../drawings/drawing3.xml" Id="rI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../drawings/drawing4.xml" Id="rId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../drawings/drawing5.xml" Id="rId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../drawings/drawing6.xml" Id="rId2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../drawings/drawing7.xml" Id="rId2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../drawings/drawing8.xml" Id="rId2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../drawings/drawing9.xml" Id="rId2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../drawings/drawing10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1:F29"/>
  <x:sheetViews>
    <x:sheetView zoomScaleNormal="100" workbookViewId="0"/>
  </x:sheetViews>
  <x:sheetFormatPr defaultRowHeight="12.5" x14ac:dyDescent="0.25"/>
  <x:cols>
    <x:col min="1" max="1" width="9.08984375" style="1" customWidth="1"/>
    <x:col min="2" max="2" width="11.6328125" customWidth="1"/>
    <x:col min="3" max="3" width="12.54296875" customWidth="1"/>
    <x:col min="4" max="4" width="12" customWidth="1"/>
    <x:col min="5" max="5" width="12.6328125" customWidth="1"/>
    <x:col min="6" max="6" width="14.36328125" customWidth="1"/>
  </x:cols>
  <x:sheetData>
    <x:row r="1" spans="1:6" ht="15.5" x14ac:dyDescent="0.35">
      <x:c r="B1" s="209" t="s">
        <x:v>47</x:v>
      </x:c>
      <x:c r="C1" s="209"/>
      <x:c r="D1" s="209"/>
      <x:c r="E1" s="209"/>
      <x:c r="F1" s="209"/>
    </x:row>
    <x:row r="2" spans="1:6" ht="15.5" x14ac:dyDescent="0.35">
      <x:c r="B2" s="209" t="s">
        <x:v>70</x:v>
      </x:c>
      <x:c r="C2" s="209"/>
      <x:c r="D2" s="209"/>
      <x:c r="E2" s="209"/>
      <x:c r="F2" s="209"/>
    </x:row>
    <x:row r="3" spans="1:6" ht="15.5" x14ac:dyDescent="0.35">
      <x:c r="B3" s="209" t="s">
        <x:v>7</x:v>
      </x:c>
      <x:c r="C3" s="209"/>
      <x:c r="D3" s="209"/>
      <x:c r="E3" s="209"/>
      <x:c r="F3" s="209"/>
    </x:row>
    <x:row r="4" spans="1:6" ht="15.5" x14ac:dyDescent="0.35">
      <x:c r="B4" s="209" t="s">
        <x:v>152</x:v>
      </x:c>
      <x:c r="C4" s="209"/>
      <x:c r="D4" s="209"/>
      <x:c r="E4" s="209"/>
      <x:c r="F4" s="209"/>
    </x:row>
    <x:row r="5" spans="1:6" ht="15.5" x14ac:dyDescent="0.35">
      <x:c r="B5" s="209"/>
      <x:c r="C5" s="209"/>
      <x:c r="D5" s="209"/>
      <x:c r="E5" s="209"/>
      <x:c r="F5" s="209"/>
    </x:row>
    <x:row r="6" spans="1:6" ht="15.5" x14ac:dyDescent="0.35">
      <x:c r="B6" s="209" t="s">
        <x:v>93</x:v>
      </x:c>
      <x:c r="C6" s="209"/>
      <x:c r="D6" s="209"/>
      <x:c r="E6" s="209"/>
      <x:c r="F6" s="209"/>
    </x:row>
    <x:row r="7" spans="1:6" ht="15.5" x14ac:dyDescent="0.35">
      <x:c r="B7" s="4"/>
      <x:c r="C7" s="4"/>
      <x:c r="D7" s="4"/>
      <x:c r="E7" s="4"/>
      <x:c r="F7" s="4"/>
    </x:row>
    <x:row r="8" spans="1:6" ht="15.5" x14ac:dyDescent="0.35">
      <x:c r="B8" s="209" t="s">
        <x:v>71</x:v>
      </x:c>
      <x:c r="C8" s="209"/>
      <x:c r="D8" s="211"/>
      <x:c r="E8" s="209"/>
      <x:c r="F8" s="209"/>
    </x:row>
    <x:row r="9" spans="1:6" ht="15.5" x14ac:dyDescent="0.35">
      <x:c r="B9" s="209" t="s">
        <x:v>5</x:v>
      </x:c>
      <x:c r="C9" s="209"/>
      <x:c r="D9" s="209"/>
      <x:c r="E9" s="209"/>
      <x:c r="F9" s="209"/>
    </x:row>
    <x:row r="10" spans="1:6" x14ac:dyDescent="0.25">
      <x:c r="A10" s="1" t="s">
        <x:v>6</x:v>
      </x:c>
      <x:c r="C10" s="1" t="s">
        <x:v>9</x:v>
      </x:c>
      <x:c r="D10" s="1" t="s">
        <x:v>10</x:v>
      </x:c>
      <x:c r="E10" s="6" t="s">
        <x:v>12</x:v>
      </x:c>
      <x:c r="F10" s="6" t="s">
        <x:v>11</x:v>
      </x:c>
    </x:row>
    <x:row r="11" spans="1:6" ht="13" x14ac:dyDescent="0.3">
      <x:c r="A11" s="5" t="s">
        <x:v>8</x:v>
      </x:c>
      <x:c r="C11" s="210" t="s">
        <x:v>2</x:v>
      </x:c>
      <x:c r="D11" s="210"/>
      <x:c r="E11" s="210" t="s">
        <x:v>3</x:v>
      </x:c>
      <x:c r="F11" s="210"/>
    </x:row>
    <x:row r="12" spans="1:6" x14ac:dyDescent="0.25">
      <x:c r="A12" s="1">
        <x:v>1</x:v>
      </x:c>
      <x:c r="C12" s="101" t="s">
        <x:v>1</x:v>
      </x:c>
      <x:c r="D12" s="101" t="s">
        <x:v>0</x:v>
      </x:c>
      <x:c r="E12" s="101" t="s">
        <x:v>1</x:v>
      </x:c>
      <x:c r="F12" s="101" t="s">
        <x:v>0</x:v>
      </x:c>
    </x:row>
    <x:row r="13" spans="1:6" x14ac:dyDescent="0.25">
      <x:c r="A13" s="1">
        <x:v>2</x:v>
      </x:c>
      <x:c r="B13" s="2">
        <x:v>45292</x:v>
      </x:c>
      <x:c r="C13" s="3">
        <x:v>192.04714102833336</x:v>
      </x:c>
      <x:c r="D13" s="3">
        <x:v>0.50931181723809626</x:v>
      </x:c>
      <x:c r="E13" s="3">
        <x:v>213.47102380845581</x:v>
      </x:c>
      <x:c r="F13" s="3">
        <x:v>2.4932806220886969</x:v>
      </x:c>
    </x:row>
    <x:row r="14" spans="1:6" x14ac:dyDescent="0.25">
      <x:c r="A14" s="1">
        <x:v>3</x:v>
      </x:c>
      <x:c r="B14" s="2">
        <x:v>45323</x:v>
      </x:c>
      <x:c r="C14" s="154">
        <x:v>260.83933380804763</x:v>
      </x:c>
      <x:c r="D14" s="154">
        <x:v>7.1189206857142778E-2</x:v>
      </x:c>
      <x:c r="E14" s="154">
        <x:v>221.39090221158963</x:v>
      </x:c>
      <x:c r="F14" s="154">
        <x:v>1.5673922972591274</x:v>
      </x:c>
    </x:row>
    <x:row r="15" spans="1:6" x14ac:dyDescent="0.25">
      <x:c r="A15" s="1">
        <x:v>4</x:v>
      </x:c>
      <x:c r="B15" s="2">
        <x:v>45352</x:v>
      </x:c>
      <x:c r="C15" s="154">
        <x:v>65.576036338333324</x:v>
      </x:c>
      <x:c r="D15" s="154">
        <x:v>14.582078343190481</x:v>
      </x:c>
      <x:c r="E15" s="154">
        <x:v>149.60668225189107</x:v>
      </x:c>
      <x:c r="F15" s="154">
        <x:v>6.3552178925046672</x:v>
      </x:c>
    </x:row>
    <x:row r="16" spans="1:6" x14ac:dyDescent="0.25">
      <x:c r="A16" s="1">
        <x:v>5</x:v>
      </x:c>
      <x:c r="B16" s="2">
        <x:v>45383</x:v>
      </x:c>
      <x:c r="C16" s="154">
        <x:v>25.940125403904759</x:v>
      </x:c>
      <x:c r="D16" s="154">
        <x:v>23.33679555838096</x:v>
      </x:c>
      <x:c r="E16" s="154">
        <x:v>45.106131414919375</x:v>
      </x:c>
      <x:c r="F16" s="154">
        <x:v>25.375167256061406</x:v>
      </x:c>
    </x:row>
    <x:row r="17" spans="1:6" x14ac:dyDescent="0.25">
      <x:c r="A17" s="1">
        <x:v>6</x:v>
      </x:c>
      <x:c r="B17" s="2">
        <x:v>45413</x:v>
      </x:c>
      <x:c r="C17" s="154">
        <x:v>4.9216688563333317</x:v>
      </x:c>
      <x:c r="D17" s="154">
        <x:v>87.833334773428604</x:v>
      </x:c>
      <x:c r="E17" s="154">
        <x:v>10.403559387118754</x:v>
      </x:c>
      <x:c r="F17" s="154">
        <x:v>71.734337599161577</x:v>
      </x:c>
    </x:row>
    <x:row r="18" spans="1:6" x14ac:dyDescent="0.25">
      <x:c r="A18" s="1">
        <x:v>7</x:v>
      </x:c>
      <x:c r="B18" s="2">
        <x:v>45444</x:v>
      </x:c>
      <x:c r="C18" s="154">
        <x:v>5.8687520000000005E-3</x:v>
      </x:c>
      <x:c r="D18" s="154">
        <x:v>238.26230116985712</x:v>
      </x:c>
      <x:c r="E18" s="154">
        <x:v>1.0969640523715374</x:v>
      </x:c>
      <x:c r="F18" s="154">
        <x:v>214.65969011624705</x:v>
      </x:c>
    </x:row>
    <x:row r="19" spans="1:6" x14ac:dyDescent="0.25">
      <x:c r="A19" s="1">
        <x:v>8</x:v>
      </x:c>
      <x:c r="B19" s="2">
        <x:v>45474</x:v>
      </x:c>
      <x:c r="C19" s="154">
        <x:v>0</x:v>
      </x:c>
      <x:c r="D19" s="154">
        <x:v>413.76615727590473</x:v>
      </x:c>
      <x:c r="E19" s="154">
        <x:v>8.7872203653353732E-3</x:v>
      </x:c>
      <x:c r="F19" s="154">
        <x:v>376.74149289052286</x:v>
      </x:c>
    </x:row>
    <x:row r="20" spans="1:6" x14ac:dyDescent="0.25">
      <x:c r="A20" s="1">
        <x:v>9</x:v>
      </x:c>
      <x:c r="B20" s="2">
        <x:v>45505</x:v>
      </x:c>
      <x:c r="C20" s="154">
        <x:v>0</x:v>
      </x:c>
      <x:c r="D20" s="154">
        <x:v>407.79058282019048</x:v>
      </x:c>
      <x:c r="E20" s="154">
        <x:v>3.3797378853046584E-4</x:v>
      </x:c>
      <x:c r="F20" s="154">
        <x:v>441.8755524296364</x:v>
      </x:c>
    </x:row>
    <x:row r="21" spans="1:6" x14ac:dyDescent="0.25">
      <x:c r="A21" s="1">
        <x:v>10</x:v>
      </x:c>
      <x:c r="B21" s="2">
        <x:v>45536</x:v>
      </x:c>
      <x:c r="C21" s="3">
        <x:v>0</x:v>
      </x:c>
      <x:c r="D21" s="154">
        <x:v>427.48317298809536</x:v>
      </x:c>
      <x:c r="E21" s="154">
        <x:v>3.5522033608371743E-2</x:v>
      </x:c>
      <x:c r="F21" s="154">
        <x:v>397.57148488573023</x:v>
      </x:c>
    </x:row>
    <x:row r="22" spans="1:6" x14ac:dyDescent="0.25">
      <x:c r="A22" s="1">
        <x:v>11</x:v>
      </x:c>
      <x:c r="B22" s="2">
        <x:v>45566</x:v>
      </x:c>
      <x:c r="C22" s="3">
        <x:v>0.16908012819047613</x:v>
      </x:c>
      <x:c r="D22" s="3">
        <x:v>239.28239802119046</x:v>
      </x:c>
      <x:c r="E22" s="154">
        <x:v>1.9478264295708587</x:v>
      </x:c>
      <x:c r="F22" s="154">
        <x:v>220.30251783547996</x:v>
      </x:c>
    </x:row>
    <x:row r="23" spans="1:6" x14ac:dyDescent="0.25">
      <x:c r="A23" s="1">
        <x:v>12</x:v>
      </x:c>
      <x:c r="B23" s="2">
        <x:v>45597</x:v>
      </x:c>
      <x:c r="C23" s="3">
        <x:v>2.4301901530952374</x:v>
      </x:c>
      <x:c r="D23" s="3">
        <x:v>119.20831744052381</x:v>
      </x:c>
      <x:c r="E23" s="154">
        <x:v>27.452625671155264</x:v>
      </x:c>
      <x:c r="F23" s="154">
        <x:v>65.768035288573657</x:v>
      </x:c>
    </x:row>
    <x:row r="24" spans="1:6" x14ac:dyDescent="0.25">
      <x:c r="A24" s="1">
        <x:v>13</x:v>
      </x:c>
      <x:c r="B24" s="2">
        <x:v>45627</x:v>
      </x:c>
      <x:c r="C24" s="3">
        <x:v>68.297777330571421</x:v>
      </x:c>
      <x:c r="D24" s="3">
        <x:v>14.298436466666674</x:v>
      </x:c>
      <x:c r="E24" s="154">
        <x:v>111.0177568484379</x:v>
      </x:c>
      <x:c r="F24" s="154">
        <x:v>10.052166621869391</x:v>
      </x:c>
    </x:row>
    <x:row r="25" spans="1:6" x14ac:dyDescent="0.25">
      <x:c r="A25" s="1">
        <x:v>14</x:v>
      </x:c>
      <x:c r="B25" s="100" t="s">
        <x:v>4</x:v>
      </x:c>
      <x:c r="C25" s="50">
        <x:f>SUM(C13:C24)</x:f>
        <x:v>620.22722179880952</x:v>
      </x:c>
      <x:c r="D25" s="50">
        <x:f>SUM(D13:D24)</x:f>
        <x:v>1986.4240758815238</x:v>
      </x:c>
      <x:c r="E25" s="50">
        <x:f>SUM(E13:E24)</x:f>
        <x:v>781.53811930327242</x:v>
      </x:c>
      <x:c r="F25" s="50">
        <x:f>SUM(F13:F24)</x:f>
        <x:v>1834.4963357351348</x:v>
      </x:c>
    </x:row>
    <x:row r="28" spans="1:6" x14ac:dyDescent="0.25">
      <x:c r="B28" s="2"/>
      <x:c r="C28" s="143"/>
      <x:c r="D28" s="143"/>
      <x:c r="E28" s="143"/>
      <x:c r="F28" s="143"/>
    </x:row>
    <x:row r="29" spans="1:6" x14ac:dyDescent="0.25">
      <x:c r="B29" s="2"/>
      <x:c r="C29" s="143"/>
      <x:c r="D29" s="143"/>
      <x:c r="E29" s="143"/>
      <x:c r="F29" s="143"/>
    </x:row>
  </x:sheetData>
  <x:mergeCells count="10">
    <x:mergeCell ref="C11:D11"/>
    <x:mergeCell ref="E11:F11"/>
    <x:mergeCell ref="B4:F4"/>
    <x:mergeCell ref="B5:F5"/>
    <x:mergeCell ref="B8:F8"/>
    <x:mergeCell ref="B1:F1"/>
    <x:mergeCell ref="B9:F9"/>
    <x:mergeCell ref="B6:F6"/>
    <x:mergeCell ref="B2:F2"/>
    <x:mergeCell ref="B3:F3"/>
  </x:mergeCells>
  <x:phoneticPr fontId="2" type="noConversion"/>
  <x:printOptions horizontalCentered="1"/>
  <x:pageMargins left="1.5" right="0.5" top="1.5" bottom="1" header="1" footer="0.5"/>
  <x:pageSetup firstPageNumber="3" orientation="portrait" useFirstPageNumber="1" r:id="rId1"/>
  <x:headerFooter alignWithMargins="0">
    <x:oddHeader>&amp;RSchedule II-H-5.2
Page &amp;P of 37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pageSetUpPr fitToPage="1"/>
  </x:sheetPr>
  <x:dimension ref="A1:F25"/>
  <x:sheetViews>
    <x:sheetView zoomScaleNormal="100" workbookViewId="0"/>
  </x:sheetViews>
  <x:sheetFormatPr defaultRowHeight="12.5" x14ac:dyDescent="0.25"/>
  <x:cols>
    <x:col min="1" max="1" width="9.08984375" style="1" customWidth="1"/>
    <x:col min="2" max="2" width="11.6328125" customWidth="1"/>
    <x:col min="3" max="3" width="12.54296875" customWidth="1"/>
    <x:col min="4" max="4" width="12" customWidth="1"/>
    <x:col min="5" max="5" width="12.6328125" customWidth="1"/>
    <x:col min="6" max="6" width="15.36328125" customWidth="1"/>
  </x:cols>
  <x:sheetData>
    <x:row r="1" spans="1:6" ht="15.5" x14ac:dyDescent="0.35">
      <x:c r="B1" s="209" t="str">
        <x:f>+RES!B1</x:f>
        <x:v xml:space="preserve">PUC DOCKET NO. </x:v>
      </x:c>
      <x:c r="C1" s="209"/>
      <x:c r="D1" s="209"/>
      <x:c r="E1" s="209"/>
      <x:c r="F1" s="209"/>
    </x:row>
    <x:row r="2" spans="1:6" ht="15.5" x14ac:dyDescent="0.35">
      <x:c r="B2" s="209" t="str">
        <x:f>+RES!B2</x:f>
        <x:v>ONCOR ELECTRIC DELIVERY COMPANY LLC</x:v>
      </x:c>
      <x:c r="C2" s="209"/>
      <x:c r="D2" s="209"/>
      <x:c r="E2" s="209"/>
      <x:c r="F2" s="209"/>
    </x:row>
    <x:row r="3" spans="1:6" ht="15.5" x14ac:dyDescent="0.35">
      <x:c r="B3" s="209" t="str">
        <x:f>+RES!B3</x:f>
        <x:v>ADJUSTED WEATHER STATION DATA</x:v>
      </x:c>
      <x:c r="C3" s="209"/>
      <x:c r="D3" s="209"/>
      <x:c r="E3" s="209"/>
      <x:c r="F3" s="209"/>
    </x:row>
    <x:row r="4" spans="1:6" ht="15.5" x14ac:dyDescent="0.35">
      <x:c r="B4" s="209" t="str">
        <x:f>+RES!B4</x:f>
        <x:v>FOR THE TEST YEAR ENDING DECEMBER 31, 2024</x:v>
      </x:c>
      <x:c r="C4" s="209"/>
      <x:c r="D4" s="209"/>
      <x:c r="E4" s="209"/>
      <x:c r="F4" s="209"/>
    </x:row>
    <x:row r="5" spans="1:6" ht="15.5" x14ac:dyDescent="0.35">
      <x:c r="B5" s="209"/>
      <x:c r="C5" s="209"/>
      <x:c r="D5" s="209"/>
      <x:c r="E5" s="209"/>
      <x:c r="F5" s="209"/>
    </x:row>
    <x:row r="6" spans="1:6" ht="15.5" x14ac:dyDescent="0.35">
      <x:c r="B6" s="209" t="str">
        <x:f>+RES!B6</x:f>
        <x:v>SPONSOR: D. E. NELSON</x:v>
      </x:c>
      <x:c r="C6" s="209"/>
      <x:c r="D6" s="209"/>
      <x:c r="E6" s="209"/>
      <x:c r="F6" s="209"/>
    </x:row>
    <x:row r="7" spans="1:6" ht="15.5" x14ac:dyDescent="0.35">
      <x:c r="B7" s="4"/>
      <x:c r="C7" s="4"/>
      <x:c r="D7" s="4"/>
      <x:c r="E7" s="4"/>
      <x:c r="F7" s="4"/>
    </x:row>
    <x:row r="8" spans="1:6" ht="15.5" x14ac:dyDescent="0.35">
      <x:c r="B8" s="209" t="s">
        <x:v>69</x:v>
      </x:c>
      <x:c r="C8" s="209"/>
      <x:c r="D8" s="211"/>
      <x:c r="E8" s="209"/>
      <x:c r="F8" s="209"/>
    </x:row>
    <x:row r="9" spans="1:6" ht="15.5" x14ac:dyDescent="0.35">
      <x:c r="B9" s="209" t="s">
        <x:v>5</x:v>
      </x:c>
      <x:c r="C9" s="209"/>
      <x:c r="D9" s="209"/>
      <x:c r="E9" s="209"/>
      <x:c r="F9" s="209"/>
    </x:row>
    <x:row r="10" spans="1:6" x14ac:dyDescent="0.25">
      <x:c r="A10" s="1" t="s">
        <x:v>6</x:v>
      </x:c>
      <x:c r="C10" s="1" t="s">
        <x:v>9</x:v>
      </x:c>
      <x:c r="D10" s="1" t="s">
        <x:v>10</x:v>
      </x:c>
      <x:c r="E10" s="6" t="s">
        <x:v>12</x:v>
      </x:c>
      <x:c r="F10" s="6" t="s">
        <x:v>11</x:v>
      </x:c>
    </x:row>
    <x:row r="11" spans="1:6" ht="13" x14ac:dyDescent="0.3">
      <x:c r="A11" s="5" t="s">
        <x:v>8</x:v>
      </x:c>
      <x:c r="C11" s="210" t="s">
        <x:v>2</x:v>
      </x:c>
      <x:c r="D11" s="210"/>
      <x:c r="E11" s="210" t="s">
        <x:v>3</x:v>
      </x:c>
      <x:c r="F11" s="210"/>
    </x:row>
    <x:row r="12" spans="1:6" x14ac:dyDescent="0.25">
      <x:c r="A12" s="1">
        <x:v>1</x:v>
      </x:c>
      <x:c r="C12" s="101" t="s">
        <x:v>1</x:v>
      </x:c>
      <x:c r="D12" s="101" t="s">
        <x:v>0</x:v>
      </x:c>
      <x:c r="E12" s="101" t="s">
        <x:v>1</x:v>
      </x:c>
      <x:c r="F12" s="101" t="s">
        <x:v>0</x:v>
      </x:c>
    </x:row>
    <x:row r="13" spans="1:6" x14ac:dyDescent="0.25">
      <x:c r="A13" s="1">
        <x:v>2</x:v>
      </x:c>
      <x:c r="B13" s="2">
        <x:f>+RES!B13</x:f>
        <x:v>45292</x:v>
      </x:c>
      <x:c r="C13" s="3">
        <x:v>184.63353390354484</x:v>
      </x:c>
      <x:c r="D13" s="3">
        <x:v>0.45216726600000073</x:v>
      </x:c>
      <x:c r="E13" s="3">
        <x:v>225.91363479157371</x:v>
      </x:c>
      <x:c r="F13" s="3">
        <x:v>2.2527213014007175</x:v>
      </x:c>
    </x:row>
    <x:row r="14" spans="1:6" x14ac:dyDescent="0.25">
      <x:c r="A14" s="1">
        <x:v>3</x:v>
      </x:c>
      <x:c r="B14" s="2">
        <x:f>+RES!B14</x:f>
        <x:v>45323</x:v>
      </x:c>
      <x:c r="C14" s="3">
        <x:v>220.1873797839298</x:v>
      </x:c>
      <x:c r="D14" s="3">
        <x:v>7.0489242238095176E-2</x:v>
      </x:c>
      <x:c r="E14" s="3">
        <x:v>232.7622459023554</x:v>
      </x:c>
      <x:c r="F14" s="3">
        <x:v>1.4051947537331992</x:v>
      </x:c>
    </x:row>
    <x:row r="15" spans="1:6" x14ac:dyDescent="0.25">
      <x:c r="A15" s="1">
        <x:v>4</x:v>
      </x:c>
      <x:c r="B15" s="2">
        <x:f>+RES!B15</x:f>
        <x:v>45352</x:v>
      </x:c>
      <x:c r="C15" s="3">
        <x:v>75.450548815276463</x:v>
      </x:c>
      <x:c r="D15" s="3">
        <x:v>13.519446702857151</x:v>
      </x:c>
      <x:c r="E15" s="3">
        <x:v>158.5217894580058</x:v>
      </x:c>
      <x:c r="F15" s="3">
        <x:v>5.9059238090062616</x:v>
      </x:c>
    </x:row>
    <x:row r="16" spans="1:6" x14ac:dyDescent="0.25">
      <x:c r="A16" s="1">
        <x:v>5</x:v>
      </x:c>
      <x:c r="B16" s="2">
        <x:f>+RES!B16</x:f>
        <x:v>45383</x:v>
      </x:c>
      <x:c r="C16" s="3">
        <x:v>37.755317028753488</x:v>
      </x:c>
      <x:c r="D16" s="3">
        <x:v>22.34790106280953</x:v>
      </x:c>
      <x:c r="E16" s="3">
        <x:v>50.898509067848018</x:v>
      </x:c>
      <x:c r="F16" s="3">
        <x:v>24.81394628746375</x:v>
      </x:c>
    </x:row>
    <x:row r="17" spans="1:6" x14ac:dyDescent="0.25">
      <x:c r="A17" s="1">
        <x:v>6</x:v>
      </x:c>
      <x:c r="B17" s="2">
        <x:f>+RES!B17</x:f>
        <x:v>45413</x:v>
      </x:c>
      <x:c r="C17" s="3">
        <x:v>7.0957271543809499</x:v>
      </x:c>
      <x:c r="D17" s="3">
        <x:v>87.941602065095267</x:v>
      </x:c>
      <x:c r="E17" s="3">
        <x:v>13.010936649668633</x:v>
      </x:c>
      <x:c r="F17" s="3">
        <x:v>72.778808458969465</x:v>
      </x:c>
    </x:row>
    <x:row r="18" spans="1:6" x14ac:dyDescent="0.25">
      <x:c r="A18" s="1">
        <x:v>7</x:v>
      </x:c>
      <x:c r="B18" s="2">
        <x:f>+RES!B18</x:f>
        <x:v>45444</x:v>
      </x:c>
      <x:c r="C18" s="3">
        <x:v>2.1473679999999998E-2</x:v>
      </x:c>
      <x:c r="D18" s="3">
        <x:v>245.16695176519056</x:v>
      </x:c>
      <x:c r="E18" s="3">
        <x:v>1.6240947840877427</x:v>
      </x:c>
      <x:c r="F18" s="3">
        <x:v>218.8791120209591</x:v>
      </x:c>
    </x:row>
    <x:row r="19" spans="1:6" x14ac:dyDescent="0.25">
      <x:c r="A19" s="1">
        <x:v>8</x:v>
      </x:c>
      <x:c r="B19" s="2">
        <x:f>+RES!B19</x:f>
        <x:v>45474</x:v>
      </x:c>
      <x:c r="C19" s="3">
        <x:v>0</x:v>
      </x:c>
      <x:c r="D19" s="3">
        <x:v>419.56964517361905</x:v>
      </x:c>
      <x:c r="E19" s="3">
        <x:v>1.8058366811040692E-2</x:v>
      </x:c>
      <x:c r="F19" s="3">
        <x:v>381.68578599715539</x:v>
      </x:c>
    </x:row>
    <x:row r="20" spans="1:6" x14ac:dyDescent="0.25">
      <x:c r="A20" s="1">
        <x:v>9</x:v>
      </x:c>
      <x:c r="B20" s="2">
        <x:f>+RES!B20</x:f>
        <x:v>45505</x:v>
      </x:c>
      <x:c r="C20" s="3">
        <x:v>0</x:v>
      </x:c>
      <x:c r="D20" s="3">
        <x:v>413.22415930438103</x:v>
      </x:c>
      <x:c r="E20" s="3">
        <x:v>1.3382830286738348E-3</x:v>
      </x:c>
      <x:c r="F20" s="3">
        <x:v>443.70544572921881</x:v>
      </x:c>
    </x:row>
    <x:row r="21" spans="1:6" x14ac:dyDescent="0.25">
      <x:c r="A21" s="1">
        <x:v>10</x:v>
      </x:c>
      <x:c r="B21" s="2">
        <x:f>+RES!B21</x:f>
        <x:v>45536</x:v>
      </x:c>
      <x:c r="C21" s="3">
        <x:v>0</x:v>
      </x:c>
      <x:c r="D21" s="3">
        <x:v>430.61029427557139</x:v>
      </x:c>
      <x:c r="E21" s="3">
        <x:v>7.7369928352163345E-2</x:v>
      </x:c>
      <x:c r="F21" s="3">
        <x:v>396.93672795737831</x:v>
      </x:c>
    </x:row>
    <x:row r="22" spans="1:6" x14ac:dyDescent="0.25">
      <x:c r="A22" s="1">
        <x:v>11</x:v>
      </x:c>
      <x:c r="B22" s="2">
        <x:f>+RES!B22</x:f>
        <x:v>45566</x:v>
      </x:c>
      <x:c r="C22" s="3">
        <x:v>0.30823940809523798</x:v>
      </x:c>
      <x:c r="D22" s="3">
        <x:v>235.33202792823815</x:v>
      </x:c>
      <x:c r="E22" s="3">
        <x:v>2.6285156552576989</x:v>
      </x:c>
      <x:c r="F22" s="3">
        <x:v>218.36058546491182</x:v>
      </x:c>
    </x:row>
    <x:row r="23" spans="1:6" x14ac:dyDescent="0.25">
      <x:c r="A23" s="1">
        <x:v>12</x:v>
      </x:c>
      <x:c r="B23" s="2">
        <x:f>+RES!B23</x:f>
        <x:v>45597</x:v>
      </x:c>
      <x:c r="C23" s="3">
        <x:v>5.73969605053738</x:v>
      </x:c>
      <x:c r="D23" s="3">
        <x:v>116.06745349857147</x:v>
      </x:c>
      <x:c r="E23" s="3">
        <x:v>32.083724743332589</x:v>
      </x:c>
      <x:c r="F23" s="3">
        <x:v>63.91795771527773</x:v>
      </x:c>
    </x:row>
    <x:row r="24" spans="1:6" x14ac:dyDescent="0.25">
      <x:c r="A24" s="1">
        <x:v>13</x:v>
      </x:c>
      <x:c r="B24" s="2">
        <x:f>+RES!B24</x:f>
        <x:v>45627</x:v>
      </x:c>
      <x:c r="C24" s="3">
        <x:v>98.10965798757897</x:v>
      </x:c>
      <x:c r="D24" s="3">
        <x:v>13.342507894333339</x:v>
      </x:c>
      <x:c r="E24" s="3">
        <x:v>120.77429385750611</x:v>
      </x:c>
      <x:c r="F24" s="3">
        <x:v>9.319234487124751</x:v>
      </x:c>
    </x:row>
    <x:row r="25" spans="1:6" x14ac:dyDescent="0.25">
      <x:c r="A25" s="1">
        <x:v>14</x:v>
      </x:c>
      <x:c r="B25" s="100" t="s">
        <x:v>4</x:v>
      </x:c>
      <x:c r="C25" s="50">
        <x:f>SUM(C13:C24)</x:f>
        <x:v>629.30157381209722</x:v>
      </x:c>
      <x:c r="D25" s="50">
        <x:f>SUM(D13:D24)</x:f>
        <x:v>1997.6446461789048</x:v>
      </x:c>
      <x:c r="E25" s="50">
        <x:f>SUM(E13:E24)</x:f>
        <x:v>838.31451148782776</x:v>
      </x:c>
      <x:c r="F25" s="50">
        <x:f>SUM(F13:F24)</x:f>
        <x:v>1839.9614439825991</x:v>
      </x:c>
    </x:row>
  </x:sheetData>
  <x:mergeCells count="10">
    <x:mergeCell ref="B8:F8"/>
    <x:mergeCell ref="B9:F9"/>
    <x:mergeCell ref="C11:D11"/>
    <x:mergeCell ref="E11:F11"/>
    <x:mergeCell ref="B1:F1"/>
    <x:mergeCell ref="B2:F2"/>
    <x:mergeCell ref="B3:F3"/>
    <x:mergeCell ref="B4:F4"/>
    <x:mergeCell ref="B5:F5"/>
    <x:mergeCell ref="B6:F6"/>
  </x:mergeCells>
  <x:printOptions horizontalCentered="1"/>
  <x:pageMargins left="1.5" right="0.5" top="1.5" bottom="1" header="1" footer="0.5"/>
  <x:pageSetup firstPageNumber="3" orientation="portrait" r:id="rId1"/>
  <x:headerFooter alignWithMargins="0">
    <x:oddHeader>&amp;RSchedule II-H-5.2
Page &amp;P of 37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3">
    <x:pageSetUpPr fitToPage="1"/>
  </x:sheetPr>
  <x:dimension ref="A1:F25"/>
  <x:sheetViews>
    <x:sheetView zoomScaleNormal="100" workbookViewId="0"/>
  </x:sheetViews>
  <x:sheetFormatPr defaultRowHeight="12.5" x14ac:dyDescent="0.25"/>
  <x:cols>
    <x:col min="1" max="1" width="9.08984375" style="1" customWidth="1"/>
    <x:col min="2" max="2" width="11.6328125" customWidth="1"/>
    <x:col min="3" max="3" width="12.54296875" customWidth="1"/>
    <x:col min="4" max="4" width="12" customWidth="1"/>
    <x:col min="5" max="5" width="12.6328125" customWidth="1"/>
    <x:col min="6" max="6" width="15.36328125" customWidth="1"/>
  </x:cols>
  <x:sheetData>
    <x:row r="1" spans="1:6" ht="15.5" x14ac:dyDescent="0.35">
      <x:c r="B1" s="209" t="str">
        <x:f>+RES!B1</x:f>
        <x:v xml:space="preserve">PUC DOCKET NO. </x:v>
      </x:c>
      <x:c r="C1" s="209"/>
      <x:c r="D1" s="209"/>
      <x:c r="E1" s="209"/>
      <x:c r="F1" s="209"/>
    </x:row>
    <x:row r="2" spans="1:6" ht="15.5" x14ac:dyDescent="0.35">
      <x:c r="B2" s="209" t="str">
        <x:f>+RES!B2</x:f>
        <x:v>ONCOR ELECTRIC DELIVERY COMPANY LLC</x:v>
      </x:c>
      <x:c r="C2" s="209"/>
      <x:c r="D2" s="209"/>
      <x:c r="E2" s="209"/>
      <x:c r="F2" s="209"/>
    </x:row>
    <x:row r="3" spans="1:6" ht="15.5" x14ac:dyDescent="0.35">
      <x:c r="B3" s="209" t="str">
        <x:f>+RES!B3</x:f>
        <x:v>ADJUSTED WEATHER STATION DATA</x:v>
      </x:c>
      <x:c r="C3" s="209"/>
      <x:c r="D3" s="209"/>
      <x:c r="E3" s="209"/>
      <x:c r="F3" s="209"/>
    </x:row>
    <x:row r="4" spans="1:6" ht="15.5" x14ac:dyDescent="0.35">
      <x:c r="B4" s="209" t="str">
        <x:f>+RES!B4</x:f>
        <x:v>FOR THE TEST YEAR ENDING DECEMBER 31, 2024</x:v>
      </x:c>
      <x:c r="C4" s="209"/>
      <x:c r="D4" s="209"/>
      <x:c r="E4" s="209"/>
      <x:c r="F4" s="209"/>
    </x:row>
    <x:row r="5" spans="1:6" ht="15.5" x14ac:dyDescent="0.35">
      <x:c r="B5" s="209"/>
      <x:c r="C5" s="209"/>
      <x:c r="D5" s="209"/>
      <x:c r="E5" s="209"/>
      <x:c r="F5" s="209"/>
    </x:row>
    <x:row r="6" spans="1:6" ht="15.5" x14ac:dyDescent="0.35">
      <x:c r="B6" s="209" t="str">
        <x:f>+RES!B6</x:f>
        <x:v>SPONSOR: D. E. NELSON</x:v>
      </x:c>
      <x:c r="C6" s="209"/>
      <x:c r="D6" s="209"/>
      <x:c r="E6" s="209"/>
      <x:c r="F6" s="209"/>
    </x:row>
    <x:row r="7" spans="1:6" ht="15.5" x14ac:dyDescent="0.35">
      <x:c r="B7" s="4"/>
      <x:c r="C7" s="4"/>
      <x:c r="D7" s="4"/>
      <x:c r="E7" s="4"/>
      <x:c r="F7" s="4"/>
    </x:row>
    <x:row r="8" spans="1:6" ht="15.5" x14ac:dyDescent="0.35">
      <x:c r="B8" s="209" t="s">
        <x:v>72</x:v>
      </x:c>
      <x:c r="C8" s="209"/>
      <x:c r="D8" s="211"/>
      <x:c r="E8" s="209"/>
      <x:c r="F8" s="209"/>
    </x:row>
    <x:row r="9" spans="1:6" ht="15.5" x14ac:dyDescent="0.35">
      <x:c r="B9" s="209" t="s">
        <x:v>5</x:v>
      </x:c>
      <x:c r="C9" s="209"/>
      <x:c r="D9" s="209"/>
      <x:c r="E9" s="209"/>
      <x:c r="F9" s="209"/>
    </x:row>
    <x:row r="10" spans="1:6" x14ac:dyDescent="0.25">
      <x:c r="A10" s="1" t="s">
        <x:v>6</x:v>
      </x:c>
      <x:c r="C10" s="1" t="s">
        <x:v>9</x:v>
      </x:c>
      <x:c r="D10" s="1" t="s">
        <x:v>10</x:v>
      </x:c>
      <x:c r="E10" s="6" t="s">
        <x:v>12</x:v>
      </x:c>
      <x:c r="F10" s="6" t="s">
        <x:v>11</x:v>
      </x:c>
    </x:row>
    <x:row r="11" spans="1:6" ht="13" x14ac:dyDescent="0.3">
      <x:c r="A11" s="5" t="s">
        <x:v>8</x:v>
      </x:c>
      <x:c r="C11" s="210" t="s">
        <x:v>2</x:v>
      </x:c>
      <x:c r="D11" s="210"/>
      <x:c r="E11" s="210" t="s">
        <x:v>3</x:v>
      </x:c>
      <x:c r="F11" s="210"/>
    </x:row>
    <x:row r="12" spans="1:6" x14ac:dyDescent="0.25">
      <x:c r="A12" s="1">
        <x:v>1</x:v>
      </x:c>
      <x:c r="C12" s="101" t="s">
        <x:v>1</x:v>
      </x:c>
      <x:c r="D12" s="101" t="s">
        <x:v>0</x:v>
      </x:c>
      <x:c r="E12" s="101" t="s">
        <x:v>1</x:v>
      </x:c>
      <x:c r="F12" s="101" t="s">
        <x:v>0</x:v>
      </x:c>
    </x:row>
    <x:row r="13" spans="1:6" x14ac:dyDescent="0.25">
      <x:c r="A13" s="1">
        <x:v>2</x:v>
      </x:c>
      <x:c r="B13" s="2">
        <x:f>+RES!B13</x:f>
        <x:v>45292</x:v>
      </x:c>
      <x:c r="C13" s="3">
        <x:v>140.09371180609526</x:v>
      </x:c>
      <x:c r="D13" s="3">
        <x:v>4.3887641093333372</x:v>
      </x:c>
      <x:c r="E13" s="3">
        <x:v>164.03554489819493</x:v>
      </x:c>
      <x:c r="F13" s="3">
        <x:v>9.3847032451071719</x:v>
      </x:c>
    </x:row>
    <x:row r="14" spans="1:6" x14ac:dyDescent="0.25">
      <x:c r="A14" s="1">
        <x:v>3</x:v>
      </x:c>
      <x:c r="B14" s="2">
        <x:f>+RES!B14</x:f>
        <x:v>45323</x:v>
      </x:c>
      <x:c r="C14" s="3">
        <x:v>211.10811523352379</x:v>
      </x:c>
      <x:c r="D14" s="3">
        <x:v>3.3728813234285719</x:v>
      </x:c>
      <x:c r="E14" s="3">
        <x:v>172.42221082972176</x:v>
      </x:c>
      <x:c r="F14" s="3">
        <x:v>7.1464836261310625</x:v>
      </x:c>
    </x:row>
    <x:row r="15" spans="1:6" x14ac:dyDescent="0.25">
      <x:c r="A15" s="1">
        <x:v>4</x:v>
      </x:c>
      <x:c r="B15" s="2">
        <x:f>+RES!B15</x:f>
        <x:v>45352</x:v>
      </x:c>
      <x:c r="C15" s="3">
        <x:v>39.382808209666663</x:v>
      </x:c>
      <x:c r="D15" s="3">
        <x:v>39.813945262571437</x:v>
      </x:c>
      <x:c r="E15" s="3">
        <x:v>111.47031204508716</x:v>
      </x:c>
      <x:c r="F15" s="3">
        <x:v>20.492492680337001</x:v>
      </x:c>
    </x:row>
    <x:row r="16" spans="1:6" x14ac:dyDescent="0.25">
      <x:c r="A16" s="1">
        <x:v>5</x:v>
      </x:c>
      <x:c r="B16" s="2">
        <x:f>+RES!B16</x:f>
        <x:v>45383</x:v>
      </x:c>
      <x:c r="C16" s="3">
        <x:v>9.5463440169999974</x:v>
      </x:c>
      <x:c r="D16" s="3">
        <x:v>57.995994318428572</x:v>
      </x:c>
      <x:c r="E16" s="3">
        <x:v>25.537347096469702</x:v>
      </x:c>
      <x:c r="F16" s="3">
        <x:v>59.474170482455065</x:v>
      </x:c>
    </x:row>
    <x:row r="17" spans="1:6" x14ac:dyDescent="0.25">
      <x:c r="A17" s="1">
        <x:v>6</x:v>
      </x:c>
      <x:c r="B17" s="2">
        <x:f>+RES!B17</x:f>
        <x:v>45413</x:v>
      </x:c>
      <x:c r="C17" s="3">
        <x:v>0.86870108885714103</x:v>
      </x:c>
      <x:c r="D17" s="3">
        <x:v>153.6058918256667</x:v>
      </x:c>
      <x:c r="E17" s="3">
        <x:v>3.870801294112475</x:v>
      </x:c>
      <x:c r="F17" s="3">
        <x:v>128.11466901654561</x:v>
      </x:c>
    </x:row>
    <x:row r="18" spans="1:6" x14ac:dyDescent="0.25">
      <x:c r="A18" s="1">
        <x:v>7</x:v>
      </x:c>
      <x:c r="B18" s="2">
        <x:f>+RES!B18</x:f>
        <x:v>45444</x:v>
      </x:c>
      <x:c r="C18" s="3">
        <x:v>0</x:v>
      </x:c>
      <x:c r="D18" s="3">
        <x:v>331.91299528128576</x:v>
      </x:c>
      <x:c r="E18" s="3">
        <x:v>0.20748869740233603</x:v>
      </x:c>
      <x:c r="F18" s="3">
        <x:v>303.08085022932329</x:v>
      </x:c>
    </x:row>
    <x:row r="19" spans="1:6" x14ac:dyDescent="0.25">
      <x:c r="A19" s="1">
        <x:v>8</x:v>
      </x:c>
      <x:c r="B19" s="2">
        <x:f>+RES!B19</x:f>
        <x:v>45474</x:v>
      </x:c>
      <x:c r="C19" s="3">
        <x:v>0</x:v>
      </x:c>
      <x:c r="D19" s="3">
        <x:v>517.14278912333339</x:v>
      </x:c>
      <x:c r="E19" s="3">
        <x:v>3.3281217582565236E-4</x:v>
      </x:c>
      <x:c r="F19" s="3">
        <x:v>478.72574011981396</x:v>
      </x:c>
    </x:row>
    <x:row r="20" spans="1:6" x14ac:dyDescent="0.25">
      <x:c r="A20" s="1">
        <x:v>9</x:v>
      </x:c>
      <x:c r="B20" s="2">
        <x:f>+RES!B20</x:f>
        <x:v>45505</x:v>
      </x:c>
      <x:c r="C20" s="3">
        <x:v>0</x:v>
      </x:c>
      <x:c r="D20" s="3">
        <x:v>509.54025662876205</x:v>
      </x:c>
      <x:c r="E20" s="3">
        <x:v>0</x:v>
      </x:c>
      <x:c r="F20" s="3">
        <x:v>543.1315967978785</x:v>
      </x:c>
    </x:row>
    <x:row r="21" spans="1:6" x14ac:dyDescent="0.25">
      <x:c r="A21" s="1">
        <x:v>10</x:v>
      </x:c>
      <x:c r="B21" s="2">
        <x:f>+RES!B21</x:f>
        <x:v>45536</x:v>
      </x:c>
      <x:c r="C21" s="3">
        <x:v>0</x:v>
      </x:c>
      <x:c r="D21" s="3">
        <x:v>528.77976316647619</x:v>
      </x:c>
      <x:c r="E21" s="3">
        <x:v>1.174885599297875E-2</x:v>
      </x:c>
      <x:c r="F21" s="3">
        <x:v>498.18343936482506</x:v>
      </x:c>
    </x:row>
    <x:row r="22" spans="1:6" x14ac:dyDescent="0.25">
      <x:c r="A22" s="1">
        <x:v>11</x:v>
      </x:c>
      <x:c r="B22" s="2">
        <x:f>+RES!B22</x:f>
        <x:v>45566</x:v>
      </x:c>
      <x:c r="C22" s="3">
        <x:v>0</x:v>
      </x:c>
      <x:c r="D22" s="3">
        <x:v>331.75948986242861</x:v>
      </x:c>
      <x:c r="E22" s="3">
        <x:v>0.65737564085421152</x:v>
      </x:c>
      <x:c r="F22" s="3">
        <x:v>305.33115466805731</x:v>
      </x:c>
    </x:row>
    <x:row r="23" spans="1:6" x14ac:dyDescent="0.25">
      <x:c r="A23" s="1">
        <x:v>12</x:v>
      </x:c>
      <x:c r="B23" s="2">
        <x:f>+RES!B23</x:f>
        <x:v>45597</x:v>
      </x:c>
      <x:c r="C23" s="3">
        <x:v>0.2006693194285713</x:v>
      </x:c>
      <x:c r="D23" s="3">
        <x:v>192.26681569204766</x:v>
      </x:c>
      <x:c r="E23" s="3">
        <x:v>14.275429831188928</x:v>
      </x:c>
      <x:c r="F23" s="3">
        <x:v>114.57721616567441</x:v>
      </x:c>
    </x:row>
    <x:row r="24" spans="1:6" x14ac:dyDescent="0.25">
      <x:c r="A24" s="1">
        <x:v>13</x:v>
      </x:c>
      <x:c r="B24" s="2">
        <x:f>+RES!B24</x:f>
        <x:v>45627</x:v>
      </x:c>
      <x:c r="C24" s="3">
        <x:v>37.982956866809509</x:v>
      </x:c>
      <x:c r="D24" s="3">
        <x:v>35.27952075195239</x:v>
      </x:c>
      <x:c r="E24" s="3">
        <x:v>75.667316898351459</x:v>
      </x:c>
      <x:c r="F24" s="3">
        <x:v>26.94859908876002</x:v>
      </x:c>
    </x:row>
    <x:row r="25" spans="1:6" x14ac:dyDescent="0.25">
      <x:c r="A25" s="1">
        <x:v>14</x:v>
      </x:c>
      <x:c r="B25" s="100" t="s">
        <x:v>4</x:v>
      </x:c>
      <x:c r="C25" s="50">
        <x:f>SUM(C13:C24)</x:f>
        <x:v>439.183306541381</x:v>
      </x:c>
      <x:c r="D25" s="50">
        <x:f>SUM(D13:D24)</x:f>
        <x:v>2705.8591073457146</x:v>
      </x:c>
      <x:c r="E25" s="50">
        <x:f>SUM(E13:E24)</x:f>
        <x:v>568.15590889955183</x:v>
      </x:c>
      <x:c r="F25" s="50">
        <x:f>SUM(F13:F24)</x:f>
        <x:v>2494.5911154849091</x:v>
      </x:c>
    </x:row>
  </x:sheetData>
  <x:mergeCells count="10">
    <x:mergeCell ref="B8:F8"/>
    <x:mergeCell ref="B9:F9"/>
    <x:mergeCell ref="C11:D11"/>
    <x:mergeCell ref="E11:F11"/>
    <x:mergeCell ref="B1:F1"/>
    <x:mergeCell ref="B2:F2"/>
    <x:mergeCell ref="B3:F3"/>
    <x:mergeCell ref="B4:F4"/>
    <x:mergeCell ref="B5:F5"/>
    <x:mergeCell ref="B6:F6"/>
  </x:mergeCells>
  <x:printOptions horizontalCentered="1"/>
  <x:pageMargins left="1.5" right="0.5" top="1.5" bottom="1" header="1" footer="0.5"/>
  <x:pageSetup firstPageNumber="3" orientation="portrait" r:id="rId1"/>
  <x:headerFooter alignWithMargins="0">
    <x:oddHeader>&amp;RSchedule II-H-5.2
Page &amp;P of 37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4">
    <x:pageSetUpPr fitToPage="1"/>
  </x:sheetPr>
  <x:dimension ref="A1:F25"/>
  <x:sheetViews>
    <x:sheetView zoomScaleNormal="100" workbookViewId="0">
      <x:selection activeCell="F28" sqref="F28"/>
    </x:sheetView>
  </x:sheetViews>
  <x:sheetFormatPr defaultRowHeight="12.5" x14ac:dyDescent="0.25"/>
  <x:cols>
    <x:col min="1" max="1" width="9.08984375" style="1" customWidth="1"/>
    <x:col min="2" max="2" width="11.6328125" customWidth="1"/>
    <x:col min="3" max="3" width="12.54296875" customWidth="1"/>
    <x:col min="4" max="4" width="12" customWidth="1"/>
    <x:col min="5" max="5" width="12.6328125" customWidth="1"/>
    <x:col min="6" max="6" width="15.36328125" customWidth="1"/>
  </x:cols>
  <x:sheetData>
    <x:row r="1" spans="1:6" ht="15.5" x14ac:dyDescent="0.35">
      <x:c r="B1" s="209" t="str">
        <x:f>+RES!B1</x:f>
        <x:v xml:space="preserve">PUC DOCKET NO. </x:v>
      </x:c>
      <x:c r="C1" s="209"/>
      <x:c r="D1" s="209"/>
      <x:c r="E1" s="209"/>
      <x:c r="F1" s="209"/>
    </x:row>
    <x:row r="2" spans="1:6" ht="15.5" x14ac:dyDescent="0.35">
      <x:c r="B2" s="209" t="str">
        <x:f>+RES!B2</x:f>
        <x:v>ONCOR ELECTRIC DELIVERY COMPANY LLC</x:v>
      </x:c>
      <x:c r="C2" s="209"/>
      <x:c r="D2" s="209"/>
      <x:c r="E2" s="209"/>
      <x:c r="F2" s="209"/>
    </x:row>
    <x:row r="3" spans="1:6" ht="15.5" x14ac:dyDescent="0.35">
      <x:c r="B3" s="209" t="str">
        <x:f>+RES!B3</x:f>
        <x:v>ADJUSTED WEATHER STATION DATA</x:v>
      </x:c>
      <x:c r="C3" s="209"/>
      <x:c r="D3" s="209"/>
      <x:c r="E3" s="209"/>
      <x:c r="F3" s="209"/>
    </x:row>
    <x:row r="4" spans="1:6" ht="15.5" x14ac:dyDescent="0.35">
      <x:c r="B4" s="209" t="str">
        <x:f>+RES!B4</x:f>
        <x:v>FOR THE TEST YEAR ENDING DECEMBER 31, 2024</x:v>
      </x:c>
      <x:c r="C4" s="209"/>
      <x:c r="D4" s="209"/>
      <x:c r="E4" s="209"/>
      <x:c r="F4" s="209"/>
    </x:row>
    <x:row r="5" spans="1:6" ht="15.5" x14ac:dyDescent="0.35">
      <x:c r="B5" s="209"/>
      <x:c r="C5" s="209"/>
      <x:c r="D5" s="209"/>
      <x:c r="E5" s="209"/>
      <x:c r="F5" s="209"/>
    </x:row>
    <x:row r="6" spans="1:6" ht="15.5" x14ac:dyDescent="0.35">
      <x:c r="B6" s="209" t="str">
        <x:f>+RES!B6</x:f>
        <x:v>SPONSOR: D. E. NELSON</x:v>
      </x:c>
      <x:c r="C6" s="209"/>
      <x:c r="D6" s="209"/>
      <x:c r="E6" s="209"/>
      <x:c r="F6" s="209"/>
    </x:row>
    <x:row r="7" spans="1:6" ht="15.5" x14ac:dyDescent="0.35">
      <x:c r="B7" s="4"/>
      <x:c r="C7" s="4"/>
      <x:c r="D7" s="4"/>
      <x:c r="E7" s="4"/>
      <x:c r="F7" s="4"/>
    </x:row>
    <x:row r="8" spans="1:6" ht="15.5" x14ac:dyDescent="0.35">
      <x:c r="B8" s="209" t="s">
        <x:v>73</x:v>
      </x:c>
      <x:c r="C8" s="211"/>
      <x:c r="D8" s="209"/>
      <x:c r="E8" s="211"/>
      <x:c r="F8" s="211"/>
    </x:row>
    <x:row r="9" spans="1:6" ht="15.5" x14ac:dyDescent="0.35">
      <x:c r="B9" s="209" t="s">
        <x:v>5</x:v>
      </x:c>
      <x:c r="C9" s="209"/>
      <x:c r="D9" s="209"/>
      <x:c r="E9" s="209"/>
      <x:c r="F9" s="209"/>
    </x:row>
    <x:row r="10" spans="1:6" x14ac:dyDescent="0.25">
      <x:c r="A10" s="1" t="s">
        <x:v>6</x:v>
      </x:c>
      <x:c r="C10" s="1" t="s">
        <x:v>9</x:v>
      </x:c>
      <x:c r="D10" s="1" t="s">
        <x:v>10</x:v>
      </x:c>
      <x:c r="E10" s="6" t="s">
        <x:v>12</x:v>
      </x:c>
      <x:c r="F10" s="6" t="s">
        <x:v>11</x:v>
      </x:c>
    </x:row>
    <x:row r="11" spans="1:6" ht="13" x14ac:dyDescent="0.3">
      <x:c r="A11" s="5" t="s">
        <x:v>8</x:v>
      </x:c>
      <x:c r="C11" s="210" t="s">
        <x:v>2</x:v>
      </x:c>
      <x:c r="D11" s="210"/>
      <x:c r="E11" s="210" t="s">
        <x:v>3</x:v>
      </x:c>
      <x:c r="F11" s="210"/>
    </x:row>
    <x:row r="12" spans="1:6" x14ac:dyDescent="0.25">
      <x:c r="A12" s="1">
        <x:v>1</x:v>
      </x:c>
      <x:c r="C12" s="101" t="s">
        <x:v>1</x:v>
      </x:c>
      <x:c r="D12" s="101" t="s">
        <x:v>0</x:v>
      </x:c>
      <x:c r="E12" s="101" t="s">
        <x:v>1</x:v>
      </x:c>
      <x:c r="F12" s="101" t="s">
        <x:v>0</x:v>
      </x:c>
    </x:row>
    <x:row r="13" spans="1:6" x14ac:dyDescent="0.25">
      <x:c r="A13" s="1">
        <x:v>2</x:v>
      </x:c>
      <x:c r="B13" s="2">
        <x:f>+RES!B13</x:f>
        <x:v>45292</x:v>
      </x:c>
      <x:c r="C13" s="3">
        <x:v>0</x:v>
      </x:c>
      <x:c r="D13" s="3">
        <x:v>18.25325982228572</x:v>
      </x:c>
      <x:c r="E13" s="3">
        <x:v>0</x:v>
      </x:c>
      <x:c r="F13" s="3">
        <x:v>27.948272835583477</x:v>
      </x:c>
    </x:row>
    <x:row r="14" spans="1:6" x14ac:dyDescent="0.25">
      <x:c r="A14" s="1">
        <x:v>3</x:v>
      </x:c>
      <x:c r="B14" s="2">
        <x:f>+RES!B14</x:f>
        <x:v>45323</x:v>
      </x:c>
      <x:c r="C14" s="3">
        <x:v>0</x:v>
      </x:c>
      <x:c r="D14" s="3">
        <x:v>16.187226947428577</x:v>
      </x:c>
      <x:c r="E14" s="3">
        <x:v>0</x:v>
      </x:c>
      <x:c r="F14" s="3">
        <x:v>24.967936660579809</x:v>
      </x:c>
    </x:row>
    <x:row r="15" spans="1:6" x14ac:dyDescent="0.25">
      <x:c r="A15" s="1">
        <x:v>4</x:v>
      </x:c>
      <x:c r="B15" s="2">
        <x:f>+RES!B15</x:f>
        <x:v>45352</x:v>
      </x:c>
      <x:c r="C15" s="3">
        <x:v>0</x:v>
      </x:c>
      <x:c r="D15" s="3">
        <x:v>101.50796952880955</x:v>
      </x:c>
      <x:c r="E15" s="3">
        <x:v>0</x:v>
      </x:c>
      <x:c r="F15" s="3">
        <x:v>65.51625197649517</x:v>
      </x:c>
    </x:row>
    <x:row r="16" spans="1:6" x14ac:dyDescent="0.25">
      <x:c r="A16" s="1">
        <x:v>5</x:v>
      </x:c>
      <x:c r="B16" s="2">
        <x:f>+RES!B16</x:f>
        <x:v>45383</x:v>
      </x:c>
      <x:c r="C16" s="3">
        <x:v>0</x:v>
      </x:c>
      <x:c r="D16" s="3">
        <x:v>150.68135206980952</x:v>
      </x:c>
      <x:c r="E16" s="3">
        <x:v>0</x:v>
      </x:c>
      <x:c r="F16" s="3">
        <x:v>161.82127175839088</x:v>
      </x:c>
    </x:row>
    <x:row r="17" spans="1:6" x14ac:dyDescent="0.25">
      <x:c r="A17" s="1">
        <x:v>6</x:v>
      </x:c>
      <x:c r="B17" s="2">
        <x:f>+RES!B17</x:f>
        <x:v>45413</x:v>
      </x:c>
      <x:c r="C17" s="3">
        <x:v>0</x:v>
      </x:c>
      <x:c r="D17" s="3">
        <x:v>314.73687961000002</x:v>
      </x:c>
      <x:c r="E17" s="3">
        <x:v>0</x:v>
      </x:c>
      <x:c r="F17" s="3">
        <x:v>284.92908958581791</x:v>
      </x:c>
    </x:row>
    <x:row r="18" spans="1:6" x14ac:dyDescent="0.25">
      <x:c r="A18" s="1">
        <x:v>7</x:v>
      </x:c>
      <x:c r="B18" s="2">
        <x:f>+RES!B18</x:f>
        <x:v>45444</x:v>
      </x:c>
      <x:c r="C18" s="3">
        <x:v>0</x:v>
      </x:c>
      <x:c r="D18" s="3">
        <x:v>562.82288686461902</x:v>
      </x:c>
      <x:c r="E18" s="3">
        <x:v>0</x:v>
      </x:c>
      <x:c r="F18" s="3">
        <x:v>508.22517206454694</x:v>
      </x:c>
    </x:row>
    <x:row r="19" spans="1:6" x14ac:dyDescent="0.25">
      <x:c r="A19" s="1">
        <x:v>8</x:v>
      </x:c>
      <x:c r="B19" s="2">
        <x:f>+RES!B19</x:f>
        <x:v>45474</x:v>
      </x:c>
      <x:c r="C19" s="3">
        <x:v>0</x:v>
      </x:c>
      <x:c r="D19" s="3">
        <x:v>719.07334935561926</x:v>
      </x:c>
      <x:c r="E19" s="3">
        <x:v>0</x:v>
      </x:c>
      <x:c r="F19" s="3">
        <x:v>680.56823320157821</x:v>
      </x:c>
    </x:row>
    <x:row r="20" spans="1:6" x14ac:dyDescent="0.25">
      <x:c r="A20" s="1">
        <x:v>9</x:v>
      </x:c>
      <x:c r="B20" s="2">
        <x:f>+RES!B20</x:f>
        <x:v>45505</x:v>
      </x:c>
      <x:c r="C20" s="3">
        <x:v>0</x:v>
      </x:c>
      <x:c r="D20" s="3">
        <x:v>701.83338536723818</x:v>
      </x:c>
      <x:c r="E20" s="3">
        <x:v>0</x:v>
      </x:c>
      <x:c r="F20" s="3">
        <x:v>716.95230789727646</x:v>
      </x:c>
    </x:row>
    <x:row r="21" spans="1:6" x14ac:dyDescent="0.25">
      <x:c r="A21" s="1">
        <x:v>10</x:v>
      </x:c>
      <x:c r="B21" s="2">
        <x:f>+RES!B21</x:f>
        <x:v>45536</x:v>
      </x:c>
      <x:c r="C21" s="3">
        <x:v>0</x:v>
      </x:c>
      <x:c r="D21" s="3">
        <x:v>711.48423612619047</x:v>
      </x:c>
      <x:c r="E21" s="3">
        <x:v>0</x:v>
      </x:c>
      <x:c r="F21" s="3">
        <x:v>660.97514234925291</x:v>
      </x:c>
    </x:row>
    <x:row r="22" spans="1:6" x14ac:dyDescent="0.25">
      <x:c r="A22" s="1">
        <x:v>11</x:v>
      </x:c>
      <x:c r="B22" s="2">
        <x:f>+RES!B22</x:f>
        <x:v>45566</x:v>
      </x:c>
      <x:c r="C22" s="3">
        <x:v>0</x:v>
      </x:c>
      <x:c r="D22" s="3">
        <x:v>482.30674265400006</x:v>
      </x:c>
      <x:c r="E22" s="3">
        <x:v>0</x:v>
      </x:c>
      <x:c r="F22" s="3">
        <x:v>455.23581810851931</x:v>
      </x:c>
    </x:row>
    <x:row r="23" spans="1:6" x14ac:dyDescent="0.25">
      <x:c r="A23" s="1">
        <x:v>12</x:v>
      </x:c>
      <x:c r="B23" s="2">
        <x:f>+RES!B23</x:f>
        <x:v>45597</x:v>
      </x:c>
      <x:c r="C23" s="3">
        <x:v>0</x:v>
      </x:c>
      <x:c r="D23" s="3">
        <x:v>330.31569797542863</x:v>
      </x:c>
      <x:c r="E23" s="3">
        <x:v>0</x:v>
      </x:c>
      <x:c r="F23" s="3">
        <x:v>223.18775368436093</x:v>
      </x:c>
    </x:row>
    <x:row r="24" spans="1:6" x14ac:dyDescent="0.25">
      <x:c r="A24" s="1">
        <x:v>13</x:v>
      </x:c>
      <x:c r="B24" s="2">
        <x:f>+RES!B24</x:f>
        <x:v>45627</x:v>
      </x:c>
      <x:c r="C24" s="3">
        <x:v>0</x:v>
      </x:c>
      <x:c r="D24" s="3">
        <x:v>87.537539937809541</x:v>
      </x:c>
      <x:c r="E24" s="3">
        <x:v>0</x:v>
      </x:c>
      <x:c r="F24" s="3">
        <x:v>71.81299090660643</x:v>
      </x:c>
    </x:row>
    <x:row r="25" spans="1:6" x14ac:dyDescent="0.25">
      <x:c r="A25" s="1">
        <x:v>14</x:v>
      </x:c>
      <x:c r="B25" s="100" t="s">
        <x:v>4</x:v>
      </x:c>
      <x:c r="C25" s="50">
        <x:f>SUM(C13:C24)</x:f>
        <x:v>0</x:v>
      </x:c>
      <x:c r="D25" s="50">
        <x:f>SUM(D13:D24)</x:f>
        <x:v>4196.7405262592392</x:v>
      </x:c>
      <x:c r="E25" s="50">
        <x:f>SUM(E13:E24)</x:f>
        <x:v>0</x:v>
      </x:c>
      <x:c r="F25" s="50">
        <x:f>SUM(F13:F24)</x:f>
        <x:v>3882.1402410290084</x:v>
      </x:c>
    </x:row>
  </x:sheetData>
  <x:mergeCells count="10">
    <x:mergeCell ref="B8:F8"/>
    <x:mergeCell ref="B9:F9"/>
    <x:mergeCell ref="C11:D11"/>
    <x:mergeCell ref="E11:F11"/>
    <x:mergeCell ref="B1:F1"/>
    <x:mergeCell ref="B2:F2"/>
    <x:mergeCell ref="B3:F3"/>
    <x:mergeCell ref="B4:F4"/>
    <x:mergeCell ref="B5:F5"/>
    <x:mergeCell ref="B6:F6"/>
  </x:mergeCells>
  <x:printOptions horizontalCentered="1"/>
  <x:pageMargins left="1.5" right="0.5" top="1.5" bottom="1" header="1" footer="0.5"/>
  <x:pageSetup firstPageNumber="3" orientation="portrait" r:id="rId1"/>
  <x:headerFooter alignWithMargins="0">
    <x:oddHeader>&amp;RSchedule II-H-5.2
Page &amp;P of 37</x:oddHead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5">
    <x:pageSetUpPr fitToPage="1"/>
  </x:sheetPr>
  <x:dimension ref="A1:F25"/>
  <x:sheetViews>
    <x:sheetView zoomScaleNormal="100" workbookViewId="0"/>
  </x:sheetViews>
  <x:sheetFormatPr defaultRowHeight="12.5" x14ac:dyDescent="0.25"/>
  <x:cols>
    <x:col min="1" max="1" width="9.08984375" style="146" customWidth="1"/>
    <x:col min="2" max="2" width="11.6328125" customWidth="1"/>
    <x:col min="3" max="3" width="12.54296875" customWidth="1"/>
    <x:col min="4" max="4" width="12" customWidth="1"/>
    <x:col min="5" max="5" width="12.6328125" customWidth="1"/>
    <x:col min="6" max="6" width="15.36328125" customWidth="1"/>
  </x:cols>
  <x:sheetData>
    <x:row r="1" spans="1:6" ht="15.5" x14ac:dyDescent="0.35">
      <x:c r="B1" s="209" t="str">
        <x:f>+RES!B1</x:f>
        <x:v xml:space="preserve">PUC DOCKET NO. </x:v>
      </x:c>
      <x:c r="C1" s="209"/>
      <x:c r="D1" s="209"/>
      <x:c r="E1" s="209"/>
      <x:c r="F1" s="209"/>
    </x:row>
    <x:row r="2" spans="1:6" ht="15.5" x14ac:dyDescent="0.35">
      <x:c r="B2" s="209" t="str">
        <x:f>+RES!B2</x:f>
        <x:v>ONCOR ELECTRIC DELIVERY COMPANY LLC</x:v>
      </x:c>
      <x:c r="C2" s="209"/>
      <x:c r="D2" s="209"/>
      <x:c r="E2" s="209"/>
      <x:c r="F2" s="209"/>
    </x:row>
    <x:row r="3" spans="1:6" ht="15.5" x14ac:dyDescent="0.35">
      <x:c r="B3" s="209" t="str">
        <x:f>+RES!B3</x:f>
        <x:v>ADJUSTED WEATHER STATION DATA</x:v>
      </x:c>
      <x:c r="C3" s="209"/>
      <x:c r="D3" s="209"/>
      <x:c r="E3" s="209"/>
      <x:c r="F3" s="209"/>
    </x:row>
    <x:row r="4" spans="1:6" ht="15.5" x14ac:dyDescent="0.35">
      <x:c r="B4" s="209" t="str">
        <x:f>+RES!B4</x:f>
        <x:v>FOR THE TEST YEAR ENDING DECEMBER 31, 2024</x:v>
      </x:c>
      <x:c r="C4" s="209"/>
      <x:c r="D4" s="209"/>
      <x:c r="E4" s="209"/>
      <x:c r="F4" s="209"/>
    </x:row>
    <x:row r="5" spans="1:6" ht="15.5" x14ac:dyDescent="0.35">
      <x:c r="B5" s="209"/>
      <x:c r="C5" s="209"/>
      <x:c r="D5" s="209"/>
      <x:c r="E5" s="209"/>
      <x:c r="F5" s="209"/>
    </x:row>
    <x:row r="6" spans="1:6" ht="15.5" x14ac:dyDescent="0.35">
      <x:c r="B6" s="209" t="str">
        <x:f>+RES!B6</x:f>
        <x:v>SPONSOR: D. E. NELSON</x:v>
      </x:c>
      <x:c r="C6" s="209"/>
      <x:c r="D6" s="209"/>
      <x:c r="E6" s="209"/>
      <x:c r="F6" s="209"/>
    </x:row>
    <x:row r="7" spans="1:6" ht="15.5" x14ac:dyDescent="0.35">
      <x:c r="B7" s="145"/>
      <x:c r="C7" s="145"/>
      <x:c r="D7" s="145"/>
      <x:c r="E7" s="145"/>
      <x:c r="F7" s="145"/>
    </x:row>
    <x:row r="8" spans="1:6" ht="15.5" x14ac:dyDescent="0.35">
      <x:c r="B8" s="209" t="s">
        <x:v>127</x:v>
      </x:c>
      <x:c r="C8" s="211"/>
      <x:c r="D8" s="209"/>
      <x:c r="E8" s="211"/>
      <x:c r="F8" s="211"/>
    </x:row>
    <x:row r="9" spans="1:6" ht="15.5" x14ac:dyDescent="0.35">
      <x:c r="B9" s="209" t="s">
        <x:v>5</x:v>
      </x:c>
      <x:c r="C9" s="209"/>
      <x:c r="D9" s="209"/>
      <x:c r="E9" s="209"/>
      <x:c r="F9" s="209"/>
    </x:row>
    <x:row r="10" spans="1:6" x14ac:dyDescent="0.25">
      <x:c r="A10" s="146" t="s">
        <x:v>6</x:v>
      </x:c>
      <x:c r="C10" s="146" t="s">
        <x:v>9</x:v>
      </x:c>
      <x:c r="D10" s="146" t="s">
        <x:v>10</x:v>
      </x:c>
      <x:c r="E10" s="6" t="s">
        <x:v>12</x:v>
      </x:c>
      <x:c r="F10" s="6" t="s">
        <x:v>11</x:v>
      </x:c>
    </x:row>
    <x:row r="11" spans="1:6" ht="13" x14ac:dyDescent="0.3">
      <x:c r="A11" s="5" t="s">
        <x:v>8</x:v>
      </x:c>
      <x:c r="C11" s="210" t="s">
        <x:v>2</x:v>
      </x:c>
      <x:c r="D11" s="210"/>
      <x:c r="E11" s="210" t="s">
        <x:v>3</x:v>
      </x:c>
      <x:c r="F11" s="210"/>
    </x:row>
    <x:row r="12" spans="1:6" x14ac:dyDescent="0.25">
      <x:c r="A12" s="146">
        <x:v>1</x:v>
      </x:c>
      <x:c r="C12" s="101" t="s">
        <x:v>1</x:v>
      </x:c>
      <x:c r="D12" s="101" t="s">
        <x:v>0</x:v>
      </x:c>
      <x:c r="E12" s="101" t="s">
        <x:v>1</x:v>
      </x:c>
      <x:c r="F12" s="101" t="s">
        <x:v>0</x:v>
      </x:c>
    </x:row>
    <x:row r="13" spans="1:6" x14ac:dyDescent="0.25">
      <x:c r="A13" s="146">
        <x:v>2</x:v>
      </x:c>
      <x:c r="B13" s="2">
        <x:f>+RES!B13</x:f>
        <x:v>45292</x:v>
      </x:c>
      <x:c r="C13" s="3">
        <x:v>0</x:v>
      </x:c>
      <x:c r="D13" s="3">
        <x:v>1049.0964350240004</x:v>
      </x:c>
      <x:c r="E13" s="3">
        <x:v>0</x:v>
      </x:c>
      <x:c r="F13" s="3">
        <x:v>1493.6884893180491</x:v>
      </x:c>
    </x:row>
    <x:row r="14" spans="1:6" x14ac:dyDescent="0.25">
      <x:c r="A14" s="146">
        <x:v>3</x:v>
      </x:c>
      <x:c r="B14" s="2">
        <x:f>+RES!B14</x:f>
        <x:v>45323</x:v>
      </x:c>
      <x:c r="C14" s="3">
        <x:v>0</x:v>
      </x:c>
      <x:c r="D14" s="3">
        <x:v>972.31564602314313</x:v>
      </x:c>
      <x:c r="E14" s="3">
        <x:v>0</x:v>
      </x:c>
      <x:c r="F14" s="3">
        <x:v>1392.5958527370724</x:v>
      </x:c>
    </x:row>
    <x:row r="15" spans="1:6" x14ac:dyDescent="0.25">
      <x:c r="A15" s="146">
        <x:v>4</x:v>
      </x:c>
      <x:c r="B15" s="2">
        <x:f>+RES!B15</x:f>
        <x:v>45352</x:v>
      </x:c>
      <x:c r="C15" s="3">
        <x:v>0</x:v>
      </x:c>
      <x:c r="D15" s="3">
        <x:v>4875.9487169011436</x:v>
      </x:c>
      <x:c r="E15" s="3">
        <x:v>0</x:v>
      </x:c>
      <x:c r="F15" s="3">
        <x:v>3363.3761250145194</x:v>
      </x:c>
    </x:row>
    <x:row r="16" spans="1:6" x14ac:dyDescent="0.25">
      <x:c r="A16" s="146">
        <x:v>5</x:v>
      </x:c>
      <x:c r="B16" s="2">
        <x:f>+RES!B16</x:f>
        <x:v>45383</x:v>
      </x:c>
      <x:c r="C16" s="3">
        <x:v>0</x:v>
      </x:c>
      <x:c r="D16" s="3">
        <x:v>6989.1382069928577</x:v>
      </x:c>
      <x:c r="E16" s="3">
        <x:v>0</x:v>
      </x:c>
      <x:c r="F16" s="3">
        <x:v>7264.5748223936671</x:v>
      </x:c>
    </x:row>
    <x:row r="17" spans="1:6" x14ac:dyDescent="0.25">
      <x:c r="A17" s="146">
        <x:v>6</x:v>
      </x:c>
      <x:c r="B17" s="2">
        <x:f>+RES!B17</x:f>
        <x:v>45413</x:v>
      </x:c>
      <x:c r="C17" s="3">
        <x:v>0</x:v>
      </x:c>
      <x:c r="D17" s="3">
        <x:v>11689.54580825057</x:v>
      </x:c>
      <x:c r="E17" s="3">
        <x:v>0</x:v>
      </x:c>
      <x:c r="F17" s="3">
        <x:v>10881.657452883643</x:v>
      </x:c>
    </x:row>
    <x:row r="18" spans="1:6" x14ac:dyDescent="0.25">
      <x:c r="A18" s="146">
        <x:v>7</x:v>
      </x:c>
      <x:c r="B18" s="2">
        <x:f>+RES!B18</x:f>
        <x:v>45444</x:v>
      </x:c>
      <x:c r="C18" s="3">
        <x:v>0</x:v>
      </x:c>
      <x:c r="D18" s="3">
        <x:v>16841.948910854571</x:v>
      </x:c>
      <x:c r="E18" s="3">
        <x:v>0</x:v>
      </x:c>
      <x:c r="F18" s="3">
        <x:v>15592.113515228088</x:v>
      </x:c>
    </x:row>
    <x:row r="19" spans="1:6" x14ac:dyDescent="0.25">
      <x:c r="A19" s="146">
        <x:v>8</x:v>
      </x:c>
      <x:c r="B19" s="2">
        <x:f>+RES!B19</x:f>
        <x:v>45474</x:v>
      </x:c>
      <x:c r="C19" s="3">
        <x:v>0</x:v>
      </x:c>
      <x:c r="D19" s="3">
        <x:v>18170.695578446659</x:v>
      </x:c>
      <x:c r="E19" s="3">
        <x:v>0</x:v>
      </x:c>
      <x:c r="F19" s="3">
        <x:v>17844.103983997855</x:v>
      </x:c>
    </x:row>
    <x:row r="20" spans="1:6" x14ac:dyDescent="0.25">
      <x:c r="A20" s="146">
        <x:v>9</x:v>
      </x:c>
      <x:c r="B20" s="2">
        <x:f>+RES!B20</x:f>
        <x:v>45505</x:v>
      </x:c>
      <x:c r="C20" s="3">
        <x:v>0</x:v>
      </x:c>
      <x:c r="D20" s="3">
        <x:v>17795.668137841334</x:v>
      </x:c>
      <x:c r="E20" s="3">
        <x:v>0</x:v>
      </x:c>
      <x:c r="F20" s="3">
        <x:v>17746.488154588806</x:v>
      </x:c>
    </x:row>
    <x:row r="21" spans="1:6" x14ac:dyDescent="0.25">
      <x:c r="A21" s="146">
        <x:v>10</x:v>
      </x:c>
      <x:c r="B21" s="2">
        <x:f>+RES!B21</x:f>
        <x:v>45536</x:v>
      </x:c>
      <x:c r="C21" s="3">
        <x:v>0</x:v>
      </x:c>
      <x:c r="D21" s="3">
        <x:v>17486.874520105423</x:v>
      </x:c>
      <x:c r="E21" s="3">
        <x:v>0</x:v>
      </x:c>
      <x:c r="F21" s="3">
        <x:v>17452.469581640817</x:v>
      </x:c>
    </x:row>
    <x:row r="22" spans="1:6" x14ac:dyDescent="0.25">
      <x:c r="A22" s="146">
        <x:v>11</x:v>
      </x:c>
      <x:c r="B22" s="2">
        <x:f>+RES!B22</x:f>
        <x:v>45566</x:v>
      </x:c>
      <x:c r="C22" s="3">
        <x:v>0</x:v>
      </x:c>
      <x:c r="D22" s="3">
        <x:v>15355.601734994572</x:v>
      </x:c>
      <x:c r="E22" s="3">
        <x:v>0</x:v>
      </x:c>
      <x:c r="F22" s="3">
        <x:v>14419.208222578854</x:v>
      </x:c>
    </x:row>
    <x:row r="23" spans="1:6" x14ac:dyDescent="0.25">
      <x:c r="A23" s="146">
        <x:v>12</x:v>
      </x:c>
      <x:c r="B23" s="2">
        <x:f>+RES!B23</x:f>
        <x:v>45597</x:v>
      </x:c>
      <x:c r="C23" s="3">
        <x:v>0</x:v>
      </x:c>
      <x:c r="D23" s="3">
        <x:v>12171.405049707426</x:v>
      </x:c>
      <x:c r="E23" s="3">
        <x:v>0</x:v>
      </x:c>
      <x:c r="F23" s="3">
        <x:v>8905.835068377055</x:v>
      </x:c>
    </x:row>
    <x:row r="24" spans="1:6" x14ac:dyDescent="0.25">
      <x:c r="A24" s="146">
        <x:v>13</x:v>
      </x:c>
      <x:c r="B24" s="2">
        <x:f>+RES!B24</x:f>
        <x:v>45627</x:v>
      </x:c>
      <x:c r="C24" s="3">
        <x:v>0</x:v>
      </x:c>
      <x:c r="D24" s="3">
        <x:v>4181.4140426865724</x:v>
      </x:c>
      <x:c r="E24" s="3">
        <x:v>0</x:v>
      </x:c>
      <x:c r="F24" s="3">
        <x:v>3537.6546915665144</x:v>
      </x:c>
    </x:row>
    <x:row r="25" spans="1:6" x14ac:dyDescent="0.25">
      <x:c r="A25" s="146">
        <x:v>14</x:v>
      </x:c>
      <x:c r="B25" s="100" t="s">
        <x:v>4</x:v>
      </x:c>
      <x:c r="C25" s="50">
        <x:f>SUM(C13:C24)</x:f>
        <x:v>0</x:v>
      </x:c>
      <x:c r="D25" s="50">
        <x:f>SUM(D13:D24)</x:f>
        <x:v>127579.65278782828</x:v>
      </x:c>
      <x:c r="E25" s="50">
        <x:f>SUM(E13:E24)</x:f>
        <x:v>0</x:v>
      </x:c>
      <x:c r="F25" s="50">
        <x:f>SUM(F13:F24)</x:f>
        <x:v>119893.76596032493</x:v>
      </x:c>
    </x:row>
  </x:sheetData>
  <x:mergeCells count="10">
    <x:mergeCell ref="B8:F8"/>
    <x:mergeCell ref="B9:F9"/>
    <x:mergeCell ref="C11:D11"/>
    <x:mergeCell ref="E11:F11"/>
    <x:mergeCell ref="B1:F1"/>
    <x:mergeCell ref="B2:F2"/>
    <x:mergeCell ref="B3:F3"/>
    <x:mergeCell ref="B4:F4"/>
    <x:mergeCell ref="B5:F5"/>
    <x:mergeCell ref="B6:F6"/>
  </x:mergeCells>
  <x:printOptions horizontalCentered="1"/>
  <x:pageMargins left="1.5" right="0.5" top="1.5" bottom="1" header="1" footer="0.5"/>
  <x:pageSetup firstPageNumber="3" orientation="portrait" r:id="rId1"/>
  <x:headerFooter alignWithMargins="0">
    <x:oddHeader>&amp;RSchedule II-H-5.2
Page &amp;P of 37</x:oddHead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6">
    <x:pageSetUpPr fitToPage="1"/>
  </x:sheetPr>
  <x:dimension ref="A1:P29"/>
  <x:sheetViews>
    <x:sheetView zoomScaleNormal="100" workbookViewId="0"/>
  </x:sheetViews>
  <x:sheetFormatPr defaultColWidth="9.08984375" defaultRowHeight="12.5" x14ac:dyDescent="0.25"/>
  <x:cols>
    <x:col min="1" max="2" width="9.08984375" style="9"/>
    <x:col min="3" max="3" width="9.08984375" style="7"/>
    <x:col min="4" max="4" width="8" style="9" customWidth="1"/>
    <x:col min="5" max="5" width="6.6328125" style="9" customWidth="1"/>
    <x:col min="6" max="6" width="6.54296875" style="9" customWidth="1"/>
    <x:col min="7" max="7" width="10.08984375" style="9" customWidth="1"/>
    <x:col min="8" max="8" width="8.453125" style="9" customWidth="1"/>
    <x:col min="9" max="10" width="8.6328125" style="9" bestFit="1" customWidth="1"/>
    <x:col min="11" max="11" width="8.453125" style="9" customWidth="1"/>
    <x:col min="12" max="12" width="7.453125" style="9" customWidth="1"/>
    <x:col min="13" max="13" width="10.36328125" style="9" customWidth="1"/>
    <x:col min="14" max="14" width="10.08984375" style="9" customWidth="1"/>
    <x:col min="15" max="16384" width="9.08984375" style="9"/>
  </x:cols>
  <x:sheetData>
    <x:row r="1" spans="1:15" customFormat="1" ht="15.5" x14ac:dyDescent="0.35">
      <x:c r="A1" s="1"/>
      <x:c r="B1" s="209" t="str">
        <x:f>+RES!B1</x:f>
        <x:v xml:space="preserve">PUC DOCKET NO. </x:v>
      </x:c>
      <x:c r="C1" s="209"/>
      <x:c r="D1" s="209"/>
      <x:c r="E1" s="209"/>
      <x:c r="F1" s="209"/>
      <x:c r="G1" s="212"/>
      <x:c r="H1" s="212"/>
      <x:c r="I1" s="212"/>
      <x:c r="J1" s="212"/>
      <x:c r="K1" s="212"/>
      <x:c r="L1" s="212"/>
      <x:c r="M1" s="212"/>
      <x:c r="N1" s="212"/>
      <x:c r="O1" s="212"/>
    </x:row>
    <x:row r="2" spans="1:15" customFormat="1" ht="15.5" x14ac:dyDescent="0.35">
      <x:c r="A2" s="1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</x:row>
    <x:row r="3" spans="1:15" customFormat="1" ht="15.5" x14ac:dyDescent="0.35">
      <x:c r="A3" s="1"/>
      <x:c r="B3" s="209" t="str">
        <x:f>+RES!B3</x:f>
        <x:v>ADJUSTED WEATHER STATION DATA</x:v>
      </x:c>
      <x:c r="C3" s="209"/>
      <x:c r="D3" s="209"/>
      <x:c r="E3" s="209"/>
      <x:c r="F3" s="209"/>
      <x:c r="G3" s="212"/>
      <x:c r="H3" s="212"/>
      <x:c r="I3" s="212"/>
      <x:c r="J3" s="212"/>
      <x:c r="K3" s="212"/>
      <x:c r="L3" s="212"/>
      <x:c r="M3" s="212"/>
      <x:c r="N3" s="212"/>
      <x:c r="O3" s="212"/>
    </x:row>
    <x:row r="4" spans="1:15" customFormat="1" ht="15.5" x14ac:dyDescent="0.35">
      <x:c r="A4" s="1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</x:row>
    <x:row r="5" spans="1:15" customFormat="1" ht="15.5" x14ac:dyDescent="0.35">
      <x:c r="A5" s="1"/>
      <x:c r="B5" s="209"/>
      <x:c r="C5" s="209"/>
      <x:c r="D5" s="209"/>
      <x:c r="E5" s="209"/>
      <x:c r="F5" s="209"/>
      <x:c r="G5" s="212"/>
      <x:c r="H5" s="212"/>
      <x:c r="I5" s="212"/>
      <x:c r="J5" s="212"/>
      <x:c r="K5" s="212"/>
      <x:c r="L5" s="212"/>
      <x:c r="M5" s="212"/>
      <x:c r="N5" s="212"/>
      <x:c r="O5" s="212"/>
    </x:row>
    <x:row r="6" spans="1:15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1"/>
      <x:c r="L6" s="211"/>
      <x:c r="M6" s="211"/>
      <x:c r="N6" s="211"/>
      <x:c r="O6" s="211"/>
    </x:row>
    <x:row r="7" spans="1:15" ht="15.5" x14ac:dyDescent="0.35">
      <x:c r="B7" s="96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spans="1:15" ht="15.5" x14ac:dyDescent="0.35">
      <x:c r="B8" s="209" t="s">
        <x:v>154</x:v>
      </x:c>
      <x:c r="C8" s="209"/>
      <x:c r="D8" s="209"/>
      <x:c r="E8" s="209"/>
      <x:c r="F8" s="209"/>
      <x:c r="G8" s="212"/>
      <x:c r="H8" s="212"/>
      <x:c r="I8" s="212"/>
      <x:c r="J8" s="212"/>
      <x:c r="K8" s="212"/>
      <x:c r="L8" s="212"/>
      <x:c r="M8" s="212"/>
      <x:c r="N8" s="212"/>
      <x:c r="O8" s="212"/>
    </x:row>
    <x:row r="9" spans="1:15" ht="15.5" x14ac:dyDescent="0.35">
      <x:c r="A9" s="1" t="s">
        <x:v>6</x:v>
      </x:c>
      <x:c r="B9" s="96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spans="1:15" x14ac:dyDescent="0.25">
      <x:c r="A10" s="5" t="s">
        <x:v>8</x:v>
      </x:c>
    </x:row>
    <x:row r="11" spans="1:15" x14ac:dyDescent="0.25">
      <x:c r="A11" s="7">
        <x:v>1</x:v>
      </x:c>
      <x:c r="B11" s="11" t="s">
        <x:v>99</x:v>
      </x:c>
      <x:c r="C11" s="12"/>
      <x:c r="D11" s="13"/>
      <x:c r="E11" s="13"/>
      <x:c r="F11" s="13"/>
      <x:c r="G11" s="13"/>
      <x:c r="H11" s="13"/>
      <x:c r="I11" s="13"/>
      <x:c r="J11" s="13"/>
      <x:c r="K11" s="13"/>
      <x:c r="L11" s="13"/>
      <x:c r="M11" s="14"/>
    </x:row>
    <x:row r="12" spans="1:15" ht="29.4" customHeight="1" x14ac:dyDescent="0.25">
      <x:c r="A12" s="7">
        <x:f t="shared" ref="A12:A19" si="0">+A11+1</x:f>
        <x:v>2</x:v>
      </x:c>
      <x:c r="B12" s="15" t="s">
        <x:v>13</x:v>
      </x:c>
      <x:c r="C12" s="69" t="s">
        <x:v>0</x:v>
      </x:c>
      <x:c r="D12" s="102" t="str">
        <x:f t="array" ref="D12:M12">TRANSPOSE('[4]July 20 23 bySite'!$B$11:$B$20)</x:f>
        <x:v>Abilene</x:v>
      </x:c>
      <x:c r="E12" s="102" t="str">
        <x:v>Austin</x:v>
      </x:c>
      <x:c r="F12" s="102" t="str">
        <x:v>Dallas-Ft. Worth</x:v>
      </x:c>
      <x:c r="G12" s="102" t="str">
        <x:v>Kileen-Temple</x:v>
      </x:c>
      <x:c r="H12" s="102" t="str">
        <x:v>Longview</x:v>
      </x:c>
      <x:c r="I12" s="102" t="str">
        <x:v>Lufkin</x:v>
      </x:c>
      <x:c r="J12" s="102" t="str">
        <x:v>Midland-Odessa</x:v>
      </x:c>
      <x:c r="K12" s="102" t="str">
        <x:v>Sherman-Denison</x:v>
      </x:c>
      <x:c r="L12" s="102" t="str">
        <x:v>Waco</x:v>
      </x:c>
      <x:c r="M12" s="103" t="str">
        <x:v>Wichita Falls</x:v>
      </x:c>
    </x:row>
    <x:row r="13" spans="1:15" x14ac:dyDescent="0.25">
      <x:c r="A13" s="7">
        <x:f t="shared" si="0"/>
        <x:v>3</x:v>
      </x:c>
      <x:c r="B13" s="17">
        <x:v>45127</x:v>
      </x:c>
      <x:c r="C13" s="18" t="s">
        <x:v>14</x:v>
      </x:c>
      <x:c r="D13" s="79">
        <x:f t="array" ref="D13:M13">TRANSPOSE('[4]July 20 23 bySite'!$O$24:$O$33)</x:f>
        <x:v>25.299999999999997</x:v>
      </x:c>
      <x:c r="E13" s="79">
        <x:v>23.5</x:v>
      </x:c>
      <x:c r="F13" s="79">
        <x:v>27.400000000000006</x:v>
      </x:c>
      <x:c r="G13" s="79">
        <x:v>25.700000000000003</x:v>
      </x:c>
      <x:c r="H13" s="79">
        <x:v>22</x:v>
      </x:c>
      <x:c r="I13" s="79">
        <x:v>23.299999999999997</x:v>
      </x:c>
      <x:c r="J13" s="79">
        <x:v>23.299999999999997</x:v>
      </x:c>
      <x:c r="K13" s="79">
        <x:v>23.799999999999997</x:v>
      </x:c>
      <x:c r="L13" s="79">
        <x:v>26.200000000000003</x:v>
      </x:c>
      <x:c r="M13" s="90">
        <x:v>26.299999999999997</x:v>
      </x:c>
      <x:c r="O13" s="20" t="s">
        <x:v>15</x:v>
      </x:c>
    </x:row>
    <x:row r="14" spans="1:15" x14ac:dyDescent="0.25">
      <x:c r="A14" s="7">
        <x:f t="shared" si="0"/>
        <x:v>4</x:v>
      </x:c>
      <x:c r="B14" s="17">
        <x:f>+B13</x:f>
        <x:v>45127</x:v>
      </x:c>
      <x:c r="C14" s="18" t="s">
        <x:v>16</x:v>
      </x:c>
      <x:c r="D14" s="79">
        <x:f t="array" ref="D14:M14">TRANSPOSE('[4]July 20 23 bySite'!$P$24:$P$33)</x:f>
        <x:v>20.299999999999997</x:v>
      </x:c>
      <x:c r="E14" s="79">
        <x:v>18.5</x:v>
      </x:c>
      <x:c r="F14" s="79">
        <x:v>22.400000000000006</x:v>
      </x:c>
      <x:c r="G14" s="79">
        <x:v>20.700000000000003</x:v>
      </x:c>
      <x:c r="H14" s="79">
        <x:v>17</x:v>
      </x:c>
      <x:c r="I14" s="79">
        <x:v>18.299999999999997</x:v>
      </x:c>
      <x:c r="J14" s="79">
        <x:v>18.299999999999997</x:v>
      </x:c>
      <x:c r="K14" s="79">
        <x:v>18.799999999999997</x:v>
      </x:c>
      <x:c r="L14" s="79">
        <x:v>21.200000000000003</x:v>
      </x:c>
      <x:c r="M14" s="90">
        <x:v>21.299999999999997</x:v>
      </x:c>
      <x:c r="O14" s="20" t="s">
        <x:v>17</x:v>
      </x:c>
    </x:row>
    <x:row r="15" spans="1:15" x14ac:dyDescent="0.25">
      <x:c r="A15" s="7">
        <x:f t="shared" si="0"/>
        <x:v>5</x:v>
      </x:c>
      <x:c r="B15" s="17">
        <x:f>+B14</x:f>
        <x:v>45127</x:v>
      </x:c>
      <x:c r="C15" s="18" t="s">
        <x:v>18</x:v>
      </x:c>
      <x:c r="D15" s="79">
        <x:f t="array" ref="D15:M15">TRANSPOSE('[4]July 20 23 bySite'!$Q$24:$Q$33)</x:f>
        <x:v>15.299999999999997</x:v>
      </x:c>
      <x:c r="E15" s="79">
        <x:v>13.5</x:v>
      </x:c>
      <x:c r="F15" s="79">
        <x:v>17.400000000000006</x:v>
      </x:c>
      <x:c r="G15" s="79">
        <x:v>15.700000000000003</x:v>
      </x:c>
      <x:c r="H15" s="79">
        <x:v>12</x:v>
      </x:c>
      <x:c r="I15" s="79">
        <x:v>13.299999999999997</x:v>
      </x:c>
      <x:c r="J15" s="79">
        <x:v>13.299999999999997</x:v>
      </x:c>
      <x:c r="K15" s="79">
        <x:v>13.799999999999997</x:v>
      </x:c>
      <x:c r="L15" s="79">
        <x:v>16.200000000000003</x:v>
      </x:c>
      <x:c r="M15" s="90">
        <x:v>16.299999999999997</x:v>
      </x:c>
      <x:c r="O15" s="20" t="s">
        <x:v>19</x:v>
      </x:c>
    </x:row>
    <x:row r="16" spans="1:15" x14ac:dyDescent="0.25">
      <x:c r="A16" s="7">
        <x:f t="shared" si="0"/>
        <x:v>6</x:v>
      </x:c>
      <x:c r="B16" s="21">
        <x:f>+B14</x:f>
        <x:v>45127</x:v>
      </x:c>
      <x:c r="C16" s="22" t="s">
        <x:v>129</x:v>
      </x:c>
      <x:c r="D16" s="80">
        <x:f t="array" ref="D16:M16">TRANSPOSE('[4]July 20 23 bySite'!$R$24:$R$33)</x:f>
        <x:v>10.299999999999997</x:v>
      </x:c>
      <x:c r="E16" s="80">
        <x:v>8.5</x:v>
      </x:c>
      <x:c r="F16" s="80">
        <x:v>12.400000000000006</x:v>
      </x:c>
      <x:c r="G16" s="80">
        <x:v>10.700000000000003</x:v>
      </x:c>
      <x:c r="H16" s="80">
        <x:v>7</x:v>
      </x:c>
      <x:c r="I16" s="80">
        <x:v>8.2999999999999972</x:v>
      </x:c>
      <x:c r="J16" s="80">
        <x:v>8.2999999999999972</x:v>
      </x:c>
      <x:c r="K16" s="80">
        <x:v>8.7999999999999972</x:v>
      </x:c>
      <x:c r="L16" s="80">
        <x:v>11.200000000000003</x:v>
      </x:c>
      <x:c r="M16" s="73">
        <x:v>11.299999999999997</x:v>
      </x:c>
      <x:c r="O16" s="20" t="s">
        <x:v>108</x:v>
      </x:c>
    </x:row>
    <x:row r="17" spans="1:16" x14ac:dyDescent="0.25">
      <x:c r="A17" s="7">
        <x:f t="shared" si="0"/>
        <x:v>7</x:v>
      </x:c>
    </x:row>
    <x:row r="18" spans="1:16" x14ac:dyDescent="0.25">
      <x:c r="A18" s="7">
        <x:f t="shared" si="0"/>
        <x:v>8</x:v>
      </x:c>
      <x:c r="B18" s="11" t="s">
        <x:v>43</x:v>
      </x:c>
      <x:c r="C18" s="12"/>
      <x:c r="D18" s="13"/>
      <x:c r="E18" s="13"/>
      <x:c r="F18" s="13"/>
      <x:c r="G18" s="13"/>
      <x:c r="H18" s="13"/>
      <x:c r="I18" s="13"/>
      <x:c r="J18" s="13"/>
      <x:c r="K18" s="13"/>
      <x:c r="L18" s="13"/>
      <x:c r="M18" s="14"/>
    </x:row>
    <x:row r="19" spans="1:16" x14ac:dyDescent="0.25">
      <x:c r="A19" s="7">
        <x:f t="shared" si="0"/>
        <x:v>9</x:v>
      </x:c>
      <x:c r="B19" s="24"/>
      <x:c r="C19" s="25" t="s">
        <x:v>0</x:v>
      </x:c>
      <x:c r="D19" s="26">
        <x:f>+'Res Seasonal Weights'!F30</x:f>
        <x:v>1.2E-2</x:v>
      </x:c>
      <x:c r="E19" s="26">
        <x:f>+'Res Seasonal Weights'!F36</x:f>
        <x:v>4.8000000000000001E-2</x:v>
      </x:c>
      <x:c r="F19" s="26">
        <x:f>+'Res Seasonal Weights'!F27</x:f>
        <x:v>0.70199999999999996</x:v>
      </x:c>
      <x:c r="G19" s="26">
        <x:f>+'Res Seasonal Weights'!F32</x:f>
        <x:v>4.5999999999999999E-2</x:v>
      </x:c>
      <x:c r="H19" s="26">
        <x:f>+'Res Seasonal Weights'!F35</x:f>
        <x:v>3.5999999999999997E-2</x:v>
      </x:c>
      <x:c r="I19" s="26">
        <x:f>+'Res Seasonal Weights'!F29</x:f>
        <x:v>2.5999999999999999E-2</x:v>
      </x:c>
      <x:c r="J19" s="26">
        <x:f>+'Res Seasonal Weights'!F28</x:f>
        <x:v>5.3999999999999999E-2</x:v>
      </x:c>
      <x:c r="K19" s="26">
        <x:f>+'Res Seasonal Weights'!F31</x:f>
        <x:v>2.3E-2</x:v>
      </x:c>
      <x:c r="L19" s="26">
        <x:f>+'Res Seasonal Weights'!F33</x:f>
        <x:v>3.5999999999999997E-2</x:v>
      </x:c>
      <x:c r="M19" s="27">
        <x:f>+'Res Seasonal Weights'!F34</x:f>
        <x:v>1.7999999999999999E-2</x:v>
      </x:c>
      <x:c r="O19" s="20" t="s">
        <x:v>21</x:v>
      </x:c>
    </x:row>
    <x:row r="20" spans="1:16" x14ac:dyDescent="0.25">
      <x:c r="A20" s="7"/>
    </x:row>
    <x:row r="21" spans="1:16" x14ac:dyDescent="0.25">
      <x:c r="A21" s="7"/>
      <x:c r="B21" s="10"/>
      <x:c r="G21" s="8"/>
    </x:row>
    <x:row r="22" spans="1:16" x14ac:dyDescent="0.25">
      <x:c r="A22" s="7">
        <x:f>+A19+1</x:f>
        <x:v>10</x:v>
      </x:c>
      <x:c r="B22" s="11" t="s">
        <x:v>101</x:v>
      </x:c>
      <x:c r="C22" s="12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4"/>
    </x:row>
    <x:row r="23" spans="1:16" x14ac:dyDescent="0.25">
      <x:c r="A23" s="7">
        <x:f>+A22+1</x:f>
        <x:v>11</x:v>
      </x:c>
      <x:c r="B23" s="28"/>
      <x:c r="C23" s="29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1"/>
    </x:row>
    <x:row r="24" spans="1:16" ht="31.5" x14ac:dyDescent="0.25">
      <x:c r="A24" s="7">
        <x:f>+A23+1</x:f>
        <x:v>12</x:v>
      </x:c>
      <x:c r="B24" s="15" t="s">
        <x:v>13</x:v>
      </x:c>
      <x:c r="C24" s="16" t="s">
        <x:v>0</x:v>
      </x:c>
      <x:c r="D24" s="102" t="str">
        <x:f t="array" ref="D24:M24">TRANSPOSE('[4]July 20 23 bySite'!$B$11:$B$20)</x:f>
        <x:v>Abilene</x:v>
      </x:c>
      <x:c r="E24" s="102" t="str">
        <x:v>Austin</x:v>
      </x:c>
      <x:c r="F24" s="102" t="str">
        <x:v>Dallas-Ft. Worth</x:v>
      </x:c>
      <x:c r="G24" s="102" t="str">
        <x:v>Kileen-Temple</x:v>
      </x:c>
      <x:c r="H24" s="102" t="str">
        <x:v>Longview</x:v>
      </x:c>
      <x:c r="I24" s="102" t="str">
        <x:v>Lufkin</x:v>
      </x:c>
      <x:c r="J24" s="102" t="str">
        <x:v>Midland-Odessa</x:v>
      </x:c>
      <x:c r="K24" s="102" t="str">
        <x:v>Sherman-Denison</x:v>
      </x:c>
      <x:c r="L24" s="102" t="str">
        <x:v>Waco</x:v>
      </x:c>
      <x:c r="M24" s="103" t="str">
        <x:v>Wichita Falls</x:v>
      </x:c>
      <x:c r="N24" s="49" t="s">
        <x:v>100</x:v>
      </x:c>
    </x:row>
    <x:row r="25" spans="1:16" x14ac:dyDescent="0.25">
      <x:c r="A25" s="7">
        <x:f t="shared" ref="A25:A28" si="1">+A24+1</x:f>
        <x:v>13</x:v>
      </x:c>
      <x:c r="B25" s="17">
        <x:f>+B13</x:f>
        <x:v>45127</x:v>
      </x:c>
      <x:c r="C25" s="18" t="str">
        <x:f>+C13</x:f>
        <x:v>Base65</x:v>
      </x:c>
      <x:c r="D25" s="19">
        <x:f>+D13*D$19</x:f>
        <x:v>0.30359999999999998</x:v>
      </x:c>
      <x:c r="E25" s="19">
        <x:f t="shared" ref="E25:M25" si="2">+E13*E$19</x:f>
        <x:v>1.1280000000000001</x:v>
      </x:c>
      <x:c r="F25" s="19">
        <x:f t="shared" si="2"/>
        <x:v>19.234800000000003</x:v>
      </x:c>
      <x:c r="G25" s="19">
        <x:f t="shared" si="2"/>
        <x:v>1.1822000000000001</x:v>
      </x:c>
      <x:c r="H25" s="19">
        <x:f t="shared" si="2"/>
        <x:v>0.79199999999999993</x:v>
      </x:c>
      <x:c r="I25" s="19">
        <x:f t="shared" si="2"/>
        <x:v>0.60579999999999989</x:v>
      </x:c>
      <x:c r="J25" s="19">
        <x:f t="shared" si="2"/>
        <x:v>1.2581999999999998</x:v>
      </x:c>
      <x:c r="K25" s="19">
        <x:f t="shared" si="2"/>
        <x:v>0.54739999999999989</x:v>
      </x:c>
      <x:c r="L25" s="19">
        <x:f t="shared" si="2"/>
        <x:v>0.94320000000000004</x:v>
      </x:c>
      <x:c r="M25" s="19">
        <x:f t="shared" si="2"/>
        <x:v>0.47339999999999993</x:v>
      </x:c>
      <x:c r="N25" s="173">
        <x:f>SUM(D25:M25)</x:f>
        <x:v>26.468600000000006</x:v>
      </x:c>
      <x:c r="O25" s="32" t="s">
        <x:v>22</x:v>
      </x:c>
    </x:row>
    <x:row r="26" spans="1:16" x14ac:dyDescent="0.25">
      <x:c r="A26" s="7">
        <x:f t="shared" si="1"/>
        <x:v>14</x:v>
      </x:c>
      <x:c r="B26" s="17">
        <x:f>+B14</x:f>
        <x:v>45127</x:v>
      </x:c>
      <x:c r="C26" s="18" t="str">
        <x:f t="shared" ref="C26:C28" si="3">+C14</x:f>
        <x:v>Base70</x:v>
      </x:c>
      <x:c r="D26" s="19">
        <x:f>+D14*D$19</x:f>
        <x:v>0.24359999999999998</x:v>
      </x:c>
      <x:c r="E26" s="19">
        <x:f t="shared" ref="E26:M27" si="4">+E14*E$19</x:f>
        <x:v>0.88800000000000001</x:v>
      </x:c>
      <x:c r="F26" s="19">
        <x:f t="shared" si="4"/>
        <x:v>15.724800000000004</x:v>
      </x:c>
      <x:c r="G26" s="19">
        <x:f t="shared" si="4"/>
        <x:v>0.95220000000000016</x:v>
      </x:c>
      <x:c r="H26" s="19">
        <x:f t="shared" si="4"/>
        <x:v>0.61199999999999999</x:v>
      </x:c>
      <x:c r="I26" s="19">
        <x:f>+I14*I$19</x:f>
        <x:v>0.47579999999999989</x:v>
      </x:c>
      <x:c r="J26" s="19">
        <x:f t="shared" si="4"/>
        <x:v>0.98819999999999986</x:v>
      </x:c>
      <x:c r="K26" s="19">
        <x:f t="shared" si="4"/>
        <x:v>0.43239999999999995</x:v>
      </x:c>
      <x:c r="L26" s="19">
        <x:f t="shared" si="4"/>
        <x:v>0.76319999999999999</x:v>
      </x:c>
      <x:c r="M26" s="19">
        <x:f t="shared" si="4"/>
        <x:v>0.38339999999999991</x:v>
      </x:c>
      <x:c r="N26" s="173">
        <x:f>SUM(D26:M26)</x:f>
        <x:v>21.463600000000003</x:v>
      </x:c>
      <x:c r="O26" s="32" t="s">
        <x:v>23</x:v>
      </x:c>
    </x:row>
    <x:row r="27" spans="1:16" x14ac:dyDescent="0.25">
      <x:c r="A27" s="7">
        <x:f t="shared" si="1"/>
        <x:v>15</x:v>
      </x:c>
      <x:c r="B27" s="17">
        <x:f>+B15</x:f>
        <x:v>45127</x:v>
      </x:c>
      <x:c r="C27" s="18" t="str">
        <x:f t="shared" si="3"/>
        <x:v>Base75</x:v>
      </x:c>
      <x:c r="D27" s="19">
        <x:f>+D15*D$19</x:f>
        <x:v>0.18359999999999996</x:v>
      </x:c>
      <x:c r="E27" s="19">
        <x:f t="shared" si="4"/>
        <x:v>0.64800000000000002</x:v>
      </x:c>
      <x:c r="F27" s="19">
        <x:f t="shared" si="4"/>
        <x:v>12.214800000000004</x:v>
      </x:c>
      <x:c r="G27" s="19">
        <x:f t="shared" si="4"/>
        <x:v>0.72220000000000006</x:v>
      </x:c>
      <x:c r="H27" s="19">
        <x:f t="shared" si="4"/>
        <x:v>0.43199999999999994</x:v>
      </x:c>
      <x:c r="I27" s="19">
        <x:f t="shared" si="4"/>
        <x:v>0.34579999999999989</x:v>
      </x:c>
      <x:c r="J27" s="19">
        <x:f t="shared" si="4"/>
        <x:v>0.71819999999999984</x:v>
      </x:c>
      <x:c r="K27" s="19">
        <x:f t="shared" si="4"/>
        <x:v>0.3173999999999999</x:v>
      </x:c>
      <x:c r="L27" s="19">
        <x:f t="shared" si="4"/>
        <x:v>0.58320000000000005</x:v>
      </x:c>
      <x:c r="M27" s="19">
        <x:f>+M15*M$19</x:f>
        <x:v>0.29339999999999994</x:v>
      </x:c>
      <x:c r="N27" s="173">
        <x:f>SUM(D27:M27)</x:f>
        <x:v>16.458600000000004</x:v>
      </x:c>
      <x:c r="O27" s="32" t="s">
        <x:v>24</x:v>
      </x:c>
    </x:row>
    <x:row r="28" spans="1:16" x14ac:dyDescent="0.25">
      <x:c r="A28" s="7">
        <x:f t="shared" si="1"/>
        <x:v>16</x:v>
      </x:c>
      <x:c r="B28" s="21">
        <x:f>+B16</x:f>
        <x:v>45127</x:v>
      </x:c>
      <x:c r="C28" s="22" t="str">
        <x:f t="shared" si="3"/>
        <x:v>Base80</x:v>
      </x:c>
      <x:c r="D28" s="23">
        <x:f>+D16*D$19</x:f>
        <x:v>0.12359999999999997</x:v>
      </x:c>
      <x:c r="E28" s="23">
        <x:f t="shared" ref="E28:M28" si="5">+E16*E$19</x:f>
        <x:v>0.40800000000000003</x:v>
      </x:c>
      <x:c r="F28" s="23">
        <x:f t="shared" si="5"/>
        <x:v>8.7048000000000041</x:v>
      </x:c>
      <x:c r="G28" s="23">
        <x:f t="shared" si="5"/>
        <x:v>0.49220000000000014</x:v>
      </x:c>
      <x:c r="H28" s="23">
        <x:f t="shared" si="5"/>
        <x:v>0.252</x:v>
      </x:c>
      <x:c r="I28" s="23">
        <x:f t="shared" si="5"/>
        <x:v>0.21579999999999991</x:v>
      </x:c>
      <x:c r="J28" s="23">
        <x:f t="shared" si="5"/>
        <x:v>0.44819999999999982</x:v>
      </x:c>
      <x:c r="K28" s="23">
        <x:f t="shared" si="5"/>
        <x:v>0.20239999999999994</x:v>
      </x:c>
      <x:c r="L28" s="23">
        <x:f>+L16*L$19</x:f>
        <x:v>0.40320000000000006</x:v>
      </x:c>
      <x:c r="M28" s="23">
        <x:f t="shared" si="5"/>
        <x:v>0.20339999999999994</x:v>
      </x:c>
      <x:c r="N28" s="174">
        <x:f>SUM(D28:M28)</x:f>
        <x:v>11.453600000000005</x:v>
      </x:c>
      <x:c r="O28" s="32" t="s">
        <x:v>109</x:v>
      </x:c>
      <x:c r="P28" s="134"/>
    </x:row>
    <x:row r="29" spans="1:16" x14ac:dyDescent="0.25">
      <x:c r="O29" s="30"/>
    </x:row>
  </x:sheetData>
  <x:mergeCells count="7">
    <x:mergeCell ref="B8:O8"/>
    <x:mergeCell ref="B5:O5"/>
    <x:mergeCell ref="B1:O1"/>
    <x:mergeCell ref="B2:O2"/>
    <x:mergeCell ref="B3:O3"/>
    <x:mergeCell ref="B4:O4"/>
    <x:mergeCell ref="B6:O6"/>
  </x:mergeCells>
  <x:phoneticPr fontId="2" type="noConversion"/>
  <x:printOptions horizontalCentered="1"/>
  <x:pageMargins left="1.5" right="0.5" top="1.5" bottom="1" header="1" footer="0.5"/>
  <x:pageSetup scale="65" firstPageNumber="3" orientation="portrait" r:id="rId1"/>
  <x:headerFooter alignWithMargins="0">
    <x:oddHeader>&amp;RSchedule II-H-5.2
Page &amp;P of 37</x:oddHeader>
  </x:headerFooter>
  <x:drawing r:id="rId2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7">
    <x:pageSetUpPr fitToPage="1"/>
  </x:sheetPr>
  <x:dimension ref="A1:P29"/>
  <x:sheetViews>
    <x:sheetView zoomScaleNormal="100" workbookViewId="0"/>
  </x:sheetViews>
  <x:sheetFormatPr defaultColWidth="9.08984375" defaultRowHeight="12.5" x14ac:dyDescent="0.25"/>
  <x:cols>
    <x:col min="1" max="2" width="9.08984375" style="9"/>
    <x:col min="3" max="3" width="9.08984375" style="7"/>
    <x:col min="4" max="4" width="8" style="9" customWidth="1"/>
    <x:col min="5" max="5" width="6.6328125" style="9" customWidth="1"/>
    <x:col min="6" max="6" width="6.54296875" style="9" customWidth="1"/>
    <x:col min="7" max="7" width="10.08984375" style="9" customWidth="1"/>
    <x:col min="8" max="8" width="8.453125" style="9" customWidth="1"/>
    <x:col min="9" max="10" width="8.6328125" style="9" bestFit="1" customWidth="1"/>
    <x:col min="11" max="11" width="8.453125" style="9" customWidth="1"/>
    <x:col min="12" max="12" width="7.453125" style="9" customWidth="1"/>
    <x:col min="13" max="13" width="10.36328125" style="9" customWidth="1"/>
    <x:col min="14" max="14" width="10.08984375" style="9" customWidth="1"/>
    <x:col min="15" max="16384" width="9.08984375" style="9"/>
  </x:cols>
  <x:sheetData>
    <x:row r="1" spans="1:15" customFormat="1" ht="15.5" x14ac:dyDescent="0.35">
      <x:c r="A1" s="149"/>
      <x:c r="B1" s="209" t="str">
        <x:f>+RES!B1</x:f>
        <x:v xml:space="preserve">PUC DOCKET NO. </x:v>
      </x:c>
      <x:c r="C1" s="209"/>
      <x:c r="D1" s="209"/>
      <x:c r="E1" s="209"/>
      <x:c r="F1" s="209"/>
      <x:c r="G1" s="212"/>
      <x:c r="H1" s="212"/>
      <x:c r="I1" s="212"/>
      <x:c r="J1" s="212"/>
      <x:c r="K1" s="212"/>
      <x:c r="L1" s="212"/>
      <x:c r="M1" s="212"/>
      <x:c r="N1" s="212"/>
      <x:c r="O1" s="212"/>
    </x:row>
    <x:row r="2" spans="1:15" customFormat="1" ht="15.5" x14ac:dyDescent="0.35">
      <x:c r="A2" s="149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</x:row>
    <x:row r="3" spans="1:15" customFormat="1" ht="15.5" x14ac:dyDescent="0.35">
      <x:c r="A3" s="149"/>
      <x:c r="B3" s="209" t="str">
        <x:f>+RES!B3</x:f>
        <x:v>ADJUSTED WEATHER STATION DATA</x:v>
      </x:c>
      <x:c r="C3" s="209"/>
      <x:c r="D3" s="209"/>
      <x:c r="E3" s="209"/>
      <x:c r="F3" s="209"/>
      <x:c r="G3" s="212"/>
      <x:c r="H3" s="212"/>
      <x:c r="I3" s="212"/>
      <x:c r="J3" s="212"/>
      <x:c r="K3" s="212"/>
      <x:c r="L3" s="212"/>
      <x:c r="M3" s="212"/>
      <x:c r="N3" s="212"/>
      <x:c r="O3" s="212"/>
    </x:row>
    <x:row r="4" spans="1:15" customFormat="1" ht="15.5" x14ac:dyDescent="0.35">
      <x:c r="A4" s="149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</x:row>
    <x:row r="5" spans="1:15" customFormat="1" ht="15.5" x14ac:dyDescent="0.35">
      <x:c r="A5" s="149"/>
      <x:c r="B5" s="209"/>
      <x:c r="C5" s="209"/>
      <x:c r="D5" s="209"/>
      <x:c r="E5" s="209"/>
      <x:c r="F5" s="209"/>
      <x:c r="G5" s="212"/>
      <x:c r="H5" s="212"/>
      <x:c r="I5" s="212"/>
      <x:c r="J5" s="212"/>
      <x:c r="K5" s="212"/>
      <x:c r="L5" s="212"/>
      <x:c r="M5" s="212"/>
      <x:c r="N5" s="212"/>
      <x:c r="O5" s="212"/>
    </x:row>
    <x:row r="6" spans="1:15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1"/>
      <x:c r="L6" s="211"/>
      <x:c r="M6" s="211"/>
      <x:c r="N6" s="211"/>
      <x:c r="O6" s="211"/>
    </x:row>
    <x:row r="7" spans="1:15" ht="15.5" x14ac:dyDescent="0.35">
      <x:c r="B7" s="151"/>
      <x:c r="C7" s="149"/>
      <x:c r="D7" s="149"/>
      <x:c r="E7" s="149"/>
      <x:c r="F7" s="149"/>
      <x:c r="G7" s="149"/>
      <x:c r="H7" s="149"/>
      <x:c r="I7" s="149"/>
      <x:c r="J7" s="149"/>
      <x:c r="K7" s="149"/>
      <x:c r="L7" s="149"/>
      <x:c r="M7" s="149"/>
      <x:c r="N7" s="149"/>
      <x:c r="O7" s="149"/>
    </x:row>
    <x:row r="8" spans="1:15" ht="15.5" x14ac:dyDescent="0.35">
      <x:c r="B8" s="209" t="s">
        <x:v>156</x:v>
      </x:c>
      <x:c r="C8" s="209"/>
      <x:c r="D8" s="209"/>
      <x:c r="E8" s="209"/>
      <x:c r="F8" s="209"/>
      <x:c r="G8" s="212"/>
      <x:c r="H8" s="212"/>
      <x:c r="I8" s="212"/>
      <x:c r="J8" s="212"/>
      <x:c r="K8" s="212"/>
      <x:c r="L8" s="212"/>
      <x:c r="M8" s="212"/>
      <x:c r="N8" s="212"/>
      <x:c r="O8" s="212"/>
    </x:row>
    <x:row r="9" spans="1:15" ht="15.5" x14ac:dyDescent="0.35">
      <x:c r="A9" s="149" t="s">
        <x:v>6</x:v>
      </x:c>
      <x:c r="B9" s="151"/>
      <x:c r="C9" s="149"/>
      <x:c r="D9" s="149"/>
      <x:c r="E9" s="149"/>
      <x:c r="F9" s="149"/>
      <x:c r="G9" s="149"/>
      <x:c r="H9" s="149"/>
      <x:c r="I9" s="149"/>
      <x:c r="J9" s="149"/>
      <x:c r="K9" s="149"/>
      <x:c r="L9" s="149"/>
      <x:c r="M9" s="149"/>
      <x:c r="N9" s="149"/>
      <x:c r="O9" s="149"/>
    </x:row>
    <x:row r="10" spans="1:15" x14ac:dyDescent="0.25">
      <x:c r="A10" s="5" t="s">
        <x:v>8</x:v>
      </x:c>
    </x:row>
    <x:row r="11" spans="1:15" x14ac:dyDescent="0.25">
      <x:c r="A11" s="7">
        <x:v>1</x:v>
      </x:c>
      <x:c r="B11" s="11" t="s">
        <x:v>99</x:v>
      </x:c>
      <x:c r="C11" s="12"/>
      <x:c r="D11" s="13"/>
      <x:c r="E11" s="13"/>
      <x:c r="F11" s="13"/>
      <x:c r="G11" s="13"/>
      <x:c r="H11" s="13"/>
      <x:c r="I11" s="13"/>
      <x:c r="J11" s="13"/>
      <x:c r="K11" s="13"/>
      <x:c r="L11" s="13"/>
      <x:c r="M11" s="14"/>
    </x:row>
    <x:row r="12" spans="1:15" ht="29.4" customHeight="1" x14ac:dyDescent="0.25">
      <x:c r="A12" s="7">
        <x:f t="shared" ref="A12:A19" si="0">+A11+1</x:f>
        <x:v>2</x:v>
      </x:c>
      <x:c r="B12" s="15" t="s">
        <x:v>13</x:v>
      </x:c>
      <x:c r="C12" s="69" t="s">
        <x:v>0</x:v>
      </x:c>
      <x:c r="D12" s="102" t="str">
        <x:f t="array" ref="D12:M12">TRANSPOSE('[4]July 14 24 bySite'!$B$11:$B$20)</x:f>
        <x:v>Abilene</x:v>
      </x:c>
      <x:c r="E12" s="102" t="str">
        <x:v>Austin</x:v>
      </x:c>
      <x:c r="F12" s="102" t="str">
        <x:v>Dallas-Ft. Worth</x:v>
      </x:c>
      <x:c r="G12" s="102" t="str">
        <x:v>Kileen-Temple</x:v>
      </x:c>
      <x:c r="H12" s="102" t="str">
        <x:v>Longview</x:v>
      </x:c>
      <x:c r="I12" s="102" t="str">
        <x:v>Lufkin</x:v>
      </x:c>
      <x:c r="J12" s="102" t="str">
        <x:v>Midland-Odessa</x:v>
      </x:c>
      <x:c r="K12" s="102" t="str">
        <x:v>Sherman-Denison</x:v>
      </x:c>
      <x:c r="L12" s="102" t="str">
        <x:v>Waco</x:v>
      </x:c>
      <x:c r="M12" s="103" t="str">
        <x:v>Wichita Falls</x:v>
      </x:c>
    </x:row>
    <x:row r="13" spans="1:15" x14ac:dyDescent="0.25">
      <x:c r="A13" s="7">
        <x:f t="shared" si="0"/>
        <x:v>3</x:v>
      </x:c>
      <x:c r="B13" s="17">
        <x:v>44391</x:v>
      </x:c>
      <x:c r="C13" s="18" t="s">
        <x:v>14</x:v>
      </x:c>
      <x:c r="D13" s="79">
        <x:f t="array" ref="D13:M13">TRANSPOSE('[4]July 14 24 bySite'!$O$24:$O$33)</x:f>
        <x:v>22.400000000000006</x:v>
      </x:c>
      <x:c r="E13" s="79">
        <x:v>16.400000000000006</x:v>
      </x:c>
      <x:c r="F13" s="79">
        <x:v>22.5</x:v>
      </x:c>
      <x:c r="G13" s="79">
        <x:v>19</x:v>
      </x:c>
      <x:c r="H13" s="79">
        <x:v>17.700000000000003</x:v>
      </x:c>
      <x:c r="I13" s="79">
        <x:v>15.599999999999994</x:v>
      </x:c>
      <x:c r="J13" s="79">
        <x:v>17.299999999999997</x:v>
      </x:c>
      <x:c r="K13" s="79">
        <x:v>21.700000000000003</x:v>
      </x:c>
      <x:c r="L13" s="79">
        <x:v>20.099999999999994</x:v>
      </x:c>
      <x:c r="M13" s="90">
        <x:v>21.5</x:v>
      </x:c>
      <x:c r="O13" s="20" t="s">
        <x:v>15</x:v>
      </x:c>
    </x:row>
    <x:row r="14" spans="1:15" x14ac:dyDescent="0.25">
      <x:c r="A14" s="7">
        <x:f t="shared" si="0"/>
        <x:v>4</x:v>
      </x:c>
      <x:c r="B14" s="17">
        <x:f>+B13</x:f>
        <x:v>44391</x:v>
      </x:c>
      <x:c r="C14" s="18" t="s">
        <x:v>16</x:v>
      </x:c>
      <x:c r="D14" s="79">
        <x:f t="array" ref="D14:M14">TRANSPOSE('[4]July 14 24 bySite'!$P$24:$P$33)</x:f>
        <x:v>17.400000000000006</x:v>
      </x:c>
      <x:c r="E14" s="79">
        <x:v>11.400000000000006</x:v>
      </x:c>
      <x:c r="F14" s="79">
        <x:v>17.5</x:v>
      </x:c>
      <x:c r="G14" s="79">
        <x:v>14</x:v>
      </x:c>
      <x:c r="H14" s="79">
        <x:v>12.700000000000003</x:v>
      </x:c>
      <x:c r="I14" s="79">
        <x:v>10.599999999999994</x:v>
      </x:c>
      <x:c r="J14" s="79">
        <x:v>12.299999999999997</x:v>
      </x:c>
      <x:c r="K14" s="79">
        <x:v>16.700000000000003</x:v>
      </x:c>
      <x:c r="L14" s="79">
        <x:v>15.099999999999994</x:v>
      </x:c>
      <x:c r="M14" s="90">
        <x:v>16.5</x:v>
      </x:c>
      <x:c r="O14" s="20" t="s">
        <x:v>17</x:v>
      </x:c>
    </x:row>
    <x:row r="15" spans="1:15" x14ac:dyDescent="0.25">
      <x:c r="A15" s="7">
        <x:f t="shared" si="0"/>
        <x:v>5</x:v>
      </x:c>
      <x:c r="B15" s="17">
        <x:f>+B14</x:f>
        <x:v>44391</x:v>
      </x:c>
      <x:c r="C15" s="18" t="s">
        <x:v>18</x:v>
      </x:c>
      <x:c r="D15" s="79">
        <x:f t="array" ref="D15:M15">TRANSPOSE('[4]July 14 24 bySite'!$Q$24:$Q$33)</x:f>
        <x:v>12.400000000000006</x:v>
      </x:c>
      <x:c r="E15" s="79">
        <x:v>6.4000000000000057</x:v>
      </x:c>
      <x:c r="F15" s="79">
        <x:v>12.5</x:v>
      </x:c>
      <x:c r="G15" s="79">
        <x:v>9</x:v>
      </x:c>
      <x:c r="H15" s="79">
        <x:v>7.7000000000000028</x:v>
      </x:c>
      <x:c r="I15" s="79">
        <x:v>5.5999999999999943</x:v>
      </x:c>
      <x:c r="J15" s="79">
        <x:v>7.2999999999999972</x:v>
      </x:c>
      <x:c r="K15" s="79">
        <x:v>11.700000000000003</x:v>
      </x:c>
      <x:c r="L15" s="79">
        <x:v>10.099999999999994</x:v>
      </x:c>
      <x:c r="M15" s="90">
        <x:v>11.5</x:v>
      </x:c>
      <x:c r="O15" s="20" t="s">
        <x:v>19</x:v>
      </x:c>
    </x:row>
    <x:row r="16" spans="1:15" x14ac:dyDescent="0.25">
      <x:c r="A16" s="7">
        <x:f t="shared" si="0"/>
        <x:v>6</x:v>
      </x:c>
      <x:c r="B16" s="21">
        <x:f>+B14</x:f>
        <x:v>44391</x:v>
      </x:c>
      <x:c r="C16" s="22" t="s">
        <x:v>129</x:v>
      </x:c>
      <x:c r="D16" s="80">
        <x:f t="array" ref="D16:M16">TRANSPOSE('[4]July 14 24 bySite'!$R$24:$R$33)</x:f>
        <x:v>7.4000000000000057</x:v>
      </x:c>
      <x:c r="E16" s="80">
        <x:v>1.4000000000000057</x:v>
      </x:c>
      <x:c r="F16" s="80">
        <x:v>7.5</x:v>
      </x:c>
      <x:c r="G16" s="80">
        <x:v>4</x:v>
      </x:c>
      <x:c r="H16" s="80">
        <x:v>2.7000000000000028</x:v>
      </x:c>
      <x:c r="I16" s="80">
        <x:v>0.59999999999999432</x:v>
      </x:c>
      <x:c r="J16" s="80">
        <x:v>2.2999999999999972</x:v>
      </x:c>
      <x:c r="K16" s="80">
        <x:v>6.7000000000000028</x:v>
      </x:c>
      <x:c r="L16" s="80">
        <x:v>5.0999999999999943</x:v>
      </x:c>
      <x:c r="M16" s="73">
        <x:v>6.5</x:v>
      </x:c>
      <x:c r="O16" s="20" t="s">
        <x:v>108</x:v>
      </x:c>
    </x:row>
    <x:row r="17" spans="1:16" x14ac:dyDescent="0.25">
      <x:c r="A17" s="7">
        <x:f t="shared" si="0"/>
        <x:v>7</x:v>
      </x:c>
    </x:row>
    <x:row r="18" spans="1:16" x14ac:dyDescent="0.25">
      <x:c r="A18" s="7">
        <x:f t="shared" si="0"/>
        <x:v>8</x:v>
      </x:c>
      <x:c r="B18" s="11" t="s">
        <x:v>43</x:v>
      </x:c>
      <x:c r="C18" s="12"/>
      <x:c r="D18" s="13"/>
      <x:c r="E18" s="13"/>
      <x:c r="F18" s="13"/>
      <x:c r="G18" s="13"/>
      <x:c r="H18" s="13"/>
      <x:c r="I18" s="13"/>
      <x:c r="J18" s="13"/>
      <x:c r="K18" s="13"/>
      <x:c r="L18" s="13"/>
      <x:c r="M18" s="14"/>
    </x:row>
    <x:row r="19" spans="1:16" x14ac:dyDescent="0.25">
      <x:c r="A19" s="7">
        <x:f t="shared" si="0"/>
        <x:v>9</x:v>
      </x:c>
      <x:c r="B19" s="24"/>
      <x:c r="C19" s="152" t="s">
        <x:v>0</x:v>
      </x:c>
      <x:c r="D19" s="26">
        <x:f>+'Res Seasonal Weights'!F30</x:f>
        <x:v>1.2E-2</x:v>
      </x:c>
      <x:c r="E19" s="26">
        <x:f>+'Res Seasonal Weights'!F36</x:f>
        <x:v>4.8000000000000001E-2</x:v>
      </x:c>
      <x:c r="F19" s="26">
        <x:f>+'Res Seasonal Weights'!F27</x:f>
        <x:v>0.70199999999999996</x:v>
      </x:c>
      <x:c r="G19" s="26">
        <x:f>+'Res Seasonal Weights'!F32</x:f>
        <x:v>4.5999999999999999E-2</x:v>
      </x:c>
      <x:c r="H19" s="26">
        <x:f>+'Res Seasonal Weights'!F35</x:f>
        <x:v>3.5999999999999997E-2</x:v>
      </x:c>
      <x:c r="I19" s="26">
        <x:f>+'Res Seasonal Weights'!F29</x:f>
        <x:v>2.5999999999999999E-2</x:v>
      </x:c>
      <x:c r="J19" s="26">
        <x:f>+'Res Seasonal Weights'!F28</x:f>
        <x:v>5.3999999999999999E-2</x:v>
      </x:c>
      <x:c r="K19" s="26">
        <x:f>+'Res Seasonal Weights'!F31</x:f>
        <x:v>2.3E-2</x:v>
      </x:c>
      <x:c r="L19" s="26">
        <x:f>+'Res Seasonal Weights'!F33</x:f>
        <x:v>3.5999999999999997E-2</x:v>
      </x:c>
      <x:c r="M19" s="27">
        <x:f>+'Res Seasonal Weights'!F34</x:f>
        <x:v>1.7999999999999999E-2</x:v>
      </x:c>
      <x:c r="O19" s="20" t="s">
        <x:v>21</x:v>
      </x:c>
    </x:row>
    <x:row r="20" spans="1:16" x14ac:dyDescent="0.25">
      <x:c r="A20" s="7"/>
    </x:row>
    <x:row r="21" spans="1:16" x14ac:dyDescent="0.25">
      <x:c r="A21" s="7"/>
      <x:c r="B21" s="10"/>
      <x:c r="G21" s="8"/>
    </x:row>
    <x:row r="22" spans="1:16" x14ac:dyDescent="0.25">
      <x:c r="A22" s="7">
        <x:f>+A19+1</x:f>
        <x:v>10</x:v>
      </x:c>
      <x:c r="B22" s="11" t="s">
        <x:v>101</x:v>
      </x:c>
      <x:c r="C22" s="12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4"/>
    </x:row>
    <x:row r="23" spans="1:16" x14ac:dyDescent="0.25">
      <x:c r="A23" s="7">
        <x:f>+A22+1</x:f>
        <x:v>11</x:v>
      </x:c>
      <x:c r="B23" s="28"/>
      <x:c r="C23" s="153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1"/>
    </x:row>
    <x:row r="24" spans="1:16" ht="31.5" x14ac:dyDescent="0.25">
      <x:c r="A24" s="7">
        <x:f>+A23+1</x:f>
        <x:v>12</x:v>
      </x:c>
      <x:c r="B24" s="15" t="s">
        <x:v>13</x:v>
      </x:c>
      <x:c r="C24" s="16" t="s">
        <x:v>0</x:v>
      </x:c>
      <x:c r="D24" s="102" t="str">
        <x:f t="array" ref="D24:M24">TRANSPOSE('[4]July 14 24 bySite'!$B$11:$B$20)</x:f>
        <x:v>Abilene</x:v>
      </x:c>
      <x:c r="E24" s="102" t="str">
        <x:v>Austin</x:v>
      </x:c>
      <x:c r="F24" s="102" t="str">
        <x:v>Dallas-Ft. Worth</x:v>
      </x:c>
      <x:c r="G24" s="102" t="str">
        <x:v>Kileen-Temple</x:v>
      </x:c>
      <x:c r="H24" s="102" t="str">
        <x:v>Longview</x:v>
      </x:c>
      <x:c r="I24" s="102" t="str">
        <x:v>Lufkin</x:v>
      </x:c>
      <x:c r="J24" s="102" t="str">
        <x:v>Midland-Odessa</x:v>
      </x:c>
      <x:c r="K24" s="102" t="str">
        <x:v>Sherman-Denison</x:v>
      </x:c>
      <x:c r="L24" s="102" t="str">
        <x:v>Waco</x:v>
      </x:c>
      <x:c r="M24" s="103" t="str">
        <x:v>Wichita Falls</x:v>
      </x:c>
      <x:c r="N24" s="49" t="s">
        <x:v>100</x:v>
      </x:c>
    </x:row>
    <x:row r="25" spans="1:16" x14ac:dyDescent="0.25">
      <x:c r="A25" s="7">
        <x:f t="shared" ref="A25:A28" si="1">+A24+1</x:f>
        <x:v>13</x:v>
      </x:c>
      <x:c r="B25" s="17">
        <x:f>+B13</x:f>
        <x:v>44391</x:v>
      </x:c>
      <x:c r="C25" s="18" t="str">
        <x:f>+C13</x:f>
        <x:v>Base65</x:v>
      </x:c>
      <x:c r="D25" s="19">
        <x:f>+D13*D$19</x:f>
        <x:v>0.26880000000000009</x:v>
      </x:c>
      <x:c r="E25" s="19">
        <x:f t="shared" ref="E25:M28" si="2">+E13*E$19</x:f>
        <x:v>0.78720000000000034</x:v>
      </x:c>
      <x:c r="F25" s="19">
        <x:f t="shared" si="2"/>
        <x:v>15.794999999999998</x:v>
      </x:c>
      <x:c r="G25" s="19">
        <x:f t="shared" si="2"/>
        <x:v>0.874</x:v>
      </x:c>
      <x:c r="H25" s="19">
        <x:f t="shared" si="2"/>
        <x:v>0.6372000000000001</x:v>
      </x:c>
      <x:c r="I25" s="19">
        <x:f t="shared" si="2"/>
        <x:v>0.40559999999999985</x:v>
      </x:c>
      <x:c r="J25" s="19">
        <x:f t="shared" si="2"/>
        <x:v>0.93419999999999981</x:v>
      </x:c>
      <x:c r="K25" s="19">
        <x:f t="shared" si="2"/>
        <x:v>0.49910000000000004</x:v>
      </x:c>
      <x:c r="L25" s="19">
        <x:f t="shared" si="2"/>
        <x:v>0.72359999999999969</x:v>
      </x:c>
      <x:c r="M25" s="19">
        <x:f t="shared" si="2"/>
        <x:v>0.38699999999999996</x:v>
      </x:c>
      <x:c r="N25" s="173">
        <x:f>SUM(D25:M25)</x:f>
        <x:v>21.311699999999998</x:v>
      </x:c>
      <x:c r="O25" s="32" t="s">
        <x:v>22</x:v>
      </x:c>
    </x:row>
    <x:row r="26" spans="1:16" x14ac:dyDescent="0.25">
      <x:c r="A26" s="7">
        <x:f t="shared" si="1"/>
        <x:v>14</x:v>
      </x:c>
      <x:c r="B26" s="17">
        <x:f>+B14</x:f>
        <x:v>44391</x:v>
      </x:c>
      <x:c r="C26" s="18" t="str">
        <x:f t="shared" ref="C26:C28" si="3">+C14</x:f>
        <x:v>Base70</x:v>
      </x:c>
      <x:c r="D26" s="19">
        <x:f>+D14*D$19</x:f>
        <x:v>0.20880000000000007</x:v>
      </x:c>
      <x:c r="E26" s="19">
        <x:f t="shared" si="2"/>
        <x:v>0.54720000000000024</x:v>
      </x:c>
      <x:c r="F26" s="19">
        <x:f t="shared" si="2"/>
        <x:v>12.285</x:v>
      </x:c>
      <x:c r="G26" s="19">
        <x:f t="shared" si="2"/>
        <x:v>0.64400000000000002</x:v>
      </x:c>
      <x:c r="H26" s="19">
        <x:f t="shared" si="2"/>
        <x:v>0.45720000000000005</x:v>
      </x:c>
      <x:c r="I26" s="19">
        <x:f>+I14*I$19</x:f>
        <x:v>0.27559999999999985</x:v>
      </x:c>
      <x:c r="J26" s="19">
        <x:f t="shared" si="2"/>
        <x:v>0.66419999999999979</x:v>
      </x:c>
      <x:c r="K26" s="19">
        <x:f t="shared" si="2"/>
        <x:v>0.38410000000000005</x:v>
      </x:c>
      <x:c r="L26" s="19">
        <x:f t="shared" si="2"/>
        <x:v>0.54359999999999975</x:v>
      </x:c>
      <x:c r="M26" s="19">
        <x:f t="shared" si="2"/>
        <x:v>0.29699999999999999</x:v>
      </x:c>
      <x:c r="N26" s="173">
        <x:f>SUM(D26:M26)</x:f>
        <x:v>16.306699999999999</x:v>
      </x:c>
      <x:c r="O26" s="32" t="s">
        <x:v>23</x:v>
      </x:c>
    </x:row>
    <x:row r="27" spans="1:16" x14ac:dyDescent="0.25">
      <x:c r="A27" s="7">
        <x:f t="shared" si="1"/>
        <x:v>15</x:v>
      </x:c>
      <x:c r="B27" s="17">
        <x:f>+B15</x:f>
        <x:v>44391</x:v>
      </x:c>
      <x:c r="C27" s="18" t="str">
        <x:f t="shared" si="3"/>
        <x:v>Base75</x:v>
      </x:c>
      <x:c r="D27" s="19">
        <x:f>+D15*D$19</x:f>
        <x:v>0.14880000000000007</x:v>
      </x:c>
      <x:c r="E27" s="19">
        <x:f t="shared" si="2"/>
        <x:v>0.30720000000000031</x:v>
      </x:c>
      <x:c r="F27" s="19">
        <x:f t="shared" si="2"/>
        <x:v>8.7749999999999986</x:v>
      </x:c>
      <x:c r="G27" s="19">
        <x:f t="shared" si="2"/>
        <x:v>0.41399999999999998</x:v>
      </x:c>
      <x:c r="H27" s="19">
        <x:f t="shared" si="2"/>
        <x:v>0.27720000000000006</x:v>
      </x:c>
      <x:c r="I27" s="19">
        <x:f t="shared" si="2"/>
        <x:v>0.14559999999999984</x:v>
      </x:c>
      <x:c r="J27" s="19">
        <x:f t="shared" si="2"/>
        <x:v>0.39419999999999983</x:v>
      </x:c>
      <x:c r="K27" s="19">
        <x:f t="shared" si="2"/>
        <x:v>0.26910000000000006</x:v>
      </x:c>
      <x:c r="L27" s="19">
        <x:f t="shared" si="2"/>
        <x:v>0.36359999999999976</x:v>
      </x:c>
      <x:c r="M27" s="19">
        <x:f>+M15*M$19</x:f>
        <x:v>0.20699999999999999</x:v>
      </x:c>
      <x:c r="N27" s="173">
        <x:f>SUM(D27:M27)</x:f>
        <x:v>11.301699999999999</x:v>
      </x:c>
      <x:c r="O27" s="32" t="s">
        <x:v>24</x:v>
      </x:c>
    </x:row>
    <x:row r="28" spans="1:16" x14ac:dyDescent="0.25">
      <x:c r="A28" s="7">
        <x:f t="shared" si="1"/>
        <x:v>16</x:v>
      </x:c>
      <x:c r="B28" s="21">
        <x:f>+B16</x:f>
        <x:v>44391</x:v>
      </x:c>
      <x:c r="C28" s="22" t="str">
        <x:f t="shared" si="3"/>
        <x:v>Base80</x:v>
      </x:c>
      <x:c r="D28" s="23">
        <x:f>+D16*D$19</x:f>
        <x:v>8.8800000000000073E-2</x:v>
      </x:c>
      <x:c r="E28" s="23">
        <x:f t="shared" si="2"/>
        <x:v>6.7200000000000273E-2</x:v>
      </x:c>
      <x:c r="F28" s="23">
        <x:f t="shared" si="2"/>
        <x:v>5.2649999999999997</x:v>
      </x:c>
      <x:c r="G28" s="23">
        <x:f t="shared" si="2"/>
        <x:v>0.184</x:v>
      </x:c>
      <x:c r="H28" s="23">
        <x:f t="shared" si="2"/>
        <x:v>9.7200000000000092E-2</x:v>
      </x:c>
      <x:c r="I28" s="23">
        <x:f t="shared" si="2"/>
        <x:v>1.5599999999999852E-2</x:v>
      </x:c>
      <x:c r="J28" s="23">
        <x:f t="shared" si="2"/>
        <x:v>0.12419999999999984</x:v>
      </x:c>
      <x:c r="K28" s="23">
        <x:f t="shared" si="2"/>
        <x:v>0.15410000000000007</x:v>
      </x:c>
      <x:c r="L28" s="23">
        <x:f>+L16*L$19</x:f>
        <x:v>0.18359999999999979</x:v>
      </x:c>
      <x:c r="M28" s="23">
        <x:f t="shared" si="2"/>
        <x:v>0.11699999999999999</x:v>
      </x:c>
      <x:c r="N28" s="174">
        <x:f>SUM(D28:M28)</x:f>
        <x:v>6.2967000000000004</x:v>
      </x:c>
      <x:c r="O28" s="32" t="s">
        <x:v>109</x:v>
      </x:c>
      <x:c r="P28" s="134"/>
    </x:row>
    <x:row r="29" spans="1:16" x14ac:dyDescent="0.25">
      <x:c r="O29" s="30"/>
    </x:row>
  </x:sheetData>
  <x:mergeCells count="7">
    <x:mergeCell ref="B8:O8"/>
    <x:mergeCell ref="B1:O1"/>
    <x:mergeCell ref="B2:O2"/>
    <x:mergeCell ref="B3:O3"/>
    <x:mergeCell ref="B4:O4"/>
    <x:mergeCell ref="B5:O5"/>
    <x:mergeCell ref="B6:O6"/>
  </x:mergeCells>
  <x:printOptions horizontalCentered="1"/>
  <x:pageMargins left="1.5" right="0.5" top="1.5" bottom="1" header="1" footer="0.5"/>
  <x:pageSetup scale="65" firstPageNumber="3" orientation="portrait" r:id="rId1"/>
  <x:headerFooter alignWithMargins="0">
    <x:oddHeader>&amp;RSchedule II-H-5.2
Page &amp;P of 37</x:oddHeader>
  </x:headerFooter>
  <x:drawing r:id="rId2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8">
    <x:pageSetUpPr fitToPage="1"/>
  </x:sheetPr>
  <x:dimension ref="A1:O29"/>
  <x:sheetViews>
    <x:sheetView zoomScaleNormal="100" zoomScaleSheetLayoutView="100" workbookViewId="0"/>
  </x:sheetViews>
  <x:sheetFormatPr defaultColWidth="9.08984375" defaultRowHeight="12.5" x14ac:dyDescent="0.25"/>
  <x:cols>
    <x:col min="1" max="2" width="9.08984375" style="9"/>
    <x:col min="3" max="3" width="9.08984375" style="7"/>
    <x:col min="4" max="4" width="8.6328125" style="9" customWidth="1"/>
    <x:col min="5" max="6" width="6.6328125" style="9" customWidth="1"/>
    <x:col min="7" max="7" width="9.6328125" style="9" customWidth="1"/>
    <x:col min="8" max="8" width="9.08984375" style="9"/>
    <x:col min="9" max="10" width="8.6328125" style="9" bestFit="1" customWidth="1"/>
    <x:col min="11" max="11" width="10.54296875" style="9" customWidth="1"/>
    <x:col min="12" max="12" width="7.36328125" style="9" customWidth="1"/>
    <x:col min="13" max="13" width="10" style="9" customWidth="1"/>
    <x:col min="14" max="14" width="11.08984375" style="9" customWidth="1"/>
    <x:col min="15" max="16384" width="9.08984375" style="9"/>
  </x:cols>
  <x:sheetData>
    <x:row r="1" spans="1:15" customFormat="1" ht="15.5" x14ac:dyDescent="0.35">
      <x:c r="A1" s="1"/>
      <x:c r="B1" s="209" t="str">
        <x:f>+RES!B1</x:f>
        <x:v xml:space="preserve">PUC DOCKET NO. </x:v>
      </x:c>
      <x:c r="C1" s="209"/>
      <x:c r="D1" s="209"/>
      <x:c r="E1" s="209"/>
      <x:c r="F1" s="209"/>
      <x:c r="G1" s="212"/>
      <x:c r="H1" s="212"/>
      <x:c r="I1" s="212"/>
      <x:c r="J1" s="212"/>
      <x:c r="K1" s="212"/>
      <x:c r="L1" s="212"/>
      <x:c r="M1" s="212"/>
      <x:c r="N1" s="212"/>
      <x:c r="O1" s="212"/>
    </x:row>
    <x:row r="2" spans="1:15" customFormat="1" ht="15.5" x14ac:dyDescent="0.35">
      <x:c r="A2" s="1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</x:row>
    <x:row r="3" spans="1:15" customFormat="1" ht="15.5" x14ac:dyDescent="0.35">
      <x:c r="A3" s="1"/>
      <x:c r="B3" s="209" t="str">
        <x:f>+RES!B3</x:f>
        <x:v>ADJUSTED WEATHER STATION DATA</x:v>
      </x:c>
      <x:c r="C3" s="209"/>
      <x:c r="D3" s="209"/>
      <x:c r="E3" s="209"/>
      <x:c r="F3" s="209"/>
      <x:c r="G3" s="212"/>
      <x:c r="H3" s="212"/>
      <x:c r="I3" s="212"/>
      <x:c r="J3" s="212"/>
      <x:c r="K3" s="212"/>
      <x:c r="L3" s="212"/>
      <x:c r="M3" s="212"/>
      <x:c r="N3" s="212"/>
      <x:c r="O3" s="212"/>
    </x:row>
    <x:row r="4" spans="1:15" customFormat="1" ht="15.5" x14ac:dyDescent="0.35">
      <x:c r="A4" s="1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</x:row>
    <x:row r="5" spans="1:15" customFormat="1" ht="15.5" x14ac:dyDescent="0.35">
      <x:c r="A5" s="1"/>
      <x:c r="B5" s="209"/>
      <x:c r="C5" s="209"/>
      <x:c r="D5" s="209"/>
      <x:c r="E5" s="209"/>
      <x:c r="F5" s="209"/>
      <x:c r="G5" s="212"/>
      <x:c r="H5" s="212"/>
      <x:c r="I5" s="212"/>
      <x:c r="J5" s="212"/>
      <x:c r="K5" s="212"/>
      <x:c r="L5" s="212"/>
      <x:c r="M5" s="212"/>
      <x:c r="N5" s="212"/>
      <x:c r="O5" s="212"/>
    </x:row>
    <x:row r="6" spans="1:15" ht="15.5" x14ac:dyDescent="0.35">
      <x:c r="B6" s="213" t="str">
        <x:f>+RES!B6</x:f>
        <x:v>SPONSOR: D. E. NELSON</x:v>
      </x:c>
      <x:c r="C6" s="209"/>
      <x:c r="D6" s="209"/>
      <x:c r="E6" s="209"/>
      <x:c r="F6" s="209"/>
      <x:c r="G6" s="209"/>
      <x:c r="H6" s="209"/>
      <x:c r="I6" s="209"/>
      <x:c r="J6" s="209"/>
      <x:c r="K6" s="209"/>
      <x:c r="L6" s="209"/>
      <x:c r="M6" s="209"/>
      <x:c r="N6" s="209"/>
      <x:c r="O6" s="209"/>
    </x:row>
    <x:row r="7" spans="1:15" ht="15.5" x14ac:dyDescent="0.35">
      <x:c r="B7" s="96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spans="1:15" ht="15.5" x14ac:dyDescent="0.35">
      <x:c r="B8" s="209" t="s">
        <x:v>153</x:v>
      </x:c>
      <x:c r="C8" s="209"/>
      <x:c r="D8" s="209"/>
      <x:c r="E8" s="209"/>
      <x:c r="F8" s="209"/>
      <x:c r="G8" s="212"/>
      <x:c r="H8" s="212"/>
      <x:c r="I8" s="212"/>
      <x:c r="J8" s="212"/>
      <x:c r="K8" s="212"/>
      <x:c r="L8" s="212"/>
      <x:c r="M8" s="212"/>
      <x:c r="N8" s="212"/>
      <x:c r="O8" s="212"/>
    </x:row>
    <x:row r="9" spans="1:15" ht="15.5" x14ac:dyDescent="0.35">
      <x:c r="A9" s="1" t="s">
        <x:v>6</x:v>
      </x:c>
      <x:c r="B9" s="96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spans="1:15" x14ac:dyDescent="0.25">
      <x:c r="A10" s="5" t="s">
        <x:v>8</x:v>
      </x:c>
    </x:row>
    <x:row r="11" spans="1:15" x14ac:dyDescent="0.25">
      <x:c r="A11" s="7">
        <x:v>1</x:v>
      </x:c>
      <x:c r="B11" s="11" t="s">
        <x:v>46</x:v>
      </x:c>
      <x:c r="C11" s="12"/>
      <x:c r="D11" s="13"/>
      <x:c r="E11" s="13"/>
      <x:c r="F11" s="13"/>
      <x:c r="G11" s="13"/>
      <x:c r="H11" s="13"/>
      <x:c r="I11" s="13"/>
      <x:c r="J11" s="13"/>
      <x:c r="K11" s="13"/>
      <x:c r="L11" s="13"/>
      <x:c r="M11" s="14"/>
    </x:row>
    <x:row r="12" spans="1:15" ht="31.5" x14ac:dyDescent="0.25">
      <x:c r="A12" s="7">
        <x:f t="shared" ref="A12:A19" si="0">+A11+1</x:f>
        <x:v>2</x:v>
      </x:c>
      <x:c r="B12" s="15" t="s">
        <x:v>13</x:v>
      </x:c>
      <x:c r="C12" s="69" t="s">
        <x:v>1</x:v>
      </x:c>
      <x:c r="D12" s="102" t="str">
        <x:f t="array" ref="D12:M12">TRANSPOSE('[4]January 21 23 bySite'!$B$11:$B$20)</x:f>
        <x:v>Abilene</x:v>
      </x:c>
      <x:c r="E12" s="102" t="str">
        <x:v>Austin</x:v>
      </x:c>
      <x:c r="F12" s="102" t="str">
        <x:v>Dallas-Ft. Worth</x:v>
      </x:c>
      <x:c r="G12" s="102" t="str">
        <x:v>Kileen-Temple</x:v>
      </x:c>
      <x:c r="H12" s="102" t="str">
        <x:v>Longview</x:v>
      </x:c>
      <x:c r="I12" s="102" t="str">
        <x:v>Lufkin</x:v>
      </x:c>
      <x:c r="J12" s="102" t="str">
        <x:v>Midland-Odessa</x:v>
      </x:c>
      <x:c r="K12" s="102" t="str">
        <x:v>Sherman-Denison</x:v>
      </x:c>
      <x:c r="L12" s="102" t="str">
        <x:v>Waco</x:v>
      </x:c>
      <x:c r="M12" s="103" t="str">
        <x:v>Wichita Falls</x:v>
      </x:c>
    </x:row>
    <x:row r="13" spans="1:15" x14ac:dyDescent="0.25">
      <x:c r="A13" s="7">
        <x:f t="shared" si="0"/>
        <x:v>3</x:v>
      </x:c>
      <x:c r="B13" s="17">
        <x:v>44947</x:v>
      </x:c>
      <x:c r="C13" s="18" t="s">
        <x:v>131</x:v>
      </x:c>
      <x:c r="D13" s="79">
        <x:f t="array" ref="D13:M13">TRANSPOSE('[4]January 21 23 bySite'!$H$24:$H$33)</x:f>
        <x:v>0</x:v>
      </x:c>
      <x:c r="E13" s="79">
        <x:v>0</x:v>
      </x:c>
      <x:c r="F13" s="79">
        <x:v>0</x:v>
      </x:c>
      <x:c r="G13" s="79">
        <x:v>0</x:v>
      </x:c>
      <x:c r="H13" s="79">
        <x:v>0</x:v>
      </x:c>
      <x:c r="I13" s="79">
        <x:v>0</x:v>
      </x:c>
      <x:c r="J13" s="79">
        <x:v>0.10000000000000142</x:v>
      </x:c>
      <x:c r="K13" s="79">
        <x:v>0</x:v>
      </x:c>
      <x:c r="L13" s="79">
        <x:v>0</x:v>
      </x:c>
      <x:c r="M13" s="90">
        <x:v>0</x:v>
      </x:c>
      <x:c r="O13" s="20" t="s">
        <x:v>15</x:v>
      </x:c>
    </x:row>
    <x:row r="14" spans="1:15" x14ac:dyDescent="0.25">
      <x:c r="A14" s="7">
        <x:f t="shared" si="0"/>
        <x:v>4</x:v>
      </x:c>
      <x:c r="B14" s="17">
        <x:f>+B13</x:f>
        <x:v>44947</x:v>
      </x:c>
      <x:c r="C14" s="18" t="s">
        <x:v>44</x:v>
      </x:c>
      <x:c r="D14" s="79">
        <x:f t="array" ref="D14:M14">TRANSPOSE('[4]January 21 23 bySite'!$I$24:$I$33)</x:f>
        <x:v>3</x:v>
      </x:c>
      <x:c r="E14" s="79">
        <x:v>3.7999999999999972</x:v>
      </x:c>
      <x:c r="F14" s="79">
        <x:v>4.6000000000000014</x:v>
      </x:c>
      <x:c r="G14" s="79">
        <x:v>2.6000000000000014</x:v>
      </x:c>
      <x:c r="H14" s="79">
        <x:v>7.2000000000000028</x:v>
      </x:c>
      <x:c r="I14" s="79">
        <x:v>5.3999999999999986</x:v>
      </x:c>
      <x:c r="J14" s="79">
        <x:v>10.100000000000001</x:v>
      </x:c>
      <x:c r="K14" s="79">
        <x:v>6.7999999999999972</x:v>
      </x:c>
      <x:c r="L14" s="79">
        <x:v>6.2000000000000028</x:v>
      </x:c>
      <x:c r="M14" s="90">
        <x:v>4.2999999999999972</x:v>
      </x:c>
      <x:c r="O14" s="20" t="s">
        <x:v>17</x:v>
      </x:c>
    </x:row>
    <x:row r="15" spans="1:15" x14ac:dyDescent="0.25">
      <x:c r="A15" s="7">
        <x:f t="shared" si="0"/>
        <x:v>5</x:v>
      </x:c>
      <x:c r="B15" s="17">
        <x:f>+B13</x:f>
        <x:v>44947</x:v>
      </x:c>
      <x:c r="C15" s="18" t="s">
        <x:v>45</x:v>
      </x:c>
      <x:c r="D15" s="79">
        <x:f t="array" ref="D15:M15">TRANSPOSE('[4]January 21 23 bySite'!$J$24:$J$33)</x:f>
        <x:v>8</x:v>
      </x:c>
      <x:c r="E15" s="79">
        <x:v>8.7999999999999972</x:v>
      </x:c>
      <x:c r="F15" s="79">
        <x:v>9.6000000000000014</x:v>
      </x:c>
      <x:c r="G15" s="79">
        <x:v>7.6000000000000014</x:v>
      </x:c>
      <x:c r="H15" s="79">
        <x:v>12.200000000000003</x:v>
      </x:c>
      <x:c r="I15" s="79">
        <x:v>10.399999999999999</x:v>
      </x:c>
      <x:c r="J15" s="79">
        <x:v>15.100000000000001</x:v>
      </x:c>
      <x:c r="K15" s="79">
        <x:v>11.799999999999997</x:v>
      </x:c>
      <x:c r="L15" s="79">
        <x:v>11.200000000000003</x:v>
      </x:c>
      <x:c r="M15" s="90">
        <x:v>9.2999999999999972</x:v>
      </x:c>
      <x:c r="O15" s="20" t="s">
        <x:v>19</x:v>
      </x:c>
    </x:row>
    <x:row r="16" spans="1:15" x14ac:dyDescent="0.25">
      <x:c r="A16" s="7">
        <x:f t="shared" si="0"/>
        <x:v>6</x:v>
      </x:c>
      <x:c r="B16" s="21">
        <x:f>+B13</x:f>
        <x:v>44947</x:v>
      </x:c>
      <x:c r="C16" s="22" t="s">
        <x:v>14</x:v>
      </x:c>
      <x:c r="D16" s="80">
        <x:f t="array" ref="D16:M16">TRANSPOSE('[4]January 21 23 bySite'!$K$24:$K$33)</x:f>
        <x:v>13</x:v>
      </x:c>
      <x:c r="E16" s="80">
        <x:v>13.799999999999997</x:v>
      </x:c>
      <x:c r="F16" s="80">
        <x:v>14.600000000000001</x:v>
      </x:c>
      <x:c r="G16" s="80">
        <x:v>12.600000000000001</x:v>
      </x:c>
      <x:c r="H16" s="80">
        <x:v>17.200000000000003</x:v>
      </x:c>
      <x:c r="I16" s="80">
        <x:v>15.399999999999999</x:v>
      </x:c>
      <x:c r="J16" s="80">
        <x:v>20.100000000000001</x:v>
      </x:c>
      <x:c r="K16" s="80">
        <x:v>16.799999999999997</x:v>
      </x:c>
      <x:c r="L16" s="80">
        <x:v>16.200000000000003</x:v>
      </x:c>
      <x:c r="M16" s="73">
        <x:v>14.299999999999997</x:v>
      </x:c>
      <x:c r="O16" s="135" t="s">
        <x:v>108</x:v>
      </x:c>
    </x:row>
    <x:row r="17" spans="1:15" x14ac:dyDescent="0.25">
      <x:c r="A17" s="7">
        <x:f t="shared" si="0"/>
        <x:v>7</x:v>
      </x:c>
    </x:row>
    <x:row r="18" spans="1:15" x14ac:dyDescent="0.25">
      <x:c r="A18" s="7">
        <x:f t="shared" si="0"/>
        <x:v>8</x:v>
      </x:c>
      <x:c r="B18" s="11" t="s">
        <x:v>20</x:v>
      </x:c>
      <x:c r="C18" s="12"/>
      <x:c r="D18" s="13"/>
      <x:c r="E18" s="13"/>
      <x:c r="F18" s="13"/>
      <x:c r="G18" s="13"/>
      <x:c r="H18" s="13"/>
      <x:c r="I18" s="13"/>
      <x:c r="J18" s="13"/>
      <x:c r="K18" s="13"/>
      <x:c r="L18" s="13"/>
      <x:c r="M18" s="14"/>
    </x:row>
    <x:row r="19" spans="1:15" x14ac:dyDescent="0.25">
      <x:c r="A19" s="7">
        <x:f t="shared" si="0"/>
        <x:v>9</x:v>
      </x:c>
      <x:c r="B19" s="24"/>
      <x:c r="C19" s="25" t="s">
        <x:v>1</x:v>
      </x:c>
      <x:c r="D19" s="26">
        <x:f>+'Res Seasonal Weights'!D30</x:f>
        <x:v>1.4E-2</x:v>
      </x:c>
      <x:c r="E19" s="26">
        <x:f>+'Res Seasonal Weights'!D36</x:f>
        <x:v>0.04</x:v>
      </x:c>
      <x:c r="F19" s="26">
        <x:f>+'Res Seasonal Weights'!D27</x:f>
        <x:v>0.68600000000000005</x:v>
      </x:c>
      <x:c r="G19" s="26">
        <x:f>+'Res Seasonal Weights'!D32</x:f>
        <x:v>5.1999999999999998E-2</x:v>
      </x:c>
      <x:c r="H19" s="26">
        <x:f>+'Res Seasonal Weights'!D35</x:f>
        <x:v>3.9E-2</x:v>
      </x:c>
      <x:c r="I19" s="26">
        <x:f>+'Res Seasonal Weights'!D29</x:f>
        <x:v>2.8000000000000001E-2</x:v>
      </x:c>
      <x:c r="J19" s="26">
        <x:f>+'Res Seasonal Weights'!D28</x:f>
        <x:v>5.6000000000000001E-2</x:v>
      </x:c>
      <x:c r="K19" s="26">
        <x:f>+'Res Seasonal Weights'!D31</x:f>
        <x:v>2.7E-2</x:v>
      </x:c>
      <x:c r="L19" s="26">
        <x:f>+'Res Seasonal Weights'!D33</x:f>
        <x:v>3.9E-2</x:v>
      </x:c>
      <x:c r="M19" s="27">
        <x:f>+'Res Seasonal Weights'!D34</x:f>
        <x:v>1.9E-2</x:v>
      </x:c>
      <x:c r="O19" s="20" t="s">
        <x:v>21</x:v>
      </x:c>
    </x:row>
    <x:row r="20" spans="1:15" x14ac:dyDescent="0.25">
      <x:c r="A20" s="7"/>
    </x:row>
    <x:row r="21" spans="1:15" x14ac:dyDescent="0.25">
      <x:c r="A21" s="7"/>
      <x:c r="B21" s="10"/>
      <x:c r="G21" s="8"/>
    </x:row>
    <x:row r="22" spans="1:15" x14ac:dyDescent="0.25">
      <x:c r="A22" s="7">
        <x:f>+A19+1</x:f>
        <x:v>10</x:v>
      </x:c>
      <x:c r="B22" s="11" t="s">
        <x:v>102</x:v>
      </x:c>
      <x:c r="C22" s="12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4"/>
    </x:row>
    <x:row r="23" spans="1:15" x14ac:dyDescent="0.25">
      <x:c r="A23" s="7">
        <x:f t="shared" ref="A23:A28" si="1">+A22+1</x:f>
        <x:v>11</x:v>
      </x:c>
      <x:c r="B23" s="28"/>
      <x:c r="C23" s="29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1"/>
    </x:row>
    <x:row r="24" spans="1:15" ht="31.5" x14ac:dyDescent="0.25">
      <x:c r="A24" s="7">
        <x:f t="shared" si="1"/>
        <x:v>12</x:v>
      </x:c>
      <x:c r="B24" s="15" t="s">
        <x:v>13</x:v>
      </x:c>
      <x:c r="C24" s="16" t="s">
        <x:v>1</x:v>
      </x:c>
      <x:c r="D24" s="102" t="str">
        <x:f t="array" ref="D24:M24">TRANSPOSE('[4]January 21 23 bySite'!$B$11:$B$20)</x:f>
        <x:v>Abilene</x:v>
      </x:c>
      <x:c r="E24" s="102" t="str">
        <x:v>Austin</x:v>
      </x:c>
      <x:c r="F24" s="102" t="str">
        <x:v>Dallas-Ft. Worth</x:v>
      </x:c>
      <x:c r="G24" s="102" t="str">
        <x:v>Kileen-Temple</x:v>
      </x:c>
      <x:c r="H24" s="102" t="str">
        <x:v>Longview</x:v>
      </x:c>
      <x:c r="I24" s="102" t="str">
        <x:v>Lufkin</x:v>
      </x:c>
      <x:c r="J24" s="102" t="str">
        <x:v>Midland-Odessa</x:v>
      </x:c>
      <x:c r="K24" s="102" t="str">
        <x:v>Sherman-Denison</x:v>
      </x:c>
      <x:c r="L24" s="102" t="str">
        <x:v>Waco</x:v>
      </x:c>
      <x:c r="M24" s="103" t="str">
        <x:v>Wichita Falls</x:v>
      </x:c>
      <x:c r="N24" s="49" t="s">
        <x:v>100</x:v>
      </x:c>
    </x:row>
    <x:row r="25" spans="1:15" x14ac:dyDescent="0.25">
      <x:c r="A25" s="7">
        <x:f t="shared" si="1"/>
        <x:v>13</x:v>
      </x:c>
      <x:c r="B25" s="17">
        <x:f t="shared" ref="B25:C26" si="2">+B13</x:f>
        <x:v>44947</x:v>
      </x:c>
      <x:c r="C25" s="18" t="str">
        <x:f t="shared" si="2"/>
        <x:v>Base45</x:v>
      </x:c>
      <x:c r="D25" s="19">
        <x:f>+D13*D$19</x:f>
        <x:v>0</x:v>
      </x:c>
      <x:c r="E25" s="19">
        <x:f t="shared" ref="E25:M25" si="3">+E13*E$19</x:f>
        <x:v>0</x:v>
      </x:c>
      <x:c r="F25" s="19">
        <x:f>+F13*F$19</x:f>
        <x:v>0</x:v>
      </x:c>
      <x:c r="G25" s="19">
        <x:f t="shared" si="3"/>
        <x:v>0</x:v>
      </x:c>
      <x:c r="H25" s="19">
        <x:f t="shared" si="3"/>
        <x:v>0</x:v>
      </x:c>
      <x:c r="I25" s="19">
        <x:f t="shared" si="3"/>
        <x:v>0</x:v>
      </x:c>
      <x:c r="J25" s="19">
        <x:f t="shared" si="3"/>
        <x:v>5.6000000000000797E-3</x:v>
      </x:c>
      <x:c r="K25" s="19">
        <x:f t="shared" si="3"/>
        <x:v>0</x:v>
      </x:c>
      <x:c r="L25" s="19">
        <x:f t="shared" si="3"/>
        <x:v>0</x:v>
      </x:c>
      <x:c r="M25" s="19">
        <x:f t="shared" si="3"/>
        <x:v>0</x:v>
      </x:c>
      <x:c r="N25" s="173">
        <x:f>SUM(D25:M25)</x:f>
        <x:v>5.6000000000000797E-3</x:v>
      </x:c>
      <x:c r="O25" s="32" t="s">
        <x:v>22</x:v>
      </x:c>
    </x:row>
    <x:row r="26" spans="1:15" x14ac:dyDescent="0.25">
      <x:c r="A26" s="7">
        <x:f t="shared" si="1"/>
        <x:v>14</x:v>
      </x:c>
      <x:c r="B26" s="17">
        <x:f t="shared" si="2"/>
        <x:v>44947</x:v>
      </x:c>
      <x:c r="C26" s="18" t="str">
        <x:f t="shared" si="2"/>
        <x:v>Base55</x:v>
      </x:c>
      <x:c r="D26" s="19">
        <x:f>+D14*D$19</x:f>
        <x:v>4.2000000000000003E-2</x:v>
      </x:c>
      <x:c r="E26" s="19">
        <x:f>+E14*E$19</x:f>
        <x:v>0.15199999999999989</x:v>
      </x:c>
      <x:c r="F26" s="19">
        <x:f>+F14*F$19</x:f>
        <x:v>3.1556000000000011</x:v>
      </x:c>
      <x:c r="G26" s="19">
        <x:f t="shared" ref="G26:L26" si="4">+G14*G$19</x:f>
        <x:v>0.13520000000000007</x:v>
      </x:c>
      <x:c r="H26" s="19">
        <x:f t="shared" si="4"/>
        <x:v>0.28080000000000011</x:v>
      </x:c>
      <x:c r="I26" s="19">
        <x:f t="shared" si="4"/>
        <x:v>0.15119999999999997</x:v>
      </x:c>
      <x:c r="J26" s="19">
        <x:f t="shared" si="4"/>
        <x:v>0.5656000000000001</x:v>
      </x:c>
      <x:c r="K26" s="19">
        <x:f t="shared" si="4"/>
        <x:v>0.18359999999999993</x:v>
      </x:c>
      <x:c r="L26" s="19">
        <x:f t="shared" si="4"/>
        <x:v>0.2418000000000001</x:v>
      </x:c>
      <x:c r="M26" s="19">
        <x:f t="shared" ref="M26" si="5">+M14*M$19</x:f>
        <x:v>8.1699999999999939E-2</x:v>
      </x:c>
      <x:c r="N26" s="173">
        <x:f>SUM(D26:M26)</x:f>
        <x:v>4.9895000000000014</x:v>
      </x:c>
      <x:c r="O26" s="32" t="s">
        <x:v>23</x:v>
      </x:c>
    </x:row>
    <x:row r="27" spans="1:15" x14ac:dyDescent="0.25">
      <x:c r="A27" s="7">
        <x:f t="shared" si="1"/>
        <x:v>15</x:v>
      </x:c>
      <x:c r="B27" s="17">
        <x:f>+B15</x:f>
        <x:v>44947</x:v>
      </x:c>
      <x:c r="C27" s="18" t="str">
        <x:f t="shared" ref="C27:C28" si="6">+C15</x:f>
        <x:v>Base60</x:v>
      </x:c>
      <x:c r="D27" s="19">
        <x:f>+D15*D$19</x:f>
        <x:v>0.112</x:v>
      </x:c>
      <x:c r="E27" s="19">
        <x:f t="shared" ref="E27:L27" si="7">+E15*E$19</x:f>
        <x:v>0.35199999999999987</x:v>
      </x:c>
      <x:c r="F27" s="19">
        <x:f t="shared" si="7"/>
        <x:v>6.5856000000000012</x:v>
      </x:c>
      <x:c r="G27" s="19">
        <x:f t="shared" si="7"/>
        <x:v>0.39520000000000005</x:v>
      </x:c>
      <x:c r="H27" s="19">
        <x:f t="shared" si="7"/>
        <x:v>0.47580000000000011</x:v>
      </x:c>
      <x:c r="I27" s="19">
        <x:f t="shared" si="7"/>
        <x:v>0.29119999999999996</x:v>
      </x:c>
      <x:c r="J27" s="19">
        <x:f t="shared" si="7"/>
        <x:v>0.84560000000000013</x:v>
      </x:c>
      <x:c r="K27" s="19">
        <x:f t="shared" si="7"/>
        <x:v>0.31859999999999994</x:v>
      </x:c>
      <x:c r="L27" s="19">
        <x:f t="shared" si="7"/>
        <x:v>0.43680000000000013</x:v>
      </x:c>
      <x:c r="M27" s="19">
        <x:f>+M15*M$19</x:f>
        <x:v>0.17669999999999994</x:v>
      </x:c>
      <x:c r="N27" s="173">
        <x:f>SUM(D27:M27)</x:f>
        <x:v>9.9895000000000014</x:v>
      </x:c>
      <x:c r="O27" s="32" t="s">
        <x:v>130</x:v>
      </x:c>
    </x:row>
    <x:row r="28" spans="1:15" x14ac:dyDescent="0.25">
      <x:c r="A28" s="7">
        <x:f t="shared" si="1"/>
        <x:v>16</x:v>
      </x:c>
      <x:c r="B28" s="21">
        <x:f>+B16</x:f>
        <x:v>44947</x:v>
      </x:c>
      <x:c r="C28" s="22" t="str">
        <x:f t="shared" si="6"/>
        <x:v>Base65</x:v>
      </x:c>
      <x:c r="D28" s="23">
        <x:f>+D16*D$19</x:f>
        <x:v>0.182</x:v>
      </x:c>
      <x:c r="E28" s="23">
        <x:f t="shared" ref="E28:M28" si="8">+E16*E$19</x:f>
        <x:v>0.55199999999999994</x:v>
      </x:c>
      <x:c r="F28" s="23">
        <x:f t="shared" si="8"/>
        <x:v>10.015600000000001</x:v>
      </x:c>
      <x:c r="G28" s="23">
        <x:f t="shared" si="8"/>
        <x:v>0.6552</x:v>
      </x:c>
      <x:c r="H28" s="23">
        <x:f t="shared" si="8"/>
        <x:v>0.67080000000000006</x:v>
      </x:c>
      <x:c r="I28" s="23">
        <x:f t="shared" si="8"/>
        <x:v>0.43119999999999997</x:v>
      </x:c>
      <x:c r="J28" s="23">
        <x:f t="shared" si="8"/>
        <x:v>1.1256000000000002</x:v>
      </x:c>
      <x:c r="K28" s="23">
        <x:f t="shared" si="8"/>
        <x:v>0.45359999999999989</x:v>
      </x:c>
      <x:c r="L28" s="23">
        <x:f t="shared" si="8"/>
        <x:v>0.63180000000000014</x:v>
      </x:c>
      <x:c r="M28" s="23">
        <x:f t="shared" si="8"/>
        <x:v>0.27169999999999994</x:v>
      </x:c>
      <x:c r="N28" s="174">
        <x:f>SUM(D28:M28)</x:f>
        <x:v>14.989500000000001</x:v>
      </x:c>
      <x:c r="O28" s="32" t="s">
        <x:v>132</x:v>
      </x:c>
    </x:row>
    <x:row r="29" spans="1:15" x14ac:dyDescent="0.25">
      <x:c r="A29" s="7"/>
      <x:c r="O29" s="30"/>
    </x:row>
  </x:sheetData>
  <x:mergeCells count="7">
    <x:mergeCell ref="B8:O8"/>
    <x:mergeCell ref="B5:O5"/>
    <x:mergeCell ref="B1:O1"/>
    <x:mergeCell ref="B2:O2"/>
    <x:mergeCell ref="B3:O3"/>
    <x:mergeCell ref="B4:O4"/>
    <x:mergeCell ref="B6:O6"/>
  </x:mergeCells>
  <x:phoneticPr fontId="2" type="noConversion"/>
  <x:printOptions horizontalCentered="1"/>
  <x:pageMargins left="1.5" right="0.5" top="1.5" bottom="1" header="1" footer="0.5"/>
  <x:pageSetup scale="63" firstPageNumber="3" orientation="portrait" r:id="rId1"/>
  <x:headerFooter alignWithMargins="0">
    <x:oddHeader>&amp;RSchedule II-H-5.2
Page &amp;P of 37</x:oddHeader>
  </x:headerFooter>
  <x:drawing r:id="rId2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9">
    <x:pageSetUpPr fitToPage="1"/>
  </x:sheetPr>
  <x:dimension ref="A1:O33"/>
  <x:sheetViews>
    <x:sheetView zoomScaleNormal="100" zoomScaleSheetLayoutView="100" workbookViewId="0"/>
  </x:sheetViews>
  <x:sheetFormatPr defaultColWidth="9.08984375" defaultRowHeight="12.5" x14ac:dyDescent="0.25"/>
  <x:cols>
    <x:col min="1" max="2" width="9.08984375" style="9"/>
    <x:col min="3" max="3" width="9.08984375" style="7"/>
    <x:col min="4" max="4" width="8.6328125" style="9" customWidth="1"/>
    <x:col min="5" max="6" width="6.6328125" style="9" customWidth="1"/>
    <x:col min="7" max="7" width="9.6328125" style="9" customWidth="1"/>
    <x:col min="8" max="8" width="9.08984375" style="9"/>
    <x:col min="9" max="10" width="8.6328125" style="9" bestFit="1" customWidth="1"/>
    <x:col min="11" max="11" width="10.54296875" style="9" customWidth="1"/>
    <x:col min="12" max="12" width="7.36328125" style="9" customWidth="1"/>
    <x:col min="13" max="13" width="10" style="9" customWidth="1"/>
    <x:col min="14" max="14" width="11.08984375" style="9" customWidth="1"/>
    <x:col min="15" max="16384" width="9.08984375" style="9"/>
  </x:cols>
  <x:sheetData>
    <x:row r="1" spans="1:15" customFormat="1" ht="15.5" x14ac:dyDescent="0.35">
      <x:c r="A1" s="149"/>
      <x:c r="B1" s="209" t="str">
        <x:f>+RES!B1</x:f>
        <x:v xml:space="preserve">PUC DOCKET NO. </x:v>
      </x:c>
      <x:c r="C1" s="209"/>
      <x:c r="D1" s="209"/>
      <x:c r="E1" s="209"/>
      <x:c r="F1" s="209"/>
      <x:c r="G1" s="212"/>
      <x:c r="H1" s="212"/>
      <x:c r="I1" s="212"/>
      <x:c r="J1" s="212"/>
      <x:c r="K1" s="212"/>
      <x:c r="L1" s="212"/>
      <x:c r="M1" s="212"/>
      <x:c r="N1" s="212"/>
      <x:c r="O1" s="212"/>
    </x:row>
    <x:row r="2" spans="1:15" customFormat="1" ht="15.5" x14ac:dyDescent="0.35">
      <x:c r="A2" s="149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</x:row>
    <x:row r="3" spans="1:15" customFormat="1" ht="15.5" x14ac:dyDescent="0.35">
      <x:c r="A3" s="149"/>
      <x:c r="B3" s="209" t="str">
        <x:f>+RES!B3</x:f>
        <x:v>ADJUSTED WEATHER STATION DATA</x:v>
      </x:c>
      <x:c r="C3" s="209"/>
      <x:c r="D3" s="209"/>
      <x:c r="E3" s="209"/>
      <x:c r="F3" s="209"/>
      <x:c r="G3" s="212"/>
      <x:c r="H3" s="212"/>
      <x:c r="I3" s="212"/>
      <x:c r="J3" s="212"/>
      <x:c r="K3" s="212"/>
      <x:c r="L3" s="212"/>
      <x:c r="M3" s="212"/>
      <x:c r="N3" s="212"/>
      <x:c r="O3" s="212"/>
    </x:row>
    <x:row r="4" spans="1:15" customFormat="1" ht="15.5" x14ac:dyDescent="0.35">
      <x:c r="A4" s="149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</x:row>
    <x:row r="5" spans="1:15" customFormat="1" ht="15.5" x14ac:dyDescent="0.35">
      <x:c r="A5" s="149"/>
      <x:c r="B5" s="209"/>
      <x:c r="C5" s="209"/>
      <x:c r="D5" s="209"/>
      <x:c r="E5" s="209"/>
      <x:c r="F5" s="209"/>
      <x:c r="G5" s="212"/>
      <x:c r="H5" s="212"/>
      <x:c r="I5" s="212"/>
      <x:c r="J5" s="212"/>
      <x:c r="K5" s="212"/>
      <x:c r="L5" s="212"/>
      <x:c r="M5" s="212"/>
      <x:c r="N5" s="212"/>
      <x:c r="O5" s="212"/>
    </x:row>
    <x:row r="6" spans="1:15" ht="15.5" x14ac:dyDescent="0.35">
      <x:c r="B6" s="213" t="str">
        <x:f>+RES!B6</x:f>
        <x:v>SPONSOR: D. E. NELSON</x:v>
      </x:c>
      <x:c r="C6" s="209"/>
      <x:c r="D6" s="209"/>
      <x:c r="E6" s="209"/>
      <x:c r="F6" s="209"/>
      <x:c r="G6" s="209"/>
      <x:c r="H6" s="209"/>
      <x:c r="I6" s="209"/>
      <x:c r="J6" s="209"/>
      <x:c r="K6" s="209"/>
      <x:c r="L6" s="209"/>
      <x:c r="M6" s="209"/>
      <x:c r="N6" s="209"/>
      <x:c r="O6" s="209"/>
    </x:row>
    <x:row r="7" spans="1:15" ht="15.5" x14ac:dyDescent="0.35">
      <x:c r="B7" s="151"/>
      <x:c r="C7" s="148"/>
      <x:c r="D7" s="148"/>
      <x:c r="E7" s="148"/>
      <x:c r="F7" s="148"/>
      <x:c r="G7" s="148"/>
      <x:c r="H7" s="148"/>
      <x:c r="I7" s="148"/>
      <x:c r="J7" s="148"/>
      <x:c r="K7" s="148"/>
      <x:c r="L7" s="148"/>
      <x:c r="M7" s="148"/>
      <x:c r="N7" s="148"/>
      <x:c r="O7" s="148"/>
    </x:row>
    <x:row r="8" spans="1:15" ht="15.5" x14ac:dyDescent="0.35">
      <x:c r="B8" s="209" t="s">
        <x:v>155</x:v>
      </x:c>
      <x:c r="C8" s="209"/>
      <x:c r="D8" s="209"/>
      <x:c r="E8" s="209"/>
      <x:c r="F8" s="209"/>
      <x:c r="G8" s="212"/>
      <x:c r="H8" s="212"/>
      <x:c r="I8" s="212"/>
      <x:c r="J8" s="212"/>
      <x:c r="K8" s="212"/>
      <x:c r="L8" s="212"/>
      <x:c r="M8" s="212"/>
      <x:c r="N8" s="212"/>
      <x:c r="O8" s="212"/>
    </x:row>
    <x:row r="9" spans="1:15" ht="15.5" x14ac:dyDescent="0.35">
      <x:c r="A9" s="149" t="s">
        <x:v>6</x:v>
      </x:c>
      <x:c r="B9" s="151"/>
      <x:c r="C9" s="148"/>
      <x:c r="D9" s="148"/>
      <x:c r="E9" s="148"/>
      <x:c r="F9" s="148"/>
      <x:c r="G9" s="148"/>
      <x:c r="H9" s="148"/>
      <x:c r="I9" s="148"/>
      <x:c r="J9" s="148"/>
      <x:c r="K9" s="148"/>
      <x:c r="L9" s="148"/>
      <x:c r="M9" s="148"/>
      <x:c r="N9" s="148"/>
      <x:c r="O9" s="148"/>
    </x:row>
    <x:row r="10" spans="1:15" x14ac:dyDescent="0.25">
      <x:c r="A10" s="5" t="s">
        <x:v>8</x:v>
      </x:c>
    </x:row>
    <x:row r="11" spans="1:15" x14ac:dyDescent="0.25">
      <x:c r="A11" s="7">
        <x:v>1</x:v>
      </x:c>
      <x:c r="B11" s="11" t="s">
        <x:v>46</x:v>
      </x:c>
      <x:c r="C11" s="12"/>
      <x:c r="D11" s="13"/>
      <x:c r="E11" s="13"/>
      <x:c r="F11" s="13"/>
      <x:c r="G11" s="13"/>
      <x:c r="H11" s="13"/>
      <x:c r="I11" s="13"/>
      <x:c r="J11" s="13"/>
      <x:c r="K11" s="13"/>
      <x:c r="L11" s="13"/>
      <x:c r="M11" s="14"/>
    </x:row>
    <x:row r="12" spans="1:15" ht="31.5" x14ac:dyDescent="0.25">
      <x:c r="A12" s="7">
        <x:f t="shared" ref="A12:A19" si="0">+A11+1</x:f>
        <x:v>2</x:v>
      </x:c>
      <x:c r="B12" s="15" t="s">
        <x:v>13</x:v>
      </x:c>
      <x:c r="C12" s="69" t="s">
        <x:v>1</x:v>
      </x:c>
      <x:c r="D12" s="102" t="str">
        <x:f t="array" ref="D12:M12">TRANSPOSE('[4]January 14 24 bySite'!$B$11:$B$20)</x:f>
        <x:v>Abilene</x:v>
      </x:c>
      <x:c r="E12" s="102" t="str">
        <x:v>Austin</x:v>
      </x:c>
      <x:c r="F12" s="102" t="str">
        <x:v>Dallas-Ft. Worth</x:v>
      </x:c>
      <x:c r="G12" s="102" t="str">
        <x:v>Kileen-Temple</x:v>
      </x:c>
      <x:c r="H12" s="102" t="str">
        <x:v>Longview</x:v>
      </x:c>
      <x:c r="I12" s="102" t="str">
        <x:v>Lufkin</x:v>
      </x:c>
      <x:c r="J12" s="102" t="str">
        <x:v>Midland-Odessa</x:v>
      </x:c>
      <x:c r="K12" s="102" t="str">
        <x:v>Sherman-Denison</x:v>
      </x:c>
      <x:c r="L12" s="102" t="str">
        <x:v>Waco</x:v>
      </x:c>
      <x:c r="M12" s="103" t="str">
        <x:v>Wichita Falls</x:v>
      </x:c>
    </x:row>
    <x:row r="13" spans="1:15" x14ac:dyDescent="0.25">
      <x:c r="A13" s="7">
        <x:f t="shared" si="0"/>
        <x:v>3</x:v>
      </x:c>
      <x:c r="B13" s="17">
        <x:v>45305</x:v>
      </x:c>
      <x:c r="C13" s="18" t="s">
        <x:v>131</x:v>
      </x:c>
      <x:c r="D13" s="79">
        <x:f t="array" ref="D13:M13">TRANSPOSE('[4]January 14 24 bySite'!$H$24:$H$33)</x:f>
        <x:v>32.9</x:v>
      </x:c>
      <x:c r="E13" s="79">
        <x:v>18.399999999999999</x:v>
      </x:c>
      <x:c r="F13" s="79">
        <x:v>29.7</x:v>
      </x:c>
      <x:c r="G13" s="79">
        <x:v>24.9</x:v>
      </x:c>
      <x:c r="H13" s="79">
        <x:v>20</x:v>
      </x:c>
      <x:c r="I13" s="79">
        <x:v>10.700000000000003</x:v>
      </x:c>
      <x:c r="J13" s="79">
        <x:v>28.5</x:v>
      </x:c>
      <x:c r="K13" s="79">
        <x:v>33.4</x:v>
      </x:c>
      <x:c r="L13" s="79">
        <x:v>25.1</x:v>
      </x:c>
      <x:c r="M13" s="90">
        <x:v>35</x:v>
      </x:c>
      <x:c r="O13" s="20" t="s">
        <x:v>15</x:v>
      </x:c>
    </x:row>
    <x:row r="14" spans="1:15" x14ac:dyDescent="0.25">
      <x:c r="A14" s="7">
        <x:f t="shared" si="0"/>
        <x:v>4</x:v>
      </x:c>
      <x:c r="B14" s="17">
        <x:f>+B13</x:f>
        <x:v>45305</x:v>
      </x:c>
      <x:c r="C14" s="18" t="s">
        <x:v>44</x:v>
      </x:c>
      <x:c r="D14" s="79">
        <x:f t="array" ref="D14:M14">TRANSPOSE('[4]January 14 24 bySite'!$I$24:$I$33)</x:f>
        <x:v>42.9</x:v>
      </x:c>
      <x:c r="E14" s="79">
        <x:v>28.4</x:v>
      </x:c>
      <x:c r="F14" s="79">
        <x:v>39.700000000000003</x:v>
      </x:c>
      <x:c r="G14" s="79">
        <x:v>34.9</x:v>
      </x:c>
      <x:c r="H14" s="79">
        <x:v>30</x:v>
      </x:c>
      <x:c r="I14" s="79">
        <x:v>20.700000000000003</x:v>
      </x:c>
      <x:c r="J14" s="79">
        <x:v>38.5</x:v>
      </x:c>
      <x:c r="K14" s="79">
        <x:v>43.4</x:v>
      </x:c>
      <x:c r="L14" s="79">
        <x:v>35.1</x:v>
      </x:c>
      <x:c r="M14" s="90">
        <x:v>45</x:v>
      </x:c>
      <x:c r="O14" s="20" t="s">
        <x:v>17</x:v>
      </x:c>
    </x:row>
    <x:row r="15" spans="1:15" x14ac:dyDescent="0.25">
      <x:c r="A15" s="7">
        <x:f t="shared" si="0"/>
        <x:v>5</x:v>
      </x:c>
      <x:c r="B15" s="17">
        <x:f>+B13</x:f>
        <x:v>45305</x:v>
      </x:c>
      <x:c r="C15" s="18" t="s">
        <x:v>45</x:v>
      </x:c>
      <x:c r="D15" s="79">
        <x:f t="array" ref="D15:M15">TRANSPOSE('[4]January 14 24 bySite'!$J$24:$J$33)</x:f>
        <x:v>47.9</x:v>
      </x:c>
      <x:c r="E15" s="79">
        <x:v>33.4</x:v>
      </x:c>
      <x:c r="F15" s="79">
        <x:v>44.7</x:v>
      </x:c>
      <x:c r="G15" s="79">
        <x:v>39.9</x:v>
      </x:c>
      <x:c r="H15" s="79">
        <x:v>35</x:v>
      </x:c>
      <x:c r="I15" s="79">
        <x:v>25.700000000000003</x:v>
      </x:c>
      <x:c r="J15" s="79">
        <x:v>43.5</x:v>
      </x:c>
      <x:c r="K15" s="79">
        <x:v>48.4</x:v>
      </x:c>
      <x:c r="L15" s="79">
        <x:v>40.1</x:v>
      </x:c>
      <x:c r="M15" s="90">
        <x:v>50</x:v>
      </x:c>
      <x:c r="O15" s="20" t="s">
        <x:v>19</x:v>
      </x:c>
    </x:row>
    <x:row r="16" spans="1:15" x14ac:dyDescent="0.25">
      <x:c r="A16" s="7">
        <x:f t="shared" si="0"/>
        <x:v>6</x:v>
      </x:c>
      <x:c r="B16" s="21">
        <x:f>+B13</x:f>
        <x:v>45305</x:v>
      </x:c>
      <x:c r="C16" s="22" t="s">
        <x:v>14</x:v>
      </x:c>
      <x:c r="D16" s="80">
        <x:f t="array" ref="D16:M16">TRANSPOSE('[4]January 14 24 bySite'!$K$24:$K$33)</x:f>
        <x:v>52.9</x:v>
      </x:c>
      <x:c r="E16" s="80">
        <x:v>38.4</x:v>
      </x:c>
      <x:c r="F16" s="80">
        <x:v>49.7</x:v>
      </x:c>
      <x:c r="G16" s="80">
        <x:v>44.9</x:v>
      </x:c>
      <x:c r="H16" s="80">
        <x:v>40</x:v>
      </x:c>
      <x:c r="I16" s="80">
        <x:v>30.700000000000003</x:v>
      </x:c>
      <x:c r="J16" s="80">
        <x:v>48.5</x:v>
      </x:c>
      <x:c r="K16" s="80">
        <x:v>53.4</x:v>
      </x:c>
      <x:c r="L16" s="80">
        <x:v>45.1</x:v>
      </x:c>
      <x:c r="M16" s="73">
        <x:v>55</x:v>
      </x:c>
      <x:c r="O16" s="135" t="s">
        <x:v>108</x:v>
      </x:c>
    </x:row>
    <x:row r="17" spans="1:15" x14ac:dyDescent="0.25">
      <x:c r="A17" s="7">
        <x:f t="shared" si="0"/>
        <x:v>7</x:v>
      </x:c>
    </x:row>
    <x:row r="18" spans="1:15" x14ac:dyDescent="0.25">
      <x:c r="A18" s="7">
        <x:f t="shared" si="0"/>
        <x:v>8</x:v>
      </x:c>
      <x:c r="B18" s="11" t="s">
        <x:v>20</x:v>
      </x:c>
      <x:c r="C18" s="12"/>
      <x:c r="D18" s="13"/>
      <x:c r="E18" s="13"/>
      <x:c r="F18" s="13"/>
      <x:c r="G18" s="13"/>
      <x:c r="H18" s="13"/>
      <x:c r="I18" s="13"/>
      <x:c r="J18" s="13"/>
      <x:c r="K18" s="13"/>
      <x:c r="L18" s="13"/>
      <x:c r="M18" s="14"/>
    </x:row>
    <x:row r="19" spans="1:15" x14ac:dyDescent="0.25">
      <x:c r="A19" s="7">
        <x:f t="shared" si="0"/>
        <x:v>9</x:v>
      </x:c>
      <x:c r="B19" s="24"/>
      <x:c r="C19" s="152" t="s">
        <x:v>1</x:v>
      </x:c>
      <x:c r="D19" s="26">
        <x:f>+'Res Seasonal Weights'!D30</x:f>
        <x:v>1.4E-2</x:v>
      </x:c>
      <x:c r="E19" s="26">
        <x:f>+'Res Seasonal Weights'!D36</x:f>
        <x:v>0.04</x:v>
      </x:c>
      <x:c r="F19" s="26">
        <x:f>+'Res Seasonal Weights'!D27</x:f>
        <x:v>0.68600000000000005</x:v>
      </x:c>
      <x:c r="G19" s="26">
        <x:f>+'Res Seasonal Weights'!D32</x:f>
        <x:v>5.1999999999999998E-2</x:v>
      </x:c>
      <x:c r="H19" s="26">
        <x:f>+'Res Seasonal Weights'!D35</x:f>
        <x:v>3.9E-2</x:v>
      </x:c>
      <x:c r="I19" s="26">
        <x:f>+'Res Seasonal Weights'!D29</x:f>
        <x:v>2.8000000000000001E-2</x:v>
      </x:c>
      <x:c r="J19" s="26">
        <x:f>+'Res Seasonal Weights'!D28</x:f>
        <x:v>5.6000000000000001E-2</x:v>
      </x:c>
      <x:c r="K19" s="26">
        <x:f>+'Res Seasonal Weights'!D31</x:f>
        <x:v>2.7E-2</x:v>
      </x:c>
      <x:c r="L19" s="26">
        <x:f>+'Res Seasonal Weights'!D33</x:f>
        <x:v>3.9E-2</x:v>
      </x:c>
      <x:c r="M19" s="27">
        <x:f>+'Res Seasonal Weights'!D34</x:f>
        <x:v>1.9E-2</x:v>
      </x:c>
      <x:c r="O19" s="20" t="s">
        <x:v>21</x:v>
      </x:c>
    </x:row>
    <x:row r="20" spans="1:15" x14ac:dyDescent="0.25">
      <x:c r="A20" s="7"/>
    </x:row>
    <x:row r="21" spans="1:15" x14ac:dyDescent="0.25">
      <x:c r="A21" s="7"/>
      <x:c r="B21" s="10"/>
      <x:c r="G21" s="8"/>
    </x:row>
    <x:row r="22" spans="1:15" x14ac:dyDescent="0.25">
      <x:c r="A22" s="7">
        <x:f>+A19+1</x:f>
        <x:v>10</x:v>
      </x:c>
      <x:c r="B22" s="11" t="s">
        <x:v>102</x:v>
      </x:c>
      <x:c r="C22" s="12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4"/>
    </x:row>
    <x:row r="23" spans="1:15" x14ac:dyDescent="0.25">
      <x:c r="A23" s="7">
        <x:f t="shared" ref="A23:A28" si="1">+A22+1</x:f>
        <x:v>11</x:v>
      </x:c>
      <x:c r="B23" s="28"/>
      <x:c r="C23" s="153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1"/>
    </x:row>
    <x:row r="24" spans="1:15" ht="31.5" x14ac:dyDescent="0.25">
      <x:c r="A24" s="7">
        <x:f t="shared" si="1"/>
        <x:v>12</x:v>
      </x:c>
      <x:c r="B24" s="15" t="s">
        <x:v>13</x:v>
      </x:c>
      <x:c r="C24" s="16" t="s">
        <x:v>1</x:v>
      </x:c>
      <x:c r="D24" s="102" t="str">
        <x:f t="array" ref="D24:M24">TRANSPOSE('[4]January 14 24 bySite'!$B$11:$B$20)</x:f>
        <x:v>Abilene</x:v>
      </x:c>
      <x:c r="E24" s="102" t="str">
        <x:v>Austin</x:v>
      </x:c>
      <x:c r="F24" s="102" t="str">
        <x:v>Dallas-Ft. Worth</x:v>
      </x:c>
      <x:c r="G24" s="102" t="str">
        <x:v>Kileen-Temple</x:v>
      </x:c>
      <x:c r="H24" s="102" t="str">
        <x:v>Longview</x:v>
      </x:c>
      <x:c r="I24" s="102" t="str">
        <x:v>Lufkin</x:v>
      </x:c>
      <x:c r="J24" s="102" t="str">
        <x:v>Midland-Odessa</x:v>
      </x:c>
      <x:c r="K24" s="102" t="str">
        <x:v>Sherman-Denison</x:v>
      </x:c>
      <x:c r="L24" s="102" t="str">
        <x:v>Waco</x:v>
      </x:c>
      <x:c r="M24" s="103" t="str">
        <x:v>Wichita Falls</x:v>
      </x:c>
      <x:c r="N24" s="49" t="s">
        <x:v>100</x:v>
      </x:c>
    </x:row>
    <x:row r="25" spans="1:15" x14ac:dyDescent="0.25">
      <x:c r="A25" s="7">
        <x:f t="shared" si="1"/>
        <x:v>13</x:v>
      </x:c>
      <x:c r="B25" s="17">
        <x:f t="shared" ref="B25:C26" si="2">+B13</x:f>
        <x:v>45305</x:v>
      </x:c>
      <x:c r="C25" s="18" t="str">
        <x:f t="shared" si="2"/>
        <x:v>Base45</x:v>
      </x:c>
      <x:c r="D25" s="19">
        <x:f t="shared" ref="D25:M25" si="3">+D13*D$19</x:f>
        <x:v>0.46060000000000001</x:v>
      </x:c>
      <x:c r="E25" s="19">
        <x:f t="shared" si="3"/>
        <x:v>0.73599999999999999</x:v>
      </x:c>
      <x:c r="F25" s="19">
        <x:f t="shared" si="3"/>
        <x:v>20.374200000000002</x:v>
      </x:c>
      <x:c r="G25" s="19">
        <x:f t="shared" si="3"/>
        <x:v>1.2948</x:v>
      </x:c>
      <x:c r="H25" s="19">
        <x:f t="shared" si="3"/>
        <x:v>0.78</x:v>
      </x:c>
      <x:c r="I25" s="19">
        <x:f t="shared" si="3"/>
        <x:v>0.29960000000000009</x:v>
      </x:c>
      <x:c r="J25" s="19">
        <x:f t="shared" si="3"/>
        <x:v>1.5960000000000001</x:v>
      </x:c>
      <x:c r="K25" s="19">
        <x:f t="shared" si="3"/>
        <x:v>0.90179999999999993</x:v>
      </x:c>
      <x:c r="L25" s="19">
        <x:f t="shared" si="3"/>
        <x:v>0.9789000000000001</x:v>
      </x:c>
      <x:c r="M25" s="19">
        <x:f t="shared" si="3"/>
        <x:v>0.66500000000000004</x:v>
      </x:c>
      <x:c r="N25" s="90">
        <x:f>SUM(D25:M25)</x:f>
        <x:v>28.086900000000004</x:v>
      </x:c>
      <x:c r="O25" s="32" t="s">
        <x:v>22</x:v>
      </x:c>
    </x:row>
    <x:row r="26" spans="1:15" x14ac:dyDescent="0.25">
      <x:c r="A26" s="7">
        <x:f t="shared" si="1"/>
        <x:v>14</x:v>
      </x:c>
      <x:c r="B26" s="17">
        <x:f t="shared" si="2"/>
        <x:v>45305</x:v>
      </x:c>
      <x:c r="C26" s="18" t="str">
        <x:f t="shared" si="2"/>
        <x:v>Base55</x:v>
      </x:c>
      <x:c r="D26" s="19">
        <x:f t="shared" ref="D26:M28" si="4">+D14*D$19</x:f>
        <x:v>0.60060000000000002</x:v>
      </x:c>
      <x:c r="E26" s="19">
        <x:f>+E14*E$19</x:f>
        <x:v>1.1359999999999999</x:v>
      </x:c>
      <x:c r="F26" s="19">
        <x:f>+F14*F$19</x:f>
        <x:v>27.234200000000005</x:v>
      </x:c>
      <x:c r="G26" s="19">
        <x:f t="shared" ref="G26:L26" si="5">+G14*G$19</x:f>
        <x:v>1.8147999999999997</x:v>
      </x:c>
      <x:c r="H26" s="19">
        <x:f t="shared" si="5"/>
        <x:v>1.17</x:v>
      </x:c>
      <x:c r="I26" s="19">
        <x:f t="shared" si="5"/>
        <x:v>0.57960000000000012</x:v>
      </x:c>
      <x:c r="J26" s="19">
        <x:f t="shared" si="5"/>
        <x:v>2.1560000000000001</x:v>
      </x:c>
      <x:c r="K26" s="19">
        <x:f t="shared" si="5"/>
        <x:v>1.1718</x:v>
      </x:c>
      <x:c r="L26" s="19">
        <x:f t="shared" si="5"/>
        <x:v>1.3689</x:v>
      </x:c>
      <x:c r="M26" s="19">
        <x:f t="shared" si="4"/>
        <x:v>0.85499999999999998</x:v>
      </x:c>
      <x:c r="N26" s="90">
        <x:f>SUM(D26:M26)</x:f>
        <x:v>38.086899999999993</x:v>
      </x:c>
      <x:c r="O26" s="32" t="s">
        <x:v>23</x:v>
      </x:c>
    </x:row>
    <x:row r="27" spans="1:15" x14ac:dyDescent="0.25">
      <x:c r="A27" s="7">
        <x:f t="shared" si="1"/>
        <x:v>15</x:v>
      </x:c>
      <x:c r="B27" s="17">
        <x:f>+B15</x:f>
        <x:v>45305</x:v>
      </x:c>
      <x:c r="C27" s="18" t="str">
        <x:f t="shared" ref="C27:C28" si="6">+C15</x:f>
        <x:v>Base60</x:v>
      </x:c>
      <x:c r="D27" s="19">
        <x:f t="shared" si="4"/>
        <x:v>0.67059999999999997</x:v>
      </x:c>
      <x:c r="E27" s="19">
        <x:f t="shared" si="4"/>
        <x:v>1.3360000000000001</x:v>
      </x:c>
      <x:c r="F27" s="19">
        <x:f t="shared" si="4"/>
        <x:v>30.664200000000005</x:v>
      </x:c>
      <x:c r="G27" s="19">
        <x:f>+G15*G$19</x:f>
        <x:v>2.0747999999999998</x:v>
      </x:c>
      <x:c r="H27" s="19">
        <x:f>+H15*H$19</x:f>
        <x:v>1.365</x:v>
      </x:c>
      <x:c r="I27" s="19">
        <x:f>+I15*I$19</x:f>
        <x:v>0.71960000000000013</x:v>
      </x:c>
      <x:c r="J27" s="19">
        <x:f t="shared" si="4"/>
        <x:v>2.4359999999999999</x:v>
      </x:c>
      <x:c r="K27" s="19">
        <x:f t="shared" si="4"/>
        <x:v>1.3068</x:v>
      </x:c>
      <x:c r="L27" s="19">
        <x:f t="shared" si="4"/>
        <x:v>1.5639000000000001</x:v>
      </x:c>
      <x:c r="M27" s="19">
        <x:f>+M15*M$19</x:f>
        <x:v>0.95</x:v>
      </x:c>
      <x:c r="N27" s="90">
        <x:f>SUM(D27:M27)</x:f>
        <x:v>43.086900000000014</x:v>
      </x:c>
      <x:c r="O27" s="32" t="s">
        <x:v>24</x:v>
      </x:c>
    </x:row>
    <x:row r="28" spans="1:15" x14ac:dyDescent="0.25">
      <x:c r="A28" s="7">
        <x:f t="shared" si="1"/>
        <x:v>16</x:v>
      </x:c>
      <x:c r="B28" s="21">
        <x:f>+B16</x:f>
        <x:v>45305</x:v>
      </x:c>
      <x:c r="C28" s="22" t="str">
        <x:f t="shared" si="6"/>
        <x:v>Base65</x:v>
      </x:c>
      <x:c r="D28" s="23">
        <x:f t="shared" si="4"/>
        <x:v>0.74060000000000004</x:v>
      </x:c>
      <x:c r="E28" s="23">
        <x:f t="shared" si="4"/>
        <x:v>1.536</x:v>
      </x:c>
      <x:c r="F28" s="23">
        <x:f t="shared" si="4"/>
        <x:v>34.094200000000008</x:v>
      </x:c>
      <x:c r="G28" s="23">
        <x:f t="shared" si="4"/>
        <x:v>2.3348</x:v>
      </x:c>
      <x:c r="H28" s="23">
        <x:f t="shared" si="4"/>
        <x:v>1.56</x:v>
      </x:c>
      <x:c r="I28" s="23">
        <x:f t="shared" si="4"/>
        <x:v>0.85960000000000014</x:v>
      </x:c>
      <x:c r="J28" s="23">
        <x:f>+J16*J$19</x:f>
        <x:v>2.7160000000000002</x:v>
      </x:c>
      <x:c r="K28" s="23">
        <x:f>+K16*K$19</x:f>
        <x:v>1.4418</x:v>
      </x:c>
      <x:c r="L28" s="23">
        <x:f>+L16*L$19</x:f>
        <x:v>1.7589000000000001</x:v>
      </x:c>
      <x:c r="M28" s="23">
        <x:f>+M16*M$19</x:f>
        <x:v>1.0449999999999999</x:v>
      </x:c>
      <x:c r="N28" s="73">
        <x:f>SUM(D28:M28)</x:f>
        <x:v>48.086900000000014</x:v>
      </x:c>
      <x:c r="O28" s="32" t="s">
        <x:v>109</x:v>
      </x:c>
    </x:row>
    <x:row r="29" spans="1:15" x14ac:dyDescent="0.25">
      <x:c r="A29" s="7"/>
      <x:c r="O29" s="30"/>
    </x:row>
    <x:row r="30" spans="1:15" x14ac:dyDescent="0.25">
      <x:c r="F30" s="134"/>
      <x:c r="N30" s="184"/>
    </x:row>
    <x:row r="31" spans="1:15" x14ac:dyDescent="0.25">
      <x:c r="N31" s="184"/>
    </x:row>
    <x:row r="32" spans="1:15" x14ac:dyDescent="0.25">
      <x:c r="N32" s="184"/>
    </x:row>
    <x:row r="33" spans="14:14" x14ac:dyDescent="0.25">
      <x:c r="N33" s="184"/>
    </x:row>
  </x:sheetData>
  <x:mergeCells count="7">
    <x:mergeCell ref="B8:O8"/>
    <x:mergeCell ref="B1:O1"/>
    <x:mergeCell ref="B2:O2"/>
    <x:mergeCell ref="B3:O3"/>
    <x:mergeCell ref="B4:O4"/>
    <x:mergeCell ref="B5:O5"/>
    <x:mergeCell ref="B6:O6"/>
  </x:mergeCells>
  <x:printOptions horizontalCentered="1"/>
  <x:pageMargins left="1.5" right="0.5" top="1.5" bottom="1" header="1" footer="0.5"/>
  <x:pageSetup scale="63" firstPageNumber="3" orientation="portrait" r:id="rId1"/>
  <x:headerFooter alignWithMargins="0">
    <x:oddHeader>&amp;RSchedule II-H-5.2
Page &amp;P of 37</x:oddHeader>
  </x:headerFooter>
  <x:drawing r:id="rId2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10">
    <x:pageSetUpPr fitToPage="1"/>
  </x:sheetPr>
  <x:dimension ref="A1:R31"/>
  <x:sheetViews>
    <x:sheetView view="pageBreakPreview" zoomScaleNormal="100" workbookViewId="0"/>
  </x:sheetViews>
  <x:sheetFormatPr defaultRowHeight="12.5" x14ac:dyDescent="0.25"/>
  <x:cols>
    <x:col min="2" max="2" width="9.90625" customWidth="1"/>
    <x:col min="3" max="3" width="9" customWidth="1"/>
    <x:col min="4" max="4" width="6.90625" customWidth="1"/>
    <x:col min="5" max="5" width="10.36328125" customWidth="1"/>
    <x:col min="6" max="6" width="10.453125" customWidth="1"/>
    <x:col min="7" max="8" width="10.6328125" customWidth="1"/>
    <x:col min="9" max="9" width="10.90625" customWidth="1"/>
    <x:col min="10" max="11" width="12.6328125" customWidth="1"/>
  </x:cols>
  <x:sheetData>
    <x:row r="1" spans="1:12" ht="15.5" x14ac:dyDescent="0.35">
      <x:c r="A1" s="8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</x:row>
    <x:row r="2" spans="1:12" ht="15.5" x14ac:dyDescent="0.35">
      <x:c r="A2" s="8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212"/>
    </x:row>
    <x:row r="3" spans="1:12" ht="15.5" x14ac:dyDescent="0.35">
      <x:c r="A3" s="8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212"/>
    </x:row>
    <x:row r="4" spans="1:12" ht="15.5" x14ac:dyDescent="0.35">
      <x:c r="A4" s="8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212"/>
    </x:row>
    <x:row r="5" spans="1:12" x14ac:dyDescent="0.25">
      <x:c r="A5" s="81"/>
      <x:c r="B5" s="83"/>
      <x:c r="C5" s="82"/>
      <x:c r="D5" s="82"/>
    </x:row>
    <x:row r="6" spans="1:12" ht="15.5" x14ac:dyDescent="0.35">
      <x:c r="A6" s="81"/>
      <x:c r="B6" s="209" t="str">
        <x:f>+RES!B6</x:f>
        <x:v>SPONSOR: D. E. NELSON</x:v>
      </x:c>
      <x:c r="C6" s="212"/>
      <x:c r="D6" s="212"/>
      <x:c r="E6" s="212"/>
      <x:c r="F6" s="212"/>
      <x:c r="G6" s="212"/>
      <x:c r="H6" s="212"/>
      <x:c r="I6" s="212"/>
      <x:c r="J6" s="212"/>
      <x:c r="K6" s="212"/>
      <x:c r="L6" s="212"/>
    </x:row>
    <x:row r="8" spans="1:12" ht="15.5" x14ac:dyDescent="0.35">
      <x:c r="B8" s="209" t="s">
        <x:v>135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212"/>
    </x:row>
    <x:row r="9" spans="1:12" ht="24" thickBot="1" x14ac:dyDescent="0.35">
      <x:c r="A9" s="84" t="s">
        <x:v>86</x:v>
      </x:c>
      <x:c r="B9" s="85"/>
    </x:row>
    <x:row r="10" spans="1:12" ht="13" thickBot="1" x14ac:dyDescent="0.3">
      <x:c r="A10">
        <x:v>1</x:v>
      </x:c>
      <x:c r="B10" s="86" t="s">
        <x:v>87</x:v>
      </x:c>
      <x:c r="C10" s="86" t="s">
        <x:v>88</x:v>
      </x:c>
      <x:c r="D10" s="86" t="s">
        <x:v>85</x:v>
      </x:c>
      <x:c r="E10" s="136" t="s">
        <x:v>133</x:v>
      </x:c>
      <x:c r="F10" s="136" t="s">
        <x:v>125</x:v>
      </x:c>
      <x:c r="G10" s="136" t="s">
        <x:v>89</x:v>
      </x:c>
      <x:c r="H10" s="136" t="s">
        <x:v>134</x:v>
      </x:c>
      <x:c r="I10" s="136" t="s">
        <x:v>90</x:v>
      </x:c>
      <x:c r="J10" s="136" t="s">
        <x:v>91</x:v>
      </x:c>
      <x:c r="K10" s="136" t="s">
        <x:v>92</x:v>
      </x:c>
      <x:c r="L10" s="136" t="s">
        <x:v>138</x:v>
      </x:c>
    </x:row>
    <x:row r="11" spans="1:12" x14ac:dyDescent="0.25">
      <x:c r="A11">
        <x:f t="shared" ref="A11:B26" si="0">+A10+1</x:f>
        <x:v>2</x:v>
      </x:c>
      <x:c r="B11" s="87">
        <x:v>2004</x:v>
      </x:c>
      <x:c r="C11" s="87">
        <x:v>1</x:v>
      </x:c>
      <x:c r="D11" s="87">
        <x:v>21</x:v>
      </x:c>
      <x:c r="E11" s="88">
        <x:v>3.1236250000000023</x:v>
      </x:c>
      <x:c r="F11" s="88">
        <x:v>12.963625000000004</x:v>
      </x:c>
      <x:c r="G11" s="88">
        <x:v>17.963625000000004</x:v>
      </x:c>
      <x:c r="H11" s="88">
        <x:v>22.963625000000004</x:v>
      </x:c>
      <x:c r="I11" s="88">
        <x:v>0</x:v>
      </x:c>
      <x:c r="J11" s="88">
        <x:v>0</x:v>
      </x:c>
      <x:c r="K11" s="88">
        <x:v>0</x:v>
      </x:c>
      <x:c r="L11" s="88">
        <x:v>0</x:v>
      </x:c>
    </x:row>
    <x:row r="12" spans="1:12" x14ac:dyDescent="0.25">
      <x:c r="A12">
        <x:f t="shared" si="0"/>
        <x:v>3</x:v>
      </x:c>
      <x:c r="B12" s="87">
        <x:f>+B11+1</x:f>
        <x:v>2005</x:v>
      </x:c>
      <x:c r="C12" s="87">
        <x:f>+C11</x:f>
        <x:v>1</x:v>
      </x:c>
      <x:c r="D12" s="87">
        <x:f>+D11</x:f>
        <x:v>21</x:v>
      </x:c>
      <x:c r="E12" s="88">
        <x:v>0</x:v>
      </x:c>
      <x:c r="F12" s="88">
        <x:v>0.27533333333333521</x:v>
      </x:c>
      <x:c r="G12" s="88">
        <x:v>1.128000000000005</x:v>
      </x:c>
      <x:c r="H12" s="88">
        <x:v>6.0988333333333369</x:v>
      </x:c>
      <x:c r="I12" s="88">
        <x:v>0</x:v>
      </x:c>
      <x:c r="J12" s="88">
        <x:v>0</x:v>
      </x:c>
      <x:c r="K12" s="88">
        <x:v>0</x:v>
      </x:c>
      <x:c r="L12" s="88">
        <x:v>0</x:v>
      </x:c>
    </x:row>
    <x:row r="13" spans="1:12" x14ac:dyDescent="0.25">
      <x:c r="A13">
        <x:f t="shared" si="0"/>
        <x:v>4</x:v>
      </x:c>
      <x:c r="B13" s="87">
        <x:f t="shared" si="0"/>
        <x:v>2006</x:v>
      </x:c>
      <x:c r="C13" s="87">
        <x:f t="shared" ref="C13:D28" si="1">+C12</x:f>
        <x:v>1</x:v>
      </x:c>
      <x:c r="D13" s="87">
        <x:f t="shared" si="1"/>
        <x:v>21</x:v>
      </x:c>
      <x:c r="E13" s="88">
        <x:v>0.39662500000000089</x:v>
      </x:c>
      <x:c r="F13" s="88">
        <x:v>7.9460833333333554</x:v>
      </x:c>
      <x:c r="G13" s="88">
        <x:v>12.946083333333355</x:v>
      </x:c>
      <x:c r="H13" s="88">
        <x:v>17.946083333333362</x:v>
      </x:c>
      <x:c r="I13" s="88">
        <x:v>0</x:v>
      </x:c>
      <x:c r="J13" s="88">
        <x:v>0</x:v>
      </x:c>
      <x:c r="K13" s="88">
        <x:v>0</x:v>
      </x:c>
      <x:c r="L13" s="88">
        <x:v>0</x:v>
      </x:c>
    </x:row>
    <x:row r="14" spans="1:12" x14ac:dyDescent="0.25">
      <x:c r="A14">
        <x:f t="shared" si="0"/>
        <x:v>5</x:v>
      </x:c>
      <x:c r="B14" s="87">
        <x:f t="shared" si="0"/>
        <x:v>2007</x:v>
      </x:c>
      <x:c r="C14" s="87">
        <x:f t="shared" si="1"/>
        <x:v>1</x:v>
      </x:c>
      <x:c r="D14" s="87">
        <x:f t="shared" si="1"/>
        <x:v>21</x:v>
      </x:c>
      <x:c r="E14" s="88">
        <x:v>0.68991666666664564</x:v>
      </x:c>
      <x:c r="F14" s="88">
        <x:v>10.386666666666645</x:v>
      </x:c>
      <x:c r="G14" s="88">
        <x:v>15.386666666666649</x:v>
      </x:c>
      <x:c r="H14" s="88">
        <x:v>20.386666666666645</x:v>
      </x:c>
      <x:c r="I14" s="88">
        <x:v>0</x:v>
      </x:c>
      <x:c r="J14" s="88">
        <x:v>0</x:v>
      </x:c>
      <x:c r="K14" s="88">
        <x:v>0</x:v>
      </x:c>
      <x:c r="L14" s="88">
        <x:v>0</x:v>
      </x:c>
    </x:row>
    <x:row r="15" spans="1:12" x14ac:dyDescent="0.25">
      <x:c r="A15">
        <x:f t="shared" si="0"/>
        <x:v>6</x:v>
      </x:c>
      <x:c r="B15" s="87">
        <x:f t="shared" si="0"/>
        <x:v>2008</x:v>
      </x:c>
      <x:c r="C15" s="87">
        <x:f t="shared" si="1"/>
        <x:v>1</x:v>
      </x:c>
      <x:c r="D15" s="87">
        <x:f t="shared" si="1"/>
        <x:v>21</x:v>
      </x:c>
      <x:c r="E15" s="88">
        <x:v>2.3197999999999999</x:v>
      </x:c>
      <x:c r="F15" s="88">
        <x:v>11.909900000000004</x:v>
      </x:c>
      <x:c r="G15" s="88">
        <x:v>16.9099</x:v>
      </x:c>
      <x:c r="H15" s="88">
        <x:v>21.9099</x:v>
      </x:c>
      <x:c r="I15" s="88">
        <x:v>0</x:v>
      </x:c>
      <x:c r="J15" s="88">
        <x:v>0</x:v>
      </x:c>
      <x:c r="K15" s="88">
        <x:v>0</x:v>
      </x:c>
      <x:c r="L15" s="88">
        <x:v>0</x:v>
      </x:c>
    </x:row>
    <x:row r="16" spans="1:12" x14ac:dyDescent="0.25">
      <x:c r="A16">
        <x:f t="shared" si="0"/>
        <x:v>7</x:v>
      </x:c>
      <x:c r="B16" s="87">
        <x:f t="shared" si="0"/>
        <x:v>2009</x:v>
      </x:c>
      <x:c r="C16" s="87">
        <x:f t="shared" si="1"/>
        <x:v>1</x:v>
      </x:c>
      <x:c r="D16" s="87">
        <x:f t="shared" si="1"/>
        <x:v>21</x:v>
      </x:c>
      <x:c r="E16" s="88">
        <x:v>0.17299999999999999</x:v>
      </x:c>
      <x:c r="F16" s="88">
        <x:v>5.0659999999999998</x:v>
      </x:c>
      <x:c r="G16" s="88">
        <x:v>10.065999999999999</x:v>
      </x:c>
      <x:c r="H16" s="88">
        <x:v>15.066000000000001</x:v>
      </x:c>
      <x:c r="I16" s="88">
        <x:v>0</x:v>
      </x:c>
      <x:c r="J16" s="88">
        <x:v>0</x:v>
      </x:c>
      <x:c r="K16" s="88">
        <x:v>0</x:v>
      </x:c>
      <x:c r="L16" s="88">
        <x:v>0</x:v>
      </x:c>
    </x:row>
    <x:row r="17" spans="1:18" x14ac:dyDescent="0.25">
      <x:c r="A17">
        <x:f t="shared" si="0"/>
        <x:v>8</x:v>
      </x:c>
      <x:c r="B17" s="87">
        <x:f t="shared" si="0"/>
        <x:v>2010</x:v>
      </x:c>
      <x:c r="C17" s="87">
        <x:f t="shared" si="1"/>
        <x:v>1</x:v>
      </x:c>
      <x:c r="D17" s="87">
        <x:f t="shared" si="1"/>
        <x:v>21</x:v>
      </x:c>
      <x:c r="E17" s="88">
        <x:v>0</x:v>
      </x:c>
      <x:c r="F17" s="88">
        <x:v>0.36269999999999991</x:v>
      </x:c>
      <x:c r="G17" s="88">
        <x:v>3.1751999999999989</x:v>
      </x:c>
      <x:c r="H17" s="88">
        <x:v>8.1180999999999983</x:v>
      </x:c>
      <x:c r="I17" s="88">
        <x:v>0</x:v>
      </x:c>
      <x:c r="J17" s="88">
        <x:v>0</x:v>
      </x:c>
      <x:c r="K17" s="88">
        <x:v>0</x:v>
      </x:c>
      <x:c r="L17" s="88">
        <x:v>0</x:v>
      </x:c>
    </x:row>
    <x:row r="18" spans="1:18" x14ac:dyDescent="0.25">
      <x:c r="A18">
        <x:f t="shared" si="0"/>
        <x:v>9</x:v>
      </x:c>
      <x:c r="B18" s="87">
        <x:f t="shared" si="0"/>
        <x:v>2011</x:v>
      </x:c>
      <x:c r="C18" s="87">
        <x:f t="shared" si="1"/>
        <x:v>1</x:v>
      </x:c>
      <x:c r="D18" s="87">
        <x:f t="shared" si="1"/>
        <x:v>21</x:v>
      </x:c>
      <x:c r="E18" s="88">
        <x:v>12.704500000000001</x:v>
      </x:c>
      <x:c r="F18" s="88">
        <x:v>22.704500000000007</x:v>
      </x:c>
      <x:c r="G18" s="88">
        <x:v>27.704500000000003</x:v>
      </x:c>
      <x:c r="H18" s="88">
        <x:v>32.704499999999996</x:v>
      </x:c>
      <x:c r="I18" s="88">
        <x:v>0</x:v>
      </x:c>
      <x:c r="J18" s="88">
        <x:v>0</x:v>
      </x:c>
      <x:c r="K18" s="88">
        <x:v>0</x:v>
      </x:c>
      <x:c r="L18" s="88">
        <x:v>0</x:v>
      </x:c>
    </x:row>
    <x:row r="19" spans="1:18" x14ac:dyDescent="0.25">
      <x:c r="A19">
        <x:f t="shared" si="0"/>
        <x:v>10</x:v>
      </x:c>
      <x:c r="B19" s="87">
        <x:f t="shared" si="0"/>
        <x:v>2012</x:v>
      </x:c>
      <x:c r="C19" s="87">
        <x:f t="shared" si="1"/>
        <x:v>1</x:v>
      </x:c>
      <x:c r="D19" s="87">
        <x:f t="shared" si="1"/>
        <x:v>21</x:v>
      </x:c>
      <x:c r="E19" s="88">
        <x:v>1.5125000000000008</x:v>
      </x:c>
      <x:c r="F19" s="88">
        <x:v>10.179700000000004</x:v>
      </x:c>
      <x:c r="G19" s="88">
        <x:v>15.039700000000005</x:v>
      </x:c>
      <x:c r="H19" s="88">
        <x:v>20.025700000000001</x:v>
      </x:c>
      <x:c r="I19" s="88">
        <x:v>0</x:v>
      </x:c>
      <x:c r="J19" s="88">
        <x:v>0</x:v>
      </x:c>
      <x:c r="K19" s="88">
        <x:v>0</x:v>
      </x:c>
      <x:c r="L19" s="88">
        <x:v>0</x:v>
      </x:c>
    </x:row>
    <x:row r="20" spans="1:18" x14ac:dyDescent="0.25">
      <x:c r="A20">
        <x:f t="shared" si="0"/>
        <x:v>11</x:v>
      </x:c>
      <x:c r="B20" s="87">
        <x:f t="shared" si="0"/>
        <x:v>2013</x:v>
      </x:c>
      <x:c r="C20" s="87">
        <x:f t="shared" si="1"/>
        <x:v>1</x:v>
      </x:c>
      <x:c r="D20" s="87">
        <x:f t="shared" si="1"/>
        <x:v>21</x:v>
      </x:c>
      <x:c r="E20" s="88">
        <x:v>0.62860000000000016</x:v>
      </x:c>
      <x:c r="F20" s="88">
        <x:v>8.4728000000000012</x:v>
      </x:c>
      <x:c r="G20" s="88">
        <x:v>13.456000000000003</x:v>
      </x:c>
      <x:c r="H20" s="88">
        <x:v>18.456000000000003</x:v>
      </x:c>
      <x:c r="I20" s="88">
        <x:v>0</x:v>
      </x:c>
      <x:c r="J20" s="88">
        <x:v>0</x:v>
      </x:c>
      <x:c r="K20" s="88">
        <x:v>0</x:v>
      </x:c>
      <x:c r="L20" s="88">
        <x:v>0</x:v>
      </x:c>
    </x:row>
    <x:row r="21" spans="1:18" x14ac:dyDescent="0.25">
      <x:c r="A21">
        <x:f t="shared" si="0"/>
        <x:v>12</x:v>
      </x:c>
      <x:c r="B21" s="87">
        <x:f t="shared" si="0"/>
        <x:v>2014</x:v>
      </x:c>
      <x:c r="C21" s="87">
        <x:f t="shared" si="1"/>
        <x:v>1</x:v>
      </x:c>
      <x:c r="D21" s="87">
        <x:f t="shared" si="1"/>
        <x:v>21</x:v>
      </x:c>
      <x:c r="E21" s="88">
        <x:v>1.2079999999999969</x:v>
      </x:c>
      <x:c r="F21" s="88">
        <x:v>10.631999999999998</x:v>
      </x:c>
      <x:c r="G21" s="88">
        <x:v>15.631999999999998</x:v>
      </x:c>
      <x:c r="H21" s="88">
        <x:v>20.632000000000001</x:v>
      </x:c>
      <x:c r="I21" s="88">
        <x:v>0</x:v>
      </x:c>
      <x:c r="J21" s="88">
        <x:v>0</x:v>
      </x:c>
      <x:c r="K21" s="88">
        <x:v>0</x:v>
      </x:c>
      <x:c r="L21" s="88">
        <x:v>0</x:v>
      </x:c>
    </x:row>
    <x:row r="22" spans="1:18" x14ac:dyDescent="0.25">
      <x:c r="A22">
        <x:f t="shared" si="0"/>
        <x:v>13</x:v>
      </x:c>
      <x:c r="B22" s="87">
        <x:f t="shared" si="0"/>
        <x:v>2015</x:v>
      </x:c>
      <x:c r="C22" s="87">
        <x:f t="shared" si="1"/>
        <x:v>1</x:v>
      </x:c>
      <x:c r="D22" s="87">
        <x:f t="shared" si="1"/>
        <x:v>21</x:v>
      </x:c>
      <x:c r="E22" s="88">
        <x:v>0.22579999999999995</x:v>
      </x:c>
      <x:c r="F22" s="88">
        <x:v>5.5546999999999969</x:v>
      </x:c>
      <x:c r="G22" s="88">
        <x:v>10.4763</x:v>
      </x:c>
      <x:c r="H22" s="88">
        <x:v>15.476299999999995</x:v>
      </x:c>
      <x:c r="I22" s="88">
        <x:v>0</x:v>
      </x:c>
      <x:c r="J22" s="88">
        <x:v>0</x:v>
      </x:c>
      <x:c r="K22" s="88">
        <x:v>0</x:v>
      </x:c>
      <x:c r="L22" s="88">
        <x:v>0</x:v>
      </x:c>
    </x:row>
    <x:row r="23" spans="1:18" x14ac:dyDescent="0.25">
      <x:c r="A23">
        <x:f t="shared" si="0"/>
        <x:v>14</x:v>
      </x:c>
      <x:c r="B23" s="87">
        <x:f t="shared" si="0"/>
        <x:v>2016</x:v>
      </x:c>
      <x:c r="C23" s="87">
        <x:f t="shared" si="1"/>
        <x:v>1</x:v>
      </x:c>
      <x:c r="D23" s="87">
        <x:f t="shared" si="1"/>
        <x:v>21</x:v>
      </x:c>
      <x:c r="E23" s="88">
        <x:v>0.37039999999999995</x:v>
      </x:c>
      <x:c r="F23" s="88">
        <x:v>9.104099999999999</x:v>
      </x:c>
      <x:c r="G23" s="88">
        <x:v>14.104099999999997</x:v>
      </x:c>
      <x:c r="H23" s="88">
        <x:v>19.104099999999999</x:v>
      </x:c>
      <x:c r="I23" s="88">
        <x:v>0</x:v>
      </x:c>
      <x:c r="J23" s="88">
        <x:v>0</x:v>
      </x:c>
      <x:c r="K23" s="88">
        <x:v>0</x:v>
      </x:c>
      <x:c r="L23" s="88">
        <x:v>0</x:v>
      </x:c>
    </x:row>
    <x:row r="24" spans="1:18" x14ac:dyDescent="0.25">
      <x:c r="A24">
        <x:f t="shared" si="0"/>
        <x:v>15</x:v>
      </x:c>
      <x:c r="B24" s="87">
        <x:f t="shared" si="0"/>
        <x:v>2017</x:v>
      </x:c>
      <x:c r="C24" s="87">
        <x:f t="shared" si="1"/>
        <x:v>1</x:v>
      </x:c>
      <x:c r="D24" s="87">
        <x:f t="shared" si="1"/>
        <x:v>21</x:v>
      </x:c>
      <x:c r="E24" s="88">
        <x:v>0</x:v>
      </x:c>
      <x:c r="F24" s="88">
        <x:v>0.14499999999999999</x:v>
      </x:c>
      <x:c r="G24" s="88">
        <x:v>2.0268999999999995</x:v>
      </x:c>
      <x:c r="H24" s="88">
        <x:v>6.806099999999998</x:v>
      </x:c>
      <x:c r="I24" s="88">
        <x:v>0</x:v>
      </x:c>
      <x:c r="J24" s="88">
        <x:v>0</x:v>
      </x:c>
      <x:c r="K24" s="88">
        <x:v>0</x:v>
      </x:c>
      <x:c r="L24" s="88">
        <x:v>0</x:v>
      </x:c>
    </x:row>
    <x:row r="25" spans="1:18" x14ac:dyDescent="0.25">
      <x:c r="A25">
        <x:f t="shared" si="0"/>
        <x:v>16</x:v>
      </x:c>
      <x:c r="B25" s="87">
        <x:f t="shared" si="0"/>
        <x:v>2018</x:v>
      </x:c>
      <x:c r="C25" s="87">
        <x:f t="shared" si="1"/>
        <x:v>1</x:v>
      </x:c>
      <x:c r="D25" s="87">
        <x:f t="shared" si="1"/>
        <x:v>21</x:v>
      </x:c>
      <x:c r="E25" s="88">
        <x:v>0</x:v>
      </x:c>
      <x:c r="F25" s="88">
        <x:v>0.20719999999999977</x:v>
      </x:c>
      <x:c r="G25" s="88">
        <x:v>0.51539999999999975</x:v>
      </x:c>
      <x:c r="H25" s="88">
        <x:v>1.0644999999999996</x:v>
      </x:c>
      <x:c r="I25" s="88">
        <x:v>1.9569999999999959</x:v>
      </x:c>
      <x:c r="J25" s="88">
        <x:v>0</x:v>
      </x:c>
      <x:c r="K25" s="88">
        <x:v>0</x:v>
      </x:c>
      <x:c r="L25" s="88">
        <x:v>0</x:v>
      </x:c>
    </x:row>
    <x:row r="26" spans="1:18" x14ac:dyDescent="0.25">
      <x:c r="A26">
        <x:f t="shared" si="0"/>
        <x:v>17</x:v>
      </x:c>
      <x:c r="B26" s="87">
        <x:f t="shared" si="0"/>
        <x:v>2019</x:v>
      </x:c>
      <x:c r="C26" s="87">
        <x:f t="shared" si="1"/>
        <x:v>1</x:v>
      </x:c>
      <x:c r="D26" s="87">
        <x:f t="shared" si="1"/>
        <x:v>21</x:v>
      </x:c>
      <x:c r="E26" s="88">
        <x:v>0.16329999999999983</x:v>
      </x:c>
      <x:c r="F26" s="88">
        <x:v>8.0680999999999994</x:v>
      </x:c>
      <x:c r="G26" s="88">
        <x:v>13.068100000000001</x:v>
      </x:c>
      <x:c r="H26" s="88">
        <x:v>18.068100000000001</x:v>
      </x:c>
      <x:c r="I26" s="88">
        <x:v>0</x:v>
      </x:c>
      <x:c r="J26" s="88">
        <x:v>0</x:v>
      </x:c>
      <x:c r="K26" s="88">
        <x:v>0</x:v>
      </x:c>
      <x:c r="L26" s="88">
        <x:v>0</x:v>
      </x:c>
    </x:row>
    <x:row r="27" spans="1:18" x14ac:dyDescent="0.25">
      <x:c r="A27">
        <x:f t="shared" ref="A27:B31" si="2">+A26+1</x:f>
        <x:v>18</x:v>
      </x:c>
      <x:c r="B27" s="87">
        <x:f t="shared" si="2"/>
        <x:v>2020</x:v>
      </x:c>
      <x:c r="C27" s="87">
        <x:f t="shared" si="1"/>
        <x:v>1</x:v>
      </x:c>
      <x:c r="D27" s="87">
        <x:f t="shared" si="1"/>
        <x:v>21</x:v>
      </x:c>
      <x:c r="E27" s="88">
        <x:v>1.4965999999999979</x:v>
      </x:c>
      <x:c r="F27" s="88">
        <x:v>10.987899999999996</x:v>
      </x:c>
      <x:c r="G27" s="88">
        <x:v>15.9879</x:v>
      </x:c>
      <x:c r="H27" s="88">
        <x:v>20.987899999999996</x:v>
      </x:c>
      <x:c r="I27" s="88">
        <x:v>0</x:v>
      </x:c>
      <x:c r="J27" s="88">
        <x:v>0</x:v>
      </x:c>
      <x:c r="K27" s="88">
        <x:v>0</x:v>
      </x:c>
      <x:c r="L27" s="88">
        <x:v>0</x:v>
      </x:c>
    </x:row>
    <x:row r="28" spans="1:18" x14ac:dyDescent="0.25">
      <x:c r="A28">
        <x:f t="shared" si="2"/>
        <x:v>19</x:v>
      </x:c>
      <x:c r="B28" s="87">
        <x:f t="shared" si="2"/>
        <x:v>2021</x:v>
      </x:c>
      <x:c r="C28" s="87">
        <x:f t="shared" si="1"/>
        <x:v>1</x:v>
      </x:c>
      <x:c r="D28" s="87">
        <x:f t="shared" si="1"/>
        <x:v>21</x:v>
      </x:c>
      <x:c r="E28" s="88">
        <x:v>0</x:v>
      </x:c>
      <x:c r="F28" s="88">
        <x:v>4.3082000000000003</x:v>
      </x:c>
      <x:c r="G28" s="88">
        <x:v>9.0521999999999991</x:v>
      </x:c>
      <x:c r="H28" s="88">
        <x:v>14.0382</x:v>
      </x:c>
      <x:c r="I28" s="88">
        <x:v>0</x:v>
      </x:c>
      <x:c r="J28" s="88">
        <x:v>0</x:v>
      </x:c>
      <x:c r="K28" s="88">
        <x:v>0</x:v>
      </x:c>
      <x:c r="L28" s="88">
        <x:v>0</x:v>
      </x:c>
    </x:row>
    <x:row r="29" spans="1:18" x14ac:dyDescent="0.25">
      <x:c r="A29">
        <x:f t="shared" si="2"/>
        <x:v>20</x:v>
      </x:c>
      <x:c r="B29" s="87">
        <x:f t="shared" si="2"/>
        <x:v>2022</x:v>
      </x:c>
      <x:c r="C29" s="87">
        <x:f>+C28</x:f>
        <x:v>1</x:v>
      </x:c>
      <x:c r="D29" s="87">
        <x:f>+D28</x:f>
        <x:v>21</x:v>
      </x:c>
      <x:c r="E29" s="88">
        <x:v>12.650400000000001</x:v>
      </x:c>
      <x:c r="F29" s="88">
        <x:v>22.650399999999998</x:v>
      </x:c>
      <x:c r="G29" s="88">
        <x:v>27.650400000000005</x:v>
      </x:c>
      <x:c r="H29" s="88">
        <x:v>32.650399999999998</x:v>
      </x:c>
      <x:c r="I29" s="88">
        <x:v>0</x:v>
      </x:c>
      <x:c r="J29" s="88">
        <x:v>0</x:v>
      </x:c>
      <x:c r="K29" s="88">
        <x:v>0</x:v>
      </x:c>
      <x:c r="L29" s="88">
        <x:v>0</x:v>
      </x:c>
    </x:row>
    <x:row r="30" spans="1:18" x14ac:dyDescent="0.25">
      <x:c r="A30">
        <x:f t="shared" si="2"/>
        <x:v>21</x:v>
      </x:c>
      <x:c r="B30" s="87">
        <x:f t="shared" si="2"/>
        <x:v>2023</x:v>
      </x:c>
      <x:c r="C30" s="87">
        <x:f>+C29</x:f>
        <x:v>1</x:v>
      </x:c>
      <x:c r="D30" s="87">
        <x:f>+D29</x:f>
        <x:v>21</x:v>
      </x:c>
      <x:c r="E30" s="175">
        <x:v>5.6000000000000797E-3</x:v>
      </x:c>
      <x:c r="F30" s="175">
        <x:v>4.9895000000000005</x:v>
      </x:c>
      <x:c r="G30" s="175">
        <x:v>9.9895000000000014</x:v>
      </x:c>
      <x:c r="H30" s="175">
        <x:v>14.989500000000001</x:v>
      </x:c>
      <x:c r="I30" s="88">
        <x:v>0</x:v>
      </x:c>
      <x:c r="J30" s="88">
        <x:v>0</x:v>
      </x:c>
      <x:c r="K30" s="88">
        <x:v>0</x:v>
      </x:c>
      <x:c r="L30" s="88">
        <x:v>0</x:v>
      </x:c>
      <x:c r="O30" s="144"/>
      <x:c r="P30" s="144"/>
      <x:c r="Q30" s="144"/>
      <x:c r="R30" s="144"/>
    </x:row>
    <x:row r="31" spans="1:18" ht="13" x14ac:dyDescent="0.3">
      <x:c r="A31">
        <x:f t="shared" si="2"/>
        <x:v>22</x:v>
      </x:c>
      <x:c r="B31" s="89" t="s">
        <x:v>136</x:v>
      </x:c>
      <x:c r="C31" s="87"/>
      <x:c r="D31" s="87"/>
      <x:c r="E31" s="205">
        <x:f>AVERAGE(E11:E30)</x:f>
        <x:v>1.8834333333333322</x:v>
      </x:c>
      <x:c r="F31" s="205">
        <x:f t="shared" ref="F31:L31" si="3">AVERAGE(F11:F30)</x:f>
        <x:v>8.3457204166666674</x:v>
      </x:c>
      <x:c r="G31" s="205">
        <x:f t="shared" si="3"/>
        <x:v>12.613923750000001</x:v>
      </x:c>
      <x:c r="H31" s="205">
        <x:f t="shared" ref="H31" si="4">AVERAGE(H11:H30)</x:f>
        <x:v>17.374625416666667</x:v>
      </x:c>
      <x:c r="I31" s="138">
        <x:f t="shared" si="3"/>
        <x:v>9.7849999999999798E-2</x:v>
      </x:c>
      <x:c r="J31" s="138">
        <x:f t="shared" si="3"/>
        <x:v>0</x:v>
      </x:c>
      <x:c r="K31" s="138">
        <x:f t="shared" ref="K31" si="5">AVERAGE(K11:K30)</x:f>
        <x:v>0</x:v>
      </x:c>
      <x:c r="L31" s="138">
        <x:f t="shared" si="3"/>
        <x:v>0</x:v>
      </x:c>
    </x:row>
  </x:sheetData>
  <x:mergeCells count="6">
    <x:mergeCell ref="B8:L8"/>
    <x:mergeCell ref="B1:L1"/>
    <x:mergeCell ref="B2:L2"/>
    <x:mergeCell ref="B3:L3"/>
    <x:mergeCell ref="B4:L4"/>
    <x:mergeCell ref="B6:L6"/>
  </x:mergeCells>
  <x:printOptions horizontalCentered="1"/>
  <x:pageMargins left="1.5" right="0.5" top="1.5" bottom="1" header="1" footer="0.5"/>
  <x:pageSetup scale="69" firstPageNumber="3" orientation="portrait" r:id="rId1"/>
  <x:headerFooter alignWithMargins="0">
    <x:oddHeader>&amp;RSchedule II-H-5.2
Page &amp;P of 37</x:oddHeader>
  </x:headerFooter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Sheet11">
    <x:pageSetUpPr fitToPage="1"/>
  </x:sheetPr>
  <x:dimension ref="A1:R31"/>
  <x:sheetViews>
    <x:sheetView view="pageBreakPreview" zoomScaleNormal="100" workbookViewId="0"/>
  </x:sheetViews>
  <x:sheetFormatPr defaultRowHeight="12.5" x14ac:dyDescent="0.25"/>
  <x:cols>
    <x:col min="2" max="2" width="9.90625" customWidth="1"/>
    <x:col min="3" max="3" width="9" customWidth="1"/>
    <x:col min="4" max="4" width="6.90625" customWidth="1"/>
    <x:col min="5" max="5" width="10.36328125" customWidth="1"/>
    <x:col min="6" max="6" width="10.453125" customWidth="1"/>
    <x:col min="7" max="8" width="10.6328125" customWidth="1"/>
    <x:col min="9" max="9" width="10.90625" customWidth="1"/>
    <x:col min="10" max="11" width="12.6328125" customWidth="1"/>
  </x:cols>
  <x:sheetData>
    <x:row r="1" spans="1:12" ht="15.5" x14ac:dyDescent="0.35">
      <x:c r="A1" s="8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</x:row>
    <x:row r="2" spans="1:12" ht="15.5" x14ac:dyDescent="0.35">
      <x:c r="A2" s="8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212"/>
    </x:row>
    <x:row r="3" spans="1:12" ht="15.5" x14ac:dyDescent="0.35">
      <x:c r="A3" s="8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212"/>
    </x:row>
    <x:row r="4" spans="1:12" ht="15.5" x14ac:dyDescent="0.35">
      <x:c r="A4" s="8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212"/>
    </x:row>
    <x:row r="5" spans="1:12" x14ac:dyDescent="0.25">
      <x:c r="A5" s="81"/>
      <x:c r="B5" s="83"/>
      <x:c r="C5" s="82"/>
      <x:c r="D5" s="82"/>
    </x:row>
    <x:row r="6" spans="1:12" ht="15.5" x14ac:dyDescent="0.35">
      <x:c r="A6" s="81"/>
      <x:c r="B6" s="209" t="str">
        <x:f>+RES!B6</x:f>
        <x:v>SPONSOR: D. E. NELSON</x:v>
      </x:c>
      <x:c r="C6" s="212"/>
      <x:c r="D6" s="212"/>
      <x:c r="E6" s="212"/>
      <x:c r="F6" s="212"/>
      <x:c r="G6" s="212"/>
      <x:c r="H6" s="212"/>
      <x:c r="I6" s="212"/>
      <x:c r="J6" s="212"/>
      <x:c r="K6" s="212"/>
      <x:c r="L6" s="212"/>
    </x:row>
    <x:row r="8" spans="1:12" ht="15.5" x14ac:dyDescent="0.35">
      <x:c r="B8" s="209" t="s">
        <x:v>137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212"/>
    </x:row>
    <x:row r="9" spans="1:12" ht="24" thickBot="1" x14ac:dyDescent="0.35">
      <x:c r="A9" s="84" t="s">
        <x:v>86</x:v>
      </x:c>
      <x:c r="B9" s="85"/>
    </x:row>
    <x:row r="10" spans="1:12" ht="13" thickBot="1" x14ac:dyDescent="0.3">
      <x:c r="A10">
        <x:v>1</x:v>
      </x:c>
      <x:c r="B10" s="86" t="s">
        <x:v>87</x:v>
      </x:c>
      <x:c r="C10" s="86" t="s">
        <x:v>88</x:v>
      </x:c>
      <x:c r="D10" s="86" t="s">
        <x:v>85</x:v>
      </x:c>
      <x:c r="E10" s="136" t="s">
        <x:v>133</x:v>
      </x:c>
      <x:c r="F10" s="136" t="s">
        <x:v>125</x:v>
      </x:c>
      <x:c r="G10" s="136" t="s">
        <x:v>89</x:v>
      </x:c>
      <x:c r="H10" s="136" t="s">
        <x:v>134</x:v>
      </x:c>
      <x:c r="I10" s="136" t="s">
        <x:v>90</x:v>
      </x:c>
      <x:c r="J10" s="136" t="s">
        <x:v>91</x:v>
      </x:c>
      <x:c r="K10" s="136" t="s">
        <x:v>92</x:v>
      </x:c>
      <x:c r="L10" s="136" t="s">
        <x:v>138</x:v>
      </x:c>
    </x:row>
    <x:row r="11" spans="1:12" x14ac:dyDescent="0.25">
      <x:c r="A11">
        <x:f t="shared" ref="A11:B26" si="0">+A10+1</x:f>
        <x:v>2</x:v>
      </x:c>
      <x:c r="B11" s="87">
        <x:v>2004</x:v>
      </x:c>
      <x:c r="C11" s="87">
        <x:v>7</x:v>
      </x:c>
      <x:c r="D11" s="87">
        <x:v>20</x:v>
      </x:c>
      <x:c r="E11" s="88">
        <x:v>0</x:v>
      </x:c>
      <x:c r="F11" s="88">
        <x:v>0</x:v>
      </x:c>
      <x:c r="G11" s="88">
        <x:v>0</x:v>
      </x:c>
      <x:c r="H11" s="88">
        <x:v>0</x:v>
      </x:c>
      <x:c r="I11" s="88">
        <x:v>18.936708333333304</x:v>
      </x:c>
      <x:c r="J11" s="88">
        <x:v>13.93170833333331</x:v>
      </x:c>
      <x:c r="K11" s="88">
        <x:v>8.926708333333309</x:v>
      </x:c>
      <x:c r="L11" s="88">
        <x:v>3.9794583333333096</x:v>
      </x:c>
    </x:row>
    <x:row r="12" spans="1:12" x14ac:dyDescent="0.25">
      <x:c r="A12">
        <x:f t="shared" si="0"/>
        <x:v>3</x:v>
      </x:c>
      <x:c r="B12" s="87">
        <x:f>+B11+1</x:f>
        <x:v>2005</x:v>
      </x:c>
      <x:c r="C12" s="87">
        <x:f>+C11</x:f>
        <x:v>7</x:v>
      </x:c>
      <x:c r="D12" s="87">
        <x:f>+D11</x:f>
        <x:v>20</x:v>
      </x:c>
      <x:c r="E12" s="88">
        <x:v>0</x:v>
      </x:c>
      <x:c r="F12" s="88">
        <x:v>0</x:v>
      </x:c>
      <x:c r="G12" s="88">
        <x:v>0</x:v>
      </x:c>
      <x:c r="H12" s="88">
        <x:v>0</x:v>
      </x:c>
      <x:c r="I12" s="88">
        <x:v>19.823166666666694</x:v>
      </x:c>
      <x:c r="J12" s="88">
        <x:v>14.818166666666693</x:v>
      </x:c>
      <x:c r="K12" s="88">
        <x:v>9.8131666666666888</x:v>
      </x:c>
      <x:c r="L12" s="88">
        <x:v>4.842666666666692</x:v>
      </x:c>
    </x:row>
    <x:row r="13" spans="1:12" x14ac:dyDescent="0.25">
      <x:c r="A13">
        <x:f t="shared" si="0"/>
        <x:v>4</x:v>
      </x:c>
      <x:c r="B13" s="87">
        <x:f t="shared" si="0"/>
        <x:v>2006</x:v>
      </x:c>
      <x:c r="C13" s="87">
        <x:f t="shared" ref="C13:D28" si="1">+C12</x:f>
        <x:v>7</x:v>
      </x:c>
      <x:c r="D13" s="87">
        <x:f t="shared" si="1"/>
        <x:v>20</x:v>
      </x:c>
      <x:c r="E13" s="88">
        <x:v>0</x:v>
      </x:c>
      <x:c r="F13" s="88">
        <x:v>0</x:v>
      </x:c>
      <x:c r="G13" s="88">
        <x:v>0</x:v>
      </x:c>
      <x:c r="H13" s="88">
        <x:v>0</x:v>
      </x:c>
      <x:c r="I13" s="88">
        <x:v>25.705791666666695</x:v>
      </x:c>
      <x:c r="J13" s="88">
        <x:v>20.700791666666692</x:v>
      </x:c>
      <x:c r="K13" s="88">
        <x:v>15.695791666666693</x:v>
      </x:c>
      <x:c r="L13" s="88">
        <x:v>10.690791666666694</x:v>
      </x:c>
    </x:row>
    <x:row r="14" spans="1:12" x14ac:dyDescent="0.25">
      <x:c r="A14">
        <x:f t="shared" si="0"/>
        <x:v>5</x:v>
      </x:c>
      <x:c r="B14" s="87">
        <x:f t="shared" si="0"/>
        <x:v>2007</x:v>
      </x:c>
      <x:c r="C14" s="87">
        <x:f t="shared" si="1"/>
        <x:v>7</x:v>
      </x:c>
      <x:c r="D14" s="87">
        <x:f t="shared" si="1"/>
        <x:v>20</x:v>
      </x:c>
      <x:c r="E14" s="88">
        <x:v>0</x:v>
      </x:c>
      <x:c r="F14" s="88">
        <x:v>0</x:v>
      </x:c>
      <x:c r="G14" s="88">
        <x:v>0</x:v>
      </x:c>
      <x:c r="H14" s="88">
        <x:v>0</x:v>
      </x:c>
      <x:c r="I14" s="88">
        <x:v>14.462416666666641</x:v>
      </x:c>
      <x:c r="J14" s="88">
        <x:v>9.4574166666666404</x:v>
      </x:c>
      <x:c r="K14" s="88">
        <x:v>4.5264166666666412</x:v>
      </x:c>
      <x:c r="L14" s="88">
        <x:v>0.52724999999997735</x:v>
      </x:c>
    </x:row>
    <x:row r="15" spans="1:12" x14ac:dyDescent="0.25">
      <x:c r="A15">
        <x:f t="shared" si="0"/>
        <x:v>6</x:v>
      </x:c>
      <x:c r="B15" s="87">
        <x:f t="shared" si="0"/>
        <x:v>2008</x:v>
      </x:c>
      <x:c r="C15" s="87">
        <x:f t="shared" si="1"/>
        <x:v>7</x:v>
      </x:c>
      <x:c r="D15" s="87">
        <x:f t="shared" si="1"/>
        <x:v>20</x:v>
      </x:c>
      <x:c r="E15" s="88">
        <x:v>0</x:v>
      </x:c>
      <x:c r="F15" s="88">
        <x:v>0</x:v>
      </x:c>
      <x:c r="G15" s="88">
        <x:v>0</x:v>
      </x:c>
      <x:c r="H15" s="88">
        <x:v>0</x:v>
      </x:c>
      <x:c r="I15" s="88">
        <x:v>23.813699999999997</x:v>
      </x:c>
      <x:c r="J15" s="88">
        <x:v>18.808699999999998</x:v>
      </x:c>
      <x:c r="K15" s="88">
        <x:v>13.803699999999996</x:v>
      </x:c>
      <x:c r="L15" s="88">
        <x:v>8.7986999999999984</x:v>
      </x:c>
    </x:row>
    <x:row r="16" spans="1:12" x14ac:dyDescent="0.25">
      <x:c r="A16">
        <x:f t="shared" si="0"/>
        <x:v>7</x:v>
      </x:c>
      <x:c r="B16" s="87">
        <x:f t="shared" si="0"/>
        <x:v>2009</x:v>
      </x:c>
      <x:c r="C16" s="87">
        <x:f t="shared" si="1"/>
        <x:v>7</x:v>
      </x:c>
      <x:c r="D16" s="87">
        <x:f t="shared" si="1"/>
        <x:v>20</x:v>
      </x:c>
      <x:c r="E16" s="88">
        <x:v>0</x:v>
      </x:c>
      <x:c r="F16" s="88">
        <x:v>0</x:v>
      </x:c>
      <x:c r="G16" s="88">
        <x:v>0</x:v>
      </x:c>
      <x:c r="H16" s="88">
        <x:v>0</x:v>
      </x:c>
      <x:c r="I16" s="88">
        <x:v>16.114000000000001</x:v>
      </x:c>
      <x:c r="J16" s="88">
        <x:v>11.109000000000002</x:v>
      </x:c>
      <x:c r="K16" s="88">
        <x:v>6.104000000000001</x:v>
      </x:c>
      <x:c r="L16" s="88">
        <x:v>1.1540000000000021</x:v>
      </x:c>
    </x:row>
    <x:row r="17" spans="1:18" x14ac:dyDescent="0.25">
      <x:c r="A17">
        <x:f t="shared" si="0"/>
        <x:v>8</x:v>
      </x:c>
      <x:c r="B17" s="87">
        <x:f t="shared" si="0"/>
        <x:v>2010</x:v>
      </x:c>
      <x:c r="C17" s="87">
        <x:f t="shared" si="1"/>
        <x:v>7</x:v>
      </x:c>
      <x:c r="D17" s="87">
        <x:f t="shared" si="1"/>
        <x:v>20</x:v>
      </x:c>
      <x:c r="E17" s="88">
        <x:v>0</x:v>
      </x:c>
      <x:c r="F17" s="88">
        <x:v>0</x:v>
      </x:c>
      <x:c r="G17" s="88">
        <x:v>0</x:v>
      </x:c>
      <x:c r="H17" s="88">
        <x:v>0</x:v>
      </x:c>
      <x:c r="I17" s="88">
        <x:v>21.195999999999994</x:v>
      </x:c>
      <x:c r="J17" s="88">
        <x:v>16.190999999999995</x:v>
      </x:c>
      <x:c r="K17" s="88">
        <x:v>11.185999999999996</x:v>
      </x:c>
      <x:c r="L17" s="88">
        <x:v>6.1809999999999956</x:v>
      </x:c>
    </x:row>
    <x:row r="18" spans="1:18" x14ac:dyDescent="0.25">
      <x:c r="A18">
        <x:f t="shared" si="0"/>
        <x:v>9</x:v>
      </x:c>
      <x:c r="B18" s="87">
        <x:f t="shared" si="0"/>
        <x:v>2011</x:v>
      </x:c>
      <x:c r="C18" s="87">
        <x:f t="shared" si="1"/>
        <x:v>7</x:v>
      </x:c>
      <x:c r="D18" s="87">
        <x:f t="shared" si="1"/>
        <x:v>20</x:v>
      </x:c>
      <x:c r="E18" s="88">
        <x:v>0</x:v>
      </x:c>
      <x:c r="F18" s="88">
        <x:v>0</x:v>
      </x:c>
      <x:c r="G18" s="88">
        <x:v>0</x:v>
      </x:c>
      <x:c r="H18" s="88">
        <x:v>0</x:v>
      </x:c>
      <x:c r="I18" s="88">
        <x:v>24.055699999999995</x:v>
      </x:c>
      <x:c r="J18" s="88">
        <x:v>19.050699999999992</x:v>
      </x:c>
      <x:c r="K18" s="88">
        <x:v>14.045699999999997</x:v>
      </x:c>
      <x:c r="L18" s="88">
        <x:v>9.0406999999999975</x:v>
      </x:c>
    </x:row>
    <x:row r="19" spans="1:18" x14ac:dyDescent="0.25">
      <x:c r="A19">
        <x:f t="shared" si="0"/>
        <x:v>10</x:v>
      </x:c>
      <x:c r="B19" s="87">
        <x:f t="shared" si="0"/>
        <x:v>2012</x:v>
      </x:c>
      <x:c r="C19" s="87">
        <x:f t="shared" si="1"/>
        <x:v>7</x:v>
      </x:c>
      <x:c r="D19" s="87">
        <x:f t="shared" si="1"/>
        <x:v>20</x:v>
      </x:c>
      <x:c r="E19" s="88">
        <x:v>0</x:v>
      </x:c>
      <x:c r="F19" s="88">
        <x:v>0</x:v>
      </x:c>
      <x:c r="G19" s="88">
        <x:v>0</x:v>
      </x:c>
      <x:c r="H19" s="88">
        <x:v>0</x:v>
      </x:c>
      <x:c r="I19" s="88">
        <x:v>23.203999999999994</x:v>
      </x:c>
      <x:c r="J19" s="88">
        <x:v>18.198999999999998</x:v>
      </x:c>
      <x:c r="K19" s="88">
        <x:v>13.193999999999992</x:v>
      </x:c>
      <x:c r="L19" s="88">
        <x:v>8.1889999999999947</x:v>
      </x:c>
    </x:row>
    <x:row r="20" spans="1:18" x14ac:dyDescent="0.25">
      <x:c r="A20">
        <x:f t="shared" si="0"/>
        <x:v>11</x:v>
      </x:c>
      <x:c r="B20" s="87">
        <x:f t="shared" si="0"/>
        <x:v>2013</x:v>
      </x:c>
      <x:c r="C20" s="87">
        <x:f t="shared" si="1"/>
        <x:v>7</x:v>
      </x:c>
      <x:c r="D20" s="87">
        <x:f t="shared" si="1"/>
        <x:v>20</x:v>
      </x:c>
      <x:c r="E20" s="88">
        <x:v>0</x:v>
      </x:c>
      <x:c r="F20" s="88">
        <x:v>0</x:v>
      </x:c>
      <x:c r="G20" s="88">
        <x:v>0</x:v>
      </x:c>
      <x:c r="H20" s="88">
        <x:v>0</x:v>
      </x:c>
      <x:c r="I20" s="88">
        <x:v>16.654900000000001</x:v>
      </x:c>
      <x:c r="J20" s="88">
        <x:v>11.649900000000004</x:v>
      </x:c>
      <x:c r="K20" s="88">
        <x:v>6.6449000000000034</x:v>
      </x:c>
      <x:c r="L20" s="88">
        <x:v>1.7181000000000031</x:v>
      </x:c>
    </x:row>
    <x:row r="21" spans="1:18" x14ac:dyDescent="0.25">
      <x:c r="A21">
        <x:f t="shared" si="0"/>
        <x:v>12</x:v>
      </x:c>
      <x:c r="B21" s="87">
        <x:f t="shared" si="0"/>
        <x:v>2014</x:v>
      </x:c>
      <x:c r="C21" s="87">
        <x:f t="shared" si="1"/>
        <x:v>7</x:v>
      </x:c>
      <x:c r="D21" s="87">
        <x:f t="shared" si="1"/>
        <x:v>20</x:v>
      </x:c>
      <x:c r="E21" s="88">
        <x:v>0</x:v>
      </x:c>
      <x:c r="F21" s="88">
        <x:v>0</x:v>
      </x:c>
      <x:c r="G21" s="88">
        <x:v>0</x:v>
      </x:c>
      <x:c r="H21" s="88">
        <x:v>0</x:v>
      </x:c>
      <x:c r="I21" s="88">
        <x:v>14.438599999999997</x:v>
      </x:c>
      <x:c r="J21" s="88">
        <x:v>9.4335999999999984</x:v>
      </x:c>
      <x:c r="K21" s="88">
        <x:v>4.4285999999999994</x:v>
      </x:c>
      <x:c r="L21" s="88">
        <x:v>0.54720000000000002</x:v>
      </x:c>
    </x:row>
    <x:row r="22" spans="1:18" x14ac:dyDescent="0.25">
      <x:c r="A22">
        <x:f t="shared" si="0"/>
        <x:v>13</x:v>
      </x:c>
      <x:c r="B22" s="87">
        <x:f t="shared" si="0"/>
        <x:v>2015</x:v>
      </x:c>
      <x:c r="C22" s="87">
        <x:f t="shared" si="1"/>
        <x:v>7</x:v>
      </x:c>
      <x:c r="D22" s="87">
        <x:f t="shared" si="1"/>
        <x:v>20</x:v>
      </x:c>
      <x:c r="E22" s="88">
        <x:v>0</x:v>
      </x:c>
      <x:c r="F22" s="88">
        <x:v>0</x:v>
      </x:c>
      <x:c r="G22" s="88">
        <x:v>0</x:v>
      </x:c>
      <x:c r="H22" s="88">
        <x:v>0</x:v>
      </x:c>
      <x:c r="I22" s="88">
        <x:v>23.892400000000002</x:v>
      </x:c>
      <x:c r="J22" s="88">
        <x:v>18.887399999999996</x:v>
      </x:c>
      <x:c r="K22" s="88">
        <x:v>13.882399999999997</x:v>
      </x:c>
      <x:c r="L22" s="88">
        <x:v>8.877399999999998</x:v>
      </x:c>
    </x:row>
    <x:row r="23" spans="1:18" x14ac:dyDescent="0.25">
      <x:c r="A23">
        <x:f t="shared" si="0"/>
        <x:v>14</x:v>
      </x:c>
      <x:c r="B23" s="87">
        <x:f t="shared" si="0"/>
        <x:v>2016</x:v>
      </x:c>
      <x:c r="C23" s="87">
        <x:f t="shared" si="1"/>
        <x:v>7</x:v>
      </x:c>
      <x:c r="D23" s="87">
        <x:f t="shared" si="1"/>
        <x:v>20</x:v>
      </x:c>
      <x:c r="E23" s="88">
        <x:v>0</x:v>
      </x:c>
      <x:c r="F23" s="88">
        <x:v>0</x:v>
      </x:c>
      <x:c r="G23" s="88">
        <x:v>0</x:v>
      </x:c>
      <x:c r="H23" s="88">
        <x:v>0</x:v>
      </x:c>
      <x:c r="I23" s="88">
        <x:v>23.165499999999994</x:v>
      </x:c>
      <x:c r="J23" s="88">
        <x:v>18.160499999999999</x:v>
      </x:c>
      <x:c r="K23" s="88">
        <x:v>13.155499999999998</x:v>
      </x:c>
      <x:c r="L23" s="88">
        <x:v>8.1504999999999974</x:v>
      </x:c>
    </x:row>
    <x:row r="24" spans="1:18" x14ac:dyDescent="0.25">
      <x:c r="A24">
        <x:f t="shared" si="0"/>
        <x:v>15</x:v>
      </x:c>
      <x:c r="B24" s="87">
        <x:f t="shared" si="0"/>
        <x:v>2017</x:v>
      </x:c>
      <x:c r="C24" s="87">
        <x:f t="shared" si="1"/>
        <x:v>7</x:v>
      </x:c>
      <x:c r="D24" s="87">
        <x:f t="shared" si="1"/>
        <x:v>20</x:v>
      </x:c>
      <x:c r="E24" s="88">
        <x:v>0</x:v>
      </x:c>
      <x:c r="F24" s="88">
        <x:v>0</x:v>
      </x:c>
      <x:c r="G24" s="88">
        <x:v>0</x:v>
      </x:c>
      <x:c r="H24" s="88">
        <x:v>0</x:v>
      </x:c>
      <x:c r="I24" s="88">
        <x:v>24.217699999999997</x:v>
      </x:c>
      <x:c r="J24" s="88">
        <x:v>19.212699999999998</x:v>
      </x:c>
      <x:c r="K24" s="88">
        <x:v>14.207699999999999</x:v>
      </x:c>
      <x:c r="L24" s="88">
        <x:v>9.2027000000000001</x:v>
      </x:c>
    </x:row>
    <x:row r="25" spans="1:18" x14ac:dyDescent="0.25">
      <x:c r="A25">
        <x:f t="shared" si="0"/>
        <x:v>16</x:v>
      </x:c>
      <x:c r="B25" s="87">
        <x:f t="shared" si="0"/>
        <x:v>2018</x:v>
      </x:c>
      <x:c r="C25" s="87">
        <x:f t="shared" si="1"/>
        <x:v>7</x:v>
      </x:c>
      <x:c r="D25" s="87">
        <x:f t="shared" si="1"/>
        <x:v>20</x:v>
      </x:c>
      <x:c r="E25" s="88">
        <x:v>0</x:v>
      </x:c>
      <x:c r="F25" s="88">
        <x:v>0</x:v>
      </x:c>
      <x:c r="G25" s="88">
        <x:v>0</x:v>
      </x:c>
      <x:c r="H25" s="88">
        <x:v>0</x:v>
      </x:c>
      <x:c r="I25" s="88">
        <x:v>29.064700000000006</x:v>
      </x:c>
      <x:c r="J25" s="88">
        <x:v>24.059699999999999</x:v>
      </x:c>
      <x:c r="K25" s="88">
        <x:v>19.054699999999997</x:v>
      </x:c>
      <x:c r="L25" s="88">
        <x:v>14.049700000000003</x:v>
      </x:c>
    </x:row>
    <x:row r="26" spans="1:18" x14ac:dyDescent="0.25">
      <x:c r="A26">
        <x:f t="shared" si="0"/>
        <x:v>17</x:v>
      </x:c>
      <x:c r="B26" s="87">
        <x:f t="shared" si="0"/>
        <x:v>2019</x:v>
      </x:c>
      <x:c r="C26" s="87">
        <x:f t="shared" si="1"/>
        <x:v>7</x:v>
      </x:c>
      <x:c r="D26" s="87">
        <x:f t="shared" si="1"/>
        <x:v>20</x:v>
      </x:c>
      <x:c r="E26" s="88">
        <x:v>0</x:v>
      </x:c>
      <x:c r="F26" s="88">
        <x:v>0</x:v>
      </x:c>
      <x:c r="G26" s="88">
        <x:v>0</x:v>
      </x:c>
      <x:c r="H26" s="88">
        <x:v>0</x:v>
      </x:c>
      <x:c r="I26" s="88">
        <x:v>22.111100000000004</x:v>
      </x:c>
      <x:c r="J26" s="88">
        <x:v>17.106099999999998</x:v>
      </x:c>
      <x:c r="K26" s="88">
        <x:v>12.101099999999997</x:v>
      </x:c>
      <x:c r="L26" s="88">
        <x:v>7.0960999999999972</x:v>
      </x:c>
    </x:row>
    <x:row r="27" spans="1:18" x14ac:dyDescent="0.25">
      <x:c r="A27">
        <x:f t="shared" ref="A27:B31" si="2">+A26+1</x:f>
        <x:v>18</x:v>
      </x:c>
      <x:c r="B27" s="87">
        <x:f t="shared" si="2"/>
        <x:v>2020</x:v>
      </x:c>
      <x:c r="C27" s="87">
        <x:f t="shared" si="1"/>
        <x:v>7</x:v>
      </x:c>
      <x:c r="D27" s="87">
        <x:f t="shared" si="1"/>
        <x:v>20</x:v>
      </x:c>
      <x:c r="E27" s="88">
        <x:v>0</x:v>
      </x:c>
      <x:c r="F27" s="88">
        <x:v>0</x:v>
      </x:c>
      <x:c r="G27" s="88">
        <x:v>0</x:v>
      </x:c>
      <x:c r="H27" s="88">
        <x:v>0</x:v>
      </x:c>
      <x:c r="I27" s="88">
        <x:v>21.093800000000005</x:v>
      </x:c>
      <x:c r="J27" s="88">
        <x:v>16.088800000000006</x:v>
      </x:c>
      <x:c r="K27" s="88">
        <x:v>11.083800000000004</x:v>
      </x:c>
      <x:c r="L27" s="88">
        <x:v>6.0788000000000038</x:v>
      </x:c>
    </x:row>
    <x:row r="28" spans="1:18" x14ac:dyDescent="0.25">
      <x:c r="A28">
        <x:f t="shared" si="2"/>
        <x:v>19</x:v>
      </x:c>
      <x:c r="B28" s="87">
        <x:f t="shared" si="2"/>
        <x:v>2021</x:v>
      </x:c>
      <x:c r="C28" s="87">
        <x:f t="shared" si="1"/>
        <x:v>7</x:v>
      </x:c>
      <x:c r="D28" s="87">
        <x:f t="shared" si="1"/>
        <x:v>20</x:v>
      </x:c>
      <x:c r="E28" s="88">
        <x:v>0</x:v>
      </x:c>
      <x:c r="F28" s="88">
        <x:v>0</x:v>
      </x:c>
      <x:c r="G28" s="88">
        <x:v>0</x:v>
      </x:c>
      <x:c r="H28" s="88">
        <x:v>0</x:v>
      </x:c>
      <x:c r="I28" s="88">
        <x:v>15.325600000000005</x:v>
      </x:c>
      <x:c r="J28" s="88">
        <x:v>10.320600000000002</x:v>
      </x:c>
      <x:c r="K28" s="88">
        <x:v>5.3156000000000034</x:v>
      </x:c>
      <x:c r="L28" s="88">
        <x:v>0.98280000000000389</x:v>
      </x:c>
    </x:row>
    <x:row r="29" spans="1:18" x14ac:dyDescent="0.25">
      <x:c r="A29">
        <x:f t="shared" si="2"/>
        <x:v>20</x:v>
      </x:c>
      <x:c r="B29" s="87">
        <x:f t="shared" si="2"/>
        <x:v>2022</x:v>
      </x:c>
      <x:c r="C29" s="87">
        <x:f>+C28</x:f>
        <x:v>7</x:v>
      </x:c>
      <x:c r="D29" s="87">
        <x:f>+D28</x:f>
        <x:v>20</x:v>
      </x:c>
      <x:c r="E29" s="88">
        <x:v>0</x:v>
      </x:c>
      <x:c r="F29" s="88">
        <x:v>0</x:v>
      </x:c>
      <x:c r="G29" s="88">
        <x:v>0</x:v>
      </x:c>
      <x:c r="H29" s="88">
        <x:v>0</x:v>
      </x:c>
      <x:c r="I29" s="88">
        <x:v>29.140500000000003</x:v>
      </x:c>
      <x:c r="J29" s="88">
        <x:v>24.1355</x:v>
      </x:c>
      <x:c r="K29" s="88">
        <x:v>19.130500000000001</x:v>
      </x:c>
      <x:c r="L29" s="88">
        <x:v>14.125499999999997</x:v>
      </x:c>
    </x:row>
    <x:row r="30" spans="1:18" x14ac:dyDescent="0.25">
      <x:c r="A30">
        <x:f t="shared" si="2"/>
        <x:v>21</x:v>
      </x:c>
      <x:c r="B30" s="87">
        <x:f t="shared" si="2"/>
        <x:v>2023</x:v>
      </x:c>
      <x:c r="C30" s="87">
        <x:f>+C29</x:f>
        <x:v>7</x:v>
      </x:c>
      <x:c r="D30" s="87">
        <x:f>+D29</x:f>
        <x:v>20</x:v>
      </x:c>
      <x:c r="E30" s="175">
        <x:v>0</x:v>
      </x:c>
      <x:c r="F30" s="175">
        <x:v>0</x:v>
      </x:c>
      <x:c r="G30" s="175">
        <x:v>0</x:v>
      </x:c>
      <x:c r="H30" s="175">
        <x:v>0</x:v>
      </x:c>
      <x:c r="I30" s="175">
        <x:v>26.468600000000006</x:v>
      </x:c>
      <x:c r="J30" s="175">
        <x:v>21.463600000000007</x:v>
      </x:c>
      <x:c r="K30" s="175">
        <x:v>16.458600000000004</x:v>
      </x:c>
      <x:c r="L30" s="175">
        <x:v>11.453600000000005</x:v>
      </x:c>
      <x:c r="O30" s="144"/>
      <x:c r="P30" s="144"/>
      <x:c r="Q30" s="144"/>
      <x:c r="R30" s="144"/>
    </x:row>
    <x:row r="31" spans="1:18" ht="13" x14ac:dyDescent="0.3">
      <x:c r="A31">
        <x:f t="shared" si="2"/>
        <x:v>22</x:v>
      </x:c>
      <x:c r="B31" s="89" t="s">
        <x:v>139</x:v>
      </x:c>
      <x:c r="C31" s="87"/>
      <x:c r="D31" s="87"/>
      <x:c r="E31" s="138">
        <x:f t="shared" ref="E31:L31" si="3">AVERAGE(E11:E30)</x:f>
        <x:v>0</x:v>
      </x:c>
      <x:c r="F31" s="138">
        <x:f t="shared" si="3"/>
        <x:v>0</x:v>
      </x:c>
      <x:c r="G31" s="138">
        <x:f t="shared" si="3"/>
        <x:v>0</x:v>
      </x:c>
      <x:c r="H31" s="138">
        <x:f t="shared" si="3"/>
        <x:v>0</x:v>
      </x:c>
      <x:c r="I31" s="138">
        <x:f t="shared" si="3"/>
        <x:v>21.644244166666667</x:v>
      </x:c>
      <x:c r="J31" s="138">
        <x:f t="shared" si="3"/>
        <x:v>16.639244166666664</x:v>
      </x:c>
      <x:c r="K31" s="138">
        <x:f t="shared" si="3"/>
        <x:v>11.637944166666665</x:v>
      </x:c>
      <x:c r="L31" s="138">
        <x:f t="shared" si="3"/>
        <x:v>6.7842983333333322</x:v>
      </x:c>
    </x:row>
  </x:sheetData>
  <x:mergeCells count="6">
    <x:mergeCell ref="B8:L8"/>
    <x:mergeCell ref="B1:L1"/>
    <x:mergeCell ref="B2:L2"/>
    <x:mergeCell ref="B3:L3"/>
    <x:mergeCell ref="B4:L4"/>
    <x:mergeCell ref="B6:L6"/>
  </x:mergeCells>
  <x:printOptions horizontalCentered="1"/>
  <x:pageMargins left="1.5" right="0.5" top="1.5" bottom="1" header="1" footer="0.5"/>
  <x:pageSetup scale="69" firstPageNumber="3" orientation="portrait" r:id="rId1"/>
  <x:headerFooter alignWithMargins="0">
    <x:oddHeader>&amp;RSchedule II-H-5.2
Page &amp;P of 37</x:oddHead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Sheet12">
    <x:pageSetUpPr fitToPage="1"/>
  </x:sheetPr>
  <x:dimension ref="A1:L31"/>
  <x:sheetViews>
    <x:sheetView view="pageBreakPreview" zoomScaleNormal="100" workbookViewId="0">
      <x:selection activeCell="I28" sqref="I28"/>
    </x:sheetView>
  </x:sheetViews>
  <x:sheetFormatPr defaultRowHeight="12.5" x14ac:dyDescent="0.25"/>
  <x:cols>
    <x:col min="2" max="2" width="9.90625" customWidth="1"/>
    <x:col min="3" max="3" width="9" customWidth="1"/>
    <x:col min="4" max="4" width="6.90625" customWidth="1"/>
    <x:col min="5" max="5" width="10.36328125" customWidth="1"/>
    <x:col min="6" max="6" width="10.453125" customWidth="1"/>
    <x:col min="7" max="8" width="10.6328125" customWidth="1"/>
    <x:col min="9" max="9" width="10.90625" customWidth="1"/>
    <x:col min="10" max="11" width="12.6328125" customWidth="1"/>
  </x:cols>
  <x:sheetData>
    <x:row r="1" spans="1:12" ht="15.5" x14ac:dyDescent="0.35">
      <x:c r="A1" s="8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</x:row>
    <x:row r="2" spans="1:12" ht="15.5" x14ac:dyDescent="0.35">
      <x:c r="A2" s="8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212"/>
    </x:row>
    <x:row r="3" spans="1:12" ht="15.5" x14ac:dyDescent="0.35">
      <x:c r="A3" s="8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212"/>
    </x:row>
    <x:row r="4" spans="1:12" ht="15.5" x14ac:dyDescent="0.35">
      <x:c r="A4" s="8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212"/>
    </x:row>
    <x:row r="5" spans="1:12" x14ac:dyDescent="0.25">
      <x:c r="A5" s="81"/>
      <x:c r="B5" s="83"/>
      <x:c r="C5" s="82"/>
      <x:c r="D5" s="82"/>
    </x:row>
    <x:row r="6" spans="1:12" ht="15.5" x14ac:dyDescent="0.35">
      <x:c r="A6" s="81"/>
      <x:c r="B6" s="209" t="str">
        <x:f>+RES!B6</x:f>
        <x:v>SPONSOR: D. E. NELSON</x:v>
      </x:c>
      <x:c r="C6" s="212"/>
      <x:c r="D6" s="212"/>
      <x:c r="E6" s="212"/>
      <x:c r="F6" s="212"/>
      <x:c r="G6" s="212"/>
      <x:c r="H6" s="212"/>
      <x:c r="I6" s="212"/>
      <x:c r="J6" s="212"/>
      <x:c r="K6" s="212"/>
      <x:c r="L6" s="212"/>
    </x:row>
    <x:row r="8" spans="1:12" ht="15.5" x14ac:dyDescent="0.35">
      <x:c r="B8" s="209" t="s">
        <x:v>150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212"/>
    </x:row>
    <x:row r="9" spans="1:12" ht="24" thickBot="1" x14ac:dyDescent="0.35">
      <x:c r="A9" s="84" t="s">
        <x:v>86</x:v>
      </x:c>
      <x:c r="B9" s="85"/>
    </x:row>
    <x:row r="10" spans="1:12" ht="13" thickBot="1" x14ac:dyDescent="0.3">
      <x:c r="A10">
        <x:v>1</x:v>
      </x:c>
      <x:c r="B10" s="86" t="s">
        <x:v>87</x:v>
      </x:c>
      <x:c r="C10" s="86" t="s">
        <x:v>88</x:v>
      </x:c>
      <x:c r="D10" s="86" t="s">
        <x:v>85</x:v>
      </x:c>
      <x:c r="E10" s="136" t="s">
        <x:v>133</x:v>
      </x:c>
      <x:c r="F10" s="136" t="s">
        <x:v>125</x:v>
      </x:c>
      <x:c r="G10" s="136" t="s">
        <x:v>89</x:v>
      </x:c>
      <x:c r="H10" s="136" t="s">
        <x:v>134</x:v>
      </x:c>
      <x:c r="I10" s="136" t="s">
        <x:v>90</x:v>
      </x:c>
      <x:c r="J10" s="136" t="s">
        <x:v>91</x:v>
      </x:c>
      <x:c r="K10" s="136" t="s">
        <x:v>92</x:v>
      </x:c>
      <x:c r="L10" s="136" t="s">
        <x:v>138</x:v>
      </x:c>
    </x:row>
    <x:row r="11" spans="1:12" x14ac:dyDescent="0.25">
      <x:c r="A11">
        <x:f t="shared" ref="A11:B26" si="0">+A10+1</x:f>
        <x:v>2</x:v>
      </x:c>
      <x:c r="B11" s="87">
        <x:v>2004</x:v>
      </x:c>
      <x:c r="C11" s="87">
        <x:v>1</x:v>
      </x:c>
      <x:c r="D11" s="87">
        <x:v>14</x:v>
      </x:c>
      <x:c r="E11" s="88">
        <x:v>0</x:v>
      </x:c>
      <x:c r="F11" s="88">
        <x:v>0.51458333333333139</x:v>
      </x:c>
      <x:c r="G11" s="88">
        <x:v>3.1735833333333563</x:v>
      </x:c>
      <x:c r="H11" s="88">
        <x:v>8.0565833333333554</x:v>
      </x:c>
      <x:c r="I11" s="88">
        <x:v>0</x:v>
      </x:c>
      <x:c r="J11" s="88">
        <x:v>0</x:v>
      </x:c>
      <x:c r="K11" s="88">
        <x:v>0</x:v>
      </x:c>
      <x:c r="L11" s="88">
        <x:v>0</x:v>
      </x:c>
    </x:row>
    <x:row r="12" spans="1:12" x14ac:dyDescent="0.25">
      <x:c r="A12">
        <x:f t="shared" si="0"/>
        <x:v>3</x:v>
      </x:c>
      <x:c r="B12" s="87">
        <x:f>+B11+1</x:f>
        <x:v>2005</x:v>
      </x:c>
      <x:c r="C12" s="87">
        <x:f>+C11</x:f>
        <x:v>1</x:v>
      </x:c>
      <x:c r="D12" s="87">
        <x:f>+D11</x:f>
        <x:v>14</x:v>
      </x:c>
      <x:c r="E12" s="88">
        <x:v>3.4289583333333109</x:v>
      </x:c>
      <x:c r="F12" s="88">
        <x:v>13.407958333333312</x:v>
      </x:c>
      <x:c r="G12" s="88">
        <x:v>18.407958333333308</x:v>
      </x:c>
      <x:c r="H12" s="88">
        <x:v>23.407958333333319</x:v>
      </x:c>
      <x:c r="I12" s="88">
        <x:v>0</x:v>
      </x:c>
      <x:c r="J12" s="88">
        <x:v>0</x:v>
      </x:c>
      <x:c r="K12" s="88">
        <x:v>0</x:v>
      </x:c>
      <x:c r="L12" s="88">
        <x:v>0</x:v>
      </x:c>
    </x:row>
    <x:row r="13" spans="1:12" x14ac:dyDescent="0.25">
      <x:c r="A13">
        <x:f t="shared" si="0"/>
        <x:v>4</x:v>
      </x:c>
      <x:c r="B13" s="87">
        <x:f t="shared" si="0"/>
        <x:v>2006</x:v>
      </x:c>
      <x:c r="C13" s="87">
        <x:f t="shared" ref="C13:D28" si="1">+C12</x:f>
        <x:v>1</x:v>
      </x:c>
      <x:c r="D13" s="87">
        <x:f t="shared" si="1"/>
        <x:v>14</x:v>
      </x:c>
      <x:c r="E13" s="88">
        <x:v>0</x:v>
      </x:c>
      <x:c r="F13" s="88">
        <x:v>5.4309166666666462</x:v>
      </x:c>
      <x:c r="G13" s="88">
        <x:v>10.430916666666649</x:v>
      </x:c>
      <x:c r="H13" s="88">
        <x:v>15.430916666666647</x:v>
      </x:c>
      <x:c r="I13" s="88">
        <x:v>0</x:v>
      </x:c>
      <x:c r="J13" s="88">
        <x:v>0</x:v>
      </x:c>
      <x:c r="K13" s="88">
        <x:v>0</x:v>
      </x:c>
      <x:c r="L13" s="88">
        <x:v>0</x:v>
      </x:c>
    </x:row>
    <x:row r="14" spans="1:12" x14ac:dyDescent="0.25">
      <x:c r="A14">
        <x:f t="shared" si="0"/>
        <x:v>5</x:v>
      </x:c>
      <x:c r="B14" s="87">
        <x:f t="shared" si="0"/>
        <x:v>2007</x:v>
      </x:c>
      <x:c r="C14" s="87">
        <x:f t="shared" si="1"/>
        <x:v>1</x:v>
      </x:c>
      <x:c r="D14" s="87">
        <x:f t="shared" si="1"/>
        <x:v>14</x:v>
      </x:c>
      <x:c r="E14" s="88">
        <x:v>11.868708333333311</x:v>
      </x:c>
      <x:c r="F14" s="88">
        <x:v>21.710041666666651</x:v>
      </x:c>
      <x:c r="G14" s="88">
        <x:v>26.710041666666648</x:v>
      </x:c>
      <x:c r="H14" s="88">
        <x:v>31.710041666666651</x:v>
      </x:c>
      <x:c r="I14" s="88">
        <x:v>0</x:v>
      </x:c>
      <x:c r="J14" s="88">
        <x:v>0</x:v>
      </x:c>
      <x:c r="K14" s="88">
        <x:v>0</x:v>
      </x:c>
      <x:c r="L14" s="88">
        <x:v>0</x:v>
      </x:c>
    </x:row>
    <x:row r="15" spans="1:12" x14ac:dyDescent="0.25">
      <x:c r="A15">
        <x:f t="shared" si="0"/>
        <x:v>6</x:v>
      </x:c>
      <x:c r="B15" s="87">
        <x:f t="shared" si="0"/>
        <x:v>2008</x:v>
      </x:c>
      <x:c r="C15" s="87">
        <x:f t="shared" si="1"/>
        <x:v>1</x:v>
      </x:c>
      <x:c r="D15" s="87">
        <x:f t="shared" si="1"/>
        <x:v>14</x:v>
      </x:c>
      <x:c r="E15" s="88">
        <x:v>0.46110000000000018</x:v>
      </x:c>
      <x:c r="F15" s="88">
        <x:v>6.5628000000000011</x:v>
      </x:c>
      <x:c r="G15" s="88">
        <x:v>11.562799999999999</x:v>
      </x:c>
      <x:c r="H15" s="88">
        <x:v>16.562799999999999</x:v>
      </x:c>
      <x:c r="I15" s="88">
        <x:v>0</x:v>
      </x:c>
      <x:c r="J15" s="88">
        <x:v>0</x:v>
      </x:c>
      <x:c r="K15" s="88">
        <x:v>0</x:v>
      </x:c>
      <x:c r="L15" s="88">
        <x:v>0</x:v>
      </x:c>
    </x:row>
    <x:row r="16" spans="1:12" x14ac:dyDescent="0.25">
      <x:c r="A16">
        <x:f t="shared" si="0"/>
        <x:v>7</x:v>
      </x:c>
      <x:c r="B16" s="87">
        <x:f t="shared" si="0"/>
        <x:v>2009</x:v>
      </x:c>
      <x:c r="C16" s="87">
        <x:f t="shared" si="1"/>
        <x:v>1</x:v>
      </x:c>
      <x:c r="D16" s="87">
        <x:f t="shared" si="1"/>
        <x:v>14</x:v>
      </x:c>
      <x:c r="E16" s="88">
        <x:v>1.0609999999999988</x:v>
      </x:c>
      <x:c r="F16" s="88">
        <x:v>11.061</x:v>
      </x:c>
      <x:c r="G16" s="88">
        <x:v>16.061</x:v>
      </x:c>
      <x:c r="H16" s="88">
        <x:v>21.061000000000003</x:v>
      </x:c>
      <x:c r="I16" s="88">
        <x:v>0</x:v>
      </x:c>
      <x:c r="J16" s="88">
        <x:v>0</x:v>
      </x:c>
      <x:c r="K16" s="88">
        <x:v>0</x:v>
      </x:c>
      <x:c r="L16" s="88">
        <x:v>0</x:v>
      </x:c>
    </x:row>
    <x:row r="17" spans="1:12" x14ac:dyDescent="0.25">
      <x:c r="A17">
        <x:f t="shared" si="0"/>
        <x:v>8</x:v>
      </x:c>
      <x:c r="B17" s="87">
        <x:f t="shared" si="0"/>
        <x:v>2010</x:v>
      </x:c>
      <x:c r="C17" s="87">
        <x:f t="shared" si="1"/>
        <x:v>1</x:v>
      </x:c>
      <x:c r="D17" s="87">
        <x:f t="shared" si="1"/>
        <x:v>14</x:v>
      </x:c>
      <x:c r="E17" s="88">
        <x:v>0</x:v>
      </x:c>
      <x:c r="F17" s="88">
        <x:v>3.352400000000002</x:v>
      </x:c>
      <x:c r="G17" s="88">
        <x:v>8.3524000000000029</x:v>
      </x:c>
      <x:c r="H17" s="88">
        <x:v>13.352400000000003</x:v>
      </x:c>
      <x:c r="I17" s="88">
        <x:v>0</x:v>
      </x:c>
      <x:c r="J17" s="88">
        <x:v>0</x:v>
      </x:c>
      <x:c r="K17" s="88">
        <x:v>0</x:v>
      </x:c>
      <x:c r="L17" s="88">
        <x:v>0</x:v>
      </x:c>
    </x:row>
    <x:row r="18" spans="1:12" x14ac:dyDescent="0.25">
      <x:c r="A18">
        <x:f t="shared" si="0"/>
        <x:v>9</x:v>
      </x:c>
      <x:c r="B18" s="87">
        <x:f t="shared" si="0"/>
        <x:v>2011</x:v>
      </x:c>
      <x:c r="C18" s="87">
        <x:f t="shared" si="1"/>
        <x:v>1</x:v>
      </x:c>
      <x:c r="D18" s="87">
        <x:f t="shared" si="1"/>
        <x:v>14</x:v>
      </x:c>
      <x:c r="E18" s="88">
        <x:v>4.5828999999999995</x:v>
      </x:c>
      <x:c r="F18" s="88">
        <x:v>14.582899999999999</x:v>
      </x:c>
      <x:c r="G18" s="88">
        <x:v>19.582899999999999</x:v>
      </x:c>
      <x:c r="H18" s="88">
        <x:v>24.582899999999995</x:v>
      </x:c>
      <x:c r="I18" s="88">
        <x:v>0</x:v>
      </x:c>
      <x:c r="J18" s="88">
        <x:v>0</x:v>
      </x:c>
      <x:c r="K18" s="88">
        <x:v>0</x:v>
      </x:c>
      <x:c r="L18" s="88">
        <x:v>0</x:v>
      </x:c>
    </x:row>
    <x:row r="19" spans="1:12" x14ac:dyDescent="0.25">
      <x:c r="A19">
        <x:f t="shared" si="0"/>
        <x:v>10</x:v>
      </x:c>
      <x:c r="B19" s="87">
        <x:f t="shared" si="0"/>
        <x:v>2012</x:v>
      </x:c>
      <x:c r="C19" s="87">
        <x:f t="shared" si="1"/>
        <x:v>1</x:v>
      </x:c>
      <x:c r="D19" s="87">
        <x:f t="shared" si="1"/>
        <x:v>14</x:v>
      </x:c>
      <x:c r="E19" s="88">
        <x:v>0.1147999999999999</x:v>
      </x:c>
      <x:c r="F19" s="88">
        <x:v>6.5702000000000007</x:v>
      </x:c>
      <x:c r="G19" s="88">
        <x:v>11.5702</x:v>
      </x:c>
      <x:c r="H19" s="88">
        <x:v>16.570200000000003</x:v>
      </x:c>
      <x:c r="I19" s="88">
        <x:v>0</x:v>
      </x:c>
      <x:c r="J19" s="88">
        <x:v>0</x:v>
      </x:c>
      <x:c r="K19" s="88">
        <x:v>0</x:v>
      </x:c>
      <x:c r="L19" s="88">
        <x:v>0</x:v>
      </x:c>
    </x:row>
    <x:row r="20" spans="1:12" x14ac:dyDescent="0.25">
      <x:c r="A20">
        <x:f t="shared" si="0"/>
        <x:v>11</x:v>
      </x:c>
      <x:c r="B20" s="87">
        <x:f t="shared" si="0"/>
        <x:v>2013</x:v>
      </x:c>
      <x:c r="C20" s="87">
        <x:f t="shared" si="1"/>
        <x:v>1</x:v>
      </x:c>
      <x:c r="D20" s="87">
        <x:f t="shared" si="1"/>
        <x:v>14</x:v>
      </x:c>
      <x:c r="E20" s="88">
        <x:v>9.9001000000000037</x:v>
      </x:c>
      <x:c r="F20" s="88">
        <x:v>19.900100000000002</x:v>
      </x:c>
      <x:c r="G20" s="88">
        <x:v>24.900100000000005</x:v>
      </x:c>
      <x:c r="H20" s="88">
        <x:v>29.900099999999998</x:v>
      </x:c>
      <x:c r="I20" s="88">
        <x:v>0</x:v>
      </x:c>
      <x:c r="J20" s="88">
        <x:v>0</x:v>
      </x:c>
      <x:c r="K20" s="88">
        <x:v>0</x:v>
      </x:c>
      <x:c r="L20" s="88">
        <x:v>0</x:v>
      </x:c>
    </x:row>
    <x:row r="21" spans="1:12" x14ac:dyDescent="0.25">
      <x:c r="A21">
        <x:f t="shared" si="0"/>
        <x:v>12</x:v>
      </x:c>
      <x:c r="B21" s="87">
        <x:f t="shared" si="0"/>
        <x:v>2014</x:v>
      </x:c>
      <x:c r="C21" s="87">
        <x:f t="shared" si="1"/>
        <x:v>1</x:v>
      </x:c>
      <x:c r="D21" s="87">
        <x:f t="shared" si="1"/>
        <x:v>14</x:v>
      </x:c>
      <x:c r="E21" s="88">
        <x:v>1.5199999999999946E-2</x:v>
      </x:c>
      <x:c r="F21" s="88">
        <x:v>6.2174000000000005</x:v>
      </x:c>
      <x:c r="G21" s="88">
        <x:v>11.217400000000001</x:v>
      </x:c>
      <x:c r="H21" s="88">
        <x:v>16.217400000000001</x:v>
      </x:c>
      <x:c r="I21" s="88">
        <x:v>0</x:v>
      </x:c>
      <x:c r="J21" s="88">
        <x:v>0</x:v>
      </x:c>
      <x:c r="K21" s="88">
        <x:v>0</x:v>
      </x:c>
      <x:c r="L21" s="88">
        <x:v>0</x:v>
      </x:c>
    </x:row>
    <x:row r="22" spans="1:12" x14ac:dyDescent="0.25">
      <x:c r="A22">
        <x:f t="shared" si="0"/>
        <x:v>13</x:v>
      </x:c>
      <x:c r="B22" s="87">
        <x:f t="shared" si="0"/>
        <x:v>2015</x:v>
      </x:c>
      <x:c r="C22" s="87">
        <x:f t="shared" si="1"/>
        <x:v>1</x:v>
      </x:c>
      <x:c r="D22" s="87">
        <x:f t="shared" si="1"/>
        <x:v>14</x:v>
      </x:c>
      <x:c r="E22" s="88">
        <x:v>7.405899999999999</x:v>
      </x:c>
      <x:c r="F22" s="88">
        <x:v>17.405900000000003</x:v>
      </x:c>
      <x:c r="G22" s="88">
        <x:v>22.405899999999999</x:v>
      </x:c>
      <x:c r="H22" s="88">
        <x:v>27.405899999999995</x:v>
      </x:c>
      <x:c r="I22" s="88">
        <x:v>0</x:v>
      </x:c>
      <x:c r="J22" s="88">
        <x:v>0</x:v>
      </x:c>
      <x:c r="K22" s="88">
        <x:v>0</x:v>
      </x:c>
      <x:c r="L22" s="88">
        <x:v>0</x:v>
      </x:c>
    </x:row>
    <x:row r="23" spans="1:12" x14ac:dyDescent="0.25">
      <x:c r="A23">
        <x:f t="shared" si="0"/>
        <x:v>14</x:v>
      </x:c>
      <x:c r="B23" s="87">
        <x:f t="shared" si="0"/>
        <x:v>2016</x:v>
      </x:c>
      <x:c r="C23" s="87">
        <x:f t="shared" si="1"/>
        <x:v>1</x:v>
      </x:c>
      <x:c r="D23" s="87">
        <x:f t="shared" si="1"/>
        <x:v>14</x:v>
      </x:c>
      <x:c r="E23" s="88">
        <x:v>0</x:v>
      </x:c>
      <x:c r="F23" s="88">
        <x:v>1.0569999999999979</x:v>
      </x:c>
      <x:c r="G23" s="88">
        <x:v>6.0289999999999981</x:v>
      </x:c>
      <x:c r="H23" s="88">
        <x:v>11.028999999999996</x:v>
      </x:c>
      <x:c r="I23" s="88">
        <x:v>0</x:v>
      </x:c>
      <x:c r="J23" s="88">
        <x:v>0</x:v>
      </x:c>
      <x:c r="K23" s="88">
        <x:v>0</x:v>
      </x:c>
      <x:c r="L23" s="88">
        <x:v>0</x:v>
      </x:c>
    </x:row>
    <x:row r="24" spans="1:12" x14ac:dyDescent="0.25">
      <x:c r="A24">
        <x:f t="shared" si="0"/>
        <x:v>15</x:v>
      </x:c>
      <x:c r="B24" s="87">
        <x:f t="shared" si="0"/>
        <x:v>2017</x:v>
      </x:c>
      <x:c r="C24" s="87">
        <x:f t="shared" si="1"/>
        <x:v>1</x:v>
      </x:c>
      <x:c r="D24" s="87">
        <x:f t="shared" si="1"/>
        <x:v>14</x:v>
      </x:c>
      <x:c r="E24" s="88">
        <x:v>3.5778999999999996</x:v>
      </x:c>
      <x:c r="F24" s="88">
        <x:v>12.623900000000001</x:v>
      </x:c>
      <x:c r="G24" s="88">
        <x:v>17.288899999999998</x:v>
      </x:c>
      <x:c r="H24" s="88">
        <x:v>21.953899999999997</x:v>
      </x:c>
      <x:c r="I24" s="88">
        <x:v>6.740000000000014E-2</x:v>
      </x:c>
      <x:c r="J24" s="88">
        <x:v>0</x:v>
      </x:c>
      <x:c r="K24" s="88">
        <x:v>0</x:v>
      </x:c>
      <x:c r="L24" s="88">
        <x:v>0</x:v>
      </x:c>
    </x:row>
    <x:row r="25" spans="1:12" x14ac:dyDescent="0.25">
      <x:c r="A25">
        <x:f t="shared" si="0"/>
        <x:v>16</x:v>
      </x:c>
      <x:c r="B25" s="87">
        <x:f t="shared" si="0"/>
        <x:v>2018</x:v>
      </x:c>
      <x:c r="C25" s="87">
        <x:f t="shared" si="1"/>
        <x:v>1</x:v>
      </x:c>
      <x:c r="D25" s="87">
        <x:f t="shared" si="1"/>
        <x:v>14</x:v>
      </x:c>
      <x:c r="E25" s="88">
        <x:v>4.0032999999999976</x:v>
      </x:c>
      <x:c r="F25" s="88">
        <x:v>14.003300000000001</x:v>
      </x:c>
      <x:c r="G25" s="88">
        <x:v>19.003299999999999</x:v>
      </x:c>
      <x:c r="H25" s="88">
        <x:v>24.003299999999996</x:v>
      </x:c>
      <x:c r="I25" s="88">
        <x:v>0</x:v>
      </x:c>
      <x:c r="J25" s="88">
        <x:v>0</x:v>
      </x:c>
      <x:c r="K25" s="88">
        <x:v>0</x:v>
      </x:c>
      <x:c r="L25" s="88">
        <x:v>0</x:v>
      </x:c>
    </x:row>
    <x:row r="26" spans="1:12" x14ac:dyDescent="0.25">
      <x:c r="A26">
        <x:f t="shared" si="0"/>
        <x:v>17</x:v>
      </x:c>
      <x:c r="B26" s="87">
        <x:f t="shared" si="0"/>
        <x:v>2019</x:v>
      </x:c>
      <x:c r="C26" s="87">
        <x:f t="shared" si="1"/>
        <x:v>1</x:v>
      </x:c>
      <x:c r="D26" s="87">
        <x:f t="shared" si="1"/>
        <x:v>14</x:v>
      </x:c>
      <x:c r="E26" s="88">
        <x:v>6.3857999999999961</x:v>
      </x:c>
      <x:c r="F26" s="88">
        <x:v>16.385799999999996</x:v>
      </x:c>
      <x:c r="G26" s="88">
        <x:v>21.385799999999993</x:v>
      </x:c>
      <x:c r="H26" s="88">
        <x:v>26.385799999999996</x:v>
      </x:c>
      <x:c r="I26" s="88">
        <x:v>0</x:v>
      </x:c>
      <x:c r="J26" s="88">
        <x:v>0</x:v>
      </x:c>
      <x:c r="K26" s="88">
        <x:v>0</x:v>
      </x:c>
      <x:c r="L26" s="88">
        <x:v>0</x:v>
      </x:c>
    </x:row>
    <x:row r="27" spans="1:12" x14ac:dyDescent="0.25">
      <x:c r="A27">
        <x:f t="shared" ref="A27:B31" si="2">+A26+1</x:f>
        <x:v>18</x:v>
      </x:c>
      <x:c r="B27" s="87">
        <x:f t="shared" si="2"/>
        <x:v>2020</x:v>
      </x:c>
      <x:c r="C27" s="87">
        <x:f t="shared" si="1"/>
        <x:v>1</x:v>
      </x:c>
      <x:c r="D27" s="87">
        <x:f t="shared" si="1"/>
        <x:v>14</x:v>
      </x:c>
      <x:c r="E27" s="88">
        <x:v>0</x:v>
      </x:c>
      <x:c r="F27" s="88">
        <x:v>0.11799999999999967</x:v>
      </x:c>
      <x:c r="G27" s="88">
        <x:v>0.58249999999999968</x:v>
      </x:c>
      <x:c r="H27" s="88">
        <x:v>3.411099999999998</x:v>
      </x:c>
      <x:c r="I27" s="88">
        <x:v>9.6000000000001362E-3</x:v>
      </x:c>
      <x:c r="J27" s="88">
        <x:v>0</x:v>
      </x:c>
      <x:c r="K27" s="88">
        <x:v>0</x:v>
      </x:c>
      <x:c r="L27" s="88">
        <x:v>0</x:v>
      </x:c>
    </x:row>
    <x:row r="28" spans="1:12" x14ac:dyDescent="0.25">
      <x:c r="A28">
        <x:f t="shared" si="2"/>
        <x:v>19</x:v>
      </x:c>
      <x:c r="B28" s="87">
        <x:f t="shared" si="2"/>
        <x:v>2021</x:v>
      </x:c>
      <x:c r="C28" s="87">
        <x:f t="shared" si="1"/>
        <x:v>1</x:v>
      </x:c>
      <x:c r="D28" s="87">
        <x:f t="shared" si="1"/>
        <x:v>14</x:v>
      </x:c>
      <x:c r="E28" s="88">
        <x:v>0</x:v>
      </x:c>
      <x:c r="F28" s="88">
        <x:v>5.013799999999998</x:v>
      </x:c>
      <x:c r="G28" s="88">
        <x:v>10.0138</x:v>
      </x:c>
      <x:c r="H28" s="88">
        <x:v>15.013799999999998</x:v>
      </x:c>
      <x:c r="I28" s="88">
        <x:v>0</x:v>
      </x:c>
      <x:c r="J28" s="88">
        <x:v>0</x:v>
      </x:c>
      <x:c r="K28" s="88">
        <x:v>0</x:v>
      </x:c>
      <x:c r="L28" s="88">
        <x:v>0</x:v>
      </x:c>
    </x:row>
    <x:row r="29" spans="1:12" x14ac:dyDescent="0.25">
      <x:c r="A29">
        <x:f t="shared" si="2"/>
        <x:v>20</x:v>
      </x:c>
      <x:c r="B29" s="87">
        <x:f t="shared" si="2"/>
        <x:v>2022</x:v>
      </x:c>
      <x:c r="C29" s="87">
        <x:f>+C28</x:f>
        <x:v>1</x:v>
      </x:c>
      <x:c r="D29" s="87">
        <x:f>+D28</x:f>
        <x:v>14</x:v>
      </x:c>
      <x:c r="E29" s="88">
        <x:v>0</x:v>
      </x:c>
      <x:c r="F29" s="88">
        <x:v>8.3699999999999664E-2</x:v>
      </x:c>
      <x:c r="G29" s="88">
        <x:v>1.9819999999999993</x:v>
      </x:c>
      <x:c r="H29" s="88">
        <x:v>6.9819999999999993</x:v>
      </x:c>
      <x:c r="I29" s="88">
        <x:v>0</x:v>
      </x:c>
      <x:c r="J29" s="88">
        <x:v>0</x:v>
      </x:c>
      <x:c r="K29" s="88">
        <x:v>0</x:v>
      </x:c>
      <x:c r="L29" s="88">
        <x:v>0</x:v>
      </x:c>
    </x:row>
    <x:row r="30" spans="1:12" x14ac:dyDescent="0.25">
      <x:c r="A30">
        <x:f t="shared" si="2"/>
        <x:v>21</x:v>
      </x:c>
      <x:c r="B30" s="87">
        <x:f t="shared" si="2"/>
        <x:v>2023</x:v>
      </x:c>
      <x:c r="C30" s="87">
        <x:f>+C29</x:f>
        <x:v>1</x:v>
      </x:c>
      <x:c r="D30" s="87">
        <x:f>+D29</x:f>
        <x:v>14</x:v>
      </x:c>
      <x:c r="E30" s="175">
        <x:v>8.5799999999999835E-2</x:v>
      </x:c>
      <x:c r="F30" s="175">
        <x:v>5.4561999999999991</x:v>
      </x:c>
      <x:c r="G30" s="175">
        <x:v>10.456200000000003</x:v>
      </x:c>
      <x:c r="H30" s="175">
        <x:v>15.456199999999999</x:v>
      </x:c>
      <x:c r="I30" s="88">
        <x:v>0</x:v>
      </x:c>
      <x:c r="J30" s="88">
        <x:v>0</x:v>
      </x:c>
      <x:c r="K30" s="88">
        <x:v>0</x:v>
      </x:c>
      <x:c r="L30" s="88">
        <x:v>0</x:v>
      </x:c>
    </x:row>
    <x:row r="31" spans="1:12" ht="13" x14ac:dyDescent="0.3">
      <x:c r="A31">
        <x:f t="shared" si="2"/>
        <x:v>22</x:v>
      </x:c>
      <x:c r="B31" s="89" t="s">
        <x:v>151</x:v>
      </x:c>
      <x:c r="C31" s="87"/>
      <x:c r="D31" s="87"/>
      <x:c r="E31" s="137">
        <x:f>AVERAGE(E11:E30)</x:f>
        <x:v>2.644573333333331</x:v>
      </x:c>
      <x:c r="F31" s="137">
        <x:f t="shared" ref="F31:L31" si="3">AVERAGE(F11:F30)</x:f>
        <x:v>9.0728949999999973</x:v>
      </x:c>
      <x:c r="G31" s="137">
        <x:f t="shared" si="3"/>
        <x:v>13.555834999999998</x:v>
      </x:c>
      <x:c r="H31" s="137">
        <x:f t="shared" si="3"/>
        <x:v>18.424664999999997</x:v>
      </x:c>
      <x:c r="I31" s="138">
        <x:f t="shared" si="3"/>
        <x:v>3.850000000000014E-3</x:v>
      </x:c>
      <x:c r="J31" s="138">
        <x:f t="shared" si="3"/>
        <x:v>0</x:v>
      </x:c>
      <x:c r="K31" s="138">
        <x:f t="shared" ref="K31" si="4">AVERAGE(K11:K30)</x:f>
        <x:v>0</x:v>
      </x:c>
      <x:c r="L31" s="138">
        <x:f t="shared" si="3"/>
        <x:v>0</x:v>
      </x:c>
    </x:row>
  </x:sheetData>
  <x:mergeCells count="6">
    <x:mergeCell ref="B8:L8"/>
    <x:mergeCell ref="B1:L1"/>
    <x:mergeCell ref="B2:L2"/>
    <x:mergeCell ref="B3:L3"/>
    <x:mergeCell ref="B4:L4"/>
    <x:mergeCell ref="B6:L6"/>
  </x:mergeCells>
  <x:printOptions horizontalCentered="1"/>
  <x:pageMargins left="1.5" right="0.5" top="1.5" bottom="1" header="1" footer="0.5"/>
  <x:pageSetup scale="69" firstPageNumber="3" orientation="portrait" r:id="rId1"/>
  <x:headerFooter alignWithMargins="0">
    <x:oddHeader>&amp;RSchedule II-H-5.2
Page &amp;P of 37</x:oddHeader>
  </x:headerFooter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Sheet13">
    <x:pageSetUpPr fitToPage="1"/>
  </x:sheetPr>
  <x:dimension ref="A1:L36"/>
  <x:sheetViews>
    <x:sheetView view="pageBreakPreview" zoomScaleNormal="100" workbookViewId="0"/>
  </x:sheetViews>
  <x:sheetFormatPr defaultRowHeight="12.5" x14ac:dyDescent="0.25"/>
  <x:cols>
    <x:col min="2" max="2" width="9.90625" customWidth="1"/>
    <x:col min="3" max="3" width="9" customWidth="1"/>
    <x:col min="4" max="4" width="6.90625" customWidth="1"/>
    <x:col min="5" max="5" width="10.36328125" customWidth="1"/>
    <x:col min="6" max="6" width="10.453125" customWidth="1"/>
    <x:col min="7" max="8" width="10.6328125" customWidth="1"/>
    <x:col min="9" max="9" width="10.90625" customWidth="1"/>
    <x:col min="10" max="11" width="12.6328125" customWidth="1"/>
  </x:cols>
  <x:sheetData>
    <x:row r="1" spans="1:12" ht="15.5" x14ac:dyDescent="0.35">
      <x:c r="A1" s="8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</x:row>
    <x:row r="2" spans="1:12" ht="15.5" x14ac:dyDescent="0.35">
      <x:c r="A2" s="8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212"/>
    </x:row>
    <x:row r="3" spans="1:12" ht="15.5" x14ac:dyDescent="0.35">
      <x:c r="A3" s="8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212"/>
    </x:row>
    <x:row r="4" spans="1:12" ht="15.5" x14ac:dyDescent="0.35">
      <x:c r="A4" s="8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212"/>
    </x:row>
    <x:row r="5" spans="1:12" x14ac:dyDescent="0.25">
      <x:c r="A5" s="81"/>
      <x:c r="B5" s="83"/>
      <x:c r="C5" s="82"/>
      <x:c r="D5" s="82"/>
    </x:row>
    <x:row r="6" spans="1:12" ht="15.5" x14ac:dyDescent="0.35">
      <x:c r="A6" s="81"/>
      <x:c r="B6" s="209" t="str">
        <x:f>+RES!B6</x:f>
        <x:v>SPONSOR: D. E. NELSON</x:v>
      </x:c>
      <x:c r="C6" s="212"/>
      <x:c r="D6" s="212"/>
      <x:c r="E6" s="212"/>
      <x:c r="F6" s="212"/>
      <x:c r="G6" s="212"/>
      <x:c r="H6" s="212"/>
      <x:c r="I6" s="212"/>
      <x:c r="J6" s="212"/>
      <x:c r="K6" s="212"/>
      <x:c r="L6" s="212"/>
    </x:row>
    <x:row r="8" spans="1:12" ht="15.5" x14ac:dyDescent="0.35">
      <x:c r="B8" s="209" t="s">
        <x:v>140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212"/>
    </x:row>
    <x:row r="9" spans="1:12" ht="24" thickBot="1" x14ac:dyDescent="0.35">
      <x:c r="A9" s="84" t="s">
        <x:v>86</x:v>
      </x:c>
      <x:c r="B9" s="85"/>
    </x:row>
    <x:row r="10" spans="1:12" ht="13" thickBot="1" x14ac:dyDescent="0.3">
      <x:c r="A10">
        <x:v>1</x:v>
      </x:c>
      <x:c r="B10" s="86" t="s">
        <x:v>87</x:v>
      </x:c>
      <x:c r="C10" s="86" t="s">
        <x:v>88</x:v>
      </x:c>
      <x:c r="D10" s="86" t="s">
        <x:v>85</x:v>
      </x:c>
      <x:c r="E10" s="136" t="s">
        <x:v>133</x:v>
      </x:c>
      <x:c r="F10" s="136" t="s">
        <x:v>125</x:v>
      </x:c>
      <x:c r="G10" s="136" t="s">
        <x:v>89</x:v>
      </x:c>
      <x:c r="H10" s="136" t="s">
        <x:v>134</x:v>
      </x:c>
      <x:c r="I10" s="136" t="s">
        <x:v>90</x:v>
      </x:c>
      <x:c r="J10" s="136" t="s">
        <x:v>91</x:v>
      </x:c>
      <x:c r="K10" s="136" t="s">
        <x:v>92</x:v>
      </x:c>
      <x:c r="L10" s="136" t="s">
        <x:v>138</x:v>
      </x:c>
    </x:row>
    <x:row r="11" spans="1:12" x14ac:dyDescent="0.25">
      <x:c r="A11">
        <x:f t="shared" ref="A11:B26" si="0">+A10+1</x:f>
        <x:v>2</x:v>
      </x:c>
      <x:c r="B11" s="87">
        <x:v>2004</x:v>
      </x:c>
      <x:c r="C11" s="87">
        <x:v>7</x:v>
      </x:c>
      <x:c r="D11" s="87">
        <x:v>14</x:v>
      </x:c>
      <x:c r="E11" s="88">
        <x:v>0</x:v>
      </x:c>
      <x:c r="F11" s="88">
        <x:v>0</x:v>
      </x:c>
      <x:c r="G11" s="88">
        <x:v>0</x:v>
      </x:c>
      <x:c r="H11" s="88">
        <x:v>0</x:v>
      </x:c>
      <x:c r="I11" s="88">
        <x:v>21.069083333333339</x:v>
      </x:c>
      <x:c r="J11" s="88">
        <x:v>16.06408333333334</x:v>
      </x:c>
      <x:c r="K11" s="88">
        <x:v>11.059083333333335</x:v>
      </x:c>
      <x:c r="L11" s="88">
        <x:v>6.0540833333333364</x:v>
      </x:c>
    </x:row>
    <x:row r="12" spans="1:12" x14ac:dyDescent="0.25">
      <x:c r="A12">
        <x:f t="shared" si="0"/>
        <x:v>3</x:v>
      </x:c>
      <x:c r="B12" s="87">
        <x:f>+B11+1</x:f>
        <x:v>2005</x:v>
      </x:c>
      <x:c r="C12" s="87">
        <x:f>+C11</x:f>
        <x:v>7</x:v>
      </x:c>
      <x:c r="D12" s="87">
        <x:f>+D11</x:f>
        <x:v>14</x:v>
      </x:c>
      <x:c r="E12" s="88">
        <x:v>0</x:v>
      </x:c>
      <x:c r="F12" s="88">
        <x:v>0</x:v>
      </x:c>
      <x:c r="G12" s="88">
        <x:v>0</x:v>
      </x:c>
      <x:c r="H12" s="88">
        <x:v>0</x:v>
      </x:c>
      <x:c r="I12" s="88">
        <x:v>18.426291666666646</x:v>
      </x:c>
      <x:c r="J12" s="88">
        <x:v>13.42129166666664</x:v>
      </x:c>
      <x:c r="K12" s="88">
        <x:v>8.416291666666643</x:v>
      </x:c>
      <x:c r="L12" s="88">
        <x:v>3.5347499999999745</x:v>
      </x:c>
    </x:row>
    <x:row r="13" spans="1:12" x14ac:dyDescent="0.25">
      <x:c r="A13">
        <x:f t="shared" si="0"/>
        <x:v>4</x:v>
      </x:c>
      <x:c r="B13" s="87">
        <x:f t="shared" si="0"/>
        <x:v>2006</x:v>
      </x:c>
      <x:c r="C13" s="87">
        <x:f t="shared" ref="C13:D28" si="1">+C12</x:f>
        <x:v>7</x:v>
      </x:c>
      <x:c r="D13" s="87">
        <x:f t="shared" si="1"/>
        <x:v>14</x:v>
      </x:c>
      <x:c r="E13" s="88">
        <x:v>0</x:v>
      </x:c>
      <x:c r="F13" s="88">
        <x:v>0</x:v>
      </x:c>
      <x:c r="G13" s="88">
        <x:v>0</x:v>
      </x:c>
      <x:c r="H13" s="88">
        <x:v>0</x:v>
      </x:c>
      <x:c r="I13" s="88">
        <x:v>24.193708333333326</x:v>
      </x:c>
      <x:c r="J13" s="88">
        <x:v>19.188708333333327</x:v>
      </x:c>
      <x:c r="K13" s="88">
        <x:v>14.18370833333333</x:v>
      </x:c>
      <x:c r="L13" s="88">
        <x:v>9.1787083333333275</x:v>
      </x:c>
    </x:row>
    <x:row r="14" spans="1:12" x14ac:dyDescent="0.25">
      <x:c r="A14">
        <x:f t="shared" si="0"/>
        <x:v>5</x:v>
      </x:c>
      <x:c r="B14" s="87">
        <x:f t="shared" si="0"/>
        <x:v>2007</x:v>
      </x:c>
      <x:c r="C14" s="87">
        <x:f t="shared" si="1"/>
        <x:v>7</x:v>
      </x:c>
      <x:c r="D14" s="87">
        <x:f t="shared" si="1"/>
        <x:v>14</x:v>
      </x:c>
      <x:c r="E14" s="88">
        <x:v>0</x:v>
      </x:c>
      <x:c r="F14" s="88">
        <x:v>0</x:v>
      </x:c>
      <x:c r="G14" s="88">
        <x:v>0</x:v>
      </x:c>
      <x:c r="H14" s="88">
        <x:v>0</x:v>
      </x:c>
      <x:c r="I14" s="88">
        <x:v>15.370583333333355</x:v>
      </x:c>
      <x:c r="J14" s="88">
        <x:v>10.365583333333356</x:v>
      </x:c>
      <x:c r="K14" s="88">
        <x:v>5.3665833333333586</x:v>
      </x:c>
      <x:c r="L14" s="88">
        <x:v>1.0822500000000232</x:v>
      </x:c>
    </x:row>
    <x:row r="15" spans="1:12" x14ac:dyDescent="0.25">
      <x:c r="A15">
        <x:f t="shared" si="0"/>
        <x:v>6</x:v>
      </x:c>
      <x:c r="B15" s="87">
        <x:f t="shared" si="0"/>
        <x:v>2008</x:v>
      </x:c>
      <x:c r="C15" s="87">
        <x:f t="shared" si="1"/>
        <x:v>7</x:v>
      </x:c>
      <x:c r="D15" s="87">
        <x:f t="shared" si="1"/>
        <x:v>14</x:v>
      </x:c>
      <x:c r="E15" s="88">
        <x:v>0</x:v>
      </x:c>
      <x:c r="F15" s="88">
        <x:v>0</x:v>
      </x:c>
      <x:c r="G15" s="88">
        <x:v>0</x:v>
      </x:c>
      <x:c r="H15" s="88">
        <x:v>0</x:v>
      </x:c>
      <x:c r="I15" s="88">
        <x:v>20.707800000000002</x:v>
      </x:c>
      <x:c r="J15" s="88">
        <x:v>15.702800000000005</x:v>
      </x:c>
      <x:c r="K15" s="88">
        <x:v>10.697800000000006</x:v>
      </x:c>
      <x:c r="L15" s="88">
        <x:v>5.7506000000000022</x:v>
      </x:c>
    </x:row>
    <x:row r="16" spans="1:12" x14ac:dyDescent="0.25">
      <x:c r="A16">
        <x:f t="shared" si="0"/>
        <x:v>7</x:v>
      </x:c>
      <x:c r="B16" s="87">
        <x:f t="shared" si="0"/>
        <x:v>2009</x:v>
      </x:c>
      <x:c r="C16" s="87">
        <x:f t="shared" si="1"/>
        <x:v>7</x:v>
      </x:c>
      <x:c r="D16" s="87">
        <x:f t="shared" si="1"/>
        <x:v>14</x:v>
      </x:c>
      <x:c r="E16" s="88">
        <x:v>0</x:v>
      </x:c>
      <x:c r="F16" s="88">
        <x:v>0</x:v>
      </x:c>
      <x:c r="G16" s="88">
        <x:v>0</x:v>
      </x:c>
      <x:c r="H16" s="88">
        <x:v>0</x:v>
      </x:c>
      <x:c r="I16" s="88">
        <x:v>26.962700000000002</x:v>
      </x:c>
      <x:c r="J16" s="88">
        <x:v>21.957700000000006</x:v>
      </x:c>
      <x:c r="K16" s="88">
        <x:v>16.9527</x:v>
      </x:c>
      <x:c r="L16" s="88">
        <x:v>11.947700000000001</x:v>
      </x:c>
    </x:row>
    <x:row r="17" spans="1:12" x14ac:dyDescent="0.25">
      <x:c r="A17">
        <x:f t="shared" si="0"/>
        <x:v>8</x:v>
      </x:c>
      <x:c r="B17" s="87">
        <x:f t="shared" si="0"/>
        <x:v>2010</x:v>
      </x:c>
      <x:c r="C17" s="87">
        <x:f t="shared" si="1"/>
        <x:v>7</x:v>
      </x:c>
      <x:c r="D17" s="87">
        <x:f t="shared" si="1"/>
        <x:v>14</x:v>
      </x:c>
      <x:c r="E17" s="88">
        <x:v>0</x:v>
      </x:c>
      <x:c r="F17" s="88">
        <x:v>0</x:v>
      </x:c>
      <x:c r="G17" s="88">
        <x:v>0</x:v>
      </x:c>
      <x:c r="H17" s="88">
        <x:v>0</x:v>
      </x:c>
      <x:c r="I17" s="88">
        <x:v>22.267800000000001</x:v>
      </x:c>
      <x:c r="J17" s="88">
        <x:v>17.262799999999999</x:v>
      </x:c>
      <x:c r="K17" s="88">
        <x:v>12.257799999999998</x:v>
      </x:c>
      <x:c r="L17" s="88">
        <x:v>7.2527999999999997</x:v>
      </x:c>
    </x:row>
    <x:row r="18" spans="1:12" x14ac:dyDescent="0.25">
      <x:c r="A18">
        <x:f t="shared" si="0"/>
        <x:v>9</x:v>
      </x:c>
      <x:c r="B18" s="87">
        <x:f t="shared" si="0"/>
        <x:v>2011</x:v>
      </x:c>
      <x:c r="C18" s="87">
        <x:f t="shared" si="1"/>
        <x:v>7</x:v>
      </x:c>
      <x:c r="D18" s="87">
        <x:f t="shared" si="1"/>
        <x:v>14</x:v>
      </x:c>
      <x:c r="E18" s="88">
        <x:v>0</x:v>
      </x:c>
      <x:c r="F18" s="88">
        <x:v>0</x:v>
      </x:c>
      <x:c r="G18" s="88">
        <x:v>0</x:v>
      </x:c>
      <x:c r="H18" s="88">
        <x:v>0</x:v>
      </x:c>
      <x:c r="I18" s="88">
        <x:v>27.298399999999987</x:v>
      </x:c>
      <x:c r="J18" s="88">
        <x:v>22.293399999999995</x:v>
      </x:c>
      <x:c r="K18" s="88">
        <x:v>17.288399999999996</x:v>
      </x:c>
      <x:c r="L18" s="88">
        <x:v>12.28339999999999</x:v>
      </x:c>
    </x:row>
    <x:row r="19" spans="1:12" x14ac:dyDescent="0.25">
      <x:c r="A19">
        <x:f t="shared" si="0"/>
        <x:v>10</x:v>
      </x:c>
      <x:c r="B19" s="87">
        <x:f t="shared" si="0"/>
        <x:v>2012</x:v>
      </x:c>
      <x:c r="C19" s="87">
        <x:f t="shared" si="1"/>
        <x:v>7</x:v>
      </x:c>
      <x:c r="D19" s="87">
        <x:f t="shared" si="1"/>
        <x:v>14</x:v>
      </x:c>
      <x:c r="E19" s="88">
        <x:v>0</x:v>
      </x:c>
      <x:c r="F19" s="88">
        <x:v>0</x:v>
      </x:c>
      <x:c r="G19" s="88">
        <x:v>0</x:v>
      </x:c>
      <x:c r="H19" s="88">
        <x:v>0</x:v>
      </x:c>
      <x:c r="I19" s="88">
        <x:v>18.587900000000005</x:v>
      </x:c>
      <x:c r="J19" s="88">
        <x:v>13.582899999999999</x:v>
      </x:c>
      <x:c r="K19" s="88">
        <x:v>8.5779000000000014</x:v>
      </x:c>
      <x:c r="L19" s="88">
        <x:v>3.7203000000000017</x:v>
      </x:c>
    </x:row>
    <x:row r="20" spans="1:12" x14ac:dyDescent="0.25">
      <x:c r="A20">
        <x:f t="shared" si="0"/>
        <x:v>11</x:v>
      </x:c>
      <x:c r="B20" s="87">
        <x:f t="shared" si="0"/>
        <x:v>2013</x:v>
      </x:c>
      <x:c r="C20" s="87">
        <x:f t="shared" si="1"/>
        <x:v>7</x:v>
      </x:c>
      <x:c r="D20" s="87">
        <x:f t="shared" si="1"/>
        <x:v>14</x:v>
      </x:c>
      <x:c r="E20" s="88">
        <x:v>0</x:v>
      </x:c>
      <x:c r="F20" s="88">
        <x:v>0</x:v>
      </x:c>
      <x:c r="G20" s="88">
        <x:v>0</x:v>
      </x:c>
      <x:c r="H20" s="88">
        <x:v>0</x:v>
      </x:c>
      <x:c r="I20" s="88">
        <x:v>10.188699999999995</x:v>
      </x:c>
      <x:c r="J20" s="88">
        <x:v>5.1836999999999938</x:v>
      </x:c>
      <x:c r="K20" s="88">
        <x:v>1.341</x:v>
      </x:c>
      <x:c r="L20" s="88">
        <x:v>0.57420000000000004</x:v>
      </x:c>
    </x:row>
    <x:row r="21" spans="1:12" x14ac:dyDescent="0.25">
      <x:c r="A21">
        <x:f t="shared" si="0"/>
        <x:v>12</x:v>
      </x:c>
      <x:c r="B21" s="87">
        <x:f t="shared" si="0"/>
        <x:v>2014</x:v>
      </x:c>
      <x:c r="C21" s="87">
        <x:f t="shared" si="1"/>
        <x:v>7</x:v>
      </x:c>
      <x:c r="D21" s="87">
        <x:f t="shared" si="1"/>
        <x:v>14</x:v>
      </x:c>
      <x:c r="E21" s="88">
        <x:v>0</x:v>
      </x:c>
      <x:c r="F21" s="88">
        <x:v>0</x:v>
      </x:c>
      <x:c r="G21" s="88">
        <x:v>0</x:v>
      </x:c>
      <x:c r="H21" s="88">
        <x:v>0</x:v>
      </x:c>
      <x:c r="I21" s="88">
        <x:v>21.174500000000005</x:v>
      </x:c>
      <x:c r="J21" s="88">
        <x:v>16.169500000000003</x:v>
      </x:c>
      <x:c r="K21" s="88">
        <x:v>11.164500000000004</x:v>
      </x:c>
      <x:c r="L21" s="88">
        <x:v>6.1595000000000031</x:v>
      </x:c>
    </x:row>
    <x:row r="22" spans="1:12" x14ac:dyDescent="0.25">
      <x:c r="A22">
        <x:f t="shared" si="0"/>
        <x:v>13</x:v>
      </x:c>
      <x:c r="B22" s="87">
        <x:f t="shared" si="0"/>
        <x:v>2015</x:v>
      </x:c>
      <x:c r="C22" s="87">
        <x:f t="shared" si="1"/>
        <x:v>7</x:v>
      </x:c>
      <x:c r="D22" s="87">
        <x:f t="shared" si="1"/>
        <x:v>14</x:v>
      </x:c>
      <x:c r="E22" s="88">
        <x:v>0</x:v>
      </x:c>
      <x:c r="F22" s="88">
        <x:v>0</x:v>
      </x:c>
      <x:c r="G22" s="88">
        <x:v>0</x:v>
      </x:c>
      <x:c r="H22" s="88">
        <x:v>0</x:v>
      </x:c>
      <x:c r="I22" s="88">
        <x:v>22.487100000000002</x:v>
      </x:c>
      <x:c r="J22" s="88">
        <x:v>17.482100000000006</x:v>
      </x:c>
      <x:c r="K22" s="88">
        <x:v>12.477100000000005</x:v>
      </x:c>
      <x:c r="L22" s="88">
        <x:v>7.4721000000000055</x:v>
      </x:c>
    </x:row>
    <x:row r="23" spans="1:12" x14ac:dyDescent="0.25">
      <x:c r="A23">
        <x:f t="shared" si="0"/>
        <x:v>14</x:v>
      </x:c>
      <x:c r="B23" s="87">
        <x:f t="shared" si="0"/>
        <x:v>2016</x:v>
      </x:c>
      <x:c r="C23" s="87">
        <x:f t="shared" si="1"/>
        <x:v>7</x:v>
      </x:c>
      <x:c r="D23" s="87">
        <x:f t="shared" si="1"/>
        <x:v>14</x:v>
      </x:c>
      <x:c r="E23" s="88">
        <x:v>0</x:v>
      </x:c>
      <x:c r="F23" s="88">
        <x:v>0</x:v>
      </x:c>
      <x:c r="G23" s="88">
        <x:v>0</x:v>
      </x:c>
      <x:c r="H23" s="88">
        <x:v>0</x:v>
      </x:c>
      <x:c r="I23" s="88">
        <x:v>23.146700000000003</x:v>
      </x:c>
      <x:c r="J23" s="88">
        <x:v>18.141700000000007</x:v>
      </x:c>
      <x:c r="K23" s="88">
        <x:v>13.136700000000008</x:v>
      </x:c>
      <x:c r="L23" s="88">
        <x:v>8.1317000000000075</x:v>
      </x:c>
    </x:row>
    <x:row r="24" spans="1:12" x14ac:dyDescent="0.25">
      <x:c r="A24">
        <x:f t="shared" si="0"/>
        <x:v>15</x:v>
      </x:c>
      <x:c r="B24" s="87">
        <x:f t="shared" si="0"/>
        <x:v>2017</x:v>
      </x:c>
      <x:c r="C24" s="87">
        <x:f t="shared" si="1"/>
        <x:v>7</x:v>
      </x:c>
      <x:c r="D24" s="87">
        <x:f t="shared" si="1"/>
        <x:v>14</x:v>
      </x:c>
      <x:c r="E24" s="88">
        <x:v>0</x:v>
      </x:c>
      <x:c r="F24" s="88">
        <x:v>0</x:v>
      </x:c>
      <x:c r="G24" s="88">
        <x:v>0</x:v>
      </x:c>
      <x:c r="H24" s="88">
        <x:v>0</x:v>
      </x:c>
      <x:c r="I24" s="88">
        <x:v>22.541499999999999</x:v>
      </x:c>
      <x:c r="J24" s="88">
        <x:v>17.536500000000004</x:v>
      </x:c>
      <x:c r="K24" s="88">
        <x:v>12.531500000000001</x:v>
      </x:c>
      <x:c r="L24" s="88">
        <x:v>7.5804999999999998</x:v>
      </x:c>
    </x:row>
    <x:row r="25" spans="1:12" x14ac:dyDescent="0.25">
      <x:c r="A25">
        <x:f t="shared" si="0"/>
        <x:v>16</x:v>
      </x:c>
      <x:c r="B25" s="87">
        <x:f t="shared" si="0"/>
        <x:v>2018</x:v>
      </x:c>
      <x:c r="C25" s="87">
        <x:f t="shared" si="1"/>
        <x:v>7</x:v>
      </x:c>
      <x:c r="D25" s="87">
        <x:f t="shared" si="1"/>
        <x:v>14</x:v>
      </x:c>
      <x:c r="E25" s="88">
        <x:v>0</x:v>
      </x:c>
      <x:c r="F25" s="88">
        <x:v>0</x:v>
      </x:c>
      <x:c r="G25" s="88">
        <x:v>0</x:v>
      </x:c>
      <x:c r="H25" s="88">
        <x:v>0</x:v>
      </x:c>
      <x:c r="I25" s="88">
        <x:v>23.449399999999994</x:v>
      </x:c>
      <x:c r="J25" s="88">
        <x:v>18.444399999999995</x:v>
      </x:c>
      <x:c r="K25" s="88">
        <x:v>13.439399999999997</x:v>
      </x:c>
      <x:c r="L25" s="88">
        <x:v>8.4343999999999983</x:v>
      </x:c>
    </x:row>
    <x:row r="26" spans="1:12" x14ac:dyDescent="0.25">
      <x:c r="A26">
        <x:f t="shared" si="0"/>
        <x:v>17</x:v>
      </x:c>
      <x:c r="B26" s="87">
        <x:f t="shared" si="0"/>
        <x:v>2019</x:v>
      </x:c>
      <x:c r="C26" s="87">
        <x:f t="shared" si="1"/>
        <x:v>7</x:v>
      </x:c>
      <x:c r="D26" s="87">
        <x:f t="shared" si="1"/>
        <x:v>14</x:v>
      </x:c>
      <x:c r="E26" s="88">
        <x:v>0</x:v>
      </x:c>
      <x:c r="F26" s="88">
        <x:v>0</x:v>
      </x:c>
      <x:c r="G26" s="88">
        <x:v>0</x:v>
      </x:c>
      <x:c r="H26" s="88">
        <x:v>0</x:v>
      </x:c>
      <x:c r="I26" s="88">
        <x:v>15.546300000000002</x:v>
      </x:c>
      <x:c r="J26" s="88">
        <x:v>10.541300000000003</x:v>
      </x:c>
      <x:c r="K26" s="88">
        <x:v>5.541500000000001</x:v>
      </x:c>
      <x:c r="L26" s="88">
        <x:v>0.82920000000000238</x:v>
      </x:c>
    </x:row>
    <x:row r="27" spans="1:12" x14ac:dyDescent="0.25">
      <x:c r="A27">
        <x:f t="shared" ref="A27:B31" si="2">+A26+1</x:f>
        <x:v>18</x:v>
      </x:c>
      <x:c r="B27" s="87">
        <x:f t="shared" si="2"/>
        <x:v>2020</x:v>
      </x:c>
      <x:c r="C27" s="87">
        <x:f t="shared" si="1"/>
        <x:v>7</x:v>
      </x:c>
      <x:c r="D27" s="87">
        <x:f t="shared" si="1"/>
        <x:v>14</x:v>
      </x:c>
      <x:c r="E27" s="88">
        <x:v>0</x:v>
      </x:c>
      <x:c r="F27" s="88">
        <x:v>0</x:v>
      </x:c>
      <x:c r="G27" s="88">
        <x:v>0</x:v>
      </x:c>
      <x:c r="H27" s="88">
        <x:v>0</x:v>
      </x:c>
      <x:c r="I27" s="88">
        <x:v>24.336199999999998</x:v>
      </x:c>
      <x:c r="J27" s="88">
        <x:v>19.331199999999999</x:v>
      </x:c>
      <x:c r="K27" s="88">
        <x:v>14.326199999999996</x:v>
      </x:c>
      <x:c r="L27" s="88">
        <x:v>9.321200000000001</x:v>
      </x:c>
    </x:row>
    <x:row r="28" spans="1:12" x14ac:dyDescent="0.25">
      <x:c r="A28">
        <x:f t="shared" si="2"/>
        <x:v>19</x:v>
      </x:c>
      <x:c r="B28" s="87">
        <x:f t="shared" si="2"/>
        <x:v>2021</x:v>
      </x:c>
      <x:c r="C28" s="87">
        <x:f t="shared" si="1"/>
        <x:v>7</x:v>
      </x:c>
      <x:c r="D28" s="87">
        <x:f t="shared" si="1"/>
        <x:v>14</x:v>
      </x:c>
      <x:c r="E28" s="88">
        <x:v>0</x:v>
      </x:c>
      <x:c r="F28" s="88">
        <x:v>0</x:v>
      </x:c>
      <x:c r="G28" s="88">
        <x:v>0</x:v>
      </x:c>
      <x:c r="H28" s="88">
        <x:v>0</x:v>
      </x:c>
      <x:c r="I28" s="88">
        <x:v>15.321199999999999</x:v>
      </x:c>
      <x:c r="J28" s="88">
        <x:v>10.316200000000002</x:v>
      </x:c>
      <x:c r="K28" s="88">
        <x:v>5.311200000000003</x:v>
      </x:c>
      <x:c r="L28" s="88">
        <x:v>0.89440000000000219</x:v>
      </x:c>
    </x:row>
    <x:row r="29" spans="1:12" x14ac:dyDescent="0.25">
      <x:c r="A29">
        <x:f t="shared" si="2"/>
        <x:v>20</x:v>
      </x:c>
      <x:c r="B29" s="87">
        <x:f t="shared" si="2"/>
        <x:v>2022</x:v>
      </x:c>
      <x:c r="C29" s="87">
        <x:f>+C28</x:f>
        <x:v>7</x:v>
      </x:c>
      <x:c r="D29" s="87">
        <x:f>+D28</x:f>
        <x:v>14</x:v>
      </x:c>
      <x:c r="E29" s="88">
        <x:v>0</x:v>
      </x:c>
      <x:c r="F29" s="88">
        <x:v>0</x:v>
      </x:c>
      <x:c r="G29" s="88">
        <x:v>0</x:v>
      </x:c>
      <x:c r="H29" s="88">
        <x:v>0</x:v>
      </x:c>
      <x:c r="I29" s="88">
        <x:v>21.967100000000002</x:v>
      </x:c>
      <x:c r="J29" s="88">
        <x:v>16.9621</x:v>
      </x:c>
      <x:c r="K29" s="88">
        <x:v>11.957100000000001</x:v>
      </x:c>
      <x:c r="L29" s="88">
        <x:v>6.9520999999999997</x:v>
      </x:c>
    </x:row>
    <x:row r="30" spans="1:12" x14ac:dyDescent="0.25">
      <x:c r="A30">
        <x:f t="shared" si="2"/>
        <x:v>21</x:v>
      </x:c>
      <x:c r="B30" s="87">
        <x:f t="shared" si="2"/>
        <x:v>2023</x:v>
      </x:c>
      <x:c r="C30" s="87">
        <x:f>+C29</x:f>
        <x:v>7</x:v>
      </x:c>
      <x:c r="D30" s="87">
        <x:f>+D29</x:f>
        <x:v>14</x:v>
      </x:c>
      <x:c r="E30" s="175">
        <x:v>0</x:v>
      </x:c>
      <x:c r="F30" s="175">
        <x:v>0</x:v>
      </x:c>
      <x:c r="G30" s="175">
        <x:v>0</x:v>
      </x:c>
      <x:c r="H30" s="175">
        <x:v>0</x:v>
      </x:c>
      <x:c r="I30" s="175">
        <x:v>27.401500000000006</x:v>
      </x:c>
      <x:c r="J30" s="175">
        <x:v>22.396500000000003</x:v>
      </x:c>
      <x:c r="K30" s="175">
        <x:v>17.391500000000001</x:v>
      </x:c>
      <x:c r="L30" s="175">
        <x:v>12.386500000000007</x:v>
      </x:c>
    </x:row>
    <x:row r="31" spans="1:12" ht="13" x14ac:dyDescent="0.3">
      <x:c r="A31">
        <x:f t="shared" si="2"/>
        <x:v>22</x:v>
      </x:c>
      <x:c r="B31" s="89" t="s">
        <x:v>141</x:v>
      </x:c>
      <x:c r="C31" s="87"/>
      <x:c r="D31" s="87"/>
      <x:c r="E31" s="138">
        <x:f t="shared" ref="E31:L31" si="3">AVERAGE(E11:E30)</x:f>
        <x:v>0</x:v>
      </x:c>
      <x:c r="F31" s="138">
        <x:f t="shared" si="3"/>
        <x:v>0</x:v>
      </x:c>
      <x:c r="G31" s="138">
        <x:f t="shared" si="3"/>
        <x:v>0</x:v>
      </x:c>
      <x:c r="H31" s="138">
        <x:f t="shared" si="3"/>
        <x:v>0</x:v>
      </x:c>
      <x:c r="I31" s="138">
        <x:f>AVERAGE(I11:I30)</x:f>
        <x:v>21.122223333333327</x:v>
      </x:c>
      <x:c r="J31" s="138">
        <x:f>AVERAGE(J11:J30)</x:f>
        <x:v>16.117223333333335</x:v>
      </x:c>
      <x:c r="K31" s="138">
        <x:f t="shared" si="3"/>
        <x:v>11.170898333333337</x:v>
      </x:c>
      <x:c r="L31" s="138">
        <x:f t="shared" si="3"/>
        <x:v>6.4770195833333348</x:v>
      </x:c>
    </x:row>
    <x:row r="35" spans="5:12" x14ac:dyDescent="0.25">
      <x:c r="E35" s="88"/>
      <x:c r="F35" s="88"/>
      <x:c r="G35" s="88"/>
      <x:c r="H35" s="88"/>
      <x:c r="I35" s="88"/>
      <x:c r="J35" s="88"/>
      <x:c r="K35" s="88"/>
      <x:c r="L35" s="88"/>
    </x:row>
    <x:row r="36" spans="5:12" x14ac:dyDescent="0.25">
      <x:c r="I36" s="88"/>
    </x:row>
  </x:sheetData>
  <x:mergeCells count="6">
    <x:mergeCell ref="B8:L8"/>
    <x:mergeCell ref="B1:L1"/>
    <x:mergeCell ref="B2:L2"/>
    <x:mergeCell ref="B3:L3"/>
    <x:mergeCell ref="B4:L4"/>
    <x:mergeCell ref="B6:L6"/>
  </x:mergeCells>
  <x:printOptions horizontalCentered="1"/>
  <x:pageMargins left="1.5" right="0.5" top="1.5" bottom="1" header="1" footer="0.5"/>
  <x:pageSetup scale="69" firstPageNumber="3" orientation="portrait" r:id="rId1"/>
  <x:headerFooter alignWithMargins="0">
    <x:oddHeader>&amp;RSchedule II-H-5.2
Page &amp;P of 37</x:oddHead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 codeName="Sheet14">
    <x:pageSetUpPr fitToPage="1"/>
  </x:sheetPr>
  <x:dimension ref="A1:P45"/>
  <x:sheetViews>
    <x:sheetView zoomScaleNormal="100" zoomScaleSheetLayoutView="100" workbookViewId="0"/>
  </x:sheetViews>
  <x:sheetFormatPr defaultColWidth="9.08984375" defaultRowHeight="12.5" x14ac:dyDescent="0.25"/>
  <x:cols>
    <x:col min="1" max="1" width="9.08984375" style="9"/>
    <x:col min="2" max="2" width="9.81640625" style="9" customWidth="1"/>
    <x:col min="3" max="3" width="7.81640625" style="9" customWidth="1"/>
    <x:col min="4" max="4" width="5.6328125" style="9" bestFit="1" customWidth="1"/>
    <x:col min="5" max="6" width="9" style="9" customWidth="1"/>
    <x:col min="7" max="7" width="11.81640625" style="9" customWidth="1"/>
    <x:col min="8" max="8" width="8.6328125" style="9" customWidth="1"/>
    <x:col min="9" max="9" width="5.6328125" style="9" bestFit="1" customWidth="1"/>
    <x:col min="10" max="10" width="11.54296875" style="9" customWidth="1"/>
    <x:col min="11" max="11" width="9.36328125" style="9" bestFit="1" customWidth="1"/>
    <x:col min="12" max="16384" width="9.08984375" style="9"/>
  </x:cols>
  <x:sheetData>
    <x:row r="1" spans="1:12" customFormat="1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51"/>
    </x:row>
    <x:row r="2" spans="1:12" customFormat="1" ht="15.5" x14ac:dyDescent="0.35">
      <x:c r="A2" s="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51"/>
    </x:row>
    <x:row r="3" spans="1:12" customFormat="1" ht="15.5" x14ac:dyDescent="0.35">
      <x:c r="A3" s="1"/>
      <x:c r="B3" s="209" t="str">
        <x:f>+RES!B3</x:f>
        <x:v>ADJUSTED WEATHER STATION DATA</x:v>
      </x:c>
      <x:c r="C3" s="209"/>
      <x:c r="D3" s="209"/>
      <x:c r="E3" s="212"/>
      <x:c r="F3" s="212"/>
      <x:c r="G3" s="212"/>
      <x:c r="H3" s="212"/>
      <x:c r="I3" s="212"/>
      <x:c r="J3" s="212"/>
      <x:c r="K3" s="212"/>
      <x:c r="L3" s="51"/>
    </x:row>
    <x:row r="4" spans="1:12" customFormat="1" ht="15.5" x14ac:dyDescent="0.35">
      <x:c r="A4" s="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51"/>
    </x:row>
    <x:row r="5" spans="1:12" customFormat="1" ht="15.5" x14ac:dyDescent="0.35">
      <x:c r="A5" s="1"/>
      <x:c r="B5" s="209"/>
      <x:c r="C5" s="209"/>
      <x:c r="D5" s="209"/>
      <x:c r="E5" s="209"/>
      <x:c r="F5" s="209"/>
      <x:c r="G5" s="209"/>
      <x:c r="H5" s="212"/>
      <x:c r="I5" s="212"/>
      <x:c r="J5" s="212"/>
      <x:c r="K5" s="212"/>
      <x:c r="L5" s="212"/>
    </x:row>
    <x:row r="6" spans="1:12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1"/>
      <x:c r="L6" s="1"/>
    </x:row>
    <x:row r="7" spans="1:12" ht="15.5" x14ac:dyDescent="0.35">
      <x:c r="B7" s="96"/>
      <x:c r="C7" s="1"/>
      <x:c r="D7" s="132"/>
      <x:c r="E7" s="1"/>
      <x:c r="F7" s="177"/>
      <x:c r="G7" s="1"/>
      <x:c r="H7" s="1"/>
      <x:c r="I7" s="132"/>
      <x:c r="J7" s="1"/>
      <x:c r="K7" s="1"/>
      <x:c r="L7" s="1"/>
    </x:row>
    <x:row r="8" spans="1:12" ht="15.5" x14ac:dyDescent="0.35">
      <x:c r="B8" s="209" t="s">
        <x:v>147</x:v>
      </x:c>
      <x:c r="C8" s="209"/>
      <x:c r="D8" s="209"/>
      <x:c r="E8" s="212"/>
      <x:c r="F8" s="212"/>
      <x:c r="G8" s="212"/>
      <x:c r="H8" s="212"/>
      <x:c r="I8" s="212"/>
      <x:c r="J8" s="212"/>
      <x:c r="K8" s="212"/>
      <x:c r="L8" s="1"/>
    </x:row>
    <x:row r="9" spans="1:12" x14ac:dyDescent="0.25">
      <x:c r="A9" s="1" t="s">
        <x:v>6</x:v>
      </x:c>
      <x:c r="K9" s="1"/>
      <x:c r="L9" s="1"/>
    </x:row>
    <x:row r="10" spans="1:12" x14ac:dyDescent="0.25">
      <x:c r="A10" s="5" t="s">
        <x:v>8</x:v>
      </x:c>
    </x:row>
    <x:row r="11" spans="1:12" ht="12.75" customHeight="1" x14ac:dyDescent="0.25">
      <x:c r="A11" s="7">
        <x:v>1</x:v>
      </x:c>
      <x:c r="B11" s="37"/>
      <x:c r="C11" s="214"/>
      <x:c r="D11" s="214"/>
      <x:c r="E11" s="214"/>
      <x:c r="F11" s="215"/>
      <x:c r="G11" s="29"/>
      <x:c r="H11" s="214"/>
      <x:c r="I11" s="214"/>
      <x:c r="J11" s="214"/>
      <x:c r="K11" s="216"/>
    </x:row>
    <x:row r="12" spans="1:12" x14ac:dyDescent="0.25">
      <x:c r="A12" s="7">
        <x:f t="shared" ref="A12:A27" si="0">+A11+1</x:f>
        <x:v>2</x:v>
      </x:c>
      <x:c r="B12" s="37"/>
      <x:c r="C12" s="18" t="s">
        <x:v>131</x:v>
      </x:c>
      <x:c r="D12" s="18" t="s">
        <x:v>44</x:v>
      </x:c>
      <x:c r="E12" s="22" t="s">
        <x:v>45</x:v>
      </x:c>
      <x:c r="F12" s="22" t="s">
        <x:v>14</x:v>
      </x:c>
      <x:c r="G12" s="18"/>
      <x:c r="H12" s="18" t="s">
        <x:v>110</x:v>
      </x:c>
      <x:c r="I12" s="18" t="s">
        <x:v>44</x:v>
      </x:c>
      <x:c r="J12" s="22" t="s">
        <x:v>45</x:v>
      </x:c>
      <x:c r="K12" s="22" t="s">
        <x:v>144</x:v>
      </x:c>
    </x:row>
    <x:row r="13" spans="1:12" x14ac:dyDescent="0.25">
      <x:c r="A13" s="7">
        <x:f t="shared" si="0"/>
        <x:v>3</x:v>
      </x:c>
      <x:c r="B13" s="37"/>
      <x:c r="C13" s="38" t="s">
        <x:v>29</x:v>
      </x:c>
      <x:c r="D13" s="38" t="s">
        <x:v>30</x:v>
      </x:c>
      <x:c r="E13" s="38" t="s">
        <x:v>31</x:v>
      </x:c>
      <x:c r="F13" s="38" t="s">
        <x:v>112</x:v>
      </x:c>
      <x:c r="G13" s="38"/>
      <x:c r="H13" s="38" t="s">
        <x:v>29</x:v>
      </x:c>
      <x:c r="I13" s="38" t="s">
        <x:v>30</x:v>
      </x:c>
      <x:c r="J13" s="38" t="s">
        <x:v>31</x:v>
      </x:c>
      <x:c r="K13" s="38" t="s">
        <x:v>112</x:v>
      </x:c>
    </x:row>
    <x:row r="14" spans="1:12" x14ac:dyDescent="0.25">
      <x:c r="A14" s="7">
        <x:f t="shared" si="0"/>
        <x:v>4</x:v>
      </x:c>
      <x:c r="B14" s="39">
        <x:v>44932</x:v>
      </x:c>
      <x:c r="C14" s="40">
        <x:v>4.6288212499999997</x:v>
      </x:c>
      <x:c r="D14" s="40">
        <x:v>11.118305416666665</x:v>
      </x:c>
      <x:c r="E14" s="40">
        <x:v>15.547275416666661</x:v>
      </x:c>
      <x:c r="F14" s="40">
        <x:v>20.292920416666668</x:v>
      </x:c>
      <x:c r="G14" s="18"/>
      <x:c r="H14" s="18"/>
      <x:c r="I14" s="18"/>
      <x:c r="J14" s="18"/>
      <x:c r="K14" s="18"/>
      <x:c r="L14" s="9">
        <x:v>2023</x:v>
      </x:c>
    </x:row>
    <x:row r="15" spans="1:12" x14ac:dyDescent="0.25">
      <x:c r="A15" s="7">
        <x:f t="shared" si="0"/>
        <x:v>5</x:v>
      </x:c>
      <x:c r="B15" s="39">
        <x:v>44933</x:v>
      </x:c>
      <x:c r="C15" s="40">
        <x:v>4.2516245833333342</x:v>
      </x:c>
      <x:c r="D15" s="40">
        <x:v>10.163279166666667</x:v>
      </x:c>
      <x:c r="E15" s="40">
        <x:v>14.334045000000003</x:v>
      </x:c>
      <x:c r="F15" s="40">
        <x:v>18.874334999999995</x:v>
      </x:c>
      <x:c r="G15" s="18"/>
      <x:c r="H15" s="18"/>
      <x:c r="I15" s="18"/>
      <x:c r="J15" s="18"/>
      <x:c r="K15" s="18"/>
      <x:c r="L15" s="9">
        <x:v>2023</x:v>
      </x:c>
    </x:row>
    <x:row r="16" spans="1:12" x14ac:dyDescent="0.25">
      <x:c r="A16" s="7">
        <x:f t="shared" si="0"/>
        <x:v>6</x:v>
      </x:c>
      <x:c r="B16" s="39">
        <x:v>44934</x:v>
      </x:c>
      <x:c r="C16" s="40">
        <x:v>2.9502670833333324</x:v>
      </x:c>
      <x:c r="D16" s="40">
        <x:v>8.8375779166666621</x:v>
      </x:c>
      <x:c r="E16" s="40">
        <x:v>13.272102916666663</x:v>
      </x:c>
      <x:c r="F16" s="40">
        <x:v>18.065582083333332</x:v>
      </x:c>
      <x:c r="G16" s="40"/>
      <x:c r="H16" s="40"/>
      <x:c r="I16" s="40"/>
      <x:c r="J16" s="40"/>
      <x:c r="K16" s="40"/>
      <x:c r="L16" s="9">
        <x:v>2023</x:v>
      </x:c>
    </x:row>
    <x:row r="17" spans="1:16" x14ac:dyDescent="0.25">
      <x:c r="A17" s="7">
        <x:f t="shared" si="0"/>
        <x:v>7</x:v>
      </x:c>
      <x:c r="B17" s="39">
        <x:v>44935</x:v>
      </x:c>
      <x:c r="C17" s="40">
        <x:v>2.6962491666666679</x:v>
      </x:c>
      <x:c r="D17" s="40">
        <x:v>8.6153470833333348</x:v>
      </x:c>
      <x:c r="E17" s="40">
        <x:v>12.9780525</x:v>
      </x:c>
      <x:c r="F17" s="40">
        <x:v>17.554149583333338</x:v>
      </x:c>
      <x:c r="G17" s="40"/>
      <x:c r="H17" s="40"/>
      <x:c r="I17" s="40"/>
      <x:c r="J17" s="40"/>
      <x:c r="K17" s="40"/>
      <x:c r="L17" s="9">
        <x:v>2023</x:v>
      </x:c>
    </x:row>
    <x:row r="18" spans="1:16" x14ac:dyDescent="0.25">
      <x:c r="A18" s="7">
        <x:f t="shared" si="0"/>
        <x:v>8</x:v>
      </x:c>
      <x:c r="B18" s="39">
        <x:v>44936</x:v>
      </x:c>
      <x:c r="C18" s="40">
        <x:v>3.4781725000000003</x:v>
      </x:c>
      <x:c r="D18" s="40">
        <x:v>9.298482916666666</x:v>
      </x:c>
      <x:c r="E18" s="40">
        <x:v>13.147601249999999</x:v>
      </x:c>
      <x:c r="F18" s="40">
        <x:v>17.285702499999996</x:v>
      </x:c>
      <x:c r="G18" s="40"/>
      <x:c r="H18" s="40"/>
      <x:c r="I18" s="40"/>
      <x:c r="J18" s="40"/>
      <x:c r="K18" s="40"/>
      <x:c r="L18" s="9">
        <x:v>2023</x:v>
      </x:c>
    </x:row>
    <x:row r="19" spans="1:16" x14ac:dyDescent="0.25">
      <x:c r="A19" s="7">
        <x:f t="shared" si="0"/>
        <x:v>9</x:v>
      </x:c>
      <x:c r="B19" s="39">
        <x:v>44937</x:v>
      </x:c>
      <x:c r="C19" s="40">
        <x:v>2.7265208333333333</x:v>
      </x:c>
      <x:c r="D19" s="40">
        <x:v>8.4658258333333372</x:v>
      </x:c>
      <x:c r="E19" s="40">
        <x:v>12.323492083333335</x:v>
      </x:c>
      <x:c r="F19" s="40">
        <x:v>16.594989166666668</x:v>
      </x:c>
      <x:c r="G19" s="40"/>
      <x:c r="H19" s="40"/>
      <x:c r="I19" s="40"/>
      <x:c r="J19" s="40"/>
      <x:c r="K19" s="40"/>
      <x:c r="L19" s="9">
        <x:v>2023</x:v>
      </x:c>
    </x:row>
    <x:row r="20" spans="1:16" x14ac:dyDescent="0.25">
      <x:c r="A20" s="7">
        <x:f t="shared" si="0"/>
        <x:v>10</x:v>
      </x:c>
      <x:c r="B20" s="39">
        <x:v>44938</x:v>
      </x:c>
      <x:c r="C20" s="40">
        <x:v>2.74190625</x:v>
      </x:c>
      <x:c r="D20" s="40">
        <x:v>8.3260933333333327</x:v>
      </x:c>
      <x:c r="E20" s="40">
        <x:v>12.282230416666668</x:v>
      </x:c>
      <x:c r="F20" s="40">
        <x:v>16.617758333333335</x:v>
      </x:c>
      <x:c r="G20" s="40"/>
      <x:c r="H20" s="40"/>
      <x:c r="I20" s="40"/>
      <x:c r="J20" s="40"/>
      <x:c r="K20" s="40"/>
      <x:c r="L20" s="9">
        <x:v>2023</x:v>
      </x:c>
    </x:row>
    <x:row r="21" spans="1:16" x14ac:dyDescent="0.25">
      <x:c r="A21" s="7">
        <x:f t="shared" si="0"/>
        <x:v>11</x:v>
      </x:c>
      <x:c r="B21" s="39">
        <x:v>44939</x:v>
      </x:c>
      <x:c r="C21" s="40">
        <x:v>3.5559333333333329</x:v>
      </x:c>
      <x:c r="D21" s="40">
        <x:v>10.79601375</x:v>
      </x:c>
      <x:c r="E21" s="40">
        <x:v>15.554621250000002</x:v>
      </x:c>
      <x:c r="F21" s="40">
        <x:v>20.519629583333334</x:v>
      </x:c>
      <x:c r="G21" s="40"/>
      <x:c r="H21" s="40"/>
      <x:c r="I21" s="40"/>
      <x:c r="J21" s="40"/>
      <x:c r="K21" s="40"/>
      <x:c r="L21" s="9">
        <x:v>2023</x:v>
      </x:c>
    </x:row>
    <x:row r="22" spans="1:16" x14ac:dyDescent="0.25">
      <x:c r="A22" s="7">
        <x:f t="shared" si="0"/>
        <x:v>12</x:v>
      </x:c>
      <x:c r="B22" s="39">
        <x:v>44940</x:v>
      </x:c>
      <x:c r="C22" s="40">
        <x:v>2.644573333333331</x:v>
      </x:c>
      <x:c r="D22" s="40">
        <x:v>9.0728949999999973</x:v>
      </x:c>
      <x:c r="E22" s="40">
        <x:v>13.555834999999998</x:v>
      </x:c>
      <x:c r="F22" s="40">
        <x:v>18.424664999999997</x:v>
      </x:c>
      <x:c r="G22" s="40"/>
      <x:c r="H22" s="40"/>
      <x:c r="I22" s="40"/>
      <x:c r="J22" s="40"/>
      <x:c r="K22" s="40"/>
      <x:c r="L22" s="9">
        <x:v>2023</x:v>
      </x:c>
    </x:row>
    <x:row r="23" spans="1:16" x14ac:dyDescent="0.25">
      <x:c r="A23" s="7">
        <x:f t="shared" si="0"/>
        <x:v>13</x:v>
      </x:c>
      <x:c r="B23" s="39">
        <x:v>44941</x:v>
      </x:c>
      <x:c r="C23" s="40">
        <x:v>2.7843420833333314</x:v>
      </x:c>
      <x:c r="D23" s="40">
        <x:v>9.0963174999999961</x:v>
      </x:c>
      <x:c r="E23" s="40">
        <x:v>13.321189166666665</x:v>
      </x:c>
      <x:c r="F23" s="40">
        <x:v>18.075486249999997</x:v>
      </x:c>
      <x:c r="G23" s="40"/>
      <x:c r="H23" s="40"/>
      <x:c r="I23" s="40"/>
      <x:c r="J23" s="40"/>
      <x:c r="K23" s="40"/>
      <x:c r="L23" s="9">
        <x:v>2023</x:v>
      </x:c>
    </x:row>
    <x:row r="24" spans="1:16" x14ac:dyDescent="0.25">
      <x:c r="A24" s="7">
        <x:f t="shared" si="0"/>
        <x:v>14</x:v>
      </x:c>
      <x:c r="B24" s="39">
        <x:v>44942</x:v>
      </x:c>
      <x:c r="C24" s="40">
        <x:v>3.8984662499999976</x:v>
      </x:c>
      <x:c r="D24" s="40">
        <x:v>10.009510416666663</x:v>
      </x:c>
      <x:c r="E24" s="40">
        <x:v>14.037984166666666</x:v>
      </x:c>
      <x:c r="F24" s="40">
        <x:v>18.427909166666669</x:v>
      </x:c>
      <x:c r="G24" s="40"/>
      <x:c r="H24" s="40"/>
      <x:c r="I24" s="40"/>
      <x:c r="J24" s="40"/>
      <x:c r="K24" s="40"/>
      <x:c r="L24" s="9">
        <x:v>2023</x:v>
      </x:c>
    </x:row>
    <x:row r="25" spans="1:16" x14ac:dyDescent="0.25">
      <x:c r="A25" s="7">
        <x:f t="shared" si="0"/>
        <x:v>15</x:v>
      </x:c>
      <x:c r="B25" s="39">
        <x:v>44943</x:v>
      </x:c>
      <x:c r="C25" s="40">
        <x:v>3.2186975000000002</x:v>
      </x:c>
      <x:c r="D25" s="40">
        <x:v>9.4241504166666683</x:v>
      </x:c>
      <x:c r="E25" s="40">
        <x:v>13.876725416666668</x:v>
      </x:c>
      <x:c r="F25" s="40">
        <x:v>18.712027499999998</x:v>
      </x:c>
      <x:c r="G25" s="40"/>
      <x:c r="H25" s="40"/>
      <x:c r="I25" s="40"/>
      <x:c r="J25" s="40"/>
      <x:c r="K25" s="40"/>
      <x:c r="L25" s="9">
        <x:v>2023</x:v>
      </x:c>
    </x:row>
    <x:row r="26" spans="1:16" x14ac:dyDescent="0.25">
      <x:c r="A26" s="7">
        <x:f t="shared" si="0"/>
        <x:v>16</x:v>
      </x:c>
      <x:c r="B26" s="39">
        <x:v>44944</x:v>
      </x:c>
      <x:c r="C26" s="40">
        <x:v>2.5321620833333336</x:v>
      </x:c>
      <x:c r="D26" s="40">
        <x:v>7.8339083333333335</x:v>
      </x:c>
      <x:c r="E26" s="40">
        <x:v>12.282903333333334</x:v>
      </x:c>
      <x:c r="F26" s="40">
        <x:v>17.086428333333334</x:v>
      </x:c>
      <x:c r="G26" s="40"/>
      <x:c r="H26" s="40"/>
      <x:c r="I26" s="40"/>
      <x:c r="J26" s="40"/>
      <x:c r="K26" s="40"/>
      <x:c r="L26" s="9">
        <x:v>2023</x:v>
      </x:c>
    </x:row>
    <x:row r="27" spans="1:16" x14ac:dyDescent="0.25">
      <x:c r="A27" s="7">
        <x:f t="shared" si="0"/>
        <x:v>17</x:v>
      </x:c>
      <x:c r="B27" s="39">
        <x:v>44945</x:v>
      </x:c>
      <x:c r="C27" s="40">
        <x:v>1.7957849999999975</x:v>
      </x:c>
      <x:c r="D27" s="40">
        <x:v>6.7492841666666603</x:v>
      </x:c>
      <x:c r="E27" s="40">
        <x:v>11.128992499999997</x:v>
      </x:c>
      <x:c r="F27" s="40">
        <x:v>15.870317499999993</x:v>
      </x:c>
      <x:c r="G27" s="40"/>
      <x:c r="H27" s="40"/>
      <x:c r="I27" s="40"/>
      <x:c r="J27" s="40"/>
      <x:c r="K27" s="40"/>
      <x:c r="L27" s="9">
        <x:v>2023</x:v>
      </x:c>
    </x:row>
    <x:row r="28" spans="1:16" x14ac:dyDescent="0.25">
      <x:c r="A28" s="7">
        <x:f t="shared" ref="A28:A43" si="1">+A27+1</x:f>
        <x:v>18</x:v>
      </x:c>
      <x:c r="B28" s="39">
        <x:v>44946</x:v>
      </x:c>
      <x:c r="C28" s="40">
        <x:v>2.7300420833333336</x:v>
      </x:c>
      <x:c r="D28" s="40">
        <x:v>8.0240420833333346</x:v>
      </x:c>
      <x:c r="E28" s="40">
        <x:v>11.787138333333335</x:v>
      </x:c>
      <x:c r="F28" s="40">
        <x:v>16.452997916666668</x:v>
      </x:c>
      <x:c r="G28" s="40"/>
      <x:c r="H28" s="40"/>
      <x:c r="I28" s="40"/>
      <x:c r="J28" s="40"/>
      <x:c r="K28" s="40"/>
      <x:c r="L28" s="9">
        <x:v>2023</x:v>
      </x:c>
    </x:row>
    <x:row r="29" spans="1:16" x14ac:dyDescent="0.25">
      <x:c r="A29" s="7">
        <x:f t="shared" si="1"/>
        <x:v>19</x:v>
      </x:c>
      <x:c r="B29" s="39">
        <x:v>44947</x:v>
      </x:c>
      <x:c r="C29" s="206">
        <x:v>1.8834333333333322</x:v>
      </x:c>
      <x:c r="D29" s="206">
        <x:v>8.3457204166666674</x:v>
      </x:c>
      <x:c r="E29" s="206">
        <x:v>12.613923750000001</x:v>
      </x:c>
      <x:c r="F29" s="206">
        <x:v>17.374625416666667</x:v>
      </x:c>
      <x:c r="G29" s="206"/>
      <x:c r="H29" s="206">
        <x:f>AVERAGE(C14:C44)</x:f>
        <x:v>2.8364909408602141</x:v>
      </x:c>
      <x:c r="I29" s="206">
        <x:f t="shared" ref="I29:K29" si="2">AVERAGE(D14:D44)</x:f>
        <x:v>8.8027258467741927</x:v>
      </x:c>
      <x:c r="J29" s="206">
        <x:f t="shared" si="2"/>
        <x:v>12.990097997311826</x:v>
      </x:c>
      <x:c r="K29" s="206">
        <x:f t="shared" si="2"/>
        <x:v>17.652690685483865</x:v>
      </x:c>
      <x:c r="L29" s="9">
        <x:v>2023</x:v>
      </x:c>
      <x:c r="M29" s="74"/>
      <x:c r="N29" s="74"/>
      <x:c r="O29" s="74"/>
      <x:c r="P29" s="74"/>
    </x:row>
    <x:row r="30" spans="1:16" x14ac:dyDescent="0.25">
      <x:c r="A30" s="7">
        <x:f t="shared" si="1"/>
        <x:v>20</x:v>
      </x:c>
      <x:c r="B30" s="39">
        <x:v>44948</x:v>
      </x:c>
      <x:c r="C30" s="40">
        <x:v>1.8464866666666644</x:v>
      </x:c>
      <x:c r="D30" s="40">
        <x:v>7.9793145833333323</x:v>
      </x:c>
      <x:c r="E30" s="40">
        <x:v>12.312161249999999</x:v>
      </x:c>
      <x:c r="F30" s="40">
        <x:v>17.265261250000002</x:v>
      </x:c>
      <x:c r="G30" s="40"/>
      <x:c r="H30" s="40"/>
      <x:c r="I30" s="40"/>
      <x:c r="J30" s="40"/>
      <x:c r="L30" s="9">
        <x:v>2023</x:v>
      </x:c>
      <x:c r="M30" s="74"/>
      <x:c r="N30" s="74"/>
      <x:c r="O30" s="74"/>
      <x:c r="P30" s="74"/>
    </x:row>
    <x:row r="31" spans="1:16" x14ac:dyDescent="0.25">
      <x:c r="A31" s="7">
        <x:f t="shared" si="1"/>
        <x:v>21</x:v>
      </x:c>
      <x:c r="B31" s="39">
        <x:v>44949</x:v>
      </x:c>
      <x:c r="C31" s="40">
        <x:v>2.9007645833333333</x:v>
      </x:c>
      <x:c r="D31" s="40">
        <x:v>9.5898562499999986</x:v>
      </x:c>
      <x:c r="E31" s="40">
        <x:v>14.005922916666666</x:v>
      </x:c>
      <x:c r="F31" s="40">
        <x:v>18.823202916666666</x:v>
      </x:c>
      <x:c r="G31" s="40"/>
      <x:c r="H31" s="40"/>
      <x:c r="I31" s="40"/>
      <x:c r="J31" s="40"/>
      <x:c r="L31" s="9">
        <x:v>2023</x:v>
      </x:c>
    </x:row>
    <x:row r="32" spans="1:16" x14ac:dyDescent="0.25">
      <x:c r="A32" s="7">
        <x:f t="shared" si="1"/>
        <x:v>22</x:v>
      </x:c>
      <x:c r="B32" s="39">
        <x:v>44950</x:v>
      </x:c>
      <x:c r="C32" s="40">
        <x:v>2.2217458333333342</x:v>
      </x:c>
      <x:c r="D32" s="40">
        <x:v>8.5479341666666677</x:v>
      </x:c>
      <x:c r="E32" s="40">
        <x:v>12.891653333333332</x:v>
      </x:c>
      <x:c r="F32" s="40">
        <x:v>17.5886</x:v>
      </x:c>
      <x:c r="G32" s="40"/>
      <x:c r="H32" s="40"/>
      <x:c r="I32" s="40"/>
      <x:c r="J32" s="40"/>
      <x:c r="L32" s="9">
        <x:v>2023</x:v>
      </x:c>
    </x:row>
    <x:row r="33" spans="1:12" x14ac:dyDescent="0.25">
      <x:c r="A33" s="7">
        <x:f t="shared" si="1"/>
        <x:v>23</x:v>
      </x:c>
      <x:c r="B33" s="39">
        <x:v>44951</x:v>
      </x:c>
      <x:c r="C33" s="40">
        <x:v>1.1359679166666663</x:v>
      </x:c>
      <x:c r="D33" s="40">
        <x:v>6.6714766666666687</x:v>
      </x:c>
      <x:c r="E33" s="40">
        <x:v>10.793760416666668</x:v>
      </x:c>
      <x:c r="F33" s="40">
        <x:v>15.663288333333332</x:v>
      </x:c>
      <x:c r="G33" s="40"/>
      <x:c r="H33" s="40"/>
      <x:c r="I33" s="40"/>
      <x:c r="J33" s="40"/>
      <x:c r="L33" s="9">
        <x:v>2023</x:v>
      </x:c>
    </x:row>
    <x:row r="34" spans="1:12" x14ac:dyDescent="0.25">
      <x:c r="A34" s="7">
        <x:f t="shared" si="1"/>
        <x:v>24</x:v>
      </x:c>
      <x:c r="B34" s="39">
        <x:v>44952</x:v>
      </x:c>
      <x:c r="C34" s="40">
        <x:v>0.98717499999999991</x:v>
      </x:c>
      <x:c r="D34" s="40">
        <x:v>7.1878370833333349</x:v>
      </x:c>
      <x:c r="E34" s="40">
        <x:v>11.788152500000004</x:v>
      </x:c>
      <x:c r="F34" s="40">
        <x:v>16.762649583333335</x:v>
      </x:c>
      <x:c r="G34" s="40"/>
      <x:c r="H34" s="40"/>
      <x:c r="I34" s="40"/>
      <x:c r="J34" s="40"/>
      <x:c r="L34" s="9">
        <x:v>2023</x:v>
      </x:c>
    </x:row>
    <x:row r="35" spans="1:12" x14ac:dyDescent="0.25">
      <x:c r="A35" s="7">
        <x:f t="shared" si="1"/>
        <x:v>25</x:v>
      </x:c>
      <x:c r="B35" s="39">
        <x:v>44953</x:v>
      </x:c>
      <x:c r="C35" s="40">
        <x:v>2.0498454166666655</x:v>
      </x:c>
      <x:c r="D35" s="40">
        <x:v>8.2504241666666651</x:v>
      </x:c>
      <x:c r="E35" s="40">
        <x:v>12.544340833333328</x:v>
      </x:c>
      <x:c r="F35" s="40">
        <x:v>17.402635833333335</x:v>
      </x:c>
      <x:c r="G35" s="40"/>
      <x:c r="H35" s="40"/>
      <x:c r="I35" s="40"/>
      <x:c r="J35" s="40"/>
      <x:c r="L35" s="9">
        <x:v>2023</x:v>
      </x:c>
    </x:row>
    <x:row r="36" spans="1:12" x14ac:dyDescent="0.25">
      <x:c r="A36" s="7">
        <x:f t="shared" si="1"/>
        <x:v>26</x:v>
      </x:c>
      <x:c r="B36" s="39">
        <x:v>44954</x:v>
      </x:c>
      <x:c r="C36" s="40">
        <x:v>2.8576379166666634</x:v>
      </x:c>
      <x:c r="D36" s="40">
        <x:v>8.3134104166666631</x:v>
      </x:c>
      <x:c r="E36" s="40">
        <x:v>12.340545416666661</x:v>
      </x:c>
      <x:c r="F36" s="40">
        <x:v>16.930312083333327</x:v>
      </x:c>
      <x:c r="G36" s="40"/>
      <x:c r="H36" s="40"/>
      <x:c r="I36" s="40"/>
      <x:c r="J36" s="40"/>
      <x:c r="L36" s="9">
        <x:v>2023</x:v>
      </x:c>
    </x:row>
    <x:row r="37" spans="1:12" x14ac:dyDescent="0.25">
      <x:c r="A37" s="7">
        <x:f t="shared" si="1"/>
        <x:v>27</x:v>
      </x:c>
      <x:c r="B37" s="39">
        <x:v>44955</x:v>
      </x:c>
      <x:c r="C37" s="40">
        <x:v>2.4565558333333359</x:v>
      </x:c>
      <x:c r="D37" s="40">
        <x:v>8.3907512500000045</x:v>
      </x:c>
      <x:c r="E37" s="40">
        <x:v>12.412590416666671</x:v>
      </x:c>
      <x:c r="F37" s="40">
        <x:v>17.151895416666672</x:v>
      </x:c>
      <x:c r="G37" s="40"/>
      <x:c r="H37" s="40"/>
      <x:c r="I37" s="40"/>
      <x:c r="J37" s="40"/>
      <x:c r="L37" s="9">
        <x:v>2023</x:v>
      </x:c>
    </x:row>
    <x:row r="38" spans="1:12" x14ac:dyDescent="0.25">
      <x:c r="A38" s="7">
        <x:f t="shared" si="1"/>
        <x:v>28</x:v>
      </x:c>
      <x:c r="B38" s="39">
        <x:v>44956</x:v>
      </x:c>
      <x:c r="C38" s="40">
        <x:v>2.7504533333333345</x:v>
      </x:c>
      <x:c r="D38" s="40">
        <x:v>8.8618950000000005</x:v>
      </x:c>
      <x:c r="E38" s="40">
        <x:v>13.058529999999999</x:v>
      </x:c>
      <x:c r="F38" s="40">
        <x:v>17.834479999999999</x:v>
      </x:c>
      <x:c r="G38" s="40"/>
      <x:c r="H38" s="40"/>
      <x:c r="I38" s="40"/>
      <x:c r="J38" s="40"/>
      <x:c r="L38" s="9">
        <x:v>2023</x:v>
      </x:c>
    </x:row>
    <x:row r="39" spans="1:12" x14ac:dyDescent="0.25">
      <x:c r="A39" s="7">
        <x:f t="shared" si="1"/>
        <x:v>29</x:v>
      </x:c>
      <x:c r="B39" s="39">
        <x:v>44957</x:v>
      </x:c>
      <x:c r="C39" s="40">
        <x:v>2.3379487499999989</x:v>
      </x:c>
      <x:c r="D39" s="40">
        <x:v>7.4892970833333319</x:v>
      </x:c>
      <x:c r="E39" s="40">
        <x:v>11.261496249999999</x:v>
      </x:c>
      <x:c r="F39" s="40">
        <x:v>15.720051250000001</x:v>
      </x:c>
      <x:c r="G39" s="40"/>
      <x:c r="H39" s="40"/>
      <x:c r="I39" s="40"/>
      <x:c r="J39" s="40"/>
      <x:c r="L39" s="9">
        <x:v>2023</x:v>
      </x:c>
    </x:row>
    <x:row r="40" spans="1:12" x14ac:dyDescent="0.25">
      <x:c r="A40" s="7">
        <x:f t="shared" si="1"/>
        <x:v>30</x:v>
      </x:c>
      <x:c r="B40" s="39">
        <x:v>44958</x:v>
      </x:c>
      <x:c r="C40" s="40">
        <x:v>2.8921266666666678</x:v>
      </x:c>
      <x:c r="D40" s="40">
        <x:v>7.802453333333335</x:v>
      </x:c>
      <x:c r="E40" s="40">
        <x:v>11.586372083333334</x:v>
      </x:c>
      <x:c r="F40" s="40">
        <x:v>16.191220833333336</x:v>
      </x:c>
      <x:c r="G40" s="40"/>
      <x:c r="H40" s="40"/>
      <x:c r="I40" s="40"/>
      <x:c r="J40" s="40"/>
      <x:c r="L40" s="9">
        <x:v>2023</x:v>
      </x:c>
    </x:row>
    <x:row r="41" spans="1:12" x14ac:dyDescent="0.25">
      <x:c r="A41" s="7">
        <x:f t="shared" si="1"/>
        <x:v>31</x:v>
      </x:c>
      <x:c r="B41" s="39">
        <x:v>44959</x:v>
      </x:c>
      <x:c r="C41" s="40">
        <x:v>4.3572408333333321</x:v>
      </x:c>
      <x:c r="D41" s="40">
        <x:v>10.339349166666665</x:v>
      </x:c>
      <x:c r="E41" s="40">
        <x:v>14.312637083333328</x:v>
      </x:c>
      <x:c r="F41" s="40">
        <x:v>19.179377083333335</x:v>
      </x:c>
      <x:c r="G41" s="40"/>
      <x:c r="H41" s="40"/>
      <x:c r="I41" s="40"/>
      <x:c r="J41" s="40"/>
      <x:c r="L41" s="9">
        <x:v>2023</x:v>
      </x:c>
    </x:row>
    <x:row r="42" spans="1:12" x14ac:dyDescent="0.25">
      <x:c r="A42" s="7">
        <x:f t="shared" si="1"/>
        <x:v>32</x:v>
      </x:c>
      <x:c r="B42" s="39">
        <x:v>44960</x:v>
      </x:c>
      <x:c r="C42" s="40">
        <x:v>4.1707224999999992</x:v>
      </x:c>
      <x:c r="D42" s="40">
        <x:v>10.32817125</x:v>
      </x:c>
      <x:c r="E42" s="40">
        <x:v>14.256976249999999</x:v>
      </x:c>
      <x:c r="F42" s="40">
        <x:v>18.499411249999998</x:v>
      </x:c>
      <x:c r="G42" s="40"/>
      <x:c r="H42" s="40"/>
      <x:c r="I42" s="40"/>
      <x:c r="J42" s="40"/>
      <x:c r="L42" s="9">
        <x:v>2023</x:v>
      </x:c>
    </x:row>
    <x:row r="43" spans="1:12" x14ac:dyDescent="0.25">
      <x:c r="A43" s="7">
        <x:f t="shared" si="1"/>
        <x:v>33</x:v>
      </x:c>
      <x:c r="B43" s="39">
        <x:v>44961</x:v>
      </x:c>
      <x:c r="C43" s="40">
        <x:v>2.9361812500000011</x:v>
      </x:c>
      <x:c r="D43" s="40">
        <x:v>9.4380675000000007</x:v>
      </x:c>
      <x:c r="E43" s="40">
        <x:v>13.5153075</x:v>
      </x:c>
      <x:c r="F43" s="40">
        <x:v>17.899467500000004</x:v>
      </x:c>
      <x:c r="G43" s="40"/>
      <x:c r="H43" s="40"/>
      <x:c r="I43" s="40"/>
      <x:c r="J43" s="40"/>
      <x:c r="L43" s="9">
        <x:v>2023</x:v>
      </x:c>
    </x:row>
    <x:row r="44" spans="1:12" x14ac:dyDescent="0.25">
      <x:c r="A44" s="7">
        <x:f>+A43+1</x:f>
        <x:v>34</x:v>
      </x:c>
      <x:c r="B44" s="39">
        <x:v>44962</x:v>
      </x:c>
      <x:c r="C44" s="40">
        <x:v>3.5133699999999974</x:v>
      </x:c>
      <x:c r="D44" s="40">
        <x:v>9.5175095833333287</x:v>
      </x:c>
      <x:c r="E44" s="40">
        <x:v>13.568479166666666</x:v>
      </x:c>
      <x:c r="F44" s="40">
        <x:v>18.092034166666668</x:v>
      </x:c>
      <x:c r="G44" s="40"/>
      <x:c r="H44" s="40"/>
      <x:c r="I44" s="40"/>
      <x:c r="J44" s="40"/>
      <x:c r="L44" s="9">
        <x:v>2023</x:v>
      </x:c>
    </x:row>
    <x:row r="45" spans="1:12" x14ac:dyDescent="0.25">
      <x:c r="A45" s="7"/>
    </x:row>
  </x:sheetData>
  <x:mergeCells count="9">
    <x:mergeCell ref="B1:K1"/>
    <x:mergeCell ref="B5:L5"/>
    <x:mergeCell ref="C11:F11"/>
    <x:mergeCell ref="H11:K11"/>
    <x:mergeCell ref="B8:K8"/>
    <x:mergeCell ref="B6:K6"/>
    <x:mergeCell ref="B4:K4"/>
    <x:mergeCell ref="B3:K3"/>
    <x:mergeCell ref="B2:K2"/>
  </x:mergeCells>
  <x:phoneticPr fontId="2" type="noConversion"/>
  <x:printOptions horizontalCentered="1"/>
  <x:pageMargins left="1.5" right="0.5" top="1.5" bottom="1" header="1" footer="0.5"/>
  <x:pageSetup scale="67" firstPageNumber="3" orientation="portrait" r:id="rId1"/>
  <x:headerFooter alignWithMargins="0">
    <x:oddHeader>&amp;RSchedule II-H-5.2
Page &amp;P of 37</x:oddHeader>
  </x:headerFooter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 codeName="Sheet15">
    <x:pageSetUpPr fitToPage="1"/>
  </x:sheetPr>
  <x:dimension ref="A1:P45"/>
  <x:sheetViews>
    <x:sheetView zoomScaleNormal="100" zoomScaleSheetLayoutView="100" workbookViewId="0"/>
  </x:sheetViews>
  <x:sheetFormatPr defaultColWidth="9.08984375" defaultRowHeight="12.5" x14ac:dyDescent="0.25"/>
  <x:cols>
    <x:col min="1" max="2" width="9.08984375" style="9"/>
    <x:col min="3" max="3" width="10.453125" style="7" customWidth="1"/>
    <x:col min="4" max="4" width="9.6328125" style="9" customWidth="1"/>
    <x:col min="5" max="6" width="9.81640625" style="9" customWidth="1"/>
    <x:col min="7" max="7" width="8.453125" style="9" customWidth="1"/>
    <x:col min="8" max="8" width="10.90625" style="9" customWidth="1"/>
    <x:col min="9" max="9" width="11" style="9" customWidth="1"/>
    <x:col min="10" max="10" width="11.08984375" style="9" customWidth="1"/>
    <x:col min="11" max="16384" width="9.08984375" style="9"/>
  </x:cols>
  <x:sheetData>
    <x:row r="1" spans="1:11" customFormat="1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</x:row>
    <x:row r="2" spans="1:11" customFormat="1" ht="15.5" x14ac:dyDescent="0.35">
      <x:c r="A2" s="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</x:row>
    <x:row r="3" spans="1:11" customFormat="1" ht="15.5" x14ac:dyDescent="0.35">
      <x:c r="A3" s="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</x:row>
    <x:row r="4" spans="1:11" customFormat="1" ht="15.5" x14ac:dyDescent="0.35">
      <x:c r="A4" s="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</x:row>
    <x:row r="5" spans="1:11" customFormat="1" ht="15.5" x14ac:dyDescent="0.35">
      <x:c r="A5" s="1"/>
      <x:c r="B5" s="209"/>
      <x:c r="C5" s="209"/>
      <x:c r="D5" s="209"/>
      <x:c r="E5" s="209"/>
      <x:c r="F5" s="209"/>
      <x:c r="G5" s="209"/>
      <x:c r="H5" s="209"/>
      <x:c r="I5" s="212"/>
      <x:c r="J5" s="212"/>
    </x:row>
    <x:row r="6" spans="1:11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2"/>
    </x:row>
    <x:row r="7" spans="1:11" ht="15.5" x14ac:dyDescent="0.35">
      <x:c r="B7" s="96"/>
      <x:c r="C7" s="1"/>
      <x:c r="D7" s="1"/>
      <x:c r="E7" s="1"/>
      <x:c r="F7" s="177"/>
      <x:c r="G7" s="1"/>
      <x:c r="H7" s="1"/>
      <x:c r="I7" s="1"/>
      <x:c r="J7" s="1"/>
    </x:row>
    <x:row r="8" spans="1:11" ht="15.5" x14ac:dyDescent="0.35">
      <x:c r="B8" s="209" t="s">
        <x:v>143</x:v>
      </x:c>
      <x:c r="C8" s="212"/>
      <x:c r="D8" s="212"/>
      <x:c r="E8" s="212"/>
      <x:c r="F8" s="212"/>
      <x:c r="G8" s="212"/>
      <x:c r="H8" s="212"/>
      <x:c r="I8" s="212"/>
      <x:c r="J8" s="212"/>
      <x:c r="K8" s="212"/>
    </x:row>
    <x:row r="9" spans="1:11" x14ac:dyDescent="0.25">
      <x:c r="A9" s="1" t="s">
        <x:v>6</x:v>
      </x:c>
      <x:c r="C9" s="9"/>
    </x:row>
    <x:row r="10" spans="1:11" x14ac:dyDescent="0.25">
      <x:c r="A10" s="5" t="s">
        <x:v>8</x:v>
      </x:c>
    </x:row>
    <x:row r="11" spans="1:11" ht="12.75" customHeight="1" x14ac:dyDescent="0.25">
      <x:c r="A11" s="7">
        <x:v>1</x:v>
      </x:c>
      <x:c r="B11" s="37"/>
      <x:c r="C11" s="217" t="s">
        <x:v>111</x:v>
      </x:c>
      <x:c r="D11" s="215"/>
      <x:c r="E11" s="215"/>
      <x:c r="F11" s="215"/>
      <x:c r="G11" s="29"/>
      <x:c r="H11" s="217" t="s">
        <x:v>113</x:v>
      </x:c>
      <x:c r="I11" s="216"/>
      <x:c r="J11" s="216"/>
      <x:c r="K11" s="216"/>
    </x:row>
    <x:row r="12" spans="1:11" x14ac:dyDescent="0.25">
      <x:c r="A12" s="7">
        <x:f t="shared" ref="A12:A44" si="0">+A11+1</x:f>
        <x:v>2</x:v>
      </x:c>
      <x:c r="B12" s="37"/>
      <x:c r="C12" s="18" t="s">
        <x:v>14</x:v>
      </x:c>
      <x:c r="D12" s="18" t="s">
        <x:v>16</x:v>
      </x:c>
      <x:c r="E12" s="22" t="s">
        <x:v>18</x:v>
      </x:c>
      <x:c r="F12" s="22" t="s">
        <x:v>129</x:v>
      </x:c>
      <x:c r="G12" s="18"/>
      <x:c r="H12" s="18" t="s">
        <x:v>14</x:v>
      </x:c>
      <x:c r="I12" s="18" t="s">
        <x:v>16</x:v>
      </x:c>
      <x:c r="J12" s="22" t="s">
        <x:v>18</x:v>
      </x:c>
      <x:c r="K12" s="22" t="s">
        <x:v>129</x:v>
      </x:c>
    </x:row>
    <x:row r="13" spans="1:11" x14ac:dyDescent="0.25">
      <x:c r="A13" s="7">
        <x:f t="shared" si="0"/>
        <x:v>3</x:v>
      </x:c>
      <x:c r="B13" s="37"/>
      <x:c r="C13" s="38" t="s">
        <x:v>29</x:v>
      </x:c>
      <x:c r="D13" s="38" t="s">
        <x:v>30</x:v>
      </x:c>
      <x:c r="E13" s="38" t="s">
        <x:v>31</x:v>
      </x:c>
      <x:c r="F13" s="38" t="s">
        <x:v>112</x:v>
      </x:c>
      <x:c r="G13" s="38"/>
      <x:c r="H13" s="38" t="s">
        <x:v>29</x:v>
      </x:c>
      <x:c r="I13" s="38" t="s">
        <x:v>30</x:v>
      </x:c>
      <x:c r="J13" s="38" t="s">
        <x:v>31</x:v>
      </x:c>
      <x:c r="K13" s="38" t="s">
        <x:v>112</x:v>
      </x:c>
    </x:row>
    <x:row r="14" spans="1:11" x14ac:dyDescent="0.25">
      <x:c r="A14" s="7">
        <x:f t="shared" si="0"/>
        <x:v>4</x:v>
      </x:c>
      <x:c r="B14" s="39">
        <x:v>45112</x:v>
      </x:c>
      <x:c r="C14" s="40">
        <x:v>19.18531875</x:v>
      </x:c>
      <x:c r="D14" s="40">
        <x:v>14.180318750000001</x:v>
      </x:c>
      <x:c r="E14" s="40">
        <x:v>9.1824666666666666</x:v>
      </x:c>
      <x:c r="F14" s="40">
        <x:v>4.496496666666669</x:v>
      </x:c>
      <x:c r="G14" s="18"/>
      <x:c r="H14" s="18"/>
      <x:c r="I14" s="18"/>
      <x:c r="J14" s="18"/>
      <x:c r="K14" s="18"/>
    </x:row>
    <x:row r="15" spans="1:11" x14ac:dyDescent="0.25">
      <x:c r="A15" s="7">
        <x:f t="shared" si="0"/>
        <x:v>5</x:v>
      </x:c>
      <x:c r="B15" s="39">
        <x:v>45113</x:v>
      </x:c>
      <x:c r="C15" s="40">
        <x:v>19.316142083333336</x:v>
      </x:c>
      <x:c r="D15" s="40">
        <x:v>14.311142083333333</x:v>
      </x:c>
      <x:c r="E15" s="40">
        <x:v>9.3078670833333348</x:v>
      </x:c>
      <x:c r="F15" s="40">
        <x:v>4.4542733333333349</x:v>
      </x:c>
      <x:c r="G15" s="18"/>
      <x:c r="H15" s="18"/>
      <x:c r="I15" s="18"/>
      <x:c r="J15" s="18"/>
      <x:c r="K15" s="18"/>
    </x:row>
    <x:row r="16" spans="1:11" x14ac:dyDescent="0.25">
      <x:c r="A16" s="7">
        <x:f t="shared" si="0"/>
        <x:v>6</x:v>
      </x:c>
      <x:c r="B16" s="39">
        <x:v>45114</x:v>
      </x:c>
      <x:c r="C16" s="40">
        <x:v>19.419274583333337</x:v>
      </x:c>
      <x:c r="D16" s="40">
        <x:v>14.414274583333333</x:v>
      </x:c>
      <x:c r="E16" s="40">
        <x:v>9.4118720833333391</x:v>
      </x:c>
      <x:c r="F16" s="40">
        <x:v>4.6258920833333388</x:v>
      </x:c>
      <x:c r="G16" s="40"/>
      <x:c r="H16" s="40"/>
      <x:c r="I16" s="40"/>
      <x:c r="J16" s="40"/>
      <x:c r="K16" s="40"/>
    </x:row>
    <x:row r="17" spans="1:16" x14ac:dyDescent="0.25">
      <x:c r="A17" s="7">
        <x:f t="shared" si="0"/>
        <x:v>7</x:v>
      </x:c>
      <x:c r="B17" s="39">
        <x:v>45115</x:v>
      </x:c>
      <x:c r="C17" s="40">
        <x:v>19.926171666666669</x:v>
      </x:c>
      <x:c r="D17" s="40">
        <x:v>14.921171666666666</x:v>
      </x:c>
      <x:c r="E17" s="40">
        <x:v>9.9209116666666652</x:v>
      </x:c>
      <x:c r="F17" s="40">
        <x:v>5.0389670833333309</x:v>
      </x:c>
      <x:c r="G17" s="40"/>
      <x:c r="H17" s="40"/>
      <x:c r="I17" s="40"/>
      <x:c r="J17" s="40"/>
      <x:c r="K17" s="40"/>
    </x:row>
    <x:row r="18" spans="1:16" x14ac:dyDescent="0.25">
      <x:c r="A18" s="7">
        <x:f t="shared" si="0"/>
        <x:v>8</x:v>
      </x:c>
      <x:c r="B18" s="39">
        <x:v>45116</x:v>
      </x:c>
      <x:c r="C18" s="40">
        <x:v>19.95376541666667</x:v>
      </x:c>
      <x:c r="D18" s="40">
        <x:v>14.948765416666669</x:v>
      </x:c>
      <x:c r="E18" s="40">
        <x:v>9.9490754166666662</x:v>
      </x:c>
      <x:c r="F18" s="40">
        <x:v>5.1373533333333343</x:v>
      </x:c>
      <x:c r="G18" s="40"/>
      <x:c r="H18" s="40"/>
      <x:c r="I18" s="40"/>
      <x:c r="J18" s="40"/>
      <x:c r="K18" s="40"/>
    </x:row>
    <x:row r="19" spans="1:16" x14ac:dyDescent="0.25">
      <x:c r="A19" s="7">
        <x:f t="shared" si="0"/>
        <x:v>9</x:v>
      </x:c>
      <x:c r="B19" s="39">
        <x:v>45117</x:v>
      </x:c>
      <x:c r="C19" s="40">
        <x:v>20.483312500000004</x:v>
      </x:c>
      <x:c r="D19" s="40">
        <x:v>15.478312500000005</x:v>
      </x:c>
      <x:c r="E19" s="40">
        <x:v>10.473312500000006</x:v>
      </x:c>
      <x:c r="F19" s="40">
        <x:v>5.5429525000000037</x:v>
      </x:c>
      <x:c r="G19" s="40"/>
      <x:c r="H19" s="40"/>
      <x:c r="I19" s="40"/>
      <x:c r="J19" s="40"/>
      <x:c r="K19" s="40"/>
    </x:row>
    <x:row r="20" spans="1:16" x14ac:dyDescent="0.25">
      <x:c r="A20" s="7">
        <x:f t="shared" si="0"/>
        <x:v>10</x:v>
      </x:c>
      <x:c r="B20" s="39">
        <x:v>45118</x:v>
      </x:c>
      <x:c r="C20" s="40">
        <x:v>21.300014583333333</x:v>
      </x:c>
      <x:c r="D20" s="40">
        <x:v>16.295014583333334</x:v>
      </x:c>
      <x:c r="E20" s="40">
        <x:v>11.290014583333331</x:v>
      </x:c>
      <x:c r="F20" s="40">
        <x:v>6.3497512500000006</x:v>
      </x:c>
      <x:c r="G20" s="40"/>
      <x:c r="H20" s="40"/>
      <x:c r="I20" s="40"/>
      <x:c r="J20" s="40"/>
      <x:c r="K20" s="40"/>
    </x:row>
    <x:row r="21" spans="1:16" x14ac:dyDescent="0.25">
      <x:c r="A21" s="7">
        <x:f t="shared" si="0"/>
        <x:v>11</x:v>
      </x:c>
      <x:c r="B21" s="39">
        <x:v>45119</x:v>
      </x:c>
      <x:c r="C21" s="40">
        <x:v>21.694722500000001</x:v>
      </x:c>
      <x:c r="D21" s="40">
        <x:v>16.689722500000002</x:v>
      </x:c>
      <x:c r="E21" s="40">
        <x:v>11.691262500000002</x:v>
      </x:c>
      <x:c r="F21" s="40">
        <x:v>6.7678850000000024</x:v>
      </x:c>
      <x:c r="G21" s="40"/>
      <x:c r="H21" s="40"/>
      <x:c r="I21" s="40"/>
      <x:c r="J21" s="40"/>
      <x:c r="K21" s="40"/>
    </x:row>
    <x:row r="22" spans="1:16" x14ac:dyDescent="0.25">
      <x:c r="A22" s="7">
        <x:f t="shared" si="0"/>
        <x:v>12</x:v>
      </x:c>
      <x:c r="B22" s="39">
        <x:v>45120</x:v>
      </x:c>
      <x:c r="C22" s="40">
        <x:v>22.289024166666664</x:v>
      </x:c>
      <x:c r="D22" s="40">
        <x:v>17.284024166666661</x:v>
      </x:c>
      <x:c r="E22" s="40">
        <x:v>12.281996666666666</x:v>
      </x:c>
      <x:c r="F22" s="40">
        <x:v>7.3480166666666662</x:v>
      </x:c>
      <x:c r="G22" s="40"/>
      <x:c r="H22" s="40"/>
      <x:c r="I22" s="40"/>
      <x:c r="J22" s="40"/>
      <x:c r="K22" s="40"/>
    </x:row>
    <x:row r="23" spans="1:16" x14ac:dyDescent="0.25">
      <x:c r="A23" s="7">
        <x:f t="shared" si="0"/>
        <x:v>13</x:v>
      </x:c>
      <x:c r="B23" s="39">
        <x:v>45121</x:v>
      </x:c>
      <x:c r="C23" s="40">
        <x:v>21.122223333333327</x:v>
      </x:c>
      <x:c r="D23" s="40">
        <x:v>16.117223333333335</x:v>
      </x:c>
      <x:c r="E23" s="40">
        <x:v>11.170898333333337</x:v>
      </x:c>
      <x:c r="F23" s="40">
        <x:v>6.4770195833333348</x:v>
      </x:c>
      <x:c r="G23" s="40"/>
      <x:c r="H23" s="40"/>
      <x:c r="I23" s="40"/>
      <x:c r="J23" s="40"/>
      <x:c r="K23" s="40"/>
    </x:row>
    <x:row r="24" spans="1:16" x14ac:dyDescent="0.25">
      <x:c r="A24" s="7">
        <x:f t="shared" si="0"/>
        <x:v>14</x:v>
      </x:c>
      <x:c r="B24" s="39">
        <x:v>45122</x:v>
      </x:c>
      <x:c r="C24" s="40">
        <x:v>19.958697499999996</x:v>
      </x:c>
      <x:c r="D24" s="40">
        <x:v>14.970657499999998</x:v>
      </x:c>
      <x:c r="E24" s="40">
        <x:v>10.152407500000001</x:v>
      </x:c>
      <x:c r="F24" s="40">
        <x:v>5.4873191666666692</x:v>
      </x:c>
      <x:c r="G24" s="40"/>
      <x:c r="H24" s="40"/>
      <x:c r="I24" s="40"/>
      <x:c r="J24" s="40"/>
      <x:c r="K24" s="40"/>
    </x:row>
    <x:row r="25" spans="1:16" x14ac:dyDescent="0.25">
      <x:c r="A25" s="7">
        <x:f t="shared" si="0"/>
        <x:v>15</x:v>
      </x:c>
      <x:c r="B25" s="39">
        <x:v>45123</x:v>
      </x:c>
      <x:c r="C25" s="40">
        <x:v>20.734816666666667</x:v>
      </x:c>
      <x:c r="D25" s="40">
        <x:v>15.73980666666667</x:v>
      </x:c>
      <x:c r="E25" s="40">
        <x:v>10.751996666666667</x:v>
      </x:c>
      <x:c r="F25" s="40">
        <x:v>5.9898654166666683</x:v>
      </x:c>
      <x:c r="G25" s="40"/>
      <x:c r="H25" s="40"/>
      <x:c r="I25" s="40"/>
      <x:c r="J25" s="40"/>
      <x:c r="K25" s="40"/>
    </x:row>
    <x:row r="26" spans="1:16" x14ac:dyDescent="0.25">
      <x:c r="A26" s="7">
        <x:f t="shared" si="0"/>
        <x:v>16</x:v>
      </x:c>
      <x:c r="B26" s="39">
        <x:v>45124</x:v>
      </x:c>
      <x:c r="C26" s="40">
        <x:v>21.226500833333333</x:v>
      </x:c>
      <x:c r="D26" s="40">
        <x:v>16.229415833333331</x:v>
      </x:c>
      <x:c r="E26" s="40">
        <x:v>11.324725833333332</x:v>
      </x:c>
      <x:c r="F26" s="40">
        <x:v>6.6671591666666661</x:v>
      </x:c>
      <x:c r="G26" s="40"/>
      <x:c r="H26" s="40"/>
      <x:c r="I26" s="40"/>
      <x:c r="J26" s="40"/>
      <x:c r="K26" s="40"/>
    </x:row>
    <x:row r="27" spans="1:16" x14ac:dyDescent="0.25">
      <x:c r="A27" s="7">
        <x:f t="shared" si="0"/>
        <x:v>17</x:v>
      </x:c>
      <x:c r="B27" s="39">
        <x:v>45125</x:v>
      </x:c>
      <x:c r="C27" s="40">
        <x:v>21.552441666666667</x:v>
      </x:c>
      <x:c r="D27" s="40">
        <x:v>16.55621166666667</x:v>
      </x:c>
      <x:c r="E27" s="40">
        <x:v>11.754541666666668</x:v>
      </x:c>
      <x:c r="F27" s="40">
        <x:v>7.0564820833333357</x:v>
      </x:c>
      <x:c r="G27" s="40"/>
      <x:c r="H27" s="40"/>
      <x:c r="I27" s="40"/>
      <x:c r="J27" s="40"/>
      <x:c r="K27" s="40"/>
    </x:row>
    <x:row r="28" spans="1:16" x14ac:dyDescent="0.25">
      <x:c r="A28" s="7">
        <x:f t="shared" si="0"/>
        <x:v>18</x:v>
      </x:c>
      <x:c r="B28" s="39">
        <x:v>45126</x:v>
      </x:c>
      <x:c r="C28" s="40">
        <x:v>21.653782500000005</x:v>
      </x:c>
      <x:c r="D28" s="40">
        <x:v>16.649682500000004</x:v>
      </x:c>
      <x:c r="E28" s="40">
        <x:v>11.748152500000005</x:v>
      </x:c>
      <x:c r="F28" s="40">
        <x:v>7.0542275000000032</x:v>
      </x:c>
      <x:c r="G28" s="40"/>
      <x:c r="H28" s="40"/>
      <x:c r="I28" s="40"/>
      <x:c r="J28" s="40"/>
      <x:c r="K28" s="40"/>
    </x:row>
    <x:row r="29" spans="1:16" x14ac:dyDescent="0.25">
      <x:c r="A29" s="7">
        <x:f t="shared" si="0"/>
        <x:v>19</x:v>
      </x:c>
      <x:c r="B29" s="39">
        <x:v>45127</x:v>
      </x:c>
      <x:c r="C29" s="206">
        <x:v>21.644244166666667</x:v>
      </x:c>
      <x:c r="D29" s="206">
        <x:v>16.639244166666664</x:v>
      </x:c>
      <x:c r="E29" s="206">
        <x:v>11.637944166666665</x:v>
      </x:c>
      <x:c r="F29" s="206">
        <x:v>6.7842983333333322</x:v>
      </x:c>
      <x:c r="G29" s="206"/>
      <x:c r="H29" s="206">
        <x:f>AVERAGE(C14:C44)</x:f>
        <x:v>21.11950190860215</x:v>
      </x:c>
      <x:c r="I29" s="206">
        <x:f>AVERAGE(D14:D44)</x:f>
        <x:v>16.117640336021502</x:v>
      </x:c>
      <x:c r="J29" s="206">
        <x:f>AVERAGE(E14:E44)</x:f>
        <x:v>11.143890564516131</x:v>
      </x:c>
      <x:c r="K29" s="206">
        <x:f>AVERAGE(F14:F44)</x:f>
        <x:v>6.3552012500000021</x:v>
      </x:c>
      <x:c r="M29" s="74"/>
      <x:c r="N29" s="74"/>
      <x:c r="O29" s="74"/>
      <x:c r="P29" s="74"/>
    </x:row>
    <x:row r="30" spans="1:16" x14ac:dyDescent="0.25">
      <x:c r="A30" s="7">
        <x:f t="shared" si="0"/>
        <x:v>20</x:v>
      </x:c>
      <x:c r="B30" s="39">
        <x:v>45128</x:v>
      </x:c>
      <x:c r="C30" s="40">
        <x:v>22.096013750000004</x:v>
      </x:c>
      <x:c r="D30" s="40">
        <x:v>17.091013750000005</x:v>
      </x:c>
      <x:c r="E30" s="40">
        <x:v>12.093551250000004</x:v>
      </x:c>
      <x:c r="F30" s="40">
        <x:v>7.1533433333333374</x:v>
      </x:c>
      <x:c r="G30" s="40"/>
      <x:c r="H30" s="40"/>
      <x:c r="I30" s="40"/>
      <x:c r="J30" s="40"/>
    </x:row>
    <x:row r="31" spans="1:16" x14ac:dyDescent="0.25">
      <x:c r="A31" s="7">
        <x:f t="shared" si="0"/>
        <x:v>21</x:v>
      </x:c>
      <x:c r="B31" s="39">
        <x:v>45129</x:v>
      </x:c>
      <x:c r="C31" s="40">
        <x:v>21.993009166666663</x:v>
      </x:c>
      <x:c r="D31" s="40">
        <x:v>16.988009166666664</x:v>
      </x:c>
      <x:c r="E31" s="40">
        <x:v>11.990974166666666</x:v>
      </x:c>
      <x:c r="F31" s="40">
        <x:v>7.046562083333332</x:v>
      </x:c>
      <x:c r="G31" s="40"/>
      <x:c r="H31" s="40"/>
      <x:c r="I31" s="40"/>
      <x:c r="J31" s="40"/>
    </x:row>
    <x:row r="32" spans="1:16" x14ac:dyDescent="0.25">
      <x:c r="A32" s="7">
        <x:f t="shared" si="0"/>
        <x:v>22</x:v>
      </x:c>
      <x:c r="B32" s="39">
        <x:v>45130</x:v>
      </x:c>
      <x:c r="C32" s="40">
        <x:v>21.347233333333328</x:v>
      </x:c>
      <x:c r="D32" s="40">
        <x:v>16.342233333333329</x:v>
      </x:c>
      <x:c r="E32" s="40">
        <x:v>11.352953333333328</x:v>
      </x:c>
      <x:c r="F32" s="40">
        <x:v>6.4171249999999969</x:v>
      </x:c>
      <x:c r="G32" s="40"/>
      <x:c r="H32" s="40"/>
      <x:c r="I32" s="40"/>
      <x:c r="J32" s="40"/>
    </x:row>
    <x:row r="33" spans="1:10" x14ac:dyDescent="0.25">
      <x:c r="A33" s="7">
        <x:f t="shared" si="0"/>
        <x:v>23</x:v>
      </x:c>
      <x:c r="B33" s="39">
        <x:v>45131</x:v>
      </x:c>
      <x:c r="C33" s="40">
        <x:v>21.086017499999993</x:v>
      </x:c>
      <x:c r="D33" s="40">
        <x:v>16.081017499999998</x:v>
      </x:c>
      <x:c r="E33" s="40">
        <x:v>11.078537499999996</x:v>
      </x:c>
      <x:c r="F33" s="40">
        <x:v>6.2208474999999996</x:v>
      </x:c>
      <x:c r="G33" s="40"/>
      <x:c r="H33" s="40"/>
      <x:c r="I33" s="40"/>
      <x:c r="J33" s="40"/>
    </x:row>
    <x:row r="34" spans="1:10" x14ac:dyDescent="0.25">
      <x:c r="A34" s="7">
        <x:f t="shared" si="0"/>
        <x:v>24</x:v>
      </x:c>
      <x:c r="B34" s="39">
        <x:v>45132</x:v>
      </x:c>
      <x:c r="C34" s="40">
        <x:v>21.315807500000005</x:v>
      </x:c>
      <x:c r="D34" s="40">
        <x:v>16.328026250000001</x:v>
      </x:c>
      <x:c r="E34" s="40">
        <x:v>11.374523750000005</x:v>
      </x:c>
      <x:c r="F34" s="40">
        <x:v>6.7531137500000025</x:v>
      </x:c>
      <x:c r="G34" s="40"/>
      <x:c r="H34" s="40"/>
      <x:c r="I34" s="40"/>
      <x:c r="J34" s="40"/>
    </x:row>
    <x:row r="35" spans="1:10" x14ac:dyDescent="0.25">
      <x:c r="A35" s="7">
        <x:f t="shared" si="0"/>
        <x:v>25</x:v>
      </x:c>
      <x:c r="B35" s="39">
        <x:v>45133</x:v>
      </x:c>
      <x:c r="C35" s="40">
        <x:v>21.087732499999998</x:v>
      </x:c>
      <x:c r="D35" s="40">
        <x:v>16.0964825</x:v>
      </x:c>
      <x:c r="E35" s="40">
        <x:v>11.124572916666665</x:v>
      </x:c>
      <x:c r="F35" s="40">
        <x:v>6.4987670833333357</x:v>
      </x:c>
      <x:c r="G35" s="40"/>
      <x:c r="H35" s="40"/>
      <x:c r="I35" s="40"/>
      <x:c r="J35" s="40"/>
    </x:row>
    <x:row r="36" spans="1:10" x14ac:dyDescent="0.25">
      <x:c r="A36" s="7">
        <x:f t="shared" si="0"/>
        <x:v>26</x:v>
      </x:c>
      <x:c r="B36" s="39">
        <x:v>45134</x:v>
      </x:c>
      <x:c r="C36" s="40">
        <x:v>20.503459999999997</x:v>
      </x:c>
      <x:c r="D36" s="40">
        <x:v>15.515034999999994</x:v>
      </x:c>
      <x:c r="E36" s="40">
        <x:v>10.556534999999997</x:v>
      </x:c>
      <x:c r="F36" s="40">
        <x:v>6.0619829166666666</x:v>
      </x:c>
      <x:c r="G36" s="40"/>
      <x:c r="H36" s="40"/>
      <x:c r="I36" s="40"/>
      <x:c r="J36" s="40"/>
    </x:row>
    <x:row r="37" spans="1:10" x14ac:dyDescent="0.25">
      <x:c r="A37" s="7">
        <x:f t="shared" si="0"/>
        <x:v>27</x:v>
      </x:c>
      <x:c r="B37" s="39">
        <x:v>45135</x:v>
      </x:c>
      <x:c r="C37" s="40">
        <x:v>20.770106666666667</x:v>
      </x:c>
      <x:c r="D37" s="40">
        <x:v>15.770319166666667</x:v>
      </x:c>
      <x:c r="E37" s="40">
        <x:v>10.789674999999999</x:v>
      </x:c>
      <x:c r="F37" s="40">
        <x:v>6.1373516666666674</x:v>
      </x:c>
      <x:c r="G37" s="40"/>
      <x:c r="H37" s="40"/>
      <x:c r="I37" s="40"/>
      <x:c r="J37" s="40"/>
    </x:row>
    <x:row r="38" spans="1:10" x14ac:dyDescent="0.25">
      <x:c r="A38" s="7">
        <x:f t="shared" si="0"/>
        <x:v>28</x:v>
      </x:c>
      <x:c r="B38" s="39">
        <x:v>45136</x:v>
      </x:c>
      <x:c r="C38" s="40">
        <x:v>21.192768749999999</x:v>
      </x:c>
      <x:c r="D38" s="40">
        <x:v>16.187768750000004</x:v>
      </x:c>
      <x:c r="E38" s="40">
        <x:v>11.190846250000002</x:v>
      </x:c>
      <x:c r="F38" s="40">
        <x:v>6.408879999999999</x:v>
      </x:c>
      <x:c r="G38" s="40"/>
      <x:c r="H38" s="40"/>
      <x:c r="I38" s="40"/>
      <x:c r="J38" s="40"/>
    </x:row>
    <x:row r="39" spans="1:10" x14ac:dyDescent="0.25">
      <x:c r="A39" s="7">
        <x:f t="shared" si="0"/>
        <x:v>29</x:v>
      </x:c>
      <x:c r="B39" s="39">
        <x:v>45137</x:v>
      </x:c>
      <x:c r="C39" s="40">
        <x:v>21.426153333333335</x:v>
      </x:c>
      <x:c r="D39" s="40">
        <x:v>16.421153333333329</x:v>
      </x:c>
      <x:c r="E39" s="40">
        <x:v>11.41902625</x:v>
      </x:c>
      <x:c r="F39" s="40">
        <x:v>6.5592733333333317</x:v>
      </x:c>
      <x:c r="G39" s="40"/>
      <x:c r="H39" s="40"/>
      <x:c r="I39" s="40"/>
      <x:c r="J39" s="40"/>
    </x:row>
    <x:row r="40" spans="1:10" x14ac:dyDescent="0.25">
      <x:c r="A40" s="7">
        <x:f t="shared" si="0"/>
        <x:v>30</x:v>
      </x:c>
      <x:c r="B40" s="39">
        <x:v>45138</x:v>
      </x:c>
      <x:c r="C40" s="40">
        <x:v>21.487102083333326</x:v>
      </x:c>
      <x:c r="D40" s="40">
        <x:v>16.482102083333331</x:v>
      </x:c>
      <x:c r="E40" s="40">
        <x:v>11.489527083333337</x:v>
      </x:c>
      <x:c r="F40" s="40">
        <x:v>6.7437129166666683</x:v>
      </x:c>
      <x:c r="G40" s="40"/>
      <x:c r="H40" s="40"/>
      <x:c r="I40" s="40"/>
      <x:c r="J40" s="40"/>
    </x:row>
    <x:row r="41" spans="1:10" x14ac:dyDescent="0.25">
      <x:c r="A41" s="7">
        <x:f t="shared" si="0"/>
        <x:v>31</x:v>
      </x:c>
      <x:c r="B41" s="39">
        <x:v>45139</x:v>
      </x:c>
      <x:c r="C41" s="40">
        <x:v>21.603304166666668</x:v>
      </x:c>
      <x:c r="D41" s="40">
        <x:v>16.598304166666672</x:v>
      </x:c>
      <x:c r="E41" s="40">
        <x:v>11.626584166666669</x:v>
      </x:c>
      <x:c r="F41" s="40">
        <x:v>6.9276320833333376</x:v>
      </x:c>
      <x:c r="G41" s="40"/>
      <x:c r="H41" s="40"/>
      <x:c r="I41" s="40"/>
      <x:c r="J41" s="40"/>
    </x:row>
    <x:row r="42" spans="1:10" x14ac:dyDescent="0.25">
      <x:c r="A42" s="7">
        <x:f t="shared" si="0"/>
        <x:v>32</x:v>
      </x:c>
      <x:c r="B42" s="39">
        <x:v>45140</x:v>
      </x:c>
      <x:c r="C42" s="40">
        <x:v>21.929257499999999</x:v>
      </x:c>
      <x:c r="D42" s="40">
        <x:v>16.924257500000003</x:v>
      </x:c>
      <x:c r="E42" s="40">
        <x:v>11.932899999999997</x:v>
      </x:c>
      <x:c r="F42" s="40">
        <x:v>7.283331249999998</x:v>
      </x:c>
      <x:c r="G42" s="40"/>
      <x:c r="H42" s="40"/>
      <x:c r="I42" s="40"/>
      <x:c r="J42" s="40"/>
    </x:row>
    <x:row r="43" spans="1:10" x14ac:dyDescent="0.25">
      <x:c r="A43" s="7">
        <x:f t="shared" si="0"/>
        <x:v>33</x:v>
      </x:c>
      <x:c r="B43" s="39">
        <x:v>45141</x:v>
      </x:c>
      <x:c r="C43" s="40">
        <x:v>22.648815416666665</x:v>
      </x:c>
      <x:c r="D43" s="40">
        <x:v>17.643815416666666</x:v>
      </x:c>
      <x:c r="E43" s="40">
        <x:v>12.643630416666666</x:v>
      </x:c>
      <x:c r="F43" s="40">
        <x:v>7.7108579166666642</x:v>
      </x:c>
      <x:c r="G43" s="40"/>
      <x:c r="H43" s="40"/>
      <x:c r="I43" s="40"/>
      <x:c r="J43" s="40"/>
    </x:row>
    <x:row r="44" spans="1:10" x14ac:dyDescent="0.25">
      <x:c r="A44" s="7">
        <x:f t="shared" si="0"/>
        <x:v>34</x:v>
      </x:c>
      <x:c r="B44" s="39">
        <x:v>45142</x:v>
      </x:c>
      <x:c r="C44" s="40">
        <x:v>22.757324583333332</x:v>
      </x:c>
      <x:c r="D44" s="40">
        <x:v>17.75232458333333</x:v>
      </x:c>
      <x:c r="E44" s="40">
        <x:v>12.747324583333334</x:v>
      </x:c>
      <x:c r="F44" s="40">
        <x:v>7.8104987500000025</x:v>
      </x:c>
      <x:c r="G44" s="40"/>
      <x:c r="H44" s="40"/>
      <x:c r="I44" s="40"/>
      <x:c r="J44" s="40"/>
    </x:row>
    <x:row r="45" spans="1:10" x14ac:dyDescent="0.25">
      <x:c r="A45" s="7"/>
    </x:row>
  </x:sheetData>
  <x:mergeCells count="9">
    <x:mergeCell ref="B1:K1"/>
    <x:mergeCell ref="B5:J5"/>
    <x:mergeCell ref="C11:F11"/>
    <x:mergeCell ref="H11:K11"/>
    <x:mergeCell ref="B8:K8"/>
    <x:mergeCell ref="B6:K6"/>
    <x:mergeCell ref="B4:K4"/>
    <x:mergeCell ref="B3:K3"/>
    <x:mergeCell ref="B2:K2"/>
  </x:mergeCells>
  <x:phoneticPr fontId="2" type="noConversion"/>
  <x:printOptions horizontalCentered="1"/>
  <x:pageMargins left="1.5" right="0.5" top="1.5" bottom="1" header="1" footer="0.5"/>
  <x:pageSetup scale="85" firstPageNumber="3" orientation="portrait" r:id="rId1"/>
  <x:headerFooter alignWithMargins="0">
    <x:oddHeader>&amp;RSchedule II-H-5.2
Page &amp;P of 37</x:oddHeader>
  </x:headerFooter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 codeName="Sheet16">
    <x:pageSetUpPr fitToPage="1"/>
  </x:sheetPr>
  <x:dimension ref="A1:P45"/>
  <x:sheetViews>
    <x:sheetView zoomScaleNormal="100" zoomScaleSheetLayoutView="100" workbookViewId="0"/>
  </x:sheetViews>
  <x:sheetFormatPr defaultColWidth="9.08984375" defaultRowHeight="12.5" x14ac:dyDescent="0.25"/>
  <x:cols>
    <x:col min="1" max="1" width="9.08984375" style="9"/>
    <x:col min="2" max="2" width="9.453125" style="9" customWidth="1"/>
    <x:col min="3" max="4" width="10.54296875" style="9" customWidth="1"/>
    <x:col min="5" max="6" width="10" style="9" customWidth="1"/>
    <x:col min="7" max="7" width="10.36328125" style="9" customWidth="1"/>
    <x:col min="8" max="9" width="10.90625" style="9" customWidth="1"/>
    <x:col min="10" max="10" width="11.54296875" style="9" customWidth="1"/>
    <x:col min="11" max="11" width="9.36328125" style="9" bestFit="1" customWidth="1"/>
    <x:col min="12" max="16384" width="9.08984375" style="9"/>
  </x:cols>
  <x:sheetData>
    <x:row r="1" spans="1:12" customFormat="1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51"/>
    </x:row>
    <x:row r="2" spans="1:12" customFormat="1" ht="15.5" x14ac:dyDescent="0.35">
      <x:c r="A2" s="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51"/>
    </x:row>
    <x:row r="3" spans="1:12" customFormat="1" ht="15.5" x14ac:dyDescent="0.35">
      <x:c r="A3" s="1"/>
      <x:c r="B3" s="209" t="str">
        <x:f>+RES!B3</x:f>
        <x:v>ADJUSTED WEATHER STATION DATA</x:v>
      </x:c>
      <x:c r="C3" s="209"/>
      <x:c r="D3" s="209"/>
      <x:c r="E3" s="212"/>
      <x:c r="F3" s="212"/>
      <x:c r="G3" s="212"/>
      <x:c r="H3" s="212"/>
      <x:c r="I3" s="212"/>
      <x:c r="J3" s="212"/>
      <x:c r="K3" s="212"/>
      <x:c r="L3" s="51"/>
    </x:row>
    <x:row r="4" spans="1:12" customFormat="1" ht="15.5" x14ac:dyDescent="0.35">
      <x:c r="A4" s="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51"/>
    </x:row>
    <x:row r="5" spans="1:12" customFormat="1" ht="15.5" x14ac:dyDescent="0.35">
      <x:c r="A5" s="1"/>
      <x:c r="B5" s="209"/>
      <x:c r="C5" s="209"/>
      <x:c r="D5" s="209"/>
      <x:c r="E5" s="209"/>
      <x:c r="F5" s="209"/>
      <x:c r="G5" s="209"/>
      <x:c r="H5" s="212"/>
      <x:c r="I5" s="212"/>
      <x:c r="J5" s="212"/>
      <x:c r="K5" s="212"/>
      <x:c r="L5" s="212"/>
    </x:row>
    <x:row r="6" spans="1:12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1"/>
      <x:c r="L6" s="1"/>
    </x:row>
    <x:row r="7" spans="1:12" ht="15.5" x14ac:dyDescent="0.35">
      <x:c r="B7" s="96"/>
      <x:c r="C7" s="1"/>
      <x:c r="D7" s="132"/>
      <x:c r="E7" s="1"/>
      <x:c r="F7" s="177"/>
      <x:c r="G7" s="1"/>
      <x:c r="H7" s="1"/>
      <x:c r="I7" s="132"/>
      <x:c r="J7" s="1"/>
      <x:c r="K7" s="1"/>
      <x:c r="L7" s="1"/>
    </x:row>
    <x:row r="8" spans="1:12" ht="15.5" x14ac:dyDescent="0.35">
      <x:c r="B8" s="209" t="s">
        <x:v>146</x:v>
      </x:c>
      <x:c r="C8" s="209"/>
      <x:c r="D8" s="209"/>
      <x:c r="E8" s="212"/>
      <x:c r="F8" s="212"/>
      <x:c r="G8" s="212"/>
      <x:c r="H8" s="212"/>
      <x:c r="I8" s="212"/>
      <x:c r="J8" s="212"/>
      <x:c r="K8" s="212"/>
      <x:c r="L8" s="1"/>
    </x:row>
    <x:row r="9" spans="1:12" x14ac:dyDescent="0.25">
      <x:c r="A9" s="1" t="s">
        <x:v>6</x:v>
      </x:c>
      <x:c r="K9" s="1"/>
      <x:c r="L9" s="1"/>
    </x:row>
    <x:row r="10" spans="1:12" x14ac:dyDescent="0.25">
      <x:c r="A10" s="5" t="s">
        <x:v>8</x:v>
      </x:c>
    </x:row>
    <x:row r="11" spans="1:12" ht="12.75" customHeight="1" x14ac:dyDescent="0.25">
      <x:c r="A11" s="7">
        <x:v>1</x:v>
      </x:c>
      <x:c r="B11" s="37"/>
      <x:c r="C11" s="214"/>
      <x:c r="D11" s="214"/>
      <x:c r="E11" s="214"/>
      <x:c r="F11" s="215"/>
      <x:c r="G11" s="29"/>
      <x:c r="H11" s="214"/>
      <x:c r="I11" s="214"/>
      <x:c r="J11" s="214"/>
      <x:c r="K11" s="216"/>
    </x:row>
    <x:row r="12" spans="1:12" x14ac:dyDescent="0.25">
      <x:c r="A12" s="7">
        <x:f t="shared" ref="A12:A27" si="0">+A11+1</x:f>
        <x:v>2</x:v>
      </x:c>
      <x:c r="B12" s="37"/>
      <x:c r="C12" s="18" t="s">
        <x:v>131</x:v>
      </x:c>
      <x:c r="D12" s="18" t="s">
        <x:v>44</x:v>
      </x:c>
      <x:c r="E12" s="22" t="s">
        <x:v>45</x:v>
      </x:c>
      <x:c r="F12" s="22" t="s">
        <x:v>14</x:v>
      </x:c>
      <x:c r="G12" s="18"/>
      <x:c r="H12" s="18" t="s">
        <x:v>131</x:v>
      </x:c>
      <x:c r="I12" s="18" t="s">
        <x:v>44</x:v>
      </x:c>
      <x:c r="J12" s="22" t="s">
        <x:v>45</x:v>
      </x:c>
      <x:c r="K12" s="22" t="s">
        <x:v>14</x:v>
      </x:c>
    </x:row>
    <x:row r="13" spans="1:12" x14ac:dyDescent="0.25">
      <x:c r="A13" s="7">
        <x:f t="shared" si="0"/>
        <x:v>3</x:v>
      </x:c>
      <x:c r="B13" s="37"/>
      <x:c r="C13" s="38" t="s">
        <x:v>29</x:v>
      </x:c>
      <x:c r="D13" s="38" t="s">
        <x:v>30</x:v>
      </x:c>
      <x:c r="E13" s="38" t="s">
        <x:v>31</x:v>
      </x:c>
      <x:c r="F13" s="38" t="s">
        <x:v>112</x:v>
      </x:c>
      <x:c r="G13" s="38"/>
      <x:c r="H13" s="38" t="s">
        <x:v>29</x:v>
      </x:c>
      <x:c r="I13" s="38" t="s">
        <x:v>30</x:v>
      </x:c>
      <x:c r="J13" s="38" t="s">
        <x:v>31</x:v>
      </x:c>
      <x:c r="K13" s="38" t="s">
        <x:v>112</x:v>
      </x:c>
    </x:row>
    <x:row r="14" spans="1:12" x14ac:dyDescent="0.25">
      <x:c r="A14" s="7">
        <x:f t="shared" si="0"/>
        <x:v>4</x:v>
      </x:c>
      <x:c r="B14" s="39">
        <x:v>45656</x:v>
      </x:c>
      <x:c r="C14" s="40">
        <x:v>1.7915833333333331</x:v>
      </x:c>
      <x:c r="D14" s="40">
        <x:v>7.4957704166666632</x:v>
      </x:c>
      <x:c r="E14" s="40">
        <x:v>11.592848333333331</x:v>
      </x:c>
      <x:c r="F14" s="40">
        <x:v>16.148031249999995</x:v>
      </x:c>
      <x:c r="G14" s="18"/>
      <x:c r="H14" s="18"/>
      <x:c r="I14" s="18"/>
      <x:c r="J14" s="18"/>
      <x:c r="K14" s="18"/>
      <x:c r="L14" s="9">
        <x:v>2024</x:v>
      </x:c>
    </x:row>
    <x:row r="15" spans="1:12" x14ac:dyDescent="0.25">
      <x:c r="A15" s="7">
        <x:f t="shared" si="0"/>
        <x:v>5</x:v>
      </x:c>
      <x:c r="B15" s="39">
        <x:v>45657</x:v>
      </x:c>
      <x:c r="C15" s="40">
        <x:v>2.4575762499999994</x:v>
      </x:c>
      <x:c r="D15" s="40">
        <x:v>8.2663587500000038</x:v>
      </x:c>
      <x:c r="E15" s="40">
        <x:v>12.263590833333335</x:v>
      </x:c>
      <x:c r="F15" s="40">
        <x:v>16.835470833333332</x:v>
      </x:c>
      <x:c r="G15" s="18"/>
      <x:c r="H15" s="18"/>
      <x:c r="I15" s="18"/>
      <x:c r="J15" s="18"/>
      <x:c r="K15" s="18"/>
      <x:c r="L15" s="9">
        <x:v>2024</x:v>
      </x:c>
    </x:row>
    <x:row r="16" spans="1:12" x14ac:dyDescent="0.25">
      <x:c r="A16" s="7">
        <x:f t="shared" si="0"/>
        <x:v>6</x:v>
      </x:c>
      <x:c r="B16" s="39">
        <x:v>45292</x:v>
      </x:c>
      <x:c r="C16" s="40">
        <x:v>4.0084179166666667</x:v>
      </x:c>
      <x:c r="D16" s="40">
        <x:v>10.205672916666664</x:v>
      </x:c>
      <x:c r="E16" s="40">
        <x:v>14.136857499999996</x:v>
      </x:c>
      <x:c r="F16" s="40">
        <x:v>18.228000833333333</x:v>
      </x:c>
      <x:c r="G16" s="40"/>
      <x:c r="H16" s="40"/>
      <x:c r="I16" s="40"/>
      <x:c r="J16" s="40"/>
      <x:c r="K16" s="40"/>
      <x:c r="L16" s="9">
        <x:v>2024</x:v>
      </x:c>
    </x:row>
    <x:row r="17" spans="1:16" x14ac:dyDescent="0.25">
      <x:c r="A17" s="7">
        <x:f t="shared" si="0"/>
        <x:v>7</x:v>
      </x:c>
      <x:c r="B17" s="39">
        <x:v>45293</x:v>
      </x:c>
      <x:c r="C17" s="40">
        <x:v>5.4418212500000021</x:v>
      </x:c>
      <x:c r="D17" s="40">
        <x:v>11.98922291666667</x:v>
      </x:c>
      <x:c r="E17" s="40">
        <x:v>15.604783333333334</x:v>
      </x:c>
      <x:c r="F17" s="40">
        <x:v>19.571575833333334</x:v>
      </x:c>
      <x:c r="G17" s="40"/>
      <x:c r="H17" s="40"/>
      <x:c r="I17" s="40"/>
      <x:c r="J17" s="40"/>
      <x:c r="K17" s="40"/>
      <x:c r="L17" s="9">
        <x:v>2024</x:v>
      </x:c>
    </x:row>
    <x:row r="18" spans="1:16" x14ac:dyDescent="0.25">
      <x:c r="A18" s="7">
        <x:f t="shared" si="0"/>
        <x:v>8</x:v>
      </x:c>
      <x:c r="B18" s="39">
        <x:v>45294</x:v>
      </x:c>
      <x:c r="C18" s="40">
        <x:v>2.9665979166666654</x:v>
      </x:c>
      <x:c r="D18" s="40">
        <x:v>9.5934179166666667</x:v>
      </x:c>
      <x:c r="E18" s="40">
        <x:v>13.408081666666666</x:v>
      </x:c>
      <x:c r="F18" s="40">
        <x:v>17.522460833333334</x:v>
      </x:c>
      <x:c r="G18" s="40"/>
      <x:c r="H18" s="40"/>
      <x:c r="I18" s="40"/>
      <x:c r="J18" s="40"/>
      <x:c r="K18" s="40"/>
      <x:c r="L18" s="9">
        <x:v>2024</x:v>
      </x:c>
    </x:row>
    <x:row r="19" spans="1:16" x14ac:dyDescent="0.25">
      <x:c r="A19" s="7">
        <x:f t="shared" si="0"/>
        <x:v>9</x:v>
      </x:c>
      <x:c r="B19" s="39">
        <x:v>45295</x:v>
      </x:c>
      <x:c r="C19" s="40">
        <x:v>2.3703183333333326</x:v>
      </x:c>
      <x:c r="D19" s="40">
        <x:v>8.9941950000000013</x:v>
      </x:c>
      <x:c r="E19" s="40">
        <x:v>13.465339166666666</x:v>
      </x:c>
      <x:c r="F19" s="40">
        <x:v>18.227789166666664</x:v>
      </x:c>
      <x:c r="G19" s="40"/>
      <x:c r="H19" s="40"/>
      <x:c r="I19" s="40"/>
      <x:c r="J19" s="40"/>
      <x:c r="K19" s="40"/>
      <x:c r="L19" s="9">
        <x:v>2024</x:v>
      </x:c>
    </x:row>
    <x:row r="20" spans="1:16" x14ac:dyDescent="0.25">
      <x:c r="A20" s="7">
        <x:f t="shared" si="0"/>
        <x:v>10</x:v>
      </x:c>
      <x:c r="B20" s="39">
        <x:v>45296</x:v>
      </x:c>
      <x:c r="C20" s="40">
        <x:v>3.7155770833333328</x:v>
      </x:c>
      <x:c r="D20" s="40">
        <x:v>10.698370000000001</x:v>
      </x:c>
      <x:c r="E20" s="40">
        <x:v>15.36819833333333</x:v>
      </x:c>
      <x:c r="F20" s="40">
        <x:v>20.134233333333334</x:v>
      </x:c>
      <x:c r="G20" s="40"/>
      <x:c r="H20" s="40"/>
      <x:c r="I20" s="40"/>
      <x:c r="J20" s="40"/>
      <x:c r="K20" s="40"/>
      <x:c r="L20" s="9">
        <x:v>2024</x:v>
      </x:c>
    </x:row>
    <x:row r="21" spans="1:16" x14ac:dyDescent="0.25">
      <x:c r="A21" s="7">
        <x:f t="shared" si="0"/>
        <x:v>11</x:v>
      </x:c>
      <x:c r="B21" s="39">
        <x:v>45297</x:v>
      </x:c>
      <x:c r="C21" s="40">
        <x:v>4.6288212499999997</x:v>
      </x:c>
      <x:c r="D21" s="40">
        <x:v>11.118305416666665</x:v>
      </x:c>
      <x:c r="E21" s="40">
        <x:v>15.547275416666661</x:v>
      </x:c>
      <x:c r="F21" s="40">
        <x:v>20.292920416666668</x:v>
      </x:c>
      <x:c r="G21" s="40"/>
      <x:c r="H21" s="40"/>
      <x:c r="I21" s="40"/>
      <x:c r="J21" s="40"/>
      <x:c r="K21" s="40"/>
      <x:c r="L21" s="9">
        <x:v>2024</x:v>
      </x:c>
    </x:row>
    <x:row r="22" spans="1:16" x14ac:dyDescent="0.25">
      <x:c r="A22" s="7">
        <x:f t="shared" si="0"/>
        <x:v>12</x:v>
      </x:c>
      <x:c r="B22" s="39">
        <x:v>45298</x:v>
      </x:c>
      <x:c r="C22" s="40">
        <x:v>4.2516245833333342</x:v>
      </x:c>
      <x:c r="D22" s="40">
        <x:v>10.163279166666667</x:v>
      </x:c>
      <x:c r="E22" s="40">
        <x:v>14.334045000000003</x:v>
      </x:c>
      <x:c r="F22" s="40">
        <x:v>18.874334999999995</x:v>
      </x:c>
      <x:c r="G22" s="40"/>
      <x:c r="H22" s="40"/>
      <x:c r="I22" s="40"/>
      <x:c r="J22" s="40"/>
      <x:c r="K22" s="40"/>
      <x:c r="L22" s="9">
        <x:v>2024</x:v>
      </x:c>
    </x:row>
    <x:row r="23" spans="1:16" x14ac:dyDescent="0.25">
      <x:c r="A23" s="7">
        <x:f t="shared" si="0"/>
        <x:v>13</x:v>
      </x:c>
      <x:c r="B23" s="39">
        <x:v>45299</x:v>
      </x:c>
      <x:c r="C23" s="40">
        <x:v>2.9502670833333324</x:v>
      </x:c>
      <x:c r="D23" s="40">
        <x:v>8.8375779166666621</x:v>
      </x:c>
      <x:c r="E23" s="40">
        <x:v>13.272102916666663</x:v>
      </x:c>
      <x:c r="F23" s="40">
        <x:v>18.065582083333332</x:v>
      </x:c>
      <x:c r="G23" s="40"/>
      <x:c r="H23" s="40"/>
      <x:c r="I23" s="40"/>
      <x:c r="J23" s="40"/>
      <x:c r="K23" s="40"/>
      <x:c r="L23" s="9">
        <x:v>2024</x:v>
      </x:c>
    </x:row>
    <x:row r="24" spans="1:16" x14ac:dyDescent="0.25">
      <x:c r="A24" s="7">
        <x:f t="shared" si="0"/>
        <x:v>14</x:v>
      </x:c>
      <x:c r="B24" s="39">
        <x:v>45300</x:v>
      </x:c>
      <x:c r="C24" s="40">
        <x:v>2.6962491666666679</x:v>
      </x:c>
      <x:c r="D24" s="40">
        <x:v>8.6153470833333348</x:v>
      </x:c>
      <x:c r="E24" s="40">
        <x:v>12.9780525</x:v>
      </x:c>
      <x:c r="F24" s="40">
        <x:v>17.554149583333338</x:v>
      </x:c>
      <x:c r="G24" s="40"/>
      <x:c r="H24" s="40"/>
      <x:c r="I24" s="40"/>
      <x:c r="J24" s="40"/>
      <x:c r="K24" s="40"/>
      <x:c r="L24" s="9">
        <x:v>2024</x:v>
      </x:c>
    </x:row>
    <x:row r="25" spans="1:16" x14ac:dyDescent="0.25">
      <x:c r="A25" s="7">
        <x:f t="shared" si="0"/>
        <x:v>15</x:v>
      </x:c>
      <x:c r="B25" s="39">
        <x:v>45301</x:v>
      </x:c>
      <x:c r="C25" s="40">
        <x:v>3.4781725000000003</x:v>
      </x:c>
      <x:c r="D25" s="40">
        <x:v>9.298482916666666</x:v>
      </x:c>
      <x:c r="E25" s="40">
        <x:v>13.147601249999999</x:v>
      </x:c>
      <x:c r="F25" s="40">
        <x:v>17.285702499999996</x:v>
      </x:c>
      <x:c r="G25" s="40"/>
      <x:c r="H25" s="40"/>
      <x:c r="I25" s="40"/>
      <x:c r="J25" s="40"/>
      <x:c r="K25" s="40"/>
      <x:c r="L25" s="9">
        <x:v>2024</x:v>
      </x:c>
    </x:row>
    <x:row r="26" spans="1:16" x14ac:dyDescent="0.25">
      <x:c r="A26" s="7">
        <x:f t="shared" si="0"/>
        <x:v>16</x:v>
      </x:c>
      <x:c r="B26" s="39">
        <x:v>45302</x:v>
      </x:c>
      <x:c r="C26" s="40">
        <x:v>2.7265208333333333</x:v>
      </x:c>
      <x:c r="D26" s="40">
        <x:v>8.4658258333333372</x:v>
      </x:c>
      <x:c r="E26" s="40">
        <x:v>12.323492083333335</x:v>
      </x:c>
      <x:c r="F26" s="40">
        <x:v>16.594989166666668</x:v>
      </x:c>
      <x:c r="G26" s="40"/>
      <x:c r="H26" s="40"/>
      <x:c r="I26" s="40"/>
      <x:c r="J26" s="40"/>
      <x:c r="K26" s="40"/>
      <x:c r="L26" s="9">
        <x:v>2024</x:v>
      </x:c>
    </x:row>
    <x:row r="27" spans="1:16" x14ac:dyDescent="0.25">
      <x:c r="A27" s="7">
        <x:f t="shared" si="0"/>
        <x:v>17</x:v>
      </x:c>
      <x:c r="B27" s="39">
        <x:v>45303</x:v>
      </x:c>
      <x:c r="C27" s="40">
        <x:v>2.74190625</x:v>
      </x:c>
      <x:c r="D27" s="40">
        <x:v>8.3260933333333327</x:v>
      </x:c>
      <x:c r="E27" s="40">
        <x:v>12.282230416666668</x:v>
      </x:c>
      <x:c r="F27" s="40">
        <x:v>16.617758333333335</x:v>
      </x:c>
      <x:c r="G27" s="40"/>
      <x:c r="H27" s="40"/>
      <x:c r="I27" s="40"/>
      <x:c r="J27" s="40"/>
      <x:c r="K27" s="40"/>
      <x:c r="L27" s="9">
        <x:v>2024</x:v>
      </x:c>
    </x:row>
    <x:row r="28" spans="1:16" x14ac:dyDescent="0.25">
      <x:c r="A28" s="7">
        <x:f t="shared" ref="A28:A43" si="1">+A27+1</x:f>
        <x:v>18</x:v>
      </x:c>
      <x:c r="B28" s="39">
        <x:v>45304</x:v>
      </x:c>
      <x:c r="C28" s="40">
        <x:v>3.5559333333333329</x:v>
      </x:c>
      <x:c r="D28" s="40">
        <x:v>10.79601375</x:v>
      </x:c>
      <x:c r="E28" s="40">
        <x:v>15.554621250000002</x:v>
      </x:c>
      <x:c r="F28" s="40">
        <x:v>20.519629583333334</x:v>
      </x:c>
      <x:c r="G28" s="40"/>
      <x:c r="H28" s="40"/>
      <x:c r="I28" s="40"/>
      <x:c r="J28" s="40"/>
      <x:c r="K28" s="40"/>
      <x:c r="L28" s="9">
        <x:v>2024</x:v>
      </x:c>
    </x:row>
    <x:row r="29" spans="1:16" x14ac:dyDescent="0.25">
      <x:c r="A29" s="7">
        <x:f t="shared" si="1"/>
        <x:v>19</x:v>
      </x:c>
      <x:c r="B29" s="39">
        <x:v>45305</x:v>
      </x:c>
      <x:c r="C29" s="40">
        <x:v>2.644573333333331</x:v>
      </x:c>
      <x:c r="D29" s="40">
        <x:v>9.0728949999999973</x:v>
      </x:c>
      <x:c r="E29" s="40">
        <x:v>13.555834999999998</x:v>
      </x:c>
      <x:c r="F29" s="40">
        <x:v>18.424664999999997</x:v>
      </x:c>
      <x:c r="G29" s="40"/>
      <x:c r="H29" s="206">
        <x:f>AVERAGE(C14:C44)</x:f>
        <x:v>2.8298409005376337</x:v>
      </x:c>
      <x:c r="I29" s="206">
        <x:f>AVERAGE(D14:D44)</x:f>
        <x:v>8.9145408467741909</x:v>
      </x:c>
      <x:c r="J29" s="206">
        <x:f>AVERAGE(E14:E44)</x:f>
        <x:v>13.128159314516129</x:v>
      </x:c>
      <x:c r="K29" s="206">
        <x:f>AVERAGE(F14:F44)</x:f>
        <x:v>17.757578427419354</x:v>
      </x:c>
      <x:c r="L29" s="9">
        <x:v>2024</x:v>
      </x:c>
      <x:c r="M29" s="74"/>
      <x:c r="N29" s="74"/>
      <x:c r="O29" s="74"/>
      <x:c r="P29" s="74"/>
    </x:row>
    <x:row r="30" spans="1:16" x14ac:dyDescent="0.25">
      <x:c r="A30" s="7">
        <x:f t="shared" si="1"/>
        <x:v>20</x:v>
      </x:c>
      <x:c r="B30" s="39">
        <x:v>45306</x:v>
      </x:c>
      <x:c r="C30" s="40">
        <x:v>2.7843420833333314</x:v>
      </x:c>
      <x:c r="D30" s="40">
        <x:v>9.0963174999999961</x:v>
      </x:c>
      <x:c r="E30" s="40">
        <x:v>13.321189166666665</x:v>
      </x:c>
      <x:c r="F30" s="40">
        <x:v>18.075486249999997</x:v>
      </x:c>
      <x:c r="G30" s="40"/>
      <x:c r="H30" s="40"/>
      <x:c r="I30" s="40"/>
      <x:c r="J30" s="40"/>
      <x:c r="L30" s="9">
        <x:v>2024</x:v>
      </x:c>
    </x:row>
    <x:row r="31" spans="1:16" x14ac:dyDescent="0.25">
      <x:c r="A31" s="7">
        <x:f t="shared" si="1"/>
        <x:v>21</x:v>
      </x:c>
      <x:c r="B31" s="39">
        <x:v>45307</x:v>
      </x:c>
      <x:c r="C31" s="40">
        <x:v>3.8984662499999976</x:v>
      </x:c>
      <x:c r="D31" s="40">
        <x:v>10.009510416666663</x:v>
      </x:c>
      <x:c r="E31" s="40">
        <x:v>14.037984166666666</x:v>
      </x:c>
      <x:c r="F31" s="40">
        <x:v>18.427909166666669</x:v>
      </x:c>
      <x:c r="G31" s="40"/>
      <x:c r="H31" s="40"/>
      <x:c r="I31" s="40"/>
      <x:c r="J31" s="40"/>
      <x:c r="L31" s="9">
        <x:v>2024</x:v>
      </x:c>
    </x:row>
    <x:row r="32" spans="1:16" x14ac:dyDescent="0.25">
      <x:c r="A32" s="7">
        <x:f t="shared" si="1"/>
        <x:v>22</x:v>
      </x:c>
      <x:c r="B32" s="39">
        <x:v>45308</x:v>
      </x:c>
      <x:c r="C32" s="40">
        <x:v>3.2186975000000002</x:v>
      </x:c>
      <x:c r="D32" s="40">
        <x:v>9.4241504166666683</x:v>
      </x:c>
      <x:c r="E32" s="40">
        <x:v>13.876725416666668</x:v>
      </x:c>
      <x:c r="F32" s="40">
        <x:v>18.712027499999998</x:v>
      </x:c>
      <x:c r="G32" s="40"/>
      <x:c r="H32" s="40"/>
      <x:c r="I32" s="40"/>
      <x:c r="J32" s="40"/>
      <x:c r="L32" s="9">
        <x:v>2024</x:v>
      </x:c>
    </x:row>
    <x:row r="33" spans="1:12" x14ac:dyDescent="0.25">
      <x:c r="A33" s="7">
        <x:f t="shared" si="1"/>
        <x:v>23</x:v>
      </x:c>
      <x:c r="B33" s="39">
        <x:v>45309</x:v>
      </x:c>
      <x:c r="C33" s="40">
        <x:v>2.5321620833333336</x:v>
      </x:c>
      <x:c r="D33" s="40">
        <x:v>7.8339083333333335</x:v>
      </x:c>
      <x:c r="E33" s="40">
        <x:v>12.282903333333334</x:v>
      </x:c>
      <x:c r="F33" s="40">
        <x:v>17.086428333333334</x:v>
      </x:c>
      <x:c r="G33" s="40"/>
      <x:c r="H33" s="40"/>
      <x:c r="I33" s="40"/>
      <x:c r="J33" s="40"/>
      <x:c r="L33" s="9">
        <x:v>2024</x:v>
      </x:c>
    </x:row>
    <x:row r="34" spans="1:12" x14ac:dyDescent="0.25">
      <x:c r="A34" s="7">
        <x:f t="shared" si="1"/>
        <x:v>24</x:v>
      </x:c>
      <x:c r="B34" s="39">
        <x:v>45310</x:v>
      </x:c>
      <x:c r="C34" s="40">
        <x:v>1.7957849999999975</x:v>
      </x:c>
      <x:c r="D34" s="40">
        <x:v>6.7492841666666603</x:v>
      </x:c>
      <x:c r="E34" s="40">
        <x:v>11.128992499999997</x:v>
      </x:c>
      <x:c r="F34" s="40">
        <x:v>15.870317499999993</x:v>
      </x:c>
      <x:c r="G34" s="40"/>
      <x:c r="H34" s="40"/>
      <x:c r="I34" s="40"/>
      <x:c r="J34" s="40"/>
      <x:c r="L34" s="9">
        <x:v>2024</x:v>
      </x:c>
    </x:row>
    <x:row r="35" spans="1:12" x14ac:dyDescent="0.25">
      <x:c r="A35" s="7">
        <x:f t="shared" si="1"/>
        <x:v>25</x:v>
      </x:c>
      <x:c r="B35" s="39">
        <x:v>45311</x:v>
      </x:c>
      <x:c r="C35" s="40">
        <x:v>2.7300420833333336</x:v>
      </x:c>
      <x:c r="D35" s="40">
        <x:v>8.0240420833333346</x:v>
      </x:c>
      <x:c r="E35" s="40">
        <x:v>11.787138333333335</x:v>
      </x:c>
      <x:c r="F35" s="40">
        <x:v>16.452997916666668</x:v>
      </x:c>
      <x:c r="G35" s="40"/>
      <x:c r="H35" s="40"/>
      <x:c r="I35" s="40"/>
      <x:c r="J35" s="40"/>
      <x:c r="L35" s="9">
        <x:v>2024</x:v>
      </x:c>
    </x:row>
    <x:row r="36" spans="1:12" x14ac:dyDescent="0.25">
      <x:c r="A36" s="7">
        <x:f t="shared" si="1"/>
        <x:v>26</x:v>
      </x:c>
      <x:c r="B36" s="39">
        <x:v>45312</x:v>
      </x:c>
      <x:c r="C36" s="40">
        <x:v>1.8834333333333322</x:v>
      </x:c>
      <x:c r="D36" s="40">
        <x:v>8.3457204166666674</x:v>
      </x:c>
      <x:c r="E36" s="40">
        <x:v>12.613923750000001</x:v>
      </x:c>
      <x:c r="F36" s="40">
        <x:v>17.374625416666667</x:v>
      </x:c>
      <x:c r="G36" s="40"/>
      <x:c r="H36" s="40"/>
      <x:c r="I36" s="40"/>
      <x:c r="J36" s="40"/>
      <x:c r="L36" s="9">
        <x:v>2024</x:v>
      </x:c>
    </x:row>
    <x:row r="37" spans="1:12" x14ac:dyDescent="0.25">
      <x:c r="A37" s="7">
        <x:f t="shared" si="1"/>
        <x:v>27</x:v>
      </x:c>
      <x:c r="B37" s="39">
        <x:v>45313</x:v>
      </x:c>
      <x:c r="C37" s="40">
        <x:v>1.8464866666666644</x:v>
      </x:c>
      <x:c r="D37" s="40">
        <x:v>7.9793145833333323</x:v>
      </x:c>
      <x:c r="E37" s="40">
        <x:v>12.312161249999999</x:v>
      </x:c>
      <x:c r="F37" s="40">
        <x:v>17.265261250000002</x:v>
      </x:c>
      <x:c r="G37" s="40"/>
      <x:c r="H37" s="40"/>
      <x:c r="I37" s="40"/>
      <x:c r="J37" s="40"/>
      <x:c r="L37" s="9">
        <x:v>2024</x:v>
      </x:c>
    </x:row>
    <x:row r="38" spans="1:12" x14ac:dyDescent="0.25">
      <x:c r="A38" s="7">
        <x:f t="shared" si="1"/>
        <x:v>28</x:v>
      </x:c>
      <x:c r="B38" s="39">
        <x:v>45314</x:v>
      </x:c>
      <x:c r="C38" s="40">
        <x:v>2.9007645833333333</x:v>
      </x:c>
      <x:c r="D38" s="40">
        <x:v>9.5898562499999986</x:v>
      </x:c>
      <x:c r="E38" s="40">
        <x:v>14.005922916666666</x:v>
      </x:c>
      <x:c r="F38" s="40">
        <x:v>18.823202916666666</x:v>
      </x:c>
      <x:c r="G38" s="40"/>
      <x:c r="H38" s="40"/>
      <x:c r="I38" s="40"/>
      <x:c r="J38" s="40"/>
      <x:c r="L38" s="9">
        <x:v>2024</x:v>
      </x:c>
    </x:row>
    <x:row r="39" spans="1:12" x14ac:dyDescent="0.25">
      <x:c r="A39" s="7">
        <x:f t="shared" si="1"/>
        <x:v>29</x:v>
      </x:c>
      <x:c r="B39" s="39">
        <x:v>45315</x:v>
      </x:c>
      <x:c r="C39" s="40">
        <x:v>2.2217458333333342</x:v>
      </x:c>
      <x:c r="D39" s="40">
        <x:v>8.5479341666666677</x:v>
      </x:c>
      <x:c r="E39" s="40">
        <x:v>12.891653333333332</x:v>
      </x:c>
      <x:c r="F39" s="40">
        <x:v>17.5886</x:v>
      </x:c>
      <x:c r="G39" s="40"/>
      <x:c r="H39" s="40"/>
      <x:c r="I39" s="40"/>
      <x:c r="J39" s="40"/>
      <x:c r="L39" s="9">
        <x:v>2024</x:v>
      </x:c>
    </x:row>
    <x:row r="40" spans="1:12" x14ac:dyDescent="0.25">
      <x:c r="A40" s="7">
        <x:f t="shared" si="1"/>
        <x:v>30</x:v>
      </x:c>
      <x:c r="B40" s="39">
        <x:v>45316</x:v>
      </x:c>
      <x:c r="C40" s="40">
        <x:v>1.1359679166666663</x:v>
      </x:c>
      <x:c r="D40" s="40">
        <x:v>6.6714766666666687</x:v>
      </x:c>
      <x:c r="E40" s="40">
        <x:v>10.793760416666668</x:v>
      </x:c>
      <x:c r="F40" s="40">
        <x:v>15.663288333333332</x:v>
      </x:c>
      <x:c r="G40" s="40"/>
      <x:c r="H40" s="40"/>
      <x:c r="I40" s="40"/>
      <x:c r="J40" s="40"/>
      <x:c r="L40" s="9">
        <x:v>2024</x:v>
      </x:c>
    </x:row>
    <x:row r="41" spans="1:12" x14ac:dyDescent="0.25">
      <x:c r="A41" s="7">
        <x:f t="shared" si="1"/>
        <x:v>31</x:v>
      </x:c>
      <x:c r="B41" s="39">
        <x:v>45317</x:v>
      </x:c>
      <x:c r="C41" s="40">
        <x:v>0.98717499999999991</x:v>
      </x:c>
      <x:c r="D41" s="40">
        <x:v>7.1878370833333349</x:v>
      </x:c>
      <x:c r="E41" s="40">
        <x:v>11.788152500000004</x:v>
      </x:c>
      <x:c r="F41" s="40">
        <x:v>16.762649583333335</x:v>
      </x:c>
      <x:c r="G41" s="40"/>
      <x:c r="H41" s="40"/>
      <x:c r="I41" s="40"/>
      <x:c r="J41" s="40"/>
      <x:c r="L41" s="9">
        <x:v>2024</x:v>
      </x:c>
    </x:row>
    <x:row r="42" spans="1:12" x14ac:dyDescent="0.25">
      <x:c r="A42" s="7">
        <x:f t="shared" si="1"/>
        <x:v>32</x:v>
      </x:c>
      <x:c r="B42" s="39">
        <x:v>45318</x:v>
      </x:c>
      <x:c r="C42" s="40">
        <x:v>2.0498454166666655</x:v>
      </x:c>
      <x:c r="D42" s="40">
        <x:v>8.2504241666666651</x:v>
      </x:c>
      <x:c r="E42" s="40">
        <x:v>12.544340833333328</x:v>
      </x:c>
      <x:c r="F42" s="40">
        <x:v>17.402635833333335</x:v>
      </x:c>
      <x:c r="G42" s="40"/>
      <x:c r="H42" s="40"/>
      <x:c r="I42" s="40"/>
      <x:c r="J42" s="40"/>
      <x:c r="L42" s="9">
        <x:v>2024</x:v>
      </x:c>
    </x:row>
    <x:row r="43" spans="1:12" x14ac:dyDescent="0.25">
      <x:c r="A43" s="7">
        <x:f t="shared" si="1"/>
        <x:v>33</x:v>
      </x:c>
      <x:c r="B43" s="39">
        <x:v>45319</x:v>
      </x:c>
      <x:c r="C43" s="40">
        <x:v>2.8576379166666634</x:v>
      </x:c>
      <x:c r="D43" s="40">
        <x:v>8.3134104166666631</x:v>
      </x:c>
      <x:c r="E43" s="40">
        <x:v>12.340545416666661</x:v>
      </x:c>
      <x:c r="F43" s="40">
        <x:v>16.930312083333327</x:v>
      </x:c>
      <x:c r="G43" s="40"/>
      <x:c r="H43" s="40"/>
      <x:c r="I43" s="40"/>
      <x:c r="J43" s="40"/>
      <x:c r="L43" s="9">
        <x:v>2024</x:v>
      </x:c>
    </x:row>
    <x:row r="44" spans="1:12" x14ac:dyDescent="0.25">
      <x:c r="A44" s="7">
        <x:f>+A43+1</x:f>
        <x:v>34</x:v>
      </x:c>
      <x:c r="B44" s="39">
        <x:v>45320</x:v>
      </x:c>
      <x:c r="C44" s="40">
        <x:v>2.4565558333333359</x:v>
      </x:c>
      <x:c r="D44" s="40">
        <x:v>8.3907512500000045</x:v>
      </x:c>
      <x:c r="E44" s="40">
        <x:v>12.412590416666671</x:v>
      </x:c>
      <x:c r="F44" s="40">
        <x:v>17.151895416666672</x:v>
      </x:c>
      <x:c r="G44" s="40"/>
      <x:c r="H44" s="40"/>
      <x:c r="I44" s="40"/>
      <x:c r="J44" s="40"/>
      <x:c r="L44" s="9">
        <x:v>2024</x:v>
      </x:c>
    </x:row>
    <x:row r="45" spans="1:12" x14ac:dyDescent="0.25">
      <x:c r="A45" s="7"/>
    </x:row>
  </x:sheetData>
  <x:mergeCells count="9">
    <x:mergeCell ref="B8:K8"/>
    <x:mergeCell ref="B5:L5"/>
    <x:mergeCell ref="C11:F11"/>
    <x:mergeCell ref="H11:K11"/>
    <x:mergeCell ref="B1:K1"/>
    <x:mergeCell ref="B2:K2"/>
    <x:mergeCell ref="B3:K3"/>
    <x:mergeCell ref="B4:K4"/>
    <x:mergeCell ref="B6:K6"/>
  </x:mergeCells>
  <x:phoneticPr fontId="2" type="noConversion"/>
  <x:printOptions horizontalCentered="1"/>
  <x:pageMargins left="1.5" right="0.5" top="1.5" bottom="1" header="1" footer="0.5"/>
  <x:pageSetup scale="59" firstPageNumber="3" orientation="portrait" r:id="rId1"/>
  <x:headerFooter alignWithMargins="0">
    <x:oddHeader>&amp;RSchedule II-H-5.2
Page &amp;P of 37</x:oddHeader>
  </x:headerFooter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 codeName="Sheet17">
    <x:pageSetUpPr fitToPage="1"/>
  </x:sheetPr>
  <x:dimension ref="A1:P45"/>
  <x:sheetViews>
    <x:sheetView zoomScaleNormal="100" zoomScaleSheetLayoutView="100" workbookViewId="0"/>
  </x:sheetViews>
  <x:sheetFormatPr defaultColWidth="9.08984375" defaultRowHeight="12.5" x14ac:dyDescent="0.25"/>
  <x:cols>
    <x:col min="1" max="2" width="9.08984375" style="9"/>
    <x:col min="3" max="3" width="10.453125" style="7" customWidth="1"/>
    <x:col min="4" max="4" width="9.6328125" style="9" customWidth="1"/>
    <x:col min="5" max="6" width="9.81640625" style="9" customWidth="1"/>
    <x:col min="7" max="7" width="8.453125" style="9" customWidth="1"/>
    <x:col min="8" max="8" width="10.90625" style="9" customWidth="1"/>
    <x:col min="9" max="9" width="11" style="9" customWidth="1"/>
    <x:col min="10" max="10" width="11.08984375" style="9" customWidth="1"/>
    <x:col min="11" max="16384" width="9.08984375" style="9"/>
  </x:cols>
  <x:sheetData>
    <x:row r="1" spans="1:12" customFormat="1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</x:row>
    <x:row r="2" spans="1:12" customFormat="1" ht="15.5" x14ac:dyDescent="0.35">
      <x:c r="A2" s="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</x:row>
    <x:row r="3" spans="1:12" customFormat="1" ht="15.5" x14ac:dyDescent="0.35">
      <x:c r="A3" s="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</x:row>
    <x:row r="4" spans="1:12" customFormat="1" ht="15.5" x14ac:dyDescent="0.35">
      <x:c r="A4" s="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</x:row>
    <x:row r="5" spans="1:12" customFormat="1" ht="15.5" x14ac:dyDescent="0.35">
      <x:c r="A5" s="1"/>
      <x:c r="B5" s="209"/>
      <x:c r="C5" s="209"/>
      <x:c r="D5" s="209"/>
      <x:c r="E5" s="209"/>
      <x:c r="F5" s="209"/>
      <x:c r="G5" s="209"/>
      <x:c r="H5" s="209"/>
      <x:c r="I5" s="212"/>
      <x:c r="J5" s="212"/>
    </x:row>
    <x:row r="6" spans="1:12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2"/>
    </x:row>
    <x:row r="7" spans="1:12" ht="15.5" x14ac:dyDescent="0.35">
      <x:c r="B7" s="96"/>
      <x:c r="C7" s="1"/>
      <x:c r="D7" s="1"/>
      <x:c r="E7" s="1"/>
      <x:c r="F7" s="177"/>
      <x:c r="G7" s="1"/>
      <x:c r="H7" s="1"/>
      <x:c r="I7" s="1"/>
      <x:c r="J7" s="1"/>
    </x:row>
    <x:row r="8" spans="1:12" ht="15.5" x14ac:dyDescent="0.35">
      <x:c r="B8" s="209" t="s">
        <x:v>142</x:v>
      </x:c>
      <x:c r="C8" s="212"/>
      <x:c r="D8" s="212"/>
      <x:c r="E8" s="212"/>
      <x:c r="F8" s="212"/>
      <x:c r="G8" s="212"/>
      <x:c r="H8" s="212"/>
      <x:c r="I8" s="212"/>
      <x:c r="J8" s="212"/>
      <x:c r="K8" s="212"/>
    </x:row>
    <x:row r="9" spans="1:12" x14ac:dyDescent="0.25">
      <x:c r="A9" s="1" t="s">
        <x:v>6</x:v>
      </x:c>
      <x:c r="C9" s="9"/>
    </x:row>
    <x:row r="10" spans="1:12" x14ac:dyDescent="0.25">
      <x:c r="A10" s="5" t="s">
        <x:v>8</x:v>
      </x:c>
    </x:row>
    <x:row r="11" spans="1:12" ht="12.75" customHeight="1" x14ac:dyDescent="0.25">
      <x:c r="A11" s="7">
        <x:v>1</x:v>
      </x:c>
      <x:c r="B11" s="37"/>
      <x:c r="C11" s="217" t="s">
        <x:v>111</x:v>
      </x:c>
      <x:c r="D11" s="215"/>
      <x:c r="E11" s="215"/>
      <x:c r="F11" s="215"/>
      <x:c r="G11" s="29"/>
      <x:c r="H11" s="217" t="s">
        <x:v>113</x:v>
      </x:c>
      <x:c r="I11" s="216"/>
      <x:c r="J11" s="216"/>
      <x:c r="K11" s="216"/>
    </x:row>
    <x:row r="12" spans="1:12" x14ac:dyDescent="0.25">
      <x:c r="A12" s="7">
        <x:f t="shared" ref="A12:A44" si="0">+A11+1</x:f>
        <x:v>2</x:v>
      </x:c>
      <x:c r="B12" s="37"/>
      <x:c r="C12" s="18" t="s">
        <x:v>14</x:v>
      </x:c>
      <x:c r="D12" s="18" t="s">
        <x:v>16</x:v>
      </x:c>
      <x:c r="E12" s="22" t="s">
        <x:v>18</x:v>
      </x:c>
      <x:c r="F12" s="22" t="s">
        <x:v>129</x:v>
      </x:c>
      <x:c r="G12" s="18"/>
      <x:c r="H12" s="18" t="s">
        <x:v>14</x:v>
      </x:c>
      <x:c r="I12" s="18" t="s">
        <x:v>16</x:v>
      </x:c>
      <x:c r="J12" s="22" t="s">
        <x:v>18</x:v>
      </x:c>
      <x:c r="K12" s="22" t="s">
        <x:v>129</x:v>
      </x:c>
    </x:row>
    <x:row r="13" spans="1:12" x14ac:dyDescent="0.25">
      <x:c r="A13" s="7">
        <x:f t="shared" si="0"/>
        <x:v>3</x:v>
      </x:c>
      <x:c r="B13" s="37"/>
      <x:c r="C13" s="38" t="s">
        <x:v>29</x:v>
      </x:c>
      <x:c r="D13" s="38" t="s">
        <x:v>30</x:v>
      </x:c>
      <x:c r="E13" s="38" t="s">
        <x:v>31</x:v>
      </x:c>
      <x:c r="F13" s="38" t="s">
        <x:v>112</x:v>
      </x:c>
      <x:c r="G13" s="38"/>
      <x:c r="H13" s="38" t="s">
        <x:v>29</x:v>
      </x:c>
      <x:c r="I13" s="38" t="s">
        <x:v>30</x:v>
      </x:c>
      <x:c r="J13" s="38" t="s">
        <x:v>31</x:v>
      </x:c>
      <x:c r="K13" s="38" t="s">
        <x:v>112</x:v>
      </x:c>
    </x:row>
    <x:row r="14" spans="1:12" x14ac:dyDescent="0.25">
      <x:c r="A14" s="7">
        <x:f t="shared" si="0"/>
        <x:v>4</x:v>
      </x:c>
      <x:c r="B14" s="39">
        <x:v>45472</x:v>
      </x:c>
      <x:c r="C14" s="40">
        <x:v>18.819833333333328</x:v>
      </x:c>
      <x:c r="D14" s="40">
        <x:v>13.814833333333329</x:v>
      </x:c>
      <x:c r="E14" s="40">
        <x:v>8.8883116666666648</x:v>
      </x:c>
      <x:c r="F14" s="40">
        <x:v>4.3190479166666673</x:v>
      </x:c>
      <x:c r="G14" s="18"/>
      <x:c r="H14" s="18"/>
      <x:c r="I14" s="18"/>
      <x:c r="J14" s="18"/>
      <x:c r="K14" s="18"/>
      <x:c r="L14" s="9">
        <x:v>2024</x:v>
      </x:c>
    </x:row>
    <x:row r="15" spans="1:12" x14ac:dyDescent="0.25">
      <x:c r="A15" s="7">
        <x:f t="shared" si="0"/>
        <x:v>5</x:v>
      </x:c>
      <x:c r="B15" s="39">
        <x:v>45473</x:v>
      </x:c>
      <x:c r="C15" s="40">
        <x:v>18.826203333333332</x:v>
      </x:c>
      <x:c r="D15" s="40">
        <x:v>13.821203333333333</x:v>
      </x:c>
      <x:c r="E15" s="40">
        <x:v>8.8442408333333322</x:v>
      </x:c>
      <x:c r="F15" s="40">
        <x:v>4.2623025000000005</x:v>
      </x:c>
      <x:c r="G15" s="18"/>
      <x:c r="H15" s="18"/>
      <x:c r="I15" s="18"/>
      <x:c r="J15" s="18"/>
      <x:c r="K15" s="18"/>
      <x:c r="L15" s="9">
        <x:v>2024</x:v>
      </x:c>
    </x:row>
    <x:row r="16" spans="1:12" x14ac:dyDescent="0.25">
      <x:c r="A16" s="7">
        <x:f t="shared" si="0"/>
        <x:v>6</x:v>
      </x:c>
      <x:c r="B16" s="39">
        <x:v>45474</x:v>
      </x:c>
      <x:c r="C16" s="40">
        <x:v>17.983882083333331</x:v>
      </x:c>
      <x:c r="D16" s="40">
        <x:v>12.978882083333335</x:v>
      </x:c>
      <x:c r="E16" s="40">
        <x:v>7.9868520833333339</x:v>
      </x:c>
      <x:c r="F16" s="40">
        <x:v>3.4084800000000017</x:v>
      </x:c>
      <x:c r="G16" s="40"/>
      <x:c r="H16" s="40"/>
      <x:c r="I16" s="40"/>
      <x:c r="J16" s="40"/>
      <x:c r="K16" s="40"/>
      <x:c r="L16" s="9">
        <x:v>2024</x:v>
      </x:c>
    </x:row>
    <x:row r="17" spans="1:16" x14ac:dyDescent="0.25">
      <x:c r="A17" s="7">
        <x:f t="shared" si="0"/>
        <x:v>7</x:v>
      </x:c>
      <x:c r="B17" s="39">
        <x:v>45475</x:v>
      </x:c>
      <x:c r="C17" s="40">
        <x:v>18.616443749999998</x:v>
      </x:c>
      <x:c r="D17" s="40">
        <x:v>13.611443750000001</x:v>
      </x:c>
      <x:c r="E17" s="40">
        <x:v>8.620487916666665</x:v>
      </x:c>
      <x:c r="F17" s="40">
        <x:v>4.0253687499999984</x:v>
      </x:c>
      <x:c r="G17" s="40"/>
      <x:c r="H17" s="40"/>
      <x:c r="I17" s="40"/>
      <x:c r="J17" s="40"/>
      <x:c r="K17" s="40"/>
      <x:c r="L17" s="9">
        <x:v>2024</x:v>
      </x:c>
    </x:row>
    <x:row r="18" spans="1:16" x14ac:dyDescent="0.25">
      <x:c r="A18" s="7">
        <x:f t="shared" si="0"/>
        <x:v>8</x:v>
      </x:c>
      <x:c r="B18" s="39">
        <x:v>45476</x:v>
      </x:c>
      <x:c r="C18" s="40">
        <x:v>19.299404166666669</x:v>
      </x:c>
      <x:c r="D18" s="40">
        <x:v>14.294404166666666</x:v>
      </x:c>
      <x:c r="E18" s="40">
        <x:v>9.302150000000001</x:v>
      </x:c>
      <x:c r="F18" s="40">
        <x:v>4.6519691666666674</x:v>
      </x:c>
      <x:c r="G18" s="40"/>
      <x:c r="H18" s="40"/>
      <x:c r="I18" s="40"/>
      <x:c r="J18" s="40"/>
      <x:c r="K18" s="40"/>
      <x:c r="L18" s="9">
        <x:v>2024</x:v>
      </x:c>
    </x:row>
    <x:row r="19" spans="1:16" x14ac:dyDescent="0.25">
      <x:c r="A19" s="7">
        <x:f t="shared" si="0"/>
        <x:v>9</x:v>
      </x:c>
      <x:c r="B19" s="39">
        <x:v>45477</x:v>
      </x:c>
      <x:c r="C19" s="40">
        <x:v>19.449454166666669</x:v>
      </x:c>
      <x:c r="D19" s="40">
        <x:v>14.444454166666665</x:v>
      </x:c>
      <x:c r="E19" s="40">
        <x:v>9.4432291666666668</x:v>
      </x:c>
      <x:c r="F19" s="40">
        <x:v>4.6715504166666673</x:v>
      </x:c>
      <x:c r="G19" s="40"/>
      <x:c r="H19" s="40"/>
      <x:c r="I19" s="40"/>
      <x:c r="J19" s="40"/>
      <x:c r="K19" s="40"/>
      <x:c r="L19" s="9">
        <x:v>2024</x:v>
      </x:c>
    </x:row>
    <x:row r="20" spans="1:16" x14ac:dyDescent="0.25">
      <x:c r="A20" s="7">
        <x:f t="shared" si="0"/>
        <x:v>10</x:v>
      </x:c>
      <x:c r="B20" s="39">
        <x:v>45478</x:v>
      </x:c>
      <x:c r="C20" s="40">
        <x:v>19.18531875</x:v>
      </x:c>
      <x:c r="D20" s="40">
        <x:v>14.180318750000001</x:v>
      </x:c>
      <x:c r="E20" s="40">
        <x:v>9.1824666666666666</x:v>
      </x:c>
      <x:c r="F20" s="40">
        <x:v>4.496496666666669</x:v>
      </x:c>
      <x:c r="G20" s="40"/>
      <x:c r="H20" s="40"/>
      <x:c r="I20" s="40"/>
      <x:c r="J20" s="40"/>
      <x:c r="K20" s="40"/>
      <x:c r="L20" s="9">
        <x:v>2024</x:v>
      </x:c>
    </x:row>
    <x:row r="21" spans="1:16" x14ac:dyDescent="0.25">
      <x:c r="A21" s="7">
        <x:f t="shared" si="0"/>
        <x:v>11</x:v>
      </x:c>
      <x:c r="B21" s="39">
        <x:v>45479</x:v>
      </x:c>
      <x:c r="C21" s="40">
        <x:v>19.316142083333336</x:v>
      </x:c>
      <x:c r="D21" s="40">
        <x:v>14.311142083333333</x:v>
      </x:c>
      <x:c r="E21" s="40">
        <x:v>9.3078670833333348</x:v>
      </x:c>
      <x:c r="F21" s="40">
        <x:v>4.4542733333333349</x:v>
      </x:c>
      <x:c r="G21" s="40"/>
      <x:c r="H21" s="40"/>
      <x:c r="I21" s="40"/>
      <x:c r="J21" s="40"/>
      <x:c r="K21" s="40"/>
      <x:c r="L21" s="9">
        <x:v>2024</x:v>
      </x:c>
    </x:row>
    <x:row r="22" spans="1:16" x14ac:dyDescent="0.25">
      <x:c r="A22" s="7">
        <x:f t="shared" si="0"/>
        <x:v>12</x:v>
      </x:c>
      <x:c r="B22" s="39">
        <x:v>45480</x:v>
      </x:c>
      <x:c r="C22" s="40">
        <x:v>19.419274583333337</x:v>
      </x:c>
      <x:c r="D22" s="40">
        <x:v>14.414274583333333</x:v>
      </x:c>
      <x:c r="E22" s="40">
        <x:v>9.4118720833333391</x:v>
      </x:c>
      <x:c r="F22" s="40">
        <x:v>4.6258920833333388</x:v>
      </x:c>
      <x:c r="G22" s="40"/>
      <x:c r="H22" s="40"/>
      <x:c r="I22" s="40"/>
      <x:c r="J22" s="40"/>
      <x:c r="K22" s="40"/>
      <x:c r="L22" s="9">
        <x:v>2024</x:v>
      </x:c>
    </x:row>
    <x:row r="23" spans="1:16" x14ac:dyDescent="0.25">
      <x:c r="A23" s="7">
        <x:f t="shared" si="0"/>
        <x:v>13</x:v>
      </x:c>
      <x:c r="B23" s="39">
        <x:v>45481</x:v>
      </x:c>
      <x:c r="C23" s="40">
        <x:v>19.926171666666669</x:v>
      </x:c>
      <x:c r="D23" s="40">
        <x:v>14.921171666666666</x:v>
      </x:c>
      <x:c r="E23" s="40">
        <x:v>9.9209116666666652</x:v>
      </x:c>
      <x:c r="F23" s="40">
        <x:v>5.0389670833333309</x:v>
      </x:c>
      <x:c r="G23" s="40"/>
      <x:c r="H23" s="40"/>
      <x:c r="I23" s="40"/>
      <x:c r="J23" s="40"/>
      <x:c r="K23" s="40"/>
      <x:c r="L23" s="9">
        <x:v>2024</x:v>
      </x:c>
    </x:row>
    <x:row r="24" spans="1:16" x14ac:dyDescent="0.25">
      <x:c r="A24" s="7">
        <x:f t="shared" si="0"/>
        <x:v>14</x:v>
      </x:c>
      <x:c r="B24" s="39">
        <x:v>45482</x:v>
      </x:c>
      <x:c r="C24" s="40">
        <x:v>19.95376541666667</x:v>
      </x:c>
      <x:c r="D24" s="40">
        <x:v>14.948765416666669</x:v>
      </x:c>
      <x:c r="E24" s="40">
        <x:v>9.9490754166666662</x:v>
      </x:c>
      <x:c r="F24" s="40">
        <x:v>5.1373533333333343</x:v>
      </x:c>
      <x:c r="G24" s="40"/>
      <x:c r="H24" s="40"/>
      <x:c r="I24" s="40"/>
      <x:c r="J24" s="40"/>
      <x:c r="K24" s="40"/>
      <x:c r="L24" s="9">
        <x:v>2024</x:v>
      </x:c>
    </x:row>
    <x:row r="25" spans="1:16" x14ac:dyDescent="0.25">
      <x:c r="A25" s="7">
        <x:f t="shared" si="0"/>
        <x:v>15</x:v>
      </x:c>
      <x:c r="B25" s="39">
        <x:v>45483</x:v>
      </x:c>
      <x:c r="C25" s="40">
        <x:v>20.483312500000004</x:v>
      </x:c>
      <x:c r="D25" s="40">
        <x:v>15.478312500000005</x:v>
      </x:c>
      <x:c r="E25" s="40">
        <x:v>10.473312500000006</x:v>
      </x:c>
      <x:c r="F25" s="40">
        <x:v>5.5429525000000037</x:v>
      </x:c>
      <x:c r="G25" s="40"/>
      <x:c r="H25" s="40"/>
      <x:c r="I25" s="40"/>
      <x:c r="J25" s="40"/>
      <x:c r="K25" s="40"/>
      <x:c r="L25" s="9">
        <x:v>2024</x:v>
      </x:c>
    </x:row>
    <x:row r="26" spans="1:16" x14ac:dyDescent="0.25">
      <x:c r="A26" s="7">
        <x:f t="shared" si="0"/>
        <x:v>16</x:v>
      </x:c>
      <x:c r="B26" s="39">
        <x:v>45484</x:v>
      </x:c>
      <x:c r="C26" s="40">
        <x:v>21.300014583333333</x:v>
      </x:c>
      <x:c r="D26" s="40">
        <x:v>16.295014583333334</x:v>
      </x:c>
      <x:c r="E26" s="40">
        <x:v>11.290014583333331</x:v>
      </x:c>
      <x:c r="F26" s="40">
        <x:v>6.3497512500000006</x:v>
      </x:c>
      <x:c r="G26" s="40"/>
      <x:c r="H26" s="40"/>
      <x:c r="I26" s="40"/>
      <x:c r="J26" s="40"/>
      <x:c r="K26" s="40"/>
      <x:c r="L26" s="9">
        <x:v>2024</x:v>
      </x:c>
    </x:row>
    <x:row r="27" spans="1:16" x14ac:dyDescent="0.25">
      <x:c r="A27" s="7">
        <x:f t="shared" si="0"/>
        <x:v>17</x:v>
      </x:c>
      <x:c r="B27" s="39">
        <x:v>45485</x:v>
      </x:c>
      <x:c r="C27" s="40">
        <x:v>21.694722500000001</x:v>
      </x:c>
      <x:c r="D27" s="40">
        <x:v>16.689722500000002</x:v>
      </x:c>
      <x:c r="E27" s="40">
        <x:v>11.691262500000002</x:v>
      </x:c>
      <x:c r="F27" s="40">
        <x:v>6.7678850000000024</x:v>
      </x:c>
      <x:c r="G27" s="40"/>
      <x:c r="H27" s="40"/>
      <x:c r="I27" s="40"/>
      <x:c r="J27" s="40"/>
      <x:c r="K27" s="40"/>
      <x:c r="L27" s="9">
        <x:v>2024</x:v>
      </x:c>
    </x:row>
    <x:row r="28" spans="1:16" x14ac:dyDescent="0.25">
      <x:c r="A28" s="7">
        <x:f t="shared" si="0"/>
        <x:v>18</x:v>
      </x:c>
      <x:c r="B28" s="39">
        <x:v>45486</x:v>
      </x:c>
      <x:c r="C28" s="40">
        <x:v>22.289024166666664</x:v>
      </x:c>
      <x:c r="D28" s="40">
        <x:v>17.284024166666661</x:v>
      </x:c>
      <x:c r="E28" s="40">
        <x:v>12.281996666666666</x:v>
      </x:c>
      <x:c r="F28" s="40">
        <x:v>7.3480166666666662</x:v>
      </x:c>
      <x:c r="G28" s="40"/>
      <x:c r="H28" s="40"/>
      <x:c r="I28" s="40"/>
      <x:c r="J28" s="40"/>
      <x:c r="K28" s="40"/>
      <x:c r="L28" s="9">
        <x:v>2024</x:v>
      </x:c>
    </x:row>
    <x:row r="29" spans="1:16" x14ac:dyDescent="0.25">
      <x:c r="A29" s="7">
        <x:f t="shared" si="0"/>
        <x:v>19</x:v>
      </x:c>
      <x:c r="B29" s="39">
        <x:v>45487</x:v>
      </x:c>
      <x:c r="C29" s="40">
        <x:v>21.122223333333327</x:v>
      </x:c>
      <x:c r="D29" s="40">
        <x:v>16.117223333333335</x:v>
      </x:c>
      <x:c r="E29" s="40">
        <x:v>11.170898333333337</x:v>
      </x:c>
      <x:c r="F29" s="40">
        <x:v>6.4770195833333348</x:v>
      </x:c>
      <x:c r="G29" s="40"/>
      <x:c r="H29" s="206">
        <x:f>AVERAGE(C14:C44)</x:f>
        <x:v>20.511220094086024</x:v>
      </x:c>
      <x:c r="I29" s="206">
        <x:f>AVERAGE(D14:D44)</x:f>
        <x:v>15.509358521505378</x:v>
      </x:c>
      <x:c r="J29" s="206">
        <x:f>AVERAGE(E14:E44)</x:f>
        <x:v>10.538286666666666</x:v>
      </x:c>
      <x:c r="K29" s="206">
        <x:f>AVERAGE(F14:F44)</x:f>
        <x:v>5.784343588709679</x:v>
      </x:c>
      <x:c r="L29" s="9">
        <x:v>2024</x:v>
      </x:c>
      <x:c r="M29" s="74"/>
      <x:c r="N29" s="74"/>
      <x:c r="O29" s="74"/>
      <x:c r="P29" s="74"/>
    </x:row>
    <x:row r="30" spans="1:16" x14ac:dyDescent="0.25">
      <x:c r="A30" s="7">
        <x:f t="shared" si="0"/>
        <x:v>20</x:v>
      </x:c>
      <x:c r="B30" s="39">
        <x:v>45488</x:v>
      </x:c>
      <x:c r="C30" s="40">
        <x:v>19.958697499999996</x:v>
      </x:c>
      <x:c r="D30" s="40">
        <x:v>14.970657499999998</x:v>
      </x:c>
      <x:c r="E30" s="40">
        <x:v>10.152407500000001</x:v>
      </x:c>
      <x:c r="F30" s="40">
        <x:v>5.4873191666666692</x:v>
      </x:c>
      <x:c r="G30" s="40"/>
      <x:c r="H30" s="40"/>
      <x:c r="I30" s="40"/>
      <x:c r="J30" s="40"/>
      <x:c r="L30" s="9">
        <x:v>2024</x:v>
      </x:c>
    </x:row>
    <x:row r="31" spans="1:16" x14ac:dyDescent="0.25">
      <x:c r="A31" s="7">
        <x:f t="shared" si="0"/>
        <x:v>21</x:v>
      </x:c>
      <x:c r="B31" s="39">
        <x:v>45489</x:v>
      </x:c>
      <x:c r="C31" s="40">
        <x:v>20.734816666666667</x:v>
      </x:c>
      <x:c r="D31" s="40">
        <x:v>15.73980666666667</x:v>
      </x:c>
      <x:c r="E31" s="40">
        <x:v>10.751996666666667</x:v>
      </x:c>
      <x:c r="F31" s="40">
        <x:v>5.9898654166666683</x:v>
      </x:c>
      <x:c r="G31" s="40"/>
      <x:c r="H31" s="40"/>
      <x:c r="I31" s="40"/>
      <x:c r="J31" s="40"/>
      <x:c r="L31" s="9">
        <x:v>2024</x:v>
      </x:c>
    </x:row>
    <x:row r="32" spans="1:16" x14ac:dyDescent="0.25">
      <x:c r="A32" s="7">
        <x:f t="shared" si="0"/>
        <x:v>22</x:v>
      </x:c>
      <x:c r="B32" s="39">
        <x:v>45490</x:v>
      </x:c>
      <x:c r="C32" s="40">
        <x:v>21.226500833333333</x:v>
      </x:c>
      <x:c r="D32" s="40">
        <x:v>16.229415833333331</x:v>
      </x:c>
      <x:c r="E32" s="40">
        <x:v>11.324725833333332</x:v>
      </x:c>
      <x:c r="F32" s="40">
        <x:v>6.6671591666666661</x:v>
      </x:c>
      <x:c r="G32" s="40"/>
      <x:c r="H32" s="40"/>
      <x:c r="I32" s="40"/>
      <x:c r="J32" s="40"/>
      <x:c r="L32" s="9">
        <x:v>2024</x:v>
      </x:c>
    </x:row>
    <x:row r="33" spans="1:12" x14ac:dyDescent="0.25">
      <x:c r="A33" s="7">
        <x:f t="shared" si="0"/>
        <x:v>23</x:v>
      </x:c>
      <x:c r="B33" s="39">
        <x:v>45491</x:v>
      </x:c>
      <x:c r="C33" s="40">
        <x:v>21.552441666666667</x:v>
      </x:c>
      <x:c r="D33" s="40">
        <x:v>16.55621166666667</x:v>
      </x:c>
      <x:c r="E33" s="40">
        <x:v>11.754541666666668</x:v>
      </x:c>
      <x:c r="F33" s="40">
        <x:v>7.0564820833333357</x:v>
      </x:c>
      <x:c r="G33" s="40"/>
      <x:c r="H33" s="40"/>
      <x:c r="I33" s="40"/>
      <x:c r="J33" s="40"/>
      <x:c r="L33" s="9">
        <x:v>2024</x:v>
      </x:c>
    </x:row>
    <x:row r="34" spans="1:12" x14ac:dyDescent="0.25">
      <x:c r="A34" s="7">
        <x:f t="shared" si="0"/>
        <x:v>24</x:v>
      </x:c>
      <x:c r="B34" s="39">
        <x:v>45492</x:v>
      </x:c>
      <x:c r="C34" s="40">
        <x:v>21.653782500000005</x:v>
      </x:c>
      <x:c r="D34" s="40">
        <x:v>16.649682500000004</x:v>
      </x:c>
      <x:c r="E34" s="40">
        <x:v>11.748152500000005</x:v>
      </x:c>
      <x:c r="F34" s="40">
        <x:v>7.0542275000000032</x:v>
      </x:c>
      <x:c r="G34" s="40"/>
      <x:c r="H34" s="40"/>
      <x:c r="I34" s="40"/>
      <x:c r="J34" s="40"/>
      <x:c r="L34" s="9">
        <x:v>2024</x:v>
      </x:c>
    </x:row>
    <x:row r="35" spans="1:12" x14ac:dyDescent="0.25">
      <x:c r="A35" s="7">
        <x:f t="shared" si="0"/>
        <x:v>25</x:v>
      </x:c>
      <x:c r="B35" s="39">
        <x:v>45493</x:v>
      </x:c>
      <x:c r="C35" s="40">
        <x:v>21.644244166666667</x:v>
      </x:c>
      <x:c r="D35" s="40">
        <x:v>16.639244166666664</x:v>
      </x:c>
      <x:c r="E35" s="40">
        <x:v>11.637944166666665</x:v>
      </x:c>
      <x:c r="F35" s="40">
        <x:v>6.7842983333333322</x:v>
      </x:c>
      <x:c r="G35" s="40"/>
      <x:c r="H35" s="40"/>
      <x:c r="I35" s="40"/>
      <x:c r="J35" s="40"/>
      <x:c r="L35" s="9">
        <x:v>2024</x:v>
      </x:c>
    </x:row>
    <x:row r="36" spans="1:12" x14ac:dyDescent="0.25">
      <x:c r="A36" s="7">
        <x:f t="shared" si="0"/>
        <x:v>26</x:v>
      </x:c>
      <x:c r="B36" s="39">
        <x:v>45494</x:v>
      </x:c>
      <x:c r="C36" s="40">
        <x:v>22.096013750000004</x:v>
      </x:c>
      <x:c r="D36" s="40">
        <x:v>17.091013750000005</x:v>
      </x:c>
      <x:c r="E36" s="40">
        <x:v>12.093551250000004</x:v>
      </x:c>
      <x:c r="F36" s="40">
        <x:v>7.1533433333333374</x:v>
      </x:c>
      <x:c r="G36" s="40"/>
      <x:c r="H36" s="40"/>
      <x:c r="I36" s="40"/>
      <x:c r="J36" s="40"/>
      <x:c r="L36" s="9">
        <x:v>2024</x:v>
      </x:c>
    </x:row>
    <x:row r="37" spans="1:12" x14ac:dyDescent="0.25">
      <x:c r="A37" s="7">
        <x:f t="shared" si="0"/>
        <x:v>27</x:v>
      </x:c>
      <x:c r="B37" s="39">
        <x:v>45495</x:v>
      </x:c>
      <x:c r="C37" s="40">
        <x:v>21.993009166666663</x:v>
      </x:c>
      <x:c r="D37" s="40">
        <x:v>16.988009166666664</x:v>
      </x:c>
      <x:c r="E37" s="40">
        <x:v>11.990974166666666</x:v>
      </x:c>
      <x:c r="F37" s="40">
        <x:v>7.046562083333332</x:v>
      </x:c>
      <x:c r="G37" s="40"/>
      <x:c r="H37" s="40"/>
      <x:c r="I37" s="40"/>
      <x:c r="J37" s="40"/>
      <x:c r="L37" s="9">
        <x:v>2024</x:v>
      </x:c>
    </x:row>
    <x:row r="38" spans="1:12" x14ac:dyDescent="0.25">
      <x:c r="A38" s="7">
        <x:f t="shared" si="0"/>
        <x:v>28</x:v>
      </x:c>
      <x:c r="B38" s="39">
        <x:v>45496</x:v>
      </x:c>
      <x:c r="C38" s="40">
        <x:v>21.347233333333328</x:v>
      </x:c>
      <x:c r="D38" s="40">
        <x:v>16.342233333333329</x:v>
      </x:c>
      <x:c r="E38" s="40">
        <x:v>11.352953333333328</x:v>
      </x:c>
      <x:c r="F38" s="40">
        <x:v>6.4171249999999969</x:v>
      </x:c>
      <x:c r="G38" s="40"/>
      <x:c r="H38" s="40"/>
      <x:c r="I38" s="40"/>
      <x:c r="J38" s="40"/>
      <x:c r="L38" s="9">
        <x:v>2024</x:v>
      </x:c>
    </x:row>
    <x:row r="39" spans="1:12" x14ac:dyDescent="0.25">
      <x:c r="A39" s="7">
        <x:f t="shared" si="0"/>
        <x:v>29</x:v>
      </x:c>
      <x:c r="B39" s="39">
        <x:v>45497</x:v>
      </x:c>
      <x:c r="C39" s="40">
        <x:v>21.086017499999993</x:v>
      </x:c>
      <x:c r="D39" s="40">
        <x:v>16.081017499999998</x:v>
      </x:c>
      <x:c r="E39" s="40">
        <x:v>11.078537499999996</x:v>
      </x:c>
      <x:c r="F39" s="40">
        <x:v>6.2208474999999996</x:v>
      </x:c>
      <x:c r="G39" s="40"/>
      <x:c r="H39" s="40"/>
      <x:c r="I39" s="40"/>
      <x:c r="J39" s="40"/>
      <x:c r="L39" s="9">
        <x:v>2024</x:v>
      </x:c>
    </x:row>
    <x:row r="40" spans="1:12" x14ac:dyDescent="0.25">
      <x:c r="A40" s="7">
        <x:f t="shared" si="0"/>
        <x:v>30</x:v>
      </x:c>
      <x:c r="B40" s="39">
        <x:v>45498</x:v>
      </x:c>
      <x:c r="C40" s="40">
        <x:v>21.315807500000005</x:v>
      </x:c>
      <x:c r="D40" s="40">
        <x:v>16.328026250000001</x:v>
      </x:c>
      <x:c r="E40" s="40">
        <x:v>11.374523750000005</x:v>
      </x:c>
      <x:c r="F40" s="40">
        <x:v>6.7531137500000025</x:v>
      </x:c>
      <x:c r="G40" s="40"/>
      <x:c r="H40" s="40"/>
      <x:c r="I40" s="40"/>
      <x:c r="J40" s="40"/>
      <x:c r="L40" s="9">
        <x:v>2024</x:v>
      </x:c>
    </x:row>
    <x:row r="41" spans="1:12" x14ac:dyDescent="0.25">
      <x:c r="A41" s="7">
        <x:f t="shared" si="0"/>
        <x:v>31</x:v>
      </x:c>
      <x:c r="B41" s="39">
        <x:v>45499</x:v>
      </x:c>
      <x:c r="C41" s="40">
        <x:v>21.087732499999998</x:v>
      </x:c>
      <x:c r="D41" s="40">
        <x:v>16.0964825</x:v>
      </x:c>
      <x:c r="E41" s="40">
        <x:v>11.124572916666665</x:v>
      </x:c>
      <x:c r="F41" s="40">
        <x:v>6.4987670833333357</x:v>
      </x:c>
      <x:c r="G41" s="40"/>
      <x:c r="H41" s="40"/>
      <x:c r="I41" s="40"/>
      <x:c r="J41" s="40"/>
      <x:c r="L41" s="9">
        <x:v>2024</x:v>
      </x:c>
    </x:row>
    <x:row r="42" spans="1:12" x14ac:dyDescent="0.25">
      <x:c r="A42" s="7">
        <x:f t="shared" si="0"/>
        <x:v>32</x:v>
      </x:c>
      <x:c r="B42" s="39">
        <x:v>45500</x:v>
      </x:c>
      <x:c r="C42" s="40">
        <x:v>20.503459999999997</x:v>
      </x:c>
      <x:c r="D42" s="40">
        <x:v>15.515034999999994</x:v>
      </x:c>
      <x:c r="E42" s="40">
        <x:v>10.556534999999997</x:v>
      </x:c>
      <x:c r="F42" s="40">
        <x:v>6.0619829166666666</x:v>
      </x:c>
      <x:c r="G42" s="40"/>
      <x:c r="H42" s="40"/>
      <x:c r="I42" s="40"/>
      <x:c r="J42" s="40"/>
      <x:c r="L42" s="9">
        <x:v>2024</x:v>
      </x:c>
    </x:row>
    <x:row r="43" spans="1:12" x14ac:dyDescent="0.25">
      <x:c r="A43" s="7">
        <x:f t="shared" si="0"/>
        <x:v>33</x:v>
      </x:c>
      <x:c r="B43" s="39">
        <x:v>45501</x:v>
      </x:c>
      <x:c r="C43" s="40">
        <x:v>20.770106666666667</x:v>
      </x:c>
      <x:c r="D43" s="40">
        <x:v>15.770319166666667</x:v>
      </x:c>
      <x:c r="E43" s="40">
        <x:v>10.789674999999999</x:v>
      </x:c>
      <x:c r="F43" s="40">
        <x:v>6.1373516666666674</x:v>
      </x:c>
      <x:c r="G43" s="40"/>
      <x:c r="H43" s="40"/>
      <x:c r="I43" s="40"/>
      <x:c r="J43" s="40"/>
      <x:c r="L43" s="9">
        <x:v>2024</x:v>
      </x:c>
    </x:row>
    <x:row r="44" spans="1:12" x14ac:dyDescent="0.25">
      <x:c r="A44" s="7">
        <x:f t="shared" si="0"/>
        <x:v>34</x:v>
      </x:c>
      <x:c r="B44" s="39">
        <x:v>45502</x:v>
      </x:c>
      <x:c r="C44" s="40">
        <x:v>21.192768749999999</x:v>
      </x:c>
      <x:c r="D44" s="40">
        <x:v>16.187768750000004</x:v>
      </x:c>
      <x:c r="E44" s="40">
        <x:v>11.190846250000002</x:v>
      </x:c>
      <x:c r="F44" s="40">
        <x:v>6.408879999999999</x:v>
      </x:c>
      <x:c r="G44" s="40"/>
      <x:c r="H44" s="40"/>
      <x:c r="I44" s="40"/>
      <x:c r="J44" s="40"/>
      <x:c r="L44" s="9">
        <x:v>2024</x:v>
      </x:c>
    </x:row>
    <x:row r="45" spans="1:12" x14ac:dyDescent="0.25">
      <x:c r="A45" s="7"/>
    </x:row>
  </x:sheetData>
  <x:mergeCells count="9">
    <x:mergeCell ref="B1:K1"/>
    <x:mergeCell ref="B5:J5"/>
    <x:mergeCell ref="C11:F11"/>
    <x:mergeCell ref="H11:K11"/>
    <x:mergeCell ref="B8:K8"/>
    <x:mergeCell ref="B6:K6"/>
    <x:mergeCell ref="B4:K4"/>
    <x:mergeCell ref="B3:K3"/>
    <x:mergeCell ref="B2:K2"/>
  </x:mergeCells>
  <x:printOptions horizontalCentered="1"/>
  <x:pageMargins left="1.5" right="0.5" top="1.5" bottom="1" header="1" footer="0.5"/>
  <x:pageSetup scale="85" firstPageNumber="3" orientation="portrait" r:id="rId1"/>
  <x:headerFooter alignWithMargins="0">
    <x:oddHeader>&amp;RSchedule II-H-5.2
Page &amp;P of 37</x:oddHeader>
  </x:headerFooter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 codeName="Sheet18">
    <x:pageSetUpPr fitToPage="1"/>
  </x:sheetPr>
  <x:dimension ref="A1:U50"/>
  <x:sheetViews>
    <x:sheetView view="pageBreakPreview" zoomScaleNormal="100" workbookViewId="0"/>
  </x:sheetViews>
  <x:sheetFormatPr defaultColWidth="9.08984375" defaultRowHeight="12.5" x14ac:dyDescent="0.25"/>
  <x:cols>
    <x:col min="1" max="2" width="9.08984375" style="9"/>
    <x:col min="3" max="3" width="9.08984375" style="7"/>
    <x:col min="4" max="4" width="10.36328125" style="9" bestFit="1" customWidth="1"/>
    <x:col min="5" max="5" width="10.36328125" style="9" customWidth="1"/>
    <x:col min="6" max="7" width="9.36328125" style="9" customWidth="1"/>
    <x:col min="8" max="8" width="9.90625" style="9" customWidth="1"/>
    <x:col min="9" max="11" width="9.6328125" style="9" customWidth="1"/>
    <x:col min="12" max="12" width="9.36328125" style="9" bestFit="1" customWidth="1"/>
    <x:col min="13" max="16384" width="9.08984375" style="9"/>
  </x:cols>
  <x:sheetData>
    <x:row r="1" spans="1:12" customFormat="1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51"/>
    </x:row>
    <x:row r="2" spans="1:12" customFormat="1" ht="15.5" x14ac:dyDescent="0.35">
      <x:c r="A2" s="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51"/>
    </x:row>
    <x:row r="3" spans="1:12" customFormat="1" ht="15.5" x14ac:dyDescent="0.35">
      <x:c r="A3" s="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51"/>
    </x:row>
    <x:row r="4" spans="1:12" customFormat="1" ht="15.5" x14ac:dyDescent="0.35">
      <x:c r="A4" s="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51"/>
    </x:row>
    <x:row r="5" spans="1:12" customFormat="1" ht="15.5" x14ac:dyDescent="0.35">
      <x:c r="A5" s="1"/>
      <x:c r="B5" s="209"/>
      <x:c r="C5" s="209"/>
      <x:c r="D5" s="209"/>
      <x:c r="E5" s="209"/>
      <x:c r="F5" s="209"/>
      <x:c r="G5" s="209"/>
      <x:c r="H5" s="209"/>
      <x:c r="I5" s="212"/>
      <x:c r="J5" s="212"/>
      <x:c r="K5" s="212"/>
      <x:c r="L5" s="212"/>
    </x:row>
    <x:row r="6" spans="1:12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1"/>
      <x:c r="L6" s="4"/>
    </x:row>
    <x:row r="7" spans="1:12" ht="15.5" x14ac:dyDescent="0.35">
      <x:c r="B7" s="96"/>
      <x:c r="C7" s="4"/>
      <x:c r="D7" s="4"/>
      <x:c r="E7" s="133"/>
      <x:c r="F7" s="4"/>
      <x:c r="G7" s="176"/>
      <x:c r="H7" s="4"/>
      <x:c r="I7" s="4"/>
      <x:c r="J7" s="133"/>
      <x:c r="K7" s="176"/>
      <x:c r="L7" s="4"/>
    </x:row>
    <x:row r="8" spans="1:12" ht="15.5" x14ac:dyDescent="0.35">
      <x:c r="B8" s="209" t="s">
        <x:v>157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4"/>
    </x:row>
    <x:row r="9" spans="1:12" ht="15.5" x14ac:dyDescent="0.35">
      <x:c r="A9" s="1" t="s">
        <x:v>6</x:v>
      </x:c>
      <x:c r="B9" s="96"/>
      <x:c r="C9" s="4"/>
      <x:c r="D9" s="4"/>
      <x:c r="E9" s="133"/>
      <x:c r="F9" s="4"/>
      <x:c r="G9" s="176"/>
      <x:c r="H9" s="4"/>
      <x:c r="I9" s="4"/>
      <x:c r="J9" s="133"/>
      <x:c r="K9" s="176"/>
      <x:c r="L9" s="4"/>
    </x:row>
    <x:row r="10" spans="1:12" x14ac:dyDescent="0.25">
      <x:c r="A10" s="5" t="s">
        <x:v>8</x:v>
      </x:c>
    </x:row>
    <x:row r="11" spans="1:12" x14ac:dyDescent="0.25">
      <x:c r="A11" s="7">
        <x:v>1</x:v>
      </x:c>
      <x:c r="B11" s="34" t="s">
        <x:v>25</x:v>
      </x:c>
      <x:c r="C11" s="35" t="s">
        <x:v>26</x:v>
      </x:c>
      <x:c r="D11" s="35" t="s">
        <x:v>94</x:v>
      </x:c>
      <x:c r="E11" s="35"/>
    </x:row>
    <x:row r="12" spans="1:12" x14ac:dyDescent="0.25">
      <x:c r="A12" s="7">
        <x:f>+A11+1</x:f>
        <x:v>2</x:v>
      </x:c>
      <x:c r="B12" s="36" t="s">
        <x:v>27</x:v>
      </x:c>
      <x:c r="C12" s="36" t="s">
        <x:v>85</x:v>
      </x:c>
      <x:c r="D12" s="36" t="s">
        <x:v>95</x:v>
      </x:c>
      <x:c r="E12" s="35"/>
    </x:row>
    <x:row r="13" spans="1:12" x14ac:dyDescent="0.25">
      <x:c r="A13" s="7">
        <x:f>+A12+1</x:f>
        <x:v>3</x:v>
      </x:c>
      <x:c r="B13" s="37" t="s">
        <x:v>169</x:v>
      </x:c>
      <x:c r="C13" s="33">
        <x:v>44978</x:v>
      </x:c>
      <x:c r="D13" s="33">
        <x:v>44947</x:v>
      </x:c>
      <x:c r="E13" s="33"/>
    </x:row>
    <x:row r="14" spans="1:12" x14ac:dyDescent="0.25">
      <x:c r="A14" s="7"/>
      <x:c r="B14" s="37"/>
      <x:c r="C14" s="218"/>
      <x:c r="D14" s="219"/>
      <x:c r="E14" s="219"/>
      <x:c r="F14" s="219"/>
      <x:c r="G14" s="180"/>
      <x:c r="H14" s="218"/>
      <x:c r="I14" s="219"/>
      <x:c r="J14" s="219"/>
      <x:c r="K14" s="219"/>
    </x:row>
    <x:row r="15" spans="1:12" ht="12.75" customHeight="1" x14ac:dyDescent="0.25">
      <x:c r="A15" s="7">
        <x:f>+A13+1</x:f>
        <x:v>4</x:v>
      </x:c>
      <x:c r="B15" s="37"/>
      <x:c r="C15" s="221" t="s">
        <x:v>77</x:v>
      </x:c>
      <x:c r="D15" s="219"/>
      <x:c r="E15" s="219"/>
      <x:c r="F15" s="219"/>
      <x:c r="G15" s="211"/>
      <x:c r="H15" s="220" t="s">
        <x:v>79</x:v>
      </x:c>
      <x:c r="I15" s="214"/>
      <x:c r="J15" s="214"/>
      <x:c r="K15" s="214"/>
    </x:row>
    <x:row r="16" spans="1:12" x14ac:dyDescent="0.25">
      <x:c r="A16" s="7">
        <x:f>+A15+1</x:f>
        <x:v>5</x:v>
      </x:c>
      <x:c r="B16" s="37"/>
      <x:c r="C16" s="18" t="s">
        <x:v>131</x:v>
      </x:c>
      <x:c r="D16" s="18" t="s">
        <x:v>44</x:v>
      </x:c>
      <x:c r="E16" s="97" t="s">
        <x:v>45</x:v>
      </x:c>
      <x:c r="F16" s="22" t="s">
        <x:v>14</x:v>
      </x:c>
      <x:c r="G16" s="18"/>
      <x:c r="H16" s="18" t="s">
        <x:v>131</x:v>
      </x:c>
      <x:c r="I16" s="18" t="s">
        <x:v>44</x:v>
      </x:c>
      <x:c r="J16" s="97" t="s">
        <x:v>45</x:v>
      </x:c>
      <x:c r="K16" s="22" t="s">
        <x:v>14</x:v>
      </x:c>
    </x:row>
    <x:row r="17" spans="1:21" x14ac:dyDescent="0.25">
      <x:c r="A17" s="7">
        <x:f>+A16+1</x:f>
        <x:v>6</x:v>
      </x:c>
      <x:c r="B17" s="39"/>
      <x:c r="C17" s="38" t="s">
        <x:v>30</x:v>
      </x:c>
      <x:c r="D17" s="38" t="s">
        <x:v>31</x:v>
      </x:c>
      <x:c r="E17" s="38" t="s">
        <x:v>112</x:v>
      </x:c>
      <x:c r="F17" s="38" t="s">
        <x:v>145</x:v>
      </x:c>
      <x:c r="G17" s="38"/>
      <x:c r="H17" s="38" t="s">
        <x:v>30</x:v>
      </x:c>
      <x:c r="I17" s="38" t="s">
        <x:v>31</x:v>
      </x:c>
      <x:c r="J17" s="38" t="s">
        <x:v>112</x:v>
      </x:c>
      <x:c r="K17" s="38" t="s">
        <x:v>145</x:v>
      </x:c>
    </x:row>
    <x:row r="18" spans="1:21" x14ac:dyDescent="0.25">
      <x:c r="A18" s="7">
        <x:f>+A17+1</x:f>
        <x:v>7</x:v>
      </x:c>
      <x:c r="B18" s="39">
        <x:f>+D13</x:f>
        <x:v>44947</x:v>
      </x:c>
      <x:c r="C18" s="206">
        <x:v>2.8364909408602141</x:v>
      </x:c>
      <x:c r="D18" s="206">
        <x:v>8.8027258467741927</x:v>
      </x:c>
      <x:c r="E18" s="206">
        <x:v>12.990097997311826</x:v>
      </x:c>
      <x:c r="F18" s="206">
        <x:v>17.652690685483865</x:v>
      </x:c>
      <x:c r="G18" s="206"/>
      <x:c r="H18" s="206">
        <x:v>5.6000000000000797E-3</x:v>
      </x:c>
      <x:c r="I18" s="206">
        <x:v>4.9895000000000005</x:v>
      </x:c>
      <x:c r="J18" s="206">
        <x:v>9.9895000000000014</x:v>
      </x:c>
      <x:c r="K18" s="206">
        <x:v>14.989500000000001</x:v>
      </x:c>
      <x:c r="M18" s="195"/>
      <x:c r="N18" s="195"/>
      <x:c r="O18" s="195"/>
      <x:c r="P18" s="195"/>
      <x:c r="Q18" s="195"/>
      <x:c r="R18" s="195"/>
      <x:c r="S18" s="195"/>
      <x:c r="T18" s="195"/>
      <x:c r="U18" s="195"/>
    </x:row>
    <x:row r="19" spans="1:21" x14ac:dyDescent="0.25">
      <x:c r="A19" s="7">
        <x:f t="shared" ref="A19:A49" si="0">+A18+1</x:f>
        <x:v>8</x:v>
      </x:c>
      <x:c r="B19" s="39">
        <x:f t="shared" ref="B19:B48" si="1">+B18+1</x:f>
        <x:v>44948</x:v>
      </x:c>
      <x:c r="C19" s="40">
        <x:v>2.7817509811827947</x:v>
      </x:c>
      <x:c r="D19" s="40">
        <x:v>8.7332283870967746</x:v>
      </x:c>
      <x:c r="E19" s="40">
        <x:v>12.896658561827955</x:v>
      </x:c>
      <x:c r="F19" s="40">
        <x:v>17.537799905913975</x:v>
      </x:c>
      <x:c r="G19" s="40"/>
      <x:c r="H19" s="40">
        <x:v>0.72549999999999992</x:v>
      </x:c>
      <x:c r="I19" s="40">
        <x:v>10.211099999999997</x:v>
      </x:c>
      <x:c r="J19" s="40">
        <x:v>15.2111</x:v>
      </x:c>
      <x:c r="K19" s="40">
        <x:v>20.211099999999998</x:v>
      </x:c>
    </x:row>
    <x:row r="20" spans="1:21" x14ac:dyDescent="0.25">
      <x:c r="A20" s="7">
        <x:f t="shared" si="0"/>
        <x:v>9</x:v>
      </x:c>
      <x:c r="B20" s="39">
        <x:f t="shared" si="1"/>
        <x:v>44949</x:v>
      </x:c>
      <x:c r="C20" s="40">
        <x:v>2.7134873521505369</x:v>
      </x:c>
      <x:c r="D20" s="40">
        <x:v>8.6683861424731177</x:v>
      </x:c>
      <x:c r="E20" s="40">
        <x:v>12.825758696236559</x:v>
      </x:c>
      <x:c r="F20" s="40">
        <x:v>17.458490954301077</x:v>
      </x:c>
      <x:c r="G20" s="40"/>
      <x:c r="H20" s="40">
        <x:v>1.226699999999997</x:v>
      </x:c>
      <x:c r="I20" s="40">
        <x:v>11.226699999999997</x:v>
      </x:c>
      <x:c r="J20" s="40">
        <x:v>16.226699999999997</x:v>
      </x:c>
      <x:c r="K20" s="40">
        <x:v>21.226700000000001</x:v>
      </x:c>
    </x:row>
    <x:row r="21" spans="1:21" x14ac:dyDescent="0.25">
      <x:c r="A21" s="7">
        <x:f t="shared" si="0"/>
        <x:v>10</x:v>
      </x:c>
      <x:c r="B21" s="39">
        <x:f t="shared" si="1"/>
        <x:v>44950</x:v>
      </x:c>
      <x:c r="C21" s="40">
        <x:v>2.6729200268817199</x:v>
      </x:c>
      <x:c r="D21" s="40">
        <x:v>8.6293112231182789</x:v>
      </x:c>
      <x:c r="E21" s="40">
        <x:v>12.779805927419355</x:v>
      </x:c>
      <x:c r="F21" s="40">
        <x:v>17.410326115591399</x:v>
      </x:c>
      <x:c r="G21" s="40"/>
      <x:c r="H21" s="40">
        <x:v>2.6532999999999975</x:v>
      </x:c>
      <x:c r="I21" s="40">
        <x:v>12.431700000000001</x:v>
      </x:c>
      <x:c r="J21" s="40">
        <x:v>17.431699999999999</x:v>
      </x:c>
      <x:c r="K21" s="40">
        <x:v>22.431699999999996</x:v>
      </x:c>
    </x:row>
    <x:row r="22" spans="1:21" x14ac:dyDescent="0.25">
      <x:c r="A22" s="7">
        <x:f t="shared" si="0"/>
        <x:v>11</x:v>
      </x:c>
      <x:c r="B22" s="39">
        <x:f t="shared" si="1"/>
        <x:v>44951</x:v>
      </x:c>
      <x:c r="C22" s="40">
        <x:v>2.6827541129032246</x:v>
      </x:c>
      <x:c r="D22" s="40">
        <x:v>8.6350263172043</x:v>
      </x:c>
      <x:c r="E22" s="40">
        <x:v>12.778307997311829</x:v>
      </x:c>
      <x:c r="F22" s="40">
        <x:v>17.417048440860217</x:v>
      </x:c>
      <x:c r="G22" s="40"/>
      <x:c r="H22" s="40">
        <x:v>4.8944999999999999</x:v>
      </x:c>
      <x:c r="I22" s="40">
        <x:v>14.874499999999999</x:v>
      </x:c>
      <x:c r="J22" s="40">
        <x:v>19.874499999999998</x:v>
      </x:c>
      <x:c r="K22" s="40">
        <x:v>24.874499999999998</x:v>
      </x:c>
    </x:row>
    <x:row r="23" spans="1:21" x14ac:dyDescent="0.25">
      <x:c r="A23" s="7">
        <x:f t="shared" si="0"/>
        <x:v>12</x:v>
      </x:c>
      <x:c r="B23" s="39">
        <x:f t="shared" si="1"/>
        <x:v>44952</x:v>
      </x:c>
      <x:c r="C23" s="40">
        <x:v>2.6865129569892465</x:v>
      </x:c>
      <x:c r="D23" s="40">
        <x:v>8.6493235618279538</x:v>
      </x:c>
      <x:c r="E23" s="40">
        <x:v>12.794169650537636</x:v>
      </x:c>
      <x:c r="F23" s="40">
        <x:v>17.448551344086024</x:v>
      </x:c>
      <x:c r="G23" s="40"/>
      <x:c r="H23" s="40">
        <x:v>2.9597999999999978</x:v>
      </x:c>
      <x:c r="I23" s="40">
        <x:v>12.959799999999998</x:v>
      </x:c>
      <x:c r="J23" s="40">
        <x:v>17.959799999999991</x:v>
      </x:c>
      <x:c r="K23" s="40">
        <x:v>22.959799999999998</x:v>
      </x:c>
    </x:row>
    <x:row r="24" spans="1:21" x14ac:dyDescent="0.25">
      <x:c r="A24" s="7">
        <x:f t="shared" si="0"/>
        <x:v>13</x:v>
      </x:c>
      <x:c r="B24" s="39">
        <x:f t="shared" si="1"/>
        <x:v>44953</x:v>
      </x:c>
      <x:c r="C24" s="40">
        <x:v>2.7421731317204294</x:v>
      </x:c>
      <x:c r="D24" s="40">
        <x:v>8.7169830913978483</x:v>
      </x:c>
      <x:c r="E24" s="40">
        <x:v>12.863959462365589</x:v>
      </x:c>
      <x:c r="F24" s="40">
        <x:v>17.528048346774192</x:v>
      </x:c>
      <x:c r="G24" s="40"/>
      <x:c r="H24" s="40">
        <x:v>0.43269999999999964</x:v>
      </x:c>
      <x:c r="I24" s="40">
        <x:v>9.0169000000000015</x:v>
      </x:c>
      <x:c r="J24" s="40">
        <x:v>14.0169</x:v>
      </x:c>
      <x:c r="K24" s="40">
        <x:v>19.016900000000003</x:v>
      </x:c>
    </x:row>
    <x:row r="25" spans="1:21" x14ac:dyDescent="0.25">
      <x:c r="A25" s="7">
        <x:f t="shared" si="0"/>
        <x:v>14</x:v>
      </x:c>
      <x:c r="B25" s="39">
        <x:f t="shared" si="1"/>
        <x:v>44954</x:v>
      </x:c>
      <x:c r="C25" s="40">
        <x:v>2.7659315188172031</x:v>
      </x:c>
      <x:c r="D25" s="40">
        <x:v>8.7783766666666629</x:v>
      </x:c>
      <x:c r="E25" s="40">
        <x:v>12.944055309139785</x:v>
      </x:c>
      <x:c r="F25" s="40">
        <x:v>17.622280551075267</x:v>
      </x:c>
      <x:c r="G25" s="40"/>
      <x:c r="H25" s="40">
        <x:v>0</x:v>
      </x:c>
      <x:c r="I25" s="40">
        <x:v>0.70669999999999955</x:v>
      </x:c>
      <x:c r="J25" s="40">
        <x:v>5.1112999999999991</x:v>
      </x:c>
      <x:c r="K25" s="40">
        <x:v>10.111299999999996</x:v>
      </x:c>
    </x:row>
    <x:row r="26" spans="1:21" x14ac:dyDescent="0.25">
      <x:c r="A26" s="7">
        <x:f t="shared" si="0"/>
        <x:v>15</x:v>
      </x:c>
      <x:c r="B26" s="39">
        <x:f t="shared" si="1"/>
        <x:v>44955</x:v>
      </x:c>
      <x:c r="C26" s="40">
        <x:v>2.7419067876344076</x:v>
      </x:c>
      <x:c r="D26" s="40">
        <x:v>8.7249747311827939</x:v>
      </x:c>
      <x:c r="E26" s="40">
        <x:v>12.874947970430108</x:v>
      </x:c>
      <x:c r="F26" s="40">
        <x:v>17.541017876344089</x:v>
      </x:c>
      <x:c r="G26" s="40"/>
      <x:c r="H26" s="40">
        <x:v>2.7524999999999973</x:v>
      </x:c>
      <x:c r="I26" s="40">
        <x:v>11.128699999999997</x:v>
      </x:c>
      <x:c r="J26" s="40">
        <x:v>15.711199999999995</x:v>
      </x:c>
      <x:c r="K26" s="40">
        <x:v>20.610400000000002</x:v>
      </x:c>
    </x:row>
    <x:row r="27" spans="1:21" x14ac:dyDescent="0.25">
      <x:c r="A27" s="7">
        <x:f t="shared" si="0"/>
        <x:v>16</x:v>
      </x:c>
      <x:c r="B27" s="39">
        <x:f t="shared" si="1"/>
        <x:v>44956</x:v>
      </x:c>
      <x:c r="C27" s="40">
        <x:v>2.7699034946236547</x:v>
      </x:c>
      <x:c r="D27" s="40">
        <x:v>8.6687208198924708</x:v>
      </x:c>
      <x:c r="E27" s="40">
        <x:v>12.780041424731182</x:v>
      </x:c>
      <x:c r="F27" s="40">
        <x:v>17.43933192204301</x:v>
      </x:c>
      <x:c r="G27" s="40"/>
      <x:c r="H27" s="40">
        <x:v>16.454900000000002</x:v>
      </x:c>
      <x:c r="I27" s="40">
        <x:v>26.454899999999999</x:v>
      </x:c>
      <x:c r="J27" s="40">
        <x:v>31.454900000000002</x:v>
      </x:c>
      <x:c r="K27" s="40">
        <x:v>36.454900000000002</x:v>
      </x:c>
    </x:row>
    <x:row r="28" spans="1:21" x14ac:dyDescent="0.25">
      <x:c r="A28" s="7">
        <x:f t="shared" si="0"/>
        <x:v>17</x:v>
      </x:c>
      <x:c r="B28" s="39">
        <x:f t="shared" si="1"/>
        <x:v>44957</x:v>
      </x:c>
      <x:c r="C28" s="40">
        <x:v>2.7880480645161287</x:v>
      </x:c>
      <x:c r="D28" s="40">
        <x:v>8.6017918279569905</x:v>
      </x:c>
      <x:c r="E28" s="40">
        <x:v>12.667504798387096</x:v>
      </x:c>
      <x:c r="F28" s="40">
        <x:v>17.292957540322583</x:v>
      </x:c>
      <x:c r="G28" s="40"/>
      <x:c r="H28" s="40">
        <x:v>17.813500000000001</x:v>
      </x:c>
      <x:c r="I28" s="40">
        <x:v>27.813500000000005</x:v>
      </x:c>
      <x:c r="J28" s="40">
        <x:v>32.813499999999998</x:v>
      </x:c>
      <x:c r="K28" s="40">
        <x:v>37.813500000000005</x:v>
      </x:c>
    </x:row>
    <x:row r="29" spans="1:21" x14ac:dyDescent="0.25">
      <x:c r="A29" s="7">
        <x:f t="shared" si="0"/>
        <x:v>18</x:v>
      </x:c>
      <x:c r="B29" s="39">
        <x:f t="shared" si="1"/>
        <x:v>44958</x:v>
      </x:c>
      <x:c r="C29" s="40">
        <x:v>2.7791881451612901</x:v>
      </x:c>
      <x:c r="D29" s="40">
        <x:v>8.5651933198924706</x:v>
      </x:c>
      <x:c r="E29" s="40">
        <x:v>12.611481505376343</x:v>
      </x:c>
      <x:c r="F29" s="40">
        <x:v>17.229193602150541</x:v>
      </x:c>
      <x:c r="G29" s="40"/>
      <x:c r="H29" s="40">
        <x:v>15.631400000000001</x:v>
      </x:c>
      <x:c r="I29" s="40">
        <x:v>25.631399999999996</x:v>
      </x:c>
      <x:c r="J29" s="40">
        <x:v>30.631399999999999</x:v>
      </x:c>
      <x:c r="K29" s="40">
        <x:v>35.631400000000006</x:v>
      </x:c>
    </x:row>
    <x:row r="30" spans="1:21" x14ac:dyDescent="0.25">
      <x:c r="A30" s="7">
        <x:f t="shared" si="0"/>
        <x:v>19</x:v>
      </x:c>
      <x:c r="B30" s="39">
        <x:f t="shared" si="1"/>
        <x:v>44959</x:v>
      </x:c>
      <x:c r="C30" s="40">
        <x:v>2.7496304166666663</x:v>
      </x:c>
      <x:c r="D30" s="40">
        <x:v>8.4952748118279597</x:v>
      </x:c>
      <x:c r="E30" s="40">
        <x:v>12.522510524193548</x:v>
      </x:c>
      <x:c r="F30" s="40">
        <x:v>17.123417715053765</x:v>
      </x:c>
      <x:c r="G30" s="40"/>
      <x:c r="H30" s="40">
        <x:v>11.457900000000004</x:v>
      </x:c>
      <x:c r="I30" s="40">
        <x:v>21.457899999999995</x:v>
      </x:c>
      <x:c r="J30" s="40">
        <x:v>26.457900000000002</x:v>
      </x:c>
      <x:c r="K30" s="40">
        <x:v>31.457900000000006</x:v>
      </x:c>
    </x:row>
    <x:row r="31" spans="1:21" x14ac:dyDescent="0.25">
      <x:c r="A31" s="7">
        <x:f t="shared" si="0"/>
        <x:v>20</x:v>
      </x:c>
      <x:c r="B31" s="39">
        <x:f t="shared" si="1"/>
        <x:v>44960</x:v>
      </x:c>
      <x:c r="C31" s="40">
        <x:v>2.7498709677419351</x:v>
      </x:c>
      <x:c r="D31" s="40">
        <x:v>8.4809895967741937</x:v>
      </x:c>
      <x:c r="E31" s="40">
        <x:v>12.476612002688173</x:v>
      </x:c>
      <x:c r="F31" s="40">
        <x:v>17.048811774193549</x:v>
      </x:c>
      <x:c r="G31" s="40"/>
      <x:c r="H31" s="40">
        <x:v>5.2588000000000017</x:v>
      </x:c>
      <x:c r="I31" s="40">
        <x:v>15.236399999999998</x:v>
      </x:c>
      <x:c r="J31" s="40">
        <x:v>20.2364</x:v>
      </x:c>
      <x:c r="K31" s="40">
        <x:v>25.236400000000003</x:v>
      </x:c>
    </x:row>
    <x:row r="32" spans="1:21" x14ac:dyDescent="0.25">
      <x:c r="A32" s="7">
        <x:f t="shared" si="0"/>
        <x:v>21</x:v>
      </x:c>
      <x:c r="B32" s="39">
        <x:f t="shared" si="1"/>
        <x:v>44961</x:v>
      </x:c>
      <x:c r="C32" s="40">
        <x:v>2.7615989919354833</x:v>
      </x:c>
      <x:c r="D32" s="40">
        <x:v>8.4657214919354846</x:v>
      </x:c>
      <x:c r="E32" s="40">
        <x:v>12.42605010752688</x:v>
      </x:c>
      <x:c r="F32" s="40">
        <x:v>16.966918870967742</x:v>
      </x:c>
      <x:c r="G32" s="40"/>
      <x:c r="H32" s="40">
        <x:v>0.15209999999999996</x:v>
      </x:c>
      <x:c r="I32" s="40">
        <x:v>9.6279999999999983</x:v>
      </x:c>
      <x:c r="J32" s="40">
        <x:v>14.627999999999997</x:v>
      </x:c>
      <x:c r="K32" s="40">
        <x:v>19.628</x:v>
      </x:c>
    </x:row>
    <x:row r="33" spans="1:11" x14ac:dyDescent="0.25">
      <x:c r="A33" s="7">
        <x:f t="shared" si="0"/>
        <x:v>22</x:v>
      </x:c>
      <x:c r="B33" s="39">
        <x:f t="shared" si="1"/>
        <x:v>44962</x:v>
      </x:c>
      <x:c r="C33" s="40">
        <x:v>2.697827432795699</x:v>
      </x:c>
      <x:c r="D33" s="40">
        <x:v>8.3168206317204305</x:v>
      </x:c>
      <x:c r="E33" s="40">
        <x:v>12.230668198924729</x:v>
      </x:c>
      <x:c r="F33" s="40">
        <x:v>16.726190147849461</x:v>
      </x:c>
      <x:c r="G33" s="40"/>
      <x:c r="H33" s="40">
        <x:v>0</x:v>
      </x:c>
      <x:c r="I33" s="40">
        <x:v>0.87629999999999941</x:v>
      </x:c>
      <x:c r="J33" s="40">
        <x:v>5.8196999999999983</x:v>
      </x:c>
      <x:c r="K33" s="40">
        <x:v>10.819699999999997</x:v>
      </x:c>
    </x:row>
    <x:row r="34" spans="1:11" x14ac:dyDescent="0.25">
      <x:c r="A34" s="7">
        <x:f t="shared" si="0"/>
        <x:v>23</x:v>
      </x:c>
      <x:c r="B34" s="39">
        <x:f t="shared" si="1"/>
        <x:v>44963</x:v>
      </x:c>
      <x:c r="C34" s="40">
        <x:v>2.6661128897849458</x:v>
      </x:c>
      <x:c r="D34" s="40">
        <x:v>8.1741040860215062</x:v>
      </x:c>
      <x:c r="E34" s="40">
        <x:v>12.049633736559137</x:v>
      </x:c>
      <x:c r="F34" s="40">
        <x:v>16.509847284946236</x:v>
      </x:c>
      <x:c r="G34" s="40"/>
      <x:c r="H34" s="40">
        <x:v>0</x:v>
      </x:c>
      <x:c r="I34" s="40">
        <x:v>0</x:v>
      </x:c>
      <x:c r="J34" s="40">
        <x:v>7.799999999999834E-3</x:v>
      </x:c>
      <x:c r="K34" s="40">
        <x:v>2.5626999999999982</x:v>
      </x:c>
    </x:row>
    <x:row r="35" spans="1:11" x14ac:dyDescent="0.25">
      <x:c r="A35" s="7">
        <x:f t="shared" si="0"/>
        <x:v>24</x:v>
      </x:c>
      <x:c r="B35" s="39">
        <x:f t="shared" si="1"/>
        <x:v>44964</x:v>
      </x:c>
      <x:c r="C35" s="40">
        <x:v>2.6493640053763436</x:v>
      </x:c>
      <x:c r="D35" s="40">
        <x:v>8.1009642876344081</x:v>
      </x:c>
      <x:c r="E35" s="40">
        <x:v>11.942874260752685</x:v>
      </x:c>
      <x:c r="F35" s="40">
        <x:v>16.366773172043011</x:v>
      </x:c>
      <x:c r="G35" s="40"/>
      <x:c r="H35" s="40">
        <x:v>0</x:v>
      </x:c>
      <x:c r="I35" s="40">
        <x:v>0.85599999999999976</x:v>
      </x:c>
      <x:c r="J35" s="40">
        <x:v>4.6540000000000008</x:v>
      </x:c>
      <x:c r="K35" s="40">
        <x:v>9.203000000000003</x:v>
      </x:c>
    </x:row>
    <x:row r="36" spans="1:11" x14ac:dyDescent="0.25">
      <x:c r="A36" s="7">
        <x:f t="shared" si="0"/>
        <x:v>25</x:v>
      </x:c>
      <x:c r="B36" s="39">
        <x:f t="shared" si="1"/>
        <x:v>44965</x:v>
      </x:c>
      <x:c r="C36" s="40">
        <x:v>2.6315523387096773</x:v>
      </x:c>
      <x:c r="D36" s="40">
        <x:v>7.9862674596774204</x:v>
      </x:c>
      <x:c r="E36" s="40">
        <x:v>11.783955954301073</x:v>
      </x:c>
      <x:c r="F36" s="40">
        <x:v>16.176085994623659</x:v>
      </x:c>
      <x:c r="G36" s="40"/>
      <x:c r="H36" s="40">
        <x:v>0.13579999999999981</x:v>
      </x:c>
      <x:c r="I36" s="40">
        <x:v>8.7117999999999984</x:v>
      </x:c>
      <x:c r="J36" s="40">
        <x:v>13.376799999999999</x:v>
      </x:c>
      <x:c r="K36" s="40">
        <x:v>18.287300000000002</x:v>
      </x:c>
    </x:row>
    <x:row r="37" spans="1:11" x14ac:dyDescent="0.25">
      <x:c r="A37" s="7">
        <x:f t="shared" si="0"/>
        <x:v>26</x:v>
      </x:c>
      <x:c r="B37" s="39">
        <x:f t="shared" si="1"/>
        <x:v>44966</x:v>
      </x:c>
      <x:c r="C37" s="40">
        <x:v>2.6254995833333332</x:v>
      </x:c>
      <x:c r="D37" s="40">
        <x:v>7.9090937096774203</x:v>
      </x:c>
      <x:c r="E37" s="40">
        <x:v>11.682154838709675</x:v>
      </x:c>
      <x:c r="F37" s="40">
        <x:v>16.057967056451613</x:v>
      </x:c>
      <x:c r="G37" s="40"/>
      <x:c r="H37" s="40">
        <x:v>0.10059999999999983</x:v>
      </x:c>
      <x:c r="I37" s="40">
        <x:v>6.901600000000002</x:v>
      </x:c>
      <x:c r="J37" s="40">
        <x:v>11.9016</x:v>
      </x:c>
      <x:c r="K37" s="40">
        <x:v>16.901600000000002</x:v>
      </x:c>
    </x:row>
    <x:row r="38" spans="1:11" x14ac:dyDescent="0.25">
      <x:c r="A38" s="7">
        <x:f t="shared" si="0"/>
        <x:v>27</x:v>
      </x:c>
      <x:c r="B38" s="39">
        <x:f t="shared" si="1"/>
        <x:v>44967</x:v>
      </x:c>
      <x:c r="C38" s="40">
        <x:v>2.6294668279569891</x:v>
      </x:c>
      <x:c r="D38" s="40">
        <x:v>7.9190850672043016</x:v>
      </x:c>
      <x:c r="E38" s="40">
        <x:v>11.702607258064514</x:v>
      </x:c>
      <x:c r="F38" s="40">
        <x:v>16.067380672043015</x:v>
      </x:c>
      <x:c r="G38" s="40"/>
      <x:c r="H38" s="40">
        <x:v>2.2450999999999999</x:v>
      </x:c>
      <x:c r="I38" s="40">
        <x:v>11.9635</x:v>
      </x:c>
      <x:c r="J38" s="40">
        <x:v>16.9635</x:v>
      </x:c>
      <x:c r="K38" s="40">
        <x:v>21.9635</x:v>
      </x:c>
    </x:row>
    <x:row r="39" spans="1:11" x14ac:dyDescent="0.25">
      <x:c r="A39" s="7">
        <x:f t="shared" si="0"/>
        <x:v>28</x:v>
      </x:c>
      <x:c r="B39" s="39">
        <x:f t="shared" si="1"/>
        <x:v>44968</x:v>
      </x:c>
      <x:c r="C39" s="40">
        <x:v>2.6492510618279566</x:v>
      </x:c>
      <x:c r="D39" s="40">
        <x:v>7.9065352956989257</x:v>
      </x:c>
      <x:c r="E39" s="40">
        <x:v>11.672894798387096</x:v>
      </x:c>
      <x:c r="F39" s="40">
        <x:v>16.027626303763444</x:v>
      </x:c>
      <x:c r="G39" s="40"/>
      <x:c r="H39" s="40">
        <x:v>1.742899999999999</x:v>
      </x:c>
      <x:c r="I39" s="40">
        <x:v>11.742899999999999</x:v>
      </x:c>
      <x:c r="J39" s="40">
        <x:v>16.742899999999999</x:v>
      </x:c>
      <x:c r="K39" s="40">
        <x:v>21.742899999999999</x:v>
      </x:c>
    </x:row>
    <x:row r="40" spans="1:11" x14ac:dyDescent="0.25">
      <x:c r="A40" s="7">
        <x:f t="shared" si="0"/>
        <x:v>29</x:v>
      </x:c>
      <x:c r="B40" s="39">
        <x:f t="shared" si="1"/>
        <x:v>44969</x:v>
      </x:c>
      <x:c r="C40" s="40">
        <x:v>2.6230515322580645</x:v>
      </x:c>
      <x:c r="D40" s="40">
        <x:v>7.8086020564516145</x:v>
      </x:c>
      <x:c r="E40" s="40">
        <x:v>11.530237002688171</x:v>
      </x:c>
      <x:c r="F40" s="40">
        <x:v>15.858833454301076</x:v>
      </x:c>
      <x:c r="G40" s="40"/>
      <x:c r="H40" s="40">
        <x:v>0</x:v>
      </x:c>
      <x:c r="I40" s="40">
        <x:v>5.5382999999999987</x:v>
      </x:c>
      <x:c r="J40" s="40">
        <x:v>10.538299999999996</x:v>
      </x:c>
      <x:c r="K40" s="40">
        <x:v>15.538299999999998</x:v>
      </x:c>
    </x:row>
    <x:row r="41" spans="1:11" x14ac:dyDescent="0.25">
      <x:c r="A41" s="7">
        <x:f t="shared" si="0"/>
        <x:v>30</x:v>
      </x:c>
      <x:c r="B41" s="39">
        <x:f t="shared" si="1"/>
        <x:v>44970</x:v>
      </x:c>
      <x:c r="C41" s="40">
        <x:v>2.57719998655914</x:v>
      </x:c>
      <x:c r="D41" s="40">
        <x:v>7.6826806854838727</x:v>
      </x:c>
      <x:c r="E41" s="40">
        <x:v>11.356132029569892</x:v>
      </x:c>
      <x:c r="F41" s="40">
        <x:v>15.640681196236558</x:v>
      </x:c>
      <x:c r="G41" s="40"/>
      <x:c r="H41" s="40">
        <x:v>0</x:v>
      </x:c>
      <x:c r="I41" s="40">
        <x:v>0.81849999999999667</x:v>
      </x:c>
      <x:c r="J41" s="40">
        <x:v>5.7944999999999958</x:v>
      </x:c>
      <x:c r="K41" s="40">
        <x:v>10.794499999999998</x:v>
      </x:c>
    </x:row>
    <x:row r="42" spans="1:11" x14ac:dyDescent="0.25">
      <x:c r="A42" s="7">
        <x:f t="shared" si="0"/>
        <x:v>31</x:v>
      </x:c>
      <x:c r="B42" s="39">
        <x:f t="shared" si="1"/>
        <x:v>44971</x:v>
      </x:c>
      <x:c r="C42" s="40">
        <x:v>2.5348216397849463</x:v>
      </x:c>
      <x:c r="D42" s="40">
        <x:v>7.5533198521505387</x:v>
      </x:c>
      <x:c r="E42" s="40">
        <x:v>11.179745430107529</x:v>
      </x:c>
      <x:c r="F42" s="40">
        <x:v>15.420960577956988</x:v>
      </x:c>
      <x:c r="G42" s="40"/>
      <x:c r="H42" s="40">
        <x:v>0</x:v>
      </x:c>
      <x:c r="I42" s="40">
        <x:v>0.16800000000000001</x:v>
      </x:c>
      <x:c r="J42" s="40">
        <x:v>0.54039999999999999</x:v>
      </x:c>
      <x:c r="K42" s="40">
        <x:v>3.8607</x:v>
      </x:c>
    </x:row>
    <x:row r="43" spans="1:11" x14ac:dyDescent="0.25">
      <x:c r="A43" s="7">
        <x:f t="shared" si="0"/>
        <x:v>32</x:v>
      </x:c>
      <x:c r="B43" s="39">
        <x:f t="shared" si="1"/>
        <x:v>44972</x:v>
      </x:c>
      <x:c r="C43" s="40">
        <x:v>2.4924148655913982</x:v>
      </x:c>
      <x:c r="D43" s="40">
        <x:v>7.4350304569892485</x:v>
      </x:c>
      <x:c r="E43" s="40">
        <x:v>11.024140456989251</x:v>
      </x:c>
      <x:c r="F43" s="40">
        <x:v>15.237120268817204</x:v>
      </x:c>
      <x:c r="G43" s="40"/>
      <x:c r="H43" s="40">
        <x:v>0</x:v>
      </x:c>
      <x:c r="I43" s="40">
        <x:v>0</x:v>
      </x:c>
      <x:c r="J43" s="40">
        <x:v>0.35099999999999981</x:v>
      </x:c>
      <x:c r="K43" s="40">
        <x:v>2.437399999999998</x:v>
      </x:c>
    </x:row>
    <x:row r="44" spans="1:11" x14ac:dyDescent="0.25">
      <x:c r="A44" s="7">
        <x:f t="shared" si="0"/>
        <x:v>33</x:v>
      </x:c>
      <x:c r="B44" s="39">
        <x:f t="shared" si="1"/>
        <x:v>44973</x:v>
      </x:c>
      <x:c r="C44" s="40">
        <x:v>2.4663940994623661</x:v>
      </x:c>
      <x:c r="D44" s="40">
        <x:v>7.3488599596774202</x:v>
      </x:c>
      <x:c r="E44" s="40">
        <x:v>10.918440255376348</x:v>
      </x:c>
      <x:c r="F44" s="40">
        <x:v>15.117988172043013</x:v>
      </x:c>
      <x:c r="G44" s="40"/>
      <x:c r="H44" s="40">
        <x:v>1.898399999999997</x:v>
      </x:c>
      <x:c r="I44" s="40">
        <x:v>10.857899999999997</x:v>
      </x:c>
      <x:c r="J44" s="40">
        <x:v>15.787899999999999</x:v>
      </x:c>
      <x:c r="K44" s="40">
        <x:v>20.7879</x:v>
      </x:c>
    </x:row>
    <x:row r="45" spans="1:11" x14ac:dyDescent="0.25">
      <x:c r="A45" s="7">
        <x:f t="shared" si="0"/>
        <x:v>34</x:v>
      </x:c>
      <x:c r="B45" s="39">
        <x:f t="shared" si="1"/>
        <x:v>44974</x:v>
      </x:c>
      <x:c r="C45" s="40">
        <x:v>2.4240604838709685</x:v>
      </x:c>
      <x:c r="D45" s="40">
        <x:v>7.2327266397849472</x:v>
      </x:c>
      <x:c r="E45" s="40">
        <x:v>10.7629561155914</x:v>
      </x:c>
      <x:c r="F45" s="40">
        <x:v>14.92801551075269</x:v>
      </x:c>
      <x:c r="G45" s="40"/>
      <x:c r="H45" s="40">
        <x:v>5.6845999999999988</x:v>
      </x:c>
      <x:c r="I45" s="40">
        <x:v>15.684600000000001</x:v>
      </x:c>
      <x:c r="J45" s="40">
        <x:v>20.684600000000003</x:v>
      </x:c>
      <x:c r="K45" s="40">
        <x:v>25.684600000000003</x:v>
      </x:c>
    </x:row>
    <x:row r="46" spans="1:11" x14ac:dyDescent="0.25">
      <x:c r="A46" s="7">
        <x:f t="shared" si="0"/>
        <x:v>35</x:v>
      </x:c>
      <x:c r="B46" s="39">
        <x:f t="shared" si="1"/>
        <x:v>44975</x:v>
      </x:c>
      <x:c r="C46" s="40">
        <x:v>2.3280740053763442</x:v>
      </x:c>
      <x:c r="D46" s="40">
        <x:v>7.0151262903225815</x:v>
      </x:c>
      <x:c r="E46" s="40">
        <x:v>10.493380833333333</x:v>
      </x:c>
      <x:c r="F46" s="40">
        <x:v>14.615306048387099</x:v>
      </x:c>
      <x:c r="G46" s="40"/>
      <x:c r="H46" s="40">
        <x:v>1.7817000000000001</x:v>
      </x:c>
      <x:c r="I46" s="40">
        <x:v>11.781700000000001</x:v>
      </x:c>
      <x:c r="J46" s="40">
        <x:v>16.781700000000004</x:v>
      </x:c>
      <x:c r="K46" s="40">
        <x:v>21.781700000000004</x:v>
      </x:c>
    </x:row>
    <x:row r="47" spans="1:11" x14ac:dyDescent="0.25">
      <x:c r="A47" s="7">
        <x:f t="shared" si="0"/>
        <x:v>36</x:v>
      </x:c>
      <x:c r="B47" s="39">
        <x:f t="shared" si="1"/>
        <x:v>44976</x:v>
      </x:c>
      <x:c r="C47" s="40">
        <x:v>2.2180966666666664</x:v>
      </x:c>
      <x:c r="D47" s="40">
        <x:v>6.7994336424731197</x:v>
      </x:c>
      <x:c r="E47" s="40">
        <x:v>10.236280322580646</x:v>
      </x:c>
      <x:c r="F47" s="40">
        <x:v>14.332114448924733</x:v>
      </x:c>
      <x:c r="G47" s="40"/>
      <x:c r="H47" s="40">
        <x:v>0</x:v>
      </x:c>
      <x:c r="I47" s="40">
        <x:v>0.17019999999999974</x:v>
      </x:c>
      <x:c r="J47" s="40">
        <x:v>3.6002999999999958</x:v>
      </x:c>
      <x:c r="K47" s="40">
        <x:v>8.6002999999999972</x:v>
      </x:c>
    </x:row>
    <x:row r="48" spans="1:11" x14ac:dyDescent="0.25">
      <x:c r="A48" s="7">
        <x:f t="shared" si="0"/>
        <x:v>37</x:v>
      </x:c>
      <x:c r="B48" s="39">
        <x:f t="shared" si="1"/>
        <x:v>44977</x:v>
      </x:c>
      <x:c r="C48" s="40">
        <x:v>2.1354945295698928</x:v>
      </x:c>
      <x:c r="D48" s="40">
        <x:v>6.5726310349462365</x:v>
      </x:c>
      <x:c r="E48" s="40">
        <x:v>9.9622080779569888</x:v>
      </x:c>
      <x:c r="F48" s="40">
        <x:v>14.027412473118279</x:v>
      </x:c>
      <x:c r="G48" s="40"/>
      <x:c r="H48" s="40">
        <x:v>0</x:v>
      </x:c>
      <x:c r="I48" s="40">
        <x:v>0</x:v>
      </x:c>
      <x:c r="J48" s="40">
        <x:v>0</x:v>
      </x:c>
      <x:c r="K48" s="40">
        <x:v>3.9200000000000158E-2</x:v>
      </x:c>
    </x:row>
    <x:row r="49" spans="1:11" x14ac:dyDescent="0.25">
      <x:c r="A49" s="7">
        <x:f t="shared" si="0"/>
        <x:v>38</x:v>
      </x:c>
      <x:c r="B49" s="39" t="s">
        <x:v>51</x:v>
      </x:c>
      <x:c r="C49" s="207">
        <x:f>SUM(C18:C48)</x:f>
        <x:v>81.570849838709691</x:v>
      </x:c>
      <x:c r="D49" s="207">
        <x:f t="shared" ref="D49:F49" si="2">SUM(D18:D48)</x:f>
        <x:v>251.37730899193539</x:v>
      </x:c>
      <x:c r="E49" s="207">
        <x:f t="shared" si="2"/>
        <x:v>371.76027150537629</x:v>
      </x:c>
      <x:c r="F49" s="207">
        <x:f t="shared" si="2"/>
        <x:v>509.82718842741934</x:v>
      </x:c>
      <x:c r="G49" s="208"/>
      <x:c r="H49" s="207">
        <x:f>SUM(H18:H48)</x:f>
        <x:v>96.00830000000002</x:v>
      </x:c>
      <x:c r="I49" s="207">
        <x:f t="shared" ref="I49:K49" si="3">SUM(I18:I48)</x:f>
        <x:v>299.83899999999994</x:v>
      </x:c>
      <x:c r="J49" s="207">
        <x:f t="shared" si="3"/>
        <x:v>431.29979999999989</x:v>
      </x:c>
      <x:c r="K49" s="207">
        <x:f t="shared" si="3"/>
        <x:v>573.65930000000014</x:v>
      </x:c>
    </x:row>
    <x:row r="50" spans="1:11" x14ac:dyDescent="0.25">
      <x:c r="A50" s="7"/>
    </x:row>
  </x:sheetData>
  <x:mergeCells count="11">
    <x:mergeCell ref="B1:K1"/>
    <x:mergeCell ref="B2:K2"/>
    <x:mergeCell ref="B3:K3"/>
    <x:mergeCell ref="B4:K4"/>
    <x:mergeCell ref="B5:L5"/>
    <x:mergeCell ref="B6:K6"/>
    <x:mergeCell ref="B8:K8"/>
    <x:mergeCell ref="C14:F14"/>
    <x:mergeCell ref="H14:K14"/>
    <x:mergeCell ref="H15:K15"/>
    <x:mergeCell ref="C15:G15"/>
  </x:mergeCells>
  <x:printOptions horizontalCentered="1"/>
  <x:pageMargins left="1.5" right="0.5" top="1.5" bottom="1" header="1" footer="0.5"/>
  <x:pageSetup scale="80" firstPageNumber="3" orientation="portrait" r:id="rId1"/>
  <x:headerFooter alignWithMargins="0">
    <x:oddHeader>&amp;RSchedule II-H-5.2
Page &amp;P of 37</x:oddHeader>
  </x:headerFooter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 codeName="Sheet19">
    <x:pageSetUpPr fitToPage="1"/>
  </x:sheetPr>
  <x:dimension ref="A1:U48"/>
  <x:sheetViews>
    <x:sheetView zoomScaleNormal="100" zoomScaleSheetLayoutView="100" workbookViewId="0"/>
  </x:sheetViews>
  <x:sheetFormatPr defaultColWidth="9.08984375" defaultRowHeight="12.5" x14ac:dyDescent="0.25"/>
  <x:cols>
    <x:col min="1" max="1" width="9.08984375" style="9"/>
    <x:col min="2" max="2" width="11.453125" style="9" customWidth="1"/>
    <x:col min="3" max="3" width="9.08984375" style="7"/>
    <x:col min="4" max="4" width="10.36328125" style="9" bestFit="1" customWidth="1"/>
    <x:col min="5" max="6" width="9.6328125" style="9" customWidth="1"/>
    <x:col min="7" max="7" width="9.54296875" style="9" customWidth="1"/>
    <x:col min="8" max="8" width="9.36328125" style="9" customWidth="1"/>
    <x:col min="9" max="10" width="9.6328125" style="9" customWidth="1"/>
    <x:col min="11" max="11" width="8.6328125" style="9" customWidth="1"/>
    <x:col min="12" max="16384" width="9.08984375" style="9"/>
  </x:cols>
  <x:sheetData>
    <x:row r="1" spans="1:12" customFormat="1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51"/>
    </x:row>
    <x:row r="2" spans="1:12" customFormat="1" ht="15.5" x14ac:dyDescent="0.35">
      <x:c r="A2" s="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51"/>
    </x:row>
    <x:row r="3" spans="1:12" customFormat="1" ht="15.5" x14ac:dyDescent="0.35">
      <x:c r="A3" s="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51"/>
    </x:row>
    <x:row r="4" spans="1:12" customFormat="1" ht="15.5" x14ac:dyDescent="0.35">
      <x:c r="A4" s="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51"/>
    </x:row>
    <x:row r="5" spans="1:12" customFormat="1" ht="15.5" x14ac:dyDescent="0.35">
      <x:c r="A5" s="1"/>
      <x:c r="B5" s="209"/>
      <x:c r="C5" s="209"/>
      <x:c r="D5" s="209"/>
      <x:c r="E5" s="209"/>
      <x:c r="F5" s="209"/>
      <x:c r="G5" s="209"/>
      <x:c r="H5" s="209"/>
      <x:c r="I5" s="212"/>
      <x:c r="J5" s="212"/>
      <x:c r="K5" s="212"/>
      <x:c r="L5" s="212"/>
    </x:row>
    <x:row r="6" spans="1:12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1"/>
      <x:c r="L6" s="4"/>
    </x:row>
    <x:row r="7" spans="1:12" ht="15.5" x14ac:dyDescent="0.35">
      <x:c r="B7" s="96"/>
      <x:c r="C7" s="4"/>
      <x:c r="D7" s="4"/>
      <x:c r="E7" s="4"/>
      <x:c r="F7" s="176"/>
      <x:c r="G7" s="4"/>
      <x:c r="H7" s="4"/>
      <x:c r="I7" s="4"/>
      <x:c r="J7" s="176"/>
      <x:c r="K7" s="4"/>
      <x:c r="L7" s="4"/>
    </x:row>
    <x:row r="8" spans="1:12" ht="15.5" x14ac:dyDescent="0.35">
      <x:c r="B8" s="209" t="s">
        <x:v>158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4"/>
    </x:row>
    <x:row r="9" spans="1:12" ht="15.5" x14ac:dyDescent="0.35">
      <x:c r="A9" s="1" t="s">
        <x:v>6</x:v>
      </x:c>
      <x:c r="B9" s="96"/>
      <x:c r="C9" s="4"/>
      <x:c r="D9" s="4"/>
      <x:c r="E9" s="4"/>
      <x:c r="F9" s="176"/>
      <x:c r="G9" s="4"/>
      <x:c r="H9" s="4"/>
      <x:c r="I9" s="4"/>
      <x:c r="J9" s="176"/>
      <x:c r="K9" s="4"/>
      <x:c r="L9" s="4"/>
    </x:row>
    <x:row r="10" spans="1:12" x14ac:dyDescent="0.25">
      <x:c r="A10" s="5" t="s">
        <x:v>8</x:v>
      </x:c>
    </x:row>
    <x:row r="11" spans="1:12" x14ac:dyDescent="0.25">
      <x:c r="A11" s="7">
        <x:v>1</x:v>
      </x:c>
      <x:c r="B11" s="34" t="s">
        <x:v>25</x:v>
      </x:c>
      <x:c r="C11" s="35" t="s">
        <x:v>26</x:v>
      </x:c>
      <x:c r="D11" s="35" t="s">
        <x:v>94</x:v>
      </x:c>
    </x:row>
    <x:row r="12" spans="1:12" x14ac:dyDescent="0.25">
      <x:c r="A12" s="7">
        <x:f>+A11+1</x:f>
        <x:v>2</x:v>
      </x:c>
      <x:c r="B12" s="36" t="s">
        <x:v>27</x:v>
      </x:c>
      <x:c r="C12" s="36" t="s">
        <x:v>85</x:v>
      </x:c>
      <x:c r="D12" s="36" t="s">
        <x:v>95</x:v>
      </x:c>
    </x:row>
    <x:row r="13" spans="1:12" x14ac:dyDescent="0.25">
      <x:c r="A13" s="7">
        <x:f>+A12+1</x:f>
        <x:v>3</x:v>
      </x:c>
      <x:c r="B13" s="37" t="s">
        <x:v>170</x:v>
      </x:c>
      <x:c r="C13" s="33">
        <x:v>45156</x:v>
      </x:c>
      <x:c r="D13" s="33">
        <x:v>45127</x:v>
      </x:c>
    </x:row>
    <x:row r="14" spans="1:12" x14ac:dyDescent="0.25">
      <x:c r="A14" s="7"/>
      <x:c r="B14" s="37"/>
      <x:c r="C14" s="218"/>
      <x:c r="D14" s="219"/>
      <x:c r="E14" s="219"/>
      <x:c r="F14" s="180"/>
      <x:c r="G14" s="29"/>
      <x:c r="H14" s="218"/>
      <x:c r="I14" s="219"/>
      <x:c r="J14" s="219"/>
      <x:c r="K14" s="219"/>
    </x:row>
    <x:row r="15" spans="1:12" ht="12.75" customHeight="1" x14ac:dyDescent="0.25">
      <x:c r="A15" s="7">
        <x:f>+A13+1</x:f>
        <x:v>4</x:v>
      </x:c>
      <x:c r="B15" s="37"/>
      <x:c r="C15" s="217" t="s">
        <x:v>80</x:v>
      </x:c>
      <x:c r="D15" s="215"/>
      <x:c r="E15" s="215"/>
      <x:c r="F15" s="215"/>
      <x:c r="G15" s="29"/>
      <x:c r="H15" s="217" t="s">
        <x:v>84</x:v>
      </x:c>
      <x:c r="I15" s="216"/>
      <x:c r="J15" s="216"/>
      <x:c r="K15" s="216"/>
    </x:row>
    <x:row r="16" spans="1:12" x14ac:dyDescent="0.25">
      <x:c r="A16" s="7">
        <x:f>+A15+1</x:f>
        <x:v>5</x:v>
      </x:c>
      <x:c r="B16" s="37"/>
      <x:c r="C16" s="18" t="s">
        <x:v>14</x:v>
      </x:c>
      <x:c r="D16" s="18" t="s">
        <x:v>16</x:v>
      </x:c>
      <x:c r="E16" s="22" t="s">
        <x:v>18</x:v>
      </x:c>
      <x:c r="F16" s="22" t="s">
        <x:v>129</x:v>
      </x:c>
      <x:c r="G16" s="18"/>
      <x:c r="H16" s="18" t="s">
        <x:v>14</x:v>
      </x:c>
      <x:c r="I16" s="18" t="s">
        <x:v>16</x:v>
      </x:c>
      <x:c r="J16" s="22" t="s">
        <x:v>18</x:v>
      </x:c>
      <x:c r="K16" s="22" t="s">
        <x:v>129</x:v>
      </x:c>
    </x:row>
    <x:row r="17" spans="1:21" x14ac:dyDescent="0.25">
      <x:c r="A17" s="7">
        <x:f t="shared" ref="A17:A46" si="0">+A16+1</x:f>
        <x:v>6</x:v>
      </x:c>
      <x:c r="B17" s="37"/>
      <x:c r="C17" s="38" t="s">
        <x:v>29</x:v>
      </x:c>
      <x:c r="D17" s="38" t="s">
        <x:v>30</x:v>
      </x:c>
      <x:c r="E17" s="38" t="s">
        <x:v>31</x:v>
      </x:c>
      <x:c r="F17" s="38" t="s">
        <x:v>112</x:v>
      </x:c>
      <x:c r="G17" s="38"/>
      <x:c r="H17" s="38" t="s">
        <x:v>29</x:v>
      </x:c>
      <x:c r="I17" s="38" t="s">
        <x:v>30</x:v>
      </x:c>
      <x:c r="J17" s="38" t="s">
        <x:v>31</x:v>
      </x:c>
      <x:c r="K17" s="38" t="s">
        <x:v>112</x:v>
      </x:c>
    </x:row>
    <x:row r="18" spans="1:21" x14ac:dyDescent="0.25">
      <x:c r="A18" s="7">
        <x:f t="shared" si="0"/>
        <x:v>7</x:v>
      </x:c>
      <x:c r="B18" s="39">
        <x:f>+D13</x:f>
        <x:v>45127</x:v>
      </x:c>
      <x:c r="C18" s="206">
        <x:v>21.11950190860215</x:v>
      </x:c>
      <x:c r="D18" s="206">
        <x:v>16.117640336021502</x:v>
      </x:c>
      <x:c r="E18" s="206">
        <x:v>11.143890564516131</x:v>
      </x:c>
      <x:c r="F18" s="206">
        <x:v>6.3552012500000021</x:v>
      </x:c>
      <x:c r="G18" s="206"/>
      <x:c r="H18" s="206">
        <x:v>26.468600000000006</x:v>
      </x:c>
      <x:c r="I18" s="206">
        <x:v>21.463600000000007</x:v>
      </x:c>
      <x:c r="J18" s="206">
        <x:v>16.458600000000004</x:v>
      </x:c>
      <x:c r="K18" s="206">
        <x:v>11.453600000000005</x:v>
      </x:c>
      <x:c r="M18" s="74"/>
      <x:c r="N18" s="74"/>
      <x:c r="O18" s="74"/>
      <x:c r="P18" s="74"/>
      <x:c r="R18" s="196"/>
      <x:c r="S18" s="196"/>
      <x:c r="T18" s="196"/>
      <x:c r="U18" s="196"/>
    </x:row>
    <x:row r="19" spans="1:21" x14ac:dyDescent="0.25">
      <x:c r="A19" s="7">
        <x:f t="shared" si="0"/>
        <x:v>8</x:v>
      </x:c>
      <x:c r="B19" s="39">
        <x:f t="shared" ref="B19:B46" si="1">+B18+1</x:f>
        <x:v>45128</x:v>
      </x:c>
      <x:c r="C19" s="40">
        <x:v>21.246661196236559</x:v>
      </x:c>
      <x:c r="D19" s="40">
        <x:v>16.244799623655911</x:v>
      </x:c>
      <x:c r="E19" s="40">
        <x:v>11.271074193548387</x:v>
      </x:c>
      <x:c r="F19" s="40">
        <x:v>6.4744422177419381</x:v>
      </x:c>
      <x:c r="G19" s="40"/>
      <x:c r="H19" s="40">
        <x:v>24.846099999999993</x:v>
      </x:c>
      <x:c r="I19" s="40">
        <x:v>19.841100000000004</x:v>
      </x:c>
      <x:c r="J19" s="40">
        <x:v>14.8361</x:v>
      </x:c>
      <x:c r="K19" s="40">
        <x:v>9.8311000000000011</x:v>
      </x:c>
    </x:row>
    <x:row r="20" spans="1:21" x14ac:dyDescent="0.25">
      <x:c r="A20" s="7">
        <x:f t="shared" si="0"/>
        <x:v>9</x:v>
      </x:c>
      <x:c r="B20" s="39">
        <x:f t="shared" si="1"/>
        <x:v>45129</x:v>
      </x:c>
      <x:c r="C20" s="40">
        <x:v>21.360266317204299</x:v>
      </x:c>
      <x:c r="D20" s="40">
        <x:v>16.358404744623652</x:v>
      </x:c>
      <x:c r="E20" s="40">
        <x:v>11.384623669354838</x:v>
      </x:c>
      <x:c r="F20" s="40">
        <x:v>6.5838744623655945</x:v>
      </x:c>
      <x:c r="G20" s="40"/>
      <x:c r="H20" s="40">
        <x:v>19.856300000000001</x:v>
      </x:c>
      <x:c r="I20" s="40">
        <x:v>14.8513</x:v>
      </x:c>
      <x:c r="J20" s="40">
        <x:v>9.8463000000000012</x:v>
      </x:c>
      <x:c r="K20" s="40">
        <x:v>4.8482000000000012</x:v>
      </x:c>
    </x:row>
    <x:row r="21" spans="1:21" x14ac:dyDescent="0.25">
      <x:c r="A21" s="7">
        <x:f t="shared" si="0"/>
        <x:v>10</x:v>
      </x:c>
      <x:c r="B21" s="39">
        <x:f t="shared" si="1"/>
        <x:v>45130</x:v>
      </x:c>
      <x:c r="C21" s="40">
        <x:v>21.46846356182796</x:v>
      </x:c>
      <x:c r="D21" s="40">
        <x:v>16.466601989247312</x:v>
      </x:c>
      <x:c r="E21" s="40">
        <x:v>11.492737123655914</x:v>
      </x:c>
      <x:c r="F21" s="40">
        <x:v>6.688380618279572</x:v>
      </x:c>
      <x:c r="G21" s="40"/>
      <x:c r="H21" s="40">
        <x:v>20.959</x:v>
      </x:c>
      <x:c r="I21" s="40">
        <x:v>15.953999999999999</x:v>
      </x:c>
      <x:c r="J21" s="40">
        <x:v>10.948999999999996</x:v>
      </x:c>
      <x:c r="K21" s="40">
        <x:v>5.9439999999999991</x:v>
      </x:c>
    </x:row>
    <x:row r="22" spans="1:21" x14ac:dyDescent="0.25">
      <x:c r="A22" s="7">
        <x:f t="shared" si="0"/>
        <x:v>11</x:v>
      </x:c>
      <x:c r="B22" s="39">
        <x:f t="shared" si="1"/>
        <x:v>45131</x:v>
      </x:c>
      <x:c r="C22" s="40">
        <x:v>21.557145430107525</x:v>
      </x:c>
      <x:c r="D22" s="40">
        <x:v>16.555283857526877</x:v>
      </x:c>
      <x:c r="E22" s="40">
        <x:v>11.581349892473117</x:v>
      </x:c>
      <x:c r="F22" s="40">
        <x:v>6.7753185618279597</x:v>
      </x:c>
      <x:c r="G22" s="40"/>
      <x:c r="H22" s="40">
        <x:v>23.866699999999998</x:v>
      </x:c>
      <x:c r="I22" s="40">
        <x:v>18.861700000000006</x:v>
      </x:c>
      <x:c r="J22" s="40">
        <x:v>13.856700000000004</x:v>
      </x:c>
      <x:c r="K22" s="40">
        <x:v>8.8517000000000046</x:v>
      </x:c>
    </x:row>
    <x:row r="23" spans="1:21" x14ac:dyDescent="0.25">
      <x:c r="A23" s="7">
        <x:f t="shared" si="0"/>
        <x:v>12</x:v>
      </x:c>
      <x:c r="B23" s="39">
        <x:f t="shared" si="1"/>
        <x:v>45132</x:v>
      </x:c>
      <x:c r="C23" s="40">
        <x:v>21.654166196236556</x:v>
      </x:c>
      <x:c r="D23" s="40">
        <x:v>16.652304623655915</x:v>
      </x:c>
      <x:c r="E23" s="40">
        <x:v>11.678360255376345</x:v>
      </x:c>
      <x:c r="F23" s="40">
        <x:v>6.868355537634411</x:v>
      </x:c>
      <x:c r="G23" s="40"/>
      <x:c r="H23" s="40">
        <x:v>25.877299999999995</x:v>
      </x:c>
      <x:c r="I23" s="40">
        <x:v>20.872299999999999</x:v>
      </x:c>
      <x:c r="J23" s="40">
        <x:v>15.867299999999998</x:v>
      </x:c>
      <x:c r="K23" s="40">
        <x:v>10.862300000000001</x:v>
      </x:c>
    </x:row>
    <x:row r="24" spans="1:21" x14ac:dyDescent="0.25">
      <x:c r="A24" s="7">
        <x:f t="shared" si="0"/>
        <x:v>13</x:v>
      </x:c>
      <x:c r="B24" s="39">
        <x:f t="shared" si="1"/>
        <x:v>45133</x:v>
      </x:c>
      <x:c r="C24" s="40">
        <x:v>21.729393131720425</x:v>
      </x:c>
      <x:c r="D24" s="40">
        <x:v>16.727531559139788</x:v>
      </x:c>
      <x:c r="E24" s="40">
        <x:v>11.753758776881723</x:v>
      </x:c>
      <x:c r="F24" s="40">
        <x:v>6.9464209946236579</x:v>
      </x:c>
      <x:c r="G24" s="40"/>
      <x:c r="H24" s="40">
        <x:v>25.639099999999999</x:v>
      </x:c>
      <x:c r="I24" s="40">
        <x:v>20.634099999999997</x:v>
      </x:c>
      <x:c r="J24" s="40">
        <x:v>15.629099999999998</x:v>
      </x:c>
      <x:c r="K24" s="40">
        <x:v>10.624100000000002</x:v>
      </x:c>
    </x:row>
    <x:row r="25" spans="1:21" x14ac:dyDescent="0.25">
      <x:c r="A25" s="7">
        <x:f t="shared" si="0"/>
        <x:v>14</x:v>
      </x:c>
      <x:c r="B25" s="39">
        <x:f t="shared" si="1"/>
        <x:v>45134</x:v>
      </x:c>
      <x:c r="C25" s="40">
        <x:v>21.757447137096765</x:v>
      </x:c>
      <x:c r="D25" s="40">
        <x:v>16.755585564516128</x:v>
      </x:c>
      <x:c r="E25" s="40">
        <x:v>11.783186169354838</x:v>
      </x:c>
      <x:c r="F25" s="40">
        <x:v>6.9819351881720459</x:v>
      </x:c>
      <x:c r="G25" s="40"/>
      <x:c r="H25" s="40">
        <x:v>25.546200000000002</x:v>
      </x:c>
      <x:c r="I25" s="40">
        <x:v>20.541199999999996</x:v>
      </x:c>
      <x:c r="J25" s="40">
        <x:v>15.536199999999997</x:v>
      </x:c>
      <x:c r="K25" s="40">
        <x:v>10.5312</x:v>
      </x:c>
    </x:row>
    <x:row r="26" spans="1:21" x14ac:dyDescent="0.25">
      <x:c r="A26" s="7">
        <x:f t="shared" si="0"/>
        <x:v>15</x:v>
      </x:c>
      <x:c r="B26" s="39">
        <x:f t="shared" si="1"/>
        <x:v>45135</x:v>
      </x:c>
      <x:c r="C26" s="40">
        <x:v>21.759575860215055</x:v>
      </x:c>
      <x:c r="D26" s="40">
        <x:v>16.757714287634407</x:v>
      </x:c>
      <x:c r="E26" s="40">
        <x:v>11.785759099462368</x:v>
      </x:c>
      <x:c r="F26" s="40">
        <x:v>6.9946652419354853</x:v>
      </x:c>
      <x:c r="G26" s="40"/>
      <x:c r="H26" s="40">
        <x:v>25.363899999999994</x:v>
      </x:c>
      <x:c r="I26" s="40">
        <x:v>20.358899999999991</x:v>
      </x:c>
      <x:c r="J26" s="40">
        <x:v>15.353899999999999</x:v>
      </x:c>
      <x:c r="K26" s="40">
        <x:v>10.348899999999999</x:v>
      </x:c>
    </x:row>
    <x:row r="27" spans="1:21" x14ac:dyDescent="0.25">
      <x:c r="A27" s="7">
        <x:f t="shared" si="0"/>
        <x:v>16</x:v>
      </x:c>
      <x:c r="B27" s="39">
        <x:f t="shared" si="1"/>
        <x:v>45136</x:v>
      </x:c>
      <x:c r="C27" s="40">
        <x:v>21.72328271505376</x:v>
      </x:c>
      <x:c r="D27" s="40">
        <x:v>16.721421142473115</x:v>
      </x:c>
      <x:c r="E27" s="40">
        <x:v>11.750054569892473</x:v>
      </x:c>
      <x:c r="F27" s="40">
        <x:v>6.969376680107529</x:v>
      </x:c>
      <x:c r="G27" s="40"/>
      <x:c r="H27" s="40">
        <x:v>25.503499999999995</x:v>
      </x:c>
      <x:c r="I27" s="40">
        <x:v>20.498499999999996</x:v>
      </x:c>
      <x:c r="J27" s="40">
        <x:v>15.493499999999999</x:v>
      </x:c>
      <x:c r="K27" s="40">
        <x:v>10.488500000000002</x:v>
      </x:c>
    </x:row>
    <x:row r="28" spans="1:21" x14ac:dyDescent="0.25">
      <x:c r="A28" s="7">
        <x:f t="shared" si="0"/>
        <x:v>17</x:v>
      </x:c>
      <x:c r="B28" s="39">
        <x:f t="shared" si="1"/>
        <x:v>45137</x:v>
      </x:c>
      <x:c r="C28" s="40">
        <x:v>21.702159193548383</x:v>
      </x:c>
      <x:c r="D28" s="40">
        <x:v>16.700297620967739</x:v>
      </x:c>
      <x:c r="E28" s="40">
        <x:v>11.728067217741936</x:v>
      </x:c>
      <x:c r="F28" s="40">
        <x:v>6.9459179301075293</x:v>
      </x:c>
      <x:c r="G28" s="40"/>
      <x:c r="H28" s="40">
        <x:v>26.295799999999996</x:v>
      </x:c>
      <x:c r="I28" s="40">
        <x:v>21.290800000000001</x:v>
      </x:c>
      <x:c r="J28" s="40">
        <x:v>16.285799999999995</x:v>
      </x:c>
      <x:c r="K28" s="40">
        <x:v>11.280799999999999</x:v>
      </x:c>
    </x:row>
    <x:row r="29" spans="1:21" x14ac:dyDescent="0.25">
      <x:c r="A29" s="7">
        <x:f t="shared" si="0"/>
        <x:v>18</x:v>
      </x:c>
      <x:c r="B29" s="39">
        <x:f t="shared" si="1"/>
        <x:v>45138</x:v>
      </x:c>
      <x:c r="C29" s="40">
        <x:v>21.707910013440856</x:v>
      </x:c>
      <x:c r="D29" s="40">
        <x:v>16.705517069892473</x:v>
      </x:c>
      <x:c r="E29" s="40">
        <x:v>11.728795215053763</x:v>
      </x:c>
      <x:c r="F29" s="40">
        <x:v>6.9497666935483888</x:v>
      </x:c>
      <x:c r="G29" s="40"/>
      <x:c r="H29" s="40">
        <x:v>27.949399999999994</x:v>
      </x:c>
      <x:c r="I29" s="40">
        <x:v>22.944399999999998</x:v>
      </x:c>
      <x:c r="J29" s="40">
        <x:v>17.939399999999999</x:v>
      </x:c>
      <x:c r="K29" s="40">
        <x:v>12.934399999999998</x:v>
      </x:c>
    </x:row>
    <x:row r="30" spans="1:21" x14ac:dyDescent="0.25">
      <x:c r="A30" s="7">
        <x:f t="shared" si="0"/>
        <x:v>19</x:v>
      </x:c>
      <x:c r="B30" s="39">
        <x:f t="shared" si="1"/>
        <x:v>45139</x:v>
      </x:c>
      <x:c r="C30" s="40">
        <x:v>21.689072513440856</x:v>
      </x:c>
      <x:c r="D30" s="40">
        <x:v>16.686418279569892</x:v>
      </x:c>
      <x:c r="E30" s="40">
        <x:v>11.7104975672043</x:v>
      </x:c>
      <x:c r="F30" s="40">
        <x:v>6.9399065456989275</x:v>
      </x:c>
      <x:c r="G30" s="40"/>
      <x:c r="H30" s="40">
        <x:v>28.627399999999998</x:v>
      </x:c>
      <x:c r="I30" s="40">
        <x:v>23.622400000000003</x:v>
      </x:c>
      <x:c r="J30" s="40">
        <x:v>18.6174</x:v>
      </x:c>
      <x:c r="K30" s="40">
        <x:v>13.612400000000006</x:v>
      </x:c>
    </x:row>
    <x:row r="31" spans="1:21" x14ac:dyDescent="0.25">
      <x:c r="A31" s="7">
        <x:f t="shared" si="0"/>
        <x:v>20</x:v>
      </x:c>
      <x:c r="B31" s="39">
        <x:f t="shared" si="1"/>
        <x:v>45140</x:v>
      </x:c>
      <x:c r="C31" s="40">
        <x:v>21.648333642473112</x:v>
      </x:c>
      <x:c r="D31" s="40">
        <x:v>16.645577956989243</x:v>
      </x:c>
      <x:c r="E31" s="40">
        <x:v>11.667592889784945</x:v>
      </x:c>
      <x:c r="F31" s="40">
        <x:v>6.8990776478494649</x:v>
      </x:c>
      <x:c r="G31" s="40"/>
      <x:c r="H31" s="40">
        <x:v>29.297499999999999</x:v>
      </x:c>
      <x:c r="I31" s="40">
        <x:v>24.2925</x:v>
      </x:c>
      <x:c r="J31" s="40">
        <x:v>19.287500000000001</x:v>
      </x:c>
      <x:c r="K31" s="40">
        <x:v>14.282500000000004</x:v>
      </x:c>
    </x:row>
    <x:row r="32" spans="1:21" x14ac:dyDescent="0.25">
      <x:c r="A32" s="7">
        <x:f t="shared" si="0"/>
        <x:v>21</x:v>
      </x:c>
      <x:c r="B32" s="39">
        <x:f t="shared" si="1"/>
        <x:v>45141</x:v>
      </x:c>
      <x:c r="C32" s="40">
        <x:v>21.580634932795697</x:v>
      </x:c>
      <x:c r="D32" s="40">
        <x:v>16.577596344086022</x:v>
      </x:c>
      <x:c r="E32" s="40">
        <x:v>11.593526115591398</x:v>
      </x:c>
      <x:c r="F32" s="40">
        <x:v>6.8336271505376365</x:v>
      </x:c>
      <x:c r="G32" s="40"/>
      <x:c r="H32" s="40">
        <x:v>28.836500000000008</x:v>
      </x:c>
      <x:c r="I32" s="40">
        <x:v>23.831500000000005</x:v>
      </x:c>
      <x:c r="J32" s="40">
        <x:v>18.826499999999999</x:v>
      </x:c>
      <x:c r="K32" s="40">
        <x:v>13.821500000000004</x:v>
      </x:c>
    </x:row>
    <x:row r="33" spans="1:11" x14ac:dyDescent="0.25">
      <x:c r="A33" s="7">
        <x:f t="shared" si="0"/>
        <x:v>22</x:v>
      </x:c>
      <x:c r="B33" s="39">
        <x:f t="shared" si="1"/>
        <x:v>45142</x:v>
      </x:c>
      <x:c r="C33" s="40">
        <x:v>21.516617930107525</x:v>
      </x:c>
      <x:c r="D33" s="40">
        <x:v>16.513550309139784</x:v>
      </x:c>
      <x:c r="E33" s="40">
        <x:v>11.529336008064517</x:v>
      </x:c>
      <x:c r="F33" s="40">
        <x:v>6.7803020967741947</x:v>
      </x:c>
      <x:c r="G33" s="40"/>
      <x:c r="H33" s="40">
        <x:v>29.016300000000008</x:v>
      </x:c>
      <x:c r="I33" s="40">
        <x:v>24.011300000000006</x:v>
      </x:c>
      <x:c r="J33" s="40">
        <x:v>19.006300000000007</x:v>
      </x:c>
      <x:c r="K33" s="40">
        <x:v>14.001300000000002</x:v>
      </x:c>
    </x:row>
    <x:row r="34" spans="1:11" x14ac:dyDescent="0.25">
      <x:c r="A34" s="7">
        <x:f t="shared" si="0"/>
        <x:v>23</x:v>
      </x:c>
      <x:c r="B34" s="39">
        <x:f t="shared" si="1"/>
        <x:v>45143</x:v>
      </x:c>
      <x:c r="C34" s="40">
        <x:v>21.461479798387096</x:v>
      </x:c>
      <x:c r="D34" s="40">
        <x:v>16.458412177419355</x:v>
      </x:c>
      <x:c r="E34" s="40">
        <x:v>11.480809569892475</x:v>
      </x:c>
      <x:c r="F34" s="40">
        <x:v>6.749467620967744</x:v>
      </x:c>
      <x:c r="G34" s="40"/>
      <x:c r="H34" s="40">
        <x:v>29.623000000000005</x:v>
      </x:c>
      <x:c r="I34" s="40">
        <x:v>24.618000000000002</x:v>
      </x:c>
      <x:c r="J34" s="40">
        <x:v>19.613000000000007</x:v>
      </x:c>
      <x:c r="K34" s="40">
        <x:v>14.608000000000008</x:v>
      </x:c>
    </x:row>
    <x:row r="35" spans="1:11" x14ac:dyDescent="0.25">
      <x:c r="A35" s="7">
        <x:f t="shared" si="0"/>
        <x:v>24</x:v>
      </x:c>
      <x:c r="B35" s="39">
        <x:f t="shared" si="1"/>
        <x:v>45144</x:v>
      </x:c>
      <x:c r="C35" s="40">
        <x:v>21.373653306451612</x:v>
      </x:c>
      <x:c r="D35" s="40">
        <x:v>16.370613104838711</x:v>
      </x:c>
      <x:c r="E35" s="40">
        <x:v>11.396635577956991</x:v>
      </x:c>
      <x:c r="F35" s="40">
        <x:v>6.6829455376344109</x:v>
      </x:c>
      <x:c r="G35" s="40"/>
      <x:c r="H35" s="40">
        <x:v>28.372800000000002</x:v>
      </x:c>
      <x:c r="I35" s="40">
        <x:v>23.367800000000003</x:v>
      </x:c>
      <x:c r="J35" s="40">
        <x:v>18.362800000000004</x:v>
      </x:c>
      <x:c r="K35" s="40">
        <x:v>13.357800000000006</x:v>
      </x:c>
    </x:row>
    <x:row r="36" spans="1:11" x14ac:dyDescent="0.25">
      <x:c r="A36" s="7">
        <x:f t="shared" si="0"/>
        <x:v>25</x:v>
      </x:c>
      <x:c r="B36" s="39">
        <x:f t="shared" si="1"/>
        <x:v>45145</x:v>
      </x:c>
      <x:c r="C36" s="40">
        <x:v>21.322192607526883</x:v>
      </x:c>
      <x:c r="D36" s="40">
        <x:v>16.319152405913975</x:v>
      </x:c>
      <x:c r="E36" s="40">
        <x:v>11.345203266129033</x:v>
      </x:c>
      <x:c r="F36" s="40">
        <x:v>6.6447469086021513</x:v>
      </x:c>
      <x:c r="G36" s="40"/>
      <x:c r="H36" s="40">
        <x:v>28.5901</x:v>
      </x:c>
      <x:c r="I36" s="40">
        <x:v>23.585100000000004</x:v>
      </x:c>
      <x:c r="J36" s="40">
        <x:v>18.580100000000002</x:v>
      </x:c>
      <x:c r="K36" s="40">
        <x:v>13.575100000000001</x:v>
      </x:c>
    </x:row>
    <x:row r="37" spans="1:11" x14ac:dyDescent="0.25">
      <x:c r="A37" s="7">
        <x:f t="shared" si="0"/>
        <x:v>26</x:v>
      </x:c>
      <x:c r="B37" s="39">
        <x:f t="shared" si="1"/>
        <x:v>45146</x:v>
      </x:c>
      <x:c r="C37" s="40">
        <x:v>21.313111008064517</x:v>
      </x:c>
      <x:c r="D37" s="40">
        <x:v>16.310070806451609</x:v>
      </x:c>
      <x:c r="E37" s="40">
        <x:v>11.335727795698928</x:v>
      </x:c>
      <x:c r="F37" s="40">
        <x:v>6.6388071908602155</x:v>
      </x:c>
      <x:c r="G37" s="40"/>
      <x:c r="H37" s="40">
        <x:v>27.700300000000002</x:v>
      </x:c>
      <x:c r="I37" s="40">
        <x:v>22.695300000000007</x:v>
      </x:c>
      <x:c r="J37" s="40">
        <x:v>17.690300000000004</x:v>
      </x:c>
      <x:c r="K37" s="40">
        <x:v>12.685300000000005</x:v>
      </x:c>
    </x:row>
    <x:row r="38" spans="1:11" x14ac:dyDescent="0.25">
      <x:c r="A38" s="7">
        <x:f t="shared" si="0"/>
        <x:v>27</x:v>
      </x:c>
      <x:c r="B38" s="39">
        <x:f t="shared" si="1"/>
        <x:v>45147</x:v>
      </x:c>
      <x:c r="C38" s="40">
        <x:v>21.320631465053765</x:v>
      </x:c>
      <x:c r="D38" s="40">
        <x:v>16.317591263440857</x:v>
      </x:c>
      <x:c r="E38" s="40">
        <x:v>11.343166962365595</x:v>
      </x:c>
      <x:c r="F38" s="40">
        <x:v>6.643408131720431</x:v>
      </x:c>
      <x:c r="G38" s="40"/>
      <x:c r="H38" s="40">
        <x:v>28.406599999999997</x:v>
      </x:c>
      <x:c r="I38" s="40">
        <x:v>23.401599999999998</x:v>
      </x:c>
      <x:c r="J38" s="40">
        <x:v>18.396599999999996</x:v>
      </x:c>
      <x:c r="K38" s="40">
        <x:v>13.391599999999999</x:v>
      </x:c>
    </x:row>
    <x:row r="39" spans="1:11" x14ac:dyDescent="0.25">
      <x:c r="A39" s="7">
        <x:f t="shared" si="0"/>
        <x:v>28</x:v>
      </x:c>
      <x:c r="B39" s="39">
        <x:f t="shared" si="1"/>
        <x:v>45148</x:v>
      </x:c>
      <x:c r="C39" s="40">
        <x:v>21.311016142473118</x:v>
      </x:c>
      <x:c r="D39" s="40">
        <x:v>16.307420497311824</x:v>
      </x:c>
      <x:c r="E39" s="40">
        <x:v>11.331395954301078</x:v>
      </x:c>
      <x:c r="F39" s="40">
        <x:v>6.625787056451613</x:v>
      </x:c>
      <x:c r="G39" s="40"/>
      <x:c r="H39" s="40">
        <x:v>29.218100000000003</x:v>
      </x:c>
      <x:c r="I39" s="40">
        <x:v>24.213100000000001</x:v>
      </x:c>
      <x:c r="J39" s="40">
        <x:v>19.208100000000002</x:v>
      </x:c>
      <x:c r="K39" s="40">
        <x:v>14.203100000000003</x:v>
      </x:c>
    </x:row>
    <x:row r="40" spans="1:11" x14ac:dyDescent="0.25">
      <x:c r="A40" s="7">
        <x:f t="shared" si="0"/>
        <x:v>29</x:v>
      </x:c>
      <x:c r="B40" s="39">
        <x:f t="shared" si="1"/>
        <x:v>45149</x:v>
      </x:c>
      <x:c r="C40" s="40">
        <x:v>21.301752352150533</x:v>
      </x:c>
      <x:c r="D40" s="40">
        <x:v>16.297713158602146</x:v>
      </x:c>
      <x:c r="E40" s="40">
        <x:v>11.32092182795699</x:v>
      </x:c>
      <x:c r="F40" s="40">
        <x:v>6.6093677150537635</x:v>
      </x:c>
      <x:c r="G40" s="40"/>
      <x:c r="H40" s="40">
        <x:v>29.902299999999993</x:v>
      </x:c>
      <x:c r="I40" s="40">
        <x:v>24.897299999999998</x:v>
      </x:c>
      <x:c r="J40" s="40">
        <x:v>19.892300000000002</x:v>
      </x:c>
      <x:c r="K40" s="40">
        <x:v>14.887299999999996</x:v>
      </x:c>
    </x:row>
    <x:row r="41" spans="1:11" x14ac:dyDescent="0.25">
      <x:c r="A41" s="7">
        <x:f t="shared" si="0"/>
        <x:v>30</x:v>
      </x:c>
      <x:c r="B41" s="39">
        <x:f t="shared" si="1"/>
        <x:v>45150</x:v>
      </x:c>
      <x:c r="C41" s="40">
        <x:v>21.259639892473114</x:v>
      </x:c>
      <x:c r="D41" s="40">
        <x:v>16.255066021505378</x:v>
      </x:c>
      <x:c r="E41" s="40">
        <x:v>11.27726372311828</x:v>
      </x:c>
      <x:c r="F41" s="40">
        <x:v>6.5584577284946235</x:v>
      </x:c>
      <x:c r="G41" s="40"/>
      <x:c r="H41" s="40">
        <x:v>29.2256</x:v>
      </x:c>
      <x:c r="I41" s="40">
        <x:v>24.220600000000008</x:v>
      </x:c>
      <x:c r="J41" s="40">
        <x:v>19.215600000000009</x:v>
      </x:c>
      <x:c r="K41" s="40">
        <x:v>14.210600000000001</x:v>
      </x:c>
    </x:row>
    <x:row r="42" spans="1:11" x14ac:dyDescent="0.25">
      <x:c r="A42" s="7">
        <x:f t="shared" si="0"/>
        <x:v>31</x:v>
      </x:c>
      <x:c r="B42" s="39">
        <x:f t="shared" si="1"/>
        <x:v>45151</x:v>
      </x:c>
      <x:c r="C42" s="40">
        <x:v>21.20161657258064</x:v>
      </x:c>
      <x:c r="D42" s="40">
        <x:v>16.196874556451611</x:v>
      </x:c>
      <x:c r="E42" s="40">
        <x:v>11.218837930107528</x:v>
      </x:c>
      <x:c r="F42" s="40">
        <x:v>6.5003117204301084</x:v>
      </x:c>
      <x:c r="G42" s="40"/>
      <x:c r="H42" s="40">
        <x:v>28.922499999999999</x:v>
      </x:c>
      <x:c r="I42" s="40">
        <x:v>23.917499999999997</x:v>
      </x:c>
      <x:c r="J42" s="40">
        <x:v>18.912499999999998</x:v>
      </x:c>
      <x:c r="K42" s="40">
        <x:v>13.907499999999999</x:v>
      </x:c>
    </x:row>
    <x:row r="43" spans="1:11" x14ac:dyDescent="0.25">
      <x:c r="A43" s="7">
        <x:f t="shared" si="0"/>
        <x:v>32</x:v>
      </x:c>
      <x:c r="B43" s="39">
        <x:f t="shared" si="1"/>
        <x:v>45152</x:v>
      </x:c>
      <x:c r="C43" s="40">
        <x:v>21.125355107526879</x:v>
      </x:c>
      <x:c r="D43" s="40">
        <x:v>16.120655026881721</x:v>
      </x:c>
      <x:c r="E43" s="40">
        <x:v>11.143226626344084</x:v>
      </x:c>
      <x:c r="F43" s="40">
        <x:v>6.4269179569892483</x:v>
      </x:c>
      <x:c r="G43" s="40"/>
      <x:c r="H43" s="40">
        <x:v>25.4085</x:v>
      </x:c>
      <x:c r="I43" s="40">
        <x:v>20.403500000000001</x:v>
      </x:c>
      <x:c r="J43" s="40">
        <x:v>15.398500000000002</x:v>
      </x:c>
      <x:c r="K43" s="40">
        <x:v>10.393500000000001</x:v>
      </x:c>
    </x:row>
    <x:row r="44" spans="1:11" x14ac:dyDescent="0.25">
      <x:c r="A44" s="7">
        <x:f t="shared" si="0"/>
        <x:v>33</x:v>
      </x:c>
      <x:c r="B44" s="39">
        <x:f t="shared" si="1"/>
        <x:v>45153</x:v>
      </x:c>
      <x:c r="C44" s="40">
        <x:v>21.032678844086018</x:v>
      </x:c>
      <x:c r="D44" s="40">
        <x:v>16.02797876344086</x:v>
      </x:c>
      <x:c r="E44" s="40">
        <x:v>11.052046397849463</x:v>
      </x:c>
      <x:c r="F44" s="40">
        <x:v>6.3436713978494632</x:v>
      </x:c>
      <x:c r="G44" s="40"/>
      <x:c r="H44" s="40">
        <x:v>19.867600000000007</x:v>
      </x:c>
      <x:c r="I44" s="40">
        <x:v>14.862600000000004</x:v>
      </x:c>
      <x:c r="J44" s="40">
        <x:v>9.857600000000005</x:v>
      </x:c>
      <x:c r="K44" s="40">
        <x:v>4.8526000000000069</x:v>
      </x:c>
    </x:row>
    <x:row r="45" spans="1:11" x14ac:dyDescent="0.25">
      <x:c r="A45" s="7">
        <x:f t="shared" si="0"/>
        <x:v>34</x:v>
      </x:c>
      <x:c r="B45" s="39">
        <x:f t="shared" si="1"/>
        <x:v>45154</x:v>
      </x:c>
      <x:c r="C45" s="40">
        <x:v>20.964151787634403</x:v>
      </x:c>
      <x:c r="D45" s="40">
        <x:v>15.959578723118279</x:v>
      </x:c>
      <x:c r="E45" s="40">
        <x:v>10.984533776881721</x:v>
      </x:c>
      <x:c r="F45" s="40">
        <x:v>6.2841995833333337</x:v>
      </x:c>
      <x:c r="G45" s="40"/>
      <x:c r="H45" s="40">
        <x:v>18.964300000000001</x:v>
      </x:c>
      <x:c r="I45" s="40">
        <x:v>13.959300000000004</x:v>
      </x:c>
      <x:c r="J45" s="40">
        <x:v>8.9543000000000017</x:v>
      </x:c>
      <x:c r="K45" s="40">
        <x:v>3.9709000000000008</x:v>
      </x:c>
    </x:row>
    <x:row r="46" spans="1:11" x14ac:dyDescent="0.25">
      <x:c r="A46" s="7">
        <x:f t="shared" si="0"/>
        <x:v>35</x:v>
      </x:c>
      <x:c r="B46" s="39">
        <x:f t="shared" si="1"/>
        <x:v>45155</x:v>
      </x:c>
      <x:c r="C46" s="40">
        <x:v>20.876651814516123</x:v>
      </x:c>
      <x:c r="D46" s="40">
        <x:v>15.872140443548385</x:v>
      </x:c>
      <x:c r="E46" s="40">
        <x:v>10.897364502688172</x:v>
      </x:c>
      <x:c r="F46" s="40">
        <x:v>6.2001843817204305</x:v>
      </x:c>
      <x:c r="G46" s="40"/>
      <x:c r="H46" s="40">
        <x:v>26.875100000000003</x:v>
      </x:c>
      <x:c r="I46" s="40">
        <x:v>21.870100000000001</x:v>
      </x:c>
      <x:c r="J46" s="40">
        <x:v>16.865100000000005</x:v>
      </x:c>
      <x:c r="K46" s="40">
        <x:v>11.860100000000005</x:v>
      </x:c>
    </x:row>
    <x:row r="47" spans="1:11" x14ac:dyDescent="0.25">
      <x:c r="A47" s="7">
        <x:f>+A46+1</x:f>
        <x:v>36</x:v>
      </x:c>
      <x:c r="B47" s="39" t="s">
        <x:v>51</x:v>
      </x:c>
      <x:c r="C47" s="207">
        <x:f>SUM(C18:C46)</x:f>
        <x:v>621.08456237903215</x:v>
      </x:c>
      <x:c r="D47" s="207">
        <x:f>SUM(D18:D46)</x:f>
        <x:v>475.9995122580645</x:v>
      </x:c>
      <x:c r="E47" s="207">
        <x:f>SUM(E18:E46)</x:f>
        <x:v>331.7097432392473</x:v>
      </x:c>
      <x:c r="F47" s="207">
        <x:f>SUM(F18:F46)</x:f>
        <x:v>193.89484174731189</x:v>
      </x:c>
      <x:c r="G47" s="208"/>
      <x:c r="H47" s="207">
        <x:f>SUM(H18:H46)</x:f>
        <x:v>765.02640000000008</x:v>
      </x:c>
      <x:c r="I47" s="207">
        <x:f>SUM(I18:I46)</x:f>
        <x:v>619.8814000000001</x:v>
      </x:c>
      <x:c r="J47" s="207">
        <x:f>SUM(J18:J46)</x:f>
        <x:v>474.7364</x:v>
      </x:c>
      <x:c r="K47" s="207">
        <x:f>SUM(K18:K46)</x:f>
        <x:v>329.61990000000009</x:v>
      </x:c>
    </x:row>
    <x:row r="48" spans="1:11" x14ac:dyDescent="0.25">
      <x:c r="A48" s="7"/>
    </x:row>
  </x:sheetData>
  <x:mergeCells count="11">
    <x:mergeCell ref="C14:E14"/>
    <x:mergeCell ref="H14:K14"/>
    <x:mergeCell ref="B8:K8"/>
    <x:mergeCell ref="H15:K15"/>
    <x:mergeCell ref="C15:F15"/>
    <x:mergeCell ref="B1:K1"/>
    <x:mergeCell ref="B2:K2"/>
    <x:mergeCell ref="B3:K3"/>
    <x:mergeCell ref="B4:K4"/>
    <x:mergeCell ref="B6:K6"/>
    <x:mergeCell ref="B5:L5"/>
  </x:mergeCells>
  <x:phoneticPr fontId="2" type="noConversion"/>
  <x:printOptions horizontalCentered="1"/>
  <x:pageMargins left="1.5" right="0.5" top="1.5" bottom="1" header="1" footer="0.5"/>
  <x:pageSetup scale="79" firstPageNumber="3" orientation="portrait" r:id="rId1"/>
  <x:headerFooter alignWithMargins="0">
    <x:oddHeader>&amp;RSchedule II-H-5.2
Page &amp;P of 37</x:oddHeader>
  </x:headerFooter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 codeName="Sheet20">
    <x:pageSetUpPr fitToPage="1"/>
  </x:sheetPr>
  <x:dimension ref="A1:U51"/>
  <x:sheetViews>
    <x:sheetView view="pageBreakPreview" zoomScaleNormal="100" workbookViewId="0"/>
  </x:sheetViews>
  <x:sheetFormatPr defaultColWidth="9.08984375" defaultRowHeight="12.5" x14ac:dyDescent="0.25"/>
  <x:cols>
    <x:col min="1" max="2" width="9.08984375" style="9"/>
    <x:col min="3" max="3" width="9.08984375" style="7"/>
    <x:col min="4" max="4" width="10.36328125" style="9" bestFit="1" customWidth="1"/>
    <x:col min="5" max="5" width="10.36328125" style="9" customWidth="1"/>
    <x:col min="6" max="7" width="9.36328125" style="9" customWidth="1"/>
    <x:col min="8" max="8" width="9.90625" style="9" customWidth="1"/>
    <x:col min="9" max="11" width="9.6328125" style="9" customWidth="1"/>
    <x:col min="12" max="12" width="8.6328125" style="9" customWidth="1"/>
    <x:col min="13" max="13" width="9.36328125" style="9" bestFit="1" customWidth="1"/>
    <x:col min="14" max="16384" width="9.08984375" style="9"/>
  </x:cols>
  <x:sheetData>
    <x:row r="1" spans="1:13" customFormat="1" ht="15.5" x14ac:dyDescent="0.35">
      <x:c r="A1" s="177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178"/>
    </x:row>
    <x:row r="2" spans="1:13" customFormat="1" ht="15.5" x14ac:dyDescent="0.35">
      <x:c r="A2" s="177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212"/>
      <x:c r="M2" s="178"/>
    </x:row>
    <x:row r="3" spans="1:13" customFormat="1" ht="15.5" x14ac:dyDescent="0.35">
      <x:c r="A3" s="177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212"/>
      <x:c r="M3" s="178"/>
    </x:row>
    <x:row r="4" spans="1:13" customFormat="1" ht="15.5" x14ac:dyDescent="0.35">
      <x:c r="A4" s="177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212"/>
      <x:c r="M4" s="178"/>
    </x:row>
    <x:row r="5" spans="1:13" customFormat="1" ht="15.5" x14ac:dyDescent="0.35">
      <x:c r="A5" s="177"/>
      <x:c r="B5" s="209"/>
      <x:c r="C5" s="209"/>
      <x:c r="D5" s="209"/>
      <x:c r="E5" s="209"/>
      <x:c r="F5" s="209"/>
      <x:c r="G5" s="209"/>
      <x:c r="H5" s="209"/>
      <x:c r="I5" s="212"/>
      <x:c r="J5" s="212"/>
      <x:c r="K5" s="212"/>
      <x:c r="L5" s="212"/>
      <x:c r="M5" s="212"/>
    </x:row>
    <x:row r="6" spans="1:13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1"/>
      <x:c r="L6" s="211"/>
      <x:c r="M6" s="176"/>
    </x:row>
    <x:row r="7" spans="1:13" ht="15.5" x14ac:dyDescent="0.35">
      <x:c r="B7" s="179"/>
      <x:c r="C7" s="176"/>
      <x:c r="D7" s="176"/>
      <x:c r="E7" s="176"/>
      <x:c r="F7" s="176"/>
      <x:c r="G7" s="176"/>
      <x:c r="H7" s="176"/>
      <x:c r="I7" s="176"/>
      <x:c r="J7" s="176"/>
      <x:c r="K7" s="176"/>
      <x:c r="L7" s="176"/>
      <x:c r="M7" s="176"/>
    </x:row>
    <x:row r="8" spans="1:13" ht="15.5" x14ac:dyDescent="0.35">
      <x:c r="B8" s="209" t="s">
        <x:v>159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212"/>
      <x:c r="M8" s="176"/>
    </x:row>
    <x:row r="9" spans="1:13" ht="15.5" x14ac:dyDescent="0.35">
      <x:c r="A9" s="177" t="s">
        <x:v>6</x:v>
      </x:c>
      <x:c r="B9" s="179"/>
      <x:c r="C9" s="176"/>
      <x:c r="D9" s="176"/>
      <x:c r="E9" s="176"/>
      <x:c r="F9" s="176"/>
      <x:c r="G9" s="176"/>
      <x:c r="H9" s="176"/>
      <x:c r="I9" s="176"/>
      <x:c r="J9" s="176"/>
      <x:c r="K9" s="176"/>
      <x:c r="L9" s="176"/>
      <x:c r="M9" s="176"/>
    </x:row>
    <x:row r="10" spans="1:13" x14ac:dyDescent="0.25">
      <x:c r="A10" s="5" t="s">
        <x:v>8</x:v>
      </x:c>
    </x:row>
    <x:row r="11" spans="1:13" x14ac:dyDescent="0.25">
      <x:c r="A11" s="7">
        <x:v>1</x:v>
      </x:c>
      <x:c r="B11" s="34" t="s">
        <x:v>25</x:v>
      </x:c>
      <x:c r="C11" s="35" t="s">
        <x:v>26</x:v>
      </x:c>
      <x:c r="D11" s="35" t="s">
        <x:v>94</x:v>
      </x:c>
      <x:c r="E11" s="35"/>
    </x:row>
    <x:row r="12" spans="1:13" x14ac:dyDescent="0.25">
      <x:c r="A12" s="7">
        <x:f>+A11+1</x:f>
        <x:v>2</x:v>
      </x:c>
      <x:c r="B12" s="36" t="s">
        <x:v>27</x:v>
      </x:c>
      <x:c r="C12" s="36" t="s">
        <x:v>85</x:v>
      </x:c>
      <x:c r="D12" s="36" t="s">
        <x:v>95</x:v>
      </x:c>
      <x:c r="E12" s="35"/>
    </x:row>
    <x:row r="13" spans="1:13" x14ac:dyDescent="0.25">
      <x:c r="A13" s="7">
        <x:f>+A12+1</x:f>
        <x:v>3</x:v>
      </x:c>
      <x:c r="B13" s="37" t="s">
        <x:v>171</x:v>
      </x:c>
      <x:c r="C13" s="33">
        <x:v>45335</x:v>
      </x:c>
      <x:c r="D13" s="33">
        <x:v>45303</x:v>
      </x:c>
      <x:c r="E13" s="33"/>
    </x:row>
    <x:row r="14" spans="1:13" x14ac:dyDescent="0.25">
      <x:c r="A14" s="7"/>
      <x:c r="B14" s="37"/>
      <x:c r="C14" s="218"/>
      <x:c r="D14" s="219"/>
      <x:c r="E14" s="219"/>
      <x:c r="F14" s="219"/>
      <x:c r="G14" s="180"/>
      <x:c r="H14" s="218"/>
      <x:c r="I14" s="219"/>
      <x:c r="J14" s="219"/>
      <x:c r="K14" s="219"/>
      <x:c r="L14" s="219"/>
    </x:row>
    <x:row r="15" spans="1:13" ht="12.75" customHeight="1" x14ac:dyDescent="0.25">
      <x:c r="A15" s="7">
        <x:f>+A13+1</x:f>
        <x:v>4</x:v>
      </x:c>
      <x:c r="B15" s="37"/>
      <x:c r="C15" s="221" t="s">
        <x:v>77</x:v>
      </x:c>
      <x:c r="D15" s="219"/>
      <x:c r="E15" s="219"/>
      <x:c r="F15" s="219"/>
      <x:c r="G15" s="211"/>
      <x:c r="H15" s="220" t="s">
        <x:v>79</x:v>
      </x:c>
      <x:c r="I15" s="214"/>
      <x:c r="J15" s="214"/>
      <x:c r="K15" s="214"/>
      <x:c r="L15" s="214"/>
    </x:row>
    <x:row r="16" spans="1:13" x14ac:dyDescent="0.25">
      <x:c r="A16" s="7">
        <x:f t="shared" ref="A16:B33" si="0">+A15+1</x:f>
        <x:v>5</x:v>
      </x:c>
      <x:c r="B16" s="37"/>
      <x:c r="C16" s="18" t="s">
        <x:v>131</x:v>
      </x:c>
      <x:c r="D16" s="18" t="s">
        <x:v>44</x:v>
      </x:c>
      <x:c r="E16" s="97" t="s">
        <x:v>45</x:v>
      </x:c>
      <x:c r="F16" s="22" t="s">
        <x:v>14</x:v>
      </x:c>
      <x:c r="G16" s="18"/>
      <x:c r="H16" s="18" t="s">
        <x:v>131</x:v>
      </x:c>
      <x:c r="I16" s="18" t="s">
        <x:v>44</x:v>
      </x:c>
      <x:c r="J16" s="97" t="s">
        <x:v>45</x:v>
      </x:c>
      <x:c r="K16" s="22" t="s">
        <x:v>14</x:v>
      </x:c>
    </x:row>
    <x:row r="17" spans="1:21" x14ac:dyDescent="0.25">
      <x:c r="A17" s="7">
        <x:f t="shared" si="0"/>
        <x:v>6</x:v>
      </x:c>
      <x:c r="B17" s="37"/>
      <x:c r="C17" s="38" t="s">
        <x:v>30</x:v>
      </x:c>
      <x:c r="D17" s="38" t="s">
        <x:v>31</x:v>
      </x:c>
      <x:c r="E17" s="38" t="s">
        <x:v>112</x:v>
      </x:c>
      <x:c r="F17" s="38" t="s">
        <x:v>145</x:v>
      </x:c>
      <x:c r="G17" s="38"/>
      <x:c r="H17" s="38" t="s">
        <x:v>30</x:v>
      </x:c>
      <x:c r="I17" s="38" t="s">
        <x:v>31</x:v>
      </x:c>
      <x:c r="J17" s="38" t="s">
        <x:v>112</x:v>
      </x:c>
      <x:c r="K17" s="38" t="s">
        <x:v>145</x:v>
      </x:c>
    </x:row>
    <x:row r="18" spans="1:21" x14ac:dyDescent="0.25">
      <x:c r="A18" s="7">
        <x:f t="shared" ref="A18" si="1">+A17+1</x:f>
        <x:v>7</x:v>
      </x:c>
      <x:c r="B18" s="39">
        <x:f>+D13</x:f>
        <x:v>45303</x:v>
      </x:c>
      <x:c r="C18" s="40">
        <x:v>2.81704318548387</x:v>
      </x:c>
      <x:c r="D18" s="40">
        <x:v>8.9059256854838704</x:v>
      </x:c>
      <x:c r="E18" s="40">
        <x:v>13.099163602150536</x:v>
      </x:c>
      <x:c r="F18" s="40">
        <x:v>17.714189153225803</x:v>
      </x:c>
      <x:c r="G18" s="40"/>
      <x:c r="H18" s="40">
        <x:v>3.7679999999999985</x:v>
      </x:c>
      <x:c r="I18" s="40">
        <x:v>13.2705</x:v>
      </x:c>
      <x:c r="J18" s="40">
        <x:v>18.270499999999998</x:v>
      </x:c>
      <x:c r="K18" s="40">
        <x:v>23.270499999999991</x:v>
      </x:c>
    </x:row>
    <x:row r="19" spans="1:21" x14ac:dyDescent="0.25">
      <x:c r="A19" s="7">
        <x:f t="shared" ref="A19" si="2">+A18+1</x:f>
        <x:v>8</x:v>
      </x:c>
      <x:c r="B19" s="39">
        <x:f t="shared" si="0"/>
        <x:v>45304</x:v>
      </x:c>
      <x:c r="C19" s="40">
        <x:v>2.832495524193547</x:v>
      </x:c>
      <x:c r="D19" s="40">
        <x:v>8.9039418279569897</x:v>
      </x:c>
      <x:c r="E19" s="40">
        <x:v>13.102911680107526</x:v>
      </x:c>
      <x:c r="F19" s="40">
        <x:v>17.72095635752688</x:v>
      </x:c>
      <x:c r="G19" s="40"/>
      <x:c r="H19" s="40">
        <x:v>5.6356999999999973</x:v>
      </x:c>
      <x:c r="I19" s="40">
        <x:v>15.635699999999995</x:v>
      </x:c>
      <x:c r="J19" s="40">
        <x:v>20.6357</x:v>
      </x:c>
      <x:c r="K19" s="40">
        <x:v>25.6357</x:v>
      </x:c>
    </x:row>
    <x:row r="20" spans="1:21" x14ac:dyDescent="0.25">
      <x:c r="A20" s="7">
        <x:f t="shared" ref="A20" si="3">+A19+1</x:f>
        <x:v>9</x:v>
      </x:c>
      <x:c r="B20" s="39">
        <x:f t="shared" si="0"/>
        <x:v>45305</x:v>
      </x:c>
      <x:c r="C20" s="206">
        <x:v>2.8298409005376337</x:v>
      </x:c>
      <x:c r="D20" s="206">
        <x:v>8.9145408467741909</x:v>
      </x:c>
      <x:c r="E20" s="206">
        <x:v>13.128159314516129</x:v>
      </x:c>
      <x:c r="F20" s="206">
        <x:v>17.757578427419354</x:v>
      </x:c>
      <x:c r="G20" s="206"/>
      <x:c r="H20" s="206">
        <x:v>28.086900000000004</x:v>
      </x:c>
      <x:c r="I20" s="206">
        <x:v>38.0869</x:v>
      </x:c>
      <x:c r="J20" s="206">
        <x:v>43.0869</x:v>
      </x:c>
      <x:c r="K20" s="206">
        <x:v>48.086900000000014</x:v>
      </x:c>
      <x:c r="M20" s="74"/>
      <x:c r="N20" s="74"/>
      <x:c r="O20" s="74"/>
      <x:c r="P20" s="74"/>
      <x:c r="R20" s="187"/>
      <x:c r="S20" s="187"/>
      <x:c r="T20" s="187"/>
      <x:c r="U20" s="187"/>
    </x:row>
    <x:row r="21" spans="1:21" x14ac:dyDescent="0.25">
      <x:c r="A21" s="7">
        <x:f t="shared" si="0"/>
        <x:v>10</x:v>
      </x:c>
      <x:c r="B21" s="39">
        <x:f t="shared" si="0"/>
        <x:v>45306</x:v>
      </x:c>
      <x:c r="C21" s="40">
        <x:v>2.8607721908602146</x:v>
      </x:c>
      <x:c r="D21" s="40">
        <x:v>8.9586093817204286</x:v>
      </x:c>
      <x:c r="E21" s="40">
        <x:v>13.175439368279571</x:v>
      </x:c>
      <x:c r="F21" s="40">
        <x:v>17.811979999999995</x:v>
      </x:c>
      <x:c r="G21" s="40"/>
      <x:c r="H21" s="40">
        <x:v>27.862000000000002</x:v>
      </x:c>
      <x:c r="I21" s="40">
        <x:v>37.862000000000002</x:v>
      </x:c>
      <x:c r="J21" s="40">
        <x:v>42.862000000000002</x:v>
      </x:c>
      <x:c r="K21" s="40">
        <x:v>47.862000000000002</x:v>
      </x:c>
    </x:row>
    <x:row r="22" spans="1:21" x14ac:dyDescent="0.25">
      <x:c r="A22" s="7">
        <x:f t="shared" si="0"/>
        <x:v>11</x:v>
      </x:c>
      <x:c r="B22" s="39">
        <x:f t="shared" si="0"/>
        <x:v>45307</x:v>
      </x:c>
      <x:c r="C22" s="40">
        <x:v>2.8569132392473109</x:v>
      </x:c>
      <x:c r="D22" s="40">
        <x:v>8.9335428763440863</x:v>
      </x:c>
      <x:c r="E22" s="40">
        <x:v>13.14311373655914</x:v>
      </x:c>
      <x:c r="F22" s="40">
        <x:v>17.775998723118278</x:v>
      </x:c>
      <x:c r="G22" s="40"/>
      <x:c r="H22" s="40">
        <x:v>25.763499999999997</x:v>
      </x:c>
      <x:c r="I22" s="40">
        <x:v>35.763500000000001</x:v>
      </x:c>
      <x:c r="J22" s="40">
        <x:v>40.763499999999993</x:v>
      </x:c>
      <x:c r="K22" s="40">
        <x:v>45.763499999999993</x:v>
      </x:c>
    </x:row>
    <x:row r="23" spans="1:21" x14ac:dyDescent="0.25">
      <x:c r="A23" s="7">
        <x:f t="shared" si="0"/>
        <x:v>12</x:v>
      </x:c>
      <x:c r="B23" s="39">
        <x:f t="shared" si="0"/>
        <x:v>45308</x:v>
      </x:c>
      <x:c r="C23" s="40">
        <x:v>2.820903844086021</x:v>
      </x:c>
      <x:c r="D23" s="40">
        <x:v>8.8560196639784952</x:v>
      </x:c>
      <x:c r="E23" s="40">
        <x:v>13.060840013440862</x:v>
      </x:c>
      <x:c r="F23" s="40">
        <x:v>17.710296142473116</x:v>
      </x:c>
      <x:c r="G23" s="40"/>
      <x:c r="H23" s="40">
        <x:v>14.895299999999999</x:v>
      </x:c>
      <x:c r="I23" s="40">
        <x:v>24.895300000000002</x:v>
      </x:c>
      <x:c r="J23" s="40">
        <x:v>29.895300000000006</x:v>
      </x:c>
      <x:c r="K23" s="40">
        <x:v>34.895299999999999</x:v>
      </x:c>
    </x:row>
    <x:row r="24" spans="1:21" x14ac:dyDescent="0.25">
      <x:c r="A24" s="7">
        <x:f t="shared" si="0"/>
        <x:v>13</x:v>
      </x:c>
      <x:c r="B24" s="39">
        <x:f t="shared" si="0"/>
        <x:v>45309</x:v>
      </x:c>
      <x:c r="C24" s="40">
        <x:v>2.7859173790322576</x:v>
      </x:c>
      <x:c r="D24" s="40">
        <x:v>8.802797930107527</x:v>
      </x:c>
      <x:c r="E24" s="40">
        <x:v>13.019157876344087</x:v>
      </x:c>
      <x:c r="F24" s="40">
        <x:v>17.697644569892468</x:v>
      </x:c>
      <x:c r="G24" s="40"/>
      <x:c r="H24" s="40">
        <x:v>7.3099999999999915E-2</x:v>
      </x:c>
      <x:c r="I24" s="40">
        <x:v>7.2887999999999966</x:v>
      </x:c>
      <x:c r="J24" s="40">
        <x:v>12.288799999999995</x:v>
      </x:c>
      <x:c r="K24" s="40">
        <x:v>17.288799999999995</x:v>
      </x:c>
    </x:row>
    <x:row r="25" spans="1:21" x14ac:dyDescent="0.25">
      <x:c r="A25" s="7">
        <x:f t="shared" si="0"/>
        <x:v>14</x:v>
      </x:c>
      <x:c r="B25" s="39">
        <x:f t="shared" si="0"/>
        <x:v>45310</x:v>
      </x:c>
      <x:c r="C25" s="40">
        <x:v>2.8247601075268811</x:v>
      </x:c>
      <x:c r="D25" s="40">
        <x:v>8.8264996505376345</x:v>
      </x:c>
      <x:c r="E25" s="40">
        <x:v>13.046541572580644</x:v>
      </x:c>
      <x:c r="F25" s="40">
        <x:v>17.729159099462361</x:v>
      </x:c>
      <x:c r="G25" s="40"/>
      <x:c r="H25" s="40">
        <x:v>12.178899999999999</x:v>
      </x:c>
      <x:c r="I25" s="40">
        <x:v>22.178899999999999</x:v>
      </x:c>
      <x:c r="J25" s="40">
        <x:v>27.178900000000002</x:v>
      </x:c>
      <x:c r="K25" s="40">
        <x:v>32.178900000000006</x:v>
      </x:c>
    </x:row>
    <x:row r="26" spans="1:21" x14ac:dyDescent="0.25">
      <x:c r="A26" s="7">
        <x:f t="shared" si="0"/>
        <x:v>15</x:v>
      </x:c>
      <x:c r="B26" s="39">
        <x:f t="shared" si="0"/>
        <x:v>45311</x:v>
      </x:c>
      <x:c r="C26" s="40">
        <x:v>2.8430137499999995</x:v>
      </x:c>
      <x:c r="D26" s="40">
        <x:v>8.8408181182795698</x:v>
      </x:c>
      <x:c r="E26" s="40">
        <x:v>13.048153454301074</x:v>
      </x:c>
      <x:c r="F26" s="40">
        <x:v>17.718568077956988</x:v>
      </x:c>
      <x:c r="G26" s="40"/>
      <x:c r="H26" s="40">
        <x:v>16.701900000000002</x:v>
      </x:c>
      <x:c r="I26" s="40">
        <x:v>26.701900000000002</x:v>
      </x:c>
      <x:c r="J26" s="40">
        <x:v>31.701899999999995</x:v>
      </x:c>
      <x:c r="K26" s="40">
        <x:v>36.701900000000002</x:v>
      </x:c>
    </x:row>
    <x:row r="27" spans="1:21" x14ac:dyDescent="0.25">
      <x:c r="A27" s="7">
        <x:f t="shared" si="0"/>
        <x:v>16</x:v>
      </x:c>
      <x:c r="B27" s="39">
        <x:f t="shared" si="0"/>
        <x:v>45312</x:v>
      </x:c>
      <x:c r="C27" s="40">
        <x:v>2.8364909408602141</x:v>
      </x:c>
      <x:c r="D27" s="40">
        <x:v>8.8027258467741927</x:v>
      </x:c>
      <x:c r="E27" s="40">
        <x:v>12.990097997311826</x:v>
      </x:c>
      <x:c r="F27" s="40">
        <x:v>17.652690685483865</x:v>
      </x:c>
      <x:c r="G27" s="40"/>
      <x:c r="H27" s="40">
        <x:v>9.7719999999999985</x:v>
      </x:c>
      <x:c r="I27" s="40">
        <x:v>19.771999999999998</x:v>
      </x:c>
      <x:c r="J27" s="40">
        <x:v>24.772000000000002</x:v>
      </x:c>
      <x:c r="K27" s="40">
        <x:v>29.772000000000002</x:v>
      </x:c>
    </x:row>
    <x:row r="28" spans="1:21" x14ac:dyDescent="0.25">
      <x:c r="A28" s="7">
        <x:f t="shared" si="0"/>
        <x:v>17</x:v>
      </x:c>
      <x:c r="B28" s="39">
        <x:f t="shared" si="0"/>
        <x:v>45313</x:v>
      </x:c>
      <x:c r="C28" s="40">
        <x:v>2.7817509811827947</x:v>
      </x:c>
      <x:c r="D28" s="40">
        <x:v>8.7332283870967746</x:v>
      </x:c>
      <x:c r="E28" s="40">
        <x:v>12.896658561827955</x:v>
      </x:c>
      <x:c r="F28" s="40">
        <x:v>17.537799905913975</x:v>
      </x:c>
      <x:c r="G28" s="40"/>
      <x:c r="H28" s="40">
        <x:v>6.8092999999999977</x:v>
      </x:c>
      <x:c r="I28" s="40">
        <x:v>16.409199999999998</x:v>
      </x:c>
      <x:c r="J28" s="40">
        <x:v>21.409199999999998</x:v>
      </x:c>
      <x:c r="K28" s="40">
        <x:v>26.409199999999998</x:v>
      </x:c>
    </x:row>
    <x:row r="29" spans="1:21" x14ac:dyDescent="0.25">
      <x:c r="A29" s="7">
        <x:f t="shared" si="0"/>
        <x:v>18</x:v>
      </x:c>
      <x:c r="B29" s="39">
        <x:f t="shared" si="0"/>
        <x:v>45314</x:v>
      </x:c>
      <x:c r="C29" s="40">
        <x:v>2.7134873521505369</x:v>
      </x:c>
      <x:c r="D29" s="40">
        <x:v>8.6683861424731177</x:v>
      </x:c>
      <x:c r="E29" s="40">
        <x:v>12.825758696236559</x:v>
      </x:c>
      <x:c r="F29" s="40">
        <x:v>17.458490954301077</x:v>
      </x:c>
      <x:c r="G29" s="40"/>
      <x:c r="H29" s="40">
        <x:v>0.20570000000000083</x:v>
      </x:c>
      <x:c r="I29" s="40">
        <x:v>8.5173000000000023</x:v>
      </x:c>
      <x:c r="J29" s="40">
        <x:v>13.154200000000001</x:v>
      </x:c>
      <x:c r="K29" s="40">
        <x:v>18.047799999999999</x:v>
      </x:c>
    </x:row>
    <x:row r="30" spans="1:21" x14ac:dyDescent="0.25">
      <x:c r="A30" s="7">
        <x:f t="shared" si="0"/>
        <x:v>19</x:v>
      </x:c>
      <x:c r="B30" s="39">
        <x:f t="shared" si="0"/>
        <x:v>45315</x:v>
      </x:c>
      <x:c r="C30" s="40">
        <x:v>2.6729200268817199</x:v>
      </x:c>
      <x:c r="D30" s="40">
        <x:v>8.6293112231182789</x:v>
      </x:c>
      <x:c r="E30" s="40">
        <x:v>12.779805927419355</x:v>
      </x:c>
      <x:c r="F30" s="40">
        <x:v>17.410326115591399</x:v>
      </x:c>
      <x:c r="G30" s="40"/>
      <x:c r="H30" s="40">
        <x:v>3.880000000000005E-2</x:v>
      </x:c>
      <x:c r="I30" s="40">
        <x:v>5.782099999999998</x:v>
      </x:c>
      <x:c r="J30" s="40">
        <x:v>10.454899999999997</x:v>
      </x:c>
      <x:c r="K30" s="40">
        <x:v>15.410099999999996</x:v>
      </x:c>
    </x:row>
    <x:row r="31" spans="1:21" x14ac:dyDescent="0.25">
      <x:c r="A31" s="7">
        <x:f t="shared" si="0"/>
        <x:v>20</x:v>
      </x:c>
      <x:c r="B31" s="39">
        <x:f t="shared" si="0"/>
        <x:v>45316</x:v>
      </x:c>
      <x:c r="C31" s="40">
        <x:v>2.6827541129032246</x:v>
      </x:c>
      <x:c r="D31" s="40">
        <x:v>8.6350263172043</x:v>
      </x:c>
      <x:c r="E31" s="40">
        <x:v>12.778307997311829</x:v>
      </x:c>
      <x:c r="F31" s="40">
        <x:v>17.417048440860217</x:v>
      </x:c>
      <x:c r="G31" s="40"/>
      <x:c r="H31" s="40">
        <x:v>0</x:v>
      </x:c>
      <x:c r="I31" s="40">
        <x:v>4.2933999999999966</x:v>
      </x:c>
      <x:c r="J31" s="40">
        <x:v>9.2032999999999969</x:v>
      </x:c>
      <x:c r="K31" s="40">
        <x:v>14.203299999999993</x:v>
      </x:c>
    </x:row>
    <x:row r="32" spans="1:21" x14ac:dyDescent="0.25">
      <x:c r="A32" s="7">
        <x:f t="shared" si="0"/>
        <x:v>21</x:v>
      </x:c>
      <x:c r="B32" s="39">
        <x:f t="shared" si="0"/>
        <x:v>45317</x:v>
      </x:c>
      <x:c r="C32" s="40">
        <x:v>2.6865129569892465</x:v>
      </x:c>
      <x:c r="D32" s="40">
        <x:v>8.6493235618279538</x:v>
      </x:c>
      <x:c r="E32" s="40">
        <x:v>12.794169650537636</x:v>
      </x:c>
      <x:c r="F32" s="40">
        <x:v>17.448551344086024</x:v>
      </x:c>
      <x:c r="G32" s="40"/>
      <x:c r="H32" s="40">
        <x:v>0</x:v>
      </x:c>
      <x:c r="I32" s="40">
        <x:v>4.5931999999999977</x:v>
      </x:c>
      <x:c r="J32" s="40">
        <x:v>9.5707999999999966</x:v>
      </x:c>
      <x:c r="K32" s="40">
        <x:v>14.570799999999997</x:v>
      </x:c>
    </x:row>
    <x:row r="33" spans="1:11" x14ac:dyDescent="0.25">
      <x:c r="A33" s="7">
        <x:f t="shared" si="0"/>
        <x:v>22</x:v>
      </x:c>
      <x:c r="B33" s="39">
        <x:f t="shared" si="0"/>
        <x:v>45318</x:v>
      </x:c>
      <x:c r="C33" s="40">
        <x:v>2.7421731317204294</x:v>
      </x:c>
      <x:c r="D33" s="40">
        <x:v>8.7169830913978483</x:v>
      </x:c>
      <x:c r="E33" s="40">
        <x:v>12.863959462365589</x:v>
      </x:c>
      <x:c r="F33" s="40">
        <x:v>17.528048346774192</x:v>
      </x:c>
      <x:c r="G33" s="40"/>
      <x:c r="H33" s="40">
        <x:v>0.10409999999999991</x:v>
      </x:c>
      <x:c r="I33" s="40">
        <x:v>7.7633999999999972</x:v>
      </x:c>
      <x:c r="J33" s="40">
        <x:v>12.763399999999999</x:v>
      </x:c>
      <x:c r="K33" s="40">
        <x:v>17.763400000000001</x:v>
      </x:c>
    </x:row>
    <x:row r="34" spans="1:11" x14ac:dyDescent="0.25">
      <x:c r="A34" s="7">
        <x:f t="shared" ref="A34:B49" si="4">+A33+1</x:f>
        <x:v>23</x:v>
      </x:c>
      <x:c r="B34" s="39">
        <x:f t="shared" si="4"/>
        <x:v>45319</x:v>
      </x:c>
      <x:c r="C34" s="40">
        <x:v>2.7659315188172031</x:v>
      </x:c>
      <x:c r="D34" s="40">
        <x:v>8.7783766666666629</x:v>
      </x:c>
      <x:c r="E34" s="40">
        <x:v>12.944055309139785</x:v>
      </x:c>
      <x:c r="F34" s="40">
        <x:v>17.622280551075267</x:v>
      </x:c>
      <x:c r="G34" s="40"/>
      <x:c r="H34" s="40">
        <x:v>3.7799999999999959E-2</x:v>
      </x:c>
      <x:c r="I34" s="40">
        <x:v>7.4498000000000015</x:v>
      </x:c>
      <x:c r="J34" s="40">
        <x:v>12.449800000000002</x:v>
      </x:c>
      <x:c r="K34" s="40">
        <x:v>17.449800000000003</x:v>
      </x:c>
    </x:row>
    <x:row r="35" spans="1:11" x14ac:dyDescent="0.25">
      <x:c r="A35" s="7">
        <x:f t="shared" si="4"/>
        <x:v>24</x:v>
      </x:c>
      <x:c r="B35" s="39">
        <x:f t="shared" si="4"/>
        <x:v>45320</x:v>
      </x:c>
      <x:c r="C35" s="40">
        <x:v>2.7419067876344076</x:v>
      </x:c>
      <x:c r="D35" s="40">
        <x:v>8.7249747311827939</x:v>
      </x:c>
      <x:c r="E35" s="40">
        <x:v>12.874947970430108</x:v>
      </x:c>
      <x:c r="F35" s="40">
        <x:v>17.541017876344089</x:v>
      </x:c>
      <x:c r="G35" s="40"/>
      <x:c r="H35" s="40">
        <x:v>0</x:v>
      </x:c>
      <x:c r="I35" s="40">
        <x:v>0.87039999999999973</x:v>
      </x:c>
      <x:c r="J35" s="40">
        <x:v>5.1584000000000003</x:v>
      </x:c>
      <x:c r="K35" s="40">
        <x:v>10.158400000000002</x:v>
      </x:c>
    </x:row>
    <x:row r="36" spans="1:11" x14ac:dyDescent="0.25">
      <x:c r="A36" s="7">
        <x:f t="shared" si="4"/>
        <x:v>25</x:v>
      </x:c>
      <x:c r="B36" s="39">
        <x:f t="shared" si="4"/>
        <x:v>45321</x:v>
      </x:c>
      <x:c r="C36" s="40">
        <x:v>2.7699034946236547</x:v>
      </x:c>
      <x:c r="D36" s="40">
        <x:v>8.6687208198924708</x:v>
      </x:c>
      <x:c r="E36" s="40">
        <x:v>12.780041424731182</x:v>
      </x:c>
      <x:c r="F36" s="40">
        <x:v>17.43933192204301</x:v>
      </x:c>
      <x:c r="G36" s="40"/>
      <x:c r="H36" s="40">
        <x:v>0</x:v>
      </x:c>
      <x:c r="I36" s="40">
        <x:v>0.35279999999999978</x:v>
      </x:c>
      <x:c r="J36" s="40">
        <x:v>1.4853999999999992</x:v>
      </x:c>
      <x:c r="K36" s="40">
        <x:v>6.0051999999999985</x:v>
      </x:c>
    </x:row>
    <x:row r="37" spans="1:11" x14ac:dyDescent="0.25">
      <x:c r="A37" s="7">
        <x:f t="shared" si="4"/>
        <x:v>26</x:v>
      </x:c>
      <x:c r="B37" s="39">
        <x:f t="shared" si="4"/>
        <x:v>45322</x:v>
      </x:c>
      <x:c r="C37" s="40">
        <x:v>2.7880480645161287</x:v>
      </x:c>
      <x:c r="D37" s="40">
        <x:v>8.6017918279569905</x:v>
      </x:c>
      <x:c r="E37" s="40">
        <x:v>12.667504798387096</x:v>
      </x:c>
      <x:c r="F37" s="40">
        <x:v>17.292957540322583</x:v>
      </x:c>
      <x:c r="G37" s="40"/>
      <x:c r="H37" s="40">
        <x:v>0</x:v>
      </x:c>
      <x:c r="I37" s="40">
        <x:v>0.21549999999999994</x:v>
      </x:c>
      <x:c r="J37" s="40">
        <x:v>1.8813999999999971</x:v>
      </x:c>
      <x:c r="K37" s="40">
        <x:v>6.8813999999999957</x:v>
      </x:c>
    </x:row>
    <x:row r="38" spans="1:11" x14ac:dyDescent="0.25">
      <x:c r="A38" s="7">
        <x:f t="shared" si="4"/>
        <x:v>27</x:v>
      </x:c>
      <x:c r="B38" s="39">
        <x:f t="shared" si="4"/>
        <x:v>45323</x:v>
      </x:c>
      <x:c r="C38" s="40">
        <x:v>2.7791881451612901</x:v>
      </x:c>
      <x:c r="D38" s="40">
        <x:v>8.5651933198924706</x:v>
      </x:c>
      <x:c r="E38" s="40">
        <x:v>12.611481505376343</x:v>
      </x:c>
      <x:c r="F38" s="40">
        <x:v>17.229193602150541</x:v>
      </x:c>
      <x:c r="G38" s="40"/>
      <x:c r="H38" s="40">
        <x:v>0</x:v>
      </x:c>
      <x:c r="I38" s="40">
        <x:v>0</x:v>
      </x:c>
      <x:c r="J38" s="40">
        <x:v>0.50049999999999939</x:v>
      </x:c>
      <x:c r="K38" s="40">
        <x:v>5.0607999999999986</x:v>
      </x:c>
    </x:row>
    <x:row r="39" spans="1:11" x14ac:dyDescent="0.25">
      <x:c r="A39" s="7">
        <x:f t="shared" si="4"/>
        <x:v>28</x:v>
      </x:c>
      <x:c r="B39" s="39">
        <x:f t="shared" si="4"/>
        <x:v>45324</x:v>
      </x:c>
      <x:c r="C39" s="40">
        <x:v>2.7496304166666663</x:v>
      </x:c>
      <x:c r="D39" s="40">
        <x:v>8.4952748118279597</x:v>
      </x:c>
      <x:c r="E39" s="40">
        <x:v>12.522510524193548</x:v>
      </x:c>
      <x:c r="F39" s="40">
        <x:v>17.123417715053765</x:v>
      </x:c>
      <x:c r="G39" s="40"/>
      <x:c r="H39" s="40">
        <x:v>0</x:v>
      </x:c>
      <x:c r="I39" s="40">
        <x:v>0</x:v>
      </x:c>
      <x:c r="J39" s="40">
        <x:v>0.1358999999999998</x:v>
      </x:c>
      <x:c r="K39" s="40">
        <x:v>3.8790000000000004</x:v>
      </x:c>
    </x:row>
    <x:row r="40" spans="1:11" x14ac:dyDescent="0.25">
      <x:c r="A40" s="7">
        <x:f t="shared" si="4"/>
        <x:v>29</x:v>
      </x:c>
      <x:c r="B40" s="39">
        <x:f t="shared" si="4"/>
        <x:v>45325</x:v>
      </x:c>
      <x:c r="C40" s="40">
        <x:v>2.7498709677419351</x:v>
      </x:c>
      <x:c r="D40" s="40">
        <x:v>8.4809895967741937</x:v>
      </x:c>
      <x:c r="E40" s="40">
        <x:v>12.476612002688173</x:v>
      </x:c>
      <x:c r="F40" s="40">
        <x:v>17.048811774193549</x:v>
      </x:c>
      <x:c r="G40" s="40"/>
      <x:c r="H40" s="40">
        <x:v>0</x:v>
      </x:c>
      <x:c r="I40" s="40">
        <x:v>0.17329999999999995</x:v>
      </x:c>
      <x:c r="J40" s="40">
        <x:v>2.5666999999999969</x:v>
      </x:c>
      <x:c r="K40" s="40">
        <x:v>7.5346999999999973</x:v>
      </x:c>
    </x:row>
    <x:row r="41" spans="1:11" x14ac:dyDescent="0.25">
      <x:c r="A41" s="7">
        <x:f t="shared" si="4"/>
        <x:v>30</x:v>
      </x:c>
      <x:c r="B41" s="39">
        <x:f t="shared" si="4"/>
        <x:v>45326</x:v>
      </x:c>
      <x:c r="C41" s="40">
        <x:v>2.7615989919354833</x:v>
      </x:c>
      <x:c r="D41" s="40">
        <x:v>8.4657214919354846</x:v>
      </x:c>
      <x:c r="E41" s="40">
        <x:v>12.42605010752688</x:v>
      </x:c>
      <x:c r="F41" s="40">
        <x:v>16.966918870967742</x:v>
      </x:c>
      <x:c r="G41" s="40"/>
      <x:c r="H41" s="40">
        <x:v>0</x:v>
      </x:c>
      <x:c r="I41" s="40">
        <x:v>0.71389999999999987</x:v>
      </x:c>
      <x:c r="J41" s="40">
        <x:v>5.3815</x:v>
      </x:c>
      <x:c r="K41" s="40">
        <x:v>10.381499999999999</x:v>
      </x:c>
    </x:row>
    <x:row r="42" spans="1:11" x14ac:dyDescent="0.25">
      <x:c r="A42" s="7">
        <x:f t="shared" si="4"/>
        <x:v>31</x:v>
      </x:c>
      <x:c r="B42" s="39">
        <x:f t="shared" si="4"/>
        <x:v>45327</x:v>
      </x:c>
      <x:c r="C42" s="40">
        <x:v>2.697827432795699</x:v>
      </x:c>
      <x:c r="D42" s="40">
        <x:v>8.3168206317204305</x:v>
      </x:c>
      <x:c r="E42" s="40">
        <x:v>12.230668198924729</x:v>
      </x:c>
      <x:c r="F42" s="40">
        <x:v>16.726190147849461</x:v>
      </x:c>
      <x:c r="G42" s="40"/>
      <x:c r="H42" s="40">
        <x:v>0</x:v>
      </x:c>
      <x:c r="I42" s="40">
        <x:v>1.5366000000000011</x:v>
      </x:c>
      <x:c r="J42" s="40">
        <x:v>6.4634000000000009</x:v>
      </x:c>
      <x:c r="K42" s="40">
        <x:v>11.463400000000002</x:v>
      </x:c>
    </x:row>
    <x:row r="43" spans="1:11" x14ac:dyDescent="0.25">
      <x:c r="A43" s="7">
        <x:f t="shared" si="4"/>
        <x:v>32</x:v>
      </x:c>
      <x:c r="B43" s="39">
        <x:f t="shared" si="4"/>
        <x:v>45328</x:v>
      </x:c>
      <x:c r="C43" s="40">
        <x:v>2.6661128897849458</x:v>
      </x:c>
      <x:c r="D43" s="40">
        <x:v>8.1741040860215062</x:v>
      </x:c>
      <x:c r="E43" s="40">
        <x:v>12.049633736559137</x:v>
      </x:c>
      <x:c r="F43" s="40">
        <x:v>16.509847284946236</x:v>
      </x:c>
      <x:c r="G43" s="40"/>
      <x:c r="H43" s="40">
        <x:v>0</x:v>
      </x:c>
      <x:c r="I43" s="40">
        <x:v>2.575799999999997</x:v>
      </x:c>
      <x:c r="J43" s="40">
        <x:v>7.5757999999999983</x:v>
      </x:c>
      <x:c r="K43" s="40">
        <x:v>12.575799999999997</x:v>
      </x:c>
    </x:row>
    <x:row r="44" spans="1:11" x14ac:dyDescent="0.25">
      <x:c r="A44" s="7">
        <x:f t="shared" si="4"/>
        <x:v>33</x:v>
      </x:c>
      <x:c r="B44" s="39">
        <x:f t="shared" si="4"/>
        <x:v>45329</x:v>
      </x:c>
      <x:c r="C44" s="40">
        <x:v>2.6493640053763436</x:v>
      </x:c>
      <x:c r="D44" s="40">
        <x:v>8.1009642876344081</x:v>
      </x:c>
      <x:c r="E44" s="40">
        <x:v>11.942874260752685</x:v>
      </x:c>
      <x:c r="F44" s="40">
        <x:v>16.366773172043011</x:v>
      </x:c>
      <x:c r="G44" s="40"/>
      <x:c r="H44" s="40">
        <x:v>0</x:v>
      </x:c>
      <x:c r="I44" s="40">
        <x:v>7.3299999999999838E-2</x:v>
      </x:c>
      <x:c r="J44" s="40">
        <x:v>2.5120999999999989</x:v>
      </x:c>
      <x:c r="K44" s="40">
        <x:v>7.5120999999999993</x:v>
      </x:c>
    </x:row>
    <x:row r="45" spans="1:11" x14ac:dyDescent="0.25">
      <x:c r="A45" s="7">
        <x:f t="shared" si="4"/>
        <x:v>34</x:v>
      </x:c>
      <x:c r="B45" s="39">
        <x:f t="shared" si="4"/>
        <x:v>45330</x:v>
      </x:c>
      <x:c r="C45" s="40">
        <x:v>2.6315523387096773</x:v>
      </x:c>
      <x:c r="D45" s="40">
        <x:v>7.9862674596774204</x:v>
      </x:c>
      <x:c r="E45" s="40">
        <x:v>11.783955954301073</x:v>
      </x:c>
      <x:c r="F45" s="40">
        <x:v>16.176085994623659</x:v>
      </x:c>
      <x:c r="G45" s="40"/>
      <x:c r="H45" s="40">
        <x:v>0</x:v>
      </x:c>
      <x:c r="I45" s="40">
        <x:v>0.25900000000000001</x:v>
      </x:c>
      <x:c r="J45" s="40">
        <x:v>0.66379999999999983</x:v>
      </x:c>
      <x:c r="K45" s="40">
        <x:v>3.3987999999999996</x:v>
      </x:c>
    </x:row>
    <x:row r="46" spans="1:11" x14ac:dyDescent="0.25">
      <x:c r="A46" s="7">
        <x:f t="shared" si="4"/>
        <x:v>35</x:v>
      </x:c>
      <x:c r="B46" s="39">
        <x:f t="shared" si="4"/>
        <x:v>45331</x:v>
      </x:c>
      <x:c r="C46" s="40">
        <x:v>2.6254995833333332</x:v>
      </x:c>
      <x:c r="D46" s="40">
        <x:v>7.9090937096774203</x:v>
      </x:c>
      <x:c r="E46" s="40">
        <x:v>11.682154838709675</x:v>
      </x:c>
      <x:c r="F46" s="40">
        <x:v>16.057967056451613</x:v>
      </x:c>
      <x:c r="G46" s="40"/>
      <x:c r="H46" s="40">
        <x:v>0</x:v>
      </x:c>
      <x:c r="I46" s="40">
        <x:v>0.14000000000000001</x:v>
      </x:c>
      <x:c r="J46" s="40">
        <x:v>0.5724999999999999</x:v>
      </x:c>
      <x:c r="K46" s="40">
        <x:v>3.5985999999999976</x:v>
      </x:c>
    </x:row>
    <x:row r="47" spans="1:11" x14ac:dyDescent="0.25">
      <x:c r="A47" s="7">
        <x:f t="shared" si="4"/>
        <x:v>36</x:v>
      </x:c>
      <x:c r="B47" s="39">
        <x:f t="shared" si="4"/>
        <x:v>45332</x:v>
      </x:c>
      <x:c r="C47" s="40">
        <x:v>2.6294668279569891</x:v>
      </x:c>
      <x:c r="D47" s="40">
        <x:v>7.9190850672043016</x:v>
      </x:c>
      <x:c r="E47" s="40">
        <x:v>11.702607258064514</x:v>
      </x:c>
      <x:c r="F47" s="40">
        <x:v>16.067380672043015</x:v>
      </x:c>
      <x:c r="G47" s="40"/>
      <x:c r="H47" s="40">
        <x:v>0</x:v>
      </x:c>
      <x:c r="I47" s="40">
        <x:v>0.18669999999999981</x:v>
      </x:c>
      <x:c r="J47" s="40">
        <x:v>4.0476999999999972</x:v>
      </x:c>
      <x:c r="K47" s="40">
        <x:v>8.8448999999999973</x:v>
      </x:c>
    </x:row>
    <x:row r="48" spans="1:11" x14ac:dyDescent="0.25">
      <x:c r="A48" s="7">
        <x:f t="shared" si="4"/>
        <x:v>37</x:v>
      </x:c>
      <x:c r="B48" s="39">
        <x:f t="shared" si="4"/>
        <x:v>45333</x:v>
      </x:c>
      <x:c r="C48" s="40">
        <x:v>2.6492510618279566</x:v>
      </x:c>
      <x:c r="D48" s="40">
        <x:v>7.9065352956989257</x:v>
      </x:c>
      <x:c r="E48" s="40">
        <x:v>11.672894798387096</x:v>
      </x:c>
      <x:c r="F48" s="40">
        <x:v>16.027626303763444</x:v>
      </x:c>
      <x:c r="G48" s="40"/>
      <x:c r="H48" s="40">
        <x:v>0.44469999999999965</x:v>
      </x:c>
      <x:c r="I48" s="40">
        <x:v>7.4143999999999988</x:v>
      </x:c>
      <x:c r="J48" s="40">
        <x:v>12.179499999999997</x:v>
      </x:c>
      <x:c r="K48" s="40">
        <x:v>17.145900000000001</x:v>
      </x:c>
    </x:row>
    <x:row r="49" spans="1:11" x14ac:dyDescent="0.25">
      <x:c r="A49" s="7">
        <x:f t="shared" si="4"/>
        <x:v>38</x:v>
      </x:c>
      <x:c r="B49" s="39">
        <x:f t="shared" si="4"/>
        <x:v>45334</x:v>
      </x:c>
      <x:c r="C49" s="40">
        <x:v>2.6230515322580645</x:v>
      </x:c>
      <x:c r="D49" s="40">
        <x:v>7.8086020564516145</x:v>
      </x:c>
      <x:c r="E49" s="40">
        <x:v>11.530237002688171</x:v>
      </x:c>
      <x:c r="F49" s="40">
        <x:v>15.858833454301076</x:v>
      </x:c>
      <x:c r="G49" s="40"/>
      <x:c r="H49" s="40">
        <x:v>0.37609999999999977</x:v>
      </x:c>
      <x:c r="I49" s="40">
        <x:v>9.2141999999999999</x:v>
      </x:c>
      <x:c r="J49" s="40">
        <x:v>14.214199999999998</x:v>
      </x:c>
      <x:c r="K49" s="40">
        <x:v>19.214199999999998</x:v>
      </x:c>
    </x:row>
    <x:row r="50" spans="1:11" x14ac:dyDescent="0.25">
      <x:c r="A50" s="7">
        <x:f>+A48+1</x:f>
        <x:v>38</x:v>
      </x:c>
      <x:c r="B50" s="39" t="s">
        <x:v>51</x:v>
      </x:c>
      <x:c r="C50" s="207">
        <x:f>SUM(C18:C49)</x:f>
        <x:v>87.865953682795677</x:v>
      </x:c>
      <x:c r="D50" s="207">
        <x:f t="shared" ref="D50:F50" si="5">SUM(D18:D49)</x:f>
        <x:v>273.6801964112903</x:v>
      </x:c>
      <x:c r="E50" s="207">
        <x:f t="shared" si="5"/>
        <x:v>403.65046860215045</x:v>
      </x:c>
      <x:c r="F50" s="207">
        <x:f t="shared" si="5"/>
        <x:v>550.14396028225804</x:v>
      </x:c>
      <x:c r="G50" s="208"/>
      <x:c r="H50" s="207">
        <x:f>SUM(H18:H49)</x:f>
        <x:v>152.75380000000001</x:v>
      </x:c>
      <x:c r="I50" s="207">
        <x:f t="shared" ref="I50" si="6">SUM(I18:I49)</x:f>
        <x:v>319.98980000000006</x:v>
      </x:c>
      <x:c r="J50" s="207">
        <x:f t="shared" ref="J50" si="7">SUM(J18:J49)</x:f>
        <x:v>445.79989999999998</x:v>
      </x:c>
      <x:c r="K50" s="207">
        <x:f t="shared" ref="K50" si="8">SUM(K18:K49)</x:f>
        <x:v>598.96460000000002</x:v>
      </x:c>
    </x:row>
    <x:row r="51" spans="1:11" x14ac:dyDescent="0.25">
      <x:c r="A51" s="7"/>
    </x:row>
  </x:sheetData>
  <x:mergeCells count="11">
    <x:mergeCell ref="B6:L6"/>
    <x:mergeCell ref="B1:L1"/>
    <x:mergeCell ref="B2:L2"/>
    <x:mergeCell ref="B3:L3"/>
    <x:mergeCell ref="B4:L4"/>
    <x:mergeCell ref="B5:M5"/>
    <x:mergeCell ref="B8:L8"/>
    <x:mergeCell ref="C14:F14"/>
    <x:mergeCell ref="H14:L14"/>
    <x:mergeCell ref="C15:G15"/>
    <x:mergeCell ref="H15:L15"/>
  </x:mergeCells>
  <x:printOptions horizontalCentered="1"/>
  <x:pageMargins left="1.5" right="0.5" top="1.5" bottom="1" header="1" footer="0.5"/>
  <x:pageSetup scale="74" firstPageNumber="3" orientation="portrait" r:id="rId1"/>
  <x:headerFooter alignWithMargins="0">
    <x:oddHeader>&amp;RSchedule II-H-5.2
Page &amp;P of 37</x:oddHeader>
  </x:headerFooter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 codeName="Sheet21">
    <x:pageSetUpPr fitToPage="1"/>
  </x:sheetPr>
  <x:dimension ref="A1:U50"/>
  <x:sheetViews>
    <x:sheetView zoomScaleNormal="100" zoomScaleSheetLayoutView="100" workbookViewId="0"/>
  </x:sheetViews>
  <x:sheetFormatPr defaultColWidth="9.08984375" defaultRowHeight="12.5" x14ac:dyDescent="0.25"/>
  <x:cols>
    <x:col min="1" max="1" width="9.08984375" style="9"/>
    <x:col min="2" max="2" width="11.453125" style="9" customWidth="1"/>
    <x:col min="3" max="3" width="9.08984375" style="7"/>
    <x:col min="4" max="4" width="10.36328125" style="9" bestFit="1" customWidth="1"/>
    <x:col min="5" max="6" width="9.6328125" style="9" customWidth="1"/>
    <x:col min="7" max="7" width="9.54296875" style="9" customWidth="1"/>
    <x:col min="8" max="8" width="9.36328125" style="9" customWidth="1"/>
    <x:col min="9" max="10" width="9.6328125" style="9" customWidth="1"/>
    <x:col min="11" max="11" width="8.6328125" style="9" customWidth="1"/>
    <x:col min="12" max="16384" width="9.08984375" style="9"/>
  </x:cols>
  <x:sheetData>
    <x:row r="1" spans="1:12" customFormat="1" ht="15.5" x14ac:dyDescent="0.35">
      <x:c r="A1" s="177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178"/>
    </x:row>
    <x:row r="2" spans="1:12" customFormat="1" ht="15.5" x14ac:dyDescent="0.35">
      <x:c r="A2" s="177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178"/>
    </x:row>
    <x:row r="3" spans="1:12" customFormat="1" ht="15.5" x14ac:dyDescent="0.35">
      <x:c r="A3" s="177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178"/>
    </x:row>
    <x:row r="4" spans="1:12" customFormat="1" ht="15.5" x14ac:dyDescent="0.35">
      <x:c r="A4" s="177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178"/>
    </x:row>
    <x:row r="5" spans="1:12" customFormat="1" ht="15.5" x14ac:dyDescent="0.35">
      <x:c r="A5" s="177"/>
      <x:c r="B5" s="209"/>
      <x:c r="C5" s="209"/>
      <x:c r="D5" s="209"/>
      <x:c r="E5" s="209"/>
      <x:c r="F5" s="209"/>
      <x:c r="G5" s="209"/>
      <x:c r="H5" s="209"/>
      <x:c r="I5" s="212"/>
      <x:c r="J5" s="212"/>
      <x:c r="K5" s="212"/>
      <x:c r="L5" s="212"/>
    </x:row>
    <x:row r="6" spans="1:12" ht="15.5" x14ac:dyDescent="0.35">
      <x:c r="B6" s="213" t="str">
        <x:f>+RES!B6</x:f>
        <x:v>SPONSOR: D. E. NELSON</x:v>
      </x:c>
      <x:c r="C6" s="211"/>
      <x:c r="D6" s="211"/>
      <x:c r="E6" s="211"/>
      <x:c r="F6" s="211"/>
      <x:c r="G6" s="211"/>
      <x:c r="H6" s="211"/>
      <x:c r="I6" s="211"/>
      <x:c r="J6" s="211"/>
      <x:c r="K6" s="211"/>
      <x:c r="L6" s="176"/>
    </x:row>
    <x:row r="7" spans="1:12" ht="15.5" x14ac:dyDescent="0.35">
      <x:c r="B7" s="179"/>
      <x:c r="C7" s="176"/>
      <x:c r="D7" s="176"/>
      <x:c r="E7" s="176"/>
      <x:c r="F7" s="176"/>
      <x:c r="G7" s="176"/>
      <x:c r="H7" s="176"/>
      <x:c r="I7" s="176"/>
      <x:c r="J7" s="176"/>
      <x:c r="K7" s="176"/>
      <x:c r="L7" s="176"/>
    </x:row>
    <x:row r="8" spans="1:12" ht="15.5" x14ac:dyDescent="0.35">
      <x:c r="B8" s="209" t="s">
        <x:v>160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176"/>
    </x:row>
    <x:row r="9" spans="1:12" ht="15.5" x14ac:dyDescent="0.35">
      <x:c r="A9" s="177" t="s">
        <x:v>6</x:v>
      </x:c>
      <x:c r="B9" s="179"/>
      <x:c r="C9" s="176"/>
      <x:c r="D9" s="176"/>
      <x:c r="E9" s="176"/>
      <x:c r="F9" s="176"/>
      <x:c r="G9" s="176"/>
      <x:c r="H9" s="176"/>
      <x:c r="I9" s="176"/>
      <x:c r="J9" s="176"/>
      <x:c r="K9" s="176"/>
      <x:c r="L9" s="176"/>
    </x:row>
    <x:row r="10" spans="1:12" x14ac:dyDescent="0.25">
      <x:c r="A10" s="5" t="s">
        <x:v>8</x:v>
      </x:c>
    </x:row>
    <x:row r="11" spans="1:12" x14ac:dyDescent="0.25">
      <x:c r="A11" s="7">
        <x:v>1</x:v>
      </x:c>
      <x:c r="B11" s="34" t="s">
        <x:v>25</x:v>
      </x:c>
      <x:c r="C11" s="35" t="s">
        <x:v>26</x:v>
      </x:c>
      <x:c r="D11" s="35" t="s">
        <x:v>94</x:v>
      </x:c>
    </x:row>
    <x:row r="12" spans="1:12" x14ac:dyDescent="0.25">
      <x:c r="A12" s="7">
        <x:f>+A11+1</x:f>
        <x:v>2</x:v>
      </x:c>
      <x:c r="B12" s="36" t="s">
        <x:v>27</x:v>
      </x:c>
      <x:c r="C12" s="36" t="s">
        <x:v>85</x:v>
      </x:c>
      <x:c r="D12" s="36" t="s">
        <x:v>95</x:v>
      </x:c>
    </x:row>
    <x:row r="13" spans="1:12" x14ac:dyDescent="0.25">
      <x:c r="A13" s="7">
        <x:f>+A12+1</x:f>
        <x:v>3</x:v>
      </x:c>
      <x:c r="B13" s="37" t="s">
        <x:v>172</x:v>
      </x:c>
      <x:c r="C13" s="33">
        <x:v>45516</x:v>
      </x:c>
      <x:c r="D13" s="33">
        <x:v>45485</x:v>
      </x:c>
    </x:row>
    <x:row r="14" spans="1:12" x14ac:dyDescent="0.25">
      <x:c r="A14" s="7"/>
      <x:c r="B14" s="37"/>
      <x:c r="C14" s="218"/>
      <x:c r="D14" s="219"/>
      <x:c r="E14" s="219"/>
      <x:c r="F14" s="180"/>
      <x:c r="G14" s="180"/>
      <x:c r="H14" s="218"/>
      <x:c r="I14" s="219"/>
      <x:c r="J14" s="219"/>
      <x:c r="K14" s="219"/>
    </x:row>
    <x:row r="15" spans="1:12" ht="12.75" customHeight="1" x14ac:dyDescent="0.25">
      <x:c r="A15" s="7">
        <x:f>+A13+1</x:f>
        <x:v>4</x:v>
      </x:c>
      <x:c r="B15" s="37"/>
      <x:c r="C15" s="217" t="s">
        <x:v>80</x:v>
      </x:c>
      <x:c r="D15" s="215"/>
      <x:c r="E15" s="215"/>
      <x:c r="F15" s="215"/>
      <x:c r="G15" s="180"/>
      <x:c r="H15" s="217" t="s">
        <x:v>84</x:v>
      </x:c>
      <x:c r="I15" s="216"/>
      <x:c r="J15" s="216"/>
      <x:c r="K15" s="216"/>
    </x:row>
    <x:row r="16" spans="1:12" x14ac:dyDescent="0.25">
      <x:c r="A16" s="7">
        <x:f>+A15+1</x:f>
        <x:v>5</x:v>
      </x:c>
      <x:c r="B16" s="37"/>
      <x:c r="C16" s="18" t="s">
        <x:v>14</x:v>
      </x:c>
      <x:c r="D16" s="18" t="s">
        <x:v>16</x:v>
      </x:c>
      <x:c r="E16" s="22" t="s">
        <x:v>18</x:v>
      </x:c>
      <x:c r="F16" s="22" t="s">
        <x:v>129</x:v>
      </x:c>
      <x:c r="G16" s="18"/>
      <x:c r="H16" s="18" t="s">
        <x:v>14</x:v>
      </x:c>
      <x:c r="I16" s="18" t="s">
        <x:v>16</x:v>
      </x:c>
      <x:c r="J16" s="22" t="s">
        <x:v>18</x:v>
      </x:c>
      <x:c r="K16" s="22" t="s">
        <x:v>129</x:v>
      </x:c>
    </x:row>
    <x:row r="17" spans="1:21" x14ac:dyDescent="0.25">
      <x:c r="A17" s="7">
        <x:f t="shared" ref="A17:B34" si="0">+A16+1</x:f>
        <x:v>6</x:v>
      </x:c>
      <x:c r="B17" s="37"/>
      <x:c r="C17" s="38" t="s">
        <x:v>29</x:v>
      </x:c>
      <x:c r="D17" s="38" t="s">
        <x:v>30</x:v>
      </x:c>
      <x:c r="E17" s="38" t="s">
        <x:v>31</x:v>
      </x:c>
      <x:c r="F17" s="38" t="s">
        <x:v>112</x:v>
      </x:c>
      <x:c r="G17" s="38"/>
      <x:c r="H17" s="38" t="s">
        <x:v>29</x:v>
      </x:c>
      <x:c r="I17" s="38" t="s">
        <x:v>30</x:v>
      </x:c>
      <x:c r="J17" s="38" t="s">
        <x:v>31</x:v>
      </x:c>
      <x:c r="K17" s="38" t="s">
        <x:v>112</x:v>
      </x:c>
    </x:row>
    <x:row r="18" spans="1:21" x14ac:dyDescent="0.25">
      <x:c r="A18" s="7"/>
      <x:c r="B18" s="39">
        <x:f>+D13</x:f>
        <x:v>45485</x:v>
      </x:c>
      <x:c r="C18" s="40">
        <x:v>20.398569143817205</x:v>
      </x:c>
      <x:c r="D18" s="40">
        <x:v>15.396757168010755</x:v>
      </x:c>
      <x:c r="E18" s="40">
        <x:v>10.427886102150536</x:v>
      </x:c>
      <x:c r="F18" s="40">
        <x:v>5.6893763978494638</x:v>
      </x:c>
      <x:c r="G18" s="18"/>
      <x:c r="H18" s="40">
        <x:v>20.147600000000001</x:v>
      </x:c>
      <x:c r="I18" s="40">
        <x:v>15.142599999999996</x:v>
      </x:c>
      <x:c r="J18" s="40">
        <x:v>10.137599999999999</x:v>
      </x:c>
      <x:c r="K18" s="40">
        <x:v>5.2564000000000002</x:v>
      </x:c>
    </x:row>
    <x:row r="19" spans="1:21" x14ac:dyDescent="0.25">
      <x:c r="A19" s="7"/>
      <x:c r="B19" s="39">
        <x:f t="shared" ref="B19" si="1">+B18+1</x:f>
        <x:v>45486</x:v>
      </x:c>
      <x:c r="C19" s="40">
        <x:v>20.442888991935483</x:v>
      </x:c>
      <x:c r="D19" s="40">
        <x:v>15.441027419354837</x:v>
      </x:c>
      <x:c r="E19" s="40">
        <x:v>10.471261384408599</x:v>
      </x:c>
      <x:c r="F19" s="40">
        <x:v>5.7271794758064534</x:v>
      </x:c>
      <x:c r="G19" s="18"/>
      <x:c r="H19" s="40">
        <x:v>18.807900000000004</x:v>
      </x:c>
      <x:c r="I19" s="40">
        <x:v>13.802900000000001</x:v>
      </x:c>
      <x:c r="J19" s="40">
        <x:v>8.7978999999999985</x:v>
      </x:c>
      <x:c r="K19" s="40">
        <x:v>3.9364999999999997</x:v>
      </x:c>
    </x:row>
    <x:row r="20" spans="1:21" x14ac:dyDescent="0.25">
      <x:c r="A20" s="7">
        <x:f>+A17+1</x:f>
        <x:v>7</x:v>
      </x:c>
      <x:c r="B20" s="39">
        <x:f t="shared" ref="B20" si="2">+B19+1</x:f>
        <x:v>45487</x:v>
      </x:c>
      <x:c r="C20" s="206">
        <x:v>20.511220094086024</x:v>
      </x:c>
      <x:c r="D20" s="206">
        <x:v>15.509358521505378</x:v>
      </x:c>
      <x:c r="E20" s="206">
        <x:v>10.538286666666666</x:v>
      </x:c>
      <x:c r="F20" s="206">
        <x:v>5.784343588709679</x:v>
      </x:c>
      <x:c r="G20" s="206"/>
      <x:c r="H20" s="206">
        <x:v>21.311699999999995</x:v>
      </x:c>
      <x:c r="I20" s="206">
        <x:v>16.306700000000003</x:v>
      </x:c>
      <x:c r="J20" s="206">
        <x:v>11.301699999999999</x:v>
      </x:c>
      <x:c r="K20" s="206">
        <x:v>6.2967000000000004</x:v>
      </x:c>
      <x:c r="M20" s="74"/>
      <x:c r="N20" s="74"/>
      <x:c r="O20" s="74"/>
      <x:c r="P20" s="74"/>
      <x:c r="R20" s="74"/>
      <x:c r="S20" s="74"/>
      <x:c r="T20" s="74"/>
      <x:c r="U20" s="74"/>
    </x:row>
    <x:row r="21" spans="1:21" x14ac:dyDescent="0.25">
      <x:c r="A21" s="7">
        <x:f t="shared" si="0"/>
        <x:v>8</x:v>
      </x:c>
      <x:c r="B21" s="39">
        <x:f t="shared" si="0"/>
        <x:v>45488</x:v>
      </x:c>
      <x:c r="C21" s="40">
        <x:v>20.595294932795703</x:v>
      </x:c>
      <x:c r="D21" s="40">
        <x:v>15.593433360215055</x:v>
      </x:c>
      <x:c r="E21" s="40">
        <x:v>10.619922620967744</x:v>
      </x:c>
      <x:c r="F21" s="40">
        <x:v>5.8566089247311846</x:v>
      </x:c>
      <x:c r="G21" s="40"/>
      <x:c r="H21" s="40">
        <x:v>23.095800000000001</x:v>
      </x:c>
      <x:c r="I21" s="40">
        <x:v>18.090799999999994</x:v>
      </x:c>
      <x:c r="J21" s="40">
        <x:v>13.085799999999999</x:v>
      </x:c>
      <x:c r="K21" s="40">
        <x:v>8.0808</x:v>
      </x:c>
    </x:row>
    <x:row r="22" spans="1:21" x14ac:dyDescent="0.25">
      <x:c r="A22" s="7">
        <x:f t="shared" si="0"/>
        <x:v>9</x:v>
      </x:c>
      <x:c r="B22" s="39">
        <x:f t="shared" si="0"/>
        <x:v>45489</x:v>
      </x:c>
      <x:c r="C22" s="40">
        <x:v>20.68113037634409</x:v>
      </x:c>
      <x:c r="D22" s="40">
        <x:v>15.679268803763438</x:v>
      </x:c>
      <x:c r="E22" s="40">
        <x:v>10.705254435483869</x:v>
      </x:c>
      <x:c r="F22" s="40">
        <x:v>5.9366544220430129</x:v>
      </x:c>
      <x:c r="G22" s="40"/>
      <x:c r="H22" s="40">
        <x:v>24.339999999999996</x:v>
      </x:c>
      <x:c r="I22" s="40">
        <x:v>19.335000000000001</x:v>
      </x:c>
      <x:c r="J22" s="40">
        <x:v>14.33</x:v>
      </x:c>
      <x:c r="K22" s="40">
        <x:v>9.3250000000000011</x:v>
      </x:c>
    </x:row>
    <x:row r="23" spans="1:21" x14ac:dyDescent="0.25">
      <x:c r="A23" s="7">
        <x:f t="shared" si="0"/>
        <x:v>10</x:v>
      </x:c>
      <x:c r="B23" s="39">
        <x:f t="shared" si="0"/>
        <x:v>45490</x:v>
      </x:c>
      <x:c r="C23" s="40">
        <x:v>20.797885927419358</x:v>
      </x:c>
      <x:c r="D23" s="40">
        <x:v>15.79602435483871</x:v>
      </x:c>
      <x:c r="E23" s="40">
        <x:v>10.82266514784946</x:v>
      </x:c>
      <x:c r="F23" s="40">
        <x:v>6.0501754569892494</x:v>
      </x:c>
      <x:c r="G23" s="40"/>
      <x:c r="H23" s="40">
        <x:v>19.527000000000001</x:v>
      </x:c>
      <x:c r="I23" s="40">
        <x:v>14.522000000000002</x:v>
      </x:c>
      <x:c r="J23" s="40">
        <x:v>9.5170000000000012</x:v>
      </x:c>
      <x:c r="K23" s="40">
        <x:v>4.5120000000000022</x:v>
      </x:c>
    </x:row>
    <x:row r="24" spans="1:21" x14ac:dyDescent="0.25">
      <x:c r="A24" s="7">
        <x:f t="shared" si="0"/>
        <x:v>11</x:v>
      </x:c>
      <x:c r="B24" s="39">
        <x:f t="shared" si="0"/>
        <x:v>45491</x:v>
      </x:c>
      <x:c r="C24" s="40">
        <x:v>20.904750887096775</x:v>
      </x:c>
      <x:c r="D24" s="40">
        <x:v>15.902889314516129</x:v>
      </x:c>
      <x:c r="E24" s="40">
        <x:v>10.929517150537633</x:v>
      </x:c>
      <x:c r="F24" s="40">
        <x:v>6.1552710215053787</x:v>
      </x:c>
      <x:c r="G24" s="40"/>
      <x:c r="H24" s="40">
        <x:v>17.038900000000002</x:v>
      </x:c>
      <x:c r="I24" s="40">
        <x:v>12.033900000000004</x:v>
      </x:c>
      <x:c r="J24" s="40">
        <x:v>7.0289000000000037</x:v>
      </x:c>
      <x:c r="K24" s="40">
        <x:v>2.2261000000000033</x:v>
      </x:c>
    </x:row>
    <x:row r="25" spans="1:21" x14ac:dyDescent="0.25">
      <x:c r="A25" s="7">
        <x:f t="shared" si="0"/>
        <x:v>12</x:v>
      </x:c>
      <x:c r="B25" s="39">
        <x:f t="shared" si="0"/>
        <x:v>45492</x:v>
      </x:c>
      <x:c r="C25" s="40">
        <x:v>21.012796411290324</x:v>
      </x:c>
      <x:c r="D25" s="40">
        <x:v>16.010934838709677</x:v>
      </x:c>
      <x:c r="E25" s="40">
        <x:v>11.037306841397848</x:v>
      </x:c>
      <x:c r="F25" s="40">
        <x:v>6.2539448521505401</x:v>
      </x:c>
      <x:c r="G25" s="40"/>
      <x:c r="H25" s="40">
        <x:v>17.528300000000005</x:v>
      </x:c>
      <x:c r="I25" s="40">
        <x:v>12.523300000000003</x:v>
      </x:c>
      <x:c r="J25" s="40">
        <x:v>7.5183000000000053</x:v>
      </x:c>
      <x:c r="K25" s="40">
        <x:v>2.5751000000000044</x:v>
      </x:c>
    </x:row>
    <x:row r="26" spans="1:21" x14ac:dyDescent="0.25">
      <x:c r="A26" s="7">
        <x:f t="shared" si="0"/>
        <x:v>13</x:v>
      </x:c>
      <x:c r="B26" s="39">
        <x:f t="shared" si="0"/>
        <x:v>45493</x:v>
      </x:c>
      <x:c r="C26" s="40">
        <x:v>21.11950190860215</x:v>
      </x:c>
      <x:c r="D26" s="40">
        <x:v>16.117640336021502</x:v>
      </x:c>
      <x:c r="E26" s="40">
        <x:v>11.143890564516131</x:v>
      </x:c>
      <x:c r="F26" s="40">
        <x:v>6.3552012500000021</x:v>
      </x:c>
      <x:c r="G26" s="40"/>
      <x:c r="H26" s="40">
        <x:v>17.543600000000001</x:v>
      </x:c>
      <x:c r="I26" s="40">
        <x:v>12.538600000000002</x:v>
      </x:c>
      <x:c r="J26" s="40">
        <x:v>7.5336000000000007</x:v>
      </x:c>
      <x:c r="K26" s="40">
        <x:v>2.6221999999999999</x:v>
      </x:c>
    </x:row>
    <x:row r="27" spans="1:21" x14ac:dyDescent="0.25">
      <x:c r="A27" s="7">
        <x:f t="shared" si="0"/>
        <x:v>14</x:v>
      </x:c>
      <x:c r="B27" s="39">
        <x:f t="shared" si="0"/>
        <x:v>45494</x:v>
      </x:c>
      <x:c r="C27" s="40">
        <x:v>21.246661196236559</x:v>
      </x:c>
      <x:c r="D27" s="40">
        <x:v>16.244799623655911</x:v>
      </x:c>
      <x:c r="E27" s="40">
        <x:v>11.271074193548387</x:v>
      </x:c>
      <x:c r="F27" s="40">
        <x:v>6.4744422177419381</x:v>
      </x:c>
      <x:c r="G27" s="40"/>
      <x:c r="H27" s="40">
        <x:v>14.050600000000001</x:v>
      </x:c>
      <x:c r="I27" s="40">
        <x:v>9.0456000000000003</x:v>
      </x:c>
      <x:c r="J27" s="40">
        <x:v>4.0406000000000013</x:v>
      </x:c>
      <x:c r="K27" s="40">
        <x:v>9.100000000000083E-2</x:v>
      </x:c>
    </x:row>
    <x:row r="28" spans="1:21" x14ac:dyDescent="0.25">
      <x:c r="A28" s="7">
        <x:f t="shared" si="0"/>
        <x:v>15</x:v>
      </x:c>
      <x:c r="B28" s="39">
        <x:f t="shared" si="0"/>
        <x:v>45495</x:v>
      </x:c>
      <x:c r="C28" s="40">
        <x:v>21.360266317204299</x:v>
      </x:c>
      <x:c r="D28" s="40">
        <x:v>16.358404744623652</x:v>
      </x:c>
      <x:c r="E28" s="40">
        <x:v>11.384623669354838</x:v>
      </x:c>
      <x:c r="F28" s="40">
        <x:v>6.5838744623655945</x:v>
      </x:c>
      <x:c r="G28" s="40"/>
      <x:c r="H28" s="40">
        <x:v>13.290199999999995</x:v>
      </x:c>
      <x:c r="I28" s="40">
        <x:v>8.317599999999997</x:v>
      </x:c>
      <x:c r="J28" s="40">
        <x:v>3.582599999999998</x:v>
      </x:c>
      <x:c r="K28" s="40">
        <x:v>0</x:v>
      </x:c>
    </x:row>
    <x:row r="29" spans="1:21" x14ac:dyDescent="0.25">
      <x:c r="A29" s="7">
        <x:f t="shared" si="0"/>
        <x:v>16</x:v>
      </x:c>
      <x:c r="B29" s="39">
        <x:f t="shared" si="0"/>
        <x:v>45496</x:v>
      </x:c>
      <x:c r="C29" s="40">
        <x:v>21.46846356182796</x:v>
      </x:c>
      <x:c r="D29" s="40">
        <x:v>16.466601989247312</x:v>
      </x:c>
      <x:c r="E29" s="40">
        <x:v>11.492737123655914</x:v>
      </x:c>
      <x:c r="F29" s="40">
        <x:v>6.688380618279572</x:v>
      </x:c>
      <x:c r="G29" s="40"/>
      <x:c r="H29" s="40">
        <x:v>13.062900000000006</x:v>
      </x:c>
      <x:c r="I29" s="40">
        <x:v>8.0579000000000036</x:v>
      </x:c>
      <x:c r="J29" s="40">
        <x:v>3.0643000000000047</x:v>
      </x:c>
      <x:c r="K29" s="40">
        <x:v>1.2000000000001022E-3</x:v>
      </x:c>
    </x:row>
    <x:row r="30" spans="1:21" x14ac:dyDescent="0.25">
      <x:c r="A30" s="7">
        <x:f t="shared" si="0"/>
        <x:v>17</x:v>
      </x:c>
      <x:c r="B30" s="39">
        <x:f t="shared" si="0"/>
        <x:v>45497</x:v>
      </x:c>
      <x:c r="C30" s="40">
        <x:v>21.557145430107525</x:v>
      </x:c>
      <x:c r="D30" s="40">
        <x:v>16.555283857526877</x:v>
      </x:c>
      <x:c r="E30" s="40">
        <x:v>11.581349892473117</x:v>
      </x:c>
      <x:c r="F30" s="40">
        <x:v>6.7753185618279597</x:v>
      </x:c>
      <x:c r="G30" s="40"/>
      <x:c r="H30" s="40">
        <x:v>16.2773</x:v>
      </x:c>
      <x:c r="I30" s="40">
        <x:v>11.272300000000001</x:v>
      </x:c>
      <x:c r="J30" s="40">
        <x:v>6.2672999999999979</x:v>
      </x:c>
      <x:c r="K30" s="40">
        <x:v>1.4085999999999985</x:v>
      </x:c>
    </x:row>
    <x:row r="31" spans="1:21" x14ac:dyDescent="0.25">
      <x:c r="A31" s="7">
        <x:f t="shared" si="0"/>
        <x:v>18</x:v>
      </x:c>
      <x:c r="B31" s="39">
        <x:f t="shared" si="0"/>
        <x:v>45498</x:v>
      </x:c>
      <x:c r="C31" s="40">
        <x:v>21.654166196236556</x:v>
      </x:c>
      <x:c r="D31" s="40">
        <x:v>16.652304623655915</x:v>
      </x:c>
      <x:c r="E31" s="40">
        <x:v>11.678360255376345</x:v>
      </x:c>
      <x:c r="F31" s="40">
        <x:v>6.868355537634411</x:v>
      </x:c>
      <x:c r="G31" s="40"/>
      <x:c r="H31" s="40">
        <x:v>16.779899999999998</x:v>
      </x:c>
      <x:c r="I31" s="40">
        <x:v>11.774899999999999</x:v>
      </x:c>
      <x:c r="J31" s="40">
        <x:v>6.7802999999999978</x:v>
      </x:c>
      <x:c r="K31" s="40">
        <x:v>2.2038999999999977</x:v>
      </x:c>
    </x:row>
    <x:row r="32" spans="1:21" x14ac:dyDescent="0.25">
      <x:c r="A32" s="7">
        <x:f t="shared" si="0"/>
        <x:v>19</x:v>
      </x:c>
      <x:c r="B32" s="39">
        <x:f t="shared" si="0"/>
        <x:v>45499</x:v>
      </x:c>
      <x:c r="C32" s="40">
        <x:v>21.729393131720425</x:v>
      </x:c>
      <x:c r="D32" s="40">
        <x:v>16.727531559139788</x:v>
      </x:c>
      <x:c r="E32" s="40">
        <x:v>11.753758776881723</x:v>
      </x:c>
      <x:c r="F32" s="40">
        <x:v>6.9464209946236579</x:v>
      </x:c>
      <x:c r="G32" s="40"/>
      <x:c r="H32" s="40">
        <x:v>13.804999999999998</x:v>
      </x:c>
      <x:c r="I32" s="40">
        <x:v>8.7999999999999989</x:v>
      </x:c>
      <x:c r="J32" s="40">
        <x:v>3.8526000000000002</x:v>
      </x:c>
      <x:c r="K32" s="40">
        <x:v>0.16620000000000013</x:v>
      </x:c>
    </x:row>
    <x:row r="33" spans="1:11" x14ac:dyDescent="0.25">
      <x:c r="A33" s="7">
        <x:f t="shared" si="0"/>
        <x:v>20</x:v>
      </x:c>
      <x:c r="B33" s="39">
        <x:f t="shared" si="0"/>
        <x:v>45500</x:v>
      </x:c>
      <x:c r="C33" s="40">
        <x:v>21.757447137096765</x:v>
      </x:c>
      <x:c r="D33" s="40">
        <x:v>16.755585564516128</x:v>
      </x:c>
      <x:c r="E33" s="40">
        <x:v>11.783186169354838</x:v>
      </x:c>
      <x:c r="F33" s="40">
        <x:v>6.9819351881720459</x:v>
      </x:c>
      <x:c r="G33" s="40"/>
      <x:c r="H33" s="40">
        <x:v>16.2164</x:v>
      </x:c>
      <x:c r="I33" s="40">
        <x:v>11.211400000000001</x:v>
      </x:c>
      <x:c r="J33" s="40">
        <x:v>6.2064000000000021</x:v>
      </x:c>
      <x:c r="K33" s="40">
        <x:v>1.4406000000000025</x:v>
      </x:c>
    </x:row>
    <x:row r="34" spans="1:11" x14ac:dyDescent="0.25">
      <x:c r="A34" s="7">
        <x:f t="shared" si="0"/>
        <x:v>21</x:v>
      </x:c>
      <x:c r="B34" s="39">
        <x:f t="shared" si="0"/>
        <x:v>45501</x:v>
      </x:c>
      <x:c r="C34" s="40">
        <x:v>21.759575860215055</x:v>
      </x:c>
      <x:c r="D34" s="40">
        <x:v>16.757714287634407</x:v>
      </x:c>
      <x:c r="E34" s="40">
        <x:v>11.785759099462368</x:v>
      </x:c>
      <x:c r="F34" s="40">
        <x:v>6.9946652419354853</x:v>
      </x:c>
      <x:c r="G34" s="40"/>
      <x:c r="H34" s="40">
        <x:v>17.942900000000005</x:v>
      </x:c>
      <x:c r="I34" s="40">
        <x:v>12.937900000000006</x:v>
      </x:c>
      <x:c r="J34" s="40">
        <x:v>7.9329000000000063</x:v>
      </x:c>
      <x:c r="K34" s="40">
        <x:v>2.9615000000000067</x:v>
      </x:c>
    </x:row>
    <x:row r="35" spans="1:11" x14ac:dyDescent="0.25">
      <x:c r="A35" s="7">
        <x:f t="shared" ref="A35:B48" si="3">+A34+1</x:f>
        <x:v>22</x:v>
      </x:c>
      <x:c r="B35" s="39">
        <x:f t="shared" si="3"/>
        <x:v>45502</x:v>
      </x:c>
      <x:c r="C35" s="40">
        <x:v>21.72328271505376</x:v>
      </x:c>
      <x:c r="D35" s="40">
        <x:v>16.721421142473115</x:v>
      </x:c>
      <x:c r="E35" s="40">
        <x:v>11.750054569892473</x:v>
      </x:c>
      <x:c r="F35" s="40">
        <x:v>6.969376680107529</x:v>
      </x:c>
      <x:c r="G35" s="40"/>
      <x:c r="H35" s="40">
        <x:v>21.254099999999994</x:v>
      </x:c>
      <x:c r="I35" s="40">
        <x:v>16.249099999999999</x:v>
      </x:c>
      <x:c r="J35" s="40">
        <x:v>11.244099999999998</x:v>
      </x:c>
      <x:c r="K35" s="40">
        <x:v>6.2390999999999988</x:v>
      </x:c>
    </x:row>
    <x:row r="36" spans="1:11" x14ac:dyDescent="0.25">
      <x:c r="A36" s="7">
        <x:f t="shared" si="3"/>
        <x:v>23</x:v>
      </x:c>
      <x:c r="B36" s="39">
        <x:f t="shared" si="3"/>
        <x:v>45503</x:v>
      </x:c>
      <x:c r="C36" s="40">
        <x:v>21.702159193548383</x:v>
      </x:c>
      <x:c r="D36" s="40">
        <x:v>16.700297620967739</x:v>
      </x:c>
      <x:c r="E36" s="40">
        <x:v>11.728067217741936</x:v>
      </x:c>
      <x:c r="F36" s="40">
        <x:v>6.9459179301075293</x:v>
      </x:c>
      <x:c r="G36" s="40"/>
      <x:c r="H36" s="40">
        <x:v>21.945699999999995</x:v>
      </x:c>
      <x:c r="I36" s="40">
        <x:v>16.940700000000003</x:v>
      </x:c>
      <x:c r="J36" s="40">
        <x:v>11.935700000000001</x:v>
      </x:c>
      <x:c r="K36" s="40">
        <x:v>6.9307000000000007</x:v>
      </x:c>
    </x:row>
    <x:row r="37" spans="1:11" x14ac:dyDescent="0.25">
      <x:c r="A37" s="7">
        <x:f t="shared" si="3"/>
        <x:v>24</x:v>
      </x:c>
      <x:c r="B37" s="39">
        <x:f t="shared" si="3"/>
        <x:v>45504</x:v>
      </x:c>
      <x:c r="C37" s="40">
        <x:v>21.707910013440856</x:v>
      </x:c>
      <x:c r="D37" s="40">
        <x:v>16.705517069892473</x:v>
      </x:c>
      <x:c r="E37" s="40">
        <x:v>11.728795215053763</x:v>
      </x:c>
      <x:c r="F37" s="40">
        <x:v>6.9497666935483888</x:v>
      </x:c>
      <x:c r="G37" s="40"/>
      <x:c r="H37" s="40">
        <x:v>22.163800000000009</x:v>
      </x:c>
      <x:c r="I37" s="40">
        <x:v>17.158800000000003</x:v>
      </x:c>
      <x:c r="J37" s="40">
        <x:v>12.153800000000006</x:v>
      </x:c>
      <x:c r="K37" s="40">
        <x:v>7.1488000000000049</x:v>
      </x:c>
    </x:row>
    <x:row r="38" spans="1:11" x14ac:dyDescent="0.25">
      <x:c r="A38" s="7">
        <x:f t="shared" si="3"/>
        <x:v>25</x:v>
      </x:c>
      <x:c r="B38" s="39">
        <x:f t="shared" si="3"/>
        <x:v>45505</x:v>
      </x:c>
      <x:c r="C38" s="40">
        <x:v>21.689072513440856</x:v>
      </x:c>
      <x:c r="D38" s="40">
        <x:v>16.686418279569892</x:v>
      </x:c>
      <x:c r="E38" s="40">
        <x:v>11.7104975672043</x:v>
      </x:c>
      <x:c r="F38" s="40">
        <x:v>6.9399065456989275</x:v>
      </x:c>
      <x:c r="G38" s="40"/>
      <x:c r="H38" s="40">
        <x:v>22.264100000000003</x:v>
      </x:c>
      <x:c r="I38" s="40">
        <x:v>17.259100000000004</x:v>
      </x:c>
      <x:c r="J38" s="40">
        <x:v>12.254100000000005</x:v>
      </x:c>
      <x:c r="K38" s="40">
        <x:v>7.2491000000000048</x:v>
      </x:c>
    </x:row>
    <x:row r="39" spans="1:11" x14ac:dyDescent="0.25">
      <x:c r="A39" s="7">
        <x:f t="shared" si="3"/>
        <x:v>26</x:v>
      </x:c>
      <x:c r="B39" s="39">
        <x:f t="shared" si="3"/>
        <x:v>45506</x:v>
      </x:c>
      <x:c r="C39" s="40">
        <x:v>21.648333642473112</x:v>
      </x:c>
      <x:c r="D39" s="40">
        <x:v>16.645577956989243</x:v>
      </x:c>
      <x:c r="E39" s="40">
        <x:v>11.667592889784945</x:v>
      </x:c>
      <x:c r="F39" s="40">
        <x:v>6.8990776478494649</x:v>
      </x:c>
      <x:c r="G39" s="40"/>
      <x:c r="H39" s="40">
        <x:v>23.7058</x:v>
      </x:c>
      <x:c r="I39" s="40">
        <x:v>18.700800000000001</x:v>
      </x:c>
      <x:c r="J39" s="40">
        <x:v>13.695800000000006</x:v>
      </x:c>
      <x:c r="K39" s="40">
        <x:v>8.6908000000000047</x:v>
      </x:c>
    </x:row>
    <x:row r="40" spans="1:11" x14ac:dyDescent="0.25">
      <x:c r="A40" s="7">
        <x:f t="shared" si="3"/>
        <x:v>27</x:v>
      </x:c>
      <x:c r="B40" s="39">
        <x:f t="shared" si="3"/>
        <x:v>45507</x:v>
      </x:c>
      <x:c r="C40" s="40">
        <x:v>21.580634932795697</x:v>
      </x:c>
      <x:c r="D40" s="40">
        <x:v>16.577596344086022</x:v>
      </x:c>
      <x:c r="E40" s="40">
        <x:v>11.593526115591398</x:v>
      </x:c>
      <x:c r="F40" s="40">
        <x:v>6.8336271505376365</x:v>
      </x:c>
      <x:c r="G40" s="40"/>
      <x:c r="H40" s="40">
        <x:v>22.318200000000012</x:v>
      </x:c>
      <x:c r="I40" s="40">
        <x:v>17.313200000000002</x:v>
      </x:c>
      <x:c r="J40" s="40">
        <x:v>12.308200000000005</x:v>
      </x:c>
      <x:c r="K40" s="40">
        <x:v>7.3032000000000066</x:v>
      </x:c>
    </x:row>
    <x:row r="41" spans="1:11" x14ac:dyDescent="0.25">
      <x:c r="A41" s="7">
        <x:f t="shared" si="3"/>
        <x:v>28</x:v>
      </x:c>
      <x:c r="B41" s="39">
        <x:f t="shared" si="3"/>
        <x:v>45508</x:v>
      </x:c>
      <x:c r="C41" s="40">
        <x:v>21.516617930107525</x:v>
      </x:c>
      <x:c r="D41" s="40">
        <x:v>16.513550309139784</x:v>
      </x:c>
      <x:c r="E41" s="40">
        <x:v>11.529336008064517</x:v>
      </x:c>
      <x:c r="F41" s="40">
        <x:v>6.7803020967741947</x:v>
      </x:c>
      <x:c r="G41" s="40"/>
      <x:c r="H41" s="40">
        <x:v>21.6829</x:v>
      </x:c>
      <x:c r="I41" s="40">
        <x:v>16.677899999999998</x:v>
      </x:c>
      <x:c r="J41" s="40">
        <x:v>11.672899999999997</x:v>
      </x:c>
      <x:c r="K41" s="40">
        <x:v>6.6678999999999986</x:v>
      </x:c>
    </x:row>
    <x:row r="42" spans="1:11" x14ac:dyDescent="0.25">
      <x:c r="A42" s="7">
        <x:f t="shared" si="3"/>
        <x:v>29</x:v>
      </x:c>
      <x:c r="B42" s="39">
        <x:f t="shared" si="3"/>
        <x:v>45509</x:v>
      </x:c>
      <x:c r="C42" s="40">
        <x:v>21.461479798387096</x:v>
      </x:c>
      <x:c r="D42" s="40">
        <x:v>16.458412177419355</x:v>
      </x:c>
      <x:c r="E42" s="40">
        <x:v>11.480809569892475</x:v>
      </x:c>
      <x:c r="F42" s="40">
        <x:v>6.749467620967744</x:v>
      </x:c>
      <x:c r="G42" s="40"/>
      <x:c r="H42" s="40">
        <x:v>20.9437</x:v>
      </x:c>
      <x:c r="I42" s="40">
        <x:v>15.938700000000001</x:v>
      </x:c>
      <x:c r="J42" s="40">
        <x:v>10.933700000000002</x:v>
      </x:c>
      <x:c r="K42" s="40">
        <x:v>5.9287000000000001</x:v>
      </x:c>
    </x:row>
    <x:row r="43" spans="1:11" x14ac:dyDescent="0.25">
      <x:c r="A43" s="7">
        <x:f t="shared" si="3"/>
        <x:v>30</x:v>
      </x:c>
      <x:c r="B43" s="39">
        <x:f t="shared" si="3"/>
        <x:v>45510</x:v>
      </x:c>
      <x:c r="C43" s="40">
        <x:v>21.373653306451612</x:v>
      </x:c>
      <x:c r="D43" s="40">
        <x:v>16.370613104838711</x:v>
      </x:c>
      <x:c r="E43" s="40">
        <x:v>11.396635577956991</x:v>
      </x:c>
      <x:c r="F43" s="40">
        <x:v>6.6829455376344109</x:v>
      </x:c>
      <x:c r="G43" s="40"/>
      <x:c r="H43" s="40">
        <x:v>23.211700000000004</x:v>
      </x:c>
      <x:c r="I43" s="40">
        <x:v>18.206699999999998</x:v>
      </x:c>
      <x:c r="J43" s="40">
        <x:v>13.201700000000002</x:v>
      </x:c>
      <x:c r="K43" s="40">
        <x:v>8.1967000000000034</x:v>
      </x:c>
    </x:row>
    <x:row r="44" spans="1:11" x14ac:dyDescent="0.25">
      <x:c r="A44" s="7">
        <x:f t="shared" si="3"/>
        <x:v>31</x:v>
      </x:c>
      <x:c r="B44" s="39">
        <x:f t="shared" si="3"/>
        <x:v>45511</x:v>
      </x:c>
      <x:c r="C44" s="40">
        <x:v>21.322192607526883</x:v>
      </x:c>
      <x:c r="D44" s="40">
        <x:v>16.319152405913975</x:v>
      </x:c>
      <x:c r="E44" s="40">
        <x:v>11.345203266129033</x:v>
      </x:c>
      <x:c r="F44" s="40">
        <x:v>6.6447469086021513</x:v>
      </x:c>
      <x:c r="G44" s="40"/>
      <x:c r="H44" s="40">
        <x:v>25.458300000000001</x:v>
      </x:c>
      <x:c r="I44" s="40">
        <x:v>20.453299999999995</x:v>
      </x:c>
      <x:c r="J44" s="40">
        <x:v>15.448299999999996</x:v>
      </x:c>
      <x:c r="K44" s="40">
        <x:v>10.443300000000001</x:v>
      </x:c>
    </x:row>
    <x:row r="45" spans="1:11" x14ac:dyDescent="0.25">
      <x:c r="A45" s="7">
        <x:f t="shared" si="3"/>
        <x:v>32</x:v>
      </x:c>
      <x:c r="B45" s="39">
        <x:f t="shared" si="3"/>
        <x:v>45512</x:v>
      </x:c>
      <x:c r="C45" s="40">
        <x:v>21.313111008064517</x:v>
      </x:c>
      <x:c r="D45" s="40">
        <x:v>16.310070806451609</x:v>
      </x:c>
      <x:c r="E45" s="40">
        <x:v>11.335727795698928</x:v>
      </x:c>
      <x:c r="F45" s="40">
        <x:v>6.6388071908602155</x:v>
      </x:c>
      <x:c r="G45" s="40"/>
      <x:c r="H45" s="40">
        <x:v>26.02930000000001</x:v>
      </x:c>
      <x:c r="I45" s="40">
        <x:v>21.024300000000004</x:v>
      </x:c>
      <x:c r="J45" s="40">
        <x:v>16.019300000000005</x:v>
      </x:c>
      <x:c r="K45" s="40">
        <x:v>11.014300000000008</x:v>
      </x:c>
    </x:row>
    <x:row r="46" spans="1:11" x14ac:dyDescent="0.25">
      <x:c r="A46" s="7">
        <x:f t="shared" si="3"/>
        <x:v>33</x:v>
      </x:c>
      <x:c r="B46" s="39">
        <x:f t="shared" si="3"/>
        <x:v>45513</x:v>
      </x:c>
      <x:c r="C46" s="40">
        <x:v>21.320631465053765</x:v>
      </x:c>
      <x:c r="D46" s="40">
        <x:v>16.317591263440857</x:v>
      </x:c>
      <x:c r="E46" s="40">
        <x:v>11.343166962365595</x:v>
      </x:c>
      <x:c r="F46" s="40">
        <x:v>6.643408131720431</x:v>
      </x:c>
      <x:c r="G46" s="40"/>
      <x:c r="H46" s="40">
        <x:v>19.850000000000001</x:v>
      </x:c>
      <x:c r="I46" s="40">
        <x:v>14.845000000000004</x:v>
      </x:c>
      <x:c r="J46" s="40">
        <x:v>9.8400000000000016</x:v>
      </x:c>
      <x:c r="K46" s="40">
        <x:v>4.8350000000000035</x:v>
      </x:c>
    </x:row>
    <x:row r="47" spans="1:11" x14ac:dyDescent="0.25">
      <x:c r="A47" s="7">
        <x:f t="shared" si="3"/>
        <x:v>34</x:v>
      </x:c>
      <x:c r="B47" s="39">
        <x:f t="shared" si="3"/>
        <x:v>45514</x:v>
      </x:c>
      <x:c r="C47" s="40">
        <x:v>21.311016142473118</x:v>
      </x:c>
      <x:c r="D47" s="40">
        <x:v>16.307420497311824</x:v>
      </x:c>
      <x:c r="E47" s="40">
        <x:v>11.331395954301078</x:v>
      </x:c>
      <x:c r="F47" s="40">
        <x:v>6.625787056451613</x:v>
      </x:c>
      <x:c r="G47" s="40"/>
      <x:c r="H47" s="40">
        <x:v>20.458400000000001</x:v>
      </x:c>
      <x:c r="I47" s="40">
        <x:v>15.453400000000004</x:v>
      </x:c>
      <x:c r="J47" s="40">
        <x:v>10.448400000000005</x:v>
      </x:c>
      <x:c r="K47" s="40">
        <x:v>5.4830000000000023</x:v>
      </x:c>
    </x:row>
    <x:row r="48" spans="1:11" x14ac:dyDescent="0.25">
      <x:c r="A48" s="7">
        <x:f t="shared" si="3"/>
        <x:v>35</x:v>
      </x:c>
      <x:c r="B48" s="39">
        <x:f t="shared" si="3"/>
        <x:v>45515</x:v>
      </x:c>
      <x:c r="C48" s="40">
        <x:v>21.301752352150533</x:v>
      </x:c>
      <x:c r="D48" s="40">
        <x:v>16.297713158602146</x:v>
      </x:c>
      <x:c r="E48" s="40">
        <x:v>11.32092182795699</x:v>
      </x:c>
      <x:c r="F48" s="40">
        <x:v>6.6093677150537635</x:v>
      </x:c>
      <x:c r="G48" s="40"/>
      <x:c r="H48" s="40">
        <x:v>22.074300000000004</x:v>
      </x:c>
      <x:c r="I48" s="40">
        <x:v>17.069300000000009</x:v>
      </x:c>
      <x:c r="J48" s="40">
        <x:v>12.064300000000006</x:v>
      </x:c>
      <x:c r="K48" s="40">
        <x:v>7.0593000000000066</x:v>
      </x:c>
    </x:row>
    <x:row r="49" spans="1:11" x14ac:dyDescent="0.25">
      <x:c r="A49" s="7">
        <x:f>+A48+1</x:f>
        <x:v>36</x:v>
      </x:c>
      <x:c r="B49" s="39" t="s">
        <x:v>51</x:v>
      </x:c>
      <x:c r="C49" s="207">
        <x:f>SUM(C18:C48)</x:f>
        <x:v>659.96900512500008</x:v>
      </x:c>
      <x:c r="D49" s="207">
        <x:f t="shared" ref="D49:F49" si="4">SUM(D18:D48)</x:f>
        <x:v>504.89691250403234</x:v>
      </x:c>
      <x:c r="E49" s="207">
        <x:f t="shared" si="4"/>
        <x:v>350.68857063172038</x:v>
      </x:c>
      <x:c r="F49" s="207">
        <x:f t="shared" si="4"/>
        <x:v>203.03465311827961</x:v>
      </x:c>
      <x:c r="G49" s="208"/>
      <x:c r="H49" s="207">
        <x:f>SUM(H18:H48)</x:f>
        <x:v>614.12630000000001</x:v>
      </x:c>
      <x:c r="I49" s="207">
        <x:f t="shared" ref="I49" si="5">SUM(I18:I48)</x:f>
        <x:v>459.00370000000004</x:v>
      </x:c>
      <x:c r="J49" s="207">
        <x:f t="shared" ref="J49" si="6">SUM(J18:J48)</x:f>
        <x:v>304.19810000000001</x:v>
      </x:c>
      <x:c r="K49" s="207">
        <x:f t="shared" ref="K49" si="7">SUM(K18:K48)</x:f>
        <x:v>156.29370000000009</x:v>
      </x:c>
    </x:row>
    <x:row r="50" spans="1:11" x14ac:dyDescent="0.25">
      <x:c r="A50" s="7"/>
    </x:row>
  </x:sheetData>
  <x:mergeCells count="11">
    <x:mergeCell ref="B6:K6"/>
    <x:mergeCell ref="B1:K1"/>
    <x:mergeCell ref="B2:K2"/>
    <x:mergeCell ref="B3:K3"/>
    <x:mergeCell ref="B4:K4"/>
    <x:mergeCell ref="B5:L5"/>
    <x:mergeCell ref="B8:K8"/>
    <x:mergeCell ref="C14:E14"/>
    <x:mergeCell ref="H14:K14"/>
    <x:mergeCell ref="C15:F15"/>
    <x:mergeCell ref="H15:K15"/>
  </x:mergeCells>
  <x:printOptions horizontalCentered="1"/>
  <x:pageMargins left="1.5" right="0.5" top="1.5" bottom="1" header="1" footer="0.5"/>
  <x:pageSetup scale="79" firstPageNumber="3" orientation="portrait" r:id="rId1"/>
  <x:headerFooter alignWithMargins="0">
    <x:oddHeader>&amp;RSchedule II-H-5.2
Page &amp;P of 37</x:oddHeader>
  </x:headerFooter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 codeName="Sheet22">
    <x:pageSetUpPr fitToPage="1"/>
  </x:sheetPr>
  <x:dimension ref="A1:W37"/>
  <x:sheetViews>
    <x:sheetView view="pageBreakPreview" zoomScaleNormal="100" workbookViewId="0"/>
  </x:sheetViews>
  <x:sheetFormatPr defaultColWidth="9.08984375" defaultRowHeight="12.5" x14ac:dyDescent="0.25"/>
  <x:cols>
    <x:col min="1" max="2" width="9.08984375" style="9"/>
    <x:col min="3" max="3" width="9.08984375" style="7"/>
    <x:col min="4" max="4" width="8.90625" style="9" bestFit="1" customWidth="1"/>
    <x:col min="5" max="5" width="9.36328125" style="9" bestFit="1" customWidth="1"/>
    <x:col min="6" max="7" width="9.36328125" style="9" customWidth="1"/>
    <x:col min="8" max="16384" width="9.08984375" style="9"/>
  </x:cols>
  <x:sheetData>
    <x:row r="1" spans="1:13" customFormat="1" ht="15.5" x14ac:dyDescent="0.35">
      <x:c r="A1" s="1"/>
      <x:c r="B1" s="209" t="str">
        <x:f>+RES!B1</x:f>
        <x:v xml:space="preserve">PUC DOCKET NO. </x:v>
      </x:c>
      <x:c r="C1" s="209"/>
      <x:c r="D1" s="209"/>
      <x:c r="E1" s="212"/>
      <x:c r="F1" s="212"/>
      <x:c r="G1" s="212"/>
      <x:c r="H1" s="212"/>
      <x:c r="I1" s="212"/>
      <x:c r="J1" s="212"/>
      <x:c r="K1" s="212"/>
      <x:c r="L1" s="212"/>
      <x:c r="M1" s="212"/>
    </x:row>
    <x:row r="2" spans="1:13" customFormat="1" ht="15.5" x14ac:dyDescent="0.35">
      <x:c r="A2" s="1"/>
      <x:c r="B2" s="209" t="str">
        <x:f>+RES!B2</x:f>
        <x:v>ONCOR ELECTRIC DELIVERY COMPANY LLC</x:v>
      </x:c>
      <x:c r="C2" s="209"/>
      <x:c r="D2" s="209"/>
      <x:c r="E2" s="212"/>
      <x:c r="F2" s="212"/>
      <x:c r="G2" s="212"/>
      <x:c r="H2" s="212"/>
      <x:c r="I2" s="212"/>
      <x:c r="J2" s="212"/>
      <x:c r="K2" s="212"/>
      <x:c r="L2" s="212"/>
      <x:c r="M2" s="212"/>
    </x:row>
    <x:row r="3" spans="1:13" customFormat="1" ht="15.5" x14ac:dyDescent="0.35">
      <x:c r="A3" s="1"/>
      <x:c r="B3" s="209" t="str">
        <x:f>+RES!B3</x:f>
        <x:v>ADJUSTED WEATHER STATION DATA</x:v>
      </x:c>
      <x:c r="C3" s="209"/>
      <x:c r="D3" s="209"/>
      <x:c r="E3" s="212"/>
      <x:c r="F3" s="212"/>
      <x:c r="G3" s="212"/>
      <x:c r="H3" s="212"/>
      <x:c r="I3" s="212"/>
      <x:c r="J3" s="212"/>
      <x:c r="K3" s="212"/>
      <x:c r="L3" s="212"/>
      <x:c r="M3" s="212"/>
    </x:row>
    <x:row r="4" spans="1:13" customFormat="1" ht="15.5" x14ac:dyDescent="0.35">
      <x:c r="A4" s="1"/>
      <x:c r="B4" s="209" t="str">
        <x:f>+RES!B4</x:f>
        <x:v>FOR THE TEST YEAR ENDING DECEMBER 31, 2024</x:v>
      </x:c>
      <x:c r="C4" s="209"/>
      <x:c r="D4" s="209"/>
      <x:c r="E4" s="212"/>
      <x:c r="F4" s="212"/>
      <x:c r="G4" s="212"/>
      <x:c r="H4" s="212"/>
      <x:c r="I4" s="212"/>
      <x:c r="J4" s="212"/>
      <x:c r="K4" s="212"/>
      <x:c r="L4" s="212"/>
      <x:c r="M4" s="212"/>
    </x:row>
    <x:row r="5" spans="1:13" customFormat="1" ht="15.5" x14ac:dyDescent="0.35">
      <x:c r="A5" s="1"/>
      <x:c r="B5" s="209"/>
      <x:c r="C5" s="209"/>
      <x:c r="D5" s="209"/>
      <x:c r="E5" s="212"/>
      <x:c r="F5" s="212"/>
      <x:c r="G5" s="212"/>
      <x:c r="H5" s="212"/>
      <x:c r="I5" s="212"/>
      <x:c r="J5" s="212"/>
      <x:c r="K5" s="212"/>
      <x:c r="L5" s="212"/>
      <x:c r="M5" s="212"/>
    </x:row>
    <x:row r="6" spans="1:13" ht="15.5" x14ac:dyDescent="0.35">
      <x:c r="B6" s="209" t="str">
        <x:f>+RES!B6</x:f>
        <x:v>SPONSOR: D. E. NELSON</x:v>
      </x:c>
      <x:c r="C6" s="209"/>
      <x:c r="D6" s="209"/>
      <x:c r="E6" s="212"/>
      <x:c r="F6" s="212"/>
      <x:c r="G6" s="212"/>
      <x:c r="H6" s="212"/>
      <x:c r="I6" s="212"/>
      <x:c r="J6" s="212"/>
      <x:c r="K6" s="212"/>
      <x:c r="L6" s="212"/>
      <x:c r="M6" s="212"/>
    </x:row>
    <x:row r="7" spans="1:13" ht="15.5" x14ac:dyDescent="0.35">
      <x:c r="B7" s="4"/>
      <x:c r="C7" s="4"/>
      <x:c r="D7" s="4"/>
      <x:c r="E7" s="51"/>
      <x:c r="F7" s="140"/>
      <x:c r="G7" s="182"/>
      <x:c r="H7" s="51"/>
      <x:c r="I7" s="51"/>
      <x:c r="J7" s="51"/>
      <x:c r="K7" s="140"/>
      <x:c r="L7" s="182"/>
      <x:c r="M7" s="51"/>
    </x:row>
    <x:row r="8" spans="1:13" ht="15.5" x14ac:dyDescent="0.35">
      <x:c r="B8" s="209" t="s">
        <x:v>161</x:v>
      </x:c>
      <x:c r="C8" s="209"/>
      <x:c r="D8" s="209"/>
      <x:c r="E8" s="212"/>
      <x:c r="F8" s="212"/>
      <x:c r="G8" s="212"/>
      <x:c r="H8" s="212"/>
      <x:c r="I8" s="212"/>
      <x:c r="J8" s="212"/>
      <x:c r="K8" s="212"/>
      <x:c r="L8" s="212"/>
      <x:c r="M8" s="212"/>
    </x:row>
    <x:row r="9" spans="1:13" ht="15.5" x14ac:dyDescent="0.35">
      <x:c r="A9" s="1" t="s">
        <x:v>6</x:v>
      </x:c>
      <x:c r="B9" s="4"/>
      <x:c r="C9" s="4"/>
      <x:c r="D9" s="4"/>
      <x:c r="E9" s="1"/>
      <x:c r="F9" s="139"/>
      <x:c r="G9" s="181"/>
      <x:c r="H9" s="1"/>
      <x:c r="I9" s="1"/>
      <x:c r="J9" s="1"/>
      <x:c r="K9" s="139"/>
      <x:c r="L9" s="181"/>
      <x:c r="M9" s="1"/>
    </x:row>
    <x:row r="10" spans="1:13" ht="15.5" x14ac:dyDescent="0.35">
      <x:c r="A10" s="5" t="s">
        <x:v>8</x:v>
      </x:c>
      <x:c r="B10" s="4"/>
      <x:c r="C10" s="4"/>
      <x:c r="D10" s="4"/>
      <x:c r="E10" s="1"/>
      <x:c r="F10" s="139"/>
      <x:c r="G10" s="181"/>
      <x:c r="H10" s="1"/>
      <x:c r="I10" s="1"/>
      <x:c r="J10" s="1"/>
      <x:c r="K10" s="139"/>
      <x:c r="L10" s="181"/>
      <x:c r="M10" s="1"/>
    </x:row>
    <x:row r="11" spans="1:13" ht="13" x14ac:dyDescent="0.3">
      <x:c r="A11" s="7">
        <x:v>1</x:v>
      </x:c>
      <x:c r="B11" s="42" t="s">
        <x:v>25</x:v>
      </x:c>
      <x:c r="C11" s="43" t="s">
        <x:v>26</x:v>
      </x:c>
      <x:c r="D11" s="43" t="s">
        <x:v>27</x:v>
      </x:c>
      <x:c r="E11" s="223" t="s">
        <x:v>77</x:v>
      </x:c>
      <x:c r="F11" s="215"/>
      <x:c r="G11" s="215"/>
      <x:c r="H11" s="215"/>
      <x:c r="I11" s="194"/>
      <x:c r="J11" s="223" t="s">
        <x:v>79</x:v>
      </x:c>
      <x:c r="K11" s="215"/>
      <x:c r="L11" s="215"/>
      <x:c r="M11" s="215"/>
    </x:row>
    <x:row r="12" spans="1:13" ht="13" x14ac:dyDescent="0.3">
      <x:c r="A12" s="7">
        <x:f t="shared" ref="A12:A27" si="0">+A11+1</x:f>
        <x:v>2</x:v>
      </x:c>
      <x:c r="B12" s="44" t="s">
        <x:v>27</x:v>
      </x:c>
      <x:c r="C12" s="44" t="s">
        <x:v>85</x:v>
      </x:c>
      <x:c r="D12" s="44" t="s">
        <x:v>28</x:v>
      </x:c>
      <x:c r="E12" s="44" t="s">
        <x:v>148</x:v>
      </x:c>
      <x:c r="F12" s="141" t="s">
        <x:v>126</x:v>
      </x:c>
      <x:c r="G12" s="183" t="s">
        <x:v>78</x:v>
      </x:c>
      <x:c r="H12" s="44" t="s">
        <x:v>81</x:v>
      </x:c>
      <x:c r="I12" s="44"/>
      <x:c r="J12" s="44" t="s">
        <x:v>148</x:v>
      </x:c>
      <x:c r="K12" s="141" t="s">
        <x:v>126</x:v>
      </x:c>
      <x:c r="L12" s="183" t="s">
        <x:v>78</x:v>
      </x:c>
      <x:c r="M12" s="44" t="s">
        <x:v>81</x:v>
      </x:c>
    </x:row>
    <x:row r="13" spans="1:13" x14ac:dyDescent="0.25">
      <x:c r="A13" s="7">
        <x:f t="shared" si="0"/>
        <x:v>3</x:v>
      </x:c>
      <x:c r="B13" s="37">
        <x:v>1</x:v>
      </x:c>
      <x:c r="C13" s="33">
        <x:v>44950</x:v>
      </x:c>
      <x:c r="D13" s="33">
        <x:v>44917</x:v>
      </x:c>
      <x:c r="E13" s="45">
        <x:v>92.768036653225778</x:v>
      </x:c>
      <x:c r="F13" s="45">
        <x:v>290.37853776881724</x:v>
      </x:c>
      <x:c r="G13" s="45">
        <x:v>426.23971321236553</x:v>
      </x:c>
      <x:c r="H13" s="45">
        <x:v>576.64266334677404</x:v>
      </x:c>
      <x:c r="I13" s="45"/>
      <x:c r="J13" s="45">
        <x:v>85.205200000000019</x:v>
      </x:c>
      <x:c r="K13" s="45">
        <x:v>216.83950000000002</x:v>
      </x:c>
      <x:c r="L13" s="45">
        <x:v>324.00070000000005</x:v>
      </x:c>
      <x:c r="M13" s="45">
        <x:v>455.45909999999998</x:v>
      </x:c>
    </x:row>
    <x:row r="14" spans="1:13" x14ac:dyDescent="0.25">
      <x:c r="A14" s="7">
        <x:f t="shared" si="0"/>
        <x:v>4</x:v>
      </x:c>
      <x:c r="B14" s="37">
        <x:v>2</x:v>
      </x:c>
      <x:c r="C14" s="33">
        <x:v>44951</x:v>
      </x:c>
      <x:c r="D14" s="33">
        <x:v>44922</x:v>
      </x:c>
      <x:c r="E14" s="45">
        <x:v>82.577700981182787</x:v>
      </x:c>
      <x:c r="F14" s="45">
        <x:v>257.12518411290324</x:v>
      </x:c>
      <x:c r="G14" s="45">
        <x:v>377.11184352150531</x:v>
      </x:c>
      <x:c r="H14" s="45">
        <x:v>509.72952263440851</x:v>
      </x:c>
      <x:c r="I14" s="45"/>
      <x:c r="J14" s="45">
        <x:v>12.736199999999993</x:v>
      </x:c>
      <x:c r="K14" s="45">
        <x:v>104.1489</x:v>
      </x:c>
      <x:c r="L14" s="45">
        <x:v>191.31009999999998</x:v>
      </x:c>
      <x:c r="M14" s="45">
        <x:v>302.76850000000002</x:v>
      </x:c>
    </x:row>
    <x:row r="15" spans="1:13" x14ac:dyDescent="0.25">
      <x:c r="A15" s="7">
        <x:f t="shared" si="0"/>
        <x:v>5</x:v>
      </x:c>
      <x:c r="B15" s="37">
        <x:v>3</x:v>
      </x:c>
      <x:c r="C15" s="33">
        <x:v>44953</x:v>
      </x:c>
      <x:c r="D15" s="33">
        <x:v>44923</x:v>
      </x:c>
      <x:c r="E15" s="45">
        <x:v>85.345402446236548</x:v>
      </x:c>
      <x:c r="F15" s="45">
        <x:v>265.96740331989247</x:v>
      </x:c>
      <x:c r="G15" s="45">
        <x:v>390.21345678763436</x:v>
      </x:c>
      <x:c r="H15" s="45">
        <x:v>527.65830990591394</x:v>
      </x:c>
      <x:c r="I15" s="45"/>
      <x:c r="J15" s="45">
        <x:v>13.142199999999992</x:v>
      </x:c>
      <x:c r="K15" s="45">
        <x:v>114.63149999999999</x:v>
      </x:c>
      <x:c r="L15" s="45">
        <x:v>206.7927</x:v>
      </x:c>
      <x:c r="M15" s="45">
        <x:v>323.25109999999995</x:v>
      </x:c>
    </x:row>
    <x:row r="16" spans="1:13" x14ac:dyDescent="0.25">
      <x:c r="A16" s="7">
        <x:f t="shared" si="0"/>
        <x:v>6</x:v>
      </x:c>
      <x:c r="B16" s="37">
        <x:v>4</x:v>
      </x:c>
      <x:c r="C16" s="33">
        <x:v>44956</x:v>
      </x:c>
      <x:c r="D16" s="33">
        <x:v>44924</x:v>
      </x:c>
      <x:c r="E16" s="45">
        <x:v>90.940308965053745</x:v>
      </x:c>
      <x:c r="F16" s="45">
        <x:v>283.68870356182788</x:v>
      </x:c>
      <x:c r="G16" s="45">
        <x:v>416.37498737903223</x:v>
      </x:c>
      <x:c r="H16" s="45">
        <x:v>563.37177366935475</x:v>
      </x:c>
      <x:c r="I16" s="45"/>
      <x:c r="J16" s="45">
        <x:v>16.32739999999999</x:v>
      </x:c>
      <x:c r="K16" s="45">
        <x:v>135.2843</x:v>
      </x:c>
      <x:c r="L16" s="45">
        <x:v>238.26749999999998</x:v>
      </x:c>
      <x:c r="M16" s="45">
        <x:v>364.62509999999997</x:v>
      </x:c>
    </x:row>
    <x:row r="17" spans="1:23" x14ac:dyDescent="0.25">
      <x:c r="A17" s="7">
        <x:f t="shared" si="0"/>
        <x:v>7</x:v>
      </x:c>
      <x:c r="B17" s="37">
        <x:v>5</x:v>
      </x:c>
      <x:c r="C17" s="33">
        <x:v>44957</x:v>
      </x:c>
      <x:c r="D17" s="33">
        <x:v>44925</x:v>
      </x:c>
      <x:c r="E17" s="45">
        <x:v>90.963411747311795</x:v>
      </x:c>
      <x:c r="F17" s="45">
        <x:v>283.65863124999993</x:v>
      </x:c>
      <x:c r="G17" s="45">
        <x:v>416.4099601075269</x:v>
      </x:c>
      <x:c r="H17" s="45">
        <x:v>563.60124221774186</x:v>
      </x:c>
      <x:c r="I17" s="45"/>
      <x:c r="J17" s="45">
        <x:v>32.782299999999992</x:v>
      </x:c>
      <x:c r="K17" s="45">
        <x:v>161.73920000000001</x:v>
      </x:c>
      <x:c r="L17" s="45">
        <x:v>269.48809999999997</x:v>
      </x:c>
      <x:c r="M17" s="45">
        <x:v>400.33859999999999</x:v>
      </x:c>
    </x:row>
    <x:row r="18" spans="1:23" x14ac:dyDescent="0.25">
      <x:c r="A18" s="7">
        <x:f t="shared" si="0"/>
        <x:v>8</x:v>
      </x:c>
      <x:c r="B18" s="37">
        <x:v>6</x:v>
      </x:c>
      <x:c r="C18" s="33">
        <x:v>44958</x:v>
      </x:c>
      <x:c r="D18" s="33">
        <x:v>44929</x:v>
      </x:c>
      <x:c r="E18" s="45">
        <x:v>82.360874516129002</x:v>
      </x:c>
      <x:c r="F18" s="45">
        <x:v>256.74838129032253</x:v>
      </x:c>
      <x:c r="G18" s="45">
        <x:v>377.22565311827964</x:v>
      </x:c>
      <x:c r="H18" s="45">
        <x:v>511.04572357526882</x:v>
      </x:c>
      <x:c r="I18" s="45"/>
      <x:c r="J18" s="45">
        <x:v>50.576799999999992</x:v>
      </x:c>
      <x:c r="K18" s="45">
        <x:v>188.5188</x:v>
      </x:c>
      <x:c r="L18" s="45">
        <x:v>295.55279999999999</x:v>
      </x:c>
      <x:c r="M18" s="45">
        <x:v>420.00540000000001</x:v>
      </x:c>
    </x:row>
    <x:row r="19" spans="1:23" x14ac:dyDescent="0.25">
      <x:c r="A19" s="7">
        <x:f t="shared" si="0"/>
        <x:v>9</x:v>
      </x:c>
      <x:c r="B19" s="37">
        <x:v>7</x:v>
      </x:c>
      <x:c r="C19" s="33">
        <x:v>44959</x:v>
      </x:c>
      <x:c r="D19" s="33">
        <x:v>44930</x:v>
      </x:c>
      <x:c r="E19" s="45">
        <x:v>82.192038494623617</x:v>
      </x:c>
      <x:c r="F19" s="45">
        <x:v>256.36692096774192</x:v>
      </x:c>
      <x:c r="G19" s="45">
        <x:v>376.80616250000008</x:v>
      </x:c>
      <x:c r="H19" s="45">
        <x:v>510.73378549731177</x:v>
      </x:c>
      <x:c r="I19" s="45"/>
      <x:c r="J19" s="45">
        <x:v>66.208199999999991</x:v>
      </x:c>
      <x:c r="K19" s="45">
        <x:v>213.6627</x:v>
      </x:c>
      <x:c r="L19" s="45">
        <x:v>325.03869999999995</x:v>
      </x:c>
      <x:c r="M19" s="45">
        <x:v>451.22479999999996</x:v>
      </x:c>
    </x:row>
    <x:row r="20" spans="1:23" x14ac:dyDescent="0.25">
      <x:c r="A20" s="7">
        <x:f t="shared" si="0"/>
        <x:v>10</x:v>
      </x:c>
      <x:c r="B20" s="37">
        <x:v>8</x:v>
      </x:c>
      <x:c r="C20" s="33">
        <x:v>44960</x:v>
      </x:c>
      <x:c r="D20" s="33">
        <x:v>44931</x:v>
      </x:c>
      <x:c r="E20" s="45">
        <x:v>81.98121090053759</x:v>
      </x:c>
      <x:c r="F20" s="45">
        <x:v>255.90858932795695</x:v>
      </x:c>
      <x:c r="G20" s="45">
        <x:v>376.27783822580653</x:v>
      </x:c>
      <x:c r="H20" s="45">
        <x:v>510.28554368279572</x:v>
      </x:c>
      <x:c r="I20" s="45"/>
      <x:c r="J20" s="45">
        <x:v>77.5291</x:v>
      </x:c>
      <x:c r="K20" s="45">
        <x:v>229.07619999999997</x:v>
      </x:c>
      <x:c r="L20" s="45">
        <x:v>340.54099999999994</x:v>
      </x:c>
      <x:c r="M20" s="45">
        <x:v>466.72709999999995</x:v>
      </x:c>
    </x:row>
    <x:row r="21" spans="1:23" x14ac:dyDescent="0.25">
      <x:c r="A21" s="7">
        <x:f t="shared" si="0"/>
        <x:v>11</x:v>
      </x:c>
      <x:c r="B21" s="37">
        <x:v>9</x:v>
      </x:c>
      <x:c r="C21" s="33">
        <x:v>44963</x:v>
      </x:c>
      <x:c r="D21" s="33">
        <x:v>44932</x:v>
      </x:c>
      <x:c r="E21" s="45">
        <x:v>87.158892352150502</x:v>
      </x:c>
      <x:c r="F21" s="45">
        <x:v>272.13215880376339</x:v>
      </x:c>
      <x:c r="G21" s="45">
        <x:v>400.28724251344084</x:v>
      </x:c>
      <x:c r="H21" s="45">
        <x:v>543.38575034946234</x:v>
      </x:c>
      <x:c r="I21" s="45"/>
      <x:c r="J21" s="45">
        <x:v>82.880400000000009</x:v>
      </x:c>
      <x:c r="K21" s="45">
        <x:v>247.65649999999997</x:v>
      </x:c>
      <x:c r="L21" s="45">
        <x:v>369.0646999999999</x:v>
      </x:c>
      <x:c r="M21" s="45">
        <x:v>505.25079999999997</x:v>
      </x:c>
    </x:row>
    <x:row r="22" spans="1:23" x14ac:dyDescent="0.25">
      <x:c r="A22" s="7">
        <x:f t="shared" si="0"/>
        <x:v>12</x:v>
      </x:c>
      <x:c r="B22" s="37">
        <x:v>10</x:v>
      </x:c>
      <x:c r="C22" s="33">
        <x:v>44964</x:v>
      </x:c>
      <x:c r="D22" s="33">
        <x:v>44933</x:v>
      </x:c>
      <x:c r="E22" s="45">
        <x:v>86.771851424731167</x:v>
      </x:c>
      <x:c r="F22" s="45">
        <x:v>271.20375137096772</x:v>
      </x:c>
      <x:c r="G22" s="45">
        <x:v>399.14389629032252</x:v>
      </x:c>
      <x:c r="H22" s="45">
        <x:v>542.17791467741927</x:v>
      </x:c>
      <x:c r="I22" s="45"/>
      <x:c r="J22" s="45">
        <x:v>82.880400000000009</x:v>
      </x:c>
      <x:c r="K22" s="45">
        <x:v>247.50659999999996</x:v>
      </x:c>
      <x:c r="L22" s="45">
        <x:v>365.86839999999989</x:v>
      </x:c>
      <x:c r="M22" s="45">
        <x:v>499.62760000000003</x:v>
      </x:c>
    </x:row>
    <x:row r="23" spans="1:23" x14ac:dyDescent="0.25">
      <x:c r="A23" s="7">
        <x:f t="shared" si="0"/>
        <x:v>13</x:v>
      </x:c>
      <x:c r="B23" s="37">
        <x:v>11</x:v>
      </x:c>
      <x:c r="C23" s="33">
        <x:v>44965</x:v>
      </x:c>
      <x:c r="D23" s="33">
        <x:v>44935</x:v>
      </x:c>
      <x:c r="E23" s="45">
        <x:v>83.394913091397825</x:v>
      </x:c>
      <x:c r="F23" s="45">
        <x:v>261.09944861559137</x:v>
      </x:c>
      <x:c r="G23" s="45">
        <x:v>384.66760965053754</x:v>
      </x:c>
      <x:c r="H23" s="45">
        <x:v>523.05529740591396</x:v>
      </x:c>
      <x:c r="I23" s="45"/>
      <x:c r="J23" s="45">
        <x:v>82.848100000000017</x:v>
      </x:c>
      <x:c r="K23" s="45">
        <x:v>242.83429999999996</x:v>
      </x:c>
      <x:c r="L23" s="45">
        <x:v>356.98369999999994</x:v>
      </x:c>
      <x:c r="M23" s="45">
        <x:v>485.96729999999991</x:v>
      </x:c>
    </x:row>
    <x:row r="24" spans="1:23" x14ac:dyDescent="0.25">
      <x:c r="A24" s="7">
        <x:f t="shared" si="0"/>
        <x:v>14</x:v>
      </x:c>
      <x:c r="B24" s="37">
        <x:v>12</x:v>
      </x:c>
      <x:c r="C24" s="33">
        <x:v>44966</x:v>
      </x:c>
      <x:c r="D24" s="33">
        <x:v>44936</x:v>
      </x:c>
      <x:c r="E24" s="45">
        <x:v>83.067679341397834</x:v>
      </x:c>
      <x:c r="F24" s="45">
        <x:v>260.02670305107529</x:v>
      </x:c>
      <x:c r="G24" s="45">
        <x:v>383.26042159946229</x:v>
      </x:c>
      <x:c r="H24" s="45">
        <x:v>521.48916317204305</x:v>
      </x:c>
      <x:c r="I24" s="45"/>
      <x:c r="J24" s="45">
        <x:v>82.98390000000002</x:v>
      </x:c>
      <x:c r="K24" s="45">
        <x:v>250.03059999999996</x:v>
      </x:c>
      <x:c r="L24" s="45">
        <x:v>363.91639999999995</x:v>
      </x:c>
      <x:c r="M24" s="45">
        <x:v>492.81049999999999</x:v>
      </x:c>
    </x:row>
    <x:row r="25" spans="1:23" x14ac:dyDescent="0.25">
      <x:c r="A25" s="7">
        <x:f t="shared" si="0"/>
        <x:v>15</x:v>
      </x:c>
      <x:c r="B25" s="37">
        <x:v>13</x:v>
      </x:c>
      <x:c r="C25" s="33">
        <x:v>44967</x:v>
      </x:c>
      <x:c r="D25" s="33">
        <x:v>44937</x:v>
      </x:c>
      <x:c r="E25" s="45">
        <x:v>82.797160819892468</x:v>
      </x:c>
      <x:c r="F25" s="45">
        <x:v>258.96816509408598</x:v>
      </x:c>
      <x:c r="G25" s="45">
        <x:v>381.84020958333326</x:v>
      </x:c>
      <x:c r="H25" s="45">
        <x:v>519.88151415322568</x:v>
      </x:c>
      <x:c r="I25" s="45"/>
      <x:c r="J25" s="45">
        <x:v>83.08450000000002</x:v>
      </x:c>
      <x:c r="K25" s="45">
        <x:v>256.93219999999997</x:v>
      </x:c>
      <x:c r="L25" s="45">
        <x:v>375.7596999999999</x:v>
      </x:c>
      <x:c r="M25" s="45">
        <x:v>507.33879999999999</x:v>
      </x:c>
    </x:row>
    <x:row r="26" spans="1:23" x14ac:dyDescent="0.25">
      <x:c r="A26" s="7">
        <x:f t="shared" si="0"/>
        <x:v>16</x:v>
      </x:c>
      <x:c r="B26" s="37">
        <x:v>14</x:v>
      </x:c>
      <x:c r="C26" s="33">
        <x:v>44970</x:v>
      </x:c>
      <x:c r="D26" s="33">
        <x:v>44938</x:v>
      </x:c>
      <x:c r="E26" s="45">
        <x:v>87.865953682795677</x:v>
      </x:c>
      <x:c r="F26" s="45">
        <x:v>273.6801964112903</x:v>
      </x:c>
      <x:c r="G26" s="45">
        <x:v>403.65046860215045</x:v>
      </x:c>
      <x:c r="H26" s="45">
        <x:v>550.14396028225804</x:v>
      </x:c>
      <x:c r="I26" s="45"/>
      <x:c r="J26" s="45">
        <x:v>87.072500000000019</x:v>
      </x:c>
      <x:c r="K26" s="45">
        <x:v>286.17689999999999</x:v>
      </x:c>
      <x:c r="L26" s="45">
        <x:v>419.93719999999996</x:v>
      </x:c>
      <x:c r="M26" s="45">
        <x:v>566.14389999999992</x:v>
      </x:c>
      <x:c r="O26" s="184"/>
    </x:row>
    <x:row r="27" spans="1:23" x14ac:dyDescent="0.25">
      <x:c r="A27" s="7">
        <x:f t="shared" si="0"/>
        <x:v>17</x:v>
      </x:c>
      <x:c r="B27" s="37">
        <x:v>15</x:v>
      </x:c>
      <x:c r="C27" s="33">
        <x:v>44971</x:v>
      </x:c>
      <x:c r="D27" s="33">
        <x:v>44939</x:v>
      </x:c>
      <x:c r="E27" s="45">
        <x:v>87.626110483870946</x:v>
      </x:c>
      <x:c r="F27" s="45">
        <x:v>272.45695141129028</x:v>
      </x:c>
      <x:c r="G27" s="45">
        <x:v>401.90743702956979</x:v>
      </x:c>
      <x:c r="H27" s="45">
        <x:v>548.07045232526877</x:v>
      </x:c>
      <x:c r="I27" s="45"/>
      <x:c r="J27" s="45">
        <x:v>87.072500000000019</x:v>
      </x:c>
      <x:c r="K27" s="45">
        <x:v>284.37309999999997</x:v>
      </x:c>
      <x:c r="L27" s="45">
        <x:v>418.3769999999999</x:v>
      </x:c>
      <x:c r="M27" s="45">
        <x:v>564.58369999999991</x:v>
      </x:c>
    </x:row>
    <x:row r="28" spans="1:23" x14ac:dyDescent="0.25">
      <x:c r="A28" s="7">
        <x:f t="shared" ref="A28:A35" si="1">+A27+1</x:f>
        <x:v>18</x:v>
      </x:c>
      <x:c r="B28" s="37">
        <x:v>16</x:v>
      </x:c>
      <x:c r="C28" s="33">
        <x:v>44972</x:v>
      </x:c>
      <x:c r="D28" s="33">
        <x:v>44943</x:v>
      </x:c>
      <x:c r="E28" s="45">
        <x:v>78.780910268817181</x:v>
      </x:c>
      <x:c r="F28" s="45">
        <x:v>244.29963633064511</x:v>
      </x:c>
      <x:c r="G28" s="45">
        <x:v>360.53755836021497</x:v>
      </x:c>
      <x:c r="H28" s="45">
        <x:v>492.42489939516133</x:v>
      </x:c>
      <x:c r="I28" s="45"/>
      <x:c r="J28" s="45">
        <x:v>86.720100000000016</x:v>
      </x:c>
      <x:c r="K28" s="45">
        <x:v>269.58759999999995</x:v>
      </x:c>
      <x:c r="L28" s="45">
        <x:v>392.82259999999991</x:v>
      </x:c>
      <x:c r="M28" s="45">
        <x:v>526.98629999999991</x:v>
      </x:c>
    </x:row>
    <x:row r="29" spans="1:23" x14ac:dyDescent="0.25">
      <x:c r="A29" s="7">
        <x:f t="shared" si="1"/>
        <x:v>19</x:v>
      </x:c>
      <x:c r="B29" s="37">
        <x:v>17</x:v>
      </x:c>
      <x:c r="C29" s="33">
        <x:v>44973</x:v>
      </x:c>
      <x:c r="D29" s="33">
        <x:v>44944</x:v>
      </x:c>
      <x:c r="E29" s="45">
        <x:v>78.452421290322562</x:v>
      </x:c>
      <x:c r="F29" s="45">
        <x:v>242.87864712365581</x:v>
      </x:c>
      <x:c r="G29" s="45">
        <x:v>358.50085880376344</x:v>
      </x:c>
      <x:c r="H29" s="45">
        <x:v>489.95172352150541</x:v>
      </x:c>
      <x:c r="I29" s="45"/>
      <x:c r="J29" s="45">
        <x:v>86.720100000000016</x:v>
      </x:c>
      <x:c r="K29" s="45">
        <x:v>269.58759999999995</x:v>
      </x:c>
      <x:c r="L29" s="45">
        <x:v>393.06279999999987</x:v>
      </x:c>
      <x:c r="M29" s="45">
        <x:v>526.69420000000002</x:v>
      </x:c>
    </x:row>
    <x:row r="30" spans="1:23" x14ac:dyDescent="0.25">
      <x:c r="A30" s="7">
        <x:f t="shared" si="1"/>
        <x:v>20</x:v>
      </x:c>
      <x:c r="B30" s="37">
        <x:v>18</x:v>
      </x:c>
      <x:c r="C30" s="33">
        <x:v>44974</x:v>
      </x:c>
      <x:c r="D30" s="33">
        <x:v>44945</x:v>
      </x:c>
      <x:c r="E30" s="45">
        <x:v>78.132898010752669</x:v>
      </x:c>
      <x:c r="F30" s="45">
        <x:v>241.42470915322573</x:v>
      </x:c>
      <x:c r="G30" s="45">
        <x:v>356.40014118279566</x:v>
      </x:c>
      <x:c r="H30" s="45">
        <x:v>487.37206712365588</x:v>
      </x:c>
      <x:c r="I30" s="185"/>
      <x:c r="J30" s="45">
        <x:v>88.618500000000012</x:v>
      </x:c>
      <x:c r="K30" s="45">
        <x:v>280.14309999999989</x:v>
      </x:c>
      <x:c r="L30" s="45">
        <x:v>408.17379999999986</x:v>
      </x:c>
      <x:c r="M30" s="45">
        <x:v>545.4941</x:v>
      </x:c>
      <x:c r="O30" s="184"/>
      <x:c r="P30" s="184"/>
      <x:c r="Q30" s="184"/>
      <x:c r="R30" s="184"/>
      <x:c r="T30" s="184"/>
      <x:c r="U30" s="184"/>
      <x:c r="V30" s="184"/>
      <x:c r="W30" s="184"/>
    </x:row>
    <x:row r="31" spans="1:23" x14ac:dyDescent="0.25">
      <x:c r="A31" s="7">
        <x:f t="shared" si="1"/>
        <x:v>21</x:v>
      </x:c>
      <x:c r="B31" s="37">
        <x:v>19</x:v>
      </x:c>
      <x:c r="C31" s="33">
        <x:v>44977</x:v>
      </x:c>
      <x:c r="D31" s="33">
        <x:v>44946</x:v>
      </x:c>
      <x:c r="E31" s="45">
        <x:v>82.278369059139777</x:v>
      </x:c>
      <x:c r="F31" s="45">
        <x:v>253.64549607526874</x:v>
      </x:c>
      <x:c r="G31" s="45">
        <x:v>374.84621688172041</x:v>
      </x:c>
      <x:c r="H31" s="45">
        <x:v>513.51834403225803</x:v>
      </x:c>
      <x:c r="I31" s="45"/>
      <x:c r="J31" s="45">
        <x:v>96.051200000000023</x:v>
      </x:c>
      <x:c r="K31" s="45">
        <x:v>304.3898999999999</x:v>
      </x:c>
      <x:c r="L31" s="45">
        <x:v>440.85069999999985</x:v>
      </x:c>
      <x:c r="M31" s="45">
        <x:v>588.17100000000005</x:v>
      </x:c>
    </x:row>
    <x:row r="32" spans="1:23" x14ac:dyDescent="0.25">
      <x:c r="A32" s="7">
        <x:f t="shared" si="1"/>
        <x:v>22</x:v>
      </x:c>
      <x:c r="B32" s="37">
        <x:v>20</x:v>
      </x:c>
      <x:c r="C32" s="33">
        <x:v>44978</x:v>
      </x:c>
      <x:c r="D32" s="33">
        <x:v>44947</x:v>
      </x:c>
      <x:c r="E32" s="185">
        <x:v>81.570849838709691</x:v>
      </x:c>
      <x:c r="F32" s="185">
        <x:v>251.37730899193539</x:v>
      </x:c>
      <x:c r="G32" s="185">
        <x:v>371.76027150537629</x:v>
      </x:c>
      <x:c r="H32" s="185">
        <x:v>509.82718842741934</x:v>
      </x:c>
      <x:c r="I32" s="185"/>
      <x:c r="J32" s="185">
        <x:v>96.00830000000002</x:v>
      </x:c>
      <x:c r="K32" s="185">
        <x:v>299.83899999999994</x:v>
      </x:c>
      <x:c r="L32" s="185">
        <x:v>431.29979999999989</x:v>
      </x:c>
      <x:c r="M32" s="185">
        <x:v>573.65930000000014</x:v>
      </x:c>
      <x:c r="O32" s="187"/>
      <x:c r="P32" s="187"/>
      <x:c r="Q32" s="187"/>
      <x:c r="R32" s="187"/>
      <x:c r="T32" s="187"/>
      <x:c r="U32" s="187"/>
      <x:c r="V32" s="187"/>
      <x:c r="W32" s="187"/>
    </x:row>
    <x:row r="33" spans="1:13" x14ac:dyDescent="0.25">
      <x:c r="A33" s="7">
        <x:f t="shared" si="1"/>
        <x:v>23</x:v>
      </x:c>
      <x:c r="B33" s="37">
        <x:v>21</x:v>
      </x:c>
      <x:c r="C33" s="33">
        <x:v>44979</x:v>
      </x:c>
      <x:c r="D33" s="33">
        <x:v>44949</x:v>
      </x:c>
      <x:c r="E33" s="45">
        <x:v>77.991682446236553</x:v>
      </x:c>
      <x:c r="F33" s="45">
        <x:v>240.18028506720421</x:v>
      </x:c>
      <x:c r="G33" s="45">
        <x:v>355.5462291801075</x:v>
      </x:c>
      <x:c r="H33" s="45">
        <x:v>488.34066120967742</x:v>
      </x:c>
      <x:c r="I33" s="45"/>
      <x:c r="J33" s="45">
        <x:v>95.277200000000022</x:v>
      </x:c>
      <x:c r="K33" s="45">
        <x:v>284.63839999999999</x:v>
      </x:c>
      <x:c r="L33" s="45">
        <x:v>406.09919999999988</x:v>
      </x:c>
      <x:c r="M33" s="45">
        <x:v>538.45870000000002</x:v>
      </x:c>
    </x:row>
    <x:row r="34" spans="1:13" x14ac:dyDescent="0.25">
      <x:c r="A34" s="7">
        <x:f t="shared" si="1"/>
        <x:v>24</x:v>
      </x:c>
    </x:row>
    <x:row r="35" spans="1:13" ht="13" x14ac:dyDescent="0.3">
      <x:c r="A35" s="7">
        <x:f t="shared" si="1"/>
        <x:v>25</x:v>
      </x:c>
      <x:c r="B35" s="222" t="s">
        <x:v>96</x:v>
      </x:c>
      <x:c r="C35" s="212"/>
      <x:c r="D35" s="212"/>
      <x:c r="E35" s="98">
        <x:f t="shared" ref="E35:M35" si="2">AVERAGE(E13:E33)</x:f>
        <x:v>84.048508419738837</x:v>
      </x:c>
      <x:c r="F35" s="98">
        <x:f t="shared" si="2"/>
        <x:v>261.58170519521252</x:v>
      </x:c>
      <x:c r="G35" s="98">
        <x:f t="shared" ref="G35" si="3">AVERAGE(G13:G33)</x:f>
        <x:v>385.19086552547367</x:v>
      </x:c>
      <x:c r="H35" s="98">
        <x:f t="shared" si="2"/>
        <x:v>523.93845240975406</x:v>
      </x:c>
      <x:c r="I35" s="98"/>
      <x:c r="J35" s="98">
        <x:f t="shared" si="2"/>
        <x:v>71.082147619047632</x:v>
      </x:c>
      <x:c r="K35" s="98">
        <x:f t="shared" si="2"/>
        <x:v>232.74270952380945</x:v>
      </x:c>
      <x:c r="L35" s="98">
        <x:f t="shared" ref="L35" si="4">AVERAGE(L13:L33)</x:f>
        <x:v>349.20036190476173</x:v>
      </x:c>
      <x:c r="M35" s="98">
        <x:f t="shared" si="2"/>
        <x:v>481.21837619047608</x:v>
      </x:c>
    </x:row>
    <x:row r="36" spans="1:13" x14ac:dyDescent="0.25">
      <x:c r="B36" s="30"/>
      <x:c r="C36" s="46"/>
      <x:c r="D36" s="30"/>
      <x:c r="E36" s="93"/>
      <x:c r="F36" s="93"/>
      <x:c r="G36" s="93"/>
      <x:c r="H36" s="93"/>
      <x:c r="I36" s="93"/>
      <x:c r="J36" s="93"/>
      <x:c r="K36" s="93"/>
      <x:c r="L36" s="93"/>
      <x:c r="M36" s="93"/>
    </x:row>
    <x:row r="37" spans="1:13" x14ac:dyDescent="0.25">
      <x:c r="B37" s="30"/>
      <x:c r="C37" s="29"/>
      <x:c r="D37" s="30"/>
      <x:c r="E37" s="94"/>
      <x:c r="F37" s="94"/>
      <x:c r="G37" s="94"/>
      <x:c r="H37" s="94"/>
      <x:c r="I37" s="94"/>
      <x:c r="J37" s="94"/>
      <x:c r="K37" s="94"/>
      <x:c r="L37" s="94"/>
      <x:c r="M37" s="94"/>
    </x:row>
  </x:sheetData>
  <x:mergeCells count="10">
    <x:mergeCell ref="B6:M6"/>
    <x:mergeCell ref="B35:D35"/>
    <x:mergeCell ref="E11:H11"/>
    <x:mergeCell ref="J11:M11"/>
    <x:mergeCell ref="B1:M1"/>
    <x:mergeCell ref="B2:M2"/>
    <x:mergeCell ref="B3:M3"/>
    <x:mergeCell ref="B4:M4"/>
    <x:mergeCell ref="B5:M5"/>
    <x:mergeCell ref="B8:M8"/>
  </x:mergeCells>
  <x:printOptions horizontalCentered="1"/>
  <x:pageMargins left="1.5" right="0.5" top="1.5" bottom="1" header="1" footer="0.5"/>
  <x:pageSetup scale="71" firstPageNumber="3" orientation="portrait" r:id="rId1"/>
  <x:headerFooter alignWithMargins="0">
    <x:oddHeader>&amp;RSchedule II-H-5.2
Page &amp;P of 37</x:oddHeader>
  </x:headerFooter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 codeName="Sheet23">
    <x:pageSetUpPr fitToPage="1"/>
  </x:sheetPr>
  <x:dimension ref="A1:W37"/>
  <x:sheetViews>
    <x:sheetView view="pageBreakPreview" zoomScaleNormal="100" workbookViewId="0"/>
  </x:sheetViews>
  <x:sheetFormatPr defaultColWidth="9.08984375" defaultRowHeight="12.5" x14ac:dyDescent="0.25"/>
  <x:cols>
    <x:col min="1" max="1" width="9.08984375" style="9"/>
    <x:col min="2" max="2" width="10.08984375" style="9" customWidth="1"/>
    <x:col min="3" max="3" width="10.90625" style="7" customWidth="1"/>
    <x:col min="4" max="4" width="10.453125" style="9" customWidth="1"/>
    <x:col min="5" max="5" width="11.08984375" style="9" customWidth="1"/>
    <x:col min="6" max="6" width="9.36328125" style="9" bestFit="1" customWidth="1"/>
    <x:col min="7" max="7" width="9.36328125" style="9" customWidth="1"/>
    <x:col min="8" max="9" width="9.08984375" style="9"/>
    <x:col min="10" max="10" width="9.6328125" style="9" customWidth="1"/>
    <x:col min="11" max="16384" width="9.08984375" style="9"/>
  </x:cols>
  <x:sheetData>
    <x:row r="1" spans="1:13" customFormat="1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212"/>
    </x:row>
    <x:row r="2" spans="1:13" customFormat="1" ht="15.5" x14ac:dyDescent="0.35">
      <x:c r="A2" s="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212"/>
      <x:c r="M2" s="212"/>
    </x:row>
    <x:row r="3" spans="1:13" customFormat="1" ht="15.5" x14ac:dyDescent="0.35">
      <x:c r="A3" s="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212"/>
      <x:c r="M3" s="212"/>
    </x:row>
    <x:row r="4" spans="1:13" customFormat="1" ht="15.5" x14ac:dyDescent="0.35">
      <x:c r="A4" s="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212"/>
      <x:c r="M4" s="212"/>
    </x:row>
    <x:row r="5" spans="1:13" customFormat="1" ht="15.5" x14ac:dyDescent="0.35">
      <x:c r="A5" s="1"/>
      <x:c r="B5" s="209"/>
      <x:c r="C5" s="209"/>
      <x:c r="D5" s="209"/>
      <x:c r="E5" s="212"/>
      <x:c r="F5" s="212"/>
      <x:c r="G5" s="212"/>
      <x:c r="H5" s="212"/>
      <x:c r="I5" s="212"/>
      <x:c r="J5" s="212"/>
      <x:c r="K5" s="212"/>
      <x:c r="L5" s="212"/>
      <x:c r="M5" s="212"/>
    </x:row>
    <x:row r="6" spans="1:13" ht="15.5" x14ac:dyDescent="0.35">
      <x:c r="B6" s="209" t="str">
        <x:f>+RES!B6</x:f>
        <x:v>SPONSOR: D. E. NELSON</x:v>
      </x:c>
      <x:c r="C6" s="212"/>
      <x:c r="D6" s="212"/>
      <x:c r="E6" s="212"/>
      <x:c r="F6" s="212"/>
      <x:c r="G6" s="212"/>
      <x:c r="H6" s="212"/>
      <x:c r="I6" s="212"/>
      <x:c r="J6" s="212"/>
      <x:c r="K6" s="212"/>
      <x:c r="L6" s="212"/>
      <x:c r="M6" s="212"/>
    </x:row>
    <x:row r="7" spans="1:13" ht="15.5" x14ac:dyDescent="0.35">
      <x:c r="B7" s="4"/>
      <x:c r="C7" s="4"/>
      <x:c r="D7" s="4"/>
      <x:c r="E7" s="51"/>
      <x:c r="F7" s="51"/>
      <x:c r="G7" s="182"/>
      <x:c r="H7" s="51"/>
      <x:c r="I7" s="51"/>
      <x:c r="J7" s="51"/>
      <x:c r="K7" s="51"/>
      <x:c r="L7" s="182"/>
      <x:c r="M7" s="51"/>
    </x:row>
    <x:row r="8" spans="1:13" ht="15.5" x14ac:dyDescent="0.35">
      <x:c r="B8" s="209" t="s">
        <x:v>162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212"/>
      <x:c r="M8" s="212"/>
    </x:row>
    <x:row r="9" spans="1:13" ht="15.5" x14ac:dyDescent="0.35">
      <x:c r="A9" s="1" t="s">
        <x:v>6</x:v>
      </x:c>
      <x:c r="B9" s="4"/>
      <x:c r="C9" s="4"/>
      <x:c r="D9" s="4"/>
      <x:c r="E9" s="1"/>
      <x:c r="F9" s="1"/>
      <x:c r="G9" s="181"/>
      <x:c r="H9" s="1"/>
      <x:c r="I9" s="1"/>
      <x:c r="J9" s="1"/>
      <x:c r="K9" s="1"/>
      <x:c r="L9" s="181"/>
      <x:c r="M9" s="1"/>
    </x:row>
    <x:row r="10" spans="1:13" ht="15.5" x14ac:dyDescent="0.35">
      <x:c r="A10" s="5" t="s">
        <x:v>8</x:v>
      </x:c>
      <x:c r="B10" s="4"/>
      <x:c r="C10" s="4"/>
      <x:c r="D10" s="4"/>
      <x:c r="E10" s="1"/>
      <x:c r="F10" s="1"/>
      <x:c r="G10" s="181"/>
      <x:c r="H10" s="1"/>
      <x:c r="I10" s="1"/>
      <x:c r="J10" s="1"/>
      <x:c r="K10" s="1"/>
      <x:c r="L10" s="181"/>
      <x:c r="M10" s="1"/>
    </x:row>
    <x:row r="11" spans="1:13" ht="13" x14ac:dyDescent="0.3">
      <x:c r="A11" s="7">
        <x:v>1</x:v>
      </x:c>
      <x:c r="B11" s="42" t="s">
        <x:v>25</x:v>
      </x:c>
      <x:c r="C11" s="43" t="s">
        <x:v>26</x:v>
      </x:c>
      <x:c r="D11" s="43" t="s">
        <x:v>27</x:v>
      </x:c>
      <x:c r="E11" s="223" t="s">
        <x:v>80</x:v>
      </x:c>
      <x:c r="F11" s="215"/>
      <x:c r="G11" s="215"/>
      <x:c r="H11" s="215"/>
      <x:c r="I11" s="104"/>
      <x:c r="J11" s="224" t="s">
        <x:v>84</x:v>
      </x:c>
      <x:c r="K11" s="225"/>
      <x:c r="L11" s="225"/>
      <x:c r="M11" s="225"/>
    </x:row>
    <x:row r="12" spans="1:13" ht="13" x14ac:dyDescent="0.3">
      <x:c r="A12" s="7">
        <x:f t="shared" ref="A12:A35" si="0">+A11+1</x:f>
        <x:v>2</x:v>
      </x:c>
      <x:c r="B12" s="44" t="s">
        <x:v>27</x:v>
      </x:c>
      <x:c r="C12" s="44" t="s">
        <x:v>85</x:v>
      </x:c>
      <x:c r="D12" s="44" t="s">
        <x:v>28</x:v>
      </x:c>
      <x:c r="E12" s="44" t="s">
        <x:v>81</x:v>
      </x:c>
      <x:c r="F12" s="44" t="s">
        <x:v>82</x:v>
      </x:c>
      <x:c r="G12" s="183" t="s">
        <x:v>83</x:v>
      </x:c>
      <x:c r="H12" s="44" t="s">
        <x:v>149</x:v>
      </x:c>
      <x:c r="I12" s="44"/>
      <x:c r="J12" s="44" t="s">
        <x:v>81</x:v>
      </x:c>
      <x:c r="K12" s="44" t="s">
        <x:v>82</x:v>
      </x:c>
      <x:c r="L12" s="183" t="s">
        <x:v>83</x:v>
      </x:c>
      <x:c r="M12" s="44" t="s">
        <x:v>149</x:v>
      </x:c>
    </x:row>
    <x:row r="13" spans="1:13" x14ac:dyDescent="0.25">
      <x:c r="A13" s="7">
        <x:f t="shared" si="0"/>
        <x:v>3</x:v>
      </x:c>
      <x:c r="B13" s="37">
        <x:v>1</x:v>
      </x:c>
      <x:c r="C13" s="33">
        <x:v>45133</x:v>
      </x:c>
      <x:c r="D13" s="33">
        <x:v>45103</x:v>
      </x:c>
      <x:c r="E13" s="45">
        <x:v>609.89672117069904</x:v>
      </x:c>
      <x:c r="F13" s="45">
        <x:v>459.81185576747311</x:v>
      </x:c>
      <x:c r="G13" s="45">
        <x:v>310.64271552419348</x:v>
      </x:c>
      <x:c r="H13" s="45">
        <x:v>168.79413638440869</x:v>
      </x:c>
      <x:c r="I13" s="45"/>
      <x:c r="J13" s="45">
        <x:v>701.03139999999996</x:v>
      </x:c>
      <x:c r="K13" s="45">
        <x:v>550.88139999999999</x:v>
      </x:c>
      <x:c r="L13" s="45">
        <x:v>400.80219999999997</x:v>
      </x:c>
      <x:c r="M13" s="45">
        <x:v>251.31850000000003</x:v>
      </x:c>
    </x:row>
    <x:row r="14" spans="1:13" x14ac:dyDescent="0.25">
      <x:c r="A14" s="7">
        <x:f t="shared" si="0"/>
        <x:v>4</x:v>
      </x:c>
      <x:c r="B14" s="37">
        <x:v>2</x:v>
      </x:c>
      <x:c r="C14" s="33">
        <x:v>45134</x:v>
      </x:c>
      <x:c r="D14" s="33">
        <x:v>45104</x:v>
      </x:c>
      <x:c r="E14" s="45">
        <x:v>612.51768802150548</x:v>
      </x:c>
      <x:c r="F14" s="45">
        <x:v>462.43567378763441</x:v>
      </x:c>
      <x:c r="G14" s="45">
        <x:v>313.2655647715053</x:v>
      </x:c>
      <x:c r="H14" s="45">
        <x:v>171.24033368279575</x:v>
      </x:c>
      <x:c r="I14" s="45"/>
      <x:c r="J14" s="45">
        <x:v>700.93069999999989</x:v>
      </x:c>
      <x:c r="K14" s="45">
        <x:v>550.78069999999991</x:v>
      </x:c>
      <x:c r="L14" s="45">
        <x:v>400.70149999999995</x:v>
      </x:c>
      <x:c r="M14" s="45">
        <x:v>251.21780000000001</x:v>
      </x:c>
    </x:row>
    <x:row r="15" spans="1:13" x14ac:dyDescent="0.25">
      <x:c r="A15" s="7">
        <x:f t="shared" si="0"/>
        <x:v>5</x:v>
      </x:c>
      <x:c r="B15" s="37">
        <x:v>3</x:v>
      </x:c>
      <x:c r="C15" s="33">
        <x:v>45135</x:v>
      </x:c>
      <x:c r="D15" s="33">
        <x:v>45105</x:v>
      </x:c>
      <x:c r="E15" s="45">
        <x:v>615.05625488575276</x:v>
      </x:c>
      <x:c r="F15" s="45">
        <x:v>464.97709182123657</x:v>
      </x:c>
      <x:c r="G15" s="45">
        <x:v>315.81275548387094</x:v>
      </x:c>
      <x:c r="H15" s="45">
        <x:v>173.63137771505384</x:v>
      </x:c>
      <x:c r="I15" s="185"/>
      <x:c r="J15" s="45">
        <x:v>700.90989999999999</x:v>
      </x:c>
      <x:c r="K15" s="45">
        <x:v>550.7598999999999</x:v>
      </x:c>
      <x:c r="L15" s="45">
        <x:v>400.68069999999994</x:v>
      </x:c>
      <x:c r="M15" s="45">
        <x:v>251.19700000000003</x:v>
      </x:c>
    </x:row>
    <x:row r="16" spans="1:13" x14ac:dyDescent="0.25">
      <x:c r="A16" s="7">
        <x:f t="shared" si="0"/>
        <x:v>6</x:v>
      </x:c>
      <x:c r="B16" s="37">
        <x:v>4</x:v>
      </x:c>
      <x:c r="C16" s="33">
        <x:v>45138</x:v>
      </x:c>
      <x:c r="D16" s="33">
        <x:v>45106</x:v>
      </x:c>
      <x:c r="E16" s="45">
        <x:v>660.89136674999986</x:v>
      </x:c>
      <x:c r="F16" s="45">
        <x:v>500.81133170967746</x:v>
      </x:c>
      <x:c r="G16" s="45">
        <x:v>341.7112036693548</x:v>
      </x:c>
      <x:c r="H16" s="45">
        <x:v>189.83444521505385</x:v>
      </x:c>
      <x:c r="I16" s="45"/>
      <x:c r="J16" s="45">
        <x:v>753.26979999999992</x:v>
      </x:c>
      <x:c r="K16" s="45">
        <x:v>593.10979999999984</x:v>
      </x:c>
      <x:c r="L16" s="45">
        <x:v>433.02059999999994</x:v>
      </x:c>
      <x:c r="M16" s="45">
        <x:v>273.52690000000001</x:v>
      </x:c>
    </x:row>
    <x:row r="17" spans="1:23" x14ac:dyDescent="0.25">
      <x:c r="A17" s="7">
        <x:f t="shared" si="0"/>
        <x:v>7</x:v>
      </x:c>
      <x:c r="B17" s="37">
        <x:v>5</x:v>
      </x:c>
      <x:c r="C17" s="33">
        <x:v>45139</x:v>
      </x:c>
      <x:c r="D17" s="33">
        <x:v>45107</x:v>
      </x:c>
      <x:c r="E17" s="45">
        <x:v>663.16397686693529</x:v>
      </x:c>
      <x:c r="F17" s="45">
        <x:v>503.08626162500008</x:v>
      </x:c>
      <x:c r="G17" s="45">
        <x:v>343.9886939650537</x:v>
      </x:c>
      <x:c r="H17" s="45">
        <x:v>192.00047995967748</x:v>
      </x:c>
      <x:c r="I17" s="45"/>
      <x:c r="J17" s="45">
        <x:v>756.6162999999998</x:v>
      </x:c>
      <x:c r="K17" s="45">
        <x:v>596.45629999999983</x:v>
      </x:c>
      <x:c r="L17" s="45">
        <x:v>436.36709999999994</x:v>
      </x:c>
      <x:c r="M17" s="45">
        <x:v>276.8734</x:v>
      </x:c>
    </x:row>
    <x:row r="18" spans="1:23" x14ac:dyDescent="0.25">
      <x:c r="A18" s="7">
        <x:f t="shared" si="0"/>
        <x:v>8</x:v>
      </x:c>
      <x:c r="B18" s="37">
        <x:v>6</x:v>
      </x:c>
      <x:c r="C18" s="33">
        <x:v>45140</x:v>
      </x:c>
      <x:c r="D18" s="33">
        <x:v>45110</x:v>
      </x:c>
      <x:c r="E18" s="45">
        <x:v>626.27656845430101</x:v>
      </x:c>
      <x:c r="F18" s="45">
        <x:v>476.20784059139794</x:v>
      </x:c>
      <x:c r="G18" s="45">
        <x:v>327.05863995967741</x:v>
      </x:c>
      <x:c r="H18" s="45">
        <x:v>184.29890760752698</x:v>
      </x:c>
      <x:c r="I18" s="45"/>
      <x:c r="J18" s="45">
        <x:v>726.60579999999982</x:v>
      </x:c>
      <x:c r="K18" s="45">
        <x:v>576.45579999999995</x:v>
      </x:c>
      <x:c r="L18" s="45">
        <x:v>426.30579999999998</x:v>
      </x:c>
      <x:c r="M18" s="45">
        <x:v>276.31629999999996</x:v>
      </x:c>
    </x:row>
    <x:row r="19" spans="1:23" x14ac:dyDescent="0.25">
      <x:c r="A19" s="7">
        <x:f t="shared" si="0"/>
        <x:v>9</x:v>
      </x:c>
      <x:c r="B19" s="37">
        <x:v>7</x:v>
      </x:c>
      <x:c r="C19" s="33">
        <x:v>45141</x:v>
      </x:c>
      <x:c r="D19" s="33">
        <x:v>45112</x:v>
      </x:c>
      <x:c r="E19" s="45">
        <x:v>608.45688309677416</x:v>
      </x:c>
      <x:c r="F19" s="45">
        <x:v>463.39206987096787</x:v>
      </x:c>
      <x:c r="G19" s="45">
        <x:v>319.2046083736559</x:v>
      </x:c>
      <x:c r="H19" s="45">
        <x:v>181.04407901881726</x:v>
      </x:c>
      <x:c r="I19" s="45"/>
      <x:c r="J19" s="45">
        <x:v>713.51259999999979</x:v>
      </x:c>
      <x:c r="K19" s="45">
        <x:v>568.36759999999992</x:v>
      </x:c>
      <x:c r="L19" s="45">
        <x:v>423.2226</x:v>
      </x:c>
      <x:c r="M19" s="45">
        <x:v>278.23810000000009</x:v>
      </x:c>
    </x:row>
    <x:row r="20" spans="1:23" x14ac:dyDescent="0.25">
      <x:c r="A20" s="7">
        <x:f t="shared" si="0"/>
        <x:v>10</x:v>
      </x:c>
      <x:c r="B20" s="37">
        <x:v>8</x:v>
      </x:c>
      <x:c r="C20" s="33">
        <x:v>45142</x:v>
      </x:c>
      <x:c r="D20" s="33">
        <x:v>45113</x:v>
      </x:c>
      <x:c r="E20" s="45">
        <x:v>610.16898665456984</x:v>
      </x:c>
      <x:c r="F20" s="45">
        <x:v>465.10445548521517</x:v>
      </x:c>
      <x:c r="G20" s="45">
        <x:v>320.90110025537626</x:v>
      </x:c>
      <x:c r="H20" s="45">
        <x:v>182.66374747311835</x:v>
      </x:c>
      <x:c r="I20" s="45"/>
      <x:c r="J20" s="45">
        <x:v>719.43249999999989</x:v>
      </x:c>
      <x:c r="K20" s="45">
        <x:v>574.28749999999991</x:v>
      </x:c>
      <x:c r="L20" s="45">
        <x:v>429.14249999999998</x:v>
      </x:c>
      <x:c r="M20" s="45">
        <x:v>284.15800000000007</x:v>
      </x:c>
    </x:row>
    <x:row r="21" spans="1:23" x14ac:dyDescent="0.25">
      <x:c r="A21" s="7">
        <x:f t="shared" si="0"/>
        <x:v>11</x:v>
      </x:c>
      <x:c r="B21" s="37">
        <x:v>9</x:v>
      </x:c>
      <x:c r="C21" s="33">
        <x:v>45145</x:v>
      </x:c>
      <x:c r="D21" s="33">
        <x:v>45114</x:v>
      </x:c>
      <x:c r="E21" s="45">
        <x:v>654.54929302150526</x:v>
      </x:c>
      <x:c r="F21" s="45">
        <x:v>499.47890705376352</x:v>
      </x:c>
      <x:c r="G21" s="45">
        <x:v>345.30770444892465</x:v>
      </x:c>
      <x:c r="H21" s="45">
        <x:v>197.56610313172052</x:v>
      </x:c>
      <x:c r="I21" s="45"/>
      <x:c r="J21" s="45">
        <x:v>784.62379999999985</x:v>
      </x:c>
      <x:c r="K21" s="45">
        <x:v>629.46879999999999</x:v>
      </x:c>
      <x:c r="L21" s="45">
        <x:v>474.31380000000001</x:v>
      </x:c>
      <x:c r="M21" s="45">
        <x:v>319.31930000000011</x:v>
      </x:c>
    </x:row>
    <x:row r="22" spans="1:23" x14ac:dyDescent="0.25">
      <x:c r="A22" s="7">
        <x:f t="shared" si="0"/>
        <x:v>12</x:v>
      </x:c>
      <x:c r="B22" s="37">
        <x:v>10</x:v>
      </x:c>
      <x:c r="C22" s="33">
        <x:v>45146</x:v>
      </x:c>
      <x:c r="D22" s="33">
        <x:v>45117</x:v>
      </x:c>
      <x:c r="E22" s="45">
        <x:v>615.39157452822587</x:v>
      </x:c>
      <x:c r="F22" s="45">
        <x:v>470.32811029435487</x:v>
      </x:c>
      <x:c r="G22" s="45">
        <x:v>326.08720259408597</x:v>
      </x:c>
      <x:c r="H22" s="45">
        <x:v>187.77994927419363</x:v>
      </x:c>
      <x:c r="I22" s="45"/>
      <x:c r="J22" s="45">
        <x:v>751.77469999999994</x:v>
      </x:c>
      <x:c r="K22" s="45">
        <x:v>606.62970000000007</x:v>
      </x:c>
      <x:c r="L22" s="45">
        <x:v>461.48470000000003</x:v>
      </x:c>
      <x:c r="M22" s="45">
        <x:v>316.40180000000009</x:v>
      </x:c>
    </x:row>
    <x:row r="23" spans="1:23" x14ac:dyDescent="0.25">
      <x:c r="A23" s="7">
        <x:f t="shared" si="0"/>
        <x:v>13</x:v>
      </x:c>
      <x:c r="B23" s="37">
        <x:v>11</x:v>
      </x:c>
      <x:c r="C23" s="33">
        <x:v>45147</x:v>
      </x:c>
      <x:c r="D23" s="33">
        <x:v>45118</x:v>
      </x:c>
      <x:c r="E23" s="45">
        <x:v>616.39802992741943</x:v>
      </x:c>
      <x:c r="F23" s="45">
        <x:v>471.33429069354838</x:v>
      </x:c>
      <x:c r="G23" s="45">
        <x:v>327.08637239247309</x:v>
      </x:c>
      <x:c r="H23" s="45">
        <x:v>188.81357151881724</x:v>
      </x:c>
      <x:c r="I23" s="45"/>
      <x:c r="J23" s="45">
        <x:v>757.57799999999986</x:v>
      </x:c>
      <x:c r="K23" s="45">
        <x:v>612.43300000000011</x:v>
      </x:c>
      <x:c r="L23" s="45">
        <x:v>467.28799999999995</x:v>
      </x:c>
      <x:c r="M23" s="45">
        <x:v>322.20510000000007</x:v>
      </x:c>
    </x:row>
    <x:row r="24" spans="1:23" x14ac:dyDescent="0.25">
      <x:c r="A24" s="7">
        <x:f t="shared" si="0"/>
        <x:v>14</x:v>
      </x:c>
      <x:c r="B24" s="37">
        <x:v>12</x:v>
      </x:c>
      <x:c r="C24" s="33">
        <x:v>45148</x:v>
      </x:c>
      <x:c r="D24" s="33">
        <x:v>45119</x:v>
      </x:c>
      <x:c r="E24" s="45">
        <x:v>617.35623663037643</x:v>
      </x:c>
      <x:c r="F24" s="45">
        <x:v>472.29177884811833</x:v>
      </x:c>
      <x:c r="G24" s="45">
        <x:v>328.03625284946236</x:v>
      </x:c>
      <x:c r="H24" s="45">
        <x:v>189.79949834677424</x:v>
      </x:c>
      <x:c r="I24" s="45"/>
      <x:c r="J24" s="45">
        <x:v>763.89089999999999</x:v>
      </x:c>
      <x:c r="K24" s="45">
        <x:v>618.74590000000012</x:v>
      </x:c>
      <x:c r="L24" s="45">
        <x:v>473.60089999999997</x:v>
      </x:c>
      <x:c r="M24" s="45">
        <x:v>328.51800000000003</x:v>
      </x:c>
    </x:row>
    <x:row r="25" spans="1:23" x14ac:dyDescent="0.25">
      <x:c r="A25" s="7">
        <x:f t="shared" si="0"/>
        <x:v>15</x:v>
      </x:c>
      <x:c r="B25" s="37">
        <x:v>13</x:v>
      </x:c>
      <x:c r="C25" s="33">
        <x:v>45149</x:v>
      </x:c>
      <x:c r="D25" s="33">
        <x:v>45120</x:v>
      </x:c>
      <x:c r="E25" s="45">
        <x:v>618.26868362903235</x:v>
      </x:c>
      <x:c r="F25" s="45">
        <x:v>473.20244217741936</x:v>
      </x:c>
      <x:c r="G25" s="45">
        <x:v>328.93976270161289</x:v>
      </x:c>
      <x:c r="H25" s="45">
        <x:v>190.73590900537636</x:v>
      </x:c>
      <x:c r="I25" s="45"/>
      <x:c r="J25" s="45">
        <x:v>765.77969999999993</x:v>
      </x:c>
      <x:c r="K25" s="45">
        <x:v>620.63470000000018</x:v>
      </x:c>
      <x:c r="L25" s="45">
        <x:v>475.48970000000003</x:v>
      </x:c>
      <x:c r="M25" s="45">
        <x:v>330.40680000000015</x:v>
      </x:c>
    </x:row>
    <x:row r="26" spans="1:23" x14ac:dyDescent="0.25">
      <x:c r="A26" s="7">
        <x:f t="shared" si="0"/>
        <x:v>16</x:v>
      </x:c>
      <x:c r="B26" s="37">
        <x:v>14</x:v>
      </x:c>
      <x:c r="C26" s="33">
        <x:v>45152</x:v>
      </x:c>
      <x:c r="D26" s="33">
        <x:v>45121</x:v>
      </x:c>
      <x:c r="E26" s="45">
        <x:v>661.58880345430111</x:v>
      </x:c>
      <x:c r="F26" s="45">
        <x:v>506.51106849462377</x:v>
      </x:c>
      <x:c r="G26" s="45">
        <x:v>352.28552479838714</x:v>
      </x:c>
      <x:c r="H26" s="45">
        <x:v>204.67686669354845</x:v>
      </x:c>
      <x:c r="I26" s="45"/>
      <x:c r="J26" s="45">
        <x:v>826.97730000000001</x:v>
      </x:c>
      <x:c r="K26" s="45">
        <x:v>671.82230000000004</x:v>
      </x:c>
      <x:c r="L26" s="45">
        <x:v>516.66729999999995</x:v>
      </x:c>
      <x:c r="M26" s="45">
        <x:v>361.57440000000008</x:v>
      </x:c>
    </x:row>
    <x:row r="27" spans="1:23" x14ac:dyDescent="0.25">
      <x:c r="A27" s="7">
        <x:f t="shared" si="0"/>
        <x:v>17</x:v>
      </x:c>
      <x:c r="B27" s="37">
        <x:v>15</x:v>
      </x:c>
      <x:c r="C27" s="33">
        <x:v>45153</x:v>
      </x:c>
      <x:c r="D27" s="33">
        <x:v>45124</x:v>
      </x:c>
      <x:c r="E27" s="45">
        <x:v>620.92651315860212</x:v>
      </x:c>
      <x:c r="F27" s="45">
        <x:v>475.84966283602148</x:v>
      </x:c>
      <x:c r="G27" s="45">
        <x:v>331.56528770161293</x:v>
      </x:c>
      <x:c r="H27" s="45">
        <x:v>193.52617771505382</x:v>
      </x:c>
      <x:c r="I27" s="45"/>
      <x:c r="J27" s="45">
        <x:v>781.45609999999999</x:v>
      </x:c>
      <x:c r="K27" s="45">
        <x:v>636.31110000000001</x:v>
      </x:c>
      <x:c r="L27" s="45">
        <x:v>491.16610000000003</x:v>
      </x:c>
      <x:c r="M27" s="45">
        <x:v>346.02800000000002</x:v>
      </x:c>
    </x:row>
    <x:row r="28" spans="1:23" x14ac:dyDescent="0.25">
      <x:c r="A28" s="7">
        <x:f t="shared" si="0"/>
        <x:v>18</x:v>
      </x:c>
      <x:c r="B28" s="37">
        <x:v>16</x:v>
      </x:c>
      <x:c r="C28" s="33">
        <x:v>45154</x:v>
      </x:c>
      <x:c r="D28" s="33">
        <x:v>45125</x:v>
      </x:c>
      <x:c r="E28" s="45">
        <x:v>621.16130607526884</x:v>
      </x:c>
      <x:c r="F28" s="45">
        <x:v>476.08161724462366</x:v>
      </x:c>
      <x:c r="G28" s="45">
        <x:v>331.79466895161283</x:v>
      </x:c>
      <x:c r="H28" s="45">
        <x:v>193.81967365591404</x:v>
      </x:c>
      <x:c r="I28" s="45"/>
      <x:c r="J28" s="45">
        <x:v>775.90309999999999</x:v>
      </x:c>
      <x:c r="K28" s="45">
        <x:v>630.75810000000013</x:v>
      </x:c>
      <x:c r="L28" s="45">
        <x:v>485.61310000000003</x:v>
      </x:c>
      <x:c r="M28" s="45">
        <x:v>340.47500000000008</x:v>
      </x:c>
    </x:row>
    <x:row r="29" spans="1:23" x14ac:dyDescent="0.25">
      <x:c r="A29" s="7">
        <x:f t="shared" si="0"/>
        <x:v>19</x:v>
      </x:c>
      <x:c r="B29" s="37">
        <x:v>17</x:v>
      </x:c>
      <x:c r="C29" s="33">
        <x:v>45155</x:v>
      </x:c>
      <x:c r="D29" s="33">
        <x:v>45126</x:v>
      </x:c>
      <x:c r="E29" s="45">
        <x:v>621.22070697580637</x:v>
      </x:c>
      <x:c r="F29" s="45">
        <x:v>476.13830665322575</x:v>
      </x:c>
      <x:c r="G29" s="45">
        <x:v>331.84968557795696</x:v>
      </x:c>
      <x:c r="H29" s="45">
        <x:v>193.94860221774201</x:v>
      </x:c>
      <x:c r="I29" s="45"/>
      <x:c r="J29" s="45">
        <x:v>765.78339999999992</x:v>
      </x:c>
      <x:c r="K29" s="45">
        <x:v>620.63840000000005</x:v>
      </x:c>
      <x:c r="L29" s="45">
        <x:v>475.49340000000001</x:v>
      </x:c>
      <x:c r="M29" s="45">
        <x:v>330.37690000000015</x:v>
      </x:c>
      <x:c r="O29" s="184"/>
      <x:c r="P29" s="184"/>
      <x:c r="Q29" s="184"/>
      <x:c r="R29" s="184"/>
      <x:c r="T29" s="184"/>
      <x:c r="U29" s="184"/>
      <x:c r="V29" s="184"/>
      <x:c r="W29" s="184"/>
    </x:row>
    <x:row r="30" spans="1:23" x14ac:dyDescent="0.25">
      <x:c r="A30" s="7">
        <x:f t="shared" si="0"/>
        <x:v>20</x:v>
      </x:c>
      <x:c r="B30" s="37">
        <x:v>18</x:v>
      </x:c>
      <x:c r="C30" s="33">
        <x:v>45156</x:v>
      </x:c>
      <x:c r="D30" s="33">
        <x:v>45127</x:v>
      </x:c>
      <x:c r="E30" s="185">
        <x:v>621.08456237903215</x:v>
      </x:c>
      <x:c r="F30" s="185">
        <x:v>475.9995122580645</x:v>
      </x:c>
      <x:c r="G30" s="185">
        <x:v>331.7097432392473</x:v>
      </x:c>
      <x:c r="H30" s="185">
        <x:v>193.89484174731189</x:v>
      </x:c>
      <x:c r="I30" s="185"/>
      <x:c r="J30" s="185">
        <x:v>765.02640000000008</x:v>
      </x:c>
      <x:c r="K30" s="185">
        <x:v>619.8814000000001</x:v>
      </x:c>
      <x:c r="L30" s="185">
        <x:v>474.7364</x:v>
      </x:c>
      <x:c r="M30" s="185">
        <x:v>329.61990000000009</x:v>
      </x:c>
      <x:c r="O30" s="187"/>
      <x:c r="P30" s="187"/>
      <x:c r="Q30" s="187"/>
      <x:c r="R30" s="187"/>
      <x:c r="S30" s="187"/>
      <x:c r="T30" s="187"/>
      <x:c r="U30" s="187"/>
      <x:c r="V30" s="187"/>
      <x:c r="W30" s="187"/>
    </x:row>
    <x:row r="31" spans="1:23" x14ac:dyDescent="0.25">
      <x:c r="A31" s="7">
        <x:f t="shared" si="0"/>
        <x:v>21</x:v>
      </x:c>
      <x:c r="B31" s="37">
        <x:v>19</x:v>
      </x:c>
      <x:c r="C31" s="33">
        <x:v>45159</x:v>
      </x:c>
      <x:c r="D31" s="33">
        <x:v>45128</x:v>
      </x:c>
      <x:c r="E31" s="45">
        <x:v>661.64382805107505</x:v>
      </x:c>
      <x:c r="F31" s="45">
        <x:v>506.54881627688178</x:v>
      </x:c>
      <x:c r="G31" s="45">
        <x:v>352.32457024193559</x:v>
      </x:c>
      <x:c r="H31" s="45">
        <x:v>205.33938983870974</x:v>
      </x:c>
      <x:c r="I31" s="45"/>
      <x:c r="J31" s="45">
        <x:v>830.13010000000008</x:v>
      </x:c>
      <x:c r="K31" s="45">
        <x:v>674.97509999999988</x:v>
      </x:c>
      <x:c r="L31" s="45">
        <x:v>519.82009999999991</x:v>
      </x:c>
      <x:c r="M31" s="45">
        <x:v>364.69360000000017</x:v>
      </x:c>
    </x:row>
    <x:row r="32" spans="1:23" x14ac:dyDescent="0.25">
      <x:c r="A32" s="7">
        <x:f t="shared" si="0"/>
        <x:v>22</x:v>
      </x:c>
      <x:c r="B32" s="37">
        <x:v>20</x:v>
      </x:c>
      <x:c r="C32" s="33">
        <x:v>45160</x:v>
      </x:c>
      <x:c r="D32" s="33">
        <x:v>45131</x:v>
      </x:c>
      <x:c r="E32" s="45">
        <x:v>617.75257208333312</x:v>
      </x:c>
      <x:c r="F32" s="45">
        <x:v>472.65991551075263</x:v>
      </x:c>
      <x:c r="G32" s="45">
        <x:v>328.39501411290325</x:v>
      </x:c>
      <x:c r="H32" s="45">
        <x:v>191.20961236559145</x:v>
      </x:c>
      <x:c r="I32" s="45"/>
      <x:c r="J32" s="45">
        <x:v>793.29379999999992</x:v>
      </x:c>
      <x:c r="K32" s="45">
        <x:v>648.14879999999994</x:v>
      </x:c>
      <x:c r="L32" s="45">
        <x:v>503.0037999999999</x:v>
      </x:c>
      <x:c r="M32" s="45">
        <x:v>357.88040000000007</x:v>
      </x:c>
    </x:row>
    <x:row r="33" spans="1:13" x14ac:dyDescent="0.25">
      <x:c r="A33" s="7">
        <x:f t="shared" si="0"/>
        <x:v>23</x:v>
      </x:c>
      <x:c r="B33" s="37">
        <x:v>21</x:v>
      </x:c>
      <x:c r="C33" s="33">
        <x:v>45161</x:v>
      </x:c>
      <x:c r="D33" s="33">
        <x:v>45132</x:v>
      </x:c>
      <x:c r="E33" s="45">
        <x:v>616.19880610215046</x:v>
      </x:c>
      <x:c r="F33" s="45">
        <x:v>471.1052187634408</x:v>
      </x:c>
      <x:c r="G33" s="45">
        <x:v>326.85748783602156</x:v>
      </x:c>
      <x:c r="H33" s="45">
        <x:v>189.9076144758065</x:v>
      </x:c>
      <x:c r="I33" s="45"/>
      <x:c r="J33" s="45">
        <x:v>797.01459999999986</x:v>
      </x:c>
      <x:c r="K33" s="45">
        <x:v>651.86959999999988</x:v>
      </x:c>
      <x:c r="L33" s="45">
        <x:v>506.7245999999999</x:v>
      </x:c>
      <x:c r="M33" s="45">
        <x:v>361.60120000000001</x:v>
      </x:c>
    </x:row>
    <x:row r="34" spans="1:13" x14ac:dyDescent="0.25">
      <x:c r="A34" s="7">
        <x:f t="shared" si="0"/>
        <x:v>24</x:v>
      </x:c>
    </x:row>
    <x:row r="35" spans="1:13" ht="13" x14ac:dyDescent="0.3">
      <x:c r="A35" s="7">
        <x:f t="shared" si="0"/>
        <x:v>25</x:v>
      </x:c>
      <x:c r="B35" s="222" t="s">
        <x:v>96</x:v>
      </x:c>
      <x:c r="C35" s="212"/>
      <x:c r="D35" s="212"/>
      <x:c r="E35" s="98">
        <x:f>AVERAGE(E13:E33)</x:f>
        <x:v>627.1413981865079</x:v>
      </x:c>
      <x:c r="F35" s="98">
        <x:f t="shared" ref="F35:M35" si="1">AVERAGE(F13:F33)</x:f>
        <x:v>478.25505846492575</x:v>
      </x:c>
      <x:c r="G35" s="98">
        <x:f t="shared" ref="G35" si="2">AVERAGE(G13:G33)</x:f>
        <x:v>330.22974092613924</x:v>
      </x:c>
      <x:c r="H35" s="98">
        <x:f t="shared" si="1"/>
        <x:v>188.78691985919107</x:v>
      </x:c>
      <x:c r="I35" s="98"/>
      <x:c r="J35" s="98">
        <x:f t="shared" si="1"/>
        <x:v>758.64480476190465</x:v>
      </x:c>
      <x:c r="K35" s="98">
        <x:f t="shared" si="1"/>
        <x:v>609.68647142857151</x:v>
      </x:c>
      <x:c r="L35" s="98">
        <x:f t="shared" ref="L35" si="3">AVERAGE(L13:L33)</x:f>
        <x:v>460.74499523809527</x:v>
      </x:c>
      <x:c r="M35" s="98">
        <x:f t="shared" si="1"/>
        <x:v>311.9974476190477</x:v>
      </x:c>
    </x:row>
    <x:row r="36" spans="1:13" x14ac:dyDescent="0.25">
      <x:c r="B36" s="30"/>
      <x:c r="C36" s="46"/>
      <x:c r="D36" s="30"/>
      <x:c r="E36" s="93"/>
      <x:c r="F36" s="93"/>
      <x:c r="G36" s="93"/>
      <x:c r="H36" s="93"/>
      <x:c r="I36" s="93"/>
      <x:c r="J36" s="93"/>
      <x:c r="K36" s="93"/>
      <x:c r="L36" s="93"/>
      <x:c r="M36" s="93"/>
    </x:row>
    <x:row r="37" spans="1:13" x14ac:dyDescent="0.25">
      <x:c r="B37" s="30"/>
      <x:c r="C37" s="29"/>
      <x:c r="D37" s="30"/>
      <x:c r="E37" s="95"/>
      <x:c r="F37" s="94"/>
      <x:c r="G37" s="94"/>
      <x:c r="H37" s="94"/>
      <x:c r="I37" s="94"/>
      <x:c r="J37" s="94"/>
      <x:c r="K37" s="94"/>
      <x:c r="L37" s="94"/>
      <x:c r="M37" s="94"/>
    </x:row>
  </x:sheetData>
  <x:mergeCells count="10">
    <x:mergeCell ref="B35:D35"/>
    <x:mergeCell ref="B5:M5"/>
    <x:mergeCell ref="E11:H11"/>
    <x:mergeCell ref="J11:M11"/>
    <x:mergeCell ref="B1:M1"/>
    <x:mergeCell ref="B2:M2"/>
    <x:mergeCell ref="B3:M3"/>
    <x:mergeCell ref="B4:M4"/>
    <x:mergeCell ref="B6:M6"/>
    <x:mergeCell ref="B8:M8"/>
  </x:mergeCells>
  <x:phoneticPr fontId="2" type="noConversion"/>
  <x:printOptions horizontalCentered="1"/>
  <x:pageMargins left="1.5" right="0.5" top="1.5" bottom="1" header="1" footer="0.5"/>
  <x:pageSetup scale="67" firstPageNumber="3" orientation="portrait" r:id="rId1"/>
  <x:headerFooter alignWithMargins="0">
    <x:oddHeader>&amp;RSchedule II-H-5.2
Page &amp;P of 37</x:oddHeader>
  </x:headerFooter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 codeName="Sheet24">
    <x:pageSetUpPr fitToPage="1"/>
  </x:sheetPr>
  <x:dimension ref="A1:W37"/>
  <x:sheetViews>
    <x:sheetView view="pageBreakPreview" zoomScaleNormal="100" workbookViewId="0"/>
  </x:sheetViews>
  <x:sheetFormatPr defaultColWidth="9.08984375" defaultRowHeight="12.5" x14ac:dyDescent="0.25"/>
  <x:cols>
    <x:col min="1" max="2" width="9.08984375" style="9"/>
    <x:col min="3" max="3" width="9.08984375" style="7"/>
    <x:col min="4" max="4" width="8.90625" style="9" bestFit="1" customWidth="1"/>
    <x:col min="5" max="5" width="9.36328125" style="9" bestFit="1" customWidth="1"/>
    <x:col min="6" max="7" width="9.36328125" style="9" customWidth="1"/>
    <x:col min="8" max="16384" width="9.08984375" style="9"/>
  </x:cols>
  <x:sheetData>
    <x:row r="1" spans="1:13" customFormat="1" ht="15.5" x14ac:dyDescent="0.35">
      <x:c r="A1" s="1"/>
      <x:c r="B1" s="209" t="str">
        <x:f>+RES!B1</x:f>
        <x:v xml:space="preserve">PUC DOCKET NO. </x:v>
      </x:c>
      <x:c r="C1" s="209"/>
      <x:c r="D1" s="209"/>
      <x:c r="E1" s="212"/>
      <x:c r="F1" s="212"/>
      <x:c r="G1" s="212"/>
      <x:c r="H1" s="212"/>
      <x:c r="I1" s="212"/>
      <x:c r="J1" s="212"/>
      <x:c r="K1" s="212"/>
      <x:c r="L1" s="212"/>
      <x:c r="M1" s="212"/>
    </x:row>
    <x:row r="2" spans="1:13" customFormat="1" ht="15.5" x14ac:dyDescent="0.35">
      <x:c r="A2" s="1"/>
      <x:c r="B2" s="209" t="str">
        <x:f>+RES!B2</x:f>
        <x:v>ONCOR ELECTRIC DELIVERY COMPANY LLC</x:v>
      </x:c>
      <x:c r="C2" s="209"/>
      <x:c r="D2" s="209"/>
      <x:c r="E2" s="212"/>
      <x:c r="F2" s="212"/>
      <x:c r="G2" s="212"/>
      <x:c r="H2" s="212"/>
      <x:c r="I2" s="212"/>
      <x:c r="J2" s="212"/>
      <x:c r="K2" s="212"/>
      <x:c r="L2" s="212"/>
      <x:c r="M2" s="212"/>
    </x:row>
    <x:row r="3" spans="1:13" customFormat="1" ht="15.5" x14ac:dyDescent="0.35">
      <x:c r="A3" s="1"/>
      <x:c r="B3" s="209" t="str">
        <x:f>+RES!B3</x:f>
        <x:v>ADJUSTED WEATHER STATION DATA</x:v>
      </x:c>
      <x:c r="C3" s="209"/>
      <x:c r="D3" s="209"/>
      <x:c r="E3" s="212"/>
      <x:c r="F3" s="212"/>
      <x:c r="G3" s="212"/>
      <x:c r="H3" s="212"/>
      <x:c r="I3" s="212"/>
      <x:c r="J3" s="212"/>
      <x:c r="K3" s="212"/>
      <x:c r="L3" s="212"/>
      <x:c r="M3" s="212"/>
    </x:row>
    <x:row r="4" spans="1:13" customFormat="1" ht="15.5" x14ac:dyDescent="0.35">
      <x:c r="A4" s="1"/>
      <x:c r="B4" s="209" t="str">
        <x:f>+RES!B4</x:f>
        <x:v>FOR THE TEST YEAR ENDING DECEMBER 31, 2024</x:v>
      </x:c>
      <x:c r="C4" s="209"/>
      <x:c r="D4" s="209"/>
      <x:c r="E4" s="212"/>
      <x:c r="F4" s="212"/>
      <x:c r="G4" s="212"/>
      <x:c r="H4" s="212"/>
      <x:c r="I4" s="212"/>
      <x:c r="J4" s="212"/>
      <x:c r="K4" s="212"/>
      <x:c r="L4" s="212"/>
      <x:c r="M4" s="212"/>
    </x:row>
    <x:row r="5" spans="1:13" customFormat="1" ht="15.5" x14ac:dyDescent="0.35">
      <x:c r="A5" s="1"/>
      <x:c r="B5" s="209"/>
      <x:c r="C5" s="209"/>
      <x:c r="D5" s="209"/>
      <x:c r="E5" s="212"/>
      <x:c r="F5" s="212"/>
      <x:c r="G5" s="212"/>
      <x:c r="H5" s="212"/>
      <x:c r="I5" s="212"/>
      <x:c r="J5" s="212"/>
      <x:c r="K5" s="212"/>
      <x:c r="L5" s="212"/>
      <x:c r="M5" s="212"/>
    </x:row>
    <x:row r="6" spans="1:13" ht="15.5" x14ac:dyDescent="0.35">
      <x:c r="B6" s="209" t="str">
        <x:f>+RES!B6</x:f>
        <x:v>SPONSOR: D. E. NELSON</x:v>
      </x:c>
      <x:c r="C6" s="209"/>
      <x:c r="D6" s="209"/>
      <x:c r="E6" s="212"/>
      <x:c r="F6" s="212"/>
      <x:c r="G6" s="212"/>
      <x:c r="H6" s="212"/>
      <x:c r="I6" s="212"/>
      <x:c r="J6" s="212"/>
      <x:c r="K6" s="212"/>
      <x:c r="L6" s="212"/>
      <x:c r="M6" s="212"/>
    </x:row>
    <x:row r="7" spans="1:13" ht="15.5" x14ac:dyDescent="0.35">
      <x:c r="B7" s="4"/>
      <x:c r="C7" s="4"/>
      <x:c r="D7" s="4"/>
      <x:c r="E7" s="51"/>
      <x:c r="F7" s="140"/>
      <x:c r="G7" s="182"/>
      <x:c r="H7" s="51"/>
      <x:c r="I7" s="51"/>
      <x:c r="J7" s="51"/>
      <x:c r="K7" s="140"/>
      <x:c r="L7" s="182"/>
      <x:c r="M7" s="51"/>
    </x:row>
    <x:row r="8" spans="1:13" ht="15.5" x14ac:dyDescent="0.35">
      <x:c r="B8" s="209" t="s">
        <x:v>163</x:v>
      </x:c>
      <x:c r="C8" s="209"/>
      <x:c r="D8" s="209"/>
      <x:c r="E8" s="212"/>
      <x:c r="F8" s="212"/>
      <x:c r="G8" s="212"/>
      <x:c r="H8" s="212"/>
      <x:c r="I8" s="212"/>
      <x:c r="J8" s="212"/>
      <x:c r="K8" s="212"/>
      <x:c r="L8" s="212"/>
      <x:c r="M8" s="212"/>
    </x:row>
    <x:row r="9" spans="1:13" ht="15.5" x14ac:dyDescent="0.35">
      <x:c r="A9" s="1" t="s">
        <x:v>6</x:v>
      </x:c>
      <x:c r="B9" s="4"/>
      <x:c r="C9" s="4"/>
      <x:c r="D9" s="4"/>
      <x:c r="E9" s="1"/>
      <x:c r="F9" s="139"/>
      <x:c r="G9" s="181"/>
      <x:c r="H9" s="1"/>
      <x:c r="I9" s="1"/>
      <x:c r="J9" s="1"/>
      <x:c r="K9" s="139"/>
      <x:c r="L9" s="181"/>
      <x:c r="M9" s="1"/>
    </x:row>
    <x:row r="10" spans="1:13" ht="15.5" x14ac:dyDescent="0.35">
      <x:c r="A10" s="5" t="s">
        <x:v>8</x:v>
      </x:c>
      <x:c r="B10" s="4"/>
      <x:c r="C10" s="4"/>
      <x:c r="D10" s="4"/>
      <x:c r="E10" s="1"/>
      <x:c r="F10" s="139"/>
      <x:c r="G10" s="181"/>
      <x:c r="H10" s="1"/>
      <x:c r="I10" s="1"/>
      <x:c r="J10" s="1"/>
      <x:c r="K10" s="139"/>
      <x:c r="L10" s="181"/>
      <x:c r="M10" s="1"/>
    </x:row>
    <x:row r="11" spans="1:13" ht="13" x14ac:dyDescent="0.3">
      <x:c r="A11" s="7">
        <x:v>1</x:v>
      </x:c>
      <x:c r="B11" s="42" t="s">
        <x:v>25</x:v>
      </x:c>
      <x:c r="C11" s="43" t="s">
        <x:v>26</x:v>
      </x:c>
      <x:c r="D11" s="43" t="s">
        <x:v>27</x:v>
      </x:c>
      <x:c r="E11" s="223" t="s">
        <x:v>77</x:v>
      </x:c>
      <x:c r="F11" s="215"/>
      <x:c r="G11" s="215"/>
      <x:c r="H11" s="215"/>
      <x:c r="I11" s="54"/>
      <x:c r="J11" s="223" t="s">
        <x:v>79</x:v>
      </x:c>
      <x:c r="K11" s="215"/>
      <x:c r="L11" s="215"/>
      <x:c r="M11" s="215"/>
    </x:row>
    <x:row r="12" spans="1:13" ht="13" x14ac:dyDescent="0.3">
      <x:c r="A12" s="7">
        <x:f t="shared" ref="A12:A27" si="0">+A11+1</x:f>
        <x:v>2</x:v>
      </x:c>
      <x:c r="B12" s="44" t="s">
        <x:v>27</x:v>
      </x:c>
      <x:c r="C12" s="44" t="s">
        <x:v>85</x:v>
      </x:c>
      <x:c r="D12" s="44" t="s">
        <x:v>28</x:v>
      </x:c>
      <x:c r="E12" s="141" t="s">
        <x:v>148</x:v>
      </x:c>
      <x:c r="F12" s="141" t="s">
        <x:v>126</x:v>
      </x:c>
      <x:c r="G12" s="183" t="s">
        <x:v>78</x:v>
      </x:c>
      <x:c r="H12" s="141" t="s">
        <x:v>81</x:v>
      </x:c>
      <x:c r="I12" s="44"/>
      <x:c r="J12" s="141" t="s">
        <x:v>148</x:v>
      </x:c>
      <x:c r="K12" s="141" t="s">
        <x:v>126</x:v>
      </x:c>
      <x:c r="L12" s="183" t="s">
        <x:v>78</x:v>
      </x:c>
      <x:c r="M12" s="141" t="s">
        <x:v>81</x:v>
      </x:c>
    </x:row>
    <x:row r="13" spans="1:13" x14ac:dyDescent="0.25">
      <x:c r="A13" s="7">
        <x:f t="shared" si="0"/>
        <x:v>3</x:v>
      </x:c>
      <x:c r="B13" s="37">
        <x:v>1</x:v>
      </x:c>
      <x:c r="C13" s="33">
        <x:v>45316</x:v>
      </x:c>
      <x:c r="D13" s="33">
        <x:v>45286</x:v>
      </x:c>
      <x:c r="E13" s="45">
        <x:v>85.136460537634406</x:v>
      </x:c>
      <x:c r="F13" s="45">
        <x:v>265.49302807795704</x:v>
      </x:c>
      <x:c r="G13" s="45">
        <x:v>389.50516723118272</x:v>
      </x:c>
      <x:c r="H13" s="45">
        <x:v>526.60689036290319</x:v>
      </x:c>
      <x:c r="I13" s="45"/>
      <x:c r="J13" s="45">
        <x:v>174.0488</x:v>
      </x:c>
      <x:c r="K13" s="45">
        <x:v>428.25770000000006</x:v>
      </x:c>
      <x:c r="L13" s="45">
        <x:v>576.87509999999997</x:v>
      </x:c>
      <x:c r="M13" s="45">
        <x:v>726.72390000000007</x:v>
      </x:c>
    </x:row>
    <x:row r="14" spans="1:13" x14ac:dyDescent="0.25">
      <x:c r="A14" s="7">
        <x:f t="shared" si="0"/>
        <x:v>4</x:v>
      </x:c>
      <x:c r="B14" s="37">
        <x:v>2</x:v>
      </x:c>
      <x:c r="C14" s="33">
        <x:v>45317</x:v>
      </x:c>
      <x:c r="D14" s="33">
        <x:v>45287</x:v>
      </x:c>
      <x:c r="E14" s="45">
        <x:v>85.260455094086012</x:v>
      </x:c>
      <x:c r="F14" s="45">
        <x:v>265.76021043010752</x:v>
      </x:c>
      <x:c r="G14" s="45">
        <x:v>389.89015151881716</x:v>
      </x:c>
      <x:c r="H14" s="45">
        <x:v>527.14657107526875</x:v>
      </x:c>
      <x:c r="I14" s="45"/>
      <x:c r="J14" s="45">
        <x:v>172.58599999999998</x:v>
      </x:c>
      <x:c r="K14" s="45">
        <x:v>421.0883</x:v>
      </x:c>
      <x:c r="L14" s="45">
        <x:v>569.61559999999997</x:v>
      </x:c>
      <x:c r="M14" s="45">
        <x:v>719.46440000000007</x:v>
      </x:c>
    </x:row>
    <x:row r="15" spans="1:13" x14ac:dyDescent="0.25">
      <x:c r="A15" s="7">
        <x:f t="shared" si="0"/>
        <x:v>5</x:v>
      </x:c>
      <x:c r="B15" s="37">
        <x:v>3</x:v>
      </x:c>
      <x:c r="C15" s="33">
        <x:v>45320</x:v>
      </x:c>
      <x:c r="D15" s="33">
        <x:v>45288</x:v>
      </x:c>
      <x:c r="E15" s="45">
        <x:v>90.85350709677418</x:v>
      </x:c>
      <x:c r="F15" s="45">
        <x:v>283.46276307795694</x:v>
      </x:c>
      <x:c r="G15" s="45">
        <x:v>416.02147155913974</x:v>
      </x:c>
      <x:c r="H15" s="45">
        <x:v>562.80863880376342</x:v>
      </x:c>
      <x:c r="I15" s="45"/>
      <x:c r="J15" s="45">
        <x:v>172.21889999999996</x:v>
      </x:c>
      <x:c r="K15" s="45">
        <x:v>431.05540000000002</x:v>
      </x:c>
      <x:c r="L15" s="45">
        <x:v>589.56029999999987</x:v>
      </x:c>
      <x:c r="M15" s="45">
        <x:v>749.40910000000019</x:v>
      </x:c>
    </x:row>
    <x:row r="16" spans="1:13" x14ac:dyDescent="0.25">
      <x:c r="A16" s="7">
        <x:f t="shared" si="0"/>
        <x:v>6</x:v>
      </x:c>
      <x:c r="B16" s="37">
        <x:v>4</x:v>
      </x:c>
      <x:c r="C16" s="33">
        <x:v>45321</x:v>
      </x:c>
      <x:c r="D16" s="33">
        <x:v>45289</x:v>
      </x:c>
      <x:c r="E16" s="45">
        <x:v>90.940308965053745</x:v>
      </x:c>
      <x:c r="F16" s="45">
        <x:v>283.68870356182788</x:v>
      </x:c>
      <x:c r="G16" s="45">
        <x:v>416.37498737903223</x:v>
      </x:c>
      <x:c r="H16" s="45">
        <x:v>563.37177366935475</x:v>
      </x:c>
      <x:c r="I16" s="45"/>
      <x:c r="J16" s="45">
        <x:v>169.02769999999998</x:v>
      </x:c>
      <x:c r="K16" s="45">
        <x:v>418.8066</x:v>
      </x:c>
      <x:c r="L16" s="45">
        <x:v>576.59949999999992</x:v>
      </x:c>
      <x:c r="M16" s="45">
        <x:v>736.44830000000013</x:v>
      </x:c>
    </x:row>
    <x:row r="17" spans="1:23" x14ac:dyDescent="0.25">
      <x:c r="A17" s="7">
        <x:f t="shared" si="0"/>
        <x:v>7</x:v>
      </x:c>
      <x:c r="B17" s="37">
        <x:v>5</x:v>
      </x:c>
      <x:c r="C17" s="33">
        <x:v>45322</x:v>
      </x:c>
      <x:c r="D17" s="33">
        <x:v>45293</x:v>
      </x:c>
      <x:c r="E17" s="45">
        <x:v>82.495174556451587</x:v>
      </x:c>
      <x:c r="F17" s="45">
        <x:v>257.07556909946231</x:v>
      </x:c>
      <x:c r="G17" s="45">
        <x:v>377.5740342876345</x:v>
      </x:c>
      <x:c r="H17" s="45">
        <x:v>511.27764459677417</x:v>
      </x:c>
      <x:c r="I17" s="45"/>
      <x:c r="J17" s="45">
        <x:v>162.16229999999996</x:v>
      </x:c>
      <x:c r="K17" s="45">
        <x:v>380.43430000000006</x:v>
      </x:c>
      <x:c r="L17" s="45">
        <x:v>519.35980000000006</x:v>
      </x:c>
      <x:c r="M17" s="45">
        <x:v>663.72839999999997</x:v>
      </x:c>
    </x:row>
    <x:row r="18" spans="1:23" x14ac:dyDescent="0.25">
      <x:c r="A18" s="7">
        <x:f t="shared" si="0"/>
        <x:v>8</x:v>
      </x:c>
      <x:c r="B18" s="37">
        <x:v>6</x:v>
      </x:c>
      <x:c r="C18" s="33">
        <x:v>45323</x:v>
      </x:c>
      <x:c r="D18" s="33">
        <x:v>45294</x:v>
      </x:c>
      <x:c r="E18" s="45">
        <x:v>82.360874516129002</x:v>
      </x:c>
      <x:c r="F18" s="45">
        <x:v>256.74838129032253</x:v>
      </x:c>
      <x:c r="G18" s="45">
        <x:v>377.22565311827964</x:v>
      </x:c>
      <x:c r="H18" s="45">
        <x:v>511.04572357526882</x:v>
      </x:c>
      <x:c r="I18" s="45"/>
      <x:c r="J18" s="45">
        <x:v>157.92230000000001</x:v>
      </x:c>
      <x:c r="K18" s="45">
        <x:v>366.47940000000006</x:v>
      </x:c>
      <x:c r="L18" s="45">
        <x:v>502.07080000000008</x:v>
      </x:c>
      <x:c r="M18" s="45">
        <x:v>646.43939999999998</x:v>
      </x:c>
    </x:row>
    <x:row r="19" spans="1:23" x14ac:dyDescent="0.25">
      <x:c r="A19" s="7">
        <x:f t="shared" si="0"/>
        <x:v>9</x:v>
      </x:c>
      <x:c r="B19" s="37">
        <x:v>7</x:v>
      </x:c>
      <x:c r="C19" s="33">
        <x:v>45324</x:v>
      </x:c>
      <x:c r="D19" s="33">
        <x:v>45295</x:v>
      </x:c>
      <x:c r="E19" s="45">
        <x:v>82.192038494623617</x:v>
      </x:c>
      <x:c r="F19" s="45">
        <x:v>256.36692096774192</x:v>
      </x:c>
      <x:c r="G19" s="45">
        <x:v>376.80616250000008</x:v>
      </x:c>
      <x:c r="H19" s="45">
        <x:v>510.73378549731177</x:v>
      </x:c>
      <x:c r="I19" s="45"/>
      <x:c r="J19" s="45">
        <x:v>157.45740000000001</x:v>
      </x:c>
      <x:c r="K19" s="45">
        <x:v>357.29920000000004</x:v>
      </x:c>
      <x:c r="L19" s="45">
        <x:v>488.39110000000005</x:v>
      </x:c>
      <x:c r="M19" s="45">
        <x:v>632.31999999999994</x:v>
      </x:c>
    </x:row>
    <x:row r="20" spans="1:23" x14ac:dyDescent="0.25">
      <x:c r="A20" s="7">
        <x:f t="shared" si="0"/>
        <x:v>10</x:v>
      </x:c>
      <x:c r="B20" s="37">
        <x:v>8</x:v>
      </x:c>
      <x:c r="C20" s="33">
        <x:v>45327</x:v>
      </x:c>
      <x:c r="D20" s="33">
        <x:v>45296</x:v>
      </x:c>
      <x:c r="E20" s="45">
        <x:v>87.492680860215017</x:v>
      </x:c>
      <x:c r="F20" s="45">
        <x:v>272.85530041666664</x:v>
      </x:c>
      <x:c r="G20" s="45">
        <x:v>401.18050033602157</x:v>
      </x:c>
      <x:c r="H20" s="45">
        <x:v>544.301274327957</x:v>
      </x:c>
      <x:c r="I20" s="45"/>
      <x:c r="J20" s="45">
        <x:v>157.0557</x:v>
      </x:c>
      <x:c r="K20" s="45">
        <x:v>349.81640000000004</x:v>
      </x:c>
      <x:c r="L20" s="45">
        <x:v>483.10520000000002</x:v>
      </x:c>
      <x:c r="M20" s="45">
        <x:v>635.74519999999995</x:v>
      </x:c>
    </x:row>
    <x:row r="21" spans="1:23" x14ac:dyDescent="0.25">
      <x:c r="A21" s="7">
        <x:f t="shared" si="0"/>
        <x:v>11</x:v>
      </x:c>
      <x:c r="B21" s="37">
        <x:v>9</x:v>
      </x:c>
      <x:c r="C21" s="33">
        <x:v>45328</x:v>
      </x:c>
      <x:c r="D21" s="33">
        <x:v>45297</x:v>
      </x:c>
      <x:c r="E21" s="45">
        <x:v>87.158892352150502</x:v>
      </x:c>
      <x:c r="F21" s="45">
        <x:v>272.13215880376339</x:v>
      </x:c>
      <x:c r="G21" s="45">
        <x:v>400.28724251344084</x:v>
      </x:c>
      <x:c r="H21" s="45">
        <x:v>543.38575034946234</x:v>
      </x:c>
      <x:c r="I21" s="45"/>
      <x:c r="J21" s="45">
        <x:v>156.7319</x:v>
      </x:c>
      <x:c r="K21" s="45">
        <x:v>343.88580000000007</x:v>
      </x:c>
      <x:c r="L21" s="45">
        <x:v>477.10139999999996</x:v>
      </x:c>
      <x:c r="M21" s="45">
        <x:v>629.74139999999989</x:v>
      </x:c>
    </x:row>
    <x:row r="22" spans="1:23" x14ac:dyDescent="0.25">
      <x:c r="A22" s="7">
        <x:f t="shared" si="0"/>
        <x:v>12</x:v>
      </x:c>
      <x:c r="B22" s="37">
        <x:v>10</x:v>
      </x:c>
      <x:c r="C22" s="33">
        <x:v>45329</x:v>
      </x:c>
      <x:c r="D22" s="33">
        <x:v>45299</x:v>
      </x:c>
      <x:c r="E22" s="45">
        <x:v>83.744133763440843</x:v>
      </x:c>
      <x:c r="F22" s="45">
        <x:v>262.10137564516123</x:v>
      </x:c>
      <x:c r="G22" s="45">
        <x:v>385.94596819892473</x:v>
      </x:c>
      <x:c r="H22" s="45">
        <x:v>524.45416713709676</x:v>
      </x:c>
      <x:c r="I22" s="45"/>
      <x:c r="J22" s="45">
        <x:v>155.8518</x:v>
      </x:c>
      <x:c r="K22" s="45">
        <x:v>327.40740000000005</x:v>
      </x:c>
      <x:c r="L22" s="45">
        <x:v>455.62299999999993</x:v>
      </x:c>
      <x:c r="M22" s="45">
        <x:v>603.26299999999992</x:v>
      </x:c>
    </x:row>
    <x:row r="23" spans="1:23" x14ac:dyDescent="0.25">
      <x:c r="A23" s="7">
        <x:f t="shared" si="0"/>
        <x:v>13</x:v>
      </x:c>
      <x:c r="B23" s="37">
        <x:v>11</x:v>
      </x:c>
      <x:c r="C23" s="33">
        <x:v>45330</x:v>
      </x:c>
      <x:c r="D23" s="33">
        <x:v>45300</x:v>
      </x:c>
      <x:c r="E23" s="45">
        <x:v>83.394913091397825</x:v>
      </x:c>
      <x:c r="F23" s="45">
        <x:v>261.09944861559137</x:v>
      </x:c>
      <x:c r="G23" s="45">
        <x:v>384.66760965053754</x:v>
      </x:c>
      <x:c r="H23" s="45">
        <x:v>523.05529740591396</x:v>
      </x:c>
      <x:c r="I23" s="45"/>
      <x:c r="J23" s="45">
        <x:v>155.78460000000001</x:v>
      </x:c>
      <x:c r="K23" s="45">
        <x:v>323.9208000000001</x:v>
      </x:c>
      <x:c r="L23" s="45">
        <x:v>449.75919999999991</x:v>
      </x:c>
      <x:c r="M23" s="45">
        <x:v>597.39919999999995</x:v>
      </x:c>
    </x:row>
    <x:row r="24" spans="1:23" x14ac:dyDescent="0.25">
      <x:c r="A24" s="7">
        <x:f t="shared" si="0"/>
        <x:v>14</x:v>
      </x:c>
      <x:c r="B24" s="37">
        <x:v>12</x:v>
      </x:c>
      <x:c r="C24" s="33">
        <x:v>45331</x:v>
      </x:c>
      <x:c r="D24" s="33">
        <x:v>45301</x:v>
      </x:c>
      <x:c r="E24" s="45">
        <x:v>83.067679341397834</x:v>
      </x:c>
      <x:c r="F24" s="45">
        <x:v>260.02670305107529</x:v>
      </x:c>
      <x:c r="G24" s="45">
        <x:v>383.26042159946229</x:v>
      </x:c>
      <x:c r="H24" s="45">
        <x:v>521.48916317204305</x:v>
      </x:c>
      <x:c r="I24" s="45"/>
      <x:c r="J24" s="45">
        <x:v>151.93299999999999</x:v>
      </x:c>
      <x:c r="K24" s="45">
        <x:v>310.42020000000014</x:v>
      </x:c>
      <x:c r="L24" s="45">
        <x:v>431.66339999999991</x:v>
      </x:c>
      <x:c r="M24" s="45">
        <x:v>577.03840000000002</x:v>
      </x:c>
    </x:row>
    <x:row r="25" spans="1:23" x14ac:dyDescent="0.25">
      <x:c r="A25" s="7">
        <x:f t="shared" si="0"/>
        <x:v>15</x:v>
      </x:c>
      <x:c r="B25" s="37">
        <x:v>13</x:v>
      </x:c>
      <x:c r="C25" s="33">
        <x:v>45334</x:v>
      </x:c>
      <x:c r="D25" s="33">
        <x:v>45302</x:v>
      </x:c>
      <x:c r="E25" s="45">
        <x:v>88.075878709677411</x:v>
      </x:c>
      <x:c r="F25" s="45">
        <x:v>274.79378545698921</x:v>
      </x:c>
      <x:c r="G25" s="45">
        <x:v>405.2157116397849</x:v>
      </x:c>
      <x:c r="H25" s="45">
        <x:v>551.97652112903211</x:v>
      </x:c>
      <x:c r="I25" s="45"/>
      <x:c r="J25" s="45">
        <x:v>152.3777</x:v>
      </x:c>
      <x:c r="K25" s="45">
        <x:v>311.41110000000003</x:v>
      </x:c>
      <x:c r="L25" s="45">
        <x:v>436.71289999999999</x:v>
      </x:c>
      <x:c r="M25" s="45">
        <x:v>589.87760000000003</x:v>
      </x:c>
    </x:row>
    <x:row r="26" spans="1:23" x14ac:dyDescent="0.25">
      <x:c r="A26" s="7">
        <x:f t="shared" si="0"/>
        <x:v>16</x:v>
      </x:c>
      <x:c r="B26" s="37">
        <x:v>14</x:v>
      </x:c>
      <x:c r="C26" s="33">
        <x:v>45335</x:v>
      </x:c>
      <x:c r="D26" s="33">
        <x:v>45303</x:v>
      </x:c>
      <x:c r="E26" s="185">
        <x:v>87.865953682795677</x:v>
      </x:c>
      <x:c r="F26" s="185">
        <x:v>273.6801964112903</x:v>
      </x:c>
      <x:c r="G26" s="185">
        <x:v>403.65046860215045</x:v>
      </x:c>
      <x:c r="H26" s="185">
        <x:v>550.14396028225804</x:v>
      </x:c>
      <x:c r="I26" s="185"/>
      <x:c r="J26" s="185">
        <x:v>152.75380000000001</x:v>
      </x:c>
      <x:c r="K26" s="185">
        <x:v>319.98980000000006</x:v>
      </x:c>
      <x:c r="L26" s="185">
        <x:v>445.79989999999998</x:v>
      </x:c>
      <x:c r="M26" s="185">
        <x:v>598.96460000000002</x:v>
      </x:c>
      <x:c r="O26" s="187"/>
      <x:c r="P26" s="187"/>
      <x:c r="Q26" s="187"/>
      <x:c r="R26" s="187"/>
      <x:c r="S26" s="187"/>
      <x:c r="T26" s="187"/>
      <x:c r="U26" s="187"/>
      <x:c r="V26" s="187"/>
      <x:c r="W26" s="187"/>
    </x:row>
    <x:row r="27" spans="1:23" x14ac:dyDescent="0.25">
      <x:c r="A27" s="7">
        <x:f t="shared" si="0"/>
        <x:v>17</x:v>
      </x:c>
      <x:c r="B27" s="37">
        <x:v>15</x:v>
      </x:c>
      <x:c r="C27" s="33">
        <x:v>45336</x:v>
      </x:c>
      <x:c r="D27" s="33">
        <x:v>45307</x:v>
      </x:c>
      <x:c r="E27" s="45">
        <x:v>79.103001868279549</x:v>
      </x:c>
      <x:c r="F27" s="45">
        <x:v>245.67985935483864</x:v>
      </x:c>
      <x:c r="G27" s="45">
        <x:v>362.5009266666666</x:v>
      </x:c>
      <x:c r="H27" s="45">
        <x:v>494.77993754032263</x:v>
      </x:c>
      <x:c r="I27" s="45"/>
      <x:c r="J27" s="45">
        <x:v>87.401199999999974</x:v>
      </x:c>
      <x:c r="K27" s="45">
        <x:v>221.5406999999999</x:v>
      </x:c>
      <x:c r="L27" s="45">
        <x:v>332.35079999999994</x:v>
      </x:c>
      <x:c r="M27" s="45">
        <x:v>470.51549999999992</x:v>
      </x:c>
    </x:row>
    <x:row r="28" spans="1:23" x14ac:dyDescent="0.25">
      <x:c r="A28" s="7">
        <x:f t="shared" ref="A28:A35" si="1">+A27+1</x:f>
        <x:v>18</x:v>
      </x:c>
      <x:c r="B28" s="37">
        <x:v>16</x:v>
      </x:c>
      <x:c r="C28" s="33">
        <x:v>45337</x:v>
      </x:c>
      <x:c r="D28" s="33">
        <x:v>45308</x:v>
      </x:c>
      <x:c r="E28" s="45">
        <x:v>78.744044879032231</x:v>
      </x:c>
      <x:c r="F28" s="45">
        <x:v>244.16202287634405</x:v>
      </x:c>
      <x:c r="G28" s="45">
        <x:v>360.35727833333328</x:v>
      </x:c>
      <x:c r="H28" s="45">
        <x:v>492.22436419354847</x:v>
      </x:c>
      <x:c r="I28" s="45"/>
      <x:c r="J28" s="45">
        <x:v>61.637699999999995</x:v>
      </x:c>
      <x:c r="K28" s="45">
        <x:v>186.1159999999999</x:v>
      </x:c>
      <x:c r="L28" s="45">
        <x:v>296.22019999999998</x:v>
      </x:c>
      <x:c r="M28" s="45">
        <x:v>434.3848999999999</x:v>
      </x:c>
      <x:c r="O28" s="184"/>
      <x:c r="P28" s="184"/>
      <x:c r="Q28" s="184"/>
      <x:c r="R28" s="184"/>
      <x:c r="T28" s="184"/>
      <x:c r="U28" s="184"/>
      <x:c r="V28" s="184"/>
      <x:c r="W28" s="184"/>
    </x:row>
    <x:row r="29" spans="1:23" x14ac:dyDescent="0.25">
      <x:c r="A29" s="7">
        <x:f t="shared" si="1"/>
        <x:v>19</x:v>
      </x:c>
      <x:c r="B29" s="37">
        <x:v>17</x:v>
      </x:c>
      <x:c r="C29" s="33">
        <x:v>45338</x:v>
      </x:c>
      <x:c r="D29" s="33">
        <x:v>45309</x:v>
      </x:c>
      <x:c r="E29" s="45">
        <x:v>78.36923837365589</x:v>
      </x:c>
      <x:c r="F29" s="45">
        <x:v>242.57715059139778</x:v>
      </x:c>
      <x:c r="G29" s="45">
        <x:v>358.09868036290328</x:v>
      </x:c>
      <x:c r="H29" s="45">
        <x:v>489.492753951613</x:v>
      </x:c>
      <x:c r="I29" s="45"/>
      <x:c r="J29" s="45">
        <x:v>46.742399999999996</x:v>
      </x:c>
      <x:c r="K29" s="45">
        <x:v>161.23589999999993</x:v>
      </x:c>
      <x:c r="L29" s="45">
        <x:v>267.13189999999992</x:v>
      </x:c>
      <x:c r="M29" s="45">
        <x:v>404.99639999999988</x:v>
      </x:c>
    </x:row>
    <x:row r="30" spans="1:23" x14ac:dyDescent="0.25">
      <x:c r="A30" s="7">
        <x:f t="shared" si="1"/>
        <x:v>20</x:v>
      </x:c>
      <x:c r="B30" s="37">
        <x:v>18</x:v>
      </x:c>
      <x:c r="C30" s="33">
        <x:v>45341</x:v>
      </x:c>
      <x:c r="D30" s="33">
        <x:v>45310</x:v>
      </x:c>
      <x:c r="E30" s="45">
        <x:v>82.656922177419332</x:v>
      </x:c>
      <x:c r="F30" s="45">
        <x:v>254.97524537634408</x:v>
      </x:c>
      <x:c r="G30" s="45">
        <x:v>376.71755188172045</x:v>
      </x:c>
      <x:c r="H30" s="45">
        <x:v>515.82924126344096</x:v>
      </x:c>
      <x:c r="I30" s="45"/>
      <x:c r="J30" s="45">
        <x:v>57.2607</x:v>
      </x:c>
      <x:c r="K30" s="45">
        <x:v>184.89499999999995</x:v>
      </x:c>
      <x:c r="L30" s="45">
        <x:v>297.05699999999985</x:v>
      </x:c>
      <x:c r="M30" s="45">
        <x:v>444.35679999999985</x:v>
      </x:c>
    </x:row>
    <x:row r="31" spans="1:23" x14ac:dyDescent="0.25">
      <x:c r="A31" s="7">
        <x:f t="shared" si="1"/>
        <x:v>21</x:v>
      </x:c>
      <x:c r="B31" s="37">
        <x:v>19</x:v>
      </x:c>
      <x:c r="C31" s="33">
        <x:v>45342</x:v>
      </x:c>
      <x:c r="D31" s="33">
        <x:v>45311</x:v>
      </x:c>
      <x:c r="E31" s="45">
        <x:v>82.025696639784925</x:v>
      </x:c>
      <x:c r="F31" s="45">
        <x:v>252.83440030913977</x:v>
      </x:c>
      <x:c r="G31" s="45">
        <x:v>373.74822819892478</x:v>
      </x:c>
      <x:c r="H31" s="45">
        <x:v>512.25166413978502</x:v>
      </x:c>
      <x:c r="I31" s="45"/>
      <x:c r="J31" s="45">
        <x:v>45.081800000000001</x:v>
      </x:c>
      <x:c r="K31" s="45">
        <x:v>166.34769999999997</x:v>
      </x:c>
      <x:c r="L31" s="45">
        <x:v>278.50409999999988</x:v>
      </x:c>
      <x:c r="M31" s="45">
        <x:v>425.80389999999983</x:v>
      </x:c>
    </x:row>
    <x:row r="32" spans="1:23" x14ac:dyDescent="0.25">
      <x:c r="A32" s="7">
        <x:f t="shared" si="1"/>
        <x:v>22</x:v>
      </x:c>
      <x:c r="B32" s="37">
        <x:v>20</x:v>
      </x:c>
      <x:c r="C32" s="33">
        <x:v>45343</x:v>
      </x:c>
      <x:c r="D32" s="33">
        <x:v>45313</x:v>
      </x:c>
      <x:c r="E32" s="45">
        <x:v>78.469573091397834</x:v>
      </x:c>
      <x:c r="F32" s="45">
        <x:v>241.68953130376343</x:v>
      </x:c>
      <x:c r="G32" s="45">
        <x:v>357.55401892473122</x:v>
      </x:c>
      <x:c r="H32" s="45">
        <x:v>490.76814877688179</x:v>
      </x:c>
      <x:c r="I32" s="45"/>
      <x:c r="J32" s="45">
        <x:v>18.607899999999997</x:v>
      </x:c>
      <x:c r="K32" s="45">
        <x:v>119.8738</x:v>
      </x:c>
      <x:c r="L32" s="45">
        <x:v>222.20400000000001</x:v>
      </x:c>
      <x:c r="M32" s="45">
        <x:v>363.18049999999988</x:v>
      </x:c>
    </x:row>
    <x:row r="33" spans="1:13" x14ac:dyDescent="0.25">
      <x:c r="A33" s="7">
        <x:f t="shared" si="1"/>
        <x:v>23</x:v>
      </x:c>
      <x:c r="B33" s="37">
        <x:v>21</x:v>
      </x:c>
      <x:c r="C33" s="33">
        <x:v>45344</x:v>
      </x:c>
      <x:c r="D33" s="33">
        <x:v>45314</x:v>
      </x:c>
      <x:c r="E33" s="45">
        <x:v>77.709982123655919</x:v>
      </x:c>
      <x:c r="F33" s="45">
        <x:v>239.22561262096772</x:v>
      </x:c>
      <x:c r="G33" s="45">
        <x:v>354.22561508064518</x:v>
      </x:c>
      <x:c r="H33" s="45">
        <x:v>486.80717846774201</x:v>
      </x:c>
      <x:c r="I33" s="45"/>
      <x:c r="J33" s="45">
        <x:v>11.7986</x:v>
      </x:c>
      <x:c r="K33" s="45">
        <x:v>103.4646</x:v>
      </x:c>
      <x:c r="L33" s="45">
        <x:v>200.79480000000001</x:v>
      </x:c>
      <x:c r="M33" s="45">
        <x:v>336.77129999999994</x:v>
      </x:c>
    </x:row>
    <x:row r="34" spans="1:13" x14ac:dyDescent="0.25">
      <x:c r="A34" s="7">
        <x:f t="shared" si="1"/>
        <x:v>24</x:v>
      </x:c>
    </x:row>
    <x:row r="35" spans="1:13" ht="13" x14ac:dyDescent="0.3">
      <x:c r="A35" s="7">
        <x:f t="shared" si="1"/>
        <x:v>25</x:v>
      </x:c>
      <x:c r="B35" s="222" t="s">
        <x:v>96</x:v>
      </x:c>
      <x:c r="C35" s="212"/>
      <x:c r="D35" s="212"/>
      <x:c r="E35" s="98">
        <x:f t="shared" ref="E35:M35" si="2">AVERAGE(E13:E33)</x:f>
        <x:v>83.672257629288268</x:v>
      </x:c>
      <x:c r="F35" s="98">
        <x:f t="shared" si="2"/>
        <x:v>260.30611273041472</x:v>
      </x:c>
      <x:c r="G35" s="98">
        <x:f t="shared" ref="G35" si="3">AVERAGE(G13:G33)</x:f>
        <x:v>383.37180236111112</x:v>
      </x:c>
      <x:c r="H35" s="98">
        <x:f t="shared" si="2"/>
        <x:v>521.61668808179729</x:v>
      </x:c>
      <x:c r="I35" s="98"/>
      <x:c r="J35" s="98">
        <x:f t="shared" si="2"/>
        <x:v>122.68772380952379</x:v>
      </x:c>
      <x:c r="K35" s="98">
        <x:f t="shared" si="2"/>
        <x:v>296.84505238095244</x:v>
      </x:c>
      <x:c r="L35" s="98">
        <x:f t="shared" ref="L35" si="4">AVERAGE(L13:L33)</x:f>
        <x:v>423.64285714285717</x:v>
      </x:c>
      <x:c r="M35" s="98">
        <x:f t="shared" si="2"/>
        <x:v>570.78915238095237</x:v>
      </x:c>
    </x:row>
    <x:row r="36" spans="1:13" x14ac:dyDescent="0.25">
      <x:c r="B36" s="30"/>
      <x:c r="C36" s="46"/>
      <x:c r="D36" s="30"/>
      <x:c r="E36" s="93"/>
      <x:c r="F36" s="93"/>
      <x:c r="G36" s="93"/>
      <x:c r="H36" s="93"/>
      <x:c r="I36" s="93"/>
      <x:c r="J36" s="93"/>
      <x:c r="K36" s="93"/>
      <x:c r="L36" s="93"/>
      <x:c r="M36" s="93"/>
    </x:row>
    <x:row r="37" spans="1:13" x14ac:dyDescent="0.25">
      <x:c r="B37" s="30"/>
      <x:c r="C37" s="29"/>
      <x:c r="D37" s="30"/>
      <x:c r="E37" s="94"/>
      <x:c r="F37" s="94"/>
      <x:c r="G37" s="94"/>
      <x:c r="H37" s="94"/>
      <x:c r="I37" s="94"/>
      <x:c r="J37" s="94"/>
      <x:c r="K37" s="94"/>
      <x:c r="L37" s="94"/>
      <x:c r="M37" s="94"/>
    </x:row>
  </x:sheetData>
  <x:mergeCells count="10">
    <x:mergeCell ref="E11:H11"/>
    <x:mergeCell ref="J11:M11"/>
    <x:mergeCell ref="B35:D35"/>
    <x:mergeCell ref="B1:M1"/>
    <x:mergeCell ref="B2:M2"/>
    <x:mergeCell ref="B3:M3"/>
    <x:mergeCell ref="B4:M4"/>
    <x:mergeCell ref="B5:M5"/>
    <x:mergeCell ref="B6:M6"/>
    <x:mergeCell ref="B8:M8"/>
  </x:mergeCells>
  <x:printOptions horizontalCentered="1"/>
  <x:pageMargins left="1.5" right="0.5" top="1.5" bottom="1" header="1" footer="0.5"/>
  <x:pageSetup scale="71" firstPageNumber="3" orientation="portrait" r:id="rId1"/>
  <x:headerFooter alignWithMargins="0">
    <x:oddHeader>&amp;RSchedule II-H-5.2
Page &amp;P of 37</x:oddHeader>
  </x:headerFooter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 codeName="Sheet25">
    <x:pageSetUpPr fitToPage="1"/>
  </x:sheetPr>
  <x:dimension ref="A1:W37"/>
  <x:sheetViews>
    <x:sheetView view="pageBreakPreview" zoomScaleNormal="100" workbookViewId="0"/>
  </x:sheetViews>
  <x:sheetFormatPr defaultColWidth="9.08984375" defaultRowHeight="12.5" x14ac:dyDescent="0.25"/>
  <x:cols>
    <x:col min="1" max="1" width="9.08984375" style="9"/>
    <x:col min="2" max="2" width="10.08984375" style="9" customWidth="1"/>
    <x:col min="3" max="3" width="10.90625" style="7" customWidth="1"/>
    <x:col min="4" max="4" width="10.453125" style="9" customWidth="1"/>
    <x:col min="5" max="5" width="11.08984375" style="9" customWidth="1"/>
    <x:col min="6" max="6" width="9.36328125" style="9" bestFit="1" customWidth="1"/>
    <x:col min="7" max="7" width="9.36328125" style="9" customWidth="1"/>
    <x:col min="8" max="9" width="9.08984375" style="9"/>
    <x:col min="10" max="10" width="9.6328125" style="9" customWidth="1"/>
    <x:col min="11" max="16384" width="9.08984375" style="9"/>
  </x:cols>
  <x:sheetData>
    <x:row r="1" spans="1:13" customFormat="1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212"/>
    </x:row>
    <x:row r="2" spans="1:13" customFormat="1" ht="15.5" x14ac:dyDescent="0.35">
      <x:c r="A2" s="1"/>
      <x:c r="B2" s="209" t="str">
        <x:f>+RES!B2</x:f>
        <x:v>ONCOR ELECTRIC DELIVERY COMPANY LLC</x:v>
      </x:c>
      <x:c r="C2" s="212"/>
      <x:c r="D2" s="212"/>
      <x:c r="E2" s="212"/>
      <x:c r="F2" s="212"/>
      <x:c r="G2" s="212"/>
      <x:c r="H2" s="212"/>
      <x:c r="I2" s="212"/>
      <x:c r="J2" s="212"/>
      <x:c r="K2" s="212"/>
      <x:c r="L2" s="212"/>
      <x:c r="M2" s="212"/>
    </x:row>
    <x:row r="3" spans="1:13" customFormat="1" ht="15.5" x14ac:dyDescent="0.35">
      <x:c r="A3" s="1"/>
      <x:c r="B3" s="209" t="str">
        <x:f>+RES!B3</x:f>
        <x:v>ADJUSTED WEATHER STATION DATA</x:v>
      </x:c>
      <x:c r="C3" s="212"/>
      <x:c r="D3" s="212"/>
      <x:c r="E3" s="212"/>
      <x:c r="F3" s="212"/>
      <x:c r="G3" s="212"/>
      <x:c r="H3" s="212"/>
      <x:c r="I3" s="212"/>
      <x:c r="J3" s="212"/>
      <x:c r="K3" s="212"/>
      <x:c r="L3" s="212"/>
      <x:c r="M3" s="212"/>
    </x:row>
    <x:row r="4" spans="1:13" customFormat="1" ht="15.5" x14ac:dyDescent="0.35">
      <x:c r="A4" s="1"/>
      <x:c r="B4" s="209" t="str">
        <x:f>+RES!B4</x:f>
        <x:v>FOR THE TEST YEAR ENDING DECEMBER 31, 2024</x:v>
      </x:c>
      <x:c r="C4" s="212"/>
      <x:c r="D4" s="212"/>
      <x:c r="E4" s="212"/>
      <x:c r="F4" s="212"/>
      <x:c r="G4" s="212"/>
      <x:c r="H4" s="212"/>
      <x:c r="I4" s="212"/>
      <x:c r="J4" s="212"/>
      <x:c r="K4" s="212"/>
      <x:c r="L4" s="212"/>
      <x:c r="M4" s="212"/>
    </x:row>
    <x:row r="5" spans="1:13" customFormat="1" ht="15.5" x14ac:dyDescent="0.35">
      <x:c r="A5" s="1"/>
      <x:c r="B5" s="209"/>
      <x:c r="C5" s="209"/>
      <x:c r="D5" s="209"/>
      <x:c r="E5" s="212"/>
      <x:c r="F5" s="212"/>
      <x:c r="G5" s="212"/>
      <x:c r="H5" s="212"/>
      <x:c r="I5" s="212"/>
      <x:c r="J5" s="212"/>
      <x:c r="K5" s="212"/>
      <x:c r="L5" s="212"/>
      <x:c r="M5" s="212"/>
    </x:row>
    <x:row r="6" spans="1:13" ht="15.5" x14ac:dyDescent="0.35">
      <x:c r="B6" s="209" t="str">
        <x:f>+RES!B6</x:f>
        <x:v>SPONSOR: D. E. NELSON</x:v>
      </x:c>
      <x:c r="C6" s="212"/>
      <x:c r="D6" s="212"/>
      <x:c r="E6" s="212"/>
      <x:c r="F6" s="212"/>
      <x:c r="G6" s="212"/>
      <x:c r="H6" s="212"/>
      <x:c r="I6" s="212"/>
      <x:c r="J6" s="212"/>
      <x:c r="K6" s="212"/>
      <x:c r="L6" s="212"/>
      <x:c r="M6" s="212"/>
    </x:row>
    <x:row r="7" spans="1:13" ht="15.5" x14ac:dyDescent="0.35">
      <x:c r="B7" s="4"/>
      <x:c r="C7" s="4"/>
      <x:c r="D7" s="4"/>
      <x:c r="E7" s="51"/>
      <x:c r="F7" s="51"/>
      <x:c r="G7" s="182"/>
      <x:c r="H7" s="51"/>
      <x:c r="I7" s="51"/>
      <x:c r="J7" s="51"/>
      <x:c r="K7" s="51"/>
      <x:c r="L7" s="182"/>
      <x:c r="M7" s="51"/>
    </x:row>
    <x:row r="8" spans="1:13" ht="15.5" x14ac:dyDescent="0.35">
      <x:c r="B8" s="209" t="s">
        <x:v>164</x:v>
      </x:c>
      <x:c r="C8" s="212"/>
      <x:c r="D8" s="212"/>
      <x:c r="E8" s="212"/>
      <x:c r="F8" s="212"/>
      <x:c r="G8" s="212"/>
      <x:c r="H8" s="212"/>
      <x:c r="I8" s="212"/>
      <x:c r="J8" s="212"/>
      <x:c r="K8" s="212"/>
      <x:c r="L8" s="212"/>
      <x:c r="M8" s="212"/>
    </x:row>
    <x:row r="9" spans="1:13" ht="15.5" x14ac:dyDescent="0.35">
      <x:c r="A9" s="1" t="s">
        <x:v>6</x:v>
      </x:c>
      <x:c r="B9" s="4"/>
      <x:c r="C9" s="4"/>
      <x:c r="D9" s="4"/>
      <x:c r="E9" s="1"/>
      <x:c r="F9" s="1"/>
      <x:c r="G9" s="181"/>
      <x:c r="H9" s="1"/>
      <x:c r="I9" s="1"/>
      <x:c r="J9" s="1"/>
      <x:c r="K9" s="1"/>
      <x:c r="L9" s="181"/>
      <x:c r="M9" s="1"/>
    </x:row>
    <x:row r="10" spans="1:13" ht="15.5" x14ac:dyDescent="0.35">
      <x:c r="A10" s="5" t="s">
        <x:v>8</x:v>
      </x:c>
      <x:c r="B10" s="4"/>
      <x:c r="C10" s="4"/>
      <x:c r="D10" s="4"/>
      <x:c r="E10" s="1"/>
      <x:c r="F10" s="1"/>
      <x:c r="G10" s="181"/>
      <x:c r="H10" s="1"/>
      <x:c r="I10" s="1"/>
      <x:c r="J10" s="1"/>
      <x:c r="K10" s="1"/>
      <x:c r="L10" s="181"/>
      <x:c r="M10" s="1"/>
    </x:row>
    <x:row r="11" spans="1:13" ht="13" x14ac:dyDescent="0.3">
      <x:c r="A11" s="7">
        <x:v>1</x:v>
      </x:c>
      <x:c r="B11" s="42" t="s">
        <x:v>25</x:v>
      </x:c>
      <x:c r="C11" s="43" t="s">
        <x:v>26</x:v>
      </x:c>
      <x:c r="D11" s="43" t="s">
        <x:v>27</x:v>
      </x:c>
      <x:c r="E11" s="223" t="s">
        <x:v>80</x:v>
      </x:c>
      <x:c r="F11" s="215"/>
      <x:c r="G11" s="215"/>
      <x:c r="H11" s="215"/>
      <x:c r="I11" s="104"/>
      <x:c r="J11" s="224" t="s">
        <x:v>84</x:v>
      </x:c>
      <x:c r="K11" s="225"/>
      <x:c r="L11" s="225"/>
      <x:c r="M11" s="225"/>
    </x:row>
    <x:row r="12" spans="1:13" ht="13" x14ac:dyDescent="0.3">
      <x:c r="A12" s="7">
        <x:f t="shared" ref="A12:A27" si="0">+A11+1</x:f>
        <x:v>2</x:v>
      </x:c>
      <x:c r="B12" s="44" t="s">
        <x:v>27</x:v>
      </x:c>
      <x:c r="C12" s="44" t="s">
        <x:v>85</x:v>
      </x:c>
      <x:c r="D12" s="44" t="s">
        <x:v>28</x:v>
      </x:c>
      <x:c r="E12" s="141" t="s">
        <x:v>81</x:v>
      </x:c>
      <x:c r="F12" s="141" t="s">
        <x:v>82</x:v>
      </x:c>
      <x:c r="G12" s="183" t="s">
        <x:v>83</x:v>
      </x:c>
      <x:c r="H12" s="141" t="s">
        <x:v>149</x:v>
      </x:c>
      <x:c r="I12" s="44"/>
      <x:c r="J12" s="141" t="s">
        <x:v>81</x:v>
      </x:c>
      <x:c r="K12" s="141" t="s">
        <x:v>82</x:v>
      </x:c>
      <x:c r="L12" s="183" t="s">
        <x:v>83</x:v>
      </x:c>
      <x:c r="M12" s="141" t="s">
        <x:v>149</x:v>
      </x:c>
    </x:row>
    <x:row r="13" spans="1:13" x14ac:dyDescent="0.25">
      <x:c r="A13" s="7">
        <x:f t="shared" si="0"/>
        <x:v>3</x:v>
      </x:c>
      <x:c r="B13" s="37">
        <x:v>1</x:v>
      </x:c>
      <x:c r="C13" s="33">
        <x:v>45498</x:v>
      </x:c>
      <x:c r="D13" s="33">
        <x:v>45468</x:v>
      </x:c>
      <x:c r="E13" s="45">
        <x:v>607.2222252876345</x:v>
      </x:c>
      <x:c r="F13" s="45">
        <x:v>457.13478742473114</x:v>
      </x:c>
      <x:c r="G13" s="45">
        <x:v>307.9689359274193</x:v>
      </x:c>
      <x:c r="H13" s="45">
        <x:v>166.32071616935491</x:v>
      </x:c>
      <x:c r="I13" s="45"/>
      <x:c r="J13" s="45">
        <x:v>605.32900000000006</x:v>
      </x:c>
      <x:c r="K13" s="45">
        <x:v>455.21140000000003</x:v>
      </x:c>
      <x:c r="L13" s="45">
        <x:v>305.48160000000001</x:v>
      </x:c>
      <x:c r="M13" s="45">
        <x:v>162.88080000000008</x:v>
      </x:c>
    </x:row>
    <x:row r="14" spans="1:13" x14ac:dyDescent="0.25">
      <x:c r="A14" s="7">
        <x:f t="shared" si="0"/>
        <x:v>4</x:v>
      </x:c>
      <x:c r="B14" s="37">
        <x:v>2</x:v>
      </x:c>
      <x:c r="C14" s="33">
        <x:v>45499</x:v>
      </x:c>
      <x:c r="D14" s="33">
        <x:v>45469</x:v>
      </x:c>
      <x:c r="E14" s="45">
        <x:v>609.89672117069904</x:v>
      </x:c>
      <x:c r="F14" s="45">
        <x:v>459.81185576747311</x:v>
      </x:c>
      <x:c r="G14" s="45">
        <x:v>310.64271552419348</x:v>
      </x:c>
      <x:c r="H14" s="45">
        <x:v>168.79413638440869</x:v>
      </x:c>
      <x:c r="I14" s="45"/>
      <x:c r="J14" s="45">
        <x:v>598.86440000000005</x:v>
      </x:c>
      <x:c r="K14" s="45">
        <x:v>448.74680000000001</x:v>
      </x:c>
      <x:c r="L14" s="45">
        <x:v>299.02740000000006</x:v>
      </x:c>
      <x:c r="M14" s="45">
        <x:v>156.85520000000008</x:v>
      </x:c>
    </x:row>
    <x:row r="15" spans="1:13" x14ac:dyDescent="0.25">
      <x:c r="A15" s="7">
        <x:f t="shared" si="0"/>
        <x:v>5</x:v>
      </x:c>
      <x:c r="B15" s="37">
        <x:v>3</x:v>
      </x:c>
      <x:c r="C15" s="33">
        <x:v>45502</x:v>
      </x:c>
      <x:c r="D15" s="33">
        <x:v>45470</x:v>
      </x:c>
      <x:c r="E15" s="45">
        <x:v>656.03471101881723</x:v>
      </x:c>
      <x:c r="F15" s="45">
        <x:v>495.94897363978498</x:v>
      </x:c>
      <x:c r="G15" s="45">
        <x:v>336.83451004032253</x:v>
      </x:c>
      <x:c r="H15" s="45">
        <x:v>185.21693411290329</x:v>
      </x:c>
      <x:c r="I15" s="45"/>
      <x:c r="J15" s="45">
        <x:v>622.601</x:v>
      </x:c>
      <x:c r="K15" s="45">
        <x:v>462.47340000000014</x:v>
      </x:c>
      <x:c r="L15" s="45">
        <x:v>302.80160000000012</x:v>
      </x:c>
      <x:c r="M15" s="45">
        <x:v>152.21080000000006</x:v>
      </x:c>
    </x:row>
    <x:row r="16" spans="1:13" x14ac:dyDescent="0.25">
      <x:c r="A16" s="7">
        <x:f t="shared" si="0"/>
        <x:v>6</x:v>
      </x:c>
      <x:c r="B16" s="37">
        <x:v>4</x:v>
      </x:c>
      <x:c r="C16" s="33">
        <x:v>45503</x:v>
      </x:c>
      <x:c r="D16" s="33">
        <x:v>45471</x:v>
      </x:c>
      <x:c r="E16" s="45">
        <x:v>658.53911346102154</x:v>
      </x:c>
      <x:c r="F16" s="45">
        <x:v>498.4562272513441</x:v>
      </x:c>
      <x:c r="G16" s="45">
        <x:v>339.34856915322581</x:v>
      </x:c>
      <x:c r="H16" s="45">
        <x:v>187.59541963709685</x:v>
      </x:c>
      <x:c r="I16" s="45"/>
      <x:c r="J16" s="45">
        <x:v>621.12579999999991</x:v>
      </x:c>
      <x:c r="K16" s="45">
        <x:v>460.99820000000005</x:v>
      </x:c>
      <x:c r="L16" s="45">
        <x:v>301.32640000000004</x:v>
      </x:c>
      <x:c r="M16" s="45">
        <x:v>150.73560000000006</x:v>
      </x:c>
    </x:row>
    <x:row r="17" spans="1:23" x14ac:dyDescent="0.25">
      <x:c r="A17" s="7">
        <x:f t="shared" si="0"/>
        <x:v>7</x:v>
      </x:c>
      <x:c r="B17" s="37">
        <x:v>5</x:v>
      </x:c>
      <x:c r="C17" s="33">
        <x:v>45504</x:v>
      </x:c>
      <x:c r="D17" s="33">
        <x:v>45474</x:v>
      </x:c>
      <x:c r="E17" s="45">
        <x:v>621.98588094892455</x:v>
      </x:c>
      <x:c r="F17" s="45">
        <x:v>471.91472429569899</x:v>
      </x:c>
      <x:c r="G17" s="45">
        <x:v>322.76735440860216</x:v>
      </x:c>
      <x:c r="H17" s="45">
        <x:v>180.21979153225814</x:v>
      </x:c>
      <x:c r="I17" s="45"/>
      <x:c r="J17" s="45">
        <x:v>569.72069999999997</x:v>
      </x:c>
      <x:c r="K17" s="45">
        <x:v>419.6031000000001</x:v>
      </x:c>
      <x:c r="L17" s="45">
        <x:v>269.94130000000013</x:v>
      </x:c>
      <x:c r="M17" s="45">
        <x:v>129.36050000000003</x:v>
      </x:c>
    </x:row>
    <x:row r="18" spans="1:23" x14ac:dyDescent="0.25">
      <x:c r="A18" s="7">
        <x:f t="shared" si="0"/>
        <x:v>8</x:v>
      </x:c>
      <x:c r="B18" s="37">
        <x:v>6</x:v>
      </x:c>
      <x:c r="C18" s="33">
        <x:v>45505</x:v>
      </x:c>
      <x:c r="D18" s="33">
        <x:v>45475</x:v>
      </x:c>
      <x:c r="E18" s="45">
        <x:v>624.17514657661275</x:v>
      </x:c>
      <x:c r="F18" s="45">
        <x:v>474.10544036693557</x:v>
      </x:c>
      <x:c r="G18" s="45">
        <x:v>324.95484086021503</x:v>
      </x:c>
      <x:c r="H18" s="45">
        <x:v>182.29276651881727</x:v>
      </x:c>
      <x:c r="I18" s="45"/>
      <x:c r="J18" s="45">
        <x:v>566.83159999999998</x:v>
      </x:c>
      <x:c r="K18" s="45">
        <x:v>416.71400000000006</x:v>
      </x:c>
      <x:c r="L18" s="45">
        <x:v>267.05220000000014</x:v>
      </x:c>
      <x:c r="M18" s="45">
        <x:v>126.47140000000005</x:v>
      </x:c>
    </x:row>
    <x:row r="19" spans="1:23" x14ac:dyDescent="0.25">
      <x:c r="A19" s="7">
        <x:f t="shared" si="0"/>
        <x:v>9</x:v>
      </x:c>
      <x:c r="B19" s="37">
        <x:v>7</x:v>
      </x:c>
      <x:c r="C19" s="33">
        <x:v>45506</x:v>
      </x:c>
      <x:c r="D19" s="33">
        <x:v>45476</x:v>
      </x:c>
      <x:c r="E19" s="45">
        <x:v>626.27656845430101</x:v>
      </x:c>
      <x:c r="F19" s="45">
        <x:v>476.20784059139794</x:v>
      </x:c>
      <x:c r="G19" s="45">
        <x:v>327.05863995967741</x:v>
      </x:c>
      <x:c r="H19" s="45">
        <x:v>184.29890760752698</x:v>
      </x:c>
      <x:c r="I19" s="45"/>
      <x:c r="J19" s="45">
        <x:v>563.91430000000014</x:v>
      </x:c>
      <x:c r="K19" s="45">
        <x:v>413.7967000000001</x:v>
      </x:c>
      <x:c r="L19" s="45">
        <x:v>264.13490000000013</x:v>
      </x:c>
      <x:c r="M19" s="45">
        <x:v>123.55410000000006</x:v>
      </x:c>
    </x:row>
    <x:row r="20" spans="1:23" x14ac:dyDescent="0.25">
      <x:c r="A20" s="7">
        <x:f t="shared" si="0"/>
        <x:v>10</x:v>
      </x:c>
      <x:c r="B20" s="37">
        <x:v>8</x:v>
      </x:c>
      <x:c r="C20" s="33">
        <x:v>45509</x:v>
      </x:c>
      <x:c r="D20" s="33">
        <x:v>45478</x:v>
      </x:c>
      <x:c r="E20" s="45">
        <x:v>651.5541359596773</x:v>
      </x:c>
      <x:c r="F20" s="45">
        <x:v>496.48321652419367</x:v>
      </x:c>
      <x:c r="G20" s="45">
        <x:v>342.32747049731177</x:v>
      </x:c>
      <x:c r="H20" s="45">
        <x:v>194.65800826612909</x:v>
      </x:c>
      <x:c r="I20" s="45"/>
      <x:c r="J20" s="45">
        <x:v>582.3832000000001</x:v>
      </x:c>
      <x:c r="K20" s="45">
        <x:v>427.26060000000018</x:v>
      </x:c>
      <x:c r="L20" s="45">
        <x:v>272.59380000000004</x:v>
      </x:c>
      <x:c r="M20" s="45">
        <x:v>127.00800000000007</x:v>
      </x:c>
    </x:row>
    <x:row r="21" spans="1:23" x14ac:dyDescent="0.25">
      <x:c r="A21" s="7">
        <x:f t="shared" si="0"/>
        <x:v>11</x:v>
      </x:c>
      <x:c r="B21" s="37">
        <x:v>9</x:v>
      </x:c>
      <x:c r="C21" s="33">
        <x:v>45510</x:v>
      </x:c>
      <x:c r="D21" s="33">
        <x:v>45481</x:v>
      </x:c>
      <x:c r="E21" s="45">
        <x:v>613.09801773521497</x:v>
      </x:c>
      <x:c r="F21" s="45">
        <x:v>468.03399261424738</x:v>
      </x:c>
      <x:c r="G21" s="45">
        <x:v>323.80468466397843</x:v>
      </x:c>
      <x:c r="H21" s="45">
        <x:v>185.47339990591405</x:v>
      </x:c>
      <x:c r="I21" s="45"/>
      <x:c r="J21" s="45">
        <x:v>549.11910000000012</x:v>
      </x:c>
      <x:c r="K21" s="45">
        <x:v>404.00650000000007</x:v>
      </x:c>
      <x:c r="L21" s="45">
        <x:v>259.28490000000011</x:v>
      </x:c>
      <x:c r="M21" s="45">
        <x:v>123.35100000000006</x:v>
      </x:c>
    </x:row>
    <x:row r="22" spans="1:23" x14ac:dyDescent="0.25">
      <x:c r="A22" s="7">
        <x:f t="shared" si="0"/>
        <x:v>12</x:v>
      </x:c>
      <x:c r="B22" s="37">
        <x:v>10</x:v>
      </x:c>
      <x:c r="C22" s="33">
        <x:v>45511</x:v>
      </x:c>
      <x:c r="D22" s="33">
        <x:v>45482</x:v>
      </x:c>
      <x:c r="E22" s="45">
        <x:v>614.29933429032258</x:v>
      </x:c>
      <x:c r="F22" s="45">
        <x:v>469.2355896129032</x:v>
      </x:c>
      <x:c r="G22" s="45">
        <x:v>325.00037705645161</x:v>
      </x:c>
      <x:c r="H22" s="45">
        <x:v>186.66963305107532</x:v>
      </x:c>
      <x:c r="I22" s="45"/>
      <x:c r="J22" s="45">
        <x:v>559.10720000000003</x:v>
      </x:c>
      <x:c r="K22" s="45">
        <x:v>413.99460000000005</x:v>
      </x:c>
      <x:c r="L22" s="45">
        <x:v>269.19900000000013</x:v>
      </x:c>
      <x:c r="M22" s="45">
        <x:v>131.42770000000004</x:v>
      </x:c>
    </x:row>
    <x:row r="23" spans="1:23" x14ac:dyDescent="0.25">
      <x:c r="A23" s="7">
        <x:f t="shared" si="0"/>
        <x:v>13</x:v>
      </x:c>
      <x:c r="B23" s="37">
        <x:v>11</x:v>
      </x:c>
      <x:c r="C23" s="33">
        <x:v>45512</x:v>
      </x:c>
      <x:c r="D23" s="33">
        <x:v>45483</x:v>
      </x:c>
      <x:c r="E23" s="45">
        <x:v>615.39157452822587</x:v>
      </x:c>
      <x:c r="F23" s="45">
        <x:v>470.32811029435487</x:v>
      </x:c>
      <x:c r="G23" s="45">
        <x:v>326.08720259408597</x:v>
      </x:c>
      <x:c r="H23" s="45">
        <x:v>187.77994927419363</x:v>
      </x:c>
      <x:c r="I23" s="45"/>
      <x:c r="J23" s="45">
        <x:v>567.3918000000001</x:v>
      </x:c>
      <x:c r="K23" s="45">
        <x:v>422.27920000000006</x:v>
      </x:c>
      <x:c r="L23" s="45">
        <x:v>277.48360000000008</x:v>
      </x:c>
      <x:c r="M23" s="45">
        <x:v>139.54960000000005</x:v>
      </x:c>
    </x:row>
    <x:row r="24" spans="1:23" x14ac:dyDescent="0.25">
      <x:c r="A24" s="7">
        <x:f t="shared" si="0"/>
        <x:v>14</x:v>
      </x:c>
      <x:c r="B24" s="37">
        <x:v>12</x:v>
      </x:c>
      <x:c r="C24" s="33">
        <x:v>45513</x:v>
      </x:c>
      <x:c r="D24" s="33">
        <x:v>45484</x:v>
      </x:c>
      <x:c r="E24" s="45">
        <x:v>616.39802992741943</x:v>
      </x:c>
      <x:c r="F24" s="45">
        <x:v>471.33429069354838</x:v>
      </x:c>
      <x:c r="G24" s="45">
        <x:v>327.08637239247309</x:v>
      </x:c>
      <x:c r="H24" s="45">
        <x:v>188.81357151881724</x:v>
      </x:c>
      <x:c r="I24" s="45"/>
      <x:c r="J24" s="45">
        <x:v>573.10690000000011</x:v>
      </x:c>
      <x:c r="K24" s="45">
        <x:v>427.99430000000007</x:v>
      </x:c>
      <x:c r="L24" s="45">
        <x:v>283.19870000000009</x:v>
      </x:c>
      <x:c r="M24" s="45">
        <x:v>145.26470000000009</x:v>
      </x:c>
    </x:row>
    <x:row r="25" spans="1:23" x14ac:dyDescent="0.25">
      <x:c r="A25" s="7">
        <x:f t="shared" si="0"/>
        <x:v>15</x:v>
      </x:c>
      <x:c r="B25" s="37">
        <x:v>13</x:v>
      </x:c>
      <x:c r="C25" s="33">
        <x:v>45516</x:v>
      </x:c>
      <x:c r="D25" s="33">
        <x:v>45485</x:v>
      </x:c>
      <x:c r="E25" s="185">
        <x:v>659.96900512500008</x:v>
      </x:c>
      <x:c r="F25" s="185">
        <x:v>504.89691250403234</x:v>
      </x:c>
      <x:c r="G25" s="185">
        <x:v>350.68857063172038</x:v>
      </x:c>
      <x:c r="H25" s="185">
        <x:v>203.03465311827961</x:v>
      </x:c>
      <x:c r="I25" s="185"/>
      <x:c r="J25" s="185">
        <x:v>614.12630000000001</x:v>
      </x:c>
      <x:c r="K25" s="185">
        <x:v>459.00370000000004</x:v>
      </x:c>
      <x:c r="L25" s="185">
        <x:v>304.19810000000001</x:v>
      </x:c>
      <x:c r="M25" s="185">
        <x:v>156.29370000000009</x:v>
      </x:c>
      <x:c r="O25" s="187"/>
      <x:c r="P25" s="187"/>
      <x:c r="Q25" s="187"/>
      <x:c r="R25" s="187"/>
      <x:c r="S25" s="187"/>
      <x:c r="T25" s="187"/>
      <x:c r="U25" s="187"/>
      <x:c r="V25" s="187"/>
      <x:c r="W25" s="187"/>
    </x:row>
    <x:row r="26" spans="1:23" x14ac:dyDescent="0.25">
      <x:c r="A26" s="7">
        <x:f t="shared" si="0"/>
        <x:v>16</x:v>
      </x:c>
      <x:c r="B26" s="37">
        <x:v>14</x:v>
      </x:c>
      <x:c r="C26" s="33">
        <x:v>45517</x:v>
      </x:c>
      <x:c r="D26" s="33">
        <x:v>45488</x:v>
      </x:c>
      <x:c r="E26" s="45">
        <x:v>619.87596678763452</x:v>
      </x:c>
      <x:c r="F26" s="45">
        <x:v>474.80483541666672</x:v>
      </x:c>
      <x:c r="G26" s="45">
        <x:v>330.52840020161284</x:v>
      </x:c>
      <x:c r="H26" s="45">
        <x:v>192.39221138440865</x:v>
      </x:c>
      <x:c r="I26" s="45"/>
      <x:c r="J26" s="45">
        <x:v>577.09720000000004</x:v>
      </x:c>
      <x:c r="K26" s="45">
        <x:v>431.98460000000006</x:v>
      </x:c>
      <x:c r="L26" s="45">
        <x:v>287.18900000000008</x:v>
      </x:c>
      <x:c r="M26" s="45">
        <x:v>149.02720000000005</x:v>
      </x:c>
    </x:row>
    <x:row r="27" spans="1:23" x14ac:dyDescent="0.25">
      <x:c r="A27" s="7">
        <x:f t="shared" si="0"/>
        <x:v>17</x:v>
      </x:c>
      <x:c r="B27" s="37">
        <x:v>15</x:v>
      </x:c>
      <x:c r="C27" s="33">
        <x:v>45518</x:v>
      </x:c>
      <x:c r="D27" s="33">
        <x:v>45489</x:v>
      </x:c>
      <x:c r="E27" s="45">
        <x:v>620.48228842741935</x:v>
      </x:c>
      <x:c r="F27" s="45">
        <x:v>475.40827661290331</x:v>
      </x:c>
      <x:c r="G27" s="45">
        <x:v>331.12731551075268</x:v>
      </x:c>
      <x:c r="H27" s="45">
        <x:v>193.03591418010757</x:v>
      </x:c>
      <x:c r="I27" s="45"/>
      <x:c r="J27" s="45">
        <x:v>578.36310000000014</x:v>
      </x:c>
      <x:c r="K27" s="45">
        <x:v>433.25050000000005</x:v>
      </x:c>
      <x:c r="L27" s="45">
        <x:v>288.45490000000007</x:v>
      </x:c>
      <x:c r="M27" s="45">
        <x:v>150.29310000000007</x:v>
      </x:c>
    </x:row>
    <x:row r="28" spans="1:23" x14ac:dyDescent="0.25">
      <x:c r="A28" s="7">
        <x:f t="shared" ref="A28:A35" si="1">+A27+1</x:f>
        <x:v>18</x:v>
      </x:c>
      <x:c r="B28" s="37">
        <x:v>16</x:v>
      </x:c>
      <x:c r="C28" s="33">
        <x:v>45519</x:v>
      </x:c>
      <x:c r="D28" s="33">
        <x:v>45490</x:v>
      </x:c>
      <x:c r="E28" s="45">
        <x:v>620.92651315860212</x:v>
      </x:c>
      <x:c r="F28" s="45">
        <x:v>475.84966283602148</x:v>
      </x:c>
      <x:c r="G28" s="45">
        <x:v>331.56528770161293</x:v>
      </x:c>
      <x:c r="H28" s="45">
        <x:v>193.52617771505382</x:v>
      </x:c>
      <x:c r="I28" s="45"/>
      <x:c r="J28" s="45">
        <x:v>578.9140000000001</x:v>
      </x:c>
      <x:c r="K28" s="45">
        <x:v>433.8014</x:v>
      </x:c>
      <x:c r="L28" s="45">
        <x:v>289.00580000000008</x:v>
      </x:c>
      <x:c r="M28" s="45">
        <x:v>150.84400000000008</x:v>
      </x:c>
    </x:row>
    <x:row r="29" spans="1:23" x14ac:dyDescent="0.25">
      <x:c r="A29" s="7">
        <x:f t="shared" si="1"/>
        <x:v>19</x:v>
      </x:c>
      <x:c r="B29" s="37">
        <x:v>17</x:v>
      </x:c>
      <x:c r="C29" s="33">
        <x:v>45520</x:v>
      </x:c>
      <x:c r="D29" s="33">
        <x:v>45491</x:v>
      </x:c>
      <x:c r="E29" s="45">
        <x:v>621.16130607526884</x:v>
      </x:c>
      <x:c r="F29" s="45">
        <x:v>476.08161724462366</x:v>
      </x:c>
      <x:c r="G29" s="45">
        <x:v>331.79466895161283</x:v>
      </x:c>
      <x:c r="H29" s="45">
        <x:v>193.81967365591404</x:v>
      </x:c>
      <x:c r="I29" s="45"/>
      <x:c r="J29" s="45">
        <x:v>584.92050000000006</x:v>
      </x:c>
      <x:c r="K29" s="45">
        <x:v>439.80790000000002</x:v>
      </x:c>
      <x:c r="L29" s="45">
        <x:v>295.0123000000001</x:v>
      </x:c>
      <x:c r="M29" s="45">
        <x:v>156.85050000000007</x:v>
      </x:c>
    </x:row>
    <x:row r="30" spans="1:23" x14ac:dyDescent="0.25">
      <x:c r="A30" s="7">
        <x:f t="shared" si="1"/>
        <x:v>20</x:v>
      </x:c>
      <x:c r="B30" s="37">
        <x:v>18</x:v>
      </x:c>
      <x:c r="C30" s="33">
        <x:v>45523</x:v>
      </x:c>
      <x:c r="D30" s="33">
        <x:v>45492</x:v>
      </x:c>
      <x:c r="E30" s="45">
        <x:v>662.83930266129016</x:v>
      </x:c>
      <x:c r="F30" s="45">
        <x:v>507.74791588709672</x:v>
      </x:c>
      <x:c r="G30" s="45">
        <x:v>353.51112631720429</x:v>
      </x:c>
      <x:c r="H30" s="45">
        <x:v>206.22850549731189</x:v>
      </x:c>
      <x:c r="I30" s="45"/>
      <x:c r="J30" s="45">
        <x:v>646.32389999999998</x:v>
      </x:c>
      <x:c r="K30" s="45">
        <x:v>491.20130000000006</x:v>
      </x:c>
      <x:c r="L30" s="45">
        <x:v>336.39570000000009</x:v>
      </x:c>
      <x:c r="M30" s="45">
        <x:v>188.02170000000004</x:v>
      </x:c>
    </x:row>
    <x:row r="31" spans="1:23" x14ac:dyDescent="0.25">
      <x:c r="A31" s="7">
        <x:f t="shared" si="1"/>
        <x:v>21</x:v>
      </x:c>
      <x:c r="B31" s="37">
        <x:v>19</x:v>
      </x:c>
      <x:c r="C31" s="33">
        <x:v>45524</x:v>
      </x:c>
      <x:c r="D31" s="33">
        <x:v>45495</x:v>
      </x:c>
      <x:c r="E31" s="45">
        <x:v>620.02177693548367</x:v>
      </x:c>
      <x:c r="F31" s="45">
        <x:v>474.93205584677423</x:v>
      </x:c>
      <x:c r="G31" s="45">
        <x:v>330.6455990994624</x:v>
      </x:c>
      <x:c r="H31" s="45">
        <x:v>193.07929358870973</x:v>
      </x:c>
      <x:c r="I31" s="45"/>
      <x:c r="J31" s="45">
        <x:v>624.68189999999993</x:v>
      </x:c>
      <x:c r="K31" s="45">
        <x:v>479.56930000000011</x:v>
      </x:c>
      <x:c r="L31" s="45">
        <x:v>334.77370000000008</x:v>
      </x:c>
      <x:c r="M31" s="45">
        <x:v>195.19890000000007</x:v>
      </x:c>
    </x:row>
    <x:row r="32" spans="1:23" x14ac:dyDescent="0.25">
      <x:c r="A32" s="7">
        <x:f t="shared" si="1"/>
        <x:v>22</x:v>
      </x:c>
      <x:c r="B32" s="37">
        <x:v>20</x:v>
      </x:c>
      <x:c r="C32" s="33">
        <x:v>45525</x:v>
      </x:c>
      <x:c r="D32" s="33">
        <x:v>45496</x:v>
      </x:c>
      <x:c r="E32" s="45">
        <x:v>619.03690053763421</x:v>
      </x:c>
      <x:c r="F32" s="45">
        <x:v>473.94561190860225</x:v>
      </x:c>
      <x:c r="G32" s="45">
        <x:v>329.66887237903234</x:v>
      </x:c>
      <x:c r="H32" s="45">
        <x:v>192.28107315860223</x:v>
      </x:c>
      <x:c r="I32" s="45"/>
      <x:c r="J32" s="45">
        <x:v>636.98940000000005</x:v>
      </x:c>
      <x:c r="K32" s="45">
        <x:v>491.84440000000006</x:v>
      </x:c>
      <x:c r="L32" s="45">
        <x:v>346.77880000000005</x:v>
      </x:c>
      <x:c r="M32" s="45">
        <x:v>205.78160000000005</x:v>
      </x:c>
    </x:row>
    <x:row r="33" spans="1:13" x14ac:dyDescent="0.25">
      <x:c r="A33" s="7">
        <x:f t="shared" si="1"/>
        <x:v>23</x:v>
      </x:c>
      <x:c r="B33" s="37">
        <x:v>21</x:v>
      </x:c>
      <x:c r="C33" s="33">
        <x:v>45526</x:v>
      </x:c>
      <x:c r="D33" s="33">
        <x:v>45497</x:v>
      </x:c>
      <x:c r="E33" s="45">
        <x:v>617.75257208333312</x:v>
      </x:c>
      <x:c r="F33" s="45">
        <x:v>472.65991551075263</x:v>
      </x:c>
      <x:c r="G33" s="45">
        <x:v>328.39501411290325</x:v>
      </x:c>
      <x:c r="H33" s="45">
        <x:v>191.20961236559145</x:v>
      </x:c>
      <x:c r="I33" s="45"/>
      <x:c r="J33" s="45">
        <x:v>646.39460000000008</x:v>
      </x:c>
      <x:c r="K33" s="45">
        <x:v>501.24960000000004</x:v>
      </x:c>
      <x:c r="L33" s="45">
        <x:v>356.17260000000005</x:v>
      </x:c>
      <x:c r="M33" s="45">
        <x:v>213.23350000000005</x:v>
      </x:c>
    </x:row>
    <x:row r="34" spans="1:13" x14ac:dyDescent="0.25">
      <x:c r="A34" s="7">
        <x:f t="shared" si="1"/>
        <x:v>24</x:v>
      </x:c>
    </x:row>
    <x:row r="35" spans="1:13" ht="13" x14ac:dyDescent="0.3">
      <x:c r="A35" s="7">
        <x:f t="shared" si="1"/>
        <x:v>25</x:v>
      </x:c>
      <x:c r="B35" s="222" t="s">
        <x:v>96</x:v>
      </x:c>
      <x:c r="C35" s="212"/>
      <x:c r="D35" s="212"/>
      <x:c r="E35" s="98">
        <x:f t="shared" ref="E35:M35" si="2">AVERAGE(E13:E33)</x:f>
        <x:v>627.47319481669228</x:v>
      </x:c>
      <x:c r="F35" s="98">
        <x:f t="shared" si="2"/>
        <x:v>478.34865965924223</x:v>
      </x:c>
      <x:c r="G35" s="98">
        <x:f t="shared" ref="G35" si="3">AVERAGE(G13:G33)</x:f>
        <x:v>330.08602514208917</x:v>
      </x:c>
      <x:c r="H35" s="98">
        <x:f t="shared" si="2"/>
        <x:v>188.41620707821306</x:v>
      </x:c>
      <x:c r="I35" s="98"/>
      <x:c r="J35" s="98">
        <x:f t="shared" si="2"/>
        <x:v>593.68123333333335</x:v>
      </x:c>
      <x:c r="K35" s="98">
        <x:f t="shared" si="2"/>
        <x:v>444.51388095238093</x:v>
      </x:c>
      <x:c r="L35" s="98">
        <x:f t="shared" ref="L35" si="4">AVERAGE(L13:L33)</x:f>
        <x:v>295.69077619047624</x:v>
      </x:c>
      <x:c r="M35" s="98">
        <x:f t="shared" si="2"/>
        <x:v>154.01017142857148</x:v>
      </x:c>
    </x:row>
    <x:row r="36" spans="1:13" x14ac:dyDescent="0.25">
      <x:c r="B36" s="30"/>
      <x:c r="C36" s="46"/>
      <x:c r="D36" s="30"/>
      <x:c r="E36" s="93"/>
      <x:c r="F36" s="93"/>
      <x:c r="G36" s="93"/>
      <x:c r="H36" s="93"/>
      <x:c r="I36" s="93"/>
      <x:c r="J36" s="93"/>
      <x:c r="K36" s="93"/>
      <x:c r="L36" s="93"/>
      <x:c r="M36" s="93"/>
    </x:row>
    <x:row r="37" spans="1:13" x14ac:dyDescent="0.25">
      <x:c r="B37" s="30"/>
      <x:c r="C37" s="29"/>
      <x:c r="D37" s="30"/>
      <x:c r="E37" s="95"/>
      <x:c r="F37" s="94"/>
      <x:c r="G37" s="94"/>
      <x:c r="H37" s="94"/>
      <x:c r="I37" s="94"/>
      <x:c r="J37" s="94"/>
      <x:c r="K37" s="94"/>
      <x:c r="L37" s="94"/>
      <x:c r="M37" s="94"/>
    </x:row>
  </x:sheetData>
  <x:mergeCells count="10">
    <x:mergeCell ref="E11:H11"/>
    <x:mergeCell ref="J11:M11"/>
    <x:mergeCell ref="B35:D35"/>
    <x:mergeCell ref="B1:M1"/>
    <x:mergeCell ref="B2:M2"/>
    <x:mergeCell ref="B3:M3"/>
    <x:mergeCell ref="B4:M4"/>
    <x:mergeCell ref="B5:M5"/>
    <x:mergeCell ref="B6:M6"/>
    <x:mergeCell ref="B8:M8"/>
  </x:mergeCells>
  <x:printOptions horizontalCentered="1"/>
  <x:pageMargins left="1.5" right="0.5" top="1.5" bottom="1" header="1" footer="0.5"/>
  <x:pageSetup scale="67" firstPageNumber="3" orientation="portrait" r:id="rId1"/>
  <x:headerFooter alignWithMargins="0">
    <x:oddHeader>&amp;RSchedule II-H-5.2
Page &amp;P of 37</x:oddHeader>
  </x:headerFooter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904A975-FA9F-4FF1-A58B-1417BFF20E94}" mc:Ignorable="x14ac xr xr2 xr3">
  <x:sheetPr>
    <x:pageSetUpPr fitToPage="1"/>
  </x:sheetPr>
  <x:dimension ref="A1:I27"/>
  <x:sheetViews>
    <x:sheetView view="pageBreakPreview" zoomScaleNormal="100" workbookViewId="0"/>
  </x:sheetViews>
  <x:sheetFormatPr defaultColWidth="9.08984375" defaultRowHeight="12.5" x14ac:dyDescent="0.25"/>
  <x:cols>
    <x:col min="1" max="1" width="9.08984375" style="9"/>
    <x:col min="2" max="2" width="10" style="9" customWidth="1"/>
    <x:col min="3" max="3" width="10.453125" style="7" customWidth="1"/>
    <x:col min="4" max="4" width="10.54296875" style="9" customWidth="1"/>
    <x:col min="5" max="5" width="10.6328125" style="9" customWidth="1"/>
    <x:col min="6" max="6" width="11.36328125" style="9" customWidth="1"/>
    <x:col min="7" max="7" width="9.453125" style="9" bestFit="1" customWidth="1"/>
    <x:col min="8" max="9" width="20.453125" style="9" bestFit="1" customWidth="1"/>
    <x:col min="10" max="16384" width="9.08984375" style="9"/>
  </x:cols>
  <x:sheetData>
    <x:row r="1" spans="1:9" customFormat="1" ht="15.5" x14ac:dyDescent="0.35">
      <x:c r="A1" s="198"/>
      <x:c r="B1" s="209" t="str">
        <x:f>+RES!B1</x:f>
        <x:v xml:space="preserve">PUC DOCKET NO. </x:v>
      </x:c>
      <x:c r="C1" s="209"/>
      <x:c r="D1" s="209"/>
      <x:c r="E1" s="209"/>
      <x:c r="F1" s="209"/>
      <x:c r="G1" s="212"/>
    </x:row>
    <x:row r="2" spans="1:9" customFormat="1" ht="15.5" x14ac:dyDescent="0.35">
      <x:c r="A2" s="198"/>
      <x:c r="B2" s="209" t="str">
        <x:f>+RES!B2</x:f>
        <x:v>ONCOR ELECTRIC DELIVERY COMPANY LLC</x:v>
      </x:c>
      <x:c r="C2" s="209"/>
      <x:c r="D2" s="209"/>
      <x:c r="E2" s="209"/>
      <x:c r="F2" s="209"/>
      <x:c r="G2" s="212"/>
    </x:row>
    <x:row r="3" spans="1:9" customFormat="1" ht="15.5" x14ac:dyDescent="0.35">
      <x:c r="A3" s="198"/>
      <x:c r="B3" s="209" t="str">
        <x:f>+RES!B3</x:f>
        <x:v>ADJUSTED WEATHER STATION DATA</x:v>
      </x:c>
      <x:c r="C3" s="209"/>
      <x:c r="D3" s="209"/>
      <x:c r="E3" s="209"/>
      <x:c r="F3" s="209"/>
      <x:c r="G3" s="212"/>
    </x:row>
    <x:row r="4" spans="1:9" customFormat="1" ht="15.5" x14ac:dyDescent="0.35">
      <x:c r="A4" s="198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</x:row>
    <x:row r="5" spans="1:9" customFormat="1" ht="15.5" x14ac:dyDescent="0.35">
      <x:c r="A5" s="198"/>
      <x:c r="B5" s="209"/>
      <x:c r="C5" s="209"/>
      <x:c r="D5" s="209"/>
      <x:c r="E5" s="209"/>
      <x:c r="F5" s="209"/>
      <x:c r="G5" s="212"/>
    </x:row>
    <x:row r="6" spans="1:9" ht="15.5" x14ac:dyDescent="0.35">
      <x:c r="B6" s="209" t="str">
        <x:f>+RES!B6</x:f>
        <x:v>SPONSOR: D. E. NELSON</x:v>
      </x:c>
      <x:c r="C6" s="209"/>
      <x:c r="D6" s="209"/>
      <x:c r="E6" s="209"/>
      <x:c r="F6" s="209"/>
      <x:c r="G6" s="209"/>
    </x:row>
    <x:row r="7" spans="1:9" ht="15.5" x14ac:dyDescent="0.35">
      <x:c r="B7" s="197"/>
      <x:c r="C7" s="197"/>
      <x:c r="D7" s="197"/>
      <x:c r="E7" s="197"/>
      <x:c r="F7" s="197"/>
      <x:c r="G7" s="197"/>
    </x:row>
    <x:row r="8" spans="1:9" ht="15.5" x14ac:dyDescent="0.35">
      <x:c r="B8" s="209" t="s">
        <x:v>103</x:v>
      </x:c>
      <x:c r="C8" s="209"/>
      <x:c r="D8" s="209"/>
      <x:c r="E8" s="209"/>
      <x:c r="F8" s="209"/>
      <x:c r="G8" s="212"/>
    </x:row>
    <x:row r="9" spans="1:9" ht="15.5" x14ac:dyDescent="0.35">
      <x:c r="A9" s="198" t="s">
        <x:v>6</x:v>
      </x:c>
      <x:c r="B9" s="197"/>
      <x:c r="C9" s="197"/>
      <x:c r="D9" s="197"/>
      <x:c r="E9" s="197"/>
      <x:c r="F9" s="197"/>
      <x:c r="G9" s="197"/>
    </x:row>
    <x:row r="10" spans="1:9" x14ac:dyDescent="0.25">
      <x:c r="A10" s="5" t="s">
        <x:v>8</x:v>
      </x:c>
      <x:c r="B10" s="199"/>
      <x:c r="C10" s="199"/>
      <x:c r="D10" s="199"/>
      <x:c r="E10" s="199"/>
      <x:c r="F10" s="199"/>
      <x:c r="G10" s="199"/>
    </x:row>
    <x:row r="11" spans="1:9" ht="13" x14ac:dyDescent="0.3">
      <x:c r="A11" s="7">
        <x:v>1</x:v>
      </x:c>
      <x:c r="B11" s="75">
        <x:v>44958</x:v>
      </x:c>
    </x:row>
    <x:row r="12" spans="1:9" x14ac:dyDescent="0.25">
      <x:c r="A12" s="7">
        <x:f>+A11+1</x:f>
        <x:v>2</x:v>
      </x:c>
      <x:c r="B12" s="41" t="s">
        <x:v>114</x:v>
      </x:c>
      <x:c r="C12" s="200"/>
      <x:c r="D12" s="30"/>
      <x:c r="E12" s="30"/>
      <x:c r="F12" s="30"/>
      <x:c r="G12" s="30"/>
    </x:row>
    <x:row r="13" spans="1:9" ht="22.5" customHeight="1" x14ac:dyDescent="0.25">
      <x:c r="A13" s="7">
        <x:f>+A12+1</x:f>
        <x:v>3</x:v>
      </x:c>
      <x:c r="B13" s="69" t="s">
        <x:v>49</x:v>
      </x:c>
      <x:c r="C13" s="47" t="s">
        <x:v>2</x:v>
      </x:c>
      <x:c r="D13" s="47" t="s">
        <x:v>3</x:v>
      </x:c>
      <x:c r="E13" s="47" t="s">
        <x:v>74</x:v>
      </x:c>
      <x:c r="F13" s="48" t="s">
        <x:v>75</x:v>
      </x:c>
      <x:c r="G13" s="48" t="s">
        <x:v>76</x:v>
      </x:c>
    </x:row>
    <x:row r="14" spans="1:9" x14ac:dyDescent="0.25">
      <x:c r="A14" s="7">
        <x:f t="shared" ref="A14:A27" si="0">+A13+1</x:f>
        <x:v>4</x:v>
      </x:c>
      <x:c r="B14" s="77" t="s">
        <x:v>131</x:v>
      </x:c>
      <x:c r="C14" s="91">
        <x:v>71.082147619047632</x:v>
      </x:c>
      <x:c r="D14" s="91">
        <x:v>84.048508419738837</x:v>
      </x:c>
      <x:c r="E14" s="71">
        <x:f>+'Class Spline Weights'!D15</x:f>
        <x:v>0.46627000000000002</x:v>
      </x:c>
      <x:c r="F14" s="19">
        <x:f>+C14*$E14</x:f>
        <x:v>33.143472970333342</x:v>
      </x:c>
      <x:c r="G14" s="19">
        <x:f>+D14*$E14</x:f>
        <x:v>39.189298020871632</x:v>
      </x:c>
      <x:c r="H14" s="187"/>
      <x:c r="I14" s="187"/>
    </x:row>
    <x:row r="15" spans="1:9" x14ac:dyDescent="0.25">
      <x:c r="A15" s="7">
        <x:f t="shared" si="0"/>
        <x:v>5</x:v>
      </x:c>
      <x:c r="B15" s="77" t="s">
        <x:v>44</x:v>
      </x:c>
      <x:c r="C15" s="91">
        <x:v>232.74270952380945</x:v>
      </x:c>
      <x:c r="D15" s="91">
        <x:v>261.58170519521252</x:v>
      </x:c>
      <x:c r="E15" s="71">
        <x:f>+'Class Spline Weights'!D14</x:f>
        <x:v>0.28503000000000001</x:v>
      </x:c>
      <x:c r="F15" s="19">
        <x:f t="shared" ref="F15:G17" si="1">+C15*$E15</x:f>
        <x:v>66.338654495571404</x:v>
      </x:c>
      <x:c r="G15" s="19">
        <x:f t="shared" si="1"/>
        <x:v>74.558633431791421</x:v>
      </x:c>
      <x:c r="H15" s="187"/>
      <x:c r="I15" s="187"/>
    </x:row>
    <x:row r="16" spans="1:9" x14ac:dyDescent="0.25">
      <x:c r="A16" s="7">
        <x:f t="shared" si="0"/>
        <x:v>6</x:v>
      </x:c>
      <x:c r="B16" s="77" t="s">
        <x:v>45</x:v>
      </x:c>
      <x:c r="C16" s="91">
        <x:v>349.20036190476173</x:v>
      </x:c>
      <x:c r="D16" s="91">
        <x:v>385.19086552547367</x:v>
      </x:c>
      <x:c r="E16" s="71">
        <x:f>+'Class Spline Weights'!D13</x:f>
        <x:v>0.15584000000000001</x:v>
      </x:c>
      <x:c r="F16" s="19">
        <x:f t="shared" si="1"/>
        <x:v>54.419384399238069</x:v>
      </x:c>
      <x:c r="G16" s="19">
        <x:f t="shared" si="1"/>
        <x:v>60.028144483489818</x:v>
      </x:c>
      <x:c r="H16" s="187"/>
      <x:c r="I16" s="187"/>
    </x:row>
    <x:row r="17" spans="1:9" x14ac:dyDescent="0.25">
      <x:c r="A17" s="7">
        <x:f t="shared" si="0"/>
        <x:v>7</x:v>
      </x:c>
      <x:c r="B17" s="78" t="s">
        <x:v>14</x:v>
      </x:c>
      <x:c r="C17" s="92">
        <x:v>481.21837619047608</x:v>
      </x:c>
      <x:c r="D17" s="92">
        <x:v>523.93845240975406</x:v>
      </x:c>
      <x:c r="E17" s="71">
        <x:f>+'Class Spline Weights'!D12</x:f>
        <x:v>9.2859999999999998E-2</x:v>
      </x:c>
      <x:c r="F17" s="19">
        <x:f t="shared" si="1"/>
        <x:v>44.685938413047609</x:v>
      </x:c>
      <x:c r="G17" s="19">
        <x:f t="shared" si="1"/>
        <x:v>48.652924690769758</x:v>
      </x:c>
      <x:c r="H17" s="187"/>
      <x:c r="I17" s="187"/>
    </x:row>
    <x:row r="18" spans="1:9" x14ac:dyDescent="0.25">
      <x:c r="A18" s="7">
        <x:f t="shared" si="0"/>
        <x:v>8</x:v>
      </x:c>
      <x:c r="B18" s="134" t="s">
        <x:v>166</x:v>
      </x:c>
      <x:c r="E18" s="13"/>
      <x:c r="F18" s="186">
        <x:f>ROUND(SUM(F14:F17),2)</x:f>
        <x:v>198.59</x:v>
      </x:c>
      <x:c r="G18" s="186">
        <x:f>ROUND(SUM(G14:G17),2)</x:f>
        <x:v>222.43</x:v>
      </x:c>
      <x:c r="H18" s="72"/>
      <x:c r="I18" s="72"/>
    </x:row>
    <x:row r="19" spans="1:9" x14ac:dyDescent="0.25">
      <x:c r="A19" s="7">
        <x:f t="shared" si="0"/>
        <x:v>9</x:v>
      </x:c>
      <x:c r="F19" s="72"/>
      <x:c r="G19" s="72"/>
    </x:row>
    <x:row r="20" spans="1:9" ht="13" x14ac:dyDescent="0.3">
      <x:c r="A20" s="7">
        <x:f t="shared" si="0"/>
        <x:v>10</x:v>
      </x:c>
      <x:c r="B20" s="75">
        <x:v>45139</x:v>
      </x:c>
      <x:c r="F20" s="72"/>
      <x:c r="G20" s="72"/>
    </x:row>
    <x:row r="21" spans="1:9" x14ac:dyDescent="0.25">
      <x:c r="A21" s="7">
        <x:f t="shared" si="0"/>
        <x:v>11</x:v>
      </x:c>
      <x:c r="B21" s="41" t="s">
        <x:v>115</x:v>
      </x:c>
      <x:c r="C21" s="200"/>
      <x:c r="D21" s="142"/>
      <x:c r="E21" s="30"/>
      <x:c r="F21" s="142"/>
      <x:c r="G21" s="30"/>
    </x:row>
    <x:row r="22" spans="1:9" ht="22.5" customHeight="1" x14ac:dyDescent="0.25">
      <x:c r="A22" s="7">
        <x:f t="shared" si="0"/>
        <x:v>12</x:v>
      </x:c>
      <x:c r="B22" s="69" t="s">
        <x:v>49</x:v>
      </x:c>
      <x:c r="C22" s="47" t="s">
        <x:v>2</x:v>
      </x:c>
      <x:c r="D22" s="47" t="s">
        <x:v>3</x:v>
      </x:c>
      <x:c r="E22" s="47" t="s">
        <x:v>74</x:v>
      </x:c>
      <x:c r="F22" s="48" t="s">
        <x:v>75</x:v>
      </x:c>
      <x:c r="G22" s="48" t="s">
        <x:v>76</x:v>
      </x:c>
    </x:row>
    <x:row r="23" spans="1:9" x14ac:dyDescent="0.25">
      <x:c r="A23" s="7">
        <x:f t="shared" si="0"/>
        <x:v>13</x:v>
      </x:c>
      <x:c r="B23" s="76" t="s">
        <x:v>14</x:v>
      </x:c>
      <x:c r="C23" s="79">
        <x:v>758.64480476190465</x:v>
      </x:c>
      <x:c r="D23" s="79">
        <x:v>627.1413981865079</x:v>
      </x:c>
      <x:c r="E23" s="70">
        <x:f>+'Class Spline Weights'!H12</x:f>
        <x:v>0.28793999999999997</x:v>
      </x:c>
      <x:c r="F23" s="19">
        <x:f>+C23*$E23</x:f>
        <x:v>218.4441850831428</x:v>
      </x:c>
      <x:c r="G23" s="19">
        <x:f>+D23*$E23</x:f>
        <x:v>180.57909419382307</x:v>
      </x:c>
      <x:c r="H23" s="187"/>
      <x:c r="I23" s="187"/>
    </x:row>
    <x:row r="24" spans="1:9" x14ac:dyDescent="0.25">
      <x:c r="A24" s="7">
        <x:f t="shared" si="0"/>
        <x:v>14</x:v>
      </x:c>
      <x:c r="B24" s="77" t="s">
        <x:v>16</x:v>
      </x:c>
      <x:c r="C24" s="79">
        <x:v>609.68647142857151</x:v>
      </x:c>
      <x:c r="D24" s="79">
        <x:v>478.25505846492575</x:v>
      </x:c>
      <x:c r="E24" s="71">
        <x:f>+'Class Spline Weights'!H13</x:f>
        <x:v>0.24504999999999999</x:v>
      </x:c>
      <x:c r="F24" s="19">
        <x:f t="shared" ref="F24:G26" si="2">+C24*$E24</x:f>
        <x:v>149.40366982357145</x:v>
      </x:c>
      <x:c r="G24" s="19">
        <x:f t="shared" si="2"/>
        <x:v>117.19640207683005</x:v>
      </x:c>
      <x:c r="H24" s="187"/>
      <x:c r="I24" s="187"/>
    </x:row>
    <x:row r="25" spans="1:9" x14ac:dyDescent="0.25">
      <x:c r="A25" s="7"/>
      <x:c r="B25" s="77" t="s">
        <x:v>18</x:v>
      </x:c>
      <x:c r="C25" s="79">
        <x:v>460.74499523809527</x:v>
      </x:c>
      <x:c r="D25" s="79">
        <x:v>330.22974092613924</x:v>
      </x:c>
      <x:c r="E25" s="71">
        <x:f>+'Class Spline Weights'!H14</x:f>
        <x:v>0.39521000000000001</x:v>
      </x:c>
      <x:c r="F25" s="19">
        <x:f t="shared" si="2"/>
        <x:v>182.09102956804765</x:v>
      </x:c>
      <x:c r="G25" s="19">
        <x:f t="shared" si="2"/>
        <x:v>130.51009591141948</x:v>
      </x:c>
      <x:c r="H25" s="187"/>
      <x:c r="I25" s="187"/>
    </x:row>
    <x:row r="26" spans="1:9" x14ac:dyDescent="0.25">
      <x:c r="A26" s="7">
        <x:f>+A24+1</x:f>
        <x:v>15</x:v>
      </x:c>
      <x:c r="B26" s="78" t="s">
        <x:v>129</x:v>
      </x:c>
      <x:c r="C26" s="80">
        <x:v>311.9974476190477</x:v>
      </x:c>
      <x:c r="D26" s="79">
        <x:v>188.78691985919107</x:v>
      </x:c>
      <x:c r="E26" s="71">
        <x:f>+'Class Spline Weights'!H15</x:f>
        <x:v>7.1800000000000003E-2</x:v>
      </x:c>
      <x:c r="F26" s="19">
        <x:f t="shared" si="2"/>
        <x:v>22.401416739047626</x:v>
      </x:c>
      <x:c r="G26" s="19">
        <x:f t="shared" si="2"/>
        <x:v>13.55490084588992</x:v>
      </x:c>
      <x:c r="H26" s="187"/>
      <x:c r="I26" s="187"/>
    </x:row>
    <x:row r="27" spans="1:9" x14ac:dyDescent="0.25">
      <x:c r="A27" s="7">
        <x:f t="shared" si="0"/>
        <x:v>16</x:v>
      </x:c>
      <x:c r="B27" s="134" t="s">
        <x:v>165</x:v>
      </x:c>
      <x:c r="D27" s="13"/>
      <x:c r="E27" s="13"/>
      <x:c r="F27" s="186">
        <x:f>ROUND(SUM(F23:F26),2)</x:f>
        <x:v>572.34</x:v>
      </x:c>
      <x:c r="G27" s="186">
        <x:f>ROUND(SUM(G23:G26),2)</x:f>
        <x:v>441.84</x:v>
      </x:c>
      <x:c r="H27" s="72"/>
      <x:c r="I27" s="72"/>
    </x:row>
  </x:sheetData>
  <x:mergeCells count="7">
    <x:mergeCell ref="B8:G8"/>
    <x:mergeCell ref="B1:G1"/>
    <x:mergeCell ref="B2:G2"/>
    <x:mergeCell ref="B3:G3"/>
    <x:mergeCell ref="B4:G4"/>
    <x:mergeCell ref="B5:G5"/>
    <x:mergeCell ref="B6:G6"/>
  </x:mergeCells>
  <x:printOptions horizontalCentered="1"/>
  <x:pageMargins left="1.5" right="0.5" top="1.5" bottom="1" header="1" footer="0.5"/>
  <x:pageSetup firstPageNumber="3" orientation="portrait" r:id="rId1"/>
  <x:headerFooter alignWithMargins="0">
    <x:oddHeader>&amp;RSchedule II-H-5.2
Page &amp;P of 37</x:oddHeader>
  </x:headerFooter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086CF4A-1B1A-4284-9D7D-4B449A80A4F4}" mc:Ignorable="x14ac xr xr2 xr3">
  <x:sheetPr>
    <x:pageSetUpPr fitToPage="1"/>
  </x:sheetPr>
  <x:dimension ref="A1:K27"/>
  <x:sheetViews>
    <x:sheetView view="pageBreakPreview" zoomScaleNormal="100" workbookViewId="0"/>
  </x:sheetViews>
  <x:sheetFormatPr defaultColWidth="9.08984375" defaultRowHeight="12.5" x14ac:dyDescent="0.25"/>
  <x:cols>
    <x:col min="1" max="1" width="9.08984375" style="9"/>
    <x:col min="2" max="2" width="10" style="9" customWidth="1"/>
    <x:col min="3" max="3" width="10.453125" style="7" customWidth="1"/>
    <x:col min="4" max="4" width="10.54296875" style="9" customWidth="1"/>
    <x:col min="5" max="5" width="10.6328125" style="9" customWidth="1"/>
    <x:col min="6" max="6" width="11.36328125" style="9" customWidth="1"/>
    <x:col min="7" max="7" width="9.453125" style="9" bestFit="1" customWidth="1"/>
    <x:col min="8" max="8" width="9.08984375" style="9"/>
    <x:col min="9" max="9" width="20.453125" style="9" bestFit="1" customWidth="1"/>
    <x:col min="10" max="10" width="18.453125" style="9" bestFit="1" customWidth="1"/>
    <x:col min="11" max="16384" width="9.08984375" style="9"/>
  </x:cols>
  <x:sheetData>
    <x:row r="1" spans="1:10" customFormat="1" ht="15.5" x14ac:dyDescent="0.35">
      <x:c r="A1" s="202"/>
      <x:c r="B1" s="209" t="str">
        <x:f>+RES!B1</x:f>
        <x:v xml:space="preserve">PUC DOCKET NO. </x:v>
      </x:c>
      <x:c r="C1" s="209"/>
      <x:c r="D1" s="209"/>
      <x:c r="E1" s="209"/>
      <x:c r="F1" s="209"/>
      <x:c r="G1" s="212"/>
    </x:row>
    <x:row r="2" spans="1:10" customFormat="1" ht="15.5" x14ac:dyDescent="0.35">
      <x:c r="A2" s="202"/>
      <x:c r="B2" s="209" t="str">
        <x:f>+RES!B2</x:f>
        <x:v>ONCOR ELECTRIC DELIVERY COMPANY LLC</x:v>
      </x:c>
      <x:c r="C2" s="209"/>
      <x:c r="D2" s="209"/>
      <x:c r="E2" s="209"/>
      <x:c r="F2" s="209"/>
      <x:c r="G2" s="212"/>
    </x:row>
    <x:row r="3" spans="1:10" customFormat="1" ht="15.5" x14ac:dyDescent="0.35">
      <x:c r="A3" s="202"/>
      <x:c r="B3" s="209" t="str">
        <x:f>+RES!B3</x:f>
        <x:v>ADJUSTED WEATHER STATION DATA</x:v>
      </x:c>
      <x:c r="C3" s="209"/>
      <x:c r="D3" s="209"/>
      <x:c r="E3" s="209"/>
      <x:c r="F3" s="209"/>
      <x:c r="G3" s="212"/>
    </x:row>
    <x:row r="4" spans="1:10" customFormat="1" ht="15.5" x14ac:dyDescent="0.35">
      <x:c r="A4" s="202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</x:row>
    <x:row r="5" spans="1:10" customFormat="1" ht="15.5" x14ac:dyDescent="0.35">
      <x:c r="A5" s="202"/>
      <x:c r="B5" s="209"/>
      <x:c r="C5" s="209"/>
      <x:c r="D5" s="209"/>
      <x:c r="E5" s="209"/>
      <x:c r="F5" s="209"/>
      <x:c r="G5" s="212"/>
    </x:row>
    <x:row r="6" spans="1:10" ht="15.5" x14ac:dyDescent="0.35">
      <x:c r="B6" s="209" t="str">
        <x:f>+RES!B6</x:f>
        <x:v>SPONSOR: D. E. NELSON</x:v>
      </x:c>
      <x:c r="C6" s="209"/>
      <x:c r="D6" s="209"/>
      <x:c r="E6" s="209"/>
      <x:c r="F6" s="209"/>
      <x:c r="G6" s="209"/>
    </x:row>
    <x:row r="7" spans="1:10" ht="15.5" x14ac:dyDescent="0.35">
      <x:c r="B7" s="201"/>
      <x:c r="C7" s="201"/>
      <x:c r="D7" s="201"/>
      <x:c r="E7" s="201"/>
      <x:c r="F7" s="201"/>
      <x:c r="G7" s="201"/>
    </x:row>
    <x:row r="8" spans="1:10" ht="15.5" x14ac:dyDescent="0.35">
      <x:c r="B8" s="209" t="s">
        <x:v>103</x:v>
      </x:c>
      <x:c r="C8" s="209"/>
      <x:c r="D8" s="209"/>
      <x:c r="E8" s="209"/>
      <x:c r="F8" s="209"/>
      <x:c r="G8" s="212"/>
    </x:row>
    <x:row r="9" spans="1:10" ht="15.5" x14ac:dyDescent="0.35">
      <x:c r="A9" s="202" t="s">
        <x:v>6</x:v>
      </x:c>
      <x:c r="B9" s="201"/>
      <x:c r="C9" s="201"/>
      <x:c r="D9" s="201"/>
      <x:c r="E9" s="201"/>
      <x:c r="F9" s="201"/>
      <x:c r="G9" s="201"/>
    </x:row>
    <x:row r="10" spans="1:10" x14ac:dyDescent="0.25">
      <x:c r="A10" s="5" t="s">
        <x:v>8</x:v>
      </x:c>
      <x:c r="B10" s="203"/>
      <x:c r="C10" s="203"/>
      <x:c r="D10" s="203"/>
      <x:c r="E10" s="203"/>
      <x:c r="F10" s="203"/>
      <x:c r="G10" s="203"/>
    </x:row>
    <x:row r="11" spans="1:10" ht="13" x14ac:dyDescent="0.3">
      <x:c r="A11" s="7">
        <x:v>1</x:v>
      </x:c>
      <x:c r="B11" s="75">
        <x:v>45323</x:v>
      </x:c>
    </x:row>
    <x:row r="12" spans="1:10" x14ac:dyDescent="0.25">
      <x:c r="A12" s="7">
        <x:f>+A11+1</x:f>
        <x:v>2</x:v>
      </x:c>
      <x:c r="B12" s="41" t="s">
        <x:v>114</x:v>
      </x:c>
      <x:c r="C12" s="204"/>
      <x:c r="D12" s="30"/>
      <x:c r="E12" s="30"/>
      <x:c r="F12" s="30"/>
      <x:c r="G12" s="30"/>
    </x:row>
    <x:row r="13" spans="1:10" ht="22.5" customHeight="1" x14ac:dyDescent="0.25">
      <x:c r="A13" s="7">
        <x:f>+A12+1</x:f>
        <x:v>3</x:v>
      </x:c>
      <x:c r="B13" s="69" t="s">
        <x:v>49</x:v>
      </x:c>
      <x:c r="C13" s="47" t="s">
        <x:v>2</x:v>
      </x:c>
      <x:c r="D13" s="47" t="s">
        <x:v>3</x:v>
      </x:c>
      <x:c r="E13" s="47" t="s">
        <x:v>74</x:v>
      </x:c>
      <x:c r="F13" s="48" t="s">
        <x:v>75</x:v>
      </x:c>
      <x:c r="G13" s="48" t="s">
        <x:v>76</x:v>
      </x:c>
    </x:row>
    <x:row r="14" spans="1:10" x14ac:dyDescent="0.25">
      <x:c r="A14" s="7">
        <x:f t="shared" ref="A14:A27" si="0">+A13+1</x:f>
        <x:v>4</x:v>
      </x:c>
      <x:c r="B14" s="77" t="s">
        <x:v>131</x:v>
      </x:c>
      <x:c r="C14" s="91">
        <x:v>122.68772380952379</x:v>
      </x:c>
      <x:c r="D14" s="91">
        <x:v>83.672257629288268</x:v>
      </x:c>
      <x:c r="E14" s="71">
        <x:f>+'Class Spline Weights'!D15</x:f>
        <x:v>0.46627000000000002</x:v>
      </x:c>
      <x:c r="F14" s="19">
        <x:f t="shared" ref="F14:G17" si="1">+C14*$E14</x:f>
        <x:v>57.205604980666656</x:v>
      </x:c>
      <x:c r="G14" s="19">
        <x:f>+D14*$E14</x:f>
        <x:v>39.01386356480824</x:v>
      </x:c>
      <x:c r="I14" s="187"/>
      <x:c r="J14" s="187"/>
    </x:row>
    <x:row r="15" spans="1:10" x14ac:dyDescent="0.25">
      <x:c r="A15" s="7">
        <x:f t="shared" si="0"/>
        <x:v>5</x:v>
      </x:c>
      <x:c r="B15" s="77" t="s">
        <x:v>44</x:v>
      </x:c>
      <x:c r="C15" s="91">
        <x:v>296.84505238095244</x:v>
      </x:c>
      <x:c r="D15" s="91">
        <x:v>260.30611273041472</x:v>
      </x:c>
      <x:c r="E15" s="71">
        <x:f>+'Class Spline Weights'!D14</x:f>
        <x:v>0.28503000000000001</x:v>
      </x:c>
      <x:c r="F15" s="19">
        <x:f t="shared" si="1"/>
        <x:v>84.609745280142874</x:v>
      </x:c>
      <x:c r="G15" s="19">
        <x:f t="shared" si="1"/>
        <x:v>74.195051311550117</x:v>
      </x:c>
      <x:c r="I15" s="187"/>
      <x:c r="J15" s="187"/>
    </x:row>
    <x:row r="16" spans="1:10" x14ac:dyDescent="0.25">
      <x:c r="A16" s="7">
        <x:f t="shared" si="0"/>
        <x:v>6</x:v>
      </x:c>
      <x:c r="B16" s="77" t="s">
        <x:v>45</x:v>
      </x:c>
      <x:c r="C16" s="91">
        <x:v>423.64285714285717</x:v>
      </x:c>
      <x:c r="D16" s="91">
        <x:v>383.37180236111112</x:v>
      </x:c>
      <x:c r="E16" s="71">
        <x:f>+'Class Spline Weights'!D13</x:f>
        <x:v>0.15584000000000001</x:v>
      </x:c>
      <x:c r="F16" s="19">
        <x:f t="shared" si="1"/>
        <x:v>66.020502857142858</x:v>
      </x:c>
      <x:c r="G16" s="19">
        <x:f t="shared" si="1"/>
        <x:v>59.744661679955563</x:v>
      </x:c>
      <x:c r="I16" s="187"/>
      <x:c r="J16" s="187"/>
    </x:row>
    <x:row r="17" spans="1:11" x14ac:dyDescent="0.25">
      <x:c r="A17" s="7">
        <x:f t="shared" si="0"/>
        <x:v>7</x:v>
      </x:c>
      <x:c r="B17" s="78" t="s">
        <x:v>14</x:v>
      </x:c>
      <x:c r="C17" s="92">
        <x:v>570.78915238095237</x:v>
      </x:c>
      <x:c r="D17" s="92">
        <x:v>521.61668808179729</x:v>
      </x:c>
      <x:c r="E17" s="71">
        <x:f>+'Class Spline Weights'!D12</x:f>
        <x:v>9.2859999999999998E-2</x:v>
      </x:c>
      <x:c r="F17" s="19">
        <x:f t="shared" si="1"/>
        <x:v>53.003480690095238</x:v>
      </x:c>
      <x:c r="G17" s="19">
        <x:f t="shared" si="1"/>
        <x:v>48.437325655275693</x:v>
      </x:c>
      <x:c r="I17" s="187"/>
      <x:c r="J17" s="187"/>
    </x:row>
    <x:row r="18" spans="1:11" x14ac:dyDescent="0.25">
      <x:c r="A18" s="7">
        <x:f t="shared" si="0"/>
        <x:v>8</x:v>
      </x:c>
      <x:c r="B18" s="134" t="s">
        <x:v>167</x:v>
      </x:c>
      <x:c r="E18" s="13"/>
      <x:c r="F18" s="186">
        <x:f>ROUND(SUM(F14:F17),2)</x:f>
        <x:v>260.83999999999997</x:v>
      </x:c>
      <x:c r="G18" s="186">
        <x:f>ROUND(SUM(G14:G17),2)</x:f>
        <x:v>221.39</x:v>
      </x:c>
      <x:c r="H18" s="187"/>
      <x:c r="I18" s="72"/>
      <x:c r="J18" s="74"/>
      <x:c r="K18" s="72"/>
    </x:row>
    <x:row r="19" spans="1:11" x14ac:dyDescent="0.25">
      <x:c r="A19" s="7">
        <x:f t="shared" si="0"/>
        <x:v>9</x:v>
      </x:c>
      <x:c r="F19" s="72"/>
      <x:c r="G19" s="72"/>
    </x:row>
    <x:row r="20" spans="1:11" ht="13" x14ac:dyDescent="0.3">
      <x:c r="A20" s="7">
        <x:f t="shared" si="0"/>
        <x:v>10</x:v>
      </x:c>
      <x:c r="B20" s="75">
        <x:v>45505</x:v>
      </x:c>
      <x:c r="F20" s="72"/>
      <x:c r="G20" s="72"/>
    </x:row>
    <x:row r="21" spans="1:11" x14ac:dyDescent="0.25">
      <x:c r="A21" s="7">
        <x:f t="shared" si="0"/>
        <x:v>11</x:v>
      </x:c>
      <x:c r="B21" s="41" t="s">
        <x:v>115</x:v>
      </x:c>
      <x:c r="C21" s="204"/>
      <x:c r="D21" s="142"/>
      <x:c r="E21" s="30"/>
      <x:c r="F21" s="142"/>
      <x:c r="G21" s="30"/>
    </x:row>
    <x:row r="22" spans="1:11" ht="22.5" customHeight="1" x14ac:dyDescent="0.25">
      <x:c r="A22" s="7">
        <x:f t="shared" si="0"/>
        <x:v>12</x:v>
      </x:c>
      <x:c r="B22" s="69" t="s">
        <x:v>49</x:v>
      </x:c>
      <x:c r="C22" s="47" t="s">
        <x:v>2</x:v>
      </x:c>
      <x:c r="D22" s="47" t="s">
        <x:v>3</x:v>
      </x:c>
      <x:c r="E22" s="47" t="s">
        <x:v>74</x:v>
      </x:c>
      <x:c r="F22" s="48" t="s">
        <x:v>75</x:v>
      </x:c>
      <x:c r="G22" s="48" t="s">
        <x:v>76</x:v>
      </x:c>
    </x:row>
    <x:row r="23" spans="1:11" x14ac:dyDescent="0.25">
      <x:c r="A23" s="7">
        <x:f t="shared" si="0"/>
        <x:v>13</x:v>
      </x:c>
      <x:c r="B23" s="76" t="s">
        <x:v>14</x:v>
      </x:c>
      <x:c r="C23" s="79">
        <x:v>593.68123333333335</x:v>
      </x:c>
      <x:c r="D23" s="79">
        <x:v>627.47319481669228</x:v>
      </x:c>
      <x:c r="E23" s="70">
        <x:f>+'Class Spline Weights'!H12</x:f>
        <x:v>0.28793999999999997</x:v>
      </x:c>
      <x:c r="F23" s="19">
        <x:f>+C23*$E23</x:f>
        <x:v>170.94457432599998</x:v>
      </x:c>
      <x:c r="G23" s="19">
        <x:f>+D23*$E23</x:f>
        <x:v>180.67463171551836</x:v>
      </x:c>
      <x:c r="I23" s="187"/>
      <x:c r="J23" s="187"/>
    </x:row>
    <x:row r="24" spans="1:11" x14ac:dyDescent="0.25">
      <x:c r="A24" s="7">
        <x:f t="shared" si="0"/>
        <x:v>14</x:v>
      </x:c>
      <x:c r="B24" s="77" t="s">
        <x:v>16</x:v>
      </x:c>
      <x:c r="C24" s="79">
        <x:v>444.51388095238093</x:v>
      </x:c>
      <x:c r="D24" s="79">
        <x:v>478.34865965924223</x:v>
      </x:c>
      <x:c r="E24" s="71">
        <x:f>+'Class Spline Weights'!H13</x:f>
        <x:v>0.24504999999999999</x:v>
      </x:c>
      <x:c r="F24" s="19">
        <x:f t="shared" ref="F24:G26" si="2">+C24*$E24</x:f>
        <x:v>108.92812652738094</x:v>
      </x:c>
      <x:c r="G24" s="19">
        <x:f t="shared" si="2"/>
        <x:v>117.21933904949731</x:v>
      </x:c>
      <x:c r="I24" s="187"/>
      <x:c r="J24" s="187"/>
    </x:row>
    <x:row r="25" spans="1:11" x14ac:dyDescent="0.25">
      <x:c r="A25" s="7">
        <x:f t="shared" si="0"/>
        <x:v>15</x:v>
      </x:c>
      <x:c r="B25" s="77" t="s">
        <x:v>18</x:v>
      </x:c>
      <x:c r="C25" s="79">
        <x:v>295.69077619047624</x:v>
      </x:c>
      <x:c r="D25" s="79">
        <x:v>330.08602514208917</x:v>
      </x:c>
      <x:c r="E25" s="71">
        <x:f>+'Class Spline Weights'!H14</x:f>
        <x:v>0.39521000000000001</x:v>
      </x:c>
      <x:c r="F25" s="19">
        <x:f t="shared" si="2"/>
        <x:v>116.85995165823812</x:v>
      </x:c>
      <x:c r="G25" s="19">
        <x:f t="shared" si="2"/>
        <x:v>130.45329799640507</x:v>
      </x:c>
      <x:c r="I25" s="187"/>
      <x:c r="J25" s="187"/>
    </x:row>
    <x:row r="26" spans="1:11" x14ac:dyDescent="0.25">
      <x:c r="A26" s="7">
        <x:f t="shared" si="0"/>
        <x:v>16</x:v>
      </x:c>
      <x:c r="B26" s="78" t="s">
        <x:v>129</x:v>
      </x:c>
      <x:c r="C26" s="80">
        <x:v>154.01017142857148</x:v>
      </x:c>
      <x:c r="D26" s="79">
        <x:v>188.41620707821306</x:v>
      </x:c>
      <x:c r="E26" s="71">
        <x:f>+'Class Spline Weights'!H15</x:f>
        <x:v>7.1800000000000003E-2</x:v>
      </x:c>
      <x:c r="F26" s="19">
        <x:f t="shared" si="2"/>
        <x:v>11.057930308571432</x:v>
      </x:c>
      <x:c r="G26" s="19">
        <x:f t="shared" si="2"/>
        <x:v>13.528283668215698</x:v>
      </x:c>
      <x:c r="I26" s="187"/>
      <x:c r="J26" s="187"/>
    </x:row>
    <x:row r="27" spans="1:11" x14ac:dyDescent="0.25">
      <x:c r="A27" s="7">
        <x:f t="shared" si="0"/>
        <x:v>17</x:v>
      </x:c>
      <x:c r="B27" s="134" t="s">
        <x:v>168</x:v>
      </x:c>
      <x:c r="D27" s="13"/>
      <x:c r="E27" s="13"/>
      <x:c r="F27" s="186">
        <x:f>ROUND(SUM(F23:F26),2)</x:f>
        <x:v>407.79</x:v>
      </x:c>
      <x:c r="G27" s="186">
        <x:f>ROUND(SUM(G23:G26),2)</x:f>
        <x:v>441.88</x:v>
      </x:c>
      <x:c r="I27" s="72"/>
      <x:c r="J27" s="74"/>
    </x:row>
  </x:sheetData>
  <x:mergeCells count="7">
    <x:mergeCell ref="B8:G8"/>
    <x:mergeCell ref="B1:G1"/>
    <x:mergeCell ref="B2:G2"/>
    <x:mergeCell ref="B3:G3"/>
    <x:mergeCell ref="B4:G4"/>
    <x:mergeCell ref="B5:G5"/>
    <x:mergeCell ref="B6:G6"/>
  </x:mergeCells>
  <x:printOptions horizontalCentered="1"/>
  <x:pageMargins left="1.5" right="0.5" top="1.5" bottom="1" header="1" footer="0.5"/>
  <x:pageSetup firstPageNumber="3" orientation="portrait" r:id="rId1"/>
  <x:headerFooter alignWithMargins="0">
    <x:oddHeader>&amp;RSchedule II-H-5.2
Page &amp;P of 37</x:oddHeader>
  </x:headerFooter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 codeName="Sheet28">
    <x:pageSetUpPr fitToPage="1"/>
  </x:sheetPr>
  <x:dimension ref="A1:P37"/>
  <x:sheetViews>
    <x:sheetView view="pageBreakPreview" zoomScale="85" zoomScaleNormal="100" zoomScaleSheetLayoutView="100" workbookViewId="0">
      <x:pane xSplit="3" topLeftCell="D1" activePane="topRight" state="frozen"/>
      <x:selection activeCell="L21" sqref="L21"/>
      <x:selection pane="topRight"/>
    </x:sheetView>
  </x:sheetViews>
  <x:sheetFormatPr defaultColWidth="9.08984375" defaultRowHeight="12.5" x14ac:dyDescent="0.25"/>
  <x:cols>
    <x:col min="1" max="1" width="8.08984375" style="55" customWidth="1"/>
    <x:col min="2" max="2" width="16.90625" style="55" customWidth="1"/>
    <x:col min="3" max="3" width="4.453125" style="55" bestFit="1" customWidth="1"/>
    <x:col min="4" max="4" width="9.90625" style="55" bestFit="1" customWidth="1"/>
    <x:col min="5" max="13" width="9.08984375" style="55"/>
    <x:col min="14" max="14" width="9.6328125" style="55" bestFit="1" customWidth="1"/>
    <x:col min="15" max="15" width="9.08984375" style="55"/>
    <x:col min="16" max="16" width="9.54296875" style="55" bestFit="1" customWidth="1"/>
    <x:col min="17" max="16384" width="9.08984375" style="55"/>
  </x:cols>
  <x:sheetData>
    <x:row r="1" spans="1:16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212"/>
      <x:c r="N1" s="212"/>
      <x:c r="O1" s="212"/>
      <x:c r="P1" s="212"/>
    </x:row>
    <x:row r="2" spans="1:16" ht="15.5" x14ac:dyDescent="0.35">
      <x:c r="A2" s="1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  <x:c r="P2" s="212"/>
    </x:row>
    <x:row r="3" spans="1:16" ht="15.5" x14ac:dyDescent="0.35">
      <x:c r="A3" s="1"/>
      <x:c r="B3" s="229" t="str">
        <x:f>+RES!B3</x:f>
        <x:v>ADJUSTED WEATHER STATION DATA</x:v>
      </x:c>
      <x:c r="C3" s="229"/>
      <x:c r="D3" s="229"/>
      <x:c r="E3" s="229"/>
      <x:c r="F3" s="229"/>
      <x:c r="G3" s="230"/>
      <x:c r="H3" s="230"/>
      <x:c r="I3" s="230"/>
      <x:c r="J3" s="230"/>
      <x:c r="K3" s="230"/>
      <x:c r="L3" s="230"/>
      <x:c r="M3" s="230"/>
      <x:c r="N3" s="230"/>
      <x:c r="O3" s="230"/>
      <x:c r="P3" s="230"/>
    </x:row>
    <x:row r="4" spans="1:16" ht="15.5" x14ac:dyDescent="0.35">
      <x:c r="A4" s="1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  <x:c r="P4" s="212"/>
    </x:row>
    <x:row r="5" spans="1:16" ht="15.5" x14ac:dyDescent="0.35">
      <x:c r="A5" s="1"/>
      <x:c r="B5" s="209"/>
      <x:c r="C5" s="209"/>
      <x:c r="D5" s="209"/>
      <x:c r="E5" s="209"/>
      <x:c r="F5" s="209"/>
      <x:c r="G5"/>
      <x:c r="H5"/>
      <x:c r="I5" s="66"/>
      <x:c r="J5" s="66"/>
      <x:c r="K5" s="66"/>
      <x:c r="L5" s="66"/>
      <x:c r="M5" s="66"/>
      <x:c r="N5" s="66"/>
      <x:c r="O5" s="66"/>
      <x:c r="P5" s="66"/>
    </x:row>
    <x:row r="6" spans="1:16" ht="15.5" x14ac:dyDescent="0.35">
      <x:c r="A6" s="1"/>
      <x:c r="B6" s="209" t="str">
        <x:f>+RES!B6</x:f>
        <x:v>SPONSOR: D. E. NELSON</x:v>
      </x:c>
      <x:c r="C6" s="209"/>
      <x:c r="D6" s="209"/>
      <x:c r="E6" s="209"/>
      <x:c r="F6" s="209"/>
      <x:c r="G6" s="212"/>
      <x:c r="H6" s="212"/>
      <x:c r="I6" s="212"/>
      <x:c r="J6" s="212"/>
      <x:c r="K6" s="212"/>
      <x:c r="L6" s="212"/>
      <x:c r="M6" s="212"/>
      <x:c r="N6" s="212"/>
      <x:c r="O6" s="212"/>
      <x:c r="P6" s="212"/>
    </x:row>
    <x:row r="7" spans="1:16" ht="15.5" x14ac:dyDescent="0.35">
      <x:c r="A7" s="1"/>
      <x:c r="B7" s="4"/>
      <x:c r="C7" s="4"/>
      <x:c r="D7" s="4"/>
      <x:c r="E7" s="4"/>
      <x:c r="F7" s="4"/>
      <x:c r="G7" s="51"/>
      <x:c r="H7" s="51"/>
      <x:c r="I7" s="66"/>
      <x:c r="J7" s="66"/>
      <x:c r="K7" s="66"/>
      <x:c r="L7" s="66"/>
      <x:c r="M7" s="66"/>
      <x:c r="N7" s="66"/>
      <x:c r="O7" s="66"/>
      <x:c r="P7" s="66"/>
    </x:row>
    <x:row r="8" spans="1:16" ht="15.5" x14ac:dyDescent="0.35">
      <x:c r="A8" s="1"/>
      <x:c r="B8" s="229" t="s">
        <x:v>98</x:v>
      </x:c>
      <x:c r="C8" s="229"/>
      <x:c r="D8" s="229"/>
      <x:c r="E8" s="229"/>
      <x:c r="F8" s="229"/>
      <x:c r="G8" s="230"/>
      <x:c r="H8" s="230"/>
      <x:c r="I8" s="230"/>
      <x:c r="J8" s="230"/>
      <x:c r="K8" s="230"/>
      <x:c r="L8" s="230"/>
      <x:c r="M8" s="230"/>
      <x:c r="N8" s="230"/>
      <x:c r="O8" s="230"/>
      <x:c r="P8" s="230"/>
    </x:row>
    <x:row r="9" spans="1:16" ht="15.5" x14ac:dyDescent="0.35">
      <x:c r="A9" s="1"/>
      <x:c r="B9" s="229" t="s">
        <x:v>104</x:v>
      </x:c>
      <x:c r="C9" s="231"/>
      <x:c r="D9" s="231"/>
      <x:c r="E9" s="231"/>
      <x:c r="F9" s="231"/>
      <x:c r="G9" s="231"/>
      <x:c r="H9" s="231"/>
      <x:c r="I9" s="231"/>
      <x:c r="J9" s="231"/>
      <x:c r="K9" s="231"/>
      <x:c r="L9" s="231"/>
      <x:c r="M9" s="231"/>
      <x:c r="N9" s="231"/>
      <x:c r="O9" s="231"/>
      <x:c r="P9" s="231"/>
    </x:row>
    <x:row r="10" spans="1:16" x14ac:dyDescent="0.25">
      <x:c r="A10" s="1" t="s">
        <x:v>6</x:v>
      </x:c>
      <x:c r="B10" s="1" t="s">
        <x:v>9</x:v>
      </x:c>
      <x:c r="C10" s="1"/>
      <x:c r="D10" s="6" t="s">
        <x:v>10</x:v>
      </x:c>
      <x:c r="E10" s="6" t="s">
        <x:v>12</x:v>
      </x:c>
      <x:c r="F10" s="6" t="s">
        <x:v>11</x:v>
      </x:c>
      <x:c r="G10" s="6" t="s">
        <x:v>53</x:v>
      </x:c>
      <x:c r="H10" s="6" t="s">
        <x:v>54</x:v>
      </x:c>
      <x:c r="I10" s="6" t="s">
        <x:v>60</x:v>
      </x:c>
      <x:c r="J10" s="6" t="s">
        <x:v>61</x:v>
      </x:c>
      <x:c r="K10" s="6" t="s">
        <x:v>62</x:v>
      </x:c>
      <x:c r="L10" s="6" t="s">
        <x:v>63</x:v>
      </x:c>
      <x:c r="M10" s="6" t="s">
        <x:v>64</x:v>
      </x:c>
      <x:c r="N10" s="6" t="s">
        <x:v>65</x:v>
      </x:c>
      <x:c r="O10" s="6" t="s">
        <x:v>66</x:v>
      </x:c>
      <x:c r="P10" s="6" t="s">
        <x:v>67</x:v>
      </x:c>
    </x:row>
    <x:row r="11" spans="1:16" s="60" customFormat="1" x14ac:dyDescent="0.25">
      <x:c r="A11" s="5" t="s">
        <x:v>8</x:v>
      </x:c>
      <x:c r="B11" s="68" t="s">
        <x:v>68</x:v>
      </x:c>
      <x:c r="C11" s="56"/>
      <x:c r="D11" s="57">
        <x:v>36892</x:v>
      </x:c>
      <x:c r="E11" s="58">
        <x:v>36923</x:v>
      </x:c>
      <x:c r="F11" s="58">
        <x:v>36951</x:v>
      </x:c>
      <x:c r="G11" s="58">
        <x:v>36982</x:v>
      </x:c>
      <x:c r="H11" s="58">
        <x:v>37012</x:v>
      </x:c>
      <x:c r="I11" s="58">
        <x:v>37043</x:v>
      </x:c>
      <x:c r="J11" s="58">
        <x:v>37073</x:v>
      </x:c>
      <x:c r="K11" s="58">
        <x:v>37104</x:v>
      </x:c>
      <x:c r="L11" s="58">
        <x:v>37135</x:v>
      </x:c>
      <x:c r="M11" s="58">
        <x:v>37165</x:v>
      </x:c>
      <x:c r="N11" s="58">
        <x:v>37196</x:v>
      </x:c>
      <x:c r="O11" s="58">
        <x:v>37226</x:v>
      </x:c>
      <x:c r="P11" s="59" t="s">
        <x:v>4</x:v>
      </x:c>
    </x:row>
    <x:row r="12" spans="1:16" x14ac:dyDescent="0.25">
      <x:c r="A12" s="67">
        <x:v>1</x:v>
      </x:c>
      <x:c r="B12" t="s">
        <x:v>33</x:v>
      </x:c>
      <x:c r="C12" s="61"/>
      <x:c r="D12" s="62">
        <x:f>+'[5]Res Seasonal Weights'!D11</x:f>
        <x:v>0.6842466537095353</x:v>
      </x:c>
      <x:c r="E12" s="62">
        <x:f>+'[5]Res Seasonal Weights'!E11</x:f>
        <x:v>0.68405042577780284</x:v>
      </x:c>
      <x:c r="F12" s="62">
        <x:f>+'[5]Res Seasonal Weights'!F11</x:f>
        <x:v>0.68559851480914347</x:v>
      </x:c>
      <x:c r="G12" s="62">
        <x:f>+'[5]Res Seasonal Weights'!G11</x:f>
        <x:v>0.68865637375120559</x:v>
      </x:c>
      <x:c r="H12" s="62">
        <x:f>+'[5]Res Seasonal Weights'!H11</x:f>
        <x:v>0.68952427056075982</x:v>
      </x:c>
      <x:c r="I12" s="62">
        <x:f>+'[5]Res Seasonal Weights'!I11</x:f>
        <x:v>0.69610926630834569</x:v>
      </x:c>
      <x:c r="J12" s="62">
        <x:f>+'[5]Res Seasonal Weights'!J11</x:f>
        <x:v>0.70517894357480215</x:v>
      </x:c>
      <x:c r="K12" s="62">
        <x:f>+'[5]Res Seasonal Weights'!K11</x:f>
        <x:v>0.71056044010309394</x:v>
      </x:c>
      <x:c r="L12" s="62">
        <x:f>+'[5]Res Seasonal Weights'!L11</x:f>
        <x:v>0.70735820756575929</x:v>
      </x:c>
      <x:c r="M12" s="62">
        <x:f>+'[5]Res Seasonal Weights'!M11</x:f>
        <x:v>0.70166443064955208</x:v>
      </x:c>
      <x:c r="N12" s="62">
        <x:f>+'[5]Res Seasonal Weights'!N11</x:f>
        <x:v>0.69339622623634611</x:v>
      </x:c>
      <x:c r="O12" s="62">
        <x:f>+'[5]Res Seasonal Weights'!O11</x:f>
        <x:v>0.6837896244658157</x:v>
      </x:c>
      <x:c r="P12" s="62">
        <x:f>+'[5]Res Seasonal Weights'!P11</x:f>
        <x:v>0.69612564384089759</x:v>
      </x:c>
    </x:row>
    <x:row r="13" spans="1:16" x14ac:dyDescent="0.25">
      <x:c r="A13" s="67">
        <x:f>+A12+1</x:f>
        <x:v>2</x:v>
      </x:c>
      <x:c r="B13" t="s">
        <x:v>34</x:v>
      </x:c>
      <x:c r="C13" s="61"/>
      <x:c r="D13" s="62">
        <x:f>+'[5]Res Seasonal Weights'!D12</x:f>
        <x:v>5.6327069538495478E-2</x:v>
      </x:c>
      <x:c r="E13" s="62">
        <x:f>+'[5]Res Seasonal Weights'!E12</x:f>
        <x:v>5.6672598811494924E-2</x:v>
      </x:c>
      <x:c r="F13" s="62">
        <x:f>+'[5]Res Seasonal Weights'!F12</x:f>
        <x:v>5.4263579346917258E-2</x:v>
      </x:c>
      <x:c r="G13" s="62">
        <x:f>+'[5]Res Seasonal Weights'!G12</x:f>
        <x:v>5.489443671330569E-2</x:v>
      </x:c>
      <x:c r="H13" s="62">
        <x:f>+'[5]Res Seasonal Weights'!H12</x:f>
        <x:v>5.7650058187680868E-2</x:v>
      </x:c>
      <x:c r="I13" s="62">
        <x:f>+'[5]Res Seasonal Weights'!I12</x:f>
        <x:v>5.7171460500517454E-2</x:v>
      </x:c>
      <x:c r="J13" s="62">
        <x:f>+'[5]Res Seasonal Weights'!J12</x:f>
        <x:v>5.4274808849714612E-2</x:v>
      </x:c>
      <x:c r="K13" s="62">
        <x:f>+'[5]Res Seasonal Weights'!K12</x:f>
        <x:v>5.1466788251161355E-2</x:v>
      </x:c>
      <x:c r="L13" s="62">
        <x:f>+'[5]Res Seasonal Weights'!L12</x:f>
        <x:v>5.0016082633975036E-2</x:v>
      </x:c>
      <x:c r="M13" s="62">
        <x:f>+'[5]Res Seasonal Weights'!M12</x:f>
        <x:v>5.2030850807543126E-2</x:v>
      </x:c>
      <x:c r="N13" s="62">
        <x:f>+'[5]Res Seasonal Weights'!N12</x:f>
        <x:v>5.3537017642947424E-2</x:v>
      </x:c>
      <x:c r="O13" s="62">
        <x:f>+'[5]Res Seasonal Weights'!O12</x:f>
        <x:v>5.8112093865455024E-2</x:v>
      </x:c>
      <x:c r="P13" s="62">
        <x:f>+'[5]Res Seasonal Weights'!P12</x:f>
        <x:v>5.4282927565840668E-2</x:v>
      </x:c>
    </x:row>
    <x:row r="14" spans="1:16" x14ac:dyDescent="0.25">
      <x:c r="A14" s="67">
        <x:f t="shared" ref="A14:A37" si="0">+A13+1</x:f>
        <x:v>3</x:v>
      </x:c>
      <x:c r="B14" t="s">
        <x:v>35</x:v>
      </x:c>
      <x:c r="C14" s="61"/>
      <x:c r="D14" s="62">
        <x:f>+'[5]Res Seasonal Weights'!D13</x:f>
        <x:v>2.9210748880904587E-2</x:v>
      </x:c>
      <x:c r="E14" s="62">
        <x:f>+'[5]Res Seasonal Weights'!E13</x:f>
        <x:v>2.8802293829726638E-2</x:v>
      </x:c>
      <x:c r="F14" s="62">
        <x:f>+'[5]Res Seasonal Weights'!F13</x:f>
        <x:v>2.7102348674979595E-2</x:v>
      </x:c>
      <x:c r="G14" s="62">
        <x:f>+'[5]Res Seasonal Weights'!G13</x:f>
        <x:v>2.7922034129400742E-2</x:v>
      </x:c>
      <x:c r="H14" s="62">
        <x:f>+'[5]Res Seasonal Weights'!H13</x:f>
        <x:v>2.6923797943178458E-2</x:v>
      </x:c>
      <x:c r="I14" s="62">
        <x:f>+'[5]Res Seasonal Weights'!I13</x:f>
        <x:v>2.614940813825312E-2</x:v>
      </x:c>
      <x:c r="J14" s="62">
        <x:f>+'[5]Res Seasonal Weights'!J13</x:f>
        <x:v>2.5347949981278942E-2</x:v>
      </x:c>
      <x:c r="K14" s="62">
        <x:f>+'[5]Res Seasonal Weights'!K13</x:f>
        <x:v>2.4563014543006308E-2</x:v>
      </x:c>
      <x:c r="L14" s="62">
        <x:f>+'[5]Res Seasonal Weights'!L13</x:f>
        <x:v>2.4720792433345844E-2</x:v>
      </x:c>
      <x:c r="M14" s="62">
        <x:f>+'[5]Res Seasonal Weights'!M13</x:f>
        <x:v>2.4369130746701415E-2</x:v>
      </x:c>
      <x:c r="N14" s="62">
        <x:f>+'[5]Res Seasonal Weights'!N13</x:f>
        <x:v>2.6927032682479184E-2</x:v>
      </x:c>
      <x:c r="O14" s="62">
        <x:f>+'[5]Res Seasonal Weights'!O13</x:f>
        <x:v>2.8529837530280149E-2</x:v>
      </x:c>
      <x:c r="P14" s="62">
        <x:f>+'[5]Res Seasonal Weights'!P13</x:f>
        <x:v>2.6432332761275549E-2</x:v>
      </x:c>
    </x:row>
    <x:row r="15" spans="1:16" x14ac:dyDescent="0.25">
      <x:c r="A15" s="67">
        <x:f t="shared" si="0"/>
        <x:v>4</x:v>
      </x:c>
      <x:c r="B15" t="s">
        <x:v>36</x:v>
      </x:c>
      <x:c r="C15" s="61"/>
      <x:c r="D15" s="62">
        <x:f>+'[5]Res Seasonal Weights'!D14</x:f>
        <x:v>1.4502322354727043E-2</x:v>
      </x:c>
      <x:c r="E15" s="62">
        <x:f>+'[5]Res Seasonal Weights'!E14</x:f>
        <x:v>1.4627539792194047E-2</x:v>
      </x:c>
      <x:c r="F15" s="62">
        <x:f>+'[5]Res Seasonal Weights'!F14</x:f>
        <x:v>1.3729779023334495E-2</x:v>
      </x:c>
      <x:c r="G15" s="62">
        <x:f>+'[5]Res Seasonal Weights'!G14</x:f>
        <x:v>1.2922010918922472E-2</x:v>
      </x:c>
      <x:c r="H15" s="62">
        <x:f>+'[5]Res Seasonal Weights'!H14</x:f>
        <x:v>1.2842978645765323E-2</x:v>
      </x:c>
      <x:c r="I15" s="62">
        <x:f>+'[5]Res Seasonal Weights'!I14</x:f>
        <x:v>1.2411264295333426E-2</x:v>
      </x:c>
      <x:c r="J15" s="62">
        <x:f>+'[5]Res Seasonal Weights'!J14</x:f>
        <x:v>1.2142128913303282E-2</x:v>
      </x:c>
      <x:c r="K15" s="62">
        <x:f>+'[5]Res Seasonal Weights'!K14</x:f>
        <x:v>1.185970695282413E-2</x:v>
      </x:c>
      <x:c r="L15" s="62">
        <x:f>+'[5]Res Seasonal Weights'!L14</x:f>
        <x:v>1.164726098041723E-2</x:v>
      </x:c>
      <x:c r="M15" s="62">
        <x:f>+'[5]Res Seasonal Weights'!M14</x:f>
        <x:v>1.1410164169530857E-2</x:v>
      </x:c>
      <x:c r="N15" s="62">
        <x:f>+'[5]Res Seasonal Weights'!N14</x:f>
        <x:v>1.2048395618468004E-2</x:v>
      </x:c>
      <x:c r="O15" s="62">
        <x:f>+'[5]Res Seasonal Weights'!O14</x:f>
        <x:v>1.3734452832669556E-2</x:v>
      </x:c>
      <x:c r="P15" s="62">
        <x:f>+'[5]Res Seasonal Weights'!P14</x:f>
        <x:v>1.2714991026938337E-2</x:v>
      </x:c>
    </x:row>
    <x:row r="16" spans="1:16" x14ac:dyDescent="0.25">
      <x:c r="A16" s="67">
        <x:f t="shared" si="0"/>
        <x:v>5</x:v>
      </x:c>
      <x:c r="B16" t="s">
        <x:v>37</x:v>
      </x:c>
      <x:c r="C16" s="61"/>
      <x:c r="D16" s="62">
        <x:f>+'[5]Res Seasonal Weights'!D15</x:f>
        <x:v>2.7510074142766461E-2</x:v>
      </x:c>
      <x:c r="E16" s="62">
        <x:f>+'[5]Res Seasonal Weights'!E15</x:f>
        <x:v>2.7931990578495883E-2</x:v>
      </x:c>
      <x:c r="F16" s="62">
        <x:f>+'[5]Res Seasonal Weights'!F15</x:f>
        <x:v>2.8152502623979267E-2</x:v>
      </x:c>
      <x:c r="G16" s="62">
        <x:f>+'[5]Res Seasonal Weights'!G15</x:f>
        <x:v>2.6100432311338781E-2</x:v>
      </x:c>
      <x:c r="H16" s="62">
        <x:f>+'[5]Res Seasonal Weights'!H15</x:f>
        <x:v>2.3295877642223291E-2</x:v>
      </x:c>
      <x:c r="I16" s="62">
        <x:f>+'[5]Res Seasonal Weights'!I15</x:f>
        <x:v>2.2195850747596859E-2</x:v>
      </x:c>
      <x:c r="J16" s="62">
        <x:f>+'[5]Res Seasonal Weights'!J15</x:f>
        <x:v>2.2809321919665983E-2</x:v>
      </x:c>
      <x:c r="K16" s="62">
        <x:f>+'[5]Res Seasonal Weights'!K15</x:f>
        <x:v>2.3586125822388903E-2</x:v>
      </x:c>
      <x:c r="L16" s="62">
        <x:f>+'[5]Res Seasonal Weights'!L15</x:f>
        <x:v>2.3887548415985043E-2</x:v>
      </x:c>
      <x:c r="M16" s="62">
        <x:f>+'[5]Res Seasonal Weights'!M15</x:f>
        <x:v>2.3949840218822266E-2</x:v>
      </x:c>
      <x:c r="N16" s="62">
        <x:f>+'[5]Res Seasonal Weights'!N15</x:f>
        <x:v>2.4647673933100571E-2</x:v>
      </x:c>
      <x:c r="O16" s="62">
        <x:f>+'[5]Res Seasonal Weights'!O15</x:f>
        <x:v>2.7565279941066296E-2</x:v>
      </x:c>
      <x:c r="P16" s="62">
        <x:f>+'[5]Res Seasonal Weights'!P15</x:f>
        <x:v>2.4937122661713794E-2</x:v>
      </x:c>
    </x:row>
    <x:row r="17" spans="1:16" x14ac:dyDescent="0.25">
      <x:c r="A17" s="67">
        <x:f t="shared" si="0"/>
        <x:v>6</x:v>
      </x:c>
      <x:c r="B17" t="s">
        <x:v>38</x:v>
      </x:c>
      <x:c r="C17" s="61"/>
      <x:c r="D17" s="62">
        <x:f>+'[5]Res Seasonal Weights'!D16</x:f>
        <x:v>5.2350245586823878E-2</x:v>
      </x:c>
      <x:c r="E17" s="62">
        <x:f>+'[5]Res Seasonal Weights'!E16</x:f>
        <x:v>5.3723293003999022E-2</x:v>
      </x:c>
      <x:c r="F17" s="62">
        <x:f>+'[5]Res Seasonal Weights'!F16</x:f>
        <x:v>5.4159440169649513E-2</x:v>
      </x:c>
      <x:c r="G17" s="62">
        <x:f>+'[5]Res Seasonal Weights'!G16</x:f>
        <x:v>4.9904217855958034E-2</x:v>
      </x:c>
      <x:c r="H17" s="62">
        <x:f>+'[5]Res Seasonal Weights'!H16</x:f>
        <x:v>4.9078764030776802E-2</x:v>
      </x:c>
      <x:c r="I17" s="62">
        <x:f>+'[5]Res Seasonal Weights'!I16</x:f>
        <x:v>4.7041513957275412E-2</x:v>
      </x:c>
      <x:c r="J17" s="62">
        <x:f>+'[5]Res Seasonal Weights'!J16</x:f>
        <x:v>4.4598990760978952E-2</x:v>
      </x:c>
      <x:c r="K17" s="62">
        <x:f>+'[5]Res Seasonal Weights'!K16</x:f>
        <x:v>4.372461367952387E-2</x:v>
      </x:c>
      <x:c r="L17" s="62">
        <x:f>+'[5]Res Seasonal Weights'!L16</x:f>
        <x:v>4.489395099738739E-2</x:v>
      </x:c>
      <x:c r="M17" s="62">
        <x:f>+'[5]Res Seasonal Weights'!M16</x:f>
        <x:v>4.6612420662902665E-2</x:v>
      </x:c>
      <x:c r="N17" s="62">
        <x:f>+'[5]Res Seasonal Weights'!N16</x:f>
        <x:v>4.9171147191173589E-2</x:v>
      </x:c>
      <x:c r="O17" s="62">
        <x:f>+'[5]Res Seasonal Weights'!O16</x:f>
        <x:v>5.068760367954437E-2</x:v>
      </x:c>
      <x:c r="P17" s="62">
        <x:f>+'[5]Res Seasonal Weights'!P16</x:f>
        <x:v>4.8269623863806288E-2</x:v>
      </x:c>
    </x:row>
    <x:row r="18" spans="1:16" x14ac:dyDescent="0.25">
      <x:c r="A18" s="67">
        <x:f t="shared" si="0"/>
        <x:v>7</x:v>
      </x:c>
      <x:c r="B18" t="s">
        <x:v>39</x:v>
      </x:c>
      <x:c r="C18" s="61"/>
      <x:c r="D18" s="62">
        <x:f>+'[5]Res Seasonal Weights'!D17</x:f>
        <x:v>3.8231386577861556E-2</x:v>
      </x:c>
      <x:c r="E18" s="62">
        <x:f>+'[5]Res Seasonal Weights'!E17</x:f>
        <x:v>3.9066819392775148E-2</x:v>
      </x:c>
      <x:c r="F18" s="62">
        <x:f>+'[5]Res Seasonal Weights'!F17</x:f>
        <x:v>4.090581226498153E-2</x:v>
      </x:c>
      <x:c r="G18" s="62">
        <x:f>+'[5]Res Seasonal Weights'!G17</x:f>
        <x:v>3.8050378940994674E-2</x:v>
      </x:c>
      <x:c r="H18" s="62">
        <x:f>+'[5]Res Seasonal Weights'!H17</x:f>
        <x:v>3.6764384704129745E-2</x:v>
      </x:c>
      <x:c r="I18" s="62">
        <x:f>+'[5]Res Seasonal Weights'!I17</x:f>
        <x:v>3.5600916035753195E-2</x:v>
      </x:c>
      <x:c r="J18" s="62">
        <x:f>+'[5]Res Seasonal Weights'!J17</x:f>
        <x:v>3.5106317189389419E-2</x:v>
      </x:c>
      <x:c r="K18" s="62">
        <x:f>+'[5]Res Seasonal Weights'!K17</x:f>
        <x:v>3.5176501542589216E-2</x:v>
      </x:c>
      <x:c r="L18" s="62">
        <x:f>+'[5]Res Seasonal Weights'!L17</x:f>
        <x:v>3.6220890385645965E-2</x:v>
      </x:c>
      <x:c r="M18" s="62">
        <x:f>+'[5]Res Seasonal Weights'!M17</x:f>
        <x:v>3.7896852271475247E-2</x:v>
      </x:c>
      <x:c r="N18" s="62">
        <x:f>+'[5]Res Seasonal Weights'!N17</x:f>
        <x:v>3.7950638700785792E-2</x:v>
      </x:c>
      <x:c r="O18" s="62">
        <x:f>+'[5]Res Seasonal Weights'!O17</x:f>
        <x:v>3.7924060930908686E-2</x:v>
      </x:c>
      <x:c r="P18" s="62">
        <x:f>+'[5]Res Seasonal Weights'!P17</x:f>
        <x:v>3.7182176722156096E-2</x:v>
      </x:c>
    </x:row>
    <x:row r="19" spans="1:16" x14ac:dyDescent="0.25">
      <x:c r="A19" s="67">
        <x:f t="shared" si="0"/>
        <x:v>8</x:v>
      </x:c>
      <x:c r="B19" t="s">
        <x:v>40</x:v>
      </x:c>
      <x:c r="C19" s="61"/>
      <x:c r="D19" s="62">
        <x:f>+'[5]Res Seasonal Weights'!D18</x:f>
        <x:v>1.9416085067219018E-2</x:v>
      </x:c>
      <x:c r="E19" s="62">
        <x:f>+'[5]Res Seasonal Weights'!E18</x:f>
        <x:v>1.9545807968369345E-2</x:v>
      </x:c>
      <x:c r="F19" s="62">
        <x:f>+'[5]Res Seasonal Weights'!F18</x:f>
        <x:v>1.984579388120437E-2</x:v>
      </x:c>
      <x:c r="G19" s="62">
        <x:f>+'[5]Res Seasonal Weights'!G18</x:f>
        <x:v>1.8467719545435895E-2</x:v>
      </x:c>
      <x:c r="H19" s="62">
        <x:f>+'[5]Res Seasonal Weights'!H18</x:f>
        <x:v>1.7801695255155316E-2</x:v>
      </x:c>
      <x:c r="I19" s="62">
        <x:f>+'[5]Res Seasonal Weights'!I18</x:f>
        <x:v>1.772557816479239E-2</x:v>
      </x:c>
      <x:c r="J19" s="62">
        <x:f>+'[5]Res Seasonal Weights'!J18</x:f>
        <x:v>1.8215009815435231E-2</x:v>
      </x:c>
      <x:c r="K19" s="62">
        <x:f>+'[5]Res Seasonal Weights'!K18</x:f>
        <x:v>1.870255349669293E-2</x:v>
      </x:c>
      <x:c r="L19" s="62">
        <x:f>+'[5]Res Seasonal Weights'!L18</x:f>
        <x:v>1.8871371791882235E-2</x:v>
      </x:c>
      <x:c r="M19" s="62">
        <x:f>+'[5]Res Seasonal Weights'!M18</x:f>
        <x:v>1.864156652519457E-2</x:v>
      </x:c>
      <x:c r="N19" s="62">
        <x:f>+'[5]Res Seasonal Weights'!N18</x:f>
        <x:v>1.7981267285178557E-2</x:v>
      </x:c>
      <x:c r="O19" s="62">
        <x:f>+'[5]Res Seasonal Weights'!O18</x:f>
        <x:v>1.8860707086721992E-2</x:v>
      </x:c>
      <x:c r="P19" s="62">
        <x:f>+'[5]Res Seasonal Weights'!P18</x:f>
        <x:v>1.8702767125544657E-2</x:v>
      </x:c>
    </x:row>
    <x:row r="20" spans="1:16" x14ac:dyDescent="0.25">
      <x:c r="A20" s="67">
        <x:f t="shared" si="0"/>
        <x:v>9</x:v>
      </x:c>
      <x:c r="B20" t="s">
        <x:v>41</x:v>
      </x:c>
      <x:c r="C20" s="61"/>
      <x:c r="D20" s="62">
        <x:f>+'[5]Res Seasonal Weights'!D19</x:f>
        <x:v>3.9423880955649498E-2</x:v>
      </x:c>
      <x:c r="E20" s="62">
        <x:f>+'[5]Res Seasonal Weights'!E19</x:f>
        <x:v>3.909115593892766E-2</x:v>
      </x:c>
      <x:c r="F20" s="62">
        <x:f>+'[5]Res Seasonal Weights'!F19</x:f>
        <x:v>3.8490681164191784E-2</x:v>
      </x:c>
      <x:c r="G20" s="62">
        <x:f>+'[5]Res Seasonal Weights'!G19</x:f>
        <x:v>3.8257478230367799E-2</x:v>
      </x:c>
      <x:c r="H20" s="62">
        <x:f>+'[5]Res Seasonal Weights'!H19</x:f>
        <x:v>3.6702592837663937E-2</x:v>
      </x:c>
      <x:c r="I20" s="62">
        <x:f>+'[5]Res Seasonal Weights'!I19</x:f>
        <x:v>3.5932793496112343E-2</x:v>
      </x:c>
      <x:c r="J20" s="62">
        <x:f>+'[5]Res Seasonal Weights'!J19</x:f>
        <x:v>3.5399141315435735E-2</x:v>
      </x:c>
      <x:c r="K20" s="62">
        <x:f>+'[5]Res Seasonal Weights'!K19</x:f>
        <x:v>3.479533238223903E-2</x:v>
      </x:c>
      <x:c r="L20" s="62">
        <x:f>+'[5]Res Seasonal Weights'!L19</x:f>
        <x:v>3.5312793898563219E-2</x:v>
      </x:c>
      <x:c r="M20" s="62">
        <x:f>+'[5]Res Seasonal Weights'!M19</x:f>
        <x:v>3.4769055680427152E-2</x:v>
      </x:c>
      <x:c r="N20" s="62">
        <x:f>+'[5]Res Seasonal Weights'!N19</x:f>
        <x:v>3.6675807515269644E-2</x:v>
      </x:c>
      <x:c r="O20" s="62">
        <x:f>+'[5]Res Seasonal Weights'!O19</x:f>
        <x:v>3.9108907486633357E-2</x:v>
      </x:c>
      <x:c r="P20" s="62">
        <x:f>+'[5]Res Seasonal Weights'!P19</x:f>
        <x:v>3.6732626306456496E-2</x:v>
      </x:c>
    </x:row>
    <x:row r="21" spans="1:16" x14ac:dyDescent="0.25">
      <x:c r="A21" s="67">
        <x:f t="shared" si="0"/>
        <x:v>10</x:v>
      </x:c>
      <x:c r="B21" t="s">
        <x:v>42</x:v>
      </x:c>
      <x:c r="C21" s="61"/>
      <x:c r="D21" s="63">
        <x:f>+'[5]Res Seasonal Weights'!D20</x:f>
        <x:v>3.8781533186017139E-2</x:v>
      </x:c>
      <x:c r="E21" s="63">
        <x:f>+'[5]Res Seasonal Weights'!E20</x:f>
        <x:v>3.6488074906214515E-2</x:v>
      </x:c>
      <x:c r="F21" s="63">
        <x:f>+'[5]Res Seasonal Weights'!F20</x:f>
        <x:v>3.7751548041618704E-2</x:v>
      </x:c>
      <x:c r="G21" s="63">
        <x:f>+'[5]Res Seasonal Weights'!G20</x:f>
        <x:v>4.4824917603070412E-2</x:v>
      </x:c>
      <x:c r="H21" s="63">
        <x:f>+'[5]Res Seasonal Weights'!H20</x:f>
        <x:v>4.9415580192666397E-2</x:v>
      </x:c>
      <x:c r="I21" s="63">
        <x:f>+'[5]Res Seasonal Weights'!I20</x:f>
        <x:v>4.9661948356020107E-2</x:v>
      </x:c>
      <x:c r="J21" s="63">
        <x:f>+'[5]Res Seasonal Weights'!J20</x:f>
        <x:v>4.6927387679995769E-2</x:v>
      </x:c>
      <x:c r="K21" s="63">
        <x:f>+'[5]Res Seasonal Weights'!K20</x:f>
        <x:v>4.5564923226480307E-2</x:v>
      </x:c>
      <x:c r="L21" s="63">
        <x:f>+'[5]Res Seasonal Weights'!L20</x:f>
        <x:v>4.7071100897038629E-2</x:v>
      </x:c>
      <x:c r="M21" s="63">
        <x:f>+'[5]Res Seasonal Weights'!M20</x:f>
        <x:v>4.8655688267850807E-2</x:v>
      </x:c>
      <x:c r="N21" s="63">
        <x:f>+'[5]Res Seasonal Weights'!N20</x:f>
        <x:v>4.766479319425105E-2</x:v>
      </x:c>
      <x:c r="O21" s="63">
        <x:f>+'[5]Res Seasonal Weights'!O20</x:f>
        <x:v>4.1687432180904899E-2</x:v>
      </x:c>
      <x:c r="P21" s="63">
        <x:f>+'[5]Res Seasonal Weights'!P20</x:f>
        <x:v>4.46197881253707E-2</x:v>
      </x:c>
    </x:row>
    <x:row r="22" spans="1:16" x14ac:dyDescent="0.25">
      <x:c r="A22" s="67">
        <x:f t="shared" si="0"/>
        <x:v>11</x:v>
      </x:c>
      <x:c r="C22" s="61"/>
      <x:c r="D22" s="64">
        <x:f t="shared" ref="D22:P22" si="1">SUM(D12:D21)</x:f>
        <x:v>0.99999999999999989</x:v>
      </x:c>
      <x:c r="E22" s="64">
        <x:f t="shared" si="1"/>
        <x:v>1</x:v>
      </x:c>
      <x:c r="F22" s="64">
        <x:f t="shared" si="1"/>
        <x:v>1</x:v>
      </x:c>
      <x:c r="G22" s="64">
        <x:f t="shared" si="1"/>
        <x:v>1.0000000000000002</x:v>
      </x:c>
      <x:c r="H22" s="64">
        <x:f t="shared" si="1"/>
        <x:v>1</x:v>
      </x:c>
      <x:c r="I22" s="64">
        <x:f t="shared" si="1"/>
        <x:v>1</x:v>
      </x:c>
      <x:c r="J22" s="64">
        <x:f t="shared" si="1"/>
        <x:v>1</x:v>
      </x:c>
      <x:c r="K22" s="64">
        <x:f t="shared" si="1"/>
        <x:v>1</x:v>
      </x:c>
      <x:c r="L22" s="64">
        <x:f t="shared" si="1"/>
        <x:v>0.99999999999999989</x:v>
      </x:c>
      <x:c r="M22" s="64">
        <x:f t="shared" si="1"/>
        <x:v>1.0000000000000002</x:v>
      </x:c>
      <x:c r="N22" s="64">
        <x:f t="shared" si="1"/>
        <x:v>0.99999999999999989</x:v>
      </x:c>
      <x:c r="O22" s="64">
        <x:f t="shared" si="1"/>
        <x:v>1</x:v>
      </x:c>
      <x:c r="P22" s="64">
        <x:f t="shared" si="1"/>
        <x:v>1</x:v>
      </x:c>
    </x:row>
    <x:row r="23" spans="1:16" x14ac:dyDescent="0.25">
      <x:c r="A23" s="67">
        <x:f t="shared" si="0"/>
        <x:v>12</x:v>
      </x:c>
    </x:row>
    <x:row r="24" spans="1:16" ht="15.5" x14ac:dyDescent="0.35">
      <x:c r="A24" s="67">
        <x:f t="shared" si="0"/>
        <x:v>13</x:v>
      </x:c>
      <x:c r="D24" s="226" t="s">
        <x:v>97</x:v>
      </x:c>
      <x:c r="E24" s="227"/>
      <x:c r="F24" s="228"/>
      <x:c r="G24" s="4"/>
      <x:c r="H24" s="4"/>
      <x:c r="I24" s="51"/>
      <x:c r="J24" s="51"/>
    </x:row>
    <x:row r="25" spans="1:16" x14ac:dyDescent="0.25">
      <x:c r="A25" s="67">
        <x:f t="shared" si="0"/>
        <x:v>14</x:v>
      </x:c>
      <x:c r="D25" s="55" t="s">
        <x:v>56</x:v>
      </x:c>
      <x:c r="F25" s="55" t="s">
        <x:v>57</x:v>
      </x:c>
    </x:row>
    <x:row r="26" spans="1:16" x14ac:dyDescent="0.25">
      <x:c r="A26" s="67">
        <x:f t="shared" si="0"/>
        <x:v>15</x:v>
      </x:c>
      <x:c r="B26" s="68" t="s">
        <x:v>68</x:v>
      </x:c>
      <x:c r="D26" s="99" t="s">
        <x:v>58</x:v>
      </x:c>
      <x:c r="F26" s="99" t="s">
        <x:v>59</x:v>
      </x:c>
    </x:row>
    <x:row r="27" spans="1:16" x14ac:dyDescent="0.25">
      <x:c r="A27" s="67">
        <x:f t="shared" si="0"/>
        <x:v>16</x:v>
      </x:c>
      <x:c r="B27" s="55" t="s">
        <x:v>33</x:v>
      </x:c>
      <x:c r="D27" s="125">
        <x:f>ROUND(AVERAGE(D12:F12,N12:O12),3)</x:f>
        <x:v>0.68600000000000005</x:v>
      </x:c>
      <x:c r="E27" s="126"/>
      <x:c r="F27" s="125">
        <x:f>ROUND(AVERAGE(H12:L12),3)</x:f>
        <x:v>0.70199999999999996</x:v>
      </x:c>
    </x:row>
    <x:row r="28" spans="1:16" x14ac:dyDescent="0.25">
      <x:c r="A28" s="67">
        <x:f t="shared" si="0"/>
        <x:v>17</x:v>
      </x:c>
      <x:c r="B28" s="55" t="s">
        <x:v>34</x:v>
      </x:c>
      <x:c r="D28" s="125">
        <x:f t="shared" ref="D28:D36" si="2">ROUND(AVERAGE(D13:F13,N13:O13),3)</x:f>
        <x:v>5.6000000000000001E-2</x:v>
      </x:c>
      <x:c r="E28" s="126"/>
      <x:c r="F28" s="125">
        <x:f t="shared" ref="F28:F36" si="3">ROUND(AVERAGE(H13:L13),3)</x:f>
        <x:v>5.3999999999999999E-2</x:v>
      </x:c>
    </x:row>
    <x:row r="29" spans="1:16" x14ac:dyDescent="0.25">
      <x:c r="A29" s="67">
        <x:f t="shared" si="0"/>
        <x:v>18</x:v>
      </x:c>
      <x:c r="B29" s="55" t="s">
        <x:v>35</x:v>
      </x:c>
      <x:c r="D29" s="125">
        <x:f t="shared" si="2"/>
        <x:v>2.8000000000000001E-2</x:v>
      </x:c>
      <x:c r="E29" s="126"/>
      <x:c r="F29" s="125">
        <x:f t="shared" si="3"/>
        <x:v>2.5999999999999999E-2</x:v>
      </x:c>
    </x:row>
    <x:row r="30" spans="1:16" x14ac:dyDescent="0.25">
      <x:c r="A30" s="67">
        <x:f t="shared" si="0"/>
        <x:v>19</x:v>
      </x:c>
      <x:c r="B30" s="55" t="s">
        <x:v>36</x:v>
      </x:c>
      <x:c r="D30" s="125">
        <x:f t="shared" si="2"/>
        <x:v>1.4E-2</x:v>
      </x:c>
      <x:c r="E30" s="126"/>
      <x:c r="F30" s="125">
        <x:f t="shared" si="3"/>
        <x:v>1.2E-2</x:v>
      </x:c>
    </x:row>
    <x:row r="31" spans="1:16" x14ac:dyDescent="0.25">
      <x:c r="A31" s="67">
        <x:f t="shared" si="0"/>
        <x:v>20</x:v>
      </x:c>
      <x:c r="B31" s="55" t="s">
        <x:v>37</x:v>
      </x:c>
      <x:c r="D31" s="125">
        <x:f t="shared" si="2"/>
        <x:v>2.7E-2</x:v>
      </x:c>
      <x:c r="E31" s="126"/>
      <x:c r="F31" s="125">
        <x:f t="shared" si="3"/>
        <x:v>2.3E-2</x:v>
      </x:c>
    </x:row>
    <x:row r="32" spans="1:16" x14ac:dyDescent="0.25">
      <x:c r="A32" s="67">
        <x:f t="shared" si="0"/>
        <x:v>21</x:v>
      </x:c>
      <x:c r="B32" s="55" t="s">
        <x:v>38</x:v>
      </x:c>
      <x:c r="D32" s="125">
        <x:f t="shared" si="2"/>
        <x:v>5.1999999999999998E-2</x:v>
      </x:c>
      <x:c r="E32" s="126"/>
      <x:c r="F32" s="125">
        <x:f t="shared" si="3"/>
        <x:v>4.5999999999999999E-2</x:v>
      </x:c>
    </x:row>
    <x:row r="33" spans="1:6" x14ac:dyDescent="0.25">
      <x:c r="A33" s="67">
        <x:f t="shared" si="0"/>
        <x:v>22</x:v>
      </x:c>
      <x:c r="B33" s="55" t="s">
        <x:v>39</x:v>
      </x:c>
      <x:c r="D33" s="125">
        <x:f t="shared" si="2"/>
        <x:v>3.9E-2</x:v>
      </x:c>
      <x:c r="E33" s="126"/>
      <x:c r="F33" s="125">
        <x:f t="shared" si="3"/>
        <x:v>3.5999999999999997E-2</x:v>
      </x:c>
    </x:row>
    <x:row r="34" spans="1:6" x14ac:dyDescent="0.25">
      <x:c r="A34" s="67">
        <x:f t="shared" si="0"/>
        <x:v>23</x:v>
      </x:c>
      <x:c r="B34" s="55" t="s">
        <x:v>40</x:v>
      </x:c>
      <x:c r="D34" s="125">
        <x:f t="shared" si="2"/>
        <x:v>1.9E-2</x:v>
      </x:c>
      <x:c r="E34" s="126"/>
      <x:c r="F34" s="125">
        <x:f t="shared" si="3"/>
        <x:v>1.7999999999999999E-2</x:v>
      </x:c>
    </x:row>
    <x:row r="35" spans="1:6" x14ac:dyDescent="0.25">
      <x:c r="A35" s="67">
        <x:f t="shared" si="0"/>
        <x:v>24</x:v>
      </x:c>
      <x:c r="B35" s="55" t="s">
        <x:v>41</x:v>
      </x:c>
      <x:c r="D35" s="125">
        <x:f t="shared" si="2"/>
        <x:v>3.9E-2</x:v>
      </x:c>
      <x:c r="E35" s="126"/>
      <x:c r="F35" s="125">
        <x:f t="shared" si="3"/>
        <x:v>3.5999999999999997E-2</x:v>
      </x:c>
    </x:row>
    <x:row r="36" spans="1:6" x14ac:dyDescent="0.25">
      <x:c r="A36" s="67">
        <x:f t="shared" si="0"/>
        <x:v>25</x:v>
      </x:c>
      <x:c r="B36" s="55" t="s">
        <x:v>42</x:v>
      </x:c>
      <x:c r="D36" s="125">
        <x:f t="shared" si="2"/>
        <x:v>0.04</x:v>
      </x:c>
      <x:c r="E36" s="128"/>
      <x:c r="F36" s="125">
        <x:f t="shared" si="3"/>
        <x:v>4.8000000000000001E-2</x:v>
      </x:c>
    </x:row>
    <x:row r="37" spans="1:6" x14ac:dyDescent="0.25">
      <x:c r="A37" s="67">
        <x:f t="shared" si="0"/>
        <x:v>26</x:v>
      </x:c>
      <x:c r="D37" s="65">
        <x:f>AVERAGE(D22:F22,N22:O22)</x:f>
        <x:v>1</x:v>
      </x:c>
      <x:c r="E37" s="124"/>
      <x:c r="F37" s="65">
        <x:f>AVERAGE(H22:L22)</x:f>
        <x:v>1</x:v>
      </x:c>
    </x:row>
  </x:sheetData>
  <x:mergeCells count="9">
    <x:mergeCell ref="B6:P6"/>
    <x:mergeCell ref="D24:F24"/>
    <x:mergeCell ref="B5:F5"/>
    <x:mergeCell ref="B1:P1"/>
    <x:mergeCell ref="B2:P2"/>
    <x:mergeCell ref="B3:P3"/>
    <x:mergeCell ref="B4:P4"/>
    <x:mergeCell ref="B9:P9"/>
    <x:mergeCell ref="B8:P8"/>
  </x:mergeCells>
  <x:phoneticPr fontId="10" type="noConversion"/>
  <x:printOptions horizontalCentered="1"/>
  <x:pageMargins left="1.5" right="0.5" top="1.5" bottom="1" header="1" footer="0.5"/>
  <x:pageSetup scale="56" firstPageNumber="3" orientation="portrait" r:id="rId1"/>
  <x:headerFooter alignWithMargins="0">
    <x:oddHeader>&amp;RSchedule II-H-5.2
Page &amp;P of 37</x:oddHeader>
  </x:headerFooter>
  <x:drawing r:id="rId2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 codeName="Sheet29">
    <x:pageSetUpPr fitToPage="1"/>
  </x:sheetPr>
  <x:dimension ref="A1:P37"/>
  <x:sheetViews>
    <x:sheetView view="pageBreakPreview" zoomScale="85" zoomScaleNormal="100" zoomScaleSheetLayoutView="100" workbookViewId="0">
      <x:pane xSplit="3" topLeftCell="D1" activePane="topRight" state="frozen"/>
      <x:selection activeCell="L21" sqref="L21"/>
      <x:selection pane="topRight"/>
    </x:sheetView>
  </x:sheetViews>
  <x:sheetFormatPr defaultColWidth="9.08984375" defaultRowHeight="12.5" x14ac:dyDescent="0.25"/>
  <x:cols>
    <x:col min="1" max="1" width="8.08984375" style="55" customWidth="1"/>
    <x:col min="2" max="2" width="16.90625" style="55" customWidth="1"/>
    <x:col min="3" max="3" width="4.453125" style="55" bestFit="1" customWidth="1"/>
    <x:col min="4" max="4" width="9.90625" style="55" bestFit="1" customWidth="1"/>
    <x:col min="5" max="13" width="9.08984375" style="55"/>
    <x:col min="14" max="14" width="9.6328125" style="55" bestFit="1" customWidth="1"/>
    <x:col min="15" max="15" width="9.08984375" style="55"/>
    <x:col min="16" max="16" width="9.54296875" style="55" bestFit="1" customWidth="1"/>
    <x:col min="17" max="16384" width="9.08984375" style="55"/>
  </x:cols>
  <x:sheetData>
    <x:row r="1" spans="1:16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212"/>
      <x:c r="N1" s="212"/>
      <x:c r="O1" s="212"/>
      <x:c r="P1" s="212"/>
    </x:row>
    <x:row r="2" spans="1:16" ht="15.5" x14ac:dyDescent="0.35">
      <x:c r="A2" s="1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  <x:c r="P2" s="212"/>
    </x:row>
    <x:row r="3" spans="1:16" ht="15.5" x14ac:dyDescent="0.35">
      <x:c r="A3" s="1"/>
      <x:c r="B3" s="229" t="str">
        <x:f>+RES!B3</x:f>
        <x:v>ADJUSTED WEATHER STATION DATA</x:v>
      </x:c>
      <x:c r="C3" s="229"/>
      <x:c r="D3" s="229"/>
      <x:c r="E3" s="229"/>
      <x:c r="F3" s="229"/>
      <x:c r="G3" s="230"/>
      <x:c r="H3" s="230"/>
      <x:c r="I3" s="230"/>
      <x:c r="J3" s="230"/>
      <x:c r="K3" s="230"/>
      <x:c r="L3" s="230"/>
      <x:c r="M3" s="230"/>
      <x:c r="N3" s="230"/>
      <x:c r="O3" s="230"/>
      <x:c r="P3" s="230"/>
    </x:row>
    <x:row r="4" spans="1:16" ht="15.5" x14ac:dyDescent="0.35">
      <x:c r="A4" s="1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  <x:c r="P4" s="212"/>
    </x:row>
    <x:row r="5" spans="1:16" ht="15.5" x14ac:dyDescent="0.35">
      <x:c r="A5" s="1"/>
      <x:c r="B5" s="209"/>
      <x:c r="C5" s="209"/>
      <x:c r="D5" s="209"/>
      <x:c r="E5" s="209"/>
      <x:c r="F5" s="209"/>
      <x:c r="G5"/>
      <x:c r="H5"/>
      <x:c r="I5" s="66"/>
      <x:c r="J5" s="66"/>
      <x:c r="K5" s="66"/>
      <x:c r="L5" s="66"/>
      <x:c r="M5" s="66"/>
      <x:c r="N5" s="66"/>
      <x:c r="O5" s="66"/>
      <x:c r="P5" s="66"/>
    </x:row>
    <x:row r="6" spans="1:16" ht="15.5" x14ac:dyDescent="0.35">
      <x:c r="A6" s="1"/>
      <x:c r="B6" s="209" t="str">
        <x:f>+RES!B6</x:f>
        <x:v>SPONSOR: D. E. NELSON</x:v>
      </x:c>
      <x:c r="C6" s="209"/>
      <x:c r="D6" s="209"/>
      <x:c r="E6" s="209"/>
      <x:c r="F6" s="209"/>
      <x:c r="G6" s="212"/>
      <x:c r="H6" s="212"/>
      <x:c r="I6" s="212"/>
      <x:c r="J6" s="212"/>
      <x:c r="K6" s="212"/>
      <x:c r="L6" s="212"/>
      <x:c r="M6" s="212"/>
      <x:c r="N6" s="212"/>
      <x:c r="O6" s="212"/>
      <x:c r="P6" s="212"/>
    </x:row>
    <x:row r="7" spans="1:16" ht="15.5" x14ac:dyDescent="0.35">
      <x:c r="A7" s="1"/>
      <x:c r="B7" s="4"/>
      <x:c r="C7" s="4"/>
      <x:c r="D7" s="4"/>
      <x:c r="E7" s="4"/>
      <x:c r="F7" s="4"/>
      <x:c r="G7" s="51"/>
      <x:c r="H7" s="51"/>
      <x:c r="I7" s="66"/>
      <x:c r="J7" s="66"/>
      <x:c r="K7" s="66"/>
      <x:c r="L7" s="66"/>
      <x:c r="M7" s="66"/>
      <x:c r="N7" s="66"/>
      <x:c r="O7" s="66"/>
      <x:c r="P7" s="66"/>
    </x:row>
    <x:row r="8" spans="1:16" ht="15.5" x14ac:dyDescent="0.35">
      <x:c r="A8" s="1"/>
      <x:c r="B8" s="229" t="s">
        <x:v>98</x:v>
      </x:c>
      <x:c r="C8" s="229"/>
      <x:c r="D8" s="229"/>
      <x:c r="E8" s="229"/>
      <x:c r="F8" s="229"/>
      <x:c r="G8" s="230"/>
      <x:c r="H8" s="230"/>
      <x:c r="I8" s="230"/>
      <x:c r="J8" s="230"/>
      <x:c r="K8" s="230"/>
      <x:c r="L8" s="230"/>
      <x:c r="M8" s="230"/>
      <x:c r="N8" s="230"/>
      <x:c r="O8" s="230"/>
      <x:c r="P8" s="230"/>
    </x:row>
    <x:row r="9" spans="1:16" ht="15.5" x14ac:dyDescent="0.35">
      <x:c r="A9" s="1"/>
      <x:c r="B9" s="229" t="s">
        <x:v>105</x:v>
      </x:c>
      <x:c r="C9" s="231"/>
      <x:c r="D9" s="231"/>
      <x:c r="E9" s="231"/>
      <x:c r="F9" s="231"/>
      <x:c r="G9" s="231"/>
      <x:c r="H9" s="231"/>
      <x:c r="I9" s="231"/>
      <x:c r="J9" s="231"/>
      <x:c r="K9" s="231"/>
      <x:c r="L9" s="231"/>
      <x:c r="M9" s="231"/>
      <x:c r="N9" s="231"/>
      <x:c r="O9" s="231"/>
      <x:c r="P9" s="231"/>
    </x:row>
    <x:row r="10" spans="1:16" x14ac:dyDescent="0.25">
      <x:c r="A10" s="1" t="s">
        <x:v>6</x:v>
      </x:c>
      <x:c r="B10" s="1" t="s">
        <x:v>9</x:v>
      </x:c>
      <x:c r="C10" s="1"/>
      <x:c r="D10" s="6" t="s">
        <x:v>10</x:v>
      </x:c>
      <x:c r="E10" s="6" t="s">
        <x:v>12</x:v>
      </x:c>
      <x:c r="F10" s="6" t="s">
        <x:v>11</x:v>
      </x:c>
      <x:c r="G10" s="6" t="s">
        <x:v>53</x:v>
      </x:c>
      <x:c r="H10" s="6" t="s">
        <x:v>54</x:v>
      </x:c>
      <x:c r="I10" s="6" t="s">
        <x:v>60</x:v>
      </x:c>
      <x:c r="J10" s="6" t="s">
        <x:v>61</x:v>
      </x:c>
      <x:c r="K10" s="6" t="s">
        <x:v>62</x:v>
      </x:c>
      <x:c r="L10" s="6" t="s">
        <x:v>63</x:v>
      </x:c>
      <x:c r="M10" s="6" t="s">
        <x:v>64</x:v>
      </x:c>
      <x:c r="N10" s="6" t="s">
        <x:v>65</x:v>
      </x:c>
      <x:c r="O10" s="6" t="s">
        <x:v>66</x:v>
      </x:c>
      <x:c r="P10" s="6" t="s">
        <x:v>67</x:v>
      </x:c>
    </x:row>
    <x:row r="11" spans="1:16" s="60" customFormat="1" x14ac:dyDescent="0.25">
      <x:c r="A11" s="5" t="s">
        <x:v>8</x:v>
      </x:c>
      <x:c r="B11" s="68" t="s">
        <x:v>68</x:v>
      </x:c>
      <x:c r="C11" s="56"/>
      <x:c r="D11" s="57">
        <x:v>36892</x:v>
      </x:c>
      <x:c r="E11" s="58">
        <x:v>36923</x:v>
      </x:c>
      <x:c r="F11" s="58">
        <x:v>36951</x:v>
      </x:c>
      <x:c r="G11" s="58">
        <x:v>36982</x:v>
      </x:c>
      <x:c r="H11" s="58">
        <x:v>37012</x:v>
      </x:c>
      <x:c r="I11" s="58">
        <x:v>37043</x:v>
      </x:c>
      <x:c r="J11" s="58">
        <x:v>37073</x:v>
      </x:c>
      <x:c r="K11" s="58">
        <x:v>37104</x:v>
      </x:c>
      <x:c r="L11" s="58">
        <x:v>37135</x:v>
      </x:c>
      <x:c r="M11" s="58">
        <x:v>37165</x:v>
      </x:c>
      <x:c r="N11" s="58">
        <x:v>37196</x:v>
      </x:c>
      <x:c r="O11" s="58">
        <x:v>37226</x:v>
      </x:c>
      <x:c r="P11" s="59" t="s">
        <x:v>4</x:v>
      </x:c>
    </x:row>
    <x:row r="12" spans="1:16" x14ac:dyDescent="0.25">
      <x:c r="A12" s="67">
        <x:v>1</x:v>
      </x:c>
      <x:c r="B12" t="s">
        <x:v>33</x:v>
      </x:c>
      <x:c r="C12" s="61"/>
      <x:c r="D12" s="62">
        <x:f>+'[6]SECLE10 Seasonal Weights'!D11</x:f>
        <x:v>0.60631763675105643</x:v>
      </x:c>
      <x:c r="E12" s="62">
        <x:f>+'[6]SECLE10 Seasonal Weights'!E11</x:f>
        <x:v>0.60485507503132019</x:v>
      </x:c>
      <x:c r="F12" s="62">
        <x:f>+'[6]SECLE10 Seasonal Weights'!F11</x:f>
        <x:v>0.60460970208499376</x:v>
      </x:c>
      <x:c r="G12" s="62">
        <x:f>+'[6]SECLE10 Seasonal Weights'!G11</x:f>
        <x:v>0.60280765348459986</x:v>
      </x:c>
      <x:c r="H12" s="62">
        <x:f>+'[6]SECLE10 Seasonal Weights'!H11</x:f>
        <x:v>0.60337616425379048</x:v>
      </x:c>
      <x:c r="I12" s="62">
        <x:f>+'[6]SECLE10 Seasonal Weights'!I11</x:f>
        <x:v>0.59700025078961783</x:v>
      </x:c>
      <x:c r="J12" s="62">
        <x:f>+'[6]SECLE10 Seasonal Weights'!J11</x:f>
        <x:v>0.59613848228413202</x:v>
      </x:c>
      <x:c r="K12" s="62">
        <x:f>+'[6]SECLE10 Seasonal Weights'!K11</x:f>
        <x:v>0.59518738416362749</x:v>
      </x:c>
      <x:c r="L12" s="62">
        <x:f>+'[6]SECLE10 Seasonal Weights'!L11</x:f>
        <x:v>0.59756749723532521</x:v>
      </x:c>
      <x:c r="M12" s="62">
        <x:f>+'[6]SECLE10 Seasonal Weights'!M11</x:f>
        <x:v>0.60494759457695813</x:v>
      </x:c>
      <x:c r="N12" s="62">
        <x:f>+'[6]SECLE10 Seasonal Weights'!N11</x:f>
        <x:v>0.61214476185009892</x:v>
      </x:c>
      <x:c r="O12" s="62">
        <x:f>+'[6]SECLE10 Seasonal Weights'!O11</x:f>
        <x:v>0.61088391131928987</x:v>
      </x:c>
      <x:c r="P12" s="62">
        <x:f>+'[6]SECLE10 Seasonal Weights'!P11</x:f>
        <x:v>0.60255887761824922</x:v>
      </x:c>
    </x:row>
    <x:row r="13" spans="1:16" x14ac:dyDescent="0.25">
      <x:c r="A13" s="67">
        <x:f>+A12+1</x:f>
        <x:v>2</x:v>
      </x:c>
      <x:c r="B13" t="s">
        <x:v>34</x:v>
      </x:c>
      <x:c r="C13" s="61"/>
      <x:c r="D13" s="62">
        <x:f>+'[6]SECLE10 Seasonal Weights'!D12</x:f>
        <x:v>0.11211139824766524</x:v>
      </x:c>
      <x:c r="E13" s="62">
        <x:f>+'[6]SECLE10 Seasonal Weights'!E12</x:f>
        <x:v>0.11172604819759736</x:v>
      </x:c>
      <x:c r="F13" s="62">
        <x:f>+'[6]SECLE10 Seasonal Weights'!F12</x:f>
        <x:v>0.11212655040965562</x:v>
      </x:c>
      <x:c r="G13" s="62">
        <x:f>+'[6]SECLE10 Seasonal Weights'!G12</x:f>
        <x:v>0.12336185036092086</x:v>
      </x:c>
      <x:c r="H13" s="62">
        <x:f>+'[6]SECLE10 Seasonal Weights'!H12</x:f>
        <x:v>0.12386739528048679</x:v>
      </x:c>
      <x:c r="I13" s="62">
        <x:f>+'[6]SECLE10 Seasonal Weights'!I12</x:f>
        <x:v>0.11785654271776759</x:v>
      </x:c>
      <x:c r="J13" s="62">
        <x:f>+'[6]SECLE10 Seasonal Weights'!J12</x:f>
        <x:v>0.11413823289874467</x:v>
      </x:c>
      <x:c r="K13" s="62">
        <x:f>+'[6]SECLE10 Seasonal Weights'!K12</x:f>
        <x:v>0.11292816188603001</x:v>
      </x:c>
      <x:c r="L13" s="62">
        <x:f>+'[6]SECLE10 Seasonal Weights'!L12</x:f>
        <x:v>0.11001301365747189</x:v>
      </x:c>
      <x:c r="M13" s="62">
        <x:f>+'[6]SECLE10 Seasonal Weights'!M12</x:f>
        <x:v>0.11013748520954314</x:v>
      </x:c>
      <x:c r="N13" s="62">
        <x:f>+'[6]SECLE10 Seasonal Weights'!N12</x:f>
        <x:v>0.11187522247469699</x:v>
      </x:c>
      <x:c r="O13" s="62">
        <x:f>+'[6]SECLE10 Seasonal Weights'!O12</x:f>
        <x:v>0.11371362377151893</x:v>
      </x:c>
      <x:c r="P13" s="62">
        <x:f>+'[6]SECLE10 Seasonal Weights'!P12</x:f>
        <x:v>0.11425923125024925</x:v>
      </x:c>
    </x:row>
    <x:row r="14" spans="1:16" x14ac:dyDescent="0.25">
      <x:c r="A14" s="67">
        <x:f t="shared" ref="A14:A37" si="0">+A13+1</x:f>
        <x:v>3</x:v>
      </x:c>
      <x:c r="B14" t="s">
        <x:v>35</x:v>
      </x:c>
      <x:c r="C14" s="61"/>
      <x:c r="D14" s="62">
        <x:f>+'[6]SECLE10 Seasonal Weights'!D13</x:f>
        <x:v>3.7556334932318296E-2</x:v>
      </x:c>
      <x:c r="E14" s="62">
        <x:f>+'[6]SECLE10 Seasonal Weights'!E13</x:f>
        <x:v>3.7497686862381238E-2</x:v>
      </x:c>
      <x:c r="F14" s="62">
        <x:f>+'[6]SECLE10 Seasonal Weights'!F13</x:f>
        <x:v>3.6935945923099088E-2</x:v>
      </x:c>
      <x:c r="G14" s="62">
        <x:f>+'[6]SECLE10 Seasonal Weights'!G13</x:f>
        <x:v>3.6137236264927486E-2</x:v>
      </x:c>
      <x:c r="H14" s="62">
        <x:f>+'[6]SECLE10 Seasonal Weights'!H13</x:f>
        <x:v>3.6277941585311016E-2</x:v>
      </x:c>
      <x:c r="I14" s="62">
        <x:f>+'[6]SECLE10 Seasonal Weights'!I13</x:f>
        <x:v>3.9078404865155569E-2</x:v>
      </x:c>
      <x:c r="J14" s="62">
        <x:f>+'[6]SECLE10 Seasonal Weights'!J13</x:f>
        <x:v>4.0342750117798962E-2</x:v>
      </x:c>
      <x:c r="K14" s="62">
        <x:f>+'[6]SECLE10 Seasonal Weights'!K13</x:f>
        <x:v>4.0149354079989555E-2</x:v>
      </x:c>
      <x:c r="L14" s="62">
        <x:f>+'[6]SECLE10 Seasonal Weights'!L13</x:f>
        <x:v>3.9807812852192662E-2</x:v>
      </x:c>
      <x:c r="M14" s="62">
        <x:f>+'[6]SECLE10 Seasonal Weights'!M13</x:f>
        <x:v>3.7713752139246576E-2</x:v>
      </x:c>
      <x:c r="N14" s="62">
        <x:f>+'[6]SECLE10 Seasonal Weights'!N13</x:f>
        <x:v>3.6220673355172428E-2</x:v>
      </x:c>
      <x:c r="O14" s="62">
        <x:f>+'[6]SECLE10 Seasonal Weights'!O13</x:f>
        <x:v>3.5538804194578416E-2</x:v>
      </x:c>
      <x:c r="P14" s="62">
        <x:f>+'[6]SECLE10 Seasonal Weights'!P13</x:f>
        <x:v>3.7926077537585569E-2</x:v>
      </x:c>
    </x:row>
    <x:row r="15" spans="1:16" x14ac:dyDescent="0.25">
      <x:c r="A15" s="67">
        <x:f t="shared" si="0"/>
        <x:v>4</x:v>
      </x:c>
      <x:c r="B15" t="s">
        <x:v>36</x:v>
      </x:c>
      <x:c r="C15" s="61"/>
      <x:c r="D15" s="62">
        <x:f>+'[6]SECLE10 Seasonal Weights'!D14</x:f>
        <x:v>3.0589785663713769E-2</x:v>
      </x:c>
      <x:c r="E15" s="62">
        <x:f>+'[6]SECLE10 Seasonal Weights'!E14</x:f>
        <x:v>3.053103601829631E-2</x:v>
      </x:c>
      <x:c r="F15" s="62">
        <x:f>+'[6]SECLE10 Seasonal Weights'!F14</x:f>
        <x:v>2.9988424110348112E-2</x:v>
      </x:c>
      <x:c r="G15" s="62">
        <x:f>+'[6]SECLE10 Seasonal Weights'!G14</x:f>
        <x:v>3.0028297564538255E-2</x:v>
      </x:c>
      <x:c r="H15" s="62">
        <x:f>+'[6]SECLE10 Seasonal Weights'!H14</x:f>
        <x:v>3.0323989346676662E-2</x:v>
      </x:c>
      <x:c r="I15" s="62">
        <x:f>+'[6]SECLE10 Seasonal Weights'!I14</x:f>
        <x:v>3.0509949681892856E-2</x:v>
      </x:c>
      <x:c r="J15" s="62">
        <x:f>+'[6]SECLE10 Seasonal Weights'!J14</x:f>
        <x:v>3.0718328867845073E-2</x:v>
      </x:c>
      <x:c r="K15" s="62">
        <x:f>+'[6]SECLE10 Seasonal Weights'!K14</x:f>
        <x:v>3.1108172435877247E-2</x:v>
      </x:c>
      <x:c r="L15" s="62">
        <x:f>+'[6]SECLE10 Seasonal Weights'!L14</x:f>
        <x:v>3.0522701569424871E-2</x:v>
      </x:c>
      <x:c r="M15" s="62">
        <x:f>+'[6]SECLE10 Seasonal Weights'!M14</x:f>
        <x:v>2.9283470023338889E-2</x:v>
      </x:c>
      <x:c r="N15" s="62">
        <x:f>+'[6]SECLE10 Seasonal Weights'!N14</x:f>
        <x:v>2.9153196302856448E-2</x:v>
      </x:c>
      <x:c r="O15" s="62">
        <x:f>+'[6]SECLE10 Seasonal Weights'!O14</x:f>
        <x:v>3.0387256774067256E-2</x:v>
      </x:c>
      <x:c r="P15" s="62">
        <x:f>+'[6]SECLE10 Seasonal Weights'!P14</x:f>
        <x:v>3.0297823767149273E-2</x:v>
      </x:c>
    </x:row>
    <x:row r="16" spans="1:16" x14ac:dyDescent="0.25">
      <x:c r="A16" s="67">
        <x:f t="shared" si="0"/>
        <x:v>5</x:v>
      </x:c>
      <x:c r="B16" t="s">
        <x:v>37</x:v>
      </x:c>
      <x:c r="C16" s="61"/>
      <x:c r="D16" s="62">
        <x:f>+'[6]SECLE10 Seasonal Weights'!D15</x:f>
        <x:v>3.3861676425837317E-2</x:v>
      </x:c>
      <x:c r="E16" s="62">
        <x:f>+'[6]SECLE10 Seasonal Weights'!E15</x:f>
        <x:v>3.4526089121181748E-2</x:v>
      </x:c>
      <x:c r="F16" s="62">
        <x:f>+'[6]SECLE10 Seasonal Weights'!F15</x:f>
        <x:v>3.4599877058067489E-2</x:v>
      </x:c>
      <x:c r="G16" s="62">
        <x:f>+'[6]SECLE10 Seasonal Weights'!G15</x:f>
        <x:v>3.1665281739852669E-2</x:v>
      </x:c>
      <x:c r="H16" s="62">
        <x:f>+'[6]SECLE10 Seasonal Weights'!H15</x:f>
        <x:v>3.0254307687325715E-2</x:v>
      </x:c>
      <x:c r="I16" s="62">
        <x:f>+'[6]SECLE10 Seasonal Weights'!I15</x:f>
        <x:v>3.1986424794759376E-2</x:v>
      </x:c>
      <x:c r="J16" s="62">
        <x:f>+'[6]SECLE10 Seasonal Weights'!J15</x:f>
        <x:v>3.3943007304904849E-2</x:v>
      </x:c>
      <x:c r="K16" s="62">
        <x:f>+'[6]SECLE10 Seasonal Weights'!K15</x:f>
        <x:v>3.4954883944220153E-2</x:v>
      </x:c>
      <x:c r="L16" s="62">
        <x:f>+'[6]SECLE10 Seasonal Weights'!L15</x:f>
        <x:v>3.4489189640571516E-2</x:v>
      </x:c>
      <x:c r="M16" s="62">
        <x:f>+'[6]SECLE10 Seasonal Weights'!M15</x:f>
        <x:v>3.2845469351477183E-2</x:v>
      </x:c>
      <x:c r="N16" s="62">
        <x:f>+'[6]SECLE10 Seasonal Weights'!N15</x:f>
        <x:v>3.0969900141781588E-2</x:v>
      </x:c>
      <x:c r="O16" s="62">
        <x:f>+'[6]SECLE10 Seasonal Weights'!O15</x:f>
        <x:v>3.220493112961418E-2</x:v>
      </x:c>
      <x:c r="P16" s="62">
        <x:f>+'[6]SECLE10 Seasonal Weights'!P15</x:f>
        <x:v>3.316278199625744E-2</x:v>
      </x:c>
    </x:row>
    <x:row r="17" spans="1:16" x14ac:dyDescent="0.25">
      <x:c r="A17" s="67">
        <x:f t="shared" si="0"/>
        <x:v>6</x:v>
      </x:c>
      <x:c r="B17" t="s">
        <x:v>38</x:v>
      </x:c>
      <x:c r="C17" s="61"/>
      <x:c r="D17" s="62">
        <x:f>+'[6]SECLE10 Seasonal Weights'!D16</x:f>
        <x:v>3.3968350645160517E-2</x:v>
      </x:c>
      <x:c r="E17" s="62">
        <x:f>+'[6]SECLE10 Seasonal Weights'!E16</x:f>
        <x:v>3.402837726853028E-2</x:v>
      </x:c>
      <x:c r="F17" s="62">
        <x:f>+'[6]SECLE10 Seasonal Weights'!F16</x:f>
        <x:v>3.4024712498580002E-2</x:v>
      </x:c>
      <x:c r="G17" s="62">
        <x:f>+'[6]SECLE10 Seasonal Weights'!G16</x:f>
        <x:v>3.316846811659678E-2</x:v>
      </x:c>
      <x:c r="H17" s="62">
        <x:f>+'[6]SECLE10 Seasonal Weights'!H16</x:f>
        <x:v>3.338852880815734E-2</x:v>
      </x:c>
      <x:c r="I17" s="62">
        <x:f>+'[6]SECLE10 Seasonal Weights'!I16</x:f>
        <x:v>3.4541827509752737E-2</x:v>
      </x:c>
      <x:c r="J17" s="62">
        <x:f>+'[6]SECLE10 Seasonal Weights'!J16</x:f>
        <x:v>3.4227023125712956E-2</x:v>
      </x:c>
      <x:c r="K17" s="62">
        <x:f>+'[6]SECLE10 Seasonal Weights'!K16</x:f>
        <x:v>3.4011856956618847E-2</x:v>
      </x:c>
      <x:c r="L17" s="62">
        <x:f>+'[6]SECLE10 Seasonal Weights'!L16</x:f>
        <x:v>3.4337198508276864E-2</x:v>
      </x:c>
      <x:c r="M17" s="62">
        <x:f>+'[6]SECLE10 Seasonal Weights'!M16</x:f>
        <x:v>3.4496539444362713E-2</x:v>
      </x:c>
      <x:c r="N17" s="62">
        <x:f>+'[6]SECLE10 Seasonal Weights'!N16</x:f>
        <x:v>3.408495545851048E-2</x:v>
      </x:c>
      <x:c r="O17" s="62">
        <x:f>+'[6]SECLE10 Seasonal Weights'!O16</x:f>
        <x:v>3.326217277604903E-2</x:v>
      </x:c>
      <x:c r="P17" s="62">
        <x:f>+'[6]SECLE10 Seasonal Weights'!P16</x:f>
        <x:v>3.3986110412089363E-2</x:v>
      </x:c>
    </x:row>
    <x:row r="18" spans="1:16" x14ac:dyDescent="0.25">
      <x:c r="A18" s="67">
        <x:f t="shared" si="0"/>
        <x:v>7</x:v>
      </x:c>
      <x:c r="B18" t="s">
        <x:v>39</x:v>
      </x:c>
      <x:c r="C18" s="61"/>
      <x:c r="D18" s="62">
        <x:f>+'[6]SECLE10 Seasonal Weights'!D17</x:f>
        <x:v>3.7977053252361753E-2</x:v>
      </x:c>
      <x:c r="E18" s="62">
        <x:f>+'[6]SECLE10 Seasonal Weights'!E17</x:f>
        <x:v>3.8574120952493442E-2</x:v>
      </x:c>
      <x:c r="F18" s="62">
        <x:f>+'[6]SECLE10 Seasonal Weights'!F17</x:f>
        <x:v>3.9576558502147974E-2</x:v>
      </x:c>
      <x:c r="G18" s="62">
        <x:f>+'[6]SECLE10 Seasonal Weights'!G17</x:f>
        <x:v>3.826633852725695E-2</x:v>
      </x:c>
      <x:c r="H18" s="62">
        <x:f>+'[6]SECLE10 Seasonal Weights'!H17</x:f>
        <x:v>3.8454320317319095E-2</x:v>
      </x:c>
      <x:c r="I18" s="62">
        <x:f>+'[6]SECLE10 Seasonal Weights'!I17</x:f>
        <x:v>3.9871657464477302E-2</x:v>
      </x:c>
      <x:c r="J18" s="62">
        <x:f>+'[6]SECLE10 Seasonal Weights'!J17</x:f>
        <x:v>4.0043584901599948E-2</x:v>
      </x:c>
      <x:c r="K18" s="62">
        <x:f>+'[6]SECLE10 Seasonal Weights'!K17</x:f>
        <x:v>4.0468926351154899E-2</x:v>
      </x:c>
      <x:c r="L18" s="62">
        <x:f>+'[6]SECLE10 Seasonal Weights'!L17</x:f>
        <x:v>4.0881566885098669E-2</x:v>
      </x:c>
      <x:c r="M18" s="62">
        <x:f>+'[6]SECLE10 Seasonal Weights'!M17</x:f>
        <x:v>4.0792727004481617E-2</x:v>
      </x:c>
      <x:c r="N18" s="62">
        <x:f>+'[6]SECLE10 Seasonal Weights'!N17</x:f>
        <x:v>3.874420357003338E-2</x:v>
      </x:c>
      <x:c r="O18" s="62">
        <x:f>+'[6]SECLE10 Seasonal Weights'!O17</x:f>
        <x:v>3.7780159006582541E-2</x:v>
      </x:c>
      <x:c r="P18" s="62">
        <x:f>+'[6]SECLE10 Seasonal Weights'!P17</x:f>
        <x:v>3.9364896910199676E-2</x:v>
      </x:c>
    </x:row>
    <x:row r="19" spans="1:16" x14ac:dyDescent="0.25">
      <x:c r="A19" s="67">
        <x:f t="shared" si="0"/>
        <x:v>8</x:v>
      </x:c>
      <x:c r="B19" t="s">
        <x:v>40</x:v>
      </x:c>
      <x:c r="C19" s="61"/>
      <x:c r="D19" s="62">
        <x:f>+'[6]SECLE10 Seasonal Weights'!D18</x:f>
        <x:v>2.6233138941935477E-2</x:v>
      </x:c>
      <x:c r="E19" s="62">
        <x:f>+'[6]SECLE10 Seasonal Weights'!E18</x:f>
        <x:v>2.6527988278213715E-2</x:v>
      </x:c>
      <x:c r="F19" s="62">
        <x:f>+'[6]SECLE10 Seasonal Weights'!F18</x:f>
        <x:v>2.666857827414483E-2</x:v>
      </x:c>
      <x:c r="G19" s="62">
        <x:f>+'[6]SECLE10 Seasonal Weights'!G18</x:f>
        <x:v>2.5400783273956548E-2</x:v>
      </x:c>
      <x:c r="H19" s="62">
        <x:f>+'[6]SECLE10 Seasonal Weights'!H18</x:f>
        <x:v>2.4870817686238077E-2</x:v>
      </x:c>
      <x:c r="I19" s="62">
        <x:f>+'[6]SECLE10 Seasonal Weights'!I18</x:f>
        <x:v>2.5716841619003089E-2</x:v>
      </x:c>
      <x:c r="J19" s="62">
        <x:f>+'[6]SECLE10 Seasonal Weights'!J18</x:f>
        <x:v>2.6554727761105196E-2</x:v>
      </x:c>
      <x:c r="K19" s="62">
        <x:f>+'[6]SECLE10 Seasonal Weights'!K18</x:f>
        <x:v>2.6995407490631899E-2</x:v>
      </x:c>
      <x:c r="L19" s="62">
        <x:f>+'[6]SECLE10 Seasonal Weights'!L18</x:f>
        <x:v>2.7019370725138544E-2</x:v>
      </x:c>
      <x:c r="M19" s="62">
        <x:f>+'[6]SECLE10 Seasonal Weights'!M18</x:f>
        <x:v>2.6035773877085593E-2</x:v>
      </x:c>
      <x:c r="N19" s="62">
        <x:f>+'[6]SECLE10 Seasonal Weights'!N18</x:f>
        <x:v>2.5289616346485057E-2</x:v>
      </x:c>
      <x:c r="O19" s="62">
        <x:f>+'[6]SECLE10 Seasonal Weights'!O18</x:f>
        <x:v>2.6217312243205556E-2</x:v>
      </x:c>
      <x:c r="P19" s="62">
        <x:f>+'[6]SECLE10 Seasonal Weights'!P18</x:f>
        <x:v>2.618679009806401E-2</x:v>
      </x:c>
    </x:row>
    <x:row r="20" spans="1:16" x14ac:dyDescent="0.25">
      <x:c r="A20" s="67">
        <x:f t="shared" si="0"/>
        <x:v>9</x:v>
      </x:c>
      <x:c r="B20" t="s">
        <x:v>41</x:v>
      </x:c>
      <x:c r="C20" s="61"/>
      <x:c r="D20" s="62">
        <x:f>+'[6]SECLE10 Seasonal Weights'!D19</x:f>
        <x:v>4.5358046559505476E-2</x:v>
      </x:c>
      <x:c r="E20" s="62">
        <x:f>+'[6]SECLE10 Seasonal Weights'!E19</x:f>
        <x:v>4.5467921433293507E-2</x:v>
      </x:c>
      <x:c r="F20" s="62">
        <x:f>+'[6]SECLE10 Seasonal Weights'!F19</x:f>
        <x:v>4.5160495570626569E-2</x:v>
      </x:c>
      <x:c r="G20" s="62">
        <x:f>+'[6]SECLE10 Seasonal Weights'!G19</x:f>
        <x:v>4.3078721338414075E-2</x:v>
      </x:c>
      <x:c r="H20" s="62">
        <x:f>+'[6]SECLE10 Seasonal Weights'!H19</x:f>
        <x:v>4.2952912695716307E-2</x:v>
      </x:c>
      <x:c r="I20" s="62">
        <x:f>+'[6]SECLE10 Seasonal Weights'!I19</x:f>
        <x:v>4.6200073666187565E-2</x:v>
      </x:c>
      <x:c r="J20" s="62">
        <x:f>+'[6]SECLE10 Seasonal Weights'!J19</x:f>
        <x:v>4.8026967378939113E-2</x:v>
      </x:c>
      <x:c r="K20" s="62">
        <x:f>+'[6]SECLE10 Seasonal Weights'!K19</x:f>
        <x:v>4.8641870495055715E-2</x:v>
      </x:c>
      <x:c r="L20" s="62">
        <x:f>+'[6]SECLE10 Seasonal Weights'!L19</x:f>
        <x:v>4.8737763655642898E-2</x:v>
      </x:c>
      <x:c r="M20" s="62">
        <x:f>+'[6]SECLE10 Seasonal Weights'!M19</x:f>
        <x:v>4.6526464898755053E-2</x:v>
      </x:c>
      <x:c r="N20" s="62">
        <x:f>+'[6]SECLE10 Seasonal Weights'!N19</x:f>
        <x:v>4.4194238003343003E-2</x:v>
      </x:c>
      <x:c r="O20" s="62">
        <x:f>+'[6]SECLE10 Seasonal Weights'!O19</x:f>
        <x:v>4.3588418949970717E-2</x:v>
      </x:c>
      <x:c r="P20" s="62">
        <x:f>+'[6]SECLE10 Seasonal Weights'!P19</x:f>
        <x:v>4.5854267933733824E-2</x:v>
      </x:c>
    </x:row>
    <x:row r="21" spans="1:16" x14ac:dyDescent="0.25">
      <x:c r="A21" s="67">
        <x:f t="shared" si="0"/>
        <x:v>10</x:v>
      </x:c>
      <x:c r="B21" t="s">
        <x:v>42</x:v>
      </x:c>
      <x:c r="C21" s="61"/>
      <x:c r="D21" s="62">
        <x:f>+'[6]SECLE10 Seasonal Weights'!D20</x:f>
        <x:v>3.6026578580445778E-2</x:v>
      </x:c>
      <x:c r="E21" s="62">
        <x:f>+'[6]SECLE10 Seasonal Weights'!E20</x:f>
        <x:v>3.6265656836692278E-2</x:v>
      </x:c>
      <x:c r="F21" s="62">
        <x:f>+'[6]SECLE10 Seasonal Weights'!F20</x:f>
        <x:v>3.6309155568336617E-2</x:v>
      </x:c>
      <x:c r="G21" s="62">
        <x:f>+'[6]SECLE10 Seasonal Weights'!G20</x:f>
        <x:v>3.6085369328936523E-2</x:v>
      </x:c>
      <x:c r="H21" s="62">
        <x:f>+'[6]SECLE10 Seasonal Weights'!H20</x:f>
        <x:v>3.6233622338978463E-2</x:v>
      </x:c>
      <x:c r="I21" s="62">
        <x:f>+'[6]SECLE10 Seasonal Weights'!I20</x:f>
        <x:v>3.7238026891385945E-2</x:v>
      </x:c>
      <x:c r="J21" s="62">
        <x:f>+'[6]SECLE10 Seasonal Weights'!J20</x:f>
        <x:v>3.5866895359217298E-2</x:v>
      </x:c>
      <x:c r="K21" s="62">
        <x:f>+'[6]SECLE10 Seasonal Weights'!K20</x:f>
        <x:v>3.5553982196794238E-2</x:v>
      </x:c>
      <x:c r="L21" s="62">
        <x:f>+'[6]SECLE10 Seasonal Weights'!L20</x:f>
        <x:v>3.6623885270856908E-2</x:v>
      </x:c>
      <x:c r="M21" s="62">
        <x:f>+'[6]SECLE10 Seasonal Weights'!M20</x:f>
        <x:v>3.7220723474750965E-2</x:v>
      </x:c>
      <x:c r="N21" s="62">
        <x:f>+'[6]SECLE10 Seasonal Weights'!N20</x:f>
        <x:v>3.7323232497021741E-2</x:v>
      </x:c>
      <x:c r="O21" s="62">
        <x:f>+'[6]SECLE10 Seasonal Weights'!O20</x:f>
        <x:v>3.6423409835123377E-2</x:v>
      </x:c>
      <x:c r="P21" s="62">
        <x:f>+'[6]SECLE10 Seasonal Weights'!P20</x:f>
        <x:v>3.6403142476422325E-2</x:v>
      </x:c>
    </x:row>
    <x:row r="22" spans="1:16" x14ac:dyDescent="0.25">
      <x:c r="A22" s="67">
        <x:f t="shared" si="0"/>
        <x:v>11</x:v>
      </x:c>
      <x:c r="C22" s="61"/>
      <x:c r="D22" s="122">
        <x:f t="shared" ref="D22:P22" si="1">SUM(D12:D21)</x:f>
        <x:v>1</x:v>
      </x:c>
      <x:c r="E22" s="122">
        <x:f t="shared" si="1"/>
        <x:v>0.99999999999999989</x:v>
      </x:c>
      <x:c r="F22" s="122">
        <x:f t="shared" si="1"/>
        <x:v>0.99999999999999978</x:v>
      </x:c>
      <x:c r="G22" s="122">
        <x:f t="shared" si="1"/>
        <x:v>1</x:v>
      </x:c>
      <x:c r="H22" s="122">
        <x:f t="shared" si="1"/>
        <x:v>1</x:v>
      </x:c>
      <x:c r="I22" s="122">
        <x:f t="shared" si="1"/>
        <x:v>1</x:v>
      </x:c>
      <x:c r="J22" s="122">
        <x:f t="shared" si="1"/>
        <x:v>1.0000000000000002</x:v>
      </x:c>
      <x:c r="K22" s="122">
        <x:f t="shared" si="1"/>
        <x:v>1</x:v>
      </x:c>
      <x:c r="L22" s="122">
        <x:f t="shared" si="1"/>
        <x:v>0.99999999999999989</x:v>
      </x:c>
      <x:c r="M22" s="122">
        <x:f t="shared" si="1"/>
        <x:v>0.99999999999999967</x:v>
      </x:c>
      <x:c r="N22" s="122">
        <x:f t="shared" si="1"/>
        <x:v>1</x:v>
      </x:c>
      <x:c r="O22" s="122">
        <x:f t="shared" si="1"/>
        <x:v>0.99999999999999989</x:v>
      </x:c>
      <x:c r="P22" s="122">
        <x:f t="shared" si="1"/>
        <x:v>0.99999999999999989</x:v>
      </x:c>
    </x:row>
    <x:row r="23" spans="1:16" x14ac:dyDescent="0.25">
      <x:c r="A23" s="67">
        <x:f t="shared" si="0"/>
        <x:v>12</x:v>
      </x:c>
    </x:row>
    <x:row r="24" spans="1:16" ht="15.5" x14ac:dyDescent="0.35">
      <x:c r="A24" s="67">
        <x:f t="shared" si="0"/>
        <x:v>13</x:v>
      </x:c>
      <x:c r="D24" s="226" t="s">
        <x:v>97</x:v>
      </x:c>
      <x:c r="E24" s="227"/>
      <x:c r="F24" s="228"/>
      <x:c r="G24" s="4"/>
      <x:c r="H24" s="4"/>
      <x:c r="I24" s="51"/>
      <x:c r="J24" s="51"/>
    </x:row>
    <x:row r="25" spans="1:16" x14ac:dyDescent="0.25">
      <x:c r="A25" s="67">
        <x:f t="shared" si="0"/>
        <x:v>14</x:v>
      </x:c>
      <x:c r="D25" s="55" t="s">
        <x:v>56</x:v>
      </x:c>
      <x:c r="F25" s="55" t="s">
        <x:v>57</x:v>
      </x:c>
    </x:row>
    <x:row r="26" spans="1:16" x14ac:dyDescent="0.25">
      <x:c r="A26" s="67">
        <x:f t="shared" si="0"/>
        <x:v>15</x:v>
      </x:c>
      <x:c r="B26" s="68" t="s">
        <x:v>68</x:v>
      </x:c>
      <x:c r="D26" s="99" t="s">
        <x:v>58</x:v>
      </x:c>
      <x:c r="F26" s="99" t="s">
        <x:v>59</x:v>
      </x:c>
    </x:row>
    <x:row r="27" spans="1:16" x14ac:dyDescent="0.25">
      <x:c r="A27" s="67">
        <x:f t="shared" si="0"/>
        <x:v>16</x:v>
      </x:c>
      <x:c r="B27" s="55" t="s">
        <x:v>33</x:v>
      </x:c>
      <x:c r="D27" s="125">
        <x:f>ROUND(AVERAGE(D12:F12,N12:O12),3)</x:f>
        <x:v>0.60799999999999998</x:v>
      </x:c>
      <x:c r="E27" s="126"/>
      <x:c r="F27" s="125">
        <x:f>ROUND(AVERAGE(H12:L12),3)</x:f>
        <x:v>0.59799999999999998</x:v>
      </x:c>
    </x:row>
    <x:row r="28" spans="1:16" x14ac:dyDescent="0.25">
      <x:c r="A28" s="67">
        <x:f t="shared" si="0"/>
        <x:v>17</x:v>
      </x:c>
      <x:c r="B28" s="55" t="s">
        <x:v>34</x:v>
      </x:c>
      <x:c r="D28" s="125">
        <x:f t="shared" ref="D28:D36" si="2">ROUND(AVERAGE(D13:F13,N13:O13),3)</x:f>
        <x:v>0.112</x:v>
      </x:c>
      <x:c r="E28" s="126"/>
      <x:c r="F28" s="125">
        <x:f t="shared" ref="F28:F36" si="3">ROUND(AVERAGE(H13:L13),3)</x:f>
        <x:v>0.11600000000000001</x:v>
      </x:c>
    </x:row>
    <x:row r="29" spans="1:16" x14ac:dyDescent="0.25">
      <x:c r="A29" s="67">
        <x:f t="shared" si="0"/>
        <x:v>18</x:v>
      </x:c>
      <x:c r="B29" s="55" t="s">
        <x:v>35</x:v>
      </x:c>
      <x:c r="D29" s="125">
        <x:f t="shared" si="2"/>
        <x:v>3.6999999999999998E-2</x:v>
      </x:c>
      <x:c r="E29" s="126"/>
      <x:c r="F29" s="125">
        <x:f t="shared" si="3"/>
        <x:v>3.9E-2</x:v>
      </x:c>
    </x:row>
    <x:row r="30" spans="1:16" x14ac:dyDescent="0.25">
      <x:c r="A30" s="67">
        <x:f t="shared" si="0"/>
        <x:v>19</x:v>
      </x:c>
      <x:c r="B30" s="55" t="s">
        <x:v>36</x:v>
      </x:c>
      <x:c r="D30" s="125">
        <x:f t="shared" si="2"/>
        <x:v>0.03</x:v>
      </x:c>
      <x:c r="E30" s="126"/>
      <x:c r="F30" s="125">
        <x:f t="shared" si="3"/>
        <x:v>3.1E-2</x:v>
      </x:c>
    </x:row>
    <x:row r="31" spans="1:16" x14ac:dyDescent="0.25">
      <x:c r="A31" s="67">
        <x:f t="shared" si="0"/>
        <x:v>20</x:v>
      </x:c>
      <x:c r="B31" s="55" t="s">
        <x:v>37</x:v>
      </x:c>
      <x:c r="D31" s="125">
        <x:f t="shared" si="2"/>
        <x:v>3.3000000000000002E-2</x:v>
      </x:c>
      <x:c r="E31" s="126"/>
      <x:c r="F31" s="125">
        <x:f t="shared" si="3"/>
        <x:v>3.3000000000000002E-2</x:v>
      </x:c>
    </x:row>
    <x:row r="32" spans="1:16" x14ac:dyDescent="0.25">
      <x:c r="A32" s="67">
        <x:f t="shared" si="0"/>
        <x:v>21</x:v>
      </x:c>
      <x:c r="B32" s="55" t="s">
        <x:v>38</x:v>
      </x:c>
      <x:c r="D32" s="125">
        <x:f t="shared" si="2"/>
        <x:v>3.4000000000000002E-2</x:v>
      </x:c>
      <x:c r="E32" s="126"/>
      <x:c r="F32" s="125">
        <x:f t="shared" si="3"/>
        <x:v>3.4000000000000002E-2</x:v>
      </x:c>
    </x:row>
    <x:row r="33" spans="1:6" x14ac:dyDescent="0.25">
      <x:c r="A33" s="67">
        <x:f t="shared" si="0"/>
        <x:v>22</x:v>
      </x:c>
      <x:c r="B33" s="55" t="s">
        <x:v>39</x:v>
      </x:c>
      <x:c r="D33" s="125">
        <x:f t="shared" si="2"/>
        <x:v>3.9E-2</x:v>
      </x:c>
      <x:c r="E33" s="126"/>
      <x:c r="F33" s="125">
        <x:f t="shared" si="3"/>
        <x:v>0.04</x:v>
      </x:c>
    </x:row>
    <x:row r="34" spans="1:6" x14ac:dyDescent="0.25">
      <x:c r="A34" s="67">
        <x:f t="shared" si="0"/>
        <x:v>23</x:v>
      </x:c>
      <x:c r="B34" s="55" t="s">
        <x:v>40</x:v>
      </x:c>
      <x:c r="D34" s="125">
        <x:f t="shared" si="2"/>
        <x:v>2.5999999999999999E-2</x:v>
      </x:c>
      <x:c r="E34" s="126"/>
      <x:c r="F34" s="125">
        <x:f t="shared" si="3"/>
        <x:v>2.5999999999999999E-2</x:v>
      </x:c>
    </x:row>
    <x:row r="35" spans="1:6" x14ac:dyDescent="0.25">
      <x:c r="A35" s="67">
        <x:f t="shared" si="0"/>
        <x:v>24</x:v>
      </x:c>
      <x:c r="B35" s="55" t="s">
        <x:v>41</x:v>
      </x:c>
      <x:c r="D35" s="125">
        <x:f t="shared" si="2"/>
        <x:v>4.4999999999999998E-2</x:v>
      </x:c>
      <x:c r="E35" s="126"/>
      <x:c r="F35" s="125">
        <x:f t="shared" si="3"/>
        <x:v>4.7E-2</x:v>
      </x:c>
    </x:row>
    <x:row r="36" spans="1:6" x14ac:dyDescent="0.25">
      <x:c r="A36" s="67">
        <x:f t="shared" si="0"/>
        <x:v>25</x:v>
      </x:c>
      <x:c r="B36" s="55" t="s">
        <x:v>42</x:v>
      </x:c>
      <x:c r="D36" s="125">
        <x:f t="shared" si="2"/>
        <x:v>3.5999999999999997E-2</x:v>
      </x:c>
      <x:c r="E36" s="127"/>
      <x:c r="F36" s="125">
        <x:f t="shared" si="3"/>
        <x:v>3.5999999999999997E-2</x:v>
      </x:c>
    </x:row>
    <x:row r="37" spans="1:6" x14ac:dyDescent="0.25">
      <x:c r="A37" s="67">
        <x:f t="shared" si="0"/>
        <x:v>26</x:v>
      </x:c>
      <x:c r="D37" s="123">
        <x:f>AVERAGE(D22:F22,N22:O22)</x:f>
        <x:v>1</x:v>
      </x:c>
      <x:c r="E37" s="124"/>
      <x:c r="F37" s="123">
        <x:f>AVERAGE(H22:L22)</x:f>
        <x:v>1</x:v>
      </x:c>
    </x:row>
  </x:sheetData>
  <x:mergeCells count="9">
    <x:mergeCell ref="B9:P9"/>
    <x:mergeCell ref="D24:F24"/>
    <x:mergeCell ref="B1:P1"/>
    <x:mergeCell ref="B2:P2"/>
    <x:mergeCell ref="B3:P3"/>
    <x:mergeCell ref="B4:P4"/>
    <x:mergeCell ref="B5:F5"/>
    <x:mergeCell ref="B6:P6"/>
    <x:mergeCell ref="B8:P8"/>
  </x:mergeCells>
  <x:printOptions horizontalCentered="1"/>
  <x:pageMargins left="1.5" right="0.5" top="1.5" bottom="1" header="1" footer="0.5"/>
  <x:pageSetup scale="56" firstPageNumber="3" orientation="portrait" r:id="rId1"/>
  <x:headerFooter alignWithMargins="0">
    <x:oddHeader>&amp;RSchedule II-H-5.2
Page &amp;P of 37</x:oddHeader>
  </x:headerFooter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 codeName="Sheet30">
    <x:pageSetUpPr fitToPage="1"/>
  </x:sheetPr>
  <x:dimension ref="A1:P37"/>
  <x:sheetViews>
    <x:sheetView view="pageBreakPreview" zoomScale="85" zoomScaleNormal="100" zoomScaleSheetLayoutView="100" workbookViewId="0">
      <x:pane xSplit="3" topLeftCell="D1" activePane="topRight" state="frozen"/>
      <x:selection activeCell="L21" sqref="L21"/>
      <x:selection pane="topRight"/>
    </x:sheetView>
  </x:sheetViews>
  <x:sheetFormatPr defaultColWidth="9.08984375" defaultRowHeight="12.5" x14ac:dyDescent="0.25"/>
  <x:cols>
    <x:col min="1" max="1" width="8.08984375" style="55" customWidth="1"/>
    <x:col min="2" max="2" width="16.90625" style="55" customWidth="1"/>
    <x:col min="3" max="3" width="4.453125" style="55" bestFit="1" customWidth="1"/>
    <x:col min="4" max="4" width="9.90625" style="55" bestFit="1" customWidth="1"/>
    <x:col min="5" max="13" width="9.08984375" style="55"/>
    <x:col min="14" max="14" width="9.6328125" style="55" bestFit="1" customWidth="1"/>
    <x:col min="15" max="15" width="9.08984375" style="55"/>
    <x:col min="16" max="16" width="9.54296875" style="55" bestFit="1" customWidth="1"/>
    <x:col min="17" max="16384" width="9.08984375" style="55"/>
  </x:cols>
  <x:sheetData>
    <x:row r="1" spans="1:16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212"/>
      <x:c r="N1" s="212"/>
      <x:c r="O1" s="212"/>
      <x:c r="P1" s="212"/>
    </x:row>
    <x:row r="2" spans="1:16" ht="15.5" x14ac:dyDescent="0.35">
      <x:c r="A2" s="1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  <x:c r="P2" s="212"/>
    </x:row>
    <x:row r="3" spans="1:16" ht="15.5" x14ac:dyDescent="0.35">
      <x:c r="A3" s="1"/>
      <x:c r="B3" s="229" t="str">
        <x:f>+RES!B3</x:f>
        <x:v>ADJUSTED WEATHER STATION DATA</x:v>
      </x:c>
      <x:c r="C3" s="229"/>
      <x:c r="D3" s="229"/>
      <x:c r="E3" s="229"/>
      <x:c r="F3" s="229"/>
      <x:c r="G3" s="230"/>
      <x:c r="H3" s="230"/>
      <x:c r="I3" s="230"/>
      <x:c r="J3" s="230"/>
      <x:c r="K3" s="230"/>
      <x:c r="L3" s="230"/>
      <x:c r="M3" s="230"/>
      <x:c r="N3" s="230"/>
      <x:c r="O3" s="230"/>
      <x:c r="P3" s="230"/>
    </x:row>
    <x:row r="4" spans="1:16" ht="15.5" x14ac:dyDescent="0.35">
      <x:c r="A4" s="1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  <x:c r="P4" s="212"/>
    </x:row>
    <x:row r="5" spans="1:16" ht="15.5" x14ac:dyDescent="0.35">
      <x:c r="A5" s="1"/>
      <x:c r="B5" s="209"/>
      <x:c r="C5" s="209"/>
      <x:c r="D5" s="209"/>
      <x:c r="E5" s="209"/>
      <x:c r="F5" s="209"/>
      <x:c r="G5"/>
      <x:c r="H5"/>
      <x:c r="I5" s="66"/>
      <x:c r="J5" s="66"/>
      <x:c r="K5" s="66"/>
      <x:c r="L5" s="66"/>
      <x:c r="M5" s="66"/>
      <x:c r="N5" s="66"/>
      <x:c r="O5" s="66"/>
      <x:c r="P5" s="66"/>
    </x:row>
    <x:row r="6" spans="1:16" ht="15.5" x14ac:dyDescent="0.35">
      <x:c r="A6" s="1"/>
      <x:c r="B6" s="209" t="str">
        <x:f>+RES!B6</x:f>
        <x:v>SPONSOR: D. E. NELSON</x:v>
      </x:c>
      <x:c r="C6" s="209"/>
      <x:c r="D6" s="209"/>
      <x:c r="E6" s="209"/>
      <x:c r="F6" s="209"/>
      <x:c r="G6" s="212"/>
      <x:c r="H6" s="212"/>
      <x:c r="I6" s="212"/>
      <x:c r="J6" s="212"/>
      <x:c r="K6" s="212"/>
      <x:c r="L6" s="212"/>
      <x:c r="M6" s="212"/>
      <x:c r="N6" s="212"/>
      <x:c r="O6" s="212"/>
      <x:c r="P6" s="212"/>
    </x:row>
    <x:row r="7" spans="1:16" ht="15.5" x14ac:dyDescent="0.35">
      <x:c r="A7" s="1"/>
      <x:c r="B7" s="4"/>
      <x:c r="C7" s="4"/>
      <x:c r="D7" s="4"/>
      <x:c r="E7" s="4"/>
      <x:c r="F7" s="4"/>
      <x:c r="G7" s="51"/>
      <x:c r="H7" s="51"/>
      <x:c r="I7" s="66"/>
      <x:c r="J7" s="66"/>
      <x:c r="K7" s="66"/>
      <x:c r="L7" s="66"/>
      <x:c r="M7" s="66"/>
      <x:c r="N7" s="66"/>
      <x:c r="O7" s="66"/>
      <x:c r="P7" s="66"/>
    </x:row>
    <x:row r="8" spans="1:16" ht="15.5" x14ac:dyDescent="0.35">
      <x:c r="A8" s="1"/>
      <x:c r="B8" s="229" t="s">
        <x:v>98</x:v>
      </x:c>
      <x:c r="C8" s="229"/>
      <x:c r="D8" s="229"/>
      <x:c r="E8" s="229"/>
      <x:c r="F8" s="229"/>
      <x:c r="G8" s="230"/>
      <x:c r="H8" s="230"/>
      <x:c r="I8" s="230"/>
      <x:c r="J8" s="230"/>
      <x:c r="K8" s="230"/>
      <x:c r="L8" s="230"/>
      <x:c r="M8" s="230"/>
      <x:c r="N8" s="230"/>
      <x:c r="O8" s="230"/>
      <x:c r="P8" s="230"/>
    </x:row>
    <x:row r="9" spans="1:16" ht="15.5" x14ac:dyDescent="0.35">
      <x:c r="A9" s="1"/>
      <x:c r="B9" s="229" t="s">
        <x:v>106</x:v>
      </x:c>
      <x:c r="C9" s="231"/>
      <x:c r="D9" s="231"/>
      <x:c r="E9" s="231"/>
      <x:c r="F9" s="231"/>
      <x:c r="G9" s="231"/>
      <x:c r="H9" s="231"/>
      <x:c r="I9" s="231"/>
      <x:c r="J9" s="231"/>
      <x:c r="K9" s="231"/>
      <x:c r="L9" s="231"/>
      <x:c r="M9" s="231"/>
      <x:c r="N9" s="231"/>
      <x:c r="O9" s="231"/>
      <x:c r="P9" s="231"/>
    </x:row>
    <x:row r="10" spans="1:16" x14ac:dyDescent="0.25">
      <x:c r="A10" s="1" t="s">
        <x:v>6</x:v>
      </x:c>
      <x:c r="B10" s="1" t="s">
        <x:v>9</x:v>
      </x:c>
      <x:c r="C10" s="1"/>
      <x:c r="D10" s="6" t="s">
        <x:v>10</x:v>
      </x:c>
      <x:c r="E10" s="6" t="s">
        <x:v>12</x:v>
      </x:c>
      <x:c r="F10" s="6" t="s">
        <x:v>11</x:v>
      </x:c>
      <x:c r="G10" s="6" t="s">
        <x:v>53</x:v>
      </x:c>
      <x:c r="H10" s="6" t="s">
        <x:v>54</x:v>
      </x:c>
      <x:c r="I10" s="6" t="s">
        <x:v>60</x:v>
      </x:c>
      <x:c r="J10" s="6" t="s">
        <x:v>61</x:v>
      </x:c>
      <x:c r="K10" s="6" t="s">
        <x:v>62</x:v>
      </x:c>
      <x:c r="L10" s="6" t="s">
        <x:v>63</x:v>
      </x:c>
      <x:c r="M10" s="6" t="s">
        <x:v>64</x:v>
      </x:c>
      <x:c r="N10" s="6" t="s">
        <x:v>65</x:v>
      </x:c>
      <x:c r="O10" s="6" t="s">
        <x:v>66</x:v>
      </x:c>
      <x:c r="P10" s="6" t="s">
        <x:v>67</x:v>
      </x:c>
    </x:row>
    <x:row r="11" spans="1:16" s="60" customFormat="1" x14ac:dyDescent="0.25">
      <x:c r="A11" s="5" t="s">
        <x:v>8</x:v>
      </x:c>
      <x:c r="B11" s="68" t="s">
        <x:v>68</x:v>
      </x:c>
      <x:c r="C11" s="56"/>
      <x:c r="D11" s="57">
        <x:v>36892</x:v>
      </x:c>
      <x:c r="E11" s="58">
        <x:v>36923</x:v>
      </x:c>
      <x:c r="F11" s="58">
        <x:v>36951</x:v>
      </x:c>
      <x:c r="G11" s="58">
        <x:v>36982</x:v>
      </x:c>
      <x:c r="H11" s="58">
        <x:v>37012</x:v>
      </x:c>
      <x:c r="I11" s="58">
        <x:v>37043</x:v>
      </x:c>
      <x:c r="J11" s="58">
        <x:v>37073</x:v>
      </x:c>
      <x:c r="K11" s="58">
        <x:v>37104</x:v>
      </x:c>
      <x:c r="L11" s="58">
        <x:v>37135</x:v>
      </x:c>
      <x:c r="M11" s="58">
        <x:v>37165</x:v>
      </x:c>
      <x:c r="N11" s="58">
        <x:v>37196</x:v>
      </x:c>
      <x:c r="O11" s="58">
        <x:v>37226</x:v>
      </x:c>
      <x:c r="P11" s="59" t="s">
        <x:v>4</x:v>
      </x:c>
    </x:row>
    <x:row r="12" spans="1:16" x14ac:dyDescent="0.25">
      <x:c r="A12" s="67">
        <x:v>1</x:v>
      </x:c>
      <x:c r="B12" t="s">
        <x:v>33</x:v>
      </x:c>
      <x:c r="C12" s="61"/>
      <x:c r="D12" s="62">
        <x:f>+'[7]SECGT10 Seasonal Weights'!D11</x:f>
        <x:v>0.73809943092901531</x:v>
      </x:c>
      <x:c r="E12" s="62">
        <x:f>+'[7]SECGT10 Seasonal Weights'!E11</x:f>
        <x:v>0.73645071511989402</x:v>
      </x:c>
      <x:c r="F12" s="62">
        <x:f>+'[7]SECGT10 Seasonal Weights'!F11</x:f>
        <x:v>0.73448838413479556</x:v>
      </x:c>
      <x:c r="G12" s="62">
        <x:f>+'[7]SECGT10 Seasonal Weights'!G11</x:f>
        <x:v>0.73282169058918323</x:v>
      </x:c>
      <x:c r="H12" s="62">
        <x:f>+'[7]SECGT10 Seasonal Weights'!H11</x:f>
        <x:v>0.73368948694883729</x:v>
      </x:c>
      <x:c r="I12" s="62">
        <x:f>+'[7]SECGT10 Seasonal Weights'!I11</x:f>
        <x:v>0.74044528944262489</x:v>
      </x:c>
      <x:c r="J12" s="62">
        <x:f>+'[7]SECGT10 Seasonal Weights'!J11</x:f>
        <x:v>0.73692629126830611</x:v>
      </x:c>
      <x:c r="K12" s="62">
        <x:f>+'[7]SECGT10 Seasonal Weights'!K11</x:f>
        <x:v>0.73888794170637828</x:v>
      </x:c>
      <x:c r="L12" s="62">
        <x:f>+'[7]SECGT10 Seasonal Weights'!L11</x:f>
        <x:v>0.73884176981578431</x:v>
      </x:c>
      <x:c r="M12" s="62">
        <x:f>+'[7]SECGT10 Seasonal Weights'!M11</x:f>
        <x:v>0.73947753986129694</x:v>
      </x:c>
      <x:c r="N12" s="62">
        <x:f>+'[7]SECGT10 Seasonal Weights'!N11</x:f>
        <x:v>0.73647134878853027</x:v>
      </x:c>
      <x:c r="O12" s="62">
        <x:f>+'[7]SECGT10 Seasonal Weights'!O11</x:f>
        <x:v>0.73448081327189696</x:v>
      </x:c>
      <x:c r="P12" s="62">
        <x:f>+'[7]SECGT10 Seasonal Weights'!P11</x:f>
        <x:v>0.73696442987694355</x:v>
      </x:c>
    </x:row>
    <x:row r="13" spans="1:16" x14ac:dyDescent="0.25">
      <x:c r="A13" s="67">
        <x:f>+A12+1</x:f>
        <x:v>2</x:v>
      </x:c>
      <x:c r="B13" t="s">
        <x:v>34</x:v>
      </x:c>
      <x:c r="C13" s="61"/>
      <x:c r="D13" s="62">
        <x:f>+'[7]SECGT10 Seasonal Weights'!D12</x:f>
        <x:v>7.2014840229198518E-2</x:v>
      </x:c>
      <x:c r="E13" s="62">
        <x:f>+'[7]SECGT10 Seasonal Weights'!E12</x:f>
        <x:v>7.3220001476724875E-2</x:v>
      </x:c>
      <x:c r="F13" s="62">
        <x:f>+'[7]SECGT10 Seasonal Weights'!F12</x:f>
        <x:v>7.316659889328625E-2</x:v>
      </x:c>
      <x:c r="G13" s="62">
        <x:f>+'[7]SECGT10 Seasonal Weights'!G12</x:f>
        <x:v>7.5845117343970675E-2</x:v>
      </x:c>
      <x:c r="H13" s="62">
        <x:f>+'[7]SECGT10 Seasonal Weights'!H12</x:f>
        <x:v>7.2564184915924521E-2</x:v>
      </x:c>
      <x:c r="I13" s="62">
        <x:f>+'[7]SECGT10 Seasonal Weights'!I12</x:f>
        <x:v>6.6924378778714891E-2</x:v>
      </x:c>
      <x:c r="J13" s="62">
        <x:f>+'[7]SECGT10 Seasonal Weights'!J12</x:f>
        <x:v>6.7407717971516609E-2</x:v>
      </x:c>
      <x:c r="K13" s="62">
        <x:f>+'[7]SECGT10 Seasonal Weights'!K12</x:f>
        <x:v>6.5742486964662727E-2</x:v>
      </x:c>
      <x:c r="L13" s="62">
        <x:f>+'[7]SECGT10 Seasonal Weights'!L12</x:f>
        <x:v>6.3500729766719805E-2</x:v>
      </x:c>
      <x:c r="M13" s="62">
        <x:f>+'[7]SECGT10 Seasonal Weights'!M12</x:f>
        <x:v>6.4205886008692301E-2</x:v>
      </x:c>
      <x:c r="N13" s="62">
        <x:f>+'[7]SECGT10 Seasonal Weights'!N12</x:f>
        <x:v>7.02211101088311E-2</x:v>
      </x:c>
      <x:c r="O13" s="62">
        <x:f>+'[7]SECGT10 Seasonal Weights'!O12</x:f>
        <x:v>7.4220093785135263E-2</x:v>
      </x:c>
      <x:c r="P13" s="62">
        <x:f>+'[7]SECGT10 Seasonal Weights'!P12</x:f>
        <x:v>6.9427565754597548E-2</x:v>
      </x:c>
    </x:row>
    <x:row r="14" spans="1:16" x14ac:dyDescent="0.25">
      <x:c r="A14" s="67">
        <x:f t="shared" ref="A14:A37" si="0">+A13+1</x:f>
        <x:v>3</x:v>
      </x:c>
      <x:c r="B14" t="s">
        <x:v>35</x:v>
      </x:c>
      <x:c r="C14" s="61"/>
      <x:c r="D14" s="62">
        <x:f>+'[7]SECGT10 Seasonal Weights'!D13</x:f>
        <x:v>2.3933488712172098E-2</x:v>
      </x:c>
      <x:c r="E14" s="62">
        <x:f>+'[7]SECGT10 Seasonal Weights'!E13</x:f>
        <x:v>2.4018641096813204E-2</x:v>
      </x:c>
      <x:c r="F14" s="62">
        <x:f>+'[7]SECGT10 Seasonal Weights'!F13</x:f>
        <x:v>2.4026880651734188E-2</x:v>
      </x:c>
      <x:c r="G14" s="62">
        <x:f>+'[7]SECGT10 Seasonal Weights'!G13</x:f>
        <x:v>2.4485182057289959E-2</x:v>
      </x:c>
      <x:c r="H14" s="62">
        <x:f>+'[7]SECGT10 Seasonal Weights'!H13</x:f>
        <x:v>2.4836226984065062E-2</x:v>
      </x:c>
      <x:c r="I14" s="62">
        <x:f>+'[7]SECGT10 Seasonal Weights'!I13</x:f>
        <x:v>2.5214532241033111E-2</x:v>
      </x:c>
      <x:c r="J14" s="62">
        <x:f>+'[7]SECGT10 Seasonal Weights'!J13</x:f>
        <x:v>2.4974872091860615E-2</x:v>
      </x:c>
      <x:c r="K14" s="62">
        <x:f>+'[7]SECGT10 Seasonal Weights'!K13</x:f>
        <x:v>2.4737832009825645E-2</x:v>
      </x:c>
      <x:c r="L14" s="62">
        <x:f>+'[7]SECGT10 Seasonal Weights'!L13</x:f>
        <x:v>2.4839112610876297E-2</x:v>
      </x:c>
      <x:c r="M14" s="62">
        <x:f>+'[7]SECGT10 Seasonal Weights'!M13</x:f>
        <x:v>2.4524929251933728E-2</x:v>
      </x:c>
      <x:c r="N14" s="62">
        <x:f>+'[7]SECGT10 Seasonal Weights'!N13</x:f>
        <x:v>2.442241981725193E-2</x:v>
      </x:c>
      <x:c r="O14" s="62">
        <x:f>+'[7]SECGT10 Seasonal Weights'!O13</x:f>
        <x:v>2.395186673810273E-2</x:v>
      </x:c>
      <x:c r="P14" s="62">
        <x:f>+'[7]SECGT10 Seasonal Weights'!P13</x:f>
        <x:v>2.4535470427255159E-2</x:v>
      </x:c>
    </x:row>
    <x:row r="15" spans="1:16" x14ac:dyDescent="0.25">
      <x:c r="A15" s="67">
        <x:f t="shared" si="0"/>
        <x:v>4</x:v>
      </x:c>
      <x:c r="B15" t="s">
        <x:v>36</x:v>
      </x:c>
      <x:c r="C15" s="61"/>
      <x:c r="D15" s="62">
        <x:f>+'[7]SECGT10 Seasonal Weights'!D14</x:f>
        <x:v>1.0887982336084163E-2</x:v>
      </x:c>
      <x:c r="E15" s="62">
        <x:f>+'[7]SECGT10 Seasonal Weights'!E14</x:f>
        <x:v>1.1136679837599027E-2</x:v>
      </x:c>
      <x:c r="F15" s="62">
        <x:f>+'[7]SECGT10 Seasonal Weights'!F14</x:f>
        <x:v>1.084455315957167E-2</x:v>
      </x:c>
      <x:c r="G15" s="62">
        <x:f>+'[7]SECGT10 Seasonal Weights'!G14</x:f>
        <x:v>1.070708197585064E-2</x:v>
      </x:c>
      <x:c r="H15" s="62">
        <x:f>+'[7]SECGT10 Seasonal Weights'!H14</x:f>
        <x:v>1.0641905336907126E-2</x:v>
      </x:c>
      <x:c r="I15" s="62">
        <x:f>+'[7]SECGT10 Seasonal Weights'!I14</x:f>
        <x:v>6.8244114454428517E-3</x:v>
      </x:c>
      <x:c r="J15" s="62">
        <x:f>+'[7]SECGT10 Seasonal Weights'!J14</x:f>
        <x:v>1.09319882274189E-2</x:v>
      </x:c>
      <x:c r="K15" s="62">
        <x:f>+'[7]SECGT10 Seasonal Weights'!K14</x:f>
        <x:v>1.0987608059593324E-2</x:v>
      </x:c>
      <x:c r="L15" s="62">
        <x:f>+'[7]SECGT10 Seasonal Weights'!L14</x:f>
        <x:v>1.0850571894827047E-2</x:v>
      </x:c>
      <x:c r="M15" s="62">
        <x:f>+'[7]SECGT10 Seasonal Weights'!M14</x:f>
        <x:v>1.0172650666657949E-2</x:v>
      </x:c>
      <x:c r="N15" s="62">
        <x:f>+'[7]SECGT10 Seasonal Weights'!N14</x:f>
        <x:v>9.9136218242871169E-3</x:v>
      </x:c>
      <x:c r="O15" s="62">
        <x:f>+'[7]SECGT10 Seasonal Weights'!O14</x:f>
        <x:v>1.0363100438899705E-2</x:v>
      </x:c>
      <x:c r="P15" s="62">
        <x:f>+'[7]SECGT10 Seasonal Weights'!P14</x:f>
        <x:v>1.035926476185022E-2</x:v>
      </x:c>
    </x:row>
    <x:row r="16" spans="1:16" x14ac:dyDescent="0.25">
      <x:c r="A16" s="67">
        <x:f t="shared" si="0"/>
        <x:v>5</x:v>
      </x:c>
      <x:c r="B16" t="s">
        <x:v>37</x:v>
      </x:c>
      <x:c r="C16" s="61"/>
      <x:c r="D16" s="62">
        <x:f>+'[7]SECGT10 Seasonal Weights'!D15</x:f>
        <x:v>2.3990112611091984E-2</x:v>
      </x:c>
      <x:c r="E16" s="62">
        <x:f>+'[7]SECGT10 Seasonal Weights'!E15</x:f>
        <x:v>2.4379688513279162E-2</x:v>
      </x:c>
      <x:c r="F16" s="62">
        <x:f>+'[7]SECGT10 Seasonal Weights'!F15</x:f>
        <x:v>2.4528480970382183E-2</x:v>
      </x:c>
      <x:c r="G16" s="62">
        <x:f>+'[7]SECGT10 Seasonal Weights'!G15</x:f>
        <x:v>2.3816952567037742E-2</x:v>
      </x:c>
      <x:c r="H16" s="62">
        <x:f>+'[7]SECGT10 Seasonal Weights'!H15</x:f>
        <x:v>2.3478475863500565E-2</x:v>
      </x:c>
      <x:c r="I16" s="62">
        <x:f>+'[7]SECGT10 Seasonal Weights'!I15</x:f>
        <x:v>2.3671557861787346E-2</x:v>
      </x:c>
      <x:c r="J16" s="62">
        <x:f>+'[7]SECGT10 Seasonal Weights'!J15</x:f>
        <x:v>2.3682202360007357E-2</x:v>
      </x:c>
      <x:c r="K16" s="62">
        <x:f>+'[7]SECGT10 Seasonal Weights'!K15</x:f>
        <x:v>2.3936227171450494E-2</x:v>
      </x:c>
      <x:c r="L16" s="62">
        <x:f>+'[7]SECGT10 Seasonal Weights'!L15</x:f>
        <x:v>2.4185414681479105E-2</x:v>
      </x:c>
      <x:c r="M16" s="62">
        <x:f>+'[7]SECGT10 Seasonal Weights'!M15</x:f>
        <x:v>2.4036245043013542E-2</x:v>
      </x:c>
      <x:c r="N16" s="62">
        <x:f>+'[7]SECGT10 Seasonal Weights'!N15</x:f>
        <x:v>2.3374303162362078E-2</x:v>
      </x:c>
      <x:c r="O16" s="62">
        <x:f>+'[7]SECGT10 Seasonal Weights'!O15</x:f>
        <x:v>2.410301194986475E-2</x:v>
      </x:c>
      <x:c r="P16" s="62">
        <x:f>+'[7]SECGT10 Seasonal Weights'!P15</x:f>
        <x:v>2.3929384288723821E-2</x:v>
      </x:c>
    </x:row>
    <x:row r="17" spans="1:16" x14ac:dyDescent="0.25">
      <x:c r="A17" s="67">
        <x:f t="shared" si="0"/>
        <x:v>6</x:v>
      </x:c>
      <x:c r="B17" t="s">
        <x:v>38</x:v>
      </x:c>
      <x:c r="C17" s="61"/>
      <x:c r="D17" s="62">
        <x:f>+'[7]SECGT10 Seasonal Weights'!D16</x:f>
        <x:v>2.6520175432384056E-2</x:v>
      </x:c>
      <x:c r="E17" s="62">
        <x:f>+'[7]SECGT10 Seasonal Weights'!E16</x:f>
        <x:v>2.6764592084266792E-2</x:v>
      </x:c>
      <x:c r="F17" s="62">
        <x:f>+'[7]SECGT10 Seasonal Weights'!F16</x:f>
        <x:v>2.7112215871776483E-2</x:v>
      </x:c>
      <x:c r="G17" s="62">
        <x:f>+'[7]SECGT10 Seasonal Weights'!G16</x:f>
        <x:v>2.6901610518966706E-2</x:v>
      </x:c>
      <x:c r="H17" s="62">
        <x:f>+'[7]SECGT10 Seasonal Weights'!H16</x:f>
        <x:v>2.7420974443951852E-2</x:v>
      </x:c>
      <x:c r="I17" s="62">
        <x:f>+'[7]SECGT10 Seasonal Weights'!I16</x:f>
        <x:v>2.7630763159077056E-2</x:v>
      </x:c>
      <x:c r="J17" s="62">
        <x:f>+'[7]SECGT10 Seasonal Weights'!J16</x:f>
        <x:v>2.7309359957492712E-2</x:v>
      </x:c>
      <x:c r="K17" s="62">
        <x:f>+'[7]SECGT10 Seasonal Weights'!K16</x:f>
        <x:v>2.7386463472124322E-2</x:v>
      </x:c>
      <x:c r="L17" s="62">
        <x:f>+'[7]SECGT10 Seasonal Weights'!L16</x:f>
        <x:v>2.785110177357273E-2</x:v>
      </x:c>
      <x:c r="M17" s="62">
        <x:f>+'[7]SECGT10 Seasonal Weights'!M16</x:f>
        <x:v>2.7959080576357244E-2</x:v>
      </x:c>
      <x:c r="N17" s="62">
        <x:f>+'[7]SECGT10 Seasonal Weights'!N16</x:f>
        <x:v>2.7611926270005117E-2</x:v>
      </x:c>
      <x:c r="O17" s="62">
        <x:f>+'[7]SECGT10 Seasonal Weights'!O16</x:f>
        <x:v>2.717412835600826E-2</x:v>
      </x:c>
      <x:c r="P17" s="62">
        <x:f>+'[7]SECGT10 Seasonal Weights'!P16</x:f>
        <x:v>2.7336566813513572E-2</x:v>
      </x:c>
    </x:row>
    <x:row r="18" spans="1:16" x14ac:dyDescent="0.25">
      <x:c r="A18" s="67">
        <x:f t="shared" si="0"/>
        <x:v>7</x:v>
      </x:c>
      <x:c r="B18" t="s">
        <x:v>39</x:v>
      </x:c>
      <x:c r="C18" s="61"/>
      <x:c r="D18" s="62">
        <x:f>+'[7]SECGT10 Seasonal Weights'!D17</x:f>
        <x:v>3.1941384301448411E-2</x:v>
      </x:c>
      <x:c r="E18" s="62">
        <x:f>+'[7]SECGT10 Seasonal Weights'!E17</x:f>
        <x:v>3.1820219511938461E-2</x:v>
      </x:c>
      <x:c r="F18" s="62">
        <x:f>+'[7]SECGT10 Seasonal Weights'!F17</x:f>
        <x:v>3.2552429798929014E-2</x:v>
      </x:c>
      <x:c r="G18" s="62">
        <x:f>+'[7]SECGT10 Seasonal Weights'!G17</x:f>
        <x:v>3.2402357149272559E-2</x:v>
      </x:c>
      <x:c r="H18" s="62">
        <x:f>+'[7]SECGT10 Seasonal Weights'!H17</x:f>
        <x:v>3.3065372277019923E-2</x:v>
      </x:c>
      <x:c r="I18" s="62">
        <x:f>+'[7]SECGT10 Seasonal Weights'!I17</x:f>
        <x:v>3.3673474862453118E-2</x:v>
      </x:c>
      <x:c r="J18" s="62">
        <x:f>+'[7]SECGT10 Seasonal Weights'!J17</x:f>
        <x:v>3.3763142689966615E-2</x:v>
      </x:c>
      <x:c r="K18" s="62">
        <x:f>+'[7]SECGT10 Seasonal Weights'!K17</x:f>
        <x:v>3.3608391377179532E-2</x:v>
      </x:c>
      <x:c r="L18" s="62">
        <x:f>+'[7]SECGT10 Seasonal Weights'!L17</x:f>
        <x:v>3.4102657418309951E-2</x:v>
      </x:c>
      <x:c r="M18" s="62">
        <x:f>+'[7]SECGT10 Seasonal Weights'!M17</x:f>
        <x:v>3.4488161145752927E-2</x:v>
      </x:c>
      <x:c r="N18" s="62">
        <x:f>+'[7]SECGT10 Seasonal Weights'!N17</x:f>
        <x:v>3.3931228940917858E-2</x:v>
      </x:c>
      <x:c r="O18" s="62">
        <x:f>+'[7]SECGT10 Seasonal Weights'!O17</x:f>
        <x:v>3.2331174037767106E-2</x:v>
      </x:c>
      <x:c r="P18" s="62">
        <x:f>+'[7]SECGT10 Seasonal Weights'!P17</x:f>
        <x:v>3.3226325451440192E-2</x:v>
      </x:c>
    </x:row>
    <x:row r="19" spans="1:16" x14ac:dyDescent="0.25">
      <x:c r="A19" s="67">
        <x:f t="shared" si="0"/>
        <x:v>8</x:v>
      </x:c>
      <x:c r="B19" t="s">
        <x:v>40</x:v>
      </x:c>
      <x:c r="C19" s="61"/>
      <x:c r="D19" s="62">
        <x:f>+'[7]SECGT10 Seasonal Weights'!D18</x:f>
        <x:v>1.3696096080933627E-2</x:v>
      </x:c>
      <x:c r="E19" s="62">
        <x:f>+'[7]SECGT10 Seasonal Weights'!E18</x:f>
        <x:v>1.3998398399461336E-2</x:v>
      </x:c>
      <x:c r="F19" s="62">
        <x:f>+'[7]SECGT10 Seasonal Weights'!F18</x:f>
        <x:v>1.4241169704726119E-2</x:v>
      </x:c>
      <x:c r="G19" s="62">
        <x:f>+'[7]SECGT10 Seasonal Weights'!G18</x:f>
        <x:v>1.3631317036838245E-2</x:v>
      </x:c>
      <x:c r="H19" s="62">
        <x:f>+'[7]SECGT10 Seasonal Weights'!H18</x:f>
        <x:v>1.3768960435037947E-2</x:v>
      </x:c>
      <x:c r="I19" s="62">
        <x:f>+'[7]SECGT10 Seasonal Weights'!I18</x:f>
        <x:v>1.4131390214286945E-2</x:v>
      </x:c>
      <x:c r="J19" s="62">
        <x:f>+'[7]SECGT10 Seasonal Weights'!J18</x:f>
        <x:v>1.4487373246176946E-2</x:v>
      </x:c>
      <x:c r="K19" s="62">
        <x:f>+'[7]SECGT10 Seasonal Weights'!K18</x:f>
        <x:v>1.4722876679696921E-2</x:v>
      </x:c>
      <x:c r="L19" s="62">
        <x:f>+'[7]SECGT10 Seasonal Weights'!L18</x:f>
        <x:v>1.4827486613133016E-2</x:v>
      </x:c>
      <x:c r="M19" s="62">
        <x:f>+'[7]SECGT10 Seasonal Weights'!M18</x:f>
        <x:v>1.4575938820659183E-2</x:v>
      </x:c>
      <x:c r="N19" s="62">
        <x:f>+'[7]SECGT10 Seasonal Weights'!N18</x:f>
        <x:v>1.3881213123973796E-2</x:v>
      </x:c>
      <x:c r="O19" s="62">
        <x:f>+'[7]SECGT10 Seasonal Weights'!O18</x:f>
        <x:v>1.3748347627863044E-2</x:v>
      </x:c>
      <x:c r="P19" s="62">
        <x:f>+'[7]SECGT10 Seasonal Weights'!P18</x:f>
        <x:v>1.4193923808924723E-2</x:v>
      </x:c>
    </x:row>
    <x:row r="20" spans="1:16" x14ac:dyDescent="0.25">
      <x:c r="A20" s="67">
        <x:f t="shared" si="0"/>
        <x:v>9</x:v>
      </x:c>
      <x:c r="B20" t="s">
        <x:v>41</x:v>
      </x:c>
      <x:c r="C20" s="61"/>
      <x:c r="D20" s="62">
        <x:f>+'[7]SECGT10 Seasonal Weights'!D19</x:f>
        <x:v>3.0542201326663746E-2</x:v>
      </x:c>
      <x:c r="E20" s="62">
        <x:f>+'[7]SECGT10 Seasonal Weights'!E19</x:f>
        <x:v>3.0313625431761793E-2</x:v>
      </x:c>
      <x:c r="F20" s="62">
        <x:f>+'[7]SECGT10 Seasonal Weights'!F19</x:f>
        <x:v>3.0667348817206636E-2</x:v>
      </x:c>
      <x:c r="G20" s="62">
        <x:f>+'[7]SECGT10 Seasonal Weights'!G19</x:f>
        <x:v>3.0333630526113826E-2</x:v>
      </x:c>
      <x:c r="H20" s="62">
        <x:f>+'[7]SECGT10 Seasonal Weights'!H19</x:f>
        <x:v>3.0702554676748785E-2</x:v>
      </x:c>
      <x:c r="I20" s="62">
        <x:f>+'[7]SECGT10 Seasonal Weights'!I19</x:f>
        <x:v>3.1410057579788583E-2</x:v>
      </x:c>
      <x:c r="J20" s="62">
        <x:f>+'[7]SECGT10 Seasonal Weights'!J19</x:f>
        <x:v>3.1353177255206456E-2</x:v>
      </x:c>
      <x:c r="K20" s="62">
        <x:f>+'[7]SECGT10 Seasonal Weights'!K19</x:f>
        <x:v>3.1216790949248792E-2</x:v>
      </x:c>
      <x:c r="L20" s="62">
        <x:f>+'[7]SECGT10 Seasonal Weights'!L19</x:f>
        <x:v>3.1360314611681601E-2</x:v>
      </x:c>
      <x:c r="M20" s="62">
        <x:f>+'[7]SECGT10 Seasonal Weights'!M19</x:f>
        <x:v>3.1075127690380056E-2</x:v>
      </x:c>
      <x:c r="N20" s="62">
        <x:f>+'[7]SECGT10 Seasonal Weights'!N19</x:f>
        <x:v>3.0493313742993477E-2</x:v>
      </x:c>
      <x:c r="O20" s="62">
        <x:f>+'[7]SECGT10 Seasonal Weights'!O19</x:f>
        <x:v>3.0535065157640734E-2</x:v>
      </x:c>
      <x:c r="P20" s="62">
        <x:f>+'[7]SECGT10 Seasonal Weights'!P19</x:f>
        <x:v>3.0883103274725321E-2</x:v>
      </x:c>
    </x:row>
    <x:row r="21" spans="1:16" x14ac:dyDescent="0.25">
      <x:c r="A21" s="67">
        <x:f t="shared" si="0"/>
        <x:v>10</x:v>
      </x:c>
      <x:c r="B21" t="s">
        <x:v>42</x:v>
      </x:c>
      <x:c r="C21" s="61"/>
      <x:c r="D21" s="62">
        <x:f>+'[7]SECGT10 Seasonal Weights'!D20</x:f>
        <x:v>2.8374288041008281E-2</x:v>
      </x:c>
      <x:c r="E21" s="62">
        <x:f>+'[7]SECGT10 Seasonal Weights'!E20</x:f>
        <x:v>2.7897438528261299E-2</x:v>
      </x:c>
      <x:c r="F21" s="62">
        <x:f>+'[7]SECGT10 Seasonal Weights'!F20</x:f>
        <x:v>2.8371937997591867E-2</x:v>
      </x:c>
      <x:c r="G21" s="62">
        <x:f>+'[7]SECGT10 Seasonal Weights'!G20</x:f>
        <x:v>2.9055060235476299E-2</x:v>
      </x:c>
      <x:c r="H21" s="62">
        <x:f>+'[7]SECGT10 Seasonal Weights'!H20</x:f>
        <x:v>2.9831858118006864E-2</x:v>
      </x:c>
      <x:c r="I21" s="62">
        <x:f>+'[7]SECGT10 Seasonal Weights'!I20</x:f>
        <x:v>3.0074144414791081E-2</x:v>
      </x:c>
      <x:c r="J21" s="62">
        <x:f>+'[7]SECGT10 Seasonal Weights'!J20</x:f>
        <x:v>2.9163874932047633E-2</x:v>
      </x:c>
      <x:c r="K21" s="62">
        <x:f>+'[7]SECGT10 Seasonal Weights'!K20</x:f>
        <x:v>2.8773381609839953E-2</x:v>
      </x:c>
      <x:c r="L21" s="62">
        <x:f>+'[7]SECGT10 Seasonal Weights'!L20</x:f>
        <x:v>2.9640840813616207E-2</x:v>
      </x:c>
      <x:c r="M21" s="62">
        <x:f>+'[7]SECGT10 Seasonal Weights'!M20</x:f>
        <x:v>2.9484440935256154E-2</x:v>
      </x:c>
      <x:c r="N21" s="62">
        <x:f>+'[7]SECGT10 Seasonal Weights'!N20</x:f>
        <x:v>2.967951422084732E-2</x:v>
      </x:c>
      <x:c r="O21" s="62">
        <x:f>+'[7]SECGT10 Seasonal Weights'!O20</x:f>
        <x:v>2.90923986368215E-2</x:v>
      </x:c>
      <x:c r="P21" s="62">
        <x:f>+'[7]SECGT10 Seasonal Weights'!P20</x:f>
        <x:v>2.9143965542026116E-2</x:v>
      </x:c>
    </x:row>
    <x:row r="22" spans="1:16" x14ac:dyDescent="0.25">
      <x:c r="A22" s="67">
        <x:f t="shared" si="0"/>
        <x:v>11</x:v>
      </x:c>
      <x:c r="C22" s="61"/>
      <x:c r="D22" s="122">
        <x:f t="shared" ref="D22:P22" si="1">SUM(D12:D21)</x:f>
        <x:v>1.0000000000000002</x:v>
      </x:c>
      <x:c r="E22" s="122">
        <x:f t="shared" si="1"/>
        <x:v>1</x:v>
      </x:c>
      <x:c r="F22" s="122">
        <x:f t="shared" si="1"/>
        <x:v>1</x:v>
      </x:c>
      <x:c r="G22" s="122">
        <x:f t="shared" si="1"/>
        <x:v>1</x:v>
      </x:c>
      <x:c r="H22" s="122">
        <x:f t="shared" si="1"/>
        <x:v>0.99999999999999989</x:v>
      </x:c>
      <x:c r="I22" s="122">
        <x:f t="shared" si="1"/>
        <x:v>0.99999999999999989</x:v>
      </x:c>
      <x:c r="J22" s="122">
        <x:f t="shared" si="1"/>
        <x:v>1</x:v>
      </x:c>
      <x:c r="K22" s="122">
        <x:f t="shared" si="1"/>
        <x:v>1</x:v>
      </x:c>
      <x:c r="L22" s="122">
        <x:f t="shared" si="1"/>
        <x:v>1.0000000000000002</x:v>
      </x:c>
      <x:c r="M22" s="122">
        <x:f t="shared" si="1"/>
        <x:v>0.99999999999999989</x:v>
      </x:c>
      <x:c r="N22" s="122">
        <x:f t="shared" si="1"/>
        <x:v>1</x:v>
      </x:c>
      <x:c r="O22" s="122">
        <x:f t="shared" si="1"/>
        <x:v>0.99999999999999989</x:v>
      </x:c>
      <x:c r="P22" s="122">
        <x:f t="shared" si="1"/>
        <x:v>1.0000000000000002</x:v>
      </x:c>
    </x:row>
    <x:row r="23" spans="1:16" x14ac:dyDescent="0.25">
      <x:c r="A23" s="67">
        <x:f t="shared" si="0"/>
        <x:v>12</x:v>
      </x:c>
    </x:row>
    <x:row r="24" spans="1:16" ht="15.5" x14ac:dyDescent="0.35">
      <x:c r="A24" s="67">
        <x:f t="shared" si="0"/>
        <x:v>13</x:v>
      </x:c>
      <x:c r="D24" s="226" t="s">
        <x:v>97</x:v>
      </x:c>
      <x:c r="E24" s="227"/>
      <x:c r="F24" s="228"/>
      <x:c r="G24" s="4"/>
      <x:c r="H24" s="4"/>
      <x:c r="I24" s="51"/>
      <x:c r="J24" s="51"/>
    </x:row>
    <x:row r="25" spans="1:16" x14ac:dyDescent="0.25">
      <x:c r="A25" s="67">
        <x:f t="shared" si="0"/>
        <x:v>14</x:v>
      </x:c>
      <x:c r="D25" s="55" t="s">
        <x:v>56</x:v>
      </x:c>
      <x:c r="F25" s="55" t="s">
        <x:v>57</x:v>
      </x:c>
    </x:row>
    <x:row r="26" spans="1:16" x14ac:dyDescent="0.25">
      <x:c r="A26" s="67">
        <x:f t="shared" si="0"/>
        <x:v>15</x:v>
      </x:c>
      <x:c r="B26" s="68" t="s">
        <x:v>68</x:v>
      </x:c>
      <x:c r="D26" s="99" t="s">
        <x:v>58</x:v>
      </x:c>
      <x:c r="F26" s="99" t="s">
        <x:v>59</x:v>
      </x:c>
    </x:row>
    <x:row r="27" spans="1:16" x14ac:dyDescent="0.25">
      <x:c r="A27" s="67">
        <x:f t="shared" si="0"/>
        <x:v>16</x:v>
      </x:c>
      <x:c r="B27" s="55" t="s">
        <x:v>33</x:v>
      </x:c>
      <x:c r="D27" s="125">
        <x:f>ROUND(AVERAGE(D12:F12,N12:O12),3)</x:f>
        <x:v>0.73599999999999999</x:v>
      </x:c>
      <x:c r="E27" s="126"/>
      <x:c r="F27" s="125">
        <x:f>ROUND(AVERAGE(H12:L12),3)</x:f>
        <x:v>0.73799999999999999</x:v>
      </x:c>
    </x:row>
    <x:row r="28" spans="1:16" x14ac:dyDescent="0.25">
      <x:c r="A28" s="67">
        <x:f t="shared" si="0"/>
        <x:v>17</x:v>
      </x:c>
      <x:c r="B28" s="55" t="s">
        <x:v>34</x:v>
      </x:c>
      <x:c r="D28" s="125">
        <x:f t="shared" ref="D28:D36" si="2">ROUND(AVERAGE(D13:F13,N13:O13),3)</x:f>
        <x:v>7.2999999999999995E-2</x:v>
      </x:c>
      <x:c r="E28" s="126"/>
      <x:c r="F28" s="125">
        <x:f t="shared" ref="F28:F36" si="3">ROUND(AVERAGE(H13:L13),3)</x:f>
        <x:v>6.7000000000000004E-2</x:v>
      </x:c>
    </x:row>
    <x:row r="29" spans="1:16" x14ac:dyDescent="0.25">
      <x:c r="A29" s="67">
        <x:f t="shared" si="0"/>
        <x:v>18</x:v>
      </x:c>
      <x:c r="B29" s="55" t="s">
        <x:v>35</x:v>
      </x:c>
      <x:c r="D29" s="125">
        <x:f t="shared" si="2"/>
        <x:v>2.4E-2</x:v>
      </x:c>
      <x:c r="E29" s="126"/>
      <x:c r="F29" s="125">
        <x:f t="shared" si="3"/>
        <x:v>2.5000000000000001E-2</x:v>
      </x:c>
    </x:row>
    <x:row r="30" spans="1:16" x14ac:dyDescent="0.25">
      <x:c r="A30" s="67">
        <x:f t="shared" si="0"/>
        <x:v>19</x:v>
      </x:c>
      <x:c r="B30" s="55" t="s">
        <x:v>36</x:v>
      </x:c>
      <x:c r="D30" s="125">
        <x:f t="shared" si="2"/>
        <x:v>1.0999999999999999E-2</x:v>
      </x:c>
      <x:c r="E30" s="126"/>
      <x:c r="F30" s="125">
        <x:f t="shared" si="3"/>
        <x:v>0.01</x:v>
      </x:c>
    </x:row>
    <x:row r="31" spans="1:16" x14ac:dyDescent="0.25">
      <x:c r="A31" s="67">
        <x:f t="shared" si="0"/>
        <x:v>20</x:v>
      </x:c>
      <x:c r="B31" s="55" t="s">
        <x:v>37</x:v>
      </x:c>
      <x:c r="D31" s="125">
        <x:f t="shared" si="2"/>
        <x:v>2.4E-2</x:v>
      </x:c>
      <x:c r="E31" s="126"/>
      <x:c r="F31" s="125">
        <x:f t="shared" si="3"/>
        <x:v>2.4E-2</x:v>
      </x:c>
    </x:row>
    <x:row r="32" spans="1:16" x14ac:dyDescent="0.25">
      <x:c r="A32" s="67">
        <x:f t="shared" si="0"/>
        <x:v>21</x:v>
      </x:c>
      <x:c r="B32" s="55" t="s">
        <x:v>38</x:v>
      </x:c>
      <x:c r="D32" s="125">
        <x:f t="shared" si="2"/>
        <x:v>2.7E-2</x:v>
      </x:c>
      <x:c r="E32" s="126"/>
      <x:c r="F32" s="125">
        <x:f t="shared" si="3"/>
        <x:v>2.8000000000000001E-2</x:v>
      </x:c>
    </x:row>
    <x:row r="33" spans="1:6" x14ac:dyDescent="0.25">
      <x:c r="A33" s="67">
        <x:f t="shared" si="0"/>
        <x:v>22</x:v>
      </x:c>
      <x:c r="B33" s="55" t="s">
        <x:v>39</x:v>
      </x:c>
      <x:c r="D33" s="125">
        <x:f t="shared" si="2"/>
        <x:v>3.3000000000000002E-2</x:v>
      </x:c>
      <x:c r="E33" s="126"/>
      <x:c r="F33" s="125">
        <x:f t="shared" si="3"/>
        <x:v>3.4000000000000002E-2</x:v>
      </x:c>
    </x:row>
    <x:row r="34" spans="1:6" x14ac:dyDescent="0.25">
      <x:c r="A34" s="67">
        <x:f t="shared" si="0"/>
        <x:v>23</x:v>
      </x:c>
      <x:c r="B34" s="55" t="s">
        <x:v>40</x:v>
      </x:c>
      <x:c r="D34" s="125">
        <x:f t="shared" si="2"/>
        <x:v>1.4E-2</x:v>
      </x:c>
      <x:c r="E34" s="126"/>
      <x:c r="F34" s="125">
        <x:f t="shared" si="3"/>
        <x:v>1.4E-2</x:v>
      </x:c>
    </x:row>
    <x:row r="35" spans="1:6" x14ac:dyDescent="0.25">
      <x:c r="A35" s="67">
        <x:f t="shared" si="0"/>
        <x:v>24</x:v>
      </x:c>
      <x:c r="B35" s="55" t="s">
        <x:v>41</x:v>
      </x:c>
      <x:c r="D35" s="125">
        <x:f t="shared" si="2"/>
        <x:v>3.1E-2</x:v>
      </x:c>
      <x:c r="E35" s="126"/>
      <x:c r="F35" s="125">
        <x:f t="shared" si="3"/>
        <x:v>3.1E-2</x:v>
      </x:c>
    </x:row>
    <x:row r="36" spans="1:6" x14ac:dyDescent="0.25">
      <x:c r="A36" s="67">
        <x:f t="shared" si="0"/>
        <x:v>25</x:v>
      </x:c>
      <x:c r="B36" s="55" t="s">
        <x:v>42</x:v>
      </x:c>
      <x:c r="D36" s="125">
        <x:f t="shared" si="2"/>
        <x:v>2.9000000000000001E-2</x:v>
      </x:c>
      <x:c r="E36" s="128"/>
      <x:c r="F36" s="125">
        <x:f t="shared" si="3"/>
        <x:v>2.9000000000000001E-2</x:v>
      </x:c>
    </x:row>
    <x:row r="37" spans="1:6" x14ac:dyDescent="0.25">
      <x:c r="A37" s="67">
        <x:f t="shared" si="0"/>
        <x:v>26</x:v>
      </x:c>
      <x:c r="D37" s="129">
        <x:f>AVERAGE(D22:F22,N22:O22)</x:f>
        <x:v>1</x:v>
      </x:c>
      <x:c r="E37" s="124"/>
      <x:c r="F37" s="129">
        <x:f>AVERAGE(H22:L22)</x:f>
        <x:v>1</x:v>
      </x:c>
    </x:row>
  </x:sheetData>
  <x:mergeCells count="9">
    <x:mergeCell ref="B9:P9"/>
    <x:mergeCell ref="D24:F24"/>
    <x:mergeCell ref="B1:P1"/>
    <x:mergeCell ref="B2:P2"/>
    <x:mergeCell ref="B3:P3"/>
    <x:mergeCell ref="B4:P4"/>
    <x:mergeCell ref="B5:F5"/>
    <x:mergeCell ref="B6:P6"/>
    <x:mergeCell ref="B8:P8"/>
  </x:mergeCells>
  <x:printOptions horizontalCentered="1"/>
  <x:pageMargins left="1.5" right="0.5" top="1.5" bottom="1" header="1" footer="0.5"/>
  <x:pageSetup scale="56" firstPageNumber="3" orientation="portrait" r:id="rId1"/>
  <x:headerFooter alignWithMargins="0">
    <x:oddHeader>&amp;RSchedule II-H-5.2
Page &amp;P of 37</x:oddHeader>
  </x:headerFooter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 codeName="Sheet31">
    <x:pageSetUpPr fitToPage="1"/>
  </x:sheetPr>
  <x:dimension ref="A1:P37"/>
  <x:sheetViews>
    <x:sheetView view="pageBreakPreview" zoomScale="85" zoomScaleNormal="100" zoomScaleSheetLayoutView="100" workbookViewId="0">
      <x:pane xSplit="3" topLeftCell="D1" activePane="topRight" state="frozen"/>
      <x:selection activeCell="L21" sqref="L21"/>
      <x:selection pane="topRight"/>
    </x:sheetView>
  </x:sheetViews>
  <x:sheetFormatPr defaultColWidth="9.08984375" defaultRowHeight="12.5" x14ac:dyDescent="0.25"/>
  <x:cols>
    <x:col min="1" max="1" width="8.08984375" style="55" customWidth="1"/>
    <x:col min="2" max="2" width="16.90625" style="55" customWidth="1"/>
    <x:col min="3" max="3" width="4.453125" style="55" bestFit="1" customWidth="1"/>
    <x:col min="4" max="4" width="9.90625" style="55" bestFit="1" customWidth="1"/>
    <x:col min="5" max="13" width="9.08984375" style="55"/>
    <x:col min="14" max="14" width="9.6328125" style="55" bestFit="1" customWidth="1"/>
    <x:col min="15" max="15" width="9.08984375" style="55"/>
    <x:col min="16" max="16" width="9.54296875" style="55" bestFit="1" customWidth="1"/>
    <x:col min="17" max="16384" width="9.08984375" style="55"/>
  </x:cols>
  <x:sheetData>
    <x:row r="1" spans="1:16" ht="15.5" x14ac:dyDescent="0.35">
      <x:c r="A1" s="1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212"/>
      <x:c r="N1" s="212"/>
      <x:c r="O1" s="212"/>
      <x:c r="P1" s="212"/>
    </x:row>
    <x:row r="2" spans="1:16" ht="15.5" x14ac:dyDescent="0.35">
      <x:c r="A2" s="1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  <x:c r="P2" s="212"/>
    </x:row>
    <x:row r="3" spans="1:16" ht="15.5" x14ac:dyDescent="0.35">
      <x:c r="A3" s="1"/>
      <x:c r="B3" s="229" t="str">
        <x:f>+RES!B3</x:f>
        <x:v>ADJUSTED WEATHER STATION DATA</x:v>
      </x:c>
      <x:c r="C3" s="229"/>
      <x:c r="D3" s="229"/>
      <x:c r="E3" s="229"/>
      <x:c r="F3" s="229"/>
      <x:c r="G3" s="230"/>
      <x:c r="H3" s="230"/>
      <x:c r="I3" s="230"/>
      <x:c r="J3" s="230"/>
      <x:c r="K3" s="230"/>
      <x:c r="L3" s="230"/>
      <x:c r="M3" s="230"/>
      <x:c r="N3" s="230"/>
      <x:c r="O3" s="230"/>
      <x:c r="P3" s="230"/>
    </x:row>
    <x:row r="4" spans="1:16" ht="15.5" x14ac:dyDescent="0.35">
      <x:c r="A4" s="1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  <x:c r="P4" s="212"/>
    </x:row>
    <x:row r="5" spans="1:16" ht="15.5" x14ac:dyDescent="0.35">
      <x:c r="A5" s="1"/>
      <x:c r="B5" s="209"/>
      <x:c r="C5" s="209"/>
      <x:c r="D5" s="209"/>
      <x:c r="E5" s="209"/>
      <x:c r="F5" s="209"/>
      <x:c r="G5"/>
      <x:c r="H5"/>
      <x:c r="I5" s="66"/>
      <x:c r="J5" s="66"/>
      <x:c r="K5" s="66"/>
      <x:c r="L5" s="66"/>
      <x:c r="M5" s="66"/>
      <x:c r="N5" s="66"/>
      <x:c r="O5" s="66"/>
      <x:c r="P5" s="66"/>
    </x:row>
    <x:row r="6" spans="1:16" ht="15.5" x14ac:dyDescent="0.35">
      <x:c r="A6" s="1"/>
      <x:c r="B6" s="209" t="str">
        <x:f>+RES!B6</x:f>
        <x:v>SPONSOR: D. E. NELSON</x:v>
      </x:c>
      <x:c r="C6" s="209"/>
      <x:c r="D6" s="209"/>
      <x:c r="E6" s="209"/>
      <x:c r="F6" s="209"/>
      <x:c r="G6" s="212"/>
      <x:c r="H6" s="212"/>
      <x:c r="I6" s="212"/>
      <x:c r="J6" s="212"/>
      <x:c r="K6" s="212"/>
      <x:c r="L6" s="212"/>
      <x:c r="M6" s="212"/>
      <x:c r="N6" s="212"/>
      <x:c r="O6" s="212"/>
      <x:c r="P6" s="212"/>
    </x:row>
    <x:row r="7" spans="1:16" ht="15.5" x14ac:dyDescent="0.35">
      <x:c r="A7" s="1"/>
      <x:c r="B7" s="4"/>
      <x:c r="C7" s="4"/>
      <x:c r="D7" s="4"/>
      <x:c r="E7" s="4"/>
      <x:c r="F7" s="4"/>
      <x:c r="G7" s="51"/>
      <x:c r="H7" s="51"/>
      <x:c r="I7" s="66"/>
      <x:c r="J7" s="66"/>
      <x:c r="K7" s="66"/>
      <x:c r="L7" s="66"/>
      <x:c r="M7" s="66"/>
      <x:c r="N7" s="66"/>
      <x:c r="O7" s="66"/>
      <x:c r="P7" s="66"/>
    </x:row>
    <x:row r="8" spans="1:16" ht="15.5" x14ac:dyDescent="0.35">
      <x:c r="A8" s="1"/>
      <x:c r="B8" s="229" t="s">
        <x:v>98</x:v>
      </x:c>
      <x:c r="C8" s="229"/>
      <x:c r="D8" s="229"/>
      <x:c r="E8" s="229"/>
      <x:c r="F8" s="229"/>
      <x:c r="G8" s="230"/>
      <x:c r="H8" s="230"/>
      <x:c r="I8" s="230"/>
      <x:c r="J8" s="230"/>
      <x:c r="K8" s="230"/>
      <x:c r="L8" s="230"/>
      <x:c r="M8" s="230"/>
      <x:c r="N8" s="230"/>
      <x:c r="O8" s="230"/>
      <x:c r="P8" s="230"/>
    </x:row>
    <x:row r="9" spans="1:16" ht="15.5" x14ac:dyDescent="0.35">
      <x:c r="A9" s="1"/>
      <x:c r="B9" s="229" t="s">
        <x:v>116</x:v>
      </x:c>
      <x:c r="C9" s="231"/>
      <x:c r="D9" s="231"/>
      <x:c r="E9" s="231"/>
      <x:c r="F9" s="231"/>
      <x:c r="G9" s="231"/>
      <x:c r="H9" s="231"/>
      <x:c r="I9" s="231"/>
      <x:c r="J9" s="231"/>
      <x:c r="K9" s="231"/>
      <x:c r="L9" s="231"/>
      <x:c r="M9" s="231"/>
      <x:c r="N9" s="231"/>
      <x:c r="O9" s="231"/>
      <x:c r="P9" s="231"/>
    </x:row>
    <x:row r="10" spans="1:16" x14ac:dyDescent="0.25">
      <x:c r="A10" s="1" t="s">
        <x:v>6</x:v>
      </x:c>
      <x:c r="B10" s="1" t="s">
        <x:v>9</x:v>
      </x:c>
      <x:c r="C10" s="1"/>
      <x:c r="D10" s="6" t="s">
        <x:v>10</x:v>
      </x:c>
      <x:c r="E10" s="6" t="s">
        <x:v>12</x:v>
      </x:c>
      <x:c r="F10" s="6" t="s">
        <x:v>11</x:v>
      </x:c>
      <x:c r="G10" s="6" t="s">
        <x:v>53</x:v>
      </x:c>
      <x:c r="H10" s="6" t="s">
        <x:v>54</x:v>
      </x:c>
      <x:c r="I10" s="6" t="s">
        <x:v>60</x:v>
      </x:c>
      <x:c r="J10" s="6" t="s">
        <x:v>61</x:v>
      </x:c>
      <x:c r="K10" s="6" t="s">
        <x:v>62</x:v>
      </x:c>
      <x:c r="L10" s="6" t="s">
        <x:v>63</x:v>
      </x:c>
      <x:c r="M10" s="6" t="s">
        <x:v>64</x:v>
      </x:c>
      <x:c r="N10" s="6" t="s">
        <x:v>65</x:v>
      </x:c>
      <x:c r="O10" s="6" t="s">
        <x:v>66</x:v>
      </x:c>
      <x:c r="P10" s="6" t="s">
        <x:v>67</x:v>
      </x:c>
    </x:row>
    <x:row r="11" spans="1:16" s="60" customFormat="1" x14ac:dyDescent="0.25">
      <x:c r="A11" s="5" t="s">
        <x:v>8</x:v>
      </x:c>
      <x:c r="B11" s="68" t="s">
        <x:v>68</x:v>
      </x:c>
      <x:c r="C11" s="56"/>
      <x:c r="D11" s="57">
        <x:v>36892</x:v>
      </x:c>
      <x:c r="E11" s="58">
        <x:v>36923</x:v>
      </x:c>
      <x:c r="F11" s="58">
        <x:v>36951</x:v>
      </x:c>
      <x:c r="G11" s="58">
        <x:v>36982</x:v>
      </x:c>
      <x:c r="H11" s="58">
        <x:v>37012</x:v>
      </x:c>
      <x:c r="I11" s="58">
        <x:v>37043</x:v>
      </x:c>
      <x:c r="J11" s="58">
        <x:v>37073</x:v>
      </x:c>
      <x:c r="K11" s="58">
        <x:v>37104</x:v>
      </x:c>
      <x:c r="L11" s="58">
        <x:v>37135</x:v>
      </x:c>
      <x:c r="M11" s="58">
        <x:v>37165</x:v>
      </x:c>
      <x:c r="N11" s="58">
        <x:v>37196</x:v>
      </x:c>
      <x:c r="O11" s="58">
        <x:v>37226</x:v>
      </x:c>
      <x:c r="P11" s="59" t="s">
        <x:v>4</x:v>
      </x:c>
    </x:row>
    <x:row r="12" spans="1:16" x14ac:dyDescent="0.25">
      <x:c r="A12" s="67">
        <x:v>1</x:v>
      </x:c>
      <x:c r="B12" t="s">
        <x:v>33</x:v>
      </x:c>
      <x:c r="C12" s="61"/>
      <x:c r="D12" s="62">
        <x:f>+'[8]PRMDIST Seasonal Weights'!D11</x:f>
        <x:v>0.27411614000838713</x:v>
      </x:c>
      <x:c r="E12" s="62">
        <x:f>+'[8]PRMDIST Seasonal Weights'!E11</x:f>
        <x:v>0.28202064977740926</x:v>
      </x:c>
      <x:c r="F12" s="62">
        <x:f>+'[8]PRMDIST Seasonal Weights'!F11</x:f>
        <x:v>0.29446422330910288</x:v>
      </x:c>
      <x:c r="G12" s="62">
        <x:f>+'[8]PRMDIST Seasonal Weights'!G11</x:f>
        <x:v>0.27584799528599979</x:v>
      </x:c>
      <x:c r="H12" s="62">
        <x:f>+'[8]PRMDIST Seasonal Weights'!H11</x:f>
        <x:v>0.28264605598270559</x:v>
      </x:c>
      <x:c r="I12" s="62">
        <x:f>+'[8]PRMDIST Seasonal Weights'!I11</x:f>
        <x:v>0.27988354120817932</x:v>
      </x:c>
      <x:c r="J12" s="62">
        <x:f>+'[8]PRMDIST Seasonal Weights'!J11</x:f>
        <x:v>0.31536952676332008</x:v>
      </x:c>
      <x:c r="K12" s="62">
        <x:f>+'[8]PRMDIST Seasonal Weights'!K11</x:f>
        <x:v>0.30639389514425924</x:v>
      </x:c>
      <x:c r="L12" s="62">
        <x:f>+'[8]PRMDIST Seasonal Weights'!L11</x:f>
        <x:v>0.29088799920187547</x:v>
      </x:c>
      <x:c r="M12" s="62">
        <x:f>+'[8]PRMDIST Seasonal Weights'!M11</x:f>
        <x:v>0.28351833931215387</x:v>
      </x:c>
      <x:c r="N12" s="62">
        <x:f>+'[8]PRMDIST Seasonal Weights'!N11</x:f>
        <x:v>0.27164069771651694</x:v>
      </x:c>
      <x:c r="O12" s="62">
        <x:f>+'[8]PRMDIST Seasonal Weights'!O11</x:f>
        <x:v>0.26537730659729131</x:v>
      </x:c>
      <x:c r="P12" s="62">
        <x:f>+'[8]PRMDIST Seasonal Weights'!P11</x:f>
        <x:v>0.28518954270974556</x:v>
      </x:c>
    </x:row>
    <x:row r="13" spans="1:16" x14ac:dyDescent="0.25">
      <x:c r="A13" s="67">
        <x:f>+A12+1</x:f>
        <x:v>2</x:v>
      </x:c>
      <x:c r="B13" t="s">
        <x:v>34</x:v>
      </x:c>
      <x:c r="C13" s="61"/>
      <x:c r="D13" s="62">
        <x:f>+'[8]PRMDIST Seasonal Weights'!D12</x:f>
        <x:v>0.56991377989954328</x:v>
      </x:c>
      <x:c r="E13" s="62">
        <x:f>+'[8]PRMDIST Seasonal Weights'!E12</x:f>
        <x:v>0.58822735819377936</x:v>
      </x:c>
      <x:c r="F13" s="62">
        <x:f>+'[8]PRMDIST Seasonal Weights'!F12</x:f>
        <x:v>0.55530019805949993</x:v>
      </x:c>
      <x:c r="G13" s="62">
        <x:f>+'[8]PRMDIST Seasonal Weights'!G12</x:f>
        <x:v>0.57885290222257968</x:v>
      </x:c>
      <x:c r="H13" s="62">
        <x:f>+'[8]PRMDIST Seasonal Weights'!H12</x:f>
        <x:v>0.56621125254587001</x:v>
      </x:c>
      <x:c r="I13" s="62">
        <x:f>+'[8]PRMDIST Seasonal Weights'!I12</x:f>
        <x:v>0.5672008011564762</x:v>
      </x:c>
      <x:c r="J13" s="62">
        <x:f>+'[8]PRMDIST Seasonal Weights'!J12</x:f>
        <x:v>0.51368097123927181</x:v>
      </x:c>
      <x:c r="K13" s="62">
        <x:f>+'[8]PRMDIST Seasonal Weights'!K12</x:f>
        <x:v>0.5338910230366386</x:v>
      </x:c>
      <x:c r="L13" s="62">
        <x:f>+'[8]PRMDIST Seasonal Weights'!L12</x:f>
        <x:v>0.55907083485704601</x:v>
      </x:c>
      <x:c r="M13" s="62">
        <x:f>+'[8]PRMDIST Seasonal Weights'!M12</x:f>
        <x:v>0.56467769175896521</x:v>
      </x:c>
      <x:c r="N13" s="62">
        <x:f>+'[8]PRMDIST Seasonal Weights'!N12</x:f>
        <x:v>0.5866981721275728</x:v>
      </x:c>
      <x:c r="O13" s="62">
        <x:f>+'[8]PRMDIST Seasonal Weights'!O12</x:f>
        <x:v>0.59120424628936508</x:v>
      </x:c>
      <x:c r="P13" s="62">
        <x:f>+'[8]PRMDIST Seasonal Weights'!P12</x:f>
        <x:v>0.56444260030574789</x:v>
      </x:c>
    </x:row>
    <x:row r="14" spans="1:16" x14ac:dyDescent="0.25">
      <x:c r="A14" s="67">
        <x:f t="shared" ref="A14:A37" si="0">+A13+1</x:f>
        <x:v>3</x:v>
      </x:c>
      <x:c r="B14" t="s">
        <x:v>35</x:v>
      </x:c>
      <x:c r="C14" s="61"/>
      <x:c r="D14" s="62">
        <x:f>+'[8]PRMDIST Seasonal Weights'!D13</x:f>
        <x:v>3.7032952117253964E-2</x:v>
      </x:c>
      <x:c r="E14" s="62">
        <x:f>+'[8]PRMDIST Seasonal Weights'!E13</x:f>
        <x:v>6.4956601077754009E-3</x:v>
      </x:c>
      <x:c r="F14" s="62">
        <x:f>+'[8]PRMDIST Seasonal Weights'!F13</x:f>
        <x:v>2.2760649424100384E-2</x:v>
      </x:c>
      <x:c r="G14" s="62">
        <x:f>+'[8]PRMDIST Seasonal Weights'!G13</x:f>
        <x:v>2.1919014182742665E-2</x:v>
      </x:c>
      <x:c r="H14" s="62">
        <x:f>+'[8]PRMDIST Seasonal Weights'!H13</x:f>
        <x:v>2.2692114637441134E-2</x:v>
      </x:c>
      <x:c r="I14" s="62">
        <x:f>+'[8]PRMDIST Seasonal Weights'!I13</x:f>
        <x:v>2.2708373006975015E-2</x:v>
      </x:c>
      <x:c r="J14" s="62">
        <x:f>+'[8]PRMDIST Seasonal Weights'!J13</x:f>
        <x:v>2.4602787415313892E-2</x:v>
      </x:c>
      <x:c r="K14" s="62">
        <x:f>+'[8]PRMDIST Seasonal Weights'!K13</x:f>
        <x:v>2.3279108099568596E-2</x:v>
      </x:c>
      <x:c r="L14" s="62">
        <x:f>+'[8]PRMDIST Seasonal Weights'!L13</x:f>
        <x:v>1.9737581851830492E-2</x:v>
      </x:c>
      <x:c r="M14" s="62">
        <x:f>+'[8]PRMDIST Seasonal Weights'!M13</x:f>
        <x:v>2.1202694463961922E-2</x:v>
      </x:c>
      <x:c r="N14" s="62">
        <x:f>+'[8]PRMDIST Seasonal Weights'!N13</x:f>
        <x:v>2.1411539819402681E-2</x:v>
      </x:c>
      <x:c r="O14" s="62">
        <x:f>+'[8]PRMDIST Seasonal Weights'!O13</x:f>
        <x:v>2.0061936341267437E-2</x:v>
      </x:c>
      <x:c r="P14" s="62">
        <x:f>+'[8]PRMDIST Seasonal Weights'!P13</x:f>
        <x:v>2.2004980986084544E-2</x:v>
      </x:c>
    </x:row>
    <x:row r="15" spans="1:16" x14ac:dyDescent="0.25">
      <x:c r="A15" s="67">
        <x:f t="shared" si="0"/>
        <x:v>4</x:v>
      </x:c>
      <x:c r="B15" t="s">
        <x:v>36</x:v>
      </x:c>
      <x:c r="C15" s="61"/>
      <x:c r="D15" s="62">
        <x:f>+'[8]PRMDIST Seasonal Weights'!D14</x:f>
        <x:v>4.052393799000082E-2</x:v>
      </x:c>
      <x:c r="E15" s="62">
        <x:f>+'[8]PRMDIST Seasonal Weights'!E14</x:f>
        <x:v>4.1170238592753039E-2</x:v>
      </x:c>
      <x:c r="F15" s="62">
        <x:f>+'[8]PRMDIST Seasonal Weights'!F14</x:f>
        <x:v>4.2775382142255118E-2</x:v>
      </x:c>
      <x:c r="G15" s="62">
        <x:f>+'[8]PRMDIST Seasonal Weights'!G14</x:f>
        <x:v>4.0559801542458855E-2</x:v>
      </x:c>
      <x:c r="H15" s="62">
        <x:f>+'[8]PRMDIST Seasonal Weights'!H14</x:f>
        <x:v>4.2056064652816014E-2</x:v>
      </x:c>
      <x:c r="I15" s="62">
        <x:f>+'[8]PRMDIST Seasonal Weights'!I14</x:f>
        <x:v>4.3083492231178563E-2</x:v>
      </x:c>
      <x:c r="J15" s="62">
        <x:f>+'[8]PRMDIST Seasonal Weights'!J14</x:f>
        <x:v>4.8774427047997851E-2</x:v>
      </x:c>
      <x:c r="K15" s="62">
        <x:f>+'[8]PRMDIST Seasonal Weights'!K14</x:f>
        <x:v>4.0419207913272838E-2</x:v>
      </x:c>
      <x:c r="L15" s="62">
        <x:f>+'[8]PRMDIST Seasonal Weights'!L14</x:f>
        <x:v>3.626756275918936E-2</x:v>
      </x:c>
      <x:c r="M15" s="62">
        <x:f>+'[8]PRMDIST Seasonal Weights'!M14</x:f>
        <x:v>4.1546925267566807E-2</x:v>
      </x:c>
      <x:c r="N15" s="62">
        <x:f>+'[8]PRMDIST Seasonal Weights'!N14</x:f>
        <x:v>3.6666445716833238E-2</x:v>
      </x:c>
      <x:c r="O15" s="62">
        <x:f>+'[8]PRMDIST Seasonal Weights'!O14</x:f>
        <x:v>4.0750222794647212E-2</x:v>
      </x:c>
      <x:c r="P15" s="62">
        <x:f>+'[8]PRMDIST Seasonal Weights'!P14</x:f>
        <x:v>4.1173203413227014E-2</x:v>
      </x:c>
    </x:row>
    <x:row r="16" spans="1:16" x14ac:dyDescent="0.25">
      <x:c r="A16" s="67">
        <x:f t="shared" si="0"/>
        <x:v>5</x:v>
      </x:c>
      <x:c r="B16" t="s">
        <x:v>37</x:v>
      </x:c>
      <x:c r="C16" s="61"/>
      <x:c r="D16" s="62">
        <x:f>+'[8]PRMDIST Seasonal Weights'!D15</x:f>
        <x:v>1.49251625972469E-2</x:v>
      </x:c>
      <x:c r="E16" s="62">
        <x:f>+'[8]PRMDIST Seasonal Weights'!E15</x:f>
        <x:v>1.7026999598756237E-2</x:v>
      </x:c>
      <x:c r="F16" s="62">
        <x:f>+'[8]PRMDIST Seasonal Weights'!F15</x:f>
        <x:v>1.7940276375424453E-2</x:v>
      </x:c>
      <x:c r="G16" s="62">
        <x:f>+'[8]PRMDIST Seasonal Weights'!G15</x:f>
        <x:v>1.6671245555881883E-2</x:v>
      </x:c>
      <x:c r="H16" s="62">
        <x:f>+'[8]PRMDIST Seasonal Weights'!H15</x:f>
        <x:v>1.7337198041663251E-2</x:v>
      </x:c>
      <x:c r="I16" s="62">
        <x:f>+'[8]PRMDIST Seasonal Weights'!I15</x:f>
        <x:v>1.7919319627348006E-2</x:v>
      </x:c>
      <x:c r="J16" s="62">
        <x:f>+'[8]PRMDIST Seasonal Weights'!J15</x:f>
        <x:v>1.9834575384272364E-2</x:v>
      </x:c>
      <x:c r="K16" s="62">
        <x:f>+'[8]PRMDIST Seasonal Weights'!K15</x:f>
        <x:v>2.0028463098943967E-2</x:v>
      </x:c>
      <x:c r="L16" s="62">
        <x:f>+'[8]PRMDIST Seasonal Weights'!L15</x:f>
        <x:v>1.980881991350231E-2</x:v>
      </x:c>
      <x:c r="M16" s="62">
        <x:f>+'[8]PRMDIST Seasonal Weights'!M15</x:f>
        <x:v>1.8467039917752833E-2</x:v>
      </x:c>
      <x:c r="N16" s="62">
        <x:f>+'[8]PRMDIST Seasonal Weights'!N15</x:f>
        <x:v>1.7475189270758577E-2</x:v>
      </x:c>
      <x:c r="O16" s="62">
        <x:f>+'[8]PRMDIST Seasonal Weights'!O15</x:f>
        <x:v>1.7333944318848746E-2</x:v>
      </x:c>
      <x:c r="P16" s="62">
        <x:f>+'[8]PRMDIST Seasonal Weights'!P15</x:f>
        <x:v>1.7936178097668582E-2</x:v>
      </x:c>
    </x:row>
    <x:row r="17" spans="1:16" x14ac:dyDescent="0.25">
      <x:c r="A17" s="67">
        <x:f t="shared" si="0"/>
        <x:v>6</x:v>
      </x:c>
      <x:c r="B17" t="s">
        <x:v>38</x:v>
      </x:c>
      <x:c r="C17" s="61"/>
      <x:c r="D17" s="62">
        <x:f>+'[8]PRMDIST Seasonal Weights'!D16</x:f>
        <x:v>1.0821302170594653E-2</x:v>
      </x:c>
      <x:c r="E17" s="62">
        <x:f>+'[8]PRMDIST Seasonal Weights'!E16</x:f>
        <x:v>1.1859670580742781E-2</x:v>
      </x:c>
      <x:c r="F17" s="62">
        <x:f>+'[8]PRMDIST Seasonal Weights'!F16</x:f>
        <x:v>1.1615562020716848E-2</x:v>
      </x:c>
      <x:c r="G17" s="62">
        <x:f>+'[8]PRMDIST Seasonal Weights'!G16</x:f>
        <x:v>1.1965238488113518E-2</x:v>
      </x:c>
      <x:c r="H17" s="62">
        <x:f>+'[8]PRMDIST Seasonal Weights'!H16</x:f>
        <x:v>1.2436535990517902E-2</x:v>
      </x:c>
      <x:c r="I17" s="62">
        <x:f>+'[8]PRMDIST Seasonal Weights'!I16</x:f>
        <x:v>1.3242659955321473E-2</x:v>
      </x:c>
      <x:c r="J17" s="62">
        <x:f>+'[8]PRMDIST Seasonal Weights'!J16</x:f>
        <x:v>1.4866622952786537E-2</x:v>
      </x:c>
      <x:c r="K17" s="62">
        <x:f>+'[8]PRMDIST Seasonal Weights'!K16</x:f>
        <x:v>1.4906188698328011E-2</x:v>
      </x:c>
      <x:c r="L17" s="62">
        <x:f>+'[8]PRMDIST Seasonal Weights'!L16</x:f>
        <x:v>1.4605523365934542E-2</x:v>
      </x:c>
      <x:c r="M17" s="62">
        <x:f>+'[8]PRMDIST Seasonal Weights'!M16</x:f>
        <x:v>1.3618514123262414E-2</x:v>
      </x:c>
      <x:c r="N17" s="62">
        <x:f>+'[8]PRMDIST Seasonal Weights'!N16</x:f>
        <x:v>1.3126557491353181E-2</x:v>
      </x:c>
      <x:c r="O17" s="62">
        <x:f>+'[8]PRMDIST Seasonal Weights'!O16</x:f>
        <x:v>1.1915281165739405E-2</x:v>
      </x:c>
      <x:c r="P17" s="62">
        <x:f>+'[8]PRMDIST Seasonal Weights'!P16</x:f>
        <x:v>1.2961649338305676E-2</x:v>
      </x:c>
    </x:row>
    <x:row r="18" spans="1:16" x14ac:dyDescent="0.25">
      <x:c r="A18" s="67">
        <x:f t="shared" si="0"/>
        <x:v>7</x:v>
      </x:c>
      <x:c r="B18" t="s">
        <x:v>39</x:v>
      </x:c>
      <x:c r="C18" s="61"/>
      <x:c r="D18" s="62">
        <x:f>+'[8]PRMDIST Seasonal Weights'!D17</x:f>
        <x:v>2.6429352404760787E-2</x:v>
      </x:c>
      <x:c r="E18" s="62">
        <x:f>+'[8]PRMDIST Seasonal Weights'!E17</x:f>
        <x:v>2.7017413323913532E-2</x:v>
      </x:c>
      <x:c r="F18" s="62">
        <x:f>+'[8]PRMDIST Seasonal Weights'!F17</x:f>
        <x:v>2.769092157814107E-2</x:v>
      </x:c>
      <x:c r="G18" s="62">
        <x:f>+'[8]PRMDIST Seasonal Weights'!G17</x:f>
        <x:v>2.8134174963683169E-2</x:v>
      </x:c>
      <x:c r="H18" s="62">
        <x:f>+'[8]PRMDIST Seasonal Weights'!H17</x:f>
        <x:v>3.0095575255691513E-2</x:v>
      </x:c>
      <x:c r="I18" s="62">
        <x:f>+'[8]PRMDIST Seasonal Weights'!I17</x:f>
        <x:v>2.9711158286392786E-2</x:v>
      </x:c>
      <x:c r="J18" s="62">
        <x:f>+'[8]PRMDIST Seasonal Weights'!J17</x:f>
        <x:v>3.3443631095643599E-2</x:v>
      </x:c>
      <x:c r="K18" s="62">
        <x:f>+'[8]PRMDIST Seasonal Weights'!K17</x:f>
        <x:v>3.2269513841776037E-2</x:v>
      </x:c>
      <x:c r="L18" s="62">
        <x:f>+'[8]PRMDIST Seasonal Weights'!L17</x:f>
        <x:v>3.176340788660563E-2</x:v>
      </x:c>
      <x:c r="M18" s="62">
        <x:f>+'[8]PRMDIST Seasonal Weights'!M17</x:f>
        <x:v>2.9604922286229265E-2</x:v>
      </x:c>
      <x:c r="N18" s="62">
        <x:f>+'[8]PRMDIST Seasonal Weights'!N17</x:f>
        <x:v>2.7862597538606822E-2</x:v>
      </x:c>
      <x:c r="O18" s="62">
        <x:f>+'[8]PRMDIST Seasonal Weights'!O17</x:f>
        <x:v>2.8137924326085369E-2</x:v>
      </x:c>
      <x:c r="P18" s="62">
        <x:f>+'[8]PRMDIST Seasonal Weights'!P17</x:f>
        <x:v>2.9407355110617574E-2</x:v>
      </x:c>
    </x:row>
    <x:row r="19" spans="1:16" x14ac:dyDescent="0.25">
      <x:c r="A19" s="67">
        <x:f t="shared" si="0"/>
        <x:v>8</x:v>
      </x:c>
      <x:c r="B19" t="s">
        <x:v>40</x:v>
      </x:c>
      <x:c r="C19" s="61"/>
      <x:c r="D19" s="62">
        <x:f>+'[8]PRMDIST Seasonal Weights'!D18</x:f>
        <x:v>9.4786313664292059E-3</x:v>
      </x:c>
      <x:c r="E19" s="62">
        <x:f>+'[8]PRMDIST Seasonal Weights'!E18</x:f>
        <x:v>9.507271903018465E-3</x:v>
      </x:c>
      <x:c r="F19" s="62">
        <x:f>+'[8]PRMDIST Seasonal Weights'!F18</x:f>
        <x:v>9.9314807057450053E-3</x:v>
      </x:c>
      <x:c r="G19" s="62">
        <x:f>+'[8]PRMDIST Seasonal Weights'!G18</x:f>
        <x:v>9.1130724854241521E-3</x:v>
      </x:c>
      <x:c r="H19" s="62">
        <x:f>+'[8]PRMDIST Seasonal Weights'!H18</x:f>
        <x:v>9.2108846027648111E-3</x:v>
      </x:c>
      <x:c r="I19" s="62">
        <x:f>+'[8]PRMDIST Seasonal Weights'!I18</x:f>
        <x:v>8.7365137207078124E-3</x:v>
      </x:c>
      <x:c r="J19" s="62">
        <x:f>+'[8]PRMDIST Seasonal Weights'!J18</x:f>
        <x:v>9.6688857936666883E-3</x:v>
      </x:c>
      <x:c r="K19" s="62">
        <x:f>+'[8]PRMDIST Seasonal Weights'!K18</x:f>
        <x:v>9.7150870606389061E-3</x:v>
      </x:c>
      <x:c r="L19" s="62">
        <x:f>+'[8]PRMDIST Seasonal Weights'!L18</x:f>
        <x:v>9.2775336862302975E-3</x:v>
      </x:c>
      <x:c r="M19" s="62">
        <x:f>+'[8]PRMDIST Seasonal Weights'!M18</x:f>
        <x:v>8.7737550715233821E-3</x:v>
      </x:c>
      <x:c r="N19" s="62">
        <x:f>+'[8]PRMDIST Seasonal Weights'!N18</x:f>
        <x:v>8.4482326423241608E-3</x:v>
      </x:c>
      <x:c r="O19" s="62">
        <x:f>+'[8]PRMDIST Seasonal Weights'!O18</x:f>
        <x:v>8.5408255539085268E-3</x:v>
      </x:c>
      <x:c r="P19" s="62">
        <x:f>+'[8]PRMDIST Seasonal Weights'!P18</x:f>
        <x:v>9.1866851926674983E-3</x:v>
      </x:c>
    </x:row>
    <x:row r="20" spans="1:16" x14ac:dyDescent="0.25">
      <x:c r="A20" s="67">
        <x:f t="shared" si="0"/>
        <x:v>9</x:v>
      </x:c>
      <x:c r="B20" t="s">
        <x:v>41</x:v>
      </x:c>
      <x:c r="C20" s="61"/>
      <x:c r="D20" s="62">
        <x:f>+'[8]PRMDIST Seasonal Weights'!D19</x:f>
        <x:v>1.2525432040953308E-2</x:v>
      </x:c>
      <x:c r="E20" s="62">
        <x:f>+'[8]PRMDIST Seasonal Weights'!E19</x:f>
        <x:v>1.2318156067351762E-2</x:v>
      </x:c>
      <x:c r="F20" s="62">
        <x:f>+'[8]PRMDIST Seasonal Weights'!F19</x:f>
        <x:v>1.2989253330542539E-2</x:v>
      </x:c>
      <x:c r="G20" s="62">
        <x:f>+'[8]PRMDIST Seasonal Weights'!G19</x:f>
        <x:v>1.2797113144574797E-2</x:v>
      </x:c>
      <x:c r="H20" s="62">
        <x:f>+'[8]PRMDIST Seasonal Weights'!H19</x:f>
        <x:v>1.3311344885956472E-2</x:v>
      </x:c>
      <x:c r="I20" s="62">
        <x:f>+'[8]PRMDIST Seasonal Weights'!I19</x:f>
        <x:v>1.369894167916276E-2</x:v>
      </x:c>
      <x:c r="J20" s="62">
        <x:f>+'[8]PRMDIST Seasonal Weights'!J19</x:f>
        <x:v>1.5591649017964561E-2</x:v>
      </x:c>
      <x:c r="K20" s="62">
        <x:f>+'[8]PRMDIST Seasonal Weights'!K19</x:f>
        <x:v>1.5077701274137318E-2</x:v>
      </x:c>
      <x:c r="L20" s="62">
        <x:f>+'[8]PRMDIST Seasonal Weights'!L19</x:f>
        <x:v>1.4808989478097221E-2</x:v>
      </x:c>
      <x:c r="M20" s="62">
        <x:f>+'[8]PRMDIST Seasonal Weights'!M19</x:f>
        <x:v>1.3750683257067277E-2</x:v>
      </x:c>
      <x:c r="N20" s="62">
        <x:f>+'[8]PRMDIST Seasonal Weights'!N19</x:f>
        <x:v>1.2778075697043168E-2</x:v>
      </x:c>
      <x:c r="O20" s="62">
        <x:f>+'[8]PRMDIST Seasonal Weights'!O19</x:f>
        <x:v>1.1995282808189291E-2</x:v>
      </x:c>
      <x:c r="P20" s="62">
        <x:f>+'[8]PRMDIST Seasonal Weights'!P19</x:f>
        <x:v>1.3495683233727731E-2</x:v>
      </x:c>
    </x:row>
    <x:row r="21" spans="1:16" x14ac:dyDescent="0.25">
      <x:c r="A21" s="67">
        <x:f t="shared" si="0"/>
        <x:v>10</x:v>
      </x:c>
      <x:c r="B21" t="s">
        <x:v>42</x:v>
      </x:c>
      <x:c r="C21" s="61"/>
      <x:c r="D21" s="62">
        <x:f>+'[8]PRMDIST Seasonal Weights'!D20</x:f>
        <x:v>4.2333094048298244E-3</x:v>
      </x:c>
      <x:c r="E21" s="62">
        <x:f>+'[8]PRMDIST Seasonal Weights'!E20</x:f>
        <x:v>4.356581854500126E-3</x:v>
      </x:c>
      <x:c r="F21" s="62">
        <x:f>+'[8]PRMDIST Seasonal Weights'!F20</x:f>
        <x:v>4.5320530544717868E-3</x:v>
      </x:c>
      <x:c r="G21" s="62">
        <x:f>+'[8]PRMDIST Seasonal Weights'!G20</x:f>
        <x:v>4.1394421285414354E-3</x:v>
      </x:c>
      <x:c r="H21" s="62">
        <x:f>+'[8]PRMDIST Seasonal Weights'!H20</x:f>
        <x:v>4.0029734045733453E-3</x:v>
      </x:c>
      <x:c r="I21" s="62">
        <x:f>+'[8]PRMDIST Seasonal Weights'!I20</x:f>
        <x:v>3.8151991282579646E-3</x:v>
      </x:c>
      <x:c r="J21" s="62">
        <x:f>+'[8]PRMDIST Seasonal Weights'!J20</x:f>
        <x:v>4.1669232897626378E-3</x:v>
      </x:c>
      <x:c r="K21" s="62">
        <x:f>+'[8]PRMDIST Seasonal Weights'!K20</x:f>
        <x:v>4.0198118324365189E-3</x:v>
      </x:c>
      <x:c r="L21" s="62">
        <x:f>+'[8]PRMDIST Seasonal Weights'!L20</x:f>
        <x:v>3.7717469996887696E-3</x:v>
      </x:c>
      <x:c r="M21" s="62">
        <x:f>+'[8]PRMDIST Seasonal Weights'!M20</x:f>
        <x:v>4.8394345415170579E-3</x:v>
      </x:c>
      <x:c r="N21" s="62">
        <x:f>+'[8]PRMDIST Seasonal Weights'!N20</x:f>
        <x:v>3.8924919795885592E-3</x:v>
      </x:c>
      <x:c r="O21" s="62">
        <x:f>+'[8]PRMDIST Seasonal Weights'!O20</x:f>
        <x:v>4.6830298046577155E-3</x:v>
      </x:c>
      <x:c r="P21" s="62">
        <x:f>+'[8]PRMDIST Seasonal Weights'!P20</x:f>
        <x:v>4.2021216122077962E-3</x:v>
      </x:c>
    </x:row>
    <x:row r="22" spans="1:16" x14ac:dyDescent="0.25">
      <x:c r="A22" s="67">
        <x:f t="shared" si="0"/>
        <x:v>11</x:v>
      </x:c>
      <x:c r="C22" s="61"/>
      <x:c r="D22" s="122">
        <x:f t="shared" ref="D22:P22" si="1">SUM(D12:D21)</x:f>
        <x:v>0.99999999999999989</x:v>
      </x:c>
      <x:c r="E22" s="122">
        <x:f t="shared" si="1"/>
        <x:v>0.99999999999999989</x:v>
      </x:c>
      <x:c r="F22" s="122">
        <x:f t="shared" si="1"/>
        <x:v>1</x:v>
      </x:c>
      <x:c r="G22" s="122">
        <x:f t="shared" si="1"/>
        <x:v>0.99999999999999989</x:v>
      </x:c>
      <x:c r="H22" s="122">
        <x:f t="shared" si="1"/>
        <x:v>0.99999999999999978</x:v>
      </x:c>
      <x:c r="I22" s="122">
        <x:f t="shared" si="1"/>
        <x:v>1</x:v>
      </x:c>
      <x:c r="J22" s="122">
        <x:f t="shared" si="1"/>
        <x:v>1</x:v>
      </x:c>
      <x:c r="K22" s="122">
        <x:f t="shared" si="1"/>
        <x:v>1</x:v>
      </x:c>
      <x:c r="L22" s="122">
        <x:f t="shared" si="1"/>
        <x:v>1.0000000000000002</x:v>
      </x:c>
      <x:c r="M22" s="122">
        <x:f t="shared" si="1"/>
        <x:v>0.99999999999999989</x:v>
      </x:c>
      <x:c r="N22" s="122">
        <x:f t="shared" si="1"/>
        <x:v>1</x:v>
      </x:c>
      <x:c r="O22" s="122">
        <x:f t="shared" si="1"/>
        <x:v>1</x:v>
      </x:c>
      <x:c r="P22" s="122">
        <x:f t="shared" si="1"/>
        <x:v>0.99999999999999978</x:v>
      </x:c>
    </x:row>
    <x:row r="23" spans="1:16" x14ac:dyDescent="0.25">
      <x:c r="A23" s="67">
        <x:f t="shared" si="0"/>
        <x:v>12</x:v>
      </x:c>
    </x:row>
    <x:row r="24" spans="1:16" ht="15.5" x14ac:dyDescent="0.35">
      <x:c r="A24" s="67">
        <x:f t="shared" si="0"/>
        <x:v>13</x:v>
      </x:c>
      <x:c r="D24" s="226" t="s">
        <x:v>97</x:v>
      </x:c>
      <x:c r="E24" s="227"/>
      <x:c r="F24" s="228"/>
      <x:c r="G24" s="4"/>
      <x:c r="H24" s="4"/>
      <x:c r="I24" s="51"/>
      <x:c r="J24" s="51"/>
    </x:row>
    <x:row r="25" spans="1:16" x14ac:dyDescent="0.25">
      <x:c r="A25" s="67">
        <x:f t="shared" si="0"/>
        <x:v>14</x:v>
      </x:c>
      <x:c r="D25" s="55" t="s">
        <x:v>56</x:v>
      </x:c>
      <x:c r="F25" s="55" t="s">
        <x:v>57</x:v>
      </x:c>
    </x:row>
    <x:row r="26" spans="1:16" x14ac:dyDescent="0.25">
      <x:c r="A26" s="67">
        <x:f t="shared" si="0"/>
        <x:v>15</x:v>
      </x:c>
      <x:c r="B26" s="68" t="s">
        <x:v>68</x:v>
      </x:c>
      <x:c r="D26" s="99" t="s">
        <x:v>58</x:v>
      </x:c>
      <x:c r="F26" s="99" t="s">
        <x:v>59</x:v>
      </x:c>
    </x:row>
    <x:row r="27" spans="1:16" x14ac:dyDescent="0.25">
      <x:c r="A27" s="67">
        <x:f t="shared" si="0"/>
        <x:v>16</x:v>
      </x:c>
      <x:c r="B27" s="55" t="s">
        <x:v>33</x:v>
      </x:c>
      <x:c r="D27" s="125">
        <x:f>ROUND(AVERAGE(D12:F12,N12:O12),3)</x:f>
        <x:v>0.27800000000000002</x:v>
      </x:c>
      <x:c r="E27" s="126"/>
      <x:c r="F27" s="125">
        <x:f>ROUND(AVERAGE(H12:L12),3)</x:f>
        <x:v>0.29499999999999998</x:v>
      </x:c>
    </x:row>
    <x:row r="28" spans="1:16" x14ac:dyDescent="0.25">
      <x:c r="A28" s="67">
        <x:f t="shared" si="0"/>
        <x:v>17</x:v>
      </x:c>
      <x:c r="B28" s="55" t="s">
        <x:v>34</x:v>
      </x:c>
      <x:c r="D28" s="125">
        <x:f t="shared" ref="D28:D36" si="2">ROUND(AVERAGE(D13:F13,N13:O13),3)</x:f>
        <x:v>0.57799999999999996</x:v>
      </x:c>
      <x:c r="E28" s="126"/>
      <x:c r="F28" s="125">
        <x:f t="shared" ref="F28:F36" si="3">ROUND(AVERAGE(H13:L13),3)</x:f>
        <x:v>0.54800000000000004</x:v>
      </x:c>
    </x:row>
    <x:row r="29" spans="1:16" x14ac:dyDescent="0.25">
      <x:c r="A29" s="67">
        <x:f t="shared" si="0"/>
        <x:v>18</x:v>
      </x:c>
      <x:c r="B29" s="55" t="s">
        <x:v>35</x:v>
      </x:c>
      <x:c r="D29" s="125">
        <x:f t="shared" si="2"/>
        <x:v>2.1999999999999999E-2</x:v>
      </x:c>
      <x:c r="E29" s="126"/>
      <x:c r="F29" s="125">
        <x:f t="shared" si="3"/>
        <x:v>2.3E-2</x:v>
      </x:c>
    </x:row>
    <x:row r="30" spans="1:16" x14ac:dyDescent="0.25">
      <x:c r="A30" s="67">
        <x:f t="shared" si="0"/>
        <x:v>19</x:v>
      </x:c>
      <x:c r="B30" s="55" t="s">
        <x:v>36</x:v>
      </x:c>
      <x:c r="D30" s="125">
        <x:f t="shared" si="2"/>
        <x:v>0.04</x:v>
      </x:c>
      <x:c r="E30" s="126"/>
      <x:c r="F30" s="125">
        <x:f t="shared" si="3"/>
        <x:v>4.2000000000000003E-2</x:v>
      </x:c>
    </x:row>
    <x:row r="31" spans="1:16" x14ac:dyDescent="0.25">
      <x:c r="A31" s="67">
        <x:f t="shared" si="0"/>
        <x:v>20</x:v>
      </x:c>
      <x:c r="B31" s="55" t="s">
        <x:v>37</x:v>
      </x:c>
      <x:c r="D31" s="125">
        <x:f t="shared" si="2"/>
        <x:v>1.7000000000000001E-2</x:v>
      </x:c>
      <x:c r="E31" s="126"/>
      <x:c r="F31" s="125">
        <x:f t="shared" si="3"/>
        <x:v>1.9E-2</x:v>
      </x:c>
    </x:row>
    <x:row r="32" spans="1:16" x14ac:dyDescent="0.25">
      <x:c r="A32" s="67">
        <x:f t="shared" si="0"/>
        <x:v>21</x:v>
      </x:c>
      <x:c r="B32" s="55" t="s">
        <x:v>38</x:v>
      </x:c>
      <x:c r="D32" s="125">
        <x:f t="shared" si="2"/>
        <x:v>1.2E-2</x:v>
      </x:c>
      <x:c r="E32" s="126"/>
      <x:c r="F32" s="125">
        <x:f t="shared" si="3"/>
        <x:v>1.4E-2</x:v>
      </x:c>
    </x:row>
    <x:row r="33" spans="1:6" x14ac:dyDescent="0.25">
      <x:c r="A33" s="67">
        <x:f t="shared" si="0"/>
        <x:v>22</x:v>
      </x:c>
      <x:c r="B33" s="55" t="s">
        <x:v>39</x:v>
      </x:c>
      <x:c r="D33" s="125">
        <x:f t="shared" si="2"/>
        <x:v>2.7E-2</x:v>
      </x:c>
      <x:c r="E33" s="126"/>
      <x:c r="F33" s="125">
        <x:f t="shared" si="3"/>
        <x:v>3.1E-2</x:v>
      </x:c>
    </x:row>
    <x:row r="34" spans="1:6" x14ac:dyDescent="0.25">
      <x:c r="A34" s="67">
        <x:f t="shared" si="0"/>
        <x:v>23</x:v>
      </x:c>
      <x:c r="B34" s="55" t="s">
        <x:v>40</x:v>
      </x:c>
      <x:c r="D34" s="125">
        <x:f t="shared" si="2"/>
        <x:v>8.9999999999999993E-3</x:v>
      </x:c>
      <x:c r="E34" s="126"/>
      <x:c r="F34" s="125">
        <x:f t="shared" si="3"/>
        <x:v>8.9999999999999993E-3</x:v>
      </x:c>
    </x:row>
    <x:row r="35" spans="1:6" x14ac:dyDescent="0.25">
      <x:c r="A35" s="67">
        <x:f t="shared" si="0"/>
        <x:v>24</x:v>
      </x:c>
      <x:c r="B35" s="55" t="s">
        <x:v>41</x:v>
      </x:c>
      <x:c r="D35" s="125">
        <x:f t="shared" si="2"/>
        <x:v>1.2999999999999999E-2</x:v>
      </x:c>
      <x:c r="E35" s="126"/>
      <x:c r="F35" s="125">
        <x:f t="shared" si="3"/>
        <x:v>1.4E-2</x:v>
      </x:c>
    </x:row>
    <x:row r="36" spans="1:6" x14ac:dyDescent="0.25">
      <x:c r="A36" s="67">
        <x:f t="shared" si="0"/>
        <x:v>25</x:v>
      </x:c>
      <x:c r="B36" s="55" t="s">
        <x:v>42</x:v>
      </x:c>
      <x:c r="D36" s="125">
        <x:f t="shared" si="2"/>
        <x:v>4.0000000000000001E-3</x:v>
      </x:c>
      <x:c r="E36" s="128"/>
      <x:c r="F36" s="125">
        <x:f t="shared" si="3"/>
        <x:v>4.0000000000000001E-3</x:v>
      </x:c>
    </x:row>
    <x:row r="37" spans="1:6" x14ac:dyDescent="0.25">
      <x:c r="A37" s="67">
        <x:f t="shared" si="0"/>
        <x:v>26</x:v>
      </x:c>
      <x:c r="D37" s="123">
        <x:f>AVERAGE(D22:F22,N22:O22)</x:f>
        <x:v>1</x:v>
      </x:c>
      <x:c r="F37" s="123">
        <x:f>AVERAGE(H22:L22)</x:f>
        <x:v>1</x:v>
      </x:c>
    </x:row>
  </x:sheetData>
  <x:mergeCells count="9">
    <x:mergeCell ref="B9:P9"/>
    <x:mergeCell ref="D24:F24"/>
    <x:mergeCell ref="B1:P1"/>
    <x:mergeCell ref="B2:P2"/>
    <x:mergeCell ref="B3:P3"/>
    <x:mergeCell ref="B4:P4"/>
    <x:mergeCell ref="B5:F5"/>
    <x:mergeCell ref="B6:P6"/>
    <x:mergeCell ref="B8:P8"/>
  </x:mergeCells>
  <x:printOptions horizontalCentered="1"/>
  <x:pageMargins left="1.5" right="0.5" top="1.5" bottom="1" header="1" footer="0.5"/>
  <x:pageSetup scale="56" firstPageNumber="3" orientation="portrait" r:id="rId1"/>
  <x:headerFooter alignWithMargins="0">
    <x:oddHeader>&amp;RSchedule II-H-5.2
Page &amp;P of 37</x:oddHeader>
  </x:headerFooter>
  <x:drawing r:id="rId2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sheetPr codeName="Sheet32">
    <x:pageSetUpPr fitToPage="1"/>
  </x:sheetPr>
  <x:dimension ref="A1:P37"/>
  <x:sheetViews>
    <x:sheetView view="pageBreakPreview" zoomScale="85" zoomScaleNormal="100" zoomScaleSheetLayoutView="100" workbookViewId="0">
      <x:pane xSplit="3" topLeftCell="D1" activePane="topRight" state="frozen"/>
      <x:selection activeCell="L21" sqref="L21"/>
      <x:selection pane="topRight"/>
    </x:sheetView>
  </x:sheetViews>
  <x:sheetFormatPr defaultColWidth="9.08984375" defaultRowHeight="12.5" x14ac:dyDescent="0.25"/>
  <x:cols>
    <x:col min="1" max="1" width="8.08984375" style="155" customWidth="1"/>
    <x:col min="2" max="2" width="16.90625" style="155" customWidth="1"/>
    <x:col min="3" max="3" width="4.453125" style="155" bestFit="1" customWidth="1"/>
    <x:col min="4" max="4" width="9.90625" style="155" bestFit="1" customWidth="1"/>
    <x:col min="5" max="13" width="9.08984375" style="155"/>
    <x:col min="14" max="14" width="9.6328125" style="155" bestFit="1" customWidth="1"/>
    <x:col min="15" max="15" width="9.08984375" style="155"/>
    <x:col min="16" max="16" width="9.54296875" style="155" bestFit="1" customWidth="1"/>
    <x:col min="17" max="16384" width="9.08984375" style="155"/>
  </x:cols>
  <x:sheetData>
    <x:row r="1" spans="1:16" ht="15.5" x14ac:dyDescent="0.35">
      <x:c r="A1" s="149"/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212"/>
      <x:c r="N1" s="212"/>
      <x:c r="O1" s="212"/>
      <x:c r="P1" s="212"/>
    </x:row>
    <x:row r="2" spans="1:16" ht="15.5" x14ac:dyDescent="0.35">
      <x:c r="A2" s="149"/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  <x:c r="I2" s="212"/>
      <x:c r="J2" s="212"/>
      <x:c r="K2" s="212"/>
      <x:c r="L2" s="212"/>
      <x:c r="M2" s="212"/>
      <x:c r="N2" s="212"/>
      <x:c r="O2" s="212"/>
      <x:c r="P2" s="212"/>
    </x:row>
    <x:row r="3" spans="1:16" ht="15.5" x14ac:dyDescent="0.35">
      <x:c r="A3" s="149"/>
      <x:c r="B3" s="232" t="str">
        <x:f>+RES!B3</x:f>
        <x:v>ADJUSTED WEATHER STATION DATA</x:v>
      </x:c>
      <x:c r="C3" s="232"/>
      <x:c r="D3" s="232"/>
      <x:c r="E3" s="232"/>
      <x:c r="F3" s="232"/>
      <x:c r="G3" s="233"/>
      <x:c r="H3" s="233"/>
      <x:c r="I3" s="233"/>
      <x:c r="J3" s="233"/>
      <x:c r="K3" s="233"/>
      <x:c r="L3" s="233"/>
      <x:c r="M3" s="233"/>
      <x:c r="N3" s="233"/>
      <x:c r="O3" s="233"/>
      <x:c r="P3" s="233"/>
    </x:row>
    <x:row r="4" spans="1:16" ht="15.5" x14ac:dyDescent="0.35">
      <x:c r="A4" s="149"/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  <x:c r="I4" s="212"/>
      <x:c r="J4" s="212"/>
      <x:c r="K4" s="212"/>
      <x:c r="L4" s="212"/>
      <x:c r="M4" s="212"/>
      <x:c r="N4" s="212"/>
      <x:c r="O4" s="212"/>
      <x:c r="P4" s="212"/>
    </x:row>
    <x:row r="5" spans="1:16" ht="15.5" x14ac:dyDescent="0.35">
      <x:c r="A5" s="149"/>
      <x:c r="B5" s="209"/>
      <x:c r="C5" s="209"/>
      <x:c r="D5" s="209"/>
      <x:c r="E5" s="209"/>
      <x:c r="F5" s="209"/>
      <x:c r="G5"/>
      <x:c r="H5"/>
      <x:c r="I5" s="171"/>
      <x:c r="J5" s="171"/>
      <x:c r="K5" s="171"/>
      <x:c r="L5" s="171"/>
      <x:c r="M5" s="171"/>
      <x:c r="N5" s="171"/>
      <x:c r="O5" s="171"/>
      <x:c r="P5" s="171"/>
    </x:row>
    <x:row r="6" spans="1:16" ht="15.5" x14ac:dyDescent="0.35">
      <x:c r="A6" s="149"/>
      <x:c r="B6" s="209" t="str">
        <x:f>+RES!B6</x:f>
        <x:v>SPONSOR: D. E. NELSON</x:v>
      </x:c>
      <x:c r="C6" s="209"/>
      <x:c r="D6" s="209"/>
      <x:c r="E6" s="209"/>
      <x:c r="F6" s="209"/>
      <x:c r="G6" s="212"/>
      <x:c r="H6" s="212"/>
      <x:c r="I6" s="212"/>
      <x:c r="J6" s="212"/>
      <x:c r="K6" s="212"/>
      <x:c r="L6" s="212"/>
      <x:c r="M6" s="212"/>
      <x:c r="N6" s="212"/>
      <x:c r="O6" s="212"/>
      <x:c r="P6" s="212"/>
    </x:row>
    <x:row r="7" spans="1:16" ht="15.5" x14ac:dyDescent="0.35">
      <x:c r="A7" s="149"/>
      <x:c r="B7" s="148"/>
      <x:c r="C7" s="148"/>
      <x:c r="D7" s="148"/>
      <x:c r="E7" s="148"/>
      <x:c r="F7" s="148"/>
      <x:c r="G7" s="150"/>
      <x:c r="H7" s="150"/>
      <x:c r="I7" s="171"/>
      <x:c r="J7" s="171"/>
      <x:c r="K7" s="171"/>
      <x:c r="L7" s="171"/>
      <x:c r="M7" s="171"/>
      <x:c r="N7" s="171"/>
      <x:c r="O7" s="171"/>
      <x:c r="P7" s="171"/>
    </x:row>
    <x:row r="8" spans="1:16" ht="15.5" x14ac:dyDescent="0.35">
      <x:c r="A8" s="149"/>
      <x:c r="B8" s="232" t="s">
        <x:v>98</x:v>
      </x:c>
      <x:c r="C8" s="232"/>
      <x:c r="D8" s="232"/>
      <x:c r="E8" s="232"/>
      <x:c r="F8" s="232"/>
      <x:c r="G8" s="233"/>
      <x:c r="H8" s="233"/>
      <x:c r="I8" s="233"/>
      <x:c r="J8" s="233"/>
      <x:c r="K8" s="233"/>
      <x:c r="L8" s="233"/>
      <x:c r="M8" s="233"/>
      <x:c r="N8" s="233"/>
      <x:c r="O8" s="233"/>
      <x:c r="P8" s="233"/>
    </x:row>
    <x:row r="9" spans="1:16" ht="15.5" x14ac:dyDescent="0.35">
      <x:c r="A9" s="149"/>
      <x:c r="B9" s="232" t="s">
        <x:v>128</x:v>
      </x:c>
      <x:c r="C9" s="231"/>
      <x:c r="D9" s="231"/>
      <x:c r="E9" s="231"/>
      <x:c r="F9" s="231"/>
      <x:c r="G9" s="231"/>
      <x:c r="H9" s="231"/>
      <x:c r="I9" s="231"/>
      <x:c r="J9" s="231"/>
      <x:c r="K9" s="231"/>
      <x:c r="L9" s="231"/>
      <x:c r="M9" s="231"/>
      <x:c r="N9" s="231"/>
      <x:c r="O9" s="231"/>
      <x:c r="P9" s="231"/>
    </x:row>
    <x:row r="10" spans="1:16" x14ac:dyDescent="0.25">
      <x:c r="A10" s="149" t="s">
        <x:v>6</x:v>
      </x:c>
      <x:c r="B10" s="149" t="s">
        <x:v>9</x:v>
      </x:c>
      <x:c r="C10" s="149"/>
      <x:c r="D10" s="6" t="s">
        <x:v>10</x:v>
      </x:c>
      <x:c r="E10" s="6" t="s">
        <x:v>12</x:v>
      </x:c>
      <x:c r="F10" s="6" t="s">
        <x:v>11</x:v>
      </x:c>
      <x:c r="G10" s="6" t="s">
        <x:v>53</x:v>
      </x:c>
      <x:c r="H10" s="6" t="s">
        <x:v>54</x:v>
      </x:c>
      <x:c r="I10" s="6" t="s">
        <x:v>60</x:v>
      </x:c>
      <x:c r="J10" s="6" t="s">
        <x:v>61</x:v>
      </x:c>
      <x:c r="K10" s="6" t="s">
        <x:v>62</x:v>
      </x:c>
      <x:c r="L10" s="6" t="s">
        <x:v>63</x:v>
      </x:c>
      <x:c r="M10" s="6" t="s">
        <x:v>64</x:v>
      </x:c>
      <x:c r="N10" s="6" t="s">
        <x:v>65</x:v>
      </x:c>
      <x:c r="O10" s="6" t="s">
        <x:v>66</x:v>
      </x:c>
      <x:c r="P10" s="6" t="s">
        <x:v>67</x:v>
      </x:c>
    </x:row>
    <x:row r="11" spans="1:16" s="166" customFormat="1" x14ac:dyDescent="0.25">
      <x:c r="A11" s="5" t="s">
        <x:v>8</x:v>
      </x:c>
      <x:c r="B11" s="162" t="s">
        <x:v>68</x:v>
      </x:c>
      <x:c r="C11" s="170"/>
      <x:c r="D11" s="169">
        <x:v>36892</x:v>
      </x:c>
      <x:c r="E11" s="168">
        <x:v>36923</x:v>
      </x:c>
      <x:c r="F11" s="168">
        <x:v>36951</x:v>
      </x:c>
      <x:c r="G11" s="168">
        <x:v>36982</x:v>
      </x:c>
      <x:c r="H11" s="168">
        <x:v>37012</x:v>
      </x:c>
      <x:c r="I11" s="168">
        <x:v>37043</x:v>
      </x:c>
      <x:c r="J11" s="168">
        <x:v>37073</x:v>
      </x:c>
      <x:c r="K11" s="168">
        <x:v>37104</x:v>
      </x:c>
      <x:c r="L11" s="168">
        <x:v>37135</x:v>
      </x:c>
      <x:c r="M11" s="168">
        <x:v>37165</x:v>
      </x:c>
      <x:c r="N11" s="168">
        <x:v>37196</x:v>
      </x:c>
      <x:c r="O11" s="168">
        <x:v>37226</x:v>
      </x:c>
      <x:c r="P11" s="167" t="s">
        <x:v>4</x:v>
      </x:c>
    </x:row>
    <x:row r="12" spans="1:16" x14ac:dyDescent="0.25">
      <x:c r="A12" s="157">
        <x:v>1</x:v>
      </x:c>
      <x:c r="B12" t="s">
        <x:v>33</x:v>
      </x:c>
      <x:c r="C12" s="164"/>
      <x:c r="D12" s="165">
        <x:f>+'[9]SUBS Seasonal Weights'!D11</x:f>
        <x:v>0.14154859947451823</x:v>
      </x:c>
      <x:c r="E12" s="165">
        <x:f>+'[9]SUBS Seasonal Weights'!E11</x:f>
        <x:v>0.13962994552815144</x:v>
      </x:c>
      <x:c r="F12" s="165">
        <x:f>+'[9]SUBS Seasonal Weights'!F11</x:f>
        <x:v>0.13634199209451564</x:v>
      </x:c>
      <x:c r="G12" s="165">
        <x:f>+'[9]SUBS Seasonal Weights'!G11</x:f>
        <x:v>0.14572046778128955</x:v>
      </x:c>
      <x:c r="H12" s="165">
        <x:f>+'[9]SUBS Seasonal Weights'!H11</x:f>
        <x:v>0.14382008189829601</x:v>
      </x:c>
      <x:c r="I12" s="165">
        <x:f>+'[9]SUBS Seasonal Weights'!I11</x:f>
        <x:v>0.14346249619808665</x:v>
      </x:c>
      <x:c r="J12" s="165">
        <x:f>+'[9]SUBS Seasonal Weights'!J11</x:f>
        <x:v>0.1498908592080847</x:v>
      </x:c>
      <x:c r="K12" s="165">
        <x:f>+'[9]SUBS Seasonal Weights'!K11</x:f>
        <x:v>0.13129772544025142</x:v>
      </x:c>
      <x:c r="L12" s="165">
        <x:f>+'[9]SUBS Seasonal Weights'!L11</x:f>
        <x:v>0.15275922181514207</x:v>
      </x:c>
      <x:c r="M12" s="165">
        <x:f>+'[9]SUBS Seasonal Weights'!M11</x:f>
        <x:v>0.15405295250346304</x:v>
      </x:c>
      <x:c r="N12" s="165">
        <x:f>+'[9]SUBS Seasonal Weights'!N11</x:f>
        <x:v>0.14075498036741704</x:v>
      </x:c>
      <x:c r="O12" s="165">
        <x:f>+'[9]SUBS Seasonal Weights'!O11</x:f>
        <x:v>0.12940968608265926</x:v>
      </x:c>
      <x:c r="P12" s="165">
        <x:f>+'[9]SUBS Seasonal Weights'!P11</x:f>
        <x:v>0.14219326350222491</x:v>
      </x:c>
    </x:row>
    <x:row r="13" spans="1:16" x14ac:dyDescent="0.25">
      <x:c r="A13" s="157">
        <x:f t="shared" ref="A13:A37" si="0">+A12+1</x:f>
        <x:v>2</x:v>
      </x:c>
      <x:c r="B13" t="s">
        <x:v>34</x:v>
      </x:c>
      <x:c r="C13" s="164"/>
      <x:c r="D13" s="165">
        <x:f>+'[9]SUBS Seasonal Weights'!D12</x:f>
        <x:v>0.65249039528870489</x:v>
      </x:c>
      <x:c r="E13" s="165">
        <x:f>+'[9]SUBS Seasonal Weights'!E12</x:f>
        <x:v>0.65531605833670348</x:v>
      </x:c>
      <x:c r="F13" s="165">
        <x:f>+'[9]SUBS Seasonal Weights'!F12</x:f>
        <x:v>0.6533101125965628</x:v>
      </x:c>
      <x:c r="G13" s="165">
        <x:f>+'[9]SUBS Seasonal Weights'!G12</x:f>
        <x:v>0.64162652647618634</x:v>
      </x:c>
      <x:c r="H13" s="165">
        <x:f>+'[9]SUBS Seasonal Weights'!H12</x:f>
        <x:v>0.65333017828954043</x:v>
      </x:c>
      <x:c r="I13" s="165">
        <x:f>+'[9]SUBS Seasonal Weights'!I12</x:f>
        <x:v>0.65843088967358931</x:v>
      </x:c>
      <x:c r="J13" s="165">
        <x:f>+'[9]SUBS Seasonal Weights'!J12</x:f>
        <x:v>0.64257626644176835</x:v>
      </x:c>
      <x:c r="K13" s="165">
        <x:f>+'[9]SUBS Seasonal Weights'!K12</x:f>
        <x:v>0.69529586374122698</x:v>
      </x:c>
      <x:c r="L13" s="165">
        <x:f>+'[9]SUBS Seasonal Weights'!L12</x:f>
        <x:v>0.63111788420200987</x:v>
      </x:c>
      <x:c r="M13" s="165">
        <x:f>+'[9]SUBS Seasonal Weights'!M12</x:f>
        <x:v>0.64582058286249466</x:v>
      </x:c>
      <x:c r="N13" s="165">
        <x:f>+'[9]SUBS Seasonal Weights'!N12</x:f>
        <x:v>0.66442709576302028</x:v>
      </x:c>
      <x:c r="O13" s="165">
        <x:f>+'[9]SUBS Seasonal Weights'!O12</x:f>
        <x:v>0.68716608384321543</x:v>
      </x:c>
      <x:c r="P13" s="165">
        <x:f>+'[9]SUBS Seasonal Weights'!P12</x:f>
        <x:v>0.65797552972543016</x:v>
      </x:c>
    </x:row>
    <x:row r="14" spans="1:16" x14ac:dyDescent="0.25">
      <x:c r="A14" s="157">
        <x:f t="shared" si="0"/>
        <x:v>3</x:v>
      </x:c>
      <x:c r="B14" t="s">
        <x:v>35</x:v>
      </x:c>
      <x:c r="C14" s="164"/>
      <x:c r="D14" s="165">
        <x:f>+'[9]SUBS Seasonal Weights'!D13</x:f>
        <x:v>2.0608100362199538E-2</x:v>
      </x:c>
      <x:c r="E14" s="165">
        <x:f>+'[9]SUBS Seasonal Weights'!E13</x:f>
        <x:v>2.1203114779982452E-2</x:v>
      </x:c>
      <x:c r="F14" s="165">
        <x:f>+'[9]SUBS Seasonal Weights'!F13</x:f>
        <x:v>2.2690679018283991E-2</x:v>
      </x:c>
      <x:c r="G14" s="165">
        <x:f>+'[9]SUBS Seasonal Weights'!G13</x:f>
        <x:v>2.1886196502919588E-2</x:v>
      </x:c>
      <x:c r="H14" s="165">
        <x:f>+'[9]SUBS Seasonal Weights'!H13</x:f>
        <x:v>2.2224288547166654E-2</x:v>
      </x:c>
      <x:c r="I14" s="165">
        <x:f>+'[9]SUBS Seasonal Weights'!I13</x:f>
        <x:v>2.3028575609353025E-2</x:v>
      </x:c>
      <x:c r="J14" s="165">
        <x:f>+'[9]SUBS Seasonal Weights'!J13</x:f>
        <x:v>2.6105442163010358E-2</x:v>
      </x:c>
      <x:c r="K14" s="165">
        <x:f>+'[9]SUBS Seasonal Weights'!K13</x:f>
        <x:v>1.9441098742374641E-2</x:v>
      </x:c>
      <x:c r="L14" s="165">
        <x:f>+'[9]SUBS Seasonal Weights'!L13</x:f>
        <x:v>3.1774282410086431E-2</x:v>
      </x:c>
      <x:c r="M14" s="165">
        <x:f>+'[9]SUBS Seasonal Weights'!M13</x:f>
        <x:v>2.2706457577107934E-2</x:v>
      </x:c>
      <x:c r="N14" s="165">
        <x:f>+'[9]SUBS Seasonal Weights'!N13</x:f>
        <x:v>2.3751792719232438E-2</x:v>
      </x:c>
      <x:c r="O14" s="165">
        <x:f>+'[9]SUBS Seasonal Weights'!O13</x:f>
        <x:v>2.2821050635134364E-2</x:v>
      </x:c>
      <x:c r="P14" s="165">
        <x:f>+'[9]SUBS Seasonal Weights'!P13</x:f>
        <x:v>2.3204546918233832E-2</x:v>
      </x:c>
    </x:row>
    <x:row r="15" spans="1:16" x14ac:dyDescent="0.25">
      <x:c r="A15" s="157">
        <x:f t="shared" si="0"/>
        <x:v>4</x:v>
      </x:c>
      <x:c r="B15" t="s">
        <x:v>36</x:v>
      </x:c>
      <x:c r="C15" s="164"/>
      <x:c r="D15" s="165">
        <x:f>+'[9]SUBS Seasonal Weights'!D14</x:f>
        <x:v>5.882837382150792E-2</x:v>
      </x:c>
      <x:c r="E15" s="165">
        <x:f>+'[9]SUBS Seasonal Weights'!E14</x:f>
        <x:v>5.718681021868155E-2</x:v>
      </x:c>
      <x:c r="F15" s="165">
        <x:f>+'[9]SUBS Seasonal Weights'!F14</x:f>
        <x:v>4.8746366680489948E-2</x:v>
      </x:c>
      <x:c r="G15" s="165">
        <x:f>+'[9]SUBS Seasonal Weights'!G14</x:f>
        <x:v>5.4126579904833133E-2</x:v>
      </x:c>
      <x:c r="H15" s="165">
        <x:f>+'[9]SUBS Seasonal Weights'!H14</x:f>
        <x:v>4.9721742154423633E-2</x:v>
      </x:c>
      <x:c r="I15" s="165">
        <x:f>+'[9]SUBS Seasonal Weights'!I14</x:f>
        <x:v>4.8828849862833104E-2</x:v>
      </x:c>
      <x:c r="J15" s="165">
        <x:f>+'[9]SUBS Seasonal Weights'!J14</x:f>
        <x:v>4.6574521329705743E-2</x:v>
      </x:c>
      <x:c r="K15" s="165">
        <x:f>+'[9]SUBS Seasonal Weights'!K14</x:f>
        <x:v>3.5978702008382719E-2</x:v>
      </x:c>
      <x:c r="L15" s="165">
        <x:f>+'[9]SUBS Seasonal Weights'!L14</x:f>
        <x:v>4.4572809613660822E-2</x:v>
      </x:c>
      <x:c r="M15" s="165">
        <x:f>+'[9]SUBS Seasonal Weights'!M14</x:f>
        <x:v>4.8189219046744218E-2</x:v>
      </x:c>
      <x:c r="N15" s="165">
        <x:f>+'[9]SUBS Seasonal Weights'!N14</x:f>
        <x:v>4.5810942260107464E-2</x:v>
      </x:c>
      <x:c r="O15" s="165">
        <x:f>+'[9]SUBS Seasonal Weights'!O14</x:f>
        <x:v>4.3008980939958662E-2</x:v>
      </x:c>
      <x:c r="P15" s="165">
        <x:f>+'[9]SUBS Seasonal Weights'!P14</x:f>
        <x:v>4.7873284392743229E-2</x:v>
      </x:c>
    </x:row>
    <x:row r="16" spans="1:16" x14ac:dyDescent="0.25">
      <x:c r="A16" s="157">
        <x:f t="shared" si="0"/>
        <x:v>5</x:v>
      </x:c>
      <x:c r="B16" t="s">
        <x:v>37</x:v>
      </x:c>
      <x:c r="C16" s="164"/>
      <x:c r="D16" s="165">
        <x:f>+'[9]SUBS Seasonal Weights'!D15</x:f>
        <x:v>1.2058500985016346E-2</x:v>
      </x:c>
      <x:c r="E16" s="165">
        <x:f>+'[9]SUBS Seasonal Weights'!E15</x:f>
        <x:v>7.4608386939913288E-3</x:v>
      </x:c>
      <x:c r="F16" s="165">
        <x:f>+'[9]SUBS Seasonal Weights'!F15</x:f>
        <x:v>8.2529335766341541E-3</x:v>
      </x:c>
      <x:c r="G16" s="165">
        <x:f>+'[9]SUBS Seasonal Weights'!G15</x:f>
        <x:v>9.1278488383019565E-3</x:v>
      </x:c>
      <x:c r="H16" s="165">
        <x:f>+'[9]SUBS Seasonal Weights'!H15</x:f>
        <x:v>1.0650656288193715E-2</x:v>
      </x:c>
      <x:c r="I16" s="165">
        <x:f>+'[9]SUBS Seasonal Weights'!I15</x:f>
        <x:v>1.2433409227827399E-2</x:v>
      </x:c>
      <x:c r="J16" s="165">
        <x:f>+'[9]SUBS Seasonal Weights'!J15</x:f>
        <x:v>1.126109327318022E-2</x:v>
      </x:c>
      <x:c r="K16" s="165">
        <x:f>+'[9]SUBS Seasonal Weights'!K15</x:f>
        <x:v>9.4969413704781222E-3</x:v>
      </x:c>
      <x:c r="L16" s="165">
        <x:f>+'[9]SUBS Seasonal Weights'!L15</x:f>
        <x:v>1.0384258255589309E-2</x:v>
      </x:c>
      <x:c r="M16" s="165">
        <x:f>+'[9]SUBS Seasonal Weights'!M15</x:f>
        <x:v>8.5114541419330243E-3</x:v>
      </x:c>
      <x:c r="N16" s="165">
        <x:f>+'[9]SUBS Seasonal Weights'!N15</x:f>
        <x:v>8.6927389928201284E-3</x:v>
      </x:c>
      <x:c r="O16" s="165">
        <x:f>+'[9]SUBS Seasonal Weights'!O15</x:f>
        <x:v>6.597380183308783E-3</x:v>
      </x:c>
      <x:c r="P16" s="165">
        <x:f>+'[9]SUBS Seasonal Weights'!P15</x:f>
        <x:v>9.5588755992415345E-3</x:v>
      </x:c>
    </x:row>
    <x:row r="17" spans="1:16" x14ac:dyDescent="0.25">
      <x:c r="A17" s="157">
        <x:f t="shared" si="0"/>
        <x:v>6</x:v>
      </x:c>
      <x:c r="B17" t="s">
        <x:v>38</x:v>
      </x:c>
      <x:c r="C17" s="164"/>
      <x:c r="D17" s="165">
        <x:f>+'[9]SUBS Seasonal Weights'!D16</x:f>
        <x:v>6.9936929105211515E-2</x:v>
      </x:c>
      <x:c r="E17" s="165">
        <x:f>+'[9]SUBS Seasonal Weights'!E16</x:f>
        <x:v>7.7000996055339596E-2</x:v>
      </x:c>
      <x:c r="F17" s="165">
        <x:f>+'[9]SUBS Seasonal Weights'!F16</x:f>
        <x:v>8.6179440315684308E-2</x:v>
      </x:c>
      <x:c r="G17" s="165">
        <x:f>+'[9]SUBS Seasonal Weights'!G16</x:f>
        <x:v>8.3934690676640569E-2</x:v>
      </x:c>
      <x:c r="H17" s="165">
        <x:f>+'[9]SUBS Seasonal Weights'!H16</x:f>
        <x:v>8.1291272907290657E-2</x:v>
      </x:c>
      <x:c r="I17" s="165">
        <x:f>+'[9]SUBS Seasonal Weights'!I16</x:f>
        <x:v>7.4308477786671226E-2</x:v>
      </x:c>
      <x:c r="J17" s="165">
        <x:f>+'[9]SUBS Seasonal Weights'!J16</x:f>
        <x:v>8.0990965670547671E-2</x:v>
      </x:c>
      <x:c r="K17" s="165">
        <x:f>+'[9]SUBS Seasonal Weights'!K16</x:f>
        <x:v>7.3742297232090886E-2</x:v>
      </x:c>
      <x:c r="L17" s="165">
        <x:f>+'[9]SUBS Seasonal Weights'!L16</x:f>
        <x:v>8.4971060575492918E-2</x:v>
      </x:c>
      <x:c r="M17" s="165">
        <x:f>+'[9]SUBS Seasonal Weights'!M16</x:f>
        <x:v>8.0118539071640696E-2</x:v>
      </x:c>
      <x:c r="N17" s="165">
        <x:f>+'[9]SUBS Seasonal Weights'!N16</x:f>
        <x:v>7.6539369351435432E-2</x:v>
      </x:c>
      <x:c r="O17" s="165">
        <x:f>+'[9]SUBS Seasonal Weights'!O16</x:f>
        <x:v>7.1992383937613327E-2</x:v>
      </x:c>
      <x:c r="P17" s="165">
        <x:f>+'[9]SUBS Seasonal Weights'!P16</x:f>
        <x:v>7.8229093503641184E-2</x:v>
      </x:c>
    </x:row>
    <x:row r="18" spans="1:16" x14ac:dyDescent="0.25">
      <x:c r="A18" s="157">
        <x:f t="shared" si="0"/>
        <x:v>7</x:v>
      </x:c>
      <x:c r="B18" t="s">
        <x:v>39</x:v>
      </x:c>
      <x:c r="C18" s="164"/>
      <x:c r="D18" s="165">
        <x:f>+'[9]SUBS Seasonal Weights'!D17</x:f>
        <x:v>8.6067885131653095E-3</x:v>
      </x:c>
      <x:c r="E18" s="165">
        <x:f>+'[9]SUBS Seasonal Weights'!E17</x:f>
        <x:v>8.7123329079682784E-3</x:v>
      </x:c>
      <x:c r="F18" s="165">
        <x:f>+'[9]SUBS Seasonal Weights'!F17</x:f>
        <x:v>9.9670018246665552E-3</x:v>
      </x:c>
      <x:c r="G18" s="165">
        <x:f>+'[9]SUBS Seasonal Weights'!G17</x:f>
        <x:v>1.094744112823284E-2</x:v>
      </x:c>
      <x:c r="H18" s="165">
        <x:f>+'[9]SUBS Seasonal Weights'!H17</x:f>
        <x:v>8.5862153520945388E-3</x:v>
      </x:c>
      <x:c r="I18" s="165">
        <x:f>+'[9]SUBS Seasonal Weights'!I17</x:f>
        <x:v>8.6365655370219761E-3</x:v>
      </x:c>
      <x:c r="J18" s="165">
        <x:f>+'[9]SUBS Seasonal Weights'!J17</x:f>
        <x:v>9.6625598330997153E-3</x:v>
      </x:c>
      <x:c r="K18" s="165">
        <x:f>+'[9]SUBS Seasonal Weights'!K17</x:f>
        <x:v>8.5505164833128613E-3</x:v>
      </x:c>
      <x:c r="L18" s="165">
        <x:f>+'[9]SUBS Seasonal Weights'!L17</x:f>
        <x:v>9.4515220800293169E-3</x:v>
      </x:c>
      <x:c r="M18" s="165">
        <x:f>+'[9]SUBS Seasonal Weights'!M17</x:f>
        <x:v>9.3738400501444715E-3</x:v>
      </x:c>
      <x:c r="N18" s="165">
        <x:f>+'[9]SUBS Seasonal Weights'!N17</x:f>
        <x:v>7.5336403443094892E-3</x:v>
      </x:c>
      <x:c r="O18" s="165">
        <x:f>+'[9]SUBS Seasonal Weights'!O17</x:f>
        <x:v>7.0414120430185726E-3</x:v>
      </x:c>
      <x:c r="P18" s="165">
        <x:f>+'[9]SUBS Seasonal Weights'!P17</x:f>
        <x:v>8.8712639075337867E-3</x:v>
      </x:c>
    </x:row>
    <x:row r="19" spans="1:16" x14ac:dyDescent="0.25">
      <x:c r="A19" s="157">
        <x:f t="shared" si="0"/>
        <x:v>8</x:v>
      </x:c>
      <x:c r="B19" t="s">
        <x:v>40</x:v>
      </x:c>
      <x:c r="C19" s="164"/>
      <x:c r="D19" s="165">
        <x:f>+'[9]SUBS Seasonal Weights'!D18</x:f>
        <x:v>2.1181036292996135E-2</x:v>
      </x:c>
      <x:c r="E19" s="165">
        <x:f>+'[9]SUBS Seasonal Weights'!E18</x:f>
        <x:v>2.0212328165085062E-2</x:v>
      </x:c>
      <x:c r="F19" s="165">
        <x:f>+'[9]SUBS Seasonal Weights'!F18</x:f>
        <x:v>2.1882600821757477E-2</x:v>
      </x:c>
      <x:c r="G19" s="165">
        <x:f>+'[9]SUBS Seasonal Weights'!G18</x:f>
        <x:v>2.1282688501334343E-2</x:v>
      </x:c>
      <x:c r="H19" s="165">
        <x:f>+'[9]SUBS Seasonal Weights'!H18</x:f>
        <x:v>2.0355611368189322E-2</x:v>
      </x:c>
      <x:c r="I19" s="165">
        <x:f>+'[9]SUBS Seasonal Weights'!I18</x:f>
        <x:v>2.1973645669284659E-2</x:v>
      </x:c>
      <x:c r="J19" s="165">
        <x:f>+'[9]SUBS Seasonal Weights'!J18</x:f>
        <x:v>2.1736229933253554E-2</x:v>
      </x:c>
      <x:c r="K19" s="165">
        <x:f>+'[9]SUBS Seasonal Weights'!K18</x:f>
        <x:v>1.714217604183477E-2</x:v>
      </x:c>
      <x:c r="L19" s="165">
        <x:f>+'[9]SUBS Seasonal Weights'!L18</x:f>
        <x:v>2.1243341539772607E-2</x:v>
      </x:c>
      <x:c r="M19" s="165">
        <x:f>+'[9]SUBS Seasonal Weights'!M18</x:f>
        <x:v>1.8606077539897618E-2</x:v>
      </x:c>
      <x:c r="N19" s="165">
        <x:f>+'[9]SUBS Seasonal Weights'!N18</x:f>
        <x:v>1.8203248108752294E-2</x:v>
      </x:c>
      <x:c r="O19" s="165">
        <x:f>+'[9]SUBS Seasonal Weights'!O18</x:f>
        <x:v>1.8055082609131599E-2</x:v>
      </x:c>
      <x:c r="P19" s="165">
        <x:f>+'[9]SUBS Seasonal Weights'!P18</x:f>
        <x:v>2.0018851865283981E-2</x:v>
      </x:c>
    </x:row>
    <x:row r="20" spans="1:16" x14ac:dyDescent="0.25">
      <x:c r="A20" s="157">
        <x:f t="shared" si="0"/>
        <x:v>9</x:v>
      </x:c>
      <x:c r="B20" t="s">
        <x:v>41</x:v>
      </x:c>
      <x:c r="C20" s="164"/>
      <x:c r="D20" s="165">
        <x:f>+'[9]SUBS Seasonal Weights'!D19</x:f>
        <x:v>1.4741276156680127E-2</x:v>
      </x:c>
      <x:c r="E20" s="165">
        <x:f>+'[9]SUBS Seasonal Weights'!E19</x:f>
        <x:v>1.3277575314096715E-2</x:v>
      </x:c>
      <x:c r="F20" s="165">
        <x:f>+'[9]SUBS Seasonal Weights'!F19</x:f>
        <x:v>1.2628873071405056E-2</x:v>
      </x:c>
      <x:c r="G20" s="165">
        <x:f>+'[9]SUBS Seasonal Weights'!G19</x:f>
        <x:v>1.1347560190261695E-2</x:v>
      </x:c>
      <x:c r="H20" s="165">
        <x:f>+'[9]SUBS Seasonal Weights'!H19</x:f>
        <x:v>1.0019953194805111E-2</x:v>
      </x:c>
      <x:c r="I20" s="165">
        <x:f>+'[9]SUBS Seasonal Weights'!I19</x:f>
        <x:v>8.8970904353327714E-3</x:v>
      </x:c>
      <x:c r="J20" s="165">
        <x:f>+'[9]SUBS Seasonal Weights'!J19</x:f>
        <x:v>1.1202062147349777E-2</x:v>
      </x:c>
      <x:c r="K20" s="165">
        <x:f>+'[9]SUBS Seasonal Weights'!K19</x:f>
        <x:v>9.0546789400474132E-3</x:v>
      </x:c>
      <x:c r="L20" s="165">
        <x:f>+'[9]SUBS Seasonal Weights'!L19</x:f>
        <x:v>1.3725619508216614E-2</x:v>
      </x:c>
      <x:c r="M20" s="165">
        <x:f>+'[9]SUBS Seasonal Weights'!M19</x:f>
        <x:v>1.262087720657425E-2</x:v>
      </x:c>
      <x:c r="N20" s="165">
        <x:f>+'[9]SUBS Seasonal Weights'!N19</x:f>
        <x:v>1.4286192092905485E-2</x:v>
      </x:c>
      <x:c r="O20" s="165">
        <x:f>+'[9]SUBS Seasonal Weights'!O19</x:f>
        <x:v>1.3907939725960045E-2</x:v>
      </x:c>
      <x:c r="P20" s="165">
        <x:f>+'[9]SUBS Seasonal Weights'!P19</x:f>
        <x:v>1.2075290585667321E-2</x:v>
      </x:c>
    </x:row>
    <x:row r="21" spans="1:16" x14ac:dyDescent="0.25">
      <x:c r="A21" s="157">
        <x:f t="shared" si="0"/>
        <x:v>10</x:v>
      </x:c>
      <x:c r="B21" t="s">
        <x:v>42</x:v>
      </x:c>
      <x:c r="C21" s="164"/>
      <x:c r="D21" s="165">
        <x:f>+'[9]SUBS Seasonal Weights'!D20</x:f>
        <x:v>0</x:v>
      </x:c>
      <x:c r="E21" s="165">
        <x:f>+'[9]SUBS Seasonal Weights'!E20</x:f>
        <x:v>0</x:v>
      </x:c>
      <x:c r="F21" s="165">
        <x:f>+'[9]SUBS Seasonal Weights'!F20</x:f>
        <x:v>0</x:v>
      </x:c>
      <x:c r="G21" s="165">
        <x:f>+'[9]SUBS Seasonal Weights'!G20</x:f>
        <x:v>0</x:v>
      </x:c>
      <x:c r="H21" s="165">
        <x:f>+'[9]SUBS Seasonal Weights'!H20</x:f>
        <x:v>0</x:v>
      </x:c>
      <x:c r="I21" s="165">
        <x:f>+'[9]SUBS Seasonal Weights'!I20</x:f>
        <x:v>0</x:v>
      </x:c>
      <x:c r="J21" s="165">
        <x:f>+'[9]SUBS Seasonal Weights'!J20</x:f>
        <x:v>0</x:v>
      </x:c>
      <x:c r="K21" s="165">
        <x:f>+'[9]SUBS Seasonal Weights'!K20</x:f>
        <x:v>0</x:v>
      </x:c>
      <x:c r="L21" s="165">
        <x:f>+'[9]SUBS Seasonal Weights'!L20</x:f>
        <x:v>0</x:v>
      </x:c>
      <x:c r="M21" s="165">
        <x:f>+'[9]SUBS Seasonal Weights'!M20</x:f>
        <x:v>0</x:v>
      </x:c>
      <x:c r="N21" s="165">
        <x:f>+'[9]SUBS Seasonal Weights'!N20</x:f>
        <x:v>0</x:v>
      </x:c>
      <x:c r="O21" s="165">
        <x:f>+'[9]SUBS Seasonal Weights'!O20</x:f>
        <x:v>0</x:v>
      </x:c>
      <x:c r="P21" s="165">
        <x:f>+'[9]SUBS Seasonal Weights'!P20</x:f>
        <x:v>0</x:v>
      </x:c>
    </x:row>
    <x:row r="22" spans="1:16" x14ac:dyDescent="0.25">
      <x:c r="A22" s="157">
        <x:f t="shared" si="0"/>
        <x:v>11</x:v>
      </x:c>
      <x:c r="C22" s="164"/>
      <x:c r="D22" s="163">
        <x:f t="shared" ref="D22:P22" si="1">SUM(D12:D21)</x:f>
        <x:v>1.0000000000000002</x:v>
      </x:c>
      <x:c r="E22" s="163">
        <x:f t="shared" si="1"/>
        <x:v>0.99999999999999989</x:v>
      </x:c>
      <x:c r="F22" s="163">
        <x:f t="shared" si="1"/>
        <x:v>1</x:v>
      </x:c>
      <x:c r="G22" s="163">
        <x:f t="shared" si="1"/>
        <x:v>1</x:v>
      </x:c>
      <x:c r="H22" s="163">
        <x:f t="shared" si="1"/>
        <x:v>1</x:v>
      </x:c>
      <x:c r="I22" s="163">
        <x:f t="shared" si="1"/>
        <x:v>1</x:v>
      </x:c>
      <x:c r="J22" s="163">
        <x:f t="shared" si="1"/>
        <x:v>1</x:v>
      </x:c>
      <x:c r="K22" s="163">
        <x:f t="shared" si="1"/>
        <x:v>0.99999999999999978</x:v>
      </x:c>
      <x:c r="L22" s="163">
        <x:f t="shared" si="1"/>
        <x:v>0.99999999999999989</x:v>
      </x:c>
      <x:c r="M22" s="163">
        <x:f t="shared" si="1"/>
        <x:v>1</x:v>
      </x:c>
      <x:c r="N22" s="163">
        <x:f t="shared" si="1"/>
        <x:v>1</x:v>
      </x:c>
      <x:c r="O22" s="163">
        <x:f t="shared" si="1"/>
        <x:v>1</x:v>
      </x:c>
      <x:c r="P22" s="163">
        <x:f t="shared" si="1"/>
        <x:v>0.99999999999999989</x:v>
      </x:c>
    </x:row>
    <x:row r="23" spans="1:16" x14ac:dyDescent="0.25">
      <x:c r="A23" s="157">
        <x:f t="shared" si="0"/>
        <x:v>12</x:v>
      </x:c>
    </x:row>
    <x:row r="24" spans="1:16" ht="15.5" x14ac:dyDescent="0.35">
      <x:c r="A24" s="157">
        <x:f t="shared" si="0"/>
        <x:v>13</x:v>
      </x:c>
      <x:c r="D24" s="234" t="s">
        <x:v>97</x:v>
      </x:c>
      <x:c r="E24" s="235"/>
      <x:c r="F24" s="236"/>
      <x:c r="G24" s="148"/>
      <x:c r="H24" s="148"/>
      <x:c r="I24" s="150"/>
      <x:c r="J24" s="150"/>
    </x:row>
    <x:row r="25" spans="1:16" x14ac:dyDescent="0.25">
      <x:c r="A25" s="157">
        <x:f t="shared" si="0"/>
        <x:v>14</x:v>
      </x:c>
      <x:c r="D25" s="155" t="s">
        <x:v>56</x:v>
      </x:c>
      <x:c r="F25" s="155" t="s">
        <x:v>57</x:v>
      </x:c>
    </x:row>
    <x:row r="26" spans="1:16" x14ac:dyDescent="0.25">
      <x:c r="A26" s="157">
        <x:f t="shared" si="0"/>
        <x:v>15</x:v>
      </x:c>
      <x:c r="B26" s="162" t="s">
        <x:v>68</x:v>
      </x:c>
      <x:c r="D26" s="161" t="s">
        <x:v>58</x:v>
      </x:c>
      <x:c r="F26" s="161" t="s">
        <x:v>59</x:v>
      </x:c>
    </x:row>
    <x:row r="27" spans="1:16" x14ac:dyDescent="0.25">
      <x:c r="A27" s="157">
        <x:f t="shared" si="0"/>
        <x:v>16</x:v>
      </x:c>
      <x:c r="B27" s="155" t="s">
        <x:v>33</x:v>
      </x:c>
      <x:c r="D27" s="158">
        <x:f t="shared" ref="D27:D36" si="2">ROUND(AVERAGE(D12:F12,N12:O12),3)</x:f>
        <x:v>0.13800000000000001</x:v>
      </x:c>
      <x:c r="E27" s="160"/>
      <x:c r="F27" s="158">
        <x:f t="shared" ref="F27:F36" si="3">ROUND(AVERAGE(H12:L12),3)</x:f>
        <x:v>0.14399999999999999</x:v>
      </x:c>
    </x:row>
    <x:row r="28" spans="1:16" x14ac:dyDescent="0.25">
      <x:c r="A28" s="157">
        <x:f t="shared" si="0"/>
        <x:v>17</x:v>
      </x:c>
      <x:c r="B28" s="155" t="s">
        <x:v>34</x:v>
      </x:c>
      <x:c r="D28" s="158">
        <x:f t="shared" si="2"/>
        <x:v>0.66300000000000003</x:v>
      </x:c>
      <x:c r="E28" s="160"/>
      <x:c r="F28" s="158">
        <x:f t="shared" si="3"/>
        <x:v>0.65600000000000003</x:v>
      </x:c>
    </x:row>
    <x:row r="29" spans="1:16" x14ac:dyDescent="0.25">
      <x:c r="A29" s="157">
        <x:f t="shared" si="0"/>
        <x:v>18</x:v>
      </x:c>
      <x:c r="B29" s="155" t="s">
        <x:v>35</x:v>
      </x:c>
      <x:c r="D29" s="158">
        <x:f t="shared" si="2"/>
        <x:v>2.1999999999999999E-2</x:v>
      </x:c>
      <x:c r="E29" s="160"/>
      <x:c r="F29" s="158">
        <x:f t="shared" si="3"/>
        <x:v>2.5000000000000001E-2</x:v>
      </x:c>
    </x:row>
    <x:row r="30" spans="1:16" x14ac:dyDescent="0.25">
      <x:c r="A30" s="157">
        <x:f t="shared" si="0"/>
        <x:v>19</x:v>
      </x:c>
      <x:c r="B30" s="155" t="s">
        <x:v>36</x:v>
      </x:c>
      <x:c r="D30" s="158">
        <x:f t="shared" si="2"/>
        <x:v>5.0999999999999997E-2</x:v>
      </x:c>
      <x:c r="E30" s="160"/>
      <x:c r="F30" s="158">
        <x:f t="shared" si="3"/>
        <x:v>4.4999999999999998E-2</x:v>
      </x:c>
    </x:row>
    <x:row r="31" spans="1:16" x14ac:dyDescent="0.25">
      <x:c r="A31" s="157">
        <x:f t="shared" si="0"/>
        <x:v>20</x:v>
      </x:c>
      <x:c r="B31" s="155" t="s">
        <x:v>37</x:v>
      </x:c>
      <x:c r="D31" s="158">
        <x:f t="shared" si="2"/>
        <x:v>8.9999999999999993E-3</x:v>
      </x:c>
      <x:c r="E31" s="160"/>
      <x:c r="F31" s="158">
        <x:f t="shared" si="3"/>
        <x:v>1.0999999999999999E-2</x:v>
      </x:c>
    </x:row>
    <x:row r="32" spans="1:16" x14ac:dyDescent="0.25">
      <x:c r="A32" s="157">
        <x:f t="shared" si="0"/>
        <x:v>21</x:v>
      </x:c>
      <x:c r="B32" s="155" t="s">
        <x:v>38</x:v>
      </x:c>
      <x:c r="D32" s="158">
        <x:f t="shared" si="2"/>
        <x:v>7.5999999999999998E-2</x:v>
      </x:c>
      <x:c r="E32" s="160"/>
      <x:c r="F32" s="158">
        <x:f t="shared" si="3"/>
        <x:v>7.9000000000000001E-2</x:v>
      </x:c>
    </x:row>
    <x:row r="33" spans="1:6" x14ac:dyDescent="0.25">
      <x:c r="A33" s="157">
        <x:f t="shared" si="0"/>
        <x:v>22</x:v>
      </x:c>
      <x:c r="B33" s="155" t="s">
        <x:v>39</x:v>
      </x:c>
      <x:c r="D33" s="158">
        <x:f t="shared" si="2"/>
        <x:v>8.0000000000000002E-3</x:v>
      </x:c>
      <x:c r="E33" s="160"/>
      <x:c r="F33" s="158">
        <x:f t="shared" si="3"/>
        <x:v>8.9999999999999993E-3</x:v>
      </x:c>
    </x:row>
    <x:row r="34" spans="1:6" x14ac:dyDescent="0.25">
      <x:c r="A34" s="157">
        <x:f t="shared" si="0"/>
        <x:v>23</x:v>
      </x:c>
      <x:c r="B34" s="155" t="s">
        <x:v>40</x:v>
      </x:c>
      <x:c r="D34" s="158">
        <x:f t="shared" si="2"/>
        <x:v>0.02</x:v>
      </x:c>
      <x:c r="E34" s="160"/>
      <x:c r="F34" s="158">
        <x:f t="shared" si="3"/>
        <x:v>0.02</x:v>
      </x:c>
    </x:row>
    <x:row r="35" spans="1:6" x14ac:dyDescent="0.25">
      <x:c r="A35" s="157">
        <x:f t="shared" si="0"/>
        <x:v>24</x:v>
      </x:c>
      <x:c r="B35" s="155" t="s">
        <x:v>41</x:v>
      </x:c>
      <x:c r="D35" s="158">
        <x:f t="shared" si="2"/>
        <x:v>1.4E-2</x:v>
      </x:c>
      <x:c r="E35" s="160"/>
      <x:c r="F35" s="158">
        <x:f t="shared" si="3"/>
        <x:v>1.0999999999999999E-2</x:v>
      </x:c>
    </x:row>
    <x:row r="36" spans="1:6" x14ac:dyDescent="0.25">
      <x:c r="A36" s="157">
        <x:f t="shared" si="0"/>
        <x:v>25</x:v>
      </x:c>
      <x:c r="B36" s="155" t="s">
        <x:v>42</x:v>
      </x:c>
      <x:c r="D36" s="158">
        <x:f t="shared" si="2"/>
        <x:v>0</x:v>
      </x:c>
      <x:c r="E36" s="159"/>
      <x:c r="F36" s="158">
        <x:f t="shared" si="3"/>
        <x:v>0</x:v>
      </x:c>
    </x:row>
    <x:row r="37" spans="1:6" x14ac:dyDescent="0.25">
      <x:c r="A37" s="157">
        <x:f t="shared" si="0"/>
        <x:v>26</x:v>
      </x:c>
      <x:c r="D37" s="156">
        <x:f>AVERAGE(D22:F22,N22:O22)</x:f>
        <x:v>1</x:v>
      </x:c>
      <x:c r="F37" s="156">
        <x:f>AVERAGE(H22:L22)</x:f>
        <x:v>1</x:v>
      </x:c>
    </x:row>
  </x:sheetData>
  <x:mergeCells count="9">
    <x:mergeCell ref="B8:P8"/>
    <x:mergeCell ref="B9:P9"/>
    <x:mergeCell ref="D24:F24"/>
    <x:mergeCell ref="B1:P1"/>
    <x:mergeCell ref="B2:P2"/>
    <x:mergeCell ref="B3:P3"/>
    <x:mergeCell ref="B4:P4"/>
    <x:mergeCell ref="B5:F5"/>
    <x:mergeCell ref="B6:P6"/>
  </x:mergeCells>
  <x:printOptions horizontalCentered="1"/>
  <x:pageMargins left="1.5" right="0.5" top="1.5" bottom="1" header="1" footer="0.5"/>
  <x:pageSetup scale="56" firstPageNumber="3" orientation="portrait" r:id="rId1"/>
  <x:headerFooter alignWithMargins="0">
    <x:oddHeader>&amp;RSchedule II-H-5.2
Page &amp;P of 37</x:oddHeader>
  </x:headerFooter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BBDD96-0A3B-4862-A5AA-7D4AA840294B}" mc:Ignorable="x14ac xr xr2 xr3">
  <x:sheetPr>
    <x:pageSetUpPr fitToPage="1"/>
  </x:sheetPr>
  <x:dimension ref="A1:H46"/>
  <x:sheetViews>
    <x:sheetView tabSelected="1" zoomScaleNormal="100" workbookViewId="0"/>
  </x:sheetViews>
  <x:sheetFormatPr defaultRowHeight="12.5" x14ac:dyDescent="0.25"/>
  <x:cols>
    <x:col min="1" max="1" width="9.08984375" style="192" customWidth="1"/>
    <x:col min="2" max="2" width="16.36328125" customWidth="1"/>
    <x:col min="3" max="3" width="9.54296875" bestFit="1" customWidth="1"/>
    <x:col min="4" max="4" width="10" customWidth="1"/>
    <x:col min="5" max="5" width="1.453125" customWidth="1"/>
    <x:col min="6" max="6" width="16.36328125" bestFit="1" customWidth="1"/>
    <x:col min="7" max="7" width="9.54296875" bestFit="1" customWidth="1"/>
    <x:col min="8" max="8" width="11.54296875" customWidth="1"/>
  </x:cols>
  <x:sheetData>
    <x:row r="1" spans="1:8" ht="15.5" x14ac:dyDescent="0.35">
      <x:c r="B1" s="209" t="str">
        <x:f>+RES!B1</x:f>
        <x:v xml:space="preserve">PUC DOCKET NO. </x:v>
      </x:c>
      <x:c r="C1" s="212"/>
      <x:c r="D1" s="212"/>
      <x:c r="E1" s="212"/>
      <x:c r="F1" s="212"/>
      <x:c r="G1" s="212"/>
      <x:c r="H1" s="212"/>
    </x:row>
    <x:row r="2" spans="1:8" ht="15.5" x14ac:dyDescent="0.35">
      <x:c r="B2" s="209" t="str">
        <x:f>+RES!B2</x:f>
        <x:v>ONCOR ELECTRIC DELIVERY COMPANY LLC</x:v>
      </x:c>
      <x:c r="C2" s="209"/>
      <x:c r="D2" s="209"/>
      <x:c r="E2" s="209"/>
      <x:c r="F2" s="209"/>
      <x:c r="G2" s="212"/>
      <x:c r="H2" s="212"/>
    </x:row>
    <x:row r="3" spans="1:8" ht="15.5" x14ac:dyDescent="0.35">
      <x:c r="B3" s="209" t="str">
        <x:f>+RES!B3</x:f>
        <x:v>ADJUSTED WEATHER STATION DATA</x:v>
      </x:c>
      <x:c r="C3" s="209"/>
      <x:c r="D3" s="209"/>
      <x:c r="E3" s="209"/>
      <x:c r="F3" s="209"/>
      <x:c r="G3" s="212"/>
      <x:c r="H3" s="212"/>
    </x:row>
    <x:row r="4" spans="1:8" ht="15.5" x14ac:dyDescent="0.35">
      <x:c r="B4" s="209" t="str">
        <x:f>+RES!B4</x:f>
        <x:v>FOR THE TEST YEAR ENDING DECEMBER 31, 2024</x:v>
      </x:c>
      <x:c r="C4" s="209"/>
      <x:c r="D4" s="209"/>
      <x:c r="E4" s="209"/>
      <x:c r="F4" s="209"/>
      <x:c r="G4" s="212"/>
      <x:c r="H4" s="212"/>
    </x:row>
    <x:row r="5" spans="1:8" ht="15.5" x14ac:dyDescent="0.35">
      <x:c r="B5" s="209"/>
      <x:c r="C5" s="209"/>
      <x:c r="D5" s="209"/>
      <x:c r="E5" s="209"/>
      <x:c r="F5" s="209"/>
    </x:row>
    <x:row r="6" spans="1:8" ht="15.5" x14ac:dyDescent="0.35">
      <x:c r="B6" s="209" t="str">
        <x:f>+RES!B6</x:f>
        <x:v>SPONSOR: D. E. NELSON</x:v>
      </x:c>
      <x:c r="C6" s="209"/>
      <x:c r="D6" s="209"/>
      <x:c r="E6" s="209"/>
      <x:c r="F6" s="209"/>
      <x:c r="G6" s="212"/>
      <x:c r="H6" s="212"/>
    </x:row>
    <x:row r="7" spans="1:8" ht="15.5" x14ac:dyDescent="0.35">
      <x:c r="B7" s="191"/>
      <x:c r="C7" s="191"/>
      <x:c r="D7" s="191"/>
      <x:c r="E7" s="191"/>
      <x:c r="F7" s="191"/>
      <x:c r="G7" s="193"/>
      <x:c r="H7" s="193"/>
    </x:row>
    <x:row r="8" spans="1:8" ht="15.5" x14ac:dyDescent="0.35">
      <x:c r="B8" s="209" t="s">
        <x:v>55</x:v>
      </x:c>
      <x:c r="C8" s="209"/>
      <x:c r="D8" s="209"/>
      <x:c r="E8" s="209"/>
      <x:c r="F8" s="209"/>
      <x:c r="G8" s="212"/>
      <x:c r="H8" s="212"/>
    </x:row>
    <x:row r="9" spans="1:8" x14ac:dyDescent="0.25">
      <x:c r="A9" s="192" t="s">
        <x:v>6</x:v>
      </x:c>
      <x:c r="B9" s="192" t="s">
        <x:v>9</x:v>
      </x:c>
      <x:c r="C9" s="192" t="s">
        <x:v>10</x:v>
      </x:c>
      <x:c r="D9" s="6" t="s">
        <x:v>12</x:v>
      </x:c>
      <x:c r="E9" s="6"/>
      <x:c r="F9" s="6" t="s">
        <x:v>11</x:v>
      </x:c>
      <x:c r="G9" s="6" t="s">
        <x:v>53</x:v>
      </x:c>
      <x:c r="H9" s="6" t="s">
        <x:v>54</x:v>
      </x:c>
    </x:row>
    <x:row r="10" spans="1:8" ht="13.5" thickBot="1" x14ac:dyDescent="0.35">
      <x:c r="A10" s="5" t="s">
        <x:v>8</x:v>
      </x:c>
      <x:c r="B10" s="241" t="s">
        <x:v>48</x:v>
      </x:c>
      <x:c r="C10" s="242"/>
      <x:c r="D10" s="242"/>
      <x:c r="E10" s="105"/>
      <x:c r="F10" s="239" t="s">
        <x:v>32</x:v>
      </x:c>
      <x:c r="G10" s="240"/>
      <x:c r="H10" s="240"/>
    </x:row>
    <x:row r="11" spans="1:8" x14ac:dyDescent="0.25">
      <x:c r="A11" s="192">
        <x:v>1</x:v>
      </x:c>
      <x:c r="B11" s="106" t="s">
        <x:v>107</x:v>
      </x:c>
      <x:c r="C11" s="107" t="s">
        <x:v>50</x:v>
      </x:c>
      <x:c r="D11" s="107" t="s">
        <x:v>52</x:v>
      </x:c>
      <x:c r="E11" s="106"/>
      <x:c r="F11" s="106" t="s">
        <x:v>107</x:v>
      </x:c>
      <x:c r="G11" s="107" t="s">
        <x:v>50</x:v>
      </x:c>
      <x:c r="H11" s="107" t="s">
        <x:v>52</x:v>
      </x:c>
    </x:row>
    <x:row r="12" spans="1:8" x14ac:dyDescent="0.25">
      <x:c r="A12" s="192">
        <x:f>+A11+1</x:f>
        <x:v>2</x:v>
      </x:c>
      <x:c r="B12" s="106">
        <x:v>65</x:v>
      </x:c>
      <x:c r="C12" s="110">
        <x:f>+'[10]RES Spline Model'!C45</x:f>
        <x:v>533.50400000000002</x:v>
      </x:c>
      <x:c r="D12" s="130">
        <x:f>ROUND(C12/$C$16,5)</x:f>
        <x:v>9.2859999999999998E-2</x:v>
      </x:c>
      <x:c r="E12" s="106"/>
      <x:c r="F12" s="108">
        <x:v>65</x:v>
      </x:c>
      <x:c r="G12" s="107">
        <x:f>+'[10]RES Spline Model'!C46</x:f>
        <x:v>1652.3579999999999</x:v>
      </x:c>
      <x:c r="H12" s="130">
        <x:f>ROUND(G12/$G$16,5)</x:f>
        <x:v>0.28793999999999997</x:v>
      </x:c>
    </x:row>
    <x:row r="13" spans="1:8" x14ac:dyDescent="0.25">
      <x:c r="A13" s="192">
        <x:f>+A12+1</x:f>
        <x:v>3</x:v>
      </x:c>
      <x:c r="B13" s="106">
        <x:v>60</x:v>
      </x:c>
      <x:c r="C13" s="110">
        <x:f>+'[10]RES Spline Model'!C44</x:f>
        <x:v>895.30499999999995</x:v>
      </x:c>
      <x:c r="D13" s="130">
        <x:f>ROUND(C13/$C$16,5)</x:f>
        <x:v>0.15584000000000001</x:v>
      </x:c>
      <x:c r="E13" s="111"/>
      <x:c r="F13" s="108">
        <x:v>70</x:v>
      </x:c>
      <x:c r="G13" s="107">
        <x:f>+'[10]RES Spline Model'!C47</x:f>
        <x:v>1406.229</x:v>
      </x:c>
      <x:c r="H13" s="130">
        <x:f>ROUND(G13/$G$16,5)</x:f>
        <x:v>0.24504999999999999</x:v>
      </x:c>
    </x:row>
    <x:row r="14" spans="1:8" x14ac:dyDescent="0.25">
      <x:c r="A14" s="192">
        <x:f t="shared" ref="A14:A45" si="0">+A13+1</x:f>
        <x:v>4</x:v>
      </x:c>
      <x:c r="B14" s="108">
        <x:v>55</x:v>
      </x:c>
      <x:c r="C14" s="110">
        <x:f>+'[10]RES Spline Model'!C43</x:f>
        <x:v>1637.5029999999999</x:v>
      </x:c>
      <x:c r="D14" s="130">
        <x:f>ROUND(C14/$C$16,5)</x:f>
        <x:v>0.28503000000000001</x:v>
      </x:c>
      <x:c r="E14" s="111"/>
      <x:c r="F14" s="108">
        <x:v>75</x:v>
      </x:c>
      <x:c r="G14" s="107">
        <x:f>+'[10]RES Spline Model'!C48</x:f>
        <x:v>2267.92</x:v>
      </x:c>
      <x:c r="H14" s="130">
        <x:f>ROUND(G14/$G$16,5)</x:f>
        <x:v>0.39521000000000001</x:v>
      </x:c>
    </x:row>
    <x:row r="15" spans="1:8" ht="13" thickBot="1" x14ac:dyDescent="0.3">
      <x:c r="A15" s="192">
        <x:f t="shared" si="0"/>
        <x:v>5</x:v>
      </x:c>
      <x:c r="B15" s="108">
        <x:v>45</x:v>
      </x:c>
      <x:c r="C15" s="110">
        <x:f>+'[10]RES Spline Model'!C42</x:f>
        <x:v>2678.7350000000001</x:v>
      </x:c>
      <x:c r="D15" s="130">
        <x:f>ROUND(C15/$C$16,5)</x:f>
        <x:v>0.46627000000000002</x:v>
      </x:c>
      <x:c r="E15" s="111"/>
      <x:c r="F15" s="113">
        <x:v>80</x:v>
      </x:c>
      <x:c r="G15" s="107">
        <x:f>+'[10]RES Spline Model'!C49</x:f>
        <x:v>412.01</x:v>
      </x:c>
      <x:c r="H15" s="130">
        <x:f>ROUND(G15/$G$16,5)</x:f>
        <x:v>7.1800000000000003E-2</x:v>
      </x:c>
    </x:row>
    <x:row r="16" spans="1:8" x14ac:dyDescent="0.25">
      <x:c r="A16" s="192">
        <x:f t="shared" si="0"/>
        <x:v>6</x:v>
      </x:c>
      <x:c r="B16" s="114" t="s">
        <x:v>51</x:v>
      </x:c>
      <x:c r="C16" s="115">
        <x:f>SUM(C12:C15)</x:f>
        <x:v>5745.0470000000005</x:v>
      </x:c>
      <x:c r="D16" s="131">
        <x:f>SUM(D12:D15)</x:f>
        <x:v>1</x:v>
      </x:c>
      <x:c r="E16" s="111"/>
      <x:c r="F16" s="114" t="s">
        <x:v>51</x:v>
      </x:c>
      <x:c r="G16" s="115">
        <x:f>SUM(G12:G15)</x:f>
        <x:v>5738.5169999999998</x:v>
      </x:c>
      <x:c r="H16" s="131">
        <x:f>SUM(H12:H15)</x:f>
        <x:v>0.99999999999999989</x:v>
      </x:c>
    </x:row>
    <x:row r="17" spans="1:8" x14ac:dyDescent="0.25">
      <x:c r="A17" s="192">
        <x:f t="shared" si="0"/>
        <x:v>7</x:v>
      </x:c>
    </x:row>
    <x:row r="18" spans="1:8" ht="30" customHeight="1" thickBot="1" x14ac:dyDescent="0.35">
      <x:c r="A18" s="192">
        <x:f t="shared" si="0"/>
        <x:v>8</x:v>
      </x:c>
      <x:c r="B18" s="237" t="s">
        <x:v>117</x:v>
      </x:c>
      <x:c r="C18" s="238"/>
      <x:c r="D18" s="238"/>
      <x:c r="E18" s="105"/>
      <x:c r="F18" s="237" t="s">
        <x:v>118</x:v>
      </x:c>
      <x:c r="G18" s="238"/>
      <x:c r="H18" s="238"/>
    </x:row>
    <x:row r="19" spans="1:8" x14ac:dyDescent="0.25">
      <x:c r="A19" s="192">
        <x:f t="shared" si="0"/>
        <x:v>9</x:v>
      </x:c>
      <x:c r="B19" s="106" t="s">
        <x:v>107</x:v>
      </x:c>
      <x:c r="C19" s="107" t="s">
        <x:v>50</x:v>
      </x:c>
      <x:c r="D19" s="107" t="s">
        <x:v>52</x:v>
      </x:c>
      <x:c r="E19" s="106"/>
      <x:c r="F19" s="106" t="s">
        <x:v>107</x:v>
      </x:c>
      <x:c r="G19" s="107" t="s">
        <x:v>50</x:v>
      </x:c>
      <x:c r="H19" s="107" t="s">
        <x:v>52</x:v>
      </x:c>
    </x:row>
    <x:row r="20" spans="1:8" x14ac:dyDescent="0.25">
      <x:c r="A20" s="192">
        <x:f t="shared" si="0"/>
        <x:v>10</x:v>
      </x:c>
      <x:c r="B20" s="108">
        <x:v>65</x:v>
      </x:c>
      <x:c r="C20" s="117">
        <x:f>+'[10]GSS Spline Model'!C44</x:f>
        <x:v>13.738</x:v>
      </x:c>
      <x:c r="D20" s="130">
        <x:f>ROUND(C20/$C$23,5)</x:f>
        <x:v>0.18385000000000001</x:v>
      </x:c>
      <x:c r="E20" s="111"/>
      <x:c r="F20" s="106">
        <x:v>65</x:v>
      </x:c>
      <x:c r="G20" s="107">
        <x:f>+'[10]GSS Spline Model'!C45</x:f>
        <x:v>21.484999999999999</x:v>
      </x:c>
      <x:c r="H20" s="130">
        <x:f>ROUND(G20/$G$23,5)</x:f>
        <x:v>0.27714</x:v>
      </x:c>
    </x:row>
    <x:row r="21" spans="1:8" x14ac:dyDescent="0.25">
      <x:c r="A21" s="192">
        <x:f t="shared" si="0"/>
        <x:v>11</x:v>
      </x:c>
      <x:c r="B21" s="108">
        <x:v>55</x:v>
      </x:c>
      <x:c r="C21" s="117">
        <x:f>+'[10]GSS Spline Model'!C43</x:f>
        <x:v>27.053000000000001</x:v>
      </x:c>
      <x:c r="D21" s="130">
        <x:f>ROUND(C21/$C$23,5)</x:f>
        <x:v>0.36203000000000002</x:v>
      </x:c>
      <x:c r="E21" s="111"/>
      <x:c r="F21" s="108">
        <x:v>70</x:v>
      </x:c>
      <x:c r="G21" s="107">
        <x:f>+'[10]GSS Spline Model'!C46</x:f>
        <x:v>21.545999999999999</x:v>
      </x:c>
      <x:c r="H21" s="130">
        <x:f>ROUND(G21/$G$23,5)</x:f>
        <x:v>0.27793000000000001</x:v>
      </x:c>
    </x:row>
    <x:row r="22" spans="1:8" ht="13" thickBot="1" x14ac:dyDescent="0.3">
      <x:c r="A22" s="192">
        <x:f t="shared" si="0"/>
        <x:v>12</x:v>
      </x:c>
      <x:c r="B22" s="192">
        <x:v>45</x:v>
      </x:c>
      <x:c r="C22" s="117">
        <x:f>+'[10]GSS Spline Model'!C42</x:f>
        <x:v>33.933999999999997</x:v>
      </x:c>
      <x:c r="D22" s="130">
        <x:f>ROUND(C22/$C$23,5)</x:f>
        <x:v>0.45412000000000002</x:v>
      </x:c>
      <x:c r="E22" s="111"/>
      <x:c r="F22" s="108">
        <x:v>75</x:v>
      </x:c>
      <x:c r="G22" s="107">
        <x:f>+'[10]GSS Spline Model'!C47</x:f>
        <x:v>34.493000000000002</x:v>
      </x:c>
      <x:c r="H22" s="130">
        <x:f>ROUND(G22/$G$23,5)</x:f>
        <x:v>0.44492999999999999</x:v>
      </x:c>
    </x:row>
    <x:row r="23" spans="1:8" x14ac:dyDescent="0.25">
      <x:c r="A23" s="192">
        <x:f t="shared" si="0"/>
        <x:v>13</x:v>
      </x:c>
      <x:c r="B23" s="114" t="s">
        <x:v>51</x:v>
      </x:c>
      <x:c r="C23" s="115">
        <x:f>SUM(C20:C22)</x:f>
        <x:v>74.724999999999994</x:v>
      </x:c>
      <x:c r="D23" s="131">
        <x:f>SUM(D20:D22)</x:f>
        <x:v>1</x:v>
      </x:c>
      <x:c r="E23" s="111"/>
      <x:c r="F23" s="114" t="s">
        <x:v>51</x:v>
      </x:c>
      <x:c r="G23" s="118">
        <x:f>SUM(G20:G22)</x:f>
        <x:v>77.524000000000001</x:v>
      </x:c>
      <x:c r="H23" s="131">
        <x:f>SUM(H20:H22)</x:f>
        <x:v>1</x:v>
      </x:c>
    </x:row>
    <x:row r="24" spans="1:8" x14ac:dyDescent="0.25">
      <x:c r="A24" s="192">
        <x:f t="shared" si="0"/>
        <x:v>14</x:v>
      </x:c>
    </x:row>
    <x:row r="25" spans="1:8" x14ac:dyDescent="0.25">
      <x:c r="A25" s="192">
        <x:f t="shared" si="0"/>
        <x:v>15</x:v>
      </x:c>
      <x:c r="B25" s="116"/>
      <x:c r="C25" s="119"/>
      <x:c r="D25" s="119"/>
      <x:c r="E25" s="120"/>
      <x:c r="F25" s="120"/>
      <x:c r="G25" s="120"/>
      <x:c r="H25" s="120"/>
    </x:row>
    <x:row r="26" spans="1:8" ht="30.65" customHeight="1" thickBot="1" x14ac:dyDescent="0.35">
      <x:c r="A26" s="192">
        <x:f t="shared" si="0"/>
        <x:v>16</x:v>
      </x:c>
      <x:c r="B26" s="237" t="s">
        <x:v>120</x:v>
      </x:c>
      <x:c r="C26" s="238"/>
      <x:c r="D26" s="238"/>
      <x:c r="E26" s="105"/>
      <x:c r="F26" s="237" t="s">
        <x:v>119</x:v>
      </x:c>
      <x:c r="G26" s="238"/>
      <x:c r="H26" s="238"/>
    </x:row>
    <x:row r="27" spans="1:8" x14ac:dyDescent="0.25">
      <x:c r="A27" s="192">
        <x:f t="shared" si="0"/>
        <x:v>17</x:v>
      </x:c>
      <x:c r="B27" s="106" t="s">
        <x:v>107</x:v>
      </x:c>
      <x:c r="C27" s="107" t="s">
        <x:v>50</x:v>
      </x:c>
      <x:c r="D27" s="107" t="s">
        <x:v>52</x:v>
      </x:c>
      <x:c r="E27" s="106"/>
      <x:c r="F27" s="106" t="s">
        <x:v>107</x:v>
      </x:c>
      <x:c r="G27" s="107" t="s">
        <x:v>50</x:v>
      </x:c>
      <x:c r="H27" s="107" t="s">
        <x:v>52</x:v>
      </x:c>
    </x:row>
    <x:row r="28" spans="1:8" x14ac:dyDescent="0.25">
      <x:c r="A28" s="192">
        <x:f t="shared" si="0"/>
        <x:v>18</x:v>
      </x:c>
      <x:c r="B28" s="106"/>
      <x:c r="C28" s="107"/>
      <x:c r="D28" s="107"/>
      <x:c r="E28" s="106"/>
      <x:c r="F28" s="106">
        <x:v>55</x:v>
      </x:c>
      <x:c r="G28" s="107">
        <x:f>+'[10]GSL Spline Model'!C50</x:f>
        <x:v>229.85599999999999</x:v>
      </x:c>
      <x:c r="H28" s="130">
        <x:f>ROUND(G28/$G$32,5)</x:f>
        <x:v>0.11397</x:v>
      </x:c>
    </x:row>
    <x:row r="29" spans="1:8" x14ac:dyDescent="0.25">
      <x:c r="A29" s="192">
        <x:f t="shared" si="0"/>
        <x:v>19</x:v>
      </x:c>
      <x:c r="B29" s="108"/>
      <x:c r="C29" s="110"/>
      <x:c r="D29" s="109"/>
      <x:c r="E29" s="106"/>
      <x:c r="F29" s="108">
        <x:v>65</x:v>
      </x:c>
      <x:c r="G29" s="107">
        <x:f>+'[10]GSL Spline Model'!C51</x:f>
        <x:v>779.41200000000003</x:v>
      </x:c>
      <x:c r="H29" s="130">
        <x:f t="shared" ref="H29:H31" si="1">ROUND(G29/$G$32,5)</x:f>
        <x:v>0.38646999999999998</x:v>
      </x:c>
    </x:row>
    <x:row r="30" spans="1:8" x14ac:dyDescent="0.25">
      <x:c r="A30" s="192">
        <x:f t="shared" si="0"/>
        <x:v>20</x:v>
      </x:c>
      <x:c r="B30" s="108">
        <x:v>55</x:v>
      </x:c>
      <x:c r="C30" s="110">
        <x:f>+'[10]GSL Spline Model'!C49</x:f>
        <x:v>503.702</x:v>
      </x:c>
      <x:c r="D30" s="130">
        <x:f>ROUND(C30/$C$32,5)</x:f>
        <x:v>0.49163000000000001</x:v>
      </x:c>
      <x:c r="E30" s="111"/>
      <x:c r="F30" s="108">
        <x:v>70</x:v>
      </x:c>
      <x:c r="G30" s="107">
        <x:f>+'[10]GSL Spline Model'!C52</x:f>
        <x:v>390.39400000000001</x:v>
      </x:c>
      <x:c r="H30" s="130">
        <x:f t="shared" si="1"/>
        <x:v>0.19358</x:v>
      </x:c>
    </x:row>
    <x:row r="31" spans="1:8" ht="13" thickBot="1" x14ac:dyDescent="0.3">
      <x:c r="A31" s="192">
        <x:f t="shared" si="0"/>
        <x:v>21</x:v>
      </x:c>
      <x:c r="B31" s="106">
        <x:v>45</x:v>
      </x:c>
      <x:c r="C31" s="189">
        <x:f>+'[10]GSL Spline Model'!C48</x:f>
        <x:v>520.85</x:v>
      </x:c>
      <x:c r="D31" s="130">
        <x:f>ROUND(C31/$C$32,5)</x:f>
        <x:v>0.50836999999999999</x:v>
      </x:c>
      <x:c r="E31" s="111"/>
      <x:c r="F31" s="112">
        <x:v>75</x:v>
      </x:c>
      <x:c r="G31" s="107">
        <x:f>+'[10]GSL Spline Model'!C53</x:f>
        <x:v>617.06399999999996</x:v>
      </x:c>
      <x:c r="H31" s="130">
        <x:f t="shared" si="1"/>
        <x:v>0.30597000000000002</x:v>
      </x:c>
    </x:row>
    <x:row r="32" spans="1:8" x14ac:dyDescent="0.25">
      <x:c r="A32" s="192">
        <x:f t="shared" si="0"/>
        <x:v>22</x:v>
      </x:c>
      <x:c r="B32" s="114" t="s">
        <x:v>51</x:v>
      </x:c>
      <x:c r="C32" s="118">
        <x:f>SUM(C30:C31)</x:f>
        <x:v>1024.5520000000001</x:v>
      </x:c>
      <x:c r="D32" s="131">
        <x:f>SUM(D30:D31)</x:f>
        <x:v>1</x:v>
      </x:c>
      <x:c r="E32" s="111"/>
      <x:c r="F32" s="116" t="s">
        <x:v>51</x:v>
      </x:c>
      <x:c r="G32" s="118">
        <x:f>SUM(G28:G31)</x:f>
        <x:v>2016.7260000000001</x:v>
      </x:c>
      <x:c r="H32" s="131">
        <x:f>SUM(H28:H31)</x:f>
        <x:v>0.99998999999999993</x:v>
      </x:c>
    </x:row>
    <x:row r="33" spans="1:8" x14ac:dyDescent="0.25">
      <x:c r="A33" s="192">
        <x:f t="shared" si="0"/>
        <x:v>23</x:v>
      </x:c>
      <x:c r="B33" s="190"/>
      <x:c r="C33" s="110"/>
      <x:c r="D33" s="110"/>
      <x:c r="E33" s="110"/>
      <x:c r="F33" s="110"/>
      <x:c r="G33" s="110"/>
      <x:c r="H33" s="110"/>
    </x:row>
    <x:row r="34" spans="1:8" ht="32.4" customHeight="1" thickBot="1" x14ac:dyDescent="0.35">
      <x:c r="A34" s="192">
        <x:f t="shared" si="0"/>
        <x:v>24</x:v>
      </x:c>
      <x:c r="B34" s="237" t="s">
        <x:v>121</x:v>
      </x:c>
      <x:c r="C34" s="238"/>
      <x:c r="D34" s="238"/>
      <x:c r="E34" s="105"/>
      <x:c r="F34" s="237" t="s">
        <x:v>122</x:v>
      </x:c>
      <x:c r="G34" s="238"/>
      <x:c r="H34" s="238"/>
    </x:row>
    <x:row r="35" spans="1:8" x14ac:dyDescent="0.25">
      <x:c r="A35" s="192">
        <x:f t="shared" si="0"/>
        <x:v>25</x:v>
      </x:c>
      <x:c r="B35" s="106" t="s">
        <x:v>107</x:v>
      </x:c>
      <x:c r="C35" s="107" t="s">
        <x:v>50</x:v>
      </x:c>
      <x:c r="D35" s="107" t="s">
        <x:v>52</x:v>
      </x:c>
      <x:c r="E35" s="106"/>
      <x:c r="F35" s="106" t="s">
        <x:v>107</x:v>
      </x:c>
      <x:c r="G35" s="107" t="s">
        <x:v>50</x:v>
      </x:c>
      <x:c r="H35" s="107" t="s">
        <x:v>52</x:v>
      </x:c>
    </x:row>
    <x:row r="36" spans="1:8" x14ac:dyDescent="0.25">
      <x:c r="A36" s="192">
        <x:f t="shared" si="0"/>
        <x:v>26</x:v>
      </x:c>
      <x:c r="B36" s="106"/>
      <x:c r="C36" s="107"/>
      <x:c r="D36" s="107"/>
      <x:c r="E36" s="106"/>
      <x:c r="F36" s="106">
        <x:v>50</x:v>
      </x:c>
      <x:c r="G36" s="107">
        <x:f>+'[10]GPLD Spline Model'!C43</x:f>
        <x:v>40.201000000000001</x:v>
      </x:c>
      <x:c r="H36" s="130">
        <x:f>ROUND(G36/$G$39,5)</x:f>
        <x:v>0.29269000000000001</x:v>
      </x:c>
    </x:row>
    <x:row r="37" spans="1:8" x14ac:dyDescent="0.25">
      <x:c r="A37" s="192">
        <x:f t="shared" si="0"/>
        <x:v>27</x:v>
      </x:c>
      <x:c r="B37" s="108"/>
      <x:c r="C37" s="110"/>
      <x:c r="D37" s="52"/>
      <x:c r="E37" s="111"/>
      <x:c r="F37" s="108">
        <x:v>60</x:v>
      </x:c>
      <x:c r="G37" s="107">
        <x:f>+'[10]GPLD Spline Model'!C44</x:f>
        <x:v>49.323</x:v>
      </x:c>
      <x:c r="H37" s="130">
        <x:f>ROUND(G37/$G$39,5)</x:f>
        <x:v>0.35909999999999997</x:v>
      </x:c>
    </x:row>
    <x:row r="38" spans="1:8" ht="13" thickBot="1" x14ac:dyDescent="0.3">
      <x:c r="A38" s="192">
        <x:f t="shared" si="0"/>
        <x:v>28</x:v>
      </x:c>
      <x:c r="B38" s="112"/>
      <x:c r="C38" s="121"/>
      <x:c r="D38" s="53"/>
      <x:c r="E38" s="111"/>
      <x:c r="F38" s="112">
        <x:v>70</x:v>
      </x:c>
      <x:c r="G38" s="107">
        <x:f>+'[10]GPLD Spline Model'!C45</x:f>
        <x:v>47.826000000000001</x:v>
      </x:c>
      <x:c r="H38" s="130">
        <x:f>ROUND(G38/$G$39,5)</x:f>
        <x:v>0.34821000000000002</x:v>
      </x:c>
    </x:row>
    <x:row r="39" spans="1:8" x14ac:dyDescent="0.25">
      <x:c r="A39" s="192">
        <x:f t="shared" si="0"/>
        <x:v>29</x:v>
      </x:c>
      <x:c r="B39" s="116"/>
      <x:c r="C39" s="110"/>
      <x:c r="D39" s="52"/>
      <x:c r="E39" s="111"/>
      <x:c r="F39" s="116" t="s">
        <x:v>51</x:v>
      </x:c>
      <x:c r="G39" s="118">
        <x:f>SUM(G36:G38)</x:f>
        <x:v>137.35</x:v>
      </x:c>
      <x:c r="H39" s="131">
        <x:f>SUM(H36:H38)</x:f>
        <x:v>1</x:v>
      </x:c>
    </x:row>
    <x:row r="40" spans="1:8" x14ac:dyDescent="0.25">
      <x:c r="A40" s="192">
        <x:f t="shared" si="0"/>
        <x:v>30</x:v>
      </x:c>
    </x:row>
    <x:row r="41" spans="1:8" ht="13.5" thickBot="1" x14ac:dyDescent="0.35">
      <x:c r="A41" s="192">
        <x:f t="shared" si="0"/>
        <x:v>31</x:v>
      </x:c>
      <x:c r="B41" s="239" t="s">
        <x:v>123</x:v>
      </x:c>
      <x:c r="C41" s="240"/>
      <x:c r="D41" s="240"/>
      <x:c r="E41" s="105"/>
      <x:c r="F41" s="239" t="s">
        <x:v>124</x:v>
      </x:c>
      <x:c r="G41" s="240"/>
      <x:c r="H41" s="240"/>
    </x:row>
    <x:row r="42" spans="1:8" x14ac:dyDescent="0.25">
      <x:c r="A42" s="192">
        <x:f t="shared" si="0"/>
        <x:v>32</x:v>
      </x:c>
      <x:c r="B42" s="106" t="s">
        <x:v>107</x:v>
      </x:c>
      <x:c r="C42" s="107" t="s">
        <x:v>50</x:v>
      </x:c>
      <x:c r="D42" s="107" t="s">
        <x:v>52</x:v>
      </x:c>
      <x:c r="E42" s="106"/>
      <x:c r="F42" s="106" t="s">
        <x:v>107</x:v>
      </x:c>
      <x:c r="G42" s="107" t="s">
        <x:v>50</x:v>
      </x:c>
      <x:c r="H42" s="107" t="s">
        <x:v>52</x:v>
      </x:c>
    </x:row>
    <x:row r="43" spans="1:8" x14ac:dyDescent="0.25">
      <x:c r="A43" s="192">
        <x:f t="shared" si="0"/>
        <x:v>33</x:v>
      </x:c>
      <x:c r="F43" s="108"/>
      <x:c r="G43" s="107"/>
      <x:c r="H43" s="130"/>
    </x:row>
    <x:row r="44" spans="1:8" x14ac:dyDescent="0.25">
      <x:c r="A44" s="192">
        <x:f t="shared" si="0"/>
        <x:v>34</x:v>
      </x:c>
      <x:c r="F44" s="108">
        <x:v>50</x:v>
      </x:c>
      <x:c r="G44" s="107">
        <x:f>+'[10]SUBS Spline Model'!C36</x:f>
        <x:v>27.135000000000002</x:v>
      </x:c>
      <x:c r="H44" s="130">
        <x:f>ROUND(G44/$G$46,5)</x:f>
        <x:v>20.129819999999999</x:v>
      </x:c>
    </x:row>
    <x:row r="45" spans="1:8" ht="13" thickBot="1" x14ac:dyDescent="0.3">
      <x:c r="A45" s="192">
        <x:f t="shared" si="0"/>
        <x:v>35</x:v>
      </x:c>
      <x:c r="B45" s="147"/>
      <x:c r="C45" s="147"/>
      <x:c r="D45" s="147"/>
      <x:c r="F45" s="172">
        <x:v>80</x:v>
      </x:c>
      <x:c r="G45" s="107">
        <x:f>+'[10]SUBS Spline Model'!C37</x:f>
        <x:v>-25.786999999999999</x:v>
      </x:c>
      <x:c r="H45" s="130">
        <x:f>ROUND(G45/$G$46,5)</x:f>
        <x:v>-19.129819999999999</x:v>
      </x:c>
    </x:row>
    <x:row r="46" spans="1:8" x14ac:dyDescent="0.25">
      <x:c r="F46" s="188" t="s">
        <x:v>51</x:v>
      </x:c>
      <x:c r="G46" s="118">
        <x:f>SUM(G43:G45)</x:f>
        <x:v>1.3480000000000025</x:v>
      </x:c>
      <x:c r="H46" s="131">
        <x:f>SUM(H44:H45)</x:f>
        <x:v>1</x:v>
      </x:c>
    </x:row>
  </x:sheetData>
  <x:mergeCells count="17">
    <x:mergeCell ref="B6:H6"/>
    <x:mergeCell ref="B1:H1"/>
    <x:mergeCell ref="B2:H2"/>
    <x:mergeCell ref="B3:H3"/>
    <x:mergeCell ref="B4:H4"/>
    <x:mergeCell ref="B5:F5"/>
    <x:mergeCell ref="B8:H8"/>
    <x:mergeCell ref="B10:D10"/>
    <x:mergeCell ref="F10:H10"/>
    <x:mergeCell ref="B18:D18"/>
    <x:mergeCell ref="F18:H18"/>
    <x:mergeCell ref="B26:D26"/>
    <x:mergeCell ref="F26:H26"/>
    <x:mergeCell ref="B34:D34"/>
    <x:mergeCell ref="F34:H34"/>
    <x:mergeCell ref="B41:D41"/>
    <x:mergeCell ref="F41:H41"/>
  </x:mergeCells>
  <x:printOptions horizontalCentered="1"/>
  <x:pageMargins left="1.5" right="0.5" top="1.5" bottom="1" header="1" footer="0.5"/>
  <x:pageSetup scale="42" firstPageNumber="3" orientation="portrait" r:id="rId1"/>
  <x:headerFooter alignWithMargins="0">
    <x:oddHeader>&amp;RSchedule II-H-5.2
Page &amp;P of 37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2025-04-07T14:30:29.0000000Z</dcterms:modified>
</coreProperties>
</file>