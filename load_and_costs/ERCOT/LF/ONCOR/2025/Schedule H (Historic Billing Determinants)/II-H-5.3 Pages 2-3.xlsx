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Q:\2024 Test Year\"/>
    </mc:Choice>
  </mc:AlternateContent>
  <xr:revisionPtr revIDLastSave="0" documentId="8_{E6C084AA-F21B-45CD-9F60-CB04B6980858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System&amp;BillingCycleHDD" sheetId="4" r:id="rId1"/>
    <x:sheet name="System&amp;BillingCycleCDD" sheetId="5" r:id="rId2"/>
  </x:sheets>
  <x:externalReferences>
    <x:externalReference r:id="rId3"/>
    <x:externalReference r:id="rId4"/>
  </x:externalReferences>
  <x:definedNames>
    <x:definedName name="_xlnm.Print_Area" localSheetId="1">'System&amp;BillingCycleCDD'!$A$1:$G$40</x:definedName>
    <x:definedName name="_xlnm.Print_Area" localSheetId="0">'System&amp;BillingCycleHDD'!$A$1:$G$40</x:definedName>
    <x:definedName name="rngBilled">OFFSET([1]Sheet2!$A$2,0,0,[1]Sheet2!$B$1,9)</x:definedName>
    <x:definedName name="rngYear">OFFSET('[2]Daily Actual_August'!$A$2,0,0,'[2]Daily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40" i="4" l="1"/>
  <x:c r="F23" i="5"/>
  <x:c r="F40" i="5"/>
  <x:c r="F23" i="4"/>
  <x:c r="B12" i="5" l="1"/>
  <x:c r="B13" i="5"/>
  <x:c r="B14" i="5"/>
  <x:c r="B15" i="5"/>
  <x:c r="B16" i="5"/>
  <x:c r="B17" i="5"/>
  <x:c r="B18" i="5"/>
  <x:c r="B19" i="5"/>
  <x:c r="B20" i="5"/>
  <x:c r="B21" i="5"/>
  <x:c r="B22" i="5"/>
  <x:c r="B11" i="5"/>
  <x:c r="B6" i="5"/>
  <x:c r="B2" i="5"/>
  <x:c r="B3" i="5"/>
  <x:c r="B4" i="5"/>
  <x:c r="B1" i="5"/>
  <x:c r="E40" i="5" l="1"/>
  <x:c r="C40" i="5"/>
  <x:c r="G23" i="5"/>
  <x:c r="B29" i="5"/>
  <x:c r="V29" i="5" s="1"/>
  <x:c r="B30" i="5"/>
  <x:c r="V30" i="5" s="1"/>
  <x:c r="V14" i="5"/>
  <x:c r="B32" i="5"/>
  <x:c r="V32" i="5" s="1"/>
  <x:c r="B33" i="5"/>
  <x:c r="V33" i="5" s="1"/>
  <x:c r="B34" i="5"/>
  <x:c r="V34" i="5" s="1"/>
  <x:c r="B35" i="5"/>
  <x:c r="V35" i="5" s="1"/>
  <x:c r="B36" i="5"/>
  <x:c r="V36" i="5" s="1"/>
  <x:c r="B37" i="5"/>
  <x:c r="V37" i="5" s="1"/>
  <x:c r="B38" i="5"/>
  <x:c r="V38" i="5" s="1"/>
  <x:c r="V22" i="5"/>
  <x:c r="B28" i="5"/>
  <x:c r="V28" i="5" s="1"/>
  <x:c r="E23" i="4"/>
  <x:c r="B29" i="4"/>
  <x:c r="V29" i="4" s="1"/>
  <x:c r="B30" i="4"/>
  <x:c r="V30" i="4" s="1"/>
  <x:c r="B31" i="4"/>
  <x:c r="V31" i="4" s="1"/>
  <x:c r="B32" i="4"/>
  <x:c r="V32" i="4" s="1"/>
  <x:c r="V16" i="4"/>
  <x:c r="V17" i="4"/>
  <x:c r="B35" i="4"/>
  <x:c r="V35" i="4" s="1"/>
  <x:c r="B36" i="4"/>
  <x:c r="V36" i="4" s="1"/>
  <x:c r="V19" i="4"/>
  <x:c r="B37" i="4"/>
  <x:c r="V37" i="4" s="1"/>
  <x:c r="V21" i="4"/>
  <x:c r="B39" i="4"/>
  <x:c r="V39" i="4" s="1"/>
  <x:c r="B28" i="4"/>
  <x:c r="V28" i="4" s="1"/>
  <x:c r="V21" i="5"/>
  <x:c r="V20" i="5"/>
  <x:c r="V19" i="5"/>
  <x:c r="V17" i="5"/>
  <x:c r="V13" i="5"/>
  <x:c r="V12" i="5"/>
  <x:c r="A12" i="5"/>
  <x:c r="A13" i="5"/>
  <x:c r="A14" i="5" s="1"/>
  <x:c r="A15" i="5" s="1"/>
  <x:c r="A16" i="5" s="1"/>
  <x:c r="A17" i="5" s="1"/>
  <x:c r="A18" i="5" s="1"/>
  <x:c r="A19" i="5" s="1"/>
  <x:c r="A20" i="5" s="1"/>
  <x:c r="A21" i="5" s="1"/>
  <x:c r="A22" i="5" s="1"/>
  <x:c r="A23" i="5" s="1"/>
  <x:c r="A24" i="5" s="1"/>
  <x:c r="A25" i="5" s="1"/>
  <x:c r="A26" i="5" s="1"/>
  <x:c r="A27" i="5" s="1"/>
  <x:c r="A28" i="5" s="1"/>
  <x:c r="A29" i="5" s="1"/>
  <x:c r="A30" i="5" s="1"/>
  <x:c r="A31" i="5" s="1"/>
  <x:c r="A32" i="5" s="1"/>
  <x:c r="A33" i="5" s="1"/>
  <x:c r="A34" i="5" s="1"/>
  <x:c r="A35" i="5" s="1"/>
  <x:c r="A36" i="5" s="1"/>
  <x:c r="A37" i="5" s="1"/>
  <x:c r="A38" i="5" s="1"/>
  <x:c r="A39" i="5" s="1"/>
  <x:c r="A40" i="5" s="1"/>
  <x:c r="V18" i="4"/>
  <x:c r="V14" i="4"/>
  <x:c r="A12" i="4"/>
  <x:c r="A13" i="4" s="1"/>
  <x:c r="A14" i="4" s="1"/>
  <x:c r="A15" i="4" s="1"/>
  <x:c r="A16" i="4" s="1"/>
  <x:c r="A17" i="4" s="1"/>
  <x:c r="A18" i="4" s="1"/>
  <x:c r="A19" i="4" s="1"/>
  <x:c r="A20" i="4" s="1"/>
  <x:c r="A21" i="4" s="1"/>
  <x:c r="A22" i="4" s="1"/>
  <x:c r="A23" i="4" s="1"/>
  <x:c r="A24" i="4" s="1"/>
  <x:c r="A25" i="4" s="1"/>
  <x:c r="A26" i="4" s="1"/>
  <x:c r="A27" i="4" s="1"/>
  <x:c r="A28" i="4" s="1"/>
  <x:c r="A29" i="4" s="1"/>
  <x:c r="A30" i="4" s="1"/>
  <x:c r="A31" i="4" s="1"/>
  <x:c r="A32" i="4" s="1"/>
  <x:c r="A33" i="4" s="1"/>
  <x:c r="A34" i="4" s="1"/>
  <x:c r="A35" i="4" s="1"/>
  <x:c r="A36" i="4" s="1"/>
  <x:c r="A37" i="4" s="1"/>
  <x:c r="A38" i="4" s="1"/>
  <x:c r="A39" i="4" s="1"/>
  <x:c r="A40" i="4" s="1"/>
  <x:c r="B39" i="5"/>
  <x:c r="V39" i="5" s="1"/>
  <x:c r="V11" i="5"/>
  <x:c r="V15" i="4"/>
  <x:c r="B34" i="4"/>
  <x:c r="V34" i="4" s="1"/>
  <x:c r="B31" i="5" l="1"/>
  <x:c r="V31" i="5" s="1"/>
  <x:c r="V11" i="4"/>
  <x:c r="V15" i="5"/>
  <x:c r="B33" i="4"/>
  <x:c r="V33" i="4" s="1"/>
  <x:c r="V13" i="4"/>
  <x:c r="C23" i="4"/>
  <x:c r="C40" i="4"/>
  <x:c r="D40" i="4"/>
  <x:c r="V12" i="4"/>
  <x:c r="V20" i="4"/>
  <x:c r="V22" i="4"/>
  <x:c r="E40" i="4"/>
  <x:c r="G40" i="4"/>
  <x:c r="G40" i="5"/>
  <x:c r="D23" i="4"/>
  <x:c r="B38" i="4"/>
  <x:c r="V38" i="4" s="1"/>
  <x:c r="G23" i="4"/>
  <x:c r="C23" i="5"/>
  <x:c r="V18" i="5"/>
  <x:c r="E23" i="5"/>
  <x:c r="D23" i="5"/>
  <x:c r="D40" i="5"/>
  <x:c r="V16" i="5"/>
</x:calcChain>
</file>

<file path=xl/sharedStrings.xml><?xml version="1.0" encoding="utf-8"?>
<sst xmlns="http://schemas.openxmlformats.org/spreadsheetml/2006/main" count="35" uniqueCount="16">
  <si>
    <t xml:space="preserve">PUC DOCKET NO. </t>
  </si>
  <si>
    <t>Annual</t>
  </si>
  <si>
    <t>Line              No.</t>
  </si>
  <si>
    <t>SPONSOR: D. E. NELSON</t>
  </si>
  <si>
    <t>Residential</t>
  </si>
  <si>
    <t>SECONDARY SERVICE LESS THAN OR EQUAL TO 10 KW</t>
  </si>
  <si>
    <t>SECONDARY SERVICE GREATER THAN 10 KW</t>
  </si>
  <si>
    <t>PRIMARY SERVICE GREATER THAN 10 KW</t>
  </si>
  <si>
    <t>System Weighted and Billing Cycle Adjusted Actual Heating Degree Days by Weather Sites (Base 65)</t>
  </si>
  <si>
    <t>System Weighted and Billing Cycle Adjusted Normal Heating Degree Days by Weather Sites (Base 65)</t>
  </si>
  <si>
    <t>System Weighted and Billing Cycle Adjusted Actual Cooling Degree Days by Weather Sites (Base 65)</t>
  </si>
  <si>
    <t>System Weighted and Billing Cycle Adjusted Normal Cooling Degree Days by Weather Sites (Base 65)</t>
  </si>
  <si>
    <t>ONCOR ELECTRIC DELIVERY COMPANY LLC</t>
  </si>
  <si>
    <t>ADDITIONAL WEATHER INFORMATION</t>
  </si>
  <si>
    <t>PRIMARY SERVICE GREATER THAN 10 KW Substation</t>
  </si>
  <si>
    <t>FOR THE TEST YEAR ENDING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</si>
</sst>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64" fontId="4" fillId="0" borderId="0" xfId="0" applyNumberFormat="1" applyFont="1"/>
    <xf numFmtId="1" fontId="4" fillId="0" borderId="0" xfId="0" applyNumberFormat="1" applyFont="1"/>
    <xf numFmtId="0" fontId="4" fillId="0" borderId="2" xfId="0" applyFont="1" applyBorder="1" applyAlignment="1">
      <alignment horizontal="right"/>
    </xf>
    <xf numFmtId="1" fontId="4" fillId="0" borderId="2" xfId="0" applyNumberFormat="1" applyFont="1" applyBorder="1"/>
    <xf numFmtId="1" fontId="4" fillId="0" borderId="3" xfId="0" applyNumberFormat="1" applyFont="1" applyBorder="1"/>
    <xf numFmtId="0" fontId="4" fillId="0" borderId="0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/>
      <sheetData sheetId="1">
        <row r="2">
          <cell r="A2" t="str">
            <v>Date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V42"/>
  <x:sheetViews>
    <x:sheetView tabSelected="1" zoomScaleNormal="100" workbookViewId="0"/>
  </x:sheetViews>
  <x:sheetFormatPr defaultColWidth="9.08984375" defaultRowHeight="11.5" x14ac:dyDescent="0.25"/>
  <x:cols>
    <x:col min="1" max="1" width="9.08984375" style="1"/>
    <x:col min="2" max="2" width="10.453125" style="2" bestFit="1" customWidth="1"/>
    <x:col min="3" max="3" width="11.453125" style="2" customWidth="1"/>
    <x:col min="4" max="4" width="25.6328125" style="2" customWidth="1"/>
    <x:col min="5" max="6" width="20" style="2" customWidth="1"/>
    <x:col min="7" max="7" width="19.6328125" style="2" customWidth="1"/>
    <x:col min="8" max="16384" width="9.08984375" style="2"/>
  </x:cols>
  <x:sheetData>
    <x:row r="1" spans="1:22" ht="15.5" x14ac:dyDescent="0.35">
      <x:c r="B1" s="11" t="s">
        <x:v>0</x:v>
      </x:c>
      <x:c r="C1" s="11"/>
      <x:c r="D1" s="11"/>
      <x:c r="E1" s="11"/>
      <x:c r="F1" s="11"/>
      <x:c r="G1" s="11"/>
    </x:row>
    <x:row r="2" spans="1:22" ht="15.5" x14ac:dyDescent="0.35">
      <x:c r="B2" s="11" t="s">
        <x:v>12</x:v>
      </x:c>
      <x:c r="C2" s="11"/>
      <x:c r="D2" s="11"/>
      <x:c r="E2" s="11"/>
      <x:c r="F2" s="11"/>
      <x:c r="G2" s="11"/>
    </x:row>
    <x:row r="3" spans="1:22" ht="15.5" x14ac:dyDescent="0.35">
      <x:c r="B3" s="11" t="s">
        <x:v>13</x:v>
      </x:c>
      <x:c r="C3" s="11"/>
      <x:c r="D3" s="11"/>
      <x:c r="E3" s="11"/>
      <x:c r="F3" s="11"/>
      <x:c r="G3" s="11"/>
    </x:row>
    <x:row r="4" spans="1:22" ht="15.5" x14ac:dyDescent="0.35">
      <x:c r="B4" s="11" t="s">
        <x:v>15</x:v>
      </x:c>
      <x:c r="C4" s="11"/>
      <x:c r="D4" s="11"/>
      <x:c r="E4" s="11"/>
      <x:c r="F4" s="11"/>
      <x:c r="G4" s="11"/>
    </x:row>
    <x:row r="6" spans="1:22" ht="15.5" x14ac:dyDescent="0.35">
      <x:c r="B6" s="11" t="s">
        <x:v>3</x:v>
      </x:c>
      <x:c r="C6" s="11"/>
      <x:c r="D6" s="11"/>
      <x:c r="E6" s="11"/>
      <x:c r="F6" s="11"/>
      <x:c r="G6" s="11"/>
    </x:row>
    <x:row r="9" spans="1:22" x14ac:dyDescent="0.25">
      <x:c r="B9" s="10" t="s">
        <x:v>8</x:v>
      </x:c>
      <x:c r="C9" s="10"/>
      <x:c r="D9" s="10"/>
      <x:c r="E9" s="10"/>
      <x:c r="F9" s="10"/>
      <x:c r="G9" s="10"/>
    </x:row>
    <x:row r="10" spans="1:22" ht="39.65" customHeight="1" thickBot="1" x14ac:dyDescent="0.3">
      <x:c r="A10" s="3" t="s">
        <x:v>2</x:v>
      </x:c>
      <x:c r="C10" s="3" t="s">
        <x:v>4</x:v>
      </x:c>
      <x:c r="D10" s="3" t="s">
        <x:v>5</x:v>
      </x:c>
      <x:c r="E10" s="3" t="s">
        <x:v>6</x:v>
      </x:c>
      <x:c r="F10" s="3" t="s">
        <x:v>7</x:v>
      </x:c>
      <x:c r="G10" s="3" t="s">
        <x:v>14</x:v>
      </x:c>
    </x:row>
    <x:row r="11" spans="1:22" x14ac:dyDescent="0.25">
      <x:c r="A11" s="1">
        <x:v>1</x:v>
      </x:c>
      <x:c r="B11" s="4">
        <x:v>45292</x:v>
      </x:c>
      <x:c r="C11" s="5">
        <x:v>504.30555238095241</x:v>
      </x:c>
      <x:c r="D11" s="5">
        <x:v>514.15334761904751</x:v>
      </x:c>
      <x:c r="E11" s="5">
        <x:v>508.07187619047613</x:v>
      </x:c>
      <x:c r="F11" s="5">
        <x:v>570.0122380952381</x:v>
      </x:c>
      <x:c r="G11" s="5">
        <x:v>579.38620476190476</x:v>
      </x:c>
      <x:c r="V11" s="2" t="str">
        <x:f t="shared" ref="V11:V22" si="0">MONTH(B11)&amp;YEAR(B11)</x:f>
        <x:v>12024</x:v>
      </x:c>
    </x:row>
    <x:row r="12" spans="1:22" x14ac:dyDescent="0.25">
      <x:c r="A12" s="1">
        <x:f>+A11+1</x:f>
        <x:v>2</x:v>
      </x:c>
      <x:c r="B12" s="4">
        <x:v>45323</x:v>
      </x:c>
      <x:c r="C12" s="5">
        <x:v>570.78915238095237</x:v>
      </x:c>
      <x:c r="D12" s="5">
        <x:v>575.58301904761902</x:v>
      </x:c>
      <x:c r="E12" s="5">
        <x:v>575.71591428571423</x:v>
      </x:c>
      <x:c r="F12" s="5">
        <x:v>606.25035238095245</x:v>
      </x:c>
      <x:c r="G12" s="5">
        <x:v>608.89113809523826</x:v>
      </x:c>
      <x:c r="V12" s="2" t="str">
        <x:f t="shared" si="0"/>
        <x:v>22024</x:v>
      </x:c>
    </x:row>
    <x:row r="13" spans="1:22" x14ac:dyDescent="0.25">
      <x:c r="A13" s="1">
        <x:f t="shared" ref="A13:A40" si="1">+A12+1</x:f>
        <x:v>3</x:v>
      </x:c>
      <x:c r="B13" s="4">
        <x:v>45352</x:v>
      </x:c>
      <x:c r="C13" s="5">
        <x:v>225.5785619047619</x:v>
      </x:c>
      <x:c r="D13" s="5">
        <x:v>233.19666190476187</x:v>
      </x:c>
      <x:c r="E13" s="5">
        <x:v>227.72732380952371</x:v>
      </x:c>
      <x:c r="F13" s="5">
        <x:v>276.70770476190467</x:v>
      </x:c>
      <x:c r="G13" s="5">
        <x:v>284.96440476190469</x:v>
      </x:c>
      <x:c r="V13" s="2" t="str">
        <x:f t="shared" si="0"/>
        <x:v>32024</x:v>
      </x:c>
    </x:row>
    <x:row r="14" spans="1:22" x14ac:dyDescent="0.25">
      <x:c r="A14" s="1">
        <x:f t="shared" si="1"/>
        <x:v>4</x:v>
      </x:c>
      <x:c r="B14" s="4">
        <x:v>45383</x:v>
      </x:c>
      <x:c r="C14" s="5">
        <x:v>131.78695714285715</x:v>
      </x:c>
      <x:c r="D14" s="5">
        <x:v>137.25162380952375</x:v>
      </x:c>
      <x:c r="E14" s="5">
        <x:v>133.64012380952377</x:v>
      </x:c>
      <x:c r="F14" s="5">
        <x:v>166.72946190476191</x:v>
      </x:c>
      <x:c r="G14" s="5">
        <x:v>171.79283333333331</x:v>
      </x:c>
      <x:c r="V14" s="2" t="str">
        <x:f t="shared" si="0"/>
        <x:v>42024</x:v>
      </x:c>
    </x:row>
    <x:row r="15" spans="1:22" x14ac:dyDescent="0.25">
      <x:c r="A15" s="1">
        <x:f t="shared" si="1"/>
        <x:v>5</x:v>
      </x:c>
      <x:c r="B15" s="4">
        <x:v>45413</x:v>
      </x:c>
      <x:c r="C15" s="5">
        <x:v>31.914257142857135</x:v>
      </x:c>
      <x:c r="D15" s="5">
        <x:v>34.175614285714275</x:v>
      </x:c>
      <x:c r="E15" s="5">
        <x:v>32.57300476190477</x:v>
      </x:c>
      <x:c r="F15" s="5">
        <x:v>47.469504761904759</x:v>
      </x:c>
      <x:c r="G15" s="5">
        <x:v>49.833147619047608</x:v>
      </x:c>
      <x:c r="V15" s="2" t="str">
        <x:f t="shared" si="0"/>
        <x:v>52024</x:v>
      </x:c>
    </x:row>
    <x:row r="16" spans="1:22" x14ac:dyDescent="0.25">
      <x:c r="A16" s="1">
        <x:f t="shared" si="1"/>
        <x:v>6</x:v>
      </x:c>
      <x:c r="B16" s="4">
        <x:v>45444</x:v>
      </x:c>
      <x:c r="C16" s="5">
        <x:v>6.3200000000000006E-2</x:v>
      </x:c>
      <x:c r="D16" s="5">
        <x:v>0.11679999999999999</x:v>
      </x:c>
      <x:c r="E16" s="5">
        <x:v>7.3771428571428557E-2</x:v>
      </x:c>
      <x:c r="F16" s="5">
        <x:v>0.50262857142857142</x:v>
      </x:c>
      <x:c r="G16" s="5">
        <x:v>0.58428571428571441</x:v>
      </x:c>
      <x:c r="V16" s="2" t="str">
        <x:f t="shared" si="0"/>
        <x:v>62024</x:v>
      </x:c>
    </x:row>
    <x:row r="17" spans="1:22" x14ac:dyDescent="0.25">
      <x:c r="A17" s="1">
        <x:f t="shared" si="1"/>
        <x:v>7</x:v>
      </x:c>
      <x:c r="B17" s="4">
        <x:v>45474</x:v>
      </x:c>
      <x:c r="C17" s="5">
        <x:v>0</x:v>
      </x:c>
      <x:c r="D17" s="5">
        <x:v>0</x:v>
      </x:c>
      <x:c r="E17" s="5">
        <x:v>0</x:v>
      </x:c>
      <x:c r="F17" s="5">
        <x:v>0</x:v>
      </x:c>
      <x:c r="G17" s="5">
        <x:v>0</x:v>
      </x:c>
      <x:c r="V17" s="2" t="str">
        <x:f t="shared" si="0"/>
        <x:v>72024</x:v>
      </x:c>
    </x:row>
    <x:row r="18" spans="1:22" x14ac:dyDescent="0.25">
      <x:c r="A18" s="1">
        <x:f t="shared" si="1"/>
        <x:v>8</x:v>
      </x:c>
      <x:c r="B18" s="4">
        <x:v>45505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  <x:c r="V18" s="2" t="str">
        <x:f t="shared" si="0"/>
        <x:v>82024</x:v>
      </x:c>
    </x:row>
    <x:row r="19" spans="1:22" x14ac:dyDescent="0.25">
      <x:c r="A19" s="1">
        <x:f t="shared" si="1"/>
        <x:v>9</x:v>
      </x:c>
      <x:c r="B19" s="4">
        <x:v>45536</x:v>
      </x:c>
      <x:c r="C19" s="5">
        <x:v>0</x:v>
      </x:c>
      <x:c r="D19" s="5">
        <x:v>0</x:v>
      </x:c>
      <x:c r="E19" s="5">
        <x:v>0</x:v>
      </x:c>
      <x:c r="F19" s="5">
        <x:v>0</x:v>
      </x:c>
      <x:c r="G19" s="5">
        <x:v>0</x:v>
      </x:c>
      <x:c r="V19" s="2" t="str">
        <x:f t="shared" si="0"/>
        <x:v>92024</x:v>
      </x:c>
    </x:row>
    <x:row r="20" spans="1:22" x14ac:dyDescent="0.25">
      <x:c r="A20" s="1">
        <x:f t="shared" si="1"/>
        <x:v>10</x:v>
      </x:c>
      <x:c r="B20" s="4">
        <x:v>45566</x:v>
      </x:c>
      <x:c r="C20" s="5">
        <x:v>1.6010952380952377</x:v>
      </x:c>
      <x:c r="D20" s="5">
        <x:v>1.6765809523809516</x:v>
      </x:c>
      <x:c r="E20" s="5">
        <x:v>1.5977809523809516</x:v>
      </x:c>
      <x:c r="F20" s="5">
        <x:v>1.7312571428571415</x:v>
      </x:c>
      <x:c r="G20" s="5">
        <x:v>1.7440047619047607</x:v>
      </x:c>
      <x:c r="V20" s="2" t="str">
        <x:f t="shared" si="0"/>
        <x:v>102024</x:v>
      </x:c>
    </x:row>
    <x:row r="21" spans="1:22" x14ac:dyDescent="0.25">
      <x:c r="A21" s="1">
        <x:f t="shared" si="1"/>
        <x:v>11</x:v>
      </x:c>
      <x:c r="B21" s="4">
        <x:v>45597</x:v>
      </x:c>
      <x:c r="C21" s="5">
        <x:v>20.292995238095237</x:v>
      </x:c>
      <x:c r="D21" s="5">
        <x:v>23.526785714285708</x:v>
      </x:c>
      <x:c r="E21" s="5">
        <x:v>20.686314285714282</x:v>
      </x:c>
      <x:c r="F21" s="5">
        <x:v>41.404538095238081</x:v>
      </x:c>
      <x:c r="G21" s="5">
        <x:v>45.123023809523808</x:v>
      </x:c>
      <x:c r="V21" s="2" t="str">
        <x:f t="shared" si="0"/>
        <x:v>112024</x:v>
      </x:c>
    </x:row>
    <x:row r="22" spans="1:22" x14ac:dyDescent="0.25">
      <x:c r="A22" s="1">
        <x:f t="shared" si="1"/>
        <x:v>12</x:v>
      </x:c>
      <x:c r="B22" s="4">
        <x:v>45627</x:v>
      </x:c>
      <x:c r="C22" s="5">
        <x:v>246.55960476190481</x:v>
      </x:c>
      <x:c r="D22" s="5">
        <x:v>254.41311904761901</x:v>
      </x:c>
      <x:c r="E22" s="5">
        <x:v>248.98674761904763</x:v>
      </x:c>
      <x:c r="F22" s="5">
        <x:v>296.14167142857133</x:v>
      </x:c>
      <x:c r="G22" s="5">
        <x:v>303.43261428571429</x:v>
      </x:c>
      <x:c r="V22" s="2" t="str">
        <x:f t="shared" si="0"/>
        <x:v>122024</x:v>
      </x:c>
    </x:row>
    <x:row r="23" spans="1:22" x14ac:dyDescent="0.25">
      <x:c r="A23" s="1">
        <x:f t="shared" si="1"/>
        <x:v>13</x:v>
      </x:c>
      <x:c r="B23" s="6" t="s">
        <x:v>1</x:v>
      </x:c>
      <x:c r="C23" s="7">
        <x:f>SUM(C11:C22)</x:f>
        <x:v>1732.8913761904764</x:v>
      </x:c>
      <x:c r="D23" s="7">
        <x:f>SUM(D11:D22)</x:f>
        <x:v>1774.0935523809521</x:v>
      </x:c>
      <x:c r="E23" s="7">
        <x:f>SUM(E11:E22)</x:f>
        <x:v>1749.0728571428572</x:v>
      </x:c>
      <x:c r="F23" s="7">
        <x:f>SUM(F11:F22)</x:f>
        <x:v>2006.9493571428573</x:v>
      </x:c>
      <x:c r="G23" s="7">
        <x:f>SUM(G11:G22)</x:f>
        <x:v>2045.7516571428573</x:v>
      </x:c>
      <x:c r="I23" s="5"/>
      <x:c r="J23" s="5"/>
      <x:c r="K23" s="5"/>
      <x:c r="L23" s="5"/>
    </x:row>
    <x:row r="24" spans="1:22" x14ac:dyDescent="0.25">
      <x:c r="A24" s="1">
        <x:f t="shared" si="1"/>
        <x:v>14</x:v>
      </x:c>
    </x:row>
    <x:row r="25" spans="1:22" x14ac:dyDescent="0.25">
      <x:c r="A25" s="1">
        <x:f t="shared" si="1"/>
        <x:v>15</x:v>
      </x:c>
    </x:row>
    <x:row r="26" spans="1:22" x14ac:dyDescent="0.25">
      <x:c r="A26" s="1">
        <x:f t="shared" si="1"/>
        <x:v>16</x:v>
      </x:c>
      <x:c r="B26" s="10" t="s">
        <x:v>9</x:v>
      </x:c>
      <x:c r="C26" s="10"/>
      <x:c r="D26" s="10"/>
      <x:c r="E26" s="10"/>
      <x:c r="F26" s="10"/>
      <x:c r="G26" s="10"/>
    </x:row>
    <x:row r="27" spans="1:22" ht="42.65" customHeight="1" thickBot="1" x14ac:dyDescent="0.3">
      <x:c r="A27" s="1">
        <x:f t="shared" si="1"/>
        <x:v>17</x:v>
      </x:c>
      <x:c r="C27" s="3" t="s">
        <x:v>4</x:v>
      </x:c>
      <x:c r="D27" s="3" t="s">
        <x:v>5</x:v>
      </x:c>
      <x:c r="E27" s="3" t="s">
        <x:v>6</x:v>
      </x:c>
      <x:c r="F27" s="3" t="s">
        <x:v>7</x:v>
      </x:c>
      <x:c r="G27" s="3" t="s">
        <x:v>14</x:v>
      </x:c>
    </x:row>
    <x:row r="28" spans="1:22" x14ac:dyDescent="0.25">
      <x:c r="A28" s="1">
        <x:f t="shared" si="1"/>
        <x:v>18</x:v>
      </x:c>
      <x:c r="B28" s="4">
        <x:f>+B11</x:f>
        <x:v>45292</x:v>
      </x:c>
      <x:c r="C28" s="5">
        <x:v>515.37103203557399</x:v>
      </x:c>
      <x:c r="D28" s="5">
        <x:v>524.3219820709287</x:v>
      </x:c>
      <x:c r="E28" s="5">
        <x:v>519.37882812096166</x:v>
      </x:c>
      <x:c r="F28" s="5">
        <x:v>574.57269945566054</x:v>
      </x:c>
      <x:c r="G28" s="5">
        <x:v>583.30661374868953</x:v>
      </x:c>
      <x:c r="V28" s="2">
        <x:f>MONTH(B28)</x:f>
        <x:v>1</x:v>
      </x:c>
    </x:row>
    <x:row r="29" spans="1:22" x14ac:dyDescent="0.25">
      <x:c r="A29" s="1">
        <x:f t="shared" si="1"/>
        <x:v>19</x:v>
      </x:c>
      <x:c r="B29" s="4">
        <x:f t="shared" ref="B29:B39" si="2">+B12</x:f>
        <x:v>45323</x:v>
      </x:c>
      <x:c r="C29" s="5">
        <x:v>525.10726275949082</x:v>
      </x:c>
      <x:c r="D29" s="5">
        <x:v>532.2530613695659</x:v>
      </x:c>
      <x:c r="E29" s="5">
        <x:v>529.18303341257649</x:v>
      </x:c>
      <x:c r="F29" s="5">
        <x:v>569.19468015324401</x:v>
      </x:c>
      <x:c r="G29" s="5">
        <x:v>574.53150632299503</x:v>
      </x:c>
      <x:c r="V29" s="2">
        <x:f>MONTH(B29)</x:f>
        <x:v>2</x:v>
      </x:c>
    </x:row>
    <x:row r="30" spans="1:22" x14ac:dyDescent="0.25">
      <x:c r="A30" s="1">
        <x:f t="shared" si="1"/>
        <x:v>20</x:v>
      </x:c>
      <x:c r="B30" s="4">
        <x:f t="shared" si="2"/>
        <x:v>45352</x:v>
      </x:c>
      <x:c r="C30" s="5">
        <x:v>387.73050913771254</x:v>
      </x:c>
      <x:c r="D30" s="5">
        <x:v>393.11918967400561</x:v>
      </x:c>
      <x:c r="E30" s="5">
        <x:v>390.7729924341063</x:v>
      </x:c>
      <x:c r="F30" s="5">
        <x:v>417.42087705544589</x:v>
      </x:c>
      <x:c r="G30" s="5">
        <x:v>420.79298879867355</x:v>
      </x:c>
      <x:c r="V30" s="2">
        <x:f>MONTH(B30)</x:f>
        <x:v>3</x:v>
      </x:c>
    </x:row>
    <x:row r="31" spans="1:22" x14ac:dyDescent="0.25">
      <x:c r="A31" s="1">
        <x:f t="shared" si="1"/>
        <x:v>21</x:v>
      </x:c>
      <x:c r="B31" s="4">
        <x:f t="shared" si="2"/>
        <x:v>45383</x:v>
      </x:c>
      <x:c r="C31" s="5">
        <x:v>166.333842315851</x:v>
      </x:c>
      <x:c r="D31" s="5">
        <x:v>170.32733734791412</x:v>
      </x:c>
      <x:c r="E31" s="5">
        <x:v>167.59859914478335</x:v>
      </x:c>
      <x:c r="F31" s="5">
        <x:v>186.26511794065294</x:v>
      </x:c>
      <x:c r="G31" s="5">
        <x:v>188.98235236022725</x:v>
      </x:c>
      <x:c r="V31" s="2">
        <x:f>MONTH(B31)</x:f>
        <x:v>4</x:v>
      </x:c>
    </x:row>
    <x:row r="32" spans="1:22" x14ac:dyDescent="0.25">
      <x:c r="A32" s="1">
        <x:f t="shared" si="1"/>
        <x:v>22</x:v>
      </x:c>
      <x:c r="B32" s="4">
        <x:f t="shared" si="2"/>
        <x:v>45413</x:v>
      </x:c>
      <x:c r="C32" s="5">
        <x:v>51.59271662521639</x:v>
      </x:c>
      <x:c r="D32" s="5">
        <x:v>53.526075873503522</x:v>
      </x:c>
      <x:c r="E32" s="5">
        <x:v>51.965270550191399</x:v>
      </x:c>
      <x:c r="F32" s="5">
        <x:v>60.320848788189096</x:v>
      </x:c>
      <x:c r="G32" s="5">
        <x:v>61.6466480914588</x:v>
      </x:c>
      <x:c r="V32" s="2">
        <x:f>MONTH(B32)</x:f>
        <x:v>5</x:v>
      </x:c>
    </x:row>
    <x:row r="33" spans="1:22" x14ac:dyDescent="0.25">
      <x:c r="A33" s="1">
        <x:f t="shared" si="1"/>
        <x:v>23</x:v>
      </x:c>
      <x:c r="B33" s="4">
        <x:f t="shared" si="2"/>
        <x:v>45444</x:v>
      </x:c>
      <x:c r="C33" s="5">
        <x:v>7.110874278887179</x:v>
      </x:c>
      <x:c r="D33" s="5">
        <x:v>7.6817893491088141</x:v>
      </x:c>
      <x:c r="E33" s="5">
        <x:v>7.2328822812279023</x:v>
      </x:c>
      <x:c r="F33" s="5">
        <x:v>10.326862283909975</x:v>
      </x:c>
      <x:c r="G33" s="5">
        <x:v>10.850012959915139</x:v>
      </x:c>
      <x:c r="V33" s="2">
        <x:f t="shared" ref="V33:V39" si="3">MONTH(B33)</x:f>
        <x:v>6</x:v>
      </x:c>
    </x:row>
    <x:row r="34" spans="1:22" x14ac:dyDescent="0.25">
      <x:c r="A34" s="1">
        <x:f t="shared" si="1"/>
        <x:v>24</x:v>
      </x:c>
      <x:c r="B34" s="4">
        <x:f t="shared" si="2"/>
        <x:v>45474</x:v>
      </x:c>
      <x:c r="C34" s="5">
        <x:v>8.7767623070733561E-2</x:v>
      </x:c>
      <x:c r="D34" s="5">
        <x:v>0.10526243142418251</x:v>
      </x:c>
      <x:c r="E34" s="5">
        <x:v>9.141836551825018E-2</x:v>
      </x:c>
      <x:c r="F34" s="5">
        <x:v>0.20098950028039886</x:v>
      </x:c>
      <x:c r="G34" s="5">
        <x:v>0.2201676620827541</x:v>
      </x:c>
      <x:c r="V34" s="2">
        <x:f t="shared" si="3"/>
        <x:v>7</x:v>
      </x:c>
    </x:row>
    <x:row r="35" spans="1:22" x14ac:dyDescent="0.25">
      <x:c r="A35" s="1">
        <x:f t="shared" si="1"/>
        <x:v>25</x:v>
      </x:c>
      <x:c r="B35" s="4">
        <x:f t="shared" si="2"/>
        <x:v>45505</x:v>
      </x:c>
      <x:c r="C35" s="5">
        <x:v>3.466291175968595E-3</x:v>
      </x:c>
      <x:c r="D35" s="5">
        <x:v>6.93258235193719E-3</x:v>
      </x:c>
      <x:c r="E35" s="5">
        <x:v>4.5185581401019177E-3</x:v>
      </x:c>
      <x:c r="F35" s="5">
        <x:v>3.5777076780533025E-2</x:v>
      </x:c>
      <x:c r="G35" s="5">
        <x:v>4.1038411601199642E-2</x:v>
      </x:c>
      <x:c r="V35" s="2">
        <x:f t="shared" si="3"/>
        <x:v>8</x:v>
      </x:c>
    </x:row>
    <x:row r="36" spans="1:22" x14ac:dyDescent="0.25">
      <x:c r="A36" s="1">
        <x:f t="shared" si="1"/>
        <x:v>26</x:v>
      </x:c>
      <x:c r="B36" s="4">
        <x:f t="shared" si="2"/>
        <x:v>45536</x:v>
      </x:c>
      <x:c r="C36" s="5">
        <x:v>0.23005110696608394</x:v>
      </x:c>
      <x:c r="D36" s="5">
        <x:v>0.33244453222149078</x:v>
      </x:c>
      <x:c r="E36" s="5">
        <x:v>0.24614862421671174</x:v>
      </x:c>
      <x:c r="F36" s="5">
        <x:v>1.0085693414283274</x:v>
      </x:c>
      <x:c r="G36" s="5">
        <x:v>1.1576897459342164</x:v>
      </x:c>
      <x:c r="V36" s="2">
        <x:f t="shared" si="3"/>
        <x:v>9</x:v>
      </x:c>
    </x:row>
    <x:row r="37" spans="1:22" x14ac:dyDescent="0.25">
      <x:c r="A37" s="1">
        <x:f t="shared" si="1"/>
        <x:v>27</x:v>
      </x:c>
      <x:c r="B37" s="4">
        <x:f t="shared" si="2"/>
        <x:v>45566</x:v>
      </x:c>
      <x:c r="C37" s="5">
        <x:v>10.198497130178234</x:v>
      </x:c>
      <x:c r="D37" s="5">
        <x:v>11.040879799697656</x:v>
      </x:c>
      <x:c r="E37" s="5">
        <x:v>10.298108516202177</x:v>
      </x:c>
      <x:c r="F37" s="5">
        <x:v>15.294364709970003</x:v>
      </x:c>
      <x:c r="G37" s="5">
        <x:v>16.271019576719571</x:v>
      </x:c>
      <x:c r="V37" s="2">
        <x:f t="shared" si="3"/>
        <x:v>10</x:v>
      </x:c>
    </x:row>
    <x:row r="38" spans="1:22" x14ac:dyDescent="0.25">
      <x:c r="A38" s="1">
        <x:f t="shared" si="1"/>
        <x:v>28</x:v>
      </x:c>
      <x:c r="B38" s="4">
        <x:f t="shared" si="2"/>
        <x:v>45597</x:v>
      </x:c>
      <x:c r="C38" s="5">
        <x:v>106.82190365554823</x:v>
      </x:c>
      <x:c r="D38" s="5">
        <x:v>111.05370435654545</x:v>
      </x:c>
      <x:c r="E38" s="5">
        <x:v>107.48142575037181</x:v>
      </x:c>
      <x:c r="F38" s="5">
        <x:v>132.06839763306755</x:v>
      </x:c>
      <x:c r="G38" s="5">
        <x:v>136.74324208787459</x:v>
      </x:c>
      <x:c r="V38" s="2">
        <x:f t="shared" si="3"/>
        <x:v>11</x:v>
      </x:c>
    </x:row>
    <x:row r="39" spans="1:22" ht="12" thickBot="1" x14ac:dyDescent="0.3">
      <x:c r="A39" s="1">
        <x:f t="shared" si="1"/>
        <x:v>29</x:v>
      </x:c>
      <x:c r="B39" s="4">
        <x:f t="shared" si="2"/>
        <x:v>45627</x:v>
      </x:c>
      <x:c r="C39" s="5">
        <x:v>322.60301404859428</x:v>
      </x:c>
      <x:c r="D39" s="5">
        <x:v>330.5624913021482</x:v>
      </x:c>
      <x:c r="E39" s="5">
        <x:v>324.99127090434746</x:v>
      </x:c>
      <x:c r="F39" s="5">
        <x:v>374.04872914136985</x:v>
      </x:c>
      <x:c r="G39" s="5">
        <x:v>382.73603760149234</x:v>
      </x:c>
      <x:c r="V39" s="2">
        <x:f t="shared" si="3"/>
        <x:v>12</x:v>
      </x:c>
    </x:row>
    <x:row r="40" spans="1:22" x14ac:dyDescent="0.25">
      <x:c r="A40" s="1">
        <x:f t="shared" si="1"/>
        <x:v>30</x:v>
      </x:c>
      <x:c r="B40" s="6" t="s">
        <x:v>1</x:v>
      </x:c>
      <x:c r="C40" s="8">
        <x:f>SUM(C28:C39)</x:f>
        <x:v>2093.1909370082653</x:v>
      </x:c>
      <x:c r="D40" s="8">
        <x:f>SUM(D28:D39)</x:f>
        <x:v>2134.3311506894156</x:v>
      </x:c>
      <x:c r="E40" s="8">
        <x:f>SUM(E28:E39)</x:f>
        <x:v>2109.2444966626431</x:v>
      </x:c>
      <x:c r="F40" s="8">
        <x:f>SUM(F28:F39)</x:f>
        <x:v>2340.7579130799991</x:v>
      </x:c>
      <x:c r="G40" s="8">
        <x:f>SUM(G28:G39)</x:f>
        <x:v>2377.2793173676637</x:v>
      </x:c>
      <x:c r="I40" s="5"/>
      <x:c r="J40" s="5"/>
      <x:c r="K40" s="5"/>
      <x:c r="L40" s="5"/>
    </x:row>
    <x:row r="42" spans="1:22" x14ac:dyDescent="0.25">
      <x:c r="C42" s="5"/>
      <x:c r="D42" s="5"/>
      <x:c r="E42" s="5"/>
      <x:c r="F42" s="5"/>
      <x:c r="G42" s="5"/>
    </x:row>
  </x:sheetData>
  <x:mergeCells count="7">
    <x:mergeCell ref="B26:G26"/>
    <x:mergeCell ref="B1:G1"/>
    <x:mergeCell ref="B2:G2"/>
    <x:mergeCell ref="B3:G3"/>
    <x:mergeCell ref="B4:G4"/>
    <x:mergeCell ref="B6:G6"/>
    <x:mergeCell ref="B9:G9"/>
  </x:mergeCells>
  <x:pageMargins left="0.75" right="0.75" top="1" bottom="1" header="0.5" footer="0.5"/>
  <x:pageSetup scale="78" firstPageNumber="2" orientation="portrait" useFirstPageNumber="1" r:id="rId1"/>
  <x:headerFooter alignWithMargins="0">
    <x:oddHeader>&amp;RSchedule II-H-5.3
Page &amp;P of 3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V42"/>
  <x:sheetViews>
    <x:sheetView zoomScaleNormal="100" workbookViewId="0"/>
  </x:sheetViews>
  <x:sheetFormatPr defaultColWidth="9.08984375" defaultRowHeight="11.5" x14ac:dyDescent="0.25"/>
  <x:cols>
    <x:col min="1" max="1" width="9.08984375" style="1"/>
    <x:col min="2" max="2" width="10.453125" style="2" bestFit="1" customWidth="1"/>
    <x:col min="3" max="3" width="11.453125" style="2" customWidth="1"/>
    <x:col min="4" max="4" width="25.6328125" style="2" customWidth="1"/>
    <x:col min="5" max="6" width="20" style="2" customWidth="1"/>
    <x:col min="7" max="7" width="19.6328125" style="2" customWidth="1"/>
    <x:col min="8" max="16384" width="9.08984375" style="2"/>
  </x:cols>
  <x:sheetData>
    <x:row r="1" spans="1:22" ht="15.5" x14ac:dyDescent="0.35">
      <x:c r="B1" s="11" t="str">
        <x:f>+'System&amp;BillingCycleHDD'!B1:G1</x:f>
        <x:v xml:space="preserve">PUC DOCKET NO. </x:v>
      </x:c>
      <x:c r="C1" s="11"/>
      <x:c r="D1" s="11"/>
      <x:c r="E1" s="11"/>
      <x:c r="F1" s="11"/>
      <x:c r="G1" s="11"/>
    </x:row>
    <x:row r="2" spans="1:22" ht="15.5" x14ac:dyDescent="0.35">
      <x:c r="B2" s="11" t="str">
        <x:f>+'System&amp;BillingCycleHDD'!B2:G2</x:f>
        <x:v>ONCOR ELECTRIC DELIVERY COMPANY LLC</x:v>
      </x:c>
      <x:c r="C2" s="11"/>
      <x:c r="D2" s="11"/>
      <x:c r="E2" s="11"/>
      <x:c r="F2" s="11"/>
      <x:c r="G2" s="11"/>
    </x:row>
    <x:row r="3" spans="1:22" ht="15.5" x14ac:dyDescent="0.35">
      <x:c r="B3" s="11" t="str">
        <x:f>+'System&amp;BillingCycleHDD'!B3:G3</x:f>
        <x:v>ADDITIONAL WEATHER INFORMATION</x:v>
      </x:c>
      <x:c r="C3" s="11"/>
      <x:c r="D3" s="11"/>
      <x:c r="E3" s="11"/>
      <x:c r="F3" s="11"/>
      <x:c r="G3" s="11"/>
    </x:row>
    <x:row r="4" spans="1:22" ht="15.5" x14ac:dyDescent="0.35">
      <x:c r="B4" s="11" t="str">
        <x:f>+'System&amp;BillingCycleHDD'!B4:G4</x:f>
        <x:v>FOR THE TEST YEAR ENDING DECEMBER 31, 2024</x:v>
      </x:c>
      <x:c r="C4" s="11"/>
      <x:c r="D4" s="11"/>
      <x:c r="E4" s="11"/>
      <x:c r="F4" s="11"/>
      <x:c r="G4" s="11"/>
    </x:row>
    <x:row r="6" spans="1:22" ht="15.5" x14ac:dyDescent="0.35">
      <x:c r="B6" s="11" t="str">
        <x:f>+'System&amp;BillingCycleHDD'!B6:G6</x:f>
        <x:v>SPONSOR: D. E. NELSON</x:v>
      </x:c>
      <x:c r="C6" s="11"/>
      <x:c r="D6" s="11"/>
      <x:c r="E6" s="11"/>
      <x:c r="F6" s="11"/>
      <x:c r="G6" s="11"/>
    </x:row>
    <x:row r="9" spans="1:22" x14ac:dyDescent="0.25">
      <x:c r="B9" s="10" t="s">
        <x:v>10</x:v>
      </x:c>
      <x:c r="C9" s="10"/>
      <x:c r="D9" s="10"/>
      <x:c r="E9" s="10"/>
      <x:c r="F9" s="10"/>
      <x:c r="G9" s="10"/>
    </x:row>
    <x:row r="10" spans="1:22" ht="42" customHeight="1" thickBot="1" x14ac:dyDescent="0.3">
      <x:c r="A10" s="3" t="s">
        <x:v>2</x:v>
      </x:c>
      <x:c r="C10" s="3" t="s">
        <x:v>4</x:v>
      </x:c>
      <x:c r="D10" s="3" t="s">
        <x:v>5</x:v>
      </x:c>
      <x:c r="E10" s="3" t="s">
        <x:v>6</x:v>
      </x:c>
      <x:c r="F10" s="3" t="s">
        <x:v>7</x:v>
      </x:c>
      <x:c r="G10" s="3" t="s">
        <x:v>14</x:v>
      </x:c>
    </x:row>
    <x:row r="11" spans="1:22" x14ac:dyDescent="0.25">
      <x:c r="A11" s="1">
        <x:v>1</x:v>
      </x:c>
      <x:c r="B11" s="4">
        <x:f>+'System&amp;BillingCycleHDD'!B11</x:f>
        <x:v>45292</x:v>
      </x:c>
      <x:c r="C11" s="5">
        <x:v>1.7525857142857182</x:v>
      </x:c>
      <x:c r="D11" s="5">
        <x:v>1.6028666666666691</x:v>
      </x:c>
      <x:c r="E11" s="5">
        <x:v>1.7278952380952419</x:v>
      </x:c>
      <x:c r="F11" s="5">
        <x:v>0.77756190476190634</x:v>
      </x:c>
      <x:c r="G11" s="5">
        <x:v>0.5568666666666674</x:v>
      </x:c>
      <x:c r="V11" s="2" t="str">
        <x:f t="shared" ref="V11:V22" si="0">MONTH(B11)&amp;YEAR(B11)</x:f>
        <x:v>12024</x:v>
      </x:c>
    </x:row>
    <x:row r="12" spans="1:22" x14ac:dyDescent="0.25">
      <x:c r="A12" s="1">
        <x:f>+A11+1</x:f>
        <x:v>2</x:v>
      </x:c>
      <x:c r="B12" s="4">
        <x:f>+'System&amp;BillingCycleHDD'!B12</x:f>
        <x:v>45323</x:v>
      </x:c>
      <x:c r="C12" s="5">
        <x:v>0.24640952380952355</x:v>
      </x:c>
      <x:c r="D12" s="5">
        <x:v>0.25182857142857118</x:v>
      </x:c>
      <x:c r="E12" s="5">
        <x:v>0.21836666666666654</x:v>
      </x:c>
      <x:c r="F12" s="5">
        <x:v>0.13818095238095227</x:v>
      </x:c>
      <x:c r="G12" s="5">
        <x:v>0.12298095238095222</x:v>
      </x:c>
      <x:c r="V12" s="2" t="str">
        <x:f t="shared" si="0"/>
        <x:v>22024</x:v>
      </x:c>
    </x:row>
    <x:row r="13" spans="1:22" x14ac:dyDescent="0.25">
      <x:c r="A13" s="1">
        <x:f t="shared" ref="A13:A40" si="1">+A12+1</x:f>
        <x:v>3</x:v>
      </x:c>
      <x:c r="B13" s="4">
        <x:f>+'System&amp;BillingCycleHDD'!B13</x:f>
        <x:v>45352</x:v>
      </x:c>
      <x:c r="C13" s="5">
        <x:v>42.4026142857143</x:v>
      </x:c>
      <x:c r="D13" s="5">
        <x:v>39.785052380952401</x:v>
      </x:c>
      <x:c r="E13" s="5">
        <x:v>41.910199999999996</x:v>
      </x:c>
      <x:c r="F13" s="5">
        <x:v>25.183766666666667</x:v>
      </x:c>
      <x:c r="G13" s="5">
        <x:v>21.837885714285715</x:v>
      </x:c>
      <x:c r="V13" s="2" t="str">
        <x:f t="shared" si="0"/>
        <x:v>32024</x:v>
      </x:c>
    </x:row>
    <x:row r="14" spans="1:22" x14ac:dyDescent="0.25">
      <x:c r="A14" s="1">
        <x:f t="shared" si="1"/>
        <x:v>4</x:v>
      </x:c>
      <x:c r="B14" s="4">
        <x:f>+'System&amp;BillingCycleHDD'!B14</x:f>
        <x:v>45383</x:v>
      </x:c>
      <x:c r="C14" s="5">
        <x:v>64.76604761904764</x:v>
      </x:c>
      <x:c r="D14" s="5">
        <x:v>62.276995238095239</x:v>
      </x:c>
      <x:c r="E14" s="5">
        <x:v>64.211990476190493</x:v>
      </x:c>
      <x:c r="F14" s="5">
        <x:v>50.498128571428573</x:v>
      </x:c>
      <x:c r="G14" s="5">
        <x:v>47.822057142857155</x:v>
      </x:c>
      <x:c r="V14" s="2" t="str">
        <x:f t="shared" si="0"/>
        <x:v>42024</x:v>
      </x:c>
    </x:row>
    <x:row r="15" spans="1:22" x14ac:dyDescent="0.25">
      <x:c r="A15" s="1">
        <x:f t="shared" si="1"/>
        <x:v>5</x:v>
      </x:c>
      <x:c r="B15" s="4">
        <x:f>+'System&amp;BillingCycleHDD'!B15</x:f>
        <x:v>45413</x:v>
      </x:c>
      <x:c r="C15" s="5">
        <x:v>199.85121904761911</x:v>
      </x:c>
      <x:c r="D15" s="5">
        <x:v>196.91513333333336</x:v>
      </x:c>
      <x:c r="E15" s="5">
        <x:v>199.5507761904762</x:v>
      </x:c>
      <x:c r="F15" s="5">
        <x:v>191.57560952380956</x:v>
      </x:c>
      <x:c r="G15" s="5">
        <x:v>189.18946666666673</x:v>
      </x:c>
      <x:c r="V15" s="2" t="str">
        <x:f t="shared" si="0"/>
        <x:v>52024</x:v>
      </x:c>
    </x:row>
    <x:row r="16" spans="1:22" x14ac:dyDescent="0.25">
      <x:c r="A16" s="1">
        <x:f t="shared" si="1"/>
        <x:v>6</x:v>
      </x:c>
      <x:c r="B16" s="4">
        <x:f>+'System&amp;BillingCycleHDD'!B16</x:f>
        <x:v>45444</x:v>
      </x:c>
      <x:c r="C16" s="5">
        <x:v>413.74549999999994</x:v>
      </x:c>
      <x:c r="D16" s="5">
        <x:v>411.8796333333334</x:v>
      </x:c>
      <x:c r="E16" s="5">
        <x:v>412.62204761904769</x:v>
      </x:c>
      <x:c r="F16" s="5">
        <x:v>424.52666190476202</x:v>
      </x:c>
      <x:c r="G16" s="5">
        <x:v>428.04544761904765</x:v>
      </x:c>
      <x:c r="V16" s="2" t="str">
        <x:f t="shared" si="0"/>
        <x:v>62024</x:v>
      </x:c>
    </x:row>
    <x:row r="17" spans="1:22" x14ac:dyDescent="0.25">
      <x:c r="A17" s="1">
        <x:f t="shared" si="1"/>
        <x:v>7</x:v>
      </x:c>
      <x:c r="B17" s="4">
        <x:f>+'System&amp;BillingCycleHDD'!B17</x:f>
        <x:v>45474</x:v>
      </x:c>
      <x:c r="C17" s="5">
        <x:v>602.98619047619047</x:v>
      </x:c>
      <x:c r="D17" s="5">
        <x:v>596.60113809523807</x:v>
      </x:c>
      <x:c r="E17" s="5">
        <x:v>604.66319999999996</x:v>
      </x:c>
      <x:c r="F17" s="5">
        <x:v>583.79550476190479</x:v>
      </x:c>
      <x:c r="G17" s="5">
        <x:v>575.9915666666667</x:v>
      </x:c>
      <x:c r="V17" s="2" t="str">
        <x:f t="shared" si="0"/>
        <x:v>72024</x:v>
      </x:c>
    </x:row>
    <x:row r="18" spans="1:22" x14ac:dyDescent="0.25">
      <x:c r="A18" s="1">
        <x:f t="shared" si="1"/>
        <x:v>8</x:v>
      </x:c>
      <x:c r="B18" s="4">
        <x:f>+'System&amp;BillingCycleHDD'!B18</x:f>
        <x:v>45505</x:v>
      </x:c>
      <x:c r="C18" s="5">
        <x:v>593.68123333333335</x:v>
      </x:c>
      <x:c r="D18" s="5">
        <x:v>586.92118571428568</x:v>
      </x:c>
      <x:c r="E18" s="5">
        <x:v>595.48736190476211</x:v>
      </x:c>
      <x:c r="F18" s="5">
        <x:v>569.36492380952382</x:v>
      </x:c>
      <x:c r="G18" s="5">
        <x:v>561.00835714285734</x:v>
      </x:c>
      <x:c r="V18" s="2" t="str">
        <x:f t="shared" si="0"/>
        <x:v>82024</x:v>
      </x:c>
    </x:row>
    <x:row r="19" spans="1:22" x14ac:dyDescent="0.25">
      <x:c r="A19" s="1">
        <x:f t="shared" si="1"/>
        <x:v>9</x:v>
      </x:c>
      <x:c r="B19" s="4">
        <x:f>+'System&amp;BillingCycleHDD'!B19</x:f>
        <x:v>45536</x:v>
      </x:c>
      <x:c r="C19" s="5">
        <x:v>614.27702857142867</x:v>
      </x:c>
      <x:c r="D19" s="5">
        <x:v>605.23453809523801</x:v>
      </x:c>
      <x:c r="E19" s="5">
        <x:v>615.08628571428585</x:v>
      </x:c>
      <x:c r="F19" s="5">
        <x:v>575.58704761904755</x:v>
      </x:c>
      <x:c r="G19" s="5">
        <x:v>565.45215714285712</x:v>
      </x:c>
      <x:c r="V19" s="2" t="str">
        <x:f t="shared" si="0"/>
        <x:v>92024</x:v>
      </x:c>
    </x:row>
    <x:row r="20" spans="1:22" x14ac:dyDescent="0.25">
      <x:c r="A20" s="1">
        <x:f t="shared" si="1"/>
        <x:v>10</x:v>
      </x:c>
      <x:c r="B20" s="4">
        <x:f>+'System&amp;BillingCycleHDD'!B20</x:f>
        <x:v>45566</x:v>
      </x:c>
      <x:c r="C20" s="5">
        <x:v>414.48739523809519</x:v>
      </x:c>
      <x:c r="D20" s="5">
        <x:v>400.46391428571434</x:v>
      </x:c>
      <x:c r="E20" s="5">
        <x:v>413.08739047619054</x:v>
      </x:c>
      <x:c r="F20" s="5">
        <x:v>348.46760952380959</x:v>
      </x:c>
      <x:c r="G20" s="5">
        <x:v>334.60722380952382</x:v>
      </x:c>
      <x:c r="V20" s="2" t="str">
        <x:f t="shared" si="0"/>
        <x:v>102024</x:v>
      </x:c>
    </x:row>
    <x:row r="21" spans="1:22" x14ac:dyDescent="0.25">
      <x:c r="A21" s="1">
        <x:f t="shared" si="1"/>
        <x:v>11</x:v>
      </x:c>
      <x:c r="B21" s="4">
        <x:f>+'System&amp;BillingCycleHDD'!B21</x:f>
        <x:v>45597</x:v>
      </x:c>
      <x:c r="C21" s="5">
        <x:v>242.89623333333333</x:v>
      </x:c>
      <x:c r="D21" s="5">
        <x:v>232.8180333333334</x:v>
      </x:c>
      <x:c r="E21" s="5">
        <x:v>241.82518571428577</x:v>
      </x:c>
      <x:c r="F21" s="5">
        <x:v>198.07213809523813</x:v>
      </x:c>
      <x:c r="G21" s="5">
        <x:v>189.01934285714282</x:v>
      </x:c>
      <x:c r="V21" s="2" t="str">
        <x:f t="shared" si="0"/>
        <x:v>112024</x:v>
      </x:c>
    </x:row>
    <x:row r="22" spans="1:22" x14ac:dyDescent="0.25">
      <x:c r="A22" s="1">
        <x:f t="shared" si="1"/>
        <x:v>12</x:v>
      </x:c>
      <x:c r="B22" s="4">
        <x:f>+'System&amp;BillingCycleHDD'!B22</x:f>
        <x:v>45627</x:v>
      </x:c>
      <x:c r="C22" s="5">
        <x:v>35.989642857142876</x:v>
      </x:c>
      <x:c r="D22" s="5">
        <x:v>33.442423809523824</x:v>
      </x:c>
      <x:c r="E22" s="5">
        <x:v>34.766480952380959</x:v>
      </x:c>
      <x:c r="F22" s="5">
        <x:v>21.881080952380948</x:v>
      </x:c>
      <x:c r="G22" s="5">
        <x:v>20.160261904761914</x:v>
      </x:c>
      <x:c r="V22" s="2" t="str">
        <x:f t="shared" si="0"/>
        <x:v>122024</x:v>
      </x:c>
    </x:row>
    <x:row r="23" spans="1:22" x14ac:dyDescent="0.25">
      <x:c r="A23" s="1">
        <x:f t="shared" si="1"/>
        <x:v>13</x:v>
      </x:c>
      <x:c r="B23" s="6" t="s">
        <x:v>1</x:v>
      </x:c>
      <x:c r="C23" s="7">
        <x:f>SUM(C11:C22)</x:f>
        <x:v>3227.0821000000001</x:v>
      </x:c>
      <x:c r="D23" s="7">
        <x:f>SUM(D11:D22)</x:f>
        <x:v>3168.1927428571435</x:v>
      </x:c>
      <x:c r="E23" s="7">
        <x:f>SUM(E11:E22)</x:f>
        <x:v>3225.1571809523816</x:v>
      </x:c>
      <x:c r="F23" s="7">
        <x:f>SUM(F11:F22)</x:f>
        <x:v>2989.8682142857147</x:v>
      </x:c>
      <x:c r="G23" s="7">
        <x:f>SUM(G11:G22)</x:f>
        <x:v>2933.8136142857152</x:v>
      </x:c>
      <x:c r="I23" s="5"/>
      <x:c r="J23" s="5"/>
      <x:c r="K23" s="5"/>
      <x:c r="L23" s="5"/>
    </x:row>
    <x:row r="24" spans="1:22" x14ac:dyDescent="0.25">
      <x:c r="A24" s="1">
        <x:f t="shared" si="1"/>
        <x:v>14</x:v>
      </x:c>
    </x:row>
    <x:row r="25" spans="1:22" x14ac:dyDescent="0.25">
      <x:c r="A25" s="1">
        <x:f t="shared" si="1"/>
        <x:v>15</x:v>
      </x:c>
    </x:row>
    <x:row r="26" spans="1:22" x14ac:dyDescent="0.25">
      <x:c r="A26" s="1">
        <x:f t="shared" si="1"/>
        <x:v>16</x:v>
      </x:c>
      <x:c r="B26" s="10" t="s">
        <x:v>11</x:v>
      </x:c>
      <x:c r="C26" s="10"/>
      <x:c r="D26" s="10"/>
      <x:c r="E26" s="10"/>
      <x:c r="F26" s="10"/>
      <x:c r="G26" s="10"/>
    </x:row>
    <x:row r="27" spans="1:22" ht="41.4" customHeight="1" thickBot="1" x14ac:dyDescent="0.3">
      <x:c r="A27" s="1">
        <x:f t="shared" si="1"/>
        <x:v>17</x:v>
      </x:c>
      <x:c r="C27" s="3" t="s">
        <x:v>4</x:v>
      </x:c>
      <x:c r="D27" s="3" t="s">
        <x:v>5</x:v>
      </x:c>
      <x:c r="E27" s="3" t="s">
        <x:v>6</x:v>
      </x:c>
      <x:c r="F27" s="3" t="s">
        <x:v>7</x:v>
      </x:c>
      <x:c r="G27" s="3" t="s">
        <x:v>14</x:v>
      </x:c>
    </x:row>
    <x:row r="28" spans="1:22" x14ac:dyDescent="0.25">
      <x:c r="A28" s="1">
        <x:f t="shared" si="1"/>
        <x:v>18</x:v>
      </x:c>
      <x:c r="B28" s="4">
        <x:f>+B11</x:f>
        <x:v>45292</x:v>
      </x:c>
      <x:c r="C28" s="5">
        <x:v>7.3740806061492696</x:v>
      </x:c>
      <x:c r="D28" s="5">
        <x:v>6.7863028113037327</x:v>
      </x:c>
      <x:c r="E28" s="5">
        <x:v>7.094959613415261</x:v>
      </x:c>
      <x:c r="F28" s="5">
        <x:v>3.3230791431984983</x:v>
      </x:c>
      <x:c r="G28" s="5">
        <x:v>2.6407509417745589</x:v>
      </x:c>
      <x:c r="V28" s="2">
        <x:f>MONTH(B28)</x:f>
        <x:v>1</x:v>
      </x:c>
    </x:row>
    <x:row r="29" spans="1:22" x14ac:dyDescent="0.25">
      <x:c r="A29" s="1">
        <x:f t="shared" si="1"/>
        <x:v>19</x:v>
      </x:c>
      <x:c r="B29" s="4">
        <x:f t="shared" ref="B29:B39" si="2">+B12</x:f>
        <x:v>45323</x:v>
      </x:c>
      <x:c r="C29" s="5">
        <x:v>4.6900863848048191</x:v>
      </x:c>
      <x:c r="D29" s="5">
        <x:v>4.3038296018335656</x:v>
      </x:c>
      <x:c r="E29" s="5">
        <x:v>4.5321922922000359</x:v>
      </x:c>
      <x:c r="F29" s="5">
        <x:v>2.2664937679516255</x:v>
      </x:c>
      <x:c r="G29" s="5">
        <x:v>1.8488227203569605</x:v>
      </x:c>
      <x:c r="V29" s="2">
        <x:f>MONTH(B29)</x:f>
        <x:v>2</x:v>
      </x:c>
    </x:row>
    <x:row r="30" spans="1:22" x14ac:dyDescent="0.25">
      <x:c r="A30" s="1">
        <x:f t="shared" si="1"/>
        <x:v>20</x:v>
      </x:c>
      <x:c r="B30" s="4">
        <x:f t="shared" si="2"/>
        <x:v>45352</x:v>
      </x:c>
      <x:c r="C30" s="5">
        <x:v>18.010951028332482</x:v>
      </x:c>
      <x:c r="D30" s="5">
        <x:v>16.998411092336578</x:v>
      </x:c>
      <x:c r="E30" s="5">
        <x:v>17.584412820081443</x:v>
      </x:c>
      <x:c r="F30" s="5">
        <x:v>12.31415295369761</x:v>
      </x:c>
      <x:c r="G30" s="5">
        <x:v>11.437407072513597</x:v>
      </x:c>
      <x:c r="V30" s="2">
        <x:f>MONTH(B30)</x:f>
        <x:v>3</x:v>
      </x:c>
    </x:row>
    <x:row r="31" spans="1:22" x14ac:dyDescent="0.25">
      <x:c r="A31" s="1">
        <x:f t="shared" si="1"/>
        <x:v>21</x:v>
      </x:c>
      <x:c r="B31" s="4">
        <x:f t="shared" si="2"/>
        <x:v>45383</x:v>
      </x:c>
      <x:c r="C31" s="5">
        <x:v>65.860223550459636</x:v>
      </x:c>
      <x:c r="D31" s="5">
        <x:v>64.274759795674555</x:v>
      </x:c>
      <x:c r="E31" s="5">
        <x:v>65.366091278984726</x:v>
      </x:c>
      <x:c r="F31" s="5">
        <x:v>60.709924681808218</x:v>
      </x:c>
      <x:c r="G31" s="5">
        <x:v>60.103248284080671</x:v>
      </x:c>
      <x:c r="V31" s="2">
        <x:f>MONTH(B31)</x:f>
        <x:v>4</x:v>
      </x:c>
    </x:row>
    <x:row r="32" spans="1:22" x14ac:dyDescent="0.25">
      <x:c r="A32" s="1">
        <x:f t="shared" si="1"/>
        <x:v>22</x:v>
      </x:c>
      <x:c r="B32" s="4">
        <x:f t="shared" si="2"/>
        <x:v>45413</x:v>
      </x:c>
      <x:c r="C32" s="5">
        <x:v>160.26905528917663</x:v>
      </x:c>
      <x:c r="D32" s="5">
        <x:v>158.85906408638726</x:v>
      </x:c>
      <x:c r="E32" s="5">
        <x:v>159.90924811340307</x:v>
      </x:c>
      <x:c r="F32" s="5">
        <x:v>163.15805980481804</x:v>
      </x:c>
      <x:c r="G32" s="5">
        <x:v>164.34627728647015</x:v>
      </x:c>
      <x:c r="V32" s="2">
        <x:f>MONTH(B32)</x:f>
        <x:v>5</x:v>
      </x:c>
    </x:row>
    <x:row r="33" spans="1:22" x14ac:dyDescent="0.25">
      <x:c r="A33" s="1">
        <x:f t="shared" si="1"/>
        <x:v>23</x:v>
      </x:c>
      <x:c r="B33" s="4">
        <x:f t="shared" si="2"/>
        <x:v>45444</x:v>
      </x:c>
      <x:c r="C33" s="5">
        <x:v>371.34554302416302</x:v>
      </x:c>
      <x:c r="D33" s="5">
        <x:v>367.78492461536587</x:v>
      </x:c>
      <x:c r="E33" s="5">
        <x:v>371.55620029289503</x:v>
      </x:c>
      <x:c r="F33" s="5">
        <x:v>369.60532758393686</x:v>
      </x:c>
      <x:c r="G33" s="5">
        <x:v>368.68234126252651</x:v>
      </x:c>
      <x:c r="V33" s="2">
        <x:f t="shared" ref="V33:V39" si="3">MONTH(B33)</x:f>
        <x:v>6</x:v>
      </x:c>
    </x:row>
    <x:row r="34" spans="1:22" x14ac:dyDescent="0.25">
      <x:c r="A34" s="1">
        <x:f t="shared" si="1"/>
        <x:v>24</x:v>
      </x:c>
      <x:c r="B34" s="4">
        <x:f t="shared" si="2"/>
        <x:v>45474</x:v>
      </x:c>
      <x:c r="C34" s="5">
        <x:v>559.78996124564162</x:v>
      </x:c>
      <x:c r="D34" s="5">
        <x:v>553.05081058615565</x:v>
      </x:c>
      <x:c r="E34" s="5">
        <x:v>560.9301276536404</x:v>
      </x:c>
      <x:c r="F34" s="5">
        <x:v>540.69282584083101</x:v>
      </x:c>
      <x:c r="G34" s="5">
        <x:v>534.3059324615366</x:v>
      </x:c>
      <x:c r="V34" s="2">
        <x:f t="shared" si="3"/>
        <x:v>7</x:v>
      </x:c>
    </x:row>
    <x:row r="35" spans="1:22" x14ac:dyDescent="0.25">
      <x:c r="A35" s="1">
        <x:f t="shared" si="1"/>
        <x:v>25</x:v>
      </x:c>
      <x:c r="B35" s="4">
        <x:f t="shared" si="2"/>
        <x:v>45505</x:v>
      </x:c>
      <x:c r="C35" s="5">
        <x:v>626.46157039329012</x:v>
      </x:c>
      <x:c r="D35" s="5">
        <x:v>616.19451091080862</x:v>
      </x:c>
      <x:c r="E35" s="5">
        <x:v>627.92542897697081</x:v>
      </x:c>
      <x:c r="F35" s="5">
        <x:v>584.00490945505101</x:v>
      </x:c>
      <x:c r="G35" s="5">
        <x:v>571.4598886166583</x:v>
      </x:c>
      <x:c r="V35" s="2">
        <x:f t="shared" si="3"/>
        <x:v>8</x:v>
      </x:c>
    </x:row>
    <x:row r="36" spans="1:22" x14ac:dyDescent="0.25">
      <x:c r="A36" s="1">
        <x:f t="shared" si="1"/>
        <x:v>26</x:v>
      </x:c>
      <x:c r="B36" s="4">
        <x:f t="shared" si="2"/>
        <x:v>45536</x:v>
      </x:c>
      <x:c r="C36" s="5">
        <x:v>580.44505654487602</x:v>
      </x:c>
      <x:c r="D36" s="5">
        <x:v>568.07318604527825</x:v>
      </x:c>
      <x:c r="E36" s="5">
        <x:v>580.89203242142742</x:v>
      </x:c>
      <x:c r="F36" s="5">
        <x:v>523.65777429534546</x:v>
      </x:c>
      <x:c r="G36" s="5">
        <x:v>508.63994280228229</x:v>
      </x:c>
      <x:c r="V36" s="2">
        <x:f t="shared" si="3"/>
        <x:v>9</x:v>
      </x:c>
    </x:row>
    <x:row r="37" spans="1:22" x14ac:dyDescent="0.25">
      <x:c r="A37" s="1">
        <x:f t="shared" si="1"/>
        <x:v>27</x:v>
      </x:c>
      <x:c r="B37" s="4">
        <x:f t="shared" si="2"/>
        <x:v>45566</x:v>
      </x:c>
      <x:c r="C37" s="5">
        <x:v>366.81273286275092</x:v>
      </x:c>
      <x:c r="D37" s="5">
        <x:v>356.28176897934799</x:v>
      </x:c>
      <x:c r="E37" s="5">
        <x:v>366.65879146916842</x:v>
      </x:c>
      <x:c r="F37" s="5">
        <x:v>318.0901140138493</x:v>
      </x:c>
      <x:c r="G37" s="5">
        <x:v>305.74798568929378</x:v>
      </x:c>
      <x:c r="V37" s="2">
        <x:f t="shared" si="3"/>
        <x:v>10</x:v>
      </x:c>
    </x:row>
    <x:row r="38" spans="1:22" x14ac:dyDescent="0.25">
      <x:c r="A38" s="1">
        <x:f t="shared" si="1"/>
        <x:v>28</x:v>
      </x:c>
      <x:c r="B38" s="4">
        <x:f t="shared" si="2"/>
        <x:v>45597</x:v>
      </x:c>
      <x:c r="C38" s="5">
        <x:v>138.79712440201888</x:v>
      </x:c>
      <x:c r="D38" s="5">
        <x:v>133.0742636804184</x:v>
      </x:c>
      <x:c r="E38" s="5">
        <x:v>138.03192028198376</x:v>
      </x:c>
      <x:c r="F38" s="5">
        <x:v>111.38010103991415</x:v>
      </x:c>
      <x:c r="G38" s="5">
        <x:v>105.36881603881696</x:v>
      </x:c>
      <x:c r="V38" s="2">
        <x:f t="shared" si="3"/>
        <x:v>11</x:v>
      </x:c>
    </x:row>
    <x:row r="39" spans="1:22" x14ac:dyDescent="0.25">
      <x:c r="A39" s="1">
        <x:f t="shared" si="1"/>
        <x:v>29</x:v>
      </x:c>
      <x:c r="B39" s="4">
        <x:f t="shared" si="2"/>
        <x:v>45627</x:v>
      </x:c>
      <x:c r="C39" s="5">
        <x:v>27.579228899982915</x:v>
      </x:c>
      <x:c r="D39" s="5">
        <x:v>25.700515746836373</x:v>
      </x:c>
      <x:c r="E39" s="5">
        <x:v>26.980094630361094</x:v>
      </x:c>
      <x:c r="F39" s="5">
        <x:v>16.792428413551793</x:v>
      </x:c>
      <x:c r="G39" s="5">
        <x:v>14.748626237412525</x:v>
      </x:c>
      <x:c r="V39" s="2">
        <x:f t="shared" si="3"/>
        <x:v>12</x:v>
      </x:c>
    </x:row>
    <x:row r="40" spans="1:22" x14ac:dyDescent="0.25">
      <x:c r="A40" s="1">
        <x:f t="shared" si="1"/>
        <x:v>30</x:v>
      </x:c>
      <x:c r="B40" s="6" t="s">
        <x:v>1</x:v>
      </x:c>
      <x:c r="C40" s="7">
        <x:f>SUM(C28:C39)</x:f>
        <x:v>2927.4356142316465</x:v>
      </x:c>
      <x:c r="D40" s="7">
        <x:f>SUM(D28:D39)</x:f>
        <x:v>2871.3823479517469</x:v>
      </x:c>
      <x:c r="E40" s="7">
        <x:f>SUM(E28:E39)</x:f>
        <x:v>2927.4614998445318</x:v>
      </x:c>
      <x:c r="F40" s="7">
        <x:f>SUM(F28:F39)</x:f>
        <x:v>2705.9951909939541</x:v>
      </x:c>
      <x:c r="G40" s="7">
        <x:f>SUM(G28:G39)</x:f>
        <x:v>2649.3300394137232</x:v>
      </x:c>
      <x:c r="I40" s="5"/>
      <x:c r="J40" s="5"/>
      <x:c r="K40" s="5"/>
      <x:c r="L40" s="5"/>
    </x:row>
    <x:row r="41" spans="1:22" x14ac:dyDescent="0.25">
      <x:c r="E41" s="9"/>
      <x:c r="F41" s="9"/>
    </x:row>
    <x:row r="42" spans="1:22" x14ac:dyDescent="0.25">
      <x:c r="C42" s="5"/>
      <x:c r="D42" s="5"/>
      <x:c r="E42" s="5"/>
      <x:c r="F42" s="5"/>
      <x:c r="G42" s="5"/>
    </x:row>
  </x:sheetData>
  <x:mergeCells count="7">
    <x:mergeCell ref="B26:G26"/>
    <x:mergeCell ref="B1:G1"/>
    <x:mergeCell ref="B2:G2"/>
    <x:mergeCell ref="B3:G3"/>
    <x:mergeCell ref="B4:G4"/>
    <x:mergeCell ref="B6:G6"/>
    <x:mergeCell ref="B9:G9"/>
  </x:mergeCells>
  <x:pageMargins left="0.75" right="0.75" top="1" bottom="1" header="0.5" footer="0.5"/>
  <x:pageSetup scale="78" firstPageNumber="2" orientation="portrait" r:id="rId1"/>
  <x:headerFooter alignWithMargins="0">
    <x:oddHeader>&amp;RSchedule II-H-5.3
Page &amp;P of 3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2025-04-04T20:30:06.0000000Z</dcterms:modified>
</coreProperties>
</file>