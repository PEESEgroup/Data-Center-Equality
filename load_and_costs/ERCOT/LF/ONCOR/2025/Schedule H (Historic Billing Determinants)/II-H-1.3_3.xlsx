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0B49C727-9D33-4512-BBB1-FF308E08EF01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Sheet1" sheetId="1" r:id="rId1"/>
  </x:sheets>
  <x:externalReferences>
    <x:externalReference r:id="rId2"/>
    <x:externalReference r:id="rId3"/>
  </x:externalReferences>
  <x:definedNames>
    <x:definedName name="_xlnm.Print_Area" localSheetId="0">Sheet1!$A$1:$O$28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L20" i="1" l="1"/>
  <x:c r="L19" i="1"/>
  <x:c r="L18" i="1"/>
  <x:c r="L17" i="1"/>
  <x:c r="K20" i="1"/>
  <x:c r="K19" i="1"/>
  <x:c r="K18" i="1"/>
  <x:c r="K17" i="1"/>
  <x:c r="J20" i="1"/>
  <x:c r="J19" i="1"/>
  <x:c r="J18" i="1"/>
  <x:c r="J17" i="1"/>
  <x:c r="I20" i="1"/>
  <x:c r="I19" i="1"/>
  <x:c r="I18" i="1"/>
  <x:c r="I17" i="1"/>
  <x:c r="H20" i="1"/>
  <x:c r="H19" i="1"/>
  <x:c r="H18" i="1"/>
  <x:c r="H17" i="1"/>
  <x:c r="G20" i="1"/>
  <x:c r="G19" i="1"/>
  <x:c r="G18" i="1"/>
  <x:c r="G17" i="1"/>
  <x:c r="F20" i="1"/>
  <x:c r="F19" i="1"/>
  <x:c r="F18" i="1"/>
  <x:c r="F17" i="1"/>
  <x:c r="E20" i="1"/>
  <x:c r="E19" i="1"/>
  <x:c r="E18" i="1"/>
  <x:c r="E17" i="1"/>
  <x:c r="N18" i="1" l="1"/>
  <x:c r="F26" i="1" s="1"/>
  <x:c r="N19" i="1"/>
  <x:c r="G27" i="1" s="1"/>
  <x:c r="N20" i="1"/>
  <x:c r="L28" i="1" s="1"/>
  <x:c r="N17" i="1"/>
  <x:c r="E25" i="1" s="1"/>
  <x:c r="K28" i="1" l="1"/>
  <x:c r="I26" i="1"/>
  <x:c r="L27" i="1"/>
  <x:c r="K26" i="1"/>
  <x:c r="G28" i="1"/>
  <x:c r="L26" i="1"/>
  <x:c r="E26" i="1"/>
  <x:c r="F27" i="1"/>
  <x:c r="G26" i="1"/>
  <x:c r="J27" i="1"/>
  <x:c r="L25" i="1"/>
  <x:c r="H26" i="1"/>
  <x:c r="K25" i="1"/>
  <x:c r="H25" i="1"/>
  <x:c r="E28" i="1"/>
  <x:c r="H27" i="1"/>
  <x:c r="J26" i="1"/>
  <x:c r="F28" i="1"/>
  <x:c r="I27" i="1"/>
  <x:c r="I28" i="1"/>
  <x:c r="H28" i="1"/>
  <x:c r="E27" i="1"/>
  <x:c r="K27" i="1"/>
  <x:c r="J28" i="1"/>
  <x:c r="F25" i="1"/>
  <x:c r="J25" i="1"/>
  <x:c r="G25" i="1"/>
  <x:c r="I25" i="1"/>
  <x:c r="N27" i="1" l="1"/>
  <x:c r="N26" i="1"/>
  <x:c r="N28" i="1"/>
  <x:c r="N25" i="1"/>
</x:calcChain>
</file>

<file path=xl/sharedStrings.xml><?xml version="1.0" encoding="utf-8"?>
<sst xmlns="http://schemas.openxmlformats.org/spreadsheetml/2006/main" count="41" uniqueCount="36">
  <si>
    <t xml:space="preserve"> </t>
  </si>
  <si>
    <t>Line</t>
  </si>
  <si>
    <t>RES</t>
  </si>
  <si>
    <t>SEC &lt;10</t>
  </si>
  <si>
    <t>SEC &gt; 10</t>
  </si>
  <si>
    <t>PRI &lt;10</t>
  </si>
  <si>
    <t>Pri Subst</t>
  </si>
  <si>
    <t>PRI &gt;10 DLS</t>
  </si>
  <si>
    <t>TRAN</t>
  </si>
  <si>
    <t>LIGHT</t>
  </si>
  <si>
    <t>TOTAL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</si>
  <si>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</si>
  <si>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</si>
  <si>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</si>
  <si>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</si>
  <si>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</si>
  <si>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</si>
  <si>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</si>
  <si>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</si>
  <si>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</si>
  <si>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WORKPAPER - RETAIL 4CP DEMAND COINCIDENT WITH ERCOT PEAK</t>
  </si>
  <si>
    <t>Class kW at Source</t>
  </si>
  <si>
    <t>II-H-1.3, col(g)</t>
  </si>
  <si>
    <t>ONCOR ELECTRIC DELIVERY COMPANY LLC</t>
  </si>
  <si>
    <t xml:space="preserve">PUC DOCKET NO. </t>
  </si>
  <si>
    <t>Month</t>
  </si>
  <si>
    <t>UNADJUSTED TEST YEAR LOAD DATA</t>
  </si>
  <si>
    <t>SPONSOR:  D. E. NELSON</t>
  </si>
  <si>
    <t>Class % at Source</t>
  </si>
  <si>
    <t xml:space="preserve">                                                         WP/II-H-1.3/3</t>
  </si>
  <si>
    <t xml:space="preserve">                                                          Page 1 of 1</t>
  </si>
  <si>
    <t>FOR THE TEST YEAR ENDING 12/31/2024</t>
  </si>
  <si>
    <t>JUN 2024</t>
  </si>
  <si>
    <t>JUL 2024</t>
  </si>
  <si>
    <t>AUG 2024</t>
  </si>
  <si>
    <t>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</si>
</sst>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0%"/>
    <numFmt numFmtId="166" formatCode="0.0000000"/>
    <numFmt numFmtId="167" formatCode="_(* #,##0.000000_);_(* \(#,##0.000000\);_(* &quot;-&quot;??_);_(@_)"/>
  </numFmts>
  <fonts count="14" x14ac:knownFonts="1">
    <font>
      <sz val="11"/>
      <name val="Arial"/>
    </font>
    <font>
      <sz val="11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Times New Roman"/>
      <family val="1"/>
    </font>
    <font>
      <sz val="11"/>
      <name val="Arial"/>
      <family val="2"/>
    </font>
    <font>
      <u val="singleAccounting"/>
      <sz val="11"/>
      <name val="Arial"/>
      <family val="2"/>
    </font>
    <font>
      <sz val="8"/>
      <name val="Arial"/>
      <family val="2"/>
    </font>
    <font>
      <sz val="11"/>
      <color theme="6" tint="-0.499984740745262"/>
      <name val="Arial"/>
      <family val="2"/>
    </font>
    <font>
      <b/>
      <u/>
      <sz val="11"/>
      <name val="Arial"/>
      <family val="2"/>
    </font>
    <font>
      <b/>
      <sz val="12"/>
      <color rgb="FFFF0000"/>
      <name val="Arial"/>
      <family val="2"/>
    </font>
    <font>
      <b/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Fill="1" applyBorder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49" fontId="6" fillId="0" borderId="0" xfId="0" applyNumberFormat="1" applyFont="1" applyAlignment="1">
      <alignment horizontal="centerContinuous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7" fillId="0" borderId="0" xfId="0" quotePrefix="1" applyFont="1" applyBorder="1" applyAlignment="1">
      <alignment horizontal="right" indent="1"/>
    </xf>
    <xf numFmtId="0" fontId="7" fillId="0" borderId="0" xfId="0" applyFont="1" applyAlignment="1">
      <alignment horizontal="left" indent="1"/>
    </xf>
    <xf numFmtId="165" fontId="7" fillId="0" borderId="0" xfId="2" applyNumberFormat="1" applyFont="1"/>
    <xf numFmtId="9" fontId="4" fillId="0" borderId="0" xfId="2" applyFont="1" applyFill="1" applyBorder="1" applyAlignment="1">
      <alignment horizontal="center"/>
    </xf>
    <xf numFmtId="17" fontId="7" fillId="0" borderId="0" xfId="0" quotePrefix="1" applyNumberFormat="1" applyFont="1" applyBorder="1" applyAlignment="1">
      <alignment horizontal="right" indent="1"/>
    </xf>
    <xf numFmtId="0" fontId="7" fillId="0" borderId="0" xfId="0" applyFont="1" applyFill="1" applyBorder="1" applyAlignment="1">
      <alignment horizontal="right" indent="1"/>
    </xf>
    <xf numFmtId="0" fontId="7" fillId="0" borderId="0" xfId="0" applyFont="1" applyBorder="1"/>
    <xf numFmtId="166" fontId="7" fillId="0" borderId="0" xfId="0" applyNumberFormat="1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164" fontId="4" fillId="0" borderId="0" xfId="1" applyNumberFormat="1" applyFont="1" applyFill="1" applyBorder="1"/>
    <xf numFmtId="164" fontId="10" fillId="0" borderId="0" xfId="1" applyNumberFormat="1" applyFont="1" applyFill="1" applyBorder="1"/>
    <xf numFmtId="0" fontId="1" fillId="0" borderId="0" xfId="0" applyFont="1" applyAlignment="1">
      <alignment horizontal="left" indent="1"/>
    </xf>
    <xf numFmtId="0" fontId="4" fillId="0" borderId="0" xfId="0" applyFont="1" applyFill="1" applyBorder="1" applyAlignment="1">
      <alignment horizontal="centerContinuous"/>
    </xf>
    <xf numFmtId="0" fontId="1" fillId="0" borderId="0" xfId="0" quotePrefix="1" applyFont="1" applyBorder="1" applyAlignment="1">
      <alignment horizontal="right" indent="1"/>
    </xf>
    <xf numFmtId="164" fontId="1" fillId="0" borderId="0" xfId="1" applyNumberFormat="1" applyFont="1" applyFill="1" applyBorder="1"/>
    <xf numFmtId="3" fontId="1" fillId="0" borderId="0" xfId="0" applyNumberFormat="1" applyFont="1"/>
    <xf numFmtId="167" fontId="0" fillId="0" borderId="0" xfId="0" applyNumberFormat="1"/>
    <xf numFmtId="0" fontId="11" fillId="0" borderId="0" xfId="0" applyFont="1" applyBorder="1" applyAlignment="1">
      <alignment horizontal="left" indent="1"/>
    </xf>
    <xf numFmtId="0" fontId="12" fillId="0" borderId="0" xfId="0" applyFont="1"/>
    <xf numFmtId="0" fontId="13" fillId="0" borderId="0" xfId="0" applyFont="1"/>
    <xf numFmtId="49" fontId="4" fillId="0" borderId="0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4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  <sheetName val="36-MO LF-RES"/>
      <sheetName val="36 MO LF-SGS"/>
      <sheetName val="36 MO LF - LGS"/>
      <sheetName val="36 MO LF - SGP "/>
      <sheetName val="36 MO LF - LGP_DLS"/>
      <sheetName val="36 MO LF - LGP_SUBST"/>
      <sheetName val="36 MO LF -  HV"/>
      <sheetName val="36 MO LF -  WHLS SUB"/>
      <sheetName val="36 MO LF -  WHLS DLS"/>
    </sheetNames>
    <sheetDataSet>
      <sheetData sheetId="0">
        <row r="27">
          <cell r="P27">
            <v>12880925.910766708</v>
          </cell>
        </row>
        <row r="28">
          <cell r="P28">
            <v>12441296.931997389</v>
          </cell>
        </row>
        <row r="29">
          <cell r="P29">
            <v>13245419.976384969</v>
          </cell>
        </row>
        <row r="30">
          <cell r="P30">
            <v>11305885.452528091</v>
          </cell>
        </row>
      </sheetData>
      <sheetData sheetId="1">
        <row r="27">
          <cell r="P27">
            <v>222308.70609930618</v>
          </cell>
        </row>
        <row r="28">
          <cell r="P28">
            <v>256254.51852131641</v>
          </cell>
        </row>
        <row r="29">
          <cell r="P29">
            <v>270005.23379331187</v>
          </cell>
        </row>
        <row r="30">
          <cell r="P30">
            <v>256770.23542181202</v>
          </cell>
        </row>
      </sheetData>
      <sheetData sheetId="2">
        <row r="27">
          <cell r="P27">
            <v>7567923.721348268</v>
          </cell>
        </row>
        <row r="28">
          <cell r="P28">
            <v>8805116.4834647886</v>
          </cell>
        </row>
        <row r="29">
          <cell r="P29">
            <v>9414075.1903957315</v>
          </cell>
        </row>
        <row r="30">
          <cell r="P30">
            <v>8931168.0047577973</v>
          </cell>
        </row>
      </sheetData>
      <sheetData sheetId="3">
        <row r="27">
          <cell r="P27">
            <v>2720.458989835884</v>
          </cell>
        </row>
        <row r="28">
          <cell r="P28">
            <v>2782.5875299173604</v>
          </cell>
        </row>
        <row r="29">
          <cell r="P29">
            <v>2655.6585605854921</v>
          </cell>
        </row>
        <row r="30">
          <cell r="P30">
            <v>2824.5467635555501</v>
          </cell>
        </row>
      </sheetData>
      <sheetData sheetId="4">
        <row r="27">
          <cell r="P27">
            <v>2626687.2297257143</v>
          </cell>
        </row>
        <row r="28">
          <cell r="P28">
            <v>2697183.2767225364</v>
          </cell>
        </row>
        <row r="29">
          <cell r="P29">
            <v>2754141.3452499448</v>
          </cell>
        </row>
        <row r="30">
          <cell r="P30">
            <v>2717256.7082995251</v>
          </cell>
        </row>
      </sheetData>
      <sheetData sheetId="5">
        <row r="27">
          <cell r="P27">
            <v>1164898.1597</v>
          </cell>
        </row>
        <row r="28">
          <cell r="P28">
            <v>886158.03209999995</v>
          </cell>
        </row>
        <row r="29">
          <cell r="P29">
            <v>927911.5307</v>
          </cell>
        </row>
        <row r="30">
          <cell r="P30">
            <v>940768.47369999997</v>
          </cell>
        </row>
      </sheetData>
      <sheetData sheetId="6">
        <row r="27">
          <cell r="P27">
            <v>3912552</v>
          </cell>
        </row>
        <row r="28">
          <cell r="P28">
            <v>3133176</v>
          </cell>
        </row>
        <row r="29">
          <cell r="R29">
            <v>3109502</v>
          </cell>
        </row>
        <row r="30">
          <cell r="R30">
            <v>3233646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  <row r="30">
          <cell r="P30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O28"/>
  <x:sheetViews>
    <x:sheetView tabSelected="1" zoomScale="80" zoomScaleNormal="80" zoomScaleSheetLayoutView="75" workbookViewId="0">
      <x:selection activeCell="E25" sqref="E25"/>
    </x:sheetView>
  </x:sheetViews>
  <x:sheetFormatPr defaultRowHeight="14" x14ac:dyDescent="0.3"/>
  <x:cols>
    <x:col min="1" max="1" width="1.5" customWidth="1"/>
    <x:col min="2" max="2" width="5.25" customWidth="1"/>
    <x:col min="3" max="3" width="20.58203125" bestFit="1" customWidth="1"/>
    <x:col min="4" max="4" width="1.5" customWidth="1"/>
    <x:col min="5" max="5" width="14" customWidth="1"/>
    <x:col min="6" max="7" width="14.33203125" customWidth="1"/>
    <x:col min="8" max="8" width="15.33203125" customWidth="1"/>
    <x:col min="9" max="9" width="14.08203125" customWidth="1"/>
    <x:col min="10" max="10" width="14.83203125" customWidth="1"/>
    <x:col min="11" max="11" width="15.83203125" customWidth="1"/>
    <x:col min="12" max="12" width="11.5" customWidth="1"/>
    <x:col min="13" max="13" width="1.5" customWidth="1"/>
    <x:col min="14" max="14" width="14.75" bestFit="1" customWidth="1"/>
    <x:col min="15" max="15" width="1.5" customWidth="1"/>
  </x:cols>
  <x:sheetData>
    <x:row r="1" spans="1:15" ht="15.5" x14ac:dyDescent="0.35">
      <x:c r="A1" s="1" t="s">
        <x:v>0</x:v>
      </x:c>
      <x:c r="B1" s="1"/>
      <x:c r="C1" s="36"/>
      <x:c r="D1" s="1"/>
      <x:c r="E1" s="1"/>
      <x:c r="F1" s="1"/>
      <x:c r="G1" s="1"/>
      <x:c r="H1" s="1"/>
      <x:c r="I1" s="1"/>
      <x:c r="J1" s="1"/>
      <x:c r="K1" t="s">
        <x:v>29</x:v>
      </x:c>
      <x:c r="L1" s="1"/>
      <x:c r="M1" s="1"/>
      <x:c r="N1" s="1"/>
      <x:c r="O1" s="1"/>
    </x:row>
    <x:row r="2" spans="1:15" ht="15.5" x14ac:dyDescent="0.35">
      <x:c r="A2" s="1"/>
      <x:c r="B2" s="2"/>
      <x:c r="C2" s="37"/>
      <x:c r="D2" s="2"/>
      <x:c r="E2" s="2"/>
      <x:c r="F2" s="2"/>
      <x:c r="G2" s="2"/>
      <x:c r="H2" s="2"/>
      <x:c r="I2" s="2"/>
      <x:c r="J2" s="2"/>
      <x:c r="K2" t="s">
        <x:v>30</x:v>
      </x:c>
      <x:c r="L2" s="2"/>
      <x:c r="M2" s="2"/>
      <x:c r="N2" s="2"/>
      <x:c r="O2" s="2"/>
    </x:row>
    <x:row r="3" spans="1:15" ht="15.5" x14ac:dyDescent="0.35">
      <x:c r="A3" s="1"/>
      <x:c r="B3" s="30" t="s">
        <x:v>24</x:v>
      </x:c>
      <x:c r="C3" s="4"/>
      <x:c r="D3" s="4"/>
      <x:c r="E3" s="4"/>
      <x:c r="F3" s="4"/>
      <x:c r="G3" s="5"/>
      <x:c r="H3" s="4"/>
      <x:c r="I3" s="4"/>
      <x:c r="J3" s="4"/>
      <x:c r="K3" s="4"/>
      <x:c r="L3" s="4"/>
      <x:c r="M3" s="4"/>
      <x:c r="N3" s="4"/>
      <x:c r="O3" s="4"/>
    </x:row>
    <x:row r="4" spans="1:15" ht="15.5" x14ac:dyDescent="0.35">
      <x:c r="A4" s="1"/>
      <x:c r="B4" s="30" t="s">
        <x:v>23</x:v>
      </x:c>
      <x:c r="C4" s="4"/>
      <x:c r="D4" s="4"/>
      <x:c r="E4" s="4"/>
      <x:c r="F4" s="4"/>
      <x:c r="G4" s="5"/>
      <x:c r="H4" s="4"/>
      <x:c r="I4" s="4"/>
      <x:c r="J4" s="4"/>
      <x:c r="K4" s="4"/>
      <x:c r="L4" s="4"/>
      <x:c r="M4" s="4"/>
      <x:c r="N4" s="4"/>
      <x:c r="O4" s="4"/>
    </x:row>
    <x:row r="5" spans="1:15" ht="15.5" x14ac:dyDescent="0.35">
      <x:c r="A5" s="1"/>
      <x:c r="B5" s="30" t="s">
        <x:v>26</x:v>
      </x:c>
      <x:c r="C5" s="4"/>
      <x:c r="D5" s="4"/>
      <x:c r="E5" s="4"/>
      <x:c r="F5" s="4"/>
      <x:c r="G5" s="5"/>
      <x:c r="H5" s="4"/>
      <x:c r="I5" s="4"/>
      <x:c r="J5" s="4"/>
      <x:c r="K5" s="4"/>
      <x:c r="L5" s="4"/>
      <x:c r="M5" s="4"/>
      <x:c r="N5" s="4"/>
      <x:c r="O5" s="4"/>
    </x:row>
    <x:row r="6" spans="1:15" ht="15.5" x14ac:dyDescent="0.35">
      <x:c r="A6" s="1"/>
      <x:c r="B6" s="30" t="s">
        <x:v>31</x:v>
      </x:c>
      <x:c r="C6" s="4"/>
      <x:c r="D6" s="4"/>
      <x:c r="E6" s="4"/>
      <x:c r="F6" s="4"/>
      <x:c r="G6" s="5"/>
      <x:c r="H6" s="4"/>
      <x:c r="I6" s="4"/>
      <x:c r="J6" s="4"/>
      <x:c r="K6" s="4"/>
      <x:c r="L6" s="4"/>
      <x:c r="M6" s="4"/>
      <x:c r="N6" s="4"/>
      <x:c r="O6" s="4"/>
    </x:row>
    <x:row r="7" spans="1:15" ht="15.5" x14ac:dyDescent="0.35">
      <x:c r="A7" s="1"/>
      <x:c r="B7" s="30" t="s">
        <x:v>27</x:v>
      </x:c>
      <x:c r="C7" s="4"/>
      <x:c r="D7" s="4"/>
      <x:c r="E7" s="4"/>
      <x:c r="F7" s="4"/>
      <x:c r="G7" s="3"/>
      <x:c r="H7" s="4"/>
      <x:c r="I7" s="4"/>
      <x:c r="J7" s="4"/>
      <x:c r="K7" s="4"/>
      <x:c r="L7" s="4"/>
      <x:c r="M7" s="4"/>
      <x:c r="N7" s="4"/>
      <x:c r="O7" s="4"/>
    </x:row>
    <x:row r="8" spans="1:15" ht="15.5" x14ac:dyDescent="0.35">
      <x:c r="A8" s="1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</x:row>
    <x:row r="9" spans="1:15" ht="15.5" x14ac:dyDescent="0.35">
      <x:c r="A9" s="1"/>
      <x:c r="B9" s="4"/>
      <x:c r="C9" s="4"/>
      <x:c r="D9" s="4"/>
      <x:c r="E9" s="4"/>
      <x:c r="F9" s="4"/>
      <x:c r="G9" s="6"/>
      <x:c r="H9" s="4"/>
      <x:c r="I9" s="4"/>
      <x:c r="J9" s="4"/>
      <x:c r="K9" s="4"/>
      <x:c r="L9" s="4"/>
      <x:c r="M9" s="4"/>
      <x:c r="N9" s="4"/>
      <x:c r="O9" s="4"/>
    </x:row>
    <x:row r="10" spans="1:15" ht="15.5" x14ac:dyDescent="0.35">
      <x:c r="A10" s="1"/>
      <x:c r="B10" s="3" t="s">
        <x:v>20</x:v>
      </x:c>
      <x:c r="C10" s="4"/>
      <x:c r="D10" s="4"/>
      <x:c r="E10" s="4"/>
      <x:c r="F10" s="4"/>
      <x:c r="G10" s="5"/>
      <x:c r="H10" s="4"/>
      <x:c r="I10" s="4"/>
      <x:c r="J10" s="4"/>
      <x:c r="K10" s="4"/>
      <x:c r="L10" s="4"/>
      <x:c r="M10" s="4"/>
      <x:c r="N10" s="4"/>
      <x:c r="O10" s="4"/>
    </x:row>
    <x:row r="11" spans="1:15" ht="15.5" x14ac:dyDescent="0.35">
      <x:c r="A11" s="1"/>
      <x:c r="B11" s="7"/>
      <x:c r="C11" s="7"/>
      <x:c r="D11" s="7"/>
      <x:c r="E11" s="7"/>
      <x:c r="F11" s="7"/>
      <x:c r="G11" s="8"/>
      <x:c r="H11" s="7"/>
      <x:c r="I11" s="7"/>
      <x:c r="J11" s="7"/>
      <x:c r="K11" s="7"/>
      <x:c r="L11" s="7"/>
      <x:c r="M11" s="7"/>
      <x:c r="N11" s="7"/>
      <x:c r="O11" s="7"/>
    </x:row>
    <x:row r="12" spans="1:15" ht="15.5" x14ac:dyDescent="0.35">
      <x:c r="A12" s="1"/>
      <x:c r="B12" s="9" t="s">
        <x:v>1</x:v>
      </x:c>
      <x:c r="C12" s="10"/>
      <x:c r="D12" s="10"/>
      <x:c r="E12" s="11" t="s">
        <x:v>2</x:v>
      </x:c>
      <x:c r="F12" s="11" t="s">
        <x:v>3</x:v>
      </x:c>
      <x:c r="G12" s="11" t="s">
        <x:v>4</x:v>
      </x:c>
      <x:c r="H12" s="11" t="s">
        <x:v>5</x:v>
      </x:c>
      <x:c r="I12" s="11" t="s">
        <x:v>7</x:v>
      </x:c>
      <x:c r="J12" s="11" t="s">
        <x:v>6</x:v>
      </x:c>
      <x:c r="K12" s="11" t="s">
        <x:v>8</x:v>
      </x:c>
      <x:c r="L12" s="11" t="s">
        <x:v>9</x:v>
      </x:c>
      <x:c r="M12" s="11"/>
      <x:c r="N12" s="11" t="s">
        <x:v>10</x:v>
      </x:c>
      <x:c r="O12" s="11"/>
    </x:row>
    <x:row r="13" spans="1:15" ht="15.5" x14ac:dyDescent="0.35">
      <x:c r="A13" s="1"/>
      <x:c r="B13" s="12"/>
      <x:c r="C13" s="12"/>
      <x:c r="D13" s="13"/>
      <x:c r="E13" s="14" t="s">
        <x:v>11</x:v>
      </x:c>
      <x:c r="F13" s="14" t="s">
        <x:v>12</x:v>
      </x:c>
      <x:c r="G13" s="14" t="s">
        <x:v>13</x:v>
      </x:c>
      <x:c r="H13" s="14" t="s">
        <x:v>14</x:v>
      </x:c>
      <x:c r="I13" s="14" t="s">
        <x:v>15</x:v>
      </x:c>
      <x:c r="J13" s="14" t="s">
        <x:v>16</x:v>
      </x:c>
      <x:c r="K13" s="14" t="s">
        <x:v>17</x:v>
      </x:c>
      <x:c r="L13" s="14" t="s">
        <x:v>18</x:v>
      </x:c>
      <x:c r="N13" s="14" t="s">
        <x:v>19</x:v>
      </x:c>
      <x:c r="O13" s="13"/>
    </x:row>
    <x:row r="14" spans="1:15" ht="15.5" x14ac:dyDescent="0.35">
      <x:c r="A14" s="1"/>
      <x:c r="B14" s="15"/>
      <x:c r="C14" s="29" t="s">
        <x:v>22</x:v>
      </x:c>
      <x:c r="D14" s="18"/>
      <x:c r="E14" s="19"/>
      <x:c r="F14" s="19"/>
      <x:c r="G14" s="19"/>
      <x:c r="H14" s="19"/>
      <x:c r="I14" s="19"/>
      <x:c r="J14" s="19"/>
      <x:c r="K14" s="19"/>
      <x:c r="L14" s="19"/>
      <x:c r="M14" s="19"/>
      <x:c r="N14" s="20"/>
      <x:c r="O14" s="20"/>
    </x:row>
    <x:row r="15" spans="1:15" ht="15.5" x14ac:dyDescent="0.35">
      <x:c r="A15" s="1"/>
      <x:c r="B15" s="15">
        <x:v>1</x:v>
      </x:c>
      <x:c r="C15" s="26" t="s">
        <x:v>21</x:v>
      </x:c>
      <x:c r="D15" s="26"/>
      <x:c r="E15" s="11"/>
      <x:c r="F15" s="11"/>
      <x:c r="G15" s="11"/>
      <x:c r="H15" s="11"/>
      <x:c r="I15" s="11"/>
      <x:c r="J15" s="11"/>
      <x:c r="K15" s="11"/>
      <x:c r="L15" s="11"/>
      <x:c r="M15" s="10"/>
      <x:c r="N15" s="10"/>
      <x:c r="O15" s="10"/>
    </x:row>
    <x:row r="16" spans="1:15" ht="15.5" x14ac:dyDescent="0.35">
      <x:c r="A16" s="1"/>
      <x:c r="B16" s="15">
        <x:v>2</x:v>
      </x:c>
      <x:c r="C16" s="35" t="s">
        <x:v>25</x:v>
      </x:c>
      <x:c r="D16" s="26"/>
      <x:c r="E16" s="11"/>
      <x:c r="F16" s="11"/>
      <x:c r="G16" s="11"/>
      <x:c r="H16" s="11"/>
      <x:c r="I16" s="11"/>
      <x:c r="J16" s="11"/>
      <x:c r="K16" s="11"/>
      <x:c r="L16" s="11"/>
      <x:c r="M16" s="10"/>
      <x:c r="N16" s="10"/>
      <x:c r="O16" s="10"/>
    </x:row>
    <x:row r="17" spans="1:15" ht="15.5" x14ac:dyDescent="0.35">
      <x:c r="A17" s="1"/>
      <x:c r="B17" s="15">
        <x:v>3</x:v>
      </x:c>
      <x:c r="C17" s="31" t="s">
        <x:v>32</x:v>
      </x:c>
      <x:c r="D17" s="21"/>
      <x:c r="E17" s="32">
        <x:f>[1]RESIDENTIAL!$P$27</x:f>
        <x:v>12880925.910766708</x:v>
      </x:c>
      <x:c r="F17" s="32">
        <x:f>'[1]SEC &lt; 10kW'!$P$27</x:f>
        <x:v>222308.70609930618</x:v>
      </x:c>
      <x:c r="G17" s="32">
        <x:f>'[1]SEC &gt; 10kW '!$P$27</x:f>
        <x:v>7567923.721348268</x:v>
      </x:c>
      <x:c r="H17" s="32">
        <x:f>'[1]PRIMARY  &lt; 10kW'!$P$27</x:f>
        <x:v>2720.458989835884</x:v>
      </x:c>
      <x:c r="I17" s="32">
        <x:f>'[1]PRIMARY  &gt; 10kW DLS'!$P$27</x:f>
        <x:v>2626687.2297257143</x:v>
      </x:c>
      <x:c r="J17" s="32">
        <x:f>'[1]PRIMARY  SUBSTATIONS'!$P$27</x:f>
        <x:v>1164898.1597</x:v>
      </x:c>
      <x:c r="K17" s="33">
        <x:f>[1]TRANSMISSION!$P$27</x:f>
        <x:v>3912552</x:v>
      </x:c>
      <x:c r="L17" s="28">
        <x:f>'[2]STREET LIGHTING'!$P$27</x:f>
        <x:v>0</x:v>
      </x:c>
      <x:c r="M17" s="15"/>
      <x:c r="N17" s="27">
        <x:f>SUM(D17:M17)</x:f>
        <x:v>28378016.186629832</x:v>
      </x:c>
      <x:c r="O17" s="16"/>
    </x:row>
    <x:row r="18" spans="1:15" ht="15.5" x14ac:dyDescent="0.35">
      <x:c r="A18" s="1"/>
      <x:c r="B18" s="15">
        <x:v>4</x:v>
      </x:c>
      <x:c r="C18" s="31" t="s">
        <x:v>33</x:v>
      </x:c>
      <x:c r="D18" s="17"/>
      <x:c r="E18" s="32">
        <x:f>[1]RESIDENTIAL!$P$28</x:f>
        <x:v>12441296.931997389</x:v>
      </x:c>
      <x:c r="F18" s="32">
        <x:f>'[1]SEC &lt; 10kW'!$P$28</x:f>
        <x:v>256254.51852131641</x:v>
      </x:c>
      <x:c r="G18" s="32">
        <x:f>'[1]SEC &gt; 10kW '!$P$28</x:f>
        <x:v>8805116.4834647886</x:v>
      </x:c>
      <x:c r="H18" s="32">
        <x:f>'[1]PRIMARY  &lt; 10kW'!$P$28</x:f>
        <x:v>2782.5875299173604</x:v>
      </x:c>
      <x:c r="I18" s="32">
        <x:f>'[1]PRIMARY  &gt; 10kW DLS'!$P$28</x:f>
        <x:v>2697183.2767225364</x:v>
      </x:c>
      <x:c r="J18" s="32">
        <x:f>'[1]PRIMARY  SUBSTATIONS'!$P$28</x:f>
        <x:v>886158.03209999995</x:v>
      </x:c>
      <x:c r="K18" s="33">
        <x:f>[1]TRANSMISSION!$P$28</x:f>
        <x:v>3133176</x:v>
      </x:c>
      <x:c r="L18" s="28">
        <x:f>'[2]STREET LIGHTING'!$P$28</x:f>
        <x:v>0</x:v>
      </x:c>
      <x:c r="M18" s="15"/>
      <x:c r="N18" s="27">
        <x:f t="shared" ref="N18:N20" si="0">SUM(D18:M18)</x:f>
        <x:v>28221967.830335945</x:v>
      </x:c>
      <x:c r="O18" s="16"/>
    </x:row>
    <x:row r="19" spans="1:15" ht="15.5" x14ac:dyDescent="0.35">
      <x:c r="A19" s="1"/>
      <x:c r="B19" s="15">
        <x:v>5</x:v>
      </x:c>
      <x:c r="C19" s="31" t="s">
        <x:v>34</x:v>
      </x:c>
      <x:c r="D19" s="17"/>
      <x:c r="E19" s="32">
        <x:f>[1]RESIDENTIAL!$P$29</x:f>
        <x:v>13245419.976384969</x:v>
      </x:c>
      <x:c r="F19" s="32">
        <x:f>'[1]SEC &lt; 10kW'!$P$29</x:f>
        <x:v>270005.23379331187</x:v>
      </x:c>
      <x:c r="G19" s="32">
        <x:f>'[1]SEC &gt; 10kW '!$P$29</x:f>
        <x:v>9414075.1903957315</x:v>
      </x:c>
      <x:c r="H19" s="32">
        <x:f>'[1]PRIMARY  &lt; 10kW'!$P$29</x:f>
        <x:v>2655.6585605854921</x:v>
      </x:c>
      <x:c r="I19" s="32">
        <x:f>'[1]PRIMARY  &gt; 10kW DLS'!$P$29</x:f>
        <x:v>2754141.3452499448</x:v>
      </x:c>
      <x:c r="J19" s="32">
        <x:f>'[1]PRIMARY  SUBSTATIONS'!$P$29</x:f>
        <x:v>927911.5307</x:v>
      </x:c>
      <x:c r="K19" s="33">
        <x:f>[1]TRANSMISSION!$R$29</x:f>
        <x:v>3109502</x:v>
      </x:c>
      <x:c r="L19" s="28">
        <x:f>'[2]STREET LIGHTING'!$P$29</x:f>
        <x:v>0</x:v>
      </x:c>
      <x:c r="M19" s="15"/>
      <x:c r="N19" s="27">
        <x:f t="shared" si="0"/>
        <x:v>29723710.935084544</x:v>
      </x:c>
      <x:c r="O19" s="16"/>
    </x:row>
    <x:row r="20" spans="1:15" ht="18" x14ac:dyDescent="0.6">
      <x:c r="A20" s="1"/>
      <x:c r="B20" s="15">
        <x:v>6</x:v>
      </x:c>
      <x:c r="C20" s="31" t="s">
        <x:v>35</x:v>
      </x:c>
      <x:c r="D20" s="17"/>
      <x:c r="E20" s="32">
        <x:f>[1]RESIDENTIAL!$P$30</x:f>
        <x:v>11305885.452528091</x:v>
      </x:c>
      <x:c r="F20" s="32">
        <x:f>'[1]SEC &lt; 10kW'!$P$30</x:f>
        <x:v>256770.23542181202</x:v>
      </x:c>
      <x:c r="G20" s="32">
        <x:f>'[1]SEC &gt; 10kW '!$P$30</x:f>
        <x:v>8931168.0047577973</x:v>
      </x:c>
      <x:c r="H20" s="32">
        <x:f>'[1]PRIMARY  &lt; 10kW'!$P$30</x:f>
        <x:v>2824.5467635555501</x:v>
      </x:c>
      <x:c r="I20" s="32">
        <x:f>'[1]PRIMARY  &gt; 10kW DLS'!$P$30</x:f>
        <x:v>2717256.7082995251</x:v>
      </x:c>
      <x:c r="J20" s="32">
        <x:f>'[1]PRIMARY  SUBSTATIONS'!$P$30</x:f>
        <x:v>940768.47369999997</x:v>
      </x:c>
      <x:c r="K20" s="33">
        <x:f>[1]TRANSMISSION!$R$30</x:f>
        <x:v>3233646</x:v>
      </x:c>
      <x:c r="L20" s="28">
        <x:f>'[2]STREET LIGHTING'!$P$30</x:f>
        <x:v>0</x:v>
      </x:c>
      <x:c r="M20" s="25"/>
      <x:c r="N20" s="27">
        <x:f t="shared" si="0"/>
        <x:v>27388319.421470784</x:v>
      </x:c>
      <x:c r="O20" s="16"/>
    </x:row>
    <x:row r="21" spans="1:15" ht="15.5" x14ac:dyDescent="0.35">
      <x:c r="A21" s="1"/>
      <x:c r="B21" s="15">
        <x:v>7</x:v>
      </x:c>
      <x:c r="C21" s="22"/>
      <x:c r="D21" s="22"/>
      <x:c r="E21" s="24"/>
      <x:c r="F21" s="24"/>
      <x:c r="G21" s="24"/>
      <x:c r="H21" s="24"/>
      <x:c r="I21" s="24"/>
      <x:c r="J21" s="10"/>
      <x:c r="K21" s="24"/>
      <x:c r="L21" s="24"/>
      <x:c r="M21" s="23"/>
      <x:c r="N21" s="27"/>
      <x:c r="O21" s="10"/>
    </x:row>
    <x:row r="22" spans="1:15" x14ac:dyDescent="0.3">
      <x:c r="B22" s="15">
        <x:v>8</x:v>
      </x:c>
    </x:row>
    <x:row r="23" spans="1:15" x14ac:dyDescent="0.3">
      <x:c r="B23" s="15">
        <x:v>9</x:v>
      </x:c>
      <x:c r="C23" s="35" t="s">
        <x:v>28</x:v>
      </x:c>
    </x:row>
    <x:row r="24" spans="1:15" x14ac:dyDescent="0.3">
      <x:c r="B24" s="15">
        <x:v>10</x:v>
      </x:c>
      <x:c r="C24" s="35" t="s">
        <x:v>25</x:v>
      </x:c>
    </x:row>
    <x:row r="25" spans="1:15" x14ac:dyDescent="0.3">
      <x:c r="B25" s="15">
        <x:v>11</x:v>
      </x:c>
      <x:c r="C25" s="31" t="s">
        <x:v>32</x:v>
      </x:c>
      <x:c r="E25" s="34">
        <x:f>+E17/$N17</x:f>
        <x:v>0.45390508716516609</x:v>
      </x:c>
      <x:c r="F25" s="34">
        <x:f t="shared" ref="F25:L25" si="1">+F17/$N17</x:f>
        <x:v>7.8338353406129171E-3</x:v>
      </x:c>
      <x:c r="G25" s="34">
        <x:f t="shared" si="1"/>
        <x:v>0.26668262050374963</x:v>
      </x:c>
      <x:c r="H25" s="34">
        <x:f t="shared" si="1"/>
        <x:v>9.5865016495325536E-5</x:v>
      </x:c>
      <x:c r="I25" s="34">
        <x:f t="shared" si="1"/>
        <x:v>9.2560636108286728E-2</x:v>
      </x:c>
      <x:c r="J25" s="34">
        <x:f t="shared" si="1"/>
        <x:v>4.1049316204451111E-2</x:v>
      </x:c>
      <x:c r="K25" s="34">
        <x:f t="shared" si="1"/>
        <x:v>0.13787263966123819</x:v>
      </x:c>
      <x:c r="L25" s="34">
        <x:f t="shared" si="1"/>
        <x:v>0</x:v>
      </x:c>
      <x:c r="N25" s="34">
        <x:f>SUM(E25:L25)</x:f>
        <x:v>0.99999999999999989</x:v>
      </x:c>
    </x:row>
    <x:row r="26" spans="1:15" x14ac:dyDescent="0.3">
      <x:c r="B26" s="15">
        <x:v>12</x:v>
      </x:c>
      <x:c r="C26" s="31" t="s">
        <x:v>33</x:v>
      </x:c>
      <x:c r="E26" s="34">
        <x:f>+E18/$N18</x:f>
        <x:v>0.44083732951549082</x:v>
      </x:c>
      <x:c r="F26" s="34">
        <x:f t="shared" ref="F26:L26" si="2">+F18/$N18</x:f>
        <x:v>9.0799663603140755E-3</x:v>
      </x:c>
      <x:c r="G26" s="34">
        <x:f t="shared" si="2"/>
        <x:v>0.31199512863167966</x:v>
      </x:c>
      <x:c r="H26" s="34">
        <x:f t="shared" si="2"/>
        <x:v>9.8596509876477928E-5</x:v>
      </x:c>
      <x:c r="I26" s="34">
        <x:f t="shared" si="2"/>
        <x:v>9.5570347643275239E-2</x:v>
      </x:c>
      <x:c r="J26" s="34">
        <x:f t="shared" si="2"/>
        <x:v>3.1399583382256707E-2</x:v>
      </x:c>
      <x:c r="K26" s="34">
        <x:f t="shared" si="2"/>
        <x:v>0.1110190479571071</x:v>
      </x:c>
      <x:c r="L26" s="34">
        <x:f t="shared" si="2"/>
        <x:v>0</x:v>
      </x:c>
      <x:c r="N26" s="34">
        <x:f t="shared" ref="N26:N28" si="3">SUM(E26:L26)</x:f>
        <x:v>1</x:v>
      </x:c>
    </x:row>
    <x:row r="27" spans="1:15" x14ac:dyDescent="0.3">
      <x:c r="B27" s="15">
        <x:v>13</x:v>
      </x:c>
      <x:c r="C27" s="31" t="s">
        <x:v>34</x:v>
      </x:c>
      <x:c r="E27" s="34">
        <x:f t="shared" ref="E27:K27" si="4">+E19/$N19</x:f>
        <x:v>0.44561797836456102</x:v>
      </x:c>
      <x:c r="F27" s="34">
        <x:f t="shared" si="4"/>
        <x:v>9.0838332529539472E-3</x:v>
      </x:c>
      <x:c r="G27" s="34">
        <x:f t="shared" si="4"/>
        <x:v>0.31671937635767333</x:v>
      </x:c>
      <x:c r="H27" s="34">
        <x:f t="shared" si="4"/>
        <x:v>8.9344784922224199E-5</x:v>
      </x:c>
      <x:c r="I27" s="34">
        <x:f t="shared" si="4"/>
        <x:v>9.2658058452556105E-2</x:v>
      </x:c>
      <x:c r="J27" s="34">
        <x:f t="shared" si="4"/>
        <x:v>3.121788974218339E-2</x:v>
      </x:c>
      <x:c r="K27" s="34">
        <x:f t="shared" si="4"/>
        <x:v>0.10461351904515</x:v>
      </x:c>
      <x:c r="L27" s="34">
        <x:f>+L19/$N19</x:f>
        <x:v>0</x:v>
      </x:c>
      <x:c r="N27" s="34">
        <x:f t="shared" si="3"/>
        <x:v>1</x:v>
      </x:c>
    </x:row>
    <x:row r="28" spans="1:15" x14ac:dyDescent="0.3">
      <x:c r="B28" s="15">
        <x:v>14</x:v>
      </x:c>
      <x:c r="C28" s="31" t="s">
        <x:v>35</x:v>
      </x:c>
      <x:c r="E28" s="34">
        <x:f t="shared" ref="E28:K28" si="5">+E20/$N20</x:f>
        <x:v>0.41279953247751894</x:v>
      </x:c>
      <x:c r="F28" s="34">
        <x:f t="shared" si="5"/>
        <x:v>9.375173097350387E-3</x:v>
      </x:c>
      <x:c r="G28" s="34">
        <x:f t="shared" si="5"/>
        <x:v>0.3260940500699836</x:v>
      </x:c>
      <x:c r="H28" s="34">
        <x:f t="shared" si="5"/>
        <x:v>1.0312961230258168E-4</x:v>
      </x:c>
      <x:c r="I28" s="34">
        <x:f t="shared" si="5"/>
        <x:v>9.9212246888334465E-2</x:v>
      </x:c>
      <x:c r="J28" s="34">
        <x:f t="shared" si="5"/>
        <x:v>3.434925886553282E-2</x:v>
      </x:c>
      <x:c r="K28" s="34">
        <x:f t="shared" si="5"/>
        <x:v>0.11806660898897715</x:v>
      </x:c>
      <x:c r="L28" s="34">
        <x:f>+L20/$N20</x:f>
        <x:v>0</x:v>
      </x:c>
      <x:c r="N28" s="34">
        <x:f t="shared" si="3"/>
        <x:v>1</x:v>
      </x:c>
    </x:row>
  </x:sheetData>
  <x:mergeCells count="1">
    <x:mergeCell ref="B8:O8"/>
  </x:mergeCells>
  <x:phoneticPr fontId="9" type="noConversion"/>
  <x:printOptions horizontalCentered="1"/>
  <x:pageMargins left="0.5" right="0.5" top="1.5" bottom="0.75" header="1.5" footer="0.5"/>
  <x:pageSetup scale="72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2025-04-28T17:46:42.0000000Z</dcterms:modified>
</coreProperties>
</file>